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ganMahajan\Documents\eps-us\InputData\elec\SoEDtICoS\"/>
    </mc:Choice>
  </mc:AlternateContent>
  <xr:revisionPtr revIDLastSave="0" documentId="13_ncr:1_{257EF831-04E2-4525-AD7B-798B8B244295}" xr6:coauthVersionLast="47" xr6:coauthVersionMax="47" xr10:uidLastSave="{00000000-0000-0000-0000-000000000000}"/>
  <bookViews>
    <workbookView xWindow="-120" yWindow="-120" windowWidth="29040" windowHeight="17520" xr2:uid="{00000000-000D-0000-FFFF-FFFF00000000}"/>
  </bookViews>
  <sheets>
    <sheet name="About" sheetId="1" r:id="rId1"/>
    <sheet name="Parameters" sheetId="2" r:id="rId2"/>
    <sheet name="EIA-861 Sales 2024" sheetId="3" r:id="rId3"/>
    <sheet name="State Shares" sheetId="4" r:id="rId4"/>
    <sheet name="US National" sheetId="5" r:id="rId5"/>
    <sheet name="SoEDtICo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819" i="3" l="1"/>
  <c r="Y2819" i="3"/>
  <c r="Z2818" i="3"/>
  <c r="Y2818" i="3"/>
  <c r="Z2817" i="3"/>
  <c r="Y2817" i="3"/>
  <c r="Z2816" i="3"/>
  <c r="Y2816" i="3"/>
  <c r="Z2815" i="3"/>
  <c r="Y2815" i="3"/>
  <c r="Z2814" i="3"/>
  <c r="Y2814" i="3"/>
  <c r="Z2813" i="3"/>
  <c r="Y2813" i="3"/>
  <c r="Z2812" i="3"/>
  <c r="Y2812" i="3"/>
  <c r="Z2811" i="3"/>
  <c r="Y2811" i="3"/>
  <c r="Z2810" i="3"/>
  <c r="Y2810" i="3"/>
  <c r="Z2809" i="3"/>
  <c r="Y2809" i="3"/>
  <c r="Z2808" i="3"/>
  <c r="Y2808" i="3"/>
  <c r="Z2807" i="3"/>
  <c r="Y2807" i="3"/>
  <c r="Z2806" i="3"/>
  <c r="Y2806" i="3"/>
  <c r="Z2805" i="3"/>
  <c r="Y2805" i="3"/>
  <c r="Z2804" i="3"/>
  <c r="Y2804" i="3"/>
  <c r="Z2803" i="3"/>
  <c r="Y2803" i="3"/>
  <c r="Z2802" i="3"/>
  <c r="Y2802" i="3"/>
  <c r="Z2801" i="3"/>
  <c r="Y2801" i="3"/>
  <c r="Z2800" i="3"/>
  <c r="Y2800" i="3"/>
  <c r="Z2799" i="3"/>
  <c r="Y2799" i="3"/>
  <c r="Z2798" i="3"/>
  <c r="Y2798" i="3"/>
  <c r="Z2797" i="3"/>
  <c r="Y2797" i="3"/>
  <c r="Z2796" i="3"/>
  <c r="Y2796" i="3"/>
  <c r="Z2795" i="3"/>
  <c r="Y2795" i="3"/>
  <c r="Z2794" i="3"/>
  <c r="Y2794" i="3"/>
  <c r="Z2793" i="3"/>
  <c r="Y2793" i="3"/>
  <c r="Z2792" i="3"/>
  <c r="Y2792" i="3"/>
  <c r="Z2791" i="3"/>
  <c r="Y2791" i="3"/>
  <c r="Z2790" i="3"/>
  <c r="Y2790" i="3"/>
  <c r="Z2789" i="3"/>
  <c r="Y2789" i="3"/>
  <c r="Z2788" i="3"/>
  <c r="Y2788" i="3"/>
  <c r="Z2787" i="3"/>
  <c r="Y2787" i="3"/>
  <c r="Z2786" i="3"/>
  <c r="Y2786" i="3"/>
  <c r="Z2785" i="3"/>
  <c r="Y2785" i="3"/>
  <c r="Z2784" i="3"/>
  <c r="Y2784" i="3"/>
  <c r="Z2783" i="3"/>
  <c r="Y2783" i="3"/>
  <c r="Z2782" i="3"/>
  <c r="Y2782" i="3"/>
  <c r="Z2781" i="3"/>
  <c r="Y2781" i="3"/>
  <c r="Z2780" i="3"/>
  <c r="Y2780" i="3"/>
  <c r="Z2779" i="3"/>
  <c r="Y2779" i="3"/>
  <c r="Z2778" i="3"/>
  <c r="Y2778" i="3"/>
  <c r="Z2777" i="3"/>
  <c r="Y2777" i="3"/>
  <c r="Z2776" i="3"/>
  <c r="Y2776" i="3"/>
  <c r="Z2775" i="3"/>
  <c r="Y2775" i="3"/>
  <c r="Z2774" i="3"/>
  <c r="Y2774" i="3"/>
  <c r="Z2773" i="3"/>
  <c r="Y2773" i="3"/>
  <c r="Z2772" i="3"/>
  <c r="Y2772" i="3"/>
  <c r="Z2771" i="3"/>
  <c r="Y2771" i="3"/>
  <c r="Z2770" i="3"/>
  <c r="Y2770" i="3"/>
  <c r="Z2769" i="3"/>
  <c r="Y2769" i="3"/>
  <c r="Z2768" i="3"/>
  <c r="Y2768" i="3"/>
  <c r="Z2767" i="3"/>
  <c r="Y2767" i="3"/>
  <c r="Z2766" i="3"/>
  <c r="Y2766" i="3"/>
  <c r="Z2765" i="3"/>
  <c r="Y2765" i="3"/>
  <c r="Z2764" i="3"/>
  <c r="Y2764" i="3"/>
  <c r="Z2763" i="3"/>
  <c r="Y2763" i="3"/>
  <c r="Z2762" i="3"/>
  <c r="Y2762" i="3"/>
  <c r="Z2761" i="3"/>
  <c r="Y2761" i="3"/>
  <c r="Z2760" i="3"/>
  <c r="Y2760" i="3"/>
  <c r="Z2759" i="3"/>
  <c r="Y2759" i="3"/>
  <c r="Z2758" i="3"/>
  <c r="Y2758" i="3"/>
  <c r="Z2757" i="3"/>
  <c r="Y2757" i="3"/>
  <c r="Z2756" i="3"/>
  <c r="Y2756" i="3"/>
  <c r="Z2755" i="3"/>
  <c r="Y2755" i="3"/>
  <c r="Z2754" i="3"/>
  <c r="Y2754" i="3"/>
  <c r="Z2753" i="3"/>
  <c r="Y2753" i="3"/>
  <c r="Z2752" i="3"/>
  <c r="Y2752" i="3"/>
  <c r="Z2751" i="3"/>
  <c r="Y2751" i="3"/>
  <c r="Z2750" i="3"/>
  <c r="Y2750" i="3"/>
  <c r="Z2749" i="3"/>
  <c r="Y2749" i="3"/>
  <c r="Z2748" i="3"/>
  <c r="Y2748" i="3"/>
  <c r="Z2747" i="3"/>
  <c r="Y2747" i="3"/>
  <c r="Z2746" i="3"/>
  <c r="Y2746" i="3"/>
  <c r="Z2745" i="3"/>
  <c r="Y2745" i="3"/>
  <c r="Z2744" i="3"/>
  <c r="Y2744" i="3"/>
  <c r="Z2743" i="3"/>
  <c r="Y2743" i="3"/>
  <c r="Z2742" i="3"/>
  <c r="Y2742" i="3"/>
  <c r="Z2741" i="3"/>
  <c r="Y2741" i="3"/>
  <c r="Z2740" i="3"/>
  <c r="Y2740" i="3"/>
  <c r="Z2739" i="3"/>
  <c r="Y2739" i="3"/>
  <c r="Z2738" i="3"/>
  <c r="Y2738" i="3"/>
  <c r="Z2737" i="3"/>
  <c r="Y2737" i="3"/>
  <c r="Z2736" i="3"/>
  <c r="Y2736" i="3"/>
  <c r="Z2735" i="3"/>
  <c r="Y2735" i="3"/>
  <c r="Z2734" i="3"/>
  <c r="Y2734" i="3"/>
  <c r="Z2733" i="3"/>
  <c r="Y2733" i="3"/>
  <c r="Z2732" i="3"/>
  <c r="Y2732" i="3"/>
  <c r="Z2731" i="3"/>
  <c r="Y2731" i="3"/>
  <c r="Z2730" i="3"/>
  <c r="Y2730" i="3"/>
  <c r="Z2729" i="3"/>
  <c r="Y2729" i="3"/>
  <c r="Z2728" i="3"/>
  <c r="Y2728" i="3"/>
  <c r="Z2727" i="3"/>
  <c r="Y2727" i="3"/>
  <c r="Z2726" i="3"/>
  <c r="Y2726" i="3"/>
  <c r="Z2725" i="3"/>
  <c r="Y2725" i="3"/>
  <c r="Z2724" i="3"/>
  <c r="Y2724" i="3"/>
  <c r="Z2723" i="3"/>
  <c r="Y2723" i="3"/>
  <c r="Z2722" i="3"/>
  <c r="Y2722" i="3"/>
  <c r="Z2721" i="3"/>
  <c r="Y2721" i="3"/>
  <c r="Z2720" i="3"/>
  <c r="Y2720" i="3"/>
  <c r="Z2719" i="3"/>
  <c r="Y2719" i="3"/>
  <c r="Z2718" i="3"/>
  <c r="Y2718" i="3"/>
  <c r="Z2717" i="3"/>
  <c r="Y2717" i="3"/>
  <c r="Z2716" i="3"/>
  <c r="Y2716" i="3"/>
  <c r="Z2715" i="3"/>
  <c r="Y2715" i="3"/>
  <c r="Z2714" i="3"/>
  <c r="Y2714" i="3"/>
  <c r="Z2713" i="3"/>
  <c r="Y2713" i="3"/>
  <c r="Z2712" i="3"/>
  <c r="Y2712" i="3"/>
  <c r="Z2711" i="3"/>
  <c r="Y2711" i="3"/>
  <c r="Z2710" i="3"/>
  <c r="Y2710" i="3"/>
  <c r="Z2709" i="3"/>
  <c r="Y2709" i="3"/>
  <c r="Z2708" i="3"/>
  <c r="Y2708" i="3"/>
  <c r="Z2707" i="3"/>
  <c r="Y2707" i="3"/>
  <c r="Z2706" i="3"/>
  <c r="Y2706" i="3"/>
  <c r="Z2705" i="3"/>
  <c r="Y2705" i="3"/>
  <c r="Z2704" i="3"/>
  <c r="Y2704" i="3"/>
  <c r="Z2703" i="3"/>
  <c r="Y2703" i="3"/>
  <c r="Z2702" i="3"/>
  <c r="Y2702" i="3"/>
  <c r="Z2701" i="3"/>
  <c r="Y2701" i="3"/>
  <c r="Z2700" i="3"/>
  <c r="Y2700" i="3"/>
  <c r="Z2699" i="3"/>
  <c r="Y2699" i="3"/>
  <c r="Z2698" i="3"/>
  <c r="Y2698" i="3"/>
  <c r="Z2697" i="3"/>
  <c r="Y2697" i="3"/>
  <c r="Z2696" i="3"/>
  <c r="Y2696" i="3"/>
  <c r="Z2695" i="3"/>
  <c r="Y2695" i="3"/>
  <c r="Z2694" i="3"/>
  <c r="Y2694" i="3"/>
  <c r="Z2693" i="3"/>
  <c r="Y2693" i="3"/>
  <c r="Z2692" i="3"/>
  <c r="Y2692" i="3"/>
  <c r="Z2691" i="3"/>
  <c r="Y2691" i="3"/>
  <c r="Z2690" i="3"/>
  <c r="Y2690" i="3"/>
  <c r="Z2689" i="3"/>
  <c r="Y2689" i="3"/>
  <c r="Z2688" i="3"/>
  <c r="Y2688" i="3"/>
  <c r="Z2687" i="3"/>
  <c r="Y2687" i="3"/>
  <c r="Z2686" i="3"/>
  <c r="Y2686" i="3"/>
  <c r="Z2685" i="3"/>
  <c r="Y2685" i="3"/>
  <c r="Z2684" i="3"/>
  <c r="Y2684" i="3"/>
  <c r="Z2683" i="3"/>
  <c r="Y2683" i="3"/>
  <c r="Z2682" i="3"/>
  <c r="Y2682" i="3"/>
  <c r="Z2681" i="3"/>
  <c r="Y2681" i="3"/>
  <c r="Z2680" i="3"/>
  <c r="Y2680" i="3"/>
  <c r="Z2679" i="3"/>
  <c r="Y2679" i="3"/>
  <c r="Z2678" i="3"/>
  <c r="Y2678" i="3"/>
  <c r="Z2677" i="3"/>
  <c r="Y2677" i="3"/>
  <c r="Z2676" i="3"/>
  <c r="Y2676" i="3"/>
  <c r="Z2675" i="3"/>
  <c r="Y2675" i="3"/>
  <c r="Z2674" i="3"/>
  <c r="Y2674" i="3"/>
  <c r="Z2673" i="3"/>
  <c r="Y2673" i="3"/>
  <c r="Z2672" i="3"/>
  <c r="Y2672" i="3"/>
  <c r="Z2671" i="3"/>
  <c r="Y2671" i="3"/>
  <c r="Z2670" i="3"/>
  <c r="Y2670" i="3"/>
  <c r="Z2669" i="3"/>
  <c r="Y2669" i="3"/>
  <c r="Z2668" i="3"/>
  <c r="Y2668" i="3"/>
  <c r="Z2667" i="3"/>
  <c r="Y2667" i="3"/>
  <c r="Z2666" i="3"/>
  <c r="Y2666" i="3"/>
  <c r="Z2665" i="3"/>
  <c r="Y2665" i="3"/>
  <c r="Z2664" i="3"/>
  <c r="Y2664" i="3"/>
  <c r="Z2663" i="3"/>
  <c r="Y2663" i="3"/>
  <c r="Z2662" i="3"/>
  <c r="Y2662" i="3"/>
  <c r="Z2661" i="3"/>
  <c r="Y2661" i="3"/>
  <c r="Z2660" i="3"/>
  <c r="Y2660" i="3"/>
  <c r="Z2659" i="3"/>
  <c r="Y2659" i="3"/>
  <c r="Z2658" i="3"/>
  <c r="Y2658" i="3"/>
  <c r="Z2657" i="3"/>
  <c r="Y2657" i="3"/>
  <c r="Z2656" i="3"/>
  <c r="Y2656" i="3"/>
  <c r="Z2655" i="3"/>
  <c r="Y2655" i="3"/>
  <c r="Z2654" i="3"/>
  <c r="Y2654" i="3"/>
  <c r="Z2653" i="3"/>
  <c r="Y2653" i="3"/>
  <c r="Z2652" i="3"/>
  <c r="Y2652" i="3"/>
  <c r="Z2651" i="3"/>
  <c r="Y2651" i="3"/>
  <c r="Z2650" i="3"/>
  <c r="Y2650" i="3"/>
  <c r="Z2649" i="3"/>
  <c r="Y2649" i="3"/>
  <c r="Z2648" i="3"/>
  <c r="Y2648" i="3"/>
  <c r="Z2647" i="3"/>
  <c r="Y2647" i="3"/>
  <c r="Z2646" i="3"/>
  <c r="Y2646" i="3"/>
  <c r="Z2645" i="3"/>
  <c r="Y2645" i="3"/>
  <c r="Z2644" i="3"/>
  <c r="Y2644" i="3"/>
  <c r="Z2643" i="3"/>
  <c r="Y2643" i="3"/>
  <c r="Z2642" i="3"/>
  <c r="Y2642" i="3"/>
  <c r="Z2641" i="3"/>
  <c r="Y2641" i="3"/>
  <c r="Z2640" i="3"/>
  <c r="Y2640" i="3"/>
  <c r="Z2639" i="3"/>
  <c r="Y2639" i="3"/>
  <c r="Z2638" i="3"/>
  <c r="Y2638" i="3"/>
  <c r="Z2637" i="3"/>
  <c r="Y2637" i="3"/>
  <c r="Z2636" i="3"/>
  <c r="Y2636" i="3"/>
  <c r="Z2635" i="3"/>
  <c r="Y2635" i="3"/>
  <c r="Z2634" i="3"/>
  <c r="Y2634" i="3"/>
  <c r="Z2633" i="3"/>
  <c r="Y2633" i="3"/>
  <c r="Z2632" i="3"/>
  <c r="Y2632" i="3"/>
  <c r="Z2631" i="3"/>
  <c r="Y2631" i="3"/>
  <c r="Z2630" i="3"/>
  <c r="Y2630" i="3"/>
  <c r="Z2629" i="3"/>
  <c r="Y2629" i="3"/>
  <c r="Z2628" i="3"/>
  <c r="Y2628" i="3"/>
  <c r="Z2627" i="3"/>
  <c r="Y2627" i="3"/>
  <c r="Z2626" i="3"/>
  <c r="Y2626" i="3"/>
  <c r="Z2625" i="3"/>
  <c r="Y2625" i="3"/>
  <c r="Z2624" i="3"/>
  <c r="Y2624" i="3"/>
  <c r="Z2623" i="3"/>
  <c r="Y2623" i="3"/>
  <c r="Z2622" i="3"/>
  <c r="Y2622" i="3"/>
  <c r="Z2621" i="3"/>
  <c r="Y2621" i="3"/>
  <c r="Z2620" i="3"/>
  <c r="Y2620" i="3"/>
  <c r="Z2619" i="3"/>
  <c r="Y2619" i="3"/>
  <c r="Z2618" i="3"/>
  <c r="Y2618" i="3"/>
  <c r="Z2617" i="3"/>
  <c r="Y2617" i="3"/>
  <c r="Z2616" i="3"/>
  <c r="Y2616" i="3"/>
  <c r="Z2615" i="3"/>
  <c r="Y2615" i="3"/>
  <c r="Z2614" i="3"/>
  <c r="Y2614" i="3"/>
  <c r="Z2613" i="3"/>
  <c r="Y2613" i="3"/>
  <c r="Z2612" i="3"/>
  <c r="Y2612" i="3"/>
  <c r="Z2611" i="3"/>
  <c r="Y2611" i="3"/>
  <c r="Z2610" i="3"/>
  <c r="Y2610" i="3"/>
  <c r="Z2609" i="3"/>
  <c r="Y2609" i="3"/>
  <c r="Z2608" i="3"/>
  <c r="Y2608" i="3"/>
  <c r="Z2607" i="3"/>
  <c r="Y2607" i="3"/>
  <c r="Z2606" i="3"/>
  <c r="Y2606" i="3"/>
  <c r="Z2605" i="3"/>
  <c r="Y2605" i="3"/>
  <c r="Z2604" i="3"/>
  <c r="Y2604" i="3"/>
  <c r="Z2603" i="3"/>
  <c r="Y2603" i="3"/>
  <c r="Z2602" i="3"/>
  <c r="Y2602" i="3"/>
  <c r="Z2601" i="3"/>
  <c r="Y2601" i="3"/>
  <c r="Z2600" i="3"/>
  <c r="Y2600" i="3"/>
  <c r="Z2599" i="3"/>
  <c r="Y2599" i="3"/>
  <c r="Z2598" i="3"/>
  <c r="Y2598" i="3"/>
  <c r="Z2597" i="3"/>
  <c r="Y2597" i="3"/>
  <c r="Z2596" i="3"/>
  <c r="Y2596" i="3"/>
  <c r="Z2595" i="3"/>
  <c r="Y2595" i="3"/>
  <c r="Z2594" i="3"/>
  <c r="Y2594" i="3"/>
  <c r="Z2593" i="3"/>
  <c r="Y2593" i="3"/>
  <c r="Z2592" i="3"/>
  <c r="Y2592" i="3"/>
  <c r="Z2591" i="3"/>
  <c r="Y2591" i="3"/>
  <c r="Z2590" i="3"/>
  <c r="Y2590" i="3"/>
  <c r="Z2589" i="3"/>
  <c r="Y2589" i="3"/>
  <c r="Z2588" i="3"/>
  <c r="Y2588" i="3"/>
  <c r="Z2587" i="3"/>
  <c r="Y2587" i="3"/>
  <c r="Z2586" i="3"/>
  <c r="Y2586" i="3"/>
  <c r="Z2585" i="3"/>
  <c r="Y2585" i="3"/>
  <c r="Z2584" i="3"/>
  <c r="Y2584" i="3"/>
  <c r="Z2583" i="3"/>
  <c r="Y2583" i="3"/>
  <c r="Z2582" i="3"/>
  <c r="Y2582" i="3"/>
  <c r="Z2581" i="3"/>
  <c r="Y2581" i="3"/>
  <c r="Z2580" i="3"/>
  <c r="Y2580" i="3"/>
  <c r="Z2579" i="3"/>
  <c r="Y2579" i="3"/>
  <c r="Z2578" i="3"/>
  <c r="Y2578" i="3"/>
  <c r="Z2577" i="3"/>
  <c r="Y2577" i="3"/>
  <c r="Z2576" i="3"/>
  <c r="Y2576" i="3"/>
  <c r="Z2575" i="3"/>
  <c r="Y2575" i="3"/>
  <c r="Z2574" i="3"/>
  <c r="Y2574" i="3"/>
  <c r="Z2573" i="3"/>
  <c r="Y2573" i="3"/>
  <c r="Z2572" i="3"/>
  <c r="Y2572" i="3"/>
  <c r="Z2571" i="3"/>
  <c r="Y2571" i="3"/>
  <c r="Z2570" i="3"/>
  <c r="Y2570" i="3"/>
  <c r="Z2569" i="3"/>
  <c r="Y2569" i="3"/>
  <c r="Z2568" i="3"/>
  <c r="Y2568" i="3"/>
  <c r="Z2567" i="3"/>
  <c r="Y2567" i="3"/>
  <c r="Z2566" i="3"/>
  <c r="Y2566" i="3"/>
  <c r="Z2565" i="3"/>
  <c r="Y2565" i="3"/>
  <c r="Z2564" i="3"/>
  <c r="Y2564" i="3"/>
  <c r="Z2563" i="3"/>
  <c r="Y2563" i="3"/>
  <c r="Z2562" i="3"/>
  <c r="Y2562" i="3"/>
  <c r="Z2561" i="3"/>
  <c r="Y2561" i="3"/>
  <c r="Z2560" i="3"/>
  <c r="Y2560" i="3"/>
  <c r="Z2559" i="3"/>
  <c r="Y2559" i="3"/>
  <c r="Z2558" i="3"/>
  <c r="Y2558" i="3"/>
  <c r="Z2557" i="3"/>
  <c r="Y2557" i="3"/>
  <c r="Z2556" i="3"/>
  <c r="Y2556" i="3"/>
  <c r="Z2555" i="3"/>
  <c r="Y2555" i="3"/>
  <c r="Z2554" i="3"/>
  <c r="Y2554" i="3"/>
  <c r="Z2553" i="3"/>
  <c r="Y2553" i="3"/>
  <c r="Z2552" i="3"/>
  <c r="Y2552" i="3"/>
  <c r="Z2551" i="3"/>
  <c r="Y2551" i="3"/>
  <c r="Z2550" i="3"/>
  <c r="Y2550" i="3"/>
  <c r="Z2549" i="3"/>
  <c r="Y2549" i="3"/>
  <c r="Z2548" i="3"/>
  <c r="Y2548" i="3"/>
  <c r="Z2547" i="3"/>
  <c r="Y2547" i="3"/>
  <c r="Z2546" i="3"/>
  <c r="Y2546" i="3"/>
  <c r="Z2545" i="3"/>
  <c r="Y2545" i="3"/>
  <c r="Z2544" i="3"/>
  <c r="Y2544" i="3"/>
  <c r="Z2543" i="3"/>
  <c r="Y2543" i="3"/>
  <c r="Z2542" i="3"/>
  <c r="Y2542" i="3"/>
  <c r="Z2541" i="3"/>
  <c r="Y2541" i="3"/>
  <c r="Z2540" i="3"/>
  <c r="Y2540" i="3"/>
  <c r="Z2539" i="3"/>
  <c r="Y2539" i="3"/>
  <c r="Z2538" i="3"/>
  <c r="Y2538" i="3"/>
  <c r="Z2537" i="3"/>
  <c r="Y2537" i="3"/>
  <c r="Z2536" i="3"/>
  <c r="Y2536" i="3"/>
  <c r="Z2535" i="3"/>
  <c r="Y2535" i="3"/>
  <c r="Z2534" i="3"/>
  <c r="Y2534" i="3"/>
  <c r="Z2533" i="3"/>
  <c r="Y2533" i="3"/>
  <c r="Z2532" i="3"/>
  <c r="Y2532" i="3"/>
  <c r="Z2531" i="3"/>
  <c r="Y2531" i="3"/>
  <c r="Z2530" i="3"/>
  <c r="Y2530" i="3"/>
  <c r="Z2529" i="3"/>
  <c r="Y2529" i="3"/>
  <c r="Z2528" i="3"/>
  <c r="Y2528" i="3"/>
  <c r="Z2527" i="3"/>
  <c r="Y2527" i="3"/>
  <c r="Z2526" i="3"/>
  <c r="Y2526" i="3"/>
  <c r="Z2525" i="3"/>
  <c r="Y2525" i="3"/>
  <c r="Z2524" i="3"/>
  <c r="Y2524" i="3"/>
  <c r="Z2523" i="3"/>
  <c r="Y2523" i="3"/>
  <c r="Z2522" i="3"/>
  <c r="Y2522" i="3"/>
  <c r="Z2521" i="3"/>
  <c r="Y2521" i="3"/>
  <c r="Z2520" i="3"/>
  <c r="Y2520" i="3"/>
  <c r="Z2519" i="3"/>
  <c r="Y2519" i="3"/>
  <c r="Z2518" i="3"/>
  <c r="Y2518" i="3"/>
  <c r="Z2517" i="3"/>
  <c r="Y2517" i="3"/>
  <c r="Z2516" i="3"/>
  <c r="Y2516" i="3"/>
  <c r="Z2515" i="3"/>
  <c r="Y2515" i="3"/>
  <c r="Z2514" i="3"/>
  <c r="Y2514" i="3"/>
  <c r="Z2513" i="3"/>
  <c r="Y2513" i="3"/>
  <c r="Z2512" i="3"/>
  <c r="Y2512" i="3"/>
  <c r="Z2511" i="3"/>
  <c r="Y2511" i="3"/>
  <c r="Z2510" i="3"/>
  <c r="Y2510" i="3"/>
  <c r="Z2509" i="3"/>
  <c r="Y2509" i="3"/>
  <c r="Z2508" i="3"/>
  <c r="Y2508" i="3"/>
  <c r="Z2507" i="3"/>
  <c r="Y2507" i="3"/>
  <c r="Z2506" i="3"/>
  <c r="Y2506" i="3"/>
  <c r="Z2505" i="3"/>
  <c r="Y2505" i="3"/>
  <c r="Z2504" i="3"/>
  <c r="Y2504" i="3"/>
  <c r="Z2503" i="3"/>
  <c r="Y2503" i="3"/>
  <c r="Z2502" i="3"/>
  <c r="Y2502" i="3"/>
  <c r="Z2501" i="3"/>
  <c r="Y2501" i="3"/>
  <c r="Z2500" i="3"/>
  <c r="Y2500" i="3"/>
  <c r="Z2499" i="3"/>
  <c r="Y2499" i="3"/>
  <c r="Z2498" i="3"/>
  <c r="Y2498" i="3"/>
  <c r="Z2497" i="3"/>
  <c r="Y2497" i="3"/>
  <c r="Z2496" i="3"/>
  <c r="Y2496" i="3"/>
  <c r="Z2495" i="3"/>
  <c r="Y2495" i="3"/>
  <c r="Z2494" i="3"/>
  <c r="Y2494" i="3"/>
  <c r="Z2493" i="3"/>
  <c r="Y2493" i="3"/>
  <c r="Z2492" i="3"/>
  <c r="Y2492" i="3"/>
  <c r="Z2491" i="3"/>
  <c r="Y2491" i="3"/>
  <c r="Z2490" i="3"/>
  <c r="Y2490" i="3"/>
  <c r="Z2489" i="3"/>
  <c r="Y2489" i="3"/>
  <c r="Z2488" i="3"/>
  <c r="Y2488" i="3"/>
  <c r="Z2487" i="3"/>
  <c r="Y2487" i="3"/>
  <c r="Z2486" i="3"/>
  <c r="Y2486" i="3"/>
  <c r="Z2485" i="3"/>
  <c r="Y2485" i="3"/>
  <c r="Z2484" i="3"/>
  <c r="Y2484" i="3"/>
  <c r="Z2483" i="3"/>
  <c r="Y2483" i="3"/>
  <c r="Z2482" i="3"/>
  <c r="Y2482" i="3"/>
  <c r="Z2481" i="3"/>
  <c r="Y2481" i="3"/>
  <c r="Z2480" i="3"/>
  <c r="Y2480" i="3"/>
  <c r="Z2479" i="3"/>
  <c r="Y2479" i="3"/>
  <c r="Z2478" i="3"/>
  <c r="Y2478" i="3"/>
  <c r="Z2477" i="3"/>
  <c r="Y2477" i="3"/>
  <c r="Z2476" i="3"/>
  <c r="Y2476" i="3"/>
  <c r="Z2475" i="3"/>
  <c r="Y2475" i="3"/>
  <c r="Z2474" i="3"/>
  <c r="Y2474" i="3"/>
  <c r="Z2473" i="3"/>
  <c r="Y2473" i="3"/>
  <c r="Z2472" i="3"/>
  <c r="Y2472" i="3"/>
  <c r="Z2471" i="3"/>
  <c r="Y2471" i="3"/>
  <c r="Z2470" i="3"/>
  <c r="Y2470" i="3"/>
  <c r="Z2469" i="3"/>
  <c r="Y2469" i="3"/>
  <c r="Z2468" i="3"/>
  <c r="Y2468" i="3"/>
  <c r="Z2467" i="3"/>
  <c r="Y2467" i="3"/>
  <c r="Z2466" i="3"/>
  <c r="Y2466" i="3"/>
  <c r="Z2465" i="3"/>
  <c r="Y2465" i="3"/>
  <c r="Z2464" i="3"/>
  <c r="Y2464" i="3"/>
  <c r="Z2463" i="3"/>
  <c r="Y2463" i="3"/>
  <c r="Z2462" i="3"/>
  <c r="Y2462" i="3"/>
  <c r="Z2461" i="3"/>
  <c r="Y2461" i="3"/>
  <c r="Z2460" i="3"/>
  <c r="Y2460" i="3"/>
  <c r="Z2459" i="3"/>
  <c r="Y2459" i="3"/>
  <c r="Z2458" i="3"/>
  <c r="Y2458" i="3"/>
  <c r="Z2457" i="3"/>
  <c r="Y2457" i="3"/>
  <c r="Z2456" i="3"/>
  <c r="Y2456" i="3"/>
  <c r="Z2455" i="3"/>
  <c r="Y2455" i="3"/>
  <c r="Z2454" i="3"/>
  <c r="Y2454" i="3"/>
  <c r="Z2453" i="3"/>
  <c r="Y2453" i="3"/>
  <c r="Z2452" i="3"/>
  <c r="Y2452" i="3"/>
  <c r="Z2451" i="3"/>
  <c r="Y2451" i="3"/>
  <c r="Z2450" i="3"/>
  <c r="Y2450" i="3"/>
  <c r="Z2449" i="3"/>
  <c r="Y2449" i="3"/>
  <c r="Z2448" i="3"/>
  <c r="Y2448" i="3"/>
  <c r="Z2447" i="3"/>
  <c r="Y2447" i="3"/>
  <c r="Z2446" i="3"/>
  <c r="Y2446" i="3"/>
  <c r="Z2445" i="3"/>
  <c r="Y2445" i="3"/>
  <c r="Z2444" i="3"/>
  <c r="Y2444" i="3"/>
  <c r="Z2443" i="3"/>
  <c r="Y2443" i="3"/>
  <c r="Z2442" i="3"/>
  <c r="Y2442" i="3"/>
  <c r="Z2441" i="3"/>
  <c r="Y2441" i="3"/>
  <c r="Z2440" i="3"/>
  <c r="Y2440" i="3"/>
  <c r="Z2439" i="3"/>
  <c r="Y2439" i="3"/>
  <c r="Z2438" i="3"/>
  <c r="Y2438" i="3"/>
  <c r="Z2437" i="3"/>
  <c r="Y2437" i="3"/>
  <c r="Z2436" i="3"/>
  <c r="Y2436" i="3"/>
  <c r="Z2435" i="3"/>
  <c r="Y2435" i="3"/>
  <c r="Z2434" i="3"/>
  <c r="Y2434" i="3"/>
  <c r="Z2433" i="3"/>
  <c r="Y2433" i="3"/>
  <c r="Z2432" i="3"/>
  <c r="Y2432" i="3"/>
  <c r="Z2431" i="3"/>
  <c r="Y2431" i="3"/>
  <c r="Z2430" i="3"/>
  <c r="Y2430" i="3"/>
  <c r="Z2429" i="3"/>
  <c r="Y2429" i="3"/>
  <c r="Z2428" i="3"/>
  <c r="Y2428" i="3"/>
  <c r="Z2427" i="3"/>
  <c r="Y2427" i="3"/>
  <c r="Z2426" i="3"/>
  <c r="Y2426" i="3"/>
  <c r="Z2425" i="3"/>
  <c r="Y2425" i="3"/>
  <c r="Z2424" i="3"/>
  <c r="Y2424" i="3"/>
  <c r="Z2423" i="3"/>
  <c r="Y2423" i="3"/>
  <c r="Z2422" i="3"/>
  <c r="Y2422" i="3"/>
  <c r="Z2421" i="3"/>
  <c r="Y2421" i="3"/>
  <c r="Z2420" i="3"/>
  <c r="Y2420" i="3"/>
  <c r="Z2419" i="3"/>
  <c r="Y2419" i="3"/>
  <c r="Z2418" i="3"/>
  <c r="Y2418" i="3"/>
  <c r="Z2417" i="3"/>
  <c r="Y2417" i="3"/>
  <c r="Z2416" i="3"/>
  <c r="Y2416" i="3"/>
  <c r="Z2415" i="3"/>
  <c r="Y2415" i="3"/>
  <c r="Z2414" i="3"/>
  <c r="Y2414" i="3"/>
  <c r="Z2413" i="3"/>
  <c r="Y2413" i="3"/>
  <c r="Z2412" i="3"/>
  <c r="Y2412" i="3"/>
  <c r="Z2411" i="3"/>
  <c r="Y2411" i="3"/>
  <c r="Z2410" i="3"/>
  <c r="Y2410" i="3"/>
  <c r="Z2409" i="3"/>
  <c r="Y2409" i="3"/>
  <c r="Z2408" i="3"/>
  <c r="Y2408" i="3"/>
  <c r="Z2407" i="3"/>
  <c r="Y2407" i="3"/>
  <c r="Z2406" i="3"/>
  <c r="Y2406" i="3"/>
  <c r="Z2405" i="3"/>
  <c r="Y2405" i="3"/>
  <c r="Z2404" i="3"/>
  <c r="Y2404" i="3"/>
  <c r="Z2403" i="3"/>
  <c r="Y2403" i="3"/>
  <c r="Z2402" i="3"/>
  <c r="Y2402" i="3"/>
  <c r="Z2401" i="3"/>
  <c r="Y2401" i="3"/>
  <c r="Z2400" i="3"/>
  <c r="Y2400" i="3"/>
  <c r="Z2399" i="3"/>
  <c r="Y2399" i="3"/>
  <c r="Z2398" i="3"/>
  <c r="Y2398" i="3"/>
  <c r="Z2397" i="3"/>
  <c r="Y2397" i="3"/>
  <c r="Z2396" i="3"/>
  <c r="Y2396" i="3"/>
  <c r="Z2395" i="3"/>
  <c r="Y2395" i="3"/>
  <c r="Z2394" i="3"/>
  <c r="Y2394" i="3"/>
  <c r="Z2393" i="3"/>
  <c r="Y2393" i="3"/>
  <c r="Z2392" i="3"/>
  <c r="Y2392" i="3"/>
  <c r="Z2391" i="3"/>
  <c r="Y2391" i="3"/>
  <c r="Z2390" i="3"/>
  <c r="Y2390" i="3"/>
  <c r="Z2389" i="3"/>
  <c r="Y2389" i="3"/>
  <c r="Z2388" i="3"/>
  <c r="Y2388" i="3"/>
  <c r="Z2387" i="3"/>
  <c r="Y2387" i="3"/>
  <c r="Z2386" i="3"/>
  <c r="Y2386" i="3"/>
  <c r="Z2385" i="3"/>
  <c r="Y2385" i="3"/>
  <c r="Z2384" i="3"/>
  <c r="Y2384" i="3"/>
  <c r="Z2383" i="3"/>
  <c r="Y2383" i="3"/>
  <c r="Z2382" i="3"/>
  <c r="Y2382" i="3"/>
  <c r="Z2381" i="3"/>
  <c r="Y2381" i="3"/>
  <c r="Z2380" i="3"/>
  <c r="Y2380" i="3"/>
  <c r="Z2379" i="3"/>
  <c r="Y2379" i="3"/>
  <c r="Z2378" i="3"/>
  <c r="Y2378" i="3"/>
  <c r="Z2377" i="3"/>
  <c r="Y2377" i="3"/>
  <c r="Z2376" i="3"/>
  <c r="Y2376" i="3"/>
  <c r="Z2375" i="3"/>
  <c r="Y2375" i="3"/>
  <c r="Z2374" i="3"/>
  <c r="Y2374" i="3"/>
  <c r="Z2373" i="3"/>
  <c r="Y2373" i="3"/>
  <c r="Z2372" i="3"/>
  <c r="Y2372" i="3"/>
  <c r="Z2371" i="3"/>
  <c r="Y2371" i="3"/>
  <c r="Z2370" i="3"/>
  <c r="Y2370" i="3"/>
  <c r="Z2369" i="3"/>
  <c r="Y2369" i="3"/>
  <c r="Z2368" i="3"/>
  <c r="Y2368" i="3"/>
  <c r="Z2367" i="3"/>
  <c r="Y2367" i="3"/>
  <c r="Z2366" i="3"/>
  <c r="Y2366" i="3"/>
  <c r="Z2365" i="3"/>
  <c r="Y2365" i="3"/>
  <c r="Z2364" i="3"/>
  <c r="Y2364" i="3"/>
  <c r="Z2363" i="3"/>
  <c r="Y2363" i="3"/>
  <c r="Z2362" i="3"/>
  <c r="Y2362" i="3"/>
  <c r="Z2361" i="3"/>
  <c r="Y2361" i="3"/>
  <c r="Z2360" i="3"/>
  <c r="Y2360" i="3"/>
  <c r="Z2359" i="3"/>
  <c r="Y2359" i="3"/>
  <c r="Z2358" i="3"/>
  <c r="Y2358" i="3"/>
  <c r="Z2357" i="3"/>
  <c r="Y2357" i="3"/>
  <c r="Z2356" i="3"/>
  <c r="Y2356" i="3"/>
  <c r="Z2355" i="3"/>
  <c r="Y2355" i="3"/>
  <c r="Z2354" i="3"/>
  <c r="Y2354" i="3"/>
  <c r="Z2353" i="3"/>
  <c r="Y2353" i="3"/>
  <c r="Z2352" i="3"/>
  <c r="Y2352" i="3"/>
  <c r="Z2351" i="3"/>
  <c r="Y2351" i="3"/>
  <c r="Z2350" i="3"/>
  <c r="Y2350" i="3"/>
  <c r="Z2349" i="3"/>
  <c r="Y2349" i="3"/>
  <c r="Z2348" i="3"/>
  <c r="Y2348" i="3"/>
  <c r="Z2347" i="3"/>
  <c r="Y2347" i="3"/>
  <c r="Z2346" i="3"/>
  <c r="Y2346" i="3"/>
  <c r="Z2345" i="3"/>
  <c r="Y2345" i="3"/>
  <c r="Z2344" i="3"/>
  <c r="Y2344" i="3"/>
  <c r="Z2343" i="3"/>
  <c r="Y2343" i="3"/>
  <c r="Z2342" i="3"/>
  <c r="Y2342" i="3"/>
  <c r="Z2341" i="3"/>
  <c r="Y2341" i="3"/>
  <c r="Z2340" i="3"/>
  <c r="Y2340" i="3"/>
  <c r="Z2339" i="3"/>
  <c r="Y2339" i="3"/>
  <c r="Z2338" i="3"/>
  <c r="Y2338" i="3"/>
  <c r="Z2337" i="3"/>
  <c r="Y2337" i="3"/>
  <c r="Z2336" i="3"/>
  <c r="Y2336" i="3"/>
  <c r="Z2335" i="3"/>
  <c r="Y2335" i="3"/>
  <c r="Z2334" i="3"/>
  <c r="Y2334" i="3"/>
  <c r="Z2333" i="3"/>
  <c r="Y2333" i="3"/>
  <c r="Z2332" i="3"/>
  <c r="Y2332" i="3"/>
  <c r="Z2331" i="3"/>
  <c r="Y2331" i="3"/>
  <c r="Z2330" i="3"/>
  <c r="Y2330" i="3"/>
  <c r="Z2329" i="3"/>
  <c r="Y2329" i="3"/>
  <c r="Z2328" i="3"/>
  <c r="Y2328" i="3"/>
  <c r="Z2327" i="3"/>
  <c r="Y2327" i="3"/>
  <c r="Z2326" i="3"/>
  <c r="Y2326" i="3"/>
  <c r="Z2325" i="3"/>
  <c r="Y2325" i="3"/>
  <c r="Z2324" i="3"/>
  <c r="Y2324" i="3"/>
  <c r="Z2323" i="3"/>
  <c r="Y2323" i="3"/>
  <c r="Z2322" i="3"/>
  <c r="Y2322" i="3"/>
  <c r="Z2321" i="3"/>
  <c r="Y2321" i="3"/>
  <c r="Z2320" i="3"/>
  <c r="Y2320" i="3"/>
  <c r="Z2319" i="3"/>
  <c r="Y2319" i="3"/>
  <c r="Z2318" i="3"/>
  <c r="Y2318" i="3"/>
  <c r="Z2317" i="3"/>
  <c r="Y2317" i="3"/>
  <c r="Z2316" i="3"/>
  <c r="Y2316" i="3"/>
  <c r="Z2315" i="3"/>
  <c r="Y2315" i="3"/>
  <c r="Z2314" i="3"/>
  <c r="Y2314" i="3"/>
  <c r="Z2313" i="3"/>
  <c r="Y2313" i="3"/>
  <c r="Z2312" i="3"/>
  <c r="Y2312" i="3"/>
  <c r="Z2311" i="3"/>
  <c r="Y2311" i="3"/>
  <c r="Z2310" i="3"/>
  <c r="Y2310" i="3"/>
  <c r="Z2309" i="3"/>
  <c r="Y2309" i="3"/>
  <c r="Z2308" i="3"/>
  <c r="Y2308" i="3"/>
  <c r="Z2307" i="3"/>
  <c r="Y2307" i="3"/>
  <c r="Z2306" i="3"/>
  <c r="Y2306" i="3"/>
  <c r="Z2305" i="3"/>
  <c r="Y2305" i="3"/>
  <c r="Z2304" i="3"/>
  <c r="Y2304" i="3"/>
  <c r="Z2303" i="3"/>
  <c r="Y2303" i="3"/>
  <c r="Z2302" i="3"/>
  <c r="Y2302" i="3"/>
  <c r="Z2301" i="3"/>
  <c r="Y2301" i="3"/>
  <c r="Z2300" i="3"/>
  <c r="Y2300" i="3"/>
  <c r="Z2299" i="3"/>
  <c r="Y2299" i="3"/>
  <c r="Z2298" i="3"/>
  <c r="Y2298" i="3"/>
  <c r="Z2297" i="3"/>
  <c r="Y2297" i="3"/>
  <c r="Z2296" i="3"/>
  <c r="Y2296" i="3"/>
  <c r="Z2295" i="3"/>
  <c r="Y2295" i="3"/>
  <c r="Z2294" i="3"/>
  <c r="Y2294" i="3"/>
  <c r="Z2293" i="3"/>
  <c r="Y2293" i="3"/>
  <c r="Z2292" i="3"/>
  <c r="Y2292" i="3"/>
  <c r="Z2291" i="3"/>
  <c r="Y2291" i="3"/>
  <c r="Z2290" i="3"/>
  <c r="Y2290" i="3"/>
  <c r="Z2289" i="3"/>
  <c r="Y2289" i="3"/>
  <c r="Z2288" i="3"/>
  <c r="Y2288" i="3"/>
  <c r="Z2287" i="3"/>
  <c r="Y2287" i="3"/>
  <c r="Z2286" i="3"/>
  <c r="Y2286" i="3"/>
  <c r="Z2285" i="3"/>
  <c r="Y2285" i="3"/>
  <c r="Z2284" i="3"/>
  <c r="Y2284" i="3"/>
  <c r="Z2283" i="3"/>
  <c r="Y2283" i="3"/>
  <c r="Z2282" i="3"/>
  <c r="Y2282" i="3"/>
  <c r="Z2281" i="3"/>
  <c r="Y2281" i="3"/>
  <c r="Z2280" i="3"/>
  <c r="Y2280" i="3"/>
  <c r="Z2279" i="3"/>
  <c r="Y2279" i="3"/>
  <c r="Z2278" i="3"/>
  <c r="Y2278" i="3"/>
  <c r="Z2277" i="3"/>
  <c r="Y2277" i="3"/>
  <c r="Z2276" i="3"/>
  <c r="Y2276" i="3"/>
  <c r="Z2275" i="3"/>
  <c r="Y2275" i="3"/>
  <c r="Z2274" i="3"/>
  <c r="Y2274" i="3"/>
  <c r="Z2273" i="3"/>
  <c r="Y2273" i="3"/>
  <c r="Z2272" i="3"/>
  <c r="Y2272" i="3"/>
  <c r="Z2271" i="3"/>
  <c r="Y2271" i="3"/>
  <c r="Z2270" i="3"/>
  <c r="Y2270" i="3"/>
  <c r="Z2269" i="3"/>
  <c r="Y2269" i="3"/>
  <c r="Z2268" i="3"/>
  <c r="Y2268" i="3"/>
  <c r="Z2267" i="3"/>
  <c r="Y2267" i="3"/>
  <c r="Z2266" i="3"/>
  <c r="Y2266" i="3"/>
  <c r="Z2265" i="3"/>
  <c r="Y2265" i="3"/>
  <c r="Z2264" i="3"/>
  <c r="Y2264" i="3"/>
  <c r="Z2263" i="3"/>
  <c r="Y2263" i="3"/>
  <c r="Z2262" i="3"/>
  <c r="Y2262" i="3"/>
  <c r="Z2261" i="3"/>
  <c r="Y2261" i="3"/>
  <c r="Z2260" i="3"/>
  <c r="Y2260" i="3"/>
  <c r="Z2259" i="3"/>
  <c r="Y2259" i="3"/>
  <c r="Z2258" i="3"/>
  <c r="Y2258" i="3"/>
  <c r="Z2257" i="3"/>
  <c r="Y2257" i="3"/>
  <c r="Z2256" i="3"/>
  <c r="Y2256" i="3"/>
  <c r="Z2255" i="3"/>
  <c r="Y2255" i="3"/>
  <c r="Z2254" i="3"/>
  <c r="Y2254" i="3"/>
  <c r="Z2253" i="3"/>
  <c r="Y2253" i="3"/>
  <c r="Z2252" i="3"/>
  <c r="Y2252" i="3"/>
  <c r="Z2251" i="3"/>
  <c r="Y2251" i="3"/>
  <c r="Z2250" i="3"/>
  <c r="Y2250" i="3"/>
  <c r="Z2249" i="3"/>
  <c r="Y2249" i="3"/>
  <c r="Z2248" i="3"/>
  <c r="Y2248" i="3"/>
  <c r="Z2247" i="3"/>
  <c r="Y2247" i="3"/>
  <c r="Z2246" i="3"/>
  <c r="Y2246" i="3"/>
  <c r="Z2245" i="3"/>
  <c r="Y2245" i="3"/>
  <c r="Z2244" i="3"/>
  <c r="Y2244" i="3"/>
  <c r="Z2243" i="3"/>
  <c r="Y2243" i="3"/>
  <c r="Z2242" i="3"/>
  <c r="Y2242" i="3"/>
  <c r="Z2241" i="3"/>
  <c r="Y2241" i="3"/>
  <c r="Z2240" i="3"/>
  <c r="Y2240" i="3"/>
  <c r="Z2239" i="3"/>
  <c r="Y2239" i="3"/>
  <c r="Z2238" i="3"/>
  <c r="Y2238" i="3"/>
  <c r="Z2237" i="3"/>
  <c r="Y2237" i="3"/>
  <c r="Z2236" i="3"/>
  <c r="Y2236" i="3"/>
  <c r="Z2235" i="3"/>
  <c r="Y2235" i="3"/>
  <c r="Z2234" i="3"/>
  <c r="Y2234" i="3"/>
  <c r="Z2233" i="3"/>
  <c r="Y2233" i="3"/>
  <c r="Z2232" i="3"/>
  <c r="Y2232" i="3"/>
  <c r="Z2231" i="3"/>
  <c r="Y2231" i="3"/>
  <c r="Z2230" i="3"/>
  <c r="Y2230" i="3"/>
  <c r="Z2229" i="3"/>
  <c r="Y2229" i="3"/>
  <c r="Z2228" i="3"/>
  <c r="Y2228" i="3"/>
  <c r="Z2227" i="3"/>
  <c r="Y2227" i="3"/>
  <c r="Z2226" i="3"/>
  <c r="Y2226" i="3"/>
  <c r="Z2225" i="3"/>
  <c r="Y2225" i="3"/>
  <c r="Z2224" i="3"/>
  <c r="Y2224" i="3"/>
  <c r="Z2223" i="3"/>
  <c r="Y2223" i="3"/>
  <c r="Z2222" i="3"/>
  <c r="Y2222" i="3"/>
  <c r="Z2221" i="3"/>
  <c r="Y2221" i="3"/>
  <c r="Z2220" i="3"/>
  <c r="Y2220" i="3"/>
  <c r="Z2219" i="3"/>
  <c r="Y2219" i="3"/>
  <c r="Z2218" i="3"/>
  <c r="Y2218" i="3"/>
  <c r="Z2217" i="3"/>
  <c r="Y2217" i="3"/>
  <c r="Z2216" i="3"/>
  <c r="Y2216" i="3"/>
  <c r="Z2215" i="3"/>
  <c r="Y2215" i="3"/>
  <c r="Z2214" i="3"/>
  <c r="Y2214" i="3"/>
  <c r="Z2213" i="3"/>
  <c r="Y2213" i="3"/>
  <c r="Z2212" i="3"/>
  <c r="Y2212" i="3"/>
  <c r="Z2211" i="3"/>
  <c r="Y2211" i="3"/>
  <c r="Z2210" i="3"/>
  <c r="Y2210" i="3"/>
  <c r="Z2209" i="3"/>
  <c r="Y2209" i="3"/>
  <c r="Z2208" i="3"/>
  <c r="Y2208" i="3"/>
  <c r="Z2207" i="3"/>
  <c r="Y2207" i="3"/>
  <c r="Z2206" i="3"/>
  <c r="Y2206" i="3"/>
  <c r="Z2205" i="3"/>
  <c r="Y2205" i="3"/>
  <c r="Z2204" i="3"/>
  <c r="Y2204" i="3"/>
  <c r="Z2203" i="3"/>
  <c r="Y2203" i="3"/>
  <c r="Z2202" i="3"/>
  <c r="Y2202" i="3"/>
  <c r="Z2201" i="3"/>
  <c r="Y2201" i="3"/>
  <c r="Z2200" i="3"/>
  <c r="Y2200" i="3"/>
  <c r="Z2199" i="3"/>
  <c r="Y2199" i="3"/>
  <c r="Z2198" i="3"/>
  <c r="Y2198" i="3"/>
  <c r="Z2197" i="3"/>
  <c r="Y2197" i="3"/>
  <c r="Z2196" i="3"/>
  <c r="Y2196" i="3"/>
  <c r="Z2195" i="3"/>
  <c r="Y2195" i="3"/>
  <c r="Z2194" i="3"/>
  <c r="Y2194" i="3"/>
  <c r="Z2193" i="3"/>
  <c r="Y2193" i="3"/>
  <c r="Z2192" i="3"/>
  <c r="Y2192" i="3"/>
  <c r="Z2191" i="3"/>
  <c r="Y2191" i="3"/>
  <c r="Z2190" i="3"/>
  <c r="Y2190" i="3"/>
  <c r="Z2189" i="3"/>
  <c r="Y2189" i="3"/>
  <c r="Z2188" i="3"/>
  <c r="Y2188" i="3"/>
  <c r="Z2187" i="3"/>
  <c r="Y2187" i="3"/>
  <c r="Z2186" i="3"/>
  <c r="Y2186" i="3"/>
  <c r="Z2185" i="3"/>
  <c r="Y2185" i="3"/>
  <c r="Z2184" i="3"/>
  <c r="Y2184" i="3"/>
  <c r="Z2183" i="3"/>
  <c r="Y2183" i="3"/>
  <c r="Z2182" i="3"/>
  <c r="Y2182" i="3"/>
  <c r="Z2181" i="3"/>
  <c r="Y2181" i="3"/>
  <c r="Z2180" i="3"/>
  <c r="Y2180" i="3"/>
  <c r="Z2179" i="3"/>
  <c r="Y2179" i="3"/>
  <c r="Z2178" i="3"/>
  <c r="Y2178" i="3"/>
  <c r="Z2177" i="3"/>
  <c r="Y2177" i="3"/>
  <c r="Z2176" i="3"/>
  <c r="Y2176" i="3"/>
  <c r="Z2175" i="3"/>
  <c r="Y2175" i="3"/>
  <c r="Z2174" i="3"/>
  <c r="Y2174" i="3"/>
  <c r="Z2173" i="3"/>
  <c r="Y2173" i="3"/>
  <c r="Z2172" i="3"/>
  <c r="Y2172" i="3"/>
  <c r="Z2171" i="3"/>
  <c r="Y2171" i="3"/>
  <c r="Z2170" i="3"/>
  <c r="Y2170" i="3"/>
  <c r="Z2169" i="3"/>
  <c r="Y2169" i="3"/>
  <c r="Z2168" i="3"/>
  <c r="Y2168" i="3"/>
  <c r="Z2167" i="3"/>
  <c r="Y2167" i="3"/>
  <c r="Z2166" i="3"/>
  <c r="Y2166" i="3"/>
  <c r="Z2165" i="3"/>
  <c r="Y2165" i="3"/>
  <c r="Z2164" i="3"/>
  <c r="Y2164" i="3"/>
  <c r="Z2163" i="3"/>
  <c r="Y2163" i="3"/>
  <c r="Z2162" i="3"/>
  <c r="Y2162" i="3"/>
  <c r="Z2161" i="3"/>
  <c r="Y2161" i="3"/>
  <c r="Z2160" i="3"/>
  <c r="Y2160" i="3"/>
  <c r="Z2159" i="3"/>
  <c r="Y2159" i="3"/>
  <c r="Z2158" i="3"/>
  <c r="Y2158" i="3"/>
  <c r="Z2157" i="3"/>
  <c r="Y2157" i="3"/>
  <c r="Z2156" i="3"/>
  <c r="Y2156" i="3"/>
  <c r="Z2155" i="3"/>
  <c r="Y2155" i="3"/>
  <c r="Z2154" i="3"/>
  <c r="Y2154" i="3"/>
  <c r="Z2153" i="3"/>
  <c r="Y2153" i="3"/>
  <c r="Z2152" i="3"/>
  <c r="Y2152" i="3"/>
  <c r="Z2151" i="3"/>
  <c r="Y2151" i="3"/>
  <c r="Z2150" i="3"/>
  <c r="Y2150" i="3"/>
  <c r="Z2149" i="3"/>
  <c r="Y2149" i="3"/>
  <c r="Z2148" i="3"/>
  <c r="Y2148" i="3"/>
  <c r="Z2147" i="3"/>
  <c r="Y2147" i="3"/>
  <c r="Z2146" i="3"/>
  <c r="Y2146" i="3"/>
  <c r="Z2145" i="3"/>
  <c r="Y2145" i="3"/>
  <c r="Z2144" i="3"/>
  <c r="Y2144" i="3"/>
  <c r="Z2143" i="3"/>
  <c r="Y2143" i="3"/>
  <c r="Z2142" i="3"/>
  <c r="Y2142" i="3"/>
  <c r="Z2141" i="3"/>
  <c r="Y2141" i="3"/>
  <c r="Z2140" i="3"/>
  <c r="Y2140" i="3"/>
  <c r="Z2139" i="3"/>
  <c r="Y2139" i="3"/>
  <c r="Z2138" i="3"/>
  <c r="Y2138" i="3"/>
  <c r="Z2137" i="3"/>
  <c r="Y2137" i="3"/>
  <c r="Z2136" i="3"/>
  <c r="Y2136" i="3"/>
  <c r="Z2135" i="3"/>
  <c r="Y2135" i="3"/>
  <c r="Z2134" i="3"/>
  <c r="Y2134" i="3"/>
  <c r="Z2133" i="3"/>
  <c r="Y2133" i="3"/>
  <c r="Z2132" i="3"/>
  <c r="Y2132" i="3"/>
  <c r="Z2131" i="3"/>
  <c r="Y2131" i="3"/>
  <c r="Z2130" i="3"/>
  <c r="Y2130" i="3"/>
  <c r="Z2129" i="3"/>
  <c r="Y2129" i="3"/>
  <c r="Z2128" i="3"/>
  <c r="Y2128" i="3"/>
  <c r="Z2127" i="3"/>
  <c r="Y2127" i="3"/>
  <c r="Z2126" i="3"/>
  <c r="Y2126" i="3"/>
  <c r="Z2125" i="3"/>
  <c r="Y2125" i="3"/>
  <c r="Z2124" i="3"/>
  <c r="Y2124" i="3"/>
  <c r="Z2123" i="3"/>
  <c r="Y2123" i="3"/>
  <c r="Z2122" i="3"/>
  <c r="Y2122" i="3"/>
  <c r="Z2121" i="3"/>
  <c r="Y2121" i="3"/>
  <c r="Z2120" i="3"/>
  <c r="Y2120" i="3"/>
  <c r="Z2119" i="3"/>
  <c r="Y2119" i="3"/>
  <c r="Z2118" i="3"/>
  <c r="Y2118" i="3"/>
  <c r="Z2117" i="3"/>
  <c r="Y2117" i="3"/>
  <c r="Z2116" i="3"/>
  <c r="Y2116" i="3"/>
  <c r="Z2115" i="3"/>
  <c r="Y2115" i="3"/>
  <c r="Z2114" i="3"/>
  <c r="Y2114" i="3"/>
  <c r="Z2113" i="3"/>
  <c r="Y2113" i="3"/>
  <c r="Z2112" i="3"/>
  <c r="Y2112" i="3"/>
  <c r="Z2111" i="3"/>
  <c r="Y2111" i="3"/>
  <c r="Z2110" i="3"/>
  <c r="Y2110" i="3"/>
  <c r="Z2109" i="3"/>
  <c r="Y2109" i="3"/>
  <c r="Z2108" i="3"/>
  <c r="Y2108" i="3"/>
  <c r="Z2107" i="3"/>
  <c r="Y2107" i="3"/>
  <c r="Z2106" i="3"/>
  <c r="Y2106" i="3"/>
  <c r="Z2105" i="3"/>
  <c r="Y2105" i="3"/>
  <c r="Z2104" i="3"/>
  <c r="Y2104" i="3"/>
  <c r="Z2103" i="3"/>
  <c r="Y2103" i="3"/>
  <c r="Z2102" i="3"/>
  <c r="Y2102" i="3"/>
  <c r="Z2101" i="3"/>
  <c r="Y2101" i="3"/>
  <c r="Z2100" i="3"/>
  <c r="Y2100" i="3"/>
  <c r="Z2099" i="3"/>
  <c r="Y2099" i="3"/>
  <c r="Z2098" i="3"/>
  <c r="Y2098" i="3"/>
  <c r="Z2097" i="3"/>
  <c r="Y2097" i="3"/>
  <c r="Z2096" i="3"/>
  <c r="Y2096" i="3"/>
  <c r="Z2095" i="3"/>
  <c r="Y2095" i="3"/>
  <c r="Z2094" i="3"/>
  <c r="Y2094" i="3"/>
  <c r="Z2093" i="3"/>
  <c r="Y2093" i="3"/>
  <c r="Z2092" i="3"/>
  <c r="Y2092" i="3"/>
  <c r="Z2091" i="3"/>
  <c r="Y2091" i="3"/>
  <c r="Z2090" i="3"/>
  <c r="Y2090" i="3"/>
  <c r="Z2089" i="3"/>
  <c r="Y2089" i="3"/>
  <c r="Z2088" i="3"/>
  <c r="Y2088" i="3"/>
  <c r="Z2087" i="3"/>
  <c r="Y2087" i="3"/>
  <c r="Z2086" i="3"/>
  <c r="Y2086" i="3"/>
  <c r="Z2085" i="3"/>
  <c r="Y2085" i="3"/>
  <c r="Z2084" i="3"/>
  <c r="Y2084" i="3"/>
  <c r="Z2083" i="3"/>
  <c r="Y2083" i="3"/>
  <c r="Z2082" i="3"/>
  <c r="Y2082" i="3"/>
  <c r="Z2081" i="3"/>
  <c r="Y2081" i="3"/>
  <c r="Z2080" i="3"/>
  <c r="Y2080" i="3"/>
  <c r="Z2079" i="3"/>
  <c r="Y2079" i="3"/>
  <c r="Z2078" i="3"/>
  <c r="Y2078" i="3"/>
  <c r="Z2077" i="3"/>
  <c r="Y2077" i="3"/>
  <c r="Z2076" i="3"/>
  <c r="Y2076" i="3"/>
  <c r="Z2075" i="3"/>
  <c r="Y2075" i="3"/>
  <c r="Z2074" i="3"/>
  <c r="Y2074" i="3"/>
  <c r="Z2073" i="3"/>
  <c r="Y2073" i="3"/>
  <c r="Z2072" i="3"/>
  <c r="Y2072" i="3"/>
  <c r="Z2071" i="3"/>
  <c r="Y2071" i="3"/>
  <c r="Z2070" i="3"/>
  <c r="Y2070" i="3"/>
  <c r="Z2069" i="3"/>
  <c r="Y2069" i="3"/>
  <c r="Z2068" i="3"/>
  <c r="Y2068" i="3"/>
  <c r="Z2067" i="3"/>
  <c r="Y2067" i="3"/>
  <c r="Z2066" i="3"/>
  <c r="Y2066" i="3"/>
  <c r="Z2065" i="3"/>
  <c r="Y2065" i="3"/>
  <c r="Z2064" i="3"/>
  <c r="Y2064" i="3"/>
  <c r="Z2063" i="3"/>
  <c r="Y2063" i="3"/>
  <c r="Z2062" i="3"/>
  <c r="Y2062" i="3"/>
  <c r="Z2061" i="3"/>
  <c r="Y2061" i="3"/>
  <c r="Z2060" i="3"/>
  <c r="Y2060" i="3"/>
  <c r="Z2059" i="3"/>
  <c r="Y2059" i="3"/>
  <c r="Z2058" i="3"/>
  <c r="Y2058" i="3"/>
  <c r="Z2057" i="3"/>
  <c r="Y2057" i="3"/>
  <c r="Z2056" i="3"/>
  <c r="Y2056" i="3"/>
  <c r="Z2055" i="3"/>
  <c r="Y2055" i="3"/>
  <c r="Z2054" i="3"/>
  <c r="Y2054" i="3"/>
  <c r="Z2053" i="3"/>
  <c r="Y2053" i="3"/>
  <c r="Z2052" i="3"/>
  <c r="Y2052" i="3"/>
  <c r="Z2051" i="3"/>
  <c r="Y2051" i="3"/>
  <c r="Z2050" i="3"/>
  <c r="Y2050" i="3"/>
  <c r="Z2049" i="3"/>
  <c r="Y2049" i="3"/>
  <c r="Z2048" i="3"/>
  <c r="Y2048" i="3"/>
  <c r="Z2047" i="3"/>
  <c r="Y2047" i="3"/>
  <c r="Z2046" i="3"/>
  <c r="Y2046" i="3"/>
  <c r="Z2045" i="3"/>
  <c r="Y2045" i="3"/>
  <c r="Z2044" i="3"/>
  <c r="Y2044" i="3"/>
  <c r="Z2043" i="3"/>
  <c r="Y2043" i="3"/>
  <c r="Z2042" i="3"/>
  <c r="Y2042" i="3"/>
  <c r="Z2041" i="3"/>
  <c r="Y2041" i="3"/>
  <c r="Z2040" i="3"/>
  <c r="Y2040" i="3"/>
  <c r="Z2039" i="3"/>
  <c r="Y2039" i="3"/>
  <c r="Z2038" i="3"/>
  <c r="Y2038" i="3"/>
  <c r="Z2037" i="3"/>
  <c r="Y2037" i="3"/>
  <c r="Z2036" i="3"/>
  <c r="Y2036" i="3"/>
  <c r="Z2035" i="3"/>
  <c r="Y2035" i="3"/>
  <c r="Z2034" i="3"/>
  <c r="Y2034" i="3"/>
  <c r="Z2033" i="3"/>
  <c r="Y2033" i="3"/>
  <c r="Z2032" i="3"/>
  <c r="Y2032" i="3"/>
  <c r="Z2031" i="3"/>
  <c r="Y2031" i="3"/>
  <c r="Z2030" i="3"/>
  <c r="Y2030" i="3"/>
  <c r="Z2029" i="3"/>
  <c r="Y2029" i="3"/>
  <c r="Z2028" i="3"/>
  <c r="Y2028" i="3"/>
  <c r="Z2027" i="3"/>
  <c r="Y2027" i="3"/>
  <c r="Z2026" i="3"/>
  <c r="Y2026" i="3"/>
  <c r="Z2025" i="3"/>
  <c r="Y2025" i="3"/>
  <c r="Z2024" i="3"/>
  <c r="Y2024" i="3"/>
  <c r="Z2023" i="3"/>
  <c r="Y2023" i="3"/>
  <c r="Z2022" i="3"/>
  <c r="Y2022" i="3"/>
  <c r="Z2021" i="3"/>
  <c r="Y2021" i="3"/>
  <c r="Z2020" i="3"/>
  <c r="Y2020" i="3"/>
  <c r="Z2019" i="3"/>
  <c r="Y2019" i="3"/>
  <c r="Z2018" i="3"/>
  <c r="Y2018" i="3"/>
  <c r="Z2017" i="3"/>
  <c r="Y2017" i="3"/>
  <c r="Z2016" i="3"/>
  <c r="Y2016" i="3"/>
  <c r="Z2015" i="3"/>
  <c r="Y2015" i="3"/>
  <c r="Z2014" i="3"/>
  <c r="Y2014" i="3"/>
  <c r="Z2013" i="3"/>
  <c r="Y2013" i="3"/>
  <c r="Z2012" i="3"/>
  <c r="Y2012" i="3"/>
  <c r="Z2011" i="3"/>
  <c r="Y2011" i="3"/>
  <c r="Z2010" i="3"/>
  <c r="Y2010" i="3"/>
  <c r="Z2009" i="3"/>
  <c r="Y2009" i="3"/>
  <c r="Z2008" i="3"/>
  <c r="Y2008" i="3"/>
  <c r="Z2007" i="3"/>
  <c r="Y2007" i="3"/>
  <c r="Z2006" i="3"/>
  <c r="Y2006" i="3"/>
  <c r="Z2005" i="3"/>
  <c r="Y2005" i="3"/>
  <c r="Z2004" i="3"/>
  <c r="Y2004" i="3"/>
  <c r="Z2003" i="3"/>
  <c r="Y2003" i="3"/>
  <c r="Z2002" i="3"/>
  <c r="Y2002" i="3"/>
  <c r="Z2001" i="3"/>
  <c r="Y2001" i="3"/>
  <c r="Z2000" i="3"/>
  <c r="Y2000" i="3"/>
  <c r="Z1999" i="3"/>
  <c r="Y1999" i="3"/>
  <c r="Z1998" i="3"/>
  <c r="Y1998" i="3"/>
  <c r="Z1997" i="3"/>
  <c r="Y1997" i="3"/>
  <c r="Z1996" i="3"/>
  <c r="Y1996" i="3"/>
  <c r="Z1995" i="3"/>
  <c r="Y1995" i="3"/>
  <c r="Z1994" i="3"/>
  <c r="Y1994" i="3"/>
  <c r="Z1993" i="3"/>
  <c r="Y1993" i="3"/>
  <c r="Z1992" i="3"/>
  <c r="Y1992" i="3"/>
  <c r="Z1991" i="3"/>
  <c r="Y1991" i="3"/>
  <c r="Z1990" i="3"/>
  <c r="Y1990" i="3"/>
  <c r="Z1989" i="3"/>
  <c r="Y1989" i="3"/>
  <c r="Z1988" i="3"/>
  <c r="Y1988" i="3"/>
  <c r="Z1987" i="3"/>
  <c r="Y1987" i="3"/>
  <c r="Z1986" i="3"/>
  <c r="Y1986" i="3"/>
  <c r="Z1985" i="3"/>
  <c r="Y1985" i="3"/>
  <c r="Z1984" i="3"/>
  <c r="Y1984" i="3"/>
  <c r="Z1983" i="3"/>
  <c r="Y1983" i="3"/>
  <c r="Z1982" i="3"/>
  <c r="Y1982" i="3"/>
  <c r="Z1981" i="3"/>
  <c r="Y1981" i="3"/>
  <c r="Z1980" i="3"/>
  <c r="Y1980" i="3"/>
  <c r="Z1979" i="3"/>
  <c r="Y1979" i="3"/>
  <c r="Z1978" i="3"/>
  <c r="Y1978" i="3"/>
  <c r="Z1977" i="3"/>
  <c r="Y1977" i="3"/>
  <c r="Z1976" i="3"/>
  <c r="Y1976" i="3"/>
  <c r="Z1975" i="3"/>
  <c r="Y1975" i="3"/>
  <c r="Z1974" i="3"/>
  <c r="Y1974" i="3"/>
  <c r="Z1973" i="3"/>
  <c r="Y1973" i="3"/>
  <c r="Z1972" i="3"/>
  <c r="Y1972" i="3"/>
  <c r="Z1971" i="3"/>
  <c r="Y1971" i="3"/>
  <c r="Z1970" i="3"/>
  <c r="Y1970" i="3"/>
  <c r="Z1969" i="3"/>
  <c r="Y1969" i="3"/>
  <c r="Z1968" i="3"/>
  <c r="Y1968" i="3"/>
  <c r="Z1967" i="3"/>
  <c r="Y1967" i="3"/>
  <c r="Z1966" i="3"/>
  <c r="Y1966" i="3"/>
  <c r="Z1965" i="3"/>
  <c r="Y1965" i="3"/>
  <c r="Z1964" i="3"/>
  <c r="Y1964" i="3"/>
  <c r="Z1963" i="3"/>
  <c r="Y1963" i="3"/>
  <c r="Z1962" i="3"/>
  <c r="Y1962" i="3"/>
  <c r="Z1961" i="3"/>
  <c r="Y1961" i="3"/>
  <c r="Z1960" i="3"/>
  <c r="Y1960" i="3"/>
  <c r="Z1959" i="3"/>
  <c r="Y1959" i="3"/>
  <c r="Z1958" i="3"/>
  <c r="Y1958" i="3"/>
  <c r="Z1957" i="3"/>
  <c r="Y1957" i="3"/>
  <c r="Z1956" i="3"/>
  <c r="Y1956" i="3"/>
  <c r="Z1955" i="3"/>
  <c r="Y1955" i="3"/>
  <c r="Z1954" i="3"/>
  <c r="Y1954" i="3"/>
  <c r="Z1953" i="3"/>
  <c r="Y1953" i="3"/>
  <c r="Z1952" i="3"/>
  <c r="Y1952" i="3"/>
  <c r="Z1951" i="3"/>
  <c r="Y1951" i="3"/>
  <c r="Z1950" i="3"/>
  <c r="Y1950" i="3"/>
  <c r="Z1949" i="3"/>
  <c r="Y1949" i="3"/>
  <c r="Z1948" i="3"/>
  <c r="Y1948" i="3"/>
  <c r="Z1947" i="3"/>
  <c r="Y1947" i="3"/>
  <c r="Z1946" i="3"/>
  <c r="Y1946" i="3"/>
  <c r="Z1945" i="3"/>
  <c r="Y1945" i="3"/>
  <c r="Z1944" i="3"/>
  <c r="Y1944" i="3"/>
  <c r="Z1943" i="3"/>
  <c r="Y1943" i="3"/>
  <c r="Z1942" i="3"/>
  <c r="Y1942" i="3"/>
  <c r="Z1941" i="3"/>
  <c r="Y1941" i="3"/>
  <c r="Z1940" i="3"/>
  <c r="Y1940" i="3"/>
  <c r="Z1939" i="3"/>
  <c r="Y1939" i="3"/>
  <c r="Z1938" i="3"/>
  <c r="Y1938" i="3"/>
  <c r="Z1937" i="3"/>
  <c r="Y1937" i="3"/>
  <c r="Z1936" i="3"/>
  <c r="Y1936" i="3"/>
  <c r="Z1935" i="3"/>
  <c r="Y1935" i="3"/>
  <c r="Z1934" i="3"/>
  <c r="Y1934" i="3"/>
  <c r="Z1933" i="3"/>
  <c r="Y1933" i="3"/>
  <c r="Z1932" i="3"/>
  <c r="Y1932" i="3"/>
  <c r="Z1931" i="3"/>
  <c r="Y1931" i="3"/>
  <c r="Z1930" i="3"/>
  <c r="Y1930" i="3"/>
  <c r="Z1929" i="3"/>
  <c r="Y1929" i="3"/>
  <c r="Z1928" i="3"/>
  <c r="Y1928" i="3"/>
  <c r="Z1927" i="3"/>
  <c r="Y1927" i="3"/>
  <c r="Z1926" i="3"/>
  <c r="Y1926" i="3"/>
  <c r="Z1925" i="3"/>
  <c r="Y1925" i="3"/>
  <c r="Z1924" i="3"/>
  <c r="Y1924" i="3"/>
  <c r="Z1923" i="3"/>
  <c r="Y1923" i="3"/>
  <c r="Z1922" i="3"/>
  <c r="Y1922" i="3"/>
  <c r="Z1921" i="3"/>
  <c r="Y1921" i="3"/>
  <c r="Z1920" i="3"/>
  <c r="Y1920" i="3"/>
  <c r="Z1919" i="3"/>
  <c r="Y1919" i="3"/>
  <c r="Z1918" i="3"/>
  <c r="Y1918" i="3"/>
  <c r="Z1917" i="3"/>
  <c r="Y1917" i="3"/>
  <c r="Z1916" i="3"/>
  <c r="Y1916" i="3"/>
  <c r="Z1915" i="3"/>
  <c r="Y1915" i="3"/>
  <c r="Z1914" i="3"/>
  <c r="Y1914" i="3"/>
  <c r="Z1913" i="3"/>
  <c r="Y1913" i="3"/>
  <c r="Z1912" i="3"/>
  <c r="Y1912" i="3"/>
  <c r="Z1911" i="3"/>
  <c r="Y1911" i="3"/>
  <c r="Z1910" i="3"/>
  <c r="Y1910" i="3"/>
  <c r="Z1909" i="3"/>
  <c r="Y1909" i="3"/>
  <c r="Z1908" i="3"/>
  <c r="Y1908" i="3"/>
  <c r="Z1907" i="3"/>
  <c r="Y1907" i="3"/>
  <c r="Z1906" i="3"/>
  <c r="Y1906" i="3"/>
  <c r="Z1905" i="3"/>
  <c r="Y1905" i="3"/>
  <c r="Z1904" i="3"/>
  <c r="Y1904" i="3"/>
  <c r="Z1903" i="3"/>
  <c r="Y1903" i="3"/>
  <c r="Z1902" i="3"/>
  <c r="Y1902" i="3"/>
  <c r="Z1901" i="3"/>
  <c r="Y1901" i="3"/>
  <c r="Z1900" i="3"/>
  <c r="Y1900" i="3"/>
  <c r="Z1899" i="3"/>
  <c r="Y1899" i="3"/>
  <c r="Z1898" i="3"/>
  <c r="Y1898" i="3"/>
  <c r="Z1897" i="3"/>
  <c r="Y1897" i="3"/>
  <c r="Z1896" i="3"/>
  <c r="Y1896" i="3"/>
  <c r="Z1895" i="3"/>
  <c r="Y1895" i="3"/>
  <c r="Z1894" i="3"/>
  <c r="Y1894" i="3"/>
  <c r="Z1893" i="3"/>
  <c r="Y1893" i="3"/>
  <c r="Z1892" i="3"/>
  <c r="Y1892" i="3"/>
  <c r="Z1891" i="3"/>
  <c r="Y1891" i="3"/>
  <c r="Z1890" i="3"/>
  <c r="Y1890" i="3"/>
  <c r="Z1889" i="3"/>
  <c r="Y1889" i="3"/>
  <c r="Z1888" i="3"/>
  <c r="Y1888" i="3"/>
  <c r="Z1887" i="3"/>
  <c r="Y1887" i="3"/>
  <c r="Z1886" i="3"/>
  <c r="Y1886" i="3"/>
  <c r="Z1885" i="3"/>
  <c r="Y1885" i="3"/>
  <c r="Z1884" i="3"/>
  <c r="Y1884" i="3"/>
  <c r="Z1883" i="3"/>
  <c r="Y1883" i="3"/>
  <c r="Z1882" i="3"/>
  <c r="Y1882" i="3"/>
  <c r="Z1881" i="3"/>
  <c r="Y1881" i="3"/>
  <c r="Z1880" i="3"/>
  <c r="Y1880" i="3"/>
  <c r="Z1879" i="3"/>
  <c r="Y1879" i="3"/>
  <c r="Z1878" i="3"/>
  <c r="Y1878" i="3"/>
  <c r="Z1877" i="3"/>
  <c r="Y1877" i="3"/>
  <c r="Z1876" i="3"/>
  <c r="Y1876" i="3"/>
  <c r="Z1875" i="3"/>
  <c r="Y1875" i="3"/>
  <c r="Z1874" i="3"/>
  <c r="Y1874" i="3"/>
  <c r="Z1873" i="3"/>
  <c r="Y1873" i="3"/>
  <c r="Z1872" i="3"/>
  <c r="Y1872" i="3"/>
  <c r="Z1871" i="3"/>
  <c r="Y1871" i="3"/>
  <c r="Z1870" i="3"/>
  <c r="Y1870" i="3"/>
  <c r="Z1869" i="3"/>
  <c r="Y1869" i="3"/>
  <c r="Z1868" i="3"/>
  <c r="Y1868" i="3"/>
  <c r="Z1867" i="3"/>
  <c r="Y1867" i="3"/>
  <c r="Z1866" i="3"/>
  <c r="Y1866" i="3"/>
  <c r="Z1865" i="3"/>
  <c r="Y1865" i="3"/>
  <c r="Z1864" i="3"/>
  <c r="Y1864" i="3"/>
  <c r="Z1863" i="3"/>
  <c r="Y1863" i="3"/>
  <c r="Z1862" i="3"/>
  <c r="Y1862" i="3"/>
  <c r="Z1861" i="3"/>
  <c r="Y1861" i="3"/>
  <c r="Z1860" i="3"/>
  <c r="Y1860" i="3"/>
  <c r="Z1859" i="3"/>
  <c r="Y1859" i="3"/>
  <c r="Z1858" i="3"/>
  <c r="Y1858" i="3"/>
  <c r="Z1857" i="3"/>
  <c r="Y1857" i="3"/>
  <c r="Z1856" i="3"/>
  <c r="Y1856" i="3"/>
  <c r="Z1855" i="3"/>
  <c r="Y1855" i="3"/>
  <c r="Z1854" i="3"/>
  <c r="Y1854" i="3"/>
  <c r="Z1853" i="3"/>
  <c r="Y1853" i="3"/>
  <c r="Z1852" i="3"/>
  <c r="Y1852" i="3"/>
  <c r="Z1851" i="3"/>
  <c r="Y1851" i="3"/>
  <c r="Z1850" i="3"/>
  <c r="Y1850" i="3"/>
  <c r="Z1849" i="3"/>
  <c r="Y1849" i="3"/>
  <c r="Z1848" i="3"/>
  <c r="Y1848" i="3"/>
  <c r="Z1847" i="3"/>
  <c r="Y1847" i="3"/>
  <c r="Z1846" i="3"/>
  <c r="Y1846" i="3"/>
  <c r="Z1845" i="3"/>
  <c r="Y1845" i="3"/>
  <c r="Z1844" i="3"/>
  <c r="Y1844" i="3"/>
  <c r="Z1843" i="3"/>
  <c r="Y1843" i="3"/>
  <c r="Z1842" i="3"/>
  <c r="Y1842" i="3"/>
  <c r="Z1841" i="3"/>
  <c r="Y1841" i="3"/>
  <c r="Z1840" i="3"/>
  <c r="Y1840" i="3"/>
  <c r="Z1839" i="3"/>
  <c r="Y1839" i="3"/>
  <c r="Z1838" i="3"/>
  <c r="Y1838" i="3"/>
  <c r="Z1837" i="3"/>
  <c r="Y1837" i="3"/>
  <c r="Z1836" i="3"/>
  <c r="Y1836" i="3"/>
  <c r="Z1835" i="3"/>
  <c r="Y1835" i="3"/>
  <c r="Z1834" i="3"/>
  <c r="Y1834" i="3"/>
  <c r="Z1833" i="3"/>
  <c r="Y1833" i="3"/>
  <c r="Z1832" i="3"/>
  <c r="Y1832" i="3"/>
  <c r="Z1831" i="3"/>
  <c r="Y1831" i="3"/>
  <c r="Z1830" i="3"/>
  <c r="Y1830" i="3"/>
  <c r="Z1829" i="3"/>
  <c r="Y1829" i="3"/>
  <c r="Z1828" i="3"/>
  <c r="Y1828" i="3"/>
  <c r="Z1827" i="3"/>
  <c r="Y1827" i="3"/>
  <c r="Z1826" i="3"/>
  <c r="Y1826" i="3"/>
  <c r="Z1825" i="3"/>
  <c r="Y1825" i="3"/>
  <c r="Z1824" i="3"/>
  <c r="Y1824" i="3"/>
  <c r="Z1823" i="3"/>
  <c r="Y1823" i="3"/>
  <c r="Z1822" i="3"/>
  <c r="Y1822" i="3"/>
  <c r="Z1821" i="3"/>
  <c r="Y1821" i="3"/>
  <c r="Z1820" i="3"/>
  <c r="Y1820" i="3"/>
  <c r="Z1819" i="3"/>
  <c r="Y1819" i="3"/>
  <c r="Z1818" i="3"/>
  <c r="Y1818" i="3"/>
  <c r="Z1817" i="3"/>
  <c r="Y1817" i="3"/>
  <c r="Z1816" i="3"/>
  <c r="Y1816" i="3"/>
  <c r="Z1815" i="3"/>
  <c r="Y1815" i="3"/>
  <c r="Z1814" i="3"/>
  <c r="Y1814" i="3"/>
  <c r="Z1813" i="3"/>
  <c r="Y1813" i="3"/>
  <c r="Z1812" i="3"/>
  <c r="Y1812" i="3"/>
  <c r="Z1811" i="3"/>
  <c r="Y1811" i="3"/>
  <c r="Z1810" i="3"/>
  <c r="Y1810" i="3"/>
  <c r="Z1809" i="3"/>
  <c r="Y1809" i="3"/>
  <c r="Z1808" i="3"/>
  <c r="Y1808" i="3"/>
  <c r="Z1807" i="3"/>
  <c r="Y1807" i="3"/>
  <c r="Z1806" i="3"/>
  <c r="Y1806" i="3"/>
  <c r="Z1805" i="3"/>
  <c r="Y1805" i="3"/>
  <c r="Z1804" i="3"/>
  <c r="Y1804" i="3"/>
  <c r="Z1803" i="3"/>
  <c r="Y1803" i="3"/>
  <c r="Z1802" i="3"/>
  <c r="Y1802" i="3"/>
  <c r="Z1801" i="3"/>
  <c r="Y1801" i="3"/>
  <c r="Z1800" i="3"/>
  <c r="Y1800" i="3"/>
  <c r="Z1799" i="3"/>
  <c r="Y1799" i="3"/>
  <c r="Z1798" i="3"/>
  <c r="Y1798" i="3"/>
  <c r="Z1797" i="3"/>
  <c r="Y1797" i="3"/>
  <c r="Z1796" i="3"/>
  <c r="Y1796" i="3"/>
  <c r="Z1795" i="3"/>
  <c r="Y1795" i="3"/>
  <c r="Z1794" i="3"/>
  <c r="Y1794" i="3"/>
  <c r="Z1793" i="3"/>
  <c r="Y1793" i="3"/>
  <c r="Z1792" i="3"/>
  <c r="Y1792" i="3"/>
  <c r="Z1791" i="3"/>
  <c r="Y1791" i="3"/>
  <c r="Z1790" i="3"/>
  <c r="Y1790" i="3"/>
  <c r="Z1789" i="3"/>
  <c r="Y1789" i="3"/>
  <c r="Z1788" i="3"/>
  <c r="Y1788" i="3"/>
  <c r="Z1787" i="3"/>
  <c r="Y1787" i="3"/>
  <c r="Z1786" i="3"/>
  <c r="Y1786" i="3"/>
  <c r="Z1785" i="3"/>
  <c r="Y1785" i="3"/>
  <c r="Z1784" i="3"/>
  <c r="Y1784" i="3"/>
  <c r="Z1783" i="3"/>
  <c r="Y1783" i="3"/>
  <c r="Z1782" i="3"/>
  <c r="Y1782" i="3"/>
  <c r="Z1781" i="3"/>
  <c r="Y1781" i="3"/>
  <c r="Z1780" i="3"/>
  <c r="Y1780" i="3"/>
  <c r="Z1779" i="3"/>
  <c r="Y1779" i="3"/>
  <c r="Z1778" i="3"/>
  <c r="Y1778" i="3"/>
  <c r="Z1777" i="3"/>
  <c r="Y1777" i="3"/>
  <c r="Z1776" i="3"/>
  <c r="Y1776" i="3"/>
  <c r="Z1775" i="3"/>
  <c r="Y1775" i="3"/>
  <c r="Z1774" i="3"/>
  <c r="Y1774" i="3"/>
  <c r="Z1773" i="3"/>
  <c r="Y1773" i="3"/>
  <c r="Z1772" i="3"/>
  <c r="Y1772" i="3"/>
  <c r="Z1771" i="3"/>
  <c r="Y1771" i="3"/>
  <c r="Z1770" i="3"/>
  <c r="Y1770" i="3"/>
  <c r="Z1769" i="3"/>
  <c r="Y1769" i="3"/>
  <c r="Z1768" i="3"/>
  <c r="Y1768" i="3"/>
  <c r="Z1767" i="3"/>
  <c r="Y1767" i="3"/>
  <c r="Z1766" i="3"/>
  <c r="Y1766" i="3"/>
  <c r="Z1765" i="3"/>
  <c r="Y1765" i="3"/>
  <c r="Z1764" i="3"/>
  <c r="Y1764" i="3"/>
  <c r="Z1763" i="3"/>
  <c r="Y1763" i="3"/>
  <c r="Z1762" i="3"/>
  <c r="Y1762" i="3"/>
  <c r="Z1761" i="3"/>
  <c r="Y1761" i="3"/>
  <c r="Z1760" i="3"/>
  <c r="Y1760" i="3"/>
  <c r="Z1759" i="3"/>
  <c r="Y1759" i="3"/>
  <c r="Z1758" i="3"/>
  <c r="Y1758" i="3"/>
  <c r="Z1757" i="3"/>
  <c r="Y1757" i="3"/>
  <c r="Z1756" i="3"/>
  <c r="Y1756" i="3"/>
  <c r="Z1755" i="3"/>
  <c r="Y1755" i="3"/>
  <c r="Z1754" i="3"/>
  <c r="Y1754" i="3"/>
  <c r="Z1753" i="3"/>
  <c r="Y1753" i="3"/>
  <c r="Z1752" i="3"/>
  <c r="Y1752" i="3"/>
  <c r="Z1751" i="3"/>
  <c r="Y1751" i="3"/>
  <c r="Z1750" i="3"/>
  <c r="Y1750" i="3"/>
  <c r="Z1749" i="3"/>
  <c r="Y1749" i="3"/>
  <c r="Z1748" i="3"/>
  <c r="Y1748" i="3"/>
  <c r="Z1747" i="3"/>
  <c r="Y1747" i="3"/>
  <c r="Z1746" i="3"/>
  <c r="Y1746" i="3"/>
  <c r="Z1745" i="3"/>
  <c r="Y1745" i="3"/>
  <c r="Z1744" i="3"/>
  <c r="Y1744" i="3"/>
  <c r="Z1743" i="3"/>
  <c r="Y1743" i="3"/>
  <c r="Z1742" i="3"/>
  <c r="Y1742" i="3"/>
  <c r="Z1741" i="3"/>
  <c r="Y1741" i="3"/>
  <c r="Z1740" i="3"/>
  <c r="Y1740" i="3"/>
  <c r="Z1739" i="3"/>
  <c r="Y1739" i="3"/>
  <c r="Z1738" i="3"/>
  <c r="Y1738" i="3"/>
  <c r="Z1737" i="3"/>
  <c r="Y1737" i="3"/>
  <c r="Z1736" i="3"/>
  <c r="Y1736" i="3"/>
  <c r="Z1735" i="3"/>
  <c r="Y1735" i="3"/>
  <c r="Z1734" i="3"/>
  <c r="Y1734" i="3"/>
  <c r="Z1733" i="3"/>
  <c r="Y1733" i="3"/>
  <c r="Z1732" i="3"/>
  <c r="Y1732" i="3"/>
  <c r="Z1731" i="3"/>
  <c r="Y1731" i="3"/>
  <c r="Z1730" i="3"/>
  <c r="Y1730" i="3"/>
  <c r="Z1729" i="3"/>
  <c r="Y1729" i="3"/>
  <c r="Z1728" i="3"/>
  <c r="Y1728" i="3"/>
  <c r="Z1727" i="3"/>
  <c r="Y1727" i="3"/>
  <c r="Z1726" i="3"/>
  <c r="Y1726" i="3"/>
  <c r="Z1725" i="3"/>
  <c r="Y1725" i="3"/>
  <c r="Z1724" i="3"/>
  <c r="Y1724" i="3"/>
  <c r="Z1723" i="3"/>
  <c r="Y1723" i="3"/>
  <c r="Z1722" i="3"/>
  <c r="Y1722" i="3"/>
  <c r="Z1721" i="3"/>
  <c r="Y1721" i="3"/>
  <c r="Z1720" i="3"/>
  <c r="Y1720" i="3"/>
  <c r="Z1719" i="3"/>
  <c r="Y1719" i="3"/>
  <c r="Z1718" i="3"/>
  <c r="Y1718" i="3"/>
  <c r="Z1717" i="3"/>
  <c r="Y1717" i="3"/>
  <c r="Z1716" i="3"/>
  <c r="Y1716" i="3"/>
  <c r="Z1715" i="3"/>
  <c r="Y1715" i="3"/>
  <c r="Z1714" i="3"/>
  <c r="Y1714" i="3"/>
  <c r="Z1713" i="3"/>
  <c r="Y1713" i="3"/>
  <c r="Z1712" i="3"/>
  <c r="Y1712" i="3"/>
  <c r="Z1711" i="3"/>
  <c r="Y1711" i="3"/>
  <c r="Z1710" i="3"/>
  <c r="Y1710" i="3"/>
  <c r="Z1709" i="3"/>
  <c r="Y1709" i="3"/>
  <c r="Z1708" i="3"/>
  <c r="Y1708" i="3"/>
  <c r="Z1707" i="3"/>
  <c r="Y1707" i="3"/>
  <c r="Z1706" i="3"/>
  <c r="Y1706" i="3"/>
  <c r="Z1705" i="3"/>
  <c r="Y1705" i="3"/>
  <c r="Z1704" i="3"/>
  <c r="Y1704" i="3"/>
  <c r="Z1703" i="3"/>
  <c r="Y1703" i="3"/>
  <c r="Z1702" i="3"/>
  <c r="Y1702" i="3"/>
  <c r="Z1701" i="3"/>
  <c r="Y1701" i="3"/>
  <c r="Z1700" i="3"/>
  <c r="Y1700" i="3"/>
  <c r="Z1699" i="3"/>
  <c r="Y1699" i="3"/>
  <c r="Z1698" i="3"/>
  <c r="Y1698" i="3"/>
  <c r="Z1697" i="3"/>
  <c r="Y1697" i="3"/>
  <c r="Z1696" i="3"/>
  <c r="Y1696" i="3"/>
  <c r="Z1695" i="3"/>
  <c r="Y1695" i="3"/>
  <c r="Z1694" i="3"/>
  <c r="Y1694" i="3"/>
  <c r="Z1693" i="3"/>
  <c r="Y1693" i="3"/>
  <c r="Z1692" i="3"/>
  <c r="Y1692" i="3"/>
  <c r="Z1691" i="3"/>
  <c r="Y1691" i="3"/>
  <c r="Z1690" i="3"/>
  <c r="Y1690" i="3"/>
  <c r="Z1689" i="3"/>
  <c r="Y1689" i="3"/>
  <c r="Z1688" i="3"/>
  <c r="Y1688" i="3"/>
  <c r="Z1687" i="3"/>
  <c r="Y1687" i="3"/>
  <c r="Z1686" i="3"/>
  <c r="Y1686" i="3"/>
  <c r="Z1685" i="3"/>
  <c r="Y1685" i="3"/>
  <c r="Z1684" i="3"/>
  <c r="Y1684" i="3"/>
  <c r="Z1683" i="3"/>
  <c r="Y1683" i="3"/>
  <c r="Z1682" i="3"/>
  <c r="Y1682" i="3"/>
  <c r="Z1681" i="3"/>
  <c r="Y1681" i="3"/>
  <c r="Z1680" i="3"/>
  <c r="Y1680" i="3"/>
  <c r="Z1679" i="3"/>
  <c r="Y1679" i="3"/>
  <c r="Z1678" i="3"/>
  <c r="Y1678" i="3"/>
  <c r="Z1677" i="3"/>
  <c r="Y1677" i="3"/>
  <c r="Z1676" i="3"/>
  <c r="Y1676" i="3"/>
  <c r="Z1675" i="3"/>
  <c r="Y1675" i="3"/>
  <c r="Z1674" i="3"/>
  <c r="Y1674" i="3"/>
  <c r="Z1673" i="3"/>
  <c r="Y1673" i="3"/>
  <c r="Z1672" i="3"/>
  <c r="Y1672" i="3"/>
  <c r="Z1671" i="3"/>
  <c r="Y1671" i="3"/>
  <c r="Z1670" i="3"/>
  <c r="Y1670" i="3"/>
  <c r="Z1669" i="3"/>
  <c r="Y1669" i="3"/>
  <c r="Z1668" i="3"/>
  <c r="Y1668" i="3"/>
  <c r="Z1667" i="3"/>
  <c r="Y1667" i="3"/>
  <c r="Z1666" i="3"/>
  <c r="Y1666" i="3"/>
  <c r="Z1665" i="3"/>
  <c r="Y1665" i="3"/>
  <c r="Z1664" i="3"/>
  <c r="Y1664" i="3"/>
  <c r="Z1663" i="3"/>
  <c r="Y1663" i="3"/>
  <c r="Z1662" i="3"/>
  <c r="Y1662" i="3"/>
  <c r="Z1661" i="3"/>
  <c r="Y1661" i="3"/>
  <c r="Z1660" i="3"/>
  <c r="Y1660" i="3"/>
  <c r="Z1659" i="3"/>
  <c r="Y1659" i="3"/>
  <c r="Z1658" i="3"/>
  <c r="Y1658" i="3"/>
  <c r="Z1657" i="3"/>
  <c r="Y1657" i="3"/>
  <c r="Z1656" i="3"/>
  <c r="Y1656" i="3"/>
  <c r="Z1655" i="3"/>
  <c r="Y1655" i="3"/>
  <c r="Z1654" i="3"/>
  <c r="Y1654" i="3"/>
  <c r="Z1653" i="3"/>
  <c r="Y1653" i="3"/>
  <c r="Z1652" i="3"/>
  <c r="Y1652" i="3"/>
  <c r="Z1651" i="3"/>
  <c r="Y1651" i="3"/>
  <c r="Z1650" i="3"/>
  <c r="Y1650" i="3"/>
  <c r="Z1649" i="3"/>
  <c r="Y1649" i="3"/>
  <c r="Z1648" i="3"/>
  <c r="Y1648" i="3"/>
  <c r="Z1647" i="3"/>
  <c r="Y1647" i="3"/>
  <c r="Z1646" i="3"/>
  <c r="Y1646" i="3"/>
  <c r="Z1645" i="3"/>
  <c r="Y1645" i="3"/>
  <c r="Z1644" i="3"/>
  <c r="Y1644" i="3"/>
  <c r="Z1643" i="3"/>
  <c r="Y1643" i="3"/>
  <c r="Z1642" i="3"/>
  <c r="Y1642" i="3"/>
  <c r="Z1641" i="3"/>
  <c r="Y1641" i="3"/>
  <c r="Z1640" i="3"/>
  <c r="Y1640" i="3"/>
  <c r="Z1639" i="3"/>
  <c r="Y1639" i="3"/>
  <c r="Z1638" i="3"/>
  <c r="Y1638" i="3"/>
  <c r="Z1637" i="3"/>
  <c r="Y1637" i="3"/>
  <c r="Z1636" i="3"/>
  <c r="Y1636" i="3"/>
  <c r="Z1635" i="3"/>
  <c r="Y1635" i="3"/>
  <c r="Z1634" i="3"/>
  <c r="Y1634" i="3"/>
  <c r="Z1633" i="3"/>
  <c r="Y1633" i="3"/>
  <c r="Z1632" i="3"/>
  <c r="Y1632" i="3"/>
  <c r="Z1631" i="3"/>
  <c r="Y1631" i="3"/>
  <c r="Z1630" i="3"/>
  <c r="Y1630" i="3"/>
  <c r="Z1629" i="3"/>
  <c r="Y1629" i="3"/>
  <c r="Z1628" i="3"/>
  <c r="Y1628" i="3"/>
  <c r="Z1627" i="3"/>
  <c r="Y1627" i="3"/>
  <c r="Z1626" i="3"/>
  <c r="Y1626" i="3"/>
  <c r="Z1625" i="3"/>
  <c r="Y1625" i="3"/>
  <c r="Z1624" i="3"/>
  <c r="Y1624" i="3"/>
  <c r="Z1623" i="3"/>
  <c r="Y1623" i="3"/>
  <c r="Z1622" i="3"/>
  <c r="Y1622" i="3"/>
  <c r="Z1621" i="3"/>
  <c r="Y1621" i="3"/>
  <c r="Z1620" i="3"/>
  <c r="Y1620" i="3"/>
  <c r="Z1619" i="3"/>
  <c r="Y1619" i="3"/>
  <c r="Z1618" i="3"/>
  <c r="Y1618" i="3"/>
  <c r="Z1617" i="3"/>
  <c r="Y1617" i="3"/>
  <c r="Z1616" i="3"/>
  <c r="Y1616" i="3"/>
  <c r="Z1615" i="3"/>
  <c r="Y1615" i="3"/>
  <c r="Z1614" i="3"/>
  <c r="Y1614" i="3"/>
  <c r="Z1613" i="3"/>
  <c r="Y1613" i="3"/>
  <c r="Z1612" i="3"/>
  <c r="Y1612" i="3"/>
  <c r="Z1611" i="3"/>
  <c r="Y1611" i="3"/>
  <c r="Z1610" i="3"/>
  <c r="Y1610" i="3"/>
  <c r="Z1609" i="3"/>
  <c r="Y1609" i="3"/>
  <c r="Z1608" i="3"/>
  <c r="Y1608" i="3"/>
  <c r="Z1607" i="3"/>
  <c r="Y1607" i="3"/>
  <c r="Z1606" i="3"/>
  <c r="Y1606" i="3"/>
  <c r="Z1605" i="3"/>
  <c r="Y1605" i="3"/>
  <c r="Z1604" i="3"/>
  <c r="Y1604" i="3"/>
  <c r="Z1603" i="3"/>
  <c r="Y1603" i="3"/>
  <c r="Z1602" i="3"/>
  <c r="Y1602" i="3"/>
  <c r="Z1601" i="3"/>
  <c r="Y1601" i="3"/>
  <c r="Z1600" i="3"/>
  <c r="Y1600" i="3"/>
  <c r="Z1599" i="3"/>
  <c r="Y1599" i="3"/>
  <c r="Z1598" i="3"/>
  <c r="Y1598" i="3"/>
  <c r="Z1597" i="3"/>
  <c r="Y1597" i="3"/>
  <c r="Z1596" i="3"/>
  <c r="Y1596" i="3"/>
  <c r="Z1595" i="3"/>
  <c r="Y1595" i="3"/>
  <c r="Z1594" i="3"/>
  <c r="Y1594" i="3"/>
  <c r="Z1593" i="3"/>
  <c r="Y1593" i="3"/>
  <c r="Z1592" i="3"/>
  <c r="Y1592" i="3"/>
  <c r="Z1591" i="3"/>
  <c r="Y1591" i="3"/>
  <c r="Z1590" i="3"/>
  <c r="Y1590" i="3"/>
  <c r="Z1589" i="3"/>
  <c r="Y1589" i="3"/>
  <c r="Z1588" i="3"/>
  <c r="Y1588" i="3"/>
  <c r="Z1587" i="3"/>
  <c r="Y1587" i="3"/>
  <c r="Z1586" i="3"/>
  <c r="Y1586" i="3"/>
  <c r="Z1585" i="3"/>
  <c r="Y1585" i="3"/>
  <c r="Z1584" i="3"/>
  <c r="Y1584" i="3"/>
  <c r="Z1583" i="3"/>
  <c r="Y1583" i="3"/>
  <c r="Z1582" i="3"/>
  <c r="Y1582" i="3"/>
  <c r="Z1581" i="3"/>
  <c r="Y1581" i="3"/>
  <c r="Z1580" i="3"/>
  <c r="Y1580" i="3"/>
  <c r="Z1579" i="3"/>
  <c r="Y1579" i="3"/>
  <c r="Z1578" i="3"/>
  <c r="Y1578" i="3"/>
  <c r="Z1577" i="3"/>
  <c r="Y1577" i="3"/>
  <c r="Z1576" i="3"/>
  <c r="Y1576" i="3"/>
  <c r="Z1575" i="3"/>
  <c r="Y1575" i="3"/>
  <c r="Z1574" i="3"/>
  <c r="Y1574" i="3"/>
  <c r="Z1573" i="3"/>
  <c r="Y1573" i="3"/>
  <c r="Z1572" i="3"/>
  <c r="Y1572" i="3"/>
  <c r="Z1571" i="3"/>
  <c r="Y1571" i="3"/>
  <c r="Z1570" i="3"/>
  <c r="Y1570" i="3"/>
  <c r="Z1569" i="3"/>
  <c r="Y1569" i="3"/>
  <c r="Z1568" i="3"/>
  <c r="Y1568" i="3"/>
  <c r="Z1567" i="3"/>
  <c r="Y1567" i="3"/>
  <c r="Z1566" i="3"/>
  <c r="Y1566" i="3"/>
  <c r="Z1565" i="3"/>
  <c r="Y1565" i="3"/>
  <c r="Z1564" i="3"/>
  <c r="Y1564" i="3"/>
  <c r="Z1563" i="3"/>
  <c r="Y1563" i="3"/>
  <c r="Z1562" i="3"/>
  <c r="Y1562" i="3"/>
  <c r="Z1561" i="3"/>
  <c r="Y1561" i="3"/>
  <c r="Z1560" i="3"/>
  <c r="Y1560" i="3"/>
  <c r="Z1559" i="3"/>
  <c r="Y1559" i="3"/>
  <c r="Z1558" i="3"/>
  <c r="Y1558" i="3"/>
  <c r="Z1557" i="3"/>
  <c r="Y1557" i="3"/>
  <c r="Z1556" i="3"/>
  <c r="Y1556" i="3"/>
  <c r="Z1555" i="3"/>
  <c r="Y1555" i="3"/>
  <c r="Z1554" i="3"/>
  <c r="Y1554" i="3"/>
  <c r="Z1553" i="3"/>
  <c r="Y1553" i="3"/>
  <c r="Z1552" i="3"/>
  <c r="Y1552" i="3"/>
  <c r="Z1551" i="3"/>
  <c r="Y1551" i="3"/>
  <c r="Z1550" i="3"/>
  <c r="Y1550" i="3"/>
  <c r="Z1549" i="3"/>
  <c r="Y1549" i="3"/>
  <c r="Z1548" i="3"/>
  <c r="Y1548" i="3"/>
  <c r="Z1547" i="3"/>
  <c r="Y1547" i="3"/>
  <c r="Z1546" i="3"/>
  <c r="Y1546" i="3"/>
  <c r="Z1545" i="3"/>
  <c r="Y1545" i="3"/>
  <c r="Z1544" i="3"/>
  <c r="Y1544" i="3"/>
  <c r="Z1543" i="3"/>
  <c r="Y1543" i="3"/>
  <c r="Z1542" i="3"/>
  <c r="Y1542" i="3"/>
  <c r="Z1541" i="3"/>
  <c r="Y1541" i="3"/>
  <c r="Z1540" i="3"/>
  <c r="Y1540" i="3"/>
  <c r="Z1539" i="3"/>
  <c r="Y1539" i="3"/>
  <c r="Z1538" i="3"/>
  <c r="Y1538" i="3"/>
  <c r="Z1537" i="3"/>
  <c r="Y1537" i="3"/>
  <c r="Z1536" i="3"/>
  <c r="Y1536" i="3"/>
  <c r="Z1535" i="3"/>
  <c r="Y1535" i="3"/>
  <c r="Z1534" i="3"/>
  <c r="Y1534" i="3"/>
  <c r="Z1533" i="3"/>
  <c r="Y1533" i="3"/>
  <c r="Z1532" i="3"/>
  <c r="Y1532" i="3"/>
  <c r="Z1531" i="3"/>
  <c r="Y1531" i="3"/>
  <c r="Z1530" i="3"/>
  <c r="Y1530" i="3"/>
  <c r="Z1529" i="3"/>
  <c r="Y1529" i="3"/>
  <c r="Z1528" i="3"/>
  <c r="Y1528" i="3"/>
  <c r="Z1527" i="3"/>
  <c r="Y1527" i="3"/>
  <c r="Z1526" i="3"/>
  <c r="Y1526" i="3"/>
  <c r="Z1525" i="3"/>
  <c r="Y1525" i="3"/>
  <c r="Z1524" i="3"/>
  <c r="Y1524" i="3"/>
  <c r="Z1523" i="3"/>
  <c r="Y1523" i="3"/>
  <c r="Z1522" i="3"/>
  <c r="Y1522" i="3"/>
  <c r="Z1521" i="3"/>
  <c r="Y1521" i="3"/>
  <c r="Z1520" i="3"/>
  <c r="Y1520" i="3"/>
  <c r="Z1519" i="3"/>
  <c r="Y1519" i="3"/>
  <c r="Z1518" i="3"/>
  <c r="Y1518" i="3"/>
  <c r="Z1517" i="3"/>
  <c r="Y1517" i="3"/>
  <c r="Z1516" i="3"/>
  <c r="Y1516" i="3"/>
  <c r="Z1515" i="3"/>
  <c r="Y1515" i="3"/>
  <c r="Z1514" i="3"/>
  <c r="Y1514" i="3"/>
  <c r="Z1513" i="3"/>
  <c r="Y1513" i="3"/>
  <c r="Z1512" i="3"/>
  <c r="Y1512" i="3"/>
  <c r="Z1511" i="3"/>
  <c r="Y1511" i="3"/>
  <c r="Z1510" i="3"/>
  <c r="Y1510" i="3"/>
  <c r="Z1509" i="3"/>
  <c r="Y1509" i="3"/>
  <c r="Z1508" i="3"/>
  <c r="Y1508" i="3"/>
  <c r="Z1507" i="3"/>
  <c r="Y1507" i="3"/>
  <c r="Z1506" i="3"/>
  <c r="Y1506" i="3"/>
  <c r="Z1505" i="3"/>
  <c r="Y1505" i="3"/>
  <c r="Z1504" i="3"/>
  <c r="Y1504" i="3"/>
  <c r="Z1503" i="3"/>
  <c r="Y1503" i="3"/>
  <c r="Z1502" i="3"/>
  <c r="Y1502" i="3"/>
  <c r="Z1501" i="3"/>
  <c r="Y1501" i="3"/>
  <c r="Z1500" i="3"/>
  <c r="Y1500" i="3"/>
  <c r="Z1499" i="3"/>
  <c r="Y1499" i="3"/>
  <c r="Z1498" i="3"/>
  <c r="Y1498" i="3"/>
  <c r="Z1497" i="3"/>
  <c r="Y1497" i="3"/>
  <c r="Z1496" i="3"/>
  <c r="Y1496" i="3"/>
  <c r="Z1495" i="3"/>
  <c r="Y1495" i="3"/>
  <c r="Z1494" i="3"/>
  <c r="Y1494" i="3"/>
  <c r="Z1493" i="3"/>
  <c r="Y1493" i="3"/>
  <c r="Z1492" i="3"/>
  <c r="Y1492" i="3"/>
  <c r="Z1491" i="3"/>
  <c r="Y1491" i="3"/>
  <c r="Z1490" i="3"/>
  <c r="Y1490" i="3"/>
  <c r="Z1489" i="3"/>
  <c r="Y1489" i="3"/>
  <c r="Z1488" i="3"/>
  <c r="Y1488" i="3"/>
  <c r="Z1487" i="3"/>
  <c r="Y1487" i="3"/>
  <c r="Z1486" i="3"/>
  <c r="Y1486" i="3"/>
  <c r="Z1485" i="3"/>
  <c r="Y1485" i="3"/>
  <c r="Z1484" i="3"/>
  <c r="Y1484" i="3"/>
  <c r="Z1483" i="3"/>
  <c r="Y1483" i="3"/>
  <c r="Z1482" i="3"/>
  <c r="Y1482" i="3"/>
  <c r="Z1481" i="3"/>
  <c r="Y1481" i="3"/>
  <c r="Z1480" i="3"/>
  <c r="Y1480" i="3"/>
  <c r="Z1479" i="3"/>
  <c r="Y1479" i="3"/>
  <c r="Z1478" i="3"/>
  <c r="Y1478" i="3"/>
  <c r="Z1477" i="3"/>
  <c r="Y1477" i="3"/>
  <c r="Z1476" i="3"/>
  <c r="Y1476" i="3"/>
  <c r="Z1475" i="3"/>
  <c r="Y1475" i="3"/>
  <c r="Z1474" i="3"/>
  <c r="Y1474" i="3"/>
  <c r="Z1473" i="3"/>
  <c r="Y1473" i="3"/>
  <c r="Z1472" i="3"/>
  <c r="Y1472" i="3"/>
  <c r="Z1471" i="3"/>
  <c r="Y1471" i="3"/>
  <c r="Z1470" i="3"/>
  <c r="Y1470" i="3"/>
  <c r="Z1469" i="3"/>
  <c r="Y1469" i="3"/>
  <c r="Z1468" i="3"/>
  <c r="Y1468" i="3"/>
  <c r="Z1467" i="3"/>
  <c r="Y1467" i="3"/>
  <c r="Z1466" i="3"/>
  <c r="Y1466" i="3"/>
  <c r="Z1465" i="3"/>
  <c r="Y1465" i="3"/>
  <c r="Z1464" i="3"/>
  <c r="Y1464" i="3"/>
  <c r="Z1463" i="3"/>
  <c r="Y1463" i="3"/>
  <c r="Z1462" i="3"/>
  <c r="Y1462" i="3"/>
  <c r="Z1461" i="3"/>
  <c r="Y1461" i="3"/>
  <c r="Z1460" i="3"/>
  <c r="Y1460" i="3"/>
  <c r="Z1459" i="3"/>
  <c r="Y1459" i="3"/>
  <c r="Z1458" i="3"/>
  <c r="Y1458" i="3"/>
  <c r="Z1457" i="3"/>
  <c r="Y1457" i="3"/>
  <c r="Z1456" i="3"/>
  <c r="Y1456" i="3"/>
  <c r="Z1455" i="3"/>
  <c r="Y1455" i="3"/>
  <c r="Z1454" i="3"/>
  <c r="Y1454" i="3"/>
  <c r="Z1453" i="3"/>
  <c r="Y1453" i="3"/>
  <c r="Z1452" i="3"/>
  <c r="Y1452" i="3"/>
  <c r="Z1451" i="3"/>
  <c r="Y1451" i="3"/>
  <c r="Z1450" i="3"/>
  <c r="Y1450" i="3"/>
  <c r="Z1449" i="3"/>
  <c r="Y1449" i="3"/>
  <c r="Z1448" i="3"/>
  <c r="Y1448" i="3"/>
  <c r="Z1447" i="3"/>
  <c r="Y1447" i="3"/>
  <c r="Z1446" i="3"/>
  <c r="Y1446" i="3"/>
  <c r="Z1445" i="3"/>
  <c r="Y1445" i="3"/>
  <c r="Z1444" i="3"/>
  <c r="Y1444" i="3"/>
  <c r="Z1443" i="3"/>
  <c r="Y1443" i="3"/>
  <c r="Z1442" i="3"/>
  <c r="Y1442" i="3"/>
  <c r="Z1441" i="3"/>
  <c r="Y1441" i="3"/>
  <c r="Z1440" i="3"/>
  <c r="Y1440" i="3"/>
  <c r="Z1439" i="3"/>
  <c r="Y1439" i="3"/>
  <c r="Z1438" i="3"/>
  <c r="Y1438" i="3"/>
  <c r="Z1437" i="3"/>
  <c r="Y1437" i="3"/>
  <c r="Z1436" i="3"/>
  <c r="Y1436" i="3"/>
  <c r="Z1435" i="3"/>
  <c r="Y1435" i="3"/>
  <c r="Z1434" i="3"/>
  <c r="Y1434" i="3"/>
  <c r="Z1433" i="3"/>
  <c r="Y1433" i="3"/>
  <c r="Z1432" i="3"/>
  <c r="Y1432" i="3"/>
  <c r="Z1431" i="3"/>
  <c r="Y1431" i="3"/>
  <c r="Z1430" i="3"/>
  <c r="Y1430" i="3"/>
  <c r="Z1429" i="3"/>
  <c r="Y1429" i="3"/>
  <c r="Z1428" i="3"/>
  <c r="Y1428" i="3"/>
  <c r="Z1427" i="3"/>
  <c r="Y1427" i="3"/>
  <c r="Z1426" i="3"/>
  <c r="Y1426" i="3"/>
  <c r="Z1425" i="3"/>
  <c r="Y1425" i="3"/>
  <c r="Z1424" i="3"/>
  <c r="Y1424" i="3"/>
  <c r="Z1423" i="3"/>
  <c r="Y1423" i="3"/>
  <c r="Z1422" i="3"/>
  <c r="Y1422" i="3"/>
  <c r="Z1421" i="3"/>
  <c r="Y1421" i="3"/>
  <c r="Z1420" i="3"/>
  <c r="Y1420" i="3"/>
  <c r="Z1419" i="3"/>
  <c r="Y1419" i="3"/>
  <c r="Z1418" i="3"/>
  <c r="Y1418" i="3"/>
  <c r="Z1417" i="3"/>
  <c r="Y1417" i="3"/>
  <c r="Z1416" i="3"/>
  <c r="Y1416" i="3"/>
  <c r="Z1415" i="3"/>
  <c r="Y1415" i="3"/>
  <c r="Z1414" i="3"/>
  <c r="Y1414" i="3"/>
  <c r="Z1413" i="3"/>
  <c r="Y1413" i="3"/>
  <c r="Z1412" i="3"/>
  <c r="Y1412" i="3"/>
  <c r="Z1411" i="3"/>
  <c r="Y1411" i="3"/>
  <c r="Z1410" i="3"/>
  <c r="Y1410" i="3"/>
  <c r="Z1409" i="3"/>
  <c r="Y1409" i="3"/>
  <c r="Z1408" i="3"/>
  <c r="Y1408" i="3"/>
  <c r="Z1407" i="3"/>
  <c r="Y1407" i="3"/>
  <c r="Z1406" i="3"/>
  <c r="Y1406" i="3"/>
  <c r="Z1405" i="3"/>
  <c r="Y1405" i="3"/>
  <c r="Z1404" i="3"/>
  <c r="Y1404" i="3"/>
  <c r="Z1403" i="3"/>
  <c r="Y1403" i="3"/>
  <c r="Z1402" i="3"/>
  <c r="Y1402" i="3"/>
  <c r="Z1401" i="3"/>
  <c r="Y1401" i="3"/>
  <c r="Z1400" i="3"/>
  <c r="Y1400" i="3"/>
  <c r="Z1399" i="3"/>
  <c r="Y1399" i="3"/>
  <c r="Z1398" i="3"/>
  <c r="Y1398" i="3"/>
  <c r="Z1397" i="3"/>
  <c r="Y1397" i="3"/>
  <c r="Z1396" i="3"/>
  <c r="Y1396" i="3"/>
  <c r="Z1395" i="3"/>
  <c r="Y1395" i="3"/>
  <c r="Z1394" i="3"/>
  <c r="Y1394" i="3"/>
  <c r="Z1393" i="3"/>
  <c r="Y1393" i="3"/>
  <c r="Z1392" i="3"/>
  <c r="Y1392" i="3"/>
  <c r="Z1391" i="3"/>
  <c r="Y1391" i="3"/>
  <c r="Z1390" i="3"/>
  <c r="Y1390" i="3"/>
  <c r="Z1389" i="3"/>
  <c r="Y1389" i="3"/>
  <c r="Z1388" i="3"/>
  <c r="Y1388" i="3"/>
  <c r="Z1387" i="3"/>
  <c r="Y1387" i="3"/>
  <c r="Z1386" i="3"/>
  <c r="Y1386" i="3"/>
  <c r="Z1385" i="3"/>
  <c r="Y1385" i="3"/>
  <c r="Z1384" i="3"/>
  <c r="Y1384" i="3"/>
  <c r="Z1383" i="3"/>
  <c r="Y1383" i="3"/>
  <c r="Z1382" i="3"/>
  <c r="Y1382" i="3"/>
  <c r="Z1381" i="3"/>
  <c r="Y1381" i="3"/>
  <c r="Z1380" i="3"/>
  <c r="Y1380" i="3"/>
  <c r="Z1379" i="3"/>
  <c r="Y1379" i="3"/>
  <c r="Z1378" i="3"/>
  <c r="Y1378" i="3"/>
  <c r="Z1377" i="3"/>
  <c r="Y1377" i="3"/>
  <c r="Z1376" i="3"/>
  <c r="Y1376" i="3"/>
  <c r="Z1375" i="3"/>
  <c r="Y1375" i="3"/>
  <c r="Z1374" i="3"/>
  <c r="Y1374" i="3"/>
  <c r="Z1373" i="3"/>
  <c r="Y1373" i="3"/>
  <c r="Z1372" i="3"/>
  <c r="Y1372" i="3"/>
  <c r="Z1371" i="3"/>
  <c r="Y1371" i="3"/>
  <c r="Z1370" i="3"/>
  <c r="Y1370" i="3"/>
  <c r="Z1369" i="3"/>
  <c r="Y1369" i="3"/>
  <c r="Z1368" i="3"/>
  <c r="Y1368" i="3"/>
  <c r="Z1367" i="3"/>
  <c r="Y1367" i="3"/>
  <c r="Z1366" i="3"/>
  <c r="Y1366" i="3"/>
  <c r="Z1365" i="3"/>
  <c r="Y1365" i="3"/>
  <c r="Z1364" i="3"/>
  <c r="Y1364" i="3"/>
  <c r="Z1363" i="3"/>
  <c r="Y1363" i="3"/>
  <c r="Z1362" i="3"/>
  <c r="Y1362" i="3"/>
  <c r="Z1361" i="3"/>
  <c r="Y1361" i="3"/>
  <c r="Z1360" i="3"/>
  <c r="Y1360" i="3"/>
  <c r="Z1359" i="3"/>
  <c r="Y1359" i="3"/>
  <c r="Z1358" i="3"/>
  <c r="Y1358" i="3"/>
  <c r="Z1357" i="3"/>
  <c r="Y1357" i="3"/>
  <c r="Z1356" i="3"/>
  <c r="Y1356" i="3"/>
  <c r="Z1355" i="3"/>
  <c r="Y1355" i="3"/>
  <c r="Z1354" i="3"/>
  <c r="Y1354" i="3"/>
  <c r="Z1353" i="3"/>
  <c r="Y1353" i="3"/>
  <c r="Z1352" i="3"/>
  <c r="Y1352" i="3"/>
  <c r="Z1351" i="3"/>
  <c r="Y1351" i="3"/>
  <c r="Z1350" i="3"/>
  <c r="Y1350" i="3"/>
  <c r="Z1349" i="3"/>
  <c r="Y1349" i="3"/>
  <c r="Z1348" i="3"/>
  <c r="Y1348" i="3"/>
  <c r="Z1347" i="3"/>
  <c r="Y1347" i="3"/>
  <c r="Z1346" i="3"/>
  <c r="Y1346" i="3"/>
  <c r="Z1345" i="3"/>
  <c r="Y1345" i="3"/>
  <c r="Z1344" i="3"/>
  <c r="Y1344" i="3"/>
  <c r="Z1343" i="3"/>
  <c r="Y1343" i="3"/>
  <c r="Z1342" i="3"/>
  <c r="Y1342" i="3"/>
  <c r="Z1341" i="3"/>
  <c r="Y1341" i="3"/>
  <c r="Z1340" i="3"/>
  <c r="Y1340" i="3"/>
  <c r="Z1339" i="3"/>
  <c r="Y1339" i="3"/>
  <c r="Z1338" i="3"/>
  <c r="Y1338" i="3"/>
  <c r="Z1337" i="3"/>
  <c r="Y1337" i="3"/>
  <c r="Z1336" i="3"/>
  <c r="Y1336" i="3"/>
  <c r="Z1335" i="3"/>
  <c r="Y1335" i="3"/>
  <c r="Z1334" i="3"/>
  <c r="Y1334" i="3"/>
  <c r="Z1333" i="3"/>
  <c r="Y1333" i="3"/>
  <c r="Z1332" i="3"/>
  <c r="Y1332" i="3"/>
  <c r="Z1331" i="3"/>
  <c r="Y1331" i="3"/>
  <c r="Z1330" i="3"/>
  <c r="Y1330" i="3"/>
  <c r="Z1329" i="3"/>
  <c r="Y1329" i="3"/>
  <c r="Z1328" i="3"/>
  <c r="Y1328" i="3"/>
  <c r="Z1327" i="3"/>
  <c r="Y1327" i="3"/>
  <c r="Z1326" i="3"/>
  <c r="Y1326" i="3"/>
  <c r="Z1325" i="3"/>
  <c r="Y1325" i="3"/>
  <c r="Z1324" i="3"/>
  <c r="Y1324" i="3"/>
  <c r="Z1323" i="3"/>
  <c r="Y1323" i="3"/>
  <c r="Z1322" i="3"/>
  <c r="Y1322" i="3"/>
  <c r="Z1321" i="3"/>
  <c r="Y1321" i="3"/>
  <c r="Z1320" i="3"/>
  <c r="Y1320" i="3"/>
  <c r="Z1319" i="3"/>
  <c r="Y1319" i="3"/>
  <c r="Z1318" i="3"/>
  <c r="Y1318" i="3"/>
  <c r="Z1317" i="3"/>
  <c r="Y1317" i="3"/>
  <c r="Z1316" i="3"/>
  <c r="Y1316" i="3"/>
  <c r="Z1315" i="3"/>
  <c r="Y1315" i="3"/>
  <c r="Z1314" i="3"/>
  <c r="Y1314" i="3"/>
  <c r="Z1313" i="3"/>
  <c r="Y1313" i="3"/>
  <c r="Z1312" i="3"/>
  <c r="Y1312" i="3"/>
  <c r="Z1311" i="3"/>
  <c r="Y1311" i="3"/>
  <c r="Z1310" i="3"/>
  <c r="Y1310" i="3"/>
  <c r="Z1309" i="3"/>
  <c r="Y1309" i="3"/>
  <c r="Z1308" i="3"/>
  <c r="Y1308" i="3"/>
  <c r="Z1307" i="3"/>
  <c r="Y1307" i="3"/>
  <c r="Z1306" i="3"/>
  <c r="Y1306" i="3"/>
  <c r="Z1305" i="3"/>
  <c r="Y1305" i="3"/>
  <c r="Z1304" i="3"/>
  <c r="Y1304" i="3"/>
  <c r="Z1303" i="3"/>
  <c r="Y1303" i="3"/>
  <c r="Z1302" i="3"/>
  <c r="Y1302" i="3"/>
  <c r="Z1301" i="3"/>
  <c r="Y1301" i="3"/>
  <c r="Z1300" i="3"/>
  <c r="Y1300" i="3"/>
  <c r="Z1299" i="3"/>
  <c r="Y1299" i="3"/>
  <c r="Z1298" i="3"/>
  <c r="Y1298" i="3"/>
  <c r="Z1297" i="3"/>
  <c r="Y1297" i="3"/>
  <c r="Z1296" i="3"/>
  <c r="Y1296" i="3"/>
  <c r="Z1295" i="3"/>
  <c r="Y1295" i="3"/>
  <c r="Z1294" i="3"/>
  <c r="Y1294" i="3"/>
  <c r="Z1293" i="3"/>
  <c r="Y1293" i="3"/>
  <c r="Z1292" i="3"/>
  <c r="Y1292" i="3"/>
  <c r="Z1291" i="3"/>
  <c r="Y1291" i="3"/>
  <c r="Z1290" i="3"/>
  <c r="Y1290" i="3"/>
  <c r="Z1289" i="3"/>
  <c r="Y1289" i="3"/>
  <c r="Z1288" i="3"/>
  <c r="Y1288" i="3"/>
  <c r="Z1287" i="3"/>
  <c r="Y1287" i="3"/>
  <c r="Z1286" i="3"/>
  <c r="Y1286" i="3"/>
  <c r="Z1285" i="3"/>
  <c r="Y1285" i="3"/>
  <c r="Z1284" i="3"/>
  <c r="Y1284" i="3"/>
  <c r="Z1283" i="3"/>
  <c r="Y1283" i="3"/>
  <c r="Z1282" i="3"/>
  <c r="Y1282" i="3"/>
  <c r="Z1281" i="3"/>
  <c r="Y1281" i="3"/>
  <c r="Z1280" i="3"/>
  <c r="Y1280" i="3"/>
  <c r="Z1279" i="3"/>
  <c r="Y1279" i="3"/>
  <c r="Z1278" i="3"/>
  <c r="Y1278" i="3"/>
  <c r="Z1277" i="3"/>
  <c r="Y1277" i="3"/>
  <c r="Z1276" i="3"/>
  <c r="Y1276" i="3"/>
  <c r="Z1275" i="3"/>
  <c r="Y1275" i="3"/>
  <c r="Z1274" i="3"/>
  <c r="Y1274" i="3"/>
  <c r="Z1273" i="3"/>
  <c r="Y1273" i="3"/>
  <c r="Z1272" i="3"/>
  <c r="Y1272" i="3"/>
  <c r="Z1271" i="3"/>
  <c r="Y1271" i="3"/>
  <c r="Z1270" i="3"/>
  <c r="Y1270" i="3"/>
  <c r="Z1269" i="3"/>
  <c r="Y1269" i="3"/>
  <c r="Z1268" i="3"/>
  <c r="Y1268" i="3"/>
  <c r="Z1267" i="3"/>
  <c r="Y1267" i="3"/>
  <c r="Z1266" i="3"/>
  <c r="Y1266" i="3"/>
  <c r="Z1265" i="3"/>
  <c r="Y1265" i="3"/>
  <c r="Z1264" i="3"/>
  <c r="Y1264" i="3"/>
  <c r="Z1263" i="3"/>
  <c r="Y1263" i="3"/>
  <c r="Z1262" i="3"/>
  <c r="Y1262" i="3"/>
  <c r="Z1261" i="3"/>
  <c r="Y1261" i="3"/>
  <c r="Z1260" i="3"/>
  <c r="Y1260" i="3"/>
  <c r="Z1259" i="3"/>
  <c r="Y1259" i="3"/>
  <c r="Z1258" i="3"/>
  <c r="Y1258" i="3"/>
  <c r="Z1257" i="3"/>
  <c r="Y1257" i="3"/>
  <c r="Z1256" i="3"/>
  <c r="Y1256" i="3"/>
  <c r="Z1255" i="3"/>
  <c r="Y1255" i="3"/>
  <c r="Z1254" i="3"/>
  <c r="Y1254" i="3"/>
  <c r="Z1253" i="3"/>
  <c r="Y1253" i="3"/>
  <c r="Z1252" i="3"/>
  <c r="Y1252" i="3"/>
  <c r="Z1251" i="3"/>
  <c r="Y1251" i="3"/>
  <c r="Z1250" i="3"/>
  <c r="Y1250" i="3"/>
  <c r="Z1249" i="3"/>
  <c r="Y1249" i="3"/>
  <c r="Z1248" i="3"/>
  <c r="Y1248" i="3"/>
  <c r="Z1247" i="3"/>
  <c r="Y1247" i="3"/>
  <c r="Z1246" i="3"/>
  <c r="Y1246" i="3"/>
  <c r="Z1245" i="3"/>
  <c r="Y1245" i="3"/>
  <c r="Z1244" i="3"/>
  <c r="Y1244" i="3"/>
  <c r="Z1243" i="3"/>
  <c r="Y1243" i="3"/>
  <c r="Z1242" i="3"/>
  <c r="Y1242" i="3"/>
  <c r="Z1241" i="3"/>
  <c r="Y1241" i="3"/>
  <c r="Z1240" i="3"/>
  <c r="Y1240" i="3"/>
  <c r="Z1239" i="3"/>
  <c r="Y1239" i="3"/>
  <c r="Z1238" i="3"/>
  <c r="Y1238" i="3"/>
  <c r="Z1237" i="3"/>
  <c r="Y1237" i="3"/>
  <c r="Z1236" i="3"/>
  <c r="Y1236" i="3"/>
  <c r="Z1235" i="3"/>
  <c r="Y1235" i="3"/>
  <c r="Z1234" i="3"/>
  <c r="Y1234" i="3"/>
  <c r="Z1233" i="3"/>
  <c r="Y1233" i="3"/>
  <c r="Z1232" i="3"/>
  <c r="Y1232" i="3"/>
  <c r="Z1231" i="3"/>
  <c r="Y1231" i="3"/>
  <c r="Z1230" i="3"/>
  <c r="Y1230" i="3"/>
  <c r="Z1229" i="3"/>
  <c r="Y1229" i="3"/>
  <c r="Z1228" i="3"/>
  <c r="Y1228" i="3"/>
  <c r="Z1227" i="3"/>
  <c r="Y1227" i="3"/>
  <c r="Z1226" i="3"/>
  <c r="Y1226" i="3"/>
  <c r="Z1225" i="3"/>
  <c r="Y1225" i="3"/>
  <c r="Z1224" i="3"/>
  <c r="Y1224" i="3"/>
  <c r="Z1223" i="3"/>
  <c r="Y1223" i="3"/>
  <c r="Z1222" i="3"/>
  <c r="Y1222" i="3"/>
  <c r="Z1221" i="3"/>
  <c r="Y1221" i="3"/>
  <c r="Z1220" i="3"/>
  <c r="Y1220" i="3"/>
  <c r="Z1219" i="3"/>
  <c r="Y1219" i="3"/>
  <c r="Z1218" i="3"/>
  <c r="Y1218" i="3"/>
  <c r="Z1217" i="3"/>
  <c r="Y1217" i="3"/>
  <c r="Z1216" i="3"/>
  <c r="Y1216" i="3"/>
  <c r="Z1215" i="3"/>
  <c r="Y1215" i="3"/>
  <c r="Z1214" i="3"/>
  <c r="Y1214" i="3"/>
  <c r="Z1213" i="3"/>
  <c r="Y1213" i="3"/>
  <c r="Z1212" i="3"/>
  <c r="Y1212" i="3"/>
  <c r="Z1211" i="3"/>
  <c r="Y1211" i="3"/>
  <c r="Z1210" i="3"/>
  <c r="Y1210" i="3"/>
  <c r="Z1209" i="3"/>
  <c r="Y1209" i="3"/>
  <c r="Z1208" i="3"/>
  <c r="Y1208" i="3"/>
  <c r="Z1207" i="3"/>
  <c r="Y1207" i="3"/>
  <c r="Z1206" i="3"/>
  <c r="Y1206" i="3"/>
  <c r="Z1205" i="3"/>
  <c r="Y1205" i="3"/>
  <c r="Z1204" i="3"/>
  <c r="Y1204" i="3"/>
  <c r="Z1203" i="3"/>
  <c r="Y1203" i="3"/>
  <c r="Z1202" i="3"/>
  <c r="Y1202" i="3"/>
  <c r="Z1201" i="3"/>
  <c r="Y1201" i="3"/>
  <c r="Z1200" i="3"/>
  <c r="Y1200" i="3"/>
  <c r="Z1199" i="3"/>
  <c r="Y1199" i="3"/>
  <c r="Z1198" i="3"/>
  <c r="Y1198" i="3"/>
  <c r="Z1197" i="3"/>
  <c r="Y1197" i="3"/>
  <c r="Z1196" i="3"/>
  <c r="Y1196" i="3"/>
  <c r="Z1195" i="3"/>
  <c r="Y1195" i="3"/>
  <c r="Z1194" i="3"/>
  <c r="Y1194" i="3"/>
  <c r="Z1193" i="3"/>
  <c r="Y1193" i="3"/>
  <c r="Z1192" i="3"/>
  <c r="Y1192" i="3"/>
  <c r="Z1191" i="3"/>
  <c r="Y1191" i="3"/>
  <c r="Z1190" i="3"/>
  <c r="Y1190" i="3"/>
  <c r="Z1189" i="3"/>
  <c r="Y1189" i="3"/>
  <c r="Z1188" i="3"/>
  <c r="Y1188" i="3"/>
  <c r="Z1187" i="3"/>
  <c r="Y1187" i="3"/>
  <c r="Z1186" i="3"/>
  <c r="Y1186" i="3"/>
  <c r="Z1185" i="3"/>
  <c r="Y1185" i="3"/>
  <c r="Z1184" i="3"/>
  <c r="Y1184" i="3"/>
  <c r="Z1183" i="3"/>
  <c r="Y1183" i="3"/>
  <c r="Z1182" i="3"/>
  <c r="Y1182" i="3"/>
  <c r="Z1181" i="3"/>
  <c r="Y1181" i="3"/>
  <c r="Z1180" i="3"/>
  <c r="Y1180" i="3"/>
  <c r="Z1179" i="3"/>
  <c r="Y1179" i="3"/>
  <c r="Z1178" i="3"/>
  <c r="Y1178" i="3"/>
  <c r="Z1177" i="3"/>
  <c r="Y1177" i="3"/>
  <c r="Z1176" i="3"/>
  <c r="Y1176" i="3"/>
  <c r="Z1175" i="3"/>
  <c r="Y1175" i="3"/>
  <c r="Z1174" i="3"/>
  <c r="Y1174" i="3"/>
  <c r="Z1173" i="3"/>
  <c r="Y1173" i="3"/>
  <c r="Z1172" i="3"/>
  <c r="Y1172" i="3"/>
  <c r="Z1171" i="3"/>
  <c r="Y1171" i="3"/>
  <c r="Z1170" i="3"/>
  <c r="Y1170" i="3"/>
  <c r="Z1169" i="3"/>
  <c r="Y1169" i="3"/>
  <c r="Z1168" i="3"/>
  <c r="Y1168" i="3"/>
  <c r="Z1167" i="3"/>
  <c r="Y1167" i="3"/>
  <c r="Z1166" i="3"/>
  <c r="Y1166" i="3"/>
  <c r="Z1165" i="3"/>
  <c r="Y1165" i="3"/>
  <c r="Z1164" i="3"/>
  <c r="Y1164" i="3"/>
  <c r="Z1163" i="3"/>
  <c r="Y1163" i="3"/>
  <c r="Z1162" i="3"/>
  <c r="Y1162" i="3"/>
  <c r="Z1161" i="3"/>
  <c r="Y1161" i="3"/>
  <c r="Z1160" i="3"/>
  <c r="Y1160" i="3"/>
  <c r="Z1159" i="3"/>
  <c r="Y1159" i="3"/>
  <c r="Z1158" i="3"/>
  <c r="Y1158" i="3"/>
  <c r="Z1157" i="3"/>
  <c r="Y1157" i="3"/>
  <c r="Z1156" i="3"/>
  <c r="Y1156" i="3"/>
  <c r="Z1155" i="3"/>
  <c r="Y1155" i="3"/>
  <c r="Z1154" i="3"/>
  <c r="Y1154" i="3"/>
  <c r="Z1153" i="3"/>
  <c r="Y1153" i="3"/>
  <c r="Z1152" i="3"/>
  <c r="Y1152" i="3"/>
  <c r="Z1151" i="3"/>
  <c r="Y1151" i="3"/>
  <c r="Z1150" i="3"/>
  <c r="Y1150" i="3"/>
  <c r="Z1149" i="3"/>
  <c r="Y1149" i="3"/>
  <c r="Z1148" i="3"/>
  <c r="Y1148" i="3"/>
  <c r="Z1147" i="3"/>
  <c r="Y1147" i="3"/>
  <c r="Z1146" i="3"/>
  <c r="Y1146" i="3"/>
  <c r="Z1145" i="3"/>
  <c r="Y1145" i="3"/>
  <c r="Z1144" i="3"/>
  <c r="Y1144" i="3"/>
  <c r="Z1143" i="3"/>
  <c r="Y1143" i="3"/>
  <c r="Z1142" i="3"/>
  <c r="Y1142" i="3"/>
  <c r="Z1141" i="3"/>
  <c r="Y1141" i="3"/>
  <c r="Z1140" i="3"/>
  <c r="Y1140" i="3"/>
  <c r="Z1139" i="3"/>
  <c r="Y1139" i="3"/>
  <c r="Z1138" i="3"/>
  <c r="Y1138" i="3"/>
  <c r="Z1137" i="3"/>
  <c r="Y1137" i="3"/>
  <c r="Z1136" i="3"/>
  <c r="Y1136" i="3"/>
  <c r="Z1135" i="3"/>
  <c r="Y1135" i="3"/>
  <c r="Z1134" i="3"/>
  <c r="Y1134" i="3"/>
  <c r="Z1133" i="3"/>
  <c r="Y1133" i="3"/>
  <c r="Z1132" i="3"/>
  <c r="Y1132" i="3"/>
  <c r="Z1131" i="3"/>
  <c r="Y1131" i="3"/>
  <c r="Z1130" i="3"/>
  <c r="Y1130" i="3"/>
  <c r="Z1129" i="3"/>
  <c r="Y1129" i="3"/>
  <c r="Z1128" i="3"/>
  <c r="Y1128" i="3"/>
  <c r="Z1127" i="3"/>
  <c r="Y1127" i="3"/>
  <c r="Z1126" i="3"/>
  <c r="Y1126" i="3"/>
  <c r="Z1125" i="3"/>
  <c r="Y1125" i="3"/>
  <c r="Z1124" i="3"/>
  <c r="Y1124" i="3"/>
  <c r="Z1123" i="3"/>
  <c r="Y1123" i="3"/>
  <c r="Z1122" i="3"/>
  <c r="Y1122" i="3"/>
  <c r="Z1121" i="3"/>
  <c r="Y1121" i="3"/>
  <c r="Z1120" i="3"/>
  <c r="Y1120" i="3"/>
  <c r="Z1119" i="3"/>
  <c r="Y1119" i="3"/>
  <c r="Z1118" i="3"/>
  <c r="Y1118" i="3"/>
  <c r="Z1117" i="3"/>
  <c r="Y1117" i="3"/>
  <c r="Z1116" i="3"/>
  <c r="Y1116" i="3"/>
  <c r="Z1115" i="3"/>
  <c r="Y1115" i="3"/>
  <c r="Z1114" i="3"/>
  <c r="Y1114" i="3"/>
  <c r="Z1113" i="3"/>
  <c r="Y1113" i="3"/>
  <c r="Z1112" i="3"/>
  <c r="Y1112" i="3"/>
  <c r="Z1111" i="3"/>
  <c r="Y1111" i="3"/>
  <c r="Z1110" i="3"/>
  <c r="Y1110" i="3"/>
  <c r="Z1109" i="3"/>
  <c r="Y1109" i="3"/>
  <c r="Z1108" i="3"/>
  <c r="Y1108" i="3"/>
  <c r="Z1107" i="3"/>
  <c r="Y1107" i="3"/>
  <c r="Z1106" i="3"/>
  <c r="Y1106" i="3"/>
  <c r="Z1105" i="3"/>
  <c r="Y1105" i="3"/>
  <c r="Z1104" i="3"/>
  <c r="Y1104" i="3"/>
  <c r="Z1103" i="3"/>
  <c r="Y1103" i="3"/>
  <c r="Z1102" i="3"/>
  <c r="Y1102" i="3"/>
  <c r="Z1101" i="3"/>
  <c r="Y1101" i="3"/>
  <c r="Z1100" i="3"/>
  <c r="Y1100" i="3"/>
  <c r="Z1099" i="3"/>
  <c r="Y1099" i="3"/>
  <c r="Z1098" i="3"/>
  <c r="Y1098" i="3"/>
  <c r="Z1097" i="3"/>
  <c r="Y1097" i="3"/>
  <c r="Z1096" i="3"/>
  <c r="Y1096" i="3"/>
  <c r="Z1095" i="3"/>
  <c r="Y1095" i="3"/>
  <c r="Z1094" i="3"/>
  <c r="Y1094" i="3"/>
  <c r="Z1093" i="3"/>
  <c r="Y1093" i="3"/>
  <c r="Z1092" i="3"/>
  <c r="Y1092" i="3"/>
  <c r="Z1091" i="3"/>
  <c r="Y1091" i="3"/>
  <c r="Z1090" i="3"/>
  <c r="Y1090" i="3"/>
  <c r="Z1089" i="3"/>
  <c r="Y1089" i="3"/>
  <c r="Z1088" i="3"/>
  <c r="Y1088" i="3"/>
  <c r="Z1087" i="3"/>
  <c r="Y1087" i="3"/>
  <c r="Z1086" i="3"/>
  <c r="Y1086" i="3"/>
  <c r="Z1085" i="3"/>
  <c r="Y1085" i="3"/>
  <c r="Z1084" i="3"/>
  <c r="Y1084" i="3"/>
  <c r="Z1083" i="3"/>
  <c r="Y1083" i="3"/>
  <c r="Z1082" i="3"/>
  <c r="Y1082" i="3"/>
  <c r="Z1081" i="3"/>
  <c r="Y1081" i="3"/>
  <c r="Z1080" i="3"/>
  <c r="Y1080" i="3"/>
  <c r="Z1079" i="3"/>
  <c r="Y1079" i="3"/>
  <c r="Z1078" i="3"/>
  <c r="Y1078" i="3"/>
  <c r="Z1077" i="3"/>
  <c r="Y1077" i="3"/>
  <c r="Z1076" i="3"/>
  <c r="Y1076" i="3"/>
  <c r="Z1075" i="3"/>
  <c r="Y1075" i="3"/>
  <c r="Z1074" i="3"/>
  <c r="Y1074" i="3"/>
  <c r="Z1073" i="3"/>
  <c r="Y1073" i="3"/>
  <c r="Z1072" i="3"/>
  <c r="Y1072" i="3"/>
  <c r="Z1071" i="3"/>
  <c r="Y1071" i="3"/>
  <c r="Z1070" i="3"/>
  <c r="Y1070" i="3"/>
  <c r="Z1069" i="3"/>
  <c r="Y1069" i="3"/>
  <c r="Z1068" i="3"/>
  <c r="Y1068" i="3"/>
  <c r="Z1067" i="3"/>
  <c r="Y1067" i="3"/>
  <c r="Z1066" i="3"/>
  <c r="Y1066" i="3"/>
  <c r="Z1065" i="3"/>
  <c r="Y1065" i="3"/>
  <c r="Z1064" i="3"/>
  <c r="Y1064" i="3"/>
  <c r="Z1063" i="3"/>
  <c r="Y1063" i="3"/>
  <c r="Z1062" i="3"/>
  <c r="Y1062" i="3"/>
  <c r="Z1061" i="3"/>
  <c r="Y1061" i="3"/>
  <c r="Z1060" i="3"/>
  <c r="Y1060" i="3"/>
  <c r="Z1059" i="3"/>
  <c r="Y1059" i="3"/>
  <c r="Z1058" i="3"/>
  <c r="Y1058" i="3"/>
  <c r="Z1057" i="3"/>
  <c r="Y1057" i="3"/>
  <c r="Z1056" i="3"/>
  <c r="Y1056" i="3"/>
  <c r="Z1055" i="3"/>
  <c r="Y1055" i="3"/>
  <c r="Z1054" i="3"/>
  <c r="Y1054" i="3"/>
  <c r="Z1053" i="3"/>
  <c r="Y1053" i="3"/>
  <c r="Z1052" i="3"/>
  <c r="Y1052" i="3"/>
  <c r="Z1051" i="3"/>
  <c r="Y1051" i="3"/>
  <c r="Z1050" i="3"/>
  <c r="Y1050" i="3"/>
  <c r="Z1049" i="3"/>
  <c r="Y1049" i="3"/>
  <c r="Z1048" i="3"/>
  <c r="Y1048" i="3"/>
  <c r="Z1047" i="3"/>
  <c r="Y1047" i="3"/>
  <c r="Z1046" i="3"/>
  <c r="Y1046" i="3"/>
  <c r="Z1045" i="3"/>
  <c r="Y1045" i="3"/>
  <c r="Z1044" i="3"/>
  <c r="Y1044" i="3"/>
  <c r="Z1043" i="3"/>
  <c r="Y1043" i="3"/>
  <c r="Z1042" i="3"/>
  <c r="Y1042" i="3"/>
  <c r="Z1041" i="3"/>
  <c r="Y1041" i="3"/>
  <c r="Z1040" i="3"/>
  <c r="Y1040" i="3"/>
  <c r="Z1039" i="3"/>
  <c r="Y1039" i="3"/>
  <c r="Z1038" i="3"/>
  <c r="Y1038" i="3"/>
  <c r="Z1037" i="3"/>
  <c r="Y1037" i="3"/>
  <c r="Z1036" i="3"/>
  <c r="Y1036" i="3"/>
  <c r="Z1035" i="3"/>
  <c r="Y1035" i="3"/>
  <c r="Z1034" i="3"/>
  <c r="Y1034" i="3"/>
  <c r="Z1033" i="3"/>
  <c r="Y1033" i="3"/>
  <c r="Z1032" i="3"/>
  <c r="Y1032" i="3"/>
  <c r="Z1031" i="3"/>
  <c r="Y1031" i="3"/>
  <c r="Z1030" i="3"/>
  <c r="Y1030" i="3"/>
  <c r="Z1029" i="3"/>
  <c r="Y1029" i="3"/>
  <c r="Z1028" i="3"/>
  <c r="Y1028" i="3"/>
  <c r="Z1027" i="3"/>
  <c r="Y1027" i="3"/>
  <c r="Z1026" i="3"/>
  <c r="Y1026" i="3"/>
  <c r="Z1025" i="3"/>
  <c r="Y1025" i="3"/>
  <c r="Z1024" i="3"/>
  <c r="Y1024" i="3"/>
  <c r="Z1023" i="3"/>
  <c r="Y1023" i="3"/>
  <c r="Z1022" i="3"/>
  <c r="Y1022" i="3"/>
  <c r="Z1021" i="3"/>
  <c r="Y1021" i="3"/>
  <c r="Z1020" i="3"/>
  <c r="Y1020" i="3"/>
  <c r="Z1019" i="3"/>
  <c r="Y1019" i="3"/>
  <c r="Z1018" i="3"/>
  <c r="Y1018" i="3"/>
  <c r="Z1017" i="3"/>
  <c r="Y1017" i="3"/>
  <c r="Z1016" i="3"/>
  <c r="Y1016" i="3"/>
  <c r="Z1015" i="3"/>
  <c r="Y1015" i="3"/>
  <c r="Z1014" i="3"/>
  <c r="Y1014" i="3"/>
  <c r="Z1013" i="3"/>
  <c r="Y1013" i="3"/>
  <c r="Z1012" i="3"/>
  <c r="Y1012" i="3"/>
  <c r="Z1011" i="3"/>
  <c r="Y1011" i="3"/>
  <c r="Z1010" i="3"/>
  <c r="Y1010" i="3"/>
  <c r="Z1009" i="3"/>
  <c r="Y1009" i="3"/>
  <c r="Z1008" i="3"/>
  <c r="Y1008" i="3"/>
  <c r="Z1007" i="3"/>
  <c r="Y1007" i="3"/>
  <c r="Z1006" i="3"/>
  <c r="Y1006" i="3"/>
  <c r="Z1005" i="3"/>
  <c r="Y1005" i="3"/>
  <c r="Z1004" i="3"/>
  <c r="Y1004" i="3"/>
  <c r="Z1003" i="3"/>
  <c r="Y1003" i="3"/>
  <c r="Z1002" i="3"/>
  <c r="Y1002" i="3"/>
  <c r="Z1001" i="3"/>
  <c r="Y1001" i="3"/>
  <c r="Z1000" i="3"/>
  <c r="Y1000" i="3"/>
  <c r="Z999" i="3"/>
  <c r="Y999" i="3"/>
  <c r="Z998" i="3"/>
  <c r="Y998" i="3"/>
  <c r="Z997" i="3"/>
  <c r="Y997" i="3"/>
  <c r="Z996" i="3"/>
  <c r="Y996" i="3"/>
  <c r="Z995" i="3"/>
  <c r="Y995" i="3"/>
  <c r="Z994" i="3"/>
  <c r="Y994" i="3"/>
  <c r="Z993" i="3"/>
  <c r="Y993" i="3"/>
  <c r="Z992" i="3"/>
  <c r="Y992" i="3"/>
  <c r="Z991" i="3"/>
  <c r="Y991" i="3"/>
  <c r="Z990" i="3"/>
  <c r="Y990" i="3"/>
  <c r="Z989" i="3"/>
  <c r="Y989" i="3"/>
  <c r="Z988" i="3"/>
  <c r="Y988" i="3"/>
  <c r="Z987" i="3"/>
  <c r="Y987" i="3"/>
  <c r="Z986" i="3"/>
  <c r="Y986" i="3"/>
  <c r="Z985" i="3"/>
  <c r="Y985" i="3"/>
  <c r="Z984" i="3"/>
  <c r="Y984" i="3"/>
  <c r="Z983" i="3"/>
  <c r="Y983" i="3"/>
  <c r="Z982" i="3"/>
  <c r="Y982" i="3"/>
  <c r="Z981" i="3"/>
  <c r="Y981" i="3"/>
  <c r="Z980" i="3"/>
  <c r="Y980" i="3"/>
  <c r="Z979" i="3"/>
  <c r="Y979" i="3"/>
  <c r="Z978" i="3"/>
  <c r="Y978" i="3"/>
  <c r="Z977" i="3"/>
  <c r="Y977" i="3"/>
  <c r="Z976" i="3"/>
  <c r="Y976" i="3"/>
  <c r="Z975" i="3"/>
  <c r="Y975" i="3"/>
  <c r="Z974" i="3"/>
  <c r="Y974" i="3"/>
  <c r="Z973" i="3"/>
  <c r="Y973" i="3"/>
  <c r="Z972" i="3"/>
  <c r="Y972" i="3"/>
  <c r="Z971" i="3"/>
  <c r="Y971" i="3"/>
  <c r="Z970" i="3"/>
  <c r="Y970" i="3"/>
  <c r="Z969" i="3"/>
  <c r="Y969" i="3"/>
  <c r="Z968" i="3"/>
  <c r="Y968" i="3"/>
  <c r="Z967" i="3"/>
  <c r="Y967" i="3"/>
  <c r="Z966" i="3"/>
  <c r="Y966" i="3"/>
  <c r="Z965" i="3"/>
  <c r="Y965" i="3"/>
  <c r="Z964" i="3"/>
  <c r="Y964" i="3"/>
  <c r="Z963" i="3"/>
  <c r="Y963" i="3"/>
  <c r="Z962" i="3"/>
  <c r="Y962" i="3"/>
  <c r="Z961" i="3"/>
  <c r="Y961" i="3"/>
  <c r="Z960" i="3"/>
  <c r="Y960" i="3"/>
  <c r="Z959" i="3"/>
  <c r="Y959" i="3"/>
  <c r="Z958" i="3"/>
  <c r="Y958" i="3"/>
  <c r="Z957" i="3"/>
  <c r="Y957" i="3"/>
  <c r="Z956" i="3"/>
  <c r="Y956" i="3"/>
  <c r="Z955" i="3"/>
  <c r="Y955" i="3"/>
  <c r="Z954" i="3"/>
  <c r="Y954" i="3"/>
  <c r="Z953" i="3"/>
  <c r="Y953" i="3"/>
  <c r="Z952" i="3"/>
  <c r="Y952" i="3"/>
  <c r="Z951" i="3"/>
  <c r="Y951" i="3"/>
  <c r="Z950" i="3"/>
  <c r="Y950" i="3"/>
  <c r="Z949" i="3"/>
  <c r="Y949" i="3"/>
  <c r="Z948" i="3"/>
  <c r="Y948" i="3"/>
  <c r="Z947" i="3"/>
  <c r="Y947" i="3"/>
  <c r="Z946" i="3"/>
  <c r="Y946" i="3"/>
  <c r="Z945" i="3"/>
  <c r="Y945" i="3"/>
  <c r="Z944" i="3"/>
  <c r="Y944" i="3"/>
  <c r="Z943" i="3"/>
  <c r="Y943" i="3"/>
  <c r="Z942" i="3"/>
  <c r="Y942" i="3"/>
  <c r="Z941" i="3"/>
  <c r="Y941" i="3"/>
  <c r="Z940" i="3"/>
  <c r="Y940" i="3"/>
  <c r="Z939" i="3"/>
  <c r="Y939" i="3"/>
  <c r="Z938" i="3"/>
  <c r="Y938" i="3"/>
  <c r="Z937" i="3"/>
  <c r="Y937" i="3"/>
  <c r="Z936" i="3"/>
  <c r="Y936" i="3"/>
  <c r="Z935" i="3"/>
  <c r="Y935" i="3"/>
  <c r="Z934" i="3"/>
  <c r="Y934" i="3"/>
  <c r="Z933" i="3"/>
  <c r="Y933" i="3"/>
  <c r="Z932" i="3"/>
  <c r="Y932" i="3"/>
  <c r="Z931" i="3"/>
  <c r="Y931" i="3"/>
  <c r="Z930" i="3"/>
  <c r="Y930" i="3"/>
  <c r="Z929" i="3"/>
  <c r="Y929" i="3"/>
  <c r="Z928" i="3"/>
  <c r="Y928" i="3"/>
  <c r="Z927" i="3"/>
  <c r="Y927" i="3"/>
  <c r="Z926" i="3"/>
  <c r="Y926" i="3"/>
  <c r="Z925" i="3"/>
  <c r="Y925" i="3"/>
  <c r="Z924" i="3"/>
  <c r="Y924" i="3"/>
  <c r="Z923" i="3"/>
  <c r="Y923" i="3"/>
  <c r="Z922" i="3"/>
  <c r="Y922" i="3"/>
  <c r="Z921" i="3"/>
  <c r="Y921" i="3"/>
  <c r="Z920" i="3"/>
  <c r="Y920" i="3"/>
  <c r="Z919" i="3"/>
  <c r="Y919" i="3"/>
  <c r="Z918" i="3"/>
  <c r="Y918" i="3"/>
  <c r="Z917" i="3"/>
  <c r="Y917" i="3"/>
  <c r="Z916" i="3"/>
  <c r="Y916" i="3"/>
  <c r="Z915" i="3"/>
  <c r="Y915" i="3"/>
  <c r="Z914" i="3"/>
  <c r="Y914" i="3"/>
  <c r="Z913" i="3"/>
  <c r="Y913" i="3"/>
  <c r="Z912" i="3"/>
  <c r="Y912" i="3"/>
  <c r="Z911" i="3"/>
  <c r="Y911" i="3"/>
  <c r="Z910" i="3"/>
  <c r="Y910" i="3"/>
  <c r="Z909" i="3"/>
  <c r="Y909" i="3"/>
  <c r="Z908" i="3"/>
  <c r="Y908" i="3"/>
  <c r="Z907" i="3"/>
  <c r="Y907" i="3"/>
  <c r="Z906" i="3"/>
  <c r="Y906" i="3"/>
  <c r="Z905" i="3"/>
  <c r="Y905" i="3"/>
  <c r="Z904" i="3"/>
  <c r="Y904" i="3"/>
  <c r="Z903" i="3"/>
  <c r="Y903" i="3"/>
  <c r="Z902" i="3"/>
  <c r="Y902" i="3"/>
  <c r="Z901" i="3"/>
  <c r="Y901" i="3"/>
  <c r="Z900" i="3"/>
  <c r="Y900" i="3"/>
  <c r="Z899" i="3"/>
  <c r="Y899" i="3"/>
  <c r="Z898" i="3"/>
  <c r="Y898" i="3"/>
  <c r="Z897" i="3"/>
  <c r="Y897" i="3"/>
  <c r="Z896" i="3"/>
  <c r="Y896" i="3"/>
  <c r="Z895" i="3"/>
  <c r="Y895" i="3"/>
  <c r="Z894" i="3"/>
  <c r="Y894" i="3"/>
  <c r="Z893" i="3"/>
  <c r="Y893" i="3"/>
  <c r="Z892" i="3"/>
  <c r="Y892" i="3"/>
  <c r="Z891" i="3"/>
  <c r="Y891" i="3"/>
  <c r="Z890" i="3"/>
  <c r="Y890" i="3"/>
  <c r="Z889" i="3"/>
  <c r="Y889" i="3"/>
  <c r="Z888" i="3"/>
  <c r="Y888" i="3"/>
  <c r="Z887" i="3"/>
  <c r="Y887" i="3"/>
  <c r="Z886" i="3"/>
  <c r="Y886" i="3"/>
  <c r="Z885" i="3"/>
  <c r="Y885" i="3"/>
  <c r="Z884" i="3"/>
  <c r="Y884" i="3"/>
  <c r="Z883" i="3"/>
  <c r="Y883" i="3"/>
  <c r="Z882" i="3"/>
  <c r="Y882" i="3"/>
  <c r="Z881" i="3"/>
  <c r="Y881" i="3"/>
  <c r="Z880" i="3"/>
  <c r="Y880" i="3"/>
  <c r="Z879" i="3"/>
  <c r="Y879" i="3"/>
  <c r="Z878" i="3"/>
  <c r="Y878" i="3"/>
  <c r="Z877" i="3"/>
  <c r="Y877" i="3"/>
  <c r="Z876" i="3"/>
  <c r="Y876" i="3"/>
  <c r="Z875" i="3"/>
  <c r="Y875" i="3"/>
  <c r="Z874" i="3"/>
  <c r="Y874" i="3"/>
  <c r="Z873" i="3"/>
  <c r="Y873" i="3"/>
  <c r="Z872" i="3"/>
  <c r="Y872" i="3"/>
  <c r="Z871" i="3"/>
  <c r="Y871" i="3"/>
  <c r="Z870" i="3"/>
  <c r="Y870" i="3"/>
  <c r="Z869" i="3"/>
  <c r="Y869" i="3"/>
  <c r="Z868" i="3"/>
  <c r="Y868" i="3"/>
  <c r="Z867" i="3"/>
  <c r="Y867" i="3"/>
  <c r="Z866" i="3"/>
  <c r="Y866" i="3"/>
  <c r="Z865" i="3"/>
  <c r="Y865" i="3"/>
  <c r="Z864" i="3"/>
  <c r="Y864" i="3"/>
  <c r="Z863" i="3"/>
  <c r="Y863" i="3"/>
  <c r="Z862" i="3"/>
  <c r="Y862" i="3"/>
  <c r="Z861" i="3"/>
  <c r="Y861" i="3"/>
  <c r="Z860" i="3"/>
  <c r="Y860" i="3"/>
  <c r="Z859" i="3"/>
  <c r="Y859" i="3"/>
  <c r="Z858" i="3"/>
  <c r="Y858" i="3"/>
  <c r="Z857" i="3"/>
  <c r="Y857" i="3"/>
  <c r="Z856" i="3"/>
  <c r="Y856" i="3"/>
  <c r="Z855" i="3"/>
  <c r="Y855" i="3"/>
  <c r="Z854" i="3"/>
  <c r="Y854" i="3"/>
  <c r="Z853" i="3"/>
  <c r="Y853" i="3"/>
  <c r="Z852" i="3"/>
  <c r="Y852" i="3"/>
  <c r="Z851" i="3"/>
  <c r="Y851" i="3"/>
  <c r="Z850" i="3"/>
  <c r="Y850" i="3"/>
  <c r="Z849" i="3"/>
  <c r="Y849" i="3"/>
  <c r="Z848" i="3"/>
  <c r="Y848" i="3"/>
  <c r="Z847" i="3"/>
  <c r="Y847" i="3"/>
  <c r="Z846" i="3"/>
  <c r="Y846" i="3"/>
  <c r="Z845" i="3"/>
  <c r="Y845" i="3"/>
  <c r="Z844" i="3"/>
  <c r="Y844" i="3"/>
  <c r="Z843" i="3"/>
  <c r="Y843" i="3"/>
  <c r="Z842" i="3"/>
  <c r="Y842" i="3"/>
  <c r="Z841" i="3"/>
  <c r="Y841" i="3"/>
  <c r="Z840" i="3"/>
  <c r="Y840" i="3"/>
  <c r="Z839" i="3"/>
  <c r="Y839" i="3"/>
  <c r="Z838" i="3"/>
  <c r="Y838" i="3"/>
  <c r="Z837" i="3"/>
  <c r="Y837" i="3"/>
  <c r="Z836" i="3"/>
  <c r="Y836" i="3"/>
  <c r="Z835" i="3"/>
  <c r="Y835" i="3"/>
  <c r="Z834" i="3"/>
  <c r="Y834" i="3"/>
  <c r="Z833" i="3"/>
  <c r="Y833" i="3"/>
  <c r="Z832" i="3"/>
  <c r="Y832" i="3"/>
  <c r="Z831" i="3"/>
  <c r="Y831" i="3"/>
  <c r="Z830" i="3"/>
  <c r="Y830" i="3"/>
  <c r="Z829" i="3"/>
  <c r="Y829" i="3"/>
  <c r="Z828" i="3"/>
  <c r="Y828" i="3"/>
  <c r="Z827" i="3"/>
  <c r="Y827" i="3"/>
  <c r="Z826" i="3"/>
  <c r="Y826" i="3"/>
  <c r="Z825" i="3"/>
  <c r="Y825" i="3"/>
  <c r="Z824" i="3"/>
  <c r="Y824" i="3"/>
  <c r="Z823" i="3"/>
  <c r="Y823" i="3"/>
  <c r="Z822" i="3"/>
  <c r="Y822" i="3"/>
  <c r="Z821" i="3"/>
  <c r="Y821" i="3"/>
  <c r="Z820" i="3"/>
  <c r="Y820" i="3"/>
  <c r="Z819" i="3"/>
  <c r="Y819" i="3"/>
  <c r="Z818" i="3"/>
  <c r="Y818" i="3"/>
  <c r="Z817" i="3"/>
  <c r="Y817" i="3"/>
  <c r="Z816" i="3"/>
  <c r="Y816" i="3"/>
  <c r="Z815" i="3"/>
  <c r="Y815" i="3"/>
  <c r="Z814" i="3"/>
  <c r="Y814" i="3"/>
  <c r="Z813" i="3"/>
  <c r="Y813" i="3"/>
  <c r="Z812" i="3"/>
  <c r="Y812" i="3"/>
  <c r="Z811" i="3"/>
  <c r="Y811" i="3"/>
  <c r="Z810" i="3"/>
  <c r="Y810" i="3"/>
  <c r="Z809" i="3"/>
  <c r="Y809" i="3"/>
  <c r="Z808" i="3"/>
  <c r="Y808" i="3"/>
  <c r="Z807" i="3"/>
  <c r="Y807" i="3"/>
  <c r="Z806" i="3"/>
  <c r="Y806" i="3"/>
  <c r="Z805" i="3"/>
  <c r="Y805" i="3"/>
  <c r="Z804" i="3"/>
  <c r="Y804" i="3"/>
  <c r="Z803" i="3"/>
  <c r="Y803" i="3"/>
  <c r="Z802" i="3"/>
  <c r="Y802" i="3"/>
  <c r="Z801" i="3"/>
  <c r="Y801" i="3"/>
  <c r="Z800" i="3"/>
  <c r="Y800" i="3"/>
  <c r="Z799" i="3"/>
  <c r="Y799" i="3"/>
  <c r="Z798" i="3"/>
  <c r="Y798" i="3"/>
  <c r="Z797" i="3"/>
  <c r="Y797" i="3"/>
  <c r="Z796" i="3"/>
  <c r="Y796" i="3"/>
  <c r="Z795" i="3"/>
  <c r="Y795" i="3"/>
  <c r="Z794" i="3"/>
  <c r="Y794" i="3"/>
  <c r="Z793" i="3"/>
  <c r="Y793" i="3"/>
  <c r="Z792" i="3"/>
  <c r="Y792" i="3"/>
  <c r="Z791" i="3"/>
  <c r="Y791" i="3"/>
  <c r="Z790" i="3"/>
  <c r="Y790" i="3"/>
  <c r="Z789" i="3"/>
  <c r="Y789" i="3"/>
  <c r="Z788" i="3"/>
  <c r="Y788" i="3"/>
  <c r="Z787" i="3"/>
  <c r="Y787" i="3"/>
  <c r="Z786" i="3"/>
  <c r="Y786" i="3"/>
  <c r="Z785" i="3"/>
  <c r="Y785" i="3"/>
  <c r="Z784" i="3"/>
  <c r="Y784" i="3"/>
  <c r="Z783" i="3"/>
  <c r="Y783" i="3"/>
  <c r="Z782" i="3"/>
  <c r="Y782" i="3"/>
  <c r="Z781" i="3"/>
  <c r="Y781" i="3"/>
  <c r="Z780" i="3"/>
  <c r="Y780" i="3"/>
  <c r="Z779" i="3"/>
  <c r="Y779" i="3"/>
  <c r="Z778" i="3"/>
  <c r="Y778" i="3"/>
  <c r="Z777" i="3"/>
  <c r="Y777" i="3"/>
  <c r="Z776" i="3"/>
  <c r="Y776" i="3"/>
  <c r="Z775" i="3"/>
  <c r="Y775" i="3"/>
  <c r="Z774" i="3"/>
  <c r="Y774" i="3"/>
  <c r="Z773" i="3"/>
  <c r="Y773" i="3"/>
  <c r="Z772" i="3"/>
  <c r="Y772" i="3"/>
  <c r="Z771" i="3"/>
  <c r="Y771" i="3"/>
  <c r="Z770" i="3"/>
  <c r="Y770" i="3"/>
  <c r="Z769" i="3"/>
  <c r="Y769" i="3"/>
  <c r="Z768" i="3"/>
  <c r="Y768" i="3"/>
  <c r="Z767" i="3"/>
  <c r="Y767" i="3"/>
  <c r="Z766" i="3"/>
  <c r="Y766" i="3"/>
  <c r="Z765" i="3"/>
  <c r="Y765" i="3"/>
  <c r="Z764" i="3"/>
  <c r="Y764" i="3"/>
  <c r="Z763" i="3"/>
  <c r="Y763" i="3"/>
  <c r="Z762" i="3"/>
  <c r="Y762" i="3"/>
  <c r="Z761" i="3"/>
  <c r="Y761" i="3"/>
  <c r="Z760" i="3"/>
  <c r="Y760" i="3"/>
  <c r="Z759" i="3"/>
  <c r="Y759" i="3"/>
  <c r="Z758" i="3"/>
  <c r="Y758" i="3"/>
  <c r="Z757" i="3"/>
  <c r="Y757" i="3"/>
  <c r="Z756" i="3"/>
  <c r="Y756" i="3"/>
  <c r="Z755" i="3"/>
  <c r="Y755" i="3"/>
  <c r="Z754" i="3"/>
  <c r="Y754" i="3"/>
  <c r="Z753" i="3"/>
  <c r="Y753" i="3"/>
  <c r="Z752" i="3"/>
  <c r="Y752" i="3"/>
  <c r="Z751" i="3"/>
  <c r="Y751" i="3"/>
  <c r="Z750" i="3"/>
  <c r="Y750" i="3"/>
  <c r="Z749" i="3"/>
  <c r="Y749" i="3"/>
  <c r="Z748" i="3"/>
  <c r="Y748" i="3"/>
  <c r="Z747" i="3"/>
  <c r="Y747" i="3"/>
  <c r="Z746" i="3"/>
  <c r="Y746" i="3"/>
  <c r="Z745" i="3"/>
  <c r="Y745" i="3"/>
  <c r="Z744" i="3"/>
  <c r="Y744" i="3"/>
  <c r="Z743" i="3"/>
  <c r="Y743" i="3"/>
  <c r="Z742" i="3"/>
  <c r="Y742" i="3"/>
  <c r="Z741" i="3"/>
  <c r="Y741" i="3"/>
  <c r="Z740" i="3"/>
  <c r="Y740" i="3"/>
  <c r="Z739" i="3"/>
  <c r="Y739" i="3"/>
  <c r="Z738" i="3"/>
  <c r="Y738" i="3"/>
  <c r="Z737" i="3"/>
  <c r="Y737" i="3"/>
  <c r="Z736" i="3"/>
  <c r="Y736" i="3"/>
  <c r="Z735" i="3"/>
  <c r="Y735" i="3"/>
  <c r="Z734" i="3"/>
  <c r="Y734" i="3"/>
  <c r="Z733" i="3"/>
  <c r="Y733" i="3"/>
  <c r="Z732" i="3"/>
  <c r="Y732" i="3"/>
  <c r="Z731" i="3"/>
  <c r="Y731" i="3"/>
  <c r="Z730" i="3"/>
  <c r="Y730" i="3"/>
  <c r="Z729" i="3"/>
  <c r="Y729" i="3"/>
  <c r="Z728" i="3"/>
  <c r="Y728" i="3"/>
  <c r="Z727" i="3"/>
  <c r="Y727" i="3"/>
  <c r="Z726" i="3"/>
  <c r="Y726" i="3"/>
  <c r="Z725" i="3"/>
  <c r="Y725" i="3"/>
  <c r="Z724" i="3"/>
  <c r="Y724" i="3"/>
  <c r="Z723" i="3"/>
  <c r="Y723" i="3"/>
  <c r="Z722" i="3"/>
  <c r="Y722" i="3"/>
  <c r="Z721" i="3"/>
  <c r="Y721" i="3"/>
  <c r="Z720" i="3"/>
  <c r="Y720" i="3"/>
  <c r="Z719" i="3"/>
  <c r="Y719" i="3"/>
  <c r="Z718" i="3"/>
  <c r="Y718" i="3"/>
  <c r="Z717" i="3"/>
  <c r="Y717" i="3"/>
  <c r="Z716" i="3"/>
  <c r="Y716" i="3"/>
  <c r="Z715" i="3"/>
  <c r="Y715" i="3"/>
  <c r="Z714" i="3"/>
  <c r="Y714" i="3"/>
  <c r="Z713" i="3"/>
  <c r="Y713" i="3"/>
  <c r="Z712" i="3"/>
  <c r="Y712" i="3"/>
  <c r="Z711" i="3"/>
  <c r="Y711" i="3"/>
  <c r="Z710" i="3"/>
  <c r="Y710" i="3"/>
  <c r="Z709" i="3"/>
  <c r="Y709" i="3"/>
  <c r="Z708" i="3"/>
  <c r="Y708" i="3"/>
  <c r="Z707" i="3"/>
  <c r="Y707" i="3"/>
  <c r="Z706" i="3"/>
  <c r="Y706" i="3"/>
  <c r="Z705" i="3"/>
  <c r="Y705" i="3"/>
  <c r="Z704" i="3"/>
  <c r="Y704" i="3"/>
  <c r="Z703" i="3"/>
  <c r="Y703" i="3"/>
  <c r="Z702" i="3"/>
  <c r="Y702" i="3"/>
  <c r="Z701" i="3"/>
  <c r="Y701" i="3"/>
  <c r="Z700" i="3"/>
  <c r="Y700" i="3"/>
  <c r="Z699" i="3"/>
  <c r="Y699" i="3"/>
  <c r="Z698" i="3"/>
  <c r="Y698" i="3"/>
  <c r="Z697" i="3"/>
  <c r="Y697" i="3"/>
  <c r="Z696" i="3"/>
  <c r="Y696" i="3"/>
  <c r="Z695" i="3"/>
  <c r="Y695" i="3"/>
  <c r="Z694" i="3"/>
  <c r="Y694" i="3"/>
  <c r="Z693" i="3"/>
  <c r="Y693" i="3"/>
  <c r="Z692" i="3"/>
  <c r="Y692" i="3"/>
  <c r="Z691" i="3"/>
  <c r="Y691" i="3"/>
  <c r="Z690" i="3"/>
  <c r="Y690" i="3"/>
  <c r="Z689" i="3"/>
  <c r="Y689" i="3"/>
  <c r="Z688" i="3"/>
  <c r="Y688" i="3"/>
  <c r="Z687" i="3"/>
  <c r="Y687" i="3"/>
  <c r="Z686" i="3"/>
  <c r="Y686" i="3"/>
  <c r="Z685" i="3"/>
  <c r="Y685" i="3"/>
  <c r="Z684" i="3"/>
  <c r="Y684" i="3"/>
  <c r="Z683" i="3"/>
  <c r="Y683" i="3"/>
  <c r="Z682" i="3"/>
  <c r="Y682" i="3"/>
  <c r="Z681" i="3"/>
  <c r="Y681" i="3"/>
  <c r="Z680" i="3"/>
  <c r="Y680" i="3"/>
  <c r="Z679" i="3"/>
  <c r="Y679" i="3"/>
  <c r="Z678" i="3"/>
  <c r="Y678" i="3"/>
  <c r="Z677" i="3"/>
  <c r="Y677" i="3"/>
  <c r="Z676" i="3"/>
  <c r="Y676" i="3"/>
  <c r="Z675" i="3"/>
  <c r="Y675" i="3"/>
  <c r="Z674" i="3"/>
  <c r="Y674" i="3"/>
  <c r="Z673" i="3"/>
  <c r="Y673" i="3"/>
  <c r="Z672" i="3"/>
  <c r="Y672" i="3"/>
  <c r="Z671" i="3"/>
  <c r="Y671" i="3"/>
  <c r="Z670" i="3"/>
  <c r="Y670" i="3"/>
  <c r="Z669" i="3"/>
  <c r="Y669" i="3"/>
  <c r="Z668" i="3"/>
  <c r="Y668" i="3"/>
  <c r="Z667" i="3"/>
  <c r="Y667" i="3"/>
  <c r="Z666" i="3"/>
  <c r="Y666" i="3"/>
  <c r="Z665" i="3"/>
  <c r="Y665" i="3"/>
  <c r="Z664" i="3"/>
  <c r="Y664" i="3"/>
  <c r="Z663" i="3"/>
  <c r="Y663" i="3"/>
  <c r="Z662" i="3"/>
  <c r="Y662" i="3"/>
  <c r="Z661" i="3"/>
  <c r="Y661" i="3"/>
  <c r="Z660" i="3"/>
  <c r="Y660" i="3"/>
  <c r="Z659" i="3"/>
  <c r="Y659" i="3"/>
  <c r="Z658" i="3"/>
  <c r="Y658" i="3"/>
  <c r="Z657" i="3"/>
  <c r="Y657" i="3"/>
  <c r="Z656" i="3"/>
  <c r="Y656" i="3"/>
  <c r="Z655" i="3"/>
  <c r="Y655" i="3"/>
  <c r="Z654" i="3"/>
  <c r="Y654" i="3"/>
  <c r="Z653" i="3"/>
  <c r="Y653" i="3"/>
  <c r="Z652" i="3"/>
  <c r="Y652" i="3"/>
  <c r="Z651" i="3"/>
  <c r="Y651" i="3"/>
  <c r="Z650" i="3"/>
  <c r="Y650" i="3"/>
  <c r="Z649" i="3"/>
  <c r="Y649" i="3"/>
  <c r="Z648" i="3"/>
  <c r="Y648" i="3"/>
  <c r="Z647" i="3"/>
  <c r="Y647" i="3"/>
  <c r="Z646" i="3"/>
  <c r="Y646" i="3"/>
  <c r="Z645" i="3"/>
  <c r="Y645" i="3"/>
  <c r="Z644" i="3"/>
  <c r="Y644" i="3"/>
  <c r="Z643" i="3"/>
  <c r="Y643" i="3"/>
  <c r="Z642" i="3"/>
  <c r="Y642" i="3"/>
  <c r="Z641" i="3"/>
  <c r="Y641" i="3"/>
  <c r="Z640" i="3"/>
  <c r="Y640" i="3"/>
  <c r="Z639" i="3"/>
  <c r="Y639" i="3"/>
  <c r="Z638" i="3"/>
  <c r="Y638" i="3"/>
  <c r="Z637" i="3"/>
  <c r="Y637" i="3"/>
  <c r="Z636" i="3"/>
  <c r="Y636" i="3"/>
  <c r="Z635" i="3"/>
  <c r="Y635" i="3"/>
  <c r="Z634" i="3"/>
  <c r="Y634" i="3"/>
  <c r="Z633" i="3"/>
  <c r="Y633" i="3"/>
  <c r="Z632" i="3"/>
  <c r="Y632" i="3"/>
  <c r="Z631" i="3"/>
  <c r="Y631" i="3"/>
  <c r="Z630" i="3"/>
  <c r="Y630" i="3"/>
  <c r="Z629" i="3"/>
  <c r="Y629" i="3"/>
  <c r="Z628" i="3"/>
  <c r="Y628" i="3"/>
  <c r="Z627" i="3"/>
  <c r="Y627" i="3"/>
  <c r="Z626" i="3"/>
  <c r="Y626" i="3"/>
  <c r="Z625" i="3"/>
  <c r="Y625" i="3"/>
  <c r="Z624" i="3"/>
  <c r="Y624" i="3"/>
  <c r="Z623" i="3"/>
  <c r="Y623" i="3"/>
  <c r="Z622" i="3"/>
  <c r="Y622" i="3"/>
  <c r="Z621" i="3"/>
  <c r="Y621" i="3"/>
  <c r="Z620" i="3"/>
  <c r="Y620" i="3"/>
  <c r="Z619" i="3"/>
  <c r="Y619" i="3"/>
  <c r="Z618" i="3"/>
  <c r="Y618" i="3"/>
  <c r="Z617" i="3"/>
  <c r="Y617" i="3"/>
  <c r="Z616" i="3"/>
  <c r="Y616" i="3"/>
  <c r="Z615" i="3"/>
  <c r="Y615" i="3"/>
  <c r="Z614" i="3"/>
  <c r="Y614" i="3"/>
  <c r="Z613" i="3"/>
  <c r="Y613" i="3"/>
  <c r="Z612" i="3"/>
  <c r="Y612" i="3"/>
  <c r="Z611" i="3"/>
  <c r="Y611" i="3"/>
  <c r="Z610" i="3"/>
  <c r="Y610" i="3"/>
  <c r="Z609" i="3"/>
  <c r="Y609" i="3"/>
  <c r="Z608" i="3"/>
  <c r="Y608" i="3"/>
  <c r="Z607" i="3"/>
  <c r="Y607" i="3"/>
  <c r="Z606" i="3"/>
  <c r="Y606" i="3"/>
  <c r="Z605" i="3"/>
  <c r="Y605" i="3"/>
  <c r="Z604" i="3"/>
  <c r="Y604" i="3"/>
  <c r="Z603" i="3"/>
  <c r="Y603" i="3"/>
  <c r="Z602" i="3"/>
  <c r="Y602" i="3"/>
  <c r="Z601" i="3"/>
  <c r="Y601" i="3"/>
  <c r="Z600" i="3"/>
  <c r="Y600" i="3"/>
  <c r="Z599" i="3"/>
  <c r="Y599" i="3"/>
  <c r="Z598" i="3"/>
  <c r="Y598" i="3"/>
  <c r="Z597" i="3"/>
  <c r="Y597" i="3"/>
  <c r="Z596" i="3"/>
  <c r="Y596" i="3"/>
  <c r="Z595" i="3"/>
  <c r="Y595" i="3"/>
  <c r="Z594" i="3"/>
  <c r="Y594" i="3"/>
  <c r="Z593" i="3"/>
  <c r="Y593" i="3"/>
  <c r="Z592" i="3"/>
  <c r="Y592" i="3"/>
  <c r="Z591" i="3"/>
  <c r="Y591" i="3"/>
  <c r="Z590" i="3"/>
  <c r="Y590" i="3"/>
  <c r="Z589" i="3"/>
  <c r="Y589" i="3"/>
  <c r="Z588" i="3"/>
  <c r="Y588" i="3"/>
  <c r="Z587" i="3"/>
  <c r="Y587" i="3"/>
  <c r="Z586" i="3"/>
  <c r="Y586" i="3"/>
  <c r="Z585" i="3"/>
  <c r="Y585" i="3"/>
  <c r="Z584" i="3"/>
  <c r="Y584" i="3"/>
  <c r="Z583" i="3"/>
  <c r="Y583" i="3"/>
  <c r="Z582" i="3"/>
  <c r="Y582" i="3"/>
  <c r="Z581" i="3"/>
  <c r="Y581" i="3"/>
  <c r="Z580" i="3"/>
  <c r="Y580" i="3"/>
  <c r="Z579" i="3"/>
  <c r="Y579" i="3"/>
  <c r="Z578" i="3"/>
  <c r="Y578" i="3"/>
  <c r="Z577" i="3"/>
  <c r="Y577" i="3"/>
  <c r="Z576" i="3"/>
  <c r="Y576" i="3"/>
  <c r="Z575" i="3"/>
  <c r="Y575" i="3"/>
  <c r="Z574" i="3"/>
  <c r="Y574" i="3"/>
  <c r="Z573" i="3"/>
  <c r="Y573" i="3"/>
  <c r="Z572" i="3"/>
  <c r="Y572" i="3"/>
  <c r="Z571" i="3"/>
  <c r="Y571" i="3"/>
  <c r="Z570" i="3"/>
  <c r="Y570" i="3"/>
  <c r="Z569" i="3"/>
  <c r="Y569" i="3"/>
  <c r="Z568" i="3"/>
  <c r="Y568" i="3"/>
  <c r="Z567" i="3"/>
  <c r="Y567" i="3"/>
  <c r="Z566" i="3"/>
  <c r="Y566" i="3"/>
  <c r="Z565" i="3"/>
  <c r="Y565" i="3"/>
  <c r="Z564" i="3"/>
  <c r="Y564" i="3"/>
  <c r="Z563" i="3"/>
  <c r="Y563" i="3"/>
  <c r="Z562" i="3"/>
  <c r="Y562" i="3"/>
  <c r="Z561" i="3"/>
  <c r="Y561" i="3"/>
  <c r="Z560" i="3"/>
  <c r="Y560" i="3"/>
  <c r="Z559" i="3"/>
  <c r="Y559" i="3"/>
  <c r="Z558" i="3"/>
  <c r="Y558" i="3"/>
  <c r="Z557" i="3"/>
  <c r="Y557" i="3"/>
  <c r="Z556" i="3"/>
  <c r="Y556" i="3"/>
  <c r="Z555" i="3"/>
  <c r="Y555" i="3"/>
  <c r="Z554" i="3"/>
  <c r="Y554" i="3"/>
  <c r="Z553" i="3"/>
  <c r="Y553" i="3"/>
  <c r="Z552" i="3"/>
  <c r="Y552" i="3"/>
  <c r="Z551" i="3"/>
  <c r="Y551" i="3"/>
  <c r="Z550" i="3"/>
  <c r="Y550" i="3"/>
  <c r="Z549" i="3"/>
  <c r="Y549" i="3"/>
  <c r="Z548" i="3"/>
  <c r="Y548" i="3"/>
  <c r="Z547" i="3"/>
  <c r="Y547" i="3"/>
  <c r="Z546" i="3"/>
  <c r="Y546" i="3"/>
  <c r="Z545" i="3"/>
  <c r="Y545" i="3"/>
  <c r="Z544" i="3"/>
  <c r="Y544" i="3"/>
  <c r="Z543" i="3"/>
  <c r="Y543" i="3"/>
  <c r="Z542" i="3"/>
  <c r="Y542" i="3"/>
  <c r="Z541" i="3"/>
  <c r="Y541" i="3"/>
  <c r="Z540" i="3"/>
  <c r="Y540" i="3"/>
  <c r="Z539" i="3"/>
  <c r="Y539" i="3"/>
  <c r="Z538" i="3"/>
  <c r="Y538" i="3"/>
  <c r="Z537" i="3"/>
  <c r="Y537" i="3"/>
  <c r="Z536" i="3"/>
  <c r="Y536" i="3"/>
  <c r="Z535" i="3"/>
  <c r="Y535" i="3"/>
  <c r="Z534" i="3"/>
  <c r="Y534" i="3"/>
  <c r="Z533" i="3"/>
  <c r="Y533" i="3"/>
  <c r="Z532" i="3"/>
  <c r="Y532" i="3"/>
  <c r="Z531" i="3"/>
  <c r="Y531" i="3"/>
  <c r="Z530" i="3"/>
  <c r="Y530" i="3"/>
  <c r="Z529" i="3"/>
  <c r="Y529" i="3"/>
  <c r="Z528" i="3"/>
  <c r="Y528" i="3"/>
  <c r="Z527" i="3"/>
  <c r="Y527" i="3"/>
  <c r="Z526" i="3"/>
  <c r="Y526" i="3"/>
  <c r="Z525" i="3"/>
  <c r="Y525" i="3"/>
  <c r="Z524" i="3"/>
  <c r="Y524" i="3"/>
  <c r="Z523" i="3"/>
  <c r="Y523" i="3"/>
  <c r="Z522" i="3"/>
  <c r="Y522" i="3"/>
  <c r="Z521" i="3"/>
  <c r="Y521" i="3"/>
  <c r="Z520" i="3"/>
  <c r="Y520" i="3"/>
  <c r="Z519" i="3"/>
  <c r="Y519" i="3"/>
  <c r="Z518" i="3"/>
  <c r="Y518" i="3"/>
  <c r="Z517" i="3"/>
  <c r="Y517" i="3"/>
  <c r="Z516" i="3"/>
  <c r="Y516" i="3"/>
  <c r="Z515" i="3"/>
  <c r="Y515" i="3"/>
  <c r="Z514" i="3"/>
  <c r="Y514" i="3"/>
  <c r="Z513" i="3"/>
  <c r="Y513" i="3"/>
  <c r="Z512" i="3"/>
  <c r="Y512" i="3"/>
  <c r="Z511" i="3"/>
  <c r="Y511" i="3"/>
  <c r="Z510" i="3"/>
  <c r="Y510" i="3"/>
  <c r="Z509" i="3"/>
  <c r="Y509" i="3"/>
  <c r="Z508" i="3"/>
  <c r="Y508" i="3"/>
  <c r="Z507" i="3"/>
  <c r="Y507" i="3"/>
  <c r="Z506" i="3"/>
  <c r="Y506" i="3"/>
  <c r="Z505" i="3"/>
  <c r="Y505" i="3"/>
  <c r="Z504" i="3"/>
  <c r="Y504" i="3"/>
  <c r="Z503" i="3"/>
  <c r="Y503" i="3"/>
  <c r="Z502" i="3"/>
  <c r="Y502" i="3"/>
  <c r="Z501" i="3"/>
  <c r="Y501" i="3"/>
  <c r="Z500" i="3"/>
  <c r="Y500" i="3"/>
  <c r="Z499" i="3"/>
  <c r="Y499" i="3"/>
  <c r="Z498" i="3"/>
  <c r="Y498" i="3"/>
  <c r="Z497" i="3"/>
  <c r="Y497" i="3"/>
  <c r="Z496" i="3"/>
  <c r="Y496" i="3"/>
  <c r="Z495" i="3"/>
  <c r="Y495" i="3"/>
  <c r="Z494" i="3"/>
  <c r="Y494" i="3"/>
  <c r="Z493" i="3"/>
  <c r="Y493" i="3"/>
  <c r="Z492" i="3"/>
  <c r="Y492" i="3"/>
  <c r="Z491" i="3"/>
  <c r="Y491" i="3"/>
  <c r="Z490" i="3"/>
  <c r="Y490" i="3"/>
  <c r="Z489" i="3"/>
  <c r="Y489" i="3"/>
  <c r="Z488" i="3"/>
  <c r="Y488" i="3"/>
  <c r="Z487" i="3"/>
  <c r="Y487" i="3"/>
  <c r="Z486" i="3"/>
  <c r="Y486" i="3"/>
  <c r="Z485" i="3"/>
  <c r="Y485" i="3"/>
  <c r="Z484" i="3"/>
  <c r="Y484" i="3"/>
  <c r="Z483" i="3"/>
  <c r="Y483" i="3"/>
  <c r="Z482" i="3"/>
  <c r="Y482" i="3"/>
  <c r="Z481" i="3"/>
  <c r="Y481" i="3"/>
  <c r="Z480" i="3"/>
  <c r="C32" i="4" s="1"/>
  <c r="Y480" i="3"/>
  <c r="Z479" i="3"/>
  <c r="Y479" i="3"/>
  <c r="Z478" i="3"/>
  <c r="Y478" i="3"/>
  <c r="Z477" i="3"/>
  <c r="Y477" i="3"/>
  <c r="Z476" i="3"/>
  <c r="Y476" i="3"/>
  <c r="Z475" i="3"/>
  <c r="Y475" i="3"/>
  <c r="Z474" i="3"/>
  <c r="Y474" i="3"/>
  <c r="Z473" i="3"/>
  <c r="Y473" i="3"/>
  <c r="Z472" i="3"/>
  <c r="Y472" i="3"/>
  <c r="Z471" i="3"/>
  <c r="Y471" i="3"/>
  <c r="Z470" i="3"/>
  <c r="Y470" i="3"/>
  <c r="Z469" i="3"/>
  <c r="Y469" i="3"/>
  <c r="Z468" i="3"/>
  <c r="Y468" i="3"/>
  <c r="Z467" i="3"/>
  <c r="Y467" i="3"/>
  <c r="Z466" i="3"/>
  <c r="Y466" i="3"/>
  <c r="Z465" i="3"/>
  <c r="Y465" i="3"/>
  <c r="Z464" i="3"/>
  <c r="Y464" i="3"/>
  <c r="Z463" i="3"/>
  <c r="Y463" i="3"/>
  <c r="Z462" i="3"/>
  <c r="Y462" i="3"/>
  <c r="Z461" i="3"/>
  <c r="Y461" i="3"/>
  <c r="Z460" i="3"/>
  <c r="Y460" i="3"/>
  <c r="Z459" i="3"/>
  <c r="Y459" i="3"/>
  <c r="Z458" i="3"/>
  <c r="Y458" i="3"/>
  <c r="Z457" i="3"/>
  <c r="Y457" i="3"/>
  <c r="Z456" i="3"/>
  <c r="Y456" i="3"/>
  <c r="Z455" i="3"/>
  <c r="Y455" i="3"/>
  <c r="Z454" i="3"/>
  <c r="Y454" i="3"/>
  <c r="Z453" i="3"/>
  <c r="Y453" i="3"/>
  <c r="Z452" i="3"/>
  <c r="Y452" i="3"/>
  <c r="Z451" i="3"/>
  <c r="Y451" i="3"/>
  <c r="Z450" i="3"/>
  <c r="Y450" i="3"/>
  <c r="Z449" i="3"/>
  <c r="Y449" i="3"/>
  <c r="Z448" i="3"/>
  <c r="Y448" i="3"/>
  <c r="Z447" i="3"/>
  <c r="Y447" i="3"/>
  <c r="Z446" i="3"/>
  <c r="Y446" i="3"/>
  <c r="Z445" i="3"/>
  <c r="Y445" i="3"/>
  <c r="Z444" i="3"/>
  <c r="Y444" i="3"/>
  <c r="Z443" i="3"/>
  <c r="Y443" i="3"/>
  <c r="Z442" i="3"/>
  <c r="Y442" i="3"/>
  <c r="Z441" i="3"/>
  <c r="Y441" i="3"/>
  <c r="Z440" i="3"/>
  <c r="Y440" i="3"/>
  <c r="Z439" i="3"/>
  <c r="Y439" i="3"/>
  <c r="Z438" i="3"/>
  <c r="Y438" i="3"/>
  <c r="Z437" i="3"/>
  <c r="Y437" i="3"/>
  <c r="Z436" i="3"/>
  <c r="Y436" i="3"/>
  <c r="Z435" i="3"/>
  <c r="Y435" i="3"/>
  <c r="Z434" i="3"/>
  <c r="Y434" i="3"/>
  <c r="Z433" i="3"/>
  <c r="Y433" i="3"/>
  <c r="Z432" i="3"/>
  <c r="Y432" i="3"/>
  <c r="Z431" i="3"/>
  <c r="Y431" i="3"/>
  <c r="Z430" i="3"/>
  <c r="Y430" i="3"/>
  <c r="Z429" i="3"/>
  <c r="Y429" i="3"/>
  <c r="Z428" i="3"/>
  <c r="Y428" i="3"/>
  <c r="Z427" i="3"/>
  <c r="Y427" i="3"/>
  <c r="Z426" i="3"/>
  <c r="Y426" i="3"/>
  <c r="Z425" i="3"/>
  <c r="Y425" i="3"/>
  <c r="Z424" i="3"/>
  <c r="Y424" i="3"/>
  <c r="Z423" i="3"/>
  <c r="Y423" i="3"/>
  <c r="Z422" i="3"/>
  <c r="Y422" i="3"/>
  <c r="Z421" i="3"/>
  <c r="Y421" i="3"/>
  <c r="Z420" i="3"/>
  <c r="Y420" i="3"/>
  <c r="Z419" i="3"/>
  <c r="Y419" i="3"/>
  <c r="Z418" i="3"/>
  <c r="Y418" i="3"/>
  <c r="Z417" i="3"/>
  <c r="Y417" i="3"/>
  <c r="Z416" i="3"/>
  <c r="Y416" i="3"/>
  <c r="Z415" i="3"/>
  <c r="Y415" i="3"/>
  <c r="Z414" i="3"/>
  <c r="Y414" i="3"/>
  <c r="Z413" i="3"/>
  <c r="Y413" i="3"/>
  <c r="Z412" i="3"/>
  <c r="Y412" i="3"/>
  <c r="Z411" i="3"/>
  <c r="Y411" i="3"/>
  <c r="Z410" i="3"/>
  <c r="Y410" i="3"/>
  <c r="Z409" i="3"/>
  <c r="Y409" i="3"/>
  <c r="Z408" i="3"/>
  <c r="Y408" i="3"/>
  <c r="Z407" i="3"/>
  <c r="Y407" i="3"/>
  <c r="Z406" i="3"/>
  <c r="Y406" i="3"/>
  <c r="Z405" i="3"/>
  <c r="Y405" i="3"/>
  <c r="Z404" i="3"/>
  <c r="Y404" i="3"/>
  <c r="Z403" i="3"/>
  <c r="Y403" i="3"/>
  <c r="Z402" i="3"/>
  <c r="Y402" i="3"/>
  <c r="Z401" i="3"/>
  <c r="Y401" i="3"/>
  <c r="Z400" i="3"/>
  <c r="Y400" i="3"/>
  <c r="Z399" i="3"/>
  <c r="Y399" i="3"/>
  <c r="Z398" i="3"/>
  <c r="Y398" i="3"/>
  <c r="Z397" i="3"/>
  <c r="Y397" i="3"/>
  <c r="Z396" i="3"/>
  <c r="Y396" i="3"/>
  <c r="Z395" i="3"/>
  <c r="Y395" i="3"/>
  <c r="Z394" i="3"/>
  <c r="Y394" i="3"/>
  <c r="Z393" i="3"/>
  <c r="Y393" i="3"/>
  <c r="Z392" i="3"/>
  <c r="Y392" i="3"/>
  <c r="Z391" i="3"/>
  <c r="Y391" i="3"/>
  <c r="Z390" i="3"/>
  <c r="Y390" i="3"/>
  <c r="Z389" i="3"/>
  <c r="Y389" i="3"/>
  <c r="Z388" i="3"/>
  <c r="Y388" i="3"/>
  <c r="Z387" i="3"/>
  <c r="Y387" i="3"/>
  <c r="Z386" i="3"/>
  <c r="Y386" i="3"/>
  <c r="Z385" i="3"/>
  <c r="Y385" i="3"/>
  <c r="Z384" i="3"/>
  <c r="Y384" i="3"/>
  <c r="Z383" i="3"/>
  <c r="Y383" i="3"/>
  <c r="Z382" i="3"/>
  <c r="Y382" i="3"/>
  <c r="Z381" i="3"/>
  <c r="Y381" i="3"/>
  <c r="Z380" i="3"/>
  <c r="Y380" i="3"/>
  <c r="Z379" i="3"/>
  <c r="Y379" i="3"/>
  <c r="Z378" i="3"/>
  <c r="Y378" i="3"/>
  <c r="Z377" i="3"/>
  <c r="Y377" i="3"/>
  <c r="Z376" i="3"/>
  <c r="Y376" i="3"/>
  <c r="Z375" i="3"/>
  <c r="Y375" i="3"/>
  <c r="Z374" i="3"/>
  <c r="Y374" i="3"/>
  <c r="Z373" i="3"/>
  <c r="Y373" i="3"/>
  <c r="Z372" i="3"/>
  <c r="Y372" i="3"/>
  <c r="Z371" i="3"/>
  <c r="Y371" i="3"/>
  <c r="Z370" i="3"/>
  <c r="Y370" i="3"/>
  <c r="Z369" i="3"/>
  <c r="Y369" i="3"/>
  <c r="Z368" i="3"/>
  <c r="Y368" i="3"/>
  <c r="Z367" i="3"/>
  <c r="Y367" i="3"/>
  <c r="Z366" i="3"/>
  <c r="Y366" i="3"/>
  <c r="Z365" i="3"/>
  <c r="Y365" i="3"/>
  <c r="Z364" i="3"/>
  <c r="Y364" i="3"/>
  <c r="Z363" i="3"/>
  <c r="Y363" i="3"/>
  <c r="Z362" i="3"/>
  <c r="Y362" i="3"/>
  <c r="Z361" i="3"/>
  <c r="Y361" i="3"/>
  <c r="Z360" i="3"/>
  <c r="Y360" i="3"/>
  <c r="Z359" i="3"/>
  <c r="Y359" i="3"/>
  <c r="Z358" i="3"/>
  <c r="Y358" i="3"/>
  <c r="Z357" i="3"/>
  <c r="Y357" i="3"/>
  <c r="Z356" i="3"/>
  <c r="Y356" i="3"/>
  <c r="Z355" i="3"/>
  <c r="Y355" i="3"/>
  <c r="Z354" i="3"/>
  <c r="Y354" i="3"/>
  <c r="Z353" i="3"/>
  <c r="Y353" i="3"/>
  <c r="Z352" i="3"/>
  <c r="Y352" i="3"/>
  <c r="Z351" i="3"/>
  <c r="Y351" i="3"/>
  <c r="Z350" i="3"/>
  <c r="Y350" i="3"/>
  <c r="Z349" i="3"/>
  <c r="Y349" i="3"/>
  <c r="Z348" i="3"/>
  <c r="Y348" i="3"/>
  <c r="Z347" i="3"/>
  <c r="Y347" i="3"/>
  <c r="Z346" i="3"/>
  <c r="Y346" i="3"/>
  <c r="Z345" i="3"/>
  <c r="Y345" i="3"/>
  <c r="Z344" i="3"/>
  <c r="Y344" i="3"/>
  <c r="Z343" i="3"/>
  <c r="Y343" i="3"/>
  <c r="Z342" i="3"/>
  <c r="Y342" i="3"/>
  <c r="Z341" i="3"/>
  <c r="Y341" i="3"/>
  <c r="Z340" i="3"/>
  <c r="Y340" i="3"/>
  <c r="Z339" i="3"/>
  <c r="Y339" i="3"/>
  <c r="Z338" i="3"/>
  <c r="Y338" i="3"/>
  <c r="Z337" i="3"/>
  <c r="Y337" i="3"/>
  <c r="Z336" i="3"/>
  <c r="Y336" i="3"/>
  <c r="Z335" i="3"/>
  <c r="Y335" i="3"/>
  <c r="Z334" i="3"/>
  <c r="Y334" i="3"/>
  <c r="Z333" i="3"/>
  <c r="Y333" i="3"/>
  <c r="Z332" i="3"/>
  <c r="Y332" i="3"/>
  <c r="Z331" i="3"/>
  <c r="Y331" i="3"/>
  <c r="Z330" i="3"/>
  <c r="Y330" i="3"/>
  <c r="Z329" i="3"/>
  <c r="Y329" i="3"/>
  <c r="Z328" i="3"/>
  <c r="Y328" i="3"/>
  <c r="Z327" i="3"/>
  <c r="Y327" i="3"/>
  <c r="Z326" i="3"/>
  <c r="Y326" i="3"/>
  <c r="Z325" i="3"/>
  <c r="Y325" i="3"/>
  <c r="Z324" i="3"/>
  <c r="Y324" i="3"/>
  <c r="Z323" i="3"/>
  <c r="Y323" i="3"/>
  <c r="Z322" i="3"/>
  <c r="Y322" i="3"/>
  <c r="Z321" i="3"/>
  <c r="Y321" i="3"/>
  <c r="Z320" i="3"/>
  <c r="Y320" i="3"/>
  <c r="Z319" i="3"/>
  <c r="Y319" i="3"/>
  <c r="Z318" i="3"/>
  <c r="Y318" i="3"/>
  <c r="Z317" i="3"/>
  <c r="Y317" i="3"/>
  <c r="Z316" i="3"/>
  <c r="Y316" i="3"/>
  <c r="Z315" i="3"/>
  <c r="Y315" i="3"/>
  <c r="Z314" i="3"/>
  <c r="Y314" i="3"/>
  <c r="Z313" i="3"/>
  <c r="Y313" i="3"/>
  <c r="Z312" i="3"/>
  <c r="Y312" i="3"/>
  <c r="Z311" i="3"/>
  <c r="Y311" i="3"/>
  <c r="Z310" i="3"/>
  <c r="Y310" i="3"/>
  <c r="Z309" i="3"/>
  <c r="Y309" i="3"/>
  <c r="Z308" i="3"/>
  <c r="Y308" i="3"/>
  <c r="Z307" i="3"/>
  <c r="Y307" i="3"/>
  <c r="Z306" i="3"/>
  <c r="Y306" i="3"/>
  <c r="Z305" i="3"/>
  <c r="Y305" i="3"/>
  <c r="Z304" i="3"/>
  <c r="Y304" i="3"/>
  <c r="Z303" i="3"/>
  <c r="Y303" i="3"/>
  <c r="Z302" i="3"/>
  <c r="Y302" i="3"/>
  <c r="Z301" i="3"/>
  <c r="Y301" i="3"/>
  <c r="Z300" i="3"/>
  <c r="Y300" i="3"/>
  <c r="Z299" i="3"/>
  <c r="Y299" i="3"/>
  <c r="Z298" i="3"/>
  <c r="Y298" i="3"/>
  <c r="Z297" i="3"/>
  <c r="Y297" i="3"/>
  <c r="Z296" i="3"/>
  <c r="Y296" i="3"/>
  <c r="Z295" i="3"/>
  <c r="Y295" i="3"/>
  <c r="Z294" i="3"/>
  <c r="Y294" i="3"/>
  <c r="Z293" i="3"/>
  <c r="Y293" i="3"/>
  <c r="Z292" i="3"/>
  <c r="Y292" i="3"/>
  <c r="Z291" i="3"/>
  <c r="Y291" i="3"/>
  <c r="Z290" i="3"/>
  <c r="Y290" i="3"/>
  <c r="Z289" i="3"/>
  <c r="Y289" i="3"/>
  <c r="Z288" i="3"/>
  <c r="Y288" i="3"/>
  <c r="Z287" i="3"/>
  <c r="Y287" i="3"/>
  <c r="Z286" i="3"/>
  <c r="Y286" i="3"/>
  <c r="Z285" i="3"/>
  <c r="Y285" i="3"/>
  <c r="Z284" i="3"/>
  <c r="Y284" i="3"/>
  <c r="Z283" i="3"/>
  <c r="Y283" i="3"/>
  <c r="Z282" i="3"/>
  <c r="Y282" i="3"/>
  <c r="Z281" i="3"/>
  <c r="Y281" i="3"/>
  <c r="Z280" i="3"/>
  <c r="Y280" i="3"/>
  <c r="Z279" i="3"/>
  <c r="Y279" i="3"/>
  <c r="Z278" i="3"/>
  <c r="Y278" i="3"/>
  <c r="Z277" i="3"/>
  <c r="Y277" i="3"/>
  <c r="Z276" i="3"/>
  <c r="Y276" i="3"/>
  <c r="Z275" i="3"/>
  <c r="Y275" i="3"/>
  <c r="Z274" i="3"/>
  <c r="Y274" i="3"/>
  <c r="Z273" i="3"/>
  <c r="Y273" i="3"/>
  <c r="Z272" i="3"/>
  <c r="Y272" i="3"/>
  <c r="Z271" i="3"/>
  <c r="Y271" i="3"/>
  <c r="Z270" i="3"/>
  <c r="Y270" i="3"/>
  <c r="Z269" i="3"/>
  <c r="Y269" i="3"/>
  <c r="Z268" i="3"/>
  <c r="Y268" i="3"/>
  <c r="Z267" i="3"/>
  <c r="Y267" i="3"/>
  <c r="Z266" i="3"/>
  <c r="Y266" i="3"/>
  <c r="Z265" i="3"/>
  <c r="Y265" i="3"/>
  <c r="Z264" i="3"/>
  <c r="Y264" i="3"/>
  <c r="Z263" i="3"/>
  <c r="Y263" i="3"/>
  <c r="Z262" i="3"/>
  <c r="Y262" i="3"/>
  <c r="Z261" i="3"/>
  <c r="Y261" i="3"/>
  <c r="Z260" i="3"/>
  <c r="Y260" i="3"/>
  <c r="Z259" i="3"/>
  <c r="Y259" i="3"/>
  <c r="Z258" i="3"/>
  <c r="Y258" i="3"/>
  <c r="Z257" i="3"/>
  <c r="Y257" i="3"/>
  <c r="Z256" i="3"/>
  <c r="Y256" i="3"/>
  <c r="Z255" i="3"/>
  <c r="Y255" i="3"/>
  <c r="Z254" i="3"/>
  <c r="Y254" i="3"/>
  <c r="Z253" i="3"/>
  <c r="Y253" i="3"/>
  <c r="Z252" i="3"/>
  <c r="Y252" i="3"/>
  <c r="Z251" i="3"/>
  <c r="Y251" i="3"/>
  <c r="Z250" i="3"/>
  <c r="Y250" i="3"/>
  <c r="Z249" i="3"/>
  <c r="Y249" i="3"/>
  <c r="Z248" i="3"/>
  <c r="Y248" i="3"/>
  <c r="Z247" i="3"/>
  <c r="Y247" i="3"/>
  <c r="Z246" i="3"/>
  <c r="Y246" i="3"/>
  <c r="Z245" i="3"/>
  <c r="Y245" i="3"/>
  <c r="Z244" i="3"/>
  <c r="Y244" i="3"/>
  <c r="Z243" i="3"/>
  <c r="Y243" i="3"/>
  <c r="Z242" i="3"/>
  <c r="Y242" i="3"/>
  <c r="Z241" i="3"/>
  <c r="Y241" i="3"/>
  <c r="Z240" i="3"/>
  <c r="D7" i="4" s="1"/>
  <c r="Y240" i="3"/>
  <c r="Z239" i="3"/>
  <c r="Y239" i="3"/>
  <c r="Z238" i="3"/>
  <c r="Y238" i="3"/>
  <c r="Z237" i="3"/>
  <c r="Y237" i="3"/>
  <c r="Z236" i="3"/>
  <c r="Y236" i="3"/>
  <c r="Z235" i="3"/>
  <c r="Y235" i="3"/>
  <c r="Z234" i="3"/>
  <c r="Y234" i="3"/>
  <c r="Z233" i="3"/>
  <c r="Y233" i="3"/>
  <c r="Z232" i="3"/>
  <c r="Y232" i="3"/>
  <c r="Z231" i="3"/>
  <c r="Y231" i="3"/>
  <c r="Z230" i="3"/>
  <c r="Y230" i="3"/>
  <c r="Z229" i="3"/>
  <c r="Y229" i="3"/>
  <c r="Z228" i="3"/>
  <c r="Y228" i="3"/>
  <c r="Z227" i="3"/>
  <c r="Y227" i="3"/>
  <c r="Z226" i="3"/>
  <c r="Y226" i="3"/>
  <c r="Z225" i="3"/>
  <c r="Y225" i="3"/>
  <c r="Z224" i="3"/>
  <c r="Y224" i="3"/>
  <c r="Z223" i="3"/>
  <c r="Y223" i="3"/>
  <c r="Z222" i="3"/>
  <c r="Y222" i="3"/>
  <c r="Z221" i="3"/>
  <c r="Y221" i="3"/>
  <c r="Z220" i="3"/>
  <c r="Y220" i="3"/>
  <c r="Z219" i="3"/>
  <c r="Y219" i="3"/>
  <c r="Z218" i="3"/>
  <c r="Y218" i="3"/>
  <c r="Z217" i="3"/>
  <c r="Y217" i="3"/>
  <c r="Z216" i="3"/>
  <c r="Y216" i="3"/>
  <c r="Z215" i="3"/>
  <c r="Y215" i="3"/>
  <c r="Z214" i="3"/>
  <c r="Y214" i="3"/>
  <c r="Z213" i="3"/>
  <c r="Y213" i="3"/>
  <c r="Z212" i="3"/>
  <c r="Y212" i="3"/>
  <c r="Z211" i="3"/>
  <c r="Y211" i="3"/>
  <c r="Z210" i="3"/>
  <c r="Y210" i="3"/>
  <c r="Z209" i="3"/>
  <c r="Y209" i="3"/>
  <c r="Z208" i="3"/>
  <c r="Y208" i="3"/>
  <c r="Z207" i="3"/>
  <c r="Y207" i="3"/>
  <c r="Z206" i="3"/>
  <c r="Y206" i="3"/>
  <c r="Z205" i="3"/>
  <c r="Y205" i="3"/>
  <c r="Z204" i="3"/>
  <c r="Y204" i="3"/>
  <c r="Z203" i="3"/>
  <c r="Y203" i="3"/>
  <c r="Z202" i="3"/>
  <c r="Y202" i="3"/>
  <c r="Z201" i="3"/>
  <c r="Y201" i="3"/>
  <c r="Z200" i="3"/>
  <c r="C52" i="4" s="1"/>
  <c r="Y200" i="3"/>
  <c r="Z199" i="3"/>
  <c r="Y199" i="3"/>
  <c r="Z198" i="3"/>
  <c r="Y198" i="3"/>
  <c r="Z197" i="3"/>
  <c r="Y197" i="3"/>
  <c r="Z196" i="3"/>
  <c r="Y196" i="3"/>
  <c r="Z195" i="3"/>
  <c r="Y195" i="3"/>
  <c r="Z194" i="3"/>
  <c r="Y194" i="3"/>
  <c r="Z193" i="3"/>
  <c r="Y193" i="3"/>
  <c r="Z192" i="3"/>
  <c r="Y192" i="3"/>
  <c r="Z191" i="3"/>
  <c r="Y191" i="3"/>
  <c r="Z190" i="3"/>
  <c r="Y190" i="3"/>
  <c r="Z189" i="3"/>
  <c r="Y189" i="3"/>
  <c r="Z188" i="3"/>
  <c r="Y188" i="3"/>
  <c r="Z187" i="3"/>
  <c r="Y187" i="3"/>
  <c r="Z186" i="3"/>
  <c r="Y186" i="3"/>
  <c r="Z185" i="3"/>
  <c r="Y185" i="3"/>
  <c r="Z184" i="3"/>
  <c r="Y184" i="3"/>
  <c r="Z183" i="3"/>
  <c r="Y183" i="3"/>
  <c r="Z182" i="3"/>
  <c r="Y182" i="3"/>
  <c r="Z181" i="3"/>
  <c r="Y181" i="3"/>
  <c r="Z180" i="3"/>
  <c r="Y180" i="3"/>
  <c r="Z179" i="3"/>
  <c r="Y179" i="3"/>
  <c r="Z178" i="3"/>
  <c r="Y178" i="3"/>
  <c r="Z177" i="3"/>
  <c r="Y177" i="3"/>
  <c r="Z176" i="3"/>
  <c r="Y176" i="3"/>
  <c r="Z175" i="3"/>
  <c r="Y175" i="3"/>
  <c r="Z174" i="3"/>
  <c r="Y174" i="3"/>
  <c r="Z173" i="3"/>
  <c r="Y173" i="3"/>
  <c r="Z172" i="3"/>
  <c r="Y172" i="3"/>
  <c r="Z171" i="3"/>
  <c r="Y171" i="3"/>
  <c r="Z170" i="3"/>
  <c r="Y170" i="3"/>
  <c r="Z169" i="3"/>
  <c r="Y169" i="3"/>
  <c r="Z168" i="3"/>
  <c r="Y168" i="3"/>
  <c r="Z167" i="3"/>
  <c r="Y167" i="3"/>
  <c r="Z166" i="3"/>
  <c r="Y166" i="3"/>
  <c r="Z165" i="3"/>
  <c r="Y165" i="3"/>
  <c r="Z164" i="3"/>
  <c r="Y164" i="3"/>
  <c r="Z163" i="3"/>
  <c r="Y163" i="3"/>
  <c r="Z162" i="3"/>
  <c r="Y162" i="3"/>
  <c r="Z161" i="3"/>
  <c r="Y161" i="3"/>
  <c r="Z160" i="3"/>
  <c r="Y160" i="3"/>
  <c r="Z159" i="3"/>
  <c r="Y159" i="3"/>
  <c r="Z158" i="3"/>
  <c r="Y158" i="3"/>
  <c r="Z157" i="3"/>
  <c r="Y157" i="3"/>
  <c r="Z156" i="3"/>
  <c r="Y156" i="3"/>
  <c r="Z155" i="3"/>
  <c r="Y155" i="3"/>
  <c r="Z154" i="3"/>
  <c r="Y154" i="3"/>
  <c r="Z153" i="3"/>
  <c r="Y153" i="3"/>
  <c r="Z152" i="3"/>
  <c r="Y152" i="3"/>
  <c r="Z151" i="3"/>
  <c r="Y151" i="3"/>
  <c r="Z150" i="3"/>
  <c r="Y150" i="3"/>
  <c r="Z149" i="3"/>
  <c r="Y149" i="3"/>
  <c r="Z148" i="3"/>
  <c r="Y148" i="3"/>
  <c r="Z147" i="3"/>
  <c r="Y147" i="3"/>
  <c r="Z146" i="3"/>
  <c r="Y146" i="3"/>
  <c r="Z145" i="3"/>
  <c r="Y145" i="3"/>
  <c r="Z144" i="3"/>
  <c r="Y144" i="3"/>
  <c r="Z143" i="3"/>
  <c r="Y143" i="3"/>
  <c r="Z142" i="3"/>
  <c r="Y142" i="3"/>
  <c r="Z141" i="3"/>
  <c r="Y141" i="3"/>
  <c r="Z140" i="3"/>
  <c r="Y140" i="3"/>
  <c r="Z139" i="3"/>
  <c r="Y139" i="3"/>
  <c r="Z138" i="3"/>
  <c r="Y138" i="3"/>
  <c r="Z137" i="3"/>
  <c r="Y137" i="3"/>
  <c r="Z136" i="3"/>
  <c r="Y136" i="3"/>
  <c r="Z135" i="3"/>
  <c r="Y135" i="3"/>
  <c r="Z134" i="3"/>
  <c r="Y134" i="3"/>
  <c r="Z133" i="3"/>
  <c r="Y133" i="3"/>
  <c r="Z132" i="3"/>
  <c r="Y132" i="3"/>
  <c r="Z131" i="3"/>
  <c r="Y131" i="3"/>
  <c r="Z130" i="3"/>
  <c r="D21" i="4" s="1"/>
  <c r="Y130" i="3"/>
  <c r="Z129" i="3"/>
  <c r="Y129" i="3"/>
  <c r="Z128" i="3"/>
  <c r="Y128" i="3"/>
  <c r="Z127" i="3"/>
  <c r="Y127" i="3"/>
  <c r="Z126" i="3"/>
  <c r="Y126" i="3"/>
  <c r="Z125" i="3"/>
  <c r="Y125" i="3"/>
  <c r="Z124" i="3"/>
  <c r="Y124" i="3"/>
  <c r="Z123" i="3"/>
  <c r="Y123" i="3"/>
  <c r="Z122" i="3"/>
  <c r="Y122" i="3"/>
  <c r="Z121" i="3"/>
  <c r="Y121" i="3"/>
  <c r="Z120" i="3"/>
  <c r="Y120" i="3"/>
  <c r="Z119" i="3"/>
  <c r="Y119" i="3"/>
  <c r="Z118" i="3"/>
  <c r="Y118" i="3"/>
  <c r="Z117" i="3"/>
  <c r="Y117" i="3"/>
  <c r="Z116" i="3"/>
  <c r="Y116" i="3"/>
  <c r="Z115" i="3"/>
  <c r="Y115" i="3"/>
  <c r="Z114" i="3"/>
  <c r="Y114" i="3"/>
  <c r="Z113" i="3"/>
  <c r="Y113" i="3"/>
  <c r="Z112" i="3"/>
  <c r="Y112" i="3"/>
  <c r="Z111" i="3"/>
  <c r="Y111" i="3"/>
  <c r="Z110" i="3"/>
  <c r="Y110" i="3"/>
  <c r="Z109" i="3"/>
  <c r="Y109" i="3"/>
  <c r="Z108" i="3"/>
  <c r="Y108" i="3"/>
  <c r="Z107" i="3"/>
  <c r="Y107" i="3"/>
  <c r="Z106" i="3"/>
  <c r="Y106" i="3"/>
  <c r="Z105" i="3"/>
  <c r="Y105" i="3"/>
  <c r="Z104" i="3"/>
  <c r="Y104" i="3"/>
  <c r="Z103" i="3"/>
  <c r="D39" i="4" s="1"/>
  <c r="Y103" i="3"/>
  <c r="Z102" i="3"/>
  <c r="Y102" i="3"/>
  <c r="Z101" i="3"/>
  <c r="Y101" i="3"/>
  <c r="Z100" i="3"/>
  <c r="Y100" i="3"/>
  <c r="Z99" i="3"/>
  <c r="Y99" i="3"/>
  <c r="Z98" i="3"/>
  <c r="Y98" i="3"/>
  <c r="Z97" i="3"/>
  <c r="Y97" i="3"/>
  <c r="Z96" i="3"/>
  <c r="Y96" i="3"/>
  <c r="Z95" i="3"/>
  <c r="Y95" i="3"/>
  <c r="Z94" i="3"/>
  <c r="Y94" i="3"/>
  <c r="Z93" i="3"/>
  <c r="Y93" i="3"/>
  <c r="Z92" i="3"/>
  <c r="Y92" i="3"/>
  <c r="Z91" i="3"/>
  <c r="Y91" i="3"/>
  <c r="Z90" i="3"/>
  <c r="Y90" i="3"/>
  <c r="Z89" i="3"/>
  <c r="Y89" i="3"/>
  <c r="Z88" i="3"/>
  <c r="Y88" i="3"/>
  <c r="Z87" i="3"/>
  <c r="Y87" i="3"/>
  <c r="Z86" i="3"/>
  <c r="Y86" i="3"/>
  <c r="Z85" i="3"/>
  <c r="Y85" i="3"/>
  <c r="Z84" i="3"/>
  <c r="Y84" i="3"/>
  <c r="Z83" i="3"/>
  <c r="Y83" i="3"/>
  <c r="Z82" i="3"/>
  <c r="Y82" i="3"/>
  <c r="Z81" i="3"/>
  <c r="Y81" i="3"/>
  <c r="Z80" i="3"/>
  <c r="D11" i="4" s="1"/>
  <c r="Y80" i="3"/>
  <c r="Z79" i="3"/>
  <c r="Y79" i="3"/>
  <c r="Z78" i="3"/>
  <c r="Y78" i="3"/>
  <c r="Z77" i="3"/>
  <c r="Y77" i="3"/>
  <c r="Z76" i="3"/>
  <c r="Y76" i="3"/>
  <c r="Z75" i="3"/>
  <c r="Y75" i="3"/>
  <c r="Z74" i="3"/>
  <c r="Y74" i="3"/>
  <c r="Z73" i="3"/>
  <c r="Y73" i="3"/>
  <c r="Z72" i="3"/>
  <c r="Y72" i="3"/>
  <c r="Z71" i="3"/>
  <c r="Y71" i="3"/>
  <c r="Z70" i="3"/>
  <c r="Y70" i="3"/>
  <c r="Z69" i="3"/>
  <c r="Y69" i="3"/>
  <c r="Z68" i="3"/>
  <c r="Y68" i="3"/>
  <c r="Z67" i="3"/>
  <c r="Y67" i="3"/>
  <c r="Z66" i="3"/>
  <c r="Y66" i="3"/>
  <c r="Z65" i="3"/>
  <c r="Y65" i="3"/>
  <c r="Z64" i="3"/>
  <c r="Y64" i="3"/>
  <c r="Z63" i="3"/>
  <c r="Y63" i="3"/>
  <c r="Z62" i="3"/>
  <c r="Y62" i="3"/>
  <c r="Z61" i="3"/>
  <c r="Y61" i="3"/>
  <c r="Z60" i="3"/>
  <c r="D33" i="4" s="1"/>
  <c r="Y60" i="3"/>
  <c r="Z59" i="3"/>
  <c r="Y59" i="3"/>
  <c r="Z58" i="3"/>
  <c r="Y58" i="3"/>
  <c r="Z57" i="3"/>
  <c r="Y57" i="3"/>
  <c r="Z56" i="3"/>
  <c r="Y56" i="3"/>
  <c r="Z55" i="3"/>
  <c r="Y55" i="3"/>
  <c r="Z54" i="3"/>
  <c r="Y54" i="3"/>
  <c r="Z53" i="3"/>
  <c r="Y53" i="3"/>
  <c r="Z52" i="3"/>
  <c r="Y52" i="3"/>
  <c r="Z51" i="3"/>
  <c r="Y51" i="3"/>
  <c r="Z50" i="3"/>
  <c r="Y50" i="3"/>
  <c r="Z49" i="3"/>
  <c r="Y49" i="3"/>
  <c r="Z48" i="3"/>
  <c r="Y48" i="3"/>
  <c r="Z47" i="3"/>
  <c r="Y47" i="3"/>
  <c r="Z46" i="3"/>
  <c r="Y46" i="3"/>
  <c r="Z45" i="3"/>
  <c r="Y45" i="3"/>
  <c r="Z44" i="3"/>
  <c r="Y44" i="3"/>
  <c r="Z43" i="3"/>
  <c r="Y43" i="3"/>
  <c r="Z42" i="3"/>
  <c r="Y42" i="3"/>
  <c r="Z41" i="3"/>
  <c r="Y41" i="3"/>
  <c r="Z40" i="3"/>
  <c r="D44" i="4" s="1"/>
  <c r="Y40" i="3"/>
  <c r="Z39" i="3"/>
  <c r="Y39"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D17" i="4" s="1"/>
  <c r="Y23" i="3"/>
  <c r="Z22" i="3"/>
  <c r="Y22" i="3"/>
  <c r="Z21" i="3"/>
  <c r="Y21" i="3"/>
  <c r="Z20" i="3"/>
  <c r="D29" i="4" s="1"/>
  <c r="Y20" i="3"/>
  <c r="Z19" i="3"/>
  <c r="Y19" i="3"/>
  <c r="Z18" i="3"/>
  <c r="Y18" i="3"/>
  <c r="Z17" i="3"/>
  <c r="Y17" i="3"/>
  <c r="Z16" i="3"/>
  <c r="C2" i="4" s="1"/>
  <c r="Y16" i="3"/>
  <c r="Z15" i="3"/>
  <c r="Y15" i="3"/>
  <c r="Z14" i="3"/>
  <c r="Y14" i="3"/>
  <c r="Z13" i="3"/>
  <c r="D5" i="4" s="1"/>
  <c r="Y13" i="3"/>
  <c r="Z12" i="3"/>
  <c r="Y12" i="3"/>
  <c r="Z11" i="3"/>
  <c r="Y11" i="3"/>
  <c r="Z10" i="3"/>
  <c r="D40" i="4" s="1"/>
  <c r="Y10" i="3"/>
  <c r="Z9" i="3"/>
  <c r="Y9" i="3"/>
  <c r="Z8" i="3"/>
  <c r="Y8" i="3"/>
  <c r="Z7" i="3"/>
  <c r="Y7" i="3"/>
  <c r="Z6" i="3"/>
  <c r="Y6" i="3"/>
  <c r="Z5" i="3"/>
  <c r="Y5" i="3"/>
  <c r="Z4" i="3"/>
  <c r="Y4" i="3"/>
  <c r="D30" i="4" l="1"/>
  <c r="C42" i="4"/>
  <c r="D25" i="4"/>
  <c r="D41" i="4"/>
  <c r="D10" i="4"/>
  <c r="C22" i="4"/>
  <c r="D23" i="4"/>
  <c r="D4" i="4"/>
  <c r="D48" i="4"/>
  <c r="D18" i="4"/>
  <c r="D28" i="4"/>
  <c r="D16" i="4"/>
  <c r="D35" i="4"/>
  <c r="D46" i="4"/>
  <c r="D49" i="4"/>
  <c r="D37" i="4"/>
  <c r="D38" i="4"/>
  <c r="D34" i="4"/>
  <c r="D3" i="4"/>
  <c r="D15" i="4"/>
  <c r="D47" i="4"/>
  <c r="D50" i="4"/>
  <c r="D43" i="4"/>
  <c r="D27" i="4"/>
  <c r="D31" i="4"/>
  <c r="D20" i="4"/>
  <c r="D26" i="4"/>
  <c r="D13" i="4"/>
  <c r="D9" i="4"/>
  <c r="D6" i="4"/>
  <c r="D45" i="4"/>
  <c r="D8" i="4"/>
  <c r="D14" i="4"/>
  <c r="D36" i="4"/>
  <c r="C12" i="4"/>
  <c r="D24" i="4"/>
  <c r="D51" i="4"/>
  <c r="D19" i="4"/>
  <c r="D2" i="4"/>
  <c r="B9" i="4"/>
  <c r="D12" i="4"/>
  <c r="B19" i="4"/>
  <c r="D22" i="4"/>
  <c r="B29" i="4"/>
  <c r="D32" i="4"/>
  <c r="B39" i="4"/>
  <c r="D42" i="4"/>
  <c r="B49" i="4"/>
  <c r="D52" i="4"/>
  <c r="C9" i="4"/>
  <c r="C19" i="4"/>
  <c r="C29" i="4"/>
  <c r="C39" i="4"/>
  <c r="C49" i="4"/>
  <c r="B6" i="4"/>
  <c r="E6" i="4" s="1"/>
  <c r="B16" i="4"/>
  <c r="E16" i="4" s="1"/>
  <c r="B26" i="4"/>
  <c r="E26" i="4" s="1"/>
  <c r="B36" i="4"/>
  <c r="E36" i="4" s="1"/>
  <c r="B46" i="4"/>
  <c r="C6" i="4"/>
  <c r="C16" i="4"/>
  <c r="C26" i="4"/>
  <c r="C36" i="4"/>
  <c r="C46" i="4"/>
  <c r="B3" i="4"/>
  <c r="B13" i="4"/>
  <c r="B23" i="4"/>
  <c r="B33" i="4"/>
  <c r="B43" i="4"/>
  <c r="B2" i="5"/>
  <c r="C3" i="4"/>
  <c r="C13" i="4"/>
  <c r="C23" i="4"/>
  <c r="C33" i="4"/>
  <c r="C43" i="4"/>
  <c r="C2" i="5"/>
  <c r="B10" i="4"/>
  <c r="E10" i="4" s="1"/>
  <c r="B20" i="4"/>
  <c r="E20" i="4" s="1"/>
  <c r="B30" i="4"/>
  <c r="B40" i="4"/>
  <c r="B50" i="4"/>
  <c r="D2" i="5"/>
  <c r="C10" i="4"/>
  <c r="C20" i="4"/>
  <c r="C30" i="4"/>
  <c r="C40" i="4"/>
  <c r="C50" i="4"/>
  <c r="B7" i="4"/>
  <c r="B17" i="4"/>
  <c r="B27" i="4"/>
  <c r="B37" i="4"/>
  <c r="B47" i="4"/>
  <c r="C7" i="4"/>
  <c r="C17" i="4"/>
  <c r="C27" i="4"/>
  <c r="C37" i="4"/>
  <c r="C47" i="4"/>
  <c r="B4" i="4"/>
  <c r="E4" i="4" s="1"/>
  <c r="B14" i="4"/>
  <c r="B24" i="4"/>
  <c r="B34" i="4"/>
  <c r="B44" i="4"/>
  <c r="C4" i="4"/>
  <c r="C14" i="4"/>
  <c r="C24" i="4"/>
  <c r="C34" i="4"/>
  <c r="C44" i="4"/>
  <c r="B11" i="4"/>
  <c r="B21" i="4"/>
  <c r="B31" i="4"/>
  <c r="B41" i="4"/>
  <c r="B51" i="4"/>
  <c r="C11" i="4"/>
  <c r="C21" i="4"/>
  <c r="C31" i="4"/>
  <c r="C41" i="4"/>
  <c r="C51" i="4"/>
  <c r="B8" i="4"/>
  <c r="E8" i="4" s="1"/>
  <c r="B18" i="4"/>
  <c r="B28" i="4"/>
  <c r="B38" i="4"/>
  <c r="B48" i="4"/>
  <c r="C38" i="4"/>
  <c r="C48" i="4"/>
  <c r="C8" i="4"/>
  <c r="C18" i="4"/>
  <c r="C28" i="4"/>
  <c r="B5" i="4"/>
  <c r="B15" i="4"/>
  <c r="B25" i="4"/>
  <c r="B35" i="4"/>
  <c r="B45" i="4"/>
  <c r="C5" i="4"/>
  <c r="C15" i="4"/>
  <c r="C25" i="4"/>
  <c r="C35" i="4"/>
  <c r="C45" i="4"/>
  <c r="B2" i="4"/>
  <c r="E2" i="4" s="1"/>
  <c r="B12" i="4"/>
  <c r="B22" i="4"/>
  <c r="E22" i="4" s="1"/>
  <c r="B32" i="4"/>
  <c r="E32" i="4" s="1"/>
  <c r="B42" i="4"/>
  <c r="E42" i="4" s="1"/>
  <c r="B52" i="4"/>
  <c r="E48" i="4" l="1"/>
  <c r="F48" i="4" s="1"/>
  <c r="E12" i="4"/>
  <c r="G12" i="4" s="1"/>
  <c r="E14" i="4"/>
  <c r="G14" i="4" s="1"/>
  <c r="E38" i="4"/>
  <c r="G2" i="4"/>
  <c r="F2" i="4"/>
  <c r="G10" i="4"/>
  <c r="F10" i="4"/>
  <c r="E51" i="4"/>
  <c r="E15" i="4"/>
  <c r="E49" i="4"/>
  <c r="E13" i="4"/>
  <c r="E39" i="4"/>
  <c r="E35" i="4"/>
  <c r="E31" i="4"/>
  <c r="E5" i="4"/>
  <c r="E23" i="4"/>
  <c r="E3" i="4"/>
  <c r="G36" i="4"/>
  <c r="F36" i="4"/>
  <c r="E47" i="4"/>
  <c r="E2" i="5"/>
  <c r="E29" i="4"/>
  <c r="G16" i="4"/>
  <c r="F16" i="4"/>
  <c r="E37" i="4"/>
  <c r="E17" i="4"/>
  <c r="E52" i="4"/>
  <c r="G4" i="4"/>
  <c r="F4" i="4"/>
  <c r="E41" i="4"/>
  <c r="E27" i="4"/>
  <c r="E11" i="4"/>
  <c r="G42" i="4"/>
  <c r="F42" i="4"/>
  <c r="E44" i="4"/>
  <c r="E19" i="4"/>
  <c r="G6" i="4"/>
  <c r="F6" i="4"/>
  <c r="E7" i="4"/>
  <c r="G32" i="4"/>
  <c r="F32" i="4"/>
  <c r="G38" i="4"/>
  <c r="F38" i="4"/>
  <c r="E34" i="4"/>
  <c r="E50" i="4"/>
  <c r="G8" i="4"/>
  <c r="F8" i="4"/>
  <c r="G26" i="4"/>
  <c r="F26" i="4"/>
  <c r="E25" i="4"/>
  <c r="E43" i="4"/>
  <c r="G22" i="4"/>
  <c r="F22" i="4"/>
  <c r="E28" i="4"/>
  <c r="E24" i="4"/>
  <c r="E40" i="4"/>
  <c r="E9" i="4"/>
  <c r="G20" i="4"/>
  <c r="F20" i="4"/>
  <c r="E45" i="4"/>
  <c r="E21" i="4"/>
  <c r="E33" i="4"/>
  <c r="E18" i="4"/>
  <c r="E30" i="4"/>
  <c r="E46" i="4"/>
  <c r="G48" i="4" l="1"/>
  <c r="F14" i="4"/>
  <c r="F12" i="4"/>
  <c r="G29" i="4"/>
  <c r="F29" i="4"/>
  <c r="G19" i="4"/>
  <c r="F19" i="4"/>
  <c r="G24" i="4"/>
  <c r="F24" i="4"/>
  <c r="G5" i="4"/>
  <c r="F5" i="4"/>
  <c r="G31" i="4"/>
  <c r="F31" i="4"/>
  <c r="G35" i="4"/>
  <c r="F35" i="4"/>
  <c r="G11" i="4"/>
  <c r="F11" i="4"/>
  <c r="G39" i="4"/>
  <c r="F39" i="4"/>
  <c r="G46" i="4"/>
  <c r="F46" i="4"/>
  <c r="G27" i="4"/>
  <c r="F27" i="4"/>
  <c r="G13" i="4"/>
  <c r="F13" i="4"/>
  <c r="G30" i="4"/>
  <c r="F30" i="4"/>
  <c r="G41" i="4"/>
  <c r="F41" i="4"/>
  <c r="G49" i="4"/>
  <c r="F49" i="4"/>
  <c r="G15" i="4"/>
  <c r="F15" i="4"/>
  <c r="G2" i="5"/>
  <c r="F2" i="5"/>
  <c r="G3" i="4"/>
  <c r="F3" i="4"/>
  <c r="G51" i="4"/>
  <c r="F51" i="4"/>
  <c r="G21" i="4"/>
  <c r="F21" i="4"/>
  <c r="G7" i="4"/>
  <c r="F7" i="4"/>
  <c r="G47" i="4"/>
  <c r="F47" i="4"/>
  <c r="G40" i="4"/>
  <c r="F40" i="4"/>
  <c r="G23" i="4"/>
  <c r="F23" i="4"/>
  <c r="G43" i="4"/>
  <c r="F43" i="4"/>
  <c r="G17" i="4"/>
  <c r="F17" i="4"/>
  <c r="G45" i="4"/>
  <c r="F45" i="4"/>
  <c r="G9" i="4"/>
  <c r="F9" i="4"/>
  <c r="G44" i="4"/>
  <c r="F44" i="4"/>
  <c r="G28" i="4"/>
  <c r="F28" i="4"/>
  <c r="G25" i="4"/>
  <c r="F25" i="4"/>
  <c r="G18" i="4"/>
  <c r="F18" i="4"/>
  <c r="G50" i="4"/>
  <c r="F50" i="4"/>
  <c r="G52" i="4"/>
  <c r="F52" i="4"/>
  <c r="G34" i="4"/>
  <c r="F34" i="4"/>
  <c r="G37" i="4"/>
  <c r="F37" i="4"/>
  <c r="G33" i="4"/>
  <c r="F33" i="4"/>
  <c r="AE2" i="6" l="1"/>
  <c r="K2" i="6"/>
  <c r="AD2" i="6"/>
  <c r="J2" i="6"/>
  <c r="AC2" i="6"/>
  <c r="I2" i="6"/>
  <c r="AB2" i="6"/>
  <c r="H2" i="6"/>
  <c r="AA2" i="6"/>
  <c r="G2" i="6"/>
  <c r="Z2" i="6"/>
  <c r="F2" i="6"/>
  <c r="Y2" i="6"/>
  <c r="E2" i="6"/>
  <c r="X2" i="6"/>
  <c r="D2" i="6"/>
  <c r="W2" i="6"/>
  <c r="C2" i="6"/>
  <c r="V2" i="6"/>
  <c r="B2" i="6"/>
  <c r="U2" i="6"/>
  <c r="T2" i="6"/>
  <c r="S2" i="6"/>
  <c r="R2" i="6"/>
  <c r="Q2" i="6"/>
  <c r="P2" i="6"/>
  <c r="O2" i="6"/>
  <c r="N2" i="6"/>
  <c r="M2" i="6"/>
  <c r="L2" i="6"/>
</calcChain>
</file>

<file path=xl/sharedStrings.xml><?xml version="1.0" encoding="utf-8"?>
<sst xmlns="http://schemas.openxmlformats.org/spreadsheetml/2006/main" count="25148" uniqueCount="1722">
  <si>
    <t>COSP Cost of Service vs Procurement Shares (2024)</t>
  </si>
  <si>
    <t>Sources:</t>
  </si>
  <si>
    <t>Retail electricity sales by serving entity (utility / marketer / CCA)</t>
  </si>
  <si>
    <t>U.S. Energy Information Administration (EIA)</t>
  </si>
  <si>
    <t>Form EIA-861 detailed data, Sales_Ult_Cust_2024.xlsx (sheet 'States')</t>
  </si>
  <si>
    <t>https://www.eia.gov/electricity/data/eia861/</t>
  </si>
  <si>
    <t>Authoritative source from which EIA's published Table 10 (utility bundled sales) and Table 16 (power marketers) are built. 'Service Type' = Bundled / Energy / Delivery; 'Ownership' = Investor Owned, Municipal, Cooperative, Federal, State, Political Subdivision, Retail Power Marketer, Community Choice Aggregator, Behind the Meter. TOTAL sales (MWh) is column W.</t>
  </si>
  <si>
    <t>Validation benchmark — published state retail sales (all sectors)</t>
  </si>
  <si>
    <t>EIA API v2, electricity/retail-sales</t>
  </si>
  <si>
    <t>https://www.eia.gov/opendata/</t>
  </si>
  <si>
    <t>Used by validate_against_eia.py. The detailed file (Bundled+Energy incl. EIA Adjustment rows) ties to these published state totals to within 0.00%.</t>
  </si>
  <si>
    <t>Notes:</t>
  </si>
  <si>
    <t>Question</t>
  </si>
  <si>
    <t>Share of each state's retail electricity sales served by cost-of-service providers (embedded-cost recovery) vs. procurement-based providers, attributed by the entity that sells to the retail customer (LSE-based).</t>
  </si>
  <si>
    <t>Double-count fix</t>
  </si>
  <si>
    <t>Retail total = rows with Service Type Bundled or Energy. 'Delivery' rows are the wires-only half of choice-state load already counted under 'Energy'; they are classified 'excluded' so they never enter the totals (including Delivery would overstate sales ~14% nationally).</t>
  </si>
  <si>
    <t>Cost-of-service</t>
  </si>
  <si>
    <t>Bundled sales of municipals, cooperatives, federal, state, and political-subdivision utilities, plus Investor Owned utilities in states NOT on the restructured list (and the TX override utilities below).</t>
  </si>
  <si>
    <t>Procurement</t>
  </si>
  <si>
    <t>Retail Power Marketers + Community Choice Aggregators (and any 'Energy' service-type sales), plus Investor Owned utilities in restructured states.</t>
  </si>
  <si>
    <t>Restructured states</t>
  </si>
  <si>
    <t>Editable on the Parameters tab (column A). Baseline: CT, DC, DE, IL, MA, MD, ME, NH, NJ, NY, OH, PA, RI, TX.</t>
  </si>
  <si>
    <t>Texas override</t>
  </si>
  <si>
    <t>Non-ERCOT, vertically integrated, regulated TX IOUs are held as cost-of-service despite TX being restructured. Keyed on EIA Utility Number (Parameters column B): 55937 Entergy Texas, 17718 Southwestern Public Service, 17698 Southwestern Electric Power, 5701 El Paso Electric. ERCOT wires-only IOUs carry zero bundled sales, so they need no override.</t>
  </si>
  <si>
    <t>Exclusions</t>
  </si>
  <si>
    <t>EIA 'Adjustment' reconciliation rows (utility name contains 'Adjustment') and 'Behind the Meter' ownership are classified 'excluded' (~3.5% of US load). They are visible in the source tab but kept out of the share basis.</t>
  </si>
  <si>
    <t>How it computes</t>
  </si>
  <si>
    <t>Source tab column 'bucket' classifies each row via formula reading the Parameters tab (COUNTIF on the restructured-state and override-utility ranges). 'State Shares' and 'US National' use SUMIFS over that bucket column. Edit a Parameters cell -&gt; all outputs recompute.</t>
  </si>
  <si>
    <t>Method precedent</t>
  </si>
  <si>
    <t>EPA's Retail Price Model (ICF) uses the same approach: blend a competitive price and a cost-of-service price by each region's deregulation vs. cost-of-service share. See EXTERNAL_VALIDATION.md.</t>
  </si>
  <si>
    <t>EPS usage (SoEDtICoS)</t>
  </si>
  <si>
    <t>In the EPS, total electricity rates = cost-of-service costs x (share that is cost of service) + capacity-market costs x (1 - that share). The 'SoEDtICoS' tab supplies that share to eps-us, held flat at the latest data-year value across 2021-2050.</t>
  </si>
  <si>
    <t>This rebuild</t>
  </si>
  <si>
    <t>This SoEDtICoS file was rebuilt from EIA-861, replacing the prior version (EPA Retail Price Model regional shares x AEO net-load weighting) with the EIA-861 LSE-based national cost-of-service share.</t>
  </si>
  <si>
    <t>Caveat</t>
  </si>
  <si>
    <t>Output is an input for analysis; verify against EIA primary sources. The restructured-state list and TX overrides are adjustable assumptions.</t>
  </si>
  <si>
    <t>Parameters (editable — outputs recompute)</t>
  </si>
  <si>
    <t>Fully Restructured States</t>
  </si>
  <si>
    <t>Override Utility #</t>
  </si>
  <si>
    <t>Override Utility Name (reference)</t>
  </si>
  <si>
    <t>CT</t>
  </si>
  <si>
    <t>Entergy Texas Inc.</t>
  </si>
  <si>
    <t>DC</t>
  </si>
  <si>
    <t>Southwestern Public Service Co</t>
  </si>
  <si>
    <t>DE</t>
  </si>
  <si>
    <t>Southwestern Electric Power Co</t>
  </si>
  <si>
    <t>IL</t>
  </si>
  <si>
    <t>El Paso Electric Co</t>
  </si>
  <si>
    <t>MA</t>
  </si>
  <si>
    <t>MD</t>
  </si>
  <si>
    <t>ME</t>
  </si>
  <si>
    <t>NH</t>
  </si>
  <si>
    <t>NJ</t>
  </si>
  <si>
    <t>NY</t>
  </si>
  <si>
    <t>OH</t>
  </si>
  <si>
    <t>PA</t>
  </si>
  <si>
    <t>RI</t>
  </si>
  <si>
    <t>TX</t>
  </si>
  <si>
    <t>Ownership classes (fixed EIA taxonomy, hardcoded in the bucket formula):</t>
  </si>
  <si>
    <t>Procurement: Retail Power Marketer, Community Choice Aggregator.  Cost-of-service (non-IOU): Municipal, Cooperative, Federal, State, Political Subdivision.  Excluded: Behind the Meter, Adjustment rows.</t>
  </si>
  <si>
    <t>Utility Characteristics</t>
  </si>
  <si>
    <t>RESIDENTIAL</t>
  </si>
  <si>
    <t>COMMERCIAL</t>
  </si>
  <si>
    <t>INDUSTRIAL</t>
  </si>
  <si>
    <t>TRANSPORTATION</t>
  </si>
  <si>
    <t>TOTAL</t>
  </si>
  <si>
    <t>Revenues</t>
  </si>
  <si>
    <t>Sales</t>
  </si>
  <si>
    <t>Customers</t>
  </si>
  <si>
    <t>Data Year</t>
  </si>
  <si>
    <t>Utility Number</t>
  </si>
  <si>
    <t>Utility Name</t>
  </si>
  <si>
    <t>Part</t>
  </si>
  <si>
    <t>Service Type</t>
  </si>
  <si>
    <t>Data Type
O = Observed
I = Imputed</t>
  </si>
  <si>
    <t>State</t>
  </si>
  <si>
    <t>Ownership</t>
  </si>
  <si>
    <t>BA Code</t>
  </si>
  <si>
    <t>Thousand Dollars</t>
  </si>
  <si>
    <t>Megawatthours</t>
  </si>
  <si>
    <t>Count</t>
  </si>
  <si>
    <t>sales_mwh (derived)</t>
  </si>
  <si>
    <t>bucket (derived)</t>
  </si>
  <si>
    <t>City of Aberdeen - (MS)</t>
  </si>
  <si>
    <t>A</t>
  </si>
  <si>
    <t>Bundled</t>
  </si>
  <si>
    <t>O</t>
  </si>
  <si>
    <t>MS</t>
  </si>
  <si>
    <t>Municipal</t>
  </si>
  <si>
    <t>TVA</t>
  </si>
  <si>
    <t>A &amp; N Electric Coop</t>
  </si>
  <si>
    <t>Cooperative</t>
  </si>
  <si>
    <t>PJM</t>
  </si>
  <si>
    <t>VA</t>
  </si>
  <si>
    <t>Adams-Columbia Electric Coop</t>
  </si>
  <si>
    <t>WI</t>
  </si>
  <si>
    <t>MISO</t>
  </si>
  <si>
    <t>.</t>
  </si>
  <si>
    <t>Agway Energy Services, LLC</t>
  </si>
  <si>
    <t>B</t>
  </si>
  <si>
    <t>Energy</t>
  </si>
  <si>
    <t>Retail Power Marketer</t>
  </si>
  <si>
    <t>NYIS</t>
  </si>
  <si>
    <t>Agralite Electric Coop</t>
  </si>
  <si>
    <t>MN</t>
  </si>
  <si>
    <t>Aiken Electric Coop Inc</t>
  </si>
  <si>
    <t>SC</t>
  </si>
  <si>
    <t>Ajo Improvement Co</t>
  </si>
  <si>
    <t>AZ</t>
  </si>
  <si>
    <t>Investor Owned</t>
  </si>
  <si>
    <t>AZPS</t>
  </si>
  <si>
    <t>Alabama Power Co</t>
  </si>
  <si>
    <t>AL</t>
  </si>
  <si>
    <t>SOCO</t>
  </si>
  <si>
    <t>Alameda Municipal Power</t>
  </si>
  <si>
    <t>CA</t>
  </si>
  <si>
    <t>CISO</t>
  </si>
  <si>
    <t>Alaska Electric Light &amp; Power Co.</t>
  </si>
  <si>
    <t>AK</t>
  </si>
  <si>
    <t>NA</t>
  </si>
  <si>
    <t>Alaska Power and Telephone Co</t>
  </si>
  <si>
    <t>Alaska Village Elec Coop, Inc</t>
  </si>
  <si>
    <t>Albany Utility Board</t>
  </si>
  <si>
    <t>GA</t>
  </si>
  <si>
    <t>City of Albemarle - (NC)</t>
  </si>
  <si>
    <t>NC</t>
  </si>
  <si>
    <t>DUK</t>
  </si>
  <si>
    <t>Albemarle Electric Member Corp</t>
  </si>
  <si>
    <t>Albertville Municipal Utilities Board</t>
  </si>
  <si>
    <t>AGC Division of APGI Inc</t>
  </si>
  <si>
    <t>IN</t>
  </si>
  <si>
    <t>Alcorn County Elec Power Assn</t>
  </si>
  <si>
    <t>City of Alexandria - (MN)</t>
  </si>
  <si>
    <t>Alfalfa Electric Coop, Inc</t>
  </si>
  <si>
    <t>KS</t>
  </si>
  <si>
    <t>SWPP</t>
  </si>
  <si>
    <t>OK</t>
  </si>
  <si>
    <t>City of Alexandria - (LA)</t>
  </si>
  <si>
    <t>LA</t>
  </si>
  <si>
    <t>Alger-Delta Coop Electric Assn</t>
  </si>
  <si>
    <t>MI</t>
  </si>
  <si>
    <t>Algoma Utility Comm</t>
  </si>
  <si>
    <t>Alpena Power Co</t>
  </si>
  <si>
    <t>Altamaha Electric Member Corp</t>
  </si>
  <si>
    <t>City of Altus - (OK)</t>
  </si>
  <si>
    <t>Amana Society Service Co</t>
  </si>
  <si>
    <t>IA</t>
  </si>
  <si>
    <t>BP Energy Company</t>
  </si>
  <si>
    <t>WA</t>
  </si>
  <si>
    <t>PSEI</t>
  </si>
  <si>
    <t>D</t>
  </si>
  <si>
    <t>ERCO</t>
  </si>
  <si>
    <t>City of Ames - (IA)</t>
  </si>
  <si>
    <t>Amicalola Electric Member Corp</t>
  </si>
  <si>
    <t>City of Amory</t>
  </si>
  <si>
    <t>City of Alcoa Utilities</t>
  </si>
  <si>
    <t>TN</t>
  </si>
  <si>
    <t>City of Anaheim - (CA)</t>
  </si>
  <si>
    <t>City of Andalusia</t>
  </si>
  <si>
    <t>City of Anderson - (IN)</t>
  </si>
  <si>
    <t>Connexus Energy</t>
  </si>
  <si>
    <t>City of Anoka</t>
  </si>
  <si>
    <t>Town of Apex- (NC)</t>
  </si>
  <si>
    <t>CPLE</t>
  </si>
  <si>
    <t>Appalachian Electric Coop</t>
  </si>
  <si>
    <t>Appalachian Power Co</t>
  </si>
  <si>
    <t>WV</t>
  </si>
  <si>
    <t>C</t>
  </si>
  <si>
    <t>Delivery</t>
  </si>
  <si>
    <t>Arab Electric Coop Inc</t>
  </si>
  <si>
    <t>Arizona Electric Pwr Coop Inc</t>
  </si>
  <si>
    <t>Arizona Public Service Co</t>
  </si>
  <si>
    <t>Entergy Arkansas LLC</t>
  </si>
  <si>
    <t>AR</t>
  </si>
  <si>
    <t>Arkansas Valley Elec Coop Corp</t>
  </si>
  <si>
    <t>City of Athens - (AL)</t>
  </si>
  <si>
    <t>Athens Utility Board</t>
  </si>
  <si>
    <t>Atlantic City Electric Co</t>
  </si>
  <si>
    <t>Homefield Energy</t>
  </si>
  <si>
    <t>City of Auburn - (IN)</t>
  </si>
  <si>
    <t>City of Austin - (MN)</t>
  </si>
  <si>
    <t>Austin Energy</t>
  </si>
  <si>
    <t>City of Azusa</t>
  </si>
  <si>
    <t>Baldwin County El Member Corp</t>
  </si>
  <si>
    <t>Baltimore Gas &amp; Electric Co</t>
  </si>
  <si>
    <t>Bailey County Elec Coop Assn</t>
  </si>
  <si>
    <t>Bandera Electric Coop, Inc</t>
  </si>
  <si>
    <t>Versant Power</t>
  </si>
  <si>
    <t>NBSO</t>
  </si>
  <si>
    <t>ISNE</t>
  </si>
  <si>
    <t>Village of Baraga - (MI)</t>
  </si>
  <si>
    <t>Barron Electric Coop</t>
  </si>
  <si>
    <t>Bartlett Electric Coop, Inc</t>
  </si>
  <si>
    <t>Bartholomew County Rural E M C</t>
  </si>
  <si>
    <t>City of Bartow - (FL)</t>
  </si>
  <si>
    <t>FL</t>
  </si>
  <si>
    <t>FPC</t>
  </si>
  <si>
    <t>Basin Electric Power Coop</t>
  </si>
  <si>
    <t>ND</t>
  </si>
  <si>
    <t>City of Batavia - (IL)</t>
  </si>
  <si>
    <t>City of Bay City - (MI)</t>
  </si>
  <si>
    <t>Beauregard Electric Coop, Inc</t>
  </si>
  <si>
    <t>Beltrami Electric Coop, Inc</t>
  </si>
  <si>
    <t>Benton County</t>
  </si>
  <si>
    <t>PUD No 1 of Benton County</t>
  </si>
  <si>
    <t>Political Subdivision</t>
  </si>
  <si>
    <t>BPAT</t>
  </si>
  <si>
    <t>City of Benton - (AR)</t>
  </si>
  <si>
    <t>City of Benton - (KY)</t>
  </si>
  <si>
    <t>KY</t>
  </si>
  <si>
    <t>City of Bentonville - (AR)</t>
  </si>
  <si>
    <t>Big Country Electric Coop, Inc</t>
  </si>
  <si>
    <t>Messer Energy Services, Inc.</t>
  </si>
  <si>
    <t>Berkeley Electric Coop Inc</t>
  </si>
  <si>
    <t>Benton Rural Electric Assn</t>
  </si>
  <si>
    <t>City of Bessemer Utilities</t>
  </si>
  <si>
    <t>Big Sandy Rural Elec Coop Corp</t>
  </si>
  <si>
    <t>Big Bend Electric Coop, Inc</t>
  </si>
  <si>
    <t>Bonneville Power Administration</t>
  </si>
  <si>
    <t>OR</t>
  </si>
  <si>
    <t>Federal</t>
  </si>
  <si>
    <t>Black River Electric Coop, Inc - (SC)</t>
  </si>
  <si>
    <t>Black Diamond Power Co</t>
  </si>
  <si>
    <t>Black Hills Electric Coop, Inc</t>
  </si>
  <si>
    <t>SD</t>
  </si>
  <si>
    <t>Black River Electric Coop - (MO)</t>
  </si>
  <si>
    <t>MO</t>
  </si>
  <si>
    <t>AECI</t>
  </si>
  <si>
    <t>City of Black River Falls</t>
  </si>
  <si>
    <t>Black Warrior Elec Member Corp</t>
  </si>
  <si>
    <t>Block Island Utility District</t>
  </si>
  <si>
    <t>BENCO Electric Cooperative</t>
  </si>
  <si>
    <t>Blue Grass Energy Coop Corp</t>
  </si>
  <si>
    <t>Blue Ridge Elec Member Corp - (NC)</t>
  </si>
  <si>
    <t>Blue Ridge Electric Coop Inc - (SC)</t>
  </si>
  <si>
    <t>Blue Ridge Mountain EMC - (GA)</t>
  </si>
  <si>
    <t>Bluebonnet Electric Coop, Inc</t>
  </si>
  <si>
    <t>City of Bluffton - (IN)</t>
  </si>
  <si>
    <t>Bolivar Energy Authority</t>
  </si>
  <si>
    <t>City of Boscobel - (WI)</t>
  </si>
  <si>
    <t>Boone Electric Coop</t>
  </si>
  <si>
    <t>City of Boulder City - (NV)</t>
  </si>
  <si>
    <t>NV</t>
  </si>
  <si>
    <t>WALC</t>
  </si>
  <si>
    <t>City of Bountiful</t>
  </si>
  <si>
    <t>UT</t>
  </si>
  <si>
    <t>PACE</t>
  </si>
  <si>
    <t>Bowie-Cass Electric Coop, Inc</t>
  </si>
  <si>
    <t>City of Bowling Green - (OH)</t>
  </si>
  <si>
    <t>City of Bowling Green - (KY)</t>
  </si>
  <si>
    <t>Bozrah Light &amp; Power Company</t>
  </si>
  <si>
    <t>Brainerd Public Utilities</t>
  </si>
  <si>
    <t>Town of Braintree - (MA)</t>
  </si>
  <si>
    <t>City of Brenham - (TX)</t>
  </si>
  <si>
    <t>Broad River Electric Coop, Inc</t>
  </si>
  <si>
    <t>City of Bristol - (TN)</t>
  </si>
  <si>
    <t>Bristol Virginia Utilities</t>
  </si>
  <si>
    <t>Brodhead Water &amp; Lighting Comm</t>
  </si>
  <si>
    <t>City of Brookings - (SD)</t>
  </si>
  <si>
    <t>WACM</t>
  </si>
  <si>
    <t>Burke-Divide Electric Coop Inc</t>
  </si>
  <si>
    <t>Brownsville Public Utilities Board</t>
  </si>
  <si>
    <t>City of Brownsville</t>
  </si>
  <si>
    <t>City of Bryan - (TX)</t>
  </si>
  <si>
    <t>City of Buford</t>
  </si>
  <si>
    <t>Buckeye Rural Elec Coop, Inc</t>
  </si>
  <si>
    <t>City of Burbank Water and Power</t>
  </si>
  <si>
    <t>LDWP</t>
  </si>
  <si>
    <t>City of Burlington Electric - (VT)</t>
  </si>
  <si>
    <t>VT</t>
  </si>
  <si>
    <t>Butler Public Power District - (NE)</t>
  </si>
  <si>
    <t>NE</t>
  </si>
  <si>
    <t>Butler Rural Electric Coop Inc - (OH)</t>
  </si>
  <si>
    <t>Butler County Rural Elec Coop - (IA)</t>
  </si>
  <si>
    <t>C &amp; L Electric Coop Corp</t>
  </si>
  <si>
    <t>CMS Electric Coop Inc</t>
  </si>
  <si>
    <t>City of Calhoun - (GA)</t>
  </si>
  <si>
    <t>Calpine Power America LLC</t>
  </si>
  <si>
    <t>Central Electric Power Assn - (MS)</t>
  </si>
  <si>
    <t>Canoochee Electric Member Corp</t>
  </si>
  <si>
    <t>Canadian Valley Elec Coop, Inc</t>
  </si>
  <si>
    <t>Caney Fork Electric Coop, Inc</t>
  </si>
  <si>
    <t>Capital Electric Coop, Inc</t>
  </si>
  <si>
    <t>Duke Energy Progress - (NC)</t>
  </si>
  <si>
    <t>Carroll County - (TN)</t>
  </si>
  <si>
    <t>Carroll Electric Member Corp - (GA)</t>
  </si>
  <si>
    <t>Carroll Electric Coop Corp - (AR)</t>
  </si>
  <si>
    <t>Carteret-Craven El Member Corp</t>
  </si>
  <si>
    <t>City of Cartersville - (GA)</t>
  </si>
  <si>
    <t>City of Carthage - (MO)</t>
  </si>
  <si>
    <t>Cedar Falls Utilities</t>
  </si>
  <si>
    <t>Cedar-Knox Public Power Dist</t>
  </si>
  <si>
    <t>Cedarburg Light &amp; Water Comm</t>
  </si>
  <si>
    <t>City of Celina - (OH)</t>
  </si>
  <si>
    <t>Central Alabama Electric Coop</t>
  </si>
  <si>
    <t>Central Rural Electric Cooperative, Inc</t>
  </si>
  <si>
    <t>Central Electric Coop, Inc - (SD)</t>
  </si>
  <si>
    <t>Central Electric Coop Inc - (OR)</t>
  </si>
  <si>
    <t>Central Florida Elec Coop, Inc</t>
  </si>
  <si>
    <t>SEC</t>
  </si>
  <si>
    <t>Central Georgia El Member Corp</t>
  </si>
  <si>
    <t>Central Hudson Gas &amp; Elec Corp</t>
  </si>
  <si>
    <t>Central Electric Membership Corp. - (NC)</t>
  </si>
  <si>
    <t>Central Lincoln People's Ut Dt</t>
  </si>
  <si>
    <t>Cleco Power LLC</t>
  </si>
  <si>
    <t>Central Maine Power Co</t>
  </si>
  <si>
    <t>Central Missouri Elec Coop Inc</t>
  </si>
  <si>
    <t>Central New Mexico El Coop, Inc</t>
  </si>
  <si>
    <t>NM</t>
  </si>
  <si>
    <t>PNM</t>
  </si>
  <si>
    <t>Central Texas Elec Coop, Inc</t>
  </si>
  <si>
    <t>Central Valley Elec Coop, Inc</t>
  </si>
  <si>
    <t>Central Virginia Electric Coop</t>
  </si>
  <si>
    <t>City of Centralia - (WA)</t>
  </si>
  <si>
    <t>Borough of Chambersburg</t>
  </si>
  <si>
    <t>City of Chanute</t>
  </si>
  <si>
    <t>City of Chaska - (MN)</t>
  </si>
  <si>
    <t>City of Chattanooga - (TN)</t>
  </si>
  <si>
    <t>PUD No 1 of Chelan County</t>
  </si>
  <si>
    <t>CHPD</t>
  </si>
  <si>
    <t>Cherokee Electric Coop - (AL)</t>
  </si>
  <si>
    <t>Cherryland Electric Coop Inc</t>
  </si>
  <si>
    <t>Cheyenne Light Fuel &amp; Power</t>
  </si>
  <si>
    <t>WY</t>
  </si>
  <si>
    <t>Cherokee County Elec Coop Assn - (TX)</t>
  </si>
  <si>
    <t>City of Chickamauga</t>
  </si>
  <si>
    <t>City of Chicopee - (MA)</t>
  </si>
  <si>
    <t>Cimarron Electric Coop</t>
  </si>
  <si>
    <t>Choctawhatche Elec Coop, Inc</t>
  </si>
  <si>
    <t>Choptank Electric Cooperative, Inc</t>
  </si>
  <si>
    <t>Chugach Electric Assn Inc</t>
  </si>
  <si>
    <t>CEA</t>
  </si>
  <si>
    <t>Choctaw Electric Coop Inc</t>
  </si>
  <si>
    <t>Duke Energy Ohio Inc</t>
  </si>
  <si>
    <t>Citizens Electric Co - (PA)</t>
  </si>
  <si>
    <t>Citizens Electric Corporation - (MO)</t>
  </si>
  <si>
    <t>Claiborne Electric Coop, Inc</t>
  </si>
  <si>
    <t>PUD No 1 of Clallam County</t>
  </si>
  <si>
    <t>City of Claremore</t>
  </si>
  <si>
    <t>PUD No 1 of Clark County - (WA)</t>
  </si>
  <si>
    <t>Clark Energy Coop Inc - (KY)</t>
  </si>
  <si>
    <t>City of Clarksville - (TN)</t>
  </si>
  <si>
    <t>Clarksville Connected Utilities</t>
  </si>
  <si>
    <t>Clay County Electric Coop Corp - (AR)</t>
  </si>
  <si>
    <t>Cleveland Electric Illum Co</t>
  </si>
  <si>
    <t>Clay Electric Cooperative, Inc - (FL)</t>
  </si>
  <si>
    <t>City of Cleveland - (TN)</t>
  </si>
  <si>
    <t>City of Cleveland - (OH)</t>
  </si>
  <si>
    <t>City of Clinton - (TN)</t>
  </si>
  <si>
    <t>Clyde Light &amp; Power</t>
  </si>
  <si>
    <t>Cloverland Electric Co-op</t>
  </si>
  <si>
    <t>Coast Electric Power Assn - (MS)</t>
  </si>
  <si>
    <t>Coastal Electric Member Corp - (GA)</t>
  </si>
  <si>
    <t>Columbia Power System - (TN)</t>
  </si>
  <si>
    <t>City of Coffeyville - (KS)</t>
  </si>
  <si>
    <t>Coldwater Board of Public Util</t>
  </si>
  <si>
    <t>Cobb Electric Membership Corp</t>
  </si>
  <si>
    <t>Coles-Moultrie Electric Coop</t>
  </si>
  <si>
    <t>City of College Park - (GA)</t>
  </si>
  <si>
    <t>City of College Station - (TX)</t>
  </si>
  <si>
    <t>City of Colorado Springs - (CO)</t>
  </si>
  <si>
    <t>CO</t>
  </si>
  <si>
    <t>CMS Energy Resource Management</t>
  </si>
  <si>
    <t>City of Colton - (CA)</t>
  </si>
  <si>
    <t>Columbia Rural Elec Assn, Inc</t>
  </si>
  <si>
    <t>City of Columbia - (MO)</t>
  </si>
  <si>
    <t>Co-Mo Electric Coop Inc</t>
  </si>
  <si>
    <t>City of Columbus - (OH)</t>
  </si>
  <si>
    <t>City of Columbus - (MS)</t>
  </si>
  <si>
    <t>City of Columbus - (WI)</t>
  </si>
  <si>
    <t>Just Energy Solutions Inc.</t>
  </si>
  <si>
    <t>Commonwealth Edison Co</t>
  </si>
  <si>
    <t>Concho Valley Elec Coop Inc</t>
  </si>
  <si>
    <t>City of Concord - (NC)</t>
  </si>
  <si>
    <t>Concordia Electric Coop, Inc</t>
  </si>
  <si>
    <t>Callaway Electric Cooperative</t>
  </si>
  <si>
    <t>Connecticut Light &amp; Power Co</t>
  </si>
  <si>
    <t>Consolidated Edison Co-NY Inc</t>
  </si>
  <si>
    <t>Consolidated Electric Coop</t>
  </si>
  <si>
    <t>Consolidated Water Power Co</t>
  </si>
  <si>
    <t>Consumers Energy Co - (MI)</t>
  </si>
  <si>
    <t>Cooke County Elec Coop Assn</t>
  </si>
  <si>
    <t>Continental Divide El Coop Inc</t>
  </si>
  <si>
    <t>Conway Corporation</t>
  </si>
  <si>
    <t>City of Cookeville - (TN)</t>
  </si>
  <si>
    <t>Comanche County Elec Coop Assn</t>
  </si>
  <si>
    <t>Cookson Hills Elec Coop, Inc</t>
  </si>
  <si>
    <t>Coos-Curry Electric Coop, Inc</t>
  </si>
  <si>
    <t>Coosa Valley Electric Coop Inc</t>
  </si>
  <si>
    <t>Colorado River Comm of Nevada</t>
  </si>
  <si>
    <t>NEVP</t>
  </si>
  <si>
    <t>Corn Belt Energy Corporation</t>
  </si>
  <si>
    <t>Cornhusker Public Power Dist</t>
  </si>
  <si>
    <t>City of Corona - (CA)</t>
  </si>
  <si>
    <t>Cotton Electric Coop, Inc</t>
  </si>
  <si>
    <t>Shell Energy North America (US), L.P.</t>
  </si>
  <si>
    <t>PGE</t>
  </si>
  <si>
    <t>Covington Electric Coop, Inc</t>
  </si>
  <si>
    <t>Coweta-Fayette El Member Corp</t>
  </si>
  <si>
    <t>City of Covington - (GA)</t>
  </si>
  <si>
    <t>City of Covington - (TN)</t>
  </si>
  <si>
    <t>PUD No 1 of Cowlitz County</t>
  </si>
  <si>
    <t>Crawfordsville Elec, Lgt &amp; Pwr</t>
  </si>
  <si>
    <t>Craighead Electric Coop Corp</t>
  </si>
  <si>
    <t>Crawford Electric Coop, Inc</t>
  </si>
  <si>
    <t>Crisp County Power Comm</t>
  </si>
  <si>
    <t>Crow Wing Cooperative Power &amp; Light Comp</t>
  </si>
  <si>
    <t>City of Crystal Falls</t>
  </si>
  <si>
    <t>City of Cuba City</t>
  </si>
  <si>
    <t>Cullman Power Board</t>
  </si>
  <si>
    <t>Cullman Electric Coop, Inc</t>
  </si>
  <si>
    <t>Cumberland Valley Electric, Inc.</t>
  </si>
  <si>
    <t>Cumberland Elec Member Corp</t>
  </si>
  <si>
    <t>Custer Public Power District</t>
  </si>
  <si>
    <t>Cuivre River Electric Coop Inc</t>
  </si>
  <si>
    <t>City of Cuyahoga Falls - (OH)</t>
  </si>
  <si>
    <t>Dahlberg Light &amp; Power Co</t>
  </si>
  <si>
    <t>Dakota Valley Elec Coop Inc</t>
  </si>
  <si>
    <t>Dakota Energy Coop Inc</t>
  </si>
  <si>
    <t>Consumers Power, Inc</t>
  </si>
  <si>
    <t>Dalton Utilities</t>
  </si>
  <si>
    <t>City of Danville - (VA)</t>
  </si>
  <si>
    <t>Daviess Martin County R E M C</t>
  </si>
  <si>
    <t>Dawson Power District</t>
  </si>
  <si>
    <t>City of Dayton - (TN)</t>
  </si>
  <si>
    <t>Dayton Power &amp; Light Co</t>
  </si>
  <si>
    <t>Deaf Smith Electric Coop, Inc</t>
  </si>
  <si>
    <t>Decatur Utilities</t>
  </si>
  <si>
    <t>Decatur County Rural E M C</t>
  </si>
  <si>
    <t>Deep East Texas Elec Coop Inc</t>
  </si>
  <si>
    <t>Delmarva Power</t>
  </si>
  <si>
    <t>City of Denton - (TX)</t>
  </si>
  <si>
    <t>Delaware Electric Cooperative</t>
  </si>
  <si>
    <t>Denton County Elec Coop, Inc</t>
  </si>
  <si>
    <t>Delta Montrose Electric Assn</t>
  </si>
  <si>
    <t>DTE Electric Company</t>
  </si>
  <si>
    <t>City of Dickson</t>
  </si>
  <si>
    <t>Dixie Electric Power Assn - (MS)</t>
  </si>
  <si>
    <t>Dixie Electric Membership Corp - (LA)</t>
  </si>
  <si>
    <t>Dixie Electric Coop - (AL)</t>
  </si>
  <si>
    <t>City of Dothan - (AL)</t>
  </si>
  <si>
    <t>City of Douglas</t>
  </si>
  <si>
    <t>PUD No 1 of Douglas County</t>
  </si>
  <si>
    <t>DOPD</t>
  </si>
  <si>
    <t>City of Dover - (DE)</t>
  </si>
  <si>
    <t>City of Dover - (OH)</t>
  </si>
  <si>
    <t>Dubois Rural Electric Coop Inc</t>
  </si>
  <si>
    <t>Duck River Elec Member Corp</t>
  </si>
  <si>
    <t>Duke Energy Carolinas, LLC</t>
  </si>
  <si>
    <t>Dunn County Electric Coop</t>
  </si>
  <si>
    <t>ConocoPhillips Company</t>
  </si>
  <si>
    <t>Town of Danvers</t>
  </si>
  <si>
    <t>Duquesne Light Co</t>
  </si>
  <si>
    <t>City of Dyersburg</t>
  </si>
  <si>
    <t>Egyptian Electric Coop Assn</t>
  </si>
  <si>
    <t>City of Eagle River - (WI)</t>
  </si>
  <si>
    <t>East Central Energy</t>
  </si>
  <si>
    <t>East Mississippi Elec Pwr Assn</t>
  </si>
  <si>
    <t>City of East Point - (GA)</t>
  </si>
  <si>
    <t>Eastern Illinois Elec Coop</t>
  </si>
  <si>
    <t>East-Central Iowa Rural Elec Coop</t>
  </si>
  <si>
    <t>East Central Oklahoma Elec Coop Inc</t>
  </si>
  <si>
    <t>Eastern Iowa Light &amp; Power Coop</t>
  </si>
  <si>
    <t>Eastern Maine Electric Coop</t>
  </si>
  <si>
    <t>Easton Utilities Comm</t>
  </si>
  <si>
    <t>Edisto Electric Coop, Inc</t>
  </si>
  <si>
    <t>Edgecombe-Martin County E M C</t>
  </si>
  <si>
    <t>City of Edmond - (OK)</t>
  </si>
  <si>
    <t>EPE</t>
  </si>
  <si>
    <t>Empire Natural Gas Corporation</t>
  </si>
  <si>
    <t>Electrical Dist No8 Maricopa</t>
  </si>
  <si>
    <t>City of Elizabeth City - (NC)</t>
  </si>
  <si>
    <t>City of Elizabethton - (TN)</t>
  </si>
  <si>
    <t>City of Elk River</t>
  </si>
  <si>
    <t>Elkhorn Rural Public Pwr Dist</t>
  </si>
  <si>
    <t>Elmhurst Mutual Power &amp; Light Co</t>
  </si>
  <si>
    <t>Empire District Electric Co</t>
  </si>
  <si>
    <t>Empire Electric Assn, Inc</t>
  </si>
  <si>
    <t>Energy Coop of New York, Inc</t>
  </si>
  <si>
    <t>Excelsior Electric Member Corp</t>
  </si>
  <si>
    <t>Fairfield Electric Coop, Inc</t>
  </si>
  <si>
    <t>Village of Fairport - (NY)</t>
  </si>
  <si>
    <t>Town of Erwin - (TN)</t>
  </si>
  <si>
    <t>Escambia River Elec Coop, Inc</t>
  </si>
  <si>
    <t>City of Escondido - (CA)</t>
  </si>
  <si>
    <t>City of Etowah</t>
  </si>
  <si>
    <t>City of Eugene - (OR)</t>
  </si>
  <si>
    <t>City of Evansville</t>
  </si>
  <si>
    <t>City of Ellensburg - (WA)</t>
  </si>
  <si>
    <t>Fall River Rural Elec Coop Inc</t>
  </si>
  <si>
    <t>ID</t>
  </si>
  <si>
    <t>MT</t>
  </si>
  <si>
    <t>Fannin County Electric Coop</t>
  </si>
  <si>
    <t>Farmers Electric Coop, Inc - (MO)</t>
  </si>
  <si>
    <t>Farmers Electric Coop, Inc - (TX)</t>
  </si>
  <si>
    <t>Fayette Electric Coop, Inc</t>
  </si>
  <si>
    <t>Farmers Rural Electric Coop Corp - (KY)</t>
  </si>
  <si>
    <t>Farmers Electric Coop, Inc - (NM)</t>
  </si>
  <si>
    <t>City of Farmington - (NM)</t>
  </si>
  <si>
    <t>City of Farmington - (MO)</t>
  </si>
  <si>
    <t>Farmington River Power Company</t>
  </si>
  <si>
    <t>City of Fayetteville</t>
  </si>
  <si>
    <t>Fayetteville Public Works Commission</t>
  </si>
  <si>
    <t>Federated Rural Electric Assn</t>
  </si>
  <si>
    <t>First Electric Coop Corp</t>
  </si>
  <si>
    <t>Fishers Island Utility Co Inc</t>
  </si>
  <si>
    <t>Fitchburg Gas &amp; Elec Light Co</t>
  </si>
  <si>
    <t>Flathead Electric Coop Inc</t>
  </si>
  <si>
    <t>Flint Electric Membership Corp</t>
  </si>
  <si>
    <t>City of Florence - (AL)</t>
  </si>
  <si>
    <t>Florence Utility Comm</t>
  </si>
  <si>
    <t>City of Floresville</t>
  </si>
  <si>
    <t>Fleming-Mason Energy Coop Inc</t>
  </si>
  <si>
    <t>Florida Keys El Coop Assn, Inc</t>
  </si>
  <si>
    <t>FPL</t>
  </si>
  <si>
    <t>Florida Power &amp; Light Co</t>
  </si>
  <si>
    <t>Duke Energy Florida, LLC</t>
  </si>
  <si>
    <t>Florida Public Utilities Co</t>
  </si>
  <si>
    <t>JEA</t>
  </si>
  <si>
    <t>Energy Harbor Corp.</t>
  </si>
  <si>
    <t>Foley Board of Utilities</t>
  </si>
  <si>
    <t>City of Forest Grove</t>
  </si>
  <si>
    <t>City of Fort Collins - (CO)</t>
  </si>
  <si>
    <t>PSCO</t>
  </si>
  <si>
    <t>Fort Loudoun Electric Coop</t>
  </si>
  <si>
    <t>City of Fort Morgan</t>
  </si>
  <si>
    <t>Fort Payne Improvement Authority</t>
  </si>
  <si>
    <t>Fort Pierce Utilities Authority</t>
  </si>
  <si>
    <t>FMPP</t>
  </si>
  <si>
    <t>City of Fountain</t>
  </si>
  <si>
    <t>Four County Elec Member Corp</t>
  </si>
  <si>
    <t>4-County Electric Power Assn</t>
  </si>
  <si>
    <t>City of Frankfort - (IN)</t>
  </si>
  <si>
    <t>City of Frankfort - (KY)</t>
  </si>
  <si>
    <t>LGEE</t>
  </si>
  <si>
    <t>Easley Combined Utility System</t>
  </si>
  <si>
    <t>PUD No 1 of Franklin County</t>
  </si>
  <si>
    <t>Franklin Electric Coop - (AL)</t>
  </si>
  <si>
    <t>City of Franklin - (KY)</t>
  </si>
  <si>
    <t>Village of Freeport - (NY)</t>
  </si>
  <si>
    <t>City of Fremont - (NE)</t>
  </si>
  <si>
    <t>Freeborn Mower Electric Cooperative</t>
  </si>
  <si>
    <t>French Broad Elec Member Corp</t>
  </si>
  <si>
    <t>City of Fulton - (KY)</t>
  </si>
  <si>
    <t>City of Gaffney - (SC)</t>
  </si>
  <si>
    <t>Gainesville Regional Utilities</t>
  </si>
  <si>
    <t>GVL</t>
  </si>
  <si>
    <t>City of Gallatin - (TN)</t>
  </si>
  <si>
    <t>City of Garden City</t>
  </si>
  <si>
    <t>Garkane Energy Coop, Inc</t>
  </si>
  <si>
    <t>City of Garland - (TX)</t>
  </si>
  <si>
    <t>Gascosage Electric Coop</t>
  </si>
  <si>
    <t>City of Gastonia - (NC)</t>
  </si>
  <si>
    <t>GreyStone Power Corporation</t>
  </si>
  <si>
    <t>City of Geneva- (IL)</t>
  </si>
  <si>
    <t>City of Georgetown - (TX)</t>
  </si>
  <si>
    <t>Georgia Power Co</t>
  </si>
  <si>
    <t>Gibson Electric Members Corp</t>
  </si>
  <si>
    <t>City of Gillette - (WY)</t>
  </si>
  <si>
    <t>WAUW</t>
  </si>
  <si>
    <t>Glades Electric Coop, Inc</t>
  </si>
  <si>
    <t>City of Gladstone</t>
  </si>
  <si>
    <t>City of Glasgow - (KY)</t>
  </si>
  <si>
    <t>NextEra Energy Services, LLC</t>
  </si>
  <si>
    <t>Glencoe Light &amp; Power Comm</t>
  </si>
  <si>
    <t>City of Glendale - (CA)</t>
  </si>
  <si>
    <t>Golden Valley Elec Assn Inc</t>
  </si>
  <si>
    <t>Grady Electric Membership Corp</t>
  </si>
  <si>
    <t>City of Grand Haven - (MI)</t>
  </si>
  <si>
    <t>Grand River Dam Authority</t>
  </si>
  <si>
    <t>PUD No 1 of Grays Harbor County</t>
  </si>
  <si>
    <t>Green Mountain Energy Company</t>
  </si>
  <si>
    <t>Grayson Rural Electric Coop Corp</t>
  </si>
  <si>
    <t>Grayson-Collin Elec Coop, Inc</t>
  </si>
  <si>
    <t>Greenbelt Electric Coop, Inc</t>
  </si>
  <si>
    <t>Grand Valley Power</t>
  </si>
  <si>
    <t>Green Mountain Power Corp</t>
  </si>
  <si>
    <t>City of Greeneville - (TN)</t>
  </si>
  <si>
    <t>City of Greenfield - (IN)</t>
  </si>
  <si>
    <t>City of Greenville - (TX)</t>
  </si>
  <si>
    <t>Greenville Utilities Comm</t>
  </si>
  <si>
    <t>Greenwood CPW</t>
  </si>
  <si>
    <t>Greenwood Utilities Comm</t>
  </si>
  <si>
    <t>Greer Commission of Public Wks</t>
  </si>
  <si>
    <t>City of Griffin - (GA)</t>
  </si>
  <si>
    <t>Groton Dept of Utilities - (CT)</t>
  </si>
  <si>
    <t>Guadalupe Valley Elec Coop Inc</t>
  </si>
  <si>
    <t>Gulf Coast Electric Coop, Inc</t>
  </si>
  <si>
    <t>Guntersville Electric Board</t>
  </si>
  <si>
    <t>Habersham Electric Membership Corp</t>
  </si>
  <si>
    <t>Guernsey-Muskingum El Coop Inc</t>
  </si>
  <si>
    <t>Hagerstown Light Department</t>
  </si>
  <si>
    <t>City of Hamilton - (OH)</t>
  </si>
  <si>
    <t>Hamilton County Elec Coop Assn</t>
  </si>
  <si>
    <t>NineStar Connect</t>
  </si>
  <si>
    <t>Hancock-Wood Electric Coop Inc</t>
  </si>
  <si>
    <t>City of Hannibal - (MO)</t>
  </si>
  <si>
    <t>City of Harriman - (TN)</t>
  </si>
  <si>
    <t>Harrison County Rural E M C</t>
  </si>
  <si>
    <t>City of Harrisonburg - (VA)</t>
  </si>
  <si>
    <t>Hart Electric Member Corp</t>
  </si>
  <si>
    <t>Hartford Electric</t>
  </si>
  <si>
    <t>City of Hartselle</t>
  </si>
  <si>
    <t>City of Hastings - (NE)</t>
  </si>
  <si>
    <t>Hawaii Electric Light Co Inc</t>
  </si>
  <si>
    <t>HI</t>
  </si>
  <si>
    <t>Heartland Power Coop</t>
  </si>
  <si>
    <t>Haywood Electric Member Corp</t>
  </si>
  <si>
    <t>Hendricks County Rural E M C</t>
  </si>
  <si>
    <t>Henderson City Utility Comm</t>
  </si>
  <si>
    <t>City of Hickman</t>
  </si>
  <si>
    <t>High Plains Power Inc</t>
  </si>
  <si>
    <t>Highline Electric Assn</t>
  </si>
  <si>
    <t>Town of High Point</t>
  </si>
  <si>
    <t>HILCO Electric Cooperative, Inc.</t>
  </si>
  <si>
    <t>Inland Power &amp; Light Company</t>
  </si>
  <si>
    <t>City of Holland</t>
  </si>
  <si>
    <t>City of Holly Springs</t>
  </si>
  <si>
    <t>Holmes-Wayne Electric Coop Inc</t>
  </si>
  <si>
    <t>Holston Electric Coop, Inc</t>
  </si>
  <si>
    <t>Holy Cross Electric Assn, Inc</t>
  </si>
  <si>
    <t>City of Holyoke - (MA)</t>
  </si>
  <si>
    <t>Horry Electric Coop Inc</t>
  </si>
  <si>
    <t>City of Homestead - (FL)</t>
  </si>
  <si>
    <t>HST</t>
  </si>
  <si>
    <t>City of Hope - (AR)</t>
  </si>
  <si>
    <t>City of Hopkinsville</t>
  </si>
  <si>
    <t>Houlton Water Company</t>
  </si>
  <si>
    <t>Terrebonne Parish Consol Gov't</t>
  </si>
  <si>
    <t>Houston County Elec Coop Inc</t>
  </si>
  <si>
    <t>Howell-Oregon Elec Coop, Inc</t>
  </si>
  <si>
    <t>Town of Hudson - (MA)</t>
  </si>
  <si>
    <t>City of Humboldt</t>
  </si>
  <si>
    <t>Town of Huntersville - (NC)</t>
  </si>
  <si>
    <t>City of Huntsville - (AL)</t>
  </si>
  <si>
    <t>City of Lafayette - (LA)</t>
  </si>
  <si>
    <t>Hustisford Utilities</t>
  </si>
  <si>
    <t>Hutchinson Utilities Comm</t>
  </si>
  <si>
    <t>City of Idaho Falls - (ID)</t>
  </si>
  <si>
    <t>Idaho Power Co</t>
  </si>
  <si>
    <t>IPCO</t>
  </si>
  <si>
    <t>Imperial Irrigation District</t>
  </si>
  <si>
    <t>IID</t>
  </si>
  <si>
    <t>City of Independence - (IA)</t>
  </si>
  <si>
    <t>City of Independence - (MO)</t>
  </si>
  <si>
    <t>Indian Electric Coop, Inc</t>
  </si>
  <si>
    <t>AES Indiana</t>
  </si>
  <si>
    <t>Inter County Energy Coop Corp - (KY)</t>
  </si>
  <si>
    <t>Indiana Michigan Power Co</t>
  </si>
  <si>
    <t>Intercounty Electric Coop Assn - (MO)</t>
  </si>
  <si>
    <t>CORE Electric Cooperative</t>
  </si>
  <si>
    <t>Interstate Power and Light Co</t>
  </si>
  <si>
    <t>Iowa Lakes Electric Coop</t>
  </si>
  <si>
    <t>Itasca-Mantrap Co-op Electrical Assn</t>
  </si>
  <si>
    <t>Jackson Energy Coop Corp - (KY)</t>
  </si>
  <si>
    <t>Jackson County Rural E M C - (IN)</t>
  </si>
  <si>
    <t>Jackson Electric Coop, Inc - (TX)</t>
  </si>
  <si>
    <t>Jackson Electric Member Corp - (GA)</t>
  </si>
  <si>
    <t>Jackson Purchase Energy Corporation</t>
  </si>
  <si>
    <t>City of Jackson - (TN)</t>
  </si>
  <si>
    <t>City of Lebanon - (IN)</t>
  </si>
  <si>
    <t>Beaches Energy Services</t>
  </si>
  <si>
    <t>Jamestown Board of Public Util</t>
  </si>
  <si>
    <t>Jasper County Rural E M C</t>
  </si>
  <si>
    <t>City of Jasper - (IN)</t>
  </si>
  <si>
    <t>Jasper-Newton Elec Coop, Inc</t>
  </si>
  <si>
    <t>Jefferson Davis Elec Coop, Inc</t>
  </si>
  <si>
    <t>Jefferson Electric Member Corp</t>
  </si>
  <si>
    <t>Jefferson Utilities</t>
  </si>
  <si>
    <t>City of Jellico</t>
  </si>
  <si>
    <t>Jemez Mountains Elec Coop, Inc</t>
  </si>
  <si>
    <t>Jersey Central Power &amp; Lt Co</t>
  </si>
  <si>
    <t>Joe Wheeler Elec Member Corp</t>
  </si>
  <si>
    <t>Jo-Carroll Energy, Inc</t>
  </si>
  <si>
    <t>Johnson City - (TN)</t>
  </si>
  <si>
    <t>Johnson County Rural E M C</t>
  </si>
  <si>
    <t>Jones-Onslow Elec Member Corp</t>
  </si>
  <si>
    <t>City Water and Light Plant</t>
  </si>
  <si>
    <t>Juneau Utility Comm</t>
  </si>
  <si>
    <t>Just Energy</t>
  </si>
  <si>
    <t>Kenergy Corp</t>
  </si>
  <si>
    <t>City of Kansas City - (KS)</t>
  </si>
  <si>
    <t>Kankakee Valley Rural E M C</t>
  </si>
  <si>
    <t>Evergy Metro</t>
  </si>
  <si>
    <t>Evergy Kansas South, Inc</t>
  </si>
  <si>
    <t>Karnes Electric Coop Inc</t>
  </si>
  <si>
    <t>Kay Electric Coop</t>
  </si>
  <si>
    <t>FreeState Electric Coop</t>
  </si>
  <si>
    <t>City of Kaukauna</t>
  </si>
  <si>
    <t>K C Electric Association</t>
  </si>
  <si>
    <t>Kauai Island Utility Cooperative</t>
  </si>
  <si>
    <t>Kiamichi Electric Coop, Inc</t>
  </si>
  <si>
    <t>Kentucky Utilities Co</t>
  </si>
  <si>
    <t>Ketchikan Public Utilities</t>
  </si>
  <si>
    <t>Utility Board of the City of Key West, F</t>
  </si>
  <si>
    <t>Kings River Conservation Dist</t>
  </si>
  <si>
    <t>Kingsport Power Co</t>
  </si>
  <si>
    <t>City of Kinston - (NC)</t>
  </si>
  <si>
    <t>City of Kirkwood - (MO)</t>
  </si>
  <si>
    <t>Kissimmee Utility Authority</t>
  </si>
  <si>
    <t>Kit Carson Electric Coop, Inc</t>
  </si>
  <si>
    <t>PUD No 1 of Klickitat County</t>
  </si>
  <si>
    <t>Knoxville Utilities Board</t>
  </si>
  <si>
    <t>Kodiak Electric Assn Inc</t>
  </si>
  <si>
    <t>Kosciusko County Rural E M C</t>
  </si>
  <si>
    <t>Kotzebue Electric Assn Inc</t>
  </si>
  <si>
    <t>Kootenai Electric Cooperative</t>
  </si>
  <si>
    <t>AVA</t>
  </si>
  <si>
    <t>Village of L'Anse - (MI)</t>
  </si>
  <si>
    <t>La Plata Electric Assn, Inc</t>
  </si>
  <si>
    <t>City of LaFollette</t>
  </si>
  <si>
    <t>City of La Grange - (GA)</t>
  </si>
  <si>
    <t>City of Lake Crystal - (MN)</t>
  </si>
  <si>
    <t>Lake Region Electric Coop, Inc - (OK)</t>
  </si>
  <si>
    <t>Laclede Electric Coop, Inc</t>
  </si>
  <si>
    <t>Lake Mills Light &amp; Water</t>
  </si>
  <si>
    <t>Lake Region Electric Cooperative - (MN)</t>
  </si>
  <si>
    <t>City of Lake Worth Beach - (FL)</t>
  </si>
  <si>
    <t>City of Lakeland - (FL)</t>
  </si>
  <si>
    <t>Southern Rivers Energy</t>
  </si>
  <si>
    <t>Lamb County Electric Coop, Inc</t>
  </si>
  <si>
    <t>Lakeview Light &amp; Power</t>
  </si>
  <si>
    <t>Lamar County Elec Coop Assn</t>
  </si>
  <si>
    <t>Licking Rural Electric Inc</t>
  </si>
  <si>
    <t>Lane Electric Coop Inc</t>
  </si>
  <si>
    <t>Lake Country Power</t>
  </si>
  <si>
    <t>City of Lansing - (MI)</t>
  </si>
  <si>
    <t>Laurens Electric Coop, Inc</t>
  </si>
  <si>
    <t>City of Lawrenceburg</t>
  </si>
  <si>
    <t>City of Lawrenceville - (GA)</t>
  </si>
  <si>
    <t>Lea County Electric Coop, Inc - (NM)</t>
  </si>
  <si>
    <t>City of Lebanon - (OH)</t>
  </si>
  <si>
    <t>City of Lebanon - (MO)</t>
  </si>
  <si>
    <t>Lee County Electric Coop, Inc - (FL)</t>
  </si>
  <si>
    <t>City of Leesburg - (FL)</t>
  </si>
  <si>
    <t>Lehi City Corporation</t>
  </si>
  <si>
    <t>City of Lenoir - (TN)</t>
  </si>
  <si>
    <t>PUD No 1 of Lewis County</t>
  </si>
  <si>
    <t>City of Lewisburg - (TN)</t>
  </si>
  <si>
    <t>City of Lexington - (NC)</t>
  </si>
  <si>
    <t>City of Lexington - (NE)</t>
  </si>
  <si>
    <t>City of Lexington - (TN)</t>
  </si>
  <si>
    <t>Licking Valley Rural E C C</t>
  </si>
  <si>
    <t>Lighthouse Electric Coop, Inc</t>
  </si>
  <si>
    <t>Lincoln Electric System</t>
  </si>
  <si>
    <t>Linn County REC</t>
  </si>
  <si>
    <t>Town of Littleton - (MA)</t>
  </si>
  <si>
    <t>Lockhart Power Co</t>
  </si>
  <si>
    <t>City of Lodi - (CA)</t>
  </si>
  <si>
    <t>City of Lodi - (WI)</t>
  </si>
  <si>
    <t>City of Logan - (UT)</t>
  </si>
  <si>
    <t>City of Logansport - (IN)</t>
  </si>
  <si>
    <t>Long Island Power Authority</t>
  </si>
  <si>
    <t>City of Longmont</t>
  </si>
  <si>
    <t>Lorain-Medina R E C, Inc</t>
  </si>
  <si>
    <t>Los Alamos County</t>
  </si>
  <si>
    <t>Los Angeles Department of Water &amp; Power</t>
  </si>
  <si>
    <t>Loudon Utilities Board</t>
  </si>
  <si>
    <t>Entergy Louisiana LLC</t>
  </si>
  <si>
    <t>Louisville Electric System</t>
  </si>
  <si>
    <t>Louisville Gas &amp; Electric Co</t>
  </si>
  <si>
    <t>Loup River Public Power Dist</t>
  </si>
  <si>
    <t>City of Loveland - (CO)</t>
  </si>
  <si>
    <t>Lower Yellowstone R E A, Inc</t>
  </si>
  <si>
    <t>Lower Valley Energy Inc</t>
  </si>
  <si>
    <t>Lumbee River Elec Member Corp</t>
  </si>
  <si>
    <t>City of Lubbock - (TX)</t>
  </si>
  <si>
    <t>City of Lumberton - (NC)</t>
  </si>
  <si>
    <t>Lynches River Elec Coop, Inc</t>
  </si>
  <si>
    <t>Lyntegar Electric Coop, Inc</t>
  </si>
  <si>
    <t>City of Macon - (MS)</t>
  </si>
  <si>
    <t>Macon Electric Coop</t>
  </si>
  <si>
    <t>City of Madison - (SD)</t>
  </si>
  <si>
    <t>Town of Madison - (ME)</t>
  </si>
  <si>
    <t>Madison Gas &amp; Electric Co</t>
  </si>
  <si>
    <t>Madisonville Municipal Utils</t>
  </si>
  <si>
    <t>Magic Valley Electric Coop Inc</t>
  </si>
  <si>
    <t>Magnolia Electric Power Assn</t>
  </si>
  <si>
    <t>City of Manassas - (VA)</t>
  </si>
  <si>
    <t>Manitowoc Public Utilities</t>
  </si>
  <si>
    <t>Town of Mansfield - (MA)</t>
  </si>
  <si>
    <t>City of Maquoketa - (IA)</t>
  </si>
  <si>
    <t>City of Marietta - (GA)</t>
  </si>
  <si>
    <t>City of Marquette - (MI)</t>
  </si>
  <si>
    <t>Marshall-De Kalb Electric Coop</t>
  </si>
  <si>
    <t>City of Marshall - (MN)</t>
  </si>
  <si>
    <t>City of Marshfield - (WI)</t>
  </si>
  <si>
    <t>Consumers Energy Coop - (IA)</t>
  </si>
  <si>
    <t>Maryville Utilities</t>
  </si>
  <si>
    <t>Massachusetts Electric Co</t>
  </si>
  <si>
    <t>Town of Massena - (NY)</t>
  </si>
  <si>
    <t>Matanuska Electric Assn Inc</t>
  </si>
  <si>
    <t>Maui Electric Co Ltd</t>
  </si>
  <si>
    <t>City of Mayfield Plant Board</t>
  </si>
  <si>
    <t>McKenzie Electric Coop Inc</t>
  </si>
  <si>
    <t>McLean Electric Coop, Inc</t>
  </si>
  <si>
    <t>McMinnville Electric System</t>
  </si>
  <si>
    <t>City of McMinnville - (OR)</t>
  </si>
  <si>
    <t>Montana-Dakota Utilities Co</t>
  </si>
  <si>
    <t>City of McPherson - (KS)</t>
  </si>
  <si>
    <t>Meeker Coop Light &amp; Power Assn</t>
  </si>
  <si>
    <t>Meade County Rural E C C</t>
  </si>
  <si>
    <t>Mecklenburg Electric Cooperative</t>
  </si>
  <si>
    <t>Medina Electric Coop, Inc</t>
  </si>
  <si>
    <t>City of Memphis - (TN)</t>
  </si>
  <si>
    <t>City of Menasha - (WI)</t>
  </si>
  <si>
    <t>Nodak Electric Coop Inc</t>
  </si>
  <si>
    <t>Merced Irrigation District</t>
  </si>
  <si>
    <t>Meriwether Lewis Electric Coop</t>
  </si>
  <si>
    <t>MidAmerican Energy Co</t>
  </si>
  <si>
    <t>City of Mesa - (AZ)</t>
  </si>
  <si>
    <t>Midwest Energy Cooperative - (MI)</t>
  </si>
  <si>
    <t>Menard Electric Coop</t>
  </si>
  <si>
    <t>Midstate Electric Coop, Inc</t>
  </si>
  <si>
    <t>Midland Power Coop</t>
  </si>
  <si>
    <t>Mid-South Electric Coop Assn</t>
  </si>
  <si>
    <t>Mid-Carolina Electric Coop Inc</t>
  </si>
  <si>
    <t>Middle Tennessee E M C</t>
  </si>
  <si>
    <t>Town of Middleborough - (MA)</t>
  </si>
  <si>
    <t>Town of Middletown - (DE)</t>
  </si>
  <si>
    <t>Midwest Electric, Inc - (OH)</t>
  </si>
  <si>
    <t>Midwest Energy Inc - (KS)</t>
  </si>
  <si>
    <t>City of Milan - (TN)</t>
  </si>
  <si>
    <t>Midwest Electric Member Corp - (NE)</t>
  </si>
  <si>
    <t>City of Milford - (DE)</t>
  </si>
  <si>
    <t>Mille Lacs Energy Cooperative</t>
  </si>
  <si>
    <t>Maquoketa Valley Rrl Elec Coop</t>
  </si>
  <si>
    <t>ALLETE, Inc.</t>
  </si>
  <si>
    <t>Minnesota Valley Electric Coop</t>
  </si>
  <si>
    <t>City of Mishawaka</t>
  </si>
  <si>
    <t>Mississippi County Electric Co</t>
  </si>
  <si>
    <t>Entergy Mississippi LLC</t>
  </si>
  <si>
    <t>Mississippi Power Co</t>
  </si>
  <si>
    <t>Missoula Electric Coop, Inc</t>
  </si>
  <si>
    <t>Evergy Missouri West</t>
  </si>
  <si>
    <t>Missouri Rural Electric Coop</t>
  </si>
  <si>
    <t>Mitchell Electric Member Corp</t>
  </si>
  <si>
    <t>Modern Electric Water Company</t>
  </si>
  <si>
    <t>Modesto Irrigation District</t>
  </si>
  <si>
    <t>BANC</t>
  </si>
  <si>
    <t>City of Monett - (MO)</t>
  </si>
  <si>
    <t>Monongahela Power Co</t>
  </si>
  <si>
    <t>City of Monroe - (NC)</t>
  </si>
  <si>
    <t>NorthWestern Energy LLC - (MT)</t>
  </si>
  <si>
    <t>NWMT</t>
  </si>
  <si>
    <t>Morgan County Rural Elec Assn</t>
  </si>
  <si>
    <t>Moon Lake Electric Assn Inc</t>
  </si>
  <si>
    <t>City of Moorhead - (MN)</t>
  </si>
  <si>
    <t>Morgan Stanley Capital Grp Inc</t>
  </si>
  <si>
    <t>Morenci Water and Electric</t>
  </si>
  <si>
    <t>South Central Indiana REMC</t>
  </si>
  <si>
    <t>City of Morganton - (NC)</t>
  </si>
  <si>
    <t>City of Morristown - (TN)</t>
  </si>
  <si>
    <t>Consolidated Cooperative</t>
  </si>
  <si>
    <t>Mountain Electric Coop, Inc</t>
  </si>
  <si>
    <t>Mt Carmel Public Utility Co</t>
  </si>
  <si>
    <t>Village of Mt. Horeb - (WI)</t>
  </si>
  <si>
    <t>City of Mt Pleasant - (TN)</t>
  </si>
  <si>
    <t>Mountain Parks Electric, Inc</t>
  </si>
  <si>
    <t>Mountain View Elec Assn, Inc</t>
  </si>
  <si>
    <t>Mt Wheeler Power, Inc</t>
  </si>
  <si>
    <t>City of Murray - (UT)</t>
  </si>
  <si>
    <t>City of Murray - (KY)</t>
  </si>
  <si>
    <t>Board of Water Electric &amp; Communications</t>
  </si>
  <si>
    <t>City of Muscle Shoals</t>
  </si>
  <si>
    <t>Village of Muscoda - (WI)</t>
  </si>
  <si>
    <t>Northern Plains Electric Coop</t>
  </si>
  <si>
    <t>Nantucket Electric Co</t>
  </si>
  <si>
    <t>City of Naperville - (IL)</t>
  </si>
  <si>
    <t>The Narragansett Electric Co</t>
  </si>
  <si>
    <t>Nashville Electric Service</t>
  </si>
  <si>
    <t>Natchez Trace Elec Power Assn</t>
  </si>
  <si>
    <t>City of Natchitoches</t>
  </si>
  <si>
    <t>Norris Electric Coop</t>
  </si>
  <si>
    <t>Navajo Tribal Utility Authority</t>
  </si>
  <si>
    <t>Navopache Electric Coop, Inc</t>
  </si>
  <si>
    <t>TEPC</t>
  </si>
  <si>
    <t>Navarro County Elec Coop, Inc</t>
  </si>
  <si>
    <t>Nebraska Public Power District</t>
  </si>
  <si>
    <t>City of Negaunee</t>
  </si>
  <si>
    <t>Constellation NewEnergy, Inc</t>
  </si>
  <si>
    <t>Nevada Power Co</t>
  </si>
  <si>
    <t>City of New Albany - (MS)</t>
  </si>
  <si>
    <t>City of New Bern - (NC)</t>
  </si>
  <si>
    <t>City of New Braunfels - (TX)</t>
  </si>
  <si>
    <t>City of Newbern</t>
  </si>
  <si>
    <t>Village of New Glarus - (WI)</t>
  </si>
  <si>
    <t>New Hampshire Elec Coop Inc</t>
  </si>
  <si>
    <t>City of New Holstein - (WI)</t>
  </si>
  <si>
    <t>New London Electric&amp;Water Util</t>
  </si>
  <si>
    <t>Entergy New Orleans, LLC</t>
  </si>
  <si>
    <t>City of New Richmond</t>
  </si>
  <si>
    <t>New River Light &amp; Power Co</t>
  </si>
  <si>
    <t>New Smyrna Beach City of</t>
  </si>
  <si>
    <t>New York State Elec &amp; Gas Corp</t>
  </si>
  <si>
    <t>City of Newark - (DE)</t>
  </si>
  <si>
    <t>New-Mac Electric Coop, Inc</t>
  </si>
  <si>
    <t>Newberry Electric Coop, Inc</t>
  </si>
  <si>
    <t>Newnan Wtr, Sewer &amp; Light Comm</t>
  </si>
  <si>
    <t>City of Newport - (TN)</t>
  </si>
  <si>
    <t>Niagara Mohawk Power Corp.</t>
  </si>
  <si>
    <t>City of Niles - (OH)</t>
  </si>
  <si>
    <t>Northern Virginia Elec Coop</t>
  </si>
  <si>
    <t>Noble County R E M C</t>
  </si>
  <si>
    <t>Nolin Rural Electric Coop Corp</t>
  </si>
  <si>
    <t>Norris Public Power District</t>
  </si>
  <si>
    <t>North Alabama Electric Coop</t>
  </si>
  <si>
    <t>North Arkansas Elec Coop, Inc</t>
  </si>
  <si>
    <t>Town of North Attleborough - (MA)</t>
  </si>
  <si>
    <t>North Central Elec Coop, Inc - (OH)</t>
  </si>
  <si>
    <t>North Central Elec Coop, Inc - (ND)</t>
  </si>
  <si>
    <t>North Central Power Co Inc</t>
  </si>
  <si>
    <t>North Georgia Elec Member Corp</t>
  </si>
  <si>
    <t>City of North Little Rock - (AR)</t>
  </si>
  <si>
    <t>City of North Platte</t>
  </si>
  <si>
    <t>Northeast Oklahoma Electric Co</t>
  </si>
  <si>
    <t>Northcentral Mississippi E P A</t>
  </si>
  <si>
    <t>Northeast Power</t>
  </si>
  <si>
    <t>Northern Electric Coop, Inc</t>
  </si>
  <si>
    <t>Northern Indiana Pub Serv Co</t>
  </si>
  <si>
    <t>North Plains Electric Coop Inc</t>
  </si>
  <si>
    <t>Northern Lights, Inc</t>
  </si>
  <si>
    <t>Northern Neck Elec Coop, Inc</t>
  </si>
  <si>
    <t>Northern States Power Co</t>
  </si>
  <si>
    <t>Northern States Power Co - Minnesota</t>
  </si>
  <si>
    <t>Northeast Louisiana Power Coop Inc.</t>
  </si>
  <si>
    <t>Northern Wasco County PUD</t>
  </si>
  <si>
    <t>Prairie Land Electric Coop Inc</t>
  </si>
  <si>
    <t>Northwestern Electric Coop Inc - (OK)</t>
  </si>
  <si>
    <t>NorthWestern Energy - (SD)</t>
  </si>
  <si>
    <t>Northwestern Wisconsin Elec Co</t>
  </si>
  <si>
    <t>City of Norway</t>
  </si>
  <si>
    <t>Nueces Electric Cooperative</t>
  </si>
  <si>
    <t>City of Norwich - (CT)</t>
  </si>
  <si>
    <t>City of Norwood - (MA)</t>
  </si>
  <si>
    <t>City of Oak Ridge</t>
  </si>
  <si>
    <t>Oakdale Electric Coop</t>
  </si>
  <si>
    <t>City of Ocala</t>
  </si>
  <si>
    <t>Oconee Electric Member Corp</t>
  </si>
  <si>
    <t>Oconomowoc Utilities</t>
  </si>
  <si>
    <t>Oconto Falls Water &amp; Light Comm</t>
  </si>
  <si>
    <t>Ohio Edison Co</t>
  </si>
  <si>
    <t>Ohio Power Co</t>
  </si>
  <si>
    <t>Ohio Valley Electric Corp</t>
  </si>
  <si>
    <t>PUD No 1 of Okanogan County</t>
  </si>
  <si>
    <t>Oklahoma Electric Coop Inc</t>
  </si>
  <si>
    <t>Oklahoma Gas &amp; Electric Co</t>
  </si>
  <si>
    <t>City of Okolona</t>
  </si>
  <si>
    <t>Oregon Trail El Cons Coop, Inc</t>
  </si>
  <si>
    <t>Omaha Public Power District</t>
  </si>
  <si>
    <t>City of Opelika - (AL)</t>
  </si>
  <si>
    <t>Orange &amp; Rockland Utils Inc</t>
  </si>
  <si>
    <t>City of Orangeburg - (SC)</t>
  </si>
  <si>
    <t>SCEG</t>
  </si>
  <si>
    <t>Orcas Power &amp; Light Coop</t>
  </si>
  <si>
    <t>Tri-County Electric Coop, Inc (SC)</t>
  </si>
  <si>
    <t>Osage Valley Elec Coop Assn</t>
  </si>
  <si>
    <t>City of Orrville - (OH)</t>
  </si>
  <si>
    <t>Otero County Electric Coop Inc</t>
  </si>
  <si>
    <t>Otter Tail Power Co</t>
  </si>
  <si>
    <t>Ouachita Electric Coop Corp</t>
  </si>
  <si>
    <t>Overton Power District No 5</t>
  </si>
  <si>
    <t>City of Owatonna - (MN)</t>
  </si>
  <si>
    <t>Owen Electric Coop Inc</t>
  </si>
  <si>
    <t>City of Owensboro - (KY)</t>
  </si>
  <si>
    <t>City of Oxford - (MS)</t>
  </si>
  <si>
    <t>Ozark Border Electric Coop</t>
  </si>
  <si>
    <t>Ozark Electric Coop Inc - (MO)</t>
  </si>
  <si>
    <t>Ozarks Electric Coop Corp - (AR)</t>
  </si>
  <si>
    <t>PUD No 2 of Pacific County</t>
  </si>
  <si>
    <t>Pacific Gas &amp; Electric Co.</t>
  </si>
  <si>
    <t>Avangrid Power, LLC</t>
  </si>
  <si>
    <t>PACW</t>
  </si>
  <si>
    <t>PacifiCorp</t>
  </si>
  <si>
    <t>City of Paducah - (KY)</t>
  </si>
  <si>
    <t>City of Painesville</t>
  </si>
  <si>
    <t>Palmetto Electric Coop Inc</t>
  </si>
  <si>
    <t>City of Palo Alto - (CA)</t>
  </si>
  <si>
    <t>Panola-Harrison Elec Coop, Inc</t>
  </si>
  <si>
    <t>Paragould Municipal Utilities</t>
  </si>
  <si>
    <t>SPA</t>
  </si>
  <si>
    <t>City of Paris - (TN)</t>
  </si>
  <si>
    <t>People's Cooperative Services</t>
  </si>
  <si>
    <t>City of Pasadena - (CA)</t>
  </si>
  <si>
    <t>Pascoag Utility District</t>
  </si>
  <si>
    <t>Pearl River Valley El Pwr Assn</t>
  </si>
  <si>
    <t>Paulding-Putman Elec Coop, Inc</t>
  </si>
  <si>
    <t>Pea River Electric Coop</t>
  </si>
  <si>
    <t>City of Peabody - (MA)</t>
  </si>
  <si>
    <t>Peace River Electric Coop, Inc</t>
  </si>
  <si>
    <t>Orlando Utilities Comm</t>
  </si>
  <si>
    <t>PUD No 2 of Grant County</t>
  </si>
  <si>
    <t>GCPD</t>
  </si>
  <si>
    <t>Pedernales Electric Coop, Inc</t>
  </si>
  <si>
    <t>Planters Electric Member Corp</t>
  </si>
  <si>
    <t>PUD No 1 of Pend Oreille County</t>
  </si>
  <si>
    <t>Peninsula Light Company</t>
  </si>
  <si>
    <t>PPL Electric Utilities Corp</t>
  </si>
  <si>
    <t>Pee Dee Electric Member Corp</t>
  </si>
  <si>
    <t>Pennyrile Rural Electric Coop</t>
  </si>
  <si>
    <t>People's Electric Cooperative</t>
  </si>
  <si>
    <t>City of Peru - (IN)</t>
  </si>
  <si>
    <t>City of Peru - (IL)</t>
  </si>
  <si>
    <t>Petit Jean Electric Coop Corp</t>
  </si>
  <si>
    <t>PECO Energy Co</t>
  </si>
  <si>
    <t>City of Philadelphia - (MS)</t>
  </si>
  <si>
    <t>Pilot Power Group, LLC</t>
  </si>
  <si>
    <t>Pickwick Electric Coop</t>
  </si>
  <si>
    <t>Piedmont Electric Member Corp</t>
  </si>
  <si>
    <t>City of Pierre - (SD)</t>
  </si>
  <si>
    <t>Pike County Light &amp; Power Co</t>
  </si>
  <si>
    <t>Electrical Dist No2 Pinal County</t>
  </si>
  <si>
    <t>Pioneer Rural Elec Coop, Inc - (OH)</t>
  </si>
  <si>
    <t>Pioneer Electric Coop, Inc - (KS)</t>
  </si>
  <si>
    <t>Pioneer Power and Light Co</t>
  </si>
  <si>
    <t>City of Piqua - (OH)</t>
  </si>
  <si>
    <t>Platte-Clay Electric Coop, Inc</t>
  </si>
  <si>
    <t>Plateau Electric Cooperative</t>
  </si>
  <si>
    <t>City of Plattsburgh - (NY)</t>
  </si>
  <si>
    <t>City of Plymouth - (WI)</t>
  </si>
  <si>
    <t>Pointe Coupee Elec Member Corp</t>
  </si>
  <si>
    <t>City of Ponca City - (OK)</t>
  </si>
  <si>
    <t>Pontotoc Electric Power Assn</t>
  </si>
  <si>
    <t>City of Poplar Bluff - (MO)</t>
  </si>
  <si>
    <t>City of Port Angeles - (WA)</t>
  </si>
  <si>
    <t>Portland General Electric Co</t>
  </si>
  <si>
    <t>Poudre Valley REA, Inc</t>
  </si>
  <si>
    <t>The Potomac Edison Company</t>
  </si>
  <si>
    <t>Potomac Electric Power Co</t>
  </si>
  <si>
    <t>Prairie Energy Coop</t>
  </si>
  <si>
    <t>Powell Valley Electric Coop</t>
  </si>
  <si>
    <t>New York Power Authority</t>
  </si>
  <si>
    <t>Village of Prairie Du Sac - (WI)</t>
  </si>
  <si>
    <t>Prentiss County Elec Pwr Assn</t>
  </si>
  <si>
    <t>Presque Isle Elec &amp; Gas Coop</t>
  </si>
  <si>
    <t>Polk-Burnett Electric Coop</t>
  </si>
  <si>
    <t>City of Preston</t>
  </si>
  <si>
    <t>Prince George Electric Coop</t>
  </si>
  <si>
    <t>PUD No 3 of Mason County</t>
  </si>
  <si>
    <t>Provo City Corp</t>
  </si>
  <si>
    <t>Public Service Co of Colorado</t>
  </si>
  <si>
    <t>Duke Energy Indiana, LLC</t>
  </si>
  <si>
    <t>Public Service Co of NH</t>
  </si>
  <si>
    <t>Public Service Co of NM</t>
  </si>
  <si>
    <t>Public Service Co of Oklahoma</t>
  </si>
  <si>
    <t>Public Service Elec &amp; Gas Co</t>
  </si>
  <si>
    <t>Puget Sound Energy Inc</t>
  </si>
  <si>
    <t>City of Pulaski - (TN)</t>
  </si>
  <si>
    <t>Randolph Electric Member Corp</t>
  </si>
  <si>
    <t>Rayle Electric Membership Corp</t>
  </si>
  <si>
    <t>Red River Valley Rrl Elec Assn</t>
  </si>
  <si>
    <t>Town of Reading - (MA)</t>
  </si>
  <si>
    <t>Central Florida Tourism Oversight District</t>
  </si>
  <si>
    <t>City of Redding - (CA)</t>
  </si>
  <si>
    <t>Reedsburg Utility Comm</t>
  </si>
  <si>
    <t>Reliant Energy Retail Services</t>
  </si>
  <si>
    <t>City of Richland Center - (WI)</t>
  </si>
  <si>
    <t>City of Richland - (WA)</t>
  </si>
  <si>
    <t>City of Richmond - (IN)</t>
  </si>
  <si>
    <t>Rio Grande Electric Coop, Inc</t>
  </si>
  <si>
    <t>Riverland Energy Cooperative</t>
  </si>
  <si>
    <t>Rita Blanca Electric Coop, Inc</t>
  </si>
  <si>
    <t>City of River Falls</t>
  </si>
  <si>
    <t>City of Riverside - (CA)</t>
  </si>
  <si>
    <t>Roanoke Electric Member Corp</t>
  </si>
  <si>
    <t>Navasota Valley Elec Coop, Inc</t>
  </si>
  <si>
    <t>Robison Energy, LLC</t>
  </si>
  <si>
    <t>Rochelle Municipal Utilities</t>
  </si>
  <si>
    <t>Rochester Public Utilities</t>
  </si>
  <si>
    <t>Rochester Gas &amp; Electric Corp</t>
  </si>
  <si>
    <t>City of Rock Hill - (SC)</t>
  </si>
  <si>
    <t>Rock Energy Cooperative</t>
  </si>
  <si>
    <t>Rockland Electric Co</t>
  </si>
  <si>
    <t>City of Rockwood - (TN)</t>
  </si>
  <si>
    <t>City of Rocky Mount - (NC)</t>
  </si>
  <si>
    <t>City of Rolla - (MO)</t>
  </si>
  <si>
    <t>Rosebud Electric Coop Inc</t>
  </si>
  <si>
    <t>City of Roseville - (CA)</t>
  </si>
  <si>
    <t>Runestone Electric Assn</t>
  </si>
  <si>
    <t>Rural Electric Coop, Inc - (OK)</t>
  </si>
  <si>
    <t>City of Russellville - (AL)</t>
  </si>
  <si>
    <t>City of Russellville - (KY)</t>
  </si>
  <si>
    <t>Rusk County Electric Coop, Inc</t>
  </si>
  <si>
    <t>City of Ruston - (LA)</t>
  </si>
  <si>
    <t>Rutherford Elec Member Corp</t>
  </si>
  <si>
    <t>Sacramento Municipal Util Dist</t>
  </si>
  <si>
    <t>Salem Electric - (OR)</t>
  </si>
  <si>
    <t>City of Salem - (VA)</t>
  </si>
  <si>
    <t>Salmon River Electric Coop Inc</t>
  </si>
  <si>
    <t>Salt River Project</t>
  </si>
  <si>
    <t>SRP</t>
  </si>
  <si>
    <t>Salt River Electric Coop Corp</t>
  </si>
  <si>
    <t>San Luis Valley R E C, Inc</t>
  </si>
  <si>
    <t>City of San Antonio - (TX)</t>
  </si>
  <si>
    <t>Santee Electric Coop, Inc</t>
  </si>
  <si>
    <t>San Diego Gas &amp; Electric Co</t>
  </si>
  <si>
    <t>Access Energy Coop</t>
  </si>
  <si>
    <t>City &amp; County of San Francisco</t>
  </si>
  <si>
    <t>Sam Houston Electric Coop Inc</t>
  </si>
  <si>
    <t>San Isabel Electric Assn, Inc</t>
  </si>
  <si>
    <t>San Miguel Power Assn, Inc</t>
  </si>
  <si>
    <t>San Patricio Electric Coop Inc</t>
  </si>
  <si>
    <t>Sand Mountain Electric Coop</t>
  </si>
  <si>
    <t>City of Sandersville - (GA)</t>
  </si>
  <si>
    <t>San Bernard Electric Coop, Inc</t>
  </si>
  <si>
    <t>City of Santa Clara - (CA)</t>
  </si>
  <si>
    <t>Satilla Rural Elec Member Corporation</t>
  </si>
  <si>
    <t>Scenic Rivers Energy Coop</t>
  </si>
  <si>
    <t>Three Rivers Electric Coop</t>
  </si>
  <si>
    <t>SEMO Electric Cooperative</t>
  </si>
  <si>
    <t>City of Scottsboro - (AL)</t>
  </si>
  <si>
    <t>Calpine Energy Solutions, LLC</t>
  </si>
  <si>
    <t>Sawnee Electric Membership Corporation</t>
  </si>
  <si>
    <t>City of Seattle - (WA)</t>
  </si>
  <si>
    <t>SCL</t>
  </si>
  <si>
    <t>City of Seguin - (TX)</t>
  </si>
  <si>
    <t>Sequachee Valley Electric Coop</t>
  </si>
  <si>
    <t>Sevier County Electric System</t>
  </si>
  <si>
    <t>Shakopee Public Utilities Comm</t>
  </si>
  <si>
    <t>Shawano Municipal Utilities</t>
  </si>
  <si>
    <t>Sheffield Utilities</t>
  </si>
  <si>
    <t>RushShelby Energy</t>
  </si>
  <si>
    <t>Shelby Electric Coop, Inc - (IL)</t>
  </si>
  <si>
    <t>Shelby Energy Coop, Inc - (KY)</t>
  </si>
  <si>
    <t>City of Shelbyville - (TN)</t>
  </si>
  <si>
    <t>Shenandoah Valley Elec Coop</t>
  </si>
  <si>
    <t>Town of Shrewsbury - (MA)</t>
  </si>
  <si>
    <t>Sierra Pacific Power Co</t>
  </si>
  <si>
    <t>City of Sikeston - (MO)</t>
  </si>
  <si>
    <t>City of Siloam Springs - (AR)</t>
  </si>
  <si>
    <t>Singing River Elec Cooperative</t>
  </si>
  <si>
    <t>North West Rural Electric Coop</t>
  </si>
  <si>
    <t>Slope Electric Coop Inc</t>
  </si>
  <si>
    <t>Sioux Valley SW Elec Coop</t>
  </si>
  <si>
    <t>Slinger Utilities</t>
  </si>
  <si>
    <t>City of Smithville - (TN)</t>
  </si>
  <si>
    <t>PUD No 1 of Snohomish County</t>
  </si>
  <si>
    <t>Village of Solvay - (NY)</t>
  </si>
  <si>
    <t>South Alabama Elec Coop, Inc</t>
  </si>
  <si>
    <t>Dominion Energy South Carolina, Inc</t>
  </si>
  <si>
    <t>South Central Ark El Coop, Inc</t>
  </si>
  <si>
    <t>South Carolina Public Service Authority</t>
  </si>
  <si>
    <t>South Central Public Pwr Dist</t>
  </si>
  <si>
    <t>South Central Electric Assn</t>
  </si>
  <si>
    <t>South Plains Electric Coop Inc</t>
  </si>
  <si>
    <t>South Kentucky Rural E C C</t>
  </si>
  <si>
    <t>South Louisiana Elec Coop Assn</t>
  </si>
  <si>
    <t>South River Elec Member Corp</t>
  </si>
  <si>
    <t>City of South Sioux City</t>
  </si>
  <si>
    <t>Southeastern IL Elec Coop, Inc</t>
  </si>
  <si>
    <t>Southeast Colorado Power Assn</t>
  </si>
  <si>
    <t>Southeastern Indiana R E M C</t>
  </si>
  <si>
    <t>Southeastern Electric Coop Inc - (OK)</t>
  </si>
  <si>
    <t>Southern California Edison Co</t>
  </si>
  <si>
    <t>Bear Valley Electric Service</t>
  </si>
  <si>
    <t>Southern Indiana Gas &amp; Elec Co</t>
  </si>
  <si>
    <t>Southern Maryland Elec Coop Inc</t>
  </si>
  <si>
    <t>Southern Public Power District</t>
  </si>
  <si>
    <t>Southern Pine Elec Coop, Inc</t>
  </si>
  <si>
    <t>Southern Pine Electric Cooperative</t>
  </si>
  <si>
    <t>Southwest Arkansas E C C</t>
  </si>
  <si>
    <t>Southwest Mississippi E P A</t>
  </si>
  <si>
    <t>Southwest Louisiana E M C</t>
  </si>
  <si>
    <t>Southwest Public Power Dist</t>
  </si>
  <si>
    <t>Southwest Texas Elec Coop, Inc</t>
  </si>
  <si>
    <t>Southwest Tennessee E M C</t>
  </si>
  <si>
    <t>Southwestern Electric Coop Inc - (IL)</t>
  </si>
  <si>
    <t>Spark Energy, LP</t>
  </si>
  <si>
    <t>Southwestern Electric Coop Inc - (NM)</t>
  </si>
  <si>
    <t>Spanish Fork City Corporation</t>
  </si>
  <si>
    <t>City of Sparta</t>
  </si>
  <si>
    <t>Springer Electric Coop, Inc</t>
  </si>
  <si>
    <t>City of Springfield - (IL)</t>
  </si>
  <si>
    <t>City of Springfield - (TN)</t>
  </si>
  <si>
    <t>Snapping Shoals El Member Corp</t>
  </si>
  <si>
    <t>City Utilities of Springfield - (MO)</t>
  </si>
  <si>
    <t>City of Springfield - (OR)</t>
  </si>
  <si>
    <t>City of Springville - (UT)</t>
  </si>
  <si>
    <t>City of St Charles - (IL)</t>
  </si>
  <si>
    <t>City of St George</t>
  </si>
  <si>
    <t>City of Shasta Lake - (CA)</t>
  </si>
  <si>
    <t>City of Starkville</t>
  </si>
  <si>
    <t>Stearns Cooperative Elec Assn</t>
  </si>
  <si>
    <t>City of Statesville - (NC)</t>
  </si>
  <si>
    <t>Steele-Waseca Cooperative Electric</t>
  </si>
  <si>
    <t>South Central Power Company</t>
  </si>
  <si>
    <t>Stillwater Utilities Authority</t>
  </si>
  <si>
    <t>City of Stoughton - (WI)</t>
  </si>
  <si>
    <t>Direct Energy Business</t>
  </si>
  <si>
    <t>Tallapoosa River Elec Coop Inc</t>
  </si>
  <si>
    <t>Strawberry Electric Serv Dist</t>
  </si>
  <si>
    <t>City of Sturgeon Bay - (WI)</t>
  </si>
  <si>
    <t>City of Sturgis - (MI)</t>
  </si>
  <si>
    <t>Surprise Valley Electrification</t>
  </si>
  <si>
    <t>Sulphur Springs Valley E C Inc</t>
  </si>
  <si>
    <t>Sumter Electric Coop, Inc</t>
  </si>
  <si>
    <t>Sumter Electric Member Corp</t>
  </si>
  <si>
    <t>Sun Prairie Utilities</t>
  </si>
  <si>
    <t>Superior Water and Light Co</t>
  </si>
  <si>
    <t>Surry-Yadkin Elec Member Corp</t>
  </si>
  <si>
    <t>Suwannee Valley Elec Coop Inc</t>
  </si>
  <si>
    <t>City of Sweetwater</t>
  </si>
  <si>
    <t>City of Sylvania - (GA)</t>
  </si>
  <si>
    <t>City of Tacoma - (WA)</t>
  </si>
  <si>
    <t>TPWR</t>
  </si>
  <si>
    <t>City of Tallahassee - (FL)</t>
  </si>
  <si>
    <t>TAL</t>
  </si>
  <si>
    <t>Tallahatchie Valley E P A</t>
  </si>
  <si>
    <t>Talquin Electric Coop, Inc</t>
  </si>
  <si>
    <t>Tampa Electric Co</t>
  </si>
  <si>
    <t>TEC</t>
  </si>
  <si>
    <t>Town of Tarboro - (NC)</t>
  </si>
  <si>
    <t>City of Tarrant</t>
  </si>
  <si>
    <t>Tara Energy, LLC</t>
  </si>
  <si>
    <t>City of Taunton</t>
  </si>
  <si>
    <t>Taylor County Rural E C C</t>
  </si>
  <si>
    <t>Three Notch Elec Member Corp</t>
  </si>
  <si>
    <t>SEPA</t>
  </si>
  <si>
    <t>Tennessee Valley Authority</t>
  </si>
  <si>
    <t>Tennessee Valley Electric Coop</t>
  </si>
  <si>
    <t>City of Thomasville - (GA)</t>
  </si>
  <si>
    <t>Tillamook Peoples Utility Dist</t>
  </si>
  <si>
    <t>Tipmont Rural Elec Member Corp</t>
  </si>
  <si>
    <t>Tippah Electric Power Assn</t>
  </si>
  <si>
    <t>Tishomingo County E P A</t>
  </si>
  <si>
    <t>Tri-County Electric Coop, Inc (IL)</t>
  </si>
  <si>
    <t>Tri-County Elec Member Corp (GA)</t>
  </si>
  <si>
    <t>Tri-County Elec Member Corp (NC)</t>
  </si>
  <si>
    <t>Trinity Valley Elec Coop Inc</t>
  </si>
  <si>
    <t>Tenaska Power Services</t>
  </si>
  <si>
    <t>The Toledo Edison Co</t>
  </si>
  <si>
    <t>Tombigbee Electric Power Assn</t>
  </si>
  <si>
    <t>ENGIE Resources LLC</t>
  </si>
  <si>
    <t>Tideland Electric Member Corp</t>
  </si>
  <si>
    <t>City of Traverse City - (MI)</t>
  </si>
  <si>
    <t>TriEagle Energy, L.P.</t>
  </si>
  <si>
    <t>City of Trenton - (TN)</t>
  </si>
  <si>
    <t>Tri-State Electric Member Corp</t>
  </si>
  <si>
    <t>Powder River Energy Corp</t>
  </si>
  <si>
    <t>MiEnergy Cooperative</t>
  </si>
  <si>
    <t>Tri-County Electric Coop, Inc (TX)</t>
  </si>
  <si>
    <t>Tri-County Electric Coop, Inc (OK)</t>
  </si>
  <si>
    <t>Tri-County Electric Coop, Inc (FL)</t>
  </si>
  <si>
    <t>Tri-County Elec Member Corp (TN)</t>
  </si>
  <si>
    <t>Trico Electric Cooperative Inc</t>
  </si>
  <si>
    <t>Diverse Power Incorporated</t>
  </si>
  <si>
    <t>City of Troy - (AL)</t>
  </si>
  <si>
    <t>Tullahoma Board-Public Utils</t>
  </si>
  <si>
    <t>City of Tupelo - (MS)</t>
  </si>
  <si>
    <t>TDX North Slope Generating Co</t>
  </si>
  <si>
    <t>Turlock Irrigation District</t>
  </si>
  <si>
    <t>TIDC</t>
  </si>
  <si>
    <t>Southeastern Electric Coop Inc - (SD)</t>
  </si>
  <si>
    <t>City of Tuscumbia</t>
  </si>
  <si>
    <t>Two Rivers Water &amp; Light</t>
  </si>
  <si>
    <t>Umatilla Electric Coop Assn</t>
  </si>
  <si>
    <t>TXU Energy Retail Co, LLC</t>
  </si>
  <si>
    <t>UGI Utilities, Inc</t>
  </si>
  <si>
    <t>Tri-County Electric Coop (MI)</t>
  </si>
  <si>
    <t>City of Union City</t>
  </si>
  <si>
    <t>Union Electric Membership Corp - (NC)</t>
  </si>
  <si>
    <t>Union Electric Co - (MO)</t>
  </si>
  <si>
    <t>Southern Indiana R E C, Inc</t>
  </si>
  <si>
    <t>Duke Energy Kentucky</t>
  </si>
  <si>
    <t>United Electric Coop Service Inc - (TX)</t>
  </si>
  <si>
    <t>United Illuminating Co</t>
  </si>
  <si>
    <t>United Power, Inc</t>
  </si>
  <si>
    <t>Union Rural Electric Coop, Inc</t>
  </si>
  <si>
    <t>United Electric Co-op, Inc - (ID)</t>
  </si>
  <si>
    <t>Black Hills Power, Inc.</t>
  </si>
  <si>
    <t>Hawaiian Electric Co Inc</t>
  </si>
  <si>
    <t>HECO</t>
  </si>
  <si>
    <t>Homer Electric Assn Inc</t>
  </si>
  <si>
    <t>Upper Cumberland E M C</t>
  </si>
  <si>
    <t>Upper Peninsula Power Company</t>
  </si>
  <si>
    <t>Upshur Rural Elec Coop Corp</t>
  </si>
  <si>
    <t>USBIA-Mission Valley Power</t>
  </si>
  <si>
    <t>USBIA-San Carlos Project</t>
  </si>
  <si>
    <t>Utilities Dist-Western IN REMC</t>
  </si>
  <si>
    <t>UNS Electric, Inc</t>
  </si>
  <si>
    <t>Vera Irrigation District #15</t>
  </si>
  <si>
    <t>Verdigris Valley Elec Coop Inc</t>
  </si>
  <si>
    <t>Verendrye Electric Coop Inc</t>
  </si>
  <si>
    <t>Vermont Electric Cooperative, Inc</t>
  </si>
  <si>
    <t>City of Vernon</t>
  </si>
  <si>
    <t>Victoria Electric Coop, Inc</t>
  </si>
  <si>
    <t>Victory Electric Coop Assn Inc</t>
  </si>
  <si>
    <t>Valley Electric Assn, Inc</t>
  </si>
  <si>
    <t>City of Vineland - (NJ)</t>
  </si>
  <si>
    <t>Vinton Public Power Authority</t>
  </si>
  <si>
    <t>Virginia Electric &amp; Power Co</t>
  </si>
  <si>
    <t>Virginia Tech Electric Service</t>
  </si>
  <si>
    <t>City of Volga - (SD)</t>
  </si>
  <si>
    <t>Volunteer Electric Coop</t>
  </si>
  <si>
    <t>City of Wadsworth - (OH)</t>
  </si>
  <si>
    <t>Wake Electric Membership Corp</t>
  </si>
  <si>
    <t>Town of Wallingford - (CT)</t>
  </si>
  <si>
    <t>Walton Electric Member Corp</t>
  </si>
  <si>
    <t>Warren Rural Elec Coop Corp</t>
  </si>
  <si>
    <t>City of Washington - (GA)</t>
  </si>
  <si>
    <t>City of Washington - (NC)</t>
  </si>
  <si>
    <t>Washington Elec Member Corp</t>
  </si>
  <si>
    <t>Avista Corp</t>
  </si>
  <si>
    <t>City of Water Valley - (MS)</t>
  </si>
  <si>
    <t>Waterloo Light &amp; Water Comm</t>
  </si>
  <si>
    <t>Watertown Municipal Utilities</t>
  </si>
  <si>
    <t>Village of Waunakee - (WI)</t>
  </si>
  <si>
    <t>Waupun Utilities</t>
  </si>
  <si>
    <t>Whitewater Valley Rural EMC</t>
  </si>
  <si>
    <t>Wayne-White Counties Elec Coop</t>
  </si>
  <si>
    <t>Weakley County Mun Elec Sys</t>
  </si>
  <si>
    <t>Weatherford Mun Utility System</t>
  </si>
  <si>
    <t>Town of Wellesley - (MA)</t>
  </si>
  <si>
    <t>Webster Electric Coop</t>
  </si>
  <si>
    <t>Wells Rural Electric Co</t>
  </si>
  <si>
    <t>Wellsborough Electric Co</t>
  </si>
  <si>
    <t>West Central Electric Coop Inc - (MO)</t>
  </si>
  <si>
    <t>West Florida El Coop Assn, Inc</t>
  </si>
  <si>
    <t>West Kentucky Rural E C C</t>
  </si>
  <si>
    <t>City of West Memphis - (AR)</t>
  </si>
  <si>
    <t>City of West Point - (MS)</t>
  </si>
  <si>
    <t>West River Electric Assn Inc</t>
  </si>
  <si>
    <t>Mountrail-Williams Elec Coop</t>
  </si>
  <si>
    <t>City of Westby</t>
  </si>
  <si>
    <t>Wharton County Elec Coop, Inc</t>
  </si>
  <si>
    <t>Western Coop Electric Assn Inc</t>
  </si>
  <si>
    <t>City of Westerville - (OH)</t>
  </si>
  <si>
    <t>City of Westfield - (MA)</t>
  </si>
  <si>
    <t>Wheatland Electric Coop, Inc</t>
  </si>
  <si>
    <t>Wheeling Power Co</t>
  </si>
  <si>
    <t>White River Valley El Coop Inc</t>
  </si>
  <si>
    <t>White River Electric Assn, Inc</t>
  </si>
  <si>
    <t>Whitehall Electric Utility</t>
  </si>
  <si>
    <t>Northeastern Rural E M C</t>
  </si>
  <si>
    <t>Wild Rice Electric Coop, Inc</t>
  </si>
  <si>
    <t>WGL Energy Services, Inc.</t>
  </si>
  <si>
    <t>Willmar Municipal Utilities</t>
  </si>
  <si>
    <t>City of Wilson - (NC)</t>
  </si>
  <si>
    <t>City of Winchester - (TN)</t>
  </si>
  <si>
    <t>City of Winfield - (KS)</t>
  </si>
  <si>
    <t>Wiregrass Electric Coop, Inc</t>
  </si>
  <si>
    <t>Wolverine Power Marketing Coop</t>
  </si>
  <si>
    <t>Wisconsin Electric Power Co</t>
  </si>
  <si>
    <t>Wisconsin Power &amp; Light Co</t>
  </si>
  <si>
    <t>Wisconsin Public Service Corp</t>
  </si>
  <si>
    <t>Wisconsin Rapids W W &amp; L Comm</t>
  </si>
  <si>
    <t>Withlacoochee River Elec Coop</t>
  </si>
  <si>
    <t>Wood County Electric Coop, Inc</t>
  </si>
  <si>
    <t>Wise Electric Coop Inc</t>
  </si>
  <si>
    <t>Woodruff Electric Coop Corp</t>
  </si>
  <si>
    <t>Wright-Hennepin Coop Elec Assn</t>
  </si>
  <si>
    <t>Yellowstone Valley Elec Co-op</t>
  </si>
  <si>
    <t>York Electric Coop Inc</t>
  </si>
  <si>
    <t>City of Worthington - (MN)</t>
  </si>
  <si>
    <t>Wyandotte Municipal Serv Comm</t>
  </si>
  <si>
    <t>Y-W Electric Assn Inc</t>
  </si>
  <si>
    <t>Yampa Valley Electric Assn Inc</t>
  </si>
  <si>
    <t>3 Phases Renewables Inc</t>
  </si>
  <si>
    <t>Perennial Public Power Dist</t>
  </si>
  <si>
    <t>Yazoo Valley Elec Power Assn</t>
  </si>
  <si>
    <t>City of Zeeland - (MI)</t>
  </si>
  <si>
    <t>Southside Electric Coop, Inc</t>
  </si>
  <si>
    <t>Fergus Electric Coop, Inc</t>
  </si>
  <si>
    <t>Mohave Electric Cooperative, Inc.</t>
  </si>
  <si>
    <t>Washington-St Tammany E C, Inc</t>
  </si>
  <si>
    <t>EnergyUnited Elec Member Corp</t>
  </si>
  <si>
    <t>Kentucky Power Co</t>
  </si>
  <si>
    <t>Evergy Kansas Central, Inc</t>
  </si>
  <si>
    <t>Roosevelt County Elec Coop Inc</t>
  </si>
  <si>
    <t>Raft Rural Elec Coop Inc</t>
  </si>
  <si>
    <t>Delta Electric Power Assn</t>
  </si>
  <si>
    <t>Clark County Rural E M C - (IN)</t>
  </si>
  <si>
    <t>Tucson Electric Power Co</t>
  </si>
  <si>
    <t>Unitil Energy Systems</t>
  </si>
  <si>
    <t>Boone County Rural EMC</t>
  </si>
  <si>
    <t>Brunswick Electric Member Corp</t>
  </si>
  <si>
    <t>Cass County Elec Coop Inc</t>
  </si>
  <si>
    <t>Dakota Electric Association</t>
  </si>
  <si>
    <t>Western Indiana Energy REMC</t>
  </si>
  <si>
    <t>Ak-Chin Electric Utility Authority</t>
  </si>
  <si>
    <t>Liberty Utilities (Granite State Electri</t>
  </si>
  <si>
    <t>WAPA-- Western Area Power Administration</t>
  </si>
  <si>
    <t>High West Energy, Inc</t>
  </si>
  <si>
    <t>City of Ripley - (TN)</t>
  </si>
  <si>
    <t>Southwest Electric Coop, Inc</t>
  </si>
  <si>
    <t>Taylor Electric Coop Inc - (TX)</t>
  </si>
  <si>
    <t>Carroll-White REMC</t>
  </si>
  <si>
    <t>Clatskanie Peoples Util Dist</t>
  </si>
  <si>
    <t>Kerrville Public Utility Board</t>
  </si>
  <si>
    <t>Talen Energy Marketing, LLC</t>
  </si>
  <si>
    <t>City of San Marcos - (TX)</t>
  </si>
  <si>
    <t>Electrical Dist No3 Pinal County</t>
  </si>
  <si>
    <t>Okefenoke Rural El Member Corp</t>
  </si>
  <si>
    <t>Great Lakes Energy Coop</t>
  </si>
  <si>
    <t>Westfield Electric Company</t>
  </si>
  <si>
    <t>Clarke-Washington E M C</t>
  </si>
  <si>
    <t>Dixie Escalante R E A, Inc</t>
  </si>
  <si>
    <t>Chickasaw Electric Coop, Inc</t>
  </si>
  <si>
    <t>Somerset Rural Elec Coop, Inc</t>
  </si>
  <si>
    <t>Colquitt Electric Membership Corp</t>
  </si>
  <si>
    <t>Adams Electric Cooperative Inc</t>
  </si>
  <si>
    <t>Bedford Rural Elec Coop, Inc</t>
  </si>
  <si>
    <t>Valley Rural Electric Coop Inc</t>
  </si>
  <si>
    <t>Central Electric Coop, Inc - (PA)</t>
  </si>
  <si>
    <t>Rappahannock Electric Coop</t>
  </si>
  <si>
    <t>Forked Deer Electric Coop, Inc</t>
  </si>
  <si>
    <t>Claverack Rural Elec Coop Inc</t>
  </si>
  <si>
    <t>Tri-County Rural Elec Coop Inc (PA)</t>
  </si>
  <si>
    <t>REA Energy Coop Inc</t>
  </si>
  <si>
    <t>Northwestern Rural E C A, Inc - (PA)</t>
  </si>
  <si>
    <t>North East Mississippi EPA</t>
  </si>
  <si>
    <t>Monroe County Elec Power Assn</t>
  </si>
  <si>
    <t>Minnesota Valley Coop L&amp;P Assn</t>
  </si>
  <si>
    <t>City of Courtland</t>
  </si>
  <si>
    <t>Emerald People's Utility Dist</t>
  </si>
  <si>
    <t>Columbia River Peoples Ut Dist</t>
  </si>
  <si>
    <t>Town of Murphy - (NC)</t>
  </si>
  <si>
    <t>PUD No 1 of Whatcom County</t>
  </si>
  <si>
    <t>City of Grand Island - (NE)</t>
  </si>
  <si>
    <t>Northern California Power Agny</t>
  </si>
  <si>
    <t>American PowerNet</t>
  </si>
  <si>
    <t>The Energy Coop</t>
  </si>
  <si>
    <t>Alliance Power Company, LLC.</t>
  </si>
  <si>
    <t>Massachusetts Bay Trans Authority</t>
  </si>
  <si>
    <t>Amigo Energy</t>
  </si>
  <si>
    <t>U.S. Energy Partners LLC</t>
  </si>
  <si>
    <t>3000 Energy Corp</t>
  </si>
  <si>
    <t>Harvard Dedicated Energy Limit</t>
  </si>
  <si>
    <t>City of Berea Municipal Utility</t>
  </si>
  <si>
    <t>Stream SPE, LTD</t>
  </si>
  <si>
    <t>Texas Retail Energy, LLC</t>
  </si>
  <si>
    <t>APN Starfirst, L.P.</t>
  </si>
  <si>
    <t>Texas General Land Office</t>
  </si>
  <si>
    <t>Direct Energy Services</t>
  </si>
  <si>
    <t>Champion Energy Services</t>
  </si>
  <si>
    <t>Accent Energy Holdings, LLC</t>
  </si>
  <si>
    <t>Freedom Energy</t>
  </si>
  <si>
    <t>NOCO Electric</t>
  </si>
  <si>
    <t>NSTAR Electric Company</t>
  </si>
  <si>
    <t>AEP Energy</t>
  </si>
  <si>
    <t>City of Moreno Valley - (CA)</t>
  </si>
  <si>
    <t>IDT Energy, Inc.</t>
  </si>
  <si>
    <t>Energy Services Providers, Inc</t>
  </si>
  <si>
    <t>Hudson Energy Services</t>
  </si>
  <si>
    <t>Roughrider Electric Cooperativ</t>
  </si>
  <si>
    <t>Heart of Texas Electric Coop</t>
  </si>
  <si>
    <t>Black Hills Colorado Electric, LLC</t>
  </si>
  <si>
    <t>Just Energy New York Corp.</t>
  </si>
  <si>
    <t>Ambit Energy Holdings, LLC</t>
  </si>
  <si>
    <t>Anthracite Power &amp; Light</t>
  </si>
  <si>
    <t>Macquarie Energy LLC</t>
  </si>
  <si>
    <t>Young Energy, LLC</t>
  </si>
  <si>
    <t>Energy Plus Holdings LLC</t>
  </si>
  <si>
    <t>Spartan Renewable Energy, Inc</t>
  </si>
  <si>
    <t>Frontier Utilities, LLC</t>
  </si>
  <si>
    <t>MC Squared Energy Services, LLC</t>
  </si>
  <si>
    <t>UGI Energy Services, LLC</t>
  </si>
  <si>
    <t>UP Power Marketing, LLC</t>
  </si>
  <si>
    <t>Palmco Power NJ, LLC</t>
  </si>
  <si>
    <t>Major Energy Electric Services</t>
  </si>
  <si>
    <t>Devonshire Energy, LLC</t>
  </si>
  <si>
    <t>AP Holdings LLC</t>
  </si>
  <si>
    <t>Palmco Power PA, LLC</t>
  </si>
  <si>
    <t>Marin Clean Energy</t>
  </si>
  <si>
    <t>Community Choice Aggregator</t>
  </si>
  <si>
    <t>Ameren Illinois Company</t>
  </si>
  <si>
    <t>Smart Prepaid Electric</t>
  </si>
  <si>
    <t>Stream Energy Pennsylvania, LLC</t>
  </si>
  <si>
    <t>Stream Energy Maryland, LLC</t>
  </si>
  <si>
    <t>Reliant Energy Northeast LLC</t>
  </si>
  <si>
    <t>Stream Energy New Jersey, LLC</t>
  </si>
  <si>
    <t>US Retailers, LLC</t>
  </si>
  <si>
    <t>Palmco Power MD, LLC</t>
  </si>
  <si>
    <t>ENGIE Power &amp; Gas LLC</t>
  </si>
  <si>
    <t>Tesla Inc.</t>
  </si>
  <si>
    <t>Behind the Meter</t>
  </si>
  <si>
    <t>Summer Energy LLC</t>
  </si>
  <si>
    <t>Value Based Brands LLC</t>
  </si>
  <si>
    <t>Independence Energy Group LLC</t>
  </si>
  <si>
    <t>Wolverine Alternative Investments, LLC</t>
  </si>
  <si>
    <t>Liberty Utilities</t>
  </si>
  <si>
    <t>XOOM Energy Texas, LLC</t>
  </si>
  <si>
    <t>XOOM Energy Connecticut, LLC</t>
  </si>
  <si>
    <t>XOOM Energy Illinois, LLC</t>
  </si>
  <si>
    <t>XOOM Energy Massachusetts, LLC</t>
  </si>
  <si>
    <t>XOOM Energy Maryland, LLC</t>
  </si>
  <si>
    <t>XOOM Energy New Jersey, LLC</t>
  </si>
  <si>
    <t>Electricity Maine, LLC</t>
  </si>
  <si>
    <t>Electricity NH, LLC</t>
  </si>
  <si>
    <t>Texas A&amp;M, Utilities &amp; Energy Services</t>
  </si>
  <si>
    <t>Public Power &amp; Utility of Maryland, LLC</t>
  </si>
  <si>
    <t>Public Power LLC (PA)</t>
  </si>
  <si>
    <t>Public Power LLC (CT)</t>
  </si>
  <si>
    <t>City of Winter Park - (FL)</t>
  </si>
  <si>
    <t>FairPoint Energy LLC</t>
  </si>
  <si>
    <t>Viridian Energy NY LLC</t>
  </si>
  <si>
    <t>Viridian Energy LLC</t>
  </si>
  <si>
    <t>Viridian Energy PA LLC</t>
  </si>
  <si>
    <t>Stream Energy New York, LLC</t>
  </si>
  <si>
    <t>C. N. Brown Electricity, LLC</t>
  </si>
  <si>
    <t>EnergyMark, LLC</t>
  </si>
  <si>
    <t>Palmco Power IL, LLC</t>
  </si>
  <si>
    <t>XOOM Energy Pennsylvania, LLC</t>
  </si>
  <si>
    <t>New Brunswick Power Generation Corp.</t>
  </si>
  <si>
    <t>XOOM Energy New York, LLC</t>
  </si>
  <si>
    <t>Silver State Energy Association</t>
  </si>
  <si>
    <t>Stream Energy Columbia, LLC</t>
  </si>
  <si>
    <t>XOOM Energy Maine, LLC</t>
  </si>
  <si>
    <t>XOOM Energy Rhode Island, LLC</t>
  </si>
  <si>
    <t>XOOM Energy Delaware, LLC</t>
  </si>
  <si>
    <t>XOOM Energy New Hampshire, LLC</t>
  </si>
  <si>
    <t>Respond Power LLC</t>
  </si>
  <si>
    <t>North American Power and Gas, LLC</t>
  </si>
  <si>
    <t>Provider Power MASS, LLC</t>
  </si>
  <si>
    <t>City of Cerritos - (CA)</t>
  </si>
  <si>
    <t>Kiwi Energy NY LLC</t>
  </si>
  <si>
    <t>CleanChoice Energy, Inc.</t>
  </si>
  <si>
    <t>Tomorrow Energy Corp.</t>
  </si>
  <si>
    <t>SmartEnergy Holdings, LLC</t>
  </si>
  <si>
    <t>Interstate Gas Supply, Inc.</t>
  </si>
  <si>
    <t>Brooklet Energy Distribution</t>
  </si>
  <si>
    <t>Alpha Gas and Electric, LLC</t>
  </si>
  <si>
    <t>Marathon Power LLC</t>
  </si>
  <si>
    <t>Realgy, LLC</t>
  </si>
  <si>
    <t>Town Square Energy East, LLC</t>
  </si>
  <si>
    <t>Clearview Electric Inc.</t>
  </si>
  <si>
    <t>Harborside Energy, LLC</t>
  </si>
  <si>
    <t>PUD No 1 of Jefferson County</t>
  </si>
  <si>
    <t>Abest Power &amp; Gas, LLC</t>
  </si>
  <si>
    <t>Eligo Energy, LLC</t>
  </si>
  <si>
    <t>Choice Energy, LLC</t>
  </si>
  <si>
    <t>Town Square Energy</t>
  </si>
  <si>
    <t>Horizon Power and Light, LLC</t>
  </si>
  <si>
    <t>Great American Power, LLC</t>
  </si>
  <si>
    <t>Titan Gas LLC</t>
  </si>
  <si>
    <t>Family Energy, Inc. New York</t>
  </si>
  <si>
    <t>SFE Energy Pennsylvania, Inc.</t>
  </si>
  <si>
    <t>SFE Energy Maryland, Inc.</t>
  </si>
  <si>
    <t>SFE Energy NJ, Inc.</t>
  </si>
  <si>
    <t>Constellation Solar Holding, LLC</t>
  </si>
  <si>
    <t>Nordic Energy Services, LLC</t>
  </si>
  <si>
    <t>Sonoma Clean Power Authority</t>
  </si>
  <si>
    <t>MPower Energy LLC</t>
  </si>
  <si>
    <t>Inspire Energy Holdings, LLC</t>
  </si>
  <si>
    <t>XOOM Energy Ohio, LLC</t>
  </si>
  <si>
    <t>XOOM Energy Washington DC, LLC</t>
  </si>
  <si>
    <t>Palmco Power MA, LLC</t>
  </si>
  <si>
    <t>Dynegy Energy Services, LLC</t>
  </si>
  <si>
    <t>Shipley Choice, LLC</t>
  </si>
  <si>
    <t>Heartland REMC</t>
  </si>
  <si>
    <t>Sunnova</t>
  </si>
  <si>
    <t>GLHB</t>
  </si>
  <si>
    <t>SunPower Capital, LLC</t>
  </si>
  <si>
    <t>Verde Energy USA</t>
  </si>
  <si>
    <t>Ahana Renewables, LLC</t>
  </si>
  <si>
    <t>Lancaster Choice Energy</t>
  </si>
  <si>
    <t>Sunrun Inc.</t>
  </si>
  <si>
    <t>Collegiate Clean Energy, LLC</t>
  </si>
  <si>
    <t>Aggregated Transit Energy</t>
  </si>
  <si>
    <t>SFE Energy Massachusetts, Inc.</t>
  </si>
  <si>
    <t>Consolidated Power Co., LLC</t>
  </si>
  <si>
    <t>First Point Power, LLC</t>
  </si>
  <si>
    <t>Park Power LLC</t>
  </si>
  <si>
    <t>American Power &amp; Gas</t>
  </si>
  <si>
    <t>Rushmore Energy, LLC</t>
  </si>
  <si>
    <t>MP2 Energy LLC</t>
  </si>
  <si>
    <t>Residents Energy, LLC</t>
  </si>
  <si>
    <t>Greenlight Energy Inc.</t>
  </si>
  <si>
    <t>Santanna Energy Services</t>
  </si>
  <si>
    <t>New Wave Energy Corporation</t>
  </si>
  <si>
    <t>Algonquin Energy Services</t>
  </si>
  <si>
    <t>ResCom Energy, LLC</t>
  </si>
  <si>
    <t>MidAmerican Energy Services, LLC</t>
  </si>
  <si>
    <t>Spruce Finance</t>
  </si>
  <si>
    <t>The Regents of the Univ. of California</t>
  </si>
  <si>
    <t>Discount Power Inc - (CT)</t>
  </si>
  <si>
    <t>Greenbacker Renewable Energy Corporation</t>
  </si>
  <si>
    <t>Spring Energy RRH LLC</t>
  </si>
  <si>
    <t>CleanPowerSF</t>
  </si>
  <si>
    <t>Electranet Power LLC</t>
  </si>
  <si>
    <t>MPower Energy NJ LLC</t>
  </si>
  <si>
    <t>Peninsula Clean Energy Authority</t>
  </si>
  <si>
    <t>CKenergy Electric Cooperative</t>
  </si>
  <si>
    <t>SFE Energy Ohio, Inc.</t>
  </si>
  <si>
    <t>Atlantic Energy LLC</t>
  </si>
  <si>
    <t>Upper Michigan Energy Resources Corp.</t>
  </si>
  <si>
    <t>Vista Energy Marketing, L.P.</t>
  </si>
  <si>
    <t>Apple Valley Choice Energy</t>
  </si>
  <si>
    <t>Silicon Valley Clean Energy Authority</t>
  </si>
  <si>
    <t>Southern Pioneer Electric Company</t>
  </si>
  <si>
    <t>Redwood Coast Energy Authority</t>
  </si>
  <si>
    <t>Current Power &amp; Gas Inc.</t>
  </si>
  <si>
    <t>StateWise Energy Ohio LLC</t>
  </si>
  <si>
    <t>TerraForm US Energy Services, LLC</t>
  </si>
  <si>
    <t>Renaissance Power &amp; Gas, Inc.</t>
  </si>
  <si>
    <t>Pico Rivera Innovative Municipal Energy</t>
  </si>
  <si>
    <t>Stream Energy Illinois, LLC</t>
  </si>
  <si>
    <t>Freepoint Energy Solutions LLC</t>
  </si>
  <si>
    <t>Summer Energy Northeast, LLC</t>
  </si>
  <si>
    <t>Stream Energy Delaware, LLC</t>
  </si>
  <si>
    <t>Total Gas &amp; Power North America Inc</t>
  </si>
  <si>
    <t>Heritage Power LLC</t>
  </si>
  <si>
    <t>Pogo Energy LLC</t>
  </si>
  <si>
    <t>Palmco Power DC, LLC</t>
  </si>
  <si>
    <t>Palmco Power DE, LLC</t>
  </si>
  <si>
    <t>Philadelphia Authority for Industrial Development</t>
  </si>
  <si>
    <t>South Bay Energy Corp.</t>
  </si>
  <si>
    <t>Pioneer Community Energy</t>
  </si>
  <si>
    <t>Central Coast Community Energy</t>
  </si>
  <si>
    <t>San Jacinto Power</t>
  </si>
  <si>
    <t>Valley Clean Energy Alliance</t>
  </si>
  <si>
    <t>Rancho Mirage Energy Authority</t>
  </si>
  <si>
    <t>Ava Community Energy</t>
  </si>
  <si>
    <t>Stream Ohio Gas &amp; Electric, LLC</t>
  </si>
  <si>
    <t>Clean Power Alliance of Southern Califor</t>
  </si>
  <si>
    <t>King City Community Power</t>
  </si>
  <si>
    <t>Greenskies Renewable Energy, LLC</t>
  </si>
  <si>
    <t>Pulse Power, LLC</t>
  </si>
  <si>
    <t>San Jose Clean Energy</t>
  </si>
  <si>
    <t>All American Power and Gas, LLC</t>
  </si>
  <si>
    <t>Pure Energy USA, LLC</t>
  </si>
  <si>
    <t>SunSea Energy, LLC</t>
  </si>
  <si>
    <t>SFE Energy Illinois, Inc.</t>
  </si>
  <si>
    <t>SFE Energy Texas, Inc.</t>
  </si>
  <si>
    <t>Powervine Energy</t>
  </si>
  <si>
    <t>StateWise Energy Maryland LLC</t>
  </si>
  <si>
    <t>Power UP Energy, LLC</t>
  </si>
  <si>
    <t>Summer Energy Midwest, LLC</t>
  </si>
  <si>
    <t>Chariot Energy</t>
  </si>
  <si>
    <t>StateWise Energy Pennsylvania LLC</t>
  </si>
  <si>
    <t>Southern Federal Power, LLC</t>
  </si>
  <si>
    <t>Octopus Energy LLC</t>
  </si>
  <si>
    <t>First Choice Energy LLC</t>
  </si>
  <si>
    <t>Agressive Energy LLC</t>
  </si>
  <si>
    <t>Approved Energy II, LLC</t>
  </si>
  <si>
    <t>Median Energy Corp.</t>
  </si>
  <si>
    <t>Median Energy PA LLC</t>
  </si>
  <si>
    <t>National Gas &amp; Electric, LLC</t>
  </si>
  <si>
    <t>SmartestEnergy US LLC</t>
  </si>
  <si>
    <t>Mirabito Power &amp; Gas, LLC</t>
  </si>
  <si>
    <t>Commercial Energy of California</t>
  </si>
  <si>
    <t>Varsity Energy</t>
  </si>
  <si>
    <t>Provision Power &amp; Gas, LLC</t>
  </si>
  <si>
    <t>Chief Energy Power, LLC</t>
  </si>
  <si>
    <t>RPA Energy, Inc.</t>
  </si>
  <si>
    <t>Pomona Choice Energy (PCE)</t>
  </si>
  <si>
    <t>Click Energy LLC</t>
  </si>
  <si>
    <t>Rhythm Ops LLC</t>
  </si>
  <si>
    <t>Desert Community Energy</t>
  </si>
  <si>
    <t>Grid Power Direct, LLC</t>
  </si>
  <si>
    <t>San Diego Community Power</t>
  </si>
  <si>
    <t>JP Energy Resources, LLC</t>
  </si>
  <si>
    <t>BP Energy Retail LLC</t>
  </si>
  <si>
    <t>Clean Energy Alliance</t>
  </si>
  <si>
    <t>Ironhorse Power Services LLC</t>
  </si>
  <si>
    <t>StateWise Energy Illinois LLC</t>
  </si>
  <si>
    <t>OhmConnect Texas LLC</t>
  </si>
  <si>
    <t>Santa Barbara Clean Energy</t>
  </si>
  <si>
    <t>LE Energy</t>
  </si>
  <si>
    <t>Declaration Energy LLC</t>
  </si>
  <si>
    <t>Gexa Energy, LP</t>
  </si>
  <si>
    <t>NTHERM, LLC</t>
  </si>
  <si>
    <t>Branch Energy Texas LLC</t>
  </si>
  <si>
    <t>Mothership</t>
  </si>
  <si>
    <t>Capital Energy PA LLC</t>
  </si>
  <si>
    <t>Orange County Power Authority</t>
  </si>
  <si>
    <t>Good Charlie &amp; Co., LLC</t>
  </si>
  <si>
    <t>PBF Power Marketing</t>
  </si>
  <si>
    <t>Revolution Energy LLC</t>
  </si>
  <si>
    <t>Scale Sustainable I, LLC</t>
  </si>
  <si>
    <t>Energy for Palmdale's Independent Choice</t>
  </si>
  <si>
    <t>Gila River Indian Utility Authority (GRICUA)</t>
  </si>
  <si>
    <t>Archer Energy, LLC</t>
  </si>
  <si>
    <t>Energywell LLC</t>
  </si>
  <si>
    <t>BKV-BPP Retail, LLC</t>
  </si>
  <si>
    <t>Pay Less Energy LLC</t>
  </si>
  <si>
    <t>Arrow Energy TX LLC</t>
  </si>
  <si>
    <t>Tesla Energy Ventures</t>
  </si>
  <si>
    <t>CPV Retail Energy LP</t>
  </si>
  <si>
    <t>Ammper Power LLC</t>
  </si>
  <si>
    <t>ABN Energy, LLC</t>
  </si>
  <si>
    <t>Community Power Coalition of NH</t>
  </si>
  <si>
    <t>All Choice Energy, LLC</t>
  </si>
  <si>
    <t>Palmetto Solar, LLC</t>
  </si>
  <si>
    <t>EverBright, LLC</t>
  </si>
  <si>
    <t>MPD Electric Cooperative</t>
  </si>
  <si>
    <t>Eastside Power Authority</t>
  </si>
  <si>
    <t>FirstEnergy Pennsylvania Electric Co</t>
  </si>
  <si>
    <t>EcoPlus Power, LLC</t>
  </si>
  <si>
    <t>Robindale Retail Power Services, LLC</t>
  </si>
  <si>
    <t>Spartacus Energy Services LLC</t>
  </si>
  <si>
    <t>TerraForm Renewable Energy Services, LLC</t>
  </si>
  <si>
    <t>Northeastern Power and Gas LLC</t>
  </si>
  <si>
    <t>Base Texas REP, LLC</t>
  </si>
  <si>
    <t>Light Energy, LLC</t>
  </si>
  <si>
    <t>Brookfield Renewable Trading and Marketing LP</t>
  </si>
  <si>
    <t>Brookfield Renewable Energy Marketing US LLC</t>
  </si>
  <si>
    <t>MEMS Industrial Supply, LLC</t>
  </si>
  <si>
    <t>Maison Energy LLC</t>
  </si>
  <si>
    <t>Pumpjack Power LLC</t>
  </si>
  <si>
    <t>Polaris Power Services LLC</t>
  </si>
  <si>
    <t>Gridmatic Retail LLC</t>
  </si>
  <si>
    <t>David Energy Supply LLC</t>
  </si>
  <si>
    <t>FlowX, LLC</t>
  </si>
  <si>
    <t>Selfserve Energy Corp.</t>
  </si>
  <si>
    <t>Withheld</t>
  </si>
  <si>
    <t>Adjustment 2024</t>
  </si>
  <si>
    <t>I</t>
  </si>
  <si>
    <t>AMPL</t>
  </si>
  <si>
    <t>To calculate a state or the US total, sum Parts (A,B,C &amp; D) for Revenue, but only Parts (A,B &amp; D) for Sales and Customers.
To avoid double counting of customers, the aggregated customer counts for the states and US do not include the customer count for respondents with ownership code 'Behind the Meter'.
This group consists of Third Party Owners of rooftop solar systems.</t>
  </si>
  <si>
    <t>state</t>
  </si>
  <si>
    <t>cost_service_mwh</t>
  </si>
  <si>
    <t>procurement_mwh</t>
  </si>
  <si>
    <t>unclassified_mwh</t>
  </si>
  <si>
    <t>total_mwh</t>
  </si>
  <si>
    <t>share_cost_service</t>
  </si>
  <si>
    <t>share_procurement</t>
  </si>
  <si>
    <t>region</t>
  </si>
  <si>
    <t>excluded_mwh</t>
  </si>
  <si>
    <t>US</t>
  </si>
  <si>
    <t>Unit: dimensionless (% of demand)</t>
  </si>
  <si>
    <t>Share that is Cost of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</si>
</sst>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color rgb="FFFFFFFF"/>
      <name val="Calibri"/>
    </font>
    <font>
      <b/>
      <i/>
      <sz val="11"/>
      <color rgb="FF1F3864"/>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xf numFmtId="0" fontId="4" fillId="0" borderId="0" xfId="0" applyFont="1"/>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opendata/" TargetMode="External"/><Relationship Id="rId1" Type="http://schemas.openxmlformats.org/officeDocument/2006/relationships/hyperlink" Target="https://www.eia.gov/electricity/data/eia8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abSelected="1" workbookViewId="0"/>
  </sheetViews>
  <sheetFormatPr defaultRowHeight="15" x14ac:dyDescent="0.25"/>
  <cols>
    <col min="1" max="1" width="20"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2024</v>
      </c>
    </row>
    <row r="7" spans="1:2" x14ac:dyDescent="0.25">
      <c r="B7" s="4" t="s">
        <v>5</v>
      </c>
    </row>
    <row r="8" spans="1:2" ht="60" x14ac:dyDescent="0.25">
      <c r="B8" s="3" t="s">
        <v>6</v>
      </c>
    </row>
    <row r="10" spans="1:2" x14ac:dyDescent="0.25">
      <c r="B10" s="2" t="s">
        <v>7</v>
      </c>
    </row>
    <row r="11" spans="1:2" x14ac:dyDescent="0.25">
      <c r="B11" s="3" t="s">
        <v>3</v>
      </c>
    </row>
    <row r="12" spans="1:2" x14ac:dyDescent="0.25">
      <c r="B12" s="3" t="s">
        <v>8</v>
      </c>
    </row>
    <row r="13" spans="1:2" x14ac:dyDescent="0.25">
      <c r="B13" s="3">
        <v>2024</v>
      </c>
    </row>
    <row r="14" spans="1:2" x14ac:dyDescent="0.25">
      <c r="B14" s="4" t="s">
        <v>9</v>
      </c>
    </row>
    <row r="15" spans="1:2" ht="30" x14ac:dyDescent="0.25">
      <c r="B15" s="3" t="s">
        <v>10</v>
      </c>
    </row>
    <row r="18" spans="1:2" x14ac:dyDescent="0.25">
      <c r="A18" s="1" t="s">
        <v>11</v>
      </c>
    </row>
    <row r="19" spans="1:2" ht="30" x14ac:dyDescent="0.25">
      <c r="A19" s="5" t="s">
        <v>12</v>
      </c>
      <c r="B19" s="3" t="s">
        <v>13</v>
      </c>
    </row>
    <row r="20" spans="1:2" ht="45" x14ac:dyDescent="0.25">
      <c r="A20" s="5" t="s">
        <v>14</v>
      </c>
      <c r="B20" s="3" t="s">
        <v>15</v>
      </c>
    </row>
    <row r="21" spans="1:2" ht="30" x14ac:dyDescent="0.25">
      <c r="A21" s="5" t="s">
        <v>16</v>
      </c>
      <c r="B21" s="3" t="s">
        <v>17</v>
      </c>
    </row>
    <row r="22" spans="1:2" ht="30" x14ac:dyDescent="0.25">
      <c r="A22" s="5" t="s">
        <v>18</v>
      </c>
      <c r="B22" s="3" t="s">
        <v>19</v>
      </c>
    </row>
    <row r="23" spans="1:2" x14ac:dyDescent="0.25">
      <c r="A23" s="5" t="s">
        <v>20</v>
      </c>
      <c r="B23" s="3" t="s">
        <v>21</v>
      </c>
    </row>
    <row r="24" spans="1:2" ht="60" x14ac:dyDescent="0.25">
      <c r="A24" s="5" t="s">
        <v>22</v>
      </c>
      <c r="B24" s="3" t="s">
        <v>23</v>
      </c>
    </row>
    <row r="25" spans="1:2" ht="30" x14ac:dyDescent="0.25">
      <c r="A25" s="5" t="s">
        <v>24</v>
      </c>
      <c r="B25" s="3" t="s">
        <v>25</v>
      </c>
    </row>
    <row r="26" spans="1:2" ht="45" x14ac:dyDescent="0.25">
      <c r="A26" s="5" t="s">
        <v>26</v>
      </c>
      <c r="B26" s="3" t="s">
        <v>27</v>
      </c>
    </row>
    <row r="27" spans="1:2" ht="30" x14ac:dyDescent="0.25">
      <c r="A27" s="5" t="s">
        <v>28</v>
      </c>
      <c r="B27" s="3" t="s">
        <v>29</v>
      </c>
    </row>
    <row r="28" spans="1:2" ht="30" x14ac:dyDescent="0.25">
      <c r="A28" s="5" t="s">
        <v>30</v>
      </c>
      <c r="B28" s="3" t="s">
        <v>31</v>
      </c>
    </row>
    <row r="29" spans="1:2" ht="30" x14ac:dyDescent="0.25">
      <c r="A29" s="5" t="s">
        <v>32</v>
      </c>
      <c r="B29" s="3" t="s">
        <v>33</v>
      </c>
    </row>
    <row r="30" spans="1:2" ht="30" x14ac:dyDescent="0.25">
      <c r="A30" s="5" t="s">
        <v>34</v>
      </c>
      <c r="B30" s="3" t="s">
        <v>35</v>
      </c>
    </row>
  </sheetData>
  <hyperlinks>
    <hyperlink ref="B7" r:id="rId1" xr:uid="{00000000-0004-0000-0000-000000000000}"/>
    <hyperlink ref="B14"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defaultRowHeight="15" x14ac:dyDescent="0.25"/>
  <cols>
    <col min="1" max="1" width="24" customWidth="1"/>
    <col min="2" max="2" width="22" customWidth="1"/>
    <col min="3" max="3" width="34" customWidth="1"/>
  </cols>
  <sheetData>
    <row r="1" spans="1:3" x14ac:dyDescent="0.25">
      <c r="A1" s="1" t="s">
        <v>36</v>
      </c>
    </row>
    <row r="3" spans="1:3" x14ac:dyDescent="0.25">
      <c r="A3" s="6" t="s">
        <v>37</v>
      </c>
      <c r="B3" s="6" t="s">
        <v>38</v>
      </c>
      <c r="C3" s="6" t="s">
        <v>39</v>
      </c>
    </row>
    <row r="4" spans="1:3" x14ac:dyDescent="0.25">
      <c r="A4" t="s">
        <v>40</v>
      </c>
      <c r="B4">
        <v>55937</v>
      </c>
      <c r="C4" t="s">
        <v>41</v>
      </c>
    </row>
    <row r="5" spans="1:3" x14ac:dyDescent="0.25">
      <c r="A5" t="s">
        <v>42</v>
      </c>
      <c r="B5">
        <v>17718</v>
      </c>
      <c r="C5" t="s">
        <v>43</v>
      </c>
    </row>
    <row r="6" spans="1:3" x14ac:dyDescent="0.25">
      <c r="A6" t="s">
        <v>44</v>
      </c>
      <c r="B6">
        <v>17698</v>
      </c>
      <c r="C6" t="s">
        <v>45</v>
      </c>
    </row>
    <row r="7" spans="1:3" x14ac:dyDescent="0.25">
      <c r="A7" t="s">
        <v>46</v>
      </c>
      <c r="B7">
        <v>5701</v>
      </c>
      <c r="C7" t="s">
        <v>47</v>
      </c>
    </row>
    <row r="8" spans="1:3" x14ac:dyDescent="0.25">
      <c r="A8" t="s">
        <v>48</v>
      </c>
    </row>
    <row r="9" spans="1:3" x14ac:dyDescent="0.25">
      <c r="A9" t="s">
        <v>49</v>
      </c>
    </row>
    <row r="10" spans="1:3" x14ac:dyDescent="0.25">
      <c r="A10" t="s">
        <v>50</v>
      </c>
    </row>
    <row r="11" spans="1:3" x14ac:dyDescent="0.25">
      <c r="A11" t="s">
        <v>51</v>
      </c>
    </row>
    <row r="12" spans="1:3" x14ac:dyDescent="0.25">
      <c r="A12" t="s">
        <v>52</v>
      </c>
    </row>
    <row r="13" spans="1:3" x14ac:dyDescent="0.25">
      <c r="A13" t="s">
        <v>53</v>
      </c>
    </row>
    <row r="14" spans="1:3" x14ac:dyDescent="0.25">
      <c r="A14" t="s">
        <v>54</v>
      </c>
    </row>
    <row r="15" spans="1:3" x14ac:dyDescent="0.25">
      <c r="A15" t="s">
        <v>55</v>
      </c>
    </row>
    <row r="16" spans="1:3" x14ac:dyDescent="0.25">
      <c r="A16" t="s">
        <v>56</v>
      </c>
    </row>
    <row r="17" spans="1:3" x14ac:dyDescent="0.25">
      <c r="A17" t="s">
        <v>57</v>
      </c>
    </row>
    <row r="20" spans="1:3" x14ac:dyDescent="0.25">
      <c r="A20" s="1" t="s">
        <v>58</v>
      </c>
    </row>
    <row r="21" spans="1:3" x14ac:dyDescent="0.25">
      <c r="A21" s="8" t="s">
        <v>59</v>
      </c>
      <c r="B21" s="9"/>
      <c r="C21" s="9"/>
    </row>
  </sheetData>
  <mergeCells count="1">
    <mergeCell ref="A21:C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819"/>
  <sheetViews>
    <sheetView workbookViewId="0">
      <pane ySplit="3" topLeftCell="A4" activePane="bottomLeft" state="frozen"/>
      <selection pane="bottomLeft"/>
    </sheetView>
  </sheetViews>
  <sheetFormatPr defaultRowHeight="15" x14ac:dyDescent="0.25"/>
  <sheetData>
    <row r="1" spans="1:26" x14ac:dyDescent="0.25">
      <c r="A1" t="s">
        <v>60</v>
      </c>
      <c r="J1" t="s">
        <v>61</v>
      </c>
      <c r="M1" t="s">
        <v>62</v>
      </c>
      <c r="P1" t="s">
        <v>63</v>
      </c>
      <c r="S1" t="s">
        <v>64</v>
      </c>
      <c r="V1" t="s">
        <v>65</v>
      </c>
    </row>
    <row r="2" spans="1:26" x14ac:dyDescent="0.25">
      <c r="J2" t="s">
        <v>66</v>
      </c>
      <c r="K2" t="s">
        <v>67</v>
      </c>
      <c r="L2" t="s">
        <v>68</v>
      </c>
      <c r="M2" t="s">
        <v>66</v>
      </c>
      <c r="N2" t="s">
        <v>67</v>
      </c>
      <c r="O2" t="s">
        <v>68</v>
      </c>
      <c r="P2" t="s">
        <v>66</v>
      </c>
      <c r="Q2" t="s">
        <v>67</v>
      </c>
      <c r="R2" t="s">
        <v>68</v>
      </c>
      <c r="S2" t="s">
        <v>66</v>
      </c>
      <c r="T2" t="s">
        <v>67</v>
      </c>
      <c r="U2" t="s">
        <v>68</v>
      </c>
      <c r="V2" t="s">
        <v>66</v>
      </c>
      <c r="W2" t="s">
        <v>67</v>
      </c>
      <c r="X2" t="s">
        <v>68</v>
      </c>
    </row>
    <row r="3" spans="1:26" x14ac:dyDescent="0.25">
      <c r="A3" t="s">
        <v>69</v>
      </c>
      <c r="B3" t="s">
        <v>70</v>
      </c>
      <c r="C3" t="s">
        <v>71</v>
      </c>
      <c r="D3" t="s">
        <v>72</v>
      </c>
      <c r="E3" t="s">
        <v>73</v>
      </c>
      <c r="F3" t="s">
        <v>74</v>
      </c>
      <c r="G3" t="s">
        <v>75</v>
      </c>
      <c r="H3" t="s">
        <v>76</v>
      </c>
      <c r="I3" t="s">
        <v>77</v>
      </c>
      <c r="J3" t="s">
        <v>78</v>
      </c>
      <c r="K3" t="s">
        <v>79</v>
      </c>
      <c r="L3" t="s">
        <v>80</v>
      </c>
      <c r="M3" t="s">
        <v>78</v>
      </c>
      <c r="N3" t="s">
        <v>79</v>
      </c>
      <c r="O3" t="s">
        <v>80</v>
      </c>
      <c r="P3" t="s">
        <v>78</v>
      </c>
      <c r="Q3" t="s">
        <v>79</v>
      </c>
      <c r="R3" t="s">
        <v>80</v>
      </c>
      <c r="S3" t="s">
        <v>78</v>
      </c>
      <c r="T3" t="s">
        <v>79</v>
      </c>
      <c r="U3" t="s">
        <v>80</v>
      </c>
      <c r="V3" t="s">
        <v>78</v>
      </c>
      <c r="W3" t="s">
        <v>79</v>
      </c>
      <c r="X3" t="s">
        <v>80</v>
      </c>
      <c r="Y3" s="7" t="s">
        <v>81</v>
      </c>
      <c r="Z3" s="7" t="s">
        <v>82</v>
      </c>
    </row>
    <row r="4" spans="1:26" x14ac:dyDescent="0.25">
      <c r="A4">
        <v>2024</v>
      </c>
      <c r="B4">
        <v>55</v>
      </c>
      <c r="C4" t="s">
        <v>83</v>
      </c>
      <c r="D4" t="s">
        <v>84</v>
      </c>
      <c r="E4" t="s">
        <v>85</v>
      </c>
      <c r="F4" t="s">
        <v>86</v>
      </c>
      <c r="G4" t="s">
        <v>87</v>
      </c>
      <c r="H4" t="s">
        <v>88</v>
      </c>
      <c r="I4" t="s">
        <v>89</v>
      </c>
      <c r="J4">
        <v>4211</v>
      </c>
      <c r="K4">
        <v>34239</v>
      </c>
      <c r="L4">
        <v>2592</v>
      </c>
      <c r="M4">
        <v>3550</v>
      </c>
      <c r="N4">
        <v>29391</v>
      </c>
      <c r="O4">
        <v>736</v>
      </c>
      <c r="P4">
        <v>7185</v>
      </c>
      <c r="Q4">
        <v>127260</v>
      </c>
      <c r="R4">
        <v>2</v>
      </c>
      <c r="S4">
        <v>0</v>
      </c>
      <c r="T4">
        <v>0</v>
      </c>
      <c r="U4">
        <v>0</v>
      </c>
      <c r="V4">
        <v>14946</v>
      </c>
      <c r="W4">
        <v>190890</v>
      </c>
      <c r="X4">
        <v>3330</v>
      </c>
      <c r="Y4">
        <f t="shared" ref="Y4:Y67" si="0">IF(ISNUMBER($W4),$W4,0)</f>
        <v>190890</v>
      </c>
      <c r="Z4" t="str">
        <f>IF(ISNUMBER(SEARCH("Adjustment",$C4)),"excluded",IF($H4="Behind the Meter","excluded",IF(NOT(OR($E4="Bundled",$E4="Energy")),"excluded",IF(OR($H4="Retail Power Marketer",$H4="Community Choice Aggregator",$E4="Energy"),"procurement",IF(OR($H4="Municipal",$H4="Cooperative",$H4="Federal",$H4="State",$H4="Political Subdivision"),"cost_service",IF($H4="Investor Owned",IF(AND(COUNTIF(Parameters!$A$4:$A$33,$G4)&gt;0,COUNTIF(Parameters!$B$4:$B$33,$B4)=0),"procurement","cost_service"),"unclassified"))))))</f>
        <v>cost_service</v>
      </c>
    </row>
    <row r="5" spans="1:26" x14ac:dyDescent="0.25">
      <c r="A5">
        <v>2024</v>
      </c>
      <c r="B5">
        <v>84</v>
      </c>
      <c r="C5" t="s">
        <v>90</v>
      </c>
      <c r="D5" t="s">
        <v>84</v>
      </c>
      <c r="E5" t="s">
        <v>85</v>
      </c>
      <c r="F5" t="s">
        <v>86</v>
      </c>
      <c r="G5" t="s">
        <v>49</v>
      </c>
      <c r="H5" t="s">
        <v>91</v>
      </c>
      <c r="I5" t="s">
        <v>92</v>
      </c>
      <c r="J5">
        <v>304.8</v>
      </c>
      <c r="K5">
        <v>2226</v>
      </c>
      <c r="L5">
        <v>253</v>
      </c>
      <c r="M5">
        <v>76.8</v>
      </c>
      <c r="N5">
        <v>567</v>
      </c>
      <c r="O5">
        <v>42</v>
      </c>
      <c r="P5">
        <v>0</v>
      </c>
      <c r="Q5">
        <v>0</v>
      </c>
      <c r="R5">
        <v>0</v>
      </c>
      <c r="S5">
        <v>0</v>
      </c>
      <c r="T5">
        <v>0</v>
      </c>
      <c r="U5">
        <v>0</v>
      </c>
      <c r="V5">
        <v>381.6</v>
      </c>
      <c r="W5">
        <v>2793</v>
      </c>
      <c r="X5">
        <v>295</v>
      </c>
      <c r="Y5">
        <f t="shared" si="0"/>
        <v>2793</v>
      </c>
      <c r="Z5" t="str">
        <f>IF(ISNUMBER(SEARCH("Adjustment",$C5)),"excluded",IF($H5="Behind the Meter","excluded",IF(NOT(OR($E5="Bundled",$E5="Energy")),"excluded",IF(OR($H5="Retail Power Marketer",$H5="Community Choice Aggregator",$E5="Energy"),"procurement",IF(OR($H5="Municipal",$H5="Cooperative",$H5="Federal",$H5="State",$H5="Political Subdivision"),"cost_service",IF($H5="Investor Owned",IF(AND(COUNTIF(Parameters!$A$4:$A$33,$G5)&gt;0,COUNTIF(Parameters!$B$4:$B$33,$B5)=0),"procurement","cost_service"),"unclassified"))))))</f>
        <v>cost_service</v>
      </c>
    </row>
    <row r="6" spans="1:26" x14ac:dyDescent="0.25">
      <c r="A6">
        <v>2024</v>
      </c>
      <c r="B6">
        <v>84</v>
      </c>
      <c r="C6" t="s">
        <v>90</v>
      </c>
      <c r="D6" t="s">
        <v>84</v>
      </c>
      <c r="E6" t="s">
        <v>85</v>
      </c>
      <c r="F6" t="s">
        <v>86</v>
      </c>
      <c r="G6" t="s">
        <v>93</v>
      </c>
      <c r="H6" t="s">
        <v>91</v>
      </c>
      <c r="I6" t="s">
        <v>92</v>
      </c>
      <c r="J6">
        <v>47920.5</v>
      </c>
      <c r="K6">
        <v>368014</v>
      </c>
      <c r="L6">
        <v>33096</v>
      </c>
      <c r="M6">
        <v>20100.400000000001</v>
      </c>
      <c r="N6">
        <v>172568</v>
      </c>
      <c r="O6">
        <v>4238</v>
      </c>
      <c r="P6">
        <v>16022</v>
      </c>
      <c r="Q6">
        <v>165066</v>
      </c>
      <c r="R6">
        <v>7</v>
      </c>
      <c r="S6">
        <v>0</v>
      </c>
      <c r="T6">
        <v>0</v>
      </c>
      <c r="U6">
        <v>0</v>
      </c>
      <c r="V6">
        <v>84042.9</v>
      </c>
      <c r="W6">
        <v>705648</v>
      </c>
      <c r="X6">
        <v>37341</v>
      </c>
      <c r="Y6">
        <f t="shared" si="0"/>
        <v>705648</v>
      </c>
      <c r="Z6" t="str">
        <f>IF(ISNUMBER(SEARCH("Adjustment",$C6)),"excluded",IF($H6="Behind the Meter","excluded",IF(NOT(OR($E6="Bundled",$E6="Energy")),"excluded",IF(OR($H6="Retail Power Marketer",$H6="Community Choice Aggregator",$E6="Energy"),"procurement",IF(OR($H6="Municipal",$H6="Cooperative",$H6="Federal",$H6="State",$H6="Political Subdivision"),"cost_service",IF($H6="Investor Owned",IF(AND(COUNTIF(Parameters!$A$4:$A$33,$G6)&gt;0,COUNTIF(Parameters!$B$4:$B$33,$B6)=0),"procurement","cost_service"),"unclassified"))))))</f>
        <v>cost_service</v>
      </c>
    </row>
    <row r="7" spans="1:26" x14ac:dyDescent="0.25">
      <c r="A7">
        <v>2024</v>
      </c>
      <c r="B7">
        <v>108</v>
      </c>
      <c r="C7" t="s">
        <v>94</v>
      </c>
      <c r="D7" t="s">
        <v>84</v>
      </c>
      <c r="E7" t="s">
        <v>85</v>
      </c>
      <c r="F7" t="s">
        <v>86</v>
      </c>
      <c r="G7" t="s">
        <v>95</v>
      </c>
      <c r="H7" t="s">
        <v>91</v>
      </c>
      <c r="I7" t="s">
        <v>96</v>
      </c>
      <c r="J7">
        <v>46745</v>
      </c>
      <c r="K7">
        <v>265097</v>
      </c>
      <c r="L7">
        <v>35910</v>
      </c>
      <c r="M7">
        <v>11973</v>
      </c>
      <c r="N7">
        <v>92563</v>
      </c>
      <c r="O7">
        <v>2518</v>
      </c>
      <c r="P7">
        <v>22091</v>
      </c>
      <c r="Q7">
        <v>241188</v>
      </c>
      <c r="R7">
        <v>1027</v>
      </c>
      <c r="S7" t="s">
        <v>97</v>
      </c>
      <c r="T7" t="s">
        <v>97</v>
      </c>
      <c r="U7" t="s">
        <v>97</v>
      </c>
      <c r="V7">
        <v>80809</v>
      </c>
      <c r="W7">
        <v>598848</v>
      </c>
      <c r="X7">
        <v>39455</v>
      </c>
      <c r="Y7">
        <f t="shared" si="0"/>
        <v>598848</v>
      </c>
      <c r="Z7" t="str">
        <f>IF(ISNUMBER(SEARCH("Adjustment",$C7)),"excluded",IF($H7="Behind the Meter","excluded",IF(NOT(OR($E7="Bundled",$E7="Energy")),"excluded",IF(OR($H7="Retail Power Marketer",$H7="Community Choice Aggregator",$E7="Energy"),"procurement",IF(OR($H7="Municipal",$H7="Cooperative",$H7="Federal",$H7="State",$H7="Political Subdivision"),"cost_service",IF($H7="Investor Owned",IF(AND(COUNTIF(Parameters!$A$4:$A$33,$G7)&gt;0,COUNTIF(Parameters!$B$4:$B$33,$B7)=0),"procurement","cost_service"),"unclassified"))))))</f>
        <v>cost_service</v>
      </c>
    </row>
    <row r="8" spans="1:26" x14ac:dyDescent="0.25">
      <c r="A8">
        <v>2024</v>
      </c>
      <c r="B8">
        <v>113</v>
      </c>
      <c r="C8" t="s">
        <v>98</v>
      </c>
      <c r="D8" t="s">
        <v>99</v>
      </c>
      <c r="E8" t="s">
        <v>100</v>
      </c>
      <c r="F8" t="s">
        <v>86</v>
      </c>
      <c r="G8" t="s">
        <v>49</v>
      </c>
      <c r="H8" t="s">
        <v>101</v>
      </c>
      <c r="I8" t="s">
        <v>92</v>
      </c>
      <c r="J8">
        <v>2.5</v>
      </c>
      <c r="K8">
        <v>22</v>
      </c>
      <c r="L8">
        <v>2</v>
      </c>
      <c r="M8">
        <v>0</v>
      </c>
      <c r="N8">
        <v>0</v>
      </c>
      <c r="O8">
        <v>0</v>
      </c>
      <c r="P8">
        <v>0</v>
      </c>
      <c r="Q8">
        <v>0</v>
      </c>
      <c r="R8">
        <v>0</v>
      </c>
      <c r="S8">
        <v>0</v>
      </c>
      <c r="T8">
        <v>0</v>
      </c>
      <c r="U8">
        <v>0</v>
      </c>
      <c r="V8">
        <v>2.5</v>
      </c>
      <c r="W8">
        <v>22</v>
      </c>
      <c r="X8">
        <v>2</v>
      </c>
      <c r="Y8">
        <f t="shared" si="0"/>
        <v>22</v>
      </c>
      <c r="Z8" t="str">
        <f>IF(ISNUMBER(SEARCH("Adjustment",$C8)),"excluded",IF($H8="Behind the Meter","excluded",IF(NOT(OR($E8="Bundled",$E8="Energy")),"excluded",IF(OR($H8="Retail Power Marketer",$H8="Community Choice Aggregator",$E8="Energy"),"procurement",IF(OR($H8="Municipal",$H8="Cooperative",$H8="Federal",$H8="State",$H8="Political Subdivision"),"cost_service",IF($H8="Investor Owned",IF(AND(COUNTIF(Parameters!$A$4:$A$33,$G8)&gt;0,COUNTIF(Parameters!$B$4:$B$33,$B8)=0),"procurement","cost_service"),"unclassified"))))))</f>
        <v>procurement</v>
      </c>
    </row>
    <row r="9" spans="1:26" x14ac:dyDescent="0.25">
      <c r="A9">
        <v>2024</v>
      </c>
      <c r="B9">
        <v>113</v>
      </c>
      <c r="C9" t="s">
        <v>98</v>
      </c>
      <c r="D9" t="s">
        <v>99</v>
      </c>
      <c r="E9" t="s">
        <v>100</v>
      </c>
      <c r="F9" t="s">
        <v>86</v>
      </c>
      <c r="G9" t="s">
        <v>53</v>
      </c>
      <c r="H9" t="s">
        <v>101</v>
      </c>
      <c r="I9" t="s">
        <v>102</v>
      </c>
      <c r="J9">
        <v>12807.3</v>
      </c>
      <c r="K9">
        <v>96155</v>
      </c>
      <c r="L9">
        <v>13406</v>
      </c>
      <c r="M9">
        <v>3389.3</v>
      </c>
      <c r="N9">
        <v>26847</v>
      </c>
      <c r="O9">
        <v>2248</v>
      </c>
      <c r="P9">
        <v>0</v>
      </c>
      <c r="Q9">
        <v>0</v>
      </c>
      <c r="R9">
        <v>0</v>
      </c>
      <c r="S9">
        <v>0</v>
      </c>
      <c r="T9">
        <v>0</v>
      </c>
      <c r="U9">
        <v>0</v>
      </c>
      <c r="V9">
        <v>16196.6</v>
      </c>
      <c r="W9">
        <v>123002</v>
      </c>
      <c r="X9">
        <v>15654</v>
      </c>
      <c r="Y9">
        <f t="shared" si="0"/>
        <v>123002</v>
      </c>
      <c r="Z9" t="str">
        <f>IF(ISNUMBER(SEARCH("Adjustment",$C9)),"excluded",IF($H9="Behind the Meter","excluded",IF(NOT(OR($E9="Bundled",$E9="Energy")),"excluded",IF(OR($H9="Retail Power Marketer",$H9="Community Choice Aggregator",$E9="Energy"),"procurement",IF(OR($H9="Municipal",$H9="Cooperative",$H9="Federal",$H9="State",$H9="Political Subdivision"),"cost_service",IF($H9="Investor Owned",IF(AND(COUNTIF(Parameters!$A$4:$A$33,$G9)&gt;0,COUNTIF(Parameters!$B$4:$B$33,$B9)=0),"procurement","cost_service"),"unclassified"))))))</f>
        <v>procurement</v>
      </c>
    </row>
    <row r="10" spans="1:26" x14ac:dyDescent="0.25">
      <c r="A10">
        <v>2024</v>
      </c>
      <c r="B10">
        <v>113</v>
      </c>
      <c r="C10" t="s">
        <v>98</v>
      </c>
      <c r="D10" t="s">
        <v>99</v>
      </c>
      <c r="E10" t="s">
        <v>100</v>
      </c>
      <c r="F10" t="s">
        <v>86</v>
      </c>
      <c r="G10" t="s">
        <v>55</v>
      </c>
      <c r="H10" t="s">
        <v>101</v>
      </c>
      <c r="I10" t="s">
        <v>92</v>
      </c>
      <c r="J10">
        <v>972.7</v>
      </c>
      <c r="K10">
        <v>8449</v>
      </c>
      <c r="L10">
        <v>945</v>
      </c>
      <c r="M10">
        <v>95.2</v>
      </c>
      <c r="N10">
        <v>918</v>
      </c>
      <c r="O10">
        <v>46</v>
      </c>
      <c r="P10">
        <v>0</v>
      </c>
      <c r="Q10">
        <v>0</v>
      </c>
      <c r="R10">
        <v>0</v>
      </c>
      <c r="S10">
        <v>0</v>
      </c>
      <c r="T10">
        <v>0</v>
      </c>
      <c r="U10">
        <v>0</v>
      </c>
      <c r="V10">
        <v>1067.9000000000001</v>
      </c>
      <c r="W10">
        <v>9367</v>
      </c>
      <c r="X10">
        <v>991</v>
      </c>
      <c r="Y10">
        <f t="shared" si="0"/>
        <v>9367</v>
      </c>
      <c r="Z10" t="str">
        <f>IF(ISNUMBER(SEARCH("Adjustment",$C10)),"excluded",IF($H10="Behind the Meter","excluded",IF(NOT(OR($E10="Bundled",$E10="Energy")),"excluded",IF(OR($H10="Retail Power Marketer",$H10="Community Choice Aggregator",$E10="Energy"),"procurement",IF(OR($H10="Municipal",$H10="Cooperative",$H10="Federal",$H10="State",$H10="Political Subdivision"),"cost_service",IF($H10="Investor Owned",IF(AND(COUNTIF(Parameters!$A$4:$A$33,$G10)&gt;0,COUNTIF(Parameters!$B$4:$B$33,$B10)=0),"procurement","cost_service"),"unclassified"))))))</f>
        <v>procurement</v>
      </c>
    </row>
    <row r="11" spans="1:26" x14ac:dyDescent="0.25">
      <c r="A11">
        <v>2024</v>
      </c>
      <c r="B11">
        <v>155</v>
      </c>
      <c r="C11" t="s">
        <v>103</v>
      </c>
      <c r="D11" t="s">
        <v>84</v>
      </c>
      <c r="E11" t="s">
        <v>85</v>
      </c>
      <c r="F11" t="s">
        <v>86</v>
      </c>
      <c r="G11" t="s">
        <v>104</v>
      </c>
      <c r="H11" t="s">
        <v>91</v>
      </c>
      <c r="I11" t="s">
        <v>96</v>
      </c>
      <c r="J11">
        <v>9568</v>
      </c>
      <c r="K11">
        <v>68617</v>
      </c>
      <c r="L11">
        <v>4333</v>
      </c>
      <c r="M11">
        <v>6218</v>
      </c>
      <c r="N11">
        <v>68440</v>
      </c>
      <c r="O11">
        <v>436</v>
      </c>
      <c r="P11">
        <v>9562</v>
      </c>
      <c r="Q11">
        <v>105823</v>
      </c>
      <c r="R11">
        <v>628</v>
      </c>
      <c r="S11" t="s">
        <v>97</v>
      </c>
      <c r="T11" t="s">
        <v>97</v>
      </c>
      <c r="U11" t="s">
        <v>97</v>
      </c>
      <c r="V11">
        <v>25348</v>
      </c>
      <c r="W11">
        <v>242880</v>
      </c>
      <c r="X11">
        <v>5397</v>
      </c>
      <c r="Y11">
        <f t="shared" si="0"/>
        <v>242880</v>
      </c>
      <c r="Z11" t="str">
        <f>IF(ISNUMBER(SEARCH("Adjustment",$C11)),"excluded",IF($H11="Behind the Meter","excluded",IF(NOT(OR($E11="Bundled",$E11="Energy")),"excluded",IF(OR($H11="Retail Power Marketer",$H11="Community Choice Aggregator",$E11="Energy"),"procurement",IF(OR($H11="Municipal",$H11="Cooperative",$H11="Federal",$H11="State",$H11="Political Subdivision"),"cost_service",IF($H11="Investor Owned",IF(AND(COUNTIF(Parameters!$A$4:$A$33,$G11)&gt;0,COUNTIF(Parameters!$B$4:$B$33,$B11)=0),"procurement","cost_service"),"unclassified"))))))</f>
        <v>cost_service</v>
      </c>
    </row>
    <row r="12" spans="1:26" x14ac:dyDescent="0.25">
      <c r="A12">
        <v>2024</v>
      </c>
      <c r="B12">
        <v>162</v>
      </c>
      <c r="C12" t="s">
        <v>105</v>
      </c>
      <c r="D12" t="s">
        <v>84</v>
      </c>
      <c r="E12" t="s">
        <v>85</v>
      </c>
      <c r="F12" t="s">
        <v>86</v>
      </c>
      <c r="G12" t="s">
        <v>106</v>
      </c>
      <c r="H12" t="s">
        <v>91</v>
      </c>
      <c r="I12" t="s">
        <v>106</v>
      </c>
      <c r="J12">
        <v>101066.1</v>
      </c>
      <c r="K12">
        <v>650960</v>
      </c>
      <c r="L12">
        <v>49460</v>
      </c>
      <c r="M12">
        <v>18578.599999999999</v>
      </c>
      <c r="N12">
        <v>142543</v>
      </c>
      <c r="O12">
        <v>3364</v>
      </c>
      <c r="P12">
        <v>14478.7</v>
      </c>
      <c r="Q12">
        <v>200397</v>
      </c>
      <c r="R12">
        <v>15</v>
      </c>
      <c r="S12" t="s">
        <v>97</v>
      </c>
      <c r="T12" t="s">
        <v>97</v>
      </c>
      <c r="U12" t="s">
        <v>97</v>
      </c>
      <c r="V12">
        <v>134123.4</v>
      </c>
      <c r="W12">
        <v>993900</v>
      </c>
      <c r="X12">
        <v>52839</v>
      </c>
      <c r="Y12">
        <f t="shared" si="0"/>
        <v>993900</v>
      </c>
      <c r="Z12" t="str">
        <f>IF(ISNUMBER(SEARCH("Adjustment",$C12)),"excluded",IF($H12="Behind the Meter","excluded",IF(NOT(OR($E12="Bundled",$E12="Energy")),"excluded",IF(OR($H12="Retail Power Marketer",$H12="Community Choice Aggregator",$E12="Energy"),"procurement",IF(OR($H12="Municipal",$H12="Cooperative",$H12="Federal",$H12="State",$H12="Political Subdivision"),"cost_service",IF($H12="Investor Owned",IF(AND(COUNTIF(Parameters!$A$4:$A$33,$G12)&gt;0,COUNTIF(Parameters!$B$4:$B$33,$B12)=0),"procurement","cost_service"),"unclassified"))))))</f>
        <v>cost_service</v>
      </c>
    </row>
    <row r="13" spans="1:26" x14ac:dyDescent="0.25">
      <c r="A13">
        <v>2024</v>
      </c>
      <c r="B13">
        <v>176</v>
      </c>
      <c r="C13" t="s">
        <v>107</v>
      </c>
      <c r="D13" t="s">
        <v>84</v>
      </c>
      <c r="E13" t="s">
        <v>85</v>
      </c>
      <c r="F13" t="s">
        <v>86</v>
      </c>
      <c r="G13" t="s">
        <v>108</v>
      </c>
      <c r="H13" t="s">
        <v>109</v>
      </c>
      <c r="I13" t="s">
        <v>110</v>
      </c>
      <c r="J13">
        <v>678</v>
      </c>
      <c r="K13">
        <v>5396</v>
      </c>
      <c r="L13">
        <v>821</v>
      </c>
      <c r="M13">
        <v>379.2</v>
      </c>
      <c r="N13">
        <v>3315</v>
      </c>
      <c r="O13">
        <v>210</v>
      </c>
      <c r="P13">
        <v>0</v>
      </c>
      <c r="Q13">
        <v>0</v>
      </c>
      <c r="R13">
        <v>0</v>
      </c>
      <c r="S13">
        <v>0</v>
      </c>
      <c r="T13">
        <v>0</v>
      </c>
      <c r="U13">
        <v>0</v>
      </c>
      <c r="V13">
        <v>1057.2</v>
      </c>
      <c r="W13">
        <v>8711</v>
      </c>
      <c r="X13">
        <v>1031</v>
      </c>
      <c r="Y13">
        <f t="shared" si="0"/>
        <v>8711</v>
      </c>
      <c r="Z13" t="str">
        <f>IF(ISNUMBER(SEARCH("Adjustment",$C13)),"excluded",IF($H13="Behind the Meter","excluded",IF(NOT(OR($E13="Bundled",$E13="Energy")),"excluded",IF(OR($H13="Retail Power Marketer",$H13="Community Choice Aggregator",$E13="Energy"),"procurement",IF(OR($H13="Municipal",$H13="Cooperative",$H13="Federal",$H13="State",$H13="Political Subdivision"),"cost_service",IF($H13="Investor Owned",IF(AND(COUNTIF(Parameters!$A$4:$A$33,$G13)&gt;0,COUNTIF(Parameters!$B$4:$B$33,$B13)=0),"procurement","cost_service"),"unclassified"))))))</f>
        <v>cost_service</v>
      </c>
    </row>
    <row r="14" spans="1:26" x14ac:dyDescent="0.25">
      <c r="A14">
        <v>2024</v>
      </c>
      <c r="B14">
        <v>195</v>
      </c>
      <c r="C14" t="s">
        <v>111</v>
      </c>
      <c r="D14" t="s">
        <v>84</v>
      </c>
      <c r="E14" t="s">
        <v>85</v>
      </c>
      <c r="F14" t="s">
        <v>86</v>
      </c>
      <c r="G14" t="s">
        <v>112</v>
      </c>
      <c r="H14" t="s">
        <v>109</v>
      </c>
      <c r="I14" t="s">
        <v>113</v>
      </c>
      <c r="J14">
        <v>3028741</v>
      </c>
      <c r="K14">
        <v>18058325</v>
      </c>
      <c r="L14">
        <v>1332911</v>
      </c>
      <c r="M14">
        <v>1979164</v>
      </c>
      <c r="N14">
        <v>13336758</v>
      </c>
      <c r="O14">
        <v>207465</v>
      </c>
      <c r="P14">
        <v>1631001</v>
      </c>
      <c r="Q14">
        <v>20504435</v>
      </c>
      <c r="R14">
        <v>6107</v>
      </c>
      <c r="S14" t="s">
        <v>97</v>
      </c>
      <c r="T14" t="s">
        <v>97</v>
      </c>
      <c r="U14" t="s">
        <v>97</v>
      </c>
      <c r="V14">
        <v>6638906</v>
      </c>
      <c r="W14">
        <v>51899518</v>
      </c>
      <c r="X14">
        <v>1546483</v>
      </c>
      <c r="Y14">
        <f t="shared" si="0"/>
        <v>51899518</v>
      </c>
      <c r="Z14" t="str">
        <f>IF(ISNUMBER(SEARCH("Adjustment",$C14)),"excluded",IF($H14="Behind the Meter","excluded",IF(NOT(OR($E14="Bundled",$E14="Energy")),"excluded",IF(OR($H14="Retail Power Marketer",$H14="Community Choice Aggregator",$E14="Energy"),"procurement",IF(OR($H14="Municipal",$H14="Cooperative",$H14="Federal",$H14="State",$H14="Political Subdivision"),"cost_service",IF($H14="Investor Owned",IF(AND(COUNTIF(Parameters!$A$4:$A$33,$G14)&gt;0,COUNTIF(Parameters!$B$4:$B$33,$B14)=0),"procurement","cost_service"),"unclassified"))))))</f>
        <v>cost_service</v>
      </c>
    </row>
    <row r="15" spans="1:26" x14ac:dyDescent="0.25">
      <c r="A15">
        <v>2024</v>
      </c>
      <c r="B15">
        <v>207</v>
      </c>
      <c r="C15" t="s">
        <v>114</v>
      </c>
      <c r="D15" t="s">
        <v>84</v>
      </c>
      <c r="E15" t="s">
        <v>85</v>
      </c>
      <c r="F15" t="s">
        <v>86</v>
      </c>
      <c r="G15" t="s">
        <v>115</v>
      </c>
      <c r="H15" t="s">
        <v>88</v>
      </c>
      <c r="I15" t="s">
        <v>116</v>
      </c>
      <c r="J15">
        <v>32111.200000000001</v>
      </c>
      <c r="K15">
        <v>139744</v>
      </c>
      <c r="L15">
        <v>33174</v>
      </c>
      <c r="M15">
        <v>43430.5</v>
      </c>
      <c r="N15">
        <v>216203</v>
      </c>
      <c r="O15">
        <v>4052</v>
      </c>
      <c r="P15" t="s">
        <v>97</v>
      </c>
      <c r="Q15" t="s">
        <v>97</v>
      </c>
      <c r="R15" t="s">
        <v>97</v>
      </c>
      <c r="S15" t="s">
        <v>97</v>
      </c>
      <c r="T15" t="s">
        <v>97</v>
      </c>
      <c r="U15" t="s">
        <v>97</v>
      </c>
      <c r="V15">
        <v>75541.7</v>
      </c>
      <c r="W15">
        <v>355947</v>
      </c>
      <c r="X15">
        <v>37226</v>
      </c>
      <c r="Y15">
        <f t="shared" si="0"/>
        <v>355947</v>
      </c>
      <c r="Z15" t="str">
        <f>IF(ISNUMBER(SEARCH("Adjustment",$C15)),"excluded",IF($H15="Behind the Meter","excluded",IF(NOT(OR($E15="Bundled",$E15="Energy")),"excluded",IF(OR($H15="Retail Power Marketer",$H15="Community Choice Aggregator",$E15="Energy"),"procurement",IF(OR($H15="Municipal",$H15="Cooperative",$H15="Federal",$H15="State",$H15="Political Subdivision"),"cost_service",IF($H15="Investor Owned",IF(AND(COUNTIF(Parameters!$A$4:$A$33,$G15)&gt;0,COUNTIF(Parameters!$B$4:$B$33,$B15)=0),"procurement","cost_service"),"unclassified"))))))</f>
        <v>cost_service</v>
      </c>
    </row>
    <row r="16" spans="1:26" x14ac:dyDescent="0.25">
      <c r="A16">
        <v>2024</v>
      </c>
      <c r="B16">
        <v>213</v>
      </c>
      <c r="C16" t="s">
        <v>117</v>
      </c>
      <c r="D16" t="s">
        <v>84</v>
      </c>
      <c r="E16" t="s">
        <v>85</v>
      </c>
      <c r="F16" t="s">
        <v>86</v>
      </c>
      <c r="G16" t="s">
        <v>118</v>
      </c>
      <c r="H16" t="s">
        <v>109</v>
      </c>
      <c r="I16" t="s">
        <v>119</v>
      </c>
      <c r="J16">
        <v>22067.7</v>
      </c>
      <c r="K16">
        <v>170626</v>
      </c>
      <c r="L16">
        <v>15407</v>
      </c>
      <c r="M16">
        <v>13567</v>
      </c>
      <c r="N16">
        <v>126119</v>
      </c>
      <c r="O16">
        <v>2459</v>
      </c>
      <c r="P16">
        <v>14392.1</v>
      </c>
      <c r="Q16">
        <v>130040</v>
      </c>
      <c r="R16">
        <v>139</v>
      </c>
      <c r="S16" t="s">
        <v>97</v>
      </c>
      <c r="T16" t="s">
        <v>97</v>
      </c>
      <c r="U16" t="s">
        <v>97</v>
      </c>
      <c r="V16">
        <v>50026.8</v>
      </c>
      <c r="W16">
        <v>426785</v>
      </c>
      <c r="X16">
        <v>18005</v>
      </c>
      <c r="Y16">
        <f t="shared" si="0"/>
        <v>426785</v>
      </c>
      <c r="Z16" t="str">
        <f>IF(ISNUMBER(SEARCH("Adjustment",$C16)),"excluded",IF($H16="Behind the Meter","excluded",IF(NOT(OR($E16="Bundled",$E16="Energy")),"excluded",IF(OR($H16="Retail Power Marketer",$H16="Community Choice Aggregator",$E16="Energy"),"procurement",IF(OR($H16="Municipal",$H16="Cooperative",$H16="Federal",$H16="State",$H16="Political Subdivision"),"cost_service",IF($H16="Investor Owned",IF(AND(COUNTIF(Parameters!$A$4:$A$33,$G16)&gt;0,COUNTIF(Parameters!$B$4:$B$33,$B16)=0),"procurement","cost_service"),"unclassified"))))))</f>
        <v>cost_service</v>
      </c>
    </row>
    <row r="17" spans="1:26" x14ac:dyDescent="0.25">
      <c r="A17">
        <v>2024</v>
      </c>
      <c r="B17">
        <v>219</v>
      </c>
      <c r="C17" t="s">
        <v>120</v>
      </c>
      <c r="D17" t="s">
        <v>84</v>
      </c>
      <c r="E17" t="s">
        <v>85</v>
      </c>
      <c r="F17" t="s">
        <v>86</v>
      </c>
      <c r="G17" t="s">
        <v>118</v>
      </c>
      <c r="H17" t="s">
        <v>109</v>
      </c>
      <c r="I17" t="s">
        <v>119</v>
      </c>
      <c r="J17">
        <v>10397</v>
      </c>
      <c r="K17">
        <v>27967</v>
      </c>
      <c r="L17">
        <v>5737</v>
      </c>
      <c r="M17">
        <v>15878</v>
      </c>
      <c r="N17">
        <v>50720</v>
      </c>
      <c r="O17">
        <v>2719</v>
      </c>
      <c r="P17">
        <v>0</v>
      </c>
      <c r="Q17">
        <v>0</v>
      </c>
      <c r="R17">
        <v>0</v>
      </c>
      <c r="S17">
        <v>0</v>
      </c>
      <c r="T17">
        <v>0</v>
      </c>
      <c r="U17">
        <v>0</v>
      </c>
      <c r="V17">
        <v>26275</v>
      </c>
      <c r="W17">
        <v>78687</v>
      </c>
      <c r="X17">
        <v>8456</v>
      </c>
      <c r="Y17">
        <f t="shared" si="0"/>
        <v>78687</v>
      </c>
      <c r="Z17" t="str">
        <f>IF(ISNUMBER(SEARCH("Adjustment",$C17)),"excluded",IF($H17="Behind the Meter","excluded",IF(NOT(OR($E17="Bundled",$E17="Energy")),"excluded",IF(OR($H17="Retail Power Marketer",$H17="Community Choice Aggregator",$E17="Energy"),"procurement",IF(OR($H17="Municipal",$H17="Cooperative",$H17="Federal",$H17="State",$H17="Political Subdivision"),"cost_service",IF($H17="Investor Owned",IF(AND(COUNTIF(Parameters!$A$4:$A$33,$G17)&gt;0,COUNTIF(Parameters!$B$4:$B$33,$B17)=0),"procurement","cost_service"),"unclassified"))))))</f>
        <v>cost_service</v>
      </c>
    </row>
    <row r="18" spans="1:26" x14ac:dyDescent="0.25">
      <c r="A18">
        <v>2024</v>
      </c>
      <c r="B18">
        <v>221</v>
      </c>
      <c r="C18" t="s">
        <v>121</v>
      </c>
      <c r="D18" t="s">
        <v>84</v>
      </c>
      <c r="E18" t="s">
        <v>85</v>
      </c>
      <c r="F18" t="s">
        <v>86</v>
      </c>
      <c r="G18" t="s">
        <v>118</v>
      </c>
      <c r="H18" t="s">
        <v>91</v>
      </c>
      <c r="I18" t="s">
        <v>119</v>
      </c>
      <c r="J18">
        <v>30675.3</v>
      </c>
      <c r="K18">
        <v>43854</v>
      </c>
      <c r="L18">
        <v>7689</v>
      </c>
      <c r="M18">
        <v>46345.7</v>
      </c>
      <c r="N18">
        <v>81597</v>
      </c>
      <c r="O18">
        <v>3829</v>
      </c>
      <c r="P18">
        <v>0</v>
      </c>
      <c r="Q18">
        <v>0</v>
      </c>
      <c r="R18">
        <v>0</v>
      </c>
      <c r="S18">
        <v>0</v>
      </c>
      <c r="T18">
        <v>0</v>
      </c>
      <c r="U18">
        <v>0</v>
      </c>
      <c r="V18">
        <v>77021</v>
      </c>
      <c r="W18">
        <v>125451</v>
      </c>
      <c r="X18">
        <v>11518</v>
      </c>
      <c r="Y18">
        <f t="shared" si="0"/>
        <v>125451</v>
      </c>
      <c r="Z18" t="str">
        <f>IF(ISNUMBER(SEARCH("Adjustment",$C18)),"excluded",IF($H18="Behind the Meter","excluded",IF(NOT(OR($E18="Bundled",$E18="Energy")),"excluded",IF(OR($H18="Retail Power Marketer",$H18="Community Choice Aggregator",$E18="Energy"),"procurement",IF(OR($H18="Municipal",$H18="Cooperative",$H18="Federal",$H18="State",$H18="Political Subdivision"),"cost_service",IF($H18="Investor Owned",IF(AND(COUNTIF(Parameters!$A$4:$A$33,$G18)&gt;0,COUNTIF(Parameters!$B$4:$B$33,$B18)=0),"procurement","cost_service"),"unclassified"))))))</f>
        <v>cost_service</v>
      </c>
    </row>
    <row r="19" spans="1:26" x14ac:dyDescent="0.25">
      <c r="A19">
        <v>2024</v>
      </c>
      <c r="B19">
        <v>230</v>
      </c>
      <c r="C19" t="s">
        <v>122</v>
      </c>
      <c r="D19" t="s">
        <v>84</v>
      </c>
      <c r="E19" t="s">
        <v>85</v>
      </c>
      <c r="F19" t="s">
        <v>86</v>
      </c>
      <c r="G19" t="s">
        <v>123</v>
      </c>
      <c r="H19" t="s">
        <v>88</v>
      </c>
      <c r="I19" t="s">
        <v>113</v>
      </c>
      <c r="J19">
        <v>44345</v>
      </c>
      <c r="K19">
        <v>344628</v>
      </c>
      <c r="L19">
        <v>29517</v>
      </c>
      <c r="M19">
        <v>36021.699999999997</v>
      </c>
      <c r="N19">
        <v>489134</v>
      </c>
      <c r="O19">
        <v>4386</v>
      </c>
      <c r="P19">
        <v>16.100000000000001</v>
      </c>
      <c r="Q19">
        <v>595</v>
      </c>
      <c r="R19">
        <v>18</v>
      </c>
      <c r="S19" t="s">
        <v>97</v>
      </c>
      <c r="T19" t="s">
        <v>97</v>
      </c>
      <c r="U19" t="s">
        <v>97</v>
      </c>
      <c r="V19">
        <v>80382.8</v>
      </c>
      <c r="W19">
        <v>834357</v>
      </c>
      <c r="X19">
        <v>33921</v>
      </c>
      <c r="Y19">
        <f t="shared" si="0"/>
        <v>834357</v>
      </c>
      <c r="Z19" t="str">
        <f>IF(ISNUMBER(SEARCH("Adjustment",$C19)),"excluded",IF($H19="Behind the Meter","excluded",IF(NOT(OR($E19="Bundled",$E19="Energy")),"excluded",IF(OR($H19="Retail Power Marketer",$H19="Community Choice Aggregator",$E19="Energy"),"procurement",IF(OR($H19="Municipal",$H19="Cooperative",$H19="Federal",$H19="State",$H19="Political Subdivision"),"cost_service",IF($H19="Investor Owned",IF(AND(COUNTIF(Parameters!$A$4:$A$33,$G19)&gt;0,COUNTIF(Parameters!$B$4:$B$33,$B19)=0),"procurement","cost_service"),"unclassified"))))))</f>
        <v>cost_service</v>
      </c>
    </row>
    <row r="20" spans="1:26" x14ac:dyDescent="0.25">
      <c r="A20">
        <v>2024</v>
      </c>
      <c r="B20">
        <v>232</v>
      </c>
      <c r="C20" t="s">
        <v>124</v>
      </c>
      <c r="D20" t="s">
        <v>84</v>
      </c>
      <c r="E20" t="s">
        <v>85</v>
      </c>
      <c r="F20" t="s">
        <v>86</v>
      </c>
      <c r="G20" t="s">
        <v>125</v>
      </c>
      <c r="H20" t="s">
        <v>88</v>
      </c>
      <c r="I20" t="s">
        <v>126</v>
      </c>
      <c r="J20">
        <v>15540.1</v>
      </c>
      <c r="K20">
        <v>143278</v>
      </c>
      <c r="L20">
        <v>11248</v>
      </c>
      <c r="M20">
        <v>11813.5</v>
      </c>
      <c r="N20">
        <v>124076</v>
      </c>
      <c r="O20">
        <v>2325</v>
      </c>
      <c r="P20">
        <v>2043.8</v>
      </c>
      <c r="Q20">
        <v>26186</v>
      </c>
      <c r="R20">
        <v>12</v>
      </c>
      <c r="S20" t="s">
        <v>97</v>
      </c>
      <c r="T20" t="s">
        <v>97</v>
      </c>
      <c r="U20" t="s">
        <v>97</v>
      </c>
      <c r="V20">
        <v>29397.4</v>
      </c>
      <c r="W20">
        <v>293540</v>
      </c>
      <c r="X20">
        <v>13585</v>
      </c>
      <c r="Y20">
        <f t="shared" si="0"/>
        <v>293540</v>
      </c>
      <c r="Z20" t="str">
        <f>IF(ISNUMBER(SEARCH("Adjustment",$C20)),"excluded",IF($H20="Behind the Meter","excluded",IF(NOT(OR($E20="Bundled",$E20="Energy")),"excluded",IF(OR($H20="Retail Power Marketer",$H20="Community Choice Aggregator",$E20="Energy"),"procurement",IF(OR($H20="Municipal",$H20="Cooperative",$H20="Federal",$H20="State",$H20="Political Subdivision"),"cost_service",IF($H20="Investor Owned",IF(AND(COUNTIF(Parameters!$A$4:$A$33,$G20)&gt;0,COUNTIF(Parameters!$B$4:$B$33,$B20)=0),"procurement","cost_service"),"unclassified"))))))</f>
        <v>cost_service</v>
      </c>
    </row>
    <row r="21" spans="1:26" x14ac:dyDescent="0.25">
      <c r="A21">
        <v>2024</v>
      </c>
      <c r="B21">
        <v>240</v>
      </c>
      <c r="C21" t="s">
        <v>127</v>
      </c>
      <c r="D21" t="s">
        <v>84</v>
      </c>
      <c r="E21" t="s">
        <v>85</v>
      </c>
      <c r="F21" t="s">
        <v>86</v>
      </c>
      <c r="G21" t="s">
        <v>125</v>
      </c>
      <c r="H21" t="s">
        <v>91</v>
      </c>
      <c r="I21" t="s">
        <v>92</v>
      </c>
      <c r="J21">
        <v>27083</v>
      </c>
      <c r="K21">
        <v>187141</v>
      </c>
      <c r="L21">
        <v>12728</v>
      </c>
      <c r="M21">
        <v>4363</v>
      </c>
      <c r="N21">
        <v>34972</v>
      </c>
      <c r="O21">
        <v>1117</v>
      </c>
      <c r="P21">
        <v>623</v>
      </c>
      <c r="Q21">
        <v>6942</v>
      </c>
      <c r="R21">
        <v>25</v>
      </c>
      <c r="S21">
        <v>0</v>
      </c>
      <c r="T21">
        <v>0</v>
      </c>
      <c r="U21">
        <v>0</v>
      </c>
      <c r="V21">
        <v>32069</v>
      </c>
      <c r="W21">
        <v>229055</v>
      </c>
      <c r="X21">
        <v>13870</v>
      </c>
      <c r="Y21">
        <f t="shared" si="0"/>
        <v>229055</v>
      </c>
      <c r="Z21" t="str">
        <f>IF(ISNUMBER(SEARCH("Adjustment",$C21)),"excluded",IF($H21="Behind the Meter","excluded",IF(NOT(OR($E21="Bundled",$E21="Energy")),"excluded",IF(OR($H21="Retail Power Marketer",$H21="Community Choice Aggregator",$E21="Energy"),"procurement",IF(OR($H21="Municipal",$H21="Cooperative",$H21="Federal",$H21="State",$H21="Political Subdivision"),"cost_service",IF($H21="Investor Owned",IF(AND(COUNTIF(Parameters!$A$4:$A$33,$G21)&gt;0,COUNTIF(Parameters!$B$4:$B$33,$B21)=0),"procurement","cost_service"),"unclassified"))))))</f>
        <v>cost_service</v>
      </c>
    </row>
    <row r="22" spans="1:26" x14ac:dyDescent="0.25">
      <c r="A22">
        <v>2024</v>
      </c>
      <c r="B22">
        <v>241</v>
      </c>
      <c r="C22" t="s">
        <v>128</v>
      </c>
      <c r="D22" t="s">
        <v>84</v>
      </c>
      <c r="E22" t="s">
        <v>85</v>
      </c>
      <c r="F22" t="s">
        <v>86</v>
      </c>
      <c r="G22" t="s">
        <v>112</v>
      </c>
      <c r="H22" t="s">
        <v>88</v>
      </c>
      <c r="I22" t="s">
        <v>89</v>
      </c>
      <c r="J22">
        <v>13258</v>
      </c>
      <c r="K22">
        <v>124264</v>
      </c>
      <c r="L22">
        <v>8318</v>
      </c>
      <c r="M22">
        <v>21539</v>
      </c>
      <c r="N22">
        <v>194750</v>
      </c>
      <c r="O22">
        <v>2393</v>
      </c>
      <c r="P22">
        <v>21329</v>
      </c>
      <c r="Q22">
        <v>333519</v>
      </c>
      <c r="R22">
        <v>15</v>
      </c>
      <c r="S22">
        <v>0</v>
      </c>
      <c r="T22">
        <v>0</v>
      </c>
      <c r="U22">
        <v>0</v>
      </c>
      <c r="V22">
        <v>56126</v>
      </c>
      <c r="W22">
        <v>652533</v>
      </c>
      <c r="X22">
        <v>10726</v>
      </c>
      <c r="Y22">
        <f t="shared" si="0"/>
        <v>652533</v>
      </c>
      <c r="Z22" t="str">
        <f>IF(ISNUMBER(SEARCH("Adjustment",$C22)),"excluded",IF($H22="Behind the Meter","excluded",IF(NOT(OR($E22="Bundled",$E22="Energy")),"excluded",IF(OR($H22="Retail Power Marketer",$H22="Community Choice Aggregator",$E22="Energy"),"procurement",IF(OR($H22="Municipal",$H22="Cooperative",$H22="Federal",$H22="State",$H22="Political Subdivision"),"cost_service",IF($H22="Investor Owned",IF(AND(COUNTIF(Parameters!$A$4:$A$33,$G22)&gt;0,COUNTIF(Parameters!$B$4:$B$33,$B22)=0),"procurement","cost_service"),"unclassified"))))))</f>
        <v>cost_service</v>
      </c>
    </row>
    <row r="23" spans="1:26" x14ac:dyDescent="0.25">
      <c r="A23">
        <v>2024</v>
      </c>
      <c r="B23">
        <v>261</v>
      </c>
      <c r="C23" t="s">
        <v>129</v>
      </c>
      <c r="D23" t="s">
        <v>84</v>
      </c>
      <c r="E23" t="s">
        <v>85</v>
      </c>
      <c r="F23" t="s">
        <v>86</v>
      </c>
      <c r="G23" t="s">
        <v>130</v>
      </c>
      <c r="H23" t="s">
        <v>109</v>
      </c>
      <c r="I23" t="s">
        <v>96</v>
      </c>
      <c r="J23">
        <v>0</v>
      </c>
      <c r="K23">
        <v>0</v>
      </c>
      <c r="L23">
        <v>0</v>
      </c>
      <c r="M23">
        <v>0</v>
      </c>
      <c r="N23">
        <v>0</v>
      </c>
      <c r="O23">
        <v>0</v>
      </c>
      <c r="P23">
        <v>159579.9</v>
      </c>
      <c r="Q23">
        <v>2639245</v>
      </c>
      <c r="R23">
        <v>2</v>
      </c>
      <c r="S23">
        <v>0</v>
      </c>
      <c r="T23">
        <v>0</v>
      </c>
      <c r="U23">
        <v>0</v>
      </c>
      <c r="V23">
        <v>159579.9</v>
      </c>
      <c r="W23">
        <v>2639245</v>
      </c>
      <c r="X23">
        <v>2</v>
      </c>
      <c r="Y23">
        <f t="shared" si="0"/>
        <v>2639245</v>
      </c>
      <c r="Z23" t="str">
        <f>IF(ISNUMBER(SEARCH("Adjustment",$C23)),"excluded",IF($H23="Behind the Meter","excluded",IF(NOT(OR($E23="Bundled",$E23="Energy")),"excluded",IF(OR($H23="Retail Power Marketer",$H23="Community Choice Aggregator",$E23="Energy"),"procurement",IF(OR($H23="Municipal",$H23="Cooperative",$H23="Federal",$H23="State",$H23="Political Subdivision"),"cost_service",IF($H23="Investor Owned",IF(AND(COUNTIF(Parameters!$A$4:$A$33,$G23)&gt;0,COUNTIF(Parameters!$B$4:$B$33,$B23)=0),"procurement","cost_service"),"unclassified"))))))</f>
        <v>cost_service</v>
      </c>
    </row>
    <row r="24" spans="1:26" x14ac:dyDescent="0.25">
      <c r="A24">
        <v>2024</v>
      </c>
      <c r="B24">
        <v>276</v>
      </c>
      <c r="C24" t="s">
        <v>131</v>
      </c>
      <c r="D24" t="s">
        <v>84</v>
      </c>
      <c r="E24" t="s">
        <v>85</v>
      </c>
      <c r="F24" t="s">
        <v>86</v>
      </c>
      <c r="G24" t="s">
        <v>87</v>
      </c>
      <c r="H24" t="s">
        <v>91</v>
      </c>
      <c r="I24" t="s">
        <v>89</v>
      </c>
      <c r="J24">
        <v>27784</v>
      </c>
      <c r="K24">
        <v>214981</v>
      </c>
      <c r="L24">
        <v>14965</v>
      </c>
      <c r="M24">
        <v>21450</v>
      </c>
      <c r="N24">
        <v>156737</v>
      </c>
      <c r="O24">
        <v>4209</v>
      </c>
      <c r="P24">
        <v>15258</v>
      </c>
      <c r="Q24">
        <v>259874</v>
      </c>
      <c r="R24">
        <v>7</v>
      </c>
      <c r="S24">
        <v>0</v>
      </c>
      <c r="T24">
        <v>0</v>
      </c>
      <c r="U24">
        <v>0</v>
      </c>
      <c r="V24">
        <v>64492</v>
      </c>
      <c r="W24">
        <v>631592</v>
      </c>
      <c r="X24">
        <v>19181</v>
      </c>
      <c r="Y24">
        <f t="shared" si="0"/>
        <v>631592</v>
      </c>
      <c r="Z24" t="str">
        <f>IF(ISNUMBER(SEARCH("Adjustment",$C24)),"excluded",IF($H24="Behind the Meter","excluded",IF(NOT(OR($E24="Bundled",$E24="Energy")),"excluded",IF(OR($H24="Retail Power Marketer",$H24="Community Choice Aggregator",$E24="Energy"),"procurement",IF(OR($H24="Municipal",$H24="Cooperative",$H24="Federal",$H24="State",$H24="Political Subdivision"),"cost_service",IF($H24="Investor Owned",IF(AND(COUNTIF(Parameters!$A$4:$A$33,$G24)&gt;0,COUNTIF(Parameters!$B$4:$B$33,$B24)=0),"procurement","cost_service"),"unclassified"))))))</f>
        <v>cost_service</v>
      </c>
    </row>
    <row r="25" spans="1:26" x14ac:dyDescent="0.25">
      <c r="A25">
        <v>2024</v>
      </c>
      <c r="B25">
        <v>295</v>
      </c>
      <c r="C25" t="s">
        <v>132</v>
      </c>
      <c r="D25" t="s">
        <v>84</v>
      </c>
      <c r="E25" t="s">
        <v>85</v>
      </c>
      <c r="F25" t="s">
        <v>86</v>
      </c>
      <c r="G25" t="s">
        <v>104</v>
      </c>
      <c r="H25" t="s">
        <v>88</v>
      </c>
      <c r="I25" t="s">
        <v>96</v>
      </c>
      <c r="J25">
        <v>8900.4</v>
      </c>
      <c r="K25">
        <v>76955</v>
      </c>
      <c r="L25">
        <v>8758</v>
      </c>
      <c r="M25">
        <v>3893.7</v>
      </c>
      <c r="N25">
        <v>32821</v>
      </c>
      <c r="O25">
        <v>1706</v>
      </c>
      <c r="P25">
        <v>15171</v>
      </c>
      <c r="Q25">
        <v>168628</v>
      </c>
      <c r="R25">
        <v>228</v>
      </c>
      <c r="S25" t="s">
        <v>97</v>
      </c>
      <c r="T25" t="s">
        <v>97</v>
      </c>
      <c r="U25" t="s">
        <v>97</v>
      </c>
      <c r="V25">
        <v>27965.1</v>
      </c>
      <c r="W25">
        <v>278404</v>
      </c>
      <c r="X25">
        <v>10692</v>
      </c>
      <c r="Y25">
        <f t="shared" si="0"/>
        <v>278404</v>
      </c>
      <c r="Z25" t="str">
        <f>IF(ISNUMBER(SEARCH("Adjustment",$C25)),"excluded",IF($H25="Behind the Meter","excluded",IF(NOT(OR($E25="Bundled",$E25="Energy")),"excluded",IF(OR($H25="Retail Power Marketer",$H25="Community Choice Aggregator",$E25="Energy"),"procurement",IF(OR($H25="Municipal",$H25="Cooperative",$H25="Federal",$H25="State",$H25="Political Subdivision"),"cost_service",IF($H25="Investor Owned",IF(AND(COUNTIF(Parameters!$A$4:$A$33,$G25)&gt;0,COUNTIF(Parameters!$B$4:$B$33,$B25)=0),"procurement","cost_service"),"unclassified"))))))</f>
        <v>cost_service</v>
      </c>
    </row>
    <row r="26" spans="1:26" x14ac:dyDescent="0.25">
      <c r="A26">
        <v>2024</v>
      </c>
      <c r="B26">
        <v>296</v>
      </c>
      <c r="C26" t="s">
        <v>133</v>
      </c>
      <c r="D26" t="s">
        <v>84</v>
      </c>
      <c r="E26" t="s">
        <v>85</v>
      </c>
      <c r="F26" t="s">
        <v>86</v>
      </c>
      <c r="G26" t="s">
        <v>134</v>
      </c>
      <c r="H26" t="s">
        <v>91</v>
      </c>
      <c r="I26" t="s">
        <v>135</v>
      </c>
      <c r="J26">
        <v>373</v>
      </c>
      <c r="K26">
        <v>3583</v>
      </c>
      <c r="L26">
        <v>205</v>
      </c>
      <c r="M26">
        <v>744</v>
      </c>
      <c r="N26">
        <v>4593</v>
      </c>
      <c r="O26">
        <v>670</v>
      </c>
      <c r="P26">
        <v>1121</v>
      </c>
      <c r="Q26">
        <v>12621</v>
      </c>
      <c r="R26">
        <v>55</v>
      </c>
      <c r="S26" t="s">
        <v>97</v>
      </c>
      <c r="T26" t="s">
        <v>97</v>
      </c>
      <c r="U26" t="s">
        <v>97</v>
      </c>
      <c r="V26">
        <v>2238</v>
      </c>
      <c r="W26">
        <v>20797</v>
      </c>
      <c r="X26">
        <v>930</v>
      </c>
      <c r="Y26">
        <f t="shared" si="0"/>
        <v>20797</v>
      </c>
      <c r="Z26" t="str">
        <f>IF(ISNUMBER(SEARCH("Adjustment",$C26)),"excluded",IF($H26="Behind the Meter","excluded",IF(NOT(OR($E26="Bundled",$E26="Energy")),"excluded",IF(OR($H26="Retail Power Marketer",$H26="Community Choice Aggregator",$E26="Energy"),"procurement",IF(OR($H26="Municipal",$H26="Cooperative",$H26="Federal",$H26="State",$H26="Political Subdivision"),"cost_service",IF($H26="Investor Owned",IF(AND(COUNTIF(Parameters!$A$4:$A$33,$G26)&gt;0,COUNTIF(Parameters!$B$4:$B$33,$B26)=0),"procurement","cost_service"),"unclassified"))))))</f>
        <v>cost_service</v>
      </c>
    </row>
    <row r="27" spans="1:26" x14ac:dyDescent="0.25">
      <c r="A27">
        <v>2024</v>
      </c>
      <c r="B27">
        <v>296</v>
      </c>
      <c r="C27" t="s">
        <v>133</v>
      </c>
      <c r="D27" t="s">
        <v>84</v>
      </c>
      <c r="E27" t="s">
        <v>85</v>
      </c>
      <c r="F27" t="s">
        <v>86</v>
      </c>
      <c r="G27" t="s">
        <v>136</v>
      </c>
      <c r="H27" t="s">
        <v>91</v>
      </c>
      <c r="I27" t="s">
        <v>135</v>
      </c>
      <c r="J27">
        <v>5044</v>
      </c>
      <c r="K27">
        <v>49434</v>
      </c>
      <c r="L27">
        <v>2630</v>
      </c>
      <c r="M27">
        <v>5371</v>
      </c>
      <c r="N27">
        <v>37743</v>
      </c>
      <c r="O27">
        <v>4294</v>
      </c>
      <c r="P27">
        <v>23807</v>
      </c>
      <c r="Q27">
        <v>301906</v>
      </c>
      <c r="R27">
        <v>612</v>
      </c>
      <c r="S27" t="s">
        <v>97</v>
      </c>
      <c r="T27" t="s">
        <v>97</v>
      </c>
      <c r="U27" t="s">
        <v>97</v>
      </c>
      <c r="V27">
        <v>34222</v>
      </c>
      <c r="W27">
        <v>389083</v>
      </c>
      <c r="X27">
        <v>7536</v>
      </c>
      <c r="Y27">
        <f t="shared" si="0"/>
        <v>389083</v>
      </c>
      <c r="Z27" t="str">
        <f>IF(ISNUMBER(SEARCH("Adjustment",$C27)),"excluded",IF($H27="Behind the Meter","excluded",IF(NOT(OR($E27="Bundled",$E27="Energy")),"excluded",IF(OR($H27="Retail Power Marketer",$H27="Community Choice Aggregator",$E27="Energy"),"procurement",IF(OR($H27="Municipal",$H27="Cooperative",$H27="Federal",$H27="State",$H27="Political Subdivision"),"cost_service",IF($H27="Investor Owned",IF(AND(COUNTIF(Parameters!$A$4:$A$33,$G27)&gt;0,COUNTIF(Parameters!$B$4:$B$33,$B27)=0),"procurement","cost_service"),"unclassified"))))))</f>
        <v>cost_service</v>
      </c>
    </row>
    <row r="28" spans="1:26" x14ac:dyDescent="0.25">
      <c r="A28">
        <v>2024</v>
      </c>
      <c r="B28">
        <v>298</v>
      </c>
      <c r="C28" t="s">
        <v>137</v>
      </c>
      <c r="D28" t="s">
        <v>84</v>
      </c>
      <c r="E28" t="s">
        <v>85</v>
      </c>
      <c r="F28" t="s">
        <v>86</v>
      </c>
      <c r="G28" t="s">
        <v>138</v>
      </c>
      <c r="H28" t="s">
        <v>88</v>
      </c>
      <c r="I28" t="s">
        <v>96</v>
      </c>
      <c r="J28">
        <v>30931.1</v>
      </c>
      <c r="K28">
        <v>278634</v>
      </c>
      <c r="L28">
        <v>19541</v>
      </c>
      <c r="M28">
        <v>38444.300000000003</v>
      </c>
      <c r="N28">
        <v>363017</v>
      </c>
      <c r="O28">
        <v>3913</v>
      </c>
      <c r="P28">
        <v>479.8</v>
      </c>
      <c r="Q28">
        <v>5167</v>
      </c>
      <c r="R28">
        <v>6</v>
      </c>
      <c r="S28" t="s">
        <v>97</v>
      </c>
      <c r="T28" t="s">
        <v>97</v>
      </c>
      <c r="U28" t="s">
        <v>97</v>
      </c>
      <c r="V28">
        <v>69855.199999999997</v>
      </c>
      <c r="W28">
        <v>646818</v>
      </c>
      <c r="X28">
        <v>23460</v>
      </c>
      <c r="Y28">
        <f t="shared" si="0"/>
        <v>646818</v>
      </c>
      <c r="Z28" t="str">
        <f>IF(ISNUMBER(SEARCH("Adjustment",$C28)),"excluded",IF($H28="Behind the Meter","excluded",IF(NOT(OR($E28="Bundled",$E28="Energy")),"excluded",IF(OR($H28="Retail Power Marketer",$H28="Community Choice Aggregator",$E28="Energy"),"procurement",IF(OR($H28="Municipal",$H28="Cooperative",$H28="Federal",$H28="State",$H28="Political Subdivision"),"cost_service",IF($H28="Investor Owned",IF(AND(COUNTIF(Parameters!$A$4:$A$33,$G28)&gt;0,COUNTIF(Parameters!$B$4:$B$33,$B28)=0),"procurement","cost_service"),"unclassified"))))))</f>
        <v>cost_service</v>
      </c>
    </row>
    <row r="29" spans="1:26" x14ac:dyDescent="0.25">
      <c r="A29">
        <v>2024</v>
      </c>
      <c r="B29">
        <v>305</v>
      </c>
      <c r="C29" t="s">
        <v>139</v>
      </c>
      <c r="D29" t="s">
        <v>84</v>
      </c>
      <c r="E29" t="s">
        <v>85</v>
      </c>
      <c r="F29" t="s">
        <v>86</v>
      </c>
      <c r="G29" t="s">
        <v>140</v>
      </c>
      <c r="H29" t="s">
        <v>91</v>
      </c>
      <c r="I29" t="s">
        <v>96</v>
      </c>
      <c r="J29">
        <v>11995.9</v>
      </c>
      <c r="K29">
        <v>51600</v>
      </c>
      <c r="L29">
        <v>9817</v>
      </c>
      <c r="M29">
        <v>1834.5</v>
      </c>
      <c r="N29">
        <v>11320</v>
      </c>
      <c r="O29">
        <v>495</v>
      </c>
      <c r="P29">
        <v>4014.9</v>
      </c>
      <c r="Q29">
        <v>31953</v>
      </c>
      <c r="R29">
        <v>1</v>
      </c>
      <c r="S29">
        <v>0</v>
      </c>
      <c r="T29">
        <v>0</v>
      </c>
      <c r="U29">
        <v>0</v>
      </c>
      <c r="V29">
        <v>17845.3</v>
      </c>
      <c r="W29">
        <v>94873</v>
      </c>
      <c r="X29">
        <v>10313</v>
      </c>
      <c r="Y29">
        <f t="shared" si="0"/>
        <v>94873</v>
      </c>
      <c r="Z29" t="str">
        <f>IF(ISNUMBER(SEARCH("Adjustment",$C29)),"excluded",IF($H29="Behind the Meter","excluded",IF(NOT(OR($E29="Bundled",$E29="Energy")),"excluded",IF(OR($H29="Retail Power Marketer",$H29="Community Choice Aggregator",$E29="Energy"),"procurement",IF(OR($H29="Municipal",$H29="Cooperative",$H29="Federal",$H29="State",$H29="Political Subdivision"),"cost_service",IF($H29="Investor Owned",IF(AND(COUNTIF(Parameters!$A$4:$A$33,$G29)&gt;0,COUNTIF(Parameters!$B$4:$B$33,$B29)=0),"procurement","cost_service"),"unclassified"))))))</f>
        <v>cost_service</v>
      </c>
    </row>
    <row r="30" spans="1:26" x14ac:dyDescent="0.25">
      <c r="A30">
        <v>2024</v>
      </c>
      <c r="B30">
        <v>307</v>
      </c>
      <c r="C30" t="s">
        <v>141</v>
      </c>
      <c r="D30" t="s">
        <v>84</v>
      </c>
      <c r="E30" t="s">
        <v>85</v>
      </c>
      <c r="F30" t="s">
        <v>86</v>
      </c>
      <c r="G30" t="s">
        <v>95</v>
      </c>
      <c r="H30" t="s">
        <v>88</v>
      </c>
      <c r="I30" t="s">
        <v>96</v>
      </c>
      <c r="J30">
        <v>1403.2</v>
      </c>
      <c r="K30">
        <v>10775</v>
      </c>
      <c r="L30">
        <v>1654</v>
      </c>
      <c r="M30">
        <v>1881.4</v>
      </c>
      <c r="N30">
        <v>17010</v>
      </c>
      <c r="O30">
        <v>395</v>
      </c>
      <c r="P30">
        <v>510.1</v>
      </c>
      <c r="Q30">
        <v>5869</v>
      </c>
      <c r="R30">
        <v>1</v>
      </c>
      <c r="S30">
        <v>0</v>
      </c>
      <c r="T30">
        <v>0</v>
      </c>
      <c r="U30">
        <v>0</v>
      </c>
      <c r="V30">
        <v>3794.7</v>
      </c>
      <c r="W30">
        <v>33654</v>
      </c>
      <c r="X30">
        <v>2050</v>
      </c>
      <c r="Y30">
        <f t="shared" si="0"/>
        <v>33654</v>
      </c>
      <c r="Z30" t="str">
        <f>IF(ISNUMBER(SEARCH("Adjustment",$C30)),"excluded",IF($H30="Behind the Meter","excluded",IF(NOT(OR($E30="Bundled",$E30="Energy")),"excluded",IF(OR($H30="Retail Power Marketer",$H30="Community Choice Aggregator",$E30="Energy"),"procurement",IF(OR($H30="Municipal",$H30="Cooperative",$H30="Federal",$H30="State",$H30="Political Subdivision"),"cost_service",IF($H30="Investor Owned",IF(AND(COUNTIF(Parameters!$A$4:$A$33,$G30)&gt;0,COUNTIF(Parameters!$B$4:$B$33,$B30)=0),"procurement","cost_service"),"unclassified"))))))</f>
        <v>cost_service</v>
      </c>
    </row>
    <row r="31" spans="1:26" x14ac:dyDescent="0.25">
      <c r="A31">
        <v>2024</v>
      </c>
      <c r="B31">
        <v>392</v>
      </c>
      <c r="C31" t="s">
        <v>142</v>
      </c>
      <c r="D31" t="s">
        <v>84</v>
      </c>
      <c r="E31" t="s">
        <v>85</v>
      </c>
      <c r="F31" t="s">
        <v>86</v>
      </c>
      <c r="G31" t="s">
        <v>140</v>
      </c>
      <c r="H31" t="s">
        <v>109</v>
      </c>
      <c r="I31" t="s">
        <v>96</v>
      </c>
      <c r="J31">
        <v>15157.9</v>
      </c>
      <c r="K31">
        <v>86989</v>
      </c>
      <c r="L31">
        <v>13763</v>
      </c>
      <c r="M31">
        <v>13651.6</v>
      </c>
      <c r="N31">
        <v>89556</v>
      </c>
      <c r="O31">
        <v>3041</v>
      </c>
      <c r="P31">
        <v>7916.1</v>
      </c>
      <c r="Q31">
        <v>109161</v>
      </c>
      <c r="R31">
        <v>3</v>
      </c>
      <c r="S31">
        <v>0</v>
      </c>
      <c r="T31">
        <v>0</v>
      </c>
      <c r="U31">
        <v>0</v>
      </c>
      <c r="V31">
        <v>36725.599999999999</v>
      </c>
      <c r="W31">
        <v>285706</v>
      </c>
      <c r="X31">
        <v>16807</v>
      </c>
      <c r="Y31">
        <f t="shared" si="0"/>
        <v>285706</v>
      </c>
      <c r="Z31" t="str">
        <f>IF(ISNUMBER(SEARCH("Adjustment",$C31)),"excluded",IF($H31="Behind the Meter","excluded",IF(NOT(OR($E31="Bundled",$E31="Energy")),"excluded",IF(OR($H31="Retail Power Marketer",$H31="Community Choice Aggregator",$E31="Energy"),"procurement",IF(OR($H31="Municipal",$H31="Cooperative",$H31="Federal",$H31="State",$H31="Political Subdivision"),"cost_service",IF($H31="Investor Owned",IF(AND(COUNTIF(Parameters!$A$4:$A$33,$G31)&gt;0,COUNTIF(Parameters!$B$4:$B$33,$B31)=0),"procurement","cost_service"),"unclassified"))))))</f>
        <v>cost_service</v>
      </c>
    </row>
    <row r="32" spans="1:26" x14ac:dyDescent="0.25">
      <c r="A32">
        <v>2024</v>
      </c>
      <c r="B32">
        <v>407</v>
      </c>
      <c r="C32" t="s">
        <v>143</v>
      </c>
      <c r="D32" t="s">
        <v>84</v>
      </c>
      <c r="E32" t="s">
        <v>85</v>
      </c>
      <c r="F32" t="s">
        <v>86</v>
      </c>
      <c r="G32" t="s">
        <v>123</v>
      </c>
      <c r="H32" t="s">
        <v>91</v>
      </c>
      <c r="I32" t="s">
        <v>113</v>
      </c>
      <c r="J32">
        <v>37983.5</v>
      </c>
      <c r="K32">
        <v>236866</v>
      </c>
      <c r="L32">
        <v>19628</v>
      </c>
      <c r="M32">
        <v>29917.200000000001</v>
      </c>
      <c r="N32">
        <v>332113</v>
      </c>
      <c r="O32">
        <v>1984</v>
      </c>
      <c r="P32">
        <v>1234.2</v>
      </c>
      <c r="Q32">
        <v>8400</v>
      </c>
      <c r="R32">
        <v>258</v>
      </c>
      <c r="S32" t="s">
        <v>97</v>
      </c>
      <c r="T32" t="s">
        <v>97</v>
      </c>
      <c r="U32" t="s">
        <v>97</v>
      </c>
      <c r="V32">
        <v>69134.899999999994</v>
      </c>
      <c r="W32">
        <v>577379</v>
      </c>
      <c r="X32">
        <v>21870</v>
      </c>
      <c r="Y32">
        <f t="shared" si="0"/>
        <v>577379</v>
      </c>
      <c r="Z32" t="str">
        <f>IF(ISNUMBER(SEARCH("Adjustment",$C32)),"excluded",IF($H32="Behind the Meter","excluded",IF(NOT(OR($E32="Bundled",$E32="Energy")),"excluded",IF(OR($H32="Retail Power Marketer",$H32="Community Choice Aggregator",$E32="Energy"),"procurement",IF(OR($H32="Municipal",$H32="Cooperative",$H32="Federal",$H32="State",$H32="Political Subdivision"),"cost_service",IF($H32="Investor Owned",IF(AND(COUNTIF(Parameters!$A$4:$A$33,$G32)&gt;0,COUNTIF(Parameters!$B$4:$B$33,$B32)=0),"procurement","cost_service"),"unclassified"))))))</f>
        <v>cost_service</v>
      </c>
    </row>
    <row r="33" spans="1:26" x14ac:dyDescent="0.25">
      <c r="A33">
        <v>2024</v>
      </c>
      <c r="B33">
        <v>416</v>
      </c>
      <c r="C33" t="s">
        <v>144</v>
      </c>
      <c r="D33" t="s">
        <v>84</v>
      </c>
      <c r="E33" t="s">
        <v>85</v>
      </c>
      <c r="F33" t="s">
        <v>86</v>
      </c>
      <c r="G33" t="s">
        <v>136</v>
      </c>
      <c r="H33" t="s">
        <v>88</v>
      </c>
      <c r="I33" t="s">
        <v>135</v>
      </c>
      <c r="J33">
        <v>13567</v>
      </c>
      <c r="K33">
        <v>104947</v>
      </c>
      <c r="L33">
        <v>8167</v>
      </c>
      <c r="M33">
        <v>6814</v>
      </c>
      <c r="N33">
        <v>64630</v>
      </c>
      <c r="O33">
        <v>1268</v>
      </c>
      <c r="P33">
        <v>3079</v>
      </c>
      <c r="Q33">
        <v>39809</v>
      </c>
      <c r="R33">
        <v>8</v>
      </c>
      <c r="S33" t="s">
        <v>97</v>
      </c>
      <c r="T33" t="s">
        <v>97</v>
      </c>
      <c r="U33" t="s">
        <v>97</v>
      </c>
      <c r="V33">
        <v>23460</v>
      </c>
      <c r="W33">
        <v>209386</v>
      </c>
      <c r="X33">
        <v>9443</v>
      </c>
      <c r="Y33">
        <f t="shared" si="0"/>
        <v>209386</v>
      </c>
      <c r="Z33" t="str">
        <f>IF(ISNUMBER(SEARCH("Adjustment",$C33)),"excluded",IF($H33="Behind the Meter","excluded",IF(NOT(OR($E33="Bundled",$E33="Energy")),"excluded",IF(OR($H33="Retail Power Marketer",$H33="Community Choice Aggregator",$E33="Energy"),"procurement",IF(OR($H33="Municipal",$H33="Cooperative",$H33="Federal",$H33="State",$H33="Political Subdivision"),"cost_service",IF($H33="Investor Owned",IF(AND(COUNTIF(Parameters!$A$4:$A$33,$G33)&gt;0,COUNTIF(Parameters!$B$4:$B$33,$B33)=0),"procurement","cost_service"),"unclassified"))))))</f>
        <v>cost_service</v>
      </c>
    </row>
    <row r="34" spans="1:26" x14ac:dyDescent="0.25">
      <c r="A34">
        <v>2024</v>
      </c>
      <c r="B34">
        <v>471</v>
      </c>
      <c r="C34" t="s">
        <v>145</v>
      </c>
      <c r="D34" t="s">
        <v>84</v>
      </c>
      <c r="E34" t="s">
        <v>85</v>
      </c>
      <c r="F34" t="s">
        <v>86</v>
      </c>
      <c r="G34" t="s">
        <v>146</v>
      </c>
      <c r="H34" t="s">
        <v>109</v>
      </c>
      <c r="I34" t="s">
        <v>96</v>
      </c>
      <c r="J34">
        <v>1061</v>
      </c>
      <c r="K34">
        <v>6833</v>
      </c>
      <c r="L34">
        <v>709</v>
      </c>
      <c r="M34">
        <v>1221</v>
      </c>
      <c r="N34">
        <v>8358</v>
      </c>
      <c r="O34">
        <v>179</v>
      </c>
      <c r="P34">
        <v>5506</v>
      </c>
      <c r="Q34">
        <v>51780</v>
      </c>
      <c r="R34">
        <v>1</v>
      </c>
      <c r="S34">
        <v>0</v>
      </c>
      <c r="T34">
        <v>0</v>
      </c>
      <c r="U34">
        <v>0</v>
      </c>
      <c r="V34">
        <v>7788</v>
      </c>
      <c r="W34">
        <v>66971</v>
      </c>
      <c r="X34">
        <v>889</v>
      </c>
      <c r="Y34">
        <f t="shared" si="0"/>
        <v>66971</v>
      </c>
      <c r="Z34" t="str">
        <f>IF(ISNUMBER(SEARCH("Adjustment",$C34)),"excluded",IF($H34="Behind the Meter","excluded",IF(NOT(OR($E34="Bundled",$E34="Energy")),"excluded",IF(OR($H34="Retail Power Marketer",$H34="Community Choice Aggregator",$E34="Energy"),"procurement",IF(OR($H34="Municipal",$H34="Cooperative",$H34="Federal",$H34="State",$H34="Political Subdivision"),"cost_service",IF($H34="Investor Owned",IF(AND(COUNTIF(Parameters!$A$4:$A$33,$G34)&gt;0,COUNTIF(Parameters!$B$4:$B$33,$B34)=0),"procurement","cost_service"),"unclassified"))))))</f>
        <v>cost_service</v>
      </c>
    </row>
    <row r="35" spans="1:26" x14ac:dyDescent="0.25">
      <c r="A35">
        <v>2024</v>
      </c>
      <c r="B35">
        <v>540</v>
      </c>
      <c r="C35" t="s">
        <v>147</v>
      </c>
      <c r="D35" t="s">
        <v>99</v>
      </c>
      <c r="E35" t="s">
        <v>100</v>
      </c>
      <c r="F35" t="s">
        <v>86</v>
      </c>
      <c r="G35" t="s">
        <v>148</v>
      </c>
      <c r="H35" t="s">
        <v>101</v>
      </c>
      <c r="I35" t="s">
        <v>149</v>
      </c>
      <c r="J35" t="s">
        <v>97</v>
      </c>
      <c r="K35" t="s">
        <v>97</v>
      </c>
      <c r="L35" t="s">
        <v>97</v>
      </c>
      <c r="M35" t="s">
        <v>97</v>
      </c>
      <c r="N35" t="s">
        <v>97</v>
      </c>
      <c r="O35" t="s">
        <v>97</v>
      </c>
      <c r="P35">
        <v>60883.1</v>
      </c>
      <c r="Q35">
        <v>887803</v>
      </c>
      <c r="R35">
        <v>2</v>
      </c>
      <c r="S35" t="s">
        <v>97</v>
      </c>
      <c r="T35" t="s">
        <v>97</v>
      </c>
      <c r="U35" t="s">
        <v>97</v>
      </c>
      <c r="V35">
        <v>60883.1</v>
      </c>
      <c r="W35">
        <v>887803</v>
      </c>
      <c r="X35">
        <v>2</v>
      </c>
      <c r="Y35">
        <f t="shared" si="0"/>
        <v>887803</v>
      </c>
      <c r="Z35" t="str">
        <f>IF(ISNUMBER(SEARCH("Adjustment",$C35)),"excluded",IF($H35="Behind the Meter","excluded",IF(NOT(OR($E35="Bundled",$E35="Energy")),"excluded",IF(OR($H35="Retail Power Marketer",$H35="Community Choice Aggregator",$E35="Energy"),"procurement",IF(OR($H35="Municipal",$H35="Cooperative",$H35="Federal",$H35="State",$H35="Political Subdivision"),"cost_service",IF($H35="Investor Owned",IF(AND(COUNTIF(Parameters!$A$4:$A$33,$G35)&gt;0,COUNTIF(Parameters!$B$4:$B$33,$B35)=0),"procurement","cost_service"),"unclassified"))))))</f>
        <v>procurement</v>
      </c>
    </row>
    <row r="36" spans="1:26" x14ac:dyDescent="0.25">
      <c r="A36">
        <v>2024</v>
      </c>
      <c r="B36">
        <v>540</v>
      </c>
      <c r="C36" t="s">
        <v>147</v>
      </c>
      <c r="D36" t="s">
        <v>150</v>
      </c>
      <c r="E36" t="s">
        <v>85</v>
      </c>
      <c r="F36" t="s">
        <v>86</v>
      </c>
      <c r="G36" t="s">
        <v>57</v>
      </c>
      <c r="H36" t="s">
        <v>101</v>
      </c>
      <c r="I36" t="s">
        <v>151</v>
      </c>
      <c r="J36" t="s">
        <v>97</v>
      </c>
      <c r="K36" t="s">
        <v>97</v>
      </c>
      <c r="L36" t="s">
        <v>97</v>
      </c>
      <c r="M36" t="s">
        <v>97</v>
      </c>
      <c r="N36" t="s">
        <v>97</v>
      </c>
      <c r="O36" t="s">
        <v>97</v>
      </c>
      <c r="P36">
        <v>62297</v>
      </c>
      <c r="Q36">
        <v>989891</v>
      </c>
      <c r="R36">
        <v>1</v>
      </c>
      <c r="S36" t="s">
        <v>97</v>
      </c>
      <c r="T36" t="s">
        <v>97</v>
      </c>
      <c r="U36" t="s">
        <v>97</v>
      </c>
      <c r="V36">
        <v>62297</v>
      </c>
      <c r="W36">
        <v>989891</v>
      </c>
      <c r="X36">
        <v>1</v>
      </c>
      <c r="Y36">
        <f t="shared" si="0"/>
        <v>989891</v>
      </c>
      <c r="Z36" t="str">
        <f>IF(ISNUMBER(SEARCH("Adjustment",$C36)),"excluded",IF($H36="Behind the Meter","excluded",IF(NOT(OR($E36="Bundled",$E36="Energy")),"excluded",IF(OR($H36="Retail Power Marketer",$H36="Community Choice Aggregator",$E36="Energy"),"procurement",IF(OR($H36="Municipal",$H36="Cooperative",$H36="Federal",$H36="State",$H36="Political Subdivision"),"cost_service",IF($H36="Investor Owned",IF(AND(COUNTIF(Parameters!$A$4:$A$33,$G36)&gt;0,COUNTIF(Parameters!$B$4:$B$33,$B36)=0),"procurement","cost_service"),"unclassified"))))))</f>
        <v>procurement</v>
      </c>
    </row>
    <row r="37" spans="1:26" x14ac:dyDescent="0.25">
      <c r="A37">
        <v>2024</v>
      </c>
      <c r="B37">
        <v>554</v>
      </c>
      <c r="C37" t="s">
        <v>152</v>
      </c>
      <c r="D37" t="s">
        <v>84</v>
      </c>
      <c r="E37" t="s">
        <v>85</v>
      </c>
      <c r="F37" t="s">
        <v>86</v>
      </c>
      <c r="G37" t="s">
        <v>146</v>
      </c>
      <c r="H37" t="s">
        <v>88</v>
      </c>
      <c r="I37" t="s">
        <v>96</v>
      </c>
      <c r="J37">
        <v>20680.5</v>
      </c>
      <c r="K37">
        <v>170973</v>
      </c>
      <c r="L37">
        <v>24979</v>
      </c>
      <c r="M37">
        <v>28463.1</v>
      </c>
      <c r="N37">
        <v>334597</v>
      </c>
      <c r="O37">
        <v>3121</v>
      </c>
      <c r="P37">
        <v>11868.2</v>
      </c>
      <c r="Q37">
        <v>145193</v>
      </c>
      <c r="R37">
        <v>8</v>
      </c>
      <c r="S37" t="s">
        <v>97</v>
      </c>
      <c r="T37" t="s">
        <v>97</v>
      </c>
      <c r="U37" t="s">
        <v>97</v>
      </c>
      <c r="V37">
        <v>61011.8</v>
      </c>
      <c r="W37">
        <v>650763</v>
      </c>
      <c r="X37">
        <v>28108</v>
      </c>
      <c r="Y37">
        <f t="shared" si="0"/>
        <v>650763</v>
      </c>
      <c r="Z37" t="str">
        <f>IF(ISNUMBER(SEARCH("Adjustment",$C37)),"excluded",IF($H37="Behind the Meter","excluded",IF(NOT(OR($E37="Bundled",$E37="Energy")),"excluded",IF(OR($H37="Retail Power Marketer",$H37="Community Choice Aggregator",$E37="Energy"),"procurement",IF(OR($H37="Municipal",$H37="Cooperative",$H37="Federal",$H37="State",$H37="Political Subdivision"),"cost_service",IF($H37="Investor Owned",IF(AND(COUNTIF(Parameters!$A$4:$A$33,$G37)&gt;0,COUNTIF(Parameters!$B$4:$B$33,$B37)=0),"procurement","cost_service"),"unclassified"))))))</f>
        <v>cost_service</v>
      </c>
    </row>
    <row r="38" spans="1:26" x14ac:dyDescent="0.25">
      <c r="A38">
        <v>2024</v>
      </c>
      <c r="B38">
        <v>562</v>
      </c>
      <c r="C38" t="s">
        <v>153</v>
      </c>
      <c r="D38" t="s">
        <v>84</v>
      </c>
      <c r="E38" t="s">
        <v>85</v>
      </c>
      <c r="F38" t="s">
        <v>86</v>
      </c>
      <c r="G38" t="s">
        <v>123</v>
      </c>
      <c r="H38" t="s">
        <v>91</v>
      </c>
      <c r="I38" t="s">
        <v>113</v>
      </c>
      <c r="J38">
        <v>92851.8</v>
      </c>
      <c r="K38">
        <v>748163</v>
      </c>
      <c r="L38">
        <v>50337</v>
      </c>
      <c r="M38">
        <v>18240.599999999999</v>
      </c>
      <c r="N38">
        <v>131462</v>
      </c>
      <c r="O38">
        <v>6070</v>
      </c>
      <c r="P38" t="s">
        <v>97</v>
      </c>
      <c r="Q38" t="s">
        <v>97</v>
      </c>
      <c r="R38" t="s">
        <v>97</v>
      </c>
      <c r="S38" t="s">
        <v>97</v>
      </c>
      <c r="T38" t="s">
        <v>97</v>
      </c>
      <c r="U38" t="s">
        <v>97</v>
      </c>
      <c r="V38">
        <v>111092.4</v>
      </c>
      <c r="W38">
        <v>879625</v>
      </c>
      <c r="X38">
        <v>56407</v>
      </c>
      <c r="Y38">
        <f t="shared" si="0"/>
        <v>879625</v>
      </c>
      <c r="Z38" t="str">
        <f>IF(ISNUMBER(SEARCH("Adjustment",$C38)),"excluded",IF($H38="Behind the Meter","excluded",IF(NOT(OR($E38="Bundled",$E38="Energy")),"excluded",IF(OR($H38="Retail Power Marketer",$H38="Community Choice Aggregator",$E38="Energy"),"procurement",IF(OR($H38="Municipal",$H38="Cooperative",$H38="Federal",$H38="State",$H38="Political Subdivision"),"cost_service",IF($H38="Investor Owned",IF(AND(COUNTIF(Parameters!$A$4:$A$33,$G38)&gt;0,COUNTIF(Parameters!$B$4:$B$33,$B38)=0),"procurement","cost_service"),"unclassified"))))))</f>
        <v>cost_service</v>
      </c>
    </row>
    <row r="39" spans="1:26" x14ac:dyDescent="0.25">
      <c r="A39">
        <v>2024</v>
      </c>
      <c r="B39">
        <v>571</v>
      </c>
      <c r="C39" t="s">
        <v>154</v>
      </c>
      <c r="D39" t="s">
        <v>84</v>
      </c>
      <c r="E39" t="s">
        <v>85</v>
      </c>
      <c r="F39" t="s">
        <v>86</v>
      </c>
      <c r="G39" t="s">
        <v>87</v>
      </c>
      <c r="H39" t="s">
        <v>88</v>
      </c>
      <c r="I39" t="s">
        <v>89</v>
      </c>
      <c r="J39">
        <v>4410</v>
      </c>
      <c r="K39">
        <v>37764</v>
      </c>
      <c r="L39">
        <v>2822</v>
      </c>
      <c r="M39">
        <v>5977</v>
      </c>
      <c r="N39">
        <v>47462</v>
      </c>
      <c r="O39">
        <v>1134</v>
      </c>
      <c r="P39">
        <v>3039</v>
      </c>
      <c r="Q39">
        <v>35349</v>
      </c>
      <c r="R39">
        <v>3</v>
      </c>
      <c r="S39">
        <v>0</v>
      </c>
      <c r="T39">
        <v>0</v>
      </c>
      <c r="U39">
        <v>0</v>
      </c>
      <c r="V39">
        <v>13426</v>
      </c>
      <c r="W39">
        <v>120575</v>
      </c>
      <c r="X39">
        <v>3959</v>
      </c>
      <c r="Y39">
        <f t="shared" si="0"/>
        <v>120575</v>
      </c>
      <c r="Z39" t="str">
        <f>IF(ISNUMBER(SEARCH("Adjustment",$C39)),"excluded",IF($H39="Behind the Meter","excluded",IF(NOT(OR($E39="Bundled",$E39="Energy")),"excluded",IF(OR($H39="Retail Power Marketer",$H39="Community Choice Aggregator",$E39="Energy"),"procurement",IF(OR($H39="Municipal",$H39="Cooperative",$H39="Federal",$H39="State",$H39="Political Subdivision"),"cost_service",IF($H39="Investor Owned",IF(AND(COUNTIF(Parameters!$A$4:$A$33,$G39)&gt;0,COUNTIF(Parameters!$B$4:$B$33,$B39)=0),"procurement","cost_service"),"unclassified"))))))</f>
        <v>cost_service</v>
      </c>
    </row>
    <row r="40" spans="1:26" x14ac:dyDescent="0.25">
      <c r="A40">
        <v>2024</v>
      </c>
      <c r="B40">
        <v>577</v>
      </c>
      <c r="C40" t="s">
        <v>155</v>
      </c>
      <c r="D40" t="s">
        <v>84</v>
      </c>
      <c r="E40" t="s">
        <v>85</v>
      </c>
      <c r="F40" t="s">
        <v>86</v>
      </c>
      <c r="G40" t="s">
        <v>156</v>
      </c>
      <c r="H40" t="s">
        <v>88</v>
      </c>
      <c r="I40" t="s">
        <v>89</v>
      </c>
      <c r="J40">
        <v>50103</v>
      </c>
      <c r="K40">
        <v>410299</v>
      </c>
      <c r="L40">
        <v>28183</v>
      </c>
      <c r="M40">
        <v>30222</v>
      </c>
      <c r="N40">
        <v>261925</v>
      </c>
      <c r="O40">
        <v>4543</v>
      </c>
      <c r="P40">
        <v>158</v>
      </c>
      <c r="Q40">
        <v>1098</v>
      </c>
      <c r="R40">
        <v>1</v>
      </c>
      <c r="S40">
        <v>0</v>
      </c>
      <c r="T40">
        <v>0</v>
      </c>
      <c r="U40">
        <v>0</v>
      </c>
      <c r="V40">
        <v>80483</v>
      </c>
      <c r="W40">
        <v>673322</v>
      </c>
      <c r="X40">
        <v>32727</v>
      </c>
      <c r="Y40">
        <f t="shared" si="0"/>
        <v>673322</v>
      </c>
      <c r="Z40" t="str">
        <f>IF(ISNUMBER(SEARCH("Adjustment",$C40)),"excluded",IF($H40="Behind the Meter","excluded",IF(NOT(OR($E40="Bundled",$E40="Energy")),"excluded",IF(OR($H40="Retail Power Marketer",$H40="Community Choice Aggregator",$E40="Energy"),"procurement",IF(OR($H40="Municipal",$H40="Cooperative",$H40="Federal",$H40="State",$H40="Political Subdivision"),"cost_service",IF($H40="Investor Owned",IF(AND(COUNTIF(Parameters!$A$4:$A$33,$G40)&gt;0,COUNTIF(Parameters!$B$4:$B$33,$B40)=0),"procurement","cost_service"),"unclassified"))))))</f>
        <v>cost_service</v>
      </c>
    </row>
    <row r="41" spans="1:26" x14ac:dyDescent="0.25">
      <c r="A41">
        <v>2024</v>
      </c>
      <c r="B41">
        <v>590</v>
      </c>
      <c r="C41" t="s">
        <v>157</v>
      </c>
      <c r="D41" t="s">
        <v>84</v>
      </c>
      <c r="E41" t="s">
        <v>85</v>
      </c>
      <c r="F41" t="s">
        <v>86</v>
      </c>
      <c r="G41" t="s">
        <v>115</v>
      </c>
      <c r="H41" t="s">
        <v>88</v>
      </c>
      <c r="I41" t="s">
        <v>116</v>
      </c>
      <c r="J41">
        <v>101425</v>
      </c>
      <c r="K41">
        <v>592710</v>
      </c>
      <c r="L41">
        <v>105839</v>
      </c>
      <c r="M41">
        <v>128635</v>
      </c>
      <c r="N41">
        <v>725751</v>
      </c>
      <c r="O41">
        <v>17557</v>
      </c>
      <c r="P41">
        <v>127256</v>
      </c>
      <c r="Q41">
        <v>819612</v>
      </c>
      <c r="R41">
        <v>269</v>
      </c>
      <c r="S41" t="s">
        <v>97</v>
      </c>
      <c r="T41" t="s">
        <v>97</v>
      </c>
      <c r="U41" t="s">
        <v>97</v>
      </c>
      <c r="V41">
        <v>357316</v>
      </c>
      <c r="W41">
        <v>2138073</v>
      </c>
      <c r="X41">
        <v>123665</v>
      </c>
      <c r="Y41">
        <f t="shared" si="0"/>
        <v>2138073</v>
      </c>
      <c r="Z41" t="str">
        <f>IF(ISNUMBER(SEARCH("Adjustment",$C41)),"excluded",IF($H41="Behind the Meter","excluded",IF(NOT(OR($E41="Bundled",$E41="Energy")),"excluded",IF(OR($H41="Retail Power Marketer",$H41="Community Choice Aggregator",$E41="Energy"),"procurement",IF(OR($H41="Municipal",$H41="Cooperative",$H41="Federal",$H41="State",$H41="Political Subdivision"),"cost_service",IF($H41="Investor Owned",IF(AND(COUNTIF(Parameters!$A$4:$A$33,$G41)&gt;0,COUNTIF(Parameters!$B$4:$B$33,$B41)=0),"procurement","cost_service"),"unclassified"))))))</f>
        <v>cost_service</v>
      </c>
    </row>
    <row r="42" spans="1:26" x14ac:dyDescent="0.25">
      <c r="A42">
        <v>2024</v>
      </c>
      <c r="B42">
        <v>604</v>
      </c>
      <c r="C42" t="s">
        <v>158</v>
      </c>
      <c r="D42" t="s">
        <v>84</v>
      </c>
      <c r="E42" t="s">
        <v>85</v>
      </c>
      <c r="F42" t="s">
        <v>86</v>
      </c>
      <c r="G42" t="s">
        <v>112</v>
      </c>
      <c r="H42" t="s">
        <v>88</v>
      </c>
      <c r="I42" t="s">
        <v>113</v>
      </c>
      <c r="J42">
        <v>6678</v>
      </c>
      <c r="K42">
        <v>42321</v>
      </c>
      <c r="L42">
        <v>3605</v>
      </c>
      <c r="M42">
        <v>10139</v>
      </c>
      <c r="N42">
        <v>59566</v>
      </c>
      <c r="O42">
        <v>1068</v>
      </c>
      <c r="P42">
        <v>13226</v>
      </c>
      <c r="Q42">
        <v>218731</v>
      </c>
      <c r="R42">
        <v>2</v>
      </c>
      <c r="S42" t="s">
        <v>97</v>
      </c>
      <c r="T42" t="s">
        <v>97</v>
      </c>
      <c r="U42" t="s">
        <v>97</v>
      </c>
      <c r="V42">
        <v>30043</v>
      </c>
      <c r="W42">
        <v>320618</v>
      </c>
      <c r="X42">
        <v>4675</v>
      </c>
      <c r="Y42">
        <f t="shared" si="0"/>
        <v>320618</v>
      </c>
      <c r="Z42" t="str">
        <f>IF(ISNUMBER(SEARCH("Adjustment",$C42)),"excluded",IF($H42="Behind the Meter","excluded",IF(NOT(OR($E42="Bundled",$E42="Energy")),"excluded",IF(OR($H42="Retail Power Marketer",$H42="Community Choice Aggregator",$E42="Energy"),"procurement",IF(OR($H42="Municipal",$H42="Cooperative",$H42="Federal",$H42="State",$H42="Political Subdivision"),"cost_service",IF($H42="Investor Owned",IF(AND(COUNTIF(Parameters!$A$4:$A$33,$G42)&gt;0,COUNTIF(Parameters!$B$4:$B$33,$B42)=0),"procurement","cost_service"),"unclassified"))))))</f>
        <v>cost_service</v>
      </c>
    </row>
    <row r="43" spans="1:26" x14ac:dyDescent="0.25">
      <c r="A43">
        <v>2024</v>
      </c>
      <c r="B43">
        <v>636</v>
      </c>
      <c r="C43" t="s">
        <v>159</v>
      </c>
      <c r="D43" t="s">
        <v>84</v>
      </c>
      <c r="E43" t="s">
        <v>85</v>
      </c>
      <c r="F43" t="s">
        <v>86</v>
      </c>
      <c r="G43" t="s">
        <v>130</v>
      </c>
      <c r="H43" t="s">
        <v>88</v>
      </c>
      <c r="I43" t="s">
        <v>92</v>
      </c>
      <c r="J43">
        <v>38475.9</v>
      </c>
      <c r="K43">
        <v>300134</v>
      </c>
      <c r="L43">
        <v>29533</v>
      </c>
      <c r="M43">
        <v>29869.7</v>
      </c>
      <c r="N43">
        <v>269337</v>
      </c>
      <c r="O43">
        <v>3875</v>
      </c>
      <c r="P43">
        <v>24779.1</v>
      </c>
      <c r="Q43">
        <v>282496</v>
      </c>
      <c r="R43">
        <v>58</v>
      </c>
      <c r="S43" t="s">
        <v>97</v>
      </c>
      <c r="T43" t="s">
        <v>97</v>
      </c>
      <c r="U43" t="s">
        <v>97</v>
      </c>
      <c r="V43">
        <v>93124.7</v>
      </c>
      <c r="W43">
        <v>851967</v>
      </c>
      <c r="X43">
        <v>33466</v>
      </c>
      <c r="Y43">
        <f t="shared" si="0"/>
        <v>851967</v>
      </c>
      <c r="Z43" t="str">
        <f>IF(ISNUMBER(SEARCH("Adjustment",$C43)),"excluded",IF($H43="Behind the Meter","excluded",IF(NOT(OR($E43="Bundled",$E43="Energy")),"excluded",IF(OR($H43="Retail Power Marketer",$H43="Community Choice Aggregator",$E43="Energy"),"procurement",IF(OR($H43="Municipal",$H43="Cooperative",$H43="Federal",$H43="State",$H43="Political Subdivision"),"cost_service",IF($H43="Investor Owned",IF(AND(COUNTIF(Parameters!$A$4:$A$33,$G43)&gt;0,COUNTIF(Parameters!$B$4:$B$33,$B43)=0),"procurement","cost_service"),"unclassified"))))))</f>
        <v>cost_service</v>
      </c>
    </row>
    <row r="44" spans="1:26" x14ac:dyDescent="0.25">
      <c r="A44">
        <v>2024</v>
      </c>
      <c r="B44">
        <v>689</v>
      </c>
      <c r="C44" t="s">
        <v>160</v>
      </c>
      <c r="D44" t="s">
        <v>84</v>
      </c>
      <c r="E44" t="s">
        <v>85</v>
      </c>
      <c r="F44" t="s">
        <v>86</v>
      </c>
      <c r="G44" t="s">
        <v>104</v>
      </c>
      <c r="H44" t="s">
        <v>91</v>
      </c>
      <c r="I44" t="s">
        <v>96</v>
      </c>
      <c r="J44">
        <v>169726.7</v>
      </c>
      <c r="K44">
        <v>1242625</v>
      </c>
      <c r="L44">
        <v>134095</v>
      </c>
      <c r="M44">
        <v>66237.3</v>
      </c>
      <c r="N44">
        <v>624680</v>
      </c>
      <c r="O44">
        <v>12112</v>
      </c>
      <c r="P44">
        <v>14463.1</v>
      </c>
      <c r="Q44">
        <v>183925</v>
      </c>
      <c r="R44">
        <v>433</v>
      </c>
      <c r="S44">
        <v>0</v>
      </c>
      <c r="T44">
        <v>0</v>
      </c>
      <c r="U44">
        <v>0</v>
      </c>
      <c r="V44">
        <v>250427.1</v>
      </c>
      <c r="W44">
        <v>2051230</v>
      </c>
      <c r="X44">
        <v>146640</v>
      </c>
      <c r="Y44">
        <f t="shared" si="0"/>
        <v>2051230</v>
      </c>
      <c r="Z44" t="str">
        <f>IF(ISNUMBER(SEARCH("Adjustment",$C44)),"excluded",IF($H44="Behind the Meter","excluded",IF(NOT(OR($E44="Bundled",$E44="Energy")),"excluded",IF(OR($H44="Retail Power Marketer",$H44="Community Choice Aggregator",$E44="Energy"),"procurement",IF(OR($H44="Municipal",$H44="Cooperative",$H44="Federal",$H44="State",$H44="Political Subdivision"),"cost_service",IF($H44="Investor Owned",IF(AND(COUNTIF(Parameters!$A$4:$A$33,$G44)&gt;0,COUNTIF(Parameters!$B$4:$B$33,$B44)=0),"procurement","cost_service"),"unclassified"))))))</f>
        <v>cost_service</v>
      </c>
    </row>
    <row r="45" spans="1:26" x14ac:dyDescent="0.25">
      <c r="A45">
        <v>2024</v>
      </c>
      <c r="B45">
        <v>691</v>
      </c>
      <c r="C45" t="s">
        <v>161</v>
      </c>
      <c r="D45" t="s">
        <v>84</v>
      </c>
      <c r="E45" t="s">
        <v>85</v>
      </c>
      <c r="F45" t="s">
        <v>86</v>
      </c>
      <c r="G45" t="s">
        <v>104</v>
      </c>
      <c r="H45" t="s">
        <v>88</v>
      </c>
      <c r="I45" t="s">
        <v>96</v>
      </c>
      <c r="J45">
        <v>12100</v>
      </c>
      <c r="K45">
        <v>76211</v>
      </c>
      <c r="L45">
        <v>11646</v>
      </c>
      <c r="M45">
        <v>9534</v>
      </c>
      <c r="N45">
        <v>80286</v>
      </c>
      <c r="O45">
        <v>1336</v>
      </c>
      <c r="P45">
        <v>12314</v>
      </c>
      <c r="Q45">
        <v>101516</v>
      </c>
      <c r="R45">
        <v>22</v>
      </c>
      <c r="S45" t="s">
        <v>97</v>
      </c>
      <c r="T45" t="s">
        <v>97</v>
      </c>
      <c r="U45" t="s">
        <v>97</v>
      </c>
      <c r="V45">
        <v>33948</v>
      </c>
      <c r="W45">
        <v>258013</v>
      </c>
      <c r="X45">
        <v>13004</v>
      </c>
      <c r="Y45">
        <f t="shared" si="0"/>
        <v>258013</v>
      </c>
      <c r="Z45" t="str">
        <f>IF(ISNUMBER(SEARCH("Adjustment",$C45)),"excluded",IF($H45="Behind the Meter","excluded",IF(NOT(OR($E45="Bundled",$E45="Energy")),"excluded",IF(OR($H45="Retail Power Marketer",$H45="Community Choice Aggregator",$E45="Energy"),"procurement",IF(OR($H45="Municipal",$H45="Cooperative",$H45="Federal",$H45="State",$H45="Political Subdivision"),"cost_service",IF($H45="Investor Owned",IF(AND(COUNTIF(Parameters!$A$4:$A$33,$G45)&gt;0,COUNTIF(Parameters!$B$4:$B$33,$B45)=0),"procurement","cost_service"),"unclassified"))))))</f>
        <v>cost_service</v>
      </c>
    </row>
    <row r="46" spans="1:26" x14ac:dyDescent="0.25">
      <c r="A46">
        <v>2024</v>
      </c>
      <c r="B46">
        <v>719</v>
      </c>
      <c r="C46" t="s">
        <v>162</v>
      </c>
      <c r="D46" t="s">
        <v>84</v>
      </c>
      <c r="E46" t="s">
        <v>85</v>
      </c>
      <c r="F46" t="s">
        <v>86</v>
      </c>
      <c r="G46" t="s">
        <v>125</v>
      </c>
      <c r="H46" t="s">
        <v>88</v>
      </c>
      <c r="I46" t="s">
        <v>163</v>
      </c>
      <c r="J46">
        <v>33459</v>
      </c>
      <c r="K46">
        <v>318140</v>
      </c>
      <c r="L46">
        <v>29289</v>
      </c>
      <c r="M46">
        <v>15315</v>
      </c>
      <c r="N46">
        <v>109744</v>
      </c>
      <c r="O46">
        <v>1972</v>
      </c>
      <c r="P46" t="s">
        <v>97</v>
      </c>
      <c r="Q46" t="s">
        <v>97</v>
      </c>
      <c r="R46" t="s">
        <v>97</v>
      </c>
      <c r="S46" t="s">
        <v>97</v>
      </c>
      <c r="T46" t="s">
        <v>97</v>
      </c>
      <c r="U46" t="s">
        <v>97</v>
      </c>
      <c r="V46">
        <v>48774</v>
      </c>
      <c r="W46">
        <v>427884</v>
      </c>
      <c r="X46">
        <v>31261</v>
      </c>
      <c r="Y46">
        <f t="shared" si="0"/>
        <v>427884</v>
      </c>
      <c r="Z46" t="str">
        <f>IF(ISNUMBER(SEARCH("Adjustment",$C46)),"excluded",IF($H46="Behind the Meter","excluded",IF(NOT(OR($E46="Bundled",$E46="Energy")),"excluded",IF(OR($H46="Retail Power Marketer",$H46="Community Choice Aggregator",$E46="Energy"),"procurement",IF(OR($H46="Municipal",$H46="Cooperative",$H46="Federal",$H46="State",$H46="Political Subdivision"),"cost_service",IF($H46="Investor Owned",IF(AND(COUNTIF(Parameters!$A$4:$A$33,$G46)&gt;0,COUNTIF(Parameters!$B$4:$B$33,$B46)=0),"procurement","cost_service"),"unclassified"))))))</f>
        <v>cost_service</v>
      </c>
    </row>
    <row r="47" spans="1:26" x14ac:dyDescent="0.25">
      <c r="A47">
        <v>2024</v>
      </c>
      <c r="B47">
        <v>727</v>
      </c>
      <c r="C47" t="s">
        <v>164</v>
      </c>
      <c r="D47" t="s">
        <v>84</v>
      </c>
      <c r="E47" t="s">
        <v>85</v>
      </c>
      <c r="F47" t="s">
        <v>86</v>
      </c>
      <c r="G47" t="s">
        <v>156</v>
      </c>
      <c r="H47" t="s">
        <v>91</v>
      </c>
      <c r="I47" t="s">
        <v>89</v>
      </c>
      <c r="J47">
        <v>82864</v>
      </c>
      <c r="K47">
        <v>640950</v>
      </c>
      <c r="L47">
        <v>43709</v>
      </c>
      <c r="M47">
        <v>32066</v>
      </c>
      <c r="N47">
        <v>248037</v>
      </c>
      <c r="O47">
        <v>7650</v>
      </c>
      <c r="P47">
        <v>5475</v>
      </c>
      <c r="Q47">
        <v>83719</v>
      </c>
      <c r="R47">
        <v>7</v>
      </c>
      <c r="S47">
        <v>0</v>
      </c>
      <c r="T47">
        <v>0</v>
      </c>
      <c r="U47">
        <v>0</v>
      </c>
      <c r="V47">
        <v>120405</v>
      </c>
      <c r="W47">
        <v>972706</v>
      </c>
      <c r="X47">
        <v>51366</v>
      </c>
      <c r="Y47">
        <f t="shared" si="0"/>
        <v>972706</v>
      </c>
      <c r="Z47" t="str">
        <f>IF(ISNUMBER(SEARCH("Adjustment",$C47)),"excluded",IF($H47="Behind the Meter","excluded",IF(NOT(OR($E47="Bundled",$E47="Energy")),"excluded",IF(OR($H47="Retail Power Marketer",$H47="Community Choice Aggregator",$E47="Energy"),"procurement",IF(OR($H47="Municipal",$H47="Cooperative",$H47="Federal",$H47="State",$H47="Political Subdivision"),"cost_service",IF($H47="Investor Owned",IF(AND(COUNTIF(Parameters!$A$4:$A$33,$G47)&gt;0,COUNTIF(Parameters!$B$4:$B$33,$B47)=0),"procurement","cost_service"),"unclassified"))))))</f>
        <v>cost_service</v>
      </c>
    </row>
    <row r="48" spans="1:26" x14ac:dyDescent="0.25">
      <c r="A48">
        <v>2024</v>
      </c>
      <c r="B48">
        <v>733</v>
      </c>
      <c r="C48" t="s">
        <v>165</v>
      </c>
      <c r="D48" t="s">
        <v>84</v>
      </c>
      <c r="E48" t="s">
        <v>85</v>
      </c>
      <c r="F48" t="s">
        <v>86</v>
      </c>
      <c r="G48" t="s">
        <v>93</v>
      </c>
      <c r="H48" t="s">
        <v>109</v>
      </c>
      <c r="I48" t="s">
        <v>92</v>
      </c>
      <c r="J48">
        <v>995624</v>
      </c>
      <c r="K48">
        <v>5850904</v>
      </c>
      <c r="L48">
        <v>465283</v>
      </c>
      <c r="M48">
        <v>493540</v>
      </c>
      <c r="N48">
        <v>3626187</v>
      </c>
      <c r="O48">
        <v>81996</v>
      </c>
      <c r="P48">
        <v>472252</v>
      </c>
      <c r="Q48">
        <v>4527177</v>
      </c>
      <c r="R48">
        <v>1939</v>
      </c>
      <c r="S48" t="s">
        <v>97</v>
      </c>
      <c r="T48" t="s">
        <v>97</v>
      </c>
      <c r="U48" t="s">
        <v>97</v>
      </c>
      <c r="V48">
        <v>1961416</v>
      </c>
      <c r="W48">
        <v>14004268</v>
      </c>
      <c r="X48">
        <v>549218</v>
      </c>
      <c r="Y48">
        <f t="shared" si="0"/>
        <v>14004268</v>
      </c>
      <c r="Z48" t="str">
        <f>IF(ISNUMBER(SEARCH("Adjustment",$C48)),"excluded",IF($H48="Behind the Meter","excluded",IF(NOT(OR($E48="Bundled",$E48="Energy")),"excluded",IF(OR($H48="Retail Power Marketer",$H48="Community Choice Aggregator",$E48="Energy"),"procurement",IF(OR($H48="Municipal",$H48="Cooperative",$H48="Federal",$H48="State",$H48="Political Subdivision"),"cost_service",IF($H48="Investor Owned",IF(AND(COUNTIF(Parameters!$A$4:$A$33,$G48)&gt;0,COUNTIF(Parameters!$B$4:$B$33,$B48)=0),"procurement","cost_service"),"unclassified"))))))</f>
        <v>cost_service</v>
      </c>
    </row>
    <row r="49" spans="1:26" x14ac:dyDescent="0.25">
      <c r="A49">
        <v>2024</v>
      </c>
      <c r="B49">
        <v>733</v>
      </c>
      <c r="C49" t="s">
        <v>165</v>
      </c>
      <c r="D49" t="s">
        <v>84</v>
      </c>
      <c r="E49" t="s">
        <v>85</v>
      </c>
      <c r="F49" t="s">
        <v>86</v>
      </c>
      <c r="G49" t="s">
        <v>166</v>
      </c>
      <c r="H49" t="s">
        <v>109</v>
      </c>
      <c r="I49" t="s">
        <v>92</v>
      </c>
      <c r="J49">
        <v>776640</v>
      </c>
      <c r="K49">
        <v>4632296</v>
      </c>
      <c r="L49">
        <v>348946</v>
      </c>
      <c r="M49">
        <v>383165</v>
      </c>
      <c r="N49">
        <v>3102967</v>
      </c>
      <c r="O49">
        <v>67012</v>
      </c>
      <c r="P49">
        <v>340280</v>
      </c>
      <c r="Q49">
        <v>3883180</v>
      </c>
      <c r="R49">
        <v>2180</v>
      </c>
      <c r="S49" t="s">
        <v>97</v>
      </c>
      <c r="T49" t="s">
        <v>97</v>
      </c>
      <c r="U49" t="s">
        <v>97</v>
      </c>
      <c r="V49">
        <v>1500085</v>
      </c>
      <c r="W49">
        <v>11618443</v>
      </c>
      <c r="X49">
        <v>418138</v>
      </c>
      <c r="Y49">
        <f t="shared" si="0"/>
        <v>11618443</v>
      </c>
      <c r="Z49" t="str">
        <f>IF(ISNUMBER(SEARCH("Adjustment",$C49)),"excluded",IF($H49="Behind the Meter","excluded",IF(NOT(OR($E49="Bundled",$E49="Energy")),"excluded",IF(OR($H49="Retail Power Marketer",$H49="Community Choice Aggregator",$E49="Energy"),"procurement",IF(OR($H49="Municipal",$H49="Cooperative",$H49="Federal",$H49="State",$H49="Political Subdivision"),"cost_service",IF($H49="Investor Owned",IF(AND(COUNTIF(Parameters!$A$4:$A$33,$G49)&gt;0,COUNTIF(Parameters!$B$4:$B$33,$B49)=0),"procurement","cost_service"),"unclassified"))))))</f>
        <v>cost_service</v>
      </c>
    </row>
    <row r="50" spans="1:26" x14ac:dyDescent="0.25">
      <c r="A50">
        <v>2024</v>
      </c>
      <c r="B50">
        <v>733</v>
      </c>
      <c r="C50" t="s">
        <v>165</v>
      </c>
      <c r="D50" t="s">
        <v>167</v>
      </c>
      <c r="E50" t="s">
        <v>168</v>
      </c>
      <c r="F50" t="s">
        <v>86</v>
      </c>
      <c r="G50" t="s">
        <v>93</v>
      </c>
      <c r="H50" t="s">
        <v>109</v>
      </c>
      <c r="I50" t="s">
        <v>92</v>
      </c>
      <c r="J50" t="s">
        <v>97</v>
      </c>
      <c r="K50" t="s">
        <v>97</v>
      </c>
      <c r="L50" t="s">
        <v>97</v>
      </c>
      <c r="M50">
        <v>820</v>
      </c>
      <c r="N50">
        <v>47575</v>
      </c>
      <c r="O50">
        <v>47</v>
      </c>
      <c r="P50">
        <v>605</v>
      </c>
      <c r="Q50">
        <v>255649</v>
      </c>
      <c r="R50">
        <v>5</v>
      </c>
      <c r="S50" t="s">
        <v>97</v>
      </c>
      <c r="T50" t="s">
        <v>97</v>
      </c>
      <c r="U50" t="s">
        <v>97</v>
      </c>
      <c r="V50">
        <v>1425</v>
      </c>
      <c r="W50">
        <v>303224</v>
      </c>
      <c r="X50">
        <v>52</v>
      </c>
      <c r="Y50">
        <f t="shared" si="0"/>
        <v>303224</v>
      </c>
      <c r="Z50" t="str">
        <f>IF(ISNUMBER(SEARCH("Adjustment",$C50)),"excluded",IF($H50="Behind the Meter","excluded",IF(NOT(OR($E50="Bundled",$E50="Energy")),"excluded",IF(OR($H50="Retail Power Marketer",$H50="Community Choice Aggregator",$E50="Energy"),"procurement",IF(OR($H50="Municipal",$H50="Cooperative",$H50="Federal",$H50="State",$H50="Political Subdivision"),"cost_service",IF($H50="Investor Owned",IF(AND(COUNTIF(Parameters!$A$4:$A$33,$G50)&gt;0,COUNTIF(Parameters!$B$4:$B$33,$B50)=0),"procurement","cost_service"),"unclassified"))))))</f>
        <v>excluded</v>
      </c>
    </row>
    <row r="51" spans="1:26" x14ac:dyDescent="0.25">
      <c r="A51">
        <v>2024</v>
      </c>
      <c r="B51">
        <v>750</v>
      </c>
      <c r="C51" t="s">
        <v>169</v>
      </c>
      <c r="D51" t="s">
        <v>84</v>
      </c>
      <c r="E51" t="s">
        <v>85</v>
      </c>
      <c r="F51" t="s">
        <v>86</v>
      </c>
      <c r="G51" t="s">
        <v>112</v>
      </c>
      <c r="H51" t="s">
        <v>91</v>
      </c>
      <c r="I51" t="s">
        <v>89</v>
      </c>
      <c r="J51">
        <v>24986</v>
      </c>
      <c r="K51">
        <v>208955</v>
      </c>
      <c r="L51">
        <v>14062</v>
      </c>
      <c r="M51">
        <v>12392</v>
      </c>
      <c r="N51">
        <v>100727</v>
      </c>
      <c r="O51">
        <v>2861</v>
      </c>
      <c r="P51">
        <v>370</v>
      </c>
      <c r="Q51">
        <v>4003</v>
      </c>
      <c r="R51">
        <v>2</v>
      </c>
      <c r="S51">
        <v>0</v>
      </c>
      <c r="T51">
        <v>0</v>
      </c>
      <c r="U51">
        <v>0</v>
      </c>
      <c r="V51">
        <v>37748</v>
      </c>
      <c r="W51">
        <v>313685</v>
      </c>
      <c r="X51">
        <v>16925</v>
      </c>
      <c r="Y51">
        <f t="shared" si="0"/>
        <v>313685</v>
      </c>
      <c r="Z51" t="str">
        <f>IF(ISNUMBER(SEARCH("Adjustment",$C51)),"excluded",IF($H51="Behind the Meter","excluded",IF(NOT(OR($E51="Bundled",$E51="Energy")),"excluded",IF(OR($H51="Retail Power Marketer",$H51="Community Choice Aggregator",$E51="Energy"),"procurement",IF(OR($H51="Municipal",$H51="Cooperative",$H51="Federal",$H51="State",$H51="Political Subdivision"),"cost_service",IF($H51="Investor Owned",IF(AND(COUNTIF(Parameters!$A$4:$A$33,$G51)&gt;0,COUNTIF(Parameters!$B$4:$B$33,$B51)=0),"procurement","cost_service"),"unclassified"))))))</f>
        <v>cost_service</v>
      </c>
    </row>
    <row r="52" spans="1:26" x14ac:dyDescent="0.25">
      <c r="A52">
        <v>2024</v>
      </c>
      <c r="B52">
        <v>796</v>
      </c>
      <c r="C52" t="s">
        <v>170</v>
      </c>
      <c r="D52" t="s">
        <v>99</v>
      </c>
      <c r="E52" t="s">
        <v>100</v>
      </c>
      <c r="F52" t="s">
        <v>86</v>
      </c>
      <c r="G52" t="s">
        <v>115</v>
      </c>
      <c r="H52" t="s">
        <v>91</v>
      </c>
      <c r="I52" t="s">
        <v>116</v>
      </c>
      <c r="J52" t="s">
        <v>97</v>
      </c>
      <c r="K52" t="s">
        <v>97</v>
      </c>
      <c r="L52" t="s">
        <v>97</v>
      </c>
      <c r="M52">
        <v>18.2</v>
      </c>
      <c r="N52">
        <v>809</v>
      </c>
      <c r="O52">
        <v>1</v>
      </c>
      <c r="P52" t="s">
        <v>97</v>
      </c>
      <c r="Q52" t="s">
        <v>97</v>
      </c>
      <c r="R52" t="s">
        <v>97</v>
      </c>
      <c r="S52" t="s">
        <v>97</v>
      </c>
      <c r="T52" t="s">
        <v>97</v>
      </c>
      <c r="U52" t="s">
        <v>97</v>
      </c>
      <c r="V52">
        <v>18.2</v>
      </c>
      <c r="W52">
        <v>809</v>
      </c>
      <c r="X52">
        <v>1</v>
      </c>
      <c r="Y52">
        <f t="shared" si="0"/>
        <v>809</v>
      </c>
      <c r="Z52" t="str">
        <f>IF(ISNUMBER(SEARCH("Adjustment",$C52)),"excluded",IF($H52="Behind the Meter","excluded",IF(NOT(OR($E52="Bundled",$E52="Energy")),"excluded",IF(OR($H52="Retail Power Marketer",$H52="Community Choice Aggregator",$E52="Energy"),"procurement",IF(OR($H52="Municipal",$H52="Cooperative",$H52="Federal",$H52="State",$H52="Political Subdivision"),"cost_service",IF($H52="Investor Owned",IF(AND(COUNTIF(Parameters!$A$4:$A$33,$G52)&gt;0,COUNTIF(Parameters!$B$4:$B$33,$B52)=0),"procurement","cost_service"),"unclassified"))))))</f>
        <v>procurement</v>
      </c>
    </row>
    <row r="53" spans="1:26" x14ac:dyDescent="0.25">
      <c r="A53">
        <v>2024</v>
      </c>
      <c r="B53">
        <v>803</v>
      </c>
      <c r="C53" t="s">
        <v>171</v>
      </c>
      <c r="D53" t="s">
        <v>84</v>
      </c>
      <c r="E53" t="s">
        <v>85</v>
      </c>
      <c r="F53" t="s">
        <v>86</v>
      </c>
      <c r="G53" t="s">
        <v>108</v>
      </c>
      <c r="H53" t="s">
        <v>109</v>
      </c>
      <c r="I53" t="s">
        <v>110</v>
      </c>
      <c r="J53">
        <v>2562822.5</v>
      </c>
      <c r="K53">
        <v>15579131</v>
      </c>
      <c r="L53">
        <v>1256120</v>
      </c>
      <c r="M53">
        <v>2125533.6</v>
      </c>
      <c r="N53">
        <v>16070942</v>
      </c>
      <c r="O53">
        <v>141345</v>
      </c>
      <c r="P53">
        <v>209390.6</v>
      </c>
      <c r="Q53">
        <v>2051331</v>
      </c>
      <c r="R53">
        <v>2572</v>
      </c>
      <c r="S53">
        <v>0</v>
      </c>
      <c r="T53">
        <v>0</v>
      </c>
      <c r="U53">
        <v>0</v>
      </c>
      <c r="V53">
        <v>4897746.7</v>
      </c>
      <c r="W53">
        <v>33701404</v>
      </c>
      <c r="X53">
        <v>1400037</v>
      </c>
      <c r="Y53">
        <f t="shared" si="0"/>
        <v>33701404</v>
      </c>
      <c r="Z53" t="str">
        <f>IF(ISNUMBER(SEARCH("Adjustment",$C53)),"excluded",IF($H53="Behind the Meter","excluded",IF(NOT(OR($E53="Bundled",$E53="Energy")),"excluded",IF(OR($H53="Retail Power Marketer",$H53="Community Choice Aggregator",$E53="Energy"),"procurement",IF(OR($H53="Municipal",$H53="Cooperative",$H53="Federal",$H53="State",$H53="Political Subdivision"),"cost_service",IF($H53="Investor Owned",IF(AND(COUNTIF(Parameters!$A$4:$A$33,$G53)&gt;0,COUNTIF(Parameters!$B$4:$B$33,$B53)=0),"procurement","cost_service"),"unclassified"))))))</f>
        <v>cost_service</v>
      </c>
    </row>
    <row r="54" spans="1:26" x14ac:dyDescent="0.25">
      <c r="A54">
        <v>2024</v>
      </c>
      <c r="B54">
        <v>814</v>
      </c>
      <c r="C54" t="s">
        <v>172</v>
      </c>
      <c r="D54" t="s">
        <v>84</v>
      </c>
      <c r="E54" t="s">
        <v>85</v>
      </c>
      <c r="F54" t="s">
        <v>86</v>
      </c>
      <c r="G54" t="s">
        <v>173</v>
      </c>
      <c r="H54" t="s">
        <v>109</v>
      </c>
      <c r="I54" t="s">
        <v>96</v>
      </c>
      <c r="J54">
        <v>999636.9</v>
      </c>
      <c r="K54">
        <v>7708656</v>
      </c>
      <c r="L54">
        <v>608362</v>
      </c>
      <c r="M54">
        <v>590191</v>
      </c>
      <c r="N54">
        <v>5782232</v>
      </c>
      <c r="O54">
        <v>100665</v>
      </c>
      <c r="P54">
        <v>632141.6</v>
      </c>
      <c r="Q54">
        <v>9932422</v>
      </c>
      <c r="R54">
        <v>23636</v>
      </c>
      <c r="S54">
        <v>0.8</v>
      </c>
      <c r="T54">
        <v>4</v>
      </c>
      <c r="U54">
        <v>1</v>
      </c>
      <c r="V54">
        <v>2221970.2999999998</v>
      </c>
      <c r="W54">
        <v>23423314</v>
      </c>
      <c r="X54">
        <v>732664</v>
      </c>
      <c r="Y54">
        <f t="shared" si="0"/>
        <v>23423314</v>
      </c>
      <c r="Z54" t="str">
        <f>IF(ISNUMBER(SEARCH("Adjustment",$C54)),"excluded",IF($H54="Behind the Meter","excluded",IF(NOT(OR($E54="Bundled",$E54="Energy")),"excluded",IF(OR($H54="Retail Power Marketer",$H54="Community Choice Aggregator",$E54="Energy"),"procurement",IF(OR($H54="Municipal",$H54="Cooperative",$H54="Federal",$H54="State",$H54="Political Subdivision"),"cost_service",IF($H54="Investor Owned",IF(AND(COUNTIF(Parameters!$A$4:$A$33,$G54)&gt;0,COUNTIF(Parameters!$B$4:$B$33,$B54)=0),"procurement","cost_service"),"unclassified"))))))</f>
        <v>cost_service</v>
      </c>
    </row>
    <row r="55" spans="1:26" x14ac:dyDescent="0.25">
      <c r="A55">
        <v>2024</v>
      </c>
      <c r="B55">
        <v>814</v>
      </c>
      <c r="C55" t="s">
        <v>172</v>
      </c>
      <c r="D55" t="s">
        <v>84</v>
      </c>
      <c r="E55" t="s">
        <v>85</v>
      </c>
      <c r="F55" t="s">
        <v>86</v>
      </c>
      <c r="G55" t="s">
        <v>156</v>
      </c>
      <c r="H55" t="s">
        <v>109</v>
      </c>
      <c r="I55" t="s">
        <v>96</v>
      </c>
      <c r="J55">
        <v>3.7</v>
      </c>
      <c r="K55">
        <v>31</v>
      </c>
      <c r="L55">
        <v>1</v>
      </c>
      <c r="M55">
        <v>4.4000000000000004</v>
      </c>
      <c r="N55">
        <v>24</v>
      </c>
      <c r="O55">
        <v>3</v>
      </c>
      <c r="P55">
        <v>2.2000000000000002</v>
      </c>
      <c r="Q55">
        <v>9</v>
      </c>
      <c r="R55">
        <v>3</v>
      </c>
      <c r="S55" t="s">
        <v>97</v>
      </c>
      <c r="T55" t="s">
        <v>97</v>
      </c>
      <c r="U55" t="s">
        <v>97</v>
      </c>
      <c r="V55">
        <v>10.3</v>
      </c>
      <c r="W55">
        <v>64</v>
      </c>
      <c r="X55">
        <v>7</v>
      </c>
      <c r="Y55">
        <f t="shared" si="0"/>
        <v>64</v>
      </c>
      <c r="Z55" t="str">
        <f>IF(ISNUMBER(SEARCH("Adjustment",$C55)),"excluded",IF($H55="Behind the Meter","excluded",IF(NOT(OR($E55="Bundled",$E55="Energy")),"excluded",IF(OR($H55="Retail Power Marketer",$H55="Community Choice Aggregator",$E55="Energy"),"procurement",IF(OR($H55="Municipal",$H55="Cooperative",$H55="Federal",$H55="State",$H55="Political Subdivision"),"cost_service",IF($H55="Investor Owned",IF(AND(COUNTIF(Parameters!$A$4:$A$33,$G55)&gt;0,COUNTIF(Parameters!$B$4:$B$33,$B55)=0),"procurement","cost_service"),"unclassified"))))))</f>
        <v>cost_service</v>
      </c>
    </row>
    <row r="56" spans="1:26" x14ac:dyDescent="0.25">
      <c r="A56">
        <v>2024</v>
      </c>
      <c r="B56">
        <v>817</v>
      </c>
      <c r="C56" t="s">
        <v>174</v>
      </c>
      <c r="D56" t="s">
        <v>84</v>
      </c>
      <c r="E56" t="s">
        <v>85</v>
      </c>
      <c r="F56" t="s">
        <v>86</v>
      </c>
      <c r="G56" t="s">
        <v>173</v>
      </c>
      <c r="H56" t="s">
        <v>91</v>
      </c>
      <c r="I56" t="s">
        <v>135</v>
      </c>
      <c r="J56">
        <v>96119.8</v>
      </c>
      <c r="K56">
        <v>721279</v>
      </c>
      <c r="L56">
        <v>54372</v>
      </c>
      <c r="M56">
        <v>22508.1</v>
      </c>
      <c r="N56">
        <v>186217</v>
      </c>
      <c r="O56">
        <v>4147</v>
      </c>
      <c r="P56">
        <v>16641.900000000001</v>
      </c>
      <c r="Q56">
        <v>280289</v>
      </c>
      <c r="R56">
        <v>48</v>
      </c>
      <c r="S56">
        <v>0</v>
      </c>
      <c r="T56">
        <v>0</v>
      </c>
      <c r="U56">
        <v>0</v>
      </c>
      <c r="V56">
        <v>135269.79999999999</v>
      </c>
      <c r="W56">
        <v>1187785</v>
      </c>
      <c r="X56">
        <v>58567</v>
      </c>
      <c r="Y56">
        <f t="shared" si="0"/>
        <v>1187785</v>
      </c>
      <c r="Z56" t="str">
        <f>IF(ISNUMBER(SEARCH("Adjustment",$C56)),"excluded",IF($H56="Behind the Meter","excluded",IF(NOT(OR($E56="Bundled",$E56="Energy")),"excluded",IF(OR($H56="Retail Power Marketer",$H56="Community Choice Aggregator",$E56="Energy"),"procurement",IF(OR($H56="Municipal",$H56="Cooperative",$H56="Federal",$H56="State",$H56="Political Subdivision"),"cost_service",IF($H56="Investor Owned",IF(AND(COUNTIF(Parameters!$A$4:$A$33,$G56)&gt;0,COUNTIF(Parameters!$B$4:$B$33,$B56)=0),"procurement","cost_service"),"unclassified"))))))</f>
        <v>cost_service</v>
      </c>
    </row>
    <row r="57" spans="1:26" x14ac:dyDescent="0.25">
      <c r="A57">
        <v>2024</v>
      </c>
      <c r="B57">
        <v>817</v>
      </c>
      <c r="C57" t="s">
        <v>174</v>
      </c>
      <c r="D57" t="s">
        <v>84</v>
      </c>
      <c r="E57" t="s">
        <v>85</v>
      </c>
      <c r="F57" t="s">
        <v>86</v>
      </c>
      <c r="G57" t="s">
        <v>136</v>
      </c>
      <c r="H57" t="s">
        <v>91</v>
      </c>
      <c r="I57" t="s">
        <v>135</v>
      </c>
      <c r="J57">
        <v>7630.9</v>
      </c>
      <c r="K57">
        <v>57453</v>
      </c>
      <c r="L57">
        <v>4250</v>
      </c>
      <c r="M57">
        <v>3405.6</v>
      </c>
      <c r="N57">
        <v>31479</v>
      </c>
      <c r="O57">
        <v>516</v>
      </c>
      <c r="P57">
        <v>0</v>
      </c>
      <c r="Q57">
        <v>0</v>
      </c>
      <c r="R57">
        <v>0</v>
      </c>
      <c r="S57">
        <v>0</v>
      </c>
      <c r="T57">
        <v>0</v>
      </c>
      <c r="U57">
        <v>0</v>
      </c>
      <c r="V57">
        <v>11036.5</v>
      </c>
      <c r="W57">
        <v>88932</v>
      </c>
      <c r="X57">
        <v>4766</v>
      </c>
      <c r="Y57">
        <f t="shared" si="0"/>
        <v>88932</v>
      </c>
      <c r="Z57" t="str">
        <f>IF(ISNUMBER(SEARCH("Adjustment",$C57)),"excluded",IF($H57="Behind the Meter","excluded",IF(NOT(OR($E57="Bundled",$E57="Energy")),"excluded",IF(OR($H57="Retail Power Marketer",$H57="Community Choice Aggregator",$E57="Energy"),"procurement",IF(OR($H57="Municipal",$H57="Cooperative",$H57="Federal",$H57="State",$H57="Political Subdivision"),"cost_service",IF($H57="Investor Owned",IF(AND(COUNTIF(Parameters!$A$4:$A$33,$G57)&gt;0,COUNTIF(Parameters!$B$4:$B$33,$B57)=0),"procurement","cost_service"),"unclassified"))))))</f>
        <v>cost_service</v>
      </c>
    </row>
    <row r="58" spans="1:26" x14ac:dyDescent="0.25">
      <c r="A58">
        <v>2024</v>
      </c>
      <c r="B58">
        <v>944</v>
      </c>
      <c r="C58" t="s">
        <v>175</v>
      </c>
      <c r="D58" t="s">
        <v>84</v>
      </c>
      <c r="E58" t="s">
        <v>85</v>
      </c>
      <c r="F58" t="s">
        <v>86</v>
      </c>
      <c r="G58" t="s">
        <v>112</v>
      </c>
      <c r="H58" t="s">
        <v>88</v>
      </c>
      <c r="I58" t="s">
        <v>89</v>
      </c>
      <c r="J58">
        <v>85146</v>
      </c>
      <c r="K58">
        <v>695825</v>
      </c>
      <c r="L58">
        <v>50985</v>
      </c>
      <c r="M58">
        <v>47669</v>
      </c>
      <c r="N58">
        <v>407747</v>
      </c>
      <c r="O58">
        <v>8122</v>
      </c>
      <c r="P58">
        <v>32055</v>
      </c>
      <c r="Q58">
        <v>463426</v>
      </c>
      <c r="R58">
        <v>14</v>
      </c>
      <c r="S58">
        <v>0</v>
      </c>
      <c r="T58">
        <v>0</v>
      </c>
      <c r="U58">
        <v>0</v>
      </c>
      <c r="V58">
        <v>164870</v>
      </c>
      <c r="W58">
        <v>1566998</v>
      </c>
      <c r="X58">
        <v>59121</v>
      </c>
      <c r="Y58">
        <f t="shared" si="0"/>
        <v>1566998</v>
      </c>
      <c r="Z58" t="str">
        <f>IF(ISNUMBER(SEARCH("Adjustment",$C58)),"excluded",IF($H58="Behind the Meter","excluded",IF(NOT(OR($E58="Bundled",$E58="Energy")),"excluded",IF(OR($H58="Retail Power Marketer",$H58="Community Choice Aggregator",$E58="Energy"),"procurement",IF(OR($H58="Municipal",$H58="Cooperative",$H58="Federal",$H58="State",$H58="Political Subdivision"),"cost_service",IF($H58="Investor Owned",IF(AND(COUNTIF(Parameters!$A$4:$A$33,$G58)&gt;0,COUNTIF(Parameters!$B$4:$B$33,$B58)=0),"procurement","cost_service"),"unclassified"))))))</f>
        <v>cost_service</v>
      </c>
    </row>
    <row r="59" spans="1:26" x14ac:dyDescent="0.25">
      <c r="A59">
        <v>2024</v>
      </c>
      <c r="B59">
        <v>947</v>
      </c>
      <c r="C59" t="s">
        <v>176</v>
      </c>
      <c r="D59" t="s">
        <v>84</v>
      </c>
      <c r="E59" t="s">
        <v>85</v>
      </c>
      <c r="F59" t="s">
        <v>86</v>
      </c>
      <c r="G59" t="s">
        <v>156</v>
      </c>
      <c r="H59" t="s">
        <v>88</v>
      </c>
      <c r="I59" t="s">
        <v>89</v>
      </c>
      <c r="J59">
        <v>18977</v>
      </c>
      <c r="K59">
        <v>161213</v>
      </c>
      <c r="L59">
        <v>11651</v>
      </c>
      <c r="M59">
        <v>18877</v>
      </c>
      <c r="N59">
        <v>147230</v>
      </c>
      <c r="O59">
        <v>2468</v>
      </c>
      <c r="P59">
        <v>18919</v>
      </c>
      <c r="Q59">
        <v>328142</v>
      </c>
      <c r="R59">
        <v>7</v>
      </c>
      <c r="S59">
        <v>0</v>
      </c>
      <c r="T59">
        <v>0</v>
      </c>
      <c r="U59">
        <v>0</v>
      </c>
      <c r="V59">
        <v>56773</v>
      </c>
      <c r="W59">
        <v>636585</v>
      </c>
      <c r="X59">
        <v>14126</v>
      </c>
      <c r="Y59">
        <f t="shared" si="0"/>
        <v>636585</v>
      </c>
      <c r="Z59" t="str">
        <f>IF(ISNUMBER(SEARCH("Adjustment",$C59)),"excluded",IF($H59="Behind the Meter","excluded",IF(NOT(OR($E59="Bundled",$E59="Energy")),"excluded",IF(OR($H59="Retail Power Marketer",$H59="Community Choice Aggregator",$E59="Energy"),"procurement",IF(OR($H59="Municipal",$H59="Cooperative",$H59="Federal",$H59="State",$H59="Political Subdivision"),"cost_service",IF($H59="Investor Owned",IF(AND(COUNTIF(Parameters!$A$4:$A$33,$G59)&gt;0,COUNTIF(Parameters!$B$4:$B$33,$B59)=0),"procurement","cost_service"),"unclassified"))))))</f>
        <v>cost_service</v>
      </c>
    </row>
    <row r="60" spans="1:26" x14ac:dyDescent="0.25">
      <c r="A60">
        <v>2024</v>
      </c>
      <c r="B60">
        <v>963</v>
      </c>
      <c r="C60" t="s">
        <v>177</v>
      </c>
      <c r="D60" t="s">
        <v>84</v>
      </c>
      <c r="E60" t="s">
        <v>85</v>
      </c>
      <c r="F60" t="s">
        <v>86</v>
      </c>
      <c r="G60" t="s">
        <v>52</v>
      </c>
      <c r="H60" t="s">
        <v>109</v>
      </c>
      <c r="I60" t="s">
        <v>92</v>
      </c>
      <c r="J60">
        <v>840014.9</v>
      </c>
      <c r="K60">
        <v>3587649</v>
      </c>
      <c r="L60">
        <v>472020</v>
      </c>
      <c r="M60">
        <v>277984.3</v>
      </c>
      <c r="N60">
        <v>1419625</v>
      </c>
      <c r="O60">
        <v>51306</v>
      </c>
      <c r="P60">
        <v>11195.4</v>
      </c>
      <c r="Q60">
        <v>81298</v>
      </c>
      <c r="R60">
        <v>312</v>
      </c>
      <c r="S60">
        <v>0</v>
      </c>
      <c r="T60">
        <v>0</v>
      </c>
      <c r="U60">
        <v>0</v>
      </c>
      <c r="V60">
        <v>1129194.6000000001</v>
      </c>
      <c r="W60">
        <v>5088572</v>
      </c>
      <c r="X60">
        <v>523638</v>
      </c>
      <c r="Y60">
        <f t="shared" si="0"/>
        <v>5088572</v>
      </c>
      <c r="Z60" t="str">
        <f>IF(ISNUMBER(SEARCH("Adjustment",$C60)),"excluded",IF($H60="Behind the Meter","excluded",IF(NOT(OR($E60="Bundled",$E60="Energy")),"excluded",IF(OR($H60="Retail Power Marketer",$H60="Community Choice Aggregator",$E60="Energy"),"procurement",IF(OR($H60="Municipal",$H60="Cooperative",$H60="Federal",$H60="State",$H60="Political Subdivision"),"cost_service",IF($H60="Investor Owned",IF(AND(COUNTIF(Parameters!$A$4:$A$33,$G60)&gt;0,COUNTIF(Parameters!$B$4:$B$33,$B60)=0),"procurement","cost_service"),"unclassified"))))))</f>
        <v>procurement</v>
      </c>
    </row>
    <row r="61" spans="1:26" x14ac:dyDescent="0.25">
      <c r="A61">
        <v>2024</v>
      </c>
      <c r="B61">
        <v>963</v>
      </c>
      <c r="C61" t="s">
        <v>177</v>
      </c>
      <c r="D61" t="s">
        <v>167</v>
      </c>
      <c r="E61" t="s">
        <v>168</v>
      </c>
      <c r="F61" t="s">
        <v>86</v>
      </c>
      <c r="G61" t="s">
        <v>52</v>
      </c>
      <c r="H61" t="s">
        <v>109</v>
      </c>
      <c r="I61" t="s">
        <v>92</v>
      </c>
      <c r="J61">
        <v>27976.6</v>
      </c>
      <c r="K61">
        <v>257552</v>
      </c>
      <c r="L61">
        <v>34468</v>
      </c>
      <c r="M61">
        <v>164954.9</v>
      </c>
      <c r="N61">
        <v>2840417</v>
      </c>
      <c r="O61">
        <v>14444</v>
      </c>
      <c r="P61">
        <v>21205.200000000001</v>
      </c>
      <c r="Q61">
        <v>477408</v>
      </c>
      <c r="R61">
        <v>225</v>
      </c>
      <c r="S61">
        <v>0</v>
      </c>
      <c r="T61">
        <v>0</v>
      </c>
      <c r="U61">
        <v>0</v>
      </c>
      <c r="V61">
        <v>214136.7</v>
      </c>
      <c r="W61">
        <v>3575377</v>
      </c>
      <c r="X61">
        <v>49137</v>
      </c>
      <c r="Y61">
        <f t="shared" si="0"/>
        <v>3575377</v>
      </c>
      <c r="Z61" t="str">
        <f>IF(ISNUMBER(SEARCH("Adjustment",$C61)),"excluded",IF($H61="Behind the Meter","excluded",IF(NOT(OR($E61="Bundled",$E61="Energy")),"excluded",IF(OR($H61="Retail Power Marketer",$H61="Community Choice Aggregator",$E61="Energy"),"procurement",IF(OR($H61="Municipal",$H61="Cooperative",$H61="Federal",$H61="State",$H61="Political Subdivision"),"cost_service",IF($H61="Investor Owned",IF(AND(COUNTIF(Parameters!$A$4:$A$33,$G61)&gt;0,COUNTIF(Parameters!$B$4:$B$33,$B61)=0),"procurement","cost_service"),"unclassified"))))))</f>
        <v>excluded</v>
      </c>
    </row>
    <row r="62" spans="1:26" x14ac:dyDescent="0.25">
      <c r="A62">
        <v>2024</v>
      </c>
      <c r="B62">
        <v>970</v>
      </c>
      <c r="C62" t="s">
        <v>178</v>
      </c>
      <c r="D62" t="s">
        <v>99</v>
      </c>
      <c r="E62" t="s">
        <v>100</v>
      </c>
      <c r="F62" t="s">
        <v>86</v>
      </c>
      <c r="G62" t="s">
        <v>46</v>
      </c>
      <c r="H62" t="s">
        <v>101</v>
      </c>
      <c r="I62" t="s">
        <v>96</v>
      </c>
      <c r="J62">
        <v>137052.5</v>
      </c>
      <c r="K62">
        <v>1575796</v>
      </c>
      <c r="L62">
        <v>163064</v>
      </c>
      <c r="M62">
        <v>235940.1</v>
      </c>
      <c r="N62">
        <v>3187220</v>
      </c>
      <c r="O62">
        <v>2845</v>
      </c>
      <c r="P62">
        <v>1186.5999999999999</v>
      </c>
      <c r="Q62">
        <v>16090</v>
      </c>
      <c r="R62">
        <v>105</v>
      </c>
      <c r="S62">
        <v>0</v>
      </c>
      <c r="T62">
        <v>0</v>
      </c>
      <c r="U62">
        <v>0</v>
      </c>
      <c r="V62">
        <v>374179.2</v>
      </c>
      <c r="W62">
        <v>4779106</v>
      </c>
      <c r="X62">
        <v>166014</v>
      </c>
      <c r="Y62">
        <f t="shared" si="0"/>
        <v>4779106</v>
      </c>
      <c r="Z62" t="str">
        <f>IF(ISNUMBER(SEARCH("Adjustment",$C62)),"excluded",IF($H62="Behind the Meter","excluded",IF(NOT(OR($E62="Bundled",$E62="Energy")),"excluded",IF(OR($H62="Retail Power Marketer",$H62="Community Choice Aggregator",$E62="Energy"),"procurement",IF(OR($H62="Municipal",$H62="Cooperative",$H62="Federal",$H62="State",$H62="Political Subdivision"),"cost_service",IF($H62="Investor Owned",IF(AND(COUNTIF(Parameters!$A$4:$A$33,$G62)&gt;0,COUNTIF(Parameters!$B$4:$B$33,$B62)=0),"procurement","cost_service"),"unclassified"))))))</f>
        <v>procurement</v>
      </c>
    </row>
    <row r="63" spans="1:26" x14ac:dyDescent="0.25">
      <c r="A63">
        <v>2024</v>
      </c>
      <c r="B63">
        <v>994</v>
      </c>
      <c r="C63" t="s">
        <v>179</v>
      </c>
      <c r="D63" t="s">
        <v>84</v>
      </c>
      <c r="E63" t="s">
        <v>85</v>
      </c>
      <c r="F63" t="s">
        <v>86</v>
      </c>
      <c r="G63" t="s">
        <v>130</v>
      </c>
      <c r="H63" t="s">
        <v>88</v>
      </c>
      <c r="I63" t="s">
        <v>92</v>
      </c>
      <c r="J63">
        <v>5464.4</v>
      </c>
      <c r="K63">
        <v>64148</v>
      </c>
      <c r="L63">
        <v>6813</v>
      </c>
      <c r="M63">
        <v>2367</v>
      </c>
      <c r="N63">
        <v>28735</v>
      </c>
      <c r="O63">
        <v>1008</v>
      </c>
      <c r="P63">
        <v>44960</v>
      </c>
      <c r="Q63">
        <v>256272</v>
      </c>
      <c r="R63">
        <v>119</v>
      </c>
      <c r="S63" t="s">
        <v>97</v>
      </c>
      <c r="T63" t="s">
        <v>97</v>
      </c>
      <c r="U63" t="s">
        <v>97</v>
      </c>
      <c r="V63">
        <v>52791.4</v>
      </c>
      <c r="W63">
        <v>349155</v>
      </c>
      <c r="X63">
        <v>7940</v>
      </c>
      <c r="Y63">
        <f t="shared" si="0"/>
        <v>349155</v>
      </c>
      <c r="Z63" t="str">
        <f>IF(ISNUMBER(SEARCH("Adjustment",$C63)),"excluded",IF($H63="Behind the Meter","excluded",IF(NOT(OR($E63="Bundled",$E63="Energy")),"excluded",IF(OR($H63="Retail Power Marketer",$H63="Community Choice Aggregator",$E63="Energy"),"procurement",IF(OR($H63="Municipal",$H63="Cooperative",$H63="Federal",$H63="State",$H63="Political Subdivision"),"cost_service",IF($H63="Investor Owned",IF(AND(COUNTIF(Parameters!$A$4:$A$33,$G63)&gt;0,COUNTIF(Parameters!$B$4:$B$33,$B63)=0),"procurement","cost_service"),"unclassified"))))))</f>
        <v>cost_service</v>
      </c>
    </row>
    <row r="64" spans="1:26" x14ac:dyDescent="0.25">
      <c r="A64">
        <v>2024</v>
      </c>
      <c r="B64">
        <v>1009</v>
      </c>
      <c r="C64" t="s">
        <v>180</v>
      </c>
      <c r="D64" t="s">
        <v>84</v>
      </c>
      <c r="E64" t="s">
        <v>85</v>
      </c>
      <c r="F64" t="s">
        <v>86</v>
      </c>
      <c r="G64" t="s">
        <v>104</v>
      </c>
      <c r="H64" t="s">
        <v>88</v>
      </c>
      <c r="I64" t="s">
        <v>96</v>
      </c>
      <c r="J64">
        <v>11901</v>
      </c>
      <c r="K64">
        <v>77564</v>
      </c>
      <c r="L64">
        <v>10795</v>
      </c>
      <c r="M64">
        <v>16109</v>
      </c>
      <c r="N64">
        <v>131027</v>
      </c>
      <c r="O64">
        <v>1214</v>
      </c>
      <c r="P64">
        <v>11605</v>
      </c>
      <c r="Q64">
        <v>123984</v>
      </c>
      <c r="R64">
        <v>1</v>
      </c>
      <c r="S64" t="s">
        <v>97</v>
      </c>
      <c r="T64" t="s">
        <v>97</v>
      </c>
      <c r="U64" t="s">
        <v>97</v>
      </c>
      <c r="V64">
        <v>39615</v>
      </c>
      <c r="W64">
        <v>332575</v>
      </c>
      <c r="X64">
        <v>12010</v>
      </c>
      <c r="Y64">
        <f t="shared" si="0"/>
        <v>332575</v>
      </c>
      <c r="Z64" t="str">
        <f>IF(ISNUMBER(SEARCH("Adjustment",$C64)),"excluded",IF($H64="Behind the Meter","excluded",IF(NOT(OR($E64="Bundled",$E64="Energy")),"excluded",IF(OR($H64="Retail Power Marketer",$H64="Community Choice Aggregator",$E64="Energy"),"procurement",IF(OR($H64="Municipal",$H64="Cooperative",$H64="Federal",$H64="State",$H64="Political Subdivision"),"cost_service",IF($H64="Investor Owned",IF(AND(COUNTIF(Parameters!$A$4:$A$33,$G64)&gt;0,COUNTIF(Parameters!$B$4:$B$33,$B64)=0),"procurement","cost_service"),"unclassified"))))))</f>
        <v>cost_service</v>
      </c>
    </row>
    <row r="65" spans="1:26" x14ac:dyDescent="0.25">
      <c r="A65">
        <v>2024</v>
      </c>
      <c r="B65">
        <v>1015</v>
      </c>
      <c r="C65" t="s">
        <v>181</v>
      </c>
      <c r="D65" t="s">
        <v>84</v>
      </c>
      <c r="E65" t="s">
        <v>85</v>
      </c>
      <c r="F65" t="s">
        <v>86</v>
      </c>
      <c r="G65" t="s">
        <v>57</v>
      </c>
      <c r="H65" t="s">
        <v>88</v>
      </c>
      <c r="I65" t="s">
        <v>151</v>
      </c>
      <c r="J65">
        <v>638262</v>
      </c>
      <c r="K65">
        <v>5074608</v>
      </c>
      <c r="L65">
        <v>507291</v>
      </c>
      <c r="M65">
        <v>617209.80000000005</v>
      </c>
      <c r="N65">
        <v>5909072</v>
      </c>
      <c r="O65">
        <v>54586</v>
      </c>
      <c r="P65">
        <v>219668.6</v>
      </c>
      <c r="Q65">
        <v>3216894</v>
      </c>
      <c r="R65">
        <v>127</v>
      </c>
      <c r="S65">
        <v>0</v>
      </c>
      <c r="T65">
        <v>0</v>
      </c>
      <c r="U65">
        <v>0</v>
      </c>
      <c r="V65">
        <v>1475140.4</v>
      </c>
      <c r="W65">
        <v>14200574</v>
      </c>
      <c r="X65">
        <v>562004</v>
      </c>
      <c r="Y65">
        <f t="shared" si="0"/>
        <v>14200574</v>
      </c>
      <c r="Z65" t="str">
        <f>IF(ISNUMBER(SEARCH("Adjustment",$C65)),"excluded",IF($H65="Behind the Meter","excluded",IF(NOT(OR($E65="Bundled",$E65="Energy")),"excluded",IF(OR($H65="Retail Power Marketer",$H65="Community Choice Aggregator",$E65="Energy"),"procurement",IF(OR($H65="Municipal",$H65="Cooperative",$H65="Federal",$H65="State",$H65="Political Subdivision"),"cost_service",IF($H65="Investor Owned",IF(AND(COUNTIF(Parameters!$A$4:$A$33,$G65)&gt;0,COUNTIF(Parameters!$B$4:$B$33,$B65)=0),"procurement","cost_service"),"unclassified"))))))</f>
        <v>cost_service</v>
      </c>
    </row>
    <row r="66" spans="1:26" x14ac:dyDescent="0.25">
      <c r="A66">
        <v>2024</v>
      </c>
      <c r="B66">
        <v>1050</v>
      </c>
      <c r="C66" t="s">
        <v>182</v>
      </c>
      <c r="D66" t="s">
        <v>84</v>
      </c>
      <c r="E66" t="s">
        <v>85</v>
      </c>
      <c r="F66" t="s">
        <v>86</v>
      </c>
      <c r="G66" t="s">
        <v>115</v>
      </c>
      <c r="H66" t="s">
        <v>88</v>
      </c>
      <c r="I66" t="s">
        <v>116</v>
      </c>
      <c r="J66">
        <v>17011</v>
      </c>
      <c r="K66">
        <v>89136</v>
      </c>
      <c r="L66">
        <v>15599</v>
      </c>
      <c r="M66">
        <v>15699</v>
      </c>
      <c r="N66">
        <v>83492</v>
      </c>
      <c r="O66">
        <v>1957</v>
      </c>
      <c r="P66">
        <v>10455</v>
      </c>
      <c r="Q66">
        <v>61391</v>
      </c>
      <c r="R66">
        <v>27</v>
      </c>
      <c r="S66" t="s">
        <v>97</v>
      </c>
      <c r="T66" t="s">
        <v>97</v>
      </c>
      <c r="U66" t="s">
        <v>97</v>
      </c>
      <c r="V66">
        <v>43165</v>
      </c>
      <c r="W66">
        <v>234019</v>
      </c>
      <c r="X66">
        <v>17583</v>
      </c>
      <c r="Y66">
        <f t="shared" si="0"/>
        <v>234019</v>
      </c>
      <c r="Z66" t="str">
        <f>IF(ISNUMBER(SEARCH("Adjustment",$C66)),"excluded",IF($H66="Behind the Meter","excluded",IF(NOT(OR($E66="Bundled",$E66="Energy")),"excluded",IF(OR($H66="Retail Power Marketer",$H66="Community Choice Aggregator",$E66="Energy"),"procurement",IF(OR($H66="Municipal",$H66="Cooperative",$H66="Federal",$H66="State",$H66="Political Subdivision"),"cost_service",IF($H66="Investor Owned",IF(AND(COUNTIF(Parameters!$A$4:$A$33,$G66)&gt;0,COUNTIF(Parameters!$B$4:$B$33,$B66)=0),"procurement","cost_service"),"unclassified"))))))</f>
        <v>cost_service</v>
      </c>
    </row>
    <row r="67" spans="1:26" x14ac:dyDescent="0.25">
      <c r="A67">
        <v>2024</v>
      </c>
      <c r="B67">
        <v>1149</v>
      </c>
      <c r="C67" t="s">
        <v>183</v>
      </c>
      <c r="D67" t="s">
        <v>84</v>
      </c>
      <c r="E67" t="s">
        <v>85</v>
      </c>
      <c r="F67" t="s">
        <v>86</v>
      </c>
      <c r="G67" t="s">
        <v>112</v>
      </c>
      <c r="H67" t="s">
        <v>91</v>
      </c>
      <c r="I67" t="s">
        <v>113</v>
      </c>
      <c r="J67">
        <v>155483</v>
      </c>
      <c r="K67">
        <v>1121292</v>
      </c>
      <c r="L67">
        <v>83005</v>
      </c>
      <c r="M67">
        <v>59304</v>
      </c>
      <c r="N67">
        <v>537247</v>
      </c>
      <c r="O67">
        <v>8363</v>
      </c>
      <c r="P67" t="s">
        <v>97</v>
      </c>
      <c r="Q67" t="s">
        <v>97</v>
      </c>
      <c r="R67" t="s">
        <v>97</v>
      </c>
      <c r="S67" t="s">
        <v>97</v>
      </c>
      <c r="T67" t="s">
        <v>97</v>
      </c>
      <c r="U67" t="s">
        <v>97</v>
      </c>
      <c r="V67">
        <v>214787</v>
      </c>
      <c r="W67">
        <v>1658539</v>
      </c>
      <c r="X67">
        <v>91368</v>
      </c>
      <c r="Y67">
        <f t="shared" si="0"/>
        <v>1658539</v>
      </c>
      <c r="Z67" t="str">
        <f>IF(ISNUMBER(SEARCH("Adjustment",$C67)),"excluded",IF($H67="Behind the Meter","excluded",IF(NOT(OR($E67="Bundled",$E67="Energy")),"excluded",IF(OR($H67="Retail Power Marketer",$H67="Community Choice Aggregator",$E67="Energy"),"procurement",IF(OR($H67="Municipal",$H67="Cooperative",$H67="Federal",$H67="State",$H67="Political Subdivision"),"cost_service",IF($H67="Investor Owned",IF(AND(COUNTIF(Parameters!$A$4:$A$33,$G67)&gt;0,COUNTIF(Parameters!$B$4:$B$33,$B67)=0),"procurement","cost_service"),"unclassified"))))))</f>
        <v>cost_service</v>
      </c>
    </row>
    <row r="68" spans="1:26" x14ac:dyDescent="0.25">
      <c r="A68">
        <v>2024</v>
      </c>
      <c r="B68">
        <v>1167</v>
      </c>
      <c r="C68" t="s">
        <v>184</v>
      </c>
      <c r="D68" t="s">
        <v>84</v>
      </c>
      <c r="E68" t="s">
        <v>85</v>
      </c>
      <c r="F68" t="s">
        <v>86</v>
      </c>
      <c r="G68" t="s">
        <v>49</v>
      </c>
      <c r="H68" t="s">
        <v>109</v>
      </c>
      <c r="I68" t="s">
        <v>92</v>
      </c>
      <c r="J68">
        <v>1915002.4</v>
      </c>
      <c r="K68">
        <v>10693909</v>
      </c>
      <c r="L68">
        <v>1025745</v>
      </c>
      <c r="M68">
        <v>456344.2</v>
      </c>
      <c r="N68">
        <v>2822301</v>
      </c>
      <c r="O68">
        <v>73391</v>
      </c>
      <c r="P68">
        <v>19509.2</v>
      </c>
      <c r="Q68">
        <v>131159</v>
      </c>
      <c r="R68">
        <v>3681</v>
      </c>
      <c r="S68">
        <v>0</v>
      </c>
      <c r="T68">
        <v>0</v>
      </c>
      <c r="U68">
        <v>0</v>
      </c>
      <c r="V68">
        <v>2390855.7999999998</v>
      </c>
      <c r="W68">
        <v>13647369</v>
      </c>
      <c r="X68">
        <v>1102817</v>
      </c>
      <c r="Y68">
        <f t="shared" ref="Y68:Y131" si="1">IF(ISNUMBER($W68),$W68,0)</f>
        <v>13647369</v>
      </c>
      <c r="Z68" t="str">
        <f>IF(ISNUMBER(SEARCH("Adjustment",$C68)),"excluded",IF($H68="Behind the Meter","excluded",IF(NOT(OR($E68="Bundled",$E68="Energy")),"excluded",IF(OR($H68="Retail Power Marketer",$H68="Community Choice Aggregator",$E68="Energy"),"procurement",IF(OR($H68="Municipal",$H68="Cooperative",$H68="Federal",$H68="State",$H68="Political Subdivision"),"cost_service",IF($H68="Investor Owned",IF(AND(COUNTIF(Parameters!$A$4:$A$33,$G68)&gt;0,COUNTIF(Parameters!$B$4:$B$33,$B68)=0),"procurement","cost_service"),"unclassified"))))))</f>
        <v>procurement</v>
      </c>
    </row>
    <row r="69" spans="1:26" x14ac:dyDescent="0.25">
      <c r="A69">
        <v>2024</v>
      </c>
      <c r="B69">
        <v>1167</v>
      </c>
      <c r="C69" t="s">
        <v>184</v>
      </c>
      <c r="D69" t="s">
        <v>167</v>
      </c>
      <c r="E69" t="s">
        <v>168</v>
      </c>
      <c r="F69" t="s">
        <v>86</v>
      </c>
      <c r="G69" t="s">
        <v>49</v>
      </c>
      <c r="H69" t="s">
        <v>109</v>
      </c>
      <c r="I69" t="s">
        <v>92</v>
      </c>
      <c r="J69">
        <v>129043.4</v>
      </c>
      <c r="K69">
        <v>1987967</v>
      </c>
      <c r="L69">
        <v>188355</v>
      </c>
      <c r="M69">
        <v>434963.9</v>
      </c>
      <c r="N69">
        <v>11760780</v>
      </c>
      <c r="O69">
        <v>49081</v>
      </c>
      <c r="P69">
        <v>32655.7</v>
      </c>
      <c r="Q69">
        <v>1204306</v>
      </c>
      <c r="R69">
        <v>2501</v>
      </c>
      <c r="S69">
        <v>1408.2</v>
      </c>
      <c r="T69">
        <v>165677</v>
      </c>
      <c r="U69">
        <v>3</v>
      </c>
      <c r="V69">
        <v>598071.19999999995</v>
      </c>
      <c r="W69">
        <v>15118730</v>
      </c>
      <c r="X69">
        <v>239940</v>
      </c>
      <c r="Y69">
        <f t="shared" si="1"/>
        <v>15118730</v>
      </c>
      <c r="Z69" t="str">
        <f>IF(ISNUMBER(SEARCH("Adjustment",$C69)),"excluded",IF($H69="Behind the Meter","excluded",IF(NOT(OR($E69="Bundled",$E69="Energy")),"excluded",IF(OR($H69="Retail Power Marketer",$H69="Community Choice Aggregator",$E69="Energy"),"procurement",IF(OR($H69="Municipal",$H69="Cooperative",$H69="Federal",$H69="State",$H69="Political Subdivision"),"cost_service",IF($H69="Investor Owned",IF(AND(COUNTIF(Parameters!$A$4:$A$33,$G69)&gt;0,COUNTIF(Parameters!$B$4:$B$33,$B69)=0),"procurement","cost_service"),"unclassified"))))))</f>
        <v>excluded</v>
      </c>
    </row>
    <row r="70" spans="1:26" x14ac:dyDescent="0.25">
      <c r="A70">
        <v>2024</v>
      </c>
      <c r="B70">
        <v>1169</v>
      </c>
      <c r="C70" t="s">
        <v>185</v>
      </c>
      <c r="D70" t="s">
        <v>84</v>
      </c>
      <c r="E70" t="s">
        <v>85</v>
      </c>
      <c r="F70" t="s">
        <v>86</v>
      </c>
      <c r="G70" t="s">
        <v>57</v>
      </c>
      <c r="H70" t="s">
        <v>91</v>
      </c>
      <c r="I70" t="s">
        <v>135</v>
      </c>
      <c r="J70">
        <v>2216</v>
      </c>
      <c r="K70">
        <v>25258</v>
      </c>
      <c r="L70">
        <v>3348</v>
      </c>
      <c r="M70">
        <v>5019</v>
      </c>
      <c r="N70">
        <v>68865</v>
      </c>
      <c r="O70">
        <v>860</v>
      </c>
      <c r="P70">
        <v>19119</v>
      </c>
      <c r="Q70">
        <v>248195</v>
      </c>
      <c r="R70">
        <v>4923</v>
      </c>
      <c r="S70" t="s">
        <v>97</v>
      </c>
      <c r="T70" t="s">
        <v>97</v>
      </c>
      <c r="U70" t="s">
        <v>97</v>
      </c>
      <c r="V70">
        <v>26354</v>
      </c>
      <c r="W70">
        <v>342318</v>
      </c>
      <c r="X70">
        <v>9131</v>
      </c>
      <c r="Y70">
        <f t="shared" si="1"/>
        <v>342318</v>
      </c>
      <c r="Z70" t="str">
        <f>IF(ISNUMBER(SEARCH("Adjustment",$C70)),"excluded",IF($H70="Behind the Meter","excluded",IF(NOT(OR($E70="Bundled",$E70="Energy")),"excluded",IF(OR($H70="Retail Power Marketer",$H70="Community Choice Aggregator",$E70="Energy"),"procurement",IF(OR($H70="Municipal",$H70="Cooperative",$H70="Federal",$H70="State",$H70="Political Subdivision"),"cost_service",IF($H70="Investor Owned",IF(AND(COUNTIF(Parameters!$A$4:$A$33,$G70)&gt;0,COUNTIF(Parameters!$B$4:$B$33,$B70)=0),"procurement","cost_service"),"unclassified"))))))</f>
        <v>cost_service</v>
      </c>
    </row>
    <row r="71" spans="1:26" x14ac:dyDescent="0.25">
      <c r="A71">
        <v>2024</v>
      </c>
      <c r="B71">
        <v>1175</v>
      </c>
      <c r="C71" t="s">
        <v>186</v>
      </c>
      <c r="D71" t="s">
        <v>84</v>
      </c>
      <c r="E71" t="s">
        <v>85</v>
      </c>
      <c r="F71" t="s">
        <v>86</v>
      </c>
      <c r="G71" t="s">
        <v>57</v>
      </c>
      <c r="H71" t="s">
        <v>91</v>
      </c>
      <c r="I71" t="s">
        <v>151</v>
      </c>
      <c r="J71">
        <v>61819</v>
      </c>
      <c r="K71">
        <v>498494</v>
      </c>
      <c r="L71">
        <v>35346</v>
      </c>
      <c r="M71">
        <v>19804</v>
      </c>
      <c r="N71">
        <v>189317</v>
      </c>
      <c r="O71">
        <v>6612</v>
      </c>
      <c r="P71">
        <v>1671</v>
      </c>
      <c r="Q71">
        <v>18566</v>
      </c>
      <c r="R71">
        <v>65</v>
      </c>
      <c r="S71" t="s">
        <v>97</v>
      </c>
      <c r="T71" t="s">
        <v>97</v>
      </c>
      <c r="U71" t="s">
        <v>97</v>
      </c>
      <c r="V71">
        <v>83294</v>
      </c>
      <c r="W71">
        <v>706377</v>
      </c>
      <c r="X71">
        <v>42023</v>
      </c>
      <c r="Y71">
        <f t="shared" si="1"/>
        <v>706377</v>
      </c>
      <c r="Z71" t="str">
        <f>IF(ISNUMBER(SEARCH("Adjustment",$C71)),"excluded",IF($H71="Behind the Meter","excluded",IF(NOT(OR($E71="Bundled",$E71="Energy")),"excluded",IF(OR($H71="Retail Power Marketer",$H71="Community Choice Aggregator",$E71="Energy"),"procurement",IF(OR($H71="Municipal",$H71="Cooperative",$H71="Federal",$H71="State",$H71="Political Subdivision"),"cost_service",IF($H71="Investor Owned",IF(AND(COUNTIF(Parameters!$A$4:$A$33,$G71)&gt;0,COUNTIF(Parameters!$B$4:$B$33,$B71)=0),"procurement","cost_service"),"unclassified"))))))</f>
        <v>cost_service</v>
      </c>
    </row>
    <row r="72" spans="1:26" x14ac:dyDescent="0.25">
      <c r="A72">
        <v>2024</v>
      </c>
      <c r="B72">
        <v>1179</v>
      </c>
      <c r="C72" t="s">
        <v>187</v>
      </c>
      <c r="D72" t="s">
        <v>84</v>
      </c>
      <c r="E72" t="s">
        <v>85</v>
      </c>
      <c r="F72" t="s">
        <v>86</v>
      </c>
      <c r="G72" t="s">
        <v>50</v>
      </c>
      <c r="H72" t="s">
        <v>109</v>
      </c>
      <c r="I72" t="s">
        <v>188</v>
      </c>
      <c r="J72">
        <v>46425</v>
      </c>
      <c r="K72">
        <v>175060</v>
      </c>
      <c r="L72">
        <v>28935</v>
      </c>
      <c r="M72">
        <v>32916.9</v>
      </c>
      <c r="N72">
        <v>129769</v>
      </c>
      <c r="O72">
        <v>7311</v>
      </c>
      <c r="P72">
        <v>858.2</v>
      </c>
      <c r="Q72">
        <v>3834</v>
      </c>
      <c r="R72">
        <v>11</v>
      </c>
      <c r="S72">
        <v>0</v>
      </c>
      <c r="T72">
        <v>0</v>
      </c>
      <c r="U72">
        <v>0</v>
      </c>
      <c r="V72">
        <v>80200.100000000006</v>
      </c>
      <c r="W72">
        <v>308663</v>
      </c>
      <c r="X72">
        <v>36257</v>
      </c>
      <c r="Y72">
        <f t="shared" si="1"/>
        <v>308663</v>
      </c>
      <c r="Z72" t="str">
        <f>IF(ISNUMBER(SEARCH("Adjustment",$C72)),"excluded",IF($H72="Behind the Meter","excluded",IF(NOT(OR($E72="Bundled",$E72="Energy")),"excluded",IF(OR($H72="Retail Power Marketer",$H72="Community Choice Aggregator",$E72="Energy"),"procurement",IF(OR($H72="Municipal",$H72="Cooperative",$H72="Federal",$H72="State",$H72="Political Subdivision"),"cost_service",IF($H72="Investor Owned",IF(AND(COUNTIF(Parameters!$A$4:$A$33,$G72)&gt;0,COUNTIF(Parameters!$B$4:$B$33,$B72)=0),"procurement","cost_service"),"unclassified"))))))</f>
        <v>procurement</v>
      </c>
    </row>
    <row r="73" spans="1:26" x14ac:dyDescent="0.25">
      <c r="A73">
        <v>2024</v>
      </c>
      <c r="B73">
        <v>1179</v>
      </c>
      <c r="C73" t="s">
        <v>187</v>
      </c>
      <c r="D73" t="s">
        <v>84</v>
      </c>
      <c r="E73" t="s">
        <v>85</v>
      </c>
      <c r="F73" t="s">
        <v>86</v>
      </c>
      <c r="G73" t="s">
        <v>50</v>
      </c>
      <c r="H73" t="s">
        <v>109</v>
      </c>
      <c r="I73" t="s">
        <v>189</v>
      </c>
      <c r="J73">
        <v>175796.6</v>
      </c>
      <c r="K73">
        <v>616268</v>
      </c>
      <c r="L73">
        <v>101697</v>
      </c>
      <c r="M73">
        <v>78367.5</v>
      </c>
      <c r="N73">
        <v>426820</v>
      </c>
      <c r="O73">
        <v>16275</v>
      </c>
      <c r="P73">
        <v>5201.2</v>
      </c>
      <c r="Q73">
        <v>34312</v>
      </c>
      <c r="R73">
        <v>26</v>
      </c>
      <c r="S73">
        <v>0</v>
      </c>
      <c r="T73">
        <v>0</v>
      </c>
      <c r="U73">
        <v>0</v>
      </c>
      <c r="V73">
        <v>259365.3</v>
      </c>
      <c r="W73">
        <v>1077400</v>
      </c>
      <c r="X73">
        <v>117998</v>
      </c>
      <c r="Y73">
        <f t="shared" si="1"/>
        <v>1077400</v>
      </c>
      <c r="Z73" t="str">
        <f>IF(ISNUMBER(SEARCH("Adjustment",$C73)),"excluded",IF($H73="Behind the Meter","excluded",IF(NOT(OR($E73="Bundled",$E73="Energy")),"excluded",IF(OR($H73="Retail Power Marketer",$H73="Community Choice Aggregator",$E73="Energy"),"procurement",IF(OR($H73="Municipal",$H73="Cooperative",$H73="Federal",$H73="State",$H73="Political Subdivision"),"cost_service",IF($H73="Investor Owned",IF(AND(COUNTIF(Parameters!$A$4:$A$33,$G73)&gt;0,COUNTIF(Parameters!$B$4:$B$33,$B73)=0),"procurement","cost_service"),"unclassified"))))))</f>
        <v>procurement</v>
      </c>
    </row>
    <row r="74" spans="1:26" x14ac:dyDescent="0.25">
      <c r="A74">
        <v>2024</v>
      </c>
      <c r="B74">
        <v>1179</v>
      </c>
      <c r="C74" t="s">
        <v>187</v>
      </c>
      <c r="D74" t="s">
        <v>167</v>
      </c>
      <c r="E74" t="s">
        <v>168</v>
      </c>
      <c r="F74" t="s">
        <v>86</v>
      </c>
      <c r="G74" t="s">
        <v>50</v>
      </c>
      <c r="H74" t="s">
        <v>109</v>
      </c>
      <c r="I74" t="s">
        <v>188</v>
      </c>
      <c r="J74">
        <v>27.3</v>
      </c>
      <c r="K74">
        <v>193</v>
      </c>
      <c r="L74">
        <v>29</v>
      </c>
      <c r="M74">
        <v>3824.6</v>
      </c>
      <c r="N74">
        <v>29535</v>
      </c>
      <c r="O74">
        <v>265</v>
      </c>
      <c r="P74">
        <v>10025</v>
      </c>
      <c r="Q74">
        <v>155945</v>
      </c>
      <c r="R74">
        <v>4</v>
      </c>
      <c r="S74">
        <v>0</v>
      </c>
      <c r="T74">
        <v>0</v>
      </c>
      <c r="U74">
        <v>0</v>
      </c>
      <c r="V74">
        <v>13876.9</v>
      </c>
      <c r="W74">
        <v>185673</v>
      </c>
      <c r="X74">
        <v>298</v>
      </c>
      <c r="Y74">
        <f t="shared" si="1"/>
        <v>185673</v>
      </c>
      <c r="Z74" t="str">
        <f>IF(ISNUMBER(SEARCH("Adjustment",$C74)),"excluded",IF($H74="Behind the Meter","excluded",IF(NOT(OR($E74="Bundled",$E74="Energy")),"excluded",IF(OR($H74="Retail Power Marketer",$H74="Community Choice Aggregator",$E74="Energy"),"procurement",IF(OR($H74="Municipal",$H74="Cooperative",$H74="Federal",$H74="State",$H74="Political Subdivision"),"cost_service",IF($H74="Investor Owned",IF(AND(COUNTIF(Parameters!$A$4:$A$33,$G74)&gt;0,COUNTIF(Parameters!$B$4:$B$33,$B74)=0),"procurement","cost_service"),"unclassified"))))))</f>
        <v>excluded</v>
      </c>
    </row>
    <row r="75" spans="1:26" x14ac:dyDescent="0.25">
      <c r="A75">
        <v>2024</v>
      </c>
      <c r="B75">
        <v>1179</v>
      </c>
      <c r="C75" t="s">
        <v>187</v>
      </c>
      <c r="D75" t="s">
        <v>167</v>
      </c>
      <c r="E75" t="s">
        <v>168</v>
      </c>
      <c r="F75" t="s">
        <v>86</v>
      </c>
      <c r="G75" t="s">
        <v>50</v>
      </c>
      <c r="H75" t="s">
        <v>109</v>
      </c>
      <c r="I75" t="s">
        <v>189</v>
      </c>
      <c r="J75">
        <v>6591.3</v>
      </c>
      <c r="K75">
        <v>40594</v>
      </c>
      <c r="L75">
        <v>7245</v>
      </c>
      <c r="M75">
        <v>20217.599999999999</v>
      </c>
      <c r="N75">
        <v>144616</v>
      </c>
      <c r="O75">
        <v>3731</v>
      </c>
      <c r="P75">
        <v>14563.7</v>
      </c>
      <c r="Q75">
        <v>180541</v>
      </c>
      <c r="R75">
        <v>31</v>
      </c>
      <c r="S75">
        <v>0</v>
      </c>
      <c r="T75">
        <v>0</v>
      </c>
      <c r="U75">
        <v>0</v>
      </c>
      <c r="V75">
        <v>41372.6</v>
      </c>
      <c r="W75">
        <v>365751</v>
      </c>
      <c r="X75">
        <v>11007</v>
      </c>
      <c r="Y75">
        <f t="shared" si="1"/>
        <v>365751</v>
      </c>
      <c r="Z75" t="str">
        <f>IF(ISNUMBER(SEARCH("Adjustment",$C75)),"excluded",IF($H75="Behind the Meter","excluded",IF(NOT(OR($E75="Bundled",$E75="Energy")),"excluded",IF(OR($H75="Retail Power Marketer",$H75="Community Choice Aggregator",$E75="Energy"),"procurement",IF(OR($H75="Municipal",$H75="Cooperative",$H75="Federal",$H75="State",$H75="Political Subdivision"),"cost_service",IF($H75="Investor Owned",IF(AND(COUNTIF(Parameters!$A$4:$A$33,$G75)&gt;0,COUNTIF(Parameters!$B$4:$B$33,$B75)=0),"procurement","cost_service"),"unclassified"))))))</f>
        <v>excluded</v>
      </c>
    </row>
    <row r="76" spans="1:26" x14ac:dyDescent="0.25">
      <c r="A76">
        <v>2024</v>
      </c>
      <c r="B76">
        <v>1196</v>
      </c>
      <c r="C76" t="s">
        <v>190</v>
      </c>
      <c r="D76" t="s">
        <v>84</v>
      </c>
      <c r="E76" t="s">
        <v>85</v>
      </c>
      <c r="F76" t="s">
        <v>86</v>
      </c>
      <c r="G76" t="s">
        <v>140</v>
      </c>
      <c r="H76" t="s">
        <v>88</v>
      </c>
      <c r="I76" t="s">
        <v>96</v>
      </c>
      <c r="J76">
        <v>424.7</v>
      </c>
      <c r="K76">
        <v>2772</v>
      </c>
      <c r="L76">
        <v>555</v>
      </c>
      <c r="M76">
        <v>1951.8</v>
      </c>
      <c r="N76">
        <v>14206</v>
      </c>
      <c r="O76">
        <v>254</v>
      </c>
      <c r="P76">
        <v>0</v>
      </c>
      <c r="Q76">
        <v>0</v>
      </c>
      <c r="R76">
        <v>0</v>
      </c>
      <c r="S76">
        <v>0</v>
      </c>
      <c r="T76">
        <v>0</v>
      </c>
      <c r="U76">
        <v>0</v>
      </c>
      <c r="V76">
        <v>2376.5</v>
      </c>
      <c r="W76">
        <v>16978</v>
      </c>
      <c r="X76">
        <v>809</v>
      </c>
      <c r="Y76">
        <f t="shared" si="1"/>
        <v>16978</v>
      </c>
      <c r="Z76" t="str">
        <f>IF(ISNUMBER(SEARCH("Adjustment",$C76)),"excluded",IF($H76="Behind the Meter","excluded",IF(NOT(OR($E76="Bundled",$E76="Energy")),"excluded",IF(OR($H76="Retail Power Marketer",$H76="Community Choice Aggregator",$E76="Energy"),"procurement",IF(OR($H76="Municipal",$H76="Cooperative",$H76="Federal",$H76="State",$H76="Political Subdivision"),"cost_service",IF($H76="Investor Owned",IF(AND(COUNTIF(Parameters!$A$4:$A$33,$G76)&gt;0,COUNTIF(Parameters!$B$4:$B$33,$B76)=0),"procurement","cost_service"),"unclassified"))))))</f>
        <v>cost_service</v>
      </c>
    </row>
    <row r="77" spans="1:26" x14ac:dyDescent="0.25">
      <c r="A77">
        <v>2024</v>
      </c>
      <c r="B77">
        <v>1251</v>
      </c>
      <c r="C77" t="s">
        <v>191</v>
      </c>
      <c r="D77" t="s">
        <v>84</v>
      </c>
      <c r="E77" t="s">
        <v>85</v>
      </c>
      <c r="F77" t="s">
        <v>86</v>
      </c>
      <c r="G77" t="s">
        <v>95</v>
      </c>
      <c r="H77" t="s">
        <v>91</v>
      </c>
      <c r="I77" t="s">
        <v>96</v>
      </c>
      <c r="J77">
        <v>30025</v>
      </c>
      <c r="K77">
        <v>190990</v>
      </c>
      <c r="L77">
        <v>19266</v>
      </c>
      <c r="M77">
        <v>3103</v>
      </c>
      <c r="N77">
        <v>27675</v>
      </c>
      <c r="O77">
        <v>222</v>
      </c>
      <c r="P77">
        <v>7171</v>
      </c>
      <c r="Q77">
        <v>87706</v>
      </c>
      <c r="R77">
        <v>168</v>
      </c>
      <c r="S77" t="s">
        <v>97</v>
      </c>
      <c r="T77" t="s">
        <v>97</v>
      </c>
      <c r="U77" t="s">
        <v>97</v>
      </c>
      <c r="V77">
        <v>40299</v>
      </c>
      <c r="W77">
        <v>306371</v>
      </c>
      <c r="X77">
        <v>19656</v>
      </c>
      <c r="Y77">
        <f t="shared" si="1"/>
        <v>306371</v>
      </c>
      <c r="Z77" t="str">
        <f>IF(ISNUMBER(SEARCH("Adjustment",$C77)),"excluded",IF($H77="Behind the Meter","excluded",IF(NOT(OR($E77="Bundled",$E77="Energy")),"excluded",IF(OR($H77="Retail Power Marketer",$H77="Community Choice Aggregator",$E77="Energy"),"procurement",IF(OR($H77="Municipal",$H77="Cooperative",$H77="Federal",$H77="State",$H77="Political Subdivision"),"cost_service",IF($H77="Investor Owned",IF(AND(COUNTIF(Parameters!$A$4:$A$33,$G77)&gt;0,COUNTIF(Parameters!$B$4:$B$33,$B77)=0),"procurement","cost_service"),"unclassified"))))))</f>
        <v>cost_service</v>
      </c>
    </row>
    <row r="78" spans="1:26" x14ac:dyDescent="0.25">
      <c r="A78">
        <v>2024</v>
      </c>
      <c r="B78">
        <v>1273</v>
      </c>
      <c r="C78" t="s">
        <v>192</v>
      </c>
      <c r="D78" t="s">
        <v>84</v>
      </c>
      <c r="E78" t="s">
        <v>85</v>
      </c>
      <c r="F78" t="s">
        <v>86</v>
      </c>
      <c r="G78" t="s">
        <v>57</v>
      </c>
      <c r="H78" t="s">
        <v>91</v>
      </c>
      <c r="I78" t="s">
        <v>151</v>
      </c>
      <c r="J78">
        <v>30344.3</v>
      </c>
      <c r="K78">
        <v>188623</v>
      </c>
      <c r="L78">
        <v>11527</v>
      </c>
      <c r="M78">
        <v>9764.6</v>
      </c>
      <c r="N78">
        <v>58796</v>
      </c>
      <c r="O78">
        <v>3726</v>
      </c>
      <c r="P78" t="s">
        <v>97</v>
      </c>
      <c r="Q78" t="s">
        <v>97</v>
      </c>
      <c r="R78" t="s">
        <v>97</v>
      </c>
      <c r="S78" t="s">
        <v>97</v>
      </c>
      <c r="T78" t="s">
        <v>97</v>
      </c>
      <c r="U78" t="s">
        <v>97</v>
      </c>
      <c r="V78">
        <v>40108.9</v>
      </c>
      <c r="W78">
        <v>247419</v>
      </c>
      <c r="X78">
        <v>15253</v>
      </c>
      <c r="Y78">
        <f t="shared" si="1"/>
        <v>247419</v>
      </c>
      <c r="Z78" t="str">
        <f>IF(ISNUMBER(SEARCH("Adjustment",$C78)),"excluded",IF($H78="Behind the Meter","excluded",IF(NOT(OR($E78="Bundled",$E78="Energy")),"excluded",IF(OR($H78="Retail Power Marketer",$H78="Community Choice Aggregator",$E78="Energy"),"procurement",IF(OR($H78="Municipal",$H78="Cooperative",$H78="Federal",$H78="State",$H78="Political Subdivision"),"cost_service",IF($H78="Investor Owned",IF(AND(COUNTIF(Parameters!$A$4:$A$33,$G78)&gt;0,COUNTIF(Parameters!$B$4:$B$33,$B78)=0),"procurement","cost_service"),"unclassified"))))))</f>
        <v>cost_service</v>
      </c>
    </row>
    <row r="79" spans="1:26" x14ac:dyDescent="0.25">
      <c r="A79">
        <v>2024</v>
      </c>
      <c r="B79">
        <v>1283</v>
      </c>
      <c r="C79" t="s">
        <v>193</v>
      </c>
      <c r="D79" t="s">
        <v>84</v>
      </c>
      <c r="E79" t="s">
        <v>85</v>
      </c>
      <c r="F79" t="s">
        <v>86</v>
      </c>
      <c r="G79" t="s">
        <v>130</v>
      </c>
      <c r="H79" t="s">
        <v>91</v>
      </c>
      <c r="I79" t="s">
        <v>96</v>
      </c>
      <c r="J79">
        <v>22940.400000000001</v>
      </c>
      <c r="K79">
        <v>155960</v>
      </c>
      <c r="L79">
        <v>11427</v>
      </c>
      <c r="M79">
        <v>6318.2</v>
      </c>
      <c r="N79">
        <v>47841</v>
      </c>
      <c r="O79">
        <v>731</v>
      </c>
      <c r="P79">
        <v>21346.2</v>
      </c>
      <c r="Q79">
        <v>225890</v>
      </c>
      <c r="R79">
        <v>12</v>
      </c>
      <c r="S79">
        <v>0</v>
      </c>
      <c r="T79">
        <v>0</v>
      </c>
      <c r="U79">
        <v>0</v>
      </c>
      <c r="V79">
        <v>50604.800000000003</v>
      </c>
      <c r="W79">
        <v>429691</v>
      </c>
      <c r="X79">
        <v>12170</v>
      </c>
      <c r="Y79">
        <f t="shared" si="1"/>
        <v>429691</v>
      </c>
      <c r="Z79" t="str">
        <f>IF(ISNUMBER(SEARCH("Adjustment",$C79)),"excluded",IF($H79="Behind the Meter","excluded",IF(NOT(OR($E79="Bundled",$E79="Energy")),"excluded",IF(OR($H79="Retail Power Marketer",$H79="Community Choice Aggregator",$E79="Energy"),"procurement",IF(OR($H79="Municipal",$H79="Cooperative",$H79="Federal",$H79="State",$H79="Political Subdivision"),"cost_service",IF($H79="Investor Owned",IF(AND(COUNTIF(Parameters!$A$4:$A$33,$G79)&gt;0,COUNTIF(Parameters!$B$4:$B$33,$B79)=0),"procurement","cost_service"),"unclassified"))))))</f>
        <v>cost_service</v>
      </c>
    </row>
    <row r="80" spans="1:26" x14ac:dyDescent="0.25">
      <c r="A80">
        <v>2024</v>
      </c>
      <c r="B80">
        <v>1300</v>
      </c>
      <c r="C80" t="s">
        <v>194</v>
      </c>
      <c r="D80" t="s">
        <v>84</v>
      </c>
      <c r="E80" t="s">
        <v>85</v>
      </c>
      <c r="F80" t="s">
        <v>86</v>
      </c>
      <c r="G80" t="s">
        <v>195</v>
      </c>
      <c r="H80" t="s">
        <v>88</v>
      </c>
      <c r="I80" t="s">
        <v>196</v>
      </c>
      <c r="J80">
        <v>17056.5</v>
      </c>
      <c r="K80">
        <v>157492</v>
      </c>
      <c r="L80">
        <v>11613</v>
      </c>
      <c r="M80">
        <v>8518</v>
      </c>
      <c r="N80">
        <v>89833</v>
      </c>
      <c r="O80">
        <v>1530</v>
      </c>
      <c r="P80">
        <v>6484.1</v>
      </c>
      <c r="Q80">
        <v>64218</v>
      </c>
      <c r="R80">
        <v>287</v>
      </c>
      <c r="S80" t="s">
        <v>97</v>
      </c>
      <c r="T80" t="s">
        <v>97</v>
      </c>
      <c r="U80" t="s">
        <v>97</v>
      </c>
      <c r="V80">
        <v>32058.6</v>
      </c>
      <c r="W80">
        <v>311543</v>
      </c>
      <c r="X80">
        <v>13430</v>
      </c>
      <c r="Y80">
        <f t="shared" si="1"/>
        <v>311543</v>
      </c>
      <c r="Z80" t="str">
        <f>IF(ISNUMBER(SEARCH("Adjustment",$C80)),"excluded",IF($H80="Behind the Meter","excluded",IF(NOT(OR($E80="Bundled",$E80="Energy")),"excluded",IF(OR($H80="Retail Power Marketer",$H80="Community Choice Aggregator",$E80="Energy"),"procurement",IF(OR($H80="Municipal",$H80="Cooperative",$H80="Federal",$H80="State",$H80="Political Subdivision"),"cost_service",IF($H80="Investor Owned",IF(AND(COUNTIF(Parameters!$A$4:$A$33,$G80)&gt;0,COUNTIF(Parameters!$B$4:$B$33,$B80)=0),"procurement","cost_service"),"unclassified"))))))</f>
        <v>cost_service</v>
      </c>
    </row>
    <row r="81" spans="1:26" x14ac:dyDescent="0.25">
      <c r="A81">
        <v>2024</v>
      </c>
      <c r="B81">
        <v>1307</v>
      </c>
      <c r="C81" t="s">
        <v>197</v>
      </c>
      <c r="D81" t="s">
        <v>84</v>
      </c>
      <c r="E81" t="s">
        <v>85</v>
      </c>
      <c r="F81" t="s">
        <v>86</v>
      </c>
      <c r="G81" t="s">
        <v>198</v>
      </c>
      <c r="H81" t="s">
        <v>91</v>
      </c>
      <c r="I81" t="s">
        <v>135</v>
      </c>
      <c r="J81" t="s">
        <v>97</v>
      </c>
      <c r="K81" t="s">
        <v>97</v>
      </c>
      <c r="L81" t="s">
        <v>97</v>
      </c>
      <c r="M81" t="s">
        <v>97</v>
      </c>
      <c r="N81" t="s">
        <v>97</v>
      </c>
      <c r="O81" t="s">
        <v>97</v>
      </c>
      <c r="P81">
        <v>56625.2</v>
      </c>
      <c r="Q81">
        <v>1170657</v>
      </c>
      <c r="R81">
        <v>1</v>
      </c>
      <c r="S81" t="s">
        <v>97</v>
      </c>
      <c r="T81" t="s">
        <v>97</v>
      </c>
      <c r="U81" t="s">
        <v>97</v>
      </c>
      <c r="V81">
        <v>56625.2</v>
      </c>
      <c r="W81">
        <v>1170657</v>
      </c>
      <c r="X81">
        <v>1</v>
      </c>
      <c r="Y81">
        <f t="shared" si="1"/>
        <v>1170657</v>
      </c>
      <c r="Z81" t="str">
        <f>IF(ISNUMBER(SEARCH("Adjustment",$C81)),"excluded",IF($H81="Behind the Meter","excluded",IF(NOT(OR($E81="Bundled",$E81="Energy")),"excluded",IF(OR($H81="Retail Power Marketer",$H81="Community Choice Aggregator",$E81="Energy"),"procurement",IF(OR($H81="Municipal",$H81="Cooperative",$H81="Federal",$H81="State",$H81="Political Subdivision"),"cost_service",IF($H81="Investor Owned",IF(AND(COUNTIF(Parameters!$A$4:$A$33,$G81)&gt;0,COUNTIF(Parameters!$B$4:$B$33,$B81)=0),"procurement","cost_service"),"unclassified"))))))</f>
        <v>cost_service</v>
      </c>
    </row>
    <row r="82" spans="1:26" x14ac:dyDescent="0.25">
      <c r="A82">
        <v>2024</v>
      </c>
      <c r="B82">
        <v>1325</v>
      </c>
      <c r="C82" t="s">
        <v>199</v>
      </c>
      <c r="D82" t="s">
        <v>84</v>
      </c>
      <c r="E82" t="s">
        <v>85</v>
      </c>
      <c r="F82" t="s">
        <v>86</v>
      </c>
      <c r="G82" t="s">
        <v>46</v>
      </c>
      <c r="H82" t="s">
        <v>88</v>
      </c>
      <c r="I82" t="s">
        <v>92</v>
      </c>
      <c r="J82">
        <v>12330</v>
      </c>
      <c r="K82">
        <v>87561</v>
      </c>
      <c r="L82">
        <v>10020</v>
      </c>
      <c r="M82">
        <v>15642</v>
      </c>
      <c r="N82">
        <v>130597</v>
      </c>
      <c r="O82">
        <v>1368</v>
      </c>
      <c r="P82">
        <v>17254</v>
      </c>
      <c r="Q82">
        <v>184363</v>
      </c>
      <c r="R82">
        <v>10</v>
      </c>
      <c r="S82" t="s">
        <v>97</v>
      </c>
      <c r="T82" t="s">
        <v>97</v>
      </c>
      <c r="U82" t="s">
        <v>97</v>
      </c>
      <c r="V82">
        <v>45226</v>
      </c>
      <c r="W82">
        <v>402521</v>
      </c>
      <c r="X82">
        <v>11398</v>
      </c>
      <c r="Y82">
        <f t="shared" si="1"/>
        <v>402521</v>
      </c>
      <c r="Z82" t="str">
        <f>IF(ISNUMBER(SEARCH("Adjustment",$C82)),"excluded",IF($H82="Behind the Meter","excluded",IF(NOT(OR($E82="Bundled",$E82="Energy")),"excluded",IF(OR($H82="Retail Power Marketer",$H82="Community Choice Aggregator",$E82="Energy"),"procurement",IF(OR($H82="Municipal",$H82="Cooperative",$H82="Federal",$H82="State",$H82="Political Subdivision"),"cost_service",IF($H82="Investor Owned",IF(AND(COUNTIF(Parameters!$A$4:$A$33,$G82)&gt;0,COUNTIF(Parameters!$B$4:$B$33,$B82)=0),"procurement","cost_service"),"unclassified"))))))</f>
        <v>cost_service</v>
      </c>
    </row>
    <row r="83" spans="1:26" x14ac:dyDescent="0.25">
      <c r="A83">
        <v>2024</v>
      </c>
      <c r="B83">
        <v>1366</v>
      </c>
      <c r="C83" t="s">
        <v>200</v>
      </c>
      <c r="D83" t="s">
        <v>84</v>
      </c>
      <c r="E83" t="s">
        <v>85</v>
      </c>
      <c r="F83" t="s">
        <v>86</v>
      </c>
      <c r="G83" t="s">
        <v>140</v>
      </c>
      <c r="H83" t="s">
        <v>88</v>
      </c>
      <c r="I83" t="s">
        <v>96</v>
      </c>
      <c r="J83">
        <v>19124.099999999999</v>
      </c>
      <c r="K83">
        <v>124579</v>
      </c>
      <c r="L83">
        <v>18028</v>
      </c>
      <c r="M83">
        <v>24793.8</v>
      </c>
      <c r="N83">
        <v>131259</v>
      </c>
      <c r="O83">
        <v>2205</v>
      </c>
      <c r="P83">
        <v>6305.8</v>
      </c>
      <c r="Q83">
        <v>53589</v>
      </c>
      <c r="R83">
        <v>133</v>
      </c>
      <c r="S83" t="s">
        <v>97</v>
      </c>
      <c r="T83" t="s">
        <v>97</v>
      </c>
      <c r="U83" t="s">
        <v>97</v>
      </c>
      <c r="V83">
        <v>50223.7</v>
      </c>
      <c r="W83">
        <v>309427</v>
      </c>
      <c r="X83">
        <v>20366</v>
      </c>
      <c r="Y83">
        <f t="shared" si="1"/>
        <v>309427</v>
      </c>
      <c r="Z83" t="str">
        <f>IF(ISNUMBER(SEARCH("Adjustment",$C83)),"excluded",IF($H83="Behind the Meter","excluded",IF(NOT(OR($E83="Bundled",$E83="Energy")),"excluded",IF(OR($H83="Retail Power Marketer",$H83="Community Choice Aggregator",$E83="Energy"),"procurement",IF(OR($H83="Municipal",$H83="Cooperative",$H83="Federal",$H83="State",$H83="Political Subdivision"),"cost_service",IF($H83="Investor Owned",IF(AND(COUNTIF(Parameters!$A$4:$A$33,$G83)&gt;0,COUNTIF(Parameters!$B$4:$B$33,$B83)=0),"procurement","cost_service"),"unclassified"))))))</f>
        <v>cost_service</v>
      </c>
    </row>
    <row r="84" spans="1:26" x14ac:dyDescent="0.25">
      <c r="A84">
        <v>2024</v>
      </c>
      <c r="B84">
        <v>1458</v>
      </c>
      <c r="C84" t="s">
        <v>201</v>
      </c>
      <c r="D84" t="s">
        <v>84</v>
      </c>
      <c r="E84" t="s">
        <v>85</v>
      </c>
      <c r="F84" t="s">
        <v>86</v>
      </c>
      <c r="G84" t="s">
        <v>138</v>
      </c>
      <c r="H84" t="s">
        <v>91</v>
      </c>
      <c r="I84" t="s">
        <v>96</v>
      </c>
      <c r="J84">
        <v>81907</v>
      </c>
      <c r="K84">
        <v>598074</v>
      </c>
      <c r="L84">
        <v>40051</v>
      </c>
      <c r="M84">
        <v>23999</v>
      </c>
      <c r="N84">
        <v>176294</v>
      </c>
      <c r="O84">
        <v>4455</v>
      </c>
      <c r="P84">
        <v>52235</v>
      </c>
      <c r="Q84">
        <v>704923</v>
      </c>
      <c r="R84">
        <v>4</v>
      </c>
      <c r="S84" t="s">
        <v>97</v>
      </c>
      <c r="T84" t="s">
        <v>97</v>
      </c>
      <c r="U84" t="s">
        <v>97</v>
      </c>
      <c r="V84">
        <v>158141</v>
      </c>
      <c r="W84">
        <v>1479291</v>
      </c>
      <c r="X84">
        <v>44510</v>
      </c>
      <c r="Y84">
        <f t="shared" si="1"/>
        <v>1479291</v>
      </c>
      <c r="Z84" t="str">
        <f>IF(ISNUMBER(SEARCH("Adjustment",$C84)),"excluded",IF($H84="Behind the Meter","excluded",IF(NOT(OR($E84="Bundled",$E84="Energy")),"excluded",IF(OR($H84="Retail Power Marketer",$H84="Community Choice Aggregator",$E84="Energy"),"procurement",IF(OR($H84="Municipal",$H84="Cooperative",$H84="Federal",$H84="State",$H84="Political Subdivision"),"cost_service",IF($H84="Investor Owned",IF(AND(COUNTIF(Parameters!$A$4:$A$33,$G84)&gt;0,COUNTIF(Parameters!$B$4:$B$33,$B84)=0),"procurement","cost_service"),"unclassified"))))))</f>
        <v>cost_service</v>
      </c>
    </row>
    <row r="85" spans="1:26" x14ac:dyDescent="0.25">
      <c r="A85">
        <v>2024</v>
      </c>
      <c r="B85">
        <v>1529</v>
      </c>
      <c r="C85" t="s">
        <v>202</v>
      </c>
      <c r="D85" t="s">
        <v>84</v>
      </c>
      <c r="E85" t="s">
        <v>85</v>
      </c>
      <c r="F85" t="s">
        <v>86</v>
      </c>
      <c r="G85" t="s">
        <v>104</v>
      </c>
      <c r="H85" t="s">
        <v>91</v>
      </c>
      <c r="I85" t="s">
        <v>96</v>
      </c>
      <c r="J85">
        <v>39669</v>
      </c>
      <c r="K85">
        <v>275547</v>
      </c>
      <c r="L85">
        <v>20732</v>
      </c>
      <c r="M85">
        <v>12338</v>
      </c>
      <c r="N85">
        <v>147717</v>
      </c>
      <c r="O85">
        <v>1615</v>
      </c>
      <c r="P85">
        <v>19</v>
      </c>
      <c r="Q85">
        <v>70</v>
      </c>
      <c r="R85">
        <v>17</v>
      </c>
      <c r="S85" t="s">
        <v>97</v>
      </c>
      <c r="T85" t="s">
        <v>97</v>
      </c>
      <c r="U85" t="s">
        <v>97</v>
      </c>
      <c r="V85">
        <v>52026</v>
      </c>
      <c r="W85">
        <v>423334</v>
      </c>
      <c r="X85">
        <v>22364</v>
      </c>
      <c r="Y85">
        <f t="shared" si="1"/>
        <v>423334</v>
      </c>
      <c r="Z85" t="str">
        <f>IF(ISNUMBER(SEARCH("Adjustment",$C85)),"excluded",IF($H85="Behind the Meter","excluded",IF(NOT(OR($E85="Bundled",$E85="Energy")),"excluded",IF(OR($H85="Retail Power Marketer",$H85="Community Choice Aggregator",$E85="Energy"),"procurement",IF(OR($H85="Municipal",$H85="Cooperative",$H85="Federal",$H85="State",$H85="Political Subdivision"),"cost_service",IF($H85="Investor Owned",IF(AND(COUNTIF(Parameters!$A$4:$A$33,$G85)&gt;0,COUNTIF(Parameters!$B$4:$B$33,$B85)=0),"procurement","cost_service"),"unclassified"))))))</f>
        <v>cost_service</v>
      </c>
    </row>
    <row r="86" spans="1:26" x14ac:dyDescent="0.25">
      <c r="A86">
        <v>2024</v>
      </c>
      <c r="B86">
        <v>1578</v>
      </c>
      <c r="C86" t="s">
        <v>203</v>
      </c>
      <c r="D86" t="s">
        <v>84</v>
      </c>
      <c r="E86" t="s">
        <v>85</v>
      </c>
      <c r="F86" t="s">
        <v>86</v>
      </c>
      <c r="G86" t="s">
        <v>156</v>
      </c>
      <c r="H86" t="s">
        <v>88</v>
      </c>
      <c r="I86" t="s">
        <v>89</v>
      </c>
      <c r="J86">
        <v>15567</v>
      </c>
      <c r="K86">
        <v>112158</v>
      </c>
      <c r="L86">
        <v>8775</v>
      </c>
      <c r="M86">
        <v>8168</v>
      </c>
      <c r="N86">
        <v>53806</v>
      </c>
      <c r="O86">
        <v>1886</v>
      </c>
      <c r="P86">
        <v>2668</v>
      </c>
      <c r="Q86">
        <v>27312</v>
      </c>
      <c r="R86">
        <v>3</v>
      </c>
      <c r="S86">
        <v>0</v>
      </c>
      <c r="T86">
        <v>0</v>
      </c>
      <c r="U86">
        <v>0</v>
      </c>
      <c r="V86">
        <v>26403</v>
      </c>
      <c r="W86">
        <v>193276</v>
      </c>
      <c r="X86">
        <v>10664</v>
      </c>
      <c r="Y86">
        <f t="shared" si="1"/>
        <v>193276</v>
      </c>
      <c r="Z86" t="str">
        <f>IF(ISNUMBER(SEARCH("Adjustment",$C86)),"excluded",IF($H86="Behind the Meter","excluded",IF(NOT(OR($E86="Bundled",$E86="Energy")),"excluded",IF(OR($H86="Retail Power Marketer",$H86="Community Choice Aggregator",$E86="Energy"),"procurement",IF(OR($H86="Municipal",$H86="Cooperative",$H86="Federal",$H86="State",$H86="Political Subdivision"),"cost_service",IF($H86="Investor Owned",IF(AND(COUNTIF(Parameters!$A$4:$A$33,$G86)&gt;0,COUNTIF(Parameters!$B$4:$B$33,$B86)=0),"procurement","cost_service"),"unclassified"))))))</f>
        <v>cost_service</v>
      </c>
    </row>
    <row r="87" spans="1:26" x14ac:dyDescent="0.25">
      <c r="A87">
        <v>2024</v>
      </c>
      <c r="B87">
        <v>1579</v>
      </c>
      <c r="C87" t="s">
        <v>204</v>
      </c>
      <c r="D87" t="s">
        <v>84</v>
      </c>
      <c r="E87" t="s">
        <v>85</v>
      </c>
      <c r="F87" t="s">
        <v>86</v>
      </c>
      <c r="G87" t="s">
        <v>148</v>
      </c>
      <c r="H87" t="s">
        <v>205</v>
      </c>
      <c r="I87" t="s">
        <v>206</v>
      </c>
      <c r="J87">
        <v>64590.7</v>
      </c>
      <c r="K87">
        <v>732971</v>
      </c>
      <c r="L87">
        <v>50072</v>
      </c>
      <c r="M87">
        <v>39104.9</v>
      </c>
      <c r="N87">
        <v>564214</v>
      </c>
      <c r="O87">
        <v>6770</v>
      </c>
      <c r="P87">
        <v>28517.9</v>
      </c>
      <c r="Q87">
        <v>511637</v>
      </c>
      <c r="R87">
        <v>985</v>
      </c>
      <c r="S87" t="s">
        <v>97</v>
      </c>
      <c r="T87" t="s">
        <v>97</v>
      </c>
      <c r="U87" t="s">
        <v>97</v>
      </c>
      <c r="V87">
        <v>132213.5</v>
      </c>
      <c r="W87">
        <v>1808822</v>
      </c>
      <c r="X87">
        <v>57827</v>
      </c>
      <c r="Y87">
        <f t="shared" si="1"/>
        <v>1808822</v>
      </c>
      <c r="Z87" t="str">
        <f>IF(ISNUMBER(SEARCH("Adjustment",$C87)),"excluded",IF($H87="Behind the Meter","excluded",IF(NOT(OR($E87="Bundled",$E87="Energy")),"excluded",IF(OR($H87="Retail Power Marketer",$H87="Community Choice Aggregator",$E87="Energy"),"procurement",IF(OR($H87="Municipal",$H87="Cooperative",$H87="Federal",$H87="State",$H87="Political Subdivision"),"cost_service",IF($H87="Investor Owned",IF(AND(COUNTIF(Parameters!$A$4:$A$33,$G87)&gt;0,COUNTIF(Parameters!$B$4:$B$33,$B87)=0),"procurement","cost_service"),"unclassified"))))))</f>
        <v>cost_service</v>
      </c>
    </row>
    <row r="88" spans="1:26" x14ac:dyDescent="0.25">
      <c r="A88">
        <v>2024</v>
      </c>
      <c r="B88">
        <v>1581</v>
      </c>
      <c r="C88" t="s">
        <v>207</v>
      </c>
      <c r="D88" t="s">
        <v>84</v>
      </c>
      <c r="E88" t="s">
        <v>85</v>
      </c>
      <c r="F88" t="s">
        <v>86</v>
      </c>
      <c r="G88" t="s">
        <v>173</v>
      </c>
      <c r="H88" t="s">
        <v>88</v>
      </c>
      <c r="I88" t="s">
        <v>96</v>
      </c>
      <c r="J88">
        <v>16004</v>
      </c>
      <c r="K88">
        <v>155389</v>
      </c>
      <c r="L88">
        <v>12972</v>
      </c>
      <c r="M88">
        <v>8044</v>
      </c>
      <c r="N88">
        <v>89129</v>
      </c>
      <c r="O88">
        <v>1777</v>
      </c>
      <c r="P88">
        <v>2993</v>
      </c>
      <c r="Q88">
        <v>39037</v>
      </c>
      <c r="R88">
        <v>7</v>
      </c>
      <c r="S88" t="s">
        <v>97</v>
      </c>
      <c r="T88" t="s">
        <v>97</v>
      </c>
      <c r="U88" t="s">
        <v>97</v>
      </c>
      <c r="V88">
        <v>27041</v>
      </c>
      <c r="W88">
        <v>283555</v>
      </c>
      <c r="X88">
        <v>14756</v>
      </c>
      <c r="Y88">
        <f t="shared" si="1"/>
        <v>283555</v>
      </c>
      <c r="Z88" t="str">
        <f>IF(ISNUMBER(SEARCH("Adjustment",$C88)),"excluded",IF($H88="Behind the Meter","excluded",IF(NOT(OR($E88="Bundled",$E88="Energy")),"excluded",IF(OR($H88="Retail Power Marketer",$H88="Community Choice Aggregator",$E88="Energy"),"procurement",IF(OR($H88="Municipal",$H88="Cooperative",$H88="Federal",$H88="State",$H88="Political Subdivision"),"cost_service",IF($H88="Investor Owned",IF(AND(COUNTIF(Parameters!$A$4:$A$33,$G88)&gt;0,COUNTIF(Parameters!$B$4:$B$33,$B88)=0),"procurement","cost_service"),"unclassified"))))))</f>
        <v>cost_service</v>
      </c>
    </row>
    <row r="89" spans="1:26" x14ac:dyDescent="0.25">
      <c r="A89">
        <v>2024</v>
      </c>
      <c r="B89">
        <v>1582</v>
      </c>
      <c r="C89" t="s">
        <v>208</v>
      </c>
      <c r="D89" t="s">
        <v>84</v>
      </c>
      <c r="E89" t="s">
        <v>85</v>
      </c>
      <c r="F89" t="s">
        <v>86</v>
      </c>
      <c r="G89" t="s">
        <v>209</v>
      </c>
      <c r="H89" t="s">
        <v>88</v>
      </c>
      <c r="I89" t="s">
        <v>89</v>
      </c>
      <c r="J89">
        <v>3315</v>
      </c>
      <c r="K89">
        <v>23554</v>
      </c>
      <c r="L89">
        <v>1889</v>
      </c>
      <c r="M89">
        <v>4076</v>
      </c>
      <c r="N89">
        <v>30935</v>
      </c>
      <c r="O89">
        <v>680</v>
      </c>
      <c r="P89">
        <v>1263</v>
      </c>
      <c r="Q89">
        <v>15345</v>
      </c>
      <c r="R89">
        <v>1</v>
      </c>
      <c r="S89">
        <v>0</v>
      </c>
      <c r="T89">
        <v>0</v>
      </c>
      <c r="U89">
        <v>0</v>
      </c>
      <c r="V89">
        <v>8654</v>
      </c>
      <c r="W89">
        <v>69834</v>
      </c>
      <c r="X89">
        <v>2570</v>
      </c>
      <c r="Y89">
        <f t="shared" si="1"/>
        <v>69834</v>
      </c>
      <c r="Z89" t="str">
        <f>IF(ISNUMBER(SEARCH("Adjustment",$C89)),"excluded",IF($H89="Behind the Meter","excluded",IF(NOT(OR($E89="Bundled",$E89="Energy")),"excluded",IF(OR($H89="Retail Power Marketer",$H89="Community Choice Aggregator",$E89="Energy"),"procurement",IF(OR($H89="Municipal",$H89="Cooperative",$H89="Federal",$H89="State",$H89="Political Subdivision"),"cost_service",IF($H89="Investor Owned",IF(AND(COUNTIF(Parameters!$A$4:$A$33,$G89)&gt;0,COUNTIF(Parameters!$B$4:$B$33,$B89)=0),"procurement","cost_service"),"unclassified"))))))</f>
        <v>cost_service</v>
      </c>
    </row>
    <row r="90" spans="1:26" x14ac:dyDescent="0.25">
      <c r="A90">
        <v>2024</v>
      </c>
      <c r="B90">
        <v>1586</v>
      </c>
      <c r="C90" t="s">
        <v>210</v>
      </c>
      <c r="D90" t="s">
        <v>84</v>
      </c>
      <c r="E90" t="s">
        <v>85</v>
      </c>
      <c r="F90" t="s">
        <v>86</v>
      </c>
      <c r="G90" t="s">
        <v>173</v>
      </c>
      <c r="H90" t="s">
        <v>88</v>
      </c>
      <c r="I90" t="s">
        <v>135</v>
      </c>
      <c r="J90">
        <v>33472</v>
      </c>
      <c r="K90">
        <v>287396</v>
      </c>
      <c r="L90">
        <v>25103</v>
      </c>
      <c r="M90">
        <v>40564</v>
      </c>
      <c r="N90">
        <v>448206</v>
      </c>
      <c r="O90">
        <v>3921</v>
      </c>
      <c r="P90" t="s">
        <v>97</v>
      </c>
      <c r="Q90" t="s">
        <v>97</v>
      </c>
      <c r="R90" t="s">
        <v>97</v>
      </c>
      <c r="S90" t="s">
        <v>97</v>
      </c>
      <c r="T90" t="s">
        <v>97</v>
      </c>
      <c r="U90" t="s">
        <v>97</v>
      </c>
      <c r="V90">
        <v>74036</v>
      </c>
      <c r="W90">
        <v>735602</v>
      </c>
      <c r="X90">
        <v>29024</v>
      </c>
      <c r="Y90">
        <f t="shared" si="1"/>
        <v>735602</v>
      </c>
      <c r="Z90" t="str">
        <f>IF(ISNUMBER(SEARCH("Adjustment",$C90)),"excluded",IF($H90="Behind the Meter","excluded",IF(NOT(OR($E90="Bundled",$E90="Energy")),"excluded",IF(OR($H90="Retail Power Marketer",$H90="Community Choice Aggregator",$E90="Energy"),"procurement",IF(OR($H90="Municipal",$H90="Cooperative",$H90="Federal",$H90="State",$H90="Political Subdivision"),"cost_service",IF($H90="Investor Owned",IF(AND(COUNTIF(Parameters!$A$4:$A$33,$G90)&gt;0,COUNTIF(Parameters!$B$4:$B$33,$B90)=0),"procurement","cost_service"),"unclassified"))))))</f>
        <v>cost_service</v>
      </c>
    </row>
    <row r="91" spans="1:26" x14ac:dyDescent="0.25">
      <c r="A91">
        <v>2024</v>
      </c>
      <c r="B91">
        <v>1591</v>
      </c>
      <c r="C91" t="s">
        <v>211</v>
      </c>
      <c r="D91" t="s">
        <v>84</v>
      </c>
      <c r="E91" t="s">
        <v>85</v>
      </c>
      <c r="F91" t="s">
        <v>86</v>
      </c>
      <c r="G91" t="s">
        <v>57</v>
      </c>
      <c r="H91" t="s">
        <v>91</v>
      </c>
      <c r="I91" t="s">
        <v>151</v>
      </c>
      <c r="J91">
        <v>12135.4</v>
      </c>
      <c r="K91">
        <v>88439</v>
      </c>
      <c r="L91">
        <v>9449</v>
      </c>
      <c r="M91">
        <v>24729.200000000001</v>
      </c>
      <c r="N91">
        <v>255720</v>
      </c>
      <c r="O91">
        <v>3452</v>
      </c>
      <c r="P91">
        <v>1274.7</v>
      </c>
      <c r="Q91">
        <v>10799</v>
      </c>
      <c r="R91">
        <v>695</v>
      </c>
      <c r="S91" t="s">
        <v>97</v>
      </c>
      <c r="T91" t="s">
        <v>97</v>
      </c>
      <c r="U91" t="s">
        <v>97</v>
      </c>
      <c r="V91">
        <v>38139.300000000003</v>
      </c>
      <c r="W91">
        <v>354958</v>
      </c>
      <c r="X91">
        <v>13596</v>
      </c>
      <c r="Y91">
        <f t="shared" si="1"/>
        <v>354958</v>
      </c>
      <c r="Z91" t="str">
        <f>IF(ISNUMBER(SEARCH("Adjustment",$C91)),"excluded",IF($H91="Behind the Meter","excluded",IF(NOT(OR($E91="Bundled",$E91="Energy")),"excluded",IF(OR($H91="Retail Power Marketer",$H91="Community Choice Aggregator",$E91="Energy"),"procurement",IF(OR($H91="Municipal",$H91="Cooperative",$H91="Federal",$H91="State",$H91="Political Subdivision"),"cost_service",IF($H91="Investor Owned",IF(AND(COUNTIF(Parameters!$A$4:$A$33,$G91)&gt;0,COUNTIF(Parameters!$B$4:$B$33,$B91)=0),"procurement","cost_service"),"unclassified"))))))</f>
        <v>cost_service</v>
      </c>
    </row>
    <row r="92" spans="1:26" x14ac:dyDescent="0.25">
      <c r="A92">
        <v>2024</v>
      </c>
      <c r="B92">
        <v>1611</v>
      </c>
      <c r="C92" t="s">
        <v>212</v>
      </c>
      <c r="D92" t="s">
        <v>99</v>
      </c>
      <c r="E92" t="s">
        <v>100</v>
      </c>
      <c r="F92" t="s">
        <v>86</v>
      </c>
      <c r="G92" t="s">
        <v>44</v>
      </c>
      <c r="H92" t="s">
        <v>101</v>
      </c>
      <c r="I92" t="s">
        <v>92</v>
      </c>
      <c r="J92">
        <v>0</v>
      </c>
      <c r="K92">
        <v>0</v>
      </c>
      <c r="L92">
        <v>0</v>
      </c>
      <c r="M92">
        <v>0</v>
      </c>
      <c r="N92">
        <v>0</v>
      </c>
      <c r="O92">
        <v>0</v>
      </c>
      <c r="P92">
        <v>7914</v>
      </c>
      <c r="Q92">
        <v>178280</v>
      </c>
      <c r="R92">
        <v>1</v>
      </c>
      <c r="S92">
        <v>0</v>
      </c>
      <c r="T92">
        <v>0</v>
      </c>
      <c r="U92">
        <v>0</v>
      </c>
      <c r="V92">
        <v>7914</v>
      </c>
      <c r="W92">
        <v>178280</v>
      </c>
      <c r="X92">
        <v>1</v>
      </c>
      <c r="Y92">
        <f t="shared" si="1"/>
        <v>178280</v>
      </c>
      <c r="Z92" t="str">
        <f>IF(ISNUMBER(SEARCH("Adjustment",$C92)),"excluded",IF($H92="Behind the Meter","excluded",IF(NOT(OR($E92="Bundled",$E92="Energy")),"excluded",IF(OR($H92="Retail Power Marketer",$H92="Community Choice Aggregator",$E92="Energy"),"procurement",IF(OR($H92="Municipal",$H92="Cooperative",$H92="Federal",$H92="State",$H92="Political Subdivision"),"cost_service",IF($H92="Investor Owned",IF(AND(COUNTIF(Parameters!$A$4:$A$33,$G92)&gt;0,COUNTIF(Parameters!$B$4:$B$33,$B92)=0),"procurement","cost_service"),"unclassified"))))))</f>
        <v>procurement</v>
      </c>
    </row>
    <row r="93" spans="1:26" x14ac:dyDescent="0.25">
      <c r="A93">
        <v>2024</v>
      </c>
      <c r="B93">
        <v>1611</v>
      </c>
      <c r="C93" t="s">
        <v>212</v>
      </c>
      <c r="D93" t="s">
        <v>99</v>
      </c>
      <c r="E93" t="s">
        <v>100</v>
      </c>
      <c r="F93" t="s">
        <v>86</v>
      </c>
      <c r="G93" t="s">
        <v>46</v>
      </c>
      <c r="H93" t="s">
        <v>101</v>
      </c>
      <c r="I93" t="s">
        <v>96</v>
      </c>
      <c r="J93">
        <v>0</v>
      </c>
      <c r="K93">
        <v>0</v>
      </c>
      <c r="L93">
        <v>0</v>
      </c>
      <c r="M93">
        <v>0</v>
      </c>
      <c r="N93">
        <v>0</v>
      </c>
      <c r="O93">
        <v>0</v>
      </c>
      <c r="P93">
        <v>9581</v>
      </c>
      <c r="Q93">
        <v>170255</v>
      </c>
      <c r="R93">
        <v>3</v>
      </c>
      <c r="S93">
        <v>0</v>
      </c>
      <c r="T93">
        <v>0</v>
      </c>
      <c r="U93">
        <v>0</v>
      </c>
      <c r="V93">
        <v>9581</v>
      </c>
      <c r="W93">
        <v>170255</v>
      </c>
      <c r="X93">
        <v>3</v>
      </c>
      <c r="Y93">
        <f t="shared" si="1"/>
        <v>170255</v>
      </c>
      <c r="Z93" t="str">
        <f>IF(ISNUMBER(SEARCH("Adjustment",$C93)),"excluded",IF($H93="Behind the Meter","excluded",IF(NOT(OR($E93="Bundled",$E93="Energy")),"excluded",IF(OR($H93="Retail Power Marketer",$H93="Community Choice Aggregator",$E93="Energy"),"procurement",IF(OR($H93="Municipal",$H93="Cooperative",$H93="Federal",$H93="State",$H93="Political Subdivision"),"cost_service",IF($H93="Investor Owned",IF(AND(COUNTIF(Parameters!$A$4:$A$33,$G93)&gt;0,COUNTIF(Parameters!$B$4:$B$33,$B93)=0),"procurement","cost_service"),"unclassified"))))))</f>
        <v>procurement</v>
      </c>
    </row>
    <row r="94" spans="1:26" x14ac:dyDescent="0.25">
      <c r="A94">
        <v>2024</v>
      </c>
      <c r="B94">
        <v>1611</v>
      </c>
      <c r="C94" t="s">
        <v>212</v>
      </c>
      <c r="D94" t="s">
        <v>99</v>
      </c>
      <c r="E94" t="s">
        <v>100</v>
      </c>
      <c r="F94" t="s">
        <v>86</v>
      </c>
      <c r="G94" t="s">
        <v>50</v>
      </c>
      <c r="H94" t="s">
        <v>101</v>
      </c>
      <c r="I94" t="s">
        <v>189</v>
      </c>
      <c r="J94">
        <v>0</v>
      </c>
      <c r="K94">
        <v>0</v>
      </c>
      <c r="L94">
        <v>0</v>
      </c>
      <c r="M94">
        <v>0</v>
      </c>
      <c r="N94">
        <v>0</v>
      </c>
      <c r="O94">
        <v>0</v>
      </c>
      <c r="P94">
        <v>5301</v>
      </c>
      <c r="Q94">
        <v>94916</v>
      </c>
      <c r="R94">
        <v>1</v>
      </c>
      <c r="S94">
        <v>0</v>
      </c>
      <c r="T94">
        <v>0</v>
      </c>
      <c r="U94">
        <v>0</v>
      </c>
      <c r="V94">
        <v>5301</v>
      </c>
      <c r="W94">
        <v>94916</v>
      </c>
      <c r="X94">
        <v>1</v>
      </c>
      <c r="Y94">
        <f t="shared" si="1"/>
        <v>94916</v>
      </c>
      <c r="Z94" t="str">
        <f>IF(ISNUMBER(SEARCH("Adjustment",$C94)),"excluded",IF($H94="Behind the Meter","excluded",IF(NOT(OR($E94="Bundled",$E94="Energy")),"excluded",IF(OR($H94="Retail Power Marketer",$H94="Community Choice Aggregator",$E94="Energy"),"procurement",IF(OR($H94="Municipal",$H94="Cooperative",$H94="Federal",$H94="State",$H94="Political Subdivision"),"cost_service",IF($H94="Investor Owned",IF(AND(COUNTIF(Parameters!$A$4:$A$33,$G94)&gt;0,COUNTIF(Parameters!$B$4:$B$33,$B94)=0),"procurement","cost_service"),"unclassified"))))))</f>
        <v>procurement</v>
      </c>
    </row>
    <row r="95" spans="1:26" x14ac:dyDescent="0.25">
      <c r="A95">
        <v>2024</v>
      </c>
      <c r="B95">
        <v>1611</v>
      </c>
      <c r="C95" t="s">
        <v>212</v>
      </c>
      <c r="D95" t="s">
        <v>99</v>
      </c>
      <c r="E95" t="s">
        <v>100</v>
      </c>
      <c r="F95" t="s">
        <v>86</v>
      </c>
      <c r="G95" t="s">
        <v>53</v>
      </c>
      <c r="H95" t="s">
        <v>101</v>
      </c>
      <c r="I95" t="s">
        <v>102</v>
      </c>
      <c r="J95">
        <v>0</v>
      </c>
      <c r="K95">
        <v>0</v>
      </c>
      <c r="L95">
        <v>0</v>
      </c>
      <c r="M95">
        <v>0</v>
      </c>
      <c r="N95">
        <v>0</v>
      </c>
      <c r="O95">
        <v>0</v>
      </c>
      <c r="P95">
        <v>18</v>
      </c>
      <c r="Q95">
        <v>346</v>
      </c>
      <c r="R95">
        <v>1</v>
      </c>
      <c r="S95">
        <v>0</v>
      </c>
      <c r="T95">
        <v>0</v>
      </c>
      <c r="U95">
        <v>0</v>
      </c>
      <c r="V95">
        <v>18</v>
      </c>
      <c r="W95">
        <v>346</v>
      </c>
      <c r="X95">
        <v>1</v>
      </c>
      <c r="Y95">
        <f t="shared" si="1"/>
        <v>346</v>
      </c>
      <c r="Z95" t="str">
        <f>IF(ISNUMBER(SEARCH("Adjustment",$C95)),"excluded",IF($H95="Behind the Meter","excluded",IF(NOT(OR($E95="Bundled",$E95="Energy")),"excluded",IF(OR($H95="Retail Power Marketer",$H95="Community Choice Aggregator",$E95="Energy"),"procurement",IF(OR($H95="Municipal",$H95="Cooperative",$H95="Federal",$H95="State",$H95="Political Subdivision"),"cost_service",IF($H95="Investor Owned",IF(AND(COUNTIF(Parameters!$A$4:$A$33,$G95)&gt;0,COUNTIF(Parameters!$B$4:$B$33,$B95)=0),"procurement","cost_service"),"unclassified"))))))</f>
        <v>procurement</v>
      </c>
    </row>
    <row r="96" spans="1:26" x14ac:dyDescent="0.25">
      <c r="A96">
        <v>2024</v>
      </c>
      <c r="B96">
        <v>1611</v>
      </c>
      <c r="C96" t="s">
        <v>212</v>
      </c>
      <c r="D96" t="s">
        <v>99</v>
      </c>
      <c r="E96" t="s">
        <v>100</v>
      </c>
      <c r="F96" t="s">
        <v>86</v>
      </c>
      <c r="G96" t="s">
        <v>54</v>
      </c>
      <c r="H96" t="s">
        <v>101</v>
      </c>
      <c r="I96" t="s">
        <v>92</v>
      </c>
      <c r="J96">
        <v>0</v>
      </c>
      <c r="K96">
        <v>0</v>
      </c>
      <c r="L96">
        <v>0</v>
      </c>
      <c r="M96">
        <v>0</v>
      </c>
      <c r="N96">
        <v>0</v>
      </c>
      <c r="O96">
        <v>0</v>
      </c>
      <c r="P96">
        <v>10414</v>
      </c>
      <c r="Q96">
        <v>240404</v>
      </c>
      <c r="R96">
        <v>5</v>
      </c>
      <c r="S96">
        <v>0</v>
      </c>
      <c r="T96">
        <v>0</v>
      </c>
      <c r="U96">
        <v>0</v>
      </c>
      <c r="V96">
        <v>10414</v>
      </c>
      <c r="W96">
        <v>240404</v>
      </c>
      <c r="X96">
        <v>5</v>
      </c>
      <c r="Y96">
        <f t="shared" si="1"/>
        <v>240404</v>
      </c>
      <c r="Z96" t="str">
        <f>IF(ISNUMBER(SEARCH("Adjustment",$C96)),"excluded",IF($H96="Behind the Meter","excluded",IF(NOT(OR($E96="Bundled",$E96="Energy")),"excluded",IF(OR($H96="Retail Power Marketer",$H96="Community Choice Aggregator",$E96="Energy"),"procurement",IF(OR($H96="Municipal",$H96="Cooperative",$H96="Federal",$H96="State",$H96="Political Subdivision"),"cost_service",IF($H96="Investor Owned",IF(AND(COUNTIF(Parameters!$A$4:$A$33,$G96)&gt;0,COUNTIF(Parameters!$B$4:$B$33,$B96)=0),"procurement","cost_service"),"unclassified"))))))</f>
        <v>procurement</v>
      </c>
    </row>
    <row r="97" spans="1:26" x14ac:dyDescent="0.25">
      <c r="A97">
        <v>2024</v>
      </c>
      <c r="B97">
        <v>1611</v>
      </c>
      <c r="C97" t="s">
        <v>212</v>
      </c>
      <c r="D97" t="s">
        <v>99</v>
      </c>
      <c r="E97" t="s">
        <v>100</v>
      </c>
      <c r="F97" t="s">
        <v>86</v>
      </c>
      <c r="G97" t="s">
        <v>55</v>
      </c>
      <c r="H97" t="s">
        <v>101</v>
      </c>
      <c r="I97" t="s">
        <v>92</v>
      </c>
      <c r="J97">
        <v>0</v>
      </c>
      <c r="K97">
        <v>0</v>
      </c>
      <c r="L97">
        <v>0</v>
      </c>
      <c r="M97">
        <v>0</v>
      </c>
      <c r="N97">
        <v>0</v>
      </c>
      <c r="O97">
        <v>0</v>
      </c>
      <c r="P97">
        <v>29609</v>
      </c>
      <c r="Q97">
        <v>561049</v>
      </c>
      <c r="R97">
        <v>3</v>
      </c>
      <c r="S97">
        <v>0</v>
      </c>
      <c r="T97">
        <v>0</v>
      </c>
      <c r="U97">
        <v>0</v>
      </c>
      <c r="V97">
        <v>29609</v>
      </c>
      <c r="W97">
        <v>561049</v>
      </c>
      <c r="X97">
        <v>3</v>
      </c>
      <c r="Y97">
        <f t="shared" si="1"/>
        <v>561049</v>
      </c>
      <c r="Z97" t="str">
        <f>IF(ISNUMBER(SEARCH("Adjustment",$C97)),"excluded",IF($H97="Behind the Meter","excluded",IF(NOT(OR($E97="Bundled",$E97="Energy")),"excluded",IF(OR($H97="Retail Power Marketer",$H97="Community Choice Aggregator",$E97="Energy"),"procurement",IF(OR($H97="Municipal",$H97="Cooperative",$H97="Federal",$H97="State",$H97="Political Subdivision"),"cost_service",IF($H97="Investor Owned",IF(AND(COUNTIF(Parameters!$A$4:$A$33,$G97)&gt;0,COUNTIF(Parameters!$B$4:$B$33,$B97)=0),"procurement","cost_service"),"unclassified"))))))</f>
        <v>procurement</v>
      </c>
    </row>
    <row r="98" spans="1:26" x14ac:dyDescent="0.25">
      <c r="A98">
        <v>2024</v>
      </c>
      <c r="B98">
        <v>1613</v>
      </c>
      <c r="C98" t="s">
        <v>213</v>
      </c>
      <c r="D98" t="s">
        <v>84</v>
      </c>
      <c r="E98" t="s">
        <v>85</v>
      </c>
      <c r="F98" t="s">
        <v>86</v>
      </c>
      <c r="G98" t="s">
        <v>106</v>
      </c>
      <c r="H98" t="s">
        <v>91</v>
      </c>
      <c r="I98" t="s">
        <v>106</v>
      </c>
      <c r="J98">
        <v>235265</v>
      </c>
      <c r="K98">
        <v>1575297</v>
      </c>
      <c r="L98">
        <v>115117</v>
      </c>
      <c r="M98">
        <v>240829</v>
      </c>
      <c r="N98">
        <v>3386125</v>
      </c>
      <c r="O98">
        <v>18121</v>
      </c>
      <c r="P98">
        <v>4263</v>
      </c>
      <c r="Q98">
        <v>41760</v>
      </c>
      <c r="R98">
        <v>10</v>
      </c>
      <c r="S98">
        <v>0</v>
      </c>
      <c r="T98">
        <v>0</v>
      </c>
      <c r="U98">
        <v>0</v>
      </c>
      <c r="V98">
        <v>480357</v>
      </c>
      <c r="W98">
        <v>5003182</v>
      </c>
      <c r="X98">
        <v>133248</v>
      </c>
      <c r="Y98">
        <f t="shared" si="1"/>
        <v>5003182</v>
      </c>
      <c r="Z98" t="str">
        <f>IF(ISNUMBER(SEARCH("Adjustment",$C98)),"excluded",IF($H98="Behind the Meter","excluded",IF(NOT(OR($E98="Bundled",$E98="Energy")),"excluded",IF(OR($H98="Retail Power Marketer",$H98="Community Choice Aggregator",$E98="Energy"),"procurement",IF(OR($H98="Municipal",$H98="Cooperative",$H98="Federal",$H98="State",$H98="Political Subdivision"),"cost_service",IF($H98="Investor Owned",IF(AND(COUNTIF(Parameters!$A$4:$A$33,$G98)&gt;0,COUNTIF(Parameters!$B$4:$B$33,$B98)=0),"procurement","cost_service"),"unclassified"))))))</f>
        <v>cost_service</v>
      </c>
    </row>
    <row r="99" spans="1:26" x14ac:dyDescent="0.25">
      <c r="A99">
        <v>2024</v>
      </c>
      <c r="B99">
        <v>1625</v>
      </c>
      <c r="C99" t="s">
        <v>214</v>
      </c>
      <c r="D99" t="s">
        <v>84</v>
      </c>
      <c r="E99" t="s">
        <v>85</v>
      </c>
      <c r="F99" t="s">
        <v>86</v>
      </c>
      <c r="G99" t="s">
        <v>148</v>
      </c>
      <c r="H99" t="s">
        <v>91</v>
      </c>
      <c r="I99" t="s">
        <v>206</v>
      </c>
      <c r="J99">
        <v>21279.3</v>
      </c>
      <c r="K99">
        <v>229481</v>
      </c>
      <c r="L99">
        <v>13422</v>
      </c>
      <c r="M99">
        <v>12069.9</v>
      </c>
      <c r="N99">
        <v>172650</v>
      </c>
      <c r="O99">
        <v>1645</v>
      </c>
      <c r="P99">
        <v>14599</v>
      </c>
      <c r="Q99">
        <v>218406</v>
      </c>
      <c r="R99">
        <v>1386</v>
      </c>
      <c r="S99" t="s">
        <v>97</v>
      </c>
      <c r="T99" t="s">
        <v>97</v>
      </c>
      <c r="U99" t="s">
        <v>97</v>
      </c>
      <c r="V99">
        <v>47948.2</v>
      </c>
      <c r="W99">
        <v>620537</v>
      </c>
      <c r="X99">
        <v>16453</v>
      </c>
      <c r="Y99">
        <f t="shared" si="1"/>
        <v>620537</v>
      </c>
      <c r="Z99" t="str">
        <f>IF(ISNUMBER(SEARCH("Adjustment",$C99)),"excluded",IF($H99="Behind the Meter","excluded",IF(NOT(OR($E99="Bundled",$E99="Energy")),"excluded",IF(OR($H99="Retail Power Marketer",$H99="Community Choice Aggregator",$E99="Energy"),"procurement",IF(OR($H99="Municipal",$H99="Cooperative",$H99="Federal",$H99="State",$H99="Political Subdivision"),"cost_service",IF($H99="Investor Owned",IF(AND(COUNTIF(Parameters!$A$4:$A$33,$G99)&gt;0,COUNTIF(Parameters!$B$4:$B$33,$B99)=0),"procurement","cost_service"),"unclassified"))))))</f>
        <v>cost_service</v>
      </c>
    </row>
    <row r="100" spans="1:26" x14ac:dyDescent="0.25">
      <c r="A100">
        <v>2024</v>
      </c>
      <c r="B100">
        <v>1640</v>
      </c>
      <c r="C100" t="s">
        <v>215</v>
      </c>
      <c r="D100" t="s">
        <v>84</v>
      </c>
      <c r="E100" t="s">
        <v>85</v>
      </c>
      <c r="F100" t="s">
        <v>86</v>
      </c>
      <c r="G100" t="s">
        <v>112</v>
      </c>
      <c r="H100" t="s">
        <v>88</v>
      </c>
      <c r="I100" t="s">
        <v>89</v>
      </c>
      <c r="J100">
        <v>14276</v>
      </c>
      <c r="K100">
        <v>116464</v>
      </c>
      <c r="L100">
        <v>9378</v>
      </c>
      <c r="M100">
        <v>19580</v>
      </c>
      <c r="N100">
        <v>154423</v>
      </c>
      <c r="O100">
        <v>1764</v>
      </c>
      <c r="P100">
        <v>712</v>
      </c>
      <c r="Q100">
        <v>9433</v>
      </c>
      <c r="R100">
        <v>1</v>
      </c>
      <c r="S100">
        <v>0</v>
      </c>
      <c r="T100">
        <v>0</v>
      </c>
      <c r="U100">
        <v>0</v>
      </c>
      <c r="V100">
        <v>34568</v>
      </c>
      <c r="W100">
        <v>280320</v>
      </c>
      <c r="X100">
        <v>11143</v>
      </c>
      <c r="Y100">
        <f t="shared" si="1"/>
        <v>280320</v>
      </c>
      <c r="Z100" t="str">
        <f>IF(ISNUMBER(SEARCH("Adjustment",$C100)),"excluded",IF($H100="Behind the Meter","excluded",IF(NOT(OR($E100="Bundled",$E100="Energy")),"excluded",IF(OR($H100="Retail Power Marketer",$H100="Community Choice Aggregator",$E100="Energy"),"procurement",IF(OR($H100="Municipal",$H100="Cooperative",$H100="Federal",$H100="State",$H100="Political Subdivision"),"cost_service",IF($H100="Investor Owned",IF(AND(COUNTIF(Parameters!$A$4:$A$33,$G100)&gt;0,COUNTIF(Parameters!$B$4:$B$33,$B100)=0),"procurement","cost_service"),"unclassified"))))))</f>
        <v>cost_service</v>
      </c>
    </row>
    <row r="101" spans="1:26" x14ac:dyDescent="0.25">
      <c r="A101">
        <v>2024</v>
      </c>
      <c r="B101">
        <v>1708</v>
      </c>
      <c r="C101" t="s">
        <v>216</v>
      </c>
      <c r="D101" t="s">
        <v>84</v>
      </c>
      <c r="E101" t="s">
        <v>85</v>
      </c>
      <c r="F101" t="s">
        <v>86</v>
      </c>
      <c r="G101" t="s">
        <v>209</v>
      </c>
      <c r="H101" t="s">
        <v>91</v>
      </c>
      <c r="I101" t="s">
        <v>92</v>
      </c>
      <c r="J101">
        <v>20742</v>
      </c>
      <c r="K101">
        <v>151557</v>
      </c>
      <c r="L101">
        <v>11574</v>
      </c>
      <c r="M101">
        <v>4001</v>
      </c>
      <c r="N101">
        <v>32228</v>
      </c>
      <c r="O101">
        <v>1028</v>
      </c>
      <c r="P101">
        <v>1582</v>
      </c>
      <c r="Q101">
        <v>16422</v>
      </c>
      <c r="R101">
        <v>9</v>
      </c>
      <c r="S101" t="s">
        <v>97</v>
      </c>
      <c r="T101" t="s">
        <v>97</v>
      </c>
      <c r="U101" t="s">
        <v>97</v>
      </c>
      <c r="V101">
        <v>26325</v>
      </c>
      <c r="W101">
        <v>200207</v>
      </c>
      <c r="X101">
        <v>12611</v>
      </c>
      <c r="Y101">
        <f t="shared" si="1"/>
        <v>200207</v>
      </c>
      <c r="Z101" t="str">
        <f>IF(ISNUMBER(SEARCH("Adjustment",$C101)),"excluded",IF($H101="Behind the Meter","excluded",IF(NOT(OR($E101="Bundled",$E101="Energy")),"excluded",IF(OR($H101="Retail Power Marketer",$H101="Community Choice Aggregator",$E101="Energy"),"procurement",IF(OR($H101="Municipal",$H101="Cooperative",$H101="Federal",$H101="State",$H101="Political Subdivision"),"cost_service",IF($H101="Investor Owned",IF(AND(COUNTIF(Parameters!$A$4:$A$33,$G101)&gt;0,COUNTIF(Parameters!$B$4:$B$33,$B101)=0),"procurement","cost_service"),"unclassified"))))))</f>
        <v>cost_service</v>
      </c>
    </row>
    <row r="102" spans="1:26" x14ac:dyDescent="0.25">
      <c r="A102">
        <v>2024</v>
      </c>
      <c r="B102">
        <v>1723</v>
      </c>
      <c r="C102" t="s">
        <v>217</v>
      </c>
      <c r="D102" t="s">
        <v>84</v>
      </c>
      <c r="E102" t="s">
        <v>85</v>
      </c>
      <c r="F102" t="s">
        <v>86</v>
      </c>
      <c r="G102" t="s">
        <v>148</v>
      </c>
      <c r="H102" t="s">
        <v>91</v>
      </c>
      <c r="I102" t="s">
        <v>206</v>
      </c>
      <c r="J102">
        <v>10530.9</v>
      </c>
      <c r="K102">
        <v>115719</v>
      </c>
      <c r="L102">
        <v>5841</v>
      </c>
      <c r="M102">
        <v>10348.299999999999</v>
      </c>
      <c r="N102">
        <v>124100</v>
      </c>
      <c r="O102">
        <v>2059</v>
      </c>
      <c r="P102">
        <v>22904.9</v>
      </c>
      <c r="Q102">
        <v>342029</v>
      </c>
      <c r="R102">
        <v>2511</v>
      </c>
      <c r="S102">
        <v>0</v>
      </c>
      <c r="T102">
        <v>0</v>
      </c>
      <c r="U102">
        <v>0</v>
      </c>
      <c r="V102">
        <v>43784.1</v>
      </c>
      <c r="W102">
        <v>581848</v>
      </c>
      <c r="X102">
        <v>10411</v>
      </c>
      <c r="Y102">
        <f t="shared" si="1"/>
        <v>581848</v>
      </c>
      <c r="Z102" t="str">
        <f>IF(ISNUMBER(SEARCH("Adjustment",$C102)),"excluded",IF($H102="Behind the Meter","excluded",IF(NOT(OR($E102="Bundled",$E102="Energy")),"excluded",IF(OR($H102="Retail Power Marketer",$H102="Community Choice Aggregator",$E102="Energy"),"procurement",IF(OR($H102="Municipal",$H102="Cooperative",$H102="Federal",$H102="State",$H102="Political Subdivision"),"cost_service",IF($H102="Investor Owned",IF(AND(COUNTIF(Parameters!$A$4:$A$33,$G102)&gt;0,COUNTIF(Parameters!$B$4:$B$33,$B102)=0),"procurement","cost_service"),"unclassified"))))))</f>
        <v>cost_service</v>
      </c>
    </row>
    <row r="103" spans="1:26" x14ac:dyDescent="0.25">
      <c r="A103">
        <v>2024</v>
      </c>
      <c r="B103">
        <v>1738</v>
      </c>
      <c r="C103" t="s">
        <v>218</v>
      </c>
      <c r="D103" t="s">
        <v>84</v>
      </c>
      <c r="E103" t="s">
        <v>85</v>
      </c>
      <c r="F103" t="s">
        <v>86</v>
      </c>
      <c r="G103" t="s">
        <v>219</v>
      </c>
      <c r="H103" t="s">
        <v>220</v>
      </c>
      <c r="I103" t="s">
        <v>206</v>
      </c>
      <c r="J103" t="s">
        <v>97</v>
      </c>
      <c r="K103" t="s">
        <v>97</v>
      </c>
      <c r="L103" t="s">
        <v>97</v>
      </c>
      <c r="M103">
        <v>241</v>
      </c>
      <c r="N103">
        <v>5760</v>
      </c>
      <c r="O103">
        <v>1</v>
      </c>
      <c r="P103" t="s">
        <v>97</v>
      </c>
      <c r="Q103" t="s">
        <v>97</v>
      </c>
      <c r="R103" t="s">
        <v>97</v>
      </c>
      <c r="S103" t="s">
        <v>97</v>
      </c>
      <c r="T103" t="s">
        <v>97</v>
      </c>
      <c r="U103" t="s">
        <v>97</v>
      </c>
      <c r="V103">
        <v>241</v>
      </c>
      <c r="W103">
        <v>5760</v>
      </c>
      <c r="X103">
        <v>1</v>
      </c>
      <c r="Y103">
        <f t="shared" si="1"/>
        <v>5760</v>
      </c>
      <c r="Z103" t="str">
        <f>IF(ISNUMBER(SEARCH("Adjustment",$C103)),"excluded",IF($H103="Behind the Meter","excluded",IF(NOT(OR($E103="Bundled",$E103="Energy")),"excluded",IF(OR($H103="Retail Power Marketer",$H103="Community Choice Aggregator",$E103="Energy"),"procurement",IF(OR($H103="Municipal",$H103="Cooperative",$H103="Federal",$H103="State",$H103="Political Subdivision"),"cost_service",IF($H103="Investor Owned",IF(AND(COUNTIF(Parameters!$A$4:$A$33,$G103)&gt;0,COUNTIF(Parameters!$B$4:$B$33,$B103)=0),"procurement","cost_service"),"unclassified"))))))</f>
        <v>cost_service</v>
      </c>
    </row>
    <row r="104" spans="1:26" x14ac:dyDescent="0.25">
      <c r="A104">
        <v>2024</v>
      </c>
      <c r="B104">
        <v>1738</v>
      </c>
      <c r="C104" t="s">
        <v>218</v>
      </c>
      <c r="D104" t="s">
        <v>84</v>
      </c>
      <c r="E104" t="s">
        <v>85</v>
      </c>
      <c r="F104" t="s">
        <v>86</v>
      </c>
      <c r="G104" t="s">
        <v>148</v>
      </c>
      <c r="H104" t="s">
        <v>220</v>
      </c>
      <c r="I104" t="s">
        <v>206</v>
      </c>
      <c r="J104" t="s">
        <v>97</v>
      </c>
      <c r="K104" t="s">
        <v>97</v>
      </c>
      <c r="L104" t="s">
        <v>97</v>
      </c>
      <c r="M104">
        <v>30673</v>
      </c>
      <c r="N104">
        <v>681918</v>
      </c>
      <c r="O104">
        <v>7</v>
      </c>
      <c r="P104">
        <v>7256</v>
      </c>
      <c r="Q104">
        <v>546474</v>
      </c>
      <c r="R104">
        <v>3</v>
      </c>
      <c r="S104" t="s">
        <v>97</v>
      </c>
      <c r="T104" t="s">
        <v>97</v>
      </c>
      <c r="U104" t="s">
        <v>97</v>
      </c>
      <c r="V104">
        <v>37929</v>
      </c>
      <c r="W104">
        <v>1228392</v>
      </c>
      <c r="X104">
        <v>10</v>
      </c>
      <c r="Y104">
        <f t="shared" si="1"/>
        <v>1228392</v>
      </c>
      <c r="Z104" t="str">
        <f>IF(ISNUMBER(SEARCH("Adjustment",$C104)),"excluded",IF($H104="Behind the Meter","excluded",IF(NOT(OR($E104="Bundled",$E104="Energy")),"excluded",IF(OR($H104="Retail Power Marketer",$H104="Community Choice Aggregator",$E104="Energy"),"procurement",IF(OR($H104="Municipal",$H104="Cooperative",$H104="Federal",$H104="State",$H104="Political Subdivision"),"cost_service",IF($H104="Investor Owned",IF(AND(COUNTIF(Parameters!$A$4:$A$33,$G104)&gt;0,COUNTIF(Parameters!$B$4:$B$33,$B104)=0),"procurement","cost_service"),"unclassified"))))))</f>
        <v>cost_service</v>
      </c>
    </row>
    <row r="105" spans="1:26" x14ac:dyDescent="0.25">
      <c r="A105">
        <v>2024</v>
      </c>
      <c r="B105">
        <v>1763</v>
      </c>
      <c r="C105" t="s">
        <v>221</v>
      </c>
      <c r="D105" t="s">
        <v>84</v>
      </c>
      <c r="E105" t="s">
        <v>85</v>
      </c>
      <c r="F105" t="s">
        <v>86</v>
      </c>
      <c r="G105" t="s">
        <v>106</v>
      </c>
      <c r="H105" t="s">
        <v>91</v>
      </c>
      <c r="I105" t="s">
        <v>106</v>
      </c>
      <c r="J105">
        <v>62240.3</v>
      </c>
      <c r="K105">
        <v>462168</v>
      </c>
      <c r="L105">
        <v>30610</v>
      </c>
      <c r="M105">
        <v>17513.8</v>
      </c>
      <c r="N105">
        <v>133573</v>
      </c>
      <c r="O105">
        <v>4210</v>
      </c>
      <c r="P105">
        <v>10220.700000000001</v>
      </c>
      <c r="Q105">
        <v>126348</v>
      </c>
      <c r="R105">
        <v>13</v>
      </c>
      <c r="S105" t="s">
        <v>97</v>
      </c>
      <c r="T105" t="s">
        <v>97</v>
      </c>
      <c r="U105" t="s">
        <v>97</v>
      </c>
      <c r="V105">
        <v>89974.8</v>
      </c>
      <c r="W105">
        <v>722089</v>
      </c>
      <c r="X105">
        <v>34833</v>
      </c>
      <c r="Y105">
        <f t="shared" si="1"/>
        <v>722089</v>
      </c>
      <c r="Z105" t="str">
        <f>IF(ISNUMBER(SEARCH("Adjustment",$C105)),"excluded",IF($H105="Behind the Meter","excluded",IF(NOT(OR($E105="Bundled",$E105="Energy")),"excluded",IF(OR($H105="Retail Power Marketer",$H105="Community Choice Aggregator",$E105="Energy"),"procurement",IF(OR($H105="Municipal",$H105="Cooperative",$H105="Federal",$H105="State",$H105="Political Subdivision"),"cost_service",IF($H105="Investor Owned",IF(AND(COUNTIF(Parameters!$A$4:$A$33,$G105)&gt;0,COUNTIF(Parameters!$B$4:$B$33,$B105)=0),"procurement","cost_service"),"unclassified"))))))</f>
        <v>cost_service</v>
      </c>
    </row>
    <row r="106" spans="1:26" x14ac:dyDescent="0.25">
      <c r="A106">
        <v>2024</v>
      </c>
      <c r="B106">
        <v>1764</v>
      </c>
      <c r="C106" t="s">
        <v>222</v>
      </c>
      <c r="D106" t="s">
        <v>84</v>
      </c>
      <c r="E106" t="s">
        <v>85</v>
      </c>
      <c r="F106" t="s">
        <v>86</v>
      </c>
      <c r="G106" t="s">
        <v>166</v>
      </c>
      <c r="H106" t="s">
        <v>109</v>
      </c>
      <c r="I106" t="s">
        <v>92</v>
      </c>
      <c r="J106">
        <v>4975.5</v>
      </c>
      <c r="K106">
        <v>32418</v>
      </c>
      <c r="L106">
        <v>3479</v>
      </c>
      <c r="M106">
        <v>1949.4</v>
      </c>
      <c r="N106">
        <v>13864</v>
      </c>
      <c r="O106">
        <v>454</v>
      </c>
      <c r="P106" t="s">
        <v>97</v>
      </c>
      <c r="Q106" t="s">
        <v>97</v>
      </c>
      <c r="R106" t="s">
        <v>97</v>
      </c>
      <c r="S106" t="s">
        <v>97</v>
      </c>
      <c r="T106" t="s">
        <v>97</v>
      </c>
      <c r="U106" t="s">
        <v>97</v>
      </c>
      <c r="V106">
        <v>6924.9</v>
      </c>
      <c r="W106">
        <v>46282</v>
      </c>
      <c r="X106">
        <v>3933</v>
      </c>
      <c r="Y106">
        <f t="shared" si="1"/>
        <v>46282</v>
      </c>
      <c r="Z106" t="str">
        <f>IF(ISNUMBER(SEARCH("Adjustment",$C106)),"excluded",IF($H106="Behind the Meter","excluded",IF(NOT(OR($E106="Bundled",$E106="Energy")),"excluded",IF(OR($H106="Retail Power Marketer",$H106="Community Choice Aggregator",$E106="Energy"),"procurement",IF(OR($H106="Municipal",$H106="Cooperative",$H106="Federal",$H106="State",$H106="Political Subdivision"),"cost_service",IF($H106="Investor Owned",IF(AND(COUNTIF(Parameters!$A$4:$A$33,$G106)&gt;0,COUNTIF(Parameters!$B$4:$B$33,$B106)=0),"procurement","cost_service"),"unclassified"))))))</f>
        <v>cost_service</v>
      </c>
    </row>
    <row r="107" spans="1:26" x14ac:dyDescent="0.25">
      <c r="A107">
        <v>2024</v>
      </c>
      <c r="B107">
        <v>1769</v>
      </c>
      <c r="C107" t="s">
        <v>223</v>
      </c>
      <c r="D107" t="s">
        <v>84</v>
      </c>
      <c r="E107" t="s">
        <v>85</v>
      </c>
      <c r="F107" t="s">
        <v>86</v>
      </c>
      <c r="G107" t="s">
        <v>224</v>
      </c>
      <c r="H107" t="s">
        <v>91</v>
      </c>
      <c r="I107" t="s">
        <v>135</v>
      </c>
      <c r="J107">
        <v>18125.5</v>
      </c>
      <c r="K107">
        <v>122760</v>
      </c>
      <c r="L107">
        <v>9227</v>
      </c>
      <c r="M107">
        <v>5163.2</v>
      </c>
      <c r="N107">
        <v>36002</v>
      </c>
      <c r="O107">
        <v>1955</v>
      </c>
      <c r="P107">
        <v>412.2</v>
      </c>
      <c r="Q107">
        <v>2221</v>
      </c>
      <c r="R107">
        <v>96</v>
      </c>
      <c r="S107">
        <v>0</v>
      </c>
      <c r="T107">
        <v>0</v>
      </c>
      <c r="U107">
        <v>0</v>
      </c>
      <c r="V107">
        <v>23700.9</v>
      </c>
      <c r="W107">
        <v>160983</v>
      </c>
      <c r="X107">
        <v>11278</v>
      </c>
      <c r="Y107">
        <f t="shared" si="1"/>
        <v>160983</v>
      </c>
      <c r="Z107" t="str">
        <f>IF(ISNUMBER(SEARCH("Adjustment",$C107)),"excluded",IF($H107="Behind the Meter","excluded",IF(NOT(OR($E107="Bundled",$E107="Energy")),"excluded",IF(OR($H107="Retail Power Marketer",$H107="Community Choice Aggregator",$E107="Energy"),"procurement",IF(OR($H107="Municipal",$H107="Cooperative",$H107="Federal",$H107="State",$H107="Political Subdivision"),"cost_service",IF($H107="Investor Owned",IF(AND(COUNTIF(Parameters!$A$4:$A$33,$G107)&gt;0,COUNTIF(Parameters!$B$4:$B$33,$B107)=0),"procurement","cost_service"),"unclassified"))))))</f>
        <v>cost_service</v>
      </c>
    </row>
    <row r="108" spans="1:26" x14ac:dyDescent="0.25">
      <c r="A108">
        <v>2024</v>
      </c>
      <c r="B108">
        <v>1775</v>
      </c>
      <c r="C108" t="s">
        <v>225</v>
      </c>
      <c r="D108" t="s">
        <v>84</v>
      </c>
      <c r="E108" t="s">
        <v>85</v>
      </c>
      <c r="F108" t="s">
        <v>86</v>
      </c>
      <c r="G108" t="s">
        <v>226</v>
      </c>
      <c r="H108" t="s">
        <v>91</v>
      </c>
      <c r="I108" t="s">
        <v>227</v>
      </c>
      <c r="J108">
        <v>36664</v>
      </c>
      <c r="K108">
        <v>286283</v>
      </c>
      <c r="L108">
        <v>21575</v>
      </c>
      <c r="M108">
        <v>16384</v>
      </c>
      <c r="N108">
        <v>138800</v>
      </c>
      <c r="O108">
        <v>3979</v>
      </c>
      <c r="P108">
        <v>1504</v>
      </c>
      <c r="Q108">
        <v>20851</v>
      </c>
      <c r="R108">
        <v>2</v>
      </c>
      <c r="S108" t="s">
        <v>97</v>
      </c>
      <c r="T108" t="s">
        <v>97</v>
      </c>
      <c r="U108" t="s">
        <v>97</v>
      </c>
      <c r="V108">
        <v>54552</v>
      </c>
      <c r="W108">
        <v>445934</v>
      </c>
      <c r="X108">
        <v>25556</v>
      </c>
      <c r="Y108">
        <f t="shared" si="1"/>
        <v>445934</v>
      </c>
      <c r="Z108" t="str">
        <f>IF(ISNUMBER(SEARCH("Adjustment",$C108)),"excluded",IF($H108="Behind the Meter","excluded",IF(NOT(OR($E108="Bundled",$E108="Energy")),"excluded",IF(OR($H108="Retail Power Marketer",$H108="Community Choice Aggregator",$E108="Energy"),"procurement",IF(OR($H108="Municipal",$H108="Cooperative",$H108="Federal",$H108="State",$H108="Political Subdivision"),"cost_service",IF($H108="Investor Owned",IF(AND(COUNTIF(Parameters!$A$4:$A$33,$G108)&gt;0,COUNTIF(Parameters!$B$4:$B$33,$B108)=0),"procurement","cost_service"),"unclassified"))))))</f>
        <v>cost_service</v>
      </c>
    </row>
    <row r="109" spans="1:26" x14ac:dyDescent="0.25">
      <c r="A109">
        <v>2024</v>
      </c>
      <c r="B109">
        <v>1776</v>
      </c>
      <c r="C109" t="s">
        <v>228</v>
      </c>
      <c r="D109" t="s">
        <v>84</v>
      </c>
      <c r="E109" t="s">
        <v>85</v>
      </c>
      <c r="F109" t="s">
        <v>86</v>
      </c>
      <c r="G109" t="s">
        <v>95</v>
      </c>
      <c r="H109" t="s">
        <v>88</v>
      </c>
      <c r="I109" t="s">
        <v>96</v>
      </c>
      <c r="J109">
        <v>2635.4</v>
      </c>
      <c r="K109">
        <v>18397</v>
      </c>
      <c r="L109">
        <v>2321</v>
      </c>
      <c r="M109">
        <v>4075.2</v>
      </c>
      <c r="N109">
        <v>33861</v>
      </c>
      <c r="O109">
        <v>564</v>
      </c>
      <c r="P109">
        <v>137</v>
      </c>
      <c r="Q109">
        <v>479</v>
      </c>
      <c r="R109">
        <v>1</v>
      </c>
      <c r="S109">
        <v>0</v>
      </c>
      <c r="T109">
        <v>0</v>
      </c>
      <c r="U109">
        <v>0</v>
      </c>
      <c r="V109">
        <v>6847.6</v>
      </c>
      <c r="W109">
        <v>52737</v>
      </c>
      <c r="X109">
        <v>2886</v>
      </c>
      <c r="Y109">
        <f t="shared" si="1"/>
        <v>52737</v>
      </c>
      <c r="Z109" t="str">
        <f>IF(ISNUMBER(SEARCH("Adjustment",$C109)),"excluded",IF($H109="Behind the Meter","excluded",IF(NOT(OR($E109="Bundled",$E109="Energy")),"excluded",IF(OR($H109="Retail Power Marketer",$H109="Community Choice Aggregator",$E109="Energy"),"procurement",IF(OR($H109="Municipal",$H109="Cooperative",$H109="Federal",$H109="State",$H109="Political Subdivision"),"cost_service",IF($H109="Investor Owned",IF(AND(COUNTIF(Parameters!$A$4:$A$33,$G109)&gt;0,COUNTIF(Parameters!$B$4:$B$33,$B109)=0),"procurement","cost_service"),"unclassified"))))))</f>
        <v>cost_service</v>
      </c>
    </row>
    <row r="110" spans="1:26" x14ac:dyDescent="0.25">
      <c r="A110">
        <v>2024</v>
      </c>
      <c r="B110">
        <v>1780</v>
      </c>
      <c r="C110" t="s">
        <v>229</v>
      </c>
      <c r="D110" t="s">
        <v>84</v>
      </c>
      <c r="E110" t="s">
        <v>85</v>
      </c>
      <c r="F110" t="s">
        <v>86</v>
      </c>
      <c r="G110" t="s">
        <v>112</v>
      </c>
      <c r="H110" t="s">
        <v>91</v>
      </c>
      <c r="I110" t="s">
        <v>113</v>
      </c>
      <c r="J110">
        <v>35392.800000000003</v>
      </c>
      <c r="K110">
        <v>267309</v>
      </c>
      <c r="L110">
        <v>20053</v>
      </c>
      <c r="M110">
        <v>12216.9</v>
      </c>
      <c r="N110">
        <v>100396</v>
      </c>
      <c r="O110">
        <v>6593</v>
      </c>
      <c r="P110">
        <v>364.9</v>
      </c>
      <c r="Q110">
        <v>3695</v>
      </c>
      <c r="R110">
        <v>2</v>
      </c>
      <c r="S110" t="s">
        <v>97</v>
      </c>
      <c r="T110" t="s">
        <v>97</v>
      </c>
      <c r="U110" t="s">
        <v>97</v>
      </c>
      <c r="V110">
        <v>47974.6</v>
      </c>
      <c r="W110">
        <v>371400</v>
      </c>
      <c r="X110">
        <v>26648</v>
      </c>
      <c r="Y110">
        <f t="shared" si="1"/>
        <v>371400</v>
      </c>
      <c r="Z110" t="str">
        <f>IF(ISNUMBER(SEARCH("Adjustment",$C110)),"excluded",IF($H110="Behind the Meter","excluded",IF(NOT(OR($E110="Bundled",$E110="Energy")),"excluded",IF(OR($H110="Retail Power Marketer",$H110="Community Choice Aggregator",$E110="Energy"),"procurement",IF(OR($H110="Municipal",$H110="Cooperative",$H110="Federal",$H110="State",$H110="Political Subdivision"),"cost_service",IF($H110="Investor Owned",IF(AND(COUNTIF(Parameters!$A$4:$A$33,$G110)&gt;0,COUNTIF(Parameters!$B$4:$B$33,$B110)=0),"procurement","cost_service"),"unclassified"))))))</f>
        <v>cost_service</v>
      </c>
    </row>
    <row r="111" spans="1:26" x14ac:dyDescent="0.25">
      <c r="A111">
        <v>2024</v>
      </c>
      <c r="B111">
        <v>1857</v>
      </c>
      <c r="C111" t="s">
        <v>230</v>
      </c>
      <c r="D111" t="s">
        <v>84</v>
      </c>
      <c r="E111" t="s">
        <v>85</v>
      </c>
      <c r="F111" t="s">
        <v>86</v>
      </c>
      <c r="G111" t="s">
        <v>56</v>
      </c>
      <c r="H111" t="s">
        <v>205</v>
      </c>
      <c r="I111" t="s">
        <v>189</v>
      </c>
      <c r="J111">
        <v>3005</v>
      </c>
      <c r="K111">
        <v>7576</v>
      </c>
      <c r="L111">
        <v>1629</v>
      </c>
      <c r="M111">
        <v>2922</v>
      </c>
      <c r="N111">
        <v>7148</v>
      </c>
      <c r="O111">
        <v>384</v>
      </c>
      <c r="P111" t="s">
        <v>97</v>
      </c>
      <c r="Q111" t="s">
        <v>97</v>
      </c>
      <c r="R111" t="s">
        <v>97</v>
      </c>
      <c r="S111" t="s">
        <v>97</v>
      </c>
      <c r="T111" t="s">
        <v>97</v>
      </c>
      <c r="U111" t="s">
        <v>97</v>
      </c>
      <c r="V111">
        <v>5927</v>
      </c>
      <c r="W111">
        <v>14724</v>
      </c>
      <c r="X111">
        <v>2013</v>
      </c>
      <c r="Y111">
        <f t="shared" si="1"/>
        <v>14724</v>
      </c>
      <c r="Z111" t="str">
        <f>IF(ISNUMBER(SEARCH("Adjustment",$C111)),"excluded",IF($H111="Behind the Meter","excluded",IF(NOT(OR($E111="Bundled",$E111="Energy")),"excluded",IF(OR($H111="Retail Power Marketer",$H111="Community Choice Aggregator",$E111="Energy"),"procurement",IF(OR($H111="Municipal",$H111="Cooperative",$H111="Federal",$H111="State",$H111="Political Subdivision"),"cost_service",IF($H111="Investor Owned",IF(AND(COUNTIF(Parameters!$A$4:$A$33,$G111)&gt;0,COUNTIF(Parameters!$B$4:$B$33,$B111)=0),"procurement","cost_service"),"unclassified"))))))</f>
        <v>cost_service</v>
      </c>
    </row>
    <row r="112" spans="1:26" x14ac:dyDescent="0.25">
      <c r="A112">
        <v>2024</v>
      </c>
      <c r="B112">
        <v>1884</v>
      </c>
      <c r="C112" t="s">
        <v>231</v>
      </c>
      <c r="D112" t="s">
        <v>84</v>
      </c>
      <c r="E112" t="s">
        <v>85</v>
      </c>
      <c r="F112" t="s">
        <v>86</v>
      </c>
      <c r="G112" t="s">
        <v>104</v>
      </c>
      <c r="H112" t="s">
        <v>91</v>
      </c>
      <c r="I112" t="s">
        <v>96</v>
      </c>
      <c r="J112">
        <v>31200</v>
      </c>
      <c r="K112">
        <v>207600</v>
      </c>
      <c r="L112">
        <v>18361</v>
      </c>
      <c r="M112">
        <v>11563</v>
      </c>
      <c r="N112">
        <v>90700</v>
      </c>
      <c r="O112">
        <v>1556</v>
      </c>
      <c r="P112">
        <v>7500</v>
      </c>
      <c r="Q112">
        <v>79159</v>
      </c>
      <c r="R112">
        <v>17</v>
      </c>
      <c r="S112" t="s">
        <v>97</v>
      </c>
      <c r="T112" t="s">
        <v>97</v>
      </c>
      <c r="U112" t="s">
        <v>97</v>
      </c>
      <c r="V112">
        <v>50263</v>
      </c>
      <c r="W112">
        <v>377459</v>
      </c>
      <c r="X112">
        <v>19934</v>
      </c>
      <c r="Y112">
        <f t="shared" si="1"/>
        <v>377459</v>
      </c>
      <c r="Z112" t="str">
        <f>IF(ISNUMBER(SEARCH("Adjustment",$C112)),"excluded",IF($H112="Behind the Meter","excluded",IF(NOT(OR($E112="Bundled",$E112="Energy")),"excluded",IF(OR($H112="Retail Power Marketer",$H112="Community Choice Aggregator",$E112="Energy"),"procurement",IF(OR($H112="Municipal",$H112="Cooperative",$H112="Federal",$H112="State",$H112="Political Subdivision"),"cost_service",IF($H112="Investor Owned",IF(AND(COUNTIF(Parameters!$A$4:$A$33,$G112)&gt;0,COUNTIF(Parameters!$B$4:$B$33,$B112)=0),"procurement","cost_service"),"unclassified"))))))</f>
        <v>cost_service</v>
      </c>
    </row>
    <row r="113" spans="1:26" x14ac:dyDescent="0.25">
      <c r="A113">
        <v>2024</v>
      </c>
      <c r="B113">
        <v>1886</v>
      </c>
      <c r="C113" t="s">
        <v>232</v>
      </c>
      <c r="D113" t="s">
        <v>84</v>
      </c>
      <c r="E113" t="s">
        <v>85</v>
      </c>
      <c r="F113" t="s">
        <v>86</v>
      </c>
      <c r="G113" t="s">
        <v>209</v>
      </c>
      <c r="H113" t="s">
        <v>91</v>
      </c>
      <c r="I113" t="s">
        <v>92</v>
      </c>
      <c r="J113">
        <v>104665</v>
      </c>
      <c r="K113">
        <v>849399</v>
      </c>
      <c r="L113">
        <v>60641</v>
      </c>
      <c r="M113">
        <v>22466</v>
      </c>
      <c r="N113">
        <v>191732</v>
      </c>
      <c r="O113">
        <v>3199</v>
      </c>
      <c r="P113">
        <v>26937</v>
      </c>
      <c r="Q113">
        <v>360852</v>
      </c>
      <c r="R113">
        <v>16</v>
      </c>
      <c r="S113" t="s">
        <v>97</v>
      </c>
      <c r="T113" t="s">
        <v>97</v>
      </c>
      <c r="U113" t="s">
        <v>97</v>
      </c>
      <c r="V113">
        <v>154068</v>
      </c>
      <c r="W113">
        <v>1401983</v>
      </c>
      <c r="X113">
        <v>63856</v>
      </c>
      <c r="Y113">
        <f t="shared" si="1"/>
        <v>1401983</v>
      </c>
      <c r="Z113" t="str">
        <f>IF(ISNUMBER(SEARCH("Adjustment",$C113)),"excluded",IF($H113="Behind the Meter","excluded",IF(NOT(OR($E113="Bundled",$E113="Energy")),"excluded",IF(OR($H113="Retail Power Marketer",$H113="Community Choice Aggregator",$E113="Energy"),"procurement",IF(OR($H113="Municipal",$H113="Cooperative",$H113="Federal",$H113="State",$H113="Political Subdivision"),"cost_service",IF($H113="Investor Owned",IF(AND(COUNTIF(Parameters!$A$4:$A$33,$G113)&gt;0,COUNTIF(Parameters!$B$4:$B$33,$B113)=0),"procurement","cost_service"),"unclassified"))))))</f>
        <v>cost_service</v>
      </c>
    </row>
    <row r="114" spans="1:26" x14ac:dyDescent="0.25">
      <c r="A114">
        <v>2024</v>
      </c>
      <c r="B114">
        <v>1889</v>
      </c>
      <c r="C114" t="s">
        <v>233</v>
      </c>
      <c r="D114" t="s">
        <v>84</v>
      </c>
      <c r="E114" t="s">
        <v>85</v>
      </c>
      <c r="F114" t="s">
        <v>86</v>
      </c>
      <c r="G114" t="s">
        <v>125</v>
      </c>
      <c r="H114" t="s">
        <v>91</v>
      </c>
      <c r="I114" t="s">
        <v>126</v>
      </c>
      <c r="J114">
        <v>109395</v>
      </c>
      <c r="K114">
        <v>749928</v>
      </c>
      <c r="L114">
        <v>71926</v>
      </c>
      <c r="M114">
        <v>32284</v>
      </c>
      <c r="N114">
        <v>260865</v>
      </c>
      <c r="O114">
        <v>8829</v>
      </c>
      <c r="P114">
        <v>7516</v>
      </c>
      <c r="Q114">
        <v>101301</v>
      </c>
      <c r="R114">
        <v>7</v>
      </c>
      <c r="S114" t="s">
        <v>97</v>
      </c>
      <c r="T114" t="s">
        <v>97</v>
      </c>
      <c r="U114" t="s">
        <v>97</v>
      </c>
      <c r="V114">
        <v>149195</v>
      </c>
      <c r="W114">
        <v>1112094</v>
      </c>
      <c r="X114">
        <v>80762</v>
      </c>
      <c r="Y114">
        <f t="shared" si="1"/>
        <v>1112094</v>
      </c>
      <c r="Z114" t="str">
        <f>IF(ISNUMBER(SEARCH("Adjustment",$C114)),"excluded",IF($H114="Behind the Meter","excluded",IF(NOT(OR($E114="Bundled",$E114="Energy")),"excluded",IF(OR($H114="Retail Power Marketer",$H114="Community Choice Aggregator",$E114="Energy"),"procurement",IF(OR($H114="Municipal",$H114="Cooperative",$H114="Federal",$H114="State",$H114="Political Subdivision"),"cost_service",IF($H114="Investor Owned",IF(AND(COUNTIF(Parameters!$A$4:$A$33,$G114)&gt;0,COUNTIF(Parameters!$B$4:$B$33,$B114)=0),"procurement","cost_service"),"unclassified"))))))</f>
        <v>cost_service</v>
      </c>
    </row>
    <row r="115" spans="1:26" x14ac:dyDescent="0.25">
      <c r="A115">
        <v>2024</v>
      </c>
      <c r="B115">
        <v>1890</v>
      </c>
      <c r="C115" t="s">
        <v>234</v>
      </c>
      <c r="D115" t="s">
        <v>84</v>
      </c>
      <c r="E115" t="s">
        <v>85</v>
      </c>
      <c r="F115" t="s">
        <v>86</v>
      </c>
      <c r="G115" t="s">
        <v>106</v>
      </c>
      <c r="H115" t="s">
        <v>91</v>
      </c>
      <c r="I115" t="s">
        <v>126</v>
      </c>
      <c r="J115">
        <v>153538.5</v>
      </c>
      <c r="K115">
        <v>810672</v>
      </c>
      <c r="L115">
        <v>67553</v>
      </c>
      <c r="M115">
        <v>27761.200000000001</v>
      </c>
      <c r="N115">
        <v>199683</v>
      </c>
      <c r="O115">
        <v>5301</v>
      </c>
      <c r="P115">
        <v>13047.8</v>
      </c>
      <c r="Q115">
        <v>154713</v>
      </c>
      <c r="R115">
        <v>59</v>
      </c>
      <c r="S115" t="s">
        <v>97</v>
      </c>
      <c r="T115" t="s">
        <v>97</v>
      </c>
      <c r="U115" t="s">
        <v>97</v>
      </c>
      <c r="V115">
        <v>194347.5</v>
      </c>
      <c r="W115">
        <v>1165068</v>
      </c>
      <c r="X115">
        <v>72913</v>
      </c>
      <c r="Y115">
        <f t="shared" si="1"/>
        <v>1165068</v>
      </c>
      <c r="Z115" t="str">
        <f>IF(ISNUMBER(SEARCH("Adjustment",$C115)),"excluded",IF($H115="Behind the Meter","excluded",IF(NOT(OR($E115="Bundled",$E115="Energy")),"excluded",IF(OR($H115="Retail Power Marketer",$H115="Community Choice Aggregator",$E115="Energy"),"procurement",IF(OR($H115="Municipal",$H115="Cooperative",$H115="Federal",$H115="State",$H115="Political Subdivision"),"cost_service",IF($H115="Investor Owned",IF(AND(COUNTIF(Parameters!$A$4:$A$33,$G115)&gt;0,COUNTIF(Parameters!$B$4:$B$33,$B115)=0),"procurement","cost_service"),"unclassified"))))))</f>
        <v>cost_service</v>
      </c>
    </row>
    <row r="116" spans="1:26" x14ac:dyDescent="0.25">
      <c r="A116">
        <v>2024</v>
      </c>
      <c r="B116">
        <v>1891</v>
      </c>
      <c r="C116" t="s">
        <v>235</v>
      </c>
      <c r="D116" t="s">
        <v>84</v>
      </c>
      <c r="E116" t="s">
        <v>85</v>
      </c>
      <c r="F116" t="s">
        <v>86</v>
      </c>
      <c r="G116" t="s">
        <v>123</v>
      </c>
      <c r="H116" t="s">
        <v>91</v>
      </c>
      <c r="I116" t="s">
        <v>89</v>
      </c>
      <c r="J116">
        <v>47854</v>
      </c>
      <c r="K116">
        <v>341281</v>
      </c>
      <c r="L116">
        <v>30599</v>
      </c>
      <c r="M116">
        <v>27017</v>
      </c>
      <c r="N116">
        <v>180820</v>
      </c>
      <c r="O116">
        <v>8225</v>
      </c>
      <c r="P116">
        <v>0</v>
      </c>
      <c r="Q116">
        <v>0</v>
      </c>
      <c r="R116">
        <v>0</v>
      </c>
      <c r="S116">
        <v>0</v>
      </c>
      <c r="T116">
        <v>0</v>
      </c>
      <c r="U116">
        <v>0</v>
      </c>
      <c r="V116">
        <v>74871</v>
      </c>
      <c r="W116">
        <v>522101</v>
      </c>
      <c r="X116">
        <v>38824</v>
      </c>
      <c r="Y116">
        <f t="shared" si="1"/>
        <v>522101</v>
      </c>
      <c r="Z116" t="str">
        <f>IF(ISNUMBER(SEARCH("Adjustment",$C116)),"excluded",IF($H116="Behind the Meter","excluded",IF(NOT(OR($E116="Bundled",$E116="Energy")),"excluded",IF(OR($H116="Retail Power Marketer",$H116="Community Choice Aggregator",$E116="Energy"),"procurement",IF(OR($H116="Municipal",$H116="Cooperative",$H116="Federal",$H116="State",$H116="Political Subdivision"),"cost_service",IF($H116="Investor Owned",IF(AND(COUNTIF(Parameters!$A$4:$A$33,$G116)&gt;0,COUNTIF(Parameters!$B$4:$B$33,$B116)=0),"procurement","cost_service"),"unclassified"))))))</f>
        <v>cost_service</v>
      </c>
    </row>
    <row r="117" spans="1:26" x14ac:dyDescent="0.25">
      <c r="A117">
        <v>2024</v>
      </c>
      <c r="B117">
        <v>1891</v>
      </c>
      <c r="C117" t="s">
        <v>235</v>
      </c>
      <c r="D117" t="s">
        <v>84</v>
      </c>
      <c r="E117" t="s">
        <v>85</v>
      </c>
      <c r="F117" t="s">
        <v>86</v>
      </c>
      <c r="G117" t="s">
        <v>125</v>
      </c>
      <c r="H117" t="s">
        <v>91</v>
      </c>
      <c r="I117" t="s">
        <v>89</v>
      </c>
      <c r="J117">
        <v>24692</v>
      </c>
      <c r="K117">
        <v>175796</v>
      </c>
      <c r="L117">
        <v>15879</v>
      </c>
      <c r="M117">
        <v>8691</v>
      </c>
      <c r="N117">
        <v>49566</v>
      </c>
      <c r="O117">
        <v>4360</v>
      </c>
      <c r="P117">
        <v>1339</v>
      </c>
      <c r="Q117">
        <v>25511</v>
      </c>
      <c r="R117">
        <v>1</v>
      </c>
      <c r="S117">
        <v>0</v>
      </c>
      <c r="T117">
        <v>0</v>
      </c>
      <c r="U117">
        <v>0</v>
      </c>
      <c r="V117">
        <v>34722</v>
      </c>
      <c r="W117">
        <v>250873</v>
      </c>
      <c r="X117">
        <v>20240</v>
      </c>
      <c r="Y117">
        <f t="shared" si="1"/>
        <v>250873</v>
      </c>
      <c r="Z117" t="str">
        <f>IF(ISNUMBER(SEARCH("Adjustment",$C117)),"excluded",IF($H117="Behind the Meter","excluded",IF(NOT(OR($E117="Bundled",$E117="Energy")),"excluded",IF(OR($H117="Retail Power Marketer",$H117="Community Choice Aggregator",$E117="Energy"),"procurement",IF(OR($H117="Municipal",$H117="Cooperative",$H117="Federal",$H117="State",$H117="Political Subdivision"),"cost_service",IF($H117="Investor Owned",IF(AND(COUNTIF(Parameters!$A$4:$A$33,$G117)&gt;0,COUNTIF(Parameters!$B$4:$B$33,$B117)=0),"procurement","cost_service"),"unclassified"))))))</f>
        <v>cost_service</v>
      </c>
    </row>
    <row r="118" spans="1:26" x14ac:dyDescent="0.25">
      <c r="A118">
        <v>2024</v>
      </c>
      <c r="B118">
        <v>1892</v>
      </c>
      <c r="C118" t="s">
        <v>236</v>
      </c>
      <c r="D118" t="s">
        <v>84</v>
      </c>
      <c r="E118" t="s">
        <v>85</v>
      </c>
      <c r="F118" t="s">
        <v>86</v>
      </c>
      <c r="G118" t="s">
        <v>57</v>
      </c>
      <c r="H118" t="s">
        <v>91</v>
      </c>
      <c r="I118" t="s">
        <v>151</v>
      </c>
      <c r="J118">
        <v>188096.4</v>
      </c>
      <c r="K118">
        <v>1647723</v>
      </c>
      <c r="L118">
        <v>113890</v>
      </c>
      <c r="M118">
        <v>89212.7</v>
      </c>
      <c r="N118">
        <v>1704548</v>
      </c>
      <c r="O118">
        <v>17755</v>
      </c>
      <c r="P118">
        <v>75739.3</v>
      </c>
      <c r="Q118">
        <v>740804</v>
      </c>
      <c r="R118">
        <v>1574</v>
      </c>
      <c r="S118" t="s">
        <v>97</v>
      </c>
      <c r="T118" t="s">
        <v>97</v>
      </c>
      <c r="U118" t="s">
        <v>97</v>
      </c>
      <c r="V118">
        <v>353048.4</v>
      </c>
      <c r="W118">
        <v>4093075</v>
      </c>
      <c r="X118">
        <v>133219</v>
      </c>
      <c r="Y118">
        <f t="shared" si="1"/>
        <v>4093075</v>
      </c>
      <c r="Z118" t="str">
        <f>IF(ISNUMBER(SEARCH("Adjustment",$C118)),"excluded",IF($H118="Behind the Meter","excluded",IF(NOT(OR($E118="Bundled",$E118="Energy")),"excluded",IF(OR($H118="Retail Power Marketer",$H118="Community Choice Aggregator",$E118="Energy"),"procurement",IF(OR($H118="Municipal",$H118="Cooperative",$H118="Federal",$H118="State",$H118="Political Subdivision"),"cost_service",IF($H118="Investor Owned",IF(AND(COUNTIF(Parameters!$A$4:$A$33,$G118)&gt;0,COUNTIF(Parameters!$B$4:$B$33,$B118)=0),"procurement","cost_service"),"unclassified"))))))</f>
        <v>cost_service</v>
      </c>
    </row>
    <row r="119" spans="1:26" x14ac:dyDescent="0.25">
      <c r="A119">
        <v>2024</v>
      </c>
      <c r="B119">
        <v>1896</v>
      </c>
      <c r="C119" t="s">
        <v>237</v>
      </c>
      <c r="D119" t="s">
        <v>84</v>
      </c>
      <c r="E119" t="s">
        <v>85</v>
      </c>
      <c r="F119" t="s">
        <v>86</v>
      </c>
      <c r="G119" t="s">
        <v>130</v>
      </c>
      <c r="H119" t="s">
        <v>88</v>
      </c>
      <c r="I119" t="s">
        <v>92</v>
      </c>
      <c r="J119">
        <v>5023</v>
      </c>
      <c r="K119">
        <v>48379</v>
      </c>
      <c r="L119">
        <v>5007</v>
      </c>
      <c r="M119">
        <v>3456</v>
      </c>
      <c r="N119">
        <v>32106</v>
      </c>
      <c r="O119">
        <v>1013</v>
      </c>
      <c r="P119">
        <v>17706</v>
      </c>
      <c r="Q119">
        <v>204465</v>
      </c>
      <c r="R119">
        <v>34</v>
      </c>
      <c r="S119" t="s">
        <v>97</v>
      </c>
      <c r="T119" t="s">
        <v>97</v>
      </c>
      <c r="U119" t="s">
        <v>97</v>
      </c>
      <c r="V119">
        <v>26185</v>
      </c>
      <c r="W119">
        <v>284950</v>
      </c>
      <c r="X119">
        <v>6054</v>
      </c>
      <c r="Y119">
        <f t="shared" si="1"/>
        <v>284950</v>
      </c>
      <c r="Z119" t="str">
        <f>IF(ISNUMBER(SEARCH("Adjustment",$C119)),"excluded",IF($H119="Behind the Meter","excluded",IF(NOT(OR($E119="Bundled",$E119="Energy")),"excluded",IF(OR($H119="Retail Power Marketer",$H119="Community Choice Aggregator",$E119="Energy"),"procurement",IF(OR($H119="Municipal",$H119="Cooperative",$H119="Federal",$H119="State",$H119="Political Subdivision"),"cost_service",IF($H119="Investor Owned",IF(AND(COUNTIF(Parameters!$A$4:$A$33,$G119)&gt;0,COUNTIF(Parameters!$B$4:$B$33,$B119)=0),"procurement","cost_service"),"unclassified"))))))</f>
        <v>cost_service</v>
      </c>
    </row>
    <row r="120" spans="1:26" x14ac:dyDescent="0.25">
      <c r="A120">
        <v>2024</v>
      </c>
      <c r="B120">
        <v>1936</v>
      </c>
      <c r="C120" t="s">
        <v>238</v>
      </c>
      <c r="D120" t="s">
        <v>84</v>
      </c>
      <c r="E120" t="s">
        <v>85</v>
      </c>
      <c r="F120" t="s">
        <v>86</v>
      </c>
      <c r="G120" t="s">
        <v>156</v>
      </c>
      <c r="H120" t="s">
        <v>88</v>
      </c>
      <c r="I120" t="s">
        <v>89</v>
      </c>
      <c r="J120">
        <v>16757</v>
      </c>
      <c r="K120">
        <v>124099</v>
      </c>
      <c r="L120">
        <v>8929</v>
      </c>
      <c r="M120">
        <v>11215</v>
      </c>
      <c r="N120">
        <v>77047</v>
      </c>
      <c r="O120">
        <v>2519</v>
      </c>
      <c r="P120">
        <v>1369</v>
      </c>
      <c r="Q120">
        <v>18493</v>
      </c>
      <c r="R120">
        <v>1</v>
      </c>
      <c r="S120">
        <v>0</v>
      </c>
      <c r="T120">
        <v>0</v>
      </c>
      <c r="U120">
        <v>0</v>
      </c>
      <c r="V120">
        <v>29341</v>
      </c>
      <c r="W120">
        <v>219639</v>
      </c>
      <c r="X120">
        <v>11449</v>
      </c>
      <c r="Y120">
        <f t="shared" si="1"/>
        <v>219639</v>
      </c>
      <c r="Z120" t="str">
        <f>IF(ISNUMBER(SEARCH("Adjustment",$C120)),"excluded",IF($H120="Behind the Meter","excluded",IF(NOT(OR($E120="Bundled",$E120="Energy")),"excluded",IF(OR($H120="Retail Power Marketer",$H120="Community Choice Aggregator",$E120="Energy"),"procurement",IF(OR($H120="Municipal",$H120="Cooperative",$H120="Federal",$H120="State",$H120="Political Subdivision"),"cost_service",IF($H120="Investor Owned",IF(AND(COUNTIF(Parameters!$A$4:$A$33,$G120)&gt;0,COUNTIF(Parameters!$B$4:$B$33,$B120)=0),"procurement","cost_service"),"unclassified"))))))</f>
        <v>cost_service</v>
      </c>
    </row>
    <row r="121" spans="1:26" x14ac:dyDescent="0.25">
      <c r="A121">
        <v>2024</v>
      </c>
      <c r="B121">
        <v>1997</v>
      </c>
      <c r="C121" t="s">
        <v>239</v>
      </c>
      <c r="D121" t="s">
        <v>84</v>
      </c>
      <c r="E121" t="s">
        <v>85</v>
      </c>
      <c r="F121" t="s">
        <v>86</v>
      </c>
      <c r="G121" t="s">
        <v>95</v>
      </c>
      <c r="H121" t="s">
        <v>88</v>
      </c>
      <c r="I121" t="s">
        <v>96</v>
      </c>
      <c r="J121">
        <v>1234.7</v>
      </c>
      <c r="K121">
        <v>11590</v>
      </c>
      <c r="L121">
        <v>1448</v>
      </c>
      <c r="M121">
        <v>2336.8000000000002</v>
      </c>
      <c r="N121">
        <v>26061</v>
      </c>
      <c r="O121">
        <v>333</v>
      </c>
      <c r="P121">
        <v>345</v>
      </c>
      <c r="Q121">
        <v>4314</v>
      </c>
      <c r="R121">
        <v>1</v>
      </c>
      <c r="S121">
        <v>0</v>
      </c>
      <c r="T121">
        <v>0</v>
      </c>
      <c r="U121">
        <v>0</v>
      </c>
      <c r="V121">
        <v>3916.5</v>
      </c>
      <c r="W121">
        <v>41965</v>
      </c>
      <c r="X121">
        <v>1782</v>
      </c>
      <c r="Y121">
        <f t="shared" si="1"/>
        <v>41965</v>
      </c>
      <c r="Z121" t="str">
        <f>IF(ISNUMBER(SEARCH("Adjustment",$C121)),"excluded",IF($H121="Behind the Meter","excluded",IF(NOT(OR($E121="Bundled",$E121="Energy")),"excluded",IF(OR($H121="Retail Power Marketer",$H121="Community Choice Aggregator",$E121="Energy"),"procurement",IF(OR($H121="Municipal",$H121="Cooperative",$H121="Federal",$H121="State",$H121="Political Subdivision"),"cost_service",IF($H121="Investor Owned",IF(AND(COUNTIF(Parameters!$A$4:$A$33,$G121)&gt;0,COUNTIF(Parameters!$B$4:$B$33,$B121)=0),"procurement","cost_service"),"unclassified"))))))</f>
        <v>cost_service</v>
      </c>
    </row>
    <row r="122" spans="1:26" x14ac:dyDescent="0.25">
      <c r="A122">
        <v>2024</v>
      </c>
      <c r="B122">
        <v>2001</v>
      </c>
      <c r="C122" t="s">
        <v>240</v>
      </c>
      <c r="D122" t="s">
        <v>84</v>
      </c>
      <c r="E122" t="s">
        <v>85</v>
      </c>
      <c r="F122" t="s">
        <v>86</v>
      </c>
      <c r="G122" t="s">
        <v>226</v>
      </c>
      <c r="H122" t="s">
        <v>91</v>
      </c>
      <c r="I122" t="s">
        <v>227</v>
      </c>
      <c r="J122">
        <v>57566</v>
      </c>
      <c r="K122">
        <v>429513</v>
      </c>
      <c r="L122">
        <v>33806</v>
      </c>
      <c r="M122">
        <v>10657</v>
      </c>
      <c r="N122">
        <v>99157</v>
      </c>
      <c r="O122">
        <v>1344</v>
      </c>
      <c r="P122">
        <v>4296</v>
      </c>
      <c r="Q122">
        <v>42439</v>
      </c>
      <c r="R122">
        <v>7</v>
      </c>
      <c r="S122" t="s">
        <v>97</v>
      </c>
      <c r="T122" t="s">
        <v>97</v>
      </c>
      <c r="U122" t="s">
        <v>97</v>
      </c>
      <c r="V122">
        <v>72519</v>
      </c>
      <c r="W122">
        <v>571109</v>
      </c>
      <c r="X122">
        <v>35157</v>
      </c>
      <c r="Y122">
        <f t="shared" si="1"/>
        <v>571109</v>
      </c>
      <c r="Z122" t="str">
        <f>IF(ISNUMBER(SEARCH("Adjustment",$C122)),"excluded",IF($H122="Behind the Meter","excluded",IF(NOT(OR($E122="Bundled",$E122="Energy")),"excluded",IF(OR($H122="Retail Power Marketer",$H122="Community Choice Aggregator",$E122="Energy"),"procurement",IF(OR($H122="Municipal",$H122="Cooperative",$H122="Federal",$H122="State",$H122="Political Subdivision"),"cost_service",IF($H122="Investor Owned",IF(AND(COUNTIF(Parameters!$A$4:$A$33,$G122)&gt;0,COUNTIF(Parameters!$B$4:$B$33,$B122)=0),"procurement","cost_service"),"unclassified"))))))</f>
        <v>cost_service</v>
      </c>
    </row>
    <row r="123" spans="1:26" x14ac:dyDescent="0.25">
      <c r="A123">
        <v>2024</v>
      </c>
      <c r="B123">
        <v>2008</v>
      </c>
      <c r="C123" t="s">
        <v>241</v>
      </c>
      <c r="D123" t="s">
        <v>84</v>
      </c>
      <c r="E123" t="s">
        <v>85</v>
      </c>
      <c r="F123" t="s">
        <v>86</v>
      </c>
      <c r="G123" t="s">
        <v>242</v>
      </c>
      <c r="H123" t="s">
        <v>88</v>
      </c>
      <c r="I123" t="s">
        <v>243</v>
      </c>
      <c r="J123">
        <v>11007</v>
      </c>
      <c r="K123">
        <v>106104</v>
      </c>
      <c r="L123">
        <v>7145</v>
      </c>
      <c r="M123">
        <v>6958</v>
      </c>
      <c r="N123">
        <v>53955</v>
      </c>
      <c r="O123">
        <v>923</v>
      </c>
      <c r="P123">
        <v>120</v>
      </c>
      <c r="Q123">
        <v>933</v>
      </c>
      <c r="R123">
        <v>6</v>
      </c>
      <c r="S123">
        <v>0</v>
      </c>
      <c r="T123">
        <v>0</v>
      </c>
      <c r="U123">
        <v>0</v>
      </c>
      <c r="V123">
        <v>18085</v>
      </c>
      <c r="W123">
        <v>160992</v>
      </c>
      <c r="X123">
        <v>8074</v>
      </c>
      <c r="Y123">
        <f t="shared" si="1"/>
        <v>160992</v>
      </c>
      <c r="Z123" t="str">
        <f>IF(ISNUMBER(SEARCH("Adjustment",$C123)),"excluded",IF($H123="Behind the Meter","excluded",IF(NOT(OR($E123="Bundled",$E123="Energy")),"excluded",IF(OR($H123="Retail Power Marketer",$H123="Community Choice Aggregator",$E123="Energy"),"procurement",IF(OR($H123="Municipal",$H123="Cooperative",$H123="Federal",$H123="State",$H123="Political Subdivision"),"cost_service",IF($H123="Investor Owned",IF(AND(COUNTIF(Parameters!$A$4:$A$33,$G123)&gt;0,COUNTIF(Parameters!$B$4:$B$33,$B123)=0),"procurement","cost_service"),"unclassified"))))))</f>
        <v>cost_service</v>
      </c>
    </row>
    <row r="124" spans="1:26" x14ac:dyDescent="0.25">
      <c r="A124">
        <v>2024</v>
      </c>
      <c r="B124">
        <v>2010</v>
      </c>
      <c r="C124" t="s">
        <v>244</v>
      </c>
      <c r="D124" t="s">
        <v>84</v>
      </c>
      <c r="E124" t="s">
        <v>85</v>
      </c>
      <c r="F124" t="s">
        <v>86</v>
      </c>
      <c r="G124" t="s">
        <v>245</v>
      </c>
      <c r="H124" t="s">
        <v>88</v>
      </c>
      <c r="I124" t="s">
        <v>246</v>
      </c>
      <c r="J124">
        <v>20849.599999999999</v>
      </c>
      <c r="K124">
        <v>160774</v>
      </c>
      <c r="L124">
        <v>15709</v>
      </c>
      <c r="M124">
        <v>10495.3</v>
      </c>
      <c r="N124">
        <v>88010</v>
      </c>
      <c r="O124">
        <v>1658</v>
      </c>
      <c r="P124">
        <v>2844.5</v>
      </c>
      <c r="Q124">
        <v>35238</v>
      </c>
      <c r="R124">
        <v>1</v>
      </c>
      <c r="S124">
        <v>0</v>
      </c>
      <c r="T124">
        <v>0</v>
      </c>
      <c r="U124">
        <v>0</v>
      </c>
      <c r="V124">
        <v>34189.4</v>
      </c>
      <c r="W124">
        <v>284022</v>
      </c>
      <c r="X124">
        <v>17368</v>
      </c>
      <c r="Y124">
        <f t="shared" si="1"/>
        <v>284022</v>
      </c>
      <c r="Z124" t="str">
        <f>IF(ISNUMBER(SEARCH("Adjustment",$C124)),"excluded",IF($H124="Behind the Meter","excluded",IF(NOT(OR($E124="Bundled",$E124="Energy")),"excluded",IF(OR($H124="Retail Power Marketer",$H124="Community Choice Aggregator",$E124="Energy"),"procurement",IF(OR($H124="Municipal",$H124="Cooperative",$H124="Federal",$H124="State",$H124="Political Subdivision"),"cost_service",IF($H124="Investor Owned",IF(AND(COUNTIF(Parameters!$A$4:$A$33,$G124)&gt;0,COUNTIF(Parameters!$B$4:$B$33,$B124)=0),"procurement","cost_service"),"unclassified"))))))</f>
        <v>cost_service</v>
      </c>
    </row>
    <row r="125" spans="1:26" x14ac:dyDescent="0.25">
      <c r="A125">
        <v>2024</v>
      </c>
      <c r="B125">
        <v>2049</v>
      </c>
      <c r="C125" t="s">
        <v>247</v>
      </c>
      <c r="D125" t="s">
        <v>84</v>
      </c>
      <c r="E125" t="s">
        <v>85</v>
      </c>
      <c r="F125" t="s">
        <v>86</v>
      </c>
      <c r="G125" t="s">
        <v>57</v>
      </c>
      <c r="H125" t="s">
        <v>91</v>
      </c>
      <c r="I125" t="s">
        <v>135</v>
      </c>
      <c r="J125">
        <v>59350.1</v>
      </c>
      <c r="K125">
        <v>472356</v>
      </c>
      <c r="L125">
        <v>34526</v>
      </c>
      <c r="M125">
        <v>13586.6</v>
      </c>
      <c r="N125">
        <v>115542</v>
      </c>
      <c r="O125">
        <v>5298</v>
      </c>
      <c r="P125">
        <v>3747.5</v>
      </c>
      <c r="Q125">
        <v>39904</v>
      </c>
      <c r="R125">
        <v>8</v>
      </c>
      <c r="S125" t="s">
        <v>97</v>
      </c>
      <c r="T125" t="s">
        <v>97</v>
      </c>
      <c r="U125" t="s">
        <v>97</v>
      </c>
      <c r="V125">
        <v>76684.2</v>
      </c>
      <c r="W125">
        <v>627802</v>
      </c>
      <c r="X125">
        <v>39832</v>
      </c>
      <c r="Y125">
        <f t="shared" si="1"/>
        <v>627802</v>
      </c>
      <c r="Z125" t="str">
        <f>IF(ISNUMBER(SEARCH("Adjustment",$C125)),"excluded",IF($H125="Behind the Meter","excluded",IF(NOT(OR($E125="Bundled",$E125="Energy")),"excluded",IF(OR($H125="Retail Power Marketer",$H125="Community Choice Aggregator",$E125="Energy"),"procurement",IF(OR($H125="Municipal",$H125="Cooperative",$H125="Federal",$H125="State",$H125="Political Subdivision"),"cost_service",IF($H125="Investor Owned",IF(AND(COUNTIF(Parameters!$A$4:$A$33,$G125)&gt;0,COUNTIF(Parameters!$B$4:$B$33,$B125)=0),"procurement","cost_service"),"unclassified"))))))</f>
        <v>cost_service</v>
      </c>
    </row>
    <row r="126" spans="1:26" x14ac:dyDescent="0.25">
      <c r="A126">
        <v>2024</v>
      </c>
      <c r="B126">
        <v>2054</v>
      </c>
      <c r="C126" t="s">
        <v>248</v>
      </c>
      <c r="D126" t="s">
        <v>84</v>
      </c>
      <c r="E126" t="s">
        <v>85</v>
      </c>
      <c r="F126" t="s">
        <v>86</v>
      </c>
      <c r="G126" t="s">
        <v>54</v>
      </c>
      <c r="H126" t="s">
        <v>88</v>
      </c>
      <c r="I126" t="s">
        <v>92</v>
      </c>
      <c r="J126">
        <v>15168</v>
      </c>
      <c r="K126">
        <v>98734</v>
      </c>
      <c r="L126">
        <v>13068</v>
      </c>
      <c r="M126">
        <v>8743</v>
      </c>
      <c r="N126">
        <v>59356</v>
      </c>
      <c r="O126">
        <v>1703</v>
      </c>
      <c r="P126">
        <v>38396</v>
      </c>
      <c r="Q126">
        <v>360103</v>
      </c>
      <c r="R126">
        <v>79</v>
      </c>
      <c r="S126" t="s">
        <v>97</v>
      </c>
      <c r="T126" t="s">
        <v>97</v>
      </c>
      <c r="U126" t="s">
        <v>97</v>
      </c>
      <c r="V126">
        <v>62307</v>
      </c>
      <c r="W126">
        <v>518193</v>
      </c>
      <c r="X126">
        <v>14850</v>
      </c>
      <c r="Y126">
        <f t="shared" si="1"/>
        <v>518193</v>
      </c>
      <c r="Z126" t="str">
        <f>IF(ISNUMBER(SEARCH("Adjustment",$C126)),"excluded",IF($H126="Behind the Meter","excluded",IF(NOT(OR($E126="Bundled",$E126="Energy")),"excluded",IF(OR($H126="Retail Power Marketer",$H126="Community Choice Aggregator",$E126="Energy"),"procurement",IF(OR($H126="Municipal",$H126="Cooperative",$H126="Federal",$H126="State",$H126="Political Subdivision"),"cost_service",IF($H126="Investor Owned",IF(AND(COUNTIF(Parameters!$A$4:$A$33,$G126)&gt;0,COUNTIF(Parameters!$B$4:$B$33,$B126)=0),"procurement","cost_service"),"unclassified"))))))</f>
        <v>cost_service</v>
      </c>
    </row>
    <row r="127" spans="1:26" x14ac:dyDescent="0.25">
      <c r="A127">
        <v>2024</v>
      </c>
      <c r="B127">
        <v>2056</v>
      </c>
      <c r="C127" t="s">
        <v>249</v>
      </c>
      <c r="D127" t="s">
        <v>84</v>
      </c>
      <c r="E127" t="s">
        <v>85</v>
      </c>
      <c r="F127" t="s">
        <v>86</v>
      </c>
      <c r="G127" t="s">
        <v>209</v>
      </c>
      <c r="H127" t="s">
        <v>88</v>
      </c>
      <c r="I127" t="s">
        <v>89</v>
      </c>
      <c r="J127">
        <v>33332</v>
      </c>
      <c r="K127">
        <v>290316</v>
      </c>
      <c r="L127">
        <v>27181</v>
      </c>
      <c r="M127">
        <v>49271</v>
      </c>
      <c r="N127">
        <v>465487</v>
      </c>
      <c r="O127">
        <v>5331</v>
      </c>
      <c r="P127">
        <v>7663</v>
      </c>
      <c r="Q127">
        <v>108410</v>
      </c>
      <c r="R127">
        <v>5</v>
      </c>
      <c r="S127">
        <v>0</v>
      </c>
      <c r="T127">
        <v>0</v>
      </c>
      <c r="U127">
        <v>0</v>
      </c>
      <c r="V127">
        <v>90266</v>
      </c>
      <c r="W127">
        <v>864213</v>
      </c>
      <c r="X127">
        <v>32517</v>
      </c>
      <c r="Y127">
        <f t="shared" si="1"/>
        <v>864213</v>
      </c>
      <c r="Z127" t="str">
        <f>IF(ISNUMBER(SEARCH("Adjustment",$C127)),"excluded",IF($H127="Behind the Meter","excluded",IF(NOT(OR($E127="Bundled",$E127="Energy")),"excluded",IF(OR($H127="Retail Power Marketer",$H127="Community Choice Aggregator",$E127="Energy"),"procurement",IF(OR($H127="Municipal",$H127="Cooperative",$H127="Federal",$H127="State",$H127="Political Subdivision"),"cost_service",IF($H127="Investor Owned",IF(AND(COUNTIF(Parameters!$A$4:$A$33,$G127)&gt;0,COUNTIF(Parameters!$B$4:$B$33,$B127)=0),"procurement","cost_service"),"unclassified"))))))</f>
        <v>cost_service</v>
      </c>
    </row>
    <row r="128" spans="1:26" x14ac:dyDescent="0.25">
      <c r="A128">
        <v>2024</v>
      </c>
      <c r="B128">
        <v>2089</v>
      </c>
      <c r="C128" t="s">
        <v>250</v>
      </c>
      <c r="D128" t="s">
        <v>84</v>
      </c>
      <c r="E128" t="s">
        <v>85</v>
      </c>
      <c r="F128" t="s">
        <v>86</v>
      </c>
      <c r="G128" t="s">
        <v>40</v>
      </c>
      <c r="H128" t="s">
        <v>88</v>
      </c>
      <c r="I128" t="s">
        <v>189</v>
      </c>
      <c r="J128">
        <v>4696</v>
      </c>
      <c r="K128">
        <v>24294</v>
      </c>
      <c r="L128">
        <v>2434</v>
      </c>
      <c r="M128">
        <v>1704</v>
      </c>
      <c r="N128">
        <v>8162</v>
      </c>
      <c r="O128">
        <v>381</v>
      </c>
      <c r="P128">
        <v>17288</v>
      </c>
      <c r="Q128">
        <v>179941</v>
      </c>
      <c r="R128">
        <v>15</v>
      </c>
      <c r="S128">
        <v>0</v>
      </c>
      <c r="T128">
        <v>0</v>
      </c>
      <c r="U128">
        <v>0</v>
      </c>
      <c r="V128">
        <v>23688</v>
      </c>
      <c r="W128">
        <v>212397</v>
      </c>
      <c r="X128">
        <v>2830</v>
      </c>
      <c r="Y128">
        <f t="shared" si="1"/>
        <v>212397</v>
      </c>
      <c r="Z128" t="str">
        <f>IF(ISNUMBER(SEARCH("Adjustment",$C128)),"excluded",IF($H128="Behind the Meter","excluded",IF(NOT(OR($E128="Bundled",$E128="Energy")),"excluded",IF(OR($H128="Retail Power Marketer",$H128="Community Choice Aggregator",$E128="Energy"),"procurement",IF(OR($H128="Municipal",$H128="Cooperative",$H128="Federal",$H128="State",$H128="Political Subdivision"),"cost_service",IF($H128="Investor Owned",IF(AND(COUNTIF(Parameters!$A$4:$A$33,$G128)&gt;0,COUNTIF(Parameters!$B$4:$B$33,$B128)=0),"procurement","cost_service"),"unclassified"))))))</f>
        <v>cost_service</v>
      </c>
    </row>
    <row r="129" spans="1:26" x14ac:dyDescent="0.25">
      <c r="A129">
        <v>2024</v>
      </c>
      <c r="B129">
        <v>2138</v>
      </c>
      <c r="C129" t="s">
        <v>251</v>
      </c>
      <c r="D129" t="s">
        <v>84</v>
      </c>
      <c r="E129" t="s">
        <v>85</v>
      </c>
      <c r="F129" t="s">
        <v>86</v>
      </c>
      <c r="G129" t="s">
        <v>104</v>
      </c>
      <c r="H129" t="s">
        <v>88</v>
      </c>
      <c r="I129" t="s">
        <v>96</v>
      </c>
      <c r="J129">
        <v>6342.9</v>
      </c>
      <c r="K129">
        <v>52218</v>
      </c>
      <c r="L129">
        <v>6956</v>
      </c>
      <c r="M129">
        <v>21007.200000000001</v>
      </c>
      <c r="N129">
        <v>278324</v>
      </c>
      <c r="O129">
        <v>1349</v>
      </c>
      <c r="P129">
        <v>0</v>
      </c>
      <c r="Q129">
        <v>0</v>
      </c>
      <c r="R129">
        <v>0</v>
      </c>
      <c r="S129" t="s">
        <v>97</v>
      </c>
      <c r="T129" t="s">
        <v>97</v>
      </c>
      <c r="U129" t="s">
        <v>97</v>
      </c>
      <c r="V129">
        <v>27350.1</v>
      </c>
      <c r="W129">
        <v>330542</v>
      </c>
      <c r="X129">
        <v>8305</v>
      </c>
      <c r="Y129">
        <f t="shared" si="1"/>
        <v>330542</v>
      </c>
      <c r="Z129" t="str">
        <f>IF(ISNUMBER(SEARCH("Adjustment",$C129)),"excluded",IF($H129="Behind the Meter","excluded",IF(NOT(OR($E129="Bundled",$E129="Energy")),"excluded",IF(OR($H129="Retail Power Marketer",$H129="Community Choice Aggregator",$E129="Energy"),"procurement",IF(OR($H129="Municipal",$H129="Cooperative",$H129="Federal",$H129="State",$H129="Political Subdivision"),"cost_service",IF($H129="Investor Owned",IF(AND(COUNTIF(Parameters!$A$4:$A$33,$G129)&gt;0,COUNTIF(Parameters!$B$4:$B$33,$B129)=0),"procurement","cost_service"),"unclassified"))))))</f>
        <v>cost_service</v>
      </c>
    </row>
    <row r="130" spans="1:26" x14ac:dyDescent="0.25">
      <c r="A130">
        <v>2024</v>
      </c>
      <c r="B130">
        <v>2144</v>
      </c>
      <c r="C130" t="s">
        <v>252</v>
      </c>
      <c r="D130" t="s">
        <v>84</v>
      </c>
      <c r="E130" t="s">
        <v>85</v>
      </c>
      <c r="F130" t="s">
        <v>86</v>
      </c>
      <c r="G130" t="s">
        <v>48</v>
      </c>
      <c r="H130" t="s">
        <v>88</v>
      </c>
      <c r="I130" t="s">
        <v>189</v>
      </c>
      <c r="J130">
        <v>18800</v>
      </c>
      <c r="K130">
        <v>119085</v>
      </c>
      <c r="L130">
        <v>14039</v>
      </c>
      <c r="M130">
        <v>31028</v>
      </c>
      <c r="N130">
        <v>185048</v>
      </c>
      <c r="O130">
        <v>2725</v>
      </c>
      <c r="P130">
        <v>2774</v>
      </c>
      <c r="Q130">
        <v>18339</v>
      </c>
      <c r="R130">
        <v>5</v>
      </c>
      <c r="S130" t="s">
        <v>97</v>
      </c>
      <c r="T130" t="s">
        <v>97</v>
      </c>
      <c r="U130" t="s">
        <v>97</v>
      </c>
      <c r="V130">
        <v>52602</v>
      </c>
      <c r="W130">
        <v>322472</v>
      </c>
      <c r="X130">
        <v>16769</v>
      </c>
      <c r="Y130">
        <f t="shared" si="1"/>
        <v>322472</v>
      </c>
      <c r="Z130" t="str">
        <f>IF(ISNUMBER(SEARCH("Adjustment",$C130)),"excluded",IF($H130="Behind the Meter","excluded",IF(NOT(OR($E130="Bundled",$E130="Energy")),"excluded",IF(OR($H130="Retail Power Marketer",$H130="Community Choice Aggregator",$E130="Energy"),"procurement",IF(OR($H130="Municipal",$H130="Cooperative",$H130="Federal",$H130="State",$H130="Political Subdivision"),"cost_service",IF($H130="Investor Owned",IF(AND(COUNTIF(Parameters!$A$4:$A$33,$G130)&gt;0,COUNTIF(Parameters!$B$4:$B$33,$B130)=0),"procurement","cost_service"),"unclassified"))))))</f>
        <v>cost_service</v>
      </c>
    </row>
    <row r="131" spans="1:26" x14ac:dyDescent="0.25">
      <c r="A131">
        <v>2024</v>
      </c>
      <c r="B131">
        <v>2194</v>
      </c>
      <c r="C131" t="s">
        <v>253</v>
      </c>
      <c r="D131" t="s">
        <v>84</v>
      </c>
      <c r="E131" t="s">
        <v>85</v>
      </c>
      <c r="F131" t="s">
        <v>86</v>
      </c>
      <c r="G131" t="s">
        <v>57</v>
      </c>
      <c r="H131" t="s">
        <v>88</v>
      </c>
      <c r="I131" t="s">
        <v>151</v>
      </c>
      <c r="J131">
        <v>8234</v>
      </c>
      <c r="K131">
        <v>77840</v>
      </c>
      <c r="L131">
        <v>6059</v>
      </c>
      <c r="M131">
        <v>7280.3</v>
      </c>
      <c r="N131">
        <v>79152</v>
      </c>
      <c r="O131">
        <v>1359</v>
      </c>
      <c r="P131">
        <v>8949.1</v>
      </c>
      <c r="Q131">
        <v>116218</v>
      </c>
      <c r="R131">
        <v>24</v>
      </c>
      <c r="S131" t="s">
        <v>97</v>
      </c>
      <c r="T131" t="s">
        <v>97</v>
      </c>
      <c r="U131" t="s">
        <v>97</v>
      </c>
      <c r="V131">
        <v>24463.4</v>
      </c>
      <c r="W131">
        <v>273210</v>
      </c>
      <c r="X131">
        <v>7442</v>
      </c>
      <c r="Y131">
        <f t="shared" si="1"/>
        <v>273210</v>
      </c>
      <c r="Z131" t="str">
        <f>IF(ISNUMBER(SEARCH("Adjustment",$C131)),"excluded",IF($H131="Behind the Meter","excluded",IF(NOT(OR($E131="Bundled",$E131="Energy")),"excluded",IF(OR($H131="Retail Power Marketer",$H131="Community Choice Aggregator",$E131="Energy"),"procurement",IF(OR($H131="Municipal",$H131="Cooperative",$H131="Federal",$H131="State",$H131="Political Subdivision"),"cost_service",IF($H131="Investor Owned",IF(AND(COUNTIF(Parameters!$A$4:$A$33,$G131)&gt;0,COUNTIF(Parameters!$B$4:$B$33,$B131)=0),"procurement","cost_service"),"unclassified"))))))</f>
        <v>cost_service</v>
      </c>
    </row>
    <row r="132" spans="1:26" x14ac:dyDescent="0.25">
      <c r="A132">
        <v>2024</v>
      </c>
      <c r="B132">
        <v>2212</v>
      </c>
      <c r="C132" t="s">
        <v>254</v>
      </c>
      <c r="D132" t="s">
        <v>84</v>
      </c>
      <c r="E132" t="s">
        <v>85</v>
      </c>
      <c r="F132" t="s">
        <v>86</v>
      </c>
      <c r="G132" t="s">
        <v>125</v>
      </c>
      <c r="H132" t="s">
        <v>91</v>
      </c>
      <c r="I132" t="s">
        <v>126</v>
      </c>
      <c r="J132">
        <v>990.4</v>
      </c>
      <c r="K132">
        <v>6340</v>
      </c>
      <c r="L132">
        <v>482</v>
      </c>
      <c r="M132">
        <v>22.5</v>
      </c>
      <c r="N132">
        <v>151</v>
      </c>
      <c r="O132">
        <v>8</v>
      </c>
      <c r="P132" t="s">
        <v>97</v>
      </c>
      <c r="Q132" t="s">
        <v>97</v>
      </c>
      <c r="R132" t="s">
        <v>97</v>
      </c>
      <c r="S132" t="s">
        <v>97</v>
      </c>
      <c r="T132" t="s">
        <v>97</v>
      </c>
      <c r="U132" t="s">
        <v>97</v>
      </c>
      <c r="V132">
        <v>1012.9</v>
      </c>
      <c r="W132">
        <v>6491</v>
      </c>
      <c r="X132">
        <v>490</v>
      </c>
      <c r="Y132">
        <f t="shared" ref="Y132:Y195" si="2">IF(ISNUMBER($W132),$W132,0)</f>
        <v>6491</v>
      </c>
      <c r="Z132" t="str">
        <f>IF(ISNUMBER(SEARCH("Adjustment",$C132)),"excluded",IF($H132="Behind the Meter","excluded",IF(NOT(OR($E132="Bundled",$E132="Energy")),"excluded",IF(OR($H132="Retail Power Marketer",$H132="Community Choice Aggregator",$E132="Energy"),"procurement",IF(OR($H132="Municipal",$H132="Cooperative",$H132="Federal",$H132="State",$H132="Political Subdivision"),"cost_service",IF($H132="Investor Owned",IF(AND(COUNTIF(Parameters!$A$4:$A$33,$G132)&gt;0,COUNTIF(Parameters!$B$4:$B$33,$B132)=0),"procurement","cost_service"),"unclassified"))))))</f>
        <v>cost_service</v>
      </c>
    </row>
    <row r="133" spans="1:26" x14ac:dyDescent="0.25">
      <c r="A133">
        <v>2024</v>
      </c>
      <c r="B133">
        <v>2212</v>
      </c>
      <c r="C133" t="s">
        <v>254</v>
      </c>
      <c r="D133" t="s">
        <v>84</v>
      </c>
      <c r="E133" t="s">
        <v>85</v>
      </c>
      <c r="F133" t="s">
        <v>86</v>
      </c>
      <c r="G133" t="s">
        <v>106</v>
      </c>
      <c r="H133" t="s">
        <v>91</v>
      </c>
      <c r="I133" t="s">
        <v>126</v>
      </c>
      <c r="J133">
        <v>46599.3</v>
      </c>
      <c r="K133">
        <v>292858</v>
      </c>
      <c r="L133">
        <v>23140</v>
      </c>
      <c r="M133">
        <v>6417.3</v>
      </c>
      <c r="N133">
        <v>43717</v>
      </c>
      <c r="O133">
        <v>1297</v>
      </c>
      <c r="P133">
        <v>6367.9</v>
      </c>
      <c r="Q133">
        <v>76605</v>
      </c>
      <c r="R133">
        <v>11</v>
      </c>
      <c r="S133" t="s">
        <v>97</v>
      </c>
      <c r="T133" t="s">
        <v>97</v>
      </c>
      <c r="U133" t="s">
        <v>97</v>
      </c>
      <c r="V133">
        <v>59384.5</v>
      </c>
      <c r="W133">
        <v>413180</v>
      </c>
      <c r="X133">
        <v>24448</v>
      </c>
      <c r="Y133">
        <f t="shared" si="2"/>
        <v>413180</v>
      </c>
      <c r="Z133" t="str">
        <f>IF(ISNUMBER(SEARCH("Adjustment",$C133)),"excluded",IF($H133="Behind the Meter","excluded",IF(NOT(OR($E133="Bundled",$E133="Energy")),"excluded",IF(OR($H133="Retail Power Marketer",$H133="Community Choice Aggregator",$E133="Energy"),"procurement",IF(OR($H133="Municipal",$H133="Cooperative",$H133="Federal",$H133="State",$H133="Political Subdivision"),"cost_service",IF($H133="Investor Owned",IF(AND(COUNTIF(Parameters!$A$4:$A$33,$G133)&gt;0,COUNTIF(Parameters!$B$4:$B$33,$B133)=0),"procurement","cost_service"),"unclassified"))))))</f>
        <v>cost_service</v>
      </c>
    </row>
    <row r="134" spans="1:26" x14ac:dyDescent="0.25">
      <c r="A134">
        <v>2024</v>
      </c>
      <c r="B134">
        <v>2247</v>
      </c>
      <c r="C134" t="s">
        <v>255</v>
      </c>
      <c r="D134" t="s">
        <v>84</v>
      </c>
      <c r="E134" t="s">
        <v>85</v>
      </c>
      <c r="F134" t="s">
        <v>86</v>
      </c>
      <c r="G134" t="s">
        <v>156</v>
      </c>
      <c r="H134" t="s">
        <v>88</v>
      </c>
      <c r="I134" t="s">
        <v>89</v>
      </c>
      <c r="J134">
        <v>48093</v>
      </c>
      <c r="K134">
        <v>444739</v>
      </c>
      <c r="L134">
        <v>29622</v>
      </c>
      <c r="M134">
        <v>37814</v>
      </c>
      <c r="N134">
        <v>310905</v>
      </c>
      <c r="O134">
        <v>4812</v>
      </c>
      <c r="P134">
        <v>7205</v>
      </c>
      <c r="Q134">
        <v>105803</v>
      </c>
      <c r="R134">
        <v>8</v>
      </c>
      <c r="S134">
        <v>0</v>
      </c>
      <c r="T134">
        <v>0</v>
      </c>
      <c r="U134">
        <v>0</v>
      </c>
      <c r="V134">
        <v>93112</v>
      </c>
      <c r="W134">
        <v>861447</v>
      </c>
      <c r="X134">
        <v>34442</v>
      </c>
      <c r="Y134">
        <f t="shared" si="2"/>
        <v>861447</v>
      </c>
      <c r="Z134" t="str">
        <f>IF(ISNUMBER(SEARCH("Adjustment",$C134)),"excluded",IF($H134="Behind the Meter","excluded",IF(NOT(OR($E134="Bundled",$E134="Energy")),"excluded",IF(OR($H134="Retail Power Marketer",$H134="Community Choice Aggregator",$E134="Energy"),"procurement",IF(OR($H134="Municipal",$H134="Cooperative",$H134="Federal",$H134="State",$H134="Political Subdivision"),"cost_service",IF($H134="Investor Owned",IF(AND(COUNTIF(Parameters!$A$4:$A$33,$G134)&gt;0,COUNTIF(Parameters!$B$4:$B$33,$B134)=0),"procurement","cost_service"),"unclassified"))))))</f>
        <v>cost_service</v>
      </c>
    </row>
    <row r="135" spans="1:26" x14ac:dyDescent="0.25">
      <c r="A135">
        <v>2024</v>
      </c>
      <c r="B135">
        <v>2248</v>
      </c>
      <c r="C135" t="s">
        <v>256</v>
      </c>
      <c r="D135" t="s">
        <v>84</v>
      </c>
      <c r="E135" t="s">
        <v>85</v>
      </c>
      <c r="F135" t="s">
        <v>86</v>
      </c>
      <c r="G135" t="s">
        <v>93</v>
      </c>
      <c r="H135" t="s">
        <v>88</v>
      </c>
      <c r="I135" t="s">
        <v>89</v>
      </c>
      <c r="J135">
        <v>21515</v>
      </c>
      <c r="K135">
        <v>195777</v>
      </c>
      <c r="L135">
        <v>13633</v>
      </c>
      <c r="M135">
        <v>20643</v>
      </c>
      <c r="N135">
        <v>178798</v>
      </c>
      <c r="O135">
        <v>2849</v>
      </c>
      <c r="P135">
        <v>4749</v>
      </c>
      <c r="Q135">
        <v>71743</v>
      </c>
      <c r="R135">
        <v>3</v>
      </c>
      <c r="S135">
        <v>0</v>
      </c>
      <c r="T135">
        <v>0</v>
      </c>
      <c r="U135">
        <v>0</v>
      </c>
      <c r="V135">
        <v>46907</v>
      </c>
      <c r="W135">
        <v>446318</v>
      </c>
      <c r="X135">
        <v>16485</v>
      </c>
      <c r="Y135">
        <f t="shared" si="2"/>
        <v>446318</v>
      </c>
      <c r="Z135" t="str">
        <f>IF(ISNUMBER(SEARCH("Adjustment",$C135)),"excluded",IF($H135="Behind the Meter","excluded",IF(NOT(OR($E135="Bundled",$E135="Energy")),"excluded",IF(OR($H135="Retail Power Marketer",$H135="Community Choice Aggregator",$E135="Energy"),"procurement",IF(OR($H135="Municipal",$H135="Cooperative",$H135="Federal",$H135="State",$H135="Political Subdivision"),"cost_service",IF($H135="Investor Owned",IF(AND(COUNTIF(Parameters!$A$4:$A$33,$G135)&gt;0,COUNTIF(Parameters!$B$4:$B$33,$B135)=0),"procurement","cost_service"),"unclassified"))))))</f>
        <v>cost_service</v>
      </c>
    </row>
    <row r="136" spans="1:26" x14ac:dyDescent="0.25">
      <c r="A136">
        <v>2024</v>
      </c>
      <c r="B136">
        <v>2273</v>
      </c>
      <c r="C136" t="s">
        <v>257</v>
      </c>
      <c r="D136" t="s">
        <v>84</v>
      </c>
      <c r="E136" t="s">
        <v>85</v>
      </c>
      <c r="F136" t="s">
        <v>86</v>
      </c>
      <c r="G136" t="s">
        <v>95</v>
      </c>
      <c r="H136" t="s">
        <v>88</v>
      </c>
      <c r="I136" t="s">
        <v>96</v>
      </c>
      <c r="J136">
        <v>1668.1</v>
      </c>
      <c r="K136">
        <v>12628</v>
      </c>
      <c r="L136">
        <v>1545</v>
      </c>
      <c r="M136">
        <v>1651.7</v>
      </c>
      <c r="N136">
        <v>13944</v>
      </c>
      <c r="O136">
        <v>311</v>
      </c>
      <c r="P136">
        <v>494.2</v>
      </c>
      <c r="Q136">
        <v>4248</v>
      </c>
      <c r="R136">
        <v>1</v>
      </c>
      <c r="S136">
        <v>0</v>
      </c>
      <c r="T136">
        <v>0</v>
      </c>
      <c r="U136">
        <v>0</v>
      </c>
      <c r="V136">
        <v>3814</v>
      </c>
      <c r="W136">
        <v>30820</v>
      </c>
      <c r="X136">
        <v>1857</v>
      </c>
      <c r="Y136">
        <f t="shared" si="2"/>
        <v>30820</v>
      </c>
      <c r="Z136" t="str">
        <f>IF(ISNUMBER(SEARCH("Adjustment",$C136)),"excluded",IF($H136="Behind the Meter","excluded",IF(NOT(OR($E136="Bundled",$E136="Energy")),"excluded",IF(OR($H136="Retail Power Marketer",$H136="Community Choice Aggregator",$E136="Energy"),"procurement",IF(OR($H136="Municipal",$H136="Cooperative",$H136="Federal",$H136="State",$H136="Political Subdivision"),"cost_service",IF($H136="Investor Owned",IF(AND(COUNTIF(Parameters!$A$4:$A$33,$G136)&gt;0,COUNTIF(Parameters!$B$4:$B$33,$B136)=0),"procurement","cost_service"),"unclassified"))))))</f>
        <v>cost_service</v>
      </c>
    </row>
    <row r="137" spans="1:26" x14ac:dyDescent="0.25">
      <c r="A137">
        <v>2024</v>
      </c>
      <c r="B137">
        <v>2285</v>
      </c>
      <c r="C137" t="s">
        <v>258</v>
      </c>
      <c r="D137" t="s">
        <v>84</v>
      </c>
      <c r="E137" t="s">
        <v>85</v>
      </c>
      <c r="F137" t="s">
        <v>86</v>
      </c>
      <c r="G137" t="s">
        <v>224</v>
      </c>
      <c r="H137" t="s">
        <v>88</v>
      </c>
      <c r="I137" t="s">
        <v>259</v>
      </c>
      <c r="J137">
        <v>11361</v>
      </c>
      <c r="K137">
        <v>102150</v>
      </c>
      <c r="L137">
        <v>10544</v>
      </c>
      <c r="M137">
        <v>4460</v>
      </c>
      <c r="N137">
        <v>38506</v>
      </c>
      <c r="O137">
        <v>1597</v>
      </c>
      <c r="P137">
        <v>14740</v>
      </c>
      <c r="Q137">
        <v>180336</v>
      </c>
      <c r="R137">
        <v>168</v>
      </c>
      <c r="S137">
        <v>0</v>
      </c>
      <c r="T137">
        <v>0</v>
      </c>
      <c r="U137">
        <v>0</v>
      </c>
      <c r="V137">
        <v>30561</v>
      </c>
      <c r="W137">
        <v>320992</v>
      </c>
      <c r="X137">
        <v>12309</v>
      </c>
      <c r="Y137">
        <f t="shared" si="2"/>
        <v>320992</v>
      </c>
      <c r="Z137" t="str">
        <f>IF(ISNUMBER(SEARCH("Adjustment",$C137)),"excluded",IF($H137="Behind the Meter","excluded",IF(NOT(OR($E137="Bundled",$E137="Energy")),"excluded",IF(OR($H137="Retail Power Marketer",$H137="Community Choice Aggregator",$E137="Energy"),"procurement",IF(OR($H137="Municipal",$H137="Cooperative",$H137="Federal",$H137="State",$H137="Political Subdivision"),"cost_service",IF($H137="Investor Owned",IF(AND(COUNTIF(Parameters!$A$4:$A$33,$G137)&gt;0,COUNTIF(Parameters!$B$4:$B$33,$B137)=0),"procurement","cost_service"),"unclassified"))))))</f>
        <v>cost_service</v>
      </c>
    </row>
    <row r="138" spans="1:26" x14ac:dyDescent="0.25">
      <c r="A138">
        <v>2024</v>
      </c>
      <c r="B138">
        <v>2394</v>
      </c>
      <c r="C138" t="s">
        <v>260</v>
      </c>
      <c r="D138" t="s">
        <v>84</v>
      </c>
      <c r="E138" t="s">
        <v>85</v>
      </c>
      <c r="F138" t="s">
        <v>86</v>
      </c>
      <c r="G138" t="s">
        <v>198</v>
      </c>
      <c r="H138" t="s">
        <v>91</v>
      </c>
      <c r="I138" t="s">
        <v>135</v>
      </c>
      <c r="J138">
        <v>3130</v>
      </c>
      <c r="K138">
        <v>39715</v>
      </c>
      <c r="L138">
        <v>1789</v>
      </c>
      <c r="M138">
        <v>1544</v>
      </c>
      <c r="N138">
        <v>14244</v>
      </c>
      <c r="O138">
        <v>349</v>
      </c>
      <c r="P138">
        <v>19542</v>
      </c>
      <c r="Q138">
        <v>159041</v>
      </c>
      <c r="R138">
        <v>1357</v>
      </c>
      <c r="S138" t="s">
        <v>97</v>
      </c>
      <c r="T138" t="s">
        <v>97</v>
      </c>
      <c r="U138" t="s">
        <v>97</v>
      </c>
      <c r="V138">
        <v>24216</v>
      </c>
      <c r="W138">
        <v>213000</v>
      </c>
      <c r="X138">
        <v>3495</v>
      </c>
      <c r="Y138">
        <f t="shared" si="2"/>
        <v>213000</v>
      </c>
      <c r="Z138" t="str">
        <f>IF(ISNUMBER(SEARCH("Adjustment",$C138)),"excluded",IF($H138="Behind the Meter","excluded",IF(NOT(OR($E138="Bundled",$E138="Energy")),"excluded",IF(OR($H138="Retail Power Marketer",$H138="Community Choice Aggregator",$E138="Energy"),"procurement",IF(OR($H138="Municipal",$H138="Cooperative",$H138="Federal",$H138="State",$H138="Political Subdivision"),"cost_service",IF($H138="Investor Owned",IF(AND(COUNTIF(Parameters!$A$4:$A$33,$G138)&gt;0,COUNTIF(Parameters!$B$4:$B$33,$B138)=0),"procurement","cost_service"),"unclassified"))))))</f>
        <v>cost_service</v>
      </c>
    </row>
    <row r="139" spans="1:26" x14ac:dyDescent="0.25">
      <c r="A139">
        <v>2024</v>
      </c>
      <c r="B139">
        <v>2409</v>
      </c>
      <c r="C139" t="s">
        <v>261</v>
      </c>
      <c r="D139" t="s">
        <v>84</v>
      </c>
      <c r="E139" t="s">
        <v>85</v>
      </c>
      <c r="F139" t="s">
        <v>86</v>
      </c>
      <c r="G139" t="s">
        <v>57</v>
      </c>
      <c r="H139" t="s">
        <v>88</v>
      </c>
      <c r="I139" t="s">
        <v>151</v>
      </c>
      <c r="J139">
        <v>81913</v>
      </c>
      <c r="K139">
        <v>644833</v>
      </c>
      <c r="L139">
        <v>48146</v>
      </c>
      <c r="M139">
        <v>87336</v>
      </c>
      <c r="N139">
        <v>685671</v>
      </c>
      <c r="O139">
        <v>6566</v>
      </c>
      <c r="P139">
        <v>0</v>
      </c>
      <c r="Q139">
        <v>0</v>
      </c>
      <c r="R139">
        <v>0</v>
      </c>
      <c r="S139">
        <v>0</v>
      </c>
      <c r="T139">
        <v>0</v>
      </c>
      <c r="U139">
        <v>0</v>
      </c>
      <c r="V139">
        <v>169249</v>
      </c>
      <c r="W139">
        <v>1330504</v>
      </c>
      <c r="X139">
        <v>54712</v>
      </c>
      <c r="Y139">
        <f t="shared" si="2"/>
        <v>1330504</v>
      </c>
      <c r="Z139" t="str">
        <f>IF(ISNUMBER(SEARCH("Adjustment",$C139)),"excluded",IF($H139="Behind the Meter","excluded",IF(NOT(OR($E139="Bundled",$E139="Energy")),"excluded",IF(OR($H139="Retail Power Marketer",$H139="Community Choice Aggregator",$E139="Energy"),"procurement",IF(OR($H139="Municipal",$H139="Cooperative",$H139="Federal",$H139="State",$H139="Political Subdivision"),"cost_service",IF($H139="Investor Owned",IF(AND(COUNTIF(Parameters!$A$4:$A$33,$G139)&gt;0,COUNTIF(Parameters!$B$4:$B$33,$B139)=0),"procurement","cost_service"),"unclassified"))))))</f>
        <v>cost_service</v>
      </c>
    </row>
    <row r="140" spans="1:26" x14ac:dyDescent="0.25">
      <c r="A140">
        <v>2024</v>
      </c>
      <c r="B140">
        <v>2411</v>
      </c>
      <c r="C140" t="s">
        <v>262</v>
      </c>
      <c r="D140" t="s">
        <v>84</v>
      </c>
      <c r="E140" t="s">
        <v>85</v>
      </c>
      <c r="F140" t="s">
        <v>86</v>
      </c>
      <c r="G140" t="s">
        <v>156</v>
      </c>
      <c r="H140" t="s">
        <v>88</v>
      </c>
      <c r="I140" t="s">
        <v>89</v>
      </c>
      <c r="J140">
        <v>5728</v>
      </c>
      <c r="K140">
        <v>50123</v>
      </c>
      <c r="L140">
        <v>4067</v>
      </c>
      <c r="M140">
        <v>6976</v>
      </c>
      <c r="N140">
        <v>57247</v>
      </c>
      <c r="O140">
        <v>1351</v>
      </c>
      <c r="P140">
        <v>4884</v>
      </c>
      <c r="Q140">
        <v>75259</v>
      </c>
      <c r="R140">
        <v>3</v>
      </c>
      <c r="S140">
        <v>0</v>
      </c>
      <c r="T140">
        <v>0</v>
      </c>
      <c r="U140">
        <v>0</v>
      </c>
      <c r="V140">
        <v>17588</v>
      </c>
      <c r="W140">
        <v>182629</v>
      </c>
      <c r="X140">
        <v>5421</v>
      </c>
      <c r="Y140">
        <f t="shared" si="2"/>
        <v>182629</v>
      </c>
      <c r="Z140" t="str">
        <f>IF(ISNUMBER(SEARCH("Adjustment",$C140)),"excluded",IF($H140="Behind the Meter","excluded",IF(NOT(OR($E140="Bundled",$E140="Energy")),"excluded",IF(OR($H140="Retail Power Marketer",$H140="Community Choice Aggregator",$E140="Energy"),"procurement",IF(OR($H140="Municipal",$H140="Cooperative",$H140="Federal",$H140="State",$H140="Political Subdivision"),"cost_service",IF($H140="Investor Owned",IF(AND(COUNTIF(Parameters!$A$4:$A$33,$G140)&gt;0,COUNTIF(Parameters!$B$4:$B$33,$B140)=0),"procurement","cost_service"),"unclassified"))))))</f>
        <v>cost_service</v>
      </c>
    </row>
    <row r="141" spans="1:26" x14ac:dyDescent="0.25">
      <c r="A141">
        <v>2024</v>
      </c>
      <c r="B141">
        <v>2442</v>
      </c>
      <c r="C141" t="s">
        <v>263</v>
      </c>
      <c r="D141" t="s">
        <v>84</v>
      </c>
      <c r="E141" t="s">
        <v>85</v>
      </c>
      <c r="F141" t="s">
        <v>86</v>
      </c>
      <c r="G141" t="s">
        <v>57</v>
      </c>
      <c r="H141" t="s">
        <v>88</v>
      </c>
      <c r="I141" t="s">
        <v>151</v>
      </c>
      <c r="J141">
        <v>89811</v>
      </c>
      <c r="K141">
        <v>788907</v>
      </c>
      <c r="L141">
        <v>58284</v>
      </c>
      <c r="M141">
        <v>63628</v>
      </c>
      <c r="N141">
        <v>665412</v>
      </c>
      <c r="O141">
        <v>10387</v>
      </c>
      <c r="P141">
        <v>12856</v>
      </c>
      <c r="Q141">
        <v>161336</v>
      </c>
      <c r="R141">
        <v>14</v>
      </c>
      <c r="S141">
        <v>0</v>
      </c>
      <c r="T141" t="s">
        <v>97</v>
      </c>
      <c r="U141" t="s">
        <v>97</v>
      </c>
      <c r="V141">
        <v>166295</v>
      </c>
      <c r="W141">
        <v>1615655</v>
      </c>
      <c r="X141">
        <v>68685</v>
      </c>
      <c r="Y141">
        <f t="shared" si="2"/>
        <v>1615655</v>
      </c>
      <c r="Z141" t="str">
        <f>IF(ISNUMBER(SEARCH("Adjustment",$C141)),"excluded",IF($H141="Behind the Meter","excluded",IF(NOT(OR($E141="Bundled",$E141="Energy")),"excluded",IF(OR($H141="Retail Power Marketer",$H141="Community Choice Aggregator",$E141="Energy"),"procurement",IF(OR($H141="Municipal",$H141="Cooperative",$H141="Federal",$H141="State",$H141="Political Subdivision"),"cost_service",IF($H141="Investor Owned",IF(AND(COUNTIF(Parameters!$A$4:$A$33,$G141)&gt;0,COUNTIF(Parameters!$B$4:$B$33,$B141)=0),"procurement","cost_service"),"unclassified"))))))</f>
        <v>cost_service</v>
      </c>
    </row>
    <row r="142" spans="1:26" x14ac:dyDescent="0.25">
      <c r="A142">
        <v>2024</v>
      </c>
      <c r="B142">
        <v>2487</v>
      </c>
      <c r="C142" t="s">
        <v>264</v>
      </c>
      <c r="D142" t="s">
        <v>84</v>
      </c>
      <c r="E142" t="s">
        <v>85</v>
      </c>
      <c r="F142" t="s">
        <v>86</v>
      </c>
      <c r="G142" t="s">
        <v>123</v>
      </c>
      <c r="H142" t="s">
        <v>88</v>
      </c>
      <c r="I142" t="s">
        <v>113</v>
      </c>
      <c r="J142">
        <v>5277</v>
      </c>
      <c r="K142">
        <v>39567</v>
      </c>
      <c r="L142">
        <v>2985</v>
      </c>
      <c r="M142">
        <v>10335.799999999999</v>
      </c>
      <c r="N142">
        <v>74983</v>
      </c>
      <c r="O142">
        <v>1049</v>
      </c>
      <c r="P142">
        <v>10169.299999999999</v>
      </c>
      <c r="Q142">
        <v>99548</v>
      </c>
      <c r="R142">
        <v>26</v>
      </c>
      <c r="S142" t="s">
        <v>97</v>
      </c>
      <c r="T142" t="s">
        <v>97</v>
      </c>
      <c r="U142" t="s">
        <v>97</v>
      </c>
      <c r="V142">
        <v>25782.1</v>
      </c>
      <c r="W142">
        <v>214098</v>
      </c>
      <c r="X142">
        <v>4060</v>
      </c>
      <c r="Y142">
        <f t="shared" si="2"/>
        <v>214098</v>
      </c>
      <c r="Z142" t="str">
        <f>IF(ISNUMBER(SEARCH("Adjustment",$C142)),"excluded",IF($H142="Behind the Meter","excluded",IF(NOT(OR($E142="Bundled",$E142="Energy")),"excluded",IF(OR($H142="Retail Power Marketer",$H142="Community Choice Aggregator",$E142="Energy"),"procurement",IF(OR($H142="Municipal",$H142="Cooperative",$H142="Federal",$H142="State",$H142="Political Subdivision"),"cost_service",IF($H142="Investor Owned",IF(AND(COUNTIF(Parameters!$A$4:$A$33,$G142)&gt;0,COUNTIF(Parameters!$B$4:$B$33,$B142)=0),"procurement","cost_service"),"unclassified"))))))</f>
        <v>cost_service</v>
      </c>
    </row>
    <row r="143" spans="1:26" x14ac:dyDescent="0.25">
      <c r="A143">
        <v>2024</v>
      </c>
      <c r="B143">
        <v>2502</v>
      </c>
      <c r="C143" t="s">
        <v>265</v>
      </c>
      <c r="D143" t="s">
        <v>84</v>
      </c>
      <c r="E143" t="s">
        <v>85</v>
      </c>
      <c r="F143" t="s">
        <v>86</v>
      </c>
      <c r="G143" t="s">
        <v>54</v>
      </c>
      <c r="H143" t="s">
        <v>91</v>
      </c>
      <c r="I143" t="s">
        <v>92</v>
      </c>
      <c r="J143">
        <v>40808.699999999997</v>
      </c>
      <c r="K143">
        <v>205052</v>
      </c>
      <c r="L143">
        <v>16349</v>
      </c>
      <c r="M143">
        <v>4352.6000000000004</v>
      </c>
      <c r="N143">
        <v>18933</v>
      </c>
      <c r="O143">
        <v>2265</v>
      </c>
      <c r="P143">
        <v>1548.3</v>
      </c>
      <c r="Q143">
        <v>9523</v>
      </c>
      <c r="R143">
        <v>88</v>
      </c>
      <c r="S143" t="s">
        <v>97</v>
      </c>
      <c r="T143" t="s">
        <v>97</v>
      </c>
      <c r="U143" t="s">
        <v>97</v>
      </c>
      <c r="V143">
        <v>46709.599999999999</v>
      </c>
      <c r="W143">
        <v>233508</v>
      </c>
      <c r="X143">
        <v>18702</v>
      </c>
      <c r="Y143">
        <f t="shared" si="2"/>
        <v>233508</v>
      </c>
      <c r="Z143" t="str">
        <f>IF(ISNUMBER(SEARCH("Adjustment",$C143)),"excluded",IF($H143="Behind the Meter","excluded",IF(NOT(OR($E143="Bundled",$E143="Energy")),"excluded",IF(OR($H143="Retail Power Marketer",$H143="Community Choice Aggregator",$E143="Energy"),"procurement",IF(OR($H143="Municipal",$H143="Cooperative",$H143="Federal",$H143="State",$H143="Political Subdivision"),"cost_service",IF($H143="Investor Owned",IF(AND(COUNTIF(Parameters!$A$4:$A$33,$G143)&gt;0,COUNTIF(Parameters!$B$4:$B$33,$B143)=0),"procurement","cost_service"),"unclassified"))))))</f>
        <v>cost_service</v>
      </c>
    </row>
    <row r="144" spans="1:26" x14ac:dyDescent="0.25">
      <c r="A144">
        <v>2024</v>
      </c>
      <c r="B144">
        <v>2507</v>
      </c>
      <c r="C144" t="s">
        <v>266</v>
      </c>
      <c r="D144" t="s">
        <v>84</v>
      </c>
      <c r="E144" t="s">
        <v>85</v>
      </c>
      <c r="F144" t="s">
        <v>86</v>
      </c>
      <c r="G144" t="s">
        <v>115</v>
      </c>
      <c r="H144" t="s">
        <v>88</v>
      </c>
      <c r="I144" t="s">
        <v>267</v>
      </c>
      <c r="J144">
        <v>49794</v>
      </c>
      <c r="K144">
        <v>258668</v>
      </c>
      <c r="L144">
        <v>46157</v>
      </c>
      <c r="M144">
        <v>123658</v>
      </c>
      <c r="N144">
        <v>683972</v>
      </c>
      <c r="O144">
        <v>6998</v>
      </c>
      <c r="P144" t="s">
        <v>97</v>
      </c>
      <c r="Q144" t="s">
        <v>97</v>
      </c>
      <c r="R144" t="s">
        <v>97</v>
      </c>
      <c r="S144" t="s">
        <v>97</v>
      </c>
      <c r="T144" t="s">
        <v>97</v>
      </c>
      <c r="U144" t="s">
        <v>97</v>
      </c>
      <c r="V144">
        <v>173452</v>
      </c>
      <c r="W144">
        <v>942640</v>
      </c>
      <c r="X144">
        <v>53155</v>
      </c>
      <c r="Y144">
        <f t="shared" si="2"/>
        <v>942640</v>
      </c>
      <c r="Z144" t="str">
        <f>IF(ISNUMBER(SEARCH("Adjustment",$C144)),"excluded",IF($H144="Behind the Meter","excluded",IF(NOT(OR($E144="Bundled",$E144="Energy")),"excluded",IF(OR($H144="Retail Power Marketer",$H144="Community Choice Aggregator",$E144="Energy"),"procurement",IF(OR($H144="Municipal",$H144="Cooperative",$H144="Federal",$H144="State",$H144="Political Subdivision"),"cost_service",IF($H144="Investor Owned",IF(AND(COUNTIF(Parameters!$A$4:$A$33,$G144)&gt;0,COUNTIF(Parameters!$B$4:$B$33,$B144)=0),"procurement","cost_service"),"unclassified"))))))</f>
        <v>cost_service</v>
      </c>
    </row>
    <row r="145" spans="1:26" x14ac:dyDescent="0.25">
      <c r="A145">
        <v>2024</v>
      </c>
      <c r="B145">
        <v>2548</v>
      </c>
      <c r="C145" t="s">
        <v>268</v>
      </c>
      <c r="D145" t="s">
        <v>84</v>
      </c>
      <c r="E145" t="s">
        <v>85</v>
      </c>
      <c r="F145" t="s">
        <v>86</v>
      </c>
      <c r="G145" t="s">
        <v>269</v>
      </c>
      <c r="H145" t="s">
        <v>88</v>
      </c>
      <c r="I145" t="s">
        <v>189</v>
      </c>
      <c r="J145">
        <v>16987.2</v>
      </c>
      <c r="K145">
        <v>89954</v>
      </c>
      <c r="L145">
        <v>17861</v>
      </c>
      <c r="M145">
        <v>29791.200000000001</v>
      </c>
      <c r="N145">
        <v>167696</v>
      </c>
      <c r="O145">
        <v>3972</v>
      </c>
      <c r="P145">
        <v>8909.2000000000007</v>
      </c>
      <c r="Q145">
        <v>64937</v>
      </c>
      <c r="R145">
        <v>9</v>
      </c>
      <c r="S145">
        <v>0</v>
      </c>
      <c r="T145">
        <v>0</v>
      </c>
      <c r="U145">
        <v>0</v>
      </c>
      <c r="V145">
        <v>55687.6</v>
      </c>
      <c r="W145">
        <v>322587</v>
      </c>
      <c r="X145">
        <v>21842</v>
      </c>
      <c r="Y145">
        <f t="shared" si="2"/>
        <v>322587</v>
      </c>
      <c r="Z145" t="str">
        <f>IF(ISNUMBER(SEARCH("Adjustment",$C145)),"excluded",IF($H145="Behind the Meter","excluded",IF(NOT(OR($E145="Bundled",$E145="Energy")),"excluded",IF(OR($H145="Retail Power Marketer",$H145="Community Choice Aggregator",$E145="Energy"),"procurement",IF(OR($H145="Municipal",$H145="Cooperative",$H145="Federal",$H145="State",$H145="Political Subdivision"),"cost_service",IF($H145="Investor Owned",IF(AND(COUNTIF(Parameters!$A$4:$A$33,$G145)&gt;0,COUNTIF(Parameters!$B$4:$B$33,$B145)=0),"procurement","cost_service"),"unclassified"))))))</f>
        <v>cost_service</v>
      </c>
    </row>
    <row r="146" spans="1:26" x14ac:dyDescent="0.25">
      <c r="A146">
        <v>2024</v>
      </c>
      <c r="B146">
        <v>2643</v>
      </c>
      <c r="C146" t="s">
        <v>270</v>
      </c>
      <c r="D146" t="s">
        <v>84</v>
      </c>
      <c r="E146" t="s">
        <v>85</v>
      </c>
      <c r="F146" t="s">
        <v>86</v>
      </c>
      <c r="G146" t="s">
        <v>271</v>
      </c>
      <c r="H146" t="s">
        <v>205</v>
      </c>
      <c r="I146" t="s">
        <v>135</v>
      </c>
      <c r="J146">
        <v>7292</v>
      </c>
      <c r="K146">
        <v>65668</v>
      </c>
      <c r="L146">
        <v>4774</v>
      </c>
      <c r="M146">
        <v>3606</v>
      </c>
      <c r="N146">
        <v>38920</v>
      </c>
      <c r="O146">
        <v>610</v>
      </c>
      <c r="P146">
        <v>9492</v>
      </c>
      <c r="Q146">
        <v>107000</v>
      </c>
      <c r="R146">
        <v>1184</v>
      </c>
      <c r="S146">
        <v>0</v>
      </c>
      <c r="T146">
        <v>0</v>
      </c>
      <c r="U146">
        <v>0</v>
      </c>
      <c r="V146">
        <v>20390</v>
      </c>
      <c r="W146">
        <v>211588</v>
      </c>
      <c r="X146">
        <v>6568</v>
      </c>
      <c r="Y146">
        <f t="shared" si="2"/>
        <v>211588</v>
      </c>
      <c r="Z146" t="str">
        <f>IF(ISNUMBER(SEARCH("Adjustment",$C146)),"excluded",IF($H146="Behind the Meter","excluded",IF(NOT(OR($E146="Bundled",$E146="Energy")),"excluded",IF(OR($H146="Retail Power Marketer",$H146="Community Choice Aggregator",$E146="Energy"),"procurement",IF(OR($H146="Municipal",$H146="Cooperative",$H146="Federal",$H146="State",$H146="Political Subdivision"),"cost_service",IF($H146="Investor Owned",IF(AND(COUNTIF(Parameters!$A$4:$A$33,$G146)&gt;0,COUNTIF(Parameters!$B$4:$B$33,$B146)=0),"procurement","cost_service"),"unclassified"))))))</f>
        <v>cost_service</v>
      </c>
    </row>
    <row r="147" spans="1:26" x14ac:dyDescent="0.25">
      <c r="A147">
        <v>2024</v>
      </c>
      <c r="B147">
        <v>2651</v>
      </c>
      <c r="C147" t="s">
        <v>272</v>
      </c>
      <c r="D147" t="s">
        <v>84</v>
      </c>
      <c r="E147" t="s">
        <v>85</v>
      </c>
      <c r="F147" t="s">
        <v>86</v>
      </c>
      <c r="G147" t="s">
        <v>54</v>
      </c>
      <c r="H147" t="s">
        <v>91</v>
      </c>
      <c r="I147" t="s">
        <v>92</v>
      </c>
      <c r="J147">
        <v>32898</v>
      </c>
      <c r="K147">
        <v>181115</v>
      </c>
      <c r="L147">
        <v>11374</v>
      </c>
      <c r="M147">
        <v>2524</v>
      </c>
      <c r="N147">
        <v>15520</v>
      </c>
      <c r="O147">
        <v>463</v>
      </c>
      <c r="P147">
        <v>1712</v>
      </c>
      <c r="Q147">
        <v>13828</v>
      </c>
      <c r="R147">
        <v>8</v>
      </c>
      <c r="S147" t="s">
        <v>97</v>
      </c>
      <c r="T147" t="s">
        <v>97</v>
      </c>
      <c r="U147" t="s">
        <v>97</v>
      </c>
      <c r="V147">
        <v>37134</v>
      </c>
      <c r="W147">
        <v>210463</v>
      </c>
      <c r="X147">
        <v>11845</v>
      </c>
      <c r="Y147">
        <f t="shared" si="2"/>
        <v>210463</v>
      </c>
      <c r="Z147" t="str">
        <f>IF(ISNUMBER(SEARCH("Adjustment",$C147)),"excluded",IF($H147="Behind the Meter","excluded",IF(NOT(OR($E147="Bundled",$E147="Energy")),"excluded",IF(OR($H147="Retail Power Marketer",$H147="Community Choice Aggregator",$E147="Energy"),"procurement",IF(OR($H147="Municipal",$H147="Cooperative",$H147="Federal",$H147="State",$H147="Political Subdivision"),"cost_service",IF($H147="Investor Owned",IF(AND(COUNTIF(Parameters!$A$4:$A$33,$G147)&gt;0,COUNTIF(Parameters!$B$4:$B$33,$B147)=0),"procurement","cost_service"),"unclassified"))))))</f>
        <v>cost_service</v>
      </c>
    </row>
    <row r="148" spans="1:26" x14ac:dyDescent="0.25">
      <c r="A148">
        <v>2024</v>
      </c>
      <c r="B148">
        <v>2652</v>
      </c>
      <c r="C148" t="s">
        <v>273</v>
      </c>
      <c r="D148" t="s">
        <v>84</v>
      </c>
      <c r="E148" t="s">
        <v>85</v>
      </c>
      <c r="F148" t="s">
        <v>86</v>
      </c>
      <c r="G148" t="s">
        <v>146</v>
      </c>
      <c r="H148" t="s">
        <v>91</v>
      </c>
      <c r="I148" t="s">
        <v>135</v>
      </c>
      <c r="J148">
        <v>9793.6</v>
      </c>
      <c r="K148">
        <v>63458</v>
      </c>
      <c r="L148">
        <v>3898</v>
      </c>
      <c r="M148">
        <v>8.1</v>
      </c>
      <c r="N148">
        <v>21</v>
      </c>
      <c r="O148">
        <v>10</v>
      </c>
      <c r="P148">
        <v>18578.3</v>
      </c>
      <c r="Q148">
        <v>213587</v>
      </c>
      <c r="R148">
        <v>1202</v>
      </c>
      <c r="S148" t="s">
        <v>97</v>
      </c>
      <c r="T148" t="s">
        <v>97</v>
      </c>
      <c r="U148" t="s">
        <v>97</v>
      </c>
      <c r="V148">
        <v>28380</v>
      </c>
      <c r="W148">
        <v>277066</v>
      </c>
      <c r="X148">
        <v>5110</v>
      </c>
      <c r="Y148">
        <f t="shared" si="2"/>
        <v>277066</v>
      </c>
      <c r="Z148" t="str">
        <f>IF(ISNUMBER(SEARCH("Adjustment",$C148)),"excluded",IF($H148="Behind the Meter","excluded",IF(NOT(OR($E148="Bundled",$E148="Energy")),"excluded",IF(OR($H148="Retail Power Marketer",$H148="Community Choice Aggregator",$E148="Energy"),"procurement",IF(OR($H148="Municipal",$H148="Cooperative",$H148="Federal",$H148="State",$H148="Political Subdivision"),"cost_service",IF($H148="Investor Owned",IF(AND(COUNTIF(Parameters!$A$4:$A$33,$G148)&gt;0,COUNTIF(Parameters!$B$4:$B$33,$B148)=0),"procurement","cost_service"),"unclassified"))))))</f>
        <v>cost_service</v>
      </c>
    </row>
    <row r="149" spans="1:26" x14ac:dyDescent="0.25">
      <c r="A149">
        <v>2024</v>
      </c>
      <c r="B149">
        <v>2678</v>
      </c>
      <c r="C149" t="s">
        <v>274</v>
      </c>
      <c r="D149" t="s">
        <v>84</v>
      </c>
      <c r="E149" t="s">
        <v>85</v>
      </c>
      <c r="F149" t="s">
        <v>86</v>
      </c>
      <c r="G149" t="s">
        <v>173</v>
      </c>
      <c r="H149" t="s">
        <v>91</v>
      </c>
      <c r="I149" t="s">
        <v>96</v>
      </c>
      <c r="J149">
        <v>33414</v>
      </c>
      <c r="K149">
        <v>251978</v>
      </c>
      <c r="L149">
        <v>20000</v>
      </c>
      <c r="M149">
        <v>12694</v>
      </c>
      <c r="N149">
        <v>98700</v>
      </c>
      <c r="O149">
        <v>2251</v>
      </c>
      <c r="P149">
        <v>1569</v>
      </c>
      <c r="Q149">
        <v>15968</v>
      </c>
      <c r="R149">
        <v>10</v>
      </c>
      <c r="S149" t="s">
        <v>97</v>
      </c>
      <c r="T149" t="s">
        <v>97</v>
      </c>
      <c r="U149" t="s">
        <v>97</v>
      </c>
      <c r="V149">
        <v>47677</v>
      </c>
      <c r="W149">
        <v>366646</v>
      </c>
      <c r="X149">
        <v>22261</v>
      </c>
      <c r="Y149">
        <f t="shared" si="2"/>
        <v>366646</v>
      </c>
      <c r="Z149" t="str">
        <f>IF(ISNUMBER(SEARCH("Adjustment",$C149)),"excluded",IF($H149="Behind the Meter","excluded",IF(NOT(OR($E149="Bundled",$E149="Energy")),"excluded",IF(OR($H149="Retail Power Marketer",$H149="Community Choice Aggregator",$E149="Energy"),"procurement",IF(OR($H149="Municipal",$H149="Cooperative",$H149="Federal",$H149="State",$H149="Political Subdivision"),"cost_service",IF($H149="Investor Owned",IF(AND(COUNTIF(Parameters!$A$4:$A$33,$G149)&gt;0,COUNTIF(Parameters!$B$4:$B$33,$B149)=0),"procurement","cost_service"),"unclassified"))))))</f>
        <v>cost_service</v>
      </c>
    </row>
    <row r="150" spans="1:26" x14ac:dyDescent="0.25">
      <c r="A150">
        <v>2024</v>
      </c>
      <c r="B150">
        <v>2774</v>
      </c>
      <c r="C150" t="s">
        <v>275</v>
      </c>
      <c r="D150" t="s">
        <v>84</v>
      </c>
      <c r="E150" t="s">
        <v>85</v>
      </c>
      <c r="F150" t="s">
        <v>86</v>
      </c>
      <c r="G150" t="s">
        <v>134</v>
      </c>
      <c r="H150" t="s">
        <v>91</v>
      </c>
      <c r="I150" t="s">
        <v>135</v>
      </c>
      <c r="J150">
        <v>4896.8</v>
      </c>
      <c r="K150">
        <v>26157</v>
      </c>
      <c r="L150">
        <v>3198</v>
      </c>
      <c r="M150">
        <v>12966.9</v>
      </c>
      <c r="N150">
        <v>92459</v>
      </c>
      <c r="O150">
        <v>2601</v>
      </c>
      <c r="P150">
        <v>7062.2</v>
      </c>
      <c r="Q150">
        <v>84042</v>
      </c>
      <c r="R150">
        <v>86</v>
      </c>
      <c r="S150" t="s">
        <v>97</v>
      </c>
      <c r="T150" t="s">
        <v>97</v>
      </c>
      <c r="U150" t="s">
        <v>97</v>
      </c>
      <c r="V150">
        <v>24925.9</v>
      </c>
      <c r="W150">
        <v>202658</v>
      </c>
      <c r="X150">
        <v>5885</v>
      </c>
      <c r="Y150">
        <f t="shared" si="2"/>
        <v>202658</v>
      </c>
      <c r="Z150" t="str">
        <f>IF(ISNUMBER(SEARCH("Adjustment",$C150)),"excluded",IF($H150="Behind the Meter","excluded",IF(NOT(OR($E150="Bundled",$E150="Energy")),"excluded",IF(OR($H150="Retail Power Marketer",$H150="Community Choice Aggregator",$E150="Energy"),"procurement",IF(OR($H150="Municipal",$H150="Cooperative",$H150="Federal",$H150="State",$H150="Political Subdivision"),"cost_service",IF($H150="Investor Owned",IF(AND(COUNTIF(Parameters!$A$4:$A$33,$G150)&gt;0,COUNTIF(Parameters!$B$4:$B$33,$B150)=0),"procurement","cost_service"),"unclassified"))))))</f>
        <v>cost_service</v>
      </c>
    </row>
    <row r="151" spans="1:26" x14ac:dyDescent="0.25">
      <c r="A151">
        <v>2024</v>
      </c>
      <c r="B151">
        <v>2812</v>
      </c>
      <c r="C151" t="s">
        <v>276</v>
      </c>
      <c r="D151" t="s">
        <v>84</v>
      </c>
      <c r="E151" t="s">
        <v>85</v>
      </c>
      <c r="F151" t="s">
        <v>86</v>
      </c>
      <c r="G151" t="s">
        <v>123</v>
      </c>
      <c r="H151" t="s">
        <v>88</v>
      </c>
      <c r="I151" t="s">
        <v>113</v>
      </c>
      <c r="J151">
        <v>7020.6</v>
      </c>
      <c r="K151">
        <v>50099</v>
      </c>
      <c r="L151">
        <v>4944</v>
      </c>
      <c r="M151">
        <v>10250.6</v>
      </c>
      <c r="N151">
        <v>71728</v>
      </c>
      <c r="O151">
        <v>1290</v>
      </c>
      <c r="P151">
        <v>21020.400000000001</v>
      </c>
      <c r="Q151">
        <v>238785</v>
      </c>
      <c r="R151">
        <v>20</v>
      </c>
      <c r="S151" t="s">
        <v>97</v>
      </c>
      <c r="T151" t="s">
        <v>97</v>
      </c>
      <c r="U151" t="s">
        <v>97</v>
      </c>
      <c r="V151">
        <v>38291.599999999999</v>
      </c>
      <c r="W151">
        <v>360612</v>
      </c>
      <c r="X151">
        <v>6254</v>
      </c>
      <c r="Y151">
        <f t="shared" si="2"/>
        <v>360612</v>
      </c>
      <c r="Z151" t="str">
        <f>IF(ISNUMBER(SEARCH("Adjustment",$C151)),"excluded",IF($H151="Behind the Meter","excluded",IF(NOT(OR($E151="Bundled",$E151="Energy")),"excluded",IF(OR($H151="Retail Power Marketer",$H151="Community Choice Aggregator",$E151="Energy"),"procurement",IF(OR($H151="Municipal",$H151="Cooperative",$H151="Federal",$H151="State",$H151="Political Subdivision"),"cost_service",IF($H151="Investor Owned",IF(AND(COUNTIF(Parameters!$A$4:$A$33,$G151)&gt;0,COUNTIF(Parameters!$B$4:$B$33,$B151)=0),"procurement","cost_service"),"unclassified"))))))</f>
        <v>cost_service</v>
      </c>
    </row>
    <row r="152" spans="1:26" x14ac:dyDescent="0.25">
      <c r="A152">
        <v>2024</v>
      </c>
      <c r="B152">
        <v>2830</v>
      </c>
      <c r="C152" t="s">
        <v>277</v>
      </c>
      <c r="D152" t="s">
        <v>99</v>
      </c>
      <c r="E152" t="s">
        <v>100</v>
      </c>
      <c r="F152" t="s">
        <v>86</v>
      </c>
      <c r="G152" t="s">
        <v>115</v>
      </c>
      <c r="H152" t="s">
        <v>101</v>
      </c>
      <c r="I152" t="s">
        <v>116</v>
      </c>
      <c r="J152" t="s">
        <v>97</v>
      </c>
      <c r="K152" t="s">
        <v>97</v>
      </c>
      <c r="L152" t="s">
        <v>97</v>
      </c>
      <c r="M152">
        <v>60746</v>
      </c>
      <c r="N152">
        <v>1286540</v>
      </c>
      <c r="O152">
        <v>4</v>
      </c>
      <c r="P152" t="s">
        <v>97</v>
      </c>
      <c r="Q152" t="s">
        <v>97</v>
      </c>
      <c r="R152" t="s">
        <v>97</v>
      </c>
      <c r="S152" t="s">
        <v>97</v>
      </c>
      <c r="T152" t="s">
        <v>97</v>
      </c>
      <c r="U152" t="s">
        <v>97</v>
      </c>
      <c r="V152">
        <v>60746</v>
      </c>
      <c r="W152">
        <v>1286540</v>
      </c>
      <c r="X152">
        <v>4</v>
      </c>
      <c r="Y152">
        <f t="shared" si="2"/>
        <v>1286540</v>
      </c>
      <c r="Z152" t="str">
        <f>IF(ISNUMBER(SEARCH("Adjustment",$C152)),"excluded",IF($H152="Behind the Meter","excluded",IF(NOT(OR($E152="Bundled",$E152="Energy")),"excluded",IF(OR($H152="Retail Power Marketer",$H152="Community Choice Aggregator",$E152="Energy"),"procurement",IF(OR($H152="Municipal",$H152="Cooperative",$H152="Federal",$H152="State",$H152="Political Subdivision"),"cost_service",IF($H152="Investor Owned",IF(AND(COUNTIF(Parameters!$A$4:$A$33,$G152)&gt;0,COUNTIF(Parameters!$B$4:$B$33,$B152)=0),"procurement","cost_service"),"unclassified"))))))</f>
        <v>procurement</v>
      </c>
    </row>
    <row r="153" spans="1:26" x14ac:dyDescent="0.25">
      <c r="A153">
        <v>2024</v>
      </c>
      <c r="B153">
        <v>2830</v>
      </c>
      <c r="C153" t="s">
        <v>277</v>
      </c>
      <c r="D153" t="s">
        <v>99</v>
      </c>
      <c r="E153" t="s">
        <v>100</v>
      </c>
      <c r="F153" t="s">
        <v>86</v>
      </c>
      <c r="G153" t="s">
        <v>50</v>
      </c>
      <c r="H153" t="s">
        <v>101</v>
      </c>
      <c r="I153" t="s">
        <v>189</v>
      </c>
      <c r="J153" t="s">
        <v>97</v>
      </c>
      <c r="K153" t="s">
        <v>97</v>
      </c>
      <c r="L153" t="s">
        <v>97</v>
      </c>
      <c r="M153" t="s">
        <v>97</v>
      </c>
      <c r="N153" t="s">
        <v>97</v>
      </c>
      <c r="O153" t="s">
        <v>97</v>
      </c>
      <c r="P153">
        <v>165</v>
      </c>
      <c r="Q153">
        <v>4632</v>
      </c>
      <c r="R153">
        <v>1</v>
      </c>
      <c r="S153" t="s">
        <v>97</v>
      </c>
      <c r="T153" t="s">
        <v>97</v>
      </c>
      <c r="U153" t="s">
        <v>97</v>
      </c>
      <c r="V153">
        <v>165</v>
      </c>
      <c r="W153">
        <v>4632</v>
      </c>
      <c r="X153">
        <v>1</v>
      </c>
      <c r="Y153">
        <f t="shared" si="2"/>
        <v>4632</v>
      </c>
      <c r="Z153" t="str">
        <f>IF(ISNUMBER(SEARCH("Adjustment",$C153)),"excluded",IF($H153="Behind the Meter","excluded",IF(NOT(OR($E153="Bundled",$E153="Energy")),"excluded",IF(OR($H153="Retail Power Marketer",$H153="Community Choice Aggregator",$E153="Energy"),"procurement",IF(OR($H153="Municipal",$H153="Cooperative",$H153="Federal",$H153="State",$H153="Political Subdivision"),"cost_service",IF($H153="Investor Owned",IF(AND(COUNTIF(Parameters!$A$4:$A$33,$G153)&gt;0,COUNTIF(Parameters!$B$4:$B$33,$B153)=0),"procurement","cost_service"),"unclassified"))))))</f>
        <v>procurement</v>
      </c>
    </row>
    <row r="154" spans="1:26" x14ac:dyDescent="0.25">
      <c r="A154">
        <v>2024</v>
      </c>
      <c r="B154">
        <v>2830</v>
      </c>
      <c r="C154" t="s">
        <v>277</v>
      </c>
      <c r="D154" t="s">
        <v>150</v>
      </c>
      <c r="E154" t="s">
        <v>85</v>
      </c>
      <c r="F154" t="s">
        <v>86</v>
      </c>
      <c r="G154" t="s">
        <v>57</v>
      </c>
      <c r="H154" t="s">
        <v>101</v>
      </c>
      <c r="I154" t="s">
        <v>151</v>
      </c>
      <c r="J154" t="s">
        <v>97</v>
      </c>
      <c r="K154" t="s">
        <v>97</v>
      </c>
      <c r="L154" t="s">
        <v>97</v>
      </c>
      <c r="M154" t="s">
        <v>97</v>
      </c>
      <c r="N154" t="s">
        <v>97</v>
      </c>
      <c r="O154" t="s">
        <v>97</v>
      </c>
      <c r="P154">
        <v>6417</v>
      </c>
      <c r="Q154">
        <v>193604</v>
      </c>
      <c r="R154">
        <v>1</v>
      </c>
      <c r="S154" t="s">
        <v>97</v>
      </c>
      <c r="T154" t="s">
        <v>97</v>
      </c>
      <c r="U154" t="s">
        <v>97</v>
      </c>
      <c r="V154">
        <v>6417</v>
      </c>
      <c r="W154">
        <v>193604</v>
      </c>
      <c r="X154">
        <v>1</v>
      </c>
      <c r="Y154">
        <f t="shared" si="2"/>
        <v>193604</v>
      </c>
      <c r="Z154" t="str">
        <f>IF(ISNUMBER(SEARCH("Adjustment",$C154)),"excluded",IF($H154="Behind the Meter","excluded",IF(NOT(OR($E154="Bundled",$E154="Energy")),"excluded",IF(OR($H154="Retail Power Marketer",$H154="Community Choice Aggregator",$E154="Energy"),"procurement",IF(OR($H154="Municipal",$H154="Cooperative",$H154="Federal",$H154="State",$H154="Political Subdivision"),"cost_service",IF($H154="Investor Owned",IF(AND(COUNTIF(Parameters!$A$4:$A$33,$G154)&gt;0,COUNTIF(Parameters!$B$4:$B$33,$B154)=0),"procurement","cost_service"),"unclassified"))))))</f>
        <v>procurement</v>
      </c>
    </row>
    <row r="155" spans="1:26" x14ac:dyDescent="0.25">
      <c r="A155">
        <v>2024</v>
      </c>
      <c r="B155">
        <v>2849</v>
      </c>
      <c r="C155" t="s">
        <v>278</v>
      </c>
      <c r="D155" t="s">
        <v>84</v>
      </c>
      <c r="E155" t="s">
        <v>85</v>
      </c>
      <c r="F155" t="s">
        <v>86</v>
      </c>
      <c r="G155" t="s">
        <v>87</v>
      </c>
      <c r="H155" t="s">
        <v>91</v>
      </c>
      <c r="I155" t="s">
        <v>89</v>
      </c>
      <c r="J155">
        <v>57602</v>
      </c>
      <c r="K155">
        <v>471500</v>
      </c>
      <c r="L155">
        <v>30905</v>
      </c>
      <c r="M155">
        <v>34555</v>
      </c>
      <c r="N155">
        <v>265696</v>
      </c>
      <c r="O155">
        <v>8062</v>
      </c>
      <c r="P155">
        <v>13292</v>
      </c>
      <c r="Q155">
        <v>191348</v>
      </c>
      <c r="R155">
        <v>8</v>
      </c>
      <c r="S155">
        <v>0</v>
      </c>
      <c r="T155">
        <v>0</v>
      </c>
      <c r="U155">
        <v>0</v>
      </c>
      <c r="V155">
        <v>105449</v>
      </c>
      <c r="W155">
        <v>928544</v>
      </c>
      <c r="X155">
        <v>38975</v>
      </c>
      <c r="Y155">
        <f t="shared" si="2"/>
        <v>928544</v>
      </c>
      <c r="Z155" t="str">
        <f>IF(ISNUMBER(SEARCH("Adjustment",$C155)),"excluded",IF($H155="Behind the Meter","excluded",IF(NOT(OR($E155="Bundled",$E155="Energy")),"excluded",IF(OR($H155="Retail Power Marketer",$H155="Community Choice Aggregator",$E155="Energy"),"procurement",IF(OR($H155="Municipal",$H155="Cooperative",$H155="Federal",$H155="State",$H155="Political Subdivision"),"cost_service",IF($H155="Investor Owned",IF(AND(COUNTIF(Parameters!$A$4:$A$33,$G155)&gt;0,COUNTIF(Parameters!$B$4:$B$33,$B155)=0),"procurement","cost_service"),"unclassified"))))))</f>
        <v>cost_service</v>
      </c>
    </row>
    <row r="156" spans="1:26" x14ac:dyDescent="0.25">
      <c r="A156">
        <v>2024</v>
      </c>
      <c r="B156">
        <v>2903</v>
      </c>
      <c r="C156" t="s">
        <v>279</v>
      </c>
      <c r="D156" t="s">
        <v>84</v>
      </c>
      <c r="E156" t="s">
        <v>85</v>
      </c>
      <c r="F156" t="s">
        <v>86</v>
      </c>
      <c r="G156" t="s">
        <v>123</v>
      </c>
      <c r="H156" t="s">
        <v>91</v>
      </c>
      <c r="I156" t="s">
        <v>113</v>
      </c>
      <c r="J156">
        <v>45716.1</v>
      </c>
      <c r="K156">
        <v>326992</v>
      </c>
      <c r="L156">
        <v>24180</v>
      </c>
      <c r="M156">
        <v>9207.2999999999993</v>
      </c>
      <c r="N156">
        <v>100438</v>
      </c>
      <c r="O156">
        <v>450</v>
      </c>
      <c r="P156">
        <v>7201.1</v>
      </c>
      <c r="Q156">
        <v>67944</v>
      </c>
      <c r="R156">
        <v>846</v>
      </c>
      <c r="S156" t="s">
        <v>97</v>
      </c>
      <c r="T156" t="s">
        <v>97</v>
      </c>
      <c r="U156" t="s">
        <v>97</v>
      </c>
      <c r="V156">
        <v>62124.5</v>
      </c>
      <c r="W156">
        <v>495374</v>
      </c>
      <c r="X156">
        <v>25476</v>
      </c>
      <c r="Y156">
        <f t="shared" si="2"/>
        <v>495374</v>
      </c>
      <c r="Z156" t="str">
        <f>IF(ISNUMBER(SEARCH("Adjustment",$C156)),"excluded",IF($H156="Behind the Meter","excluded",IF(NOT(OR($E156="Bundled",$E156="Energy")),"excluded",IF(OR($H156="Retail Power Marketer",$H156="Community Choice Aggregator",$E156="Energy"),"procurement",IF(OR($H156="Municipal",$H156="Cooperative",$H156="Federal",$H156="State",$H156="Political Subdivision"),"cost_service",IF($H156="Investor Owned",IF(AND(COUNTIF(Parameters!$A$4:$A$33,$G156)&gt;0,COUNTIF(Parameters!$B$4:$B$33,$B156)=0),"procurement","cost_service"),"unclassified"))))))</f>
        <v>cost_service</v>
      </c>
    </row>
    <row r="157" spans="1:26" x14ac:dyDescent="0.25">
      <c r="A157">
        <v>2024</v>
      </c>
      <c r="B157">
        <v>2911</v>
      </c>
      <c r="C157" t="s">
        <v>280</v>
      </c>
      <c r="D157" t="s">
        <v>84</v>
      </c>
      <c r="E157" t="s">
        <v>85</v>
      </c>
      <c r="F157" t="s">
        <v>86</v>
      </c>
      <c r="G157" t="s">
        <v>136</v>
      </c>
      <c r="H157" t="s">
        <v>91</v>
      </c>
      <c r="I157" t="s">
        <v>135</v>
      </c>
      <c r="J157">
        <v>44985.1</v>
      </c>
      <c r="K157">
        <v>377977</v>
      </c>
      <c r="L157">
        <v>24605</v>
      </c>
      <c r="M157">
        <v>21560.1</v>
      </c>
      <c r="N157">
        <v>216425</v>
      </c>
      <c r="O157">
        <v>2745</v>
      </c>
      <c r="P157">
        <v>13420.1</v>
      </c>
      <c r="Q157">
        <v>223000</v>
      </c>
      <c r="R157">
        <v>11</v>
      </c>
      <c r="S157" t="s">
        <v>97</v>
      </c>
      <c r="T157" t="s">
        <v>97</v>
      </c>
      <c r="U157" t="s">
        <v>97</v>
      </c>
      <c r="V157">
        <v>79965.3</v>
      </c>
      <c r="W157">
        <v>817402</v>
      </c>
      <c r="X157">
        <v>27361</v>
      </c>
      <c r="Y157">
        <f t="shared" si="2"/>
        <v>817402</v>
      </c>
      <c r="Z157" t="str">
        <f>IF(ISNUMBER(SEARCH("Adjustment",$C157)),"excluded",IF($H157="Behind the Meter","excluded",IF(NOT(OR($E157="Bundled",$E157="Energy")),"excluded",IF(OR($H157="Retail Power Marketer",$H157="Community Choice Aggregator",$E157="Energy"),"procurement",IF(OR($H157="Municipal",$H157="Cooperative",$H157="Federal",$H157="State",$H157="Political Subdivision"),"cost_service",IF($H157="Investor Owned",IF(AND(COUNTIF(Parameters!$A$4:$A$33,$G157)&gt;0,COUNTIF(Parameters!$B$4:$B$33,$B157)=0),"procurement","cost_service"),"unclassified"))))))</f>
        <v>cost_service</v>
      </c>
    </row>
    <row r="158" spans="1:26" x14ac:dyDescent="0.25">
      <c r="A158">
        <v>2024</v>
      </c>
      <c r="B158">
        <v>2960</v>
      </c>
      <c r="C158" t="s">
        <v>281</v>
      </c>
      <c r="D158" t="s">
        <v>84</v>
      </c>
      <c r="E158" t="s">
        <v>85</v>
      </c>
      <c r="F158" t="s">
        <v>86</v>
      </c>
      <c r="G158" t="s">
        <v>156</v>
      </c>
      <c r="H158" t="s">
        <v>91</v>
      </c>
      <c r="I158" t="s">
        <v>89</v>
      </c>
      <c r="J158">
        <v>53128</v>
      </c>
      <c r="K158">
        <v>412293</v>
      </c>
      <c r="L158">
        <v>29631</v>
      </c>
      <c r="M158">
        <v>21314</v>
      </c>
      <c r="N158">
        <v>135795</v>
      </c>
      <c r="O158">
        <v>6254</v>
      </c>
      <c r="P158">
        <v>4498</v>
      </c>
      <c r="Q158">
        <v>65012</v>
      </c>
      <c r="R158">
        <v>3</v>
      </c>
      <c r="S158">
        <v>0</v>
      </c>
      <c r="T158">
        <v>0</v>
      </c>
      <c r="U158">
        <v>0</v>
      </c>
      <c r="V158">
        <v>78940</v>
      </c>
      <c r="W158">
        <v>613100</v>
      </c>
      <c r="X158">
        <v>35888</v>
      </c>
      <c r="Y158">
        <f t="shared" si="2"/>
        <v>613100</v>
      </c>
      <c r="Z158" t="str">
        <f>IF(ISNUMBER(SEARCH("Adjustment",$C158)),"excluded",IF($H158="Behind the Meter","excluded",IF(NOT(OR($E158="Bundled",$E158="Energy")),"excluded",IF(OR($H158="Retail Power Marketer",$H158="Community Choice Aggregator",$E158="Energy"),"procurement",IF(OR($H158="Municipal",$H158="Cooperative",$H158="Federal",$H158="State",$H158="Political Subdivision"),"cost_service",IF($H158="Investor Owned",IF(AND(COUNTIF(Parameters!$A$4:$A$33,$G158)&gt;0,COUNTIF(Parameters!$B$4:$B$33,$B158)=0),"procurement","cost_service"),"unclassified"))))))</f>
        <v>cost_service</v>
      </c>
    </row>
    <row r="159" spans="1:26" x14ac:dyDescent="0.25">
      <c r="A159">
        <v>2024</v>
      </c>
      <c r="B159">
        <v>2985</v>
      </c>
      <c r="C159" t="s">
        <v>282</v>
      </c>
      <c r="D159" t="s">
        <v>84</v>
      </c>
      <c r="E159" t="s">
        <v>85</v>
      </c>
      <c r="F159" t="s">
        <v>86</v>
      </c>
      <c r="G159" t="s">
        <v>198</v>
      </c>
      <c r="H159" t="s">
        <v>91</v>
      </c>
      <c r="I159" t="s">
        <v>135</v>
      </c>
      <c r="J159">
        <v>29185.8</v>
      </c>
      <c r="K159">
        <v>237167</v>
      </c>
      <c r="L159">
        <v>19530</v>
      </c>
      <c r="M159">
        <v>15458.3</v>
      </c>
      <c r="N159">
        <v>147812</v>
      </c>
      <c r="O159">
        <v>2935</v>
      </c>
      <c r="P159">
        <v>139.80000000000001</v>
      </c>
      <c r="Q159">
        <v>1096</v>
      </c>
      <c r="R159">
        <v>61</v>
      </c>
      <c r="S159" t="s">
        <v>97</v>
      </c>
      <c r="T159" t="s">
        <v>97</v>
      </c>
      <c r="U159" t="s">
        <v>97</v>
      </c>
      <c r="V159">
        <v>44783.9</v>
      </c>
      <c r="W159">
        <v>386075</v>
      </c>
      <c r="X159">
        <v>22526</v>
      </c>
      <c r="Y159">
        <f t="shared" si="2"/>
        <v>386075</v>
      </c>
      <c r="Z159" t="str">
        <f>IF(ISNUMBER(SEARCH("Adjustment",$C159)),"excluded",IF($H159="Behind the Meter","excluded",IF(NOT(OR($E159="Bundled",$E159="Energy")),"excluded",IF(OR($H159="Retail Power Marketer",$H159="Community Choice Aggregator",$E159="Energy"),"procurement",IF(OR($H159="Municipal",$H159="Cooperative",$H159="Federal",$H159="State",$H159="Political Subdivision"),"cost_service",IF($H159="Investor Owned",IF(AND(COUNTIF(Parameters!$A$4:$A$33,$G159)&gt;0,COUNTIF(Parameters!$B$4:$B$33,$B159)=0),"procurement","cost_service"),"unclassified"))))))</f>
        <v>cost_service</v>
      </c>
    </row>
    <row r="160" spans="1:26" x14ac:dyDescent="0.25">
      <c r="A160">
        <v>2024</v>
      </c>
      <c r="B160">
        <v>3046</v>
      </c>
      <c r="C160" t="s">
        <v>283</v>
      </c>
      <c r="D160" t="s">
        <v>84</v>
      </c>
      <c r="E160" t="s">
        <v>85</v>
      </c>
      <c r="F160" t="s">
        <v>86</v>
      </c>
      <c r="G160" t="s">
        <v>125</v>
      </c>
      <c r="H160" t="s">
        <v>109</v>
      </c>
      <c r="I160" t="s">
        <v>163</v>
      </c>
      <c r="J160">
        <v>2544963.1</v>
      </c>
      <c r="K160">
        <v>16374479</v>
      </c>
      <c r="L160">
        <v>1356079</v>
      </c>
      <c r="M160">
        <v>1547776</v>
      </c>
      <c r="N160">
        <v>13677330</v>
      </c>
      <c r="O160">
        <v>217915</v>
      </c>
      <c r="P160">
        <v>584029.4</v>
      </c>
      <c r="Q160">
        <v>7420795</v>
      </c>
      <c r="R160">
        <v>2775</v>
      </c>
      <c r="S160">
        <v>0</v>
      </c>
      <c r="T160">
        <v>0</v>
      </c>
      <c r="U160">
        <v>0</v>
      </c>
      <c r="V160">
        <v>4676768.5</v>
      </c>
      <c r="W160">
        <v>37472604</v>
      </c>
      <c r="X160">
        <v>1576769</v>
      </c>
      <c r="Y160">
        <f t="shared" si="2"/>
        <v>37472604</v>
      </c>
      <c r="Z160" t="str">
        <f>IF(ISNUMBER(SEARCH("Adjustment",$C160)),"excluded",IF($H160="Behind the Meter","excluded",IF(NOT(OR($E160="Bundled",$E160="Energy")),"excluded",IF(OR($H160="Retail Power Marketer",$H160="Community Choice Aggregator",$E160="Energy"),"procurement",IF(OR($H160="Municipal",$H160="Cooperative",$H160="Federal",$H160="State",$H160="Political Subdivision"),"cost_service",IF($H160="Investor Owned",IF(AND(COUNTIF(Parameters!$A$4:$A$33,$G160)&gt;0,COUNTIF(Parameters!$B$4:$B$33,$B160)=0),"procurement","cost_service"),"unclassified"))))))</f>
        <v>cost_service</v>
      </c>
    </row>
    <row r="161" spans="1:26" x14ac:dyDescent="0.25">
      <c r="A161">
        <v>2024</v>
      </c>
      <c r="B161">
        <v>3046</v>
      </c>
      <c r="C161" t="s">
        <v>283</v>
      </c>
      <c r="D161" t="s">
        <v>84</v>
      </c>
      <c r="E161" t="s">
        <v>85</v>
      </c>
      <c r="F161" t="s">
        <v>86</v>
      </c>
      <c r="G161" t="s">
        <v>106</v>
      </c>
      <c r="H161" t="s">
        <v>109</v>
      </c>
      <c r="I161" t="s">
        <v>163</v>
      </c>
      <c r="J161">
        <v>294067.7</v>
      </c>
      <c r="K161">
        <v>1976600</v>
      </c>
      <c r="L161">
        <v>143713</v>
      </c>
      <c r="M161">
        <v>191543.1</v>
      </c>
      <c r="N161">
        <v>1654864</v>
      </c>
      <c r="O161">
        <v>32671</v>
      </c>
      <c r="P161">
        <v>153607.79999999999</v>
      </c>
      <c r="Q161">
        <v>2180767</v>
      </c>
      <c r="R161">
        <v>422</v>
      </c>
      <c r="S161">
        <v>0</v>
      </c>
      <c r="T161">
        <v>0</v>
      </c>
      <c r="U161">
        <v>0</v>
      </c>
      <c r="V161">
        <v>639218.6</v>
      </c>
      <c r="W161">
        <v>5812231</v>
      </c>
      <c r="X161">
        <v>176806</v>
      </c>
      <c r="Y161">
        <f t="shared" si="2"/>
        <v>5812231</v>
      </c>
      <c r="Z161" t="str">
        <f>IF(ISNUMBER(SEARCH("Adjustment",$C161)),"excluded",IF($H161="Behind the Meter","excluded",IF(NOT(OR($E161="Bundled",$E161="Energy")),"excluded",IF(OR($H161="Retail Power Marketer",$H161="Community Choice Aggregator",$E161="Energy"),"procurement",IF(OR($H161="Municipal",$H161="Cooperative",$H161="Federal",$H161="State",$H161="Political Subdivision"),"cost_service",IF($H161="Investor Owned",IF(AND(COUNTIF(Parameters!$A$4:$A$33,$G161)&gt;0,COUNTIF(Parameters!$B$4:$B$33,$B161)=0),"procurement","cost_service"),"unclassified"))))))</f>
        <v>cost_service</v>
      </c>
    </row>
    <row r="162" spans="1:26" x14ac:dyDescent="0.25">
      <c r="A162">
        <v>2024</v>
      </c>
      <c r="B162">
        <v>3075</v>
      </c>
      <c r="C162" t="s">
        <v>284</v>
      </c>
      <c r="D162" t="s">
        <v>84</v>
      </c>
      <c r="E162" t="s">
        <v>85</v>
      </c>
      <c r="F162" t="s">
        <v>86</v>
      </c>
      <c r="G162" t="s">
        <v>156</v>
      </c>
      <c r="H162" t="s">
        <v>88</v>
      </c>
      <c r="I162" t="s">
        <v>89</v>
      </c>
      <c r="J162">
        <v>21176</v>
      </c>
      <c r="K162">
        <v>177621</v>
      </c>
      <c r="L162">
        <v>12344</v>
      </c>
      <c r="M162">
        <v>13035</v>
      </c>
      <c r="N162">
        <v>107426</v>
      </c>
      <c r="O162">
        <v>3225</v>
      </c>
      <c r="P162">
        <v>10065</v>
      </c>
      <c r="Q162">
        <v>194048</v>
      </c>
      <c r="R162">
        <v>2</v>
      </c>
      <c r="S162">
        <v>0</v>
      </c>
      <c r="T162">
        <v>0</v>
      </c>
      <c r="U162">
        <v>0</v>
      </c>
      <c r="V162">
        <v>44276</v>
      </c>
      <c r="W162">
        <v>479095</v>
      </c>
      <c r="X162">
        <v>15571</v>
      </c>
      <c r="Y162">
        <f t="shared" si="2"/>
        <v>479095</v>
      </c>
      <c r="Z162" t="str">
        <f>IF(ISNUMBER(SEARCH("Adjustment",$C162)),"excluded",IF($H162="Behind the Meter","excluded",IF(NOT(OR($E162="Bundled",$E162="Energy")),"excluded",IF(OR($H162="Retail Power Marketer",$H162="Community Choice Aggregator",$E162="Energy"),"procurement",IF(OR($H162="Municipal",$H162="Cooperative",$H162="Federal",$H162="State",$H162="Political Subdivision"),"cost_service",IF($H162="Investor Owned",IF(AND(COUNTIF(Parameters!$A$4:$A$33,$G162)&gt;0,COUNTIF(Parameters!$B$4:$B$33,$B162)=0),"procurement","cost_service"),"unclassified"))))))</f>
        <v>cost_service</v>
      </c>
    </row>
    <row r="163" spans="1:26" x14ac:dyDescent="0.25">
      <c r="A163">
        <v>2024</v>
      </c>
      <c r="B163">
        <v>3081</v>
      </c>
      <c r="C163" t="s">
        <v>285</v>
      </c>
      <c r="D163" t="s">
        <v>84</v>
      </c>
      <c r="E163" t="s">
        <v>85</v>
      </c>
      <c r="F163" t="s">
        <v>86</v>
      </c>
      <c r="G163" t="s">
        <v>123</v>
      </c>
      <c r="H163" t="s">
        <v>91</v>
      </c>
      <c r="I163" t="s">
        <v>113</v>
      </c>
      <c r="J163">
        <v>102625</v>
      </c>
      <c r="K163">
        <v>767238</v>
      </c>
      <c r="L163">
        <v>53299</v>
      </c>
      <c r="M163">
        <v>18018</v>
      </c>
      <c r="N163">
        <v>139499</v>
      </c>
      <c r="O163">
        <v>2851</v>
      </c>
      <c r="P163">
        <v>20373</v>
      </c>
      <c r="Q163">
        <v>274301</v>
      </c>
      <c r="R163">
        <v>40</v>
      </c>
      <c r="S163" t="s">
        <v>97</v>
      </c>
      <c r="T163" t="s">
        <v>97</v>
      </c>
      <c r="U163" t="s">
        <v>97</v>
      </c>
      <c r="V163">
        <v>141016</v>
      </c>
      <c r="W163">
        <v>1181038</v>
      </c>
      <c r="X163">
        <v>56190</v>
      </c>
      <c r="Y163">
        <f t="shared" si="2"/>
        <v>1181038</v>
      </c>
      <c r="Z163" t="str">
        <f>IF(ISNUMBER(SEARCH("Adjustment",$C163)),"excluded",IF($H163="Behind the Meter","excluded",IF(NOT(OR($E163="Bundled",$E163="Energy")),"excluded",IF(OR($H163="Retail Power Marketer",$H163="Community Choice Aggregator",$E163="Energy"),"procurement",IF(OR($H163="Municipal",$H163="Cooperative",$H163="Federal",$H163="State",$H163="Political Subdivision"),"cost_service",IF($H163="Investor Owned",IF(AND(COUNTIF(Parameters!$A$4:$A$33,$G163)&gt;0,COUNTIF(Parameters!$B$4:$B$33,$B163)=0),"procurement","cost_service"),"unclassified"))))))</f>
        <v>cost_service</v>
      </c>
    </row>
    <row r="164" spans="1:26" x14ac:dyDescent="0.25">
      <c r="A164">
        <v>2024</v>
      </c>
      <c r="B164">
        <v>3093</v>
      </c>
      <c r="C164" t="s">
        <v>286</v>
      </c>
      <c r="D164" t="s">
        <v>84</v>
      </c>
      <c r="E164" t="s">
        <v>85</v>
      </c>
      <c r="F164" t="s">
        <v>86</v>
      </c>
      <c r="G164" t="s">
        <v>173</v>
      </c>
      <c r="H164" t="s">
        <v>91</v>
      </c>
      <c r="I164" t="s">
        <v>135</v>
      </c>
      <c r="J164">
        <v>161753</v>
      </c>
      <c r="K164">
        <v>1320033</v>
      </c>
      <c r="L164">
        <v>101154</v>
      </c>
      <c r="M164">
        <v>45662</v>
      </c>
      <c r="N164">
        <v>443350</v>
      </c>
      <c r="O164">
        <v>6914</v>
      </c>
      <c r="P164">
        <v>27686</v>
      </c>
      <c r="Q164">
        <v>364278</v>
      </c>
      <c r="R164">
        <v>52</v>
      </c>
      <c r="S164">
        <v>0</v>
      </c>
      <c r="T164">
        <v>0</v>
      </c>
      <c r="U164">
        <v>0</v>
      </c>
      <c r="V164">
        <v>235101</v>
      </c>
      <c r="W164">
        <v>2127661</v>
      </c>
      <c r="X164">
        <v>108120</v>
      </c>
      <c r="Y164">
        <f t="shared" si="2"/>
        <v>2127661</v>
      </c>
      <c r="Z164" t="str">
        <f>IF(ISNUMBER(SEARCH("Adjustment",$C164)),"excluded",IF($H164="Behind the Meter","excluded",IF(NOT(OR($E164="Bundled",$E164="Energy")),"excluded",IF(OR($H164="Retail Power Marketer",$H164="Community Choice Aggregator",$E164="Energy"),"procurement",IF(OR($H164="Municipal",$H164="Cooperative",$H164="Federal",$H164="State",$H164="Political Subdivision"),"cost_service",IF($H164="Investor Owned",IF(AND(COUNTIF(Parameters!$A$4:$A$33,$G164)&gt;0,COUNTIF(Parameters!$B$4:$B$33,$B164)=0),"procurement","cost_service"),"unclassified"))))))</f>
        <v>cost_service</v>
      </c>
    </row>
    <row r="165" spans="1:26" x14ac:dyDescent="0.25">
      <c r="A165">
        <v>2024</v>
      </c>
      <c r="B165">
        <v>3093</v>
      </c>
      <c r="C165" t="s">
        <v>286</v>
      </c>
      <c r="D165" t="s">
        <v>84</v>
      </c>
      <c r="E165" t="s">
        <v>85</v>
      </c>
      <c r="F165" t="s">
        <v>86</v>
      </c>
      <c r="G165" t="s">
        <v>226</v>
      </c>
      <c r="H165" t="s">
        <v>91</v>
      </c>
      <c r="I165" t="s">
        <v>135</v>
      </c>
      <c r="J165">
        <v>16589</v>
      </c>
      <c r="K165">
        <v>130620</v>
      </c>
      <c r="L165">
        <v>12109</v>
      </c>
      <c r="M165">
        <v>2991</v>
      </c>
      <c r="N165">
        <v>26360</v>
      </c>
      <c r="O165">
        <v>1014</v>
      </c>
      <c r="P165" t="s">
        <v>97</v>
      </c>
      <c r="Q165" t="s">
        <v>97</v>
      </c>
      <c r="R165" t="s">
        <v>97</v>
      </c>
      <c r="S165" t="s">
        <v>97</v>
      </c>
      <c r="T165" t="s">
        <v>97</v>
      </c>
      <c r="U165" t="s">
        <v>97</v>
      </c>
      <c r="V165">
        <v>19580</v>
      </c>
      <c r="W165">
        <v>156980</v>
      </c>
      <c r="X165">
        <v>13123</v>
      </c>
      <c r="Y165">
        <f t="shared" si="2"/>
        <v>156980</v>
      </c>
      <c r="Z165" t="str">
        <f>IF(ISNUMBER(SEARCH("Adjustment",$C165)),"excluded",IF($H165="Behind the Meter","excluded",IF(NOT(OR($E165="Bundled",$E165="Energy")),"excluded",IF(OR($H165="Retail Power Marketer",$H165="Community Choice Aggregator",$E165="Energy"),"procurement",IF(OR($H165="Municipal",$H165="Cooperative",$H165="Federal",$H165="State",$H165="Political Subdivision"),"cost_service",IF($H165="Investor Owned",IF(AND(COUNTIF(Parameters!$A$4:$A$33,$G165)&gt;0,COUNTIF(Parameters!$B$4:$B$33,$B165)=0),"procurement","cost_service"),"unclassified"))))))</f>
        <v>cost_service</v>
      </c>
    </row>
    <row r="166" spans="1:26" x14ac:dyDescent="0.25">
      <c r="A166">
        <v>2024</v>
      </c>
      <c r="B166">
        <v>3107</v>
      </c>
      <c r="C166" t="s">
        <v>287</v>
      </c>
      <c r="D166" t="s">
        <v>84</v>
      </c>
      <c r="E166" t="s">
        <v>85</v>
      </c>
      <c r="F166" t="s">
        <v>86</v>
      </c>
      <c r="G166" t="s">
        <v>125</v>
      </c>
      <c r="H166" t="s">
        <v>91</v>
      </c>
      <c r="I166" t="s">
        <v>163</v>
      </c>
      <c r="J166">
        <v>57043.6</v>
      </c>
      <c r="K166">
        <v>469633</v>
      </c>
      <c r="L166">
        <v>38858</v>
      </c>
      <c r="M166">
        <v>14648</v>
      </c>
      <c r="N166">
        <v>139243</v>
      </c>
      <c r="O166">
        <v>4278</v>
      </c>
      <c r="P166" t="s">
        <v>97</v>
      </c>
      <c r="Q166" t="s">
        <v>97</v>
      </c>
      <c r="R166" t="s">
        <v>97</v>
      </c>
      <c r="S166" t="s">
        <v>97</v>
      </c>
      <c r="T166" t="s">
        <v>97</v>
      </c>
      <c r="U166" t="s">
        <v>97</v>
      </c>
      <c r="V166">
        <v>71691.600000000006</v>
      </c>
      <c r="W166">
        <v>608876</v>
      </c>
      <c r="X166">
        <v>43136</v>
      </c>
      <c r="Y166">
        <f t="shared" si="2"/>
        <v>608876</v>
      </c>
      <c r="Z166" t="str">
        <f>IF(ISNUMBER(SEARCH("Adjustment",$C166)),"excluded",IF($H166="Behind the Meter","excluded",IF(NOT(OR($E166="Bundled",$E166="Energy")),"excluded",IF(OR($H166="Retail Power Marketer",$H166="Community Choice Aggregator",$E166="Energy"),"procurement",IF(OR($H166="Municipal",$H166="Cooperative",$H166="Federal",$H166="State",$H166="Political Subdivision"),"cost_service",IF($H166="Investor Owned",IF(AND(COUNTIF(Parameters!$A$4:$A$33,$G166)&gt;0,COUNTIF(Parameters!$B$4:$B$33,$B166)=0),"procurement","cost_service"),"unclassified"))))))</f>
        <v>cost_service</v>
      </c>
    </row>
    <row r="167" spans="1:26" x14ac:dyDescent="0.25">
      <c r="A167">
        <v>2024</v>
      </c>
      <c r="B167">
        <v>3108</v>
      </c>
      <c r="C167" t="s">
        <v>288</v>
      </c>
      <c r="D167" t="s">
        <v>84</v>
      </c>
      <c r="E167" t="s">
        <v>85</v>
      </c>
      <c r="F167" t="s">
        <v>86</v>
      </c>
      <c r="G167" t="s">
        <v>123</v>
      </c>
      <c r="H167" t="s">
        <v>88</v>
      </c>
      <c r="I167" t="s">
        <v>113</v>
      </c>
      <c r="J167">
        <v>12657.8</v>
      </c>
      <c r="K167">
        <v>86931</v>
      </c>
      <c r="L167">
        <v>6711</v>
      </c>
      <c r="M167">
        <v>29442</v>
      </c>
      <c r="N167">
        <v>231703</v>
      </c>
      <c r="O167">
        <v>1468</v>
      </c>
      <c r="P167">
        <v>18542.7</v>
      </c>
      <c r="Q167">
        <v>261013</v>
      </c>
      <c r="R167">
        <v>5</v>
      </c>
      <c r="S167" t="s">
        <v>97</v>
      </c>
      <c r="T167" t="s">
        <v>97</v>
      </c>
      <c r="U167" t="s">
        <v>97</v>
      </c>
      <c r="V167">
        <v>60642.5</v>
      </c>
      <c r="W167">
        <v>579647</v>
      </c>
      <c r="X167">
        <v>8184</v>
      </c>
      <c r="Y167">
        <f t="shared" si="2"/>
        <v>579647</v>
      </c>
      <c r="Z167" t="str">
        <f>IF(ISNUMBER(SEARCH("Adjustment",$C167)),"excluded",IF($H167="Behind the Meter","excluded",IF(NOT(OR($E167="Bundled",$E167="Energy")),"excluded",IF(OR($H167="Retail Power Marketer",$H167="Community Choice Aggregator",$E167="Energy"),"procurement",IF(OR($H167="Municipal",$H167="Cooperative",$H167="Federal",$H167="State",$H167="Political Subdivision"),"cost_service",IF($H167="Investor Owned",IF(AND(COUNTIF(Parameters!$A$4:$A$33,$G167)&gt;0,COUNTIF(Parameters!$B$4:$B$33,$B167)=0),"procurement","cost_service"),"unclassified"))))))</f>
        <v>cost_service</v>
      </c>
    </row>
    <row r="168" spans="1:26" x14ac:dyDescent="0.25">
      <c r="A168">
        <v>2024</v>
      </c>
      <c r="B168">
        <v>3113</v>
      </c>
      <c r="C168" t="s">
        <v>289</v>
      </c>
      <c r="D168" t="s">
        <v>84</v>
      </c>
      <c r="E168" t="s">
        <v>85</v>
      </c>
      <c r="F168" t="s">
        <v>86</v>
      </c>
      <c r="G168" t="s">
        <v>226</v>
      </c>
      <c r="H168" t="s">
        <v>88</v>
      </c>
      <c r="I168" t="s">
        <v>135</v>
      </c>
      <c r="J168">
        <v>11087</v>
      </c>
      <c r="K168">
        <v>78868</v>
      </c>
      <c r="L168">
        <v>7106</v>
      </c>
      <c r="M168">
        <v>7504</v>
      </c>
      <c r="N168">
        <v>61500</v>
      </c>
      <c r="O168">
        <v>1119</v>
      </c>
      <c r="P168">
        <v>13494</v>
      </c>
      <c r="Q168">
        <v>139595</v>
      </c>
      <c r="R168">
        <v>26</v>
      </c>
      <c r="S168" t="s">
        <v>97</v>
      </c>
      <c r="T168" t="s">
        <v>97</v>
      </c>
      <c r="U168" t="s">
        <v>97</v>
      </c>
      <c r="V168">
        <v>32085</v>
      </c>
      <c r="W168">
        <v>279963</v>
      </c>
      <c r="X168">
        <v>8251</v>
      </c>
      <c r="Y168">
        <f t="shared" si="2"/>
        <v>279963</v>
      </c>
      <c r="Z168" t="str">
        <f>IF(ISNUMBER(SEARCH("Adjustment",$C168)),"excluded",IF($H168="Behind the Meter","excluded",IF(NOT(OR($E168="Bundled",$E168="Energy")),"excluded",IF(OR($H168="Retail Power Marketer",$H168="Community Choice Aggregator",$E168="Energy"),"procurement",IF(OR($H168="Municipal",$H168="Cooperative",$H168="Federal",$H168="State",$H168="Political Subdivision"),"cost_service",IF($H168="Investor Owned",IF(AND(COUNTIF(Parameters!$A$4:$A$33,$G168)&gt;0,COUNTIF(Parameters!$B$4:$B$33,$B168)=0),"procurement","cost_service"),"unclassified"))))))</f>
        <v>cost_service</v>
      </c>
    </row>
    <row r="169" spans="1:26" x14ac:dyDescent="0.25">
      <c r="A169">
        <v>2024</v>
      </c>
      <c r="B169">
        <v>3203</v>
      </c>
      <c r="C169" t="s">
        <v>290</v>
      </c>
      <c r="D169" t="s">
        <v>84</v>
      </c>
      <c r="E169" t="s">
        <v>85</v>
      </c>
      <c r="F169" t="s">
        <v>86</v>
      </c>
      <c r="G169" t="s">
        <v>146</v>
      </c>
      <c r="H169" t="s">
        <v>88</v>
      </c>
      <c r="I169" t="s">
        <v>96</v>
      </c>
      <c r="J169">
        <v>17475.7</v>
      </c>
      <c r="K169">
        <v>167715</v>
      </c>
      <c r="L169">
        <v>17772</v>
      </c>
      <c r="M169">
        <v>28074.5</v>
      </c>
      <c r="N169">
        <v>492516</v>
      </c>
      <c r="O169">
        <v>2226</v>
      </c>
      <c r="P169">
        <v>4760</v>
      </c>
      <c r="Q169">
        <v>65608</v>
      </c>
      <c r="R169">
        <v>248</v>
      </c>
      <c r="S169" t="s">
        <v>97</v>
      </c>
      <c r="T169" t="s">
        <v>97</v>
      </c>
      <c r="U169" t="s">
        <v>97</v>
      </c>
      <c r="V169">
        <v>50310.2</v>
      </c>
      <c r="W169">
        <v>725839</v>
      </c>
      <c r="X169">
        <v>20246</v>
      </c>
      <c r="Y169">
        <f t="shared" si="2"/>
        <v>725839</v>
      </c>
      <c r="Z169" t="str">
        <f>IF(ISNUMBER(SEARCH("Adjustment",$C169)),"excluded",IF($H169="Behind the Meter","excluded",IF(NOT(OR($E169="Bundled",$E169="Energy")),"excluded",IF(OR($H169="Retail Power Marketer",$H169="Community Choice Aggregator",$E169="Energy"),"procurement",IF(OR($H169="Municipal",$H169="Cooperative",$H169="Federal",$H169="State",$H169="Political Subdivision"),"cost_service",IF($H169="Investor Owned",IF(AND(COUNTIF(Parameters!$A$4:$A$33,$G169)&gt;0,COUNTIF(Parameters!$B$4:$B$33,$B169)=0),"procurement","cost_service"),"unclassified"))))))</f>
        <v>cost_service</v>
      </c>
    </row>
    <row r="170" spans="1:26" x14ac:dyDescent="0.25">
      <c r="A170">
        <v>2024</v>
      </c>
      <c r="B170">
        <v>3205</v>
      </c>
      <c r="C170" t="s">
        <v>291</v>
      </c>
      <c r="D170" t="s">
        <v>84</v>
      </c>
      <c r="E170" t="s">
        <v>85</v>
      </c>
      <c r="F170" t="s">
        <v>86</v>
      </c>
      <c r="G170" t="s">
        <v>271</v>
      </c>
      <c r="H170" t="s">
        <v>205</v>
      </c>
      <c r="I170" t="s">
        <v>135</v>
      </c>
      <c r="J170">
        <v>7787.6</v>
      </c>
      <c r="K170">
        <v>92243</v>
      </c>
      <c r="L170">
        <v>5556</v>
      </c>
      <c r="M170">
        <v>9255.7999999999993</v>
      </c>
      <c r="N170">
        <v>132351</v>
      </c>
      <c r="O170">
        <v>774</v>
      </c>
      <c r="P170">
        <v>5323.5</v>
      </c>
      <c r="Q170">
        <v>41841</v>
      </c>
      <c r="R170">
        <v>1373</v>
      </c>
      <c r="S170" t="s">
        <v>97</v>
      </c>
      <c r="T170" t="s">
        <v>97</v>
      </c>
      <c r="U170" t="s">
        <v>97</v>
      </c>
      <c r="V170">
        <v>22366.9</v>
      </c>
      <c r="W170">
        <v>266435</v>
      </c>
      <c r="X170">
        <v>7703</v>
      </c>
      <c r="Y170">
        <f t="shared" si="2"/>
        <v>266435</v>
      </c>
      <c r="Z170" t="str">
        <f>IF(ISNUMBER(SEARCH("Adjustment",$C170)),"excluded",IF($H170="Behind the Meter","excluded",IF(NOT(OR($E170="Bundled",$E170="Energy")),"excluded",IF(OR($H170="Retail Power Marketer",$H170="Community Choice Aggregator",$E170="Energy"),"procurement",IF(OR($H170="Municipal",$H170="Cooperative",$H170="Federal",$H170="State",$H170="Political Subdivision"),"cost_service",IF($H170="Investor Owned",IF(AND(COUNTIF(Parameters!$A$4:$A$33,$G170)&gt;0,COUNTIF(Parameters!$B$4:$B$33,$B170)=0),"procurement","cost_service"),"unclassified"))))))</f>
        <v>cost_service</v>
      </c>
    </row>
    <row r="171" spans="1:26" x14ac:dyDescent="0.25">
      <c r="A171">
        <v>2024</v>
      </c>
      <c r="B171">
        <v>3208</v>
      </c>
      <c r="C171" t="s">
        <v>292</v>
      </c>
      <c r="D171" t="s">
        <v>84</v>
      </c>
      <c r="E171" t="s">
        <v>85</v>
      </c>
      <c r="F171" t="s">
        <v>86</v>
      </c>
      <c r="G171" t="s">
        <v>95</v>
      </c>
      <c r="H171" t="s">
        <v>88</v>
      </c>
      <c r="I171" t="s">
        <v>96</v>
      </c>
      <c r="J171">
        <v>5802.9</v>
      </c>
      <c r="K171">
        <v>45697</v>
      </c>
      <c r="L171">
        <v>6063</v>
      </c>
      <c r="M171">
        <v>5275.1</v>
      </c>
      <c r="N171">
        <v>48200</v>
      </c>
      <c r="O171">
        <v>948</v>
      </c>
      <c r="P171">
        <v>920.7</v>
      </c>
      <c r="Q171">
        <v>11847</v>
      </c>
      <c r="R171">
        <v>1</v>
      </c>
      <c r="S171">
        <v>0</v>
      </c>
      <c r="T171">
        <v>0</v>
      </c>
      <c r="U171">
        <v>0</v>
      </c>
      <c r="V171">
        <v>11998.7</v>
      </c>
      <c r="W171">
        <v>105744</v>
      </c>
      <c r="X171">
        <v>7012</v>
      </c>
      <c r="Y171">
        <f t="shared" si="2"/>
        <v>105744</v>
      </c>
      <c r="Z171" t="str">
        <f>IF(ISNUMBER(SEARCH("Adjustment",$C171)),"excluded",IF($H171="Behind the Meter","excluded",IF(NOT(OR($E171="Bundled",$E171="Energy")),"excluded",IF(OR($H171="Retail Power Marketer",$H171="Community Choice Aggregator",$E171="Energy"),"procurement",IF(OR($H171="Municipal",$H171="Cooperative",$H171="Federal",$H171="State",$H171="Political Subdivision"),"cost_service",IF($H171="Investor Owned",IF(AND(COUNTIF(Parameters!$A$4:$A$33,$G171)&gt;0,COUNTIF(Parameters!$B$4:$B$33,$B171)=0),"procurement","cost_service"),"unclassified"))))))</f>
        <v>cost_service</v>
      </c>
    </row>
    <row r="172" spans="1:26" x14ac:dyDescent="0.25">
      <c r="A172">
        <v>2024</v>
      </c>
      <c r="B172">
        <v>3216</v>
      </c>
      <c r="C172" t="s">
        <v>293</v>
      </c>
      <c r="D172" t="s">
        <v>84</v>
      </c>
      <c r="E172" t="s">
        <v>85</v>
      </c>
      <c r="F172" t="s">
        <v>86</v>
      </c>
      <c r="G172" t="s">
        <v>54</v>
      </c>
      <c r="H172" t="s">
        <v>88</v>
      </c>
      <c r="I172" t="s">
        <v>92</v>
      </c>
      <c r="J172">
        <v>9047</v>
      </c>
      <c r="K172">
        <v>99237</v>
      </c>
      <c r="L172">
        <v>7557</v>
      </c>
      <c r="M172">
        <v>8288</v>
      </c>
      <c r="N172">
        <v>72386</v>
      </c>
      <c r="O172">
        <v>897</v>
      </c>
      <c r="P172">
        <v>6163</v>
      </c>
      <c r="Q172">
        <v>84539</v>
      </c>
      <c r="R172">
        <v>14</v>
      </c>
      <c r="S172" t="s">
        <v>97</v>
      </c>
      <c r="T172" t="s">
        <v>97</v>
      </c>
      <c r="U172" t="s">
        <v>97</v>
      </c>
      <c r="V172">
        <v>23498</v>
      </c>
      <c r="W172">
        <v>256162</v>
      </c>
      <c r="X172">
        <v>8468</v>
      </c>
      <c r="Y172">
        <f t="shared" si="2"/>
        <v>256162</v>
      </c>
      <c r="Z172" t="str">
        <f>IF(ISNUMBER(SEARCH("Adjustment",$C172)),"excluded",IF($H172="Behind the Meter","excluded",IF(NOT(OR($E172="Bundled",$E172="Energy")),"excluded",IF(OR($H172="Retail Power Marketer",$H172="Community Choice Aggregator",$E172="Energy"),"procurement",IF(OR($H172="Municipal",$H172="Cooperative",$H172="Federal",$H172="State",$H172="Political Subdivision"),"cost_service",IF($H172="Investor Owned",IF(AND(COUNTIF(Parameters!$A$4:$A$33,$G172)&gt;0,COUNTIF(Parameters!$B$4:$B$33,$B172)=0),"procurement","cost_service"),"unclassified"))))))</f>
        <v>cost_service</v>
      </c>
    </row>
    <row r="173" spans="1:26" x14ac:dyDescent="0.25">
      <c r="A173">
        <v>2024</v>
      </c>
      <c r="B173">
        <v>3222</v>
      </c>
      <c r="C173" t="s">
        <v>294</v>
      </c>
      <c r="D173" t="s">
        <v>84</v>
      </c>
      <c r="E173" t="s">
        <v>85</v>
      </c>
      <c r="F173" t="s">
        <v>86</v>
      </c>
      <c r="G173" t="s">
        <v>112</v>
      </c>
      <c r="H173" t="s">
        <v>91</v>
      </c>
      <c r="I173" t="s">
        <v>113</v>
      </c>
      <c r="J173">
        <v>104651</v>
      </c>
      <c r="K173">
        <v>628803</v>
      </c>
      <c r="L173">
        <v>45036</v>
      </c>
      <c r="M173">
        <v>13856</v>
      </c>
      <c r="N173">
        <v>100391</v>
      </c>
      <c r="O173">
        <v>2380</v>
      </c>
      <c r="P173">
        <v>1088</v>
      </c>
      <c r="Q173">
        <v>8952</v>
      </c>
      <c r="R173">
        <v>4</v>
      </c>
      <c r="S173" t="s">
        <v>97</v>
      </c>
      <c r="T173" t="s">
        <v>97</v>
      </c>
      <c r="U173" t="s">
        <v>97</v>
      </c>
      <c r="V173">
        <v>119595</v>
      </c>
      <c r="W173">
        <v>738146</v>
      </c>
      <c r="X173">
        <v>47420</v>
      </c>
      <c r="Y173">
        <f t="shared" si="2"/>
        <v>738146</v>
      </c>
      <c r="Z173" t="str">
        <f>IF(ISNUMBER(SEARCH("Adjustment",$C173)),"excluded",IF($H173="Behind the Meter","excluded",IF(NOT(OR($E173="Bundled",$E173="Energy")),"excluded",IF(OR($H173="Retail Power Marketer",$H173="Community Choice Aggregator",$E173="Energy"),"procurement",IF(OR($H173="Municipal",$H173="Cooperative",$H173="Federal",$H173="State",$H173="Political Subdivision"),"cost_service",IF($H173="Investor Owned",IF(AND(COUNTIF(Parameters!$A$4:$A$33,$G173)&gt;0,COUNTIF(Parameters!$B$4:$B$33,$B173)=0),"procurement","cost_service"),"unclassified"))))))</f>
        <v>cost_service</v>
      </c>
    </row>
    <row r="174" spans="1:26" x14ac:dyDescent="0.25">
      <c r="A174">
        <v>2024</v>
      </c>
      <c r="B174">
        <v>3226</v>
      </c>
      <c r="C174" t="s">
        <v>295</v>
      </c>
      <c r="D174" t="s">
        <v>84</v>
      </c>
      <c r="E174" t="s">
        <v>85</v>
      </c>
      <c r="F174" t="s">
        <v>86</v>
      </c>
      <c r="G174" t="s">
        <v>136</v>
      </c>
      <c r="H174" t="s">
        <v>91</v>
      </c>
      <c r="I174" t="s">
        <v>227</v>
      </c>
      <c r="J174">
        <v>41022.6</v>
      </c>
      <c r="K174">
        <v>354953</v>
      </c>
      <c r="L174">
        <v>19650</v>
      </c>
      <c r="M174">
        <v>27309.200000000001</v>
      </c>
      <c r="N174">
        <v>247180</v>
      </c>
      <c r="O174">
        <v>4948</v>
      </c>
      <c r="P174">
        <v>1469.8</v>
      </c>
      <c r="Q174">
        <v>12052</v>
      </c>
      <c r="R174">
        <v>4</v>
      </c>
      <c r="S174" t="s">
        <v>97</v>
      </c>
      <c r="T174" t="s">
        <v>97</v>
      </c>
      <c r="U174" t="s">
        <v>97</v>
      </c>
      <c r="V174">
        <v>69801.600000000006</v>
      </c>
      <c r="W174">
        <v>614185</v>
      </c>
      <c r="X174">
        <v>24602</v>
      </c>
      <c r="Y174">
        <f t="shared" si="2"/>
        <v>614185</v>
      </c>
      <c r="Z174" t="str">
        <f>IF(ISNUMBER(SEARCH("Adjustment",$C174)),"excluded",IF($H174="Behind the Meter","excluded",IF(NOT(OR($E174="Bundled",$E174="Energy")),"excluded",IF(OR($H174="Retail Power Marketer",$H174="Community Choice Aggregator",$E174="Energy"),"procurement",IF(OR($H174="Municipal",$H174="Cooperative",$H174="Federal",$H174="State",$H174="Political Subdivision"),"cost_service",IF($H174="Investor Owned",IF(AND(COUNTIF(Parameters!$A$4:$A$33,$G174)&gt;0,COUNTIF(Parameters!$B$4:$B$33,$B174)=0),"procurement","cost_service"),"unclassified"))))))</f>
        <v>cost_service</v>
      </c>
    </row>
    <row r="175" spans="1:26" x14ac:dyDescent="0.25">
      <c r="A175">
        <v>2024</v>
      </c>
      <c r="B175">
        <v>3236</v>
      </c>
      <c r="C175" t="s">
        <v>296</v>
      </c>
      <c r="D175" t="s">
        <v>84</v>
      </c>
      <c r="E175" t="s">
        <v>85</v>
      </c>
      <c r="F175" t="s">
        <v>86</v>
      </c>
      <c r="G175" t="s">
        <v>224</v>
      </c>
      <c r="H175" t="s">
        <v>91</v>
      </c>
      <c r="I175" t="s">
        <v>259</v>
      </c>
      <c r="J175">
        <v>15642.9</v>
      </c>
      <c r="K175">
        <v>114649</v>
      </c>
      <c r="L175">
        <v>6483</v>
      </c>
      <c r="M175">
        <v>3572.2</v>
      </c>
      <c r="N175">
        <v>28131</v>
      </c>
      <c r="O175">
        <v>688</v>
      </c>
      <c r="P175">
        <v>17683.400000000001</v>
      </c>
      <c r="Q175">
        <v>205072</v>
      </c>
      <c r="R175">
        <v>180</v>
      </c>
      <c r="S175">
        <v>0</v>
      </c>
      <c r="T175">
        <v>0</v>
      </c>
      <c r="U175">
        <v>0</v>
      </c>
      <c r="V175">
        <v>36898.5</v>
      </c>
      <c r="W175">
        <v>347852</v>
      </c>
      <c r="X175">
        <v>7351</v>
      </c>
      <c r="Y175">
        <f t="shared" si="2"/>
        <v>347852</v>
      </c>
      <c r="Z175" t="str">
        <f>IF(ISNUMBER(SEARCH("Adjustment",$C175)),"excluded",IF($H175="Behind the Meter","excluded",IF(NOT(OR($E175="Bundled",$E175="Energy")),"excluded",IF(OR($H175="Retail Power Marketer",$H175="Community Choice Aggregator",$E175="Energy"),"procurement",IF(OR($H175="Municipal",$H175="Cooperative",$H175="Federal",$H175="State",$H175="Political Subdivision"),"cost_service",IF($H175="Investor Owned",IF(AND(COUNTIF(Parameters!$A$4:$A$33,$G175)&gt;0,COUNTIF(Parameters!$B$4:$B$33,$B175)=0),"procurement","cost_service"),"unclassified"))))))</f>
        <v>cost_service</v>
      </c>
    </row>
    <row r="176" spans="1:26" x14ac:dyDescent="0.25">
      <c r="A176">
        <v>2024</v>
      </c>
      <c r="B176">
        <v>3240</v>
      </c>
      <c r="C176" t="s">
        <v>297</v>
      </c>
      <c r="D176" t="s">
        <v>84</v>
      </c>
      <c r="E176" t="s">
        <v>85</v>
      </c>
      <c r="F176" t="s">
        <v>86</v>
      </c>
      <c r="G176" t="s">
        <v>219</v>
      </c>
      <c r="H176" t="s">
        <v>91</v>
      </c>
      <c r="I176" t="s">
        <v>206</v>
      </c>
      <c r="J176">
        <v>55629.599999999999</v>
      </c>
      <c r="K176">
        <v>570582</v>
      </c>
      <c r="L176">
        <v>34562</v>
      </c>
      <c r="M176">
        <v>10862.9</v>
      </c>
      <c r="N176">
        <v>139184</v>
      </c>
      <c r="O176">
        <v>3193</v>
      </c>
      <c r="P176">
        <v>7774.7</v>
      </c>
      <c r="Q176">
        <v>107080</v>
      </c>
      <c r="R176">
        <v>1109</v>
      </c>
      <c r="S176">
        <v>0</v>
      </c>
      <c r="T176">
        <v>0</v>
      </c>
      <c r="U176">
        <v>0</v>
      </c>
      <c r="V176">
        <v>74267.199999999997</v>
      </c>
      <c r="W176">
        <v>816846</v>
      </c>
      <c r="X176">
        <v>38864</v>
      </c>
      <c r="Y176">
        <f t="shared" si="2"/>
        <v>816846</v>
      </c>
      <c r="Z176" t="str">
        <f>IF(ISNUMBER(SEARCH("Adjustment",$C176)),"excluded",IF($H176="Behind the Meter","excluded",IF(NOT(OR($E176="Bundled",$E176="Energy")),"excluded",IF(OR($H176="Retail Power Marketer",$H176="Community Choice Aggregator",$E176="Energy"),"procurement",IF(OR($H176="Municipal",$H176="Cooperative",$H176="Federal",$H176="State",$H176="Political Subdivision"),"cost_service",IF($H176="Investor Owned",IF(AND(COUNTIF(Parameters!$A$4:$A$33,$G176)&gt;0,COUNTIF(Parameters!$B$4:$B$33,$B176)=0),"procurement","cost_service"),"unclassified"))))))</f>
        <v>cost_service</v>
      </c>
    </row>
    <row r="177" spans="1:26" x14ac:dyDescent="0.25">
      <c r="A177">
        <v>2024</v>
      </c>
      <c r="B177">
        <v>3245</v>
      </c>
      <c r="C177" t="s">
        <v>298</v>
      </c>
      <c r="D177" t="s">
        <v>84</v>
      </c>
      <c r="E177" t="s">
        <v>85</v>
      </c>
      <c r="F177" t="s">
        <v>86</v>
      </c>
      <c r="G177" t="s">
        <v>195</v>
      </c>
      <c r="H177" t="s">
        <v>91</v>
      </c>
      <c r="I177" t="s">
        <v>299</v>
      </c>
      <c r="J177">
        <v>56144</v>
      </c>
      <c r="K177">
        <v>412201</v>
      </c>
      <c r="L177">
        <v>32771</v>
      </c>
      <c r="M177">
        <v>12861</v>
      </c>
      <c r="N177">
        <v>104426</v>
      </c>
      <c r="O177">
        <v>3312</v>
      </c>
      <c r="P177">
        <v>6903</v>
      </c>
      <c r="Q177">
        <v>72824</v>
      </c>
      <c r="R177">
        <v>911</v>
      </c>
      <c r="S177" t="s">
        <v>97</v>
      </c>
      <c r="T177" t="s">
        <v>97</v>
      </c>
      <c r="U177" t="s">
        <v>97</v>
      </c>
      <c r="V177">
        <v>75908</v>
      </c>
      <c r="W177">
        <v>589451</v>
      </c>
      <c r="X177">
        <v>36994</v>
      </c>
      <c r="Y177">
        <f t="shared" si="2"/>
        <v>589451</v>
      </c>
      <c r="Z177" t="str">
        <f>IF(ISNUMBER(SEARCH("Adjustment",$C177)),"excluded",IF($H177="Behind the Meter","excluded",IF(NOT(OR($E177="Bundled",$E177="Energy")),"excluded",IF(OR($H177="Retail Power Marketer",$H177="Community Choice Aggregator",$E177="Energy"),"procurement",IF(OR($H177="Municipal",$H177="Cooperative",$H177="Federal",$H177="State",$H177="Political Subdivision"),"cost_service",IF($H177="Investor Owned",IF(AND(COUNTIF(Parameters!$A$4:$A$33,$G177)&gt;0,COUNTIF(Parameters!$B$4:$B$33,$B177)=0),"procurement","cost_service"),"unclassified"))))))</f>
        <v>cost_service</v>
      </c>
    </row>
    <row r="178" spans="1:26" x14ac:dyDescent="0.25">
      <c r="A178">
        <v>2024</v>
      </c>
      <c r="B178">
        <v>3248</v>
      </c>
      <c r="C178" t="s">
        <v>300</v>
      </c>
      <c r="D178" t="s">
        <v>84</v>
      </c>
      <c r="E178" t="s">
        <v>85</v>
      </c>
      <c r="F178" t="s">
        <v>86</v>
      </c>
      <c r="G178" t="s">
        <v>123</v>
      </c>
      <c r="H178" t="s">
        <v>91</v>
      </c>
      <c r="I178" t="s">
        <v>113</v>
      </c>
      <c r="J178">
        <v>114965</v>
      </c>
      <c r="K178">
        <v>939245</v>
      </c>
      <c r="L178">
        <v>61155</v>
      </c>
      <c r="M178">
        <v>22756</v>
      </c>
      <c r="N178">
        <v>203992</v>
      </c>
      <c r="O178">
        <v>5873</v>
      </c>
      <c r="P178">
        <v>23748</v>
      </c>
      <c r="Q178">
        <v>334806</v>
      </c>
      <c r="R178">
        <v>107</v>
      </c>
      <c r="S178" t="s">
        <v>97</v>
      </c>
      <c r="T178" t="s">
        <v>97</v>
      </c>
      <c r="U178" t="s">
        <v>97</v>
      </c>
      <c r="V178">
        <v>161469</v>
      </c>
      <c r="W178">
        <v>1478043</v>
      </c>
      <c r="X178">
        <v>67135</v>
      </c>
      <c r="Y178">
        <f t="shared" si="2"/>
        <v>1478043</v>
      </c>
      <c r="Z178" t="str">
        <f>IF(ISNUMBER(SEARCH("Adjustment",$C178)),"excluded",IF($H178="Behind the Meter","excluded",IF(NOT(OR($E178="Bundled",$E178="Energy")),"excluded",IF(OR($H178="Retail Power Marketer",$H178="Community Choice Aggregator",$E178="Energy"),"procurement",IF(OR($H178="Municipal",$H178="Cooperative",$H178="Federal",$H178="State",$H178="Political Subdivision"),"cost_service",IF($H178="Investor Owned",IF(AND(COUNTIF(Parameters!$A$4:$A$33,$G178)&gt;0,COUNTIF(Parameters!$B$4:$B$33,$B178)=0),"procurement","cost_service"),"unclassified"))))))</f>
        <v>cost_service</v>
      </c>
    </row>
    <row r="179" spans="1:26" x14ac:dyDescent="0.25">
      <c r="A179">
        <v>2024</v>
      </c>
      <c r="B179">
        <v>3249</v>
      </c>
      <c r="C179" t="s">
        <v>301</v>
      </c>
      <c r="D179" t="s">
        <v>84</v>
      </c>
      <c r="E179" t="s">
        <v>85</v>
      </c>
      <c r="F179" t="s">
        <v>86</v>
      </c>
      <c r="G179" t="s">
        <v>53</v>
      </c>
      <c r="H179" t="s">
        <v>109</v>
      </c>
      <c r="I179" t="s">
        <v>102</v>
      </c>
      <c r="J179">
        <v>462463</v>
      </c>
      <c r="K179">
        <v>1839240</v>
      </c>
      <c r="L179">
        <v>229592</v>
      </c>
      <c r="M179">
        <v>175177</v>
      </c>
      <c r="N179">
        <v>1005836</v>
      </c>
      <c r="O179">
        <v>37980</v>
      </c>
      <c r="P179">
        <v>10221</v>
      </c>
      <c r="Q179">
        <v>63537</v>
      </c>
      <c r="R179">
        <v>602</v>
      </c>
      <c r="S179">
        <v>0</v>
      </c>
      <c r="T179">
        <v>0</v>
      </c>
      <c r="U179">
        <v>0</v>
      </c>
      <c r="V179">
        <v>647861</v>
      </c>
      <c r="W179">
        <v>2908613</v>
      </c>
      <c r="X179">
        <v>268174</v>
      </c>
      <c r="Y179">
        <f t="shared" si="2"/>
        <v>2908613</v>
      </c>
      <c r="Z179" t="str">
        <f>IF(ISNUMBER(SEARCH("Adjustment",$C179)),"excluded",IF($H179="Behind the Meter","excluded",IF(NOT(OR($E179="Bundled",$E179="Energy")),"excluded",IF(OR($H179="Retail Power Marketer",$H179="Community Choice Aggregator",$E179="Energy"),"procurement",IF(OR($H179="Municipal",$H179="Cooperative",$H179="Federal",$H179="State",$H179="Political Subdivision"),"cost_service",IF($H179="Investor Owned",IF(AND(COUNTIF(Parameters!$A$4:$A$33,$G179)&gt;0,COUNTIF(Parameters!$B$4:$B$33,$B179)=0),"procurement","cost_service"),"unclassified"))))))</f>
        <v>procurement</v>
      </c>
    </row>
    <row r="180" spans="1:26" x14ac:dyDescent="0.25">
      <c r="A180">
        <v>2024</v>
      </c>
      <c r="B180">
        <v>3249</v>
      </c>
      <c r="C180" t="s">
        <v>301</v>
      </c>
      <c r="D180" t="s">
        <v>167</v>
      </c>
      <c r="E180" t="s">
        <v>168</v>
      </c>
      <c r="F180" t="s">
        <v>86</v>
      </c>
      <c r="G180" t="s">
        <v>53</v>
      </c>
      <c r="H180" t="s">
        <v>109</v>
      </c>
      <c r="I180" t="s">
        <v>102</v>
      </c>
      <c r="J180">
        <v>54570</v>
      </c>
      <c r="K180">
        <v>328547</v>
      </c>
      <c r="L180">
        <v>41267</v>
      </c>
      <c r="M180">
        <v>64151</v>
      </c>
      <c r="N180">
        <v>1003658</v>
      </c>
      <c r="O180">
        <v>11492</v>
      </c>
      <c r="P180">
        <v>21222</v>
      </c>
      <c r="Q180">
        <v>777221</v>
      </c>
      <c r="R180">
        <v>259</v>
      </c>
      <c r="S180">
        <v>0</v>
      </c>
      <c r="T180">
        <v>0</v>
      </c>
      <c r="U180">
        <v>0</v>
      </c>
      <c r="V180">
        <v>139943</v>
      </c>
      <c r="W180">
        <v>2109426</v>
      </c>
      <c r="X180">
        <v>53018</v>
      </c>
      <c r="Y180">
        <f t="shared" si="2"/>
        <v>2109426</v>
      </c>
      <c r="Z180" t="str">
        <f>IF(ISNUMBER(SEARCH("Adjustment",$C180)),"excluded",IF($H180="Behind the Meter","excluded",IF(NOT(OR($E180="Bundled",$E180="Energy")),"excluded",IF(OR($H180="Retail Power Marketer",$H180="Community Choice Aggregator",$E180="Energy"),"procurement",IF(OR($H180="Municipal",$H180="Cooperative",$H180="Federal",$H180="State",$H180="Political Subdivision"),"cost_service",IF($H180="Investor Owned",IF(AND(COUNTIF(Parameters!$A$4:$A$33,$G180)&gt;0,COUNTIF(Parameters!$B$4:$B$33,$B180)=0),"procurement","cost_service"),"unclassified"))))))</f>
        <v>excluded</v>
      </c>
    </row>
    <row r="181" spans="1:26" x14ac:dyDescent="0.25">
      <c r="A181">
        <v>2024</v>
      </c>
      <c r="B181">
        <v>3250</v>
      </c>
      <c r="C181" t="s">
        <v>302</v>
      </c>
      <c r="D181" t="s">
        <v>84</v>
      </c>
      <c r="E181" t="s">
        <v>85</v>
      </c>
      <c r="F181" t="s">
        <v>86</v>
      </c>
      <c r="G181" t="s">
        <v>125</v>
      </c>
      <c r="H181" t="s">
        <v>91</v>
      </c>
      <c r="I181" t="s">
        <v>163</v>
      </c>
      <c r="J181">
        <v>48766.400000000001</v>
      </c>
      <c r="K181">
        <v>340189</v>
      </c>
      <c r="L181">
        <v>22071</v>
      </c>
      <c r="M181">
        <v>6794.3</v>
      </c>
      <c r="N181">
        <v>54410</v>
      </c>
      <c r="O181">
        <v>2541</v>
      </c>
      <c r="P181">
        <v>3639.4</v>
      </c>
      <c r="Q181">
        <v>46520</v>
      </c>
      <c r="R181">
        <v>14</v>
      </c>
      <c r="S181" t="s">
        <v>97</v>
      </c>
      <c r="T181" t="s">
        <v>97</v>
      </c>
      <c r="U181" t="s">
        <v>97</v>
      </c>
      <c r="V181">
        <v>59200.1</v>
      </c>
      <c r="W181">
        <v>441119</v>
      </c>
      <c r="X181">
        <v>24626</v>
      </c>
      <c r="Y181">
        <f t="shared" si="2"/>
        <v>441119</v>
      </c>
      <c r="Z181" t="str">
        <f>IF(ISNUMBER(SEARCH("Adjustment",$C181)),"excluded",IF($H181="Behind the Meter","excluded",IF(NOT(OR($E181="Bundled",$E181="Energy")),"excluded",IF(OR($H181="Retail Power Marketer",$H181="Community Choice Aggregator",$E181="Energy"),"procurement",IF(OR($H181="Municipal",$H181="Cooperative",$H181="Federal",$H181="State",$H181="Political Subdivision"),"cost_service",IF($H181="Investor Owned",IF(AND(COUNTIF(Parameters!$A$4:$A$33,$G181)&gt;0,COUNTIF(Parameters!$B$4:$B$33,$B181)=0),"procurement","cost_service"),"unclassified"))))))</f>
        <v>cost_service</v>
      </c>
    </row>
    <row r="182" spans="1:26" x14ac:dyDescent="0.25">
      <c r="A182">
        <v>2024</v>
      </c>
      <c r="B182">
        <v>3264</v>
      </c>
      <c r="C182" t="s">
        <v>303</v>
      </c>
      <c r="D182" t="s">
        <v>84</v>
      </c>
      <c r="E182" t="s">
        <v>85</v>
      </c>
      <c r="F182" t="s">
        <v>86</v>
      </c>
      <c r="G182" t="s">
        <v>219</v>
      </c>
      <c r="H182" t="s">
        <v>205</v>
      </c>
      <c r="I182" t="s">
        <v>206</v>
      </c>
      <c r="J182">
        <v>46668.3</v>
      </c>
      <c r="K182">
        <v>426809</v>
      </c>
      <c r="L182">
        <v>35904</v>
      </c>
      <c r="M182">
        <v>16799.099999999999</v>
      </c>
      <c r="N182">
        <v>175177</v>
      </c>
      <c r="O182">
        <v>5418</v>
      </c>
      <c r="P182">
        <v>30122.3</v>
      </c>
      <c r="Q182">
        <v>592716</v>
      </c>
      <c r="R182">
        <v>205</v>
      </c>
      <c r="S182" t="s">
        <v>97</v>
      </c>
      <c r="T182" t="s">
        <v>97</v>
      </c>
      <c r="U182" t="s">
        <v>97</v>
      </c>
      <c r="V182">
        <v>93589.7</v>
      </c>
      <c r="W182">
        <v>1194702</v>
      </c>
      <c r="X182">
        <v>41527</v>
      </c>
      <c r="Y182">
        <f t="shared" si="2"/>
        <v>1194702</v>
      </c>
      <c r="Z182" t="str">
        <f>IF(ISNUMBER(SEARCH("Adjustment",$C182)),"excluded",IF($H182="Behind the Meter","excluded",IF(NOT(OR($E182="Bundled",$E182="Energy")),"excluded",IF(OR($H182="Retail Power Marketer",$H182="Community Choice Aggregator",$E182="Energy"),"procurement",IF(OR($H182="Municipal",$H182="Cooperative",$H182="Federal",$H182="State",$H182="Political Subdivision"),"cost_service",IF($H182="Investor Owned",IF(AND(COUNTIF(Parameters!$A$4:$A$33,$G182)&gt;0,COUNTIF(Parameters!$B$4:$B$33,$B182)=0),"procurement","cost_service"),"unclassified"))))))</f>
        <v>cost_service</v>
      </c>
    </row>
    <row r="183" spans="1:26" x14ac:dyDescent="0.25">
      <c r="A183">
        <v>2024</v>
      </c>
      <c r="B183">
        <v>3265</v>
      </c>
      <c r="C183" t="s">
        <v>304</v>
      </c>
      <c r="D183" t="s">
        <v>84</v>
      </c>
      <c r="E183" t="s">
        <v>85</v>
      </c>
      <c r="F183" t="s">
        <v>86</v>
      </c>
      <c r="G183" t="s">
        <v>138</v>
      </c>
      <c r="H183" t="s">
        <v>109</v>
      </c>
      <c r="I183" t="s">
        <v>96</v>
      </c>
      <c r="J183">
        <v>453519</v>
      </c>
      <c r="K183">
        <v>3677934</v>
      </c>
      <c r="L183">
        <v>251927</v>
      </c>
      <c r="M183">
        <v>318698</v>
      </c>
      <c r="N183">
        <v>2824748</v>
      </c>
      <c r="O183">
        <v>42956</v>
      </c>
      <c r="P183">
        <v>177175</v>
      </c>
      <c r="Q183">
        <v>2274844</v>
      </c>
      <c r="R183">
        <v>502</v>
      </c>
      <c r="S183" t="s">
        <v>97</v>
      </c>
      <c r="T183" t="s">
        <v>97</v>
      </c>
      <c r="U183" t="s">
        <v>97</v>
      </c>
      <c r="V183">
        <v>949392</v>
      </c>
      <c r="W183">
        <v>8777526</v>
      </c>
      <c r="X183">
        <v>295385</v>
      </c>
      <c r="Y183">
        <f t="shared" si="2"/>
        <v>8777526</v>
      </c>
      <c r="Z183" t="str">
        <f>IF(ISNUMBER(SEARCH("Adjustment",$C183)),"excluded",IF($H183="Behind the Meter","excluded",IF(NOT(OR($E183="Bundled",$E183="Energy")),"excluded",IF(OR($H183="Retail Power Marketer",$H183="Community Choice Aggregator",$E183="Energy"),"procurement",IF(OR($H183="Municipal",$H183="Cooperative",$H183="Federal",$H183="State",$H183="Political Subdivision"),"cost_service",IF($H183="Investor Owned",IF(AND(COUNTIF(Parameters!$A$4:$A$33,$G183)&gt;0,COUNTIF(Parameters!$B$4:$B$33,$B183)=0),"procurement","cost_service"),"unclassified"))))))</f>
        <v>cost_service</v>
      </c>
    </row>
    <row r="184" spans="1:26" x14ac:dyDescent="0.25">
      <c r="A184">
        <v>2024</v>
      </c>
      <c r="B184">
        <v>3266</v>
      </c>
      <c r="C184" t="s">
        <v>305</v>
      </c>
      <c r="D184" t="s">
        <v>84</v>
      </c>
      <c r="E184" t="s">
        <v>85</v>
      </c>
      <c r="F184" t="s">
        <v>86</v>
      </c>
      <c r="G184" t="s">
        <v>50</v>
      </c>
      <c r="H184" t="s">
        <v>109</v>
      </c>
      <c r="I184" t="s">
        <v>189</v>
      </c>
      <c r="J184">
        <v>813652</v>
      </c>
      <c r="K184">
        <v>3471992</v>
      </c>
      <c r="L184">
        <v>519295</v>
      </c>
      <c r="M184">
        <v>210292</v>
      </c>
      <c r="N184">
        <v>997548</v>
      </c>
      <c r="O184">
        <v>52081</v>
      </c>
      <c r="P184">
        <v>15916</v>
      </c>
      <c r="Q184">
        <v>78155</v>
      </c>
      <c r="R184">
        <v>927</v>
      </c>
      <c r="S184">
        <v>0</v>
      </c>
      <c r="T184">
        <v>0</v>
      </c>
      <c r="U184">
        <v>0</v>
      </c>
      <c r="V184">
        <v>1039860</v>
      </c>
      <c r="W184">
        <v>4547695</v>
      </c>
      <c r="X184">
        <v>572303</v>
      </c>
      <c r="Y184">
        <f t="shared" si="2"/>
        <v>4547695</v>
      </c>
      <c r="Z184" t="str">
        <f>IF(ISNUMBER(SEARCH("Adjustment",$C184)),"excluded",IF($H184="Behind the Meter","excluded",IF(NOT(OR($E184="Bundled",$E184="Energy")),"excluded",IF(OR($H184="Retail Power Marketer",$H184="Community Choice Aggregator",$E184="Energy"),"procurement",IF(OR($H184="Municipal",$H184="Cooperative",$H184="Federal",$H184="State",$H184="Political Subdivision"),"cost_service",IF($H184="Investor Owned",IF(AND(COUNTIF(Parameters!$A$4:$A$33,$G184)&gt;0,COUNTIF(Parameters!$B$4:$B$33,$B184)=0),"procurement","cost_service"),"unclassified"))))))</f>
        <v>procurement</v>
      </c>
    </row>
    <row r="185" spans="1:26" x14ac:dyDescent="0.25">
      <c r="A185">
        <v>2024</v>
      </c>
      <c r="B185">
        <v>3266</v>
      </c>
      <c r="C185" t="s">
        <v>305</v>
      </c>
      <c r="D185" t="s">
        <v>167</v>
      </c>
      <c r="E185" t="s">
        <v>168</v>
      </c>
      <c r="F185" t="s">
        <v>86</v>
      </c>
      <c r="G185" t="s">
        <v>50</v>
      </c>
      <c r="H185" t="s">
        <v>109</v>
      </c>
      <c r="I185" t="s">
        <v>189</v>
      </c>
      <c r="J185">
        <v>50446</v>
      </c>
      <c r="K185">
        <v>390600</v>
      </c>
      <c r="L185">
        <v>58660</v>
      </c>
      <c r="M185">
        <v>153761</v>
      </c>
      <c r="N185">
        <v>2256782</v>
      </c>
      <c r="O185">
        <v>25587</v>
      </c>
      <c r="P185">
        <v>70406</v>
      </c>
      <c r="Q185">
        <v>1632930</v>
      </c>
      <c r="R185">
        <v>778</v>
      </c>
      <c r="S185">
        <v>0</v>
      </c>
      <c r="T185">
        <v>0</v>
      </c>
      <c r="U185">
        <v>0</v>
      </c>
      <c r="V185">
        <v>274613</v>
      </c>
      <c r="W185">
        <v>4280312</v>
      </c>
      <c r="X185">
        <v>85025</v>
      </c>
      <c r="Y185">
        <f t="shared" si="2"/>
        <v>4280312</v>
      </c>
      <c r="Z185" t="str">
        <f>IF(ISNUMBER(SEARCH("Adjustment",$C185)),"excluded",IF($H185="Behind the Meter","excluded",IF(NOT(OR($E185="Bundled",$E185="Energy")),"excluded",IF(OR($H185="Retail Power Marketer",$H185="Community Choice Aggregator",$E185="Energy"),"procurement",IF(OR($H185="Municipal",$H185="Cooperative",$H185="Federal",$H185="State",$H185="Political Subdivision"),"cost_service",IF($H185="Investor Owned",IF(AND(COUNTIF(Parameters!$A$4:$A$33,$G185)&gt;0,COUNTIF(Parameters!$B$4:$B$33,$B185)=0),"procurement","cost_service"),"unclassified"))))))</f>
        <v>excluded</v>
      </c>
    </row>
    <row r="186" spans="1:26" x14ac:dyDescent="0.25">
      <c r="A186">
        <v>2024</v>
      </c>
      <c r="B186">
        <v>3268</v>
      </c>
      <c r="C186" t="s">
        <v>306</v>
      </c>
      <c r="D186" t="s">
        <v>84</v>
      </c>
      <c r="E186" t="s">
        <v>85</v>
      </c>
      <c r="F186" t="s">
        <v>86</v>
      </c>
      <c r="G186" t="s">
        <v>226</v>
      </c>
      <c r="H186" t="s">
        <v>91</v>
      </c>
      <c r="I186" t="s">
        <v>227</v>
      </c>
      <c r="J186">
        <v>22833</v>
      </c>
      <c r="K186">
        <v>182465</v>
      </c>
      <c r="L186">
        <v>11167</v>
      </c>
      <c r="M186">
        <v>3406.5</v>
      </c>
      <c r="N186">
        <v>30985</v>
      </c>
      <c r="O186">
        <v>364</v>
      </c>
      <c r="P186">
        <v>8177.7</v>
      </c>
      <c r="Q186">
        <v>113698</v>
      </c>
      <c r="R186">
        <v>3</v>
      </c>
      <c r="S186" t="s">
        <v>97</v>
      </c>
      <c r="T186" t="s">
        <v>97</v>
      </c>
      <c r="U186" t="s">
        <v>97</v>
      </c>
      <c r="V186">
        <v>34417.199999999997</v>
      </c>
      <c r="W186">
        <v>327148</v>
      </c>
      <c r="X186">
        <v>11534</v>
      </c>
      <c r="Y186">
        <f t="shared" si="2"/>
        <v>327148</v>
      </c>
      <c r="Z186" t="str">
        <f>IF(ISNUMBER(SEARCH("Adjustment",$C186)),"excluded",IF($H186="Behind the Meter","excluded",IF(NOT(OR($E186="Bundled",$E186="Energy")),"excluded",IF(OR($H186="Retail Power Marketer",$H186="Community Choice Aggregator",$E186="Energy"),"procurement",IF(OR($H186="Municipal",$H186="Cooperative",$H186="Federal",$H186="State",$H186="Political Subdivision"),"cost_service",IF($H186="Investor Owned",IF(AND(COUNTIF(Parameters!$A$4:$A$33,$G186)&gt;0,COUNTIF(Parameters!$B$4:$B$33,$B186)=0),"procurement","cost_service"),"unclassified"))))))</f>
        <v>cost_service</v>
      </c>
    </row>
    <row r="187" spans="1:26" x14ac:dyDescent="0.25">
      <c r="A187">
        <v>2024</v>
      </c>
      <c r="B187">
        <v>3273</v>
      </c>
      <c r="C187" t="s">
        <v>307</v>
      </c>
      <c r="D187" t="s">
        <v>84</v>
      </c>
      <c r="E187" t="s">
        <v>85</v>
      </c>
      <c r="F187" t="s">
        <v>86</v>
      </c>
      <c r="G187" t="s">
        <v>308</v>
      </c>
      <c r="H187" t="s">
        <v>91</v>
      </c>
      <c r="I187" t="s">
        <v>309</v>
      </c>
      <c r="J187">
        <v>23048</v>
      </c>
      <c r="K187">
        <v>134301</v>
      </c>
      <c r="L187">
        <v>19126</v>
      </c>
      <c r="M187">
        <v>11664</v>
      </c>
      <c r="N187">
        <v>51915</v>
      </c>
      <c r="O187">
        <v>1647</v>
      </c>
      <c r="P187">
        <v>6203</v>
      </c>
      <c r="Q187">
        <v>78907</v>
      </c>
      <c r="R187">
        <v>249</v>
      </c>
      <c r="S187" t="s">
        <v>97</v>
      </c>
      <c r="T187" t="s">
        <v>97</v>
      </c>
      <c r="U187" t="s">
        <v>97</v>
      </c>
      <c r="V187">
        <v>40915</v>
      </c>
      <c r="W187">
        <v>265123</v>
      </c>
      <c r="X187">
        <v>21022</v>
      </c>
      <c r="Y187">
        <f t="shared" si="2"/>
        <v>265123</v>
      </c>
      <c r="Z187" t="str">
        <f>IF(ISNUMBER(SEARCH("Adjustment",$C187)),"excluded",IF($H187="Behind the Meter","excluded",IF(NOT(OR($E187="Bundled",$E187="Energy")),"excluded",IF(OR($H187="Retail Power Marketer",$H187="Community Choice Aggregator",$E187="Energy"),"procurement",IF(OR($H187="Municipal",$H187="Cooperative",$H187="Federal",$H187="State",$H187="Political Subdivision"),"cost_service",IF($H187="Investor Owned",IF(AND(COUNTIF(Parameters!$A$4:$A$33,$G187)&gt;0,COUNTIF(Parameters!$B$4:$B$33,$B187)=0),"procurement","cost_service"),"unclassified"))))))</f>
        <v>cost_service</v>
      </c>
    </row>
    <row r="188" spans="1:26" x14ac:dyDescent="0.25">
      <c r="A188">
        <v>2024</v>
      </c>
      <c r="B188">
        <v>3282</v>
      </c>
      <c r="C188" t="s">
        <v>310</v>
      </c>
      <c r="D188" t="s">
        <v>84</v>
      </c>
      <c r="E188" t="s">
        <v>85</v>
      </c>
      <c r="F188" t="s">
        <v>86</v>
      </c>
      <c r="G188" t="s">
        <v>57</v>
      </c>
      <c r="H188" t="s">
        <v>91</v>
      </c>
      <c r="I188" t="s">
        <v>151</v>
      </c>
      <c r="J188">
        <v>56175.7</v>
      </c>
      <c r="K188">
        <v>509400</v>
      </c>
      <c r="L188">
        <v>39569</v>
      </c>
      <c r="M188">
        <v>8428.6</v>
      </c>
      <c r="N188">
        <v>77510</v>
      </c>
      <c r="O188">
        <v>4043</v>
      </c>
      <c r="P188">
        <v>18625.7</v>
      </c>
      <c r="Q188">
        <v>278655</v>
      </c>
      <c r="R188">
        <v>3981</v>
      </c>
      <c r="S188" t="s">
        <v>97</v>
      </c>
      <c r="T188" t="s">
        <v>97</v>
      </c>
      <c r="U188" t="s">
        <v>97</v>
      </c>
      <c r="V188">
        <v>83230</v>
      </c>
      <c r="W188">
        <v>865565</v>
      </c>
      <c r="X188">
        <v>47593</v>
      </c>
      <c r="Y188">
        <f t="shared" si="2"/>
        <v>865565</v>
      </c>
      <c r="Z188" t="str">
        <f>IF(ISNUMBER(SEARCH("Adjustment",$C188)),"excluded",IF($H188="Behind the Meter","excluded",IF(NOT(OR($E188="Bundled",$E188="Energy")),"excluded",IF(OR($H188="Retail Power Marketer",$H188="Community Choice Aggregator",$E188="Energy"),"procurement",IF(OR($H188="Municipal",$H188="Cooperative",$H188="Federal",$H188="State",$H188="Political Subdivision"),"cost_service",IF($H188="Investor Owned",IF(AND(COUNTIF(Parameters!$A$4:$A$33,$G188)&gt;0,COUNTIF(Parameters!$B$4:$B$33,$B188)=0),"procurement","cost_service"),"unclassified"))))))</f>
        <v>cost_service</v>
      </c>
    </row>
    <row r="189" spans="1:26" x14ac:dyDescent="0.25">
      <c r="A189">
        <v>2024</v>
      </c>
      <c r="B189">
        <v>3287</v>
      </c>
      <c r="C189" t="s">
        <v>311</v>
      </c>
      <c r="D189" t="s">
        <v>84</v>
      </c>
      <c r="E189" t="s">
        <v>85</v>
      </c>
      <c r="F189" t="s">
        <v>86</v>
      </c>
      <c r="G189" t="s">
        <v>308</v>
      </c>
      <c r="H189" t="s">
        <v>91</v>
      </c>
      <c r="I189" t="s">
        <v>135</v>
      </c>
      <c r="J189">
        <v>7730.9</v>
      </c>
      <c r="K189">
        <v>86800</v>
      </c>
      <c r="L189">
        <v>6150</v>
      </c>
      <c r="M189">
        <v>5713.9</v>
      </c>
      <c r="N189">
        <v>42791</v>
      </c>
      <c r="O189">
        <v>4680</v>
      </c>
      <c r="P189">
        <v>56364.1</v>
      </c>
      <c r="Q189">
        <v>782215</v>
      </c>
      <c r="R189">
        <v>4395</v>
      </c>
      <c r="S189" t="s">
        <v>97</v>
      </c>
      <c r="T189" t="s">
        <v>97</v>
      </c>
      <c r="U189" t="s">
        <v>97</v>
      </c>
      <c r="V189">
        <v>69808.899999999994</v>
      </c>
      <c r="W189">
        <v>911806</v>
      </c>
      <c r="X189">
        <v>15225</v>
      </c>
      <c r="Y189">
        <f t="shared" si="2"/>
        <v>911806</v>
      </c>
      <c r="Z189" t="str">
        <f>IF(ISNUMBER(SEARCH("Adjustment",$C189)),"excluded",IF($H189="Behind the Meter","excluded",IF(NOT(OR($E189="Bundled",$E189="Energy")),"excluded",IF(OR($H189="Retail Power Marketer",$H189="Community Choice Aggregator",$E189="Energy"),"procurement",IF(OR($H189="Municipal",$H189="Cooperative",$H189="Federal",$H189="State",$H189="Political Subdivision"),"cost_service",IF($H189="Investor Owned",IF(AND(COUNTIF(Parameters!$A$4:$A$33,$G189)&gt;0,COUNTIF(Parameters!$B$4:$B$33,$B189)=0),"procurement","cost_service"),"unclassified"))))))</f>
        <v>cost_service</v>
      </c>
    </row>
    <row r="190" spans="1:26" x14ac:dyDescent="0.25">
      <c r="A190">
        <v>2024</v>
      </c>
      <c r="B190">
        <v>3291</v>
      </c>
      <c r="C190" t="s">
        <v>312</v>
      </c>
      <c r="D190" t="s">
        <v>84</v>
      </c>
      <c r="E190" t="s">
        <v>85</v>
      </c>
      <c r="F190" t="s">
        <v>86</v>
      </c>
      <c r="G190" t="s">
        <v>93</v>
      </c>
      <c r="H190" t="s">
        <v>91</v>
      </c>
      <c r="I190" t="s">
        <v>92</v>
      </c>
      <c r="J190">
        <v>80033</v>
      </c>
      <c r="K190">
        <v>495787</v>
      </c>
      <c r="L190">
        <v>34893</v>
      </c>
      <c r="M190">
        <v>15784</v>
      </c>
      <c r="N190">
        <v>112296</v>
      </c>
      <c r="O190">
        <v>4652</v>
      </c>
      <c r="P190">
        <v>10280</v>
      </c>
      <c r="Q190">
        <v>106787</v>
      </c>
      <c r="R190">
        <v>28</v>
      </c>
      <c r="S190" t="s">
        <v>97</v>
      </c>
      <c r="T190" t="s">
        <v>97</v>
      </c>
      <c r="U190" t="s">
        <v>97</v>
      </c>
      <c r="V190">
        <v>106097</v>
      </c>
      <c r="W190">
        <v>714870</v>
      </c>
      <c r="X190">
        <v>39573</v>
      </c>
      <c r="Y190">
        <f t="shared" si="2"/>
        <v>714870</v>
      </c>
      <c r="Z190" t="str">
        <f>IF(ISNUMBER(SEARCH("Adjustment",$C190)),"excluded",IF($H190="Behind the Meter","excluded",IF(NOT(OR($E190="Bundled",$E190="Energy")),"excluded",IF(OR($H190="Retail Power Marketer",$H190="Community Choice Aggregator",$E190="Energy"),"procurement",IF(OR($H190="Municipal",$H190="Cooperative",$H190="Federal",$H190="State",$H190="Political Subdivision"),"cost_service",IF($H190="Investor Owned",IF(AND(COUNTIF(Parameters!$A$4:$A$33,$G190)&gt;0,COUNTIF(Parameters!$B$4:$B$33,$B190)=0),"procurement","cost_service"),"unclassified"))))))</f>
        <v>cost_service</v>
      </c>
    </row>
    <row r="191" spans="1:26" x14ac:dyDescent="0.25">
      <c r="A191">
        <v>2024</v>
      </c>
      <c r="B191">
        <v>3295</v>
      </c>
      <c r="C191" t="s">
        <v>313</v>
      </c>
      <c r="D191" t="s">
        <v>84</v>
      </c>
      <c r="E191" t="s">
        <v>85</v>
      </c>
      <c r="F191" t="s">
        <v>86</v>
      </c>
      <c r="G191" t="s">
        <v>148</v>
      </c>
      <c r="H191" t="s">
        <v>88</v>
      </c>
      <c r="I191" t="s">
        <v>206</v>
      </c>
      <c r="J191">
        <v>12028.2</v>
      </c>
      <c r="K191">
        <v>121687</v>
      </c>
      <c r="L191">
        <v>9068</v>
      </c>
      <c r="M191">
        <v>3836.5</v>
      </c>
      <c r="N191">
        <v>32928</v>
      </c>
      <c r="O191">
        <v>1557</v>
      </c>
      <c r="P191">
        <v>10385.9</v>
      </c>
      <c r="Q191">
        <v>105963</v>
      </c>
      <c r="R191">
        <v>134</v>
      </c>
      <c r="S191" t="s">
        <v>97</v>
      </c>
      <c r="T191" t="s">
        <v>97</v>
      </c>
      <c r="U191" t="s">
        <v>97</v>
      </c>
      <c r="V191">
        <v>26250.6</v>
      </c>
      <c r="W191">
        <v>260578</v>
      </c>
      <c r="X191">
        <v>10759</v>
      </c>
      <c r="Y191">
        <f t="shared" si="2"/>
        <v>260578</v>
      </c>
      <c r="Z191" t="str">
        <f>IF(ISNUMBER(SEARCH("Adjustment",$C191)),"excluded",IF($H191="Behind the Meter","excluded",IF(NOT(OR($E191="Bundled",$E191="Energy")),"excluded",IF(OR($H191="Retail Power Marketer",$H191="Community Choice Aggregator",$E191="Energy"),"procurement",IF(OR($H191="Municipal",$H191="Cooperative",$H191="Federal",$H191="State",$H191="Political Subdivision"),"cost_service",IF($H191="Investor Owned",IF(AND(COUNTIF(Parameters!$A$4:$A$33,$G191)&gt;0,COUNTIF(Parameters!$B$4:$B$33,$B191)=0),"procurement","cost_service"),"unclassified"))))))</f>
        <v>cost_service</v>
      </c>
    </row>
    <row r="192" spans="1:26" x14ac:dyDescent="0.25">
      <c r="A192">
        <v>2024</v>
      </c>
      <c r="B192">
        <v>3329</v>
      </c>
      <c r="C192" t="s">
        <v>314</v>
      </c>
      <c r="D192" t="s">
        <v>84</v>
      </c>
      <c r="E192" t="s">
        <v>85</v>
      </c>
      <c r="F192" t="s">
        <v>86</v>
      </c>
      <c r="G192" t="s">
        <v>55</v>
      </c>
      <c r="H192" t="s">
        <v>88</v>
      </c>
      <c r="I192" t="s">
        <v>92</v>
      </c>
      <c r="J192">
        <v>11653.3</v>
      </c>
      <c r="K192">
        <v>97501</v>
      </c>
      <c r="L192">
        <v>9914</v>
      </c>
      <c r="M192">
        <v>12992.2</v>
      </c>
      <c r="N192">
        <v>119572</v>
      </c>
      <c r="O192">
        <v>1783</v>
      </c>
      <c r="P192">
        <v>9324.7999999999993</v>
      </c>
      <c r="Q192">
        <v>107070</v>
      </c>
      <c r="R192">
        <v>21</v>
      </c>
      <c r="S192">
        <v>0</v>
      </c>
      <c r="T192">
        <v>0</v>
      </c>
      <c r="U192">
        <v>0</v>
      </c>
      <c r="V192">
        <v>33970.300000000003</v>
      </c>
      <c r="W192">
        <v>324143</v>
      </c>
      <c r="X192">
        <v>11718</v>
      </c>
      <c r="Y192">
        <f t="shared" si="2"/>
        <v>324143</v>
      </c>
      <c r="Z192" t="str">
        <f>IF(ISNUMBER(SEARCH("Adjustment",$C192)),"excluded",IF($H192="Behind the Meter","excluded",IF(NOT(OR($E192="Bundled",$E192="Energy")),"excluded",IF(OR($H192="Retail Power Marketer",$H192="Community Choice Aggregator",$E192="Energy"),"procurement",IF(OR($H192="Municipal",$H192="Cooperative",$H192="Federal",$H192="State",$H192="Political Subdivision"),"cost_service",IF($H192="Investor Owned",IF(AND(COUNTIF(Parameters!$A$4:$A$33,$G192)&gt;0,COUNTIF(Parameters!$B$4:$B$33,$B192)=0),"procurement","cost_service"),"unclassified"))))))</f>
        <v>cost_service</v>
      </c>
    </row>
    <row r="193" spans="1:26" x14ac:dyDescent="0.25">
      <c r="A193">
        <v>2024</v>
      </c>
      <c r="B193">
        <v>3355</v>
      </c>
      <c r="C193" t="s">
        <v>315</v>
      </c>
      <c r="D193" t="s">
        <v>84</v>
      </c>
      <c r="E193" t="s">
        <v>85</v>
      </c>
      <c r="F193" t="s">
        <v>86</v>
      </c>
      <c r="G193" t="s">
        <v>134</v>
      </c>
      <c r="H193" t="s">
        <v>88</v>
      </c>
      <c r="I193" t="s">
        <v>135</v>
      </c>
      <c r="J193">
        <v>5622</v>
      </c>
      <c r="K193">
        <v>43631</v>
      </c>
      <c r="L193">
        <v>4556</v>
      </c>
      <c r="M193">
        <v>4958</v>
      </c>
      <c r="N193">
        <v>41735</v>
      </c>
      <c r="O193">
        <v>917</v>
      </c>
      <c r="P193">
        <v>14515</v>
      </c>
      <c r="Q193">
        <v>193791</v>
      </c>
      <c r="R193">
        <v>94</v>
      </c>
      <c r="S193" t="s">
        <v>97</v>
      </c>
      <c r="T193" t="s">
        <v>97</v>
      </c>
      <c r="U193" t="s">
        <v>97</v>
      </c>
      <c r="V193">
        <v>25095</v>
      </c>
      <c r="W193">
        <v>279157</v>
      </c>
      <c r="X193">
        <v>5567</v>
      </c>
      <c r="Y193">
        <f t="shared" si="2"/>
        <v>279157</v>
      </c>
      <c r="Z193" t="str">
        <f>IF(ISNUMBER(SEARCH("Adjustment",$C193)),"excluded",IF($H193="Behind the Meter","excluded",IF(NOT(OR($E193="Bundled",$E193="Energy")),"excluded",IF(OR($H193="Retail Power Marketer",$H193="Community Choice Aggregator",$E193="Energy"),"procurement",IF(OR($H193="Municipal",$H193="Cooperative",$H193="Federal",$H193="State",$H193="Political Subdivision"),"cost_service",IF($H193="Investor Owned",IF(AND(COUNTIF(Parameters!$A$4:$A$33,$G193)&gt;0,COUNTIF(Parameters!$B$4:$B$33,$B193)=0),"procurement","cost_service"),"unclassified"))))))</f>
        <v>cost_service</v>
      </c>
    </row>
    <row r="194" spans="1:26" x14ac:dyDescent="0.25">
      <c r="A194">
        <v>2024</v>
      </c>
      <c r="B194">
        <v>3400</v>
      </c>
      <c r="C194" t="s">
        <v>316</v>
      </c>
      <c r="D194" t="s">
        <v>84</v>
      </c>
      <c r="E194" t="s">
        <v>85</v>
      </c>
      <c r="F194" t="s">
        <v>86</v>
      </c>
      <c r="G194" t="s">
        <v>104</v>
      </c>
      <c r="H194" t="s">
        <v>88</v>
      </c>
      <c r="I194" t="s">
        <v>96</v>
      </c>
      <c r="J194">
        <v>13849.6</v>
      </c>
      <c r="K194">
        <v>85049</v>
      </c>
      <c r="L194">
        <v>10954</v>
      </c>
      <c r="M194">
        <v>27099.1</v>
      </c>
      <c r="N194">
        <v>210864</v>
      </c>
      <c r="O194">
        <v>1045</v>
      </c>
      <c r="P194">
        <v>16147.9</v>
      </c>
      <c r="Q194">
        <v>124897</v>
      </c>
      <c r="R194">
        <v>109</v>
      </c>
      <c r="S194" t="s">
        <v>97</v>
      </c>
      <c r="T194" t="s">
        <v>97</v>
      </c>
      <c r="U194" t="s">
        <v>97</v>
      </c>
      <c r="V194">
        <v>57096.6</v>
      </c>
      <c r="W194">
        <v>420810</v>
      </c>
      <c r="X194">
        <v>12108</v>
      </c>
      <c r="Y194">
        <f t="shared" si="2"/>
        <v>420810</v>
      </c>
      <c r="Z194" t="str">
        <f>IF(ISNUMBER(SEARCH("Adjustment",$C194)),"excluded",IF($H194="Behind the Meter","excluded",IF(NOT(OR($E194="Bundled",$E194="Energy")),"excluded",IF(OR($H194="Retail Power Marketer",$H194="Community Choice Aggregator",$E194="Energy"),"procurement",IF(OR($H194="Municipal",$H194="Cooperative",$H194="Federal",$H194="State",$H194="Political Subdivision"),"cost_service",IF($H194="Investor Owned",IF(AND(COUNTIF(Parameters!$A$4:$A$33,$G194)&gt;0,COUNTIF(Parameters!$B$4:$B$33,$B194)=0),"procurement","cost_service"),"unclassified"))))))</f>
        <v>cost_service</v>
      </c>
    </row>
    <row r="195" spans="1:26" x14ac:dyDescent="0.25">
      <c r="A195">
        <v>2024</v>
      </c>
      <c r="B195">
        <v>3408</v>
      </c>
      <c r="C195" t="s">
        <v>317</v>
      </c>
      <c r="D195" t="s">
        <v>84</v>
      </c>
      <c r="E195" t="s">
        <v>85</v>
      </c>
      <c r="F195" t="s">
        <v>86</v>
      </c>
      <c r="G195" t="s">
        <v>123</v>
      </c>
      <c r="H195" t="s">
        <v>88</v>
      </c>
      <c r="I195" t="s">
        <v>89</v>
      </c>
      <c r="J195">
        <v>18023</v>
      </c>
      <c r="K195">
        <v>146590</v>
      </c>
      <c r="L195">
        <v>10366</v>
      </c>
      <c r="M195">
        <v>6226</v>
      </c>
      <c r="N195">
        <v>46950</v>
      </c>
      <c r="O195">
        <v>1066</v>
      </c>
      <c r="P195">
        <v>1902</v>
      </c>
      <c r="Q195">
        <v>46345</v>
      </c>
      <c r="R195">
        <v>2</v>
      </c>
      <c r="S195">
        <v>0</v>
      </c>
      <c r="T195">
        <v>0</v>
      </c>
      <c r="U195">
        <v>0</v>
      </c>
      <c r="V195">
        <v>26151</v>
      </c>
      <c r="W195">
        <v>239885</v>
      </c>
      <c r="X195">
        <v>11434</v>
      </c>
      <c r="Y195">
        <f t="shared" si="2"/>
        <v>239885</v>
      </c>
      <c r="Z195" t="str">
        <f>IF(ISNUMBER(SEARCH("Adjustment",$C195)),"excluded",IF($H195="Behind the Meter","excluded",IF(NOT(OR($E195="Bundled",$E195="Energy")),"excluded",IF(OR($H195="Retail Power Marketer",$H195="Community Choice Aggregator",$E195="Energy"),"procurement",IF(OR($H195="Municipal",$H195="Cooperative",$H195="Federal",$H195="State",$H195="Political Subdivision"),"cost_service",IF($H195="Investor Owned",IF(AND(COUNTIF(Parameters!$A$4:$A$33,$G195)&gt;0,COUNTIF(Parameters!$B$4:$B$33,$B195)=0),"procurement","cost_service"),"unclassified"))))))</f>
        <v>cost_service</v>
      </c>
    </row>
    <row r="196" spans="1:26" x14ac:dyDescent="0.25">
      <c r="A196">
        <v>2024</v>
      </c>
      <c r="B196">
        <v>3408</v>
      </c>
      <c r="C196" t="s">
        <v>317</v>
      </c>
      <c r="D196" t="s">
        <v>84</v>
      </c>
      <c r="E196" t="s">
        <v>85</v>
      </c>
      <c r="F196" t="s">
        <v>86</v>
      </c>
      <c r="G196" t="s">
        <v>156</v>
      </c>
      <c r="H196" t="s">
        <v>88</v>
      </c>
      <c r="I196" t="s">
        <v>89</v>
      </c>
      <c r="J196">
        <v>269847</v>
      </c>
      <c r="K196">
        <v>2190871</v>
      </c>
      <c r="L196">
        <v>164417</v>
      </c>
      <c r="M196">
        <v>253847</v>
      </c>
      <c r="N196">
        <v>2142926</v>
      </c>
      <c r="O196">
        <v>24691</v>
      </c>
      <c r="P196">
        <v>80555</v>
      </c>
      <c r="Q196">
        <v>1230085</v>
      </c>
      <c r="R196">
        <v>63</v>
      </c>
      <c r="S196">
        <v>0</v>
      </c>
      <c r="T196">
        <v>0</v>
      </c>
      <c r="U196">
        <v>0</v>
      </c>
      <c r="V196">
        <v>604249</v>
      </c>
      <c r="W196">
        <v>5563882</v>
      </c>
      <c r="X196">
        <v>189171</v>
      </c>
      <c r="Y196">
        <f t="shared" ref="Y196:Y259" si="3">IF(ISNUMBER($W196),$W196,0)</f>
        <v>5563882</v>
      </c>
      <c r="Z196" t="str">
        <f>IF(ISNUMBER(SEARCH("Adjustment",$C196)),"excluded",IF($H196="Behind the Meter","excluded",IF(NOT(OR($E196="Bundled",$E196="Energy")),"excluded",IF(OR($H196="Retail Power Marketer",$H196="Community Choice Aggregator",$E196="Energy"),"procurement",IF(OR($H196="Municipal",$H196="Cooperative",$H196="Federal",$H196="State",$H196="Political Subdivision"),"cost_service",IF($H196="Investor Owned",IF(AND(COUNTIF(Parameters!$A$4:$A$33,$G196)&gt;0,COUNTIF(Parameters!$B$4:$B$33,$B196)=0),"procurement","cost_service"),"unclassified"))))))</f>
        <v>cost_service</v>
      </c>
    </row>
    <row r="197" spans="1:26" x14ac:dyDescent="0.25">
      <c r="A197">
        <v>2024</v>
      </c>
      <c r="B197">
        <v>3413</v>
      </c>
      <c r="C197" t="s">
        <v>318</v>
      </c>
      <c r="D197" t="s">
        <v>84</v>
      </c>
      <c r="E197" t="s">
        <v>85</v>
      </c>
      <c r="F197" t="s">
        <v>86</v>
      </c>
      <c r="G197" t="s">
        <v>148</v>
      </c>
      <c r="H197" t="s">
        <v>205</v>
      </c>
      <c r="I197" t="s">
        <v>319</v>
      </c>
      <c r="J197">
        <v>33049.1</v>
      </c>
      <c r="K197">
        <v>900538</v>
      </c>
      <c r="L197">
        <v>42120</v>
      </c>
      <c r="M197">
        <v>19956.2</v>
      </c>
      <c r="N197">
        <v>487575</v>
      </c>
      <c r="O197">
        <v>6582</v>
      </c>
      <c r="P197">
        <v>16128.5</v>
      </c>
      <c r="Q197">
        <v>470409</v>
      </c>
      <c r="R197">
        <v>1435</v>
      </c>
      <c r="S197" t="s">
        <v>97</v>
      </c>
      <c r="T197" t="s">
        <v>97</v>
      </c>
      <c r="U197" t="s">
        <v>97</v>
      </c>
      <c r="V197">
        <v>69133.8</v>
      </c>
      <c r="W197">
        <v>1858522</v>
      </c>
      <c r="X197">
        <v>50137</v>
      </c>
      <c r="Y197">
        <f t="shared" si="3"/>
        <v>1858522</v>
      </c>
      <c r="Z197" t="str">
        <f>IF(ISNUMBER(SEARCH("Adjustment",$C197)),"excluded",IF($H197="Behind the Meter","excluded",IF(NOT(OR($E197="Bundled",$E197="Energy")),"excluded",IF(OR($H197="Retail Power Marketer",$H197="Community Choice Aggregator",$E197="Energy"),"procurement",IF(OR($H197="Municipal",$H197="Cooperative",$H197="Federal",$H197="State",$H197="Political Subdivision"),"cost_service",IF($H197="Investor Owned",IF(AND(COUNTIF(Parameters!$A$4:$A$33,$G197)&gt;0,COUNTIF(Parameters!$B$4:$B$33,$B197)=0),"procurement","cost_service"),"unclassified"))))))</f>
        <v>cost_service</v>
      </c>
    </row>
    <row r="198" spans="1:26" x14ac:dyDescent="0.25">
      <c r="A198">
        <v>2024</v>
      </c>
      <c r="B198">
        <v>3426</v>
      </c>
      <c r="C198" t="s">
        <v>320</v>
      </c>
      <c r="D198" t="s">
        <v>84</v>
      </c>
      <c r="E198" t="s">
        <v>85</v>
      </c>
      <c r="F198" t="s">
        <v>86</v>
      </c>
      <c r="G198" t="s">
        <v>112</v>
      </c>
      <c r="H198" t="s">
        <v>91</v>
      </c>
      <c r="I198" t="s">
        <v>89</v>
      </c>
      <c r="J198">
        <v>38021</v>
      </c>
      <c r="K198">
        <v>252438</v>
      </c>
      <c r="L198">
        <v>18830</v>
      </c>
      <c r="M198">
        <v>20730</v>
      </c>
      <c r="N198">
        <v>118484</v>
      </c>
      <c r="O198">
        <v>7734</v>
      </c>
      <c r="P198">
        <v>3137</v>
      </c>
      <c r="Q198">
        <v>29752</v>
      </c>
      <c r="R198">
        <v>2</v>
      </c>
      <c r="S198">
        <v>0</v>
      </c>
      <c r="T198">
        <v>0</v>
      </c>
      <c r="U198">
        <v>0</v>
      </c>
      <c r="V198">
        <v>61888</v>
      </c>
      <c r="W198">
        <v>400674</v>
      </c>
      <c r="X198">
        <v>26566</v>
      </c>
      <c r="Y198">
        <f t="shared" si="3"/>
        <v>400674</v>
      </c>
      <c r="Z198" t="str">
        <f>IF(ISNUMBER(SEARCH("Adjustment",$C198)),"excluded",IF($H198="Behind the Meter","excluded",IF(NOT(OR($E198="Bundled",$E198="Energy")),"excluded",IF(OR($H198="Retail Power Marketer",$H198="Community Choice Aggregator",$E198="Energy"),"procurement",IF(OR($H198="Municipal",$H198="Cooperative",$H198="Federal",$H198="State",$H198="Political Subdivision"),"cost_service",IF($H198="Investor Owned",IF(AND(COUNTIF(Parameters!$A$4:$A$33,$G198)&gt;0,COUNTIF(Parameters!$B$4:$B$33,$B198)=0),"procurement","cost_service"),"unclassified"))))))</f>
        <v>cost_service</v>
      </c>
    </row>
    <row r="199" spans="1:26" x14ac:dyDescent="0.25">
      <c r="A199">
        <v>2024</v>
      </c>
      <c r="B199">
        <v>3436</v>
      </c>
      <c r="C199" t="s">
        <v>321</v>
      </c>
      <c r="D199" t="s">
        <v>84</v>
      </c>
      <c r="E199" t="s">
        <v>85</v>
      </c>
      <c r="F199" t="s">
        <v>86</v>
      </c>
      <c r="G199" t="s">
        <v>140</v>
      </c>
      <c r="H199" t="s">
        <v>91</v>
      </c>
      <c r="I199" t="s">
        <v>96</v>
      </c>
      <c r="J199">
        <v>46240.3</v>
      </c>
      <c r="K199">
        <v>282656</v>
      </c>
      <c r="L199">
        <v>35100</v>
      </c>
      <c r="M199">
        <v>13125.7</v>
      </c>
      <c r="N199">
        <v>113954</v>
      </c>
      <c r="O199">
        <v>3117</v>
      </c>
      <c r="P199">
        <v>1188.9000000000001</v>
      </c>
      <c r="Q199">
        <v>9458</v>
      </c>
      <c r="R199">
        <v>341</v>
      </c>
      <c r="S199" t="s">
        <v>97</v>
      </c>
      <c r="T199" t="s">
        <v>97</v>
      </c>
      <c r="U199" t="s">
        <v>97</v>
      </c>
      <c r="V199">
        <v>60554.9</v>
      </c>
      <c r="W199">
        <v>406068</v>
      </c>
      <c r="X199">
        <v>38558</v>
      </c>
      <c r="Y199">
        <f t="shared" si="3"/>
        <v>406068</v>
      </c>
      <c r="Z199" t="str">
        <f>IF(ISNUMBER(SEARCH("Adjustment",$C199)),"excluded",IF($H199="Behind the Meter","excluded",IF(NOT(OR($E199="Bundled",$E199="Energy")),"excluded",IF(OR($H199="Retail Power Marketer",$H199="Community Choice Aggregator",$E199="Energy"),"procurement",IF(OR($H199="Municipal",$H199="Cooperative",$H199="Federal",$H199="State",$H199="Political Subdivision"),"cost_service",IF($H199="Investor Owned",IF(AND(COUNTIF(Parameters!$A$4:$A$33,$G199)&gt;0,COUNTIF(Parameters!$B$4:$B$33,$B199)=0),"procurement","cost_service"),"unclassified"))))))</f>
        <v>cost_service</v>
      </c>
    </row>
    <row r="200" spans="1:26" x14ac:dyDescent="0.25">
      <c r="A200">
        <v>2024</v>
      </c>
      <c r="B200">
        <v>3461</v>
      </c>
      <c r="C200" t="s">
        <v>322</v>
      </c>
      <c r="D200" t="s">
        <v>84</v>
      </c>
      <c r="E200" t="s">
        <v>85</v>
      </c>
      <c r="F200" t="s">
        <v>86</v>
      </c>
      <c r="G200" t="s">
        <v>323</v>
      </c>
      <c r="H200" t="s">
        <v>109</v>
      </c>
      <c r="I200" t="s">
        <v>259</v>
      </c>
      <c r="J200">
        <v>47383</v>
      </c>
      <c r="K200">
        <v>279321</v>
      </c>
      <c r="L200">
        <v>39954</v>
      </c>
      <c r="M200">
        <v>155800</v>
      </c>
      <c r="N200">
        <v>1742799</v>
      </c>
      <c r="O200">
        <v>5434</v>
      </c>
      <c r="P200">
        <v>14609.2</v>
      </c>
      <c r="Q200">
        <v>168031</v>
      </c>
      <c r="R200">
        <v>2</v>
      </c>
      <c r="S200">
        <v>0</v>
      </c>
      <c r="T200">
        <v>0</v>
      </c>
      <c r="U200">
        <v>0</v>
      </c>
      <c r="V200">
        <v>217792.2</v>
      </c>
      <c r="W200">
        <v>2190151</v>
      </c>
      <c r="X200">
        <v>45390</v>
      </c>
      <c r="Y200">
        <f t="shared" si="3"/>
        <v>2190151</v>
      </c>
      <c r="Z200" t="str">
        <f>IF(ISNUMBER(SEARCH("Adjustment",$C200)),"excluded",IF($H200="Behind the Meter","excluded",IF(NOT(OR($E200="Bundled",$E200="Energy")),"excluded",IF(OR($H200="Retail Power Marketer",$H200="Community Choice Aggregator",$E200="Energy"),"procurement",IF(OR($H200="Municipal",$H200="Cooperative",$H200="Federal",$H200="State",$H200="Political Subdivision"),"cost_service",IF($H200="Investor Owned",IF(AND(COUNTIF(Parameters!$A$4:$A$33,$G200)&gt;0,COUNTIF(Parameters!$B$4:$B$33,$B200)=0),"procurement","cost_service"),"unclassified"))))))</f>
        <v>cost_service</v>
      </c>
    </row>
    <row r="201" spans="1:26" x14ac:dyDescent="0.25">
      <c r="A201">
        <v>2024</v>
      </c>
      <c r="B201">
        <v>3470</v>
      </c>
      <c r="C201" t="s">
        <v>324</v>
      </c>
      <c r="D201" t="s">
        <v>84</v>
      </c>
      <c r="E201" t="s">
        <v>85</v>
      </c>
      <c r="F201" t="s">
        <v>86</v>
      </c>
      <c r="G201" t="s">
        <v>57</v>
      </c>
      <c r="H201" t="s">
        <v>91</v>
      </c>
      <c r="I201" t="s">
        <v>151</v>
      </c>
      <c r="J201">
        <v>42747</v>
      </c>
      <c r="K201">
        <v>286577</v>
      </c>
      <c r="L201">
        <v>22026</v>
      </c>
      <c r="M201">
        <v>8396</v>
      </c>
      <c r="N201">
        <v>58533</v>
      </c>
      <c r="O201">
        <v>1739</v>
      </c>
      <c r="P201">
        <v>6949</v>
      </c>
      <c r="Q201">
        <v>124503</v>
      </c>
      <c r="R201">
        <v>3</v>
      </c>
      <c r="S201" t="s">
        <v>97</v>
      </c>
      <c r="T201" t="s">
        <v>97</v>
      </c>
      <c r="U201" t="s">
        <v>97</v>
      </c>
      <c r="V201">
        <v>58092</v>
      </c>
      <c r="W201">
        <v>469613</v>
      </c>
      <c r="X201">
        <v>23768</v>
      </c>
      <c r="Y201">
        <f t="shared" si="3"/>
        <v>469613</v>
      </c>
      <c r="Z201" t="str">
        <f>IF(ISNUMBER(SEARCH("Adjustment",$C201)),"excluded",IF($H201="Behind the Meter","excluded",IF(NOT(OR($E201="Bundled",$E201="Energy")),"excluded",IF(OR($H201="Retail Power Marketer",$H201="Community Choice Aggregator",$E201="Energy"),"procurement",IF(OR($H201="Municipal",$H201="Cooperative",$H201="Federal",$H201="State",$H201="Political Subdivision"),"cost_service",IF($H201="Investor Owned",IF(AND(COUNTIF(Parameters!$A$4:$A$33,$G201)&gt;0,COUNTIF(Parameters!$B$4:$B$33,$B201)=0),"procurement","cost_service"),"unclassified"))))))</f>
        <v>cost_service</v>
      </c>
    </row>
    <row r="202" spans="1:26" x14ac:dyDescent="0.25">
      <c r="A202">
        <v>2024</v>
      </c>
      <c r="B202">
        <v>3475</v>
      </c>
      <c r="C202" t="s">
        <v>325</v>
      </c>
      <c r="D202" t="s">
        <v>84</v>
      </c>
      <c r="E202" t="s">
        <v>85</v>
      </c>
      <c r="F202" t="s">
        <v>86</v>
      </c>
      <c r="G202" t="s">
        <v>123</v>
      </c>
      <c r="H202" t="s">
        <v>88</v>
      </c>
      <c r="I202" t="s">
        <v>89</v>
      </c>
      <c r="J202">
        <v>1398</v>
      </c>
      <c r="K202">
        <v>10264</v>
      </c>
      <c r="L202">
        <v>831</v>
      </c>
      <c r="M202">
        <v>1372</v>
      </c>
      <c r="N202">
        <v>11428</v>
      </c>
      <c r="O202">
        <v>142</v>
      </c>
      <c r="P202">
        <v>0</v>
      </c>
      <c r="Q202">
        <v>0</v>
      </c>
      <c r="R202">
        <v>0</v>
      </c>
      <c r="S202">
        <v>0</v>
      </c>
      <c r="T202">
        <v>0</v>
      </c>
      <c r="U202">
        <v>0</v>
      </c>
      <c r="V202">
        <v>2770</v>
      </c>
      <c r="W202">
        <v>21692</v>
      </c>
      <c r="X202">
        <v>973</v>
      </c>
      <c r="Y202">
        <f t="shared" si="3"/>
        <v>21692</v>
      </c>
      <c r="Z202" t="str">
        <f>IF(ISNUMBER(SEARCH("Adjustment",$C202)),"excluded",IF($H202="Behind the Meter","excluded",IF(NOT(OR($E202="Bundled",$E202="Energy")),"excluded",IF(OR($H202="Retail Power Marketer",$H202="Community Choice Aggregator",$E202="Energy"),"procurement",IF(OR($H202="Municipal",$H202="Cooperative",$H202="Federal",$H202="State",$H202="Political Subdivision"),"cost_service",IF($H202="Investor Owned",IF(AND(COUNTIF(Parameters!$A$4:$A$33,$G202)&gt;0,COUNTIF(Parameters!$B$4:$B$33,$B202)=0),"procurement","cost_service"),"unclassified"))))))</f>
        <v>cost_service</v>
      </c>
    </row>
    <row r="203" spans="1:26" x14ac:dyDescent="0.25">
      <c r="A203">
        <v>2024</v>
      </c>
      <c r="B203">
        <v>3477</v>
      </c>
      <c r="C203" t="s">
        <v>326</v>
      </c>
      <c r="D203" t="s">
        <v>84</v>
      </c>
      <c r="E203" t="s">
        <v>85</v>
      </c>
      <c r="F203" t="s">
        <v>86</v>
      </c>
      <c r="G203" t="s">
        <v>48</v>
      </c>
      <c r="H203" t="s">
        <v>88</v>
      </c>
      <c r="I203" t="s">
        <v>189</v>
      </c>
      <c r="J203">
        <v>31462.1</v>
      </c>
      <c r="K203">
        <v>194636</v>
      </c>
      <c r="L203">
        <v>23218</v>
      </c>
      <c r="M203">
        <v>20106</v>
      </c>
      <c r="N203">
        <v>121635</v>
      </c>
      <c r="O203">
        <v>2794</v>
      </c>
      <c r="P203">
        <v>17334.7</v>
      </c>
      <c r="Q203">
        <v>121566</v>
      </c>
      <c r="R203">
        <v>40</v>
      </c>
      <c r="S203" t="s">
        <v>97</v>
      </c>
      <c r="T203" t="s">
        <v>97</v>
      </c>
      <c r="U203" t="s">
        <v>97</v>
      </c>
      <c r="V203">
        <v>68902.8</v>
      </c>
      <c r="W203">
        <v>437837</v>
      </c>
      <c r="X203">
        <v>26052</v>
      </c>
      <c r="Y203">
        <f t="shared" si="3"/>
        <v>437837</v>
      </c>
      <c r="Z203" t="str">
        <f>IF(ISNUMBER(SEARCH("Adjustment",$C203)),"excluded",IF($H203="Behind the Meter","excluded",IF(NOT(OR($E203="Bundled",$E203="Energy")),"excluded",IF(OR($H203="Retail Power Marketer",$H203="Community Choice Aggregator",$E203="Energy"),"procurement",IF(OR($H203="Municipal",$H203="Cooperative",$H203="Federal",$H203="State",$H203="Political Subdivision"),"cost_service",IF($H203="Investor Owned",IF(AND(COUNTIF(Parameters!$A$4:$A$33,$G203)&gt;0,COUNTIF(Parameters!$B$4:$B$33,$B203)=0),"procurement","cost_service"),"unclassified"))))))</f>
        <v>cost_service</v>
      </c>
    </row>
    <row r="204" spans="1:26" x14ac:dyDescent="0.25">
      <c r="A204">
        <v>2024</v>
      </c>
      <c r="B204">
        <v>3478</v>
      </c>
      <c r="C204" t="s">
        <v>327</v>
      </c>
      <c r="D204" t="s">
        <v>84</v>
      </c>
      <c r="E204" t="s">
        <v>85</v>
      </c>
      <c r="F204" t="s">
        <v>86</v>
      </c>
      <c r="G204" t="s">
        <v>136</v>
      </c>
      <c r="H204" t="s">
        <v>91</v>
      </c>
      <c r="I204" t="s">
        <v>135</v>
      </c>
      <c r="J204">
        <v>21038</v>
      </c>
      <c r="K204">
        <v>177210</v>
      </c>
      <c r="L204">
        <v>15258</v>
      </c>
      <c r="M204">
        <v>41337</v>
      </c>
      <c r="N204">
        <v>383554</v>
      </c>
      <c r="O204">
        <v>4321</v>
      </c>
      <c r="P204">
        <v>11162</v>
      </c>
      <c r="Q204">
        <v>177170</v>
      </c>
      <c r="R204">
        <v>13</v>
      </c>
      <c r="S204" t="s">
        <v>97</v>
      </c>
      <c r="T204" t="s">
        <v>97</v>
      </c>
      <c r="U204" t="s">
        <v>97</v>
      </c>
      <c r="V204">
        <v>73537</v>
      </c>
      <c r="W204">
        <v>737934</v>
      </c>
      <c r="X204">
        <v>19592</v>
      </c>
      <c r="Y204">
        <f t="shared" si="3"/>
        <v>737934</v>
      </c>
      <c r="Z204" t="str">
        <f>IF(ISNUMBER(SEARCH("Adjustment",$C204)),"excluded",IF($H204="Behind the Meter","excluded",IF(NOT(OR($E204="Bundled",$E204="Energy")),"excluded",IF(OR($H204="Retail Power Marketer",$H204="Community Choice Aggregator",$E204="Energy"),"procurement",IF(OR($H204="Municipal",$H204="Cooperative",$H204="Federal",$H204="State",$H204="Political Subdivision"),"cost_service",IF($H204="Investor Owned",IF(AND(COUNTIF(Parameters!$A$4:$A$33,$G204)&gt;0,COUNTIF(Parameters!$B$4:$B$33,$B204)=0),"procurement","cost_service"),"unclassified"))))))</f>
        <v>cost_service</v>
      </c>
    </row>
    <row r="205" spans="1:26" x14ac:dyDescent="0.25">
      <c r="A205">
        <v>2024</v>
      </c>
      <c r="B205">
        <v>3502</v>
      </c>
      <c r="C205" t="s">
        <v>328</v>
      </c>
      <c r="D205" t="s">
        <v>84</v>
      </c>
      <c r="E205" t="s">
        <v>85</v>
      </c>
      <c r="F205" t="s">
        <v>86</v>
      </c>
      <c r="G205" t="s">
        <v>195</v>
      </c>
      <c r="H205" t="s">
        <v>91</v>
      </c>
      <c r="I205" t="s">
        <v>113</v>
      </c>
      <c r="J205">
        <v>109837.3</v>
      </c>
      <c r="K205">
        <v>829925</v>
      </c>
      <c r="L205">
        <v>57070</v>
      </c>
      <c r="M205">
        <v>31435.599999999999</v>
      </c>
      <c r="N205">
        <v>270906</v>
      </c>
      <c r="O205">
        <v>9407</v>
      </c>
      <c r="P205">
        <v>1339</v>
      </c>
      <c r="Q205">
        <v>15545</v>
      </c>
      <c r="R205">
        <v>2</v>
      </c>
      <c r="S205">
        <v>0</v>
      </c>
      <c r="T205">
        <v>0</v>
      </c>
      <c r="U205">
        <v>0</v>
      </c>
      <c r="V205">
        <v>142611.9</v>
      </c>
      <c r="W205">
        <v>1116376</v>
      </c>
      <c r="X205">
        <v>66479</v>
      </c>
      <c r="Y205">
        <f t="shared" si="3"/>
        <v>1116376</v>
      </c>
      <c r="Z205" t="str">
        <f>IF(ISNUMBER(SEARCH("Adjustment",$C205)),"excluded",IF($H205="Behind the Meter","excluded",IF(NOT(OR($E205="Bundled",$E205="Energy")),"excluded",IF(OR($H205="Retail Power Marketer",$H205="Community Choice Aggregator",$E205="Energy"),"procurement",IF(OR($H205="Municipal",$H205="Cooperative",$H205="Federal",$H205="State",$H205="Political Subdivision"),"cost_service",IF($H205="Investor Owned",IF(AND(COUNTIF(Parameters!$A$4:$A$33,$G205)&gt;0,COUNTIF(Parameters!$B$4:$B$33,$B205)=0),"procurement","cost_service"),"unclassified"))))))</f>
        <v>cost_service</v>
      </c>
    </row>
    <row r="206" spans="1:26" x14ac:dyDescent="0.25">
      <c r="A206">
        <v>2024</v>
      </c>
      <c r="B206">
        <v>3503</v>
      </c>
      <c r="C206" t="s">
        <v>329</v>
      </c>
      <c r="D206" t="s">
        <v>84</v>
      </c>
      <c r="E206" t="s">
        <v>85</v>
      </c>
      <c r="F206" t="s">
        <v>86</v>
      </c>
      <c r="G206" t="s">
        <v>49</v>
      </c>
      <c r="H206" t="s">
        <v>91</v>
      </c>
      <c r="I206" t="s">
        <v>92</v>
      </c>
      <c r="J206">
        <v>111393.4</v>
      </c>
      <c r="K206">
        <v>676954</v>
      </c>
      <c r="L206">
        <v>50697</v>
      </c>
      <c r="M206">
        <v>35797</v>
      </c>
      <c r="N206">
        <v>234147</v>
      </c>
      <c r="O206">
        <v>6132</v>
      </c>
      <c r="P206">
        <v>13602</v>
      </c>
      <c r="Q206">
        <v>122803</v>
      </c>
      <c r="R206">
        <v>216</v>
      </c>
      <c r="S206" t="s">
        <v>97</v>
      </c>
      <c r="T206" t="s">
        <v>97</v>
      </c>
      <c r="U206" t="s">
        <v>97</v>
      </c>
      <c r="V206">
        <v>160792.4</v>
      </c>
      <c r="W206">
        <v>1033904</v>
      </c>
      <c r="X206">
        <v>57045</v>
      </c>
      <c r="Y206">
        <f t="shared" si="3"/>
        <v>1033904</v>
      </c>
      <c r="Z206" t="str">
        <f>IF(ISNUMBER(SEARCH("Adjustment",$C206)),"excluded",IF($H206="Behind the Meter","excluded",IF(NOT(OR($E206="Bundled",$E206="Energy")),"excluded",IF(OR($H206="Retail Power Marketer",$H206="Community Choice Aggregator",$E206="Energy"),"procurement",IF(OR($H206="Municipal",$H206="Cooperative",$H206="Federal",$H206="State",$H206="Political Subdivision"),"cost_service",IF($H206="Investor Owned",IF(AND(COUNTIF(Parameters!$A$4:$A$33,$G206)&gt;0,COUNTIF(Parameters!$B$4:$B$33,$B206)=0),"procurement","cost_service"),"unclassified"))))))</f>
        <v>cost_service</v>
      </c>
    </row>
    <row r="207" spans="1:26" x14ac:dyDescent="0.25">
      <c r="A207">
        <v>2024</v>
      </c>
      <c r="B207">
        <v>3522</v>
      </c>
      <c r="C207" t="s">
        <v>330</v>
      </c>
      <c r="D207" t="s">
        <v>84</v>
      </c>
      <c r="E207" t="s">
        <v>85</v>
      </c>
      <c r="F207" t="s">
        <v>86</v>
      </c>
      <c r="G207" t="s">
        <v>118</v>
      </c>
      <c r="H207" t="s">
        <v>91</v>
      </c>
      <c r="I207" t="s">
        <v>331</v>
      </c>
      <c r="J207">
        <v>125486.7</v>
      </c>
      <c r="K207">
        <v>590921</v>
      </c>
      <c r="L207">
        <v>97048</v>
      </c>
      <c r="M207">
        <v>209672.6</v>
      </c>
      <c r="N207">
        <v>1242359</v>
      </c>
      <c r="O207">
        <v>16325</v>
      </c>
      <c r="P207">
        <v>7514.7</v>
      </c>
      <c r="Q207">
        <v>52775</v>
      </c>
      <c r="R207">
        <v>5</v>
      </c>
      <c r="S207">
        <v>0</v>
      </c>
      <c r="T207">
        <v>0</v>
      </c>
      <c r="U207">
        <v>0</v>
      </c>
      <c r="V207">
        <v>342674</v>
      </c>
      <c r="W207">
        <v>1886055</v>
      </c>
      <c r="X207">
        <v>113378</v>
      </c>
      <c r="Y207">
        <f t="shared" si="3"/>
        <v>1886055</v>
      </c>
      <c r="Z207" t="str">
        <f>IF(ISNUMBER(SEARCH("Adjustment",$C207)),"excluded",IF($H207="Behind the Meter","excluded",IF(NOT(OR($E207="Bundled",$E207="Energy")),"excluded",IF(OR($H207="Retail Power Marketer",$H207="Community Choice Aggregator",$E207="Energy"),"procurement",IF(OR($H207="Municipal",$H207="Cooperative",$H207="Federal",$H207="State",$H207="Political Subdivision"),"cost_service",IF($H207="Investor Owned",IF(AND(COUNTIF(Parameters!$A$4:$A$33,$G207)&gt;0,COUNTIF(Parameters!$B$4:$B$33,$B207)=0),"procurement","cost_service"),"unclassified"))))))</f>
        <v>cost_service</v>
      </c>
    </row>
    <row r="208" spans="1:26" x14ac:dyDescent="0.25">
      <c r="A208">
        <v>2024</v>
      </c>
      <c r="B208">
        <v>3527</v>
      </c>
      <c r="C208" t="s">
        <v>332</v>
      </c>
      <c r="D208" t="s">
        <v>84</v>
      </c>
      <c r="E208" t="s">
        <v>85</v>
      </c>
      <c r="F208" t="s">
        <v>86</v>
      </c>
      <c r="G208" t="s">
        <v>136</v>
      </c>
      <c r="H208" t="s">
        <v>91</v>
      </c>
      <c r="I208" t="s">
        <v>135</v>
      </c>
      <c r="J208">
        <v>40176</v>
      </c>
      <c r="K208">
        <v>304160</v>
      </c>
      <c r="L208">
        <v>21483</v>
      </c>
      <c r="M208">
        <v>9055</v>
      </c>
      <c r="N208">
        <v>110863</v>
      </c>
      <c r="O208">
        <v>315</v>
      </c>
      <c r="P208">
        <v>5917</v>
      </c>
      <c r="Q208">
        <v>106593</v>
      </c>
      <c r="R208">
        <v>2</v>
      </c>
      <c r="S208" t="s">
        <v>97</v>
      </c>
      <c r="T208" t="s">
        <v>97</v>
      </c>
      <c r="U208" t="s">
        <v>97</v>
      </c>
      <c r="V208">
        <v>55148</v>
      </c>
      <c r="W208">
        <v>521616</v>
      </c>
      <c r="X208">
        <v>21800</v>
      </c>
      <c r="Y208">
        <f t="shared" si="3"/>
        <v>521616</v>
      </c>
      <c r="Z208" t="str">
        <f>IF(ISNUMBER(SEARCH("Adjustment",$C208)),"excluded",IF($H208="Behind the Meter","excluded",IF(NOT(OR($E208="Bundled",$E208="Energy")),"excluded",IF(OR($H208="Retail Power Marketer",$H208="Community Choice Aggregator",$E208="Energy"),"procurement",IF(OR($H208="Municipal",$H208="Cooperative",$H208="Federal",$H208="State",$H208="Political Subdivision"),"cost_service",IF($H208="Investor Owned",IF(AND(COUNTIF(Parameters!$A$4:$A$33,$G208)&gt;0,COUNTIF(Parameters!$B$4:$B$33,$B208)=0),"procurement","cost_service"),"unclassified"))))))</f>
        <v>cost_service</v>
      </c>
    </row>
    <row r="209" spans="1:26" x14ac:dyDescent="0.25">
      <c r="A209">
        <v>2024</v>
      </c>
      <c r="B209">
        <v>3542</v>
      </c>
      <c r="C209" t="s">
        <v>333</v>
      </c>
      <c r="D209" t="s">
        <v>84</v>
      </c>
      <c r="E209" t="s">
        <v>85</v>
      </c>
      <c r="F209" t="s">
        <v>86</v>
      </c>
      <c r="G209" t="s">
        <v>54</v>
      </c>
      <c r="H209" t="s">
        <v>109</v>
      </c>
      <c r="I209" t="s">
        <v>92</v>
      </c>
      <c r="J209">
        <v>470342.6</v>
      </c>
      <c r="K209">
        <v>3135248</v>
      </c>
      <c r="L209">
        <v>294084</v>
      </c>
      <c r="M209">
        <v>132804.6</v>
      </c>
      <c r="N209">
        <v>1141458</v>
      </c>
      <c r="O209">
        <v>22054</v>
      </c>
      <c r="P209">
        <v>7386.8</v>
      </c>
      <c r="Q209">
        <v>84589</v>
      </c>
      <c r="R209">
        <v>366</v>
      </c>
      <c r="S209" t="s">
        <v>97</v>
      </c>
      <c r="T209" t="s">
        <v>97</v>
      </c>
      <c r="U209" t="s">
        <v>97</v>
      </c>
      <c r="V209">
        <v>610534</v>
      </c>
      <c r="W209">
        <v>4361295</v>
      </c>
      <c r="X209">
        <v>316504</v>
      </c>
      <c r="Y209">
        <f t="shared" si="3"/>
        <v>4361295</v>
      </c>
      <c r="Z209" t="str">
        <f>IF(ISNUMBER(SEARCH("Adjustment",$C209)),"excluded",IF($H209="Behind the Meter","excluded",IF(NOT(OR($E209="Bundled",$E209="Energy")),"excluded",IF(OR($H209="Retail Power Marketer",$H209="Community Choice Aggregator",$E209="Energy"),"procurement",IF(OR($H209="Municipal",$H209="Cooperative",$H209="Federal",$H209="State",$H209="Political Subdivision"),"cost_service",IF($H209="Investor Owned",IF(AND(COUNTIF(Parameters!$A$4:$A$33,$G209)&gt;0,COUNTIF(Parameters!$B$4:$B$33,$B209)=0),"procurement","cost_service"),"unclassified"))))))</f>
        <v>procurement</v>
      </c>
    </row>
    <row r="210" spans="1:26" x14ac:dyDescent="0.25">
      <c r="A210">
        <v>2024</v>
      </c>
      <c r="B210">
        <v>3542</v>
      </c>
      <c r="C210" t="s">
        <v>333</v>
      </c>
      <c r="D210" t="s">
        <v>167</v>
      </c>
      <c r="E210" t="s">
        <v>168</v>
      </c>
      <c r="F210" t="s">
        <v>86</v>
      </c>
      <c r="G210" t="s">
        <v>54</v>
      </c>
      <c r="H210" t="s">
        <v>109</v>
      </c>
      <c r="I210" t="s">
        <v>92</v>
      </c>
      <c r="J210">
        <v>338070.9</v>
      </c>
      <c r="K210">
        <v>4331031</v>
      </c>
      <c r="L210">
        <v>399351</v>
      </c>
      <c r="M210">
        <v>258299.9</v>
      </c>
      <c r="N210">
        <v>6461984</v>
      </c>
      <c r="O210">
        <v>42396</v>
      </c>
      <c r="P210">
        <v>73333</v>
      </c>
      <c r="Q210">
        <v>4419380</v>
      </c>
      <c r="R210">
        <v>1549</v>
      </c>
      <c r="S210" t="s">
        <v>97</v>
      </c>
      <c r="T210" t="s">
        <v>97</v>
      </c>
      <c r="U210" t="s">
        <v>97</v>
      </c>
      <c r="V210">
        <v>669703.80000000005</v>
      </c>
      <c r="W210">
        <v>15212395</v>
      </c>
      <c r="X210">
        <v>443296</v>
      </c>
      <c r="Y210">
        <f t="shared" si="3"/>
        <v>15212395</v>
      </c>
      <c r="Z210" t="str">
        <f>IF(ISNUMBER(SEARCH("Adjustment",$C210)),"excluded",IF($H210="Behind the Meter","excluded",IF(NOT(OR($E210="Bundled",$E210="Energy")),"excluded",IF(OR($H210="Retail Power Marketer",$H210="Community Choice Aggregator",$E210="Energy"),"procurement",IF(OR($H210="Municipal",$H210="Cooperative",$H210="Federal",$H210="State",$H210="Political Subdivision"),"cost_service",IF($H210="Investor Owned",IF(AND(COUNTIF(Parameters!$A$4:$A$33,$G210)&gt;0,COUNTIF(Parameters!$B$4:$B$33,$B210)=0),"procurement","cost_service"),"unclassified"))))))</f>
        <v>excluded</v>
      </c>
    </row>
    <row r="211" spans="1:26" x14ac:dyDescent="0.25">
      <c r="A211">
        <v>2024</v>
      </c>
      <c r="B211">
        <v>3597</v>
      </c>
      <c r="C211" t="s">
        <v>334</v>
      </c>
      <c r="D211" t="s">
        <v>84</v>
      </c>
      <c r="E211" t="s">
        <v>85</v>
      </c>
      <c r="F211" t="s">
        <v>86</v>
      </c>
      <c r="G211" t="s">
        <v>55</v>
      </c>
      <c r="H211" t="s">
        <v>109</v>
      </c>
      <c r="I211" t="s">
        <v>92</v>
      </c>
      <c r="J211">
        <v>11121</v>
      </c>
      <c r="K211">
        <v>81599</v>
      </c>
      <c r="L211">
        <v>5958</v>
      </c>
      <c r="M211">
        <v>3124</v>
      </c>
      <c r="N211">
        <v>22397</v>
      </c>
      <c r="O211">
        <v>1128</v>
      </c>
      <c r="P211">
        <v>1182</v>
      </c>
      <c r="Q211">
        <v>9598</v>
      </c>
      <c r="R211">
        <v>22</v>
      </c>
      <c r="S211">
        <v>0</v>
      </c>
      <c r="T211">
        <v>0</v>
      </c>
      <c r="U211">
        <v>0</v>
      </c>
      <c r="V211">
        <v>15427</v>
      </c>
      <c r="W211">
        <v>113594</v>
      </c>
      <c r="X211">
        <v>7108</v>
      </c>
      <c r="Y211">
        <f t="shared" si="3"/>
        <v>113594</v>
      </c>
      <c r="Z211" t="str">
        <f>IF(ISNUMBER(SEARCH("Adjustment",$C211)),"excluded",IF($H211="Behind the Meter","excluded",IF(NOT(OR($E211="Bundled",$E211="Energy")),"excluded",IF(OR($H211="Retail Power Marketer",$H211="Community Choice Aggregator",$E211="Energy"),"procurement",IF(OR($H211="Municipal",$H211="Cooperative",$H211="Federal",$H211="State",$H211="Political Subdivision"),"cost_service",IF($H211="Investor Owned",IF(AND(COUNTIF(Parameters!$A$4:$A$33,$G211)&gt;0,COUNTIF(Parameters!$B$4:$B$33,$B211)=0),"procurement","cost_service"),"unclassified"))))))</f>
        <v>procurement</v>
      </c>
    </row>
    <row r="212" spans="1:26" x14ac:dyDescent="0.25">
      <c r="A212">
        <v>2024</v>
      </c>
      <c r="B212">
        <v>3597</v>
      </c>
      <c r="C212" t="s">
        <v>334</v>
      </c>
      <c r="D212" t="s">
        <v>167</v>
      </c>
      <c r="E212" t="s">
        <v>168</v>
      </c>
      <c r="F212" t="s">
        <v>86</v>
      </c>
      <c r="G212" t="s">
        <v>55</v>
      </c>
      <c r="H212" t="s">
        <v>109</v>
      </c>
      <c r="I212" t="s">
        <v>92</v>
      </c>
      <c r="J212">
        <v>5</v>
      </c>
      <c r="K212">
        <v>124</v>
      </c>
      <c r="L212">
        <v>5</v>
      </c>
      <c r="M212">
        <v>107</v>
      </c>
      <c r="N212">
        <v>3492</v>
      </c>
      <c r="O212">
        <v>43</v>
      </c>
      <c r="P212">
        <v>532</v>
      </c>
      <c r="Q212">
        <v>33691</v>
      </c>
      <c r="R212">
        <v>18</v>
      </c>
      <c r="S212">
        <v>0</v>
      </c>
      <c r="T212">
        <v>0</v>
      </c>
      <c r="U212">
        <v>0</v>
      </c>
      <c r="V212">
        <v>644</v>
      </c>
      <c r="W212">
        <v>37307</v>
      </c>
      <c r="X212">
        <v>66</v>
      </c>
      <c r="Y212">
        <f t="shared" si="3"/>
        <v>37307</v>
      </c>
      <c r="Z212" t="str">
        <f>IF(ISNUMBER(SEARCH("Adjustment",$C212)),"excluded",IF($H212="Behind the Meter","excluded",IF(NOT(OR($E212="Bundled",$E212="Energy")),"excluded",IF(OR($H212="Retail Power Marketer",$H212="Community Choice Aggregator",$E212="Energy"),"procurement",IF(OR($H212="Municipal",$H212="Cooperative",$H212="Federal",$H212="State",$H212="Political Subdivision"),"cost_service",IF($H212="Investor Owned",IF(AND(COUNTIF(Parameters!$A$4:$A$33,$G212)&gt;0,COUNTIF(Parameters!$B$4:$B$33,$B212)=0),"procurement","cost_service"),"unclassified"))))))</f>
        <v>excluded</v>
      </c>
    </row>
    <row r="213" spans="1:26" x14ac:dyDescent="0.25">
      <c r="A213">
        <v>2024</v>
      </c>
      <c r="B213">
        <v>3600</v>
      </c>
      <c r="C213" t="s">
        <v>335</v>
      </c>
      <c r="D213" t="s">
        <v>84</v>
      </c>
      <c r="E213" t="s">
        <v>85</v>
      </c>
      <c r="F213" t="s">
        <v>86</v>
      </c>
      <c r="G213" t="s">
        <v>226</v>
      </c>
      <c r="H213" t="s">
        <v>91</v>
      </c>
      <c r="I213" t="s">
        <v>96</v>
      </c>
      <c r="J213">
        <v>44849.3</v>
      </c>
      <c r="K213">
        <v>292472</v>
      </c>
      <c r="L213">
        <v>24826</v>
      </c>
      <c r="M213">
        <v>12151</v>
      </c>
      <c r="N213">
        <v>90081</v>
      </c>
      <c r="O213">
        <v>2817</v>
      </c>
      <c r="P213">
        <v>80790.3</v>
      </c>
      <c r="Q213">
        <v>1286811</v>
      </c>
      <c r="R213">
        <v>127</v>
      </c>
      <c r="S213">
        <v>0</v>
      </c>
      <c r="T213">
        <v>0</v>
      </c>
      <c r="U213">
        <v>0</v>
      </c>
      <c r="V213">
        <v>137790.6</v>
      </c>
      <c r="W213">
        <v>1669364</v>
      </c>
      <c r="X213">
        <v>27770</v>
      </c>
      <c r="Y213">
        <f t="shared" si="3"/>
        <v>1669364</v>
      </c>
      <c r="Z213" t="str">
        <f>IF(ISNUMBER(SEARCH("Adjustment",$C213)),"excluded",IF($H213="Behind the Meter","excluded",IF(NOT(OR($E213="Bundled",$E213="Energy")),"excluded",IF(OR($H213="Retail Power Marketer",$H213="Community Choice Aggregator",$E213="Energy"),"procurement",IF(OR($H213="Municipal",$H213="Cooperative",$H213="Federal",$H213="State",$H213="Political Subdivision"),"cost_service",IF($H213="Investor Owned",IF(AND(COUNTIF(Parameters!$A$4:$A$33,$G213)&gt;0,COUNTIF(Parameters!$B$4:$B$33,$B213)=0),"procurement","cost_service"),"unclassified"))))))</f>
        <v>cost_service</v>
      </c>
    </row>
    <row r="214" spans="1:26" x14ac:dyDescent="0.25">
      <c r="A214">
        <v>2024</v>
      </c>
      <c r="B214">
        <v>3641</v>
      </c>
      <c r="C214" t="s">
        <v>336</v>
      </c>
      <c r="D214" t="s">
        <v>84</v>
      </c>
      <c r="E214" t="s">
        <v>85</v>
      </c>
      <c r="F214" t="s">
        <v>86</v>
      </c>
      <c r="G214" t="s">
        <v>138</v>
      </c>
      <c r="H214" t="s">
        <v>91</v>
      </c>
      <c r="I214" t="s">
        <v>96</v>
      </c>
      <c r="J214">
        <v>37725.199999999997</v>
      </c>
      <c r="K214">
        <v>290221</v>
      </c>
      <c r="L214">
        <v>21438</v>
      </c>
      <c r="M214">
        <v>10363.799999999999</v>
      </c>
      <c r="N214">
        <v>80672</v>
      </c>
      <c r="O214">
        <v>2638</v>
      </c>
      <c r="P214">
        <v>24600.2</v>
      </c>
      <c r="Q214">
        <v>221528</v>
      </c>
      <c r="R214">
        <v>99</v>
      </c>
      <c r="S214" t="s">
        <v>97</v>
      </c>
      <c r="T214" t="s">
        <v>97</v>
      </c>
      <c r="U214" t="s">
        <v>97</v>
      </c>
      <c r="V214">
        <v>72689.2</v>
      </c>
      <c r="W214">
        <v>592421</v>
      </c>
      <c r="X214">
        <v>24175</v>
      </c>
      <c r="Y214">
        <f t="shared" si="3"/>
        <v>592421</v>
      </c>
      <c r="Z214" t="str">
        <f>IF(ISNUMBER(SEARCH("Adjustment",$C214)),"excluded",IF($H214="Behind the Meter","excluded",IF(NOT(OR($E214="Bundled",$E214="Energy")),"excluded",IF(OR($H214="Retail Power Marketer",$H214="Community Choice Aggregator",$E214="Energy"),"procurement",IF(OR($H214="Municipal",$H214="Cooperative",$H214="Federal",$H214="State",$H214="Political Subdivision"),"cost_service",IF($H214="Investor Owned",IF(AND(COUNTIF(Parameters!$A$4:$A$33,$G214)&gt;0,COUNTIF(Parameters!$B$4:$B$33,$B214)=0),"procurement","cost_service"),"unclassified"))))))</f>
        <v>cost_service</v>
      </c>
    </row>
    <row r="215" spans="1:26" x14ac:dyDescent="0.25">
      <c r="A215">
        <v>2024</v>
      </c>
      <c r="B215">
        <v>3644</v>
      </c>
      <c r="C215" t="s">
        <v>337</v>
      </c>
      <c r="D215" t="s">
        <v>84</v>
      </c>
      <c r="E215" t="s">
        <v>85</v>
      </c>
      <c r="F215" t="s">
        <v>86</v>
      </c>
      <c r="G215" t="s">
        <v>148</v>
      </c>
      <c r="H215" t="s">
        <v>205</v>
      </c>
      <c r="I215" t="s">
        <v>206</v>
      </c>
      <c r="J215">
        <v>54471.3</v>
      </c>
      <c r="K215">
        <v>459616</v>
      </c>
      <c r="L215">
        <v>30585</v>
      </c>
      <c r="M215">
        <v>16940.2</v>
      </c>
      <c r="N215">
        <v>174021</v>
      </c>
      <c r="O215">
        <v>3494</v>
      </c>
      <c r="P215">
        <v>1512.9</v>
      </c>
      <c r="Q215">
        <v>19771</v>
      </c>
      <c r="R215">
        <v>1</v>
      </c>
      <c r="S215" t="s">
        <v>97</v>
      </c>
      <c r="T215" t="s">
        <v>97</v>
      </c>
      <c r="U215" t="s">
        <v>97</v>
      </c>
      <c r="V215">
        <v>72924.399999999994</v>
      </c>
      <c r="W215">
        <v>653408</v>
      </c>
      <c r="X215">
        <v>34080</v>
      </c>
      <c r="Y215">
        <f t="shared" si="3"/>
        <v>653408</v>
      </c>
      <c r="Z215" t="str">
        <f>IF(ISNUMBER(SEARCH("Adjustment",$C215)),"excluded",IF($H215="Behind the Meter","excluded",IF(NOT(OR($E215="Bundled",$E215="Energy")),"excluded",IF(OR($H215="Retail Power Marketer",$H215="Community Choice Aggregator",$E215="Energy"),"procurement",IF(OR($H215="Municipal",$H215="Cooperative",$H215="Federal",$H215="State",$H215="Political Subdivision"),"cost_service",IF($H215="Investor Owned",IF(AND(COUNTIF(Parameters!$A$4:$A$33,$G215)&gt;0,COUNTIF(Parameters!$B$4:$B$33,$B215)=0),"procurement","cost_service"),"unclassified"))))))</f>
        <v>cost_service</v>
      </c>
    </row>
    <row r="216" spans="1:26" x14ac:dyDescent="0.25">
      <c r="A216">
        <v>2024</v>
      </c>
      <c r="B216">
        <v>3647</v>
      </c>
      <c r="C216" t="s">
        <v>338</v>
      </c>
      <c r="D216" t="s">
        <v>84</v>
      </c>
      <c r="E216" t="s">
        <v>85</v>
      </c>
      <c r="F216" t="s">
        <v>86</v>
      </c>
      <c r="G216" t="s">
        <v>136</v>
      </c>
      <c r="H216" t="s">
        <v>88</v>
      </c>
      <c r="I216" t="s">
        <v>135</v>
      </c>
      <c r="J216">
        <v>17927</v>
      </c>
      <c r="K216">
        <v>135426</v>
      </c>
      <c r="L216">
        <v>11855</v>
      </c>
      <c r="M216">
        <v>4390</v>
      </c>
      <c r="N216">
        <v>31396</v>
      </c>
      <c r="O216">
        <v>1335</v>
      </c>
      <c r="P216">
        <v>11180</v>
      </c>
      <c r="Q216">
        <v>116626</v>
      </c>
      <c r="R216">
        <v>137</v>
      </c>
      <c r="S216" t="s">
        <v>97</v>
      </c>
      <c r="T216" t="s">
        <v>97</v>
      </c>
      <c r="U216" t="s">
        <v>97</v>
      </c>
      <c r="V216">
        <v>33497</v>
      </c>
      <c r="W216">
        <v>283448</v>
      </c>
      <c r="X216">
        <v>13327</v>
      </c>
      <c r="Y216">
        <f t="shared" si="3"/>
        <v>283448</v>
      </c>
      <c r="Z216" t="str">
        <f>IF(ISNUMBER(SEARCH("Adjustment",$C216)),"excluded",IF($H216="Behind the Meter","excluded",IF(NOT(OR($E216="Bundled",$E216="Energy")),"excluded",IF(OR($H216="Retail Power Marketer",$H216="Community Choice Aggregator",$E216="Energy"),"procurement",IF(OR($H216="Municipal",$H216="Cooperative",$H216="Federal",$H216="State",$H216="Political Subdivision"),"cost_service",IF($H216="Investor Owned",IF(AND(COUNTIF(Parameters!$A$4:$A$33,$G216)&gt;0,COUNTIF(Parameters!$B$4:$B$33,$B216)=0),"procurement","cost_service"),"unclassified"))))))</f>
        <v>cost_service</v>
      </c>
    </row>
    <row r="217" spans="1:26" x14ac:dyDescent="0.25">
      <c r="A217">
        <v>2024</v>
      </c>
      <c r="B217">
        <v>3660</v>
      </c>
      <c r="C217" t="s">
        <v>339</v>
      </c>
      <c r="D217" t="s">
        <v>84</v>
      </c>
      <c r="E217" t="s">
        <v>85</v>
      </c>
      <c r="F217" t="s">
        <v>86</v>
      </c>
      <c r="G217" t="s">
        <v>148</v>
      </c>
      <c r="H217" t="s">
        <v>205</v>
      </c>
      <c r="I217" t="s">
        <v>206</v>
      </c>
      <c r="J217">
        <v>276231.2</v>
      </c>
      <c r="K217">
        <v>2653494</v>
      </c>
      <c r="L217">
        <v>219477</v>
      </c>
      <c r="M217">
        <v>116227</v>
      </c>
      <c r="N217">
        <v>1365364</v>
      </c>
      <c r="O217">
        <v>20389</v>
      </c>
      <c r="P217">
        <v>44592.9</v>
      </c>
      <c r="Q217">
        <v>737975</v>
      </c>
      <c r="R217">
        <v>30</v>
      </c>
      <c r="S217">
        <v>0</v>
      </c>
      <c r="T217">
        <v>0</v>
      </c>
      <c r="U217">
        <v>0</v>
      </c>
      <c r="V217">
        <v>437051.1</v>
      </c>
      <c r="W217">
        <v>4756833</v>
      </c>
      <c r="X217">
        <v>239896</v>
      </c>
      <c r="Y217">
        <f t="shared" si="3"/>
        <v>4756833</v>
      </c>
      <c r="Z217" t="str">
        <f>IF(ISNUMBER(SEARCH("Adjustment",$C217)),"excluded",IF($H217="Behind the Meter","excluded",IF(NOT(OR($E217="Bundled",$E217="Energy")),"excluded",IF(OR($H217="Retail Power Marketer",$H217="Community Choice Aggregator",$E217="Energy"),"procurement",IF(OR($H217="Municipal",$H217="Cooperative",$H217="Federal",$H217="State",$H217="Political Subdivision"),"cost_service",IF($H217="Investor Owned",IF(AND(COUNTIF(Parameters!$A$4:$A$33,$G217)&gt;0,COUNTIF(Parameters!$B$4:$B$33,$B217)=0),"procurement","cost_service"),"unclassified"))))))</f>
        <v>cost_service</v>
      </c>
    </row>
    <row r="218" spans="1:26" x14ac:dyDescent="0.25">
      <c r="A218">
        <v>2024</v>
      </c>
      <c r="B218">
        <v>3687</v>
      </c>
      <c r="C218" t="s">
        <v>340</v>
      </c>
      <c r="D218" t="s">
        <v>84</v>
      </c>
      <c r="E218" t="s">
        <v>85</v>
      </c>
      <c r="F218" t="s">
        <v>86</v>
      </c>
      <c r="G218" t="s">
        <v>209</v>
      </c>
      <c r="H218" t="s">
        <v>91</v>
      </c>
      <c r="I218" t="s">
        <v>92</v>
      </c>
      <c r="J218">
        <v>43579</v>
      </c>
      <c r="K218">
        <v>328940</v>
      </c>
      <c r="L218">
        <v>26203</v>
      </c>
      <c r="M218">
        <v>11648</v>
      </c>
      <c r="N218">
        <v>91902</v>
      </c>
      <c r="O218">
        <v>2142</v>
      </c>
      <c r="P218">
        <v>1195</v>
      </c>
      <c r="Q218">
        <v>13891</v>
      </c>
      <c r="R218">
        <v>2</v>
      </c>
      <c r="S218" t="s">
        <v>97</v>
      </c>
      <c r="T218" t="s">
        <v>97</v>
      </c>
      <c r="U218" t="s">
        <v>97</v>
      </c>
      <c r="V218">
        <v>56422</v>
      </c>
      <c r="W218">
        <v>434733</v>
      </c>
      <c r="X218">
        <v>28347</v>
      </c>
      <c r="Y218">
        <f t="shared" si="3"/>
        <v>434733</v>
      </c>
      <c r="Z218" t="str">
        <f>IF(ISNUMBER(SEARCH("Adjustment",$C218)),"excluded",IF($H218="Behind the Meter","excluded",IF(NOT(OR($E218="Bundled",$E218="Energy")),"excluded",IF(OR($H218="Retail Power Marketer",$H218="Community Choice Aggregator",$E218="Energy"),"procurement",IF(OR($H218="Municipal",$H218="Cooperative",$H218="Federal",$H218="State",$H218="Political Subdivision"),"cost_service",IF($H218="Investor Owned",IF(AND(COUNTIF(Parameters!$A$4:$A$33,$G218)&gt;0,COUNTIF(Parameters!$B$4:$B$33,$B218)=0),"procurement","cost_service"),"unclassified"))))))</f>
        <v>cost_service</v>
      </c>
    </row>
    <row r="219" spans="1:26" x14ac:dyDescent="0.25">
      <c r="A219">
        <v>2024</v>
      </c>
      <c r="B219">
        <v>3704</v>
      </c>
      <c r="C219" t="s">
        <v>341</v>
      </c>
      <c r="D219" t="s">
        <v>84</v>
      </c>
      <c r="E219" t="s">
        <v>85</v>
      </c>
      <c r="F219" t="s">
        <v>86</v>
      </c>
      <c r="G219" t="s">
        <v>156</v>
      </c>
      <c r="H219" t="s">
        <v>88</v>
      </c>
      <c r="I219" t="s">
        <v>89</v>
      </c>
      <c r="J219">
        <v>130520</v>
      </c>
      <c r="K219">
        <v>1021858</v>
      </c>
      <c r="L219">
        <v>75953</v>
      </c>
      <c r="M219">
        <v>69667</v>
      </c>
      <c r="N219">
        <v>575059</v>
      </c>
      <c r="O219">
        <v>9358</v>
      </c>
      <c r="P219">
        <v>4293</v>
      </c>
      <c r="Q219">
        <v>69522</v>
      </c>
      <c r="R219">
        <v>3</v>
      </c>
      <c r="S219">
        <v>0</v>
      </c>
      <c r="T219">
        <v>0</v>
      </c>
      <c r="U219">
        <v>0</v>
      </c>
      <c r="V219">
        <v>204480</v>
      </c>
      <c r="W219">
        <v>1666439</v>
      </c>
      <c r="X219">
        <v>85314</v>
      </c>
      <c r="Y219">
        <f t="shared" si="3"/>
        <v>1666439</v>
      </c>
      <c r="Z219" t="str">
        <f>IF(ISNUMBER(SEARCH("Adjustment",$C219)),"excluded",IF($H219="Behind the Meter","excluded",IF(NOT(OR($E219="Bundled",$E219="Energy")),"excluded",IF(OR($H219="Retail Power Marketer",$H219="Community Choice Aggregator",$E219="Energy"),"procurement",IF(OR($H219="Municipal",$H219="Cooperative",$H219="Federal",$H219="State",$H219="Political Subdivision"),"cost_service",IF($H219="Investor Owned",IF(AND(COUNTIF(Parameters!$A$4:$A$33,$G219)&gt;0,COUNTIF(Parameters!$B$4:$B$33,$B219)=0),"procurement","cost_service"),"unclassified"))))))</f>
        <v>cost_service</v>
      </c>
    </row>
    <row r="220" spans="1:26" x14ac:dyDescent="0.25">
      <c r="A220">
        <v>2024</v>
      </c>
      <c r="B220">
        <v>3705</v>
      </c>
      <c r="C220" t="s">
        <v>342</v>
      </c>
      <c r="D220" t="s">
        <v>84</v>
      </c>
      <c r="E220" t="s">
        <v>85</v>
      </c>
      <c r="F220" t="s">
        <v>86</v>
      </c>
      <c r="G220" t="s">
        <v>173</v>
      </c>
      <c r="H220" t="s">
        <v>88</v>
      </c>
      <c r="I220" t="s">
        <v>135</v>
      </c>
      <c r="J220">
        <v>3923.8</v>
      </c>
      <c r="K220">
        <v>45234</v>
      </c>
      <c r="L220">
        <v>3812</v>
      </c>
      <c r="M220">
        <v>3714.7</v>
      </c>
      <c r="N220">
        <v>35537</v>
      </c>
      <c r="O220">
        <v>716</v>
      </c>
      <c r="P220">
        <v>7982.8</v>
      </c>
      <c r="Q220">
        <v>116217</v>
      </c>
      <c r="R220">
        <v>50</v>
      </c>
      <c r="S220" t="s">
        <v>97</v>
      </c>
      <c r="T220" t="s">
        <v>97</v>
      </c>
      <c r="U220" t="s">
        <v>97</v>
      </c>
      <c r="V220">
        <v>15621.3</v>
      </c>
      <c r="W220">
        <v>196988</v>
      </c>
      <c r="X220">
        <v>4578</v>
      </c>
      <c r="Y220">
        <f t="shared" si="3"/>
        <v>196988</v>
      </c>
      <c r="Z220" t="str">
        <f>IF(ISNUMBER(SEARCH("Adjustment",$C220)),"excluded",IF($H220="Behind the Meter","excluded",IF(NOT(OR($E220="Bundled",$E220="Energy")),"excluded",IF(OR($H220="Retail Power Marketer",$H220="Community Choice Aggregator",$E220="Energy"),"procurement",IF(OR($H220="Municipal",$H220="Cooperative",$H220="Federal",$H220="State",$H220="Political Subdivision"),"cost_service",IF($H220="Investor Owned",IF(AND(COUNTIF(Parameters!$A$4:$A$33,$G220)&gt;0,COUNTIF(Parameters!$B$4:$B$33,$B220)=0),"procurement","cost_service"),"unclassified"))))))</f>
        <v>cost_service</v>
      </c>
    </row>
    <row r="221" spans="1:26" x14ac:dyDescent="0.25">
      <c r="A221">
        <v>2024</v>
      </c>
      <c r="B221">
        <v>3712</v>
      </c>
      <c r="C221" t="s">
        <v>343</v>
      </c>
      <c r="D221" t="s">
        <v>84</v>
      </c>
      <c r="E221" t="s">
        <v>85</v>
      </c>
      <c r="F221" t="s">
        <v>86</v>
      </c>
      <c r="G221" t="s">
        <v>173</v>
      </c>
      <c r="H221" t="s">
        <v>91</v>
      </c>
      <c r="I221" t="s">
        <v>96</v>
      </c>
      <c r="J221">
        <v>15795.6</v>
      </c>
      <c r="K221">
        <v>111277</v>
      </c>
      <c r="L221">
        <v>10523</v>
      </c>
      <c r="M221">
        <v>11892.7</v>
      </c>
      <c r="N221">
        <v>83420</v>
      </c>
      <c r="O221">
        <v>2779</v>
      </c>
      <c r="P221">
        <v>7938</v>
      </c>
      <c r="Q221">
        <v>92833</v>
      </c>
      <c r="R221">
        <v>14</v>
      </c>
      <c r="S221" t="s">
        <v>97</v>
      </c>
      <c r="T221" t="s">
        <v>97</v>
      </c>
      <c r="U221" t="s">
        <v>97</v>
      </c>
      <c r="V221">
        <v>35626.300000000003</v>
      </c>
      <c r="W221">
        <v>287530</v>
      </c>
      <c r="X221">
        <v>13316</v>
      </c>
      <c r="Y221">
        <f t="shared" si="3"/>
        <v>287530</v>
      </c>
      <c r="Z221" t="str">
        <f>IF(ISNUMBER(SEARCH("Adjustment",$C221)),"excluded",IF($H221="Behind the Meter","excluded",IF(NOT(OR($E221="Bundled",$E221="Energy")),"excluded",IF(OR($H221="Retail Power Marketer",$H221="Community Choice Aggregator",$E221="Energy"),"procurement",IF(OR($H221="Municipal",$H221="Cooperative",$H221="Federal",$H221="State",$H221="Political Subdivision"),"cost_service",IF($H221="Investor Owned",IF(AND(COUNTIF(Parameters!$A$4:$A$33,$G221)&gt;0,COUNTIF(Parameters!$B$4:$B$33,$B221)=0),"procurement","cost_service"),"unclassified"))))))</f>
        <v>cost_service</v>
      </c>
    </row>
    <row r="222" spans="1:26" x14ac:dyDescent="0.25">
      <c r="A222">
        <v>2024</v>
      </c>
      <c r="B222">
        <v>3712</v>
      </c>
      <c r="C222" t="s">
        <v>343</v>
      </c>
      <c r="D222" t="s">
        <v>84</v>
      </c>
      <c r="E222" t="s">
        <v>85</v>
      </c>
      <c r="F222" t="s">
        <v>86</v>
      </c>
      <c r="G222" t="s">
        <v>226</v>
      </c>
      <c r="H222" t="s">
        <v>91</v>
      </c>
      <c r="I222" t="s">
        <v>96</v>
      </c>
      <c r="J222">
        <v>72.900000000000006</v>
      </c>
      <c r="K222">
        <v>500</v>
      </c>
      <c r="L222">
        <v>48</v>
      </c>
      <c r="M222">
        <v>16.5</v>
      </c>
      <c r="N222">
        <v>141</v>
      </c>
      <c r="O222">
        <v>5</v>
      </c>
      <c r="P222" t="s">
        <v>97</v>
      </c>
      <c r="Q222" t="s">
        <v>97</v>
      </c>
      <c r="R222" t="s">
        <v>97</v>
      </c>
      <c r="S222" t="s">
        <v>97</v>
      </c>
      <c r="T222" t="s">
        <v>97</v>
      </c>
      <c r="U222" t="s">
        <v>97</v>
      </c>
      <c r="V222">
        <v>89.4</v>
      </c>
      <c r="W222">
        <v>641</v>
      </c>
      <c r="X222">
        <v>53</v>
      </c>
      <c r="Y222">
        <f t="shared" si="3"/>
        <v>641</v>
      </c>
      <c r="Z222" t="str">
        <f>IF(ISNUMBER(SEARCH("Adjustment",$C222)),"excluded",IF($H222="Behind the Meter","excluded",IF(NOT(OR($E222="Bundled",$E222="Energy")),"excluded",IF(OR($H222="Retail Power Marketer",$H222="Community Choice Aggregator",$E222="Energy"),"procurement",IF(OR($H222="Municipal",$H222="Cooperative",$H222="Federal",$H222="State",$H222="Political Subdivision"),"cost_service",IF($H222="Investor Owned",IF(AND(COUNTIF(Parameters!$A$4:$A$33,$G222)&gt;0,COUNTIF(Parameters!$B$4:$B$33,$B222)=0),"procurement","cost_service"),"unclassified"))))))</f>
        <v>cost_service</v>
      </c>
    </row>
    <row r="223" spans="1:26" x14ac:dyDescent="0.25">
      <c r="A223">
        <v>2024</v>
      </c>
      <c r="B223">
        <v>3755</v>
      </c>
      <c r="C223" t="s">
        <v>344</v>
      </c>
      <c r="D223" t="s">
        <v>84</v>
      </c>
      <c r="E223" t="s">
        <v>85</v>
      </c>
      <c r="F223" t="s">
        <v>86</v>
      </c>
      <c r="G223" t="s">
        <v>54</v>
      </c>
      <c r="H223" t="s">
        <v>109</v>
      </c>
      <c r="I223" t="s">
        <v>92</v>
      </c>
      <c r="J223">
        <v>162787.4</v>
      </c>
      <c r="K223">
        <v>971325</v>
      </c>
      <c r="L223">
        <v>131370</v>
      </c>
      <c r="M223">
        <v>63996.4</v>
      </c>
      <c r="N223">
        <v>344160</v>
      </c>
      <c r="O223">
        <v>11225</v>
      </c>
      <c r="P223">
        <v>12909.6</v>
      </c>
      <c r="Q223">
        <v>93908</v>
      </c>
      <c r="R223">
        <v>62</v>
      </c>
      <c r="S223">
        <v>0</v>
      </c>
      <c r="T223">
        <v>0</v>
      </c>
      <c r="U223">
        <v>0</v>
      </c>
      <c r="V223">
        <v>239693.4</v>
      </c>
      <c r="W223">
        <v>1409393</v>
      </c>
      <c r="X223">
        <v>142657</v>
      </c>
      <c r="Y223">
        <f t="shared" si="3"/>
        <v>1409393</v>
      </c>
      <c r="Z223" t="str">
        <f>IF(ISNUMBER(SEARCH("Adjustment",$C223)),"excluded",IF($H223="Behind the Meter","excluded",IF(NOT(OR($E223="Bundled",$E223="Energy")),"excluded",IF(OR($H223="Retail Power Marketer",$H223="Community Choice Aggregator",$E223="Energy"),"procurement",IF(OR($H223="Municipal",$H223="Cooperative",$H223="Federal",$H223="State",$H223="Political Subdivision"),"cost_service",IF($H223="Investor Owned",IF(AND(COUNTIF(Parameters!$A$4:$A$33,$G223)&gt;0,COUNTIF(Parameters!$B$4:$B$33,$B223)=0),"procurement","cost_service"),"unclassified"))))))</f>
        <v>procurement</v>
      </c>
    </row>
    <row r="224" spans="1:26" x14ac:dyDescent="0.25">
      <c r="A224">
        <v>2024</v>
      </c>
      <c r="B224">
        <v>3755</v>
      </c>
      <c r="C224" t="s">
        <v>344</v>
      </c>
      <c r="D224" t="s">
        <v>167</v>
      </c>
      <c r="E224" t="s">
        <v>168</v>
      </c>
      <c r="F224" t="s">
        <v>86</v>
      </c>
      <c r="G224" t="s">
        <v>54</v>
      </c>
      <c r="H224" t="s">
        <v>109</v>
      </c>
      <c r="I224" t="s">
        <v>92</v>
      </c>
      <c r="J224">
        <v>349200.5</v>
      </c>
      <c r="K224">
        <v>4471242</v>
      </c>
      <c r="L224">
        <v>544728</v>
      </c>
      <c r="M224">
        <v>365022.3</v>
      </c>
      <c r="N224">
        <v>5484804</v>
      </c>
      <c r="O224">
        <v>70476</v>
      </c>
      <c r="P224">
        <v>91841.3</v>
      </c>
      <c r="Q224">
        <v>5734908</v>
      </c>
      <c r="R224">
        <v>593</v>
      </c>
      <c r="S224">
        <v>714.6</v>
      </c>
      <c r="T224">
        <v>28573</v>
      </c>
      <c r="U224">
        <v>1</v>
      </c>
      <c r="V224">
        <v>806778.7</v>
      </c>
      <c r="W224">
        <v>15719527</v>
      </c>
      <c r="X224">
        <v>615798</v>
      </c>
      <c r="Y224">
        <f t="shared" si="3"/>
        <v>15719527</v>
      </c>
      <c r="Z224" t="str">
        <f>IF(ISNUMBER(SEARCH("Adjustment",$C224)),"excluded",IF($H224="Behind the Meter","excluded",IF(NOT(OR($E224="Bundled",$E224="Energy")),"excluded",IF(OR($H224="Retail Power Marketer",$H224="Community Choice Aggregator",$E224="Energy"),"procurement",IF(OR($H224="Municipal",$H224="Cooperative",$H224="Federal",$H224="State",$H224="Political Subdivision"),"cost_service",IF($H224="Investor Owned",IF(AND(COUNTIF(Parameters!$A$4:$A$33,$G224)&gt;0,COUNTIF(Parameters!$B$4:$B$33,$B224)=0),"procurement","cost_service"),"unclassified"))))))</f>
        <v>excluded</v>
      </c>
    </row>
    <row r="225" spans="1:26" x14ac:dyDescent="0.25">
      <c r="A225">
        <v>2024</v>
      </c>
      <c r="B225">
        <v>3757</v>
      </c>
      <c r="C225" t="s">
        <v>345</v>
      </c>
      <c r="D225" t="s">
        <v>84</v>
      </c>
      <c r="E225" t="s">
        <v>85</v>
      </c>
      <c r="F225" t="s">
        <v>86</v>
      </c>
      <c r="G225" t="s">
        <v>195</v>
      </c>
      <c r="H225" t="s">
        <v>91</v>
      </c>
      <c r="I225" t="s">
        <v>299</v>
      </c>
      <c r="J225">
        <v>326753.7</v>
      </c>
      <c r="K225">
        <v>2495611</v>
      </c>
      <c r="L225">
        <v>171179</v>
      </c>
      <c r="M225">
        <v>78068.3</v>
      </c>
      <c r="N225">
        <v>723061</v>
      </c>
      <c r="O225">
        <v>22773</v>
      </c>
      <c r="P225">
        <v>28888.5</v>
      </c>
      <c r="Q225">
        <v>429338</v>
      </c>
      <c r="R225">
        <v>34</v>
      </c>
      <c r="S225" t="s">
        <v>97</v>
      </c>
      <c r="T225" t="s">
        <v>97</v>
      </c>
      <c r="U225" t="s">
        <v>97</v>
      </c>
      <c r="V225">
        <v>433710.5</v>
      </c>
      <c r="W225">
        <v>3648010</v>
      </c>
      <c r="X225">
        <v>193986</v>
      </c>
      <c r="Y225">
        <f t="shared" si="3"/>
        <v>3648010</v>
      </c>
      <c r="Z225" t="str">
        <f>IF(ISNUMBER(SEARCH("Adjustment",$C225)),"excluded",IF($H225="Behind the Meter","excluded",IF(NOT(OR($E225="Bundled",$E225="Energy")),"excluded",IF(OR($H225="Retail Power Marketer",$H225="Community Choice Aggregator",$E225="Energy"),"procurement",IF(OR($H225="Municipal",$H225="Cooperative",$H225="Federal",$H225="State",$H225="Political Subdivision"),"cost_service",IF($H225="Investor Owned",IF(AND(COUNTIF(Parameters!$A$4:$A$33,$G225)&gt;0,COUNTIF(Parameters!$B$4:$B$33,$B225)=0),"procurement","cost_service"),"unclassified"))))))</f>
        <v>cost_service</v>
      </c>
    </row>
    <row r="226" spans="1:26" x14ac:dyDescent="0.25">
      <c r="A226">
        <v>2024</v>
      </c>
      <c r="B226">
        <v>3758</v>
      </c>
      <c r="C226" t="s">
        <v>346</v>
      </c>
      <c r="D226" t="s">
        <v>84</v>
      </c>
      <c r="E226" t="s">
        <v>85</v>
      </c>
      <c r="F226" t="s">
        <v>86</v>
      </c>
      <c r="G226" t="s">
        <v>156</v>
      </c>
      <c r="H226" t="s">
        <v>88</v>
      </c>
      <c r="I226" t="s">
        <v>89</v>
      </c>
      <c r="J226">
        <v>48649</v>
      </c>
      <c r="K226">
        <v>388347</v>
      </c>
      <c r="L226">
        <v>29331</v>
      </c>
      <c r="M226">
        <v>44672</v>
      </c>
      <c r="N226">
        <v>376139</v>
      </c>
      <c r="O226">
        <v>4999</v>
      </c>
      <c r="P226">
        <v>17967</v>
      </c>
      <c r="Q226">
        <v>254629</v>
      </c>
      <c r="R226">
        <v>18</v>
      </c>
      <c r="S226">
        <v>0</v>
      </c>
      <c r="T226">
        <v>0</v>
      </c>
      <c r="U226">
        <v>0</v>
      </c>
      <c r="V226">
        <v>111288</v>
      </c>
      <c r="W226">
        <v>1019115</v>
      </c>
      <c r="X226">
        <v>34348</v>
      </c>
      <c r="Y226">
        <f t="shared" si="3"/>
        <v>1019115</v>
      </c>
      <c r="Z226" t="str">
        <f>IF(ISNUMBER(SEARCH("Adjustment",$C226)),"excluded",IF($H226="Behind the Meter","excluded",IF(NOT(OR($E226="Bundled",$E226="Energy")),"excluded",IF(OR($H226="Retail Power Marketer",$H226="Community Choice Aggregator",$E226="Energy"),"procurement",IF(OR($H226="Municipal",$H226="Cooperative",$H226="Federal",$H226="State",$H226="Political Subdivision"),"cost_service",IF($H226="Investor Owned",IF(AND(COUNTIF(Parameters!$A$4:$A$33,$G226)&gt;0,COUNTIF(Parameters!$B$4:$B$33,$B226)=0),"procurement","cost_service"),"unclassified"))))))</f>
        <v>cost_service</v>
      </c>
    </row>
    <row r="227" spans="1:26" x14ac:dyDescent="0.25">
      <c r="A227">
        <v>2024</v>
      </c>
      <c r="B227">
        <v>3762</v>
      </c>
      <c r="C227" t="s">
        <v>347</v>
      </c>
      <c r="D227" t="s">
        <v>84</v>
      </c>
      <c r="E227" t="s">
        <v>85</v>
      </c>
      <c r="F227" t="s">
        <v>86</v>
      </c>
      <c r="G227" t="s">
        <v>54</v>
      </c>
      <c r="H227" t="s">
        <v>88</v>
      </c>
      <c r="I227" t="s">
        <v>92</v>
      </c>
      <c r="J227">
        <v>57086.1</v>
      </c>
      <c r="K227">
        <v>383954</v>
      </c>
      <c r="L227">
        <v>64914</v>
      </c>
      <c r="M227">
        <v>85754.9</v>
      </c>
      <c r="N227">
        <v>618173</v>
      </c>
      <c r="O227">
        <v>8729</v>
      </c>
      <c r="P227">
        <v>50582.1</v>
      </c>
      <c r="Q227">
        <v>543410</v>
      </c>
      <c r="R227">
        <v>23</v>
      </c>
      <c r="S227" t="s">
        <v>97</v>
      </c>
      <c r="T227" t="s">
        <v>97</v>
      </c>
      <c r="U227" t="s">
        <v>97</v>
      </c>
      <c r="V227">
        <v>193423.1</v>
      </c>
      <c r="W227">
        <v>1545537</v>
      </c>
      <c r="X227">
        <v>73666</v>
      </c>
      <c r="Y227">
        <f t="shared" si="3"/>
        <v>1545537</v>
      </c>
      <c r="Z227" t="str">
        <f>IF(ISNUMBER(SEARCH("Adjustment",$C227)),"excluded",IF($H227="Behind the Meter","excluded",IF(NOT(OR($E227="Bundled",$E227="Energy")),"excluded",IF(OR($H227="Retail Power Marketer",$H227="Community Choice Aggregator",$E227="Energy"),"procurement",IF(OR($H227="Municipal",$H227="Cooperative",$H227="Federal",$H227="State",$H227="Political Subdivision"),"cost_service",IF($H227="Investor Owned",IF(AND(COUNTIF(Parameters!$A$4:$A$33,$G227)&gt;0,COUNTIF(Parameters!$B$4:$B$33,$B227)=0),"procurement","cost_service"),"unclassified"))))))</f>
        <v>cost_service</v>
      </c>
    </row>
    <row r="228" spans="1:26" x14ac:dyDescent="0.25">
      <c r="A228">
        <v>2024</v>
      </c>
      <c r="B228">
        <v>3812</v>
      </c>
      <c r="C228" t="s">
        <v>348</v>
      </c>
      <c r="D228" t="s">
        <v>84</v>
      </c>
      <c r="E228" t="s">
        <v>85</v>
      </c>
      <c r="F228" t="s">
        <v>86</v>
      </c>
      <c r="G228" t="s">
        <v>156</v>
      </c>
      <c r="H228" t="s">
        <v>88</v>
      </c>
      <c r="I228" t="s">
        <v>89</v>
      </c>
      <c r="J228">
        <v>48583</v>
      </c>
      <c r="K228">
        <v>373990</v>
      </c>
      <c r="L228">
        <v>26230</v>
      </c>
      <c r="M228">
        <v>24259</v>
      </c>
      <c r="N228">
        <v>183352</v>
      </c>
      <c r="O228">
        <v>5106</v>
      </c>
      <c r="P228">
        <v>16618</v>
      </c>
      <c r="Q228">
        <v>247931</v>
      </c>
      <c r="R228">
        <v>10</v>
      </c>
      <c r="S228">
        <v>0</v>
      </c>
      <c r="T228">
        <v>0</v>
      </c>
      <c r="U228">
        <v>0</v>
      </c>
      <c r="V228">
        <v>89460</v>
      </c>
      <c r="W228">
        <v>805273</v>
      </c>
      <c r="X228">
        <v>31346</v>
      </c>
      <c r="Y228">
        <f t="shared" si="3"/>
        <v>805273</v>
      </c>
      <c r="Z228" t="str">
        <f>IF(ISNUMBER(SEARCH("Adjustment",$C228)),"excluded",IF($H228="Behind the Meter","excluded",IF(NOT(OR($E228="Bundled",$E228="Energy")),"excluded",IF(OR($H228="Retail Power Marketer",$H228="Community Choice Aggregator",$E228="Energy"),"procurement",IF(OR($H228="Municipal",$H228="Cooperative",$H228="Federal",$H228="State",$H228="Political Subdivision"),"cost_service",IF($H228="Investor Owned",IF(AND(COUNTIF(Parameters!$A$4:$A$33,$G228)&gt;0,COUNTIF(Parameters!$B$4:$B$33,$B228)=0),"procurement","cost_service"),"unclassified"))))))</f>
        <v>cost_service</v>
      </c>
    </row>
    <row r="229" spans="1:26" x14ac:dyDescent="0.25">
      <c r="A229">
        <v>2024</v>
      </c>
      <c r="B229">
        <v>3824</v>
      </c>
      <c r="C229" t="s">
        <v>349</v>
      </c>
      <c r="D229" t="s">
        <v>84</v>
      </c>
      <c r="E229" t="s">
        <v>85</v>
      </c>
      <c r="F229" t="s">
        <v>86</v>
      </c>
      <c r="G229" t="s">
        <v>54</v>
      </c>
      <c r="H229" t="s">
        <v>88</v>
      </c>
      <c r="I229" t="s">
        <v>92</v>
      </c>
      <c r="J229">
        <v>2998</v>
      </c>
      <c r="K229">
        <v>24773</v>
      </c>
      <c r="L229">
        <v>2776</v>
      </c>
      <c r="M229">
        <v>2562</v>
      </c>
      <c r="N229">
        <v>18287</v>
      </c>
      <c r="O229">
        <v>346</v>
      </c>
      <c r="P229">
        <v>12389</v>
      </c>
      <c r="Q229">
        <v>161398</v>
      </c>
      <c r="R229">
        <v>10</v>
      </c>
      <c r="S229" t="s">
        <v>97</v>
      </c>
      <c r="T229" t="s">
        <v>97</v>
      </c>
      <c r="U229" t="s">
        <v>97</v>
      </c>
      <c r="V229">
        <v>17949</v>
      </c>
      <c r="W229">
        <v>204458</v>
      </c>
      <c r="X229">
        <v>3132</v>
      </c>
      <c r="Y229">
        <f t="shared" si="3"/>
        <v>204458</v>
      </c>
      <c r="Z229" t="str">
        <f>IF(ISNUMBER(SEARCH("Adjustment",$C229)),"excluded",IF($H229="Behind the Meter","excluded",IF(NOT(OR($E229="Bundled",$E229="Energy")),"excluded",IF(OR($H229="Retail Power Marketer",$H229="Community Choice Aggregator",$E229="Energy"),"procurement",IF(OR($H229="Municipal",$H229="Cooperative",$H229="Federal",$H229="State",$H229="Political Subdivision"),"cost_service",IF($H229="Investor Owned",IF(AND(COUNTIF(Parameters!$A$4:$A$33,$G229)&gt;0,COUNTIF(Parameters!$B$4:$B$33,$B229)=0),"procurement","cost_service"),"unclassified"))))))</f>
        <v>cost_service</v>
      </c>
    </row>
    <row r="230" spans="1:26" x14ac:dyDescent="0.25">
      <c r="A230">
        <v>2024</v>
      </c>
      <c r="B230">
        <v>3828</v>
      </c>
      <c r="C230" t="s">
        <v>350</v>
      </c>
      <c r="D230" t="s">
        <v>84</v>
      </c>
      <c r="E230" t="s">
        <v>85</v>
      </c>
      <c r="F230" t="s">
        <v>86</v>
      </c>
      <c r="G230" t="s">
        <v>140</v>
      </c>
      <c r="H230" t="s">
        <v>91</v>
      </c>
      <c r="I230" t="s">
        <v>96</v>
      </c>
      <c r="J230">
        <v>40335.800000000003</v>
      </c>
      <c r="K230">
        <v>280674</v>
      </c>
      <c r="L230">
        <v>36086</v>
      </c>
      <c r="M230">
        <v>34349.9</v>
      </c>
      <c r="N230">
        <v>285591</v>
      </c>
      <c r="O230">
        <v>7685</v>
      </c>
      <c r="P230">
        <v>13725.3</v>
      </c>
      <c r="Q230">
        <v>155658</v>
      </c>
      <c r="R230">
        <v>8</v>
      </c>
      <c r="S230">
        <v>0</v>
      </c>
      <c r="T230">
        <v>0</v>
      </c>
      <c r="U230">
        <v>0</v>
      </c>
      <c r="V230">
        <v>88411</v>
      </c>
      <c r="W230">
        <v>721923</v>
      </c>
      <c r="X230">
        <v>43779</v>
      </c>
      <c r="Y230">
        <f t="shared" si="3"/>
        <v>721923</v>
      </c>
      <c r="Z230" t="str">
        <f>IF(ISNUMBER(SEARCH("Adjustment",$C230)),"excluded",IF($H230="Behind the Meter","excluded",IF(NOT(OR($E230="Bundled",$E230="Energy")),"excluded",IF(OR($H230="Retail Power Marketer",$H230="Community Choice Aggregator",$E230="Energy"),"procurement",IF(OR($H230="Municipal",$H230="Cooperative",$H230="Federal",$H230="State",$H230="Political Subdivision"),"cost_service",IF($H230="Investor Owned",IF(AND(COUNTIF(Parameters!$A$4:$A$33,$G230)&gt;0,COUNTIF(Parameters!$B$4:$B$33,$B230)=0),"procurement","cost_service"),"unclassified"))))))</f>
        <v>cost_service</v>
      </c>
    </row>
    <row r="231" spans="1:26" x14ac:dyDescent="0.25">
      <c r="A231">
        <v>2024</v>
      </c>
      <c r="B231">
        <v>3841</v>
      </c>
      <c r="C231" t="s">
        <v>351</v>
      </c>
      <c r="D231" t="s">
        <v>84</v>
      </c>
      <c r="E231" t="s">
        <v>85</v>
      </c>
      <c r="F231" t="s">
        <v>86</v>
      </c>
      <c r="G231" t="s">
        <v>87</v>
      </c>
      <c r="H231" t="s">
        <v>91</v>
      </c>
      <c r="I231" t="s">
        <v>113</v>
      </c>
      <c r="J231">
        <v>169730</v>
      </c>
      <c r="K231">
        <v>1229148</v>
      </c>
      <c r="L231">
        <v>82510</v>
      </c>
      <c r="M231">
        <v>55316</v>
      </c>
      <c r="N231">
        <v>447918</v>
      </c>
      <c r="O231">
        <v>7730</v>
      </c>
      <c r="P231">
        <v>16642</v>
      </c>
      <c r="Q231">
        <v>239498</v>
      </c>
      <c r="R231">
        <v>7</v>
      </c>
      <c r="S231">
        <v>0</v>
      </c>
      <c r="T231">
        <v>0</v>
      </c>
      <c r="U231" t="s">
        <v>97</v>
      </c>
      <c r="V231">
        <v>241688</v>
      </c>
      <c r="W231">
        <v>1916564</v>
      </c>
      <c r="X231">
        <v>90247</v>
      </c>
      <c r="Y231">
        <f t="shared" si="3"/>
        <v>1916564</v>
      </c>
      <c r="Z231" t="str">
        <f>IF(ISNUMBER(SEARCH("Adjustment",$C231)),"excluded",IF($H231="Behind the Meter","excluded",IF(NOT(OR($E231="Bundled",$E231="Energy")),"excluded",IF(OR($H231="Retail Power Marketer",$H231="Community Choice Aggregator",$E231="Energy"),"procurement",IF(OR($H231="Municipal",$H231="Cooperative",$H231="Federal",$H231="State",$H231="Political Subdivision"),"cost_service",IF($H231="Investor Owned",IF(AND(COUNTIF(Parameters!$A$4:$A$33,$G231)&gt;0,COUNTIF(Parameters!$B$4:$B$33,$B231)=0),"procurement","cost_service"),"unclassified"))))))</f>
        <v>cost_service</v>
      </c>
    </row>
    <row r="232" spans="1:26" x14ac:dyDescent="0.25">
      <c r="A232">
        <v>2024</v>
      </c>
      <c r="B232">
        <v>3843</v>
      </c>
      <c r="C232" t="s">
        <v>352</v>
      </c>
      <c r="D232" t="s">
        <v>84</v>
      </c>
      <c r="E232" t="s">
        <v>85</v>
      </c>
      <c r="F232" t="s">
        <v>86</v>
      </c>
      <c r="G232" t="s">
        <v>123</v>
      </c>
      <c r="H232" t="s">
        <v>91</v>
      </c>
      <c r="I232" t="s">
        <v>113</v>
      </c>
      <c r="J232">
        <v>43271</v>
      </c>
      <c r="K232">
        <v>310505</v>
      </c>
      <c r="L232">
        <v>20559</v>
      </c>
      <c r="M232">
        <v>11449.5</v>
      </c>
      <c r="N232">
        <v>86559</v>
      </c>
      <c r="O232">
        <v>3414</v>
      </c>
      <c r="P232">
        <v>13704.5</v>
      </c>
      <c r="Q232">
        <v>175213</v>
      </c>
      <c r="R232">
        <v>5</v>
      </c>
      <c r="S232" t="s">
        <v>97</v>
      </c>
      <c r="T232" t="s">
        <v>97</v>
      </c>
      <c r="U232" t="s">
        <v>97</v>
      </c>
      <c r="V232">
        <v>68425</v>
      </c>
      <c r="W232">
        <v>572277</v>
      </c>
      <c r="X232">
        <v>23978</v>
      </c>
      <c r="Y232">
        <f t="shared" si="3"/>
        <v>572277</v>
      </c>
      <c r="Z232" t="str">
        <f>IF(ISNUMBER(SEARCH("Adjustment",$C232)),"excluded",IF($H232="Behind the Meter","excluded",IF(NOT(OR($E232="Bundled",$E232="Energy")),"excluded",IF(OR($H232="Retail Power Marketer",$H232="Community Choice Aggregator",$E232="Energy"),"procurement",IF(OR($H232="Municipal",$H232="Cooperative",$H232="Federal",$H232="State",$H232="Political Subdivision"),"cost_service",IF($H232="Investor Owned",IF(AND(COUNTIF(Parameters!$A$4:$A$33,$G232)&gt;0,COUNTIF(Parameters!$B$4:$B$33,$B232)=0),"procurement","cost_service"),"unclassified"))))))</f>
        <v>cost_service</v>
      </c>
    </row>
    <row r="233" spans="1:26" x14ac:dyDescent="0.25">
      <c r="A233">
        <v>2024</v>
      </c>
      <c r="B233">
        <v>3855</v>
      </c>
      <c r="C233" t="s">
        <v>353</v>
      </c>
      <c r="D233" t="s">
        <v>84</v>
      </c>
      <c r="E233" t="s">
        <v>85</v>
      </c>
      <c r="F233" t="s">
        <v>86</v>
      </c>
      <c r="G233" t="s">
        <v>156</v>
      </c>
      <c r="H233" t="s">
        <v>88</v>
      </c>
      <c r="I233" t="s">
        <v>89</v>
      </c>
      <c r="J233">
        <v>48855</v>
      </c>
      <c r="K233">
        <v>406984</v>
      </c>
      <c r="L233">
        <v>31166</v>
      </c>
      <c r="M233">
        <v>36281</v>
      </c>
      <c r="N233">
        <v>316202</v>
      </c>
      <c r="O233">
        <v>5409</v>
      </c>
      <c r="P233">
        <v>10568</v>
      </c>
      <c r="Q233">
        <v>174592</v>
      </c>
      <c r="R233">
        <v>2</v>
      </c>
      <c r="S233">
        <v>0</v>
      </c>
      <c r="T233">
        <v>0</v>
      </c>
      <c r="U233">
        <v>0</v>
      </c>
      <c r="V233">
        <v>95704</v>
      </c>
      <c r="W233">
        <v>897778</v>
      </c>
      <c r="X233">
        <v>36577</v>
      </c>
      <c r="Y233">
        <f t="shared" si="3"/>
        <v>897778</v>
      </c>
      <c r="Z233" t="str">
        <f>IF(ISNUMBER(SEARCH("Adjustment",$C233)),"excluded",IF($H233="Behind the Meter","excluded",IF(NOT(OR($E233="Bundled",$E233="Energy")),"excluded",IF(OR($H233="Retail Power Marketer",$H233="Community Choice Aggregator",$E233="Energy"),"procurement",IF(OR($H233="Municipal",$H233="Cooperative",$H233="Federal",$H233="State",$H233="Political Subdivision"),"cost_service",IF($H233="Investor Owned",IF(AND(COUNTIF(Parameters!$A$4:$A$33,$G233)&gt;0,COUNTIF(Parameters!$B$4:$B$33,$B233)=0),"procurement","cost_service"),"unclassified"))))))</f>
        <v>cost_service</v>
      </c>
    </row>
    <row r="234" spans="1:26" x14ac:dyDescent="0.25">
      <c r="A234">
        <v>2024</v>
      </c>
      <c r="B234">
        <v>3892</v>
      </c>
      <c r="C234" t="s">
        <v>354</v>
      </c>
      <c r="D234" t="s">
        <v>84</v>
      </c>
      <c r="E234" t="s">
        <v>85</v>
      </c>
      <c r="F234" t="s">
        <v>86</v>
      </c>
      <c r="G234" t="s">
        <v>134</v>
      </c>
      <c r="H234" t="s">
        <v>88</v>
      </c>
      <c r="I234" t="s">
        <v>135</v>
      </c>
      <c r="J234">
        <v>5667.5</v>
      </c>
      <c r="K234">
        <v>49147</v>
      </c>
      <c r="L234">
        <v>4723</v>
      </c>
      <c r="M234">
        <v>7049.7</v>
      </c>
      <c r="N234">
        <v>60638</v>
      </c>
      <c r="O234">
        <v>1006</v>
      </c>
      <c r="P234">
        <v>41416.199999999997</v>
      </c>
      <c r="Q234">
        <v>687658</v>
      </c>
      <c r="R234">
        <v>11</v>
      </c>
      <c r="S234">
        <v>0</v>
      </c>
      <c r="T234">
        <v>0</v>
      </c>
      <c r="U234">
        <v>0</v>
      </c>
      <c r="V234">
        <v>54133.4</v>
      </c>
      <c r="W234">
        <v>797443</v>
      </c>
      <c r="X234">
        <v>5740</v>
      </c>
      <c r="Y234">
        <f t="shared" si="3"/>
        <v>797443</v>
      </c>
      <c r="Z234" t="str">
        <f>IF(ISNUMBER(SEARCH("Adjustment",$C234)),"excluded",IF($H234="Behind the Meter","excluded",IF(NOT(OR($E234="Bundled",$E234="Energy")),"excluded",IF(OR($H234="Retail Power Marketer",$H234="Community Choice Aggregator",$E234="Energy"),"procurement",IF(OR($H234="Municipal",$H234="Cooperative",$H234="Federal",$H234="State",$H234="Political Subdivision"),"cost_service",IF($H234="Investor Owned",IF(AND(COUNTIF(Parameters!$A$4:$A$33,$G234)&gt;0,COUNTIF(Parameters!$B$4:$B$33,$B234)=0),"procurement","cost_service"),"unclassified"))))))</f>
        <v>cost_service</v>
      </c>
    </row>
    <row r="235" spans="1:26" x14ac:dyDescent="0.25">
      <c r="A235">
        <v>2024</v>
      </c>
      <c r="B235">
        <v>3915</v>
      </c>
      <c r="C235" t="s">
        <v>355</v>
      </c>
      <c r="D235" t="s">
        <v>84</v>
      </c>
      <c r="E235" t="s">
        <v>85</v>
      </c>
      <c r="F235" t="s">
        <v>86</v>
      </c>
      <c r="G235" t="s">
        <v>140</v>
      </c>
      <c r="H235" t="s">
        <v>88</v>
      </c>
      <c r="I235" t="s">
        <v>96</v>
      </c>
      <c r="J235">
        <v>6548.4</v>
      </c>
      <c r="K235">
        <v>44059</v>
      </c>
      <c r="L235">
        <v>6393</v>
      </c>
      <c r="M235">
        <v>6038.9</v>
      </c>
      <c r="N235">
        <v>41953</v>
      </c>
      <c r="O235">
        <v>1369</v>
      </c>
      <c r="P235">
        <v>35346.400000000001</v>
      </c>
      <c r="Q235">
        <v>389221</v>
      </c>
      <c r="R235">
        <v>67</v>
      </c>
      <c r="S235">
        <v>0</v>
      </c>
      <c r="T235">
        <v>0</v>
      </c>
      <c r="U235">
        <v>0</v>
      </c>
      <c r="V235">
        <v>47933.7</v>
      </c>
      <c r="W235">
        <v>475233</v>
      </c>
      <c r="X235">
        <v>7829</v>
      </c>
      <c r="Y235">
        <f t="shared" si="3"/>
        <v>475233</v>
      </c>
      <c r="Z235" t="str">
        <f>IF(ISNUMBER(SEARCH("Adjustment",$C235)),"excluded",IF($H235="Behind the Meter","excluded",IF(NOT(OR($E235="Bundled",$E235="Energy")),"excluded",IF(OR($H235="Retail Power Marketer",$H235="Community Choice Aggregator",$E235="Energy"),"procurement",IF(OR($H235="Municipal",$H235="Cooperative",$H235="Federal",$H235="State",$H235="Political Subdivision"),"cost_service",IF($H235="Investor Owned",IF(AND(COUNTIF(Parameters!$A$4:$A$33,$G235)&gt;0,COUNTIF(Parameters!$B$4:$B$33,$B235)=0),"procurement","cost_service"),"unclassified"))))))</f>
        <v>cost_service</v>
      </c>
    </row>
    <row r="236" spans="1:26" x14ac:dyDescent="0.25">
      <c r="A236">
        <v>2024</v>
      </c>
      <c r="B236">
        <v>3916</v>
      </c>
      <c r="C236" t="s">
        <v>356</v>
      </c>
      <c r="D236" t="s">
        <v>84</v>
      </c>
      <c r="E236" t="s">
        <v>85</v>
      </c>
      <c r="F236" t="s">
        <v>86</v>
      </c>
      <c r="G236" t="s">
        <v>123</v>
      </c>
      <c r="H236" t="s">
        <v>91</v>
      </c>
      <c r="I236" t="s">
        <v>113</v>
      </c>
      <c r="J236">
        <v>309076.8</v>
      </c>
      <c r="K236">
        <v>2709931</v>
      </c>
      <c r="L236">
        <v>200601</v>
      </c>
      <c r="M236">
        <v>127033</v>
      </c>
      <c r="N236">
        <v>1250717</v>
      </c>
      <c r="O236">
        <v>23460</v>
      </c>
      <c r="P236">
        <v>11620.1</v>
      </c>
      <c r="Q236">
        <v>144838</v>
      </c>
      <c r="R236">
        <v>63</v>
      </c>
      <c r="S236">
        <v>0</v>
      </c>
      <c r="T236">
        <v>0</v>
      </c>
      <c r="U236">
        <v>0</v>
      </c>
      <c r="V236">
        <v>447729.9</v>
      </c>
      <c r="W236">
        <v>4105486</v>
      </c>
      <c r="X236">
        <v>224124</v>
      </c>
      <c r="Y236">
        <f t="shared" si="3"/>
        <v>4105486</v>
      </c>
      <c r="Z236" t="str">
        <f>IF(ISNUMBER(SEARCH("Adjustment",$C236)),"excluded",IF($H236="Behind the Meter","excluded",IF(NOT(OR($E236="Bundled",$E236="Energy")),"excluded",IF(OR($H236="Retail Power Marketer",$H236="Community Choice Aggregator",$E236="Energy"),"procurement",IF(OR($H236="Municipal",$H236="Cooperative",$H236="Federal",$H236="State",$H236="Political Subdivision"),"cost_service",IF($H236="Investor Owned",IF(AND(COUNTIF(Parameters!$A$4:$A$33,$G236)&gt;0,COUNTIF(Parameters!$B$4:$B$33,$B236)=0),"procurement","cost_service"),"unclassified"))))))</f>
        <v>cost_service</v>
      </c>
    </row>
    <row r="237" spans="1:26" x14ac:dyDescent="0.25">
      <c r="A237">
        <v>2024</v>
      </c>
      <c r="B237">
        <v>3931</v>
      </c>
      <c r="C237" t="s">
        <v>357</v>
      </c>
      <c r="D237" t="s">
        <v>84</v>
      </c>
      <c r="E237" t="s">
        <v>85</v>
      </c>
      <c r="F237" t="s">
        <v>86</v>
      </c>
      <c r="G237" t="s">
        <v>46</v>
      </c>
      <c r="H237" t="s">
        <v>91</v>
      </c>
      <c r="I237" t="s">
        <v>96</v>
      </c>
      <c r="J237">
        <v>19469</v>
      </c>
      <c r="K237">
        <v>113570</v>
      </c>
      <c r="L237">
        <v>8456</v>
      </c>
      <c r="M237">
        <v>7550</v>
      </c>
      <c r="N237">
        <v>50271</v>
      </c>
      <c r="O237">
        <v>1107</v>
      </c>
      <c r="P237">
        <v>4120</v>
      </c>
      <c r="Q237">
        <v>35779</v>
      </c>
      <c r="R237">
        <v>13</v>
      </c>
      <c r="S237" t="s">
        <v>97</v>
      </c>
      <c r="T237" t="s">
        <v>97</v>
      </c>
      <c r="U237" t="s">
        <v>97</v>
      </c>
      <c r="V237">
        <v>31139</v>
      </c>
      <c r="W237">
        <v>199620</v>
      </c>
      <c r="X237">
        <v>9576</v>
      </c>
      <c r="Y237">
        <f t="shared" si="3"/>
        <v>199620</v>
      </c>
      <c r="Z237" t="str">
        <f>IF(ISNUMBER(SEARCH("Adjustment",$C237)),"excluded",IF($H237="Behind the Meter","excluded",IF(NOT(OR($E237="Bundled",$E237="Energy")),"excluded",IF(OR($H237="Retail Power Marketer",$H237="Community Choice Aggregator",$E237="Energy"),"procurement",IF(OR($H237="Municipal",$H237="Cooperative",$H237="Federal",$H237="State",$H237="Political Subdivision"),"cost_service",IF($H237="Investor Owned",IF(AND(COUNTIF(Parameters!$A$4:$A$33,$G237)&gt;0,COUNTIF(Parameters!$B$4:$B$33,$B237)=0),"procurement","cost_service"),"unclassified"))))))</f>
        <v>cost_service</v>
      </c>
    </row>
    <row r="238" spans="1:26" x14ac:dyDescent="0.25">
      <c r="A238">
        <v>2024</v>
      </c>
      <c r="B238">
        <v>3939</v>
      </c>
      <c r="C238" t="s">
        <v>358</v>
      </c>
      <c r="D238" t="s">
        <v>84</v>
      </c>
      <c r="E238" t="s">
        <v>85</v>
      </c>
      <c r="F238" t="s">
        <v>86</v>
      </c>
      <c r="G238" t="s">
        <v>123</v>
      </c>
      <c r="H238" t="s">
        <v>88</v>
      </c>
      <c r="I238" t="s">
        <v>113</v>
      </c>
      <c r="J238">
        <v>9923</v>
      </c>
      <c r="K238">
        <v>77270</v>
      </c>
      <c r="L238">
        <v>7924</v>
      </c>
      <c r="M238">
        <v>38484.6</v>
      </c>
      <c r="N238">
        <v>476181</v>
      </c>
      <c r="O238">
        <v>1008</v>
      </c>
      <c r="P238" t="s">
        <v>97</v>
      </c>
      <c r="Q238" t="s">
        <v>97</v>
      </c>
      <c r="R238" t="s">
        <v>97</v>
      </c>
      <c r="S238" t="s">
        <v>97</v>
      </c>
      <c r="T238" t="s">
        <v>97</v>
      </c>
      <c r="U238" t="s">
        <v>97</v>
      </c>
      <c r="V238">
        <v>48407.6</v>
      </c>
      <c r="W238">
        <v>553451</v>
      </c>
      <c r="X238">
        <v>8932</v>
      </c>
      <c r="Y238">
        <f t="shared" si="3"/>
        <v>553451</v>
      </c>
      <c r="Z238" t="str">
        <f>IF(ISNUMBER(SEARCH("Adjustment",$C238)),"excluded",IF($H238="Behind the Meter","excluded",IF(NOT(OR($E238="Bundled",$E238="Energy")),"excluded",IF(OR($H238="Retail Power Marketer",$H238="Community Choice Aggregator",$E238="Energy"),"procurement",IF(OR($H238="Municipal",$H238="Cooperative",$H238="Federal",$H238="State",$H238="Political Subdivision"),"cost_service",IF($H238="Investor Owned",IF(AND(COUNTIF(Parameters!$A$4:$A$33,$G238)&gt;0,COUNTIF(Parameters!$B$4:$B$33,$B238)=0),"procurement","cost_service"),"unclassified"))))))</f>
        <v>cost_service</v>
      </c>
    </row>
    <row r="239" spans="1:26" x14ac:dyDescent="0.25">
      <c r="A239">
        <v>2024</v>
      </c>
      <c r="B239">
        <v>3940</v>
      </c>
      <c r="C239" t="s">
        <v>359</v>
      </c>
      <c r="D239" t="s">
        <v>84</v>
      </c>
      <c r="E239" t="s">
        <v>85</v>
      </c>
      <c r="F239" t="s">
        <v>86</v>
      </c>
      <c r="G239" t="s">
        <v>57</v>
      </c>
      <c r="H239" t="s">
        <v>88</v>
      </c>
      <c r="I239" t="s">
        <v>151</v>
      </c>
      <c r="J239">
        <v>69892</v>
      </c>
      <c r="K239">
        <v>479801</v>
      </c>
      <c r="L239">
        <v>42995</v>
      </c>
      <c r="M239">
        <v>59496</v>
      </c>
      <c r="N239">
        <v>456623</v>
      </c>
      <c r="O239">
        <v>4054</v>
      </c>
      <c r="P239" t="s">
        <v>97</v>
      </c>
      <c r="Q239" t="s">
        <v>97</v>
      </c>
      <c r="R239" t="s">
        <v>97</v>
      </c>
      <c r="S239" t="s">
        <v>97</v>
      </c>
      <c r="T239" t="s">
        <v>97</v>
      </c>
      <c r="U239" t="s">
        <v>97</v>
      </c>
      <c r="V239">
        <v>129388</v>
      </c>
      <c r="W239">
        <v>936424</v>
      </c>
      <c r="X239">
        <v>47049</v>
      </c>
      <c r="Y239">
        <f t="shared" si="3"/>
        <v>936424</v>
      </c>
      <c r="Z239" t="str">
        <f>IF(ISNUMBER(SEARCH("Adjustment",$C239)),"excluded",IF($H239="Behind the Meter","excluded",IF(NOT(OR($E239="Bundled",$E239="Energy")),"excluded",IF(OR($H239="Retail Power Marketer",$H239="Community Choice Aggregator",$E239="Energy"),"procurement",IF(OR($H239="Municipal",$H239="Cooperative",$H239="Federal",$H239="State",$H239="Political Subdivision"),"cost_service",IF($H239="Investor Owned",IF(AND(COUNTIF(Parameters!$A$4:$A$33,$G239)&gt;0,COUNTIF(Parameters!$B$4:$B$33,$B239)=0),"procurement","cost_service"),"unclassified"))))))</f>
        <v>cost_service</v>
      </c>
    </row>
    <row r="240" spans="1:26" x14ac:dyDescent="0.25">
      <c r="A240">
        <v>2024</v>
      </c>
      <c r="B240">
        <v>3989</v>
      </c>
      <c r="C240" t="s">
        <v>360</v>
      </c>
      <c r="D240" t="s">
        <v>84</v>
      </c>
      <c r="E240" t="s">
        <v>85</v>
      </c>
      <c r="F240" t="s">
        <v>86</v>
      </c>
      <c r="G240" t="s">
        <v>361</v>
      </c>
      <c r="H240" t="s">
        <v>88</v>
      </c>
      <c r="I240" t="s">
        <v>259</v>
      </c>
      <c r="J240">
        <v>232830</v>
      </c>
      <c r="K240">
        <v>1611075</v>
      </c>
      <c r="L240">
        <v>216771</v>
      </c>
      <c r="M240">
        <v>117136</v>
      </c>
      <c r="N240">
        <v>1224952</v>
      </c>
      <c r="O240">
        <v>42408</v>
      </c>
      <c r="P240">
        <v>165911</v>
      </c>
      <c r="Q240">
        <v>1811428</v>
      </c>
      <c r="R240">
        <v>1503</v>
      </c>
      <c r="S240">
        <v>0</v>
      </c>
      <c r="T240">
        <v>0</v>
      </c>
      <c r="U240">
        <v>0</v>
      </c>
      <c r="V240">
        <v>515877</v>
      </c>
      <c r="W240">
        <v>4647455</v>
      </c>
      <c r="X240">
        <v>260682</v>
      </c>
      <c r="Y240">
        <f t="shared" si="3"/>
        <v>4647455</v>
      </c>
      <c r="Z240" t="str">
        <f>IF(ISNUMBER(SEARCH("Adjustment",$C240)),"excluded",IF($H240="Behind the Meter","excluded",IF(NOT(OR($E240="Bundled",$E240="Energy")),"excluded",IF(OR($H240="Retail Power Marketer",$H240="Community Choice Aggregator",$E240="Energy"),"procurement",IF(OR($H240="Municipal",$H240="Cooperative",$H240="Federal",$H240="State",$H240="Political Subdivision"),"cost_service",IF($H240="Investor Owned",IF(AND(COUNTIF(Parameters!$A$4:$A$33,$G240)&gt;0,COUNTIF(Parameters!$B$4:$B$33,$B240)=0),"procurement","cost_service"),"unclassified"))))))</f>
        <v>cost_service</v>
      </c>
    </row>
    <row r="241" spans="1:26" x14ac:dyDescent="0.25">
      <c r="A241">
        <v>2024</v>
      </c>
      <c r="B241">
        <v>3991</v>
      </c>
      <c r="C241" t="s">
        <v>362</v>
      </c>
      <c r="D241" t="s">
        <v>99</v>
      </c>
      <c r="E241" t="s">
        <v>100</v>
      </c>
      <c r="F241" t="s">
        <v>86</v>
      </c>
      <c r="G241" t="s">
        <v>140</v>
      </c>
      <c r="H241" t="s">
        <v>101</v>
      </c>
      <c r="I241" t="s">
        <v>96</v>
      </c>
      <c r="J241">
        <v>0</v>
      </c>
      <c r="K241">
        <v>0</v>
      </c>
      <c r="L241">
        <v>0</v>
      </c>
      <c r="M241">
        <v>12032.4</v>
      </c>
      <c r="N241">
        <v>256053</v>
      </c>
      <c r="O241">
        <v>10</v>
      </c>
      <c r="P241">
        <v>10353.299999999999</v>
      </c>
      <c r="Q241">
        <v>176558</v>
      </c>
      <c r="R241">
        <v>1</v>
      </c>
      <c r="S241">
        <v>0</v>
      </c>
      <c r="T241">
        <v>0</v>
      </c>
      <c r="U241">
        <v>0</v>
      </c>
      <c r="V241">
        <v>22385.7</v>
      </c>
      <c r="W241">
        <v>432611</v>
      </c>
      <c r="X241">
        <v>11</v>
      </c>
      <c r="Y241">
        <f t="shared" si="3"/>
        <v>432611</v>
      </c>
      <c r="Z241" t="str">
        <f>IF(ISNUMBER(SEARCH("Adjustment",$C241)),"excluded",IF($H241="Behind the Meter","excluded",IF(NOT(OR($E241="Bundled",$E241="Energy")),"excluded",IF(OR($H241="Retail Power Marketer",$H241="Community Choice Aggregator",$E241="Energy"),"procurement",IF(OR($H241="Municipal",$H241="Cooperative",$H241="Federal",$H241="State",$H241="Political Subdivision"),"cost_service",IF($H241="Investor Owned",IF(AND(COUNTIF(Parameters!$A$4:$A$33,$G241)&gt;0,COUNTIF(Parameters!$B$4:$B$33,$B241)=0),"procurement","cost_service"),"unclassified"))))))</f>
        <v>procurement</v>
      </c>
    </row>
    <row r="242" spans="1:26" x14ac:dyDescent="0.25">
      <c r="A242">
        <v>2024</v>
      </c>
      <c r="B242">
        <v>4003</v>
      </c>
      <c r="C242" t="s">
        <v>363</v>
      </c>
      <c r="D242" t="s">
        <v>84</v>
      </c>
      <c r="E242" t="s">
        <v>85</v>
      </c>
      <c r="F242" t="s">
        <v>86</v>
      </c>
      <c r="G242" t="s">
        <v>115</v>
      </c>
      <c r="H242" t="s">
        <v>88</v>
      </c>
      <c r="I242" t="s">
        <v>116</v>
      </c>
      <c r="J242">
        <v>27963.8</v>
      </c>
      <c r="K242">
        <v>112530</v>
      </c>
      <c r="L242">
        <v>17472</v>
      </c>
      <c r="M242">
        <v>27568.1</v>
      </c>
      <c r="N242">
        <v>68352</v>
      </c>
      <c r="O242">
        <v>2313</v>
      </c>
      <c r="P242">
        <v>27500.6</v>
      </c>
      <c r="Q242">
        <v>153120</v>
      </c>
      <c r="R242">
        <v>279</v>
      </c>
      <c r="S242" t="s">
        <v>97</v>
      </c>
      <c r="T242" t="s">
        <v>97</v>
      </c>
      <c r="U242" t="s">
        <v>97</v>
      </c>
      <c r="V242">
        <v>83032.5</v>
      </c>
      <c r="W242">
        <v>334002</v>
      </c>
      <c r="X242">
        <v>20064</v>
      </c>
      <c r="Y242">
        <f t="shared" si="3"/>
        <v>334002</v>
      </c>
      <c r="Z242" t="str">
        <f>IF(ISNUMBER(SEARCH("Adjustment",$C242)),"excluded",IF($H242="Behind the Meter","excluded",IF(NOT(OR($E242="Bundled",$E242="Energy")),"excluded",IF(OR($H242="Retail Power Marketer",$H242="Community Choice Aggregator",$E242="Energy"),"procurement",IF(OR($H242="Municipal",$H242="Cooperative",$H242="Federal",$H242="State",$H242="Political Subdivision"),"cost_service",IF($H242="Investor Owned",IF(AND(COUNTIF(Parameters!$A$4:$A$33,$G242)&gt;0,COUNTIF(Parameters!$B$4:$B$33,$B242)=0),"procurement","cost_service"),"unclassified"))))))</f>
        <v>cost_service</v>
      </c>
    </row>
    <row r="243" spans="1:26" x14ac:dyDescent="0.25">
      <c r="A243">
        <v>2024</v>
      </c>
      <c r="B243">
        <v>4041</v>
      </c>
      <c r="C243" t="s">
        <v>364</v>
      </c>
      <c r="D243" t="s">
        <v>84</v>
      </c>
      <c r="E243" t="s">
        <v>85</v>
      </c>
      <c r="F243" t="s">
        <v>86</v>
      </c>
      <c r="G243" t="s">
        <v>219</v>
      </c>
      <c r="H243" t="s">
        <v>91</v>
      </c>
      <c r="I243" t="s">
        <v>206</v>
      </c>
      <c r="J243">
        <v>113</v>
      </c>
      <c r="K243">
        <v>873</v>
      </c>
      <c r="L243">
        <v>44</v>
      </c>
      <c r="M243">
        <v>27.8</v>
      </c>
      <c r="N243">
        <v>94</v>
      </c>
      <c r="O243">
        <v>24</v>
      </c>
      <c r="P243">
        <v>473.4</v>
      </c>
      <c r="Q243">
        <v>5121</v>
      </c>
      <c r="R243">
        <v>61</v>
      </c>
      <c r="S243" t="s">
        <v>97</v>
      </c>
      <c r="T243" t="s">
        <v>97</v>
      </c>
      <c r="U243" t="s">
        <v>97</v>
      </c>
      <c r="V243">
        <v>614.20000000000005</v>
      </c>
      <c r="W243">
        <v>6088</v>
      </c>
      <c r="X243">
        <v>129</v>
      </c>
      <c r="Y243">
        <f t="shared" si="3"/>
        <v>6088</v>
      </c>
      <c r="Z243" t="str">
        <f>IF(ISNUMBER(SEARCH("Adjustment",$C243)),"excluded",IF($H243="Behind the Meter","excluded",IF(NOT(OR($E243="Bundled",$E243="Energy")),"excluded",IF(OR($H243="Retail Power Marketer",$H243="Community Choice Aggregator",$E243="Energy"),"procurement",IF(OR($H243="Municipal",$H243="Cooperative",$H243="Federal",$H243="State",$H243="Political Subdivision"),"cost_service",IF($H243="Investor Owned",IF(AND(COUNTIF(Parameters!$A$4:$A$33,$G243)&gt;0,COUNTIF(Parameters!$B$4:$B$33,$B243)=0),"procurement","cost_service"),"unclassified"))))))</f>
        <v>cost_service</v>
      </c>
    </row>
    <row r="244" spans="1:26" x14ac:dyDescent="0.25">
      <c r="A244">
        <v>2024</v>
      </c>
      <c r="B244">
        <v>4041</v>
      </c>
      <c r="C244" t="s">
        <v>364</v>
      </c>
      <c r="D244" t="s">
        <v>84</v>
      </c>
      <c r="E244" t="s">
        <v>85</v>
      </c>
      <c r="F244" t="s">
        <v>86</v>
      </c>
      <c r="G244" t="s">
        <v>148</v>
      </c>
      <c r="H244" t="s">
        <v>91</v>
      </c>
      <c r="I244" t="s">
        <v>206</v>
      </c>
      <c r="J244">
        <v>8490</v>
      </c>
      <c r="K244">
        <v>59980</v>
      </c>
      <c r="L244">
        <v>4339</v>
      </c>
      <c r="M244">
        <v>8472.7999999999993</v>
      </c>
      <c r="N244">
        <v>81835</v>
      </c>
      <c r="O244">
        <v>1668</v>
      </c>
      <c r="P244">
        <v>18152.099999999999</v>
      </c>
      <c r="Q244">
        <v>228253</v>
      </c>
      <c r="R244">
        <v>520</v>
      </c>
      <c r="S244" t="s">
        <v>97</v>
      </c>
      <c r="T244" t="s">
        <v>97</v>
      </c>
      <c r="U244" t="s">
        <v>97</v>
      </c>
      <c r="V244">
        <v>35114.9</v>
      </c>
      <c r="W244">
        <v>370068</v>
      </c>
      <c r="X244">
        <v>6527</v>
      </c>
      <c r="Y244">
        <f t="shared" si="3"/>
        <v>370068</v>
      </c>
      <c r="Z244" t="str">
        <f>IF(ISNUMBER(SEARCH("Adjustment",$C244)),"excluded",IF($H244="Behind the Meter","excluded",IF(NOT(OR($E244="Bundled",$E244="Energy")),"excluded",IF(OR($H244="Retail Power Marketer",$H244="Community Choice Aggregator",$E244="Energy"),"procurement",IF(OR($H244="Municipal",$H244="Cooperative",$H244="Federal",$H244="State",$H244="Political Subdivision"),"cost_service",IF($H244="Investor Owned",IF(AND(COUNTIF(Parameters!$A$4:$A$33,$G244)&gt;0,COUNTIF(Parameters!$B$4:$B$33,$B244)=0),"procurement","cost_service"),"unclassified"))))))</f>
        <v>cost_service</v>
      </c>
    </row>
    <row r="245" spans="1:26" x14ac:dyDescent="0.25">
      <c r="A245">
        <v>2024</v>
      </c>
      <c r="B245">
        <v>4045</v>
      </c>
      <c r="C245" t="s">
        <v>365</v>
      </c>
      <c r="D245" t="s">
        <v>84</v>
      </c>
      <c r="E245" t="s">
        <v>85</v>
      </c>
      <c r="F245" t="s">
        <v>86</v>
      </c>
      <c r="G245" t="s">
        <v>226</v>
      </c>
      <c r="H245" t="s">
        <v>88</v>
      </c>
      <c r="I245" t="s">
        <v>96</v>
      </c>
      <c r="J245">
        <v>59891</v>
      </c>
      <c r="K245">
        <v>429787</v>
      </c>
      <c r="L245">
        <v>45651</v>
      </c>
      <c r="M245">
        <v>51441</v>
      </c>
      <c r="N245">
        <v>451891</v>
      </c>
      <c r="O245">
        <v>7597</v>
      </c>
      <c r="P245">
        <v>26415</v>
      </c>
      <c r="Q245">
        <v>270015</v>
      </c>
      <c r="R245">
        <v>28</v>
      </c>
      <c r="S245" t="s">
        <v>97</v>
      </c>
      <c r="T245" t="s">
        <v>97</v>
      </c>
      <c r="U245" t="s">
        <v>97</v>
      </c>
      <c r="V245">
        <v>137747</v>
      </c>
      <c r="W245">
        <v>1151693</v>
      </c>
      <c r="X245">
        <v>53276</v>
      </c>
      <c r="Y245">
        <f t="shared" si="3"/>
        <v>1151693</v>
      </c>
      <c r="Z245" t="str">
        <f>IF(ISNUMBER(SEARCH("Adjustment",$C245)),"excluded",IF($H245="Behind the Meter","excluded",IF(NOT(OR($E245="Bundled",$E245="Energy")),"excluded",IF(OR($H245="Retail Power Marketer",$H245="Community Choice Aggregator",$E245="Energy"),"procurement",IF(OR($H245="Municipal",$H245="Cooperative",$H245="Federal",$H245="State",$H245="Political Subdivision"),"cost_service",IF($H245="Investor Owned",IF(AND(COUNTIF(Parameters!$A$4:$A$33,$G245)&gt;0,COUNTIF(Parameters!$B$4:$B$33,$B245)=0),"procurement","cost_service"),"unclassified"))))))</f>
        <v>cost_service</v>
      </c>
    </row>
    <row r="246" spans="1:26" x14ac:dyDescent="0.25">
      <c r="A246">
        <v>2024</v>
      </c>
      <c r="B246">
        <v>4063</v>
      </c>
      <c r="C246" t="s">
        <v>366</v>
      </c>
      <c r="D246" t="s">
        <v>84</v>
      </c>
      <c r="E246" t="s">
        <v>85</v>
      </c>
      <c r="F246" t="s">
        <v>86</v>
      </c>
      <c r="G246" t="s">
        <v>226</v>
      </c>
      <c r="H246" t="s">
        <v>91</v>
      </c>
      <c r="I246" t="s">
        <v>227</v>
      </c>
      <c r="J246">
        <v>60709</v>
      </c>
      <c r="K246">
        <v>399938</v>
      </c>
      <c r="L246">
        <v>31119</v>
      </c>
      <c r="M246">
        <v>8775</v>
      </c>
      <c r="N246">
        <v>66541</v>
      </c>
      <c r="O246">
        <v>2279</v>
      </c>
      <c r="P246">
        <v>1009</v>
      </c>
      <c r="Q246">
        <v>11275</v>
      </c>
      <c r="R246">
        <v>1</v>
      </c>
      <c r="S246" t="s">
        <v>97</v>
      </c>
      <c r="T246" t="s">
        <v>97</v>
      </c>
      <c r="U246" t="s">
        <v>97</v>
      </c>
      <c r="V246">
        <v>70493</v>
      </c>
      <c r="W246">
        <v>477754</v>
      </c>
      <c r="X246">
        <v>33399</v>
      </c>
      <c r="Y246">
        <f t="shared" si="3"/>
        <v>477754</v>
      </c>
      <c r="Z246" t="str">
        <f>IF(ISNUMBER(SEARCH("Adjustment",$C246)),"excluded",IF($H246="Behind the Meter","excluded",IF(NOT(OR($E246="Bundled",$E246="Energy")),"excluded",IF(OR($H246="Retail Power Marketer",$H246="Community Choice Aggregator",$E246="Energy"),"procurement",IF(OR($H246="Municipal",$H246="Cooperative",$H246="Federal",$H246="State",$H246="Political Subdivision"),"cost_service",IF($H246="Investor Owned",IF(AND(COUNTIF(Parameters!$A$4:$A$33,$G246)&gt;0,COUNTIF(Parameters!$B$4:$B$33,$B246)=0),"procurement","cost_service"),"unclassified"))))))</f>
        <v>cost_service</v>
      </c>
    </row>
    <row r="247" spans="1:26" x14ac:dyDescent="0.25">
      <c r="A247">
        <v>2024</v>
      </c>
      <c r="B247">
        <v>4065</v>
      </c>
      <c r="C247" t="s">
        <v>367</v>
      </c>
      <c r="D247" t="s">
        <v>84</v>
      </c>
      <c r="E247" t="s">
        <v>85</v>
      </c>
      <c r="F247" t="s">
        <v>86</v>
      </c>
      <c r="G247" t="s">
        <v>54</v>
      </c>
      <c r="H247" t="s">
        <v>88</v>
      </c>
      <c r="I247" t="s">
        <v>92</v>
      </c>
      <c r="J247">
        <v>11609</v>
      </c>
      <c r="K247">
        <v>102518</v>
      </c>
      <c r="L247">
        <v>15510</v>
      </c>
      <c r="M247">
        <v>15633.4</v>
      </c>
      <c r="N247">
        <v>112999</v>
      </c>
      <c r="O247">
        <v>3530</v>
      </c>
      <c r="P247">
        <v>65913</v>
      </c>
      <c r="Q247">
        <v>641354</v>
      </c>
      <c r="R247">
        <v>481</v>
      </c>
      <c r="S247" t="s">
        <v>97</v>
      </c>
      <c r="T247" t="s">
        <v>97</v>
      </c>
      <c r="U247" t="s">
        <v>97</v>
      </c>
      <c r="V247">
        <v>93155.4</v>
      </c>
      <c r="W247">
        <v>856871</v>
      </c>
      <c r="X247">
        <v>19521</v>
      </c>
      <c r="Y247">
        <f t="shared" si="3"/>
        <v>856871</v>
      </c>
      <c r="Z247" t="str">
        <f>IF(ISNUMBER(SEARCH("Adjustment",$C247)),"excluded",IF($H247="Behind the Meter","excluded",IF(NOT(OR($E247="Bundled",$E247="Energy")),"excluded",IF(OR($H247="Retail Power Marketer",$H247="Community Choice Aggregator",$E247="Energy"),"procurement",IF(OR($H247="Municipal",$H247="Cooperative",$H247="Federal",$H247="State",$H247="Political Subdivision"),"cost_service",IF($H247="Investor Owned",IF(AND(COUNTIF(Parameters!$A$4:$A$33,$G247)&gt;0,COUNTIF(Parameters!$B$4:$B$33,$B247)=0),"procurement","cost_service"),"unclassified"))))))</f>
        <v>cost_service</v>
      </c>
    </row>
    <row r="248" spans="1:26" x14ac:dyDescent="0.25">
      <c r="A248">
        <v>2024</v>
      </c>
      <c r="B248">
        <v>4068</v>
      </c>
      <c r="C248" t="s">
        <v>368</v>
      </c>
      <c r="D248" t="s">
        <v>84</v>
      </c>
      <c r="E248" t="s">
        <v>85</v>
      </c>
      <c r="F248" t="s">
        <v>86</v>
      </c>
      <c r="G248" t="s">
        <v>87</v>
      </c>
      <c r="H248" t="s">
        <v>88</v>
      </c>
      <c r="I248" t="s">
        <v>89</v>
      </c>
      <c r="J248">
        <v>14495</v>
      </c>
      <c r="K248">
        <v>120690</v>
      </c>
      <c r="L248">
        <v>8842</v>
      </c>
      <c r="M248">
        <v>23706</v>
      </c>
      <c r="N248">
        <v>204942</v>
      </c>
      <c r="O248">
        <v>3722</v>
      </c>
      <c r="P248">
        <v>2236</v>
      </c>
      <c r="Q248">
        <v>37207</v>
      </c>
      <c r="R248">
        <v>4</v>
      </c>
      <c r="S248">
        <v>0</v>
      </c>
      <c r="T248">
        <v>0</v>
      </c>
      <c r="U248">
        <v>0</v>
      </c>
      <c r="V248">
        <v>40437</v>
      </c>
      <c r="W248">
        <v>362839</v>
      </c>
      <c r="X248">
        <v>12568</v>
      </c>
      <c r="Y248">
        <f t="shared" si="3"/>
        <v>362839</v>
      </c>
      <c r="Z248" t="str">
        <f>IF(ISNUMBER(SEARCH("Adjustment",$C248)),"excluded",IF($H248="Behind the Meter","excluded",IF(NOT(OR($E248="Bundled",$E248="Energy")),"excluded",IF(OR($H248="Retail Power Marketer",$H248="Community Choice Aggregator",$E248="Energy"),"procurement",IF(OR($H248="Municipal",$H248="Cooperative",$H248="Federal",$H248="State",$H248="Political Subdivision"),"cost_service",IF($H248="Investor Owned",IF(AND(COUNTIF(Parameters!$A$4:$A$33,$G248)&gt;0,COUNTIF(Parameters!$B$4:$B$33,$B248)=0),"procurement","cost_service"),"unclassified"))))))</f>
        <v>cost_service</v>
      </c>
    </row>
    <row r="249" spans="1:26" x14ac:dyDescent="0.25">
      <c r="A249">
        <v>2024</v>
      </c>
      <c r="B249">
        <v>4073</v>
      </c>
      <c r="C249" t="s">
        <v>369</v>
      </c>
      <c r="D249" t="s">
        <v>84</v>
      </c>
      <c r="E249" t="s">
        <v>85</v>
      </c>
      <c r="F249" t="s">
        <v>86</v>
      </c>
      <c r="G249" t="s">
        <v>95</v>
      </c>
      <c r="H249" t="s">
        <v>88</v>
      </c>
      <c r="I249" t="s">
        <v>96</v>
      </c>
      <c r="J249">
        <v>2356</v>
      </c>
      <c r="K249">
        <v>19092</v>
      </c>
      <c r="L249">
        <v>2459</v>
      </c>
      <c r="M249">
        <v>2693.2</v>
      </c>
      <c r="N249">
        <v>24225</v>
      </c>
      <c r="O249">
        <v>444</v>
      </c>
      <c r="P249">
        <v>2720.4</v>
      </c>
      <c r="Q249">
        <v>31988</v>
      </c>
      <c r="R249">
        <v>3</v>
      </c>
      <c r="S249">
        <v>0</v>
      </c>
      <c r="T249">
        <v>0</v>
      </c>
      <c r="U249">
        <v>0</v>
      </c>
      <c r="V249">
        <v>7769.6</v>
      </c>
      <c r="W249">
        <v>75305</v>
      </c>
      <c r="X249">
        <v>2906</v>
      </c>
      <c r="Y249">
        <f t="shared" si="3"/>
        <v>75305</v>
      </c>
      <c r="Z249" t="str">
        <f>IF(ISNUMBER(SEARCH("Adjustment",$C249)),"excluded",IF($H249="Behind the Meter","excluded",IF(NOT(OR($E249="Bundled",$E249="Energy")),"excluded",IF(OR($H249="Retail Power Marketer",$H249="Community Choice Aggregator",$E249="Energy"),"procurement",IF(OR($H249="Municipal",$H249="Cooperative",$H249="Federal",$H249="State",$H249="Political Subdivision"),"cost_service",IF($H249="Investor Owned",IF(AND(COUNTIF(Parameters!$A$4:$A$33,$G249)&gt;0,COUNTIF(Parameters!$B$4:$B$33,$B249)=0),"procurement","cost_service"),"unclassified"))))))</f>
        <v>cost_service</v>
      </c>
    </row>
    <row r="250" spans="1:26" x14ac:dyDescent="0.25">
      <c r="A250">
        <v>2024</v>
      </c>
      <c r="B250">
        <v>4100</v>
      </c>
      <c r="C250" t="s">
        <v>370</v>
      </c>
      <c r="D250" t="s">
        <v>99</v>
      </c>
      <c r="E250" t="s">
        <v>100</v>
      </c>
      <c r="F250" t="s">
        <v>86</v>
      </c>
      <c r="G250" t="s">
        <v>44</v>
      </c>
      <c r="H250" t="s">
        <v>101</v>
      </c>
      <c r="I250" t="s">
        <v>92</v>
      </c>
      <c r="J250">
        <v>2201.6</v>
      </c>
      <c r="K250">
        <v>16669</v>
      </c>
      <c r="L250">
        <v>1515</v>
      </c>
      <c r="M250">
        <v>0</v>
      </c>
      <c r="N250">
        <v>0</v>
      </c>
      <c r="O250">
        <v>0</v>
      </c>
      <c r="P250">
        <v>0</v>
      </c>
      <c r="Q250">
        <v>0</v>
      </c>
      <c r="R250">
        <v>0</v>
      </c>
      <c r="S250">
        <v>0</v>
      </c>
      <c r="T250">
        <v>0</v>
      </c>
      <c r="U250">
        <v>0</v>
      </c>
      <c r="V250">
        <v>2201.6</v>
      </c>
      <c r="W250">
        <v>16669</v>
      </c>
      <c r="X250">
        <v>1515</v>
      </c>
      <c r="Y250">
        <f t="shared" si="3"/>
        <v>16669</v>
      </c>
      <c r="Z250" t="str">
        <f>IF(ISNUMBER(SEARCH("Adjustment",$C250)),"excluded",IF($H250="Behind the Meter","excluded",IF(NOT(OR($E250="Bundled",$E250="Energy")),"excluded",IF(OR($H250="Retail Power Marketer",$H250="Community Choice Aggregator",$E250="Energy"),"procurement",IF(OR($H250="Municipal",$H250="Cooperative",$H250="Federal",$H250="State",$H250="Political Subdivision"),"cost_service",IF($H250="Investor Owned",IF(AND(COUNTIF(Parameters!$A$4:$A$33,$G250)&gt;0,COUNTIF(Parameters!$B$4:$B$33,$B250)=0),"procurement","cost_service"),"unclassified"))))))</f>
        <v>procurement</v>
      </c>
    </row>
    <row r="251" spans="1:26" x14ac:dyDescent="0.25">
      <c r="A251">
        <v>2024</v>
      </c>
      <c r="B251">
        <v>4100</v>
      </c>
      <c r="C251" t="s">
        <v>370</v>
      </c>
      <c r="D251" t="s">
        <v>99</v>
      </c>
      <c r="E251" t="s">
        <v>100</v>
      </c>
      <c r="F251" t="s">
        <v>86</v>
      </c>
      <c r="G251" t="s">
        <v>46</v>
      </c>
      <c r="H251" t="s">
        <v>101</v>
      </c>
      <c r="I251" t="s">
        <v>92</v>
      </c>
      <c r="J251">
        <v>33901.599999999999</v>
      </c>
      <c r="K251">
        <v>312974</v>
      </c>
      <c r="L251">
        <v>36786</v>
      </c>
      <c r="M251">
        <v>1804.4</v>
      </c>
      <c r="N251">
        <v>18930</v>
      </c>
      <c r="O251">
        <v>1180</v>
      </c>
      <c r="P251">
        <v>0</v>
      </c>
      <c r="Q251">
        <v>0</v>
      </c>
      <c r="R251">
        <v>0</v>
      </c>
      <c r="S251">
        <v>0</v>
      </c>
      <c r="T251">
        <v>0</v>
      </c>
      <c r="U251">
        <v>0</v>
      </c>
      <c r="V251">
        <v>35706</v>
      </c>
      <c r="W251">
        <v>331904</v>
      </c>
      <c r="X251">
        <v>37966</v>
      </c>
      <c r="Y251">
        <f t="shared" si="3"/>
        <v>331904</v>
      </c>
      <c r="Z251" t="str">
        <f>IF(ISNUMBER(SEARCH("Adjustment",$C251)),"excluded",IF($H251="Behind the Meter","excluded",IF(NOT(OR($E251="Bundled",$E251="Energy")),"excluded",IF(OR($H251="Retail Power Marketer",$H251="Community Choice Aggregator",$E251="Energy"),"procurement",IF(OR($H251="Municipal",$H251="Cooperative",$H251="Federal",$H251="State",$H251="Political Subdivision"),"cost_service",IF($H251="Investor Owned",IF(AND(COUNTIF(Parameters!$A$4:$A$33,$G251)&gt;0,COUNTIF(Parameters!$B$4:$B$33,$B251)=0),"procurement","cost_service"),"unclassified"))))))</f>
        <v>procurement</v>
      </c>
    </row>
    <row r="252" spans="1:26" x14ac:dyDescent="0.25">
      <c r="A252">
        <v>2024</v>
      </c>
      <c r="B252">
        <v>4100</v>
      </c>
      <c r="C252" t="s">
        <v>370</v>
      </c>
      <c r="D252" t="s">
        <v>99</v>
      </c>
      <c r="E252" t="s">
        <v>100</v>
      </c>
      <c r="F252" t="s">
        <v>86</v>
      </c>
      <c r="G252" t="s">
        <v>49</v>
      </c>
      <c r="H252" t="s">
        <v>101</v>
      </c>
      <c r="I252" t="s">
        <v>92</v>
      </c>
      <c r="J252">
        <v>24420.5</v>
      </c>
      <c r="K252">
        <v>182204</v>
      </c>
      <c r="L252">
        <v>17230</v>
      </c>
      <c r="M252">
        <v>416.8</v>
      </c>
      <c r="N252">
        <v>2811</v>
      </c>
      <c r="O252">
        <v>135</v>
      </c>
      <c r="P252">
        <v>0</v>
      </c>
      <c r="Q252">
        <v>0</v>
      </c>
      <c r="R252">
        <v>0</v>
      </c>
      <c r="S252">
        <v>0</v>
      </c>
      <c r="T252">
        <v>0</v>
      </c>
      <c r="U252">
        <v>0</v>
      </c>
      <c r="V252">
        <v>24837.3</v>
      </c>
      <c r="W252">
        <v>185015</v>
      </c>
      <c r="X252">
        <v>17365</v>
      </c>
      <c r="Y252">
        <f t="shared" si="3"/>
        <v>185015</v>
      </c>
      <c r="Z252" t="str">
        <f>IF(ISNUMBER(SEARCH("Adjustment",$C252)),"excluded",IF($H252="Behind the Meter","excluded",IF(NOT(OR($E252="Bundled",$E252="Energy")),"excluded",IF(OR($H252="Retail Power Marketer",$H252="Community Choice Aggregator",$E252="Energy"),"procurement",IF(OR($H252="Municipal",$H252="Cooperative",$H252="Federal",$H252="State",$H252="Political Subdivision"),"cost_service",IF($H252="Investor Owned",IF(AND(COUNTIF(Parameters!$A$4:$A$33,$G252)&gt;0,COUNTIF(Parameters!$B$4:$B$33,$B252)=0),"procurement","cost_service"),"unclassified"))))))</f>
        <v>procurement</v>
      </c>
    </row>
    <row r="253" spans="1:26" x14ac:dyDescent="0.25">
      <c r="A253">
        <v>2024</v>
      </c>
      <c r="B253">
        <v>4100</v>
      </c>
      <c r="C253" t="s">
        <v>370</v>
      </c>
      <c r="D253" t="s">
        <v>99</v>
      </c>
      <c r="E253" t="s">
        <v>100</v>
      </c>
      <c r="F253" t="s">
        <v>86</v>
      </c>
      <c r="G253" t="s">
        <v>52</v>
      </c>
      <c r="H253" t="s">
        <v>101</v>
      </c>
      <c r="I253" t="s">
        <v>92</v>
      </c>
      <c r="J253">
        <v>1375.5</v>
      </c>
      <c r="K253">
        <v>8624</v>
      </c>
      <c r="L253">
        <v>953</v>
      </c>
      <c r="M253">
        <v>7.6</v>
      </c>
      <c r="N253">
        <v>42</v>
      </c>
      <c r="O253">
        <v>2</v>
      </c>
      <c r="P253">
        <v>0</v>
      </c>
      <c r="Q253">
        <v>0</v>
      </c>
      <c r="R253">
        <v>0</v>
      </c>
      <c r="S253">
        <v>0</v>
      </c>
      <c r="T253">
        <v>0</v>
      </c>
      <c r="U253">
        <v>0</v>
      </c>
      <c r="V253">
        <v>1383.1</v>
      </c>
      <c r="W253">
        <v>8666</v>
      </c>
      <c r="X253">
        <v>955</v>
      </c>
      <c r="Y253">
        <f t="shared" si="3"/>
        <v>8666</v>
      </c>
      <c r="Z253" t="str">
        <f>IF(ISNUMBER(SEARCH("Adjustment",$C253)),"excluded",IF($H253="Behind the Meter","excluded",IF(NOT(OR($E253="Bundled",$E253="Energy")),"excluded",IF(OR($H253="Retail Power Marketer",$H253="Community Choice Aggregator",$E253="Energy"),"procurement",IF(OR($H253="Municipal",$H253="Cooperative",$H253="Federal",$H253="State",$H253="Political Subdivision"),"cost_service",IF($H253="Investor Owned",IF(AND(COUNTIF(Parameters!$A$4:$A$33,$G253)&gt;0,COUNTIF(Parameters!$B$4:$B$33,$B253)=0),"procurement","cost_service"),"unclassified"))))))</f>
        <v>procurement</v>
      </c>
    </row>
    <row r="254" spans="1:26" x14ac:dyDescent="0.25">
      <c r="A254">
        <v>2024</v>
      </c>
      <c r="B254">
        <v>4100</v>
      </c>
      <c r="C254" t="s">
        <v>370</v>
      </c>
      <c r="D254" t="s">
        <v>99</v>
      </c>
      <c r="E254" t="s">
        <v>100</v>
      </c>
      <c r="F254" t="s">
        <v>86</v>
      </c>
      <c r="G254" t="s">
        <v>54</v>
      </c>
      <c r="H254" t="s">
        <v>101</v>
      </c>
      <c r="I254" t="s">
        <v>92</v>
      </c>
      <c r="J254">
        <v>37447.1</v>
      </c>
      <c r="K254">
        <v>394753</v>
      </c>
      <c r="L254">
        <v>35612</v>
      </c>
      <c r="M254">
        <v>23.4</v>
      </c>
      <c r="N254">
        <v>266</v>
      </c>
      <c r="O254">
        <v>27</v>
      </c>
      <c r="P254">
        <v>0</v>
      </c>
      <c r="Q254">
        <v>0</v>
      </c>
      <c r="R254">
        <v>0</v>
      </c>
      <c r="S254">
        <v>0</v>
      </c>
      <c r="T254">
        <v>0</v>
      </c>
      <c r="U254">
        <v>0</v>
      </c>
      <c r="V254">
        <v>37470.5</v>
      </c>
      <c r="W254">
        <v>395019</v>
      </c>
      <c r="X254">
        <v>35639</v>
      </c>
      <c r="Y254">
        <f t="shared" si="3"/>
        <v>395019</v>
      </c>
      <c r="Z254" t="str">
        <f>IF(ISNUMBER(SEARCH("Adjustment",$C254)),"excluded",IF($H254="Behind the Meter","excluded",IF(NOT(OR($E254="Bundled",$E254="Energy")),"excluded",IF(OR($H254="Retail Power Marketer",$H254="Community Choice Aggregator",$E254="Energy"),"procurement",IF(OR($H254="Municipal",$H254="Cooperative",$H254="Federal",$H254="State",$H254="Political Subdivision"),"cost_service",IF($H254="Investor Owned",IF(AND(COUNTIF(Parameters!$A$4:$A$33,$G254)&gt;0,COUNTIF(Parameters!$B$4:$B$33,$B254)=0),"procurement","cost_service"),"unclassified"))))))</f>
        <v>procurement</v>
      </c>
    </row>
    <row r="255" spans="1:26" x14ac:dyDescent="0.25">
      <c r="A255">
        <v>2024</v>
      </c>
      <c r="B255">
        <v>4100</v>
      </c>
      <c r="C255" t="s">
        <v>370</v>
      </c>
      <c r="D255" t="s">
        <v>99</v>
      </c>
      <c r="E255" t="s">
        <v>100</v>
      </c>
      <c r="F255" t="s">
        <v>86</v>
      </c>
      <c r="G255" t="s">
        <v>55</v>
      </c>
      <c r="H255" t="s">
        <v>101</v>
      </c>
      <c r="I255" t="s">
        <v>92</v>
      </c>
      <c r="J255">
        <v>5590.5</v>
      </c>
      <c r="K255">
        <v>47987</v>
      </c>
      <c r="L255">
        <v>5454</v>
      </c>
      <c r="M255">
        <v>1919.2</v>
      </c>
      <c r="N255">
        <v>11602</v>
      </c>
      <c r="O255">
        <v>1625</v>
      </c>
      <c r="P255">
        <v>0</v>
      </c>
      <c r="Q255">
        <v>0</v>
      </c>
      <c r="R255">
        <v>0</v>
      </c>
      <c r="S255">
        <v>0</v>
      </c>
      <c r="T255">
        <v>0</v>
      </c>
      <c r="U255">
        <v>0</v>
      </c>
      <c r="V255">
        <v>7509.7</v>
      </c>
      <c r="W255">
        <v>59589</v>
      </c>
      <c r="X255">
        <v>7079</v>
      </c>
      <c r="Y255">
        <f t="shared" si="3"/>
        <v>59589</v>
      </c>
      <c r="Z255" t="str">
        <f>IF(ISNUMBER(SEARCH("Adjustment",$C255)),"excluded",IF($H255="Behind the Meter","excluded",IF(NOT(OR($E255="Bundled",$E255="Energy")),"excluded",IF(OR($H255="Retail Power Marketer",$H255="Community Choice Aggregator",$E255="Energy"),"procurement",IF(OR($H255="Municipal",$H255="Cooperative",$H255="Federal",$H255="State",$H255="Political Subdivision"),"cost_service",IF($H255="Investor Owned",IF(AND(COUNTIF(Parameters!$A$4:$A$33,$G255)&gt;0,COUNTIF(Parameters!$B$4:$B$33,$B255)=0),"procurement","cost_service"),"unclassified"))))))</f>
        <v>procurement</v>
      </c>
    </row>
    <row r="256" spans="1:26" x14ac:dyDescent="0.25">
      <c r="A256">
        <v>2024</v>
      </c>
      <c r="B256">
        <v>4110</v>
      </c>
      <c r="C256" t="s">
        <v>371</v>
      </c>
      <c r="D256" t="s">
        <v>84</v>
      </c>
      <c r="E256" t="s">
        <v>85</v>
      </c>
      <c r="F256" t="s">
        <v>86</v>
      </c>
      <c r="G256" t="s">
        <v>46</v>
      </c>
      <c r="H256" t="s">
        <v>109</v>
      </c>
      <c r="I256" t="s">
        <v>92</v>
      </c>
      <c r="J256">
        <v>3111162.4</v>
      </c>
      <c r="K256">
        <v>20446776</v>
      </c>
      <c r="L256">
        <v>2922223</v>
      </c>
      <c r="M256">
        <v>992378.6</v>
      </c>
      <c r="N256">
        <v>8061455</v>
      </c>
      <c r="O256">
        <v>233326</v>
      </c>
      <c r="P256">
        <v>118395.1</v>
      </c>
      <c r="Q256">
        <v>1608690</v>
      </c>
      <c r="R256">
        <v>189</v>
      </c>
      <c r="S256" t="s">
        <v>97</v>
      </c>
      <c r="T256" t="s">
        <v>97</v>
      </c>
      <c r="U256" t="s">
        <v>97</v>
      </c>
      <c r="V256">
        <v>4221936.0999999996</v>
      </c>
      <c r="W256">
        <v>30116921</v>
      </c>
      <c r="X256">
        <v>3155738</v>
      </c>
      <c r="Y256">
        <f t="shared" si="3"/>
        <v>30116921</v>
      </c>
      <c r="Z256" t="str">
        <f>IF(ISNUMBER(SEARCH("Adjustment",$C256)),"excluded",IF($H256="Behind the Meter","excluded",IF(NOT(OR($E256="Bundled",$E256="Energy")),"excluded",IF(OR($H256="Retail Power Marketer",$H256="Community Choice Aggregator",$E256="Energy"),"procurement",IF(OR($H256="Municipal",$H256="Cooperative",$H256="Federal",$H256="State",$H256="Political Subdivision"),"cost_service",IF($H256="Investor Owned",IF(AND(COUNTIF(Parameters!$A$4:$A$33,$G256)&gt;0,COUNTIF(Parameters!$B$4:$B$33,$B256)=0),"procurement","cost_service"),"unclassified"))))))</f>
        <v>procurement</v>
      </c>
    </row>
    <row r="257" spans="1:26" x14ac:dyDescent="0.25">
      <c r="A257">
        <v>2024</v>
      </c>
      <c r="B257">
        <v>4110</v>
      </c>
      <c r="C257" t="s">
        <v>371</v>
      </c>
      <c r="D257" t="s">
        <v>167</v>
      </c>
      <c r="E257" t="s">
        <v>168</v>
      </c>
      <c r="F257" t="s">
        <v>86</v>
      </c>
      <c r="G257" t="s">
        <v>46</v>
      </c>
      <c r="H257" t="s">
        <v>109</v>
      </c>
      <c r="I257" t="s">
        <v>92</v>
      </c>
      <c r="J257">
        <v>541227</v>
      </c>
      <c r="K257">
        <v>6827049</v>
      </c>
      <c r="L257">
        <v>805452</v>
      </c>
      <c r="M257">
        <v>1121301.8</v>
      </c>
      <c r="N257">
        <v>20749954</v>
      </c>
      <c r="O257">
        <v>167695</v>
      </c>
      <c r="P257">
        <v>845999.9</v>
      </c>
      <c r="Q257">
        <v>26260940</v>
      </c>
      <c r="R257">
        <v>1862</v>
      </c>
      <c r="S257">
        <v>13147.3</v>
      </c>
      <c r="T257">
        <v>426515</v>
      </c>
      <c r="U257">
        <v>2</v>
      </c>
      <c r="V257">
        <v>2521676</v>
      </c>
      <c r="W257">
        <v>54264458</v>
      </c>
      <c r="X257">
        <v>975011</v>
      </c>
      <c r="Y257">
        <f t="shared" si="3"/>
        <v>54264458</v>
      </c>
      <c r="Z257" t="str">
        <f>IF(ISNUMBER(SEARCH("Adjustment",$C257)),"excluded",IF($H257="Behind the Meter","excluded",IF(NOT(OR($E257="Bundled",$E257="Energy")),"excluded",IF(OR($H257="Retail Power Marketer",$H257="Community Choice Aggregator",$E257="Energy"),"procurement",IF(OR($H257="Municipal",$H257="Cooperative",$H257="Federal",$H257="State",$H257="Political Subdivision"),"cost_service",IF($H257="Investor Owned",IF(AND(COUNTIF(Parameters!$A$4:$A$33,$G257)&gt;0,COUNTIF(Parameters!$B$4:$B$33,$B257)=0),"procurement","cost_service"),"unclassified"))))))</f>
        <v>excluded</v>
      </c>
    </row>
    <row r="258" spans="1:26" x14ac:dyDescent="0.25">
      <c r="A258">
        <v>2024</v>
      </c>
      <c r="B258">
        <v>4146</v>
      </c>
      <c r="C258" t="s">
        <v>372</v>
      </c>
      <c r="D258" t="s">
        <v>84</v>
      </c>
      <c r="E258" t="s">
        <v>85</v>
      </c>
      <c r="F258" t="s">
        <v>86</v>
      </c>
      <c r="G258" t="s">
        <v>57</v>
      </c>
      <c r="H258" t="s">
        <v>91</v>
      </c>
      <c r="I258" t="s">
        <v>151</v>
      </c>
      <c r="J258">
        <v>17351.900000000001</v>
      </c>
      <c r="K258">
        <v>136357</v>
      </c>
      <c r="L258">
        <v>12060</v>
      </c>
      <c r="M258">
        <v>3766.7</v>
      </c>
      <c r="N258">
        <v>25895</v>
      </c>
      <c r="O258">
        <v>2213</v>
      </c>
      <c r="P258">
        <v>23738.2</v>
      </c>
      <c r="Q258">
        <v>434351</v>
      </c>
      <c r="R258">
        <v>1841</v>
      </c>
      <c r="S258">
        <v>0</v>
      </c>
      <c r="T258">
        <v>0</v>
      </c>
      <c r="U258">
        <v>0</v>
      </c>
      <c r="V258">
        <v>44856.800000000003</v>
      </c>
      <c r="W258">
        <v>596603</v>
      </c>
      <c r="X258">
        <v>16114</v>
      </c>
      <c r="Y258">
        <f t="shared" si="3"/>
        <v>596603</v>
      </c>
      <c r="Z258" t="str">
        <f>IF(ISNUMBER(SEARCH("Adjustment",$C258)),"excluded",IF($H258="Behind the Meter","excluded",IF(NOT(OR($E258="Bundled",$E258="Energy")),"excluded",IF(OR($H258="Retail Power Marketer",$H258="Community Choice Aggregator",$E258="Energy"),"procurement",IF(OR($H258="Municipal",$H258="Cooperative",$H258="Federal",$H258="State",$H258="Political Subdivision"),"cost_service",IF($H258="Investor Owned",IF(AND(COUNTIF(Parameters!$A$4:$A$33,$G258)&gt;0,COUNTIF(Parameters!$B$4:$B$33,$B258)=0),"procurement","cost_service"),"unclassified"))))))</f>
        <v>cost_service</v>
      </c>
    </row>
    <row r="259" spans="1:26" x14ac:dyDescent="0.25">
      <c r="A259">
        <v>2024</v>
      </c>
      <c r="B259">
        <v>4150</v>
      </c>
      <c r="C259" t="s">
        <v>373</v>
      </c>
      <c r="D259" t="s">
        <v>84</v>
      </c>
      <c r="E259" t="s">
        <v>85</v>
      </c>
      <c r="F259" t="s">
        <v>86</v>
      </c>
      <c r="G259" t="s">
        <v>125</v>
      </c>
      <c r="H259" t="s">
        <v>88</v>
      </c>
      <c r="I259" t="s">
        <v>126</v>
      </c>
      <c r="J259">
        <v>42312.6</v>
      </c>
      <c r="K259">
        <v>357228</v>
      </c>
      <c r="L259">
        <v>29857</v>
      </c>
      <c r="M259">
        <v>45722.2</v>
      </c>
      <c r="N259">
        <v>424490</v>
      </c>
      <c r="O259">
        <v>4325</v>
      </c>
      <c r="P259">
        <v>13493.9</v>
      </c>
      <c r="Q259">
        <v>154868</v>
      </c>
      <c r="R259">
        <v>61</v>
      </c>
      <c r="S259" t="s">
        <v>97</v>
      </c>
      <c r="T259" t="s">
        <v>97</v>
      </c>
      <c r="U259" t="s">
        <v>97</v>
      </c>
      <c r="V259">
        <v>101528.7</v>
      </c>
      <c r="W259">
        <v>936586</v>
      </c>
      <c r="X259">
        <v>34243</v>
      </c>
      <c r="Y259">
        <f t="shared" si="3"/>
        <v>936586</v>
      </c>
      <c r="Z259" t="str">
        <f>IF(ISNUMBER(SEARCH("Adjustment",$C259)),"excluded",IF($H259="Behind the Meter","excluded",IF(NOT(OR($E259="Bundled",$E259="Energy")),"excluded",IF(OR($H259="Retail Power Marketer",$H259="Community Choice Aggregator",$E259="Energy"),"procurement",IF(OR($H259="Municipal",$H259="Cooperative",$H259="Federal",$H259="State",$H259="Political Subdivision"),"cost_service",IF($H259="Investor Owned",IF(AND(COUNTIF(Parameters!$A$4:$A$33,$G259)&gt;0,COUNTIF(Parameters!$B$4:$B$33,$B259)=0),"procurement","cost_service"),"unclassified"))))))</f>
        <v>cost_service</v>
      </c>
    </row>
    <row r="260" spans="1:26" x14ac:dyDescent="0.25">
      <c r="A260">
        <v>2024</v>
      </c>
      <c r="B260">
        <v>4153</v>
      </c>
      <c r="C260" t="s">
        <v>374</v>
      </c>
      <c r="D260" t="s">
        <v>84</v>
      </c>
      <c r="E260" t="s">
        <v>85</v>
      </c>
      <c r="F260" t="s">
        <v>86</v>
      </c>
      <c r="G260" t="s">
        <v>138</v>
      </c>
      <c r="H260" t="s">
        <v>91</v>
      </c>
      <c r="I260" t="s">
        <v>96</v>
      </c>
      <c r="J260">
        <v>18072.400000000001</v>
      </c>
      <c r="K260">
        <v>135274</v>
      </c>
      <c r="L260">
        <v>11879</v>
      </c>
      <c r="M260">
        <v>7770.3</v>
      </c>
      <c r="N260">
        <v>45798</v>
      </c>
      <c r="O260">
        <v>1723</v>
      </c>
      <c r="P260">
        <v>1710.4</v>
      </c>
      <c r="Q260">
        <v>9665</v>
      </c>
      <c r="R260">
        <v>186</v>
      </c>
      <c r="S260" t="s">
        <v>97</v>
      </c>
      <c r="T260" t="s">
        <v>97</v>
      </c>
      <c r="U260" t="s">
        <v>97</v>
      </c>
      <c r="V260">
        <v>27553.1</v>
      </c>
      <c r="W260">
        <v>190737</v>
      </c>
      <c r="X260">
        <v>13788</v>
      </c>
      <c r="Y260">
        <f t="shared" ref="Y260:Y323" si="4">IF(ISNUMBER($W260),$W260,0)</f>
        <v>190737</v>
      </c>
      <c r="Z260" t="str">
        <f>IF(ISNUMBER(SEARCH("Adjustment",$C260)),"excluded",IF($H260="Behind the Meter","excluded",IF(NOT(OR($E260="Bundled",$E260="Energy")),"excluded",IF(OR($H260="Retail Power Marketer",$H260="Community Choice Aggregator",$E260="Energy"),"procurement",IF(OR($H260="Municipal",$H260="Cooperative",$H260="Federal",$H260="State",$H260="Political Subdivision"),"cost_service",IF($H260="Investor Owned",IF(AND(COUNTIF(Parameters!$A$4:$A$33,$G260)&gt;0,COUNTIF(Parameters!$B$4:$B$33,$B260)=0),"procurement","cost_service"),"unclassified"))))))</f>
        <v>cost_service</v>
      </c>
    </row>
    <row r="261" spans="1:26" x14ac:dyDescent="0.25">
      <c r="A261">
        <v>2024</v>
      </c>
      <c r="B261">
        <v>4160</v>
      </c>
      <c r="C261" t="s">
        <v>375</v>
      </c>
      <c r="D261" t="s">
        <v>84</v>
      </c>
      <c r="E261" t="s">
        <v>85</v>
      </c>
      <c r="F261" t="s">
        <v>86</v>
      </c>
      <c r="G261" t="s">
        <v>226</v>
      </c>
      <c r="H261" t="s">
        <v>91</v>
      </c>
      <c r="I261" t="s">
        <v>227</v>
      </c>
      <c r="J261">
        <v>28509.4</v>
      </c>
      <c r="K261">
        <v>175061</v>
      </c>
      <c r="L261">
        <v>12647</v>
      </c>
      <c r="M261">
        <v>5829.5</v>
      </c>
      <c r="N261">
        <v>49865</v>
      </c>
      <c r="O261">
        <v>883</v>
      </c>
      <c r="P261" t="s">
        <v>97</v>
      </c>
      <c r="Q261" t="s">
        <v>97</v>
      </c>
      <c r="R261" t="s">
        <v>97</v>
      </c>
      <c r="S261" t="s">
        <v>97</v>
      </c>
      <c r="T261" t="s">
        <v>97</v>
      </c>
      <c r="U261" t="s">
        <v>97</v>
      </c>
      <c r="V261">
        <v>34338.9</v>
      </c>
      <c r="W261">
        <v>224926</v>
      </c>
      <c r="X261">
        <v>13530</v>
      </c>
      <c r="Y261">
        <f t="shared" si="4"/>
        <v>224926</v>
      </c>
      <c r="Z261" t="str">
        <f>IF(ISNUMBER(SEARCH("Adjustment",$C261)),"excluded",IF($H261="Behind the Meter","excluded",IF(NOT(OR($E261="Bundled",$E261="Energy")),"excluded",IF(OR($H261="Retail Power Marketer",$H261="Community Choice Aggregator",$E261="Energy"),"procurement",IF(OR($H261="Municipal",$H261="Cooperative",$H261="Federal",$H261="State",$H261="Political Subdivision"),"cost_service",IF($H261="Investor Owned",IF(AND(COUNTIF(Parameters!$A$4:$A$33,$G261)&gt;0,COUNTIF(Parameters!$B$4:$B$33,$B261)=0),"procurement","cost_service"),"unclassified"))))))</f>
        <v>cost_service</v>
      </c>
    </row>
    <row r="262" spans="1:26" x14ac:dyDescent="0.25">
      <c r="A262">
        <v>2024</v>
      </c>
      <c r="B262">
        <v>4176</v>
      </c>
      <c r="C262" t="s">
        <v>376</v>
      </c>
      <c r="D262" t="s">
        <v>84</v>
      </c>
      <c r="E262" t="s">
        <v>85</v>
      </c>
      <c r="F262" t="s">
        <v>86</v>
      </c>
      <c r="G262" t="s">
        <v>40</v>
      </c>
      <c r="H262" t="s">
        <v>109</v>
      </c>
      <c r="I262" t="s">
        <v>189</v>
      </c>
      <c r="J262">
        <v>2074900</v>
      </c>
      <c r="K262">
        <v>7278426</v>
      </c>
      <c r="L262">
        <v>924132</v>
      </c>
      <c r="M262">
        <v>411945.2</v>
      </c>
      <c r="N262">
        <v>1811852</v>
      </c>
      <c r="O262">
        <v>72531</v>
      </c>
      <c r="P262">
        <v>25821.5</v>
      </c>
      <c r="Q262">
        <v>120635</v>
      </c>
      <c r="R262">
        <v>1554</v>
      </c>
      <c r="S262" t="s">
        <v>97</v>
      </c>
      <c r="T262" t="s">
        <v>97</v>
      </c>
      <c r="U262" t="s">
        <v>97</v>
      </c>
      <c r="V262">
        <v>2512666.7000000002</v>
      </c>
      <c r="W262">
        <v>9210913</v>
      </c>
      <c r="X262">
        <v>998217</v>
      </c>
      <c r="Y262">
        <f t="shared" si="4"/>
        <v>9210913</v>
      </c>
      <c r="Z262" t="str">
        <f>IF(ISNUMBER(SEARCH("Adjustment",$C262)),"excluded",IF($H262="Behind the Meter","excluded",IF(NOT(OR($E262="Bundled",$E262="Energy")),"excluded",IF(OR($H262="Retail Power Marketer",$H262="Community Choice Aggregator",$E262="Energy"),"procurement",IF(OR($H262="Municipal",$H262="Cooperative",$H262="Federal",$H262="State",$H262="Political Subdivision"),"cost_service",IF($H262="Investor Owned",IF(AND(COUNTIF(Parameters!$A$4:$A$33,$G262)&gt;0,COUNTIF(Parameters!$B$4:$B$33,$B262)=0),"procurement","cost_service"),"unclassified"))))))</f>
        <v>procurement</v>
      </c>
    </row>
    <row r="263" spans="1:26" x14ac:dyDescent="0.25">
      <c r="A263">
        <v>2024</v>
      </c>
      <c r="B263">
        <v>4176</v>
      </c>
      <c r="C263" t="s">
        <v>376</v>
      </c>
      <c r="D263" t="s">
        <v>167</v>
      </c>
      <c r="E263" t="s">
        <v>168</v>
      </c>
      <c r="F263" t="s">
        <v>86</v>
      </c>
      <c r="G263" t="s">
        <v>40</v>
      </c>
      <c r="H263" t="s">
        <v>109</v>
      </c>
      <c r="I263" t="s">
        <v>189</v>
      </c>
      <c r="J263">
        <v>418775.9</v>
      </c>
      <c r="K263">
        <v>2575201</v>
      </c>
      <c r="L263">
        <v>250288</v>
      </c>
      <c r="M263">
        <v>740407.8</v>
      </c>
      <c r="N263">
        <v>6647837</v>
      </c>
      <c r="O263">
        <v>41100</v>
      </c>
      <c r="P263">
        <v>138404.4</v>
      </c>
      <c r="Q263">
        <v>1540033</v>
      </c>
      <c r="R263">
        <v>1271</v>
      </c>
      <c r="S263">
        <v>12439.1</v>
      </c>
      <c r="T263">
        <v>177405</v>
      </c>
      <c r="U263">
        <v>2</v>
      </c>
      <c r="V263">
        <v>1310027.2</v>
      </c>
      <c r="W263">
        <v>10940476</v>
      </c>
      <c r="X263">
        <v>292661</v>
      </c>
      <c r="Y263">
        <f t="shared" si="4"/>
        <v>10940476</v>
      </c>
      <c r="Z263" t="str">
        <f>IF(ISNUMBER(SEARCH("Adjustment",$C263)),"excluded",IF($H263="Behind the Meter","excluded",IF(NOT(OR($E263="Bundled",$E263="Energy")),"excluded",IF(OR($H263="Retail Power Marketer",$H263="Community Choice Aggregator",$E263="Energy"),"procurement",IF(OR($H263="Municipal",$H263="Cooperative",$H263="Federal",$H263="State",$H263="Political Subdivision"),"cost_service",IF($H263="Investor Owned",IF(AND(COUNTIF(Parameters!$A$4:$A$33,$G263)&gt;0,COUNTIF(Parameters!$B$4:$B$33,$B263)=0),"procurement","cost_service"),"unclassified"))))))</f>
        <v>excluded</v>
      </c>
    </row>
    <row r="264" spans="1:26" x14ac:dyDescent="0.25">
      <c r="A264">
        <v>2024</v>
      </c>
      <c r="B264">
        <v>4226</v>
      </c>
      <c r="C264" t="s">
        <v>377</v>
      </c>
      <c r="D264" t="s">
        <v>84</v>
      </c>
      <c r="E264" t="s">
        <v>85</v>
      </c>
      <c r="F264" t="s">
        <v>86</v>
      </c>
      <c r="G264" t="s">
        <v>53</v>
      </c>
      <c r="H264" t="s">
        <v>109</v>
      </c>
      <c r="I264" t="s">
        <v>102</v>
      </c>
      <c r="J264">
        <v>4240108</v>
      </c>
      <c r="K264">
        <v>11889829</v>
      </c>
      <c r="L264">
        <v>2715069</v>
      </c>
      <c r="M264">
        <v>2819770</v>
      </c>
      <c r="N264">
        <v>10000499</v>
      </c>
      <c r="O264">
        <v>454400</v>
      </c>
      <c r="P264">
        <v>117953</v>
      </c>
      <c r="Q264">
        <v>381055</v>
      </c>
      <c r="R264">
        <v>6961</v>
      </c>
      <c r="S264">
        <v>109</v>
      </c>
      <c r="T264">
        <v>414</v>
      </c>
      <c r="U264">
        <v>1</v>
      </c>
      <c r="V264">
        <v>7177940</v>
      </c>
      <c r="W264">
        <v>22271797</v>
      </c>
      <c r="X264">
        <v>3176431</v>
      </c>
      <c r="Y264">
        <f t="shared" si="4"/>
        <v>22271797</v>
      </c>
      <c r="Z264" t="str">
        <f>IF(ISNUMBER(SEARCH("Adjustment",$C264)),"excluded",IF($H264="Behind the Meter","excluded",IF(NOT(OR($E264="Bundled",$E264="Energy")),"excluded",IF(OR($H264="Retail Power Marketer",$H264="Community Choice Aggregator",$E264="Energy"),"procurement",IF(OR($H264="Municipal",$H264="Cooperative",$H264="Federal",$H264="State",$H264="Political Subdivision"),"cost_service",IF($H264="Investor Owned",IF(AND(COUNTIF(Parameters!$A$4:$A$33,$G264)&gt;0,COUNTIF(Parameters!$B$4:$B$33,$B264)=0),"procurement","cost_service"),"unclassified"))))))</f>
        <v>procurement</v>
      </c>
    </row>
    <row r="265" spans="1:26" x14ac:dyDescent="0.25">
      <c r="A265">
        <v>2024</v>
      </c>
      <c r="B265">
        <v>4226</v>
      </c>
      <c r="C265" t="s">
        <v>377</v>
      </c>
      <c r="D265" t="s">
        <v>167</v>
      </c>
      <c r="E265" t="s">
        <v>168</v>
      </c>
      <c r="F265" t="s">
        <v>86</v>
      </c>
      <c r="G265" t="s">
        <v>53</v>
      </c>
      <c r="H265" t="s">
        <v>109</v>
      </c>
      <c r="I265" t="s">
        <v>102</v>
      </c>
      <c r="J265">
        <v>431703</v>
      </c>
      <c r="K265">
        <v>1754139</v>
      </c>
      <c r="L265">
        <v>348969</v>
      </c>
      <c r="M265">
        <v>2746033</v>
      </c>
      <c r="N265">
        <v>25041350</v>
      </c>
      <c r="O265">
        <v>117849</v>
      </c>
      <c r="P265">
        <v>220572</v>
      </c>
      <c r="Q265">
        <v>922837</v>
      </c>
      <c r="R265">
        <v>3537</v>
      </c>
      <c r="S265">
        <v>147444</v>
      </c>
      <c r="T265">
        <v>2435847</v>
      </c>
      <c r="U265">
        <v>1</v>
      </c>
      <c r="V265">
        <v>3545752</v>
      </c>
      <c r="W265">
        <v>30154173</v>
      </c>
      <c r="X265">
        <v>470356</v>
      </c>
      <c r="Y265">
        <f t="shared" si="4"/>
        <v>30154173</v>
      </c>
      <c r="Z265" t="str">
        <f>IF(ISNUMBER(SEARCH("Adjustment",$C265)),"excluded",IF($H265="Behind the Meter","excluded",IF(NOT(OR($E265="Bundled",$E265="Energy")),"excluded",IF(OR($H265="Retail Power Marketer",$H265="Community Choice Aggregator",$E265="Energy"),"procurement",IF(OR($H265="Municipal",$H265="Cooperative",$H265="Federal",$H265="State",$H265="Political Subdivision"),"cost_service",IF($H265="Investor Owned",IF(AND(COUNTIF(Parameters!$A$4:$A$33,$G265)&gt;0,COUNTIF(Parameters!$B$4:$B$33,$B265)=0),"procurement","cost_service"),"unclassified"))))))</f>
        <v>excluded</v>
      </c>
    </row>
    <row r="266" spans="1:26" x14ac:dyDescent="0.25">
      <c r="A266">
        <v>2024</v>
      </c>
      <c r="B266">
        <v>4237</v>
      </c>
      <c r="C266" t="s">
        <v>378</v>
      </c>
      <c r="D266" t="s">
        <v>84</v>
      </c>
      <c r="E266" t="s">
        <v>85</v>
      </c>
      <c r="F266" t="s">
        <v>86</v>
      </c>
      <c r="G266" t="s">
        <v>226</v>
      </c>
      <c r="H266" t="s">
        <v>91</v>
      </c>
      <c r="I266" t="s">
        <v>227</v>
      </c>
      <c r="J266">
        <v>15022</v>
      </c>
      <c r="K266">
        <v>115909</v>
      </c>
      <c r="L266">
        <v>7649</v>
      </c>
      <c r="M266">
        <v>3307</v>
      </c>
      <c r="N266">
        <v>29945</v>
      </c>
      <c r="O266">
        <v>579</v>
      </c>
      <c r="P266">
        <v>8496</v>
      </c>
      <c r="Q266">
        <v>84733</v>
      </c>
      <c r="R266">
        <v>87</v>
      </c>
      <c r="S266" t="s">
        <v>97</v>
      </c>
      <c r="T266" t="s">
        <v>97</v>
      </c>
      <c r="U266" t="s">
        <v>97</v>
      </c>
      <c r="V266">
        <v>26825</v>
      </c>
      <c r="W266">
        <v>230587</v>
      </c>
      <c r="X266">
        <v>8315</v>
      </c>
      <c r="Y266">
        <f t="shared" si="4"/>
        <v>230587</v>
      </c>
      <c r="Z266" t="str">
        <f>IF(ISNUMBER(SEARCH("Adjustment",$C266)),"excluded",IF($H266="Behind the Meter","excluded",IF(NOT(OR($E266="Bundled",$E266="Energy")),"excluded",IF(OR($H266="Retail Power Marketer",$H266="Community Choice Aggregator",$E266="Energy"),"procurement",IF(OR($H266="Municipal",$H266="Cooperative",$H266="Federal",$H266="State",$H266="Political Subdivision"),"cost_service",IF($H266="Investor Owned",IF(AND(COUNTIF(Parameters!$A$4:$A$33,$G266)&gt;0,COUNTIF(Parameters!$B$4:$B$33,$B266)=0),"procurement","cost_service"),"unclassified"))))))</f>
        <v>cost_service</v>
      </c>
    </row>
    <row r="267" spans="1:26" x14ac:dyDescent="0.25">
      <c r="A267">
        <v>2024</v>
      </c>
      <c r="B267">
        <v>4247</v>
      </c>
      <c r="C267" t="s">
        <v>379</v>
      </c>
      <c r="D267" t="s">
        <v>84</v>
      </c>
      <c r="E267" t="s">
        <v>85</v>
      </c>
      <c r="F267" t="s">
        <v>86</v>
      </c>
      <c r="G267" t="s">
        <v>95</v>
      </c>
      <c r="H267" t="s">
        <v>109</v>
      </c>
      <c r="I267" t="s">
        <v>96</v>
      </c>
      <c r="J267">
        <v>72.599999999999994</v>
      </c>
      <c r="K267">
        <v>629</v>
      </c>
      <c r="L267">
        <v>70</v>
      </c>
      <c r="M267">
        <v>144.4</v>
      </c>
      <c r="N267">
        <v>1433</v>
      </c>
      <c r="O267">
        <v>15</v>
      </c>
      <c r="P267">
        <v>26740.3</v>
      </c>
      <c r="Q267">
        <v>431003</v>
      </c>
      <c r="R267">
        <v>6</v>
      </c>
      <c r="S267">
        <v>0</v>
      </c>
      <c r="T267">
        <v>0</v>
      </c>
      <c r="U267">
        <v>0</v>
      </c>
      <c r="V267">
        <v>26957.3</v>
      </c>
      <c r="W267">
        <v>433065</v>
      </c>
      <c r="X267">
        <v>91</v>
      </c>
      <c r="Y267">
        <f t="shared" si="4"/>
        <v>433065</v>
      </c>
      <c r="Z267" t="str">
        <f>IF(ISNUMBER(SEARCH("Adjustment",$C267)),"excluded",IF($H267="Behind the Meter","excluded",IF(NOT(OR($E267="Bundled",$E267="Energy")),"excluded",IF(OR($H267="Retail Power Marketer",$H267="Community Choice Aggregator",$E267="Energy"),"procurement",IF(OR($H267="Municipal",$H267="Cooperative",$H267="Federal",$H267="State",$H267="Political Subdivision"),"cost_service",IF($H267="Investor Owned",IF(AND(COUNTIF(Parameters!$A$4:$A$33,$G267)&gt;0,COUNTIF(Parameters!$B$4:$B$33,$B267)=0),"procurement","cost_service"),"unclassified"))))))</f>
        <v>cost_service</v>
      </c>
    </row>
    <row r="268" spans="1:26" x14ac:dyDescent="0.25">
      <c r="A268">
        <v>2024</v>
      </c>
      <c r="B268">
        <v>4254</v>
      </c>
      <c r="C268" t="s">
        <v>380</v>
      </c>
      <c r="D268" t="s">
        <v>84</v>
      </c>
      <c r="E268" t="s">
        <v>85</v>
      </c>
      <c r="F268" t="s">
        <v>86</v>
      </c>
      <c r="G268" t="s">
        <v>140</v>
      </c>
      <c r="H268" t="s">
        <v>109</v>
      </c>
      <c r="I268" t="s">
        <v>96</v>
      </c>
      <c r="J268">
        <v>2387568.9</v>
      </c>
      <c r="K268">
        <v>12495282</v>
      </c>
      <c r="L268">
        <v>1657843</v>
      </c>
      <c r="M268">
        <v>1780928.2</v>
      </c>
      <c r="N268">
        <v>11899731</v>
      </c>
      <c r="O268">
        <v>234456</v>
      </c>
      <c r="P268">
        <v>718552.9</v>
      </c>
      <c r="Q268">
        <v>8543269</v>
      </c>
      <c r="R268">
        <v>1232</v>
      </c>
      <c r="S268" t="s">
        <v>97</v>
      </c>
      <c r="T268" t="s">
        <v>97</v>
      </c>
      <c r="U268" t="s">
        <v>97</v>
      </c>
      <c r="V268">
        <v>4887050</v>
      </c>
      <c r="W268">
        <v>32938282</v>
      </c>
      <c r="X268">
        <v>1893531</v>
      </c>
      <c r="Y268">
        <f t="shared" si="4"/>
        <v>32938282</v>
      </c>
      <c r="Z268" t="str">
        <f>IF(ISNUMBER(SEARCH("Adjustment",$C268)),"excluded",IF($H268="Behind the Meter","excluded",IF(NOT(OR($E268="Bundled",$E268="Energy")),"excluded",IF(OR($H268="Retail Power Marketer",$H268="Community Choice Aggregator",$E268="Energy"),"procurement",IF(OR($H268="Municipal",$H268="Cooperative",$H268="Federal",$H268="State",$H268="Political Subdivision"),"cost_service",IF($H268="Investor Owned",IF(AND(COUNTIF(Parameters!$A$4:$A$33,$G268)&gt;0,COUNTIF(Parameters!$B$4:$B$33,$B268)=0),"procurement","cost_service"),"unclassified"))))))</f>
        <v>cost_service</v>
      </c>
    </row>
    <row r="269" spans="1:26" x14ac:dyDescent="0.25">
      <c r="A269">
        <v>2024</v>
      </c>
      <c r="B269">
        <v>4254</v>
      </c>
      <c r="C269" t="s">
        <v>380</v>
      </c>
      <c r="D269" t="s">
        <v>167</v>
      </c>
      <c r="E269" t="s">
        <v>168</v>
      </c>
      <c r="F269" t="s">
        <v>86</v>
      </c>
      <c r="G269" t="s">
        <v>140</v>
      </c>
      <c r="H269" t="s">
        <v>109</v>
      </c>
      <c r="I269" t="s">
        <v>96</v>
      </c>
      <c r="J269" t="s">
        <v>97</v>
      </c>
      <c r="K269" t="s">
        <v>97</v>
      </c>
      <c r="L269" t="s">
        <v>97</v>
      </c>
      <c r="M269">
        <v>28657.9</v>
      </c>
      <c r="N269">
        <v>956479</v>
      </c>
      <c r="O269">
        <v>831</v>
      </c>
      <c r="P269">
        <v>18592</v>
      </c>
      <c r="Q269">
        <v>2626110</v>
      </c>
      <c r="R269">
        <v>130</v>
      </c>
      <c r="S269" t="s">
        <v>97</v>
      </c>
      <c r="T269" t="s">
        <v>97</v>
      </c>
      <c r="U269" t="s">
        <v>97</v>
      </c>
      <c r="V269">
        <v>47249.9</v>
      </c>
      <c r="W269">
        <v>3582589</v>
      </c>
      <c r="X269">
        <v>961</v>
      </c>
      <c r="Y269">
        <f t="shared" si="4"/>
        <v>3582589</v>
      </c>
      <c r="Z269" t="str">
        <f>IF(ISNUMBER(SEARCH("Adjustment",$C269)),"excluded",IF($H269="Behind the Meter","excluded",IF(NOT(OR($E269="Bundled",$E269="Energy")),"excluded",IF(OR($H269="Retail Power Marketer",$H269="Community Choice Aggregator",$E269="Energy"),"procurement",IF(OR($H269="Municipal",$H269="Cooperative",$H269="Federal",$H269="State",$H269="Political Subdivision"),"cost_service",IF($H269="Investor Owned",IF(AND(COUNTIF(Parameters!$A$4:$A$33,$G269)&gt;0,COUNTIF(Parameters!$B$4:$B$33,$B269)=0),"procurement","cost_service"),"unclassified"))))))</f>
        <v>excluded</v>
      </c>
    </row>
    <row r="270" spans="1:26" x14ac:dyDescent="0.25">
      <c r="A270">
        <v>2024</v>
      </c>
      <c r="B270">
        <v>4262</v>
      </c>
      <c r="C270" t="s">
        <v>381</v>
      </c>
      <c r="D270" t="s">
        <v>84</v>
      </c>
      <c r="E270" t="s">
        <v>85</v>
      </c>
      <c r="F270" t="s">
        <v>86</v>
      </c>
      <c r="G270" t="s">
        <v>57</v>
      </c>
      <c r="H270" t="s">
        <v>91</v>
      </c>
      <c r="I270" t="s">
        <v>151</v>
      </c>
      <c r="J270">
        <v>30869</v>
      </c>
      <c r="K270">
        <v>220350</v>
      </c>
      <c r="L270">
        <v>15886</v>
      </c>
      <c r="M270">
        <v>15023</v>
      </c>
      <c r="N270">
        <v>126177</v>
      </c>
      <c r="O270">
        <v>2105</v>
      </c>
      <c r="P270">
        <v>4065</v>
      </c>
      <c r="Q270">
        <v>51431</v>
      </c>
      <c r="R270">
        <v>6</v>
      </c>
      <c r="S270">
        <v>0</v>
      </c>
      <c r="T270">
        <v>0</v>
      </c>
      <c r="U270">
        <v>0</v>
      </c>
      <c r="V270">
        <v>49957</v>
      </c>
      <c r="W270">
        <v>397958</v>
      </c>
      <c r="X270">
        <v>17997</v>
      </c>
      <c r="Y270">
        <f t="shared" si="4"/>
        <v>397958</v>
      </c>
      <c r="Z270" t="str">
        <f>IF(ISNUMBER(SEARCH("Adjustment",$C270)),"excluded",IF($H270="Behind the Meter","excluded",IF(NOT(OR($E270="Bundled",$E270="Energy")),"excluded",IF(OR($H270="Retail Power Marketer",$H270="Community Choice Aggregator",$E270="Energy"),"procurement",IF(OR($H270="Municipal",$H270="Cooperative",$H270="Federal",$H270="State",$H270="Political Subdivision"),"cost_service",IF($H270="Investor Owned",IF(AND(COUNTIF(Parameters!$A$4:$A$33,$G270)&gt;0,COUNTIF(Parameters!$B$4:$B$33,$B270)=0),"procurement","cost_service"),"unclassified"))))))</f>
        <v>cost_service</v>
      </c>
    </row>
    <row r="271" spans="1:26" x14ac:dyDescent="0.25">
      <c r="A271">
        <v>2024</v>
      </c>
      <c r="B271">
        <v>4265</v>
      </c>
      <c r="C271" t="s">
        <v>382</v>
      </c>
      <c r="D271" t="s">
        <v>84</v>
      </c>
      <c r="E271" t="s">
        <v>85</v>
      </c>
      <c r="F271" t="s">
        <v>86</v>
      </c>
      <c r="G271" t="s">
        <v>308</v>
      </c>
      <c r="H271" t="s">
        <v>91</v>
      </c>
      <c r="I271" t="s">
        <v>309</v>
      </c>
      <c r="J271">
        <v>23992</v>
      </c>
      <c r="K271">
        <v>149779</v>
      </c>
      <c r="L271">
        <v>20415</v>
      </c>
      <c r="M271">
        <v>15734</v>
      </c>
      <c r="N271">
        <v>118417</v>
      </c>
      <c r="O271">
        <v>2962</v>
      </c>
      <c r="P271">
        <v>19670</v>
      </c>
      <c r="Q271">
        <v>300073</v>
      </c>
      <c r="R271">
        <v>5</v>
      </c>
      <c r="S271" t="s">
        <v>97</v>
      </c>
      <c r="T271" t="s">
        <v>97</v>
      </c>
      <c r="U271" t="s">
        <v>97</v>
      </c>
      <c r="V271">
        <v>59396</v>
      </c>
      <c r="W271">
        <v>568269</v>
      </c>
      <c r="X271">
        <v>23382</v>
      </c>
      <c r="Y271">
        <f t="shared" si="4"/>
        <v>568269</v>
      </c>
      <c r="Z271" t="str">
        <f>IF(ISNUMBER(SEARCH("Adjustment",$C271)),"excluded",IF($H271="Behind the Meter","excluded",IF(NOT(OR($E271="Bundled",$E271="Energy")),"excluded",IF(OR($H271="Retail Power Marketer",$H271="Community Choice Aggregator",$E271="Energy"),"procurement",IF(OR($H271="Municipal",$H271="Cooperative",$H271="Federal",$H271="State",$H271="Political Subdivision"),"cost_service",IF($H271="Investor Owned",IF(AND(COUNTIF(Parameters!$A$4:$A$33,$G271)&gt;0,COUNTIF(Parameters!$B$4:$B$33,$B271)=0),"procurement","cost_service"),"unclassified"))))))</f>
        <v>cost_service</v>
      </c>
    </row>
    <row r="272" spans="1:26" x14ac:dyDescent="0.25">
      <c r="A272">
        <v>2024</v>
      </c>
      <c r="B272">
        <v>4280</v>
      </c>
      <c r="C272" t="s">
        <v>383</v>
      </c>
      <c r="D272" t="s">
        <v>84</v>
      </c>
      <c r="E272" t="s">
        <v>85</v>
      </c>
      <c r="F272" t="s">
        <v>86</v>
      </c>
      <c r="G272" t="s">
        <v>173</v>
      </c>
      <c r="H272" t="s">
        <v>88</v>
      </c>
      <c r="I272" t="s">
        <v>96</v>
      </c>
      <c r="J272">
        <v>30354</v>
      </c>
      <c r="K272">
        <v>366220</v>
      </c>
      <c r="L272">
        <v>30979</v>
      </c>
      <c r="M272">
        <v>20236.2</v>
      </c>
      <c r="N272">
        <v>257739</v>
      </c>
      <c r="O272">
        <v>3161</v>
      </c>
      <c r="P272">
        <v>18092</v>
      </c>
      <c r="Q272">
        <v>277336</v>
      </c>
      <c r="R272">
        <v>100</v>
      </c>
      <c r="S272" t="s">
        <v>97</v>
      </c>
      <c r="T272" t="s">
        <v>97</v>
      </c>
      <c r="U272" t="s">
        <v>97</v>
      </c>
      <c r="V272">
        <v>68682.2</v>
      </c>
      <c r="W272">
        <v>901295</v>
      </c>
      <c r="X272">
        <v>34240</v>
      </c>
      <c r="Y272">
        <f t="shared" si="4"/>
        <v>901295</v>
      </c>
      <c r="Z272" t="str">
        <f>IF(ISNUMBER(SEARCH("Adjustment",$C272)),"excluded",IF($H272="Behind the Meter","excluded",IF(NOT(OR($E272="Bundled",$E272="Energy")),"excluded",IF(OR($H272="Retail Power Marketer",$H272="Community Choice Aggregator",$E272="Energy"),"procurement",IF(OR($H272="Municipal",$H272="Cooperative",$H272="Federal",$H272="State",$H272="Political Subdivision"),"cost_service",IF($H272="Investor Owned",IF(AND(COUNTIF(Parameters!$A$4:$A$33,$G272)&gt;0,COUNTIF(Parameters!$B$4:$B$33,$B272)=0),"procurement","cost_service"),"unclassified"))))))</f>
        <v>cost_service</v>
      </c>
    </row>
    <row r="273" spans="1:26" x14ac:dyDescent="0.25">
      <c r="A273">
        <v>2024</v>
      </c>
      <c r="B273">
        <v>4294</v>
      </c>
      <c r="C273" t="s">
        <v>384</v>
      </c>
      <c r="D273" t="s">
        <v>84</v>
      </c>
      <c r="E273" t="s">
        <v>85</v>
      </c>
      <c r="F273" t="s">
        <v>86</v>
      </c>
      <c r="G273" t="s">
        <v>156</v>
      </c>
      <c r="H273" t="s">
        <v>88</v>
      </c>
      <c r="I273" t="s">
        <v>89</v>
      </c>
      <c r="J273">
        <v>20619</v>
      </c>
      <c r="K273">
        <v>182624</v>
      </c>
      <c r="L273">
        <v>15946</v>
      </c>
      <c r="M273">
        <v>35633</v>
      </c>
      <c r="N273">
        <v>326551</v>
      </c>
      <c r="O273">
        <v>3837</v>
      </c>
      <c r="P273">
        <v>3048</v>
      </c>
      <c r="Q273">
        <v>48321</v>
      </c>
      <c r="R273">
        <v>4</v>
      </c>
      <c r="S273">
        <v>0</v>
      </c>
      <c r="T273">
        <v>0</v>
      </c>
      <c r="U273">
        <v>0</v>
      </c>
      <c r="V273">
        <v>59300</v>
      </c>
      <c r="W273">
        <v>557496</v>
      </c>
      <c r="X273">
        <v>19787</v>
      </c>
      <c r="Y273">
        <f t="shared" si="4"/>
        <v>557496</v>
      </c>
      <c r="Z273" t="str">
        <f>IF(ISNUMBER(SEARCH("Adjustment",$C273)),"excluded",IF($H273="Behind the Meter","excluded",IF(NOT(OR($E273="Bundled",$E273="Energy")),"excluded",IF(OR($H273="Retail Power Marketer",$H273="Community Choice Aggregator",$E273="Energy"),"procurement",IF(OR($H273="Municipal",$H273="Cooperative",$H273="Federal",$H273="State",$H273="Political Subdivision"),"cost_service",IF($H273="Investor Owned",IF(AND(COUNTIF(Parameters!$A$4:$A$33,$G273)&gt;0,COUNTIF(Parameters!$B$4:$B$33,$B273)=0),"procurement","cost_service"),"unclassified"))))))</f>
        <v>cost_service</v>
      </c>
    </row>
    <row r="274" spans="1:26" x14ac:dyDescent="0.25">
      <c r="A274">
        <v>2024</v>
      </c>
      <c r="B274">
        <v>4295</v>
      </c>
      <c r="C274" t="s">
        <v>385</v>
      </c>
      <c r="D274" t="s">
        <v>84</v>
      </c>
      <c r="E274" t="s">
        <v>85</v>
      </c>
      <c r="F274" t="s">
        <v>86</v>
      </c>
      <c r="G274" t="s">
        <v>57</v>
      </c>
      <c r="H274" t="s">
        <v>91</v>
      </c>
      <c r="I274" t="s">
        <v>151</v>
      </c>
      <c r="J274">
        <v>15624</v>
      </c>
      <c r="K274">
        <v>100698</v>
      </c>
      <c r="L274">
        <v>7359</v>
      </c>
      <c r="M274">
        <v>27085</v>
      </c>
      <c r="N274">
        <v>430743</v>
      </c>
      <c r="O274">
        <v>10698</v>
      </c>
      <c r="P274">
        <v>5041</v>
      </c>
      <c r="Q274">
        <v>46226</v>
      </c>
      <c r="R274">
        <v>95</v>
      </c>
      <c r="S274" t="s">
        <v>97</v>
      </c>
      <c r="T274" t="s">
        <v>97</v>
      </c>
      <c r="U274" t="s">
        <v>97</v>
      </c>
      <c r="V274">
        <v>47750</v>
      </c>
      <c r="W274">
        <v>577667</v>
      </c>
      <c r="X274">
        <v>18152</v>
      </c>
      <c r="Y274">
        <f t="shared" si="4"/>
        <v>577667</v>
      </c>
      <c r="Z274" t="str">
        <f>IF(ISNUMBER(SEARCH("Adjustment",$C274)),"excluded",IF($H274="Behind the Meter","excluded",IF(NOT(OR($E274="Bundled",$E274="Energy")),"excluded",IF(OR($H274="Retail Power Marketer",$H274="Community Choice Aggregator",$E274="Energy"),"procurement",IF(OR($H274="Municipal",$H274="Cooperative",$H274="Federal",$H274="State",$H274="Political Subdivision"),"cost_service",IF($H274="Investor Owned",IF(AND(COUNTIF(Parameters!$A$4:$A$33,$G274)&gt;0,COUNTIF(Parameters!$B$4:$B$33,$B274)=0),"procurement","cost_service"),"unclassified"))))))</f>
        <v>cost_service</v>
      </c>
    </row>
    <row r="275" spans="1:26" x14ac:dyDescent="0.25">
      <c r="A275">
        <v>2024</v>
      </c>
      <c r="B275">
        <v>4296</v>
      </c>
      <c r="C275" t="s">
        <v>386</v>
      </c>
      <c r="D275" t="s">
        <v>84</v>
      </c>
      <c r="E275" t="s">
        <v>85</v>
      </c>
      <c r="F275" t="s">
        <v>86</v>
      </c>
      <c r="G275" t="s">
        <v>136</v>
      </c>
      <c r="H275" t="s">
        <v>91</v>
      </c>
      <c r="I275" t="s">
        <v>227</v>
      </c>
      <c r="J275">
        <v>34586.6</v>
      </c>
      <c r="K275">
        <v>243938</v>
      </c>
      <c r="L275">
        <v>17551</v>
      </c>
      <c r="M275">
        <v>4236</v>
      </c>
      <c r="N275">
        <v>35111</v>
      </c>
      <c r="O275">
        <v>1390</v>
      </c>
      <c r="P275">
        <v>3758.1</v>
      </c>
      <c r="Q275">
        <v>37394</v>
      </c>
      <c r="R275">
        <v>112</v>
      </c>
      <c r="S275" t="s">
        <v>97</v>
      </c>
      <c r="T275" t="s">
        <v>97</v>
      </c>
      <c r="U275" t="s">
        <v>97</v>
      </c>
      <c r="V275">
        <v>42580.7</v>
      </c>
      <c r="W275">
        <v>316443</v>
      </c>
      <c r="X275">
        <v>19053</v>
      </c>
      <c r="Y275">
        <f t="shared" si="4"/>
        <v>316443</v>
      </c>
      <c r="Z275" t="str">
        <f>IF(ISNUMBER(SEARCH("Adjustment",$C275)),"excluded",IF($H275="Behind the Meter","excluded",IF(NOT(OR($E275="Bundled",$E275="Energy")),"excluded",IF(OR($H275="Retail Power Marketer",$H275="Community Choice Aggregator",$E275="Energy"),"procurement",IF(OR($H275="Municipal",$H275="Cooperative",$H275="Federal",$H275="State",$H275="Political Subdivision"),"cost_service",IF($H275="Investor Owned",IF(AND(COUNTIF(Parameters!$A$4:$A$33,$G275)&gt;0,COUNTIF(Parameters!$B$4:$B$33,$B275)=0),"procurement","cost_service"),"unclassified"))))))</f>
        <v>cost_service</v>
      </c>
    </row>
    <row r="276" spans="1:26" x14ac:dyDescent="0.25">
      <c r="A276">
        <v>2024</v>
      </c>
      <c r="B276">
        <v>4317</v>
      </c>
      <c r="C276" t="s">
        <v>387</v>
      </c>
      <c r="D276" t="s">
        <v>84</v>
      </c>
      <c r="E276" t="s">
        <v>85</v>
      </c>
      <c r="F276" t="s">
        <v>86</v>
      </c>
      <c r="G276" t="s">
        <v>219</v>
      </c>
      <c r="H276" t="s">
        <v>91</v>
      </c>
      <c r="I276" t="s">
        <v>206</v>
      </c>
      <c r="J276">
        <v>23980.9</v>
      </c>
      <c r="K276">
        <v>180123</v>
      </c>
      <c r="L276">
        <v>15869</v>
      </c>
      <c r="M276">
        <v>10774</v>
      </c>
      <c r="N276">
        <v>90035</v>
      </c>
      <c r="O276">
        <v>2239</v>
      </c>
      <c r="P276">
        <v>5283.6</v>
      </c>
      <c r="Q276">
        <v>56649</v>
      </c>
      <c r="R276">
        <v>425</v>
      </c>
      <c r="S276" t="s">
        <v>97</v>
      </c>
      <c r="T276" t="s">
        <v>97</v>
      </c>
      <c r="U276" t="s">
        <v>97</v>
      </c>
      <c r="V276">
        <v>40038.5</v>
      </c>
      <c r="W276">
        <v>326807</v>
      </c>
      <c r="X276">
        <v>18533</v>
      </c>
      <c r="Y276">
        <f t="shared" si="4"/>
        <v>326807</v>
      </c>
      <c r="Z276" t="str">
        <f>IF(ISNUMBER(SEARCH("Adjustment",$C276)),"excluded",IF($H276="Behind the Meter","excluded",IF(NOT(OR($E276="Bundled",$E276="Energy")),"excluded",IF(OR($H276="Retail Power Marketer",$H276="Community Choice Aggregator",$E276="Energy"),"procurement",IF(OR($H276="Municipal",$H276="Cooperative",$H276="Federal",$H276="State",$H276="Political Subdivision"),"cost_service",IF($H276="Investor Owned",IF(AND(COUNTIF(Parameters!$A$4:$A$33,$G276)&gt;0,COUNTIF(Parameters!$B$4:$B$33,$B276)=0),"procurement","cost_service"),"unclassified"))))))</f>
        <v>cost_service</v>
      </c>
    </row>
    <row r="277" spans="1:26" x14ac:dyDescent="0.25">
      <c r="A277">
        <v>2024</v>
      </c>
      <c r="B277">
        <v>4327</v>
      </c>
      <c r="C277" t="s">
        <v>388</v>
      </c>
      <c r="D277" t="s">
        <v>84</v>
      </c>
      <c r="E277" t="s">
        <v>85</v>
      </c>
      <c r="F277" t="s">
        <v>86</v>
      </c>
      <c r="G277" t="s">
        <v>112</v>
      </c>
      <c r="H277" t="s">
        <v>91</v>
      </c>
      <c r="I277" t="s">
        <v>113</v>
      </c>
      <c r="J277">
        <v>35671</v>
      </c>
      <c r="K277">
        <v>227026</v>
      </c>
      <c r="L277">
        <v>15612</v>
      </c>
      <c r="M277">
        <v>6073</v>
      </c>
      <c r="N277">
        <v>31744</v>
      </c>
      <c r="O277">
        <v>2693</v>
      </c>
      <c r="P277">
        <v>8551</v>
      </c>
      <c r="Q277">
        <v>66364</v>
      </c>
      <c r="R277">
        <v>124</v>
      </c>
      <c r="S277" t="s">
        <v>97</v>
      </c>
      <c r="T277" t="s">
        <v>97</v>
      </c>
      <c r="U277" t="s">
        <v>97</v>
      </c>
      <c r="V277">
        <v>50295</v>
      </c>
      <c r="W277">
        <v>325134</v>
      </c>
      <c r="X277">
        <v>18429</v>
      </c>
      <c r="Y277">
        <f t="shared" si="4"/>
        <v>325134</v>
      </c>
      <c r="Z277" t="str">
        <f>IF(ISNUMBER(SEARCH("Adjustment",$C277)),"excluded",IF($H277="Behind the Meter","excluded",IF(NOT(OR($E277="Bundled",$E277="Energy")),"excluded",IF(OR($H277="Retail Power Marketer",$H277="Community Choice Aggregator",$E277="Energy"),"procurement",IF(OR($H277="Municipal",$H277="Cooperative",$H277="Federal",$H277="State",$H277="Political Subdivision"),"cost_service",IF($H277="Investor Owned",IF(AND(COUNTIF(Parameters!$A$4:$A$33,$G277)&gt;0,COUNTIF(Parameters!$B$4:$B$33,$B277)=0),"procurement","cost_service"),"unclassified"))))))</f>
        <v>cost_service</v>
      </c>
    </row>
    <row r="278" spans="1:26" x14ac:dyDescent="0.25">
      <c r="A278">
        <v>2024</v>
      </c>
      <c r="B278">
        <v>4356</v>
      </c>
      <c r="C278" t="s">
        <v>389</v>
      </c>
      <c r="D278" t="s">
        <v>99</v>
      </c>
      <c r="E278" t="s">
        <v>100</v>
      </c>
      <c r="F278" t="s">
        <v>86</v>
      </c>
      <c r="G278" t="s">
        <v>242</v>
      </c>
      <c r="H278" t="s">
        <v>75</v>
      </c>
      <c r="I278" t="s">
        <v>390</v>
      </c>
      <c r="J278">
        <v>0</v>
      </c>
      <c r="K278">
        <v>0</v>
      </c>
      <c r="L278">
        <v>0</v>
      </c>
      <c r="M278">
        <v>3858.1</v>
      </c>
      <c r="N278">
        <v>134022</v>
      </c>
      <c r="O278">
        <v>11</v>
      </c>
      <c r="P278">
        <v>3596.1</v>
      </c>
      <c r="Q278">
        <v>149530</v>
      </c>
      <c r="R278">
        <v>4</v>
      </c>
      <c r="S278">
        <v>0</v>
      </c>
      <c r="T278">
        <v>0</v>
      </c>
      <c r="U278">
        <v>0</v>
      </c>
      <c r="V278">
        <v>7454.2</v>
      </c>
      <c r="W278">
        <v>283552</v>
      </c>
      <c r="X278">
        <v>15</v>
      </c>
      <c r="Y278">
        <f t="shared" si="4"/>
        <v>283552</v>
      </c>
      <c r="Z278" t="str">
        <f>IF(ISNUMBER(SEARCH("Adjustment",$C278)),"excluded",IF($H278="Behind the Meter","excluded",IF(NOT(OR($E278="Bundled",$E278="Energy")),"excluded",IF(OR($H278="Retail Power Marketer",$H278="Community Choice Aggregator",$E278="Energy"),"procurement",IF(OR($H278="Municipal",$H278="Cooperative",$H278="Federal",$H278="State",$H278="Political Subdivision"),"cost_service",IF($H278="Investor Owned",IF(AND(COUNTIF(Parameters!$A$4:$A$33,$G278)&gt;0,COUNTIF(Parameters!$B$4:$B$33,$B278)=0),"procurement","cost_service"),"unclassified"))))))</f>
        <v>procurement</v>
      </c>
    </row>
    <row r="279" spans="1:26" x14ac:dyDescent="0.25">
      <c r="A279">
        <v>2024</v>
      </c>
      <c r="B279">
        <v>4356</v>
      </c>
      <c r="C279" t="s">
        <v>389</v>
      </c>
      <c r="D279" t="s">
        <v>167</v>
      </c>
      <c r="E279" t="s">
        <v>168</v>
      </c>
      <c r="F279" t="s">
        <v>86</v>
      </c>
      <c r="G279" t="s">
        <v>242</v>
      </c>
      <c r="H279" t="s">
        <v>75</v>
      </c>
      <c r="I279" t="s">
        <v>390</v>
      </c>
      <c r="J279">
        <v>0</v>
      </c>
      <c r="K279">
        <v>0</v>
      </c>
      <c r="L279">
        <v>0</v>
      </c>
      <c r="M279">
        <v>2580</v>
      </c>
      <c r="N279">
        <v>757910</v>
      </c>
      <c r="O279">
        <v>1</v>
      </c>
      <c r="P279">
        <v>0</v>
      </c>
      <c r="Q279">
        <v>0</v>
      </c>
      <c r="R279">
        <v>0</v>
      </c>
      <c r="S279">
        <v>0</v>
      </c>
      <c r="T279">
        <v>0</v>
      </c>
      <c r="U279">
        <v>0</v>
      </c>
      <c r="V279">
        <v>2580</v>
      </c>
      <c r="W279">
        <v>757910</v>
      </c>
      <c r="X279">
        <v>1</v>
      </c>
      <c r="Y279">
        <f t="shared" si="4"/>
        <v>757910</v>
      </c>
      <c r="Z279" t="str">
        <f>IF(ISNUMBER(SEARCH("Adjustment",$C279)),"excluded",IF($H279="Behind the Meter","excluded",IF(NOT(OR($E279="Bundled",$E279="Energy")),"excluded",IF(OR($H279="Retail Power Marketer",$H279="Community Choice Aggregator",$E279="Energy"),"procurement",IF(OR($H279="Municipal",$H279="Cooperative",$H279="Federal",$H279="State",$H279="Political Subdivision"),"cost_service",IF($H279="Investor Owned",IF(AND(COUNTIF(Parameters!$A$4:$A$33,$G279)&gt;0,COUNTIF(Parameters!$B$4:$B$33,$B279)=0),"procurement","cost_service"),"unclassified"))))))</f>
        <v>excluded</v>
      </c>
    </row>
    <row r="280" spans="1:26" x14ac:dyDescent="0.25">
      <c r="A280">
        <v>2024</v>
      </c>
      <c r="B280">
        <v>4362</v>
      </c>
      <c r="C280" t="s">
        <v>391</v>
      </c>
      <c r="D280" t="s">
        <v>84</v>
      </c>
      <c r="E280" t="s">
        <v>85</v>
      </c>
      <c r="F280" t="s">
        <v>86</v>
      </c>
      <c r="G280" t="s">
        <v>46</v>
      </c>
      <c r="H280" t="s">
        <v>91</v>
      </c>
      <c r="I280" t="s">
        <v>96</v>
      </c>
      <c r="J280">
        <v>60011.3</v>
      </c>
      <c r="K280">
        <v>380839</v>
      </c>
      <c r="L280">
        <v>34710</v>
      </c>
      <c r="M280">
        <v>23698.6</v>
      </c>
      <c r="N280">
        <v>178417</v>
      </c>
      <c r="O280">
        <v>2470</v>
      </c>
      <c r="P280">
        <v>5266</v>
      </c>
      <c r="Q280">
        <v>71364</v>
      </c>
      <c r="R280">
        <v>3</v>
      </c>
      <c r="S280" t="s">
        <v>97</v>
      </c>
      <c r="T280" t="s">
        <v>97</v>
      </c>
      <c r="U280" t="s">
        <v>97</v>
      </c>
      <c r="V280">
        <v>88975.9</v>
      </c>
      <c r="W280">
        <v>630620</v>
      </c>
      <c r="X280">
        <v>37183</v>
      </c>
      <c r="Y280">
        <f t="shared" si="4"/>
        <v>630620</v>
      </c>
      <c r="Z280" t="str">
        <f>IF(ISNUMBER(SEARCH("Adjustment",$C280)),"excluded",IF($H280="Behind the Meter","excluded",IF(NOT(OR($E280="Bundled",$E280="Energy")),"excluded",IF(OR($H280="Retail Power Marketer",$H280="Community Choice Aggregator",$E280="Energy"),"procurement",IF(OR($H280="Municipal",$H280="Cooperative",$H280="Federal",$H280="State",$H280="Political Subdivision"),"cost_service",IF($H280="Investor Owned",IF(AND(COUNTIF(Parameters!$A$4:$A$33,$G280)&gt;0,COUNTIF(Parameters!$B$4:$B$33,$B280)=0),"procurement","cost_service"),"unclassified"))))))</f>
        <v>cost_service</v>
      </c>
    </row>
    <row r="281" spans="1:26" x14ac:dyDescent="0.25">
      <c r="A281">
        <v>2024</v>
      </c>
      <c r="B281">
        <v>4373</v>
      </c>
      <c r="C281" t="s">
        <v>392</v>
      </c>
      <c r="D281" t="s">
        <v>84</v>
      </c>
      <c r="E281" t="s">
        <v>85</v>
      </c>
      <c r="F281" t="s">
        <v>86</v>
      </c>
      <c r="G281" t="s">
        <v>271</v>
      </c>
      <c r="H281" t="s">
        <v>205</v>
      </c>
      <c r="I281" t="s">
        <v>135</v>
      </c>
      <c r="J281">
        <v>13804.8</v>
      </c>
      <c r="K281">
        <v>127295</v>
      </c>
      <c r="L281">
        <v>7385</v>
      </c>
      <c r="M281">
        <v>6946.1</v>
      </c>
      <c r="N281">
        <v>81441</v>
      </c>
      <c r="O281">
        <v>557</v>
      </c>
      <c r="P281">
        <v>17012.599999999999</v>
      </c>
      <c r="Q281">
        <v>195427</v>
      </c>
      <c r="R281">
        <v>2463</v>
      </c>
      <c r="S281">
        <v>0</v>
      </c>
      <c r="T281">
        <v>0</v>
      </c>
      <c r="U281">
        <v>0</v>
      </c>
      <c r="V281">
        <v>37763.5</v>
      </c>
      <c r="W281">
        <v>404163</v>
      </c>
      <c r="X281">
        <v>10405</v>
      </c>
      <c r="Y281">
        <f t="shared" si="4"/>
        <v>404163</v>
      </c>
      <c r="Z281" t="str">
        <f>IF(ISNUMBER(SEARCH("Adjustment",$C281)),"excluded",IF($H281="Behind the Meter","excluded",IF(NOT(OR($E281="Bundled",$E281="Energy")),"excluded",IF(OR($H281="Retail Power Marketer",$H281="Community Choice Aggregator",$E281="Energy"),"procurement",IF(OR($H281="Municipal",$H281="Cooperative",$H281="Federal",$H281="State",$H281="Political Subdivision"),"cost_service",IF($H281="Investor Owned",IF(AND(COUNTIF(Parameters!$A$4:$A$33,$G281)&gt;0,COUNTIF(Parameters!$B$4:$B$33,$B281)=0),"procurement","cost_service"),"unclassified"))))))</f>
        <v>cost_service</v>
      </c>
    </row>
    <row r="282" spans="1:26" x14ac:dyDescent="0.25">
      <c r="A282">
        <v>2024</v>
      </c>
      <c r="B282">
        <v>4390</v>
      </c>
      <c r="C282" t="s">
        <v>393</v>
      </c>
      <c r="D282" t="s">
        <v>84</v>
      </c>
      <c r="E282" t="s">
        <v>85</v>
      </c>
      <c r="F282" t="s">
        <v>86</v>
      </c>
      <c r="G282" t="s">
        <v>115</v>
      </c>
      <c r="H282" t="s">
        <v>88</v>
      </c>
      <c r="I282" t="s">
        <v>116</v>
      </c>
      <c r="J282">
        <v>1283.5999999999999</v>
      </c>
      <c r="K282">
        <v>8282</v>
      </c>
      <c r="L282">
        <v>1285</v>
      </c>
      <c r="M282">
        <v>6479.2</v>
      </c>
      <c r="N282">
        <v>45845</v>
      </c>
      <c r="O282">
        <v>548</v>
      </c>
      <c r="P282">
        <v>3232.9</v>
      </c>
      <c r="Q282">
        <v>27932</v>
      </c>
      <c r="R282">
        <v>9</v>
      </c>
      <c r="S282">
        <v>0</v>
      </c>
      <c r="T282">
        <v>0</v>
      </c>
      <c r="U282">
        <v>0</v>
      </c>
      <c r="V282">
        <v>10995.7</v>
      </c>
      <c r="W282">
        <v>82059</v>
      </c>
      <c r="X282">
        <v>1842</v>
      </c>
      <c r="Y282">
        <f t="shared" si="4"/>
        <v>82059</v>
      </c>
      <c r="Z282" t="str">
        <f>IF(ISNUMBER(SEARCH("Adjustment",$C282)),"excluded",IF($H282="Behind the Meter","excluded",IF(NOT(OR($E282="Bundled",$E282="Energy")),"excluded",IF(OR($H282="Retail Power Marketer",$H282="Community Choice Aggregator",$E282="Energy"),"procurement",IF(OR($H282="Municipal",$H282="Cooperative",$H282="Federal",$H282="State",$H282="Political Subdivision"),"cost_service",IF($H282="Investor Owned",IF(AND(COUNTIF(Parameters!$A$4:$A$33,$G282)&gt;0,COUNTIF(Parameters!$B$4:$B$33,$B282)=0),"procurement","cost_service"),"unclassified"))))))</f>
        <v>cost_service</v>
      </c>
    </row>
    <row r="283" spans="1:26" x14ac:dyDescent="0.25">
      <c r="A283">
        <v>2024</v>
      </c>
      <c r="B283">
        <v>4390</v>
      </c>
      <c r="C283" t="s">
        <v>393</v>
      </c>
      <c r="D283" t="s">
        <v>99</v>
      </c>
      <c r="E283" t="s">
        <v>100</v>
      </c>
      <c r="F283" t="s">
        <v>86</v>
      </c>
      <c r="G283" t="s">
        <v>115</v>
      </c>
      <c r="H283" t="s">
        <v>88</v>
      </c>
      <c r="I283" t="s">
        <v>116</v>
      </c>
      <c r="J283">
        <v>0</v>
      </c>
      <c r="K283">
        <v>0</v>
      </c>
      <c r="L283">
        <v>0</v>
      </c>
      <c r="M283">
        <v>1475.2</v>
      </c>
      <c r="N283">
        <v>18855</v>
      </c>
      <c r="O283">
        <v>926</v>
      </c>
      <c r="P283">
        <v>2602.6</v>
      </c>
      <c r="Q283">
        <v>34488</v>
      </c>
      <c r="R283">
        <v>5</v>
      </c>
      <c r="S283">
        <v>0</v>
      </c>
      <c r="T283">
        <v>0</v>
      </c>
      <c r="U283">
        <v>0</v>
      </c>
      <c r="V283">
        <v>4077.8</v>
      </c>
      <c r="W283">
        <v>53343</v>
      </c>
      <c r="X283">
        <v>931</v>
      </c>
      <c r="Y283">
        <f t="shared" si="4"/>
        <v>53343</v>
      </c>
      <c r="Z283" t="str">
        <f>IF(ISNUMBER(SEARCH("Adjustment",$C283)),"excluded",IF($H283="Behind the Meter","excluded",IF(NOT(OR($E283="Bundled",$E283="Energy")),"excluded",IF(OR($H283="Retail Power Marketer",$H283="Community Choice Aggregator",$E283="Energy"),"procurement",IF(OR($H283="Municipal",$H283="Cooperative",$H283="Federal",$H283="State",$H283="Political Subdivision"),"cost_service",IF($H283="Investor Owned",IF(AND(COUNTIF(Parameters!$A$4:$A$33,$G283)&gt;0,COUNTIF(Parameters!$B$4:$B$33,$B283)=0),"procurement","cost_service"),"unclassified"))))))</f>
        <v>procurement</v>
      </c>
    </row>
    <row r="284" spans="1:26" x14ac:dyDescent="0.25">
      <c r="A284">
        <v>2024</v>
      </c>
      <c r="B284">
        <v>4401</v>
      </c>
      <c r="C284" t="s">
        <v>394</v>
      </c>
      <c r="D284" t="s">
        <v>84</v>
      </c>
      <c r="E284" t="s">
        <v>85</v>
      </c>
      <c r="F284" t="s">
        <v>86</v>
      </c>
      <c r="G284" t="s">
        <v>136</v>
      </c>
      <c r="H284" t="s">
        <v>91</v>
      </c>
      <c r="I284" t="s">
        <v>135</v>
      </c>
      <c r="J284">
        <v>36617.300000000003</v>
      </c>
      <c r="K284">
        <v>308792</v>
      </c>
      <c r="L284">
        <v>19696</v>
      </c>
      <c r="M284">
        <v>20718.400000000001</v>
      </c>
      <c r="N284">
        <v>205491</v>
      </c>
      <c r="O284">
        <v>4019</v>
      </c>
      <c r="P284">
        <v>21899.5</v>
      </c>
      <c r="Q284">
        <v>348631</v>
      </c>
      <c r="R284">
        <v>29</v>
      </c>
      <c r="S284">
        <v>0</v>
      </c>
      <c r="T284">
        <v>0</v>
      </c>
      <c r="U284">
        <v>0</v>
      </c>
      <c r="V284">
        <v>79235.199999999997</v>
      </c>
      <c r="W284">
        <v>862914</v>
      </c>
      <c r="X284">
        <v>23744</v>
      </c>
      <c r="Y284">
        <f t="shared" si="4"/>
        <v>862914</v>
      </c>
      <c r="Z284" t="str">
        <f>IF(ISNUMBER(SEARCH("Adjustment",$C284)),"excluded",IF($H284="Behind the Meter","excluded",IF(NOT(OR($E284="Bundled",$E284="Energy")),"excluded",IF(OR($H284="Retail Power Marketer",$H284="Community Choice Aggregator",$E284="Energy"),"procurement",IF(OR($H284="Municipal",$H284="Cooperative",$H284="Federal",$H284="State",$H284="Political Subdivision"),"cost_service",IF($H284="Investor Owned",IF(AND(COUNTIF(Parameters!$A$4:$A$33,$G284)&gt;0,COUNTIF(Parameters!$B$4:$B$33,$B284)=0),"procurement","cost_service"),"unclassified"))))))</f>
        <v>cost_service</v>
      </c>
    </row>
    <row r="285" spans="1:26" x14ac:dyDescent="0.25">
      <c r="A285">
        <v>2024</v>
      </c>
      <c r="B285">
        <v>4410</v>
      </c>
      <c r="C285" t="s">
        <v>395</v>
      </c>
      <c r="D285" t="s">
        <v>99</v>
      </c>
      <c r="E285" t="s">
        <v>100</v>
      </c>
      <c r="F285" t="s">
        <v>86</v>
      </c>
      <c r="G285" t="s">
        <v>115</v>
      </c>
      <c r="H285" t="s">
        <v>101</v>
      </c>
      <c r="I285" t="s">
        <v>116</v>
      </c>
      <c r="J285">
        <v>0</v>
      </c>
      <c r="K285">
        <v>0</v>
      </c>
      <c r="L285">
        <v>0</v>
      </c>
      <c r="M285">
        <v>491800.6</v>
      </c>
      <c r="N285">
        <v>3963447</v>
      </c>
      <c r="O285">
        <v>10852</v>
      </c>
      <c r="P285">
        <v>156076.6</v>
      </c>
      <c r="Q285">
        <v>1477769</v>
      </c>
      <c r="R285">
        <v>318</v>
      </c>
      <c r="S285">
        <v>0</v>
      </c>
      <c r="T285">
        <v>0</v>
      </c>
      <c r="U285">
        <v>0</v>
      </c>
      <c r="V285">
        <v>647877.19999999995</v>
      </c>
      <c r="W285">
        <v>5441216</v>
      </c>
      <c r="X285">
        <v>11170</v>
      </c>
      <c r="Y285">
        <f t="shared" si="4"/>
        <v>5441216</v>
      </c>
      <c r="Z285" t="str">
        <f>IF(ISNUMBER(SEARCH("Adjustment",$C285)),"excluded",IF($H285="Behind the Meter","excluded",IF(NOT(OR($E285="Bundled",$E285="Energy")),"excluded",IF(OR($H285="Retail Power Marketer",$H285="Community Choice Aggregator",$E285="Energy"),"procurement",IF(OR($H285="Municipal",$H285="Cooperative",$H285="Federal",$H285="State",$H285="Political Subdivision"),"cost_service",IF($H285="Investor Owned",IF(AND(COUNTIF(Parameters!$A$4:$A$33,$G285)&gt;0,COUNTIF(Parameters!$B$4:$B$33,$B285)=0),"procurement","cost_service"),"unclassified"))))))</f>
        <v>procurement</v>
      </c>
    </row>
    <row r="286" spans="1:26" x14ac:dyDescent="0.25">
      <c r="A286">
        <v>2024</v>
      </c>
      <c r="B286">
        <v>4410</v>
      </c>
      <c r="C286" t="s">
        <v>395</v>
      </c>
      <c r="D286" t="s">
        <v>99</v>
      </c>
      <c r="E286" t="s">
        <v>100</v>
      </c>
      <c r="F286" t="s">
        <v>86</v>
      </c>
      <c r="G286" t="s">
        <v>242</v>
      </c>
      <c r="H286" t="s">
        <v>101</v>
      </c>
      <c r="I286" t="s">
        <v>390</v>
      </c>
      <c r="J286">
        <v>0</v>
      </c>
      <c r="K286">
        <v>0</v>
      </c>
      <c r="L286">
        <v>0</v>
      </c>
      <c r="M286">
        <v>0</v>
      </c>
      <c r="N286">
        <v>0</v>
      </c>
      <c r="O286">
        <v>0</v>
      </c>
      <c r="P286">
        <v>30499.1</v>
      </c>
      <c r="Q286">
        <v>917435</v>
      </c>
      <c r="R286">
        <v>1</v>
      </c>
      <c r="S286">
        <v>0</v>
      </c>
      <c r="T286">
        <v>0</v>
      </c>
      <c r="U286">
        <v>0</v>
      </c>
      <c r="V286">
        <v>30499.1</v>
      </c>
      <c r="W286">
        <v>917435</v>
      </c>
      <c r="X286">
        <v>1</v>
      </c>
      <c r="Y286">
        <f t="shared" si="4"/>
        <v>917435</v>
      </c>
      <c r="Z286" t="str">
        <f>IF(ISNUMBER(SEARCH("Adjustment",$C286)),"excluded",IF($H286="Behind the Meter","excluded",IF(NOT(OR($E286="Bundled",$E286="Energy")),"excluded",IF(OR($H286="Retail Power Marketer",$H286="Community Choice Aggregator",$E286="Energy"),"procurement",IF(OR($H286="Municipal",$H286="Cooperative",$H286="Federal",$H286="State",$H286="Political Subdivision"),"cost_service",IF($H286="Investor Owned",IF(AND(COUNTIF(Parameters!$A$4:$A$33,$G286)&gt;0,COUNTIF(Parameters!$B$4:$B$33,$B286)=0),"procurement","cost_service"),"unclassified"))))))</f>
        <v>procurement</v>
      </c>
    </row>
    <row r="287" spans="1:26" x14ac:dyDescent="0.25">
      <c r="A287">
        <v>2024</v>
      </c>
      <c r="B287">
        <v>4410</v>
      </c>
      <c r="C287" t="s">
        <v>395</v>
      </c>
      <c r="D287" t="s">
        <v>99</v>
      </c>
      <c r="E287" t="s">
        <v>100</v>
      </c>
      <c r="F287" t="s">
        <v>86</v>
      </c>
      <c r="G287" t="s">
        <v>219</v>
      </c>
      <c r="H287" t="s">
        <v>101</v>
      </c>
      <c r="I287" t="s">
        <v>396</v>
      </c>
      <c r="J287">
        <v>0</v>
      </c>
      <c r="K287">
        <v>0</v>
      </c>
      <c r="L287">
        <v>0</v>
      </c>
      <c r="M287">
        <v>1404.6</v>
      </c>
      <c r="N287">
        <v>8003</v>
      </c>
      <c r="O287">
        <v>3</v>
      </c>
      <c r="P287">
        <v>7039.5</v>
      </c>
      <c r="Q287">
        <v>97581</v>
      </c>
      <c r="R287">
        <v>7</v>
      </c>
      <c r="S287">
        <v>0</v>
      </c>
      <c r="T287">
        <v>0</v>
      </c>
      <c r="U287" t="s">
        <v>97</v>
      </c>
      <c r="V287">
        <v>8444.1</v>
      </c>
      <c r="W287">
        <v>105584</v>
      </c>
      <c r="X287">
        <v>10</v>
      </c>
      <c r="Y287">
        <f t="shared" si="4"/>
        <v>105584</v>
      </c>
      <c r="Z287" t="str">
        <f>IF(ISNUMBER(SEARCH("Adjustment",$C287)),"excluded",IF($H287="Behind the Meter","excluded",IF(NOT(OR($E287="Bundled",$E287="Energy")),"excluded",IF(OR($H287="Retail Power Marketer",$H287="Community Choice Aggregator",$E287="Energy"),"procurement",IF(OR($H287="Municipal",$H287="Cooperative",$H287="Federal",$H287="State",$H287="Political Subdivision"),"cost_service",IF($H287="Investor Owned",IF(AND(COUNTIF(Parameters!$A$4:$A$33,$G287)&gt;0,COUNTIF(Parameters!$B$4:$B$33,$B287)=0),"procurement","cost_service"),"unclassified"))))))</f>
        <v>procurement</v>
      </c>
    </row>
    <row r="288" spans="1:26" x14ac:dyDescent="0.25">
      <c r="A288">
        <v>2024</v>
      </c>
      <c r="B288">
        <v>4410</v>
      </c>
      <c r="C288" t="s">
        <v>395</v>
      </c>
      <c r="D288" t="s">
        <v>99</v>
      </c>
      <c r="E288" t="s">
        <v>100</v>
      </c>
      <c r="F288" t="s">
        <v>86</v>
      </c>
      <c r="G288" t="s">
        <v>148</v>
      </c>
      <c r="H288" t="s">
        <v>101</v>
      </c>
      <c r="I288" t="s">
        <v>149</v>
      </c>
      <c r="J288">
        <v>0</v>
      </c>
      <c r="K288">
        <v>0</v>
      </c>
      <c r="L288">
        <v>0</v>
      </c>
      <c r="M288">
        <v>0</v>
      </c>
      <c r="N288">
        <v>0</v>
      </c>
      <c r="O288">
        <v>0</v>
      </c>
      <c r="P288">
        <v>14808.9</v>
      </c>
      <c r="Q288">
        <v>182721</v>
      </c>
      <c r="R288">
        <v>2</v>
      </c>
      <c r="S288">
        <v>0</v>
      </c>
      <c r="T288">
        <v>0</v>
      </c>
      <c r="U288">
        <v>0</v>
      </c>
      <c r="V288">
        <v>14808.9</v>
      </c>
      <c r="W288">
        <v>182721</v>
      </c>
      <c r="X288">
        <v>2</v>
      </c>
      <c r="Y288">
        <f t="shared" si="4"/>
        <v>182721</v>
      </c>
      <c r="Z288" t="str">
        <f>IF(ISNUMBER(SEARCH("Adjustment",$C288)),"excluded",IF($H288="Behind the Meter","excluded",IF(NOT(OR($E288="Bundled",$E288="Energy")),"excluded",IF(OR($H288="Retail Power Marketer",$H288="Community Choice Aggregator",$E288="Energy"),"procurement",IF(OR($H288="Municipal",$H288="Cooperative",$H288="Federal",$H288="State",$H288="Political Subdivision"),"cost_service",IF($H288="Investor Owned",IF(AND(COUNTIF(Parameters!$A$4:$A$33,$G288)&gt;0,COUNTIF(Parameters!$B$4:$B$33,$B288)=0),"procurement","cost_service"),"unclassified"))))))</f>
        <v>procurement</v>
      </c>
    </row>
    <row r="289" spans="1:26" x14ac:dyDescent="0.25">
      <c r="A289">
        <v>2024</v>
      </c>
      <c r="B289">
        <v>4430</v>
      </c>
      <c r="C289" t="s">
        <v>397</v>
      </c>
      <c r="D289" t="s">
        <v>84</v>
      </c>
      <c r="E289" t="s">
        <v>85</v>
      </c>
      <c r="F289" t="s">
        <v>86</v>
      </c>
      <c r="G289" t="s">
        <v>112</v>
      </c>
      <c r="H289" t="s">
        <v>91</v>
      </c>
      <c r="I289" t="s">
        <v>113</v>
      </c>
      <c r="J289">
        <v>52781.9</v>
      </c>
      <c r="K289">
        <v>316974</v>
      </c>
      <c r="L289">
        <v>23281</v>
      </c>
      <c r="M289">
        <v>8821.7000000000007</v>
      </c>
      <c r="N289">
        <v>65311</v>
      </c>
      <c r="O289">
        <v>1394</v>
      </c>
      <c r="P289">
        <v>2229.8000000000002</v>
      </c>
      <c r="Q289">
        <v>23724</v>
      </c>
      <c r="R289">
        <v>8</v>
      </c>
      <c r="S289" t="s">
        <v>97</v>
      </c>
      <c r="T289" t="s">
        <v>97</v>
      </c>
      <c r="U289" t="s">
        <v>97</v>
      </c>
      <c r="V289">
        <v>63833.4</v>
      </c>
      <c r="W289">
        <v>406009</v>
      </c>
      <c r="X289">
        <v>24683</v>
      </c>
      <c r="Y289">
        <f t="shared" si="4"/>
        <v>406009</v>
      </c>
      <c r="Z289" t="str">
        <f>IF(ISNUMBER(SEARCH("Adjustment",$C289)),"excluded",IF($H289="Behind the Meter","excluded",IF(NOT(OR($E289="Bundled",$E289="Energy")),"excluded",IF(OR($H289="Retail Power Marketer",$H289="Community Choice Aggregator",$E289="Energy"),"procurement",IF(OR($H289="Municipal",$H289="Cooperative",$H289="Federal",$H289="State",$H289="Political Subdivision"),"cost_service",IF($H289="Investor Owned",IF(AND(COUNTIF(Parameters!$A$4:$A$33,$G289)&gt;0,COUNTIF(Parameters!$B$4:$B$33,$B289)=0),"procurement","cost_service"),"unclassified"))))))</f>
        <v>cost_service</v>
      </c>
    </row>
    <row r="290" spans="1:26" x14ac:dyDescent="0.25">
      <c r="A290">
        <v>2024</v>
      </c>
      <c r="B290">
        <v>4432</v>
      </c>
      <c r="C290" t="s">
        <v>398</v>
      </c>
      <c r="D290" t="s">
        <v>84</v>
      </c>
      <c r="E290" t="s">
        <v>85</v>
      </c>
      <c r="F290" t="s">
        <v>86</v>
      </c>
      <c r="G290" t="s">
        <v>123</v>
      </c>
      <c r="H290" t="s">
        <v>91</v>
      </c>
      <c r="I290" t="s">
        <v>113</v>
      </c>
      <c r="J290">
        <v>157461.4</v>
      </c>
      <c r="K290">
        <v>1229803</v>
      </c>
      <c r="L290">
        <v>83001</v>
      </c>
      <c r="M290">
        <v>42895.199999999997</v>
      </c>
      <c r="N290">
        <v>318998</v>
      </c>
      <c r="O290">
        <v>6631</v>
      </c>
      <c r="P290">
        <v>13997.4</v>
      </c>
      <c r="Q290">
        <v>180387</v>
      </c>
      <c r="R290">
        <v>62</v>
      </c>
      <c r="S290" t="s">
        <v>97</v>
      </c>
      <c r="T290" t="s">
        <v>97</v>
      </c>
      <c r="U290" t="s">
        <v>97</v>
      </c>
      <c r="V290">
        <v>214354</v>
      </c>
      <c r="W290">
        <v>1729188</v>
      </c>
      <c r="X290">
        <v>89694</v>
      </c>
      <c r="Y290">
        <f t="shared" si="4"/>
        <v>1729188</v>
      </c>
      <c r="Z290" t="str">
        <f>IF(ISNUMBER(SEARCH("Adjustment",$C290)),"excluded",IF($H290="Behind the Meter","excluded",IF(NOT(OR($E290="Bundled",$E290="Energy")),"excluded",IF(OR($H290="Retail Power Marketer",$H290="Community Choice Aggregator",$E290="Energy"),"procurement",IF(OR($H290="Municipal",$H290="Cooperative",$H290="Federal",$H290="State",$H290="Political Subdivision"),"cost_service",IF($H290="Investor Owned",IF(AND(COUNTIF(Parameters!$A$4:$A$33,$G290)&gt;0,COUNTIF(Parameters!$B$4:$B$33,$B290)=0),"procurement","cost_service"),"unclassified"))))))</f>
        <v>cost_service</v>
      </c>
    </row>
    <row r="291" spans="1:26" x14ac:dyDescent="0.25">
      <c r="A291">
        <v>2024</v>
      </c>
      <c r="B291">
        <v>4433</v>
      </c>
      <c r="C291" t="s">
        <v>399</v>
      </c>
      <c r="D291" t="s">
        <v>84</v>
      </c>
      <c r="E291" t="s">
        <v>85</v>
      </c>
      <c r="F291" t="s">
        <v>86</v>
      </c>
      <c r="G291" t="s">
        <v>123</v>
      </c>
      <c r="H291" t="s">
        <v>88</v>
      </c>
      <c r="I291" t="s">
        <v>113</v>
      </c>
      <c r="J291">
        <v>23283</v>
      </c>
      <c r="K291">
        <v>159780</v>
      </c>
      <c r="L291">
        <v>12459</v>
      </c>
      <c r="M291">
        <v>19958.8</v>
      </c>
      <c r="N291">
        <v>148823</v>
      </c>
      <c r="O291">
        <v>2008</v>
      </c>
      <c r="P291">
        <v>12662.1</v>
      </c>
      <c r="Q291">
        <v>163399</v>
      </c>
      <c r="R291">
        <v>8</v>
      </c>
      <c r="S291" t="s">
        <v>97</v>
      </c>
      <c r="T291" t="s">
        <v>97</v>
      </c>
      <c r="U291" t="s">
        <v>97</v>
      </c>
      <c r="V291">
        <v>55903.9</v>
      </c>
      <c r="W291">
        <v>472002</v>
      </c>
      <c r="X291">
        <v>14475</v>
      </c>
      <c r="Y291">
        <f t="shared" si="4"/>
        <v>472002</v>
      </c>
      <c r="Z291" t="str">
        <f>IF(ISNUMBER(SEARCH("Adjustment",$C291)),"excluded",IF($H291="Behind the Meter","excluded",IF(NOT(OR($E291="Bundled",$E291="Energy")),"excluded",IF(OR($H291="Retail Power Marketer",$H291="Community Choice Aggregator",$E291="Energy"),"procurement",IF(OR($H291="Municipal",$H291="Cooperative",$H291="Federal",$H291="State",$H291="Political Subdivision"),"cost_service",IF($H291="Investor Owned",IF(AND(COUNTIF(Parameters!$A$4:$A$33,$G291)&gt;0,COUNTIF(Parameters!$B$4:$B$33,$B291)=0),"procurement","cost_service"),"unclassified"))))))</f>
        <v>cost_service</v>
      </c>
    </row>
    <row r="292" spans="1:26" x14ac:dyDescent="0.25">
      <c r="A292">
        <v>2024</v>
      </c>
      <c r="B292">
        <v>4437</v>
      </c>
      <c r="C292" t="s">
        <v>400</v>
      </c>
      <c r="D292" t="s">
        <v>84</v>
      </c>
      <c r="E292" t="s">
        <v>85</v>
      </c>
      <c r="F292" t="s">
        <v>86</v>
      </c>
      <c r="G292" t="s">
        <v>156</v>
      </c>
      <c r="H292" t="s">
        <v>88</v>
      </c>
      <c r="I292" t="s">
        <v>89</v>
      </c>
      <c r="J292">
        <v>5298</v>
      </c>
      <c r="K292">
        <v>47690</v>
      </c>
      <c r="L292">
        <v>3727</v>
      </c>
      <c r="M292">
        <v>10365</v>
      </c>
      <c r="N292">
        <v>93136</v>
      </c>
      <c r="O292">
        <v>983</v>
      </c>
      <c r="P292">
        <v>5682</v>
      </c>
      <c r="Q292">
        <v>81335</v>
      </c>
      <c r="R292">
        <v>3</v>
      </c>
      <c r="S292">
        <v>0</v>
      </c>
      <c r="T292">
        <v>0</v>
      </c>
      <c r="U292">
        <v>0</v>
      </c>
      <c r="V292">
        <v>21345</v>
      </c>
      <c r="W292">
        <v>222161</v>
      </c>
      <c r="X292">
        <v>4713</v>
      </c>
      <c r="Y292">
        <f t="shared" si="4"/>
        <v>222161</v>
      </c>
      <c r="Z292" t="str">
        <f>IF(ISNUMBER(SEARCH("Adjustment",$C292)),"excluded",IF($H292="Behind the Meter","excluded",IF(NOT(OR($E292="Bundled",$E292="Energy")),"excluded",IF(OR($H292="Retail Power Marketer",$H292="Community Choice Aggregator",$E292="Energy"),"procurement",IF(OR($H292="Municipal",$H292="Cooperative",$H292="Federal",$H292="State",$H292="Political Subdivision"),"cost_service",IF($H292="Investor Owned",IF(AND(COUNTIF(Parameters!$A$4:$A$33,$G292)&gt;0,COUNTIF(Parameters!$B$4:$B$33,$B292)=0),"procurement","cost_service"),"unclassified"))))))</f>
        <v>cost_service</v>
      </c>
    </row>
    <row r="293" spans="1:26" x14ac:dyDescent="0.25">
      <c r="A293">
        <v>2024</v>
      </c>
      <c r="B293">
        <v>4442</v>
      </c>
      <c r="C293" t="s">
        <v>401</v>
      </c>
      <c r="D293" t="s">
        <v>84</v>
      </c>
      <c r="E293" t="s">
        <v>85</v>
      </c>
      <c r="F293" t="s">
        <v>86</v>
      </c>
      <c r="G293" t="s">
        <v>148</v>
      </c>
      <c r="H293" t="s">
        <v>205</v>
      </c>
      <c r="I293" t="s">
        <v>206</v>
      </c>
      <c r="J293">
        <v>67600</v>
      </c>
      <c r="K293">
        <v>768514</v>
      </c>
      <c r="L293">
        <v>48267</v>
      </c>
      <c r="M293">
        <v>33320</v>
      </c>
      <c r="N293">
        <v>378239</v>
      </c>
      <c r="O293">
        <v>5418</v>
      </c>
      <c r="P293">
        <v>146466</v>
      </c>
      <c r="Q293">
        <v>2991042</v>
      </c>
      <c r="R293">
        <v>31</v>
      </c>
      <c r="S293">
        <v>0</v>
      </c>
      <c r="T293">
        <v>0</v>
      </c>
      <c r="U293">
        <v>0</v>
      </c>
      <c r="V293">
        <v>247386</v>
      </c>
      <c r="W293">
        <v>4137795</v>
      </c>
      <c r="X293">
        <v>53716</v>
      </c>
      <c r="Y293">
        <f t="shared" si="4"/>
        <v>4137795</v>
      </c>
      <c r="Z293" t="str">
        <f>IF(ISNUMBER(SEARCH("Adjustment",$C293)),"excluded",IF($H293="Behind the Meter","excluded",IF(NOT(OR($E293="Bundled",$E293="Energy")),"excluded",IF(OR($H293="Retail Power Marketer",$H293="Community Choice Aggregator",$E293="Energy"),"procurement",IF(OR($H293="Municipal",$H293="Cooperative",$H293="Federal",$H293="State",$H293="Political Subdivision"),"cost_service",IF($H293="Investor Owned",IF(AND(COUNTIF(Parameters!$A$4:$A$33,$G293)&gt;0,COUNTIF(Parameters!$B$4:$B$33,$B293)=0),"procurement","cost_service"),"unclassified"))))))</f>
        <v>cost_service</v>
      </c>
    </row>
    <row r="294" spans="1:26" x14ac:dyDescent="0.25">
      <c r="A294">
        <v>2024</v>
      </c>
      <c r="B294">
        <v>4508</v>
      </c>
      <c r="C294" t="s">
        <v>402</v>
      </c>
      <c r="D294" t="s">
        <v>84</v>
      </c>
      <c r="E294" t="s">
        <v>85</v>
      </c>
      <c r="F294" t="s">
        <v>86</v>
      </c>
      <c r="G294" t="s">
        <v>130</v>
      </c>
      <c r="H294" t="s">
        <v>88</v>
      </c>
      <c r="I294" t="s">
        <v>96</v>
      </c>
      <c r="J294">
        <v>11550.6</v>
      </c>
      <c r="K294">
        <v>84808</v>
      </c>
      <c r="L294">
        <v>8615</v>
      </c>
      <c r="M294">
        <v>5147.7</v>
      </c>
      <c r="N294">
        <v>38468</v>
      </c>
      <c r="O294">
        <v>1489</v>
      </c>
      <c r="P294">
        <v>27581.3</v>
      </c>
      <c r="Q294">
        <v>250829</v>
      </c>
      <c r="R294">
        <v>89</v>
      </c>
      <c r="S294" t="s">
        <v>97</v>
      </c>
      <c r="T294" t="s">
        <v>97</v>
      </c>
      <c r="U294" t="s">
        <v>97</v>
      </c>
      <c r="V294">
        <v>44279.6</v>
      </c>
      <c r="W294">
        <v>374105</v>
      </c>
      <c r="X294">
        <v>10193</v>
      </c>
      <c r="Y294">
        <f t="shared" si="4"/>
        <v>374105</v>
      </c>
      <c r="Z294" t="str">
        <f>IF(ISNUMBER(SEARCH("Adjustment",$C294)),"excluded",IF($H294="Behind the Meter","excluded",IF(NOT(OR($E294="Bundled",$E294="Energy")),"excluded",IF(OR($H294="Retail Power Marketer",$H294="Community Choice Aggregator",$E294="Energy"),"procurement",IF(OR($H294="Municipal",$H294="Cooperative",$H294="Federal",$H294="State",$H294="Political Subdivision"),"cost_service",IF($H294="Investor Owned",IF(AND(COUNTIF(Parameters!$A$4:$A$33,$G294)&gt;0,COUNTIF(Parameters!$B$4:$B$33,$B294)=0),"procurement","cost_service"),"unclassified"))))))</f>
        <v>cost_service</v>
      </c>
    </row>
    <row r="295" spans="1:26" x14ac:dyDescent="0.25">
      <c r="A295">
        <v>2024</v>
      </c>
      <c r="B295">
        <v>4509</v>
      </c>
      <c r="C295" t="s">
        <v>403</v>
      </c>
      <c r="D295" t="s">
        <v>84</v>
      </c>
      <c r="E295" t="s">
        <v>85</v>
      </c>
      <c r="F295" t="s">
        <v>86</v>
      </c>
      <c r="G295" t="s">
        <v>173</v>
      </c>
      <c r="H295" t="s">
        <v>91</v>
      </c>
      <c r="I295" t="s">
        <v>96</v>
      </c>
      <c r="J295">
        <v>46240</v>
      </c>
      <c r="K295">
        <v>385539</v>
      </c>
      <c r="L295">
        <v>25326</v>
      </c>
      <c r="M295">
        <v>15863</v>
      </c>
      <c r="N295">
        <v>122431</v>
      </c>
      <c r="O295">
        <v>6243</v>
      </c>
      <c r="P295">
        <v>9790</v>
      </c>
      <c r="Q295">
        <v>71433</v>
      </c>
      <c r="R295">
        <v>1236</v>
      </c>
      <c r="S295" t="s">
        <v>97</v>
      </c>
      <c r="T295" t="s">
        <v>97</v>
      </c>
      <c r="U295" t="s">
        <v>97</v>
      </c>
      <c r="V295">
        <v>71893</v>
      </c>
      <c r="W295">
        <v>579403</v>
      </c>
      <c r="X295">
        <v>32805</v>
      </c>
      <c r="Y295">
        <f t="shared" si="4"/>
        <v>579403</v>
      </c>
      <c r="Z295" t="str">
        <f>IF(ISNUMBER(SEARCH("Adjustment",$C295)),"excluded",IF($H295="Behind the Meter","excluded",IF(NOT(OR($E295="Bundled",$E295="Energy")),"excluded",IF(OR($H295="Retail Power Marketer",$H295="Community Choice Aggregator",$E295="Energy"),"procurement",IF(OR($H295="Municipal",$H295="Cooperative",$H295="Federal",$H295="State",$H295="Political Subdivision"),"cost_service",IF($H295="Investor Owned",IF(AND(COUNTIF(Parameters!$A$4:$A$33,$G295)&gt;0,COUNTIF(Parameters!$B$4:$B$33,$B295)=0),"procurement","cost_service"),"unclassified"))))))</f>
        <v>cost_service</v>
      </c>
    </row>
    <row r="296" spans="1:26" x14ac:dyDescent="0.25">
      <c r="A296">
        <v>2024</v>
      </c>
      <c r="B296">
        <v>4524</v>
      </c>
      <c r="C296" t="s">
        <v>404</v>
      </c>
      <c r="D296" t="s">
        <v>84</v>
      </c>
      <c r="E296" t="s">
        <v>85</v>
      </c>
      <c r="F296" t="s">
        <v>86</v>
      </c>
      <c r="G296" t="s">
        <v>226</v>
      </c>
      <c r="H296" t="s">
        <v>91</v>
      </c>
      <c r="I296" t="s">
        <v>227</v>
      </c>
      <c r="J296">
        <v>33542</v>
      </c>
      <c r="K296">
        <v>262433</v>
      </c>
      <c r="L296">
        <v>19775</v>
      </c>
      <c r="M296">
        <v>5322.8</v>
      </c>
      <c r="N296">
        <v>49209</v>
      </c>
      <c r="O296">
        <v>1752</v>
      </c>
      <c r="P296">
        <v>245.4</v>
      </c>
      <c r="Q296">
        <v>3301</v>
      </c>
      <c r="R296">
        <v>3</v>
      </c>
      <c r="S296" t="s">
        <v>97</v>
      </c>
      <c r="T296" t="s">
        <v>97</v>
      </c>
      <c r="U296" t="s">
        <v>97</v>
      </c>
      <c r="V296">
        <v>39110.199999999997</v>
      </c>
      <c r="W296">
        <v>314943</v>
      </c>
      <c r="X296">
        <v>21530</v>
      </c>
      <c r="Y296">
        <f t="shared" si="4"/>
        <v>314943</v>
      </c>
      <c r="Z296" t="str">
        <f>IF(ISNUMBER(SEARCH("Adjustment",$C296)),"excluded",IF($H296="Behind the Meter","excluded",IF(NOT(OR($E296="Bundled",$E296="Energy")),"excluded",IF(OR($H296="Retail Power Marketer",$H296="Community Choice Aggregator",$E296="Energy"),"procurement",IF(OR($H296="Municipal",$H296="Cooperative",$H296="Federal",$H296="State",$H296="Political Subdivision"),"cost_service",IF($H296="Investor Owned",IF(AND(COUNTIF(Parameters!$A$4:$A$33,$G296)&gt;0,COUNTIF(Parameters!$B$4:$B$33,$B296)=0),"procurement","cost_service"),"unclassified"))))))</f>
        <v>cost_service</v>
      </c>
    </row>
    <row r="297" spans="1:26" x14ac:dyDescent="0.25">
      <c r="A297">
        <v>2024</v>
      </c>
      <c r="B297">
        <v>4538</v>
      </c>
      <c r="C297" t="s">
        <v>405</v>
      </c>
      <c r="D297" t="s">
        <v>84</v>
      </c>
      <c r="E297" t="s">
        <v>85</v>
      </c>
      <c r="F297" t="s">
        <v>86</v>
      </c>
      <c r="G297" t="s">
        <v>123</v>
      </c>
      <c r="H297" t="s">
        <v>205</v>
      </c>
      <c r="I297" t="s">
        <v>113</v>
      </c>
      <c r="J297">
        <v>21172.7</v>
      </c>
      <c r="K297">
        <v>145602</v>
      </c>
      <c r="L297">
        <v>9206</v>
      </c>
      <c r="M297">
        <v>17943.099999999999</v>
      </c>
      <c r="N297">
        <v>112153</v>
      </c>
      <c r="O297">
        <v>2836</v>
      </c>
      <c r="P297">
        <v>11350.2</v>
      </c>
      <c r="Q297">
        <v>121918</v>
      </c>
      <c r="R297">
        <v>53</v>
      </c>
      <c r="S297" t="s">
        <v>97</v>
      </c>
      <c r="T297" t="s">
        <v>97</v>
      </c>
      <c r="U297" t="s">
        <v>97</v>
      </c>
      <c r="V297">
        <v>50466</v>
      </c>
      <c r="W297">
        <v>379673</v>
      </c>
      <c r="X297">
        <v>12095</v>
      </c>
      <c r="Y297">
        <f t="shared" si="4"/>
        <v>379673</v>
      </c>
      <c r="Z297" t="str">
        <f>IF(ISNUMBER(SEARCH("Adjustment",$C297)),"excluded",IF($H297="Behind the Meter","excluded",IF(NOT(OR($E297="Bundled",$E297="Energy")),"excluded",IF(OR($H297="Retail Power Marketer",$H297="Community Choice Aggregator",$E297="Energy"),"procurement",IF(OR($H297="Municipal",$H297="Cooperative",$H297="Federal",$H297="State",$H297="Political Subdivision"),"cost_service",IF($H297="Investor Owned",IF(AND(COUNTIF(Parameters!$A$4:$A$33,$G297)&gt;0,COUNTIF(Parameters!$B$4:$B$33,$B297)=0),"procurement","cost_service"),"unclassified"))))))</f>
        <v>cost_service</v>
      </c>
    </row>
    <row r="298" spans="1:26" x14ac:dyDescent="0.25">
      <c r="A298">
        <v>2024</v>
      </c>
      <c r="B298">
        <v>4577</v>
      </c>
      <c r="C298" t="s">
        <v>406</v>
      </c>
      <c r="D298" t="s">
        <v>84</v>
      </c>
      <c r="E298" t="s">
        <v>85</v>
      </c>
      <c r="F298" t="s">
        <v>86</v>
      </c>
      <c r="G298" t="s">
        <v>104</v>
      </c>
      <c r="H298" t="s">
        <v>91</v>
      </c>
      <c r="I298" t="s">
        <v>96</v>
      </c>
      <c r="J298">
        <v>57820.2</v>
      </c>
      <c r="K298">
        <v>433747</v>
      </c>
      <c r="L298">
        <v>44698</v>
      </c>
      <c r="M298">
        <v>16377.9</v>
      </c>
      <c r="N298">
        <v>142396</v>
      </c>
      <c r="O298">
        <v>2935</v>
      </c>
      <c r="P298">
        <v>10786.2</v>
      </c>
      <c r="Q298">
        <v>108624</v>
      </c>
      <c r="R298">
        <v>226</v>
      </c>
      <c r="S298" t="s">
        <v>97</v>
      </c>
      <c r="T298" t="s">
        <v>97</v>
      </c>
      <c r="U298" t="s">
        <v>97</v>
      </c>
      <c r="V298">
        <v>84984.3</v>
      </c>
      <c r="W298">
        <v>684767</v>
      </c>
      <c r="X298">
        <v>47859</v>
      </c>
      <c r="Y298">
        <f t="shared" si="4"/>
        <v>684767</v>
      </c>
      <c r="Z298" t="str">
        <f>IF(ISNUMBER(SEARCH("Adjustment",$C298)),"excluded",IF($H298="Behind the Meter","excluded",IF(NOT(OR($E298="Bundled",$E298="Energy")),"excluded",IF(OR($H298="Retail Power Marketer",$H298="Community Choice Aggregator",$E298="Energy"),"procurement",IF(OR($H298="Municipal",$H298="Cooperative",$H298="Federal",$H298="State",$H298="Political Subdivision"),"cost_service",IF($H298="Investor Owned",IF(AND(COUNTIF(Parameters!$A$4:$A$33,$G298)&gt;0,COUNTIF(Parameters!$B$4:$B$33,$B298)=0),"procurement","cost_service"),"unclassified"))))))</f>
        <v>cost_service</v>
      </c>
    </row>
    <row r="299" spans="1:26" x14ac:dyDescent="0.25">
      <c r="A299">
        <v>2024</v>
      </c>
      <c r="B299">
        <v>4604</v>
      </c>
      <c r="C299" t="s">
        <v>407</v>
      </c>
      <c r="D299" t="s">
        <v>84</v>
      </c>
      <c r="E299" t="s">
        <v>85</v>
      </c>
      <c r="F299" t="s">
        <v>86</v>
      </c>
      <c r="G299" t="s">
        <v>140</v>
      </c>
      <c r="H299" t="s">
        <v>88</v>
      </c>
      <c r="I299" t="s">
        <v>96</v>
      </c>
      <c r="J299">
        <v>1385.9</v>
      </c>
      <c r="K299">
        <v>7342</v>
      </c>
      <c r="L299">
        <v>1330</v>
      </c>
      <c r="M299">
        <v>1387.7</v>
      </c>
      <c r="N299">
        <v>8993</v>
      </c>
      <c r="O299">
        <v>273</v>
      </c>
      <c r="P299">
        <v>0</v>
      </c>
      <c r="Q299">
        <v>0</v>
      </c>
      <c r="R299">
        <v>0</v>
      </c>
      <c r="S299">
        <v>0</v>
      </c>
      <c r="T299">
        <v>0</v>
      </c>
      <c r="U299">
        <v>0</v>
      </c>
      <c r="V299">
        <v>2773.6</v>
      </c>
      <c r="W299">
        <v>16335</v>
      </c>
      <c r="X299">
        <v>1603</v>
      </c>
      <c r="Y299">
        <f t="shared" si="4"/>
        <v>16335</v>
      </c>
      <c r="Z299" t="str">
        <f>IF(ISNUMBER(SEARCH("Adjustment",$C299)),"excluded",IF($H299="Behind the Meter","excluded",IF(NOT(OR($E299="Bundled",$E299="Energy")),"excluded",IF(OR($H299="Retail Power Marketer",$H299="Community Choice Aggregator",$E299="Energy"),"procurement",IF(OR($H299="Municipal",$H299="Cooperative",$H299="Federal",$H299="State",$H299="Political Subdivision"),"cost_service",IF($H299="Investor Owned",IF(AND(COUNTIF(Parameters!$A$4:$A$33,$G299)&gt;0,COUNTIF(Parameters!$B$4:$B$33,$B299)=0),"procurement","cost_service"),"unclassified"))))))</f>
        <v>cost_service</v>
      </c>
    </row>
    <row r="300" spans="1:26" x14ac:dyDescent="0.25">
      <c r="A300">
        <v>2024</v>
      </c>
      <c r="B300">
        <v>4607</v>
      </c>
      <c r="C300" t="s">
        <v>408</v>
      </c>
      <c r="D300" t="s">
        <v>84</v>
      </c>
      <c r="E300" t="s">
        <v>85</v>
      </c>
      <c r="F300" t="s">
        <v>86</v>
      </c>
      <c r="G300" t="s">
        <v>95</v>
      </c>
      <c r="H300" t="s">
        <v>88</v>
      </c>
      <c r="I300" t="s">
        <v>96</v>
      </c>
      <c r="J300">
        <v>881.6</v>
      </c>
      <c r="K300">
        <v>7724</v>
      </c>
      <c r="L300">
        <v>985</v>
      </c>
      <c r="M300">
        <v>1060.2</v>
      </c>
      <c r="N300">
        <v>9950</v>
      </c>
      <c r="O300">
        <v>147</v>
      </c>
      <c r="P300">
        <v>0</v>
      </c>
      <c r="Q300">
        <v>0</v>
      </c>
      <c r="R300">
        <v>0</v>
      </c>
      <c r="S300">
        <v>0</v>
      </c>
      <c r="T300">
        <v>0</v>
      </c>
      <c r="U300">
        <v>0</v>
      </c>
      <c r="V300">
        <v>1941.8</v>
      </c>
      <c r="W300">
        <v>17674</v>
      </c>
      <c r="X300">
        <v>1132</v>
      </c>
      <c r="Y300">
        <f t="shared" si="4"/>
        <v>17674</v>
      </c>
      <c r="Z300" t="str">
        <f>IF(ISNUMBER(SEARCH("Adjustment",$C300)),"excluded",IF($H300="Behind the Meter","excluded",IF(NOT(OR($E300="Bundled",$E300="Energy")),"excluded",IF(OR($H300="Retail Power Marketer",$H300="Community Choice Aggregator",$E300="Energy"),"procurement",IF(OR($H300="Municipal",$H300="Cooperative",$H300="Federal",$H300="State",$H300="Political Subdivision"),"cost_service",IF($H300="Investor Owned",IF(AND(COUNTIF(Parameters!$A$4:$A$33,$G300)&gt;0,COUNTIF(Parameters!$B$4:$B$33,$B300)=0),"procurement","cost_service"),"unclassified"))))))</f>
        <v>cost_service</v>
      </c>
    </row>
    <row r="301" spans="1:26" x14ac:dyDescent="0.25">
      <c r="A301">
        <v>2024</v>
      </c>
      <c r="B301">
        <v>4617</v>
      </c>
      <c r="C301" t="s">
        <v>409</v>
      </c>
      <c r="D301" t="s">
        <v>84</v>
      </c>
      <c r="E301" t="s">
        <v>85</v>
      </c>
      <c r="F301" t="s">
        <v>86</v>
      </c>
      <c r="G301" t="s">
        <v>112</v>
      </c>
      <c r="H301" t="s">
        <v>88</v>
      </c>
      <c r="I301" t="s">
        <v>89</v>
      </c>
      <c r="J301">
        <v>11442</v>
      </c>
      <c r="K301">
        <v>90546</v>
      </c>
      <c r="L301">
        <v>7049</v>
      </c>
      <c r="M301">
        <v>20169</v>
      </c>
      <c r="N301">
        <v>164614</v>
      </c>
      <c r="O301">
        <v>2026</v>
      </c>
      <c r="P301">
        <v>1908</v>
      </c>
      <c r="Q301">
        <v>19807</v>
      </c>
      <c r="R301">
        <v>3</v>
      </c>
      <c r="S301">
        <v>0</v>
      </c>
      <c r="T301">
        <v>0</v>
      </c>
      <c r="U301">
        <v>0</v>
      </c>
      <c r="V301">
        <v>33519</v>
      </c>
      <c r="W301">
        <v>274967</v>
      </c>
      <c r="X301">
        <v>9078</v>
      </c>
      <c r="Y301">
        <f t="shared" si="4"/>
        <v>274967</v>
      </c>
      <c r="Z301" t="str">
        <f>IF(ISNUMBER(SEARCH("Adjustment",$C301)),"excluded",IF($H301="Behind the Meter","excluded",IF(NOT(OR($E301="Bundled",$E301="Energy")),"excluded",IF(OR($H301="Retail Power Marketer",$H301="Community Choice Aggregator",$E301="Energy"),"procurement",IF(OR($H301="Municipal",$H301="Cooperative",$H301="Federal",$H301="State",$H301="Political Subdivision"),"cost_service",IF($H301="Investor Owned",IF(AND(COUNTIF(Parameters!$A$4:$A$33,$G301)&gt;0,COUNTIF(Parameters!$B$4:$B$33,$B301)=0),"procurement","cost_service"),"unclassified"))))))</f>
        <v>cost_service</v>
      </c>
    </row>
    <row r="302" spans="1:26" x14ac:dyDescent="0.25">
      <c r="A302">
        <v>2024</v>
      </c>
      <c r="B302">
        <v>4618</v>
      </c>
      <c r="C302" t="s">
        <v>410</v>
      </c>
      <c r="D302" t="s">
        <v>84</v>
      </c>
      <c r="E302" t="s">
        <v>85</v>
      </c>
      <c r="F302" t="s">
        <v>86</v>
      </c>
      <c r="G302" t="s">
        <v>112</v>
      </c>
      <c r="H302" t="s">
        <v>91</v>
      </c>
      <c r="I302" t="s">
        <v>89</v>
      </c>
      <c r="J302">
        <v>78419</v>
      </c>
      <c r="K302">
        <v>591417</v>
      </c>
      <c r="L302">
        <v>39779</v>
      </c>
      <c r="M302">
        <v>34728</v>
      </c>
      <c r="N302">
        <v>244981</v>
      </c>
      <c r="O302">
        <v>8619</v>
      </c>
      <c r="P302">
        <v>21828</v>
      </c>
      <c r="Q302">
        <v>274103</v>
      </c>
      <c r="R302">
        <v>14</v>
      </c>
      <c r="S302">
        <v>0</v>
      </c>
      <c r="T302">
        <v>0</v>
      </c>
      <c r="U302">
        <v>0</v>
      </c>
      <c r="V302">
        <v>134975</v>
      </c>
      <c r="W302">
        <v>1110501</v>
      </c>
      <c r="X302">
        <v>48412</v>
      </c>
      <c r="Y302">
        <f t="shared" si="4"/>
        <v>1110501</v>
      </c>
      <c r="Z302" t="str">
        <f>IF(ISNUMBER(SEARCH("Adjustment",$C302)),"excluded",IF($H302="Behind the Meter","excluded",IF(NOT(OR($E302="Bundled",$E302="Energy")),"excluded",IF(OR($H302="Retail Power Marketer",$H302="Community Choice Aggregator",$E302="Energy"),"procurement",IF(OR($H302="Municipal",$H302="Cooperative",$H302="Federal",$H302="State",$H302="Political Subdivision"),"cost_service",IF($H302="Investor Owned",IF(AND(COUNTIF(Parameters!$A$4:$A$33,$G302)&gt;0,COUNTIF(Parameters!$B$4:$B$33,$B302)=0),"procurement","cost_service"),"unclassified"))))))</f>
        <v>cost_service</v>
      </c>
    </row>
    <row r="303" spans="1:26" x14ac:dyDescent="0.25">
      <c r="A303">
        <v>2024</v>
      </c>
      <c r="B303">
        <v>4622</v>
      </c>
      <c r="C303" t="s">
        <v>411</v>
      </c>
      <c r="D303" t="s">
        <v>84</v>
      </c>
      <c r="E303" t="s">
        <v>85</v>
      </c>
      <c r="F303" t="s">
        <v>86</v>
      </c>
      <c r="G303" t="s">
        <v>209</v>
      </c>
      <c r="H303" t="s">
        <v>91</v>
      </c>
      <c r="I303" t="s">
        <v>92</v>
      </c>
      <c r="J303">
        <v>37629</v>
      </c>
      <c r="K303">
        <v>292418</v>
      </c>
      <c r="L303">
        <v>22478</v>
      </c>
      <c r="M303">
        <v>11538</v>
      </c>
      <c r="N303">
        <v>143506</v>
      </c>
      <c r="O303">
        <v>1627</v>
      </c>
      <c r="P303">
        <v>7742</v>
      </c>
      <c r="Q303">
        <v>82738</v>
      </c>
      <c r="R303">
        <v>77</v>
      </c>
      <c r="S303" t="s">
        <v>97</v>
      </c>
      <c r="T303" t="s">
        <v>97</v>
      </c>
      <c r="U303" t="s">
        <v>97</v>
      </c>
      <c r="V303">
        <v>56909</v>
      </c>
      <c r="W303">
        <v>518662</v>
      </c>
      <c r="X303">
        <v>24182</v>
      </c>
      <c r="Y303">
        <f t="shared" si="4"/>
        <v>518662</v>
      </c>
      <c r="Z303" t="str">
        <f>IF(ISNUMBER(SEARCH("Adjustment",$C303)),"excluded",IF($H303="Behind the Meter","excluded",IF(NOT(OR($E303="Bundled",$E303="Energy")),"excluded",IF(OR($H303="Retail Power Marketer",$H303="Community Choice Aggregator",$E303="Energy"),"procurement",IF(OR($H303="Municipal",$H303="Cooperative",$H303="Federal",$H303="State",$H303="Political Subdivision"),"cost_service",IF($H303="Investor Owned",IF(AND(COUNTIF(Parameters!$A$4:$A$33,$G303)&gt;0,COUNTIF(Parameters!$B$4:$B$33,$B303)=0),"procurement","cost_service"),"unclassified"))))))</f>
        <v>cost_service</v>
      </c>
    </row>
    <row r="304" spans="1:26" x14ac:dyDescent="0.25">
      <c r="A304">
        <v>2024</v>
      </c>
      <c r="B304">
        <v>4622</v>
      </c>
      <c r="C304" t="s">
        <v>411</v>
      </c>
      <c r="D304" t="s">
        <v>84</v>
      </c>
      <c r="E304" t="s">
        <v>85</v>
      </c>
      <c r="F304" t="s">
        <v>86</v>
      </c>
      <c r="G304" t="s">
        <v>156</v>
      </c>
      <c r="H304" t="s">
        <v>91</v>
      </c>
      <c r="I304" t="s">
        <v>92</v>
      </c>
      <c r="J304">
        <v>105</v>
      </c>
      <c r="K304">
        <v>734</v>
      </c>
      <c r="L304">
        <v>78</v>
      </c>
      <c r="M304" t="s">
        <v>97</v>
      </c>
      <c r="N304" t="s">
        <v>97</v>
      </c>
      <c r="O304" t="s">
        <v>97</v>
      </c>
      <c r="P304" t="s">
        <v>97</v>
      </c>
      <c r="Q304" t="s">
        <v>97</v>
      </c>
      <c r="R304" t="s">
        <v>97</v>
      </c>
      <c r="S304" t="s">
        <v>97</v>
      </c>
      <c r="T304" t="s">
        <v>97</v>
      </c>
      <c r="U304" t="s">
        <v>97</v>
      </c>
      <c r="V304">
        <v>105</v>
      </c>
      <c r="W304">
        <v>734</v>
      </c>
      <c r="X304">
        <v>78</v>
      </c>
      <c r="Y304">
        <f t="shared" si="4"/>
        <v>734</v>
      </c>
      <c r="Z304" t="str">
        <f>IF(ISNUMBER(SEARCH("Adjustment",$C304)),"excluded",IF($H304="Behind the Meter","excluded",IF(NOT(OR($E304="Bundled",$E304="Energy")),"excluded",IF(OR($H304="Retail Power Marketer",$H304="Community Choice Aggregator",$E304="Energy"),"procurement",IF(OR($H304="Municipal",$H304="Cooperative",$H304="Federal",$H304="State",$H304="Political Subdivision"),"cost_service",IF($H304="Investor Owned",IF(AND(COUNTIF(Parameters!$A$4:$A$33,$G304)&gt;0,COUNTIF(Parameters!$B$4:$B$33,$B304)=0),"procurement","cost_service"),"unclassified"))))))</f>
        <v>cost_service</v>
      </c>
    </row>
    <row r="305" spans="1:26" x14ac:dyDescent="0.25">
      <c r="A305">
        <v>2024</v>
      </c>
      <c r="B305">
        <v>4624</v>
      </c>
      <c r="C305" t="s">
        <v>412</v>
      </c>
      <c r="D305" t="s">
        <v>84</v>
      </c>
      <c r="E305" t="s">
        <v>85</v>
      </c>
      <c r="F305" t="s">
        <v>86</v>
      </c>
      <c r="G305" t="s">
        <v>156</v>
      </c>
      <c r="H305" t="s">
        <v>91</v>
      </c>
      <c r="I305" t="s">
        <v>89</v>
      </c>
      <c r="J305">
        <v>213610</v>
      </c>
      <c r="K305">
        <v>1643858</v>
      </c>
      <c r="L305">
        <v>100585</v>
      </c>
      <c r="M305">
        <v>73133</v>
      </c>
      <c r="N305">
        <v>565206</v>
      </c>
      <c r="O305">
        <v>11899</v>
      </c>
      <c r="P305">
        <v>45337</v>
      </c>
      <c r="Q305">
        <v>670899</v>
      </c>
      <c r="R305">
        <v>28</v>
      </c>
      <c r="S305">
        <v>0</v>
      </c>
      <c r="T305">
        <v>0</v>
      </c>
      <c r="U305">
        <v>0</v>
      </c>
      <c r="V305">
        <v>332080</v>
      </c>
      <c r="W305">
        <v>2879963</v>
      </c>
      <c r="X305">
        <v>112512</v>
      </c>
      <c r="Y305">
        <f t="shared" si="4"/>
        <v>2879963</v>
      </c>
      <c r="Z305" t="str">
        <f>IF(ISNUMBER(SEARCH("Adjustment",$C305)),"excluded",IF($H305="Behind the Meter","excluded",IF(NOT(OR($E305="Bundled",$E305="Energy")),"excluded",IF(OR($H305="Retail Power Marketer",$H305="Community Choice Aggregator",$E305="Energy"),"procurement",IF(OR($H305="Municipal",$H305="Cooperative",$H305="Federal",$H305="State",$H305="Political Subdivision"),"cost_service",IF($H305="Investor Owned",IF(AND(COUNTIF(Parameters!$A$4:$A$33,$G305)&gt;0,COUNTIF(Parameters!$B$4:$B$33,$B305)=0),"procurement","cost_service"),"unclassified"))))))</f>
        <v>cost_service</v>
      </c>
    </row>
    <row r="306" spans="1:26" x14ac:dyDescent="0.25">
      <c r="A306">
        <v>2024</v>
      </c>
      <c r="B306">
        <v>4671</v>
      </c>
      <c r="C306" t="s">
        <v>413</v>
      </c>
      <c r="D306" t="s">
        <v>84</v>
      </c>
      <c r="E306" t="s">
        <v>85</v>
      </c>
      <c r="F306" t="s">
        <v>86</v>
      </c>
      <c r="G306" t="s">
        <v>271</v>
      </c>
      <c r="H306" t="s">
        <v>205</v>
      </c>
      <c r="I306" t="s">
        <v>135</v>
      </c>
      <c r="J306">
        <v>9426.4</v>
      </c>
      <c r="K306">
        <v>74178</v>
      </c>
      <c r="L306">
        <v>4707</v>
      </c>
      <c r="M306">
        <v>6424</v>
      </c>
      <c r="N306">
        <v>51368</v>
      </c>
      <c r="O306">
        <v>1277</v>
      </c>
      <c r="P306">
        <v>13963.9</v>
      </c>
      <c r="Q306">
        <v>107359</v>
      </c>
      <c r="R306">
        <v>5062</v>
      </c>
      <c r="S306">
        <v>0</v>
      </c>
      <c r="T306">
        <v>0</v>
      </c>
      <c r="U306">
        <v>0</v>
      </c>
      <c r="V306">
        <v>29814.3</v>
      </c>
      <c r="W306">
        <v>232905</v>
      </c>
      <c r="X306">
        <v>11046</v>
      </c>
      <c r="Y306">
        <f t="shared" si="4"/>
        <v>232905</v>
      </c>
      <c r="Z306" t="str">
        <f>IF(ISNUMBER(SEARCH("Adjustment",$C306)),"excluded",IF($H306="Behind the Meter","excluded",IF(NOT(OR($E306="Bundled",$E306="Energy")),"excluded",IF(OR($H306="Retail Power Marketer",$H306="Community Choice Aggregator",$E306="Energy"),"procurement",IF(OR($H306="Municipal",$H306="Cooperative",$H306="Federal",$H306="State",$H306="Political Subdivision"),"cost_service",IF($H306="Investor Owned",IF(AND(COUNTIF(Parameters!$A$4:$A$33,$G306)&gt;0,COUNTIF(Parameters!$B$4:$B$33,$B306)=0),"procurement","cost_service"),"unclassified"))))))</f>
        <v>cost_service</v>
      </c>
    </row>
    <row r="307" spans="1:26" x14ac:dyDescent="0.25">
      <c r="A307">
        <v>2024</v>
      </c>
      <c r="B307">
        <v>4675</v>
      </c>
      <c r="C307" t="s">
        <v>414</v>
      </c>
      <c r="D307" t="s">
        <v>84</v>
      </c>
      <c r="E307" t="s">
        <v>85</v>
      </c>
      <c r="F307" t="s">
        <v>86</v>
      </c>
      <c r="G307" t="s">
        <v>226</v>
      </c>
      <c r="H307" t="s">
        <v>91</v>
      </c>
      <c r="I307" t="s">
        <v>227</v>
      </c>
      <c r="J307">
        <v>122727.7</v>
      </c>
      <c r="K307">
        <v>1108303</v>
      </c>
      <c r="L307">
        <v>72974</v>
      </c>
      <c r="M307">
        <v>5794.5</v>
      </c>
      <c r="N307">
        <v>50072</v>
      </c>
      <c r="O307">
        <v>1346</v>
      </c>
      <c r="P307">
        <v>19109.900000000001</v>
      </c>
      <c r="Q307">
        <v>236182</v>
      </c>
      <c r="R307">
        <v>233</v>
      </c>
      <c r="S307">
        <v>0</v>
      </c>
      <c r="T307">
        <v>0</v>
      </c>
      <c r="U307">
        <v>0</v>
      </c>
      <c r="V307">
        <v>147632.1</v>
      </c>
      <c r="W307">
        <v>1394557</v>
      </c>
      <c r="X307">
        <v>74553</v>
      </c>
      <c r="Y307">
        <f t="shared" si="4"/>
        <v>1394557</v>
      </c>
      <c r="Z307" t="str">
        <f>IF(ISNUMBER(SEARCH("Adjustment",$C307)),"excluded",IF($H307="Behind the Meter","excluded",IF(NOT(OR($E307="Bundled",$E307="Energy")),"excluded",IF(OR($H307="Retail Power Marketer",$H307="Community Choice Aggregator",$E307="Energy"),"procurement",IF(OR($H307="Municipal",$H307="Cooperative",$H307="Federal",$H307="State",$H307="Political Subdivision"),"cost_service",IF($H307="Investor Owned",IF(AND(COUNTIF(Parameters!$A$4:$A$33,$G307)&gt;0,COUNTIF(Parameters!$B$4:$B$33,$B307)=0),"procurement","cost_service"),"unclassified"))))))</f>
        <v>cost_service</v>
      </c>
    </row>
    <row r="308" spans="1:26" x14ac:dyDescent="0.25">
      <c r="A308">
        <v>2024</v>
      </c>
      <c r="B308">
        <v>4683</v>
      </c>
      <c r="C308" t="s">
        <v>415</v>
      </c>
      <c r="D308" t="s">
        <v>84</v>
      </c>
      <c r="E308" t="s">
        <v>85</v>
      </c>
      <c r="F308" t="s">
        <v>86</v>
      </c>
      <c r="G308" t="s">
        <v>54</v>
      </c>
      <c r="H308" t="s">
        <v>88</v>
      </c>
      <c r="I308" t="s">
        <v>92</v>
      </c>
      <c r="J308">
        <v>23284</v>
      </c>
      <c r="K308">
        <v>178861</v>
      </c>
      <c r="L308">
        <v>24349</v>
      </c>
      <c r="M308">
        <v>7324</v>
      </c>
      <c r="N308">
        <v>55945</v>
      </c>
      <c r="O308">
        <v>2235</v>
      </c>
      <c r="P308">
        <v>17897</v>
      </c>
      <c r="Q308">
        <v>156914</v>
      </c>
      <c r="R308">
        <v>199</v>
      </c>
      <c r="S308">
        <v>0</v>
      </c>
      <c r="T308">
        <v>0</v>
      </c>
      <c r="U308">
        <v>0</v>
      </c>
      <c r="V308">
        <v>48505</v>
      </c>
      <c r="W308">
        <v>391720</v>
      </c>
      <c r="X308">
        <v>26783</v>
      </c>
      <c r="Y308">
        <f t="shared" si="4"/>
        <v>391720</v>
      </c>
      <c r="Z308" t="str">
        <f>IF(ISNUMBER(SEARCH("Adjustment",$C308)),"excluded",IF($H308="Behind the Meter","excluded",IF(NOT(OR($E308="Bundled",$E308="Energy")),"excluded",IF(OR($H308="Retail Power Marketer",$H308="Community Choice Aggregator",$E308="Energy"),"procurement",IF(OR($H308="Municipal",$H308="Cooperative",$H308="Federal",$H308="State",$H308="Political Subdivision"),"cost_service",IF($H308="Investor Owned",IF(AND(COUNTIF(Parameters!$A$4:$A$33,$G308)&gt;0,COUNTIF(Parameters!$B$4:$B$33,$B308)=0),"procurement","cost_service"),"unclassified"))))))</f>
        <v>cost_service</v>
      </c>
    </row>
    <row r="309" spans="1:26" x14ac:dyDescent="0.25">
      <c r="A309">
        <v>2024</v>
      </c>
      <c r="B309">
        <v>4715</v>
      </c>
      <c r="C309" t="s">
        <v>416</v>
      </c>
      <c r="D309" t="s">
        <v>84</v>
      </c>
      <c r="E309" t="s">
        <v>85</v>
      </c>
      <c r="F309" t="s">
        <v>86</v>
      </c>
      <c r="G309" t="s">
        <v>95</v>
      </c>
      <c r="H309" t="s">
        <v>109</v>
      </c>
      <c r="I309" t="s">
        <v>96</v>
      </c>
      <c r="J309">
        <v>9135</v>
      </c>
      <c r="K309">
        <v>72394</v>
      </c>
      <c r="L309">
        <v>10939</v>
      </c>
      <c r="M309">
        <v>2311</v>
      </c>
      <c r="N309">
        <v>18931</v>
      </c>
      <c r="O309">
        <v>1286</v>
      </c>
      <c r="P309">
        <v>1406</v>
      </c>
      <c r="Q309">
        <v>14638</v>
      </c>
      <c r="R309">
        <v>33</v>
      </c>
      <c r="S309" t="s">
        <v>97</v>
      </c>
      <c r="T309" t="s">
        <v>97</v>
      </c>
      <c r="U309" t="s">
        <v>97</v>
      </c>
      <c r="V309">
        <v>12852</v>
      </c>
      <c r="W309">
        <v>105963</v>
      </c>
      <c r="X309">
        <v>12258</v>
      </c>
      <c r="Y309">
        <f t="shared" si="4"/>
        <v>105963</v>
      </c>
      <c r="Z309" t="str">
        <f>IF(ISNUMBER(SEARCH("Adjustment",$C309)),"excluded",IF($H309="Behind the Meter","excluded",IF(NOT(OR($E309="Bundled",$E309="Energy")),"excluded",IF(OR($H309="Retail Power Marketer",$H309="Community Choice Aggregator",$E309="Energy"),"procurement",IF(OR($H309="Municipal",$H309="Cooperative",$H309="Federal",$H309="State",$H309="Political Subdivision"),"cost_service",IF($H309="Investor Owned",IF(AND(COUNTIF(Parameters!$A$4:$A$33,$G309)&gt;0,COUNTIF(Parameters!$B$4:$B$33,$B309)=0),"procurement","cost_service"),"unclassified"))))))</f>
        <v>cost_service</v>
      </c>
    </row>
    <row r="310" spans="1:26" x14ac:dyDescent="0.25">
      <c r="A310">
        <v>2024</v>
      </c>
      <c r="B310">
        <v>4717</v>
      </c>
      <c r="C310" t="s">
        <v>417</v>
      </c>
      <c r="D310" t="s">
        <v>84</v>
      </c>
      <c r="E310" t="s">
        <v>85</v>
      </c>
      <c r="F310" t="s">
        <v>86</v>
      </c>
      <c r="G310" t="s">
        <v>198</v>
      </c>
      <c r="H310" t="s">
        <v>91</v>
      </c>
      <c r="I310" t="s">
        <v>96</v>
      </c>
      <c r="J310">
        <v>14650.3</v>
      </c>
      <c r="K310">
        <v>121970</v>
      </c>
      <c r="L310">
        <v>5721</v>
      </c>
      <c r="M310">
        <v>1203.2</v>
      </c>
      <c r="N310">
        <v>9139</v>
      </c>
      <c r="O310">
        <v>480</v>
      </c>
      <c r="P310">
        <v>42500.5</v>
      </c>
      <c r="Q310">
        <v>546465</v>
      </c>
      <c r="R310">
        <v>731</v>
      </c>
      <c r="S310">
        <v>0</v>
      </c>
      <c r="T310">
        <v>0</v>
      </c>
      <c r="U310">
        <v>0</v>
      </c>
      <c r="V310">
        <v>58354</v>
      </c>
      <c r="W310">
        <v>677574</v>
      </c>
      <c r="X310">
        <v>6932</v>
      </c>
      <c r="Y310">
        <f t="shared" si="4"/>
        <v>677574</v>
      </c>
      <c r="Z310" t="str">
        <f>IF(ISNUMBER(SEARCH("Adjustment",$C310)),"excluded",IF($H310="Behind the Meter","excluded",IF(NOT(OR($E310="Bundled",$E310="Energy")),"excluded",IF(OR($H310="Retail Power Marketer",$H310="Community Choice Aggregator",$E310="Energy"),"procurement",IF(OR($H310="Municipal",$H310="Cooperative",$H310="Federal",$H310="State",$H310="Political Subdivision"),"cost_service",IF($H310="Investor Owned",IF(AND(COUNTIF(Parameters!$A$4:$A$33,$G310)&gt;0,COUNTIF(Parameters!$B$4:$B$33,$B310)=0),"procurement","cost_service"),"unclassified"))))))</f>
        <v>cost_service</v>
      </c>
    </row>
    <row r="311" spans="1:26" x14ac:dyDescent="0.25">
      <c r="A311">
        <v>2024</v>
      </c>
      <c r="B311">
        <v>4720</v>
      </c>
      <c r="C311" t="s">
        <v>418</v>
      </c>
      <c r="D311" t="s">
        <v>84</v>
      </c>
      <c r="E311" t="s">
        <v>85</v>
      </c>
      <c r="F311" t="s">
        <v>86</v>
      </c>
      <c r="G311" t="s">
        <v>224</v>
      </c>
      <c r="H311" t="s">
        <v>91</v>
      </c>
      <c r="I311" t="s">
        <v>259</v>
      </c>
      <c r="J311">
        <v>9522.9</v>
      </c>
      <c r="K311">
        <v>62251</v>
      </c>
      <c r="L311">
        <v>3224</v>
      </c>
      <c r="M311">
        <v>4658.8</v>
      </c>
      <c r="N311">
        <v>47095</v>
      </c>
      <c r="O311">
        <v>406</v>
      </c>
      <c r="P311">
        <v>11976</v>
      </c>
      <c r="Q311">
        <v>154215</v>
      </c>
      <c r="R311">
        <v>8</v>
      </c>
      <c r="S311" t="s">
        <v>97</v>
      </c>
      <c r="T311" t="s">
        <v>97</v>
      </c>
      <c r="U311" t="s">
        <v>97</v>
      </c>
      <c r="V311">
        <v>26157.7</v>
      </c>
      <c r="W311">
        <v>263561</v>
      </c>
      <c r="X311">
        <v>3638</v>
      </c>
      <c r="Y311">
        <f t="shared" si="4"/>
        <v>263561</v>
      </c>
      <c r="Z311" t="str">
        <f>IF(ISNUMBER(SEARCH("Adjustment",$C311)),"excluded",IF($H311="Behind the Meter","excluded",IF(NOT(OR($E311="Bundled",$E311="Energy")),"excluded",IF(OR($H311="Retail Power Marketer",$H311="Community Choice Aggregator",$E311="Energy"),"procurement",IF(OR($H311="Municipal",$H311="Cooperative",$H311="Federal",$H311="State",$H311="Political Subdivision"),"cost_service",IF($H311="Investor Owned",IF(AND(COUNTIF(Parameters!$A$4:$A$33,$G311)&gt;0,COUNTIF(Parameters!$B$4:$B$33,$B311)=0),"procurement","cost_service"),"unclassified"))))))</f>
        <v>cost_service</v>
      </c>
    </row>
    <row r="312" spans="1:26" x14ac:dyDescent="0.25">
      <c r="A312">
        <v>2024</v>
      </c>
      <c r="B312">
        <v>4743</v>
      </c>
      <c r="C312" t="s">
        <v>419</v>
      </c>
      <c r="D312" t="s">
        <v>84</v>
      </c>
      <c r="E312" t="s">
        <v>85</v>
      </c>
      <c r="F312" t="s">
        <v>86</v>
      </c>
      <c r="G312" t="s">
        <v>219</v>
      </c>
      <c r="H312" t="s">
        <v>91</v>
      </c>
      <c r="I312" t="s">
        <v>206</v>
      </c>
      <c r="J312">
        <v>34405.699999999997</v>
      </c>
      <c r="K312">
        <v>264443</v>
      </c>
      <c r="L312">
        <v>18751</v>
      </c>
      <c r="M312">
        <v>12879.6</v>
      </c>
      <c r="N312">
        <v>104148</v>
      </c>
      <c r="O312">
        <v>4496</v>
      </c>
      <c r="P312">
        <v>3977.6</v>
      </c>
      <c r="Q312">
        <v>42198</v>
      </c>
      <c r="R312">
        <v>522</v>
      </c>
      <c r="S312" t="s">
        <v>97</v>
      </c>
      <c r="T312" t="s">
        <v>97</v>
      </c>
      <c r="U312" t="s">
        <v>97</v>
      </c>
      <c r="V312">
        <v>51262.9</v>
      </c>
      <c r="W312">
        <v>410789</v>
      </c>
      <c r="X312">
        <v>23769</v>
      </c>
      <c r="Y312">
        <f t="shared" si="4"/>
        <v>410789</v>
      </c>
      <c r="Z312" t="str">
        <f>IF(ISNUMBER(SEARCH("Adjustment",$C312)),"excluded",IF($H312="Behind the Meter","excluded",IF(NOT(OR($E312="Bundled",$E312="Energy")),"excluded",IF(OR($H312="Retail Power Marketer",$H312="Community Choice Aggregator",$E312="Energy"),"procurement",IF(OR($H312="Municipal",$H312="Cooperative",$H312="Federal",$H312="State",$H312="Political Subdivision"),"cost_service",IF($H312="Investor Owned",IF(AND(COUNTIF(Parameters!$A$4:$A$33,$G312)&gt;0,COUNTIF(Parameters!$B$4:$B$33,$B312)=0),"procurement","cost_service"),"unclassified"))))))</f>
        <v>cost_service</v>
      </c>
    </row>
    <row r="313" spans="1:26" x14ac:dyDescent="0.25">
      <c r="A313">
        <v>2024</v>
      </c>
      <c r="B313">
        <v>4744</v>
      </c>
      <c r="C313" t="s">
        <v>420</v>
      </c>
      <c r="D313" t="s">
        <v>84</v>
      </c>
      <c r="E313" t="s">
        <v>85</v>
      </c>
      <c r="F313" t="s">
        <v>86</v>
      </c>
      <c r="G313" t="s">
        <v>123</v>
      </c>
      <c r="H313" t="s">
        <v>88</v>
      </c>
      <c r="I313" t="s">
        <v>113</v>
      </c>
      <c r="J313">
        <v>15788</v>
      </c>
      <c r="K313">
        <v>156755</v>
      </c>
      <c r="L313">
        <v>13482</v>
      </c>
      <c r="M313">
        <v>110515</v>
      </c>
      <c r="N313">
        <v>1979990</v>
      </c>
      <c r="O313">
        <v>4316</v>
      </c>
      <c r="P313">
        <v>63892</v>
      </c>
      <c r="Q313">
        <v>1160079</v>
      </c>
      <c r="R313">
        <v>224</v>
      </c>
      <c r="S313" t="s">
        <v>97</v>
      </c>
      <c r="T313" t="s">
        <v>97</v>
      </c>
      <c r="U313" t="s">
        <v>97</v>
      </c>
      <c r="V313">
        <v>190195</v>
      </c>
      <c r="W313">
        <v>3296824</v>
      </c>
      <c r="X313">
        <v>18022</v>
      </c>
      <c r="Y313">
        <f t="shared" si="4"/>
        <v>3296824</v>
      </c>
      <c r="Z313" t="str">
        <f>IF(ISNUMBER(SEARCH("Adjustment",$C313)),"excluded",IF($H313="Behind the Meter","excluded",IF(NOT(OR($E313="Bundled",$E313="Energy")),"excluded",IF(OR($H313="Retail Power Marketer",$H313="Community Choice Aggregator",$E313="Energy"),"procurement",IF(OR($H313="Municipal",$H313="Cooperative",$H313="Federal",$H313="State",$H313="Political Subdivision"),"cost_service",IF($H313="Investor Owned",IF(AND(COUNTIF(Parameters!$A$4:$A$33,$G313)&gt;0,COUNTIF(Parameters!$B$4:$B$33,$B313)=0),"procurement","cost_service"),"unclassified"))))))</f>
        <v>cost_service</v>
      </c>
    </row>
    <row r="314" spans="1:26" x14ac:dyDescent="0.25">
      <c r="A314">
        <v>2024</v>
      </c>
      <c r="B314">
        <v>4794</v>
      </c>
      <c r="C314" t="s">
        <v>421</v>
      </c>
      <c r="D314" t="s">
        <v>84</v>
      </c>
      <c r="E314" t="s">
        <v>85</v>
      </c>
      <c r="F314" t="s">
        <v>86</v>
      </c>
      <c r="G314" t="s">
        <v>93</v>
      </c>
      <c r="H314" t="s">
        <v>88</v>
      </c>
      <c r="I314" t="s">
        <v>92</v>
      </c>
      <c r="J314">
        <v>67661.600000000006</v>
      </c>
      <c r="K314">
        <v>450854</v>
      </c>
      <c r="L314">
        <v>37781</v>
      </c>
      <c r="M314">
        <v>30513.3</v>
      </c>
      <c r="N314">
        <v>282358</v>
      </c>
      <c r="O314">
        <v>5174</v>
      </c>
      <c r="P314">
        <v>17181.900000000001</v>
      </c>
      <c r="Q314">
        <v>236969</v>
      </c>
      <c r="R314">
        <v>29</v>
      </c>
      <c r="S314" t="s">
        <v>97</v>
      </c>
      <c r="T314" t="s">
        <v>97</v>
      </c>
      <c r="U314" t="s">
        <v>97</v>
      </c>
      <c r="V314">
        <v>115356.8</v>
      </c>
      <c r="W314">
        <v>970181</v>
      </c>
      <c r="X314">
        <v>42984</v>
      </c>
      <c r="Y314">
        <f t="shared" si="4"/>
        <v>970181</v>
      </c>
      <c r="Z314" t="str">
        <f>IF(ISNUMBER(SEARCH("Adjustment",$C314)),"excluded",IF($H314="Behind the Meter","excluded",IF(NOT(OR($E314="Bundled",$E314="Energy")),"excluded",IF(OR($H314="Retail Power Marketer",$H314="Community Choice Aggregator",$E314="Energy"),"procurement",IF(OR($H314="Municipal",$H314="Cooperative",$H314="Federal",$H314="State",$H314="Political Subdivision"),"cost_service",IF($H314="Investor Owned",IF(AND(COUNTIF(Parameters!$A$4:$A$33,$G314)&gt;0,COUNTIF(Parameters!$B$4:$B$33,$B314)=0),"procurement","cost_service"),"unclassified"))))))</f>
        <v>cost_service</v>
      </c>
    </row>
    <row r="315" spans="1:26" x14ac:dyDescent="0.25">
      <c r="A315">
        <v>2024</v>
      </c>
      <c r="B315">
        <v>4848</v>
      </c>
      <c r="C315" t="s">
        <v>422</v>
      </c>
      <c r="D315" t="s">
        <v>84</v>
      </c>
      <c r="E315" t="s">
        <v>85</v>
      </c>
      <c r="F315" t="s">
        <v>86</v>
      </c>
      <c r="G315" t="s">
        <v>130</v>
      </c>
      <c r="H315" t="s">
        <v>91</v>
      </c>
      <c r="I315" t="s">
        <v>96</v>
      </c>
      <c r="J315">
        <v>18346</v>
      </c>
      <c r="K315">
        <v>121109</v>
      </c>
      <c r="L315">
        <v>7975</v>
      </c>
      <c r="M315">
        <v>4484</v>
      </c>
      <c r="N315">
        <v>31743</v>
      </c>
      <c r="O315">
        <v>551</v>
      </c>
      <c r="P315">
        <v>20633</v>
      </c>
      <c r="Q315">
        <v>251524</v>
      </c>
      <c r="R315">
        <v>3</v>
      </c>
      <c r="S315" t="s">
        <v>97</v>
      </c>
      <c r="T315" t="s">
        <v>97</v>
      </c>
      <c r="U315" t="s">
        <v>97</v>
      </c>
      <c r="V315">
        <v>43463</v>
      </c>
      <c r="W315">
        <v>404376</v>
      </c>
      <c r="X315">
        <v>8529</v>
      </c>
      <c r="Y315">
        <f t="shared" si="4"/>
        <v>404376</v>
      </c>
      <c r="Z315" t="str">
        <f>IF(ISNUMBER(SEARCH("Adjustment",$C315)),"excluded",IF($H315="Behind the Meter","excluded",IF(NOT(OR($E315="Bundled",$E315="Energy")),"excluded",IF(OR($H315="Retail Power Marketer",$H315="Community Choice Aggregator",$E315="Energy"),"procurement",IF(OR($H315="Municipal",$H315="Cooperative",$H315="Federal",$H315="State",$H315="Political Subdivision"),"cost_service",IF($H315="Investor Owned",IF(AND(COUNTIF(Parameters!$A$4:$A$33,$G315)&gt;0,COUNTIF(Parameters!$B$4:$B$33,$B315)=0),"procurement","cost_service"),"unclassified"))))))</f>
        <v>cost_service</v>
      </c>
    </row>
    <row r="316" spans="1:26" x14ac:dyDescent="0.25">
      <c r="A316">
        <v>2024</v>
      </c>
      <c r="B316">
        <v>4911</v>
      </c>
      <c r="C316" t="s">
        <v>423</v>
      </c>
      <c r="D316" t="s">
        <v>84</v>
      </c>
      <c r="E316" t="s">
        <v>85</v>
      </c>
      <c r="F316" t="s">
        <v>86</v>
      </c>
      <c r="G316" t="s">
        <v>271</v>
      </c>
      <c r="H316" t="s">
        <v>205</v>
      </c>
      <c r="I316" t="s">
        <v>135</v>
      </c>
      <c r="J316">
        <v>27989.200000000001</v>
      </c>
      <c r="K316">
        <v>245306</v>
      </c>
      <c r="L316">
        <v>16080</v>
      </c>
      <c r="M316">
        <v>7451.7</v>
      </c>
      <c r="N316">
        <v>71275</v>
      </c>
      <c r="O316">
        <v>1523</v>
      </c>
      <c r="P316">
        <v>29430</v>
      </c>
      <c r="Q316">
        <v>234786</v>
      </c>
      <c r="R316">
        <v>5858</v>
      </c>
      <c r="S316" t="s">
        <v>97</v>
      </c>
      <c r="T316" t="s">
        <v>97</v>
      </c>
      <c r="U316" t="s">
        <v>97</v>
      </c>
      <c r="V316">
        <v>64870.9</v>
      </c>
      <c r="W316">
        <v>551367</v>
      </c>
      <c r="X316">
        <v>23461</v>
      </c>
      <c r="Y316">
        <f t="shared" si="4"/>
        <v>551367</v>
      </c>
      <c r="Z316" t="str">
        <f>IF(ISNUMBER(SEARCH("Adjustment",$C316)),"excluded",IF($H316="Behind the Meter","excluded",IF(NOT(OR($E316="Bundled",$E316="Energy")),"excluded",IF(OR($H316="Retail Power Marketer",$H316="Community Choice Aggregator",$E316="Energy"),"procurement",IF(OR($H316="Municipal",$H316="Cooperative",$H316="Federal",$H316="State",$H316="Political Subdivision"),"cost_service",IF($H316="Investor Owned",IF(AND(COUNTIF(Parameters!$A$4:$A$33,$G316)&gt;0,COUNTIF(Parameters!$B$4:$B$33,$B316)=0),"procurement","cost_service"),"unclassified"))))))</f>
        <v>cost_service</v>
      </c>
    </row>
    <row r="317" spans="1:26" x14ac:dyDescent="0.25">
      <c r="A317">
        <v>2024</v>
      </c>
      <c r="B317">
        <v>4920</v>
      </c>
      <c r="C317" t="s">
        <v>424</v>
      </c>
      <c r="D317" t="s">
        <v>84</v>
      </c>
      <c r="E317" t="s">
        <v>85</v>
      </c>
      <c r="F317" t="s">
        <v>86</v>
      </c>
      <c r="G317" t="s">
        <v>156</v>
      </c>
      <c r="H317" t="s">
        <v>88</v>
      </c>
      <c r="I317" t="s">
        <v>89</v>
      </c>
      <c r="J317">
        <v>13972</v>
      </c>
      <c r="K317">
        <v>116633</v>
      </c>
      <c r="L317">
        <v>9053</v>
      </c>
      <c r="M317">
        <v>11635</v>
      </c>
      <c r="N317">
        <v>91097</v>
      </c>
      <c r="O317">
        <v>2356</v>
      </c>
      <c r="P317">
        <v>6054</v>
      </c>
      <c r="Q317">
        <v>91526</v>
      </c>
      <c r="R317">
        <v>5</v>
      </c>
      <c r="S317">
        <v>0</v>
      </c>
      <c r="T317">
        <v>0</v>
      </c>
      <c r="U317">
        <v>0</v>
      </c>
      <c r="V317">
        <v>31661</v>
      </c>
      <c r="W317">
        <v>299256</v>
      </c>
      <c r="X317">
        <v>11414</v>
      </c>
      <c r="Y317">
        <f t="shared" si="4"/>
        <v>299256</v>
      </c>
      <c r="Z317" t="str">
        <f>IF(ISNUMBER(SEARCH("Adjustment",$C317)),"excluded",IF($H317="Behind the Meter","excluded",IF(NOT(OR($E317="Bundled",$E317="Energy")),"excluded",IF(OR($H317="Retail Power Marketer",$H317="Community Choice Aggregator",$E317="Energy"),"procurement",IF(OR($H317="Municipal",$H317="Cooperative",$H317="Federal",$H317="State",$H317="Political Subdivision"),"cost_service",IF($H317="Investor Owned",IF(AND(COUNTIF(Parameters!$A$4:$A$33,$G317)&gt;0,COUNTIF(Parameters!$B$4:$B$33,$B317)=0),"procurement","cost_service"),"unclassified"))))))</f>
        <v>cost_service</v>
      </c>
    </row>
    <row r="318" spans="1:26" x14ac:dyDescent="0.25">
      <c r="A318">
        <v>2024</v>
      </c>
      <c r="B318">
        <v>4922</v>
      </c>
      <c r="C318" t="s">
        <v>425</v>
      </c>
      <c r="D318" t="s">
        <v>84</v>
      </c>
      <c r="E318" t="s">
        <v>85</v>
      </c>
      <c r="F318" t="s">
        <v>86</v>
      </c>
      <c r="G318" t="s">
        <v>54</v>
      </c>
      <c r="H318" t="s">
        <v>109</v>
      </c>
      <c r="I318" t="s">
        <v>92</v>
      </c>
      <c r="J318">
        <v>223026</v>
      </c>
      <c r="K318">
        <v>1455682</v>
      </c>
      <c r="L318">
        <v>132522</v>
      </c>
      <c r="M318">
        <v>53784</v>
      </c>
      <c r="N318">
        <v>387706</v>
      </c>
      <c r="O318">
        <v>11039</v>
      </c>
      <c r="P318">
        <v>12683</v>
      </c>
      <c r="Q318">
        <v>94916</v>
      </c>
      <c r="R318">
        <v>184</v>
      </c>
      <c r="S318">
        <v>0</v>
      </c>
      <c r="T318">
        <v>0</v>
      </c>
      <c r="U318">
        <v>0</v>
      </c>
      <c r="V318">
        <v>289493</v>
      </c>
      <c r="W318">
        <v>1938304</v>
      </c>
      <c r="X318">
        <v>143745</v>
      </c>
      <c r="Y318">
        <f t="shared" si="4"/>
        <v>1938304</v>
      </c>
      <c r="Z318" t="str">
        <f>IF(ISNUMBER(SEARCH("Adjustment",$C318)),"excluded",IF($H318="Behind the Meter","excluded",IF(NOT(OR($E318="Bundled",$E318="Energy")),"excluded",IF(OR($H318="Retail Power Marketer",$H318="Community Choice Aggregator",$E318="Energy"),"procurement",IF(OR($H318="Municipal",$H318="Cooperative",$H318="Federal",$H318="State",$H318="Political Subdivision"),"cost_service",IF($H318="Investor Owned",IF(AND(COUNTIF(Parameters!$A$4:$A$33,$G318)&gt;0,COUNTIF(Parameters!$B$4:$B$33,$B318)=0),"procurement","cost_service"),"unclassified"))))))</f>
        <v>procurement</v>
      </c>
    </row>
    <row r="319" spans="1:26" x14ac:dyDescent="0.25">
      <c r="A319">
        <v>2024</v>
      </c>
      <c r="B319">
        <v>4922</v>
      </c>
      <c r="C319" t="s">
        <v>425</v>
      </c>
      <c r="D319" t="s">
        <v>167</v>
      </c>
      <c r="E319" t="s">
        <v>168</v>
      </c>
      <c r="F319" t="s">
        <v>86</v>
      </c>
      <c r="G319" t="s">
        <v>54</v>
      </c>
      <c r="H319" t="s">
        <v>109</v>
      </c>
      <c r="I319" t="s">
        <v>92</v>
      </c>
      <c r="J319">
        <v>229159</v>
      </c>
      <c r="K319">
        <v>3836441</v>
      </c>
      <c r="L319">
        <v>346219</v>
      </c>
      <c r="M319">
        <v>135240</v>
      </c>
      <c r="N319">
        <v>4517943</v>
      </c>
      <c r="O319">
        <v>49375</v>
      </c>
      <c r="P319">
        <v>54549</v>
      </c>
      <c r="Q319">
        <v>3521813</v>
      </c>
      <c r="R319">
        <v>1496</v>
      </c>
      <c r="S319">
        <v>70</v>
      </c>
      <c r="T319">
        <v>3073</v>
      </c>
      <c r="U319">
        <v>1</v>
      </c>
      <c r="V319">
        <v>419018</v>
      </c>
      <c r="W319">
        <v>11879270</v>
      </c>
      <c r="X319">
        <v>397091</v>
      </c>
      <c r="Y319">
        <f t="shared" si="4"/>
        <v>11879270</v>
      </c>
      <c r="Z319" t="str">
        <f>IF(ISNUMBER(SEARCH("Adjustment",$C319)),"excluded",IF($H319="Behind the Meter","excluded",IF(NOT(OR($E319="Bundled",$E319="Energy")),"excluded",IF(OR($H319="Retail Power Marketer",$H319="Community Choice Aggregator",$E319="Energy"),"procurement",IF(OR($H319="Municipal",$H319="Cooperative",$H319="Federal",$H319="State",$H319="Political Subdivision"),"cost_service",IF($H319="Investor Owned",IF(AND(COUNTIF(Parameters!$A$4:$A$33,$G319)&gt;0,COUNTIF(Parameters!$B$4:$B$33,$B319)=0),"procurement","cost_service"),"unclassified"))))))</f>
        <v>excluded</v>
      </c>
    </row>
    <row r="320" spans="1:26" x14ac:dyDescent="0.25">
      <c r="A320">
        <v>2024</v>
      </c>
      <c r="B320">
        <v>4939</v>
      </c>
      <c r="C320" t="s">
        <v>426</v>
      </c>
      <c r="D320" t="s">
        <v>84</v>
      </c>
      <c r="E320" t="s">
        <v>85</v>
      </c>
      <c r="F320" t="s">
        <v>86</v>
      </c>
      <c r="G320" t="s">
        <v>57</v>
      </c>
      <c r="H320" t="s">
        <v>91</v>
      </c>
      <c r="I320" t="s">
        <v>135</v>
      </c>
      <c r="J320">
        <v>4921.8999999999996</v>
      </c>
      <c r="K320">
        <v>55734</v>
      </c>
      <c r="L320">
        <v>5333</v>
      </c>
      <c r="M320">
        <v>8108.4</v>
      </c>
      <c r="N320">
        <v>150741</v>
      </c>
      <c r="O320">
        <v>1522</v>
      </c>
      <c r="P320">
        <v>42132.800000000003</v>
      </c>
      <c r="Q320">
        <v>602401</v>
      </c>
      <c r="R320">
        <v>8457</v>
      </c>
      <c r="S320" t="s">
        <v>97</v>
      </c>
      <c r="T320" t="s">
        <v>97</v>
      </c>
      <c r="U320" t="s">
        <v>97</v>
      </c>
      <c r="V320">
        <v>55163.1</v>
      </c>
      <c r="W320">
        <v>808876</v>
      </c>
      <c r="X320">
        <v>15312</v>
      </c>
      <c r="Y320">
        <f t="shared" si="4"/>
        <v>808876</v>
      </c>
      <c r="Z320" t="str">
        <f>IF(ISNUMBER(SEARCH("Adjustment",$C320)),"excluded",IF($H320="Behind the Meter","excluded",IF(NOT(OR($E320="Bundled",$E320="Energy")),"excluded",IF(OR($H320="Retail Power Marketer",$H320="Community Choice Aggregator",$E320="Energy"),"procurement",IF(OR($H320="Municipal",$H320="Cooperative",$H320="Federal",$H320="State",$H320="Political Subdivision"),"cost_service",IF($H320="Investor Owned",IF(AND(COUNTIF(Parameters!$A$4:$A$33,$G320)&gt;0,COUNTIF(Parameters!$B$4:$B$33,$B320)=0),"procurement","cost_service"),"unclassified"))))))</f>
        <v>cost_service</v>
      </c>
    </row>
    <row r="321" spans="1:26" x14ac:dyDescent="0.25">
      <c r="A321">
        <v>2024</v>
      </c>
      <c r="B321">
        <v>4958</v>
      </c>
      <c r="C321" t="s">
        <v>427</v>
      </c>
      <c r="D321" t="s">
        <v>84</v>
      </c>
      <c r="E321" t="s">
        <v>85</v>
      </c>
      <c r="F321" t="s">
        <v>86</v>
      </c>
      <c r="G321" t="s">
        <v>112</v>
      </c>
      <c r="H321" t="s">
        <v>88</v>
      </c>
      <c r="I321" t="s">
        <v>89</v>
      </c>
      <c r="J321">
        <v>35773</v>
      </c>
      <c r="K321">
        <v>320833</v>
      </c>
      <c r="L321">
        <v>22820</v>
      </c>
      <c r="M321">
        <v>33558</v>
      </c>
      <c r="N321">
        <v>304667</v>
      </c>
      <c r="O321">
        <v>4104</v>
      </c>
      <c r="P321">
        <v>31357</v>
      </c>
      <c r="Q321">
        <v>532532</v>
      </c>
      <c r="R321">
        <v>11</v>
      </c>
      <c r="S321">
        <v>0</v>
      </c>
      <c r="T321">
        <v>0</v>
      </c>
      <c r="U321">
        <v>0</v>
      </c>
      <c r="V321">
        <v>100688</v>
      </c>
      <c r="W321">
        <v>1158032</v>
      </c>
      <c r="X321">
        <v>26935</v>
      </c>
      <c r="Y321">
        <f t="shared" si="4"/>
        <v>1158032</v>
      </c>
      <c r="Z321" t="str">
        <f>IF(ISNUMBER(SEARCH("Adjustment",$C321)),"excluded",IF($H321="Behind the Meter","excluded",IF(NOT(OR($E321="Bundled",$E321="Energy")),"excluded",IF(OR($H321="Retail Power Marketer",$H321="Community Choice Aggregator",$E321="Energy"),"procurement",IF(OR($H321="Municipal",$H321="Cooperative",$H321="Federal",$H321="State",$H321="Political Subdivision"),"cost_service",IF($H321="Investor Owned",IF(AND(COUNTIF(Parameters!$A$4:$A$33,$G321)&gt;0,COUNTIF(Parameters!$B$4:$B$33,$B321)=0),"procurement","cost_service"),"unclassified"))))))</f>
        <v>cost_service</v>
      </c>
    </row>
    <row r="322" spans="1:26" x14ac:dyDescent="0.25">
      <c r="A322">
        <v>2024</v>
      </c>
      <c r="B322">
        <v>4960</v>
      </c>
      <c r="C322" t="s">
        <v>428</v>
      </c>
      <c r="D322" t="s">
        <v>84</v>
      </c>
      <c r="E322" t="s">
        <v>85</v>
      </c>
      <c r="F322" t="s">
        <v>86</v>
      </c>
      <c r="G322" t="s">
        <v>130</v>
      </c>
      <c r="H322" t="s">
        <v>91</v>
      </c>
      <c r="I322" t="s">
        <v>96</v>
      </c>
      <c r="J322">
        <v>17960.599999999999</v>
      </c>
      <c r="K322">
        <v>113442</v>
      </c>
      <c r="L322">
        <v>8088</v>
      </c>
      <c r="M322">
        <v>4648.3</v>
      </c>
      <c r="N322">
        <v>37182</v>
      </c>
      <c r="O322">
        <v>213</v>
      </c>
      <c r="P322">
        <v>17903</v>
      </c>
      <c r="Q322">
        <v>200436</v>
      </c>
      <c r="R322">
        <v>6</v>
      </c>
      <c r="S322" t="s">
        <v>97</v>
      </c>
      <c r="T322" t="s">
        <v>97</v>
      </c>
      <c r="U322" t="s">
        <v>97</v>
      </c>
      <c r="V322">
        <v>40511.9</v>
      </c>
      <c r="W322">
        <v>351060</v>
      </c>
      <c r="X322">
        <v>8307</v>
      </c>
      <c r="Y322">
        <f t="shared" si="4"/>
        <v>351060</v>
      </c>
      <c r="Z322" t="str">
        <f>IF(ISNUMBER(SEARCH("Adjustment",$C322)),"excluded",IF($H322="Behind the Meter","excluded",IF(NOT(OR($E322="Bundled",$E322="Energy")),"excluded",IF(OR($H322="Retail Power Marketer",$H322="Community Choice Aggregator",$E322="Energy"),"procurement",IF(OR($H322="Municipal",$H322="Cooperative",$H322="Federal",$H322="State",$H322="Political Subdivision"),"cost_service",IF($H322="Investor Owned",IF(AND(COUNTIF(Parameters!$A$4:$A$33,$G322)&gt;0,COUNTIF(Parameters!$B$4:$B$33,$B322)=0),"procurement","cost_service"),"unclassified"))))))</f>
        <v>cost_service</v>
      </c>
    </row>
    <row r="323" spans="1:26" x14ac:dyDescent="0.25">
      <c r="A323">
        <v>2024</v>
      </c>
      <c r="B323">
        <v>4975</v>
      </c>
      <c r="C323" t="s">
        <v>429</v>
      </c>
      <c r="D323" t="s">
        <v>84</v>
      </c>
      <c r="E323" t="s">
        <v>85</v>
      </c>
      <c r="F323" t="s">
        <v>86</v>
      </c>
      <c r="G323" t="s">
        <v>57</v>
      </c>
      <c r="H323" t="s">
        <v>91</v>
      </c>
      <c r="I323" t="s">
        <v>96</v>
      </c>
      <c r="J323">
        <v>63407</v>
      </c>
      <c r="K323">
        <v>483986</v>
      </c>
      <c r="L323">
        <v>40404</v>
      </c>
      <c r="M323">
        <v>24234</v>
      </c>
      <c r="N323">
        <v>203246</v>
      </c>
      <c r="O323">
        <v>4924</v>
      </c>
      <c r="P323">
        <v>9577</v>
      </c>
      <c r="Q323">
        <v>136951</v>
      </c>
      <c r="R323">
        <v>25</v>
      </c>
      <c r="S323" t="s">
        <v>97</v>
      </c>
      <c r="T323" t="s">
        <v>97</v>
      </c>
      <c r="U323" t="s">
        <v>97</v>
      </c>
      <c r="V323">
        <v>97218</v>
      </c>
      <c r="W323">
        <v>824183</v>
      </c>
      <c r="X323">
        <v>45353</v>
      </c>
      <c r="Y323">
        <f t="shared" si="4"/>
        <v>824183</v>
      </c>
      <c r="Z323" t="str">
        <f>IF(ISNUMBER(SEARCH("Adjustment",$C323)),"excluded",IF($H323="Behind the Meter","excluded",IF(NOT(OR($E323="Bundled",$E323="Energy")),"excluded",IF(OR($H323="Retail Power Marketer",$H323="Community Choice Aggregator",$E323="Energy"),"procurement",IF(OR($H323="Municipal",$H323="Cooperative",$H323="Federal",$H323="State",$H323="Political Subdivision"),"cost_service",IF($H323="Investor Owned",IF(AND(COUNTIF(Parameters!$A$4:$A$33,$G323)&gt;0,COUNTIF(Parameters!$B$4:$B$33,$B323)=0),"procurement","cost_service"),"unclassified"))))))</f>
        <v>cost_service</v>
      </c>
    </row>
    <row r="324" spans="1:26" x14ac:dyDescent="0.25">
      <c r="A324">
        <v>2024</v>
      </c>
      <c r="B324">
        <v>5027</v>
      </c>
      <c r="C324" t="s">
        <v>430</v>
      </c>
      <c r="D324" t="s">
        <v>84</v>
      </c>
      <c r="E324" t="s">
        <v>85</v>
      </c>
      <c r="F324" t="s">
        <v>86</v>
      </c>
      <c r="G324" t="s">
        <v>44</v>
      </c>
      <c r="H324" t="s">
        <v>109</v>
      </c>
      <c r="I324" t="s">
        <v>92</v>
      </c>
      <c r="J324">
        <v>502490.3</v>
      </c>
      <c r="K324">
        <v>2916139</v>
      </c>
      <c r="L324">
        <v>275018</v>
      </c>
      <c r="M324">
        <v>143772.70000000001</v>
      </c>
      <c r="N324">
        <v>869426</v>
      </c>
      <c r="O324">
        <v>26154</v>
      </c>
      <c r="P324">
        <v>1453.7</v>
      </c>
      <c r="Q324">
        <v>16425</v>
      </c>
      <c r="R324">
        <v>38</v>
      </c>
      <c r="S324">
        <v>0</v>
      </c>
      <c r="T324">
        <v>0</v>
      </c>
      <c r="U324">
        <v>0</v>
      </c>
      <c r="V324">
        <v>647716.69999999995</v>
      </c>
      <c r="W324">
        <v>3801990</v>
      </c>
      <c r="X324">
        <v>301210</v>
      </c>
      <c r="Y324">
        <f t="shared" ref="Y324:Y387" si="5">IF(ISNUMBER($W324),$W324,0)</f>
        <v>3801990</v>
      </c>
      <c r="Z324" t="str">
        <f>IF(ISNUMBER(SEARCH("Adjustment",$C324)),"excluded",IF($H324="Behind the Meter","excluded",IF(NOT(OR($E324="Bundled",$E324="Energy")),"excluded",IF(OR($H324="Retail Power Marketer",$H324="Community Choice Aggregator",$E324="Energy"),"procurement",IF(OR($H324="Municipal",$H324="Cooperative",$H324="Federal",$H324="State",$H324="Political Subdivision"),"cost_service",IF($H324="Investor Owned",IF(AND(COUNTIF(Parameters!$A$4:$A$33,$G324)&gt;0,COUNTIF(Parameters!$B$4:$B$33,$B324)=0),"procurement","cost_service"),"unclassified"))))))</f>
        <v>procurement</v>
      </c>
    </row>
    <row r="325" spans="1:26" x14ac:dyDescent="0.25">
      <c r="A325">
        <v>2024</v>
      </c>
      <c r="B325">
        <v>5027</v>
      </c>
      <c r="C325" t="s">
        <v>430</v>
      </c>
      <c r="D325" t="s">
        <v>84</v>
      </c>
      <c r="E325" t="s">
        <v>85</v>
      </c>
      <c r="F325" t="s">
        <v>86</v>
      </c>
      <c r="G325" t="s">
        <v>49</v>
      </c>
      <c r="H325" t="s">
        <v>109</v>
      </c>
      <c r="I325" t="s">
        <v>92</v>
      </c>
      <c r="J325">
        <v>393798.5</v>
      </c>
      <c r="K325">
        <v>1947292</v>
      </c>
      <c r="L325">
        <v>172008</v>
      </c>
      <c r="M325">
        <v>81293.600000000006</v>
      </c>
      <c r="N325">
        <v>410291</v>
      </c>
      <c r="O325">
        <v>17890</v>
      </c>
      <c r="P325">
        <v>1309.5</v>
      </c>
      <c r="Q325">
        <v>6725</v>
      </c>
      <c r="R325">
        <v>45</v>
      </c>
      <c r="S325">
        <v>0</v>
      </c>
      <c r="T325">
        <v>0</v>
      </c>
      <c r="U325">
        <v>0</v>
      </c>
      <c r="V325">
        <v>476401.6</v>
      </c>
      <c r="W325">
        <v>2364308</v>
      </c>
      <c r="X325">
        <v>189943</v>
      </c>
      <c r="Y325">
        <f t="shared" si="5"/>
        <v>2364308</v>
      </c>
      <c r="Z325" t="str">
        <f>IF(ISNUMBER(SEARCH("Adjustment",$C325)),"excluded",IF($H325="Behind the Meter","excluded",IF(NOT(OR($E325="Bundled",$E325="Energy")),"excluded",IF(OR($H325="Retail Power Marketer",$H325="Community Choice Aggregator",$E325="Energy"),"procurement",IF(OR($H325="Municipal",$H325="Cooperative",$H325="Federal",$H325="State",$H325="Political Subdivision"),"cost_service",IF($H325="Investor Owned",IF(AND(COUNTIF(Parameters!$A$4:$A$33,$G325)&gt;0,COUNTIF(Parameters!$B$4:$B$33,$B325)=0),"procurement","cost_service"),"unclassified"))))))</f>
        <v>procurement</v>
      </c>
    </row>
    <row r="326" spans="1:26" x14ac:dyDescent="0.25">
      <c r="A326">
        <v>2024</v>
      </c>
      <c r="B326">
        <v>5027</v>
      </c>
      <c r="C326" t="s">
        <v>430</v>
      </c>
      <c r="D326" t="s">
        <v>167</v>
      </c>
      <c r="E326" t="s">
        <v>168</v>
      </c>
      <c r="F326" t="s">
        <v>86</v>
      </c>
      <c r="G326" t="s">
        <v>44</v>
      </c>
      <c r="H326" t="s">
        <v>109</v>
      </c>
      <c r="I326" t="s">
        <v>92</v>
      </c>
      <c r="J326">
        <v>19550.099999999999</v>
      </c>
      <c r="K326">
        <v>272673</v>
      </c>
      <c r="L326">
        <v>26932</v>
      </c>
      <c r="M326">
        <v>73399.600000000006</v>
      </c>
      <c r="N326">
        <v>2634950</v>
      </c>
      <c r="O326">
        <v>11376</v>
      </c>
      <c r="P326">
        <v>8350.5</v>
      </c>
      <c r="Q326">
        <v>963878</v>
      </c>
      <c r="R326">
        <v>70</v>
      </c>
      <c r="S326">
        <v>0</v>
      </c>
      <c r="T326">
        <v>0</v>
      </c>
      <c r="U326">
        <v>0</v>
      </c>
      <c r="V326">
        <v>101300.2</v>
      </c>
      <c r="W326">
        <v>3871501</v>
      </c>
      <c r="X326">
        <v>38378</v>
      </c>
      <c r="Y326">
        <f t="shared" si="5"/>
        <v>3871501</v>
      </c>
      <c r="Z326" t="str">
        <f>IF(ISNUMBER(SEARCH("Adjustment",$C326)),"excluded",IF($H326="Behind the Meter","excluded",IF(NOT(OR($E326="Bundled",$E326="Energy")),"excluded",IF(OR($H326="Retail Power Marketer",$H326="Community Choice Aggregator",$E326="Energy"),"procurement",IF(OR($H326="Municipal",$H326="Cooperative",$H326="Federal",$H326="State",$H326="Political Subdivision"),"cost_service",IF($H326="Investor Owned",IF(AND(COUNTIF(Parameters!$A$4:$A$33,$G326)&gt;0,COUNTIF(Parameters!$B$4:$B$33,$B326)=0),"procurement","cost_service"),"unclassified"))))))</f>
        <v>excluded</v>
      </c>
    </row>
    <row r="327" spans="1:26" x14ac:dyDescent="0.25">
      <c r="A327">
        <v>2024</v>
      </c>
      <c r="B327">
        <v>5027</v>
      </c>
      <c r="C327" t="s">
        <v>430</v>
      </c>
      <c r="D327" t="s">
        <v>167</v>
      </c>
      <c r="E327" t="s">
        <v>168</v>
      </c>
      <c r="F327" t="s">
        <v>86</v>
      </c>
      <c r="G327" t="s">
        <v>49</v>
      </c>
      <c r="H327" t="s">
        <v>109</v>
      </c>
      <c r="I327" t="s">
        <v>92</v>
      </c>
      <c r="J327">
        <v>15248.2</v>
      </c>
      <c r="K327">
        <v>173982</v>
      </c>
      <c r="L327">
        <v>14360</v>
      </c>
      <c r="M327">
        <v>70501.7</v>
      </c>
      <c r="N327">
        <v>1280082</v>
      </c>
      <c r="O327">
        <v>10718</v>
      </c>
      <c r="P327">
        <v>10644.4</v>
      </c>
      <c r="Q327">
        <v>319873</v>
      </c>
      <c r="R327">
        <v>90</v>
      </c>
      <c r="S327">
        <v>0</v>
      </c>
      <c r="T327">
        <v>0</v>
      </c>
      <c r="U327">
        <v>0</v>
      </c>
      <c r="V327">
        <v>96394.3</v>
      </c>
      <c r="W327">
        <v>1773937</v>
      </c>
      <c r="X327">
        <v>25168</v>
      </c>
      <c r="Y327">
        <f t="shared" si="5"/>
        <v>1773937</v>
      </c>
      <c r="Z327" t="str">
        <f>IF(ISNUMBER(SEARCH("Adjustment",$C327)),"excluded",IF($H327="Behind the Meter","excluded",IF(NOT(OR($E327="Bundled",$E327="Energy")),"excluded",IF(OR($H327="Retail Power Marketer",$H327="Community Choice Aggregator",$E327="Energy"),"procurement",IF(OR($H327="Municipal",$H327="Cooperative",$H327="Federal",$H327="State",$H327="Political Subdivision"),"cost_service",IF($H327="Investor Owned",IF(AND(COUNTIF(Parameters!$A$4:$A$33,$G327)&gt;0,COUNTIF(Parameters!$B$4:$B$33,$B327)=0),"procurement","cost_service"),"unclassified"))))))</f>
        <v>excluded</v>
      </c>
    </row>
    <row r="328" spans="1:26" x14ac:dyDescent="0.25">
      <c r="A328">
        <v>2024</v>
      </c>
      <c r="B328">
        <v>5063</v>
      </c>
      <c r="C328" t="s">
        <v>431</v>
      </c>
      <c r="D328" t="s">
        <v>84</v>
      </c>
      <c r="E328" t="s">
        <v>85</v>
      </c>
      <c r="F328" t="s">
        <v>86</v>
      </c>
      <c r="G328" t="s">
        <v>57</v>
      </c>
      <c r="H328" t="s">
        <v>88</v>
      </c>
      <c r="I328" t="s">
        <v>151</v>
      </c>
      <c r="J328">
        <v>90528.4</v>
      </c>
      <c r="K328">
        <v>706593</v>
      </c>
      <c r="L328">
        <v>58941</v>
      </c>
      <c r="M328">
        <v>48485.599999999999</v>
      </c>
      <c r="N328">
        <v>1241113</v>
      </c>
      <c r="O328">
        <v>7516</v>
      </c>
      <c r="P328">
        <v>59792</v>
      </c>
      <c r="Q328">
        <v>614906</v>
      </c>
      <c r="R328">
        <v>152</v>
      </c>
      <c r="S328">
        <v>0</v>
      </c>
      <c r="T328">
        <v>0</v>
      </c>
      <c r="U328">
        <v>0</v>
      </c>
      <c r="V328">
        <v>198806</v>
      </c>
      <c r="W328">
        <v>2562612</v>
      </c>
      <c r="X328">
        <v>66609</v>
      </c>
      <c r="Y328">
        <f t="shared" si="5"/>
        <v>2562612</v>
      </c>
      <c r="Z328" t="str">
        <f>IF(ISNUMBER(SEARCH("Adjustment",$C328)),"excluded",IF($H328="Behind the Meter","excluded",IF(NOT(OR($E328="Bundled",$E328="Energy")),"excluded",IF(OR($H328="Retail Power Marketer",$H328="Community Choice Aggregator",$E328="Energy"),"procurement",IF(OR($H328="Municipal",$H328="Cooperative",$H328="Federal",$H328="State",$H328="Political Subdivision"),"cost_service",IF($H328="Investor Owned",IF(AND(COUNTIF(Parameters!$A$4:$A$33,$G328)&gt;0,COUNTIF(Parameters!$B$4:$B$33,$B328)=0),"procurement","cost_service"),"unclassified"))))))</f>
        <v>cost_service</v>
      </c>
    </row>
    <row r="329" spans="1:26" x14ac:dyDescent="0.25">
      <c r="A329">
        <v>2024</v>
      </c>
      <c r="B329">
        <v>5070</v>
      </c>
      <c r="C329" t="s">
        <v>432</v>
      </c>
      <c r="D329" t="s">
        <v>84</v>
      </c>
      <c r="E329" t="s">
        <v>85</v>
      </c>
      <c r="F329" t="s">
        <v>86</v>
      </c>
      <c r="G329" t="s">
        <v>44</v>
      </c>
      <c r="H329" t="s">
        <v>91</v>
      </c>
      <c r="I329" t="s">
        <v>92</v>
      </c>
      <c r="J329">
        <v>184505</v>
      </c>
      <c r="K329">
        <v>1297535</v>
      </c>
      <c r="L329">
        <v>104839</v>
      </c>
      <c r="M329">
        <v>42188</v>
      </c>
      <c r="N329">
        <v>304626</v>
      </c>
      <c r="O329">
        <v>13488</v>
      </c>
      <c r="P329">
        <v>873</v>
      </c>
      <c r="Q329">
        <v>4692</v>
      </c>
      <c r="R329">
        <v>317</v>
      </c>
      <c r="S329" t="s">
        <v>97</v>
      </c>
      <c r="T329" t="s">
        <v>97</v>
      </c>
      <c r="U329" t="s">
        <v>97</v>
      </c>
      <c r="V329">
        <v>227566</v>
      </c>
      <c r="W329">
        <v>1606853</v>
      </c>
      <c r="X329">
        <v>118644</v>
      </c>
      <c r="Y329">
        <f t="shared" si="5"/>
        <v>1606853</v>
      </c>
      <c r="Z329" t="str">
        <f>IF(ISNUMBER(SEARCH("Adjustment",$C329)),"excluded",IF($H329="Behind the Meter","excluded",IF(NOT(OR($E329="Bundled",$E329="Energy")),"excluded",IF(OR($H329="Retail Power Marketer",$H329="Community Choice Aggregator",$E329="Energy"),"procurement",IF(OR($H329="Municipal",$H329="Cooperative",$H329="Federal",$H329="State",$H329="Political Subdivision"),"cost_service",IF($H329="Investor Owned",IF(AND(COUNTIF(Parameters!$A$4:$A$33,$G329)&gt;0,COUNTIF(Parameters!$B$4:$B$33,$B329)=0),"procurement","cost_service"),"unclassified"))))))</f>
        <v>cost_service</v>
      </c>
    </row>
    <row r="330" spans="1:26" x14ac:dyDescent="0.25">
      <c r="A330">
        <v>2024</v>
      </c>
      <c r="B330">
        <v>5078</v>
      </c>
      <c r="C330" t="s">
        <v>433</v>
      </c>
      <c r="D330" t="s">
        <v>84</v>
      </c>
      <c r="E330" t="s">
        <v>85</v>
      </c>
      <c r="F330" t="s">
        <v>86</v>
      </c>
      <c r="G330" t="s">
        <v>57</v>
      </c>
      <c r="H330" t="s">
        <v>91</v>
      </c>
      <c r="I330" t="s">
        <v>151</v>
      </c>
      <c r="J330">
        <v>596470</v>
      </c>
      <c r="K330">
        <v>4330266</v>
      </c>
      <c r="L330">
        <v>298734</v>
      </c>
      <c r="M330">
        <v>93048.1</v>
      </c>
      <c r="N330">
        <v>653218</v>
      </c>
      <c r="O330">
        <v>22050</v>
      </c>
      <c r="P330">
        <v>175840.6</v>
      </c>
      <c r="Q330">
        <v>1543171</v>
      </c>
      <c r="R330">
        <v>2999</v>
      </c>
      <c r="S330" t="s">
        <v>97</v>
      </c>
      <c r="T330" t="s">
        <v>97</v>
      </c>
      <c r="U330" t="s">
        <v>97</v>
      </c>
      <c r="V330">
        <v>865358.7</v>
      </c>
      <c r="W330">
        <v>6526655</v>
      </c>
      <c r="X330">
        <v>323783</v>
      </c>
      <c r="Y330">
        <f t="shared" si="5"/>
        <v>6526655</v>
      </c>
      <c r="Z330" t="str">
        <f>IF(ISNUMBER(SEARCH("Adjustment",$C330)),"excluded",IF($H330="Behind the Meter","excluded",IF(NOT(OR($E330="Bundled",$E330="Energy")),"excluded",IF(OR($H330="Retail Power Marketer",$H330="Community Choice Aggregator",$E330="Energy"),"procurement",IF(OR($H330="Municipal",$H330="Cooperative",$H330="Federal",$H330="State",$H330="Political Subdivision"),"cost_service",IF($H330="Investor Owned",IF(AND(COUNTIF(Parameters!$A$4:$A$33,$G330)&gt;0,COUNTIF(Parameters!$B$4:$B$33,$B330)=0),"procurement","cost_service"),"unclassified"))))))</f>
        <v>cost_service</v>
      </c>
    </row>
    <row r="331" spans="1:26" x14ac:dyDescent="0.25">
      <c r="A331">
        <v>2024</v>
      </c>
      <c r="B331">
        <v>5086</v>
      </c>
      <c r="C331" t="s">
        <v>434</v>
      </c>
      <c r="D331" t="s">
        <v>84</v>
      </c>
      <c r="E331" t="s">
        <v>85</v>
      </c>
      <c r="F331" t="s">
        <v>86</v>
      </c>
      <c r="G331" t="s">
        <v>361</v>
      </c>
      <c r="H331" t="s">
        <v>91</v>
      </c>
      <c r="I331" t="s">
        <v>259</v>
      </c>
      <c r="J331">
        <v>41927.5</v>
      </c>
      <c r="K331">
        <v>280040</v>
      </c>
      <c r="L331">
        <v>32575</v>
      </c>
      <c r="M331">
        <v>16678.8</v>
      </c>
      <c r="N331">
        <v>143282</v>
      </c>
      <c r="O331">
        <v>4053</v>
      </c>
      <c r="P331">
        <v>10860.9</v>
      </c>
      <c r="Q331">
        <v>118410</v>
      </c>
      <c r="R331">
        <v>265</v>
      </c>
      <c r="S331" t="s">
        <v>97</v>
      </c>
      <c r="T331" t="s">
        <v>97</v>
      </c>
      <c r="U331" t="s">
        <v>97</v>
      </c>
      <c r="V331">
        <v>69467.199999999997</v>
      </c>
      <c r="W331">
        <v>541732</v>
      </c>
      <c r="X331">
        <v>36893</v>
      </c>
      <c r="Y331">
        <f t="shared" si="5"/>
        <v>541732</v>
      </c>
      <c r="Z331" t="str">
        <f>IF(ISNUMBER(SEARCH("Adjustment",$C331)),"excluded",IF($H331="Behind the Meter","excluded",IF(NOT(OR($E331="Bundled",$E331="Energy")),"excluded",IF(OR($H331="Retail Power Marketer",$H331="Community Choice Aggregator",$E331="Energy"),"procurement",IF(OR($H331="Municipal",$H331="Cooperative",$H331="Federal",$H331="State",$H331="Political Subdivision"),"cost_service",IF($H331="Investor Owned",IF(AND(COUNTIF(Parameters!$A$4:$A$33,$G331)&gt;0,COUNTIF(Parameters!$B$4:$B$33,$B331)=0),"procurement","cost_service"),"unclassified"))))))</f>
        <v>cost_service</v>
      </c>
    </row>
    <row r="332" spans="1:26" x14ac:dyDescent="0.25">
      <c r="A332">
        <v>2024</v>
      </c>
      <c r="B332">
        <v>5109</v>
      </c>
      <c r="C332" t="s">
        <v>435</v>
      </c>
      <c r="D332" t="s">
        <v>84</v>
      </c>
      <c r="E332" t="s">
        <v>85</v>
      </c>
      <c r="F332" t="s">
        <v>86</v>
      </c>
      <c r="G332" t="s">
        <v>140</v>
      </c>
      <c r="H332" t="s">
        <v>109</v>
      </c>
      <c r="I332" t="s">
        <v>96</v>
      </c>
      <c r="J332">
        <v>3045482.9</v>
      </c>
      <c r="K332">
        <v>15131396</v>
      </c>
      <c r="L332">
        <v>2067758</v>
      </c>
      <c r="M332">
        <v>2335247.7000000002</v>
      </c>
      <c r="N332">
        <v>16413078</v>
      </c>
      <c r="O332">
        <v>210594</v>
      </c>
      <c r="P332">
        <v>714756.9</v>
      </c>
      <c r="Q332">
        <v>8554762</v>
      </c>
      <c r="R332">
        <v>713</v>
      </c>
      <c r="S332">
        <v>771.9</v>
      </c>
      <c r="T332">
        <v>5477</v>
      </c>
      <c r="U332">
        <v>2</v>
      </c>
      <c r="V332">
        <v>6096259.4000000004</v>
      </c>
      <c r="W332">
        <v>40104713</v>
      </c>
      <c r="X332">
        <v>2279067</v>
      </c>
      <c r="Y332">
        <f t="shared" si="5"/>
        <v>40104713</v>
      </c>
      <c r="Z332" t="str">
        <f>IF(ISNUMBER(SEARCH("Adjustment",$C332)),"excluded",IF($H332="Behind the Meter","excluded",IF(NOT(OR($E332="Bundled",$E332="Energy")),"excluded",IF(OR($H332="Retail Power Marketer",$H332="Community Choice Aggregator",$E332="Energy"),"procurement",IF(OR($H332="Municipal",$H332="Cooperative",$H332="Federal",$H332="State",$H332="Political Subdivision"),"cost_service",IF($H332="Investor Owned",IF(AND(COUNTIF(Parameters!$A$4:$A$33,$G332)&gt;0,COUNTIF(Parameters!$B$4:$B$33,$B332)=0),"procurement","cost_service"),"unclassified"))))))</f>
        <v>cost_service</v>
      </c>
    </row>
    <row r="333" spans="1:26" x14ac:dyDescent="0.25">
      <c r="A333">
        <v>2024</v>
      </c>
      <c r="B333">
        <v>5109</v>
      </c>
      <c r="C333" t="s">
        <v>435</v>
      </c>
      <c r="D333" t="s">
        <v>167</v>
      </c>
      <c r="E333" t="s">
        <v>168</v>
      </c>
      <c r="F333" t="s">
        <v>86</v>
      </c>
      <c r="G333" t="s">
        <v>140</v>
      </c>
      <c r="H333" t="s">
        <v>109</v>
      </c>
      <c r="I333" t="s">
        <v>96</v>
      </c>
      <c r="J333">
        <v>13.9</v>
      </c>
      <c r="K333">
        <v>145</v>
      </c>
      <c r="L333">
        <v>21</v>
      </c>
      <c r="M333">
        <v>93676.9</v>
      </c>
      <c r="N333">
        <v>2762059</v>
      </c>
      <c r="O333">
        <v>4102</v>
      </c>
      <c r="P333">
        <v>17532.400000000001</v>
      </c>
      <c r="Q333">
        <v>1553193</v>
      </c>
      <c r="R333">
        <v>116</v>
      </c>
      <c r="S333">
        <v>0</v>
      </c>
      <c r="T333">
        <v>0</v>
      </c>
      <c r="U333">
        <v>0</v>
      </c>
      <c r="V333">
        <v>111223.2</v>
      </c>
      <c r="W333">
        <v>4315397</v>
      </c>
      <c r="X333">
        <v>4239</v>
      </c>
      <c r="Y333">
        <f t="shared" si="5"/>
        <v>4315397</v>
      </c>
      <c r="Z333" t="str">
        <f>IF(ISNUMBER(SEARCH("Adjustment",$C333)),"excluded",IF($H333="Behind the Meter","excluded",IF(NOT(OR($E333="Bundled",$E333="Energy")),"excluded",IF(OR($H333="Retail Power Marketer",$H333="Community Choice Aggregator",$E333="Energy"),"procurement",IF(OR($H333="Municipal",$H333="Cooperative",$H333="Federal",$H333="State",$H333="Political Subdivision"),"cost_service",IF($H333="Investor Owned",IF(AND(COUNTIF(Parameters!$A$4:$A$33,$G333)&gt;0,COUNTIF(Parameters!$B$4:$B$33,$B333)=0),"procurement","cost_service"),"unclassified"))))))</f>
        <v>excluded</v>
      </c>
    </row>
    <row r="334" spans="1:26" x14ac:dyDescent="0.25">
      <c r="A334">
        <v>2024</v>
      </c>
      <c r="B334">
        <v>5148</v>
      </c>
      <c r="C334" t="s">
        <v>436</v>
      </c>
      <c r="D334" t="s">
        <v>84</v>
      </c>
      <c r="E334" t="s">
        <v>85</v>
      </c>
      <c r="F334" t="s">
        <v>86</v>
      </c>
      <c r="G334" t="s">
        <v>156</v>
      </c>
      <c r="H334" t="s">
        <v>88</v>
      </c>
      <c r="I334" t="s">
        <v>89</v>
      </c>
      <c r="J334">
        <v>53049</v>
      </c>
      <c r="K334">
        <v>455401</v>
      </c>
      <c r="L334">
        <v>30808</v>
      </c>
      <c r="M334">
        <v>31635</v>
      </c>
      <c r="N334">
        <v>252454</v>
      </c>
      <c r="O334">
        <v>8154</v>
      </c>
      <c r="P334">
        <v>11146</v>
      </c>
      <c r="Q334">
        <v>140180</v>
      </c>
      <c r="R334">
        <v>20</v>
      </c>
      <c r="S334">
        <v>0</v>
      </c>
      <c r="T334">
        <v>0</v>
      </c>
      <c r="U334">
        <v>0</v>
      </c>
      <c r="V334">
        <v>95830</v>
      </c>
      <c r="W334">
        <v>848035</v>
      </c>
      <c r="X334">
        <v>38982</v>
      </c>
      <c r="Y334">
        <f t="shared" si="5"/>
        <v>848035</v>
      </c>
      <c r="Z334" t="str">
        <f>IF(ISNUMBER(SEARCH("Adjustment",$C334)),"excluded",IF($H334="Behind the Meter","excluded",IF(NOT(OR($E334="Bundled",$E334="Energy")),"excluded",IF(OR($H334="Retail Power Marketer",$H334="Community Choice Aggregator",$E334="Energy"),"procurement",IF(OR($H334="Municipal",$H334="Cooperative",$H334="Federal",$H334="State",$H334="Political Subdivision"),"cost_service",IF($H334="Investor Owned",IF(AND(COUNTIF(Parameters!$A$4:$A$33,$G334)&gt;0,COUNTIF(Parameters!$B$4:$B$33,$B334)=0),"procurement","cost_service"),"unclassified"))))))</f>
        <v>cost_service</v>
      </c>
    </row>
    <row r="335" spans="1:26" x14ac:dyDescent="0.25">
      <c r="A335">
        <v>2024</v>
      </c>
      <c r="B335">
        <v>5175</v>
      </c>
      <c r="C335" t="s">
        <v>437</v>
      </c>
      <c r="D335" t="s">
        <v>84</v>
      </c>
      <c r="E335" t="s">
        <v>85</v>
      </c>
      <c r="F335" t="s">
        <v>86</v>
      </c>
      <c r="G335" t="s">
        <v>87</v>
      </c>
      <c r="H335" t="s">
        <v>91</v>
      </c>
      <c r="I335" t="s">
        <v>96</v>
      </c>
      <c r="J335">
        <v>73397.8</v>
      </c>
      <c r="K335">
        <v>546187</v>
      </c>
      <c r="L335">
        <v>37803</v>
      </c>
      <c r="M335">
        <v>24391.1</v>
      </c>
      <c r="N335">
        <v>197875</v>
      </c>
      <c r="O335">
        <v>3657</v>
      </c>
      <c r="P335">
        <v>8661.6</v>
      </c>
      <c r="Q335">
        <v>91800</v>
      </c>
      <c r="R335">
        <v>23</v>
      </c>
      <c r="S335" t="s">
        <v>97</v>
      </c>
      <c r="T335" t="s">
        <v>97</v>
      </c>
      <c r="U335" t="s">
        <v>97</v>
      </c>
      <c r="V335">
        <v>106450.5</v>
      </c>
      <c r="W335">
        <v>835862</v>
      </c>
      <c r="X335">
        <v>41483</v>
      </c>
      <c r="Y335">
        <f t="shared" si="5"/>
        <v>835862</v>
      </c>
      <c r="Z335" t="str">
        <f>IF(ISNUMBER(SEARCH("Adjustment",$C335)),"excluded",IF($H335="Behind the Meter","excluded",IF(NOT(OR($E335="Bundled",$E335="Energy")),"excluded",IF(OR($H335="Retail Power Marketer",$H335="Community Choice Aggregator",$E335="Energy"),"procurement",IF(OR($H335="Municipal",$H335="Cooperative",$H335="Federal",$H335="State",$H335="Political Subdivision"),"cost_service",IF($H335="Investor Owned",IF(AND(COUNTIF(Parameters!$A$4:$A$33,$G335)&gt;0,COUNTIF(Parameters!$B$4:$B$33,$B335)=0),"procurement","cost_service"),"unclassified"))))))</f>
        <v>cost_service</v>
      </c>
    </row>
    <row r="336" spans="1:26" x14ac:dyDescent="0.25">
      <c r="A336">
        <v>2024</v>
      </c>
      <c r="B336">
        <v>5202</v>
      </c>
      <c r="C336" t="s">
        <v>438</v>
      </c>
      <c r="D336" t="s">
        <v>84</v>
      </c>
      <c r="E336" t="s">
        <v>85</v>
      </c>
      <c r="F336" t="s">
        <v>86</v>
      </c>
      <c r="G336" t="s">
        <v>138</v>
      </c>
      <c r="H336" t="s">
        <v>91</v>
      </c>
      <c r="I336" t="s">
        <v>96</v>
      </c>
      <c r="J336">
        <v>209018</v>
      </c>
      <c r="K336">
        <v>1754509</v>
      </c>
      <c r="L336">
        <v>110675</v>
      </c>
      <c r="M336">
        <v>27353</v>
      </c>
      <c r="N336">
        <v>226972</v>
      </c>
      <c r="O336">
        <v>7906</v>
      </c>
      <c r="P336">
        <v>29496</v>
      </c>
      <c r="Q336">
        <v>282790</v>
      </c>
      <c r="R336">
        <v>539</v>
      </c>
      <c r="S336" t="s">
        <v>97</v>
      </c>
      <c r="T336" t="s">
        <v>97</v>
      </c>
      <c r="U336" t="s">
        <v>97</v>
      </c>
      <c r="V336">
        <v>265867</v>
      </c>
      <c r="W336">
        <v>2264271</v>
      </c>
      <c r="X336">
        <v>119120</v>
      </c>
      <c r="Y336">
        <f t="shared" si="5"/>
        <v>2264271</v>
      </c>
      <c r="Z336" t="str">
        <f>IF(ISNUMBER(SEARCH("Adjustment",$C336)),"excluded",IF($H336="Behind the Meter","excluded",IF(NOT(OR($E336="Bundled",$E336="Energy")),"excluded",IF(OR($H336="Retail Power Marketer",$H336="Community Choice Aggregator",$E336="Energy"),"procurement",IF(OR($H336="Municipal",$H336="Cooperative",$H336="Federal",$H336="State",$H336="Political Subdivision"),"cost_service",IF($H336="Investor Owned",IF(AND(COUNTIF(Parameters!$A$4:$A$33,$G336)&gt;0,COUNTIF(Parameters!$B$4:$B$33,$B336)=0),"procurement","cost_service"),"unclassified"))))))</f>
        <v>cost_service</v>
      </c>
    </row>
    <row r="337" spans="1:26" x14ac:dyDescent="0.25">
      <c r="A337">
        <v>2024</v>
      </c>
      <c r="B337">
        <v>5204</v>
      </c>
      <c r="C337" t="s">
        <v>439</v>
      </c>
      <c r="D337" t="s">
        <v>84</v>
      </c>
      <c r="E337" t="s">
        <v>85</v>
      </c>
      <c r="F337" t="s">
        <v>86</v>
      </c>
      <c r="G337" t="s">
        <v>112</v>
      </c>
      <c r="H337" t="s">
        <v>91</v>
      </c>
      <c r="I337" t="s">
        <v>113</v>
      </c>
      <c r="J337">
        <v>46941</v>
      </c>
      <c r="K337">
        <v>311929</v>
      </c>
      <c r="L337">
        <v>22054</v>
      </c>
      <c r="M337">
        <v>27355</v>
      </c>
      <c r="N337">
        <v>187587</v>
      </c>
      <c r="O337">
        <v>4697</v>
      </c>
      <c r="P337">
        <v>10980</v>
      </c>
      <c r="Q337">
        <v>100948</v>
      </c>
      <c r="R337">
        <v>34</v>
      </c>
      <c r="S337" t="s">
        <v>97</v>
      </c>
      <c r="T337" t="s">
        <v>97</v>
      </c>
      <c r="U337" t="s">
        <v>97</v>
      </c>
      <c r="V337">
        <v>85276</v>
      </c>
      <c r="W337">
        <v>600464</v>
      </c>
      <c r="X337">
        <v>26785</v>
      </c>
      <c r="Y337">
        <f t="shared" si="5"/>
        <v>600464</v>
      </c>
      <c r="Z337" t="str">
        <f>IF(ISNUMBER(SEARCH("Adjustment",$C337)),"excluded",IF($H337="Behind the Meter","excluded",IF(NOT(OR($E337="Bundled",$E337="Energy")),"excluded",IF(OR($H337="Retail Power Marketer",$H337="Community Choice Aggregator",$E337="Energy"),"procurement",IF(OR($H337="Municipal",$H337="Cooperative",$H337="Federal",$H337="State",$H337="Political Subdivision"),"cost_service",IF($H337="Investor Owned",IF(AND(COUNTIF(Parameters!$A$4:$A$33,$G337)&gt;0,COUNTIF(Parameters!$B$4:$B$33,$B337)=0),"procurement","cost_service"),"unclassified"))))))</f>
        <v>cost_service</v>
      </c>
    </row>
    <row r="338" spans="1:26" x14ac:dyDescent="0.25">
      <c r="A338">
        <v>2024</v>
      </c>
      <c r="B338">
        <v>5309</v>
      </c>
      <c r="C338" t="s">
        <v>440</v>
      </c>
      <c r="D338" t="s">
        <v>84</v>
      </c>
      <c r="E338" t="s">
        <v>85</v>
      </c>
      <c r="F338" t="s">
        <v>86</v>
      </c>
      <c r="G338" t="s">
        <v>112</v>
      </c>
      <c r="H338" t="s">
        <v>88</v>
      </c>
      <c r="I338" t="s">
        <v>113</v>
      </c>
      <c r="J338">
        <v>40445</v>
      </c>
      <c r="K338">
        <v>377220</v>
      </c>
      <c r="L338">
        <v>26752</v>
      </c>
      <c r="M338">
        <v>43009</v>
      </c>
      <c r="N338">
        <v>404400</v>
      </c>
      <c r="O338">
        <v>5414</v>
      </c>
      <c r="P338">
        <v>12518</v>
      </c>
      <c r="Q338">
        <v>166069</v>
      </c>
      <c r="R338">
        <v>9</v>
      </c>
      <c r="S338">
        <v>0</v>
      </c>
      <c r="T338">
        <v>0</v>
      </c>
      <c r="U338">
        <v>0</v>
      </c>
      <c r="V338">
        <v>95972</v>
      </c>
      <c r="W338">
        <v>947689</v>
      </c>
      <c r="X338">
        <v>32175</v>
      </c>
      <c r="Y338">
        <f t="shared" si="5"/>
        <v>947689</v>
      </c>
      <c r="Z338" t="str">
        <f>IF(ISNUMBER(SEARCH("Adjustment",$C338)),"excluded",IF($H338="Behind the Meter","excluded",IF(NOT(OR($E338="Bundled",$E338="Energy")),"excluded",IF(OR($H338="Retail Power Marketer",$H338="Community Choice Aggregator",$E338="Energy"),"procurement",IF(OR($H338="Municipal",$H338="Cooperative",$H338="Federal",$H338="State",$H338="Political Subdivision"),"cost_service",IF($H338="Investor Owned",IF(AND(COUNTIF(Parameters!$A$4:$A$33,$G338)&gt;0,COUNTIF(Parameters!$B$4:$B$33,$B338)=0),"procurement","cost_service"),"unclassified"))))))</f>
        <v>cost_service</v>
      </c>
    </row>
    <row r="339" spans="1:26" x14ac:dyDescent="0.25">
      <c r="A339">
        <v>2024</v>
      </c>
      <c r="B339">
        <v>5325</v>
      </c>
      <c r="C339" t="s">
        <v>441</v>
      </c>
      <c r="D339" t="s">
        <v>84</v>
      </c>
      <c r="E339" t="s">
        <v>85</v>
      </c>
      <c r="F339" t="s">
        <v>86</v>
      </c>
      <c r="G339" t="s">
        <v>123</v>
      </c>
      <c r="H339" t="s">
        <v>88</v>
      </c>
      <c r="I339" t="s">
        <v>113</v>
      </c>
      <c r="J339">
        <v>5597.8</v>
      </c>
      <c r="K339">
        <v>58084</v>
      </c>
      <c r="L339">
        <v>4124</v>
      </c>
      <c r="M339">
        <v>22815</v>
      </c>
      <c r="N339">
        <v>277603</v>
      </c>
      <c r="O339">
        <v>1804</v>
      </c>
      <c r="P339">
        <v>4209.6000000000004</v>
      </c>
      <c r="Q339">
        <v>49294</v>
      </c>
      <c r="R339">
        <v>4</v>
      </c>
      <c r="S339" t="s">
        <v>97</v>
      </c>
      <c r="T339" t="s">
        <v>97</v>
      </c>
      <c r="U339" t="s">
        <v>97</v>
      </c>
      <c r="V339">
        <v>32622.400000000001</v>
      </c>
      <c r="W339">
        <v>384981</v>
      </c>
      <c r="X339">
        <v>5932</v>
      </c>
      <c r="Y339">
        <f t="shared" si="5"/>
        <v>384981</v>
      </c>
      <c r="Z339" t="str">
        <f>IF(ISNUMBER(SEARCH("Adjustment",$C339)),"excluded",IF($H339="Behind the Meter","excluded",IF(NOT(OR($E339="Bundled",$E339="Energy")),"excluded",IF(OR($H339="Retail Power Marketer",$H339="Community Choice Aggregator",$E339="Energy"),"procurement",IF(OR($H339="Municipal",$H339="Cooperative",$H339="Federal",$H339="State",$H339="Political Subdivision"),"cost_service",IF($H339="Investor Owned",IF(AND(COUNTIF(Parameters!$A$4:$A$33,$G339)&gt;0,COUNTIF(Parameters!$B$4:$B$33,$B339)=0),"procurement","cost_service"),"unclassified"))))))</f>
        <v>cost_service</v>
      </c>
    </row>
    <row r="340" spans="1:26" x14ac:dyDescent="0.25">
      <c r="A340">
        <v>2024</v>
      </c>
      <c r="B340">
        <v>5326</v>
      </c>
      <c r="C340" t="s">
        <v>442</v>
      </c>
      <c r="D340" t="s">
        <v>84</v>
      </c>
      <c r="E340" t="s">
        <v>85</v>
      </c>
      <c r="F340" t="s">
        <v>86</v>
      </c>
      <c r="G340" t="s">
        <v>148</v>
      </c>
      <c r="H340" t="s">
        <v>205</v>
      </c>
      <c r="I340" t="s">
        <v>443</v>
      </c>
      <c r="J340">
        <v>14320</v>
      </c>
      <c r="K340">
        <v>454640</v>
      </c>
      <c r="L340">
        <v>16667</v>
      </c>
      <c r="M340">
        <v>43060</v>
      </c>
      <c r="N340">
        <v>1099016</v>
      </c>
      <c r="O340">
        <v>828</v>
      </c>
      <c r="P340">
        <v>1367</v>
      </c>
      <c r="Q340">
        <v>47373</v>
      </c>
      <c r="R340">
        <v>58</v>
      </c>
      <c r="S340" t="s">
        <v>97</v>
      </c>
      <c r="T340" t="s">
        <v>97</v>
      </c>
      <c r="U340" t="s">
        <v>97</v>
      </c>
      <c r="V340">
        <v>58747</v>
      </c>
      <c r="W340">
        <v>1601029</v>
      </c>
      <c r="X340">
        <v>17553</v>
      </c>
      <c r="Y340">
        <f t="shared" si="5"/>
        <v>1601029</v>
      </c>
      <c r="Z340" t="str">
        <f>IF(ISNUMBER(SEARCH("Adjustment",$C340)),"excluded",IF($H340="Behind the Meter","excluded",IF(NOT(OR($E340="Bundled",$E340="Energy")),"excluded",IF(OR($H340="Retail Power Marketer",$H340="Community Choice Aggregator",$E340="Energy"),"procurement",IF(OR($H340="Municipal",$H340="Cooperative",$H340="Federal",$H340="State",$H340="Political Subdivision"),"cost_service",IF($H340="Investor Owned",IF(AND(COUNTIF(Parameters!$A$4:$A$33,$G340)&gt;0,COUNTIF(Parameters!$B$4:$B$33,$B340)=0),"procurement","cost_service"),"unclassified"))))))</f>
        <v>cost_service</v>
      </c>
    </row>
    <row r="341" spans="1:26" x14ac:dyDescent="0.25">
      <c r="A341">
        <v>2024</v>
      </c>
      <c r="B341">
        <v>5335</v>
      </c>
      <c r="C341" t="s">
        <v>444</v>
      </c>
      <c r="D341" t="s">
        <v>84</v>
      </c>
      <c r="E341" t="s">
        <v>85</v>
      </c>
      <c r="F341" t="s">
        <v>86</v>
      </c>
      <c r="G341" t="s">
        <v>44</v>
      </c>
      <c r="H341" t="s">
        <v>88</v>
      </c>
      <c r="I341" t="s">
        <v>92</v>
      </c>
      <c r="J341">
        <v>32754</v>
      </c>
      <c r="K341">
        <v>211090</v>
      </c>
      <c r="L341">
        <v>21601</v>
      </c>
      <c r="M341">
        <v>28924</v>
      </c>
      <c r="N341">
        <v>222788</v>
      </c>
      <c r="O341">
        <v>3485</v>
      </c>
      <c r="P341">
        <v>26276</v>
      </c>
      <c r="Q341">
        <v>281006</v>
      </c>
      <c r="R341">
        <v>40</v>
      </c>
      <c r="S341" t="s">
        <v>97</v>
      </c>
      <c r="T341" t="s">
        <v>97</v>
      </c>
      <c r="U341" t="s">
        <v>97</v>
      </c>
      <c r="V341">
        <v>87954</v>
      </c>
      <c r="W341">
        <v>714884</v>
      </c>
      <c r="X341">
        <v>25126</v>
      </c>
      <c r="Y341">
        <f t="shared" si="5"/>
        <v>714884</v>
      </c>
      <c r="Z341" t="str">
        <f>IF(ISNUMBER(SEARCH("Adjustment",$C341)),"excluded",IF($H341="Behind the Meter","excluded",IF(NOT(OR($E341="Bundled",$E341="Energy")),"excluded",IF(OR($H341="Retail Power Marketer",$H341="Community Choice Aggregator",$E341="Energy"),"procurement",IF(OR($H341="Municipal",$H341="Cooperative",$H341="Federal",$H341="State",$H341="Political Subdivision"),"cost_service",IF($H341="Investor Owned",IF(AND(COUNTIF(Parameters!$A$4:$A$33,$G341)&gt;0,COUNTIF(Parameters!$B$4:$B$33,$B341)=0),"procurement","cost_service"),"unclassified"))))))</f>
        <v>cost_service</v>
      </c>
    </row>
    <row r="342" spans="1:26" x14ac:dyDescent="0.25">
      <c r="A342">
        <v>2024</v>
      </c>
      <c r="B342">
        <v>5336</v>
      </c>
      <c r="C342" t="s">
        <v>445</v>
      </c>
      <c r="D342" t="s">
        <v>84</v>
      </c>
      <c r="E342" t="s">
        <v>85</v>
      </c>
      <c r="F342" t="s">
        <v>86</v>
      </c>
      <c r="G342" t="s">
        <v>54</v>
      </c>
      <c r="H342" t="s">
        <v>88</v>
      </c>
      <c r="I342" t="s">
        <v>92</v>
      </c>
      <c r="J342">
        <v>8214</v>
      </c>
      <c r="K342">
        <v>54650</v>
      </c>
      <c r="L342">
        <v>5869</v>
      </c>
      <c r="M342">
        <v>4326</v>
      </c>
      <c r="N342">
        <v>29249</v>
      </c>
      <c r="O342">
        <v>920</v>
      </c>
      <c r="P342">
        <v>12732</v>
      </c>
      <c r="Q342">
        <v>106700</v>
      </c>
      <c r="R342">
        <v>104</v>
      </c>
      <c r="S342" t="s">
        <v>97</v>
      </c>
      <c r="T342" t="s">
        <v>97</v>
      </c>
      <c r="U342" t="s">
        <v>97</v>
      </c>
      <c r="V342">
        <v>25272</v>
      </c>
      <c r="W342">
        <v>190599</v>
      </c>
      <c r="X342">
        <v>6893</v>
      </c>
      <c r="Y342">
        <f t="shared" si="5"/>
        <v>190599</v>
      </c>
      <c r="Z342" t="str">
        <f>IF(ISNUMBER(SEARCH("Adjustment",$C342)),"excluded",IF($H342="Behind the Meter","excluded",IF(NOT(OR($E342="Bundled",$E342="Energy")),"excluded",IF(OR($H342="Retail Power Marketer",$H342="Community Choice Aggregator",$E342="Energy"),"procurement",IF(OR($H342="Municipal",$H342="Cooperative",$H342="Federal",$H342="State",$H342="Political Subdivision"),"cost_service",IF($H342="Investor Owned",IF(AND(COUNTIF(Parameters!$A$4:$A$33,$G342)&gt;0,COUNTIF(Parameters!$B$4:$B$33,$B342)=0),"procurement","cost_service"),"unclassified"))))))</f>
        <v>cost_service</v>
      </c>
    </row>
    <row r="343" spans="1:26" x14ac:dyDescent="0.25">
      <c r="A343">
        <v>2024</v>
      </c>
      <c r="B343">
        <v>5394</v>
      </c>
      <c r="C343" t="s">
        <v>446</v>
      </c>
      <c r="D343" t="s">
        <v>84</v>
      </c>
      <c r="E343" t="s">
        <v>85</v>
      </c>
      <c r="F343" t="s">
        <v>86</v>
      </c>
      <c r="G343" t="s">
        <v>130</v>
      </c>
      <c r="H343" t="s">
        <v>91</v>
      </c>
      <c r="I343" t="s">
        <v>96</v>
      </c>
      <c r="J343">
        <v>24189</v>
      </c>
      <c r="K343">
        <v>168200</v>
      </c>
      <c r="L343">
        <v>13419</v>
      </c>
      <c r="M343">
        <v>2695</v>
      </c>
      <c r="N343">
        <v>19640</v>
      </c>
      <c r="O343">
        <v>982</v>
      </c>
      <c r="P343">
        <v>10675</v>
      </c>
      <c r="Q343">
        <v>102774</v>
      </c>
      <c r="R343">
        <v>93</v>
      </c>
      <c r="S343" t="s">
        <v>97</v>
      </c>
      <c r="T343" t="s">
        <v>97</v>
      </c>
      <c r="U343" t="s">
        <v>97</v>
      </c>
      <c r="V343">
        <v>37559</v>
      </c>
      <c r="W343">
        <v>290614</v>
      </c>
      <c r="X343">
        <v>14494</v>
      </c>
      <c r="Y343">
        <f t="shared" si="5"/>
        <v>290614</v>
      </c>
      <c r="Z343" t="str">
        <f>IF(ISNUMBER(SEARCH("Adjustment",$C343)),"excluded",IF($H343="Behind the Meter","excluded",IF(NOT(OR($E343="Bundled",$E343="Energy")),"excluded",IF(OR($H343="Retail Power Marketer",$H343="Community Choice Aggregator",$E343="Energy"),"procurement",IF(OR($H343="Municipal",$H343="Cooperative",$H343="Federal",$H343="State",$H343="Political Subdivision"),"cost_service",IF($H343="Investor Owned",IF(AND(COUNTIF(Parameters!$A$4:$A$33,$G343)&gt;0,COUNTIF(Parameters!$B$4:$B$33,$B343)=0),"procurement","cost_service"),"unclassified"))))))</f>
        <v>cost_service</v>
      </c>
    </row>
    <row r="344" spans="1:26" x14ac:dyDescent="0.25">
      <c r="A344">
        <v>2024</v>
      </c>
      <c r="B344">
        <v>5399</v>
      </c>
      <c r="C344" t="s">
        <v>447</v>
      </c>
      <c r="D344" t="s">
        <v>84</v>
      </c>
      <c r="E344" t="s">
        <v>85</v>
      </c>
      <c r="F344" t="s">
        <v>86</v>
      </c>
      <c r="G344" t="s">
        <v>156</v>
      </c>
      <c r="H344" t="s">
        <v>91</v>
      </c>
      <c r="I344" t="s">
        <v>89</v>
      </c>
      <c r="J344">
        <v>144303</v>
      </c>
      <c r="K344">
        <v>1154607</v>
      </c>
      <c r="L344">
        <v>71342</v>
      </c>
      <c r="M344">
        <v>70285</v>
      </c>
      <c r="N344">
        <v>525914</v>
      </c>
      <c r="O344">
        <v>13828</v>
      </c>
      <c r="P344">
        <v>19466</v>
      </c>
      <c r="Q344">
        <v>282324</v>
      </c>
      <c r="R344">
        <v>15</v>
      </c>
      <c r="S344">
        <v>0</v>
      </c>
      <c r="T344">
        <v>0</v>
      </c>
      <c r="U344">
        <v>0</v>
      </c>
      <c r="V344">
        <v>234054</v>
      </c>
      <c r="W344">
        <v>1962845</v>
      </c>
      <c r="X344">
        <v>85185</v>
      </c>
      <c r="Y344">
        <f t="shared" si="5"/>
        <v>1962845</v>
      </c>
      <c r="Z344" t="str">
        <f>IF(ISNUMBER(SEARCH("Adjustment",$C344)),"excluded",IF($H344="Behind the Meter","excluded",IF(NOT(OR($E344="Bundled",$E344="Energy")),"excluded",IF(OR($H344="Retail Power Marketer",$H344="Community Choice Aggregator",$E344="Energy"),"procurement",IF(OR($H344="Municipal",$H344="Cooperative",$H344="Federal",$H344="State",$H344="Political Subdivision"),"cost_service",IF($H344="Investor Owned",IF(AND(COUNTIF(Parameters!$A$4:$A$33,$G344)&gt;0,COUNTIF(Parameters!$B$4:$B$33,$B344)=0),"procurement","cost_service"),"unclassified"))))))</f>
        <v>cost_service</v>
      </c>
    </row>
    <row r="345" spans="1:26" x14ac:dyDescent="0.25">
      <c r="A345">
        <v>2024</v>
      </c>
      <c r="B345">
        <v>5416</v>
      </c>
      <c r="C345" t="s">
        <v>448</v>
      </c>
      <c r="D345" t="s">
        <v>84</v>
      </c>
      <c r="E345" t="s">
        <v>85</v>
      </c>
      <c r="F345" t="s">
        <v>86</v>
      </c>
      <c r="G345" t="s">
        <v>125</v>
      </c>
      <c r="H345" t="s">
        <v>109</v>
      </c>
      <c r="I345" t="s">
        <v>126</v>
      </c>
      <c r="J345">
        <v>3159208.3</v>
      </c>
      <c r="K345">
        <v>22664575</v>
      </c>
      <c r="L345">
        <v>1919372</v>
      </c>
      <c r="M345">
        <v>2421144.2999999998</v>
      </c>
      <c r="N345">
        <v>24528909</v>
      </c>
      <c r="O345">
        <v>309224</v>
      </c>
      <c r="P345">
        <v>897842.9</v>
      </c>
      <c r="Q345">
        <v>11510418</v>
      </c>
      <c r="R345">
        <v>4446</v>
      </c>
      <c r="S345">
        <v>1273.5</v>
      </c>
      <c r="T345">
        <v>12388</v>
      </c>
      <c r="U345">
        <v>1</v>
      </c>
      <c r="V345">
        <v>6479469</v>
      </c>
      <c r="W345">
        <v>58716290</v>
      </c>
      <c r="X345">
        <v>2233043</v>
      </c>
      <c r="Y345">
        <f t="shared" si="5"/>
        <v>58716290</v>
      </c>
      <c r="Z345" t="str">
        <f>IF(ISNUMBER(SEARCH("Adjustment",$C345)),"excluded",IF($H345="Behind the Meter","excluded",IF(NOT(OR($E345="Bundled",$E345="Energy")),"excluded",IF(OR($H345="Retail Power Marketer",$H345="Community Choice Aggregator",$E345="Energy"),"procurement",IF(OR($H345="Municipal",$H345="Cooperative",$H345="Federal",$H345="State",$H345="Political Subdivision"),"cost_service",IF($H345="Investor Owned",IF(AND(COUNTIF(Parameters!$A$4:$A$33,$G345)&gt;0,COUNTIF(Parameters!$B$4:$B$33,$B345)=0),"procurement","cost_service"),"unclassified"))))))</f>
        <v>cost_service</v>
      </c>
    </row>
    <row r="346" spans="1:26" x14ac:dyDescent="0.25">
      <c r="A346">
        <v>2024</v>
      </c>
      <c r="B346">
        <v>5416</v>
      </c>
      <c r="C346" t="s">
        <v>448</v>
      </c>
      <c r="D346" t="s">
        <v>84</v>
      </c>
      <c r="E346" t="s">
        <v>85</v>
      </c>
      <c r="F346" t="s">
        <v>86</v>
      </c>
      <c r="G346" t="s">
        <v>106</v>
      </c>
      <c r="H346" t="s">
        <v>109</v>
      </c>
      <c r="I346" t="s">
        <v>126</v>
      </c>
      <c r="J346">
        <v>979168.3</v>
      </c>
      <c r="K346">
        <v>7000781</v>
      </c>
      <c r="L346">
        <v>568586</v>
      </c>
      <c r="M346">
        <v>639009.6</v>
      </c>
      <c r="N346">
        <v>6069714</v>
      </c>
      <c r="O346">
        <v>103936</v>
      </c>
      <c r="P346">
        <v>589568.19999999995</v>
      </c>
      <c r="Q346">
        <v>8207655</v>
      </c>
      <c r="R346">
        <v>1500</v>
      </c>
      <c r="S346" t="s">
        <v>97</v>
      </c>
      <c r="T346" t="s">
        <v>97</v>
      </c>
      <c r="U346" t="s">
        <v>97</v>
      </c>
      <c r="V346">
        <v>2207746.1</v>
      </c>
      <c r="W346">
        <v>21278150</v>
      </c>
      <c r="X346">
        <v>674022</v>
      </c>
      <c r="Y346">
        <f t="shared" si="5"/>
        <v>21278150</v>
      </c>
      <c r="Z346" t="str">
        <f>IF(ISNUMBER(SEARCH("Adjustment",$C346)),"excluded",IF($H346="Behind the Meter","excluded",IF(NOT(OR($E346="Bundled",$E346="Energy")),"excluded",IF(OR($H346="Retail Power Marketer",$H346="Community Choice Aggregator",$E346="Energy"),"procurement",IF(OR($H346="Municipal",$H346="Cooperative",$H346="Federal",$H346="State",$H346="Political Subdivision"),"cost_service",IF($H346="Investor Owned",IF(AND(COUNTIF(Parameters!$A$4:$A$33,$G346)&gt;0,COUNTIF(Parameters!$B$4:$B$33,$B346)=0),"procurement","cost_service"),"unclassified"))))))</f>
        <v>cost_service</v>
      </c>
    </row>
    <row r="347" spans="1:26" x14ac:dyDescent="0.25">
      <c r="A347">
        <v>2024</v>
      </c>
      <c r="B347">
        <v>5417</v>
      </c>
      <c r="C347" t="s">
        <v>449</v>
      </c>
      <c r="D347" t="s">
        <v>84</v>
      </c>
      <c r="E347" t="s">
        <v>85</v>
      </c>
      <c r="F347" t="s">
        <v>86</v>
      </c>
      <c r="G347" t="s">
        <v>95</v>
      </c>
      <c r="H347" t="s">
        <v>91</v>
      </c>
      <c r="I347" t="s">
        <v>96</v>
      </c>
      <c r="J347">
        <v>16534</v>
      </c>
      <c r="K347">
        <v>106993</v>
      </c>
      <c r="L347">
        <v>9482</v>
      </c>
      <c r="M347">
        <v>5849</v>
      </c>
      <c r="N347">
        <v>50910</v>
      </c>
      <c r="O347">
        <v>1108</v>
      </c>
      <c r="P347">
        <v>4402</v>
      </c>
      <c r="Q347">
        <v>52495</v>
      </c>
      <c r="R347">
        <v>6</v>
      </c>
      <c r="S347" t="s">
        <v>97</v>
      </c>
      <c r="T347" t="s">
        <v>97</v>
      </c>
      <c r="U347" t="s">
        <v>97</v>
      </c>
      <c r="V347">
        <v>26785</v>
      </c>
      <c r="W347">
        <v>210398</v>
      </c>
      <c r="X347">
        <v>10596</v>
      </c>
      <c r="Y347">
        <f t="shared" si="5"/>
        <v>210398</v>
      </c>
      <c r="Z347" t="str">
        <f>IF(ISNUMBER(SEARCH("Adjustment",$C347)),"excluded",IF($H347="Behind the Meter","excluded",IF(NOT(OR($E347="Bundled",$E347="Energy")),"excluded",IF(OR($H347="Retail Power Marketer",$H347="Community Choice Aggregator",$E347="Energy"),"procurement",IF(OR($H347="Municipal",$H347="Cooperative",$H347="Federal",$H347="State",$H347="Political Subdivision"),"cost_service",IF($H347="Investor Owned",IF(AND(COUNTIF(Parameters!$A$4:$A$33,$G347)&gt;0,COUNTIF(Parameters!$B$4:$B$33,$B347)=0),"procurement","cost_service"),"unclassified"))))))</f>
        <v>cost_service</v>
      </c>
    </row>
    <row r="348" spans="1:26" x14ac:dyDescent="0.25">
      <c r="A348">
        <v>2024</v>
      </c>
      <c r="B348">
        <v>5470</v>
      </c>
      <c r="C348" t="s">
        <v>450</v>
      </c>
      <c r="D348" t="s">
        <v>150</v>
      </c>
      <c r="E348" t="s">
        <v>85</v>
      </c>
      <c r="F348" t="s">
        <v>86</v>
      </c>
      <c r="G348" t="s">
        <v>57</v>
      </c>
      <c r="H348" t="s">
        <v>101</v>
      </c>
      <c r="I348" t="s">
        <v>151</v>
      </c>
      <c r="J348">
        <v>0</v>
      </c>
      <c r="K348">
        <v>0</v>
      </c>
      <c r="L348">
        <v>0</v>
      </c>
      <c r="M348">
        <v>1031.8</v>
      </c>
      <c r="N348">
        <v>19631</v>
      </c>
      <c r="O348">
        <v>1</v>
      </c>
      <c r="P348">
        <v>12326.1</v>
      </c>
      <c r="Q348">
        <v>247352</v>
      </c>
      <c r="R348">
        <v>1</v>
      </c>
      <c r="S348">
        <v>0</v>
      </c>
      <c r="T348">
        <v>0</v>
      </c>
      <c r="U348">
        <v>0</v>
      </c>
      <c r="V348">
        <v>13357.9</v>
      </c>
      <c r="W348">
        <v>266983</v>
      </c>
      <c r="X348">
        <v>2</v>
      </c>
      <c r="Y348">
        <f t="shared" si="5"/>
        <v>266983</v>
      </c>
      <c r="Z348" t="str">
        <f>IF(ISNUMBER(SEARCH("Adjustment",$C348)),"excluded",IF($H348="Behind the Meter","excluded",IF(NOT(OR($E348="Bundled",$E348="Energy")),"excluded",IF(OR($H348="Retail Power Marketer",$H348="Community Choice Aggregator",$E348="Energy"),"procurement",IF(OR($H348="Municipal",$H348="Cooperative",$H348="Federal",$H348="State",$H348="Political Subdivision"),"cost_service",IF($H348="Investor Owned",IF(AND(COUNTIF(Parameters!$A$4:$A$33,$G348)&gt;0,COUNTIF(Parameters!$B$4:$B$33,$B348)=0),"procurement","cost_service"),"unclassified"))))))</f>
        <v>procurement</v>
      </c>
    </row>
    <row r="349" spans="1:26" x14ac:dyDescent="0.25">
      <c r="A349">
        <v>2024</v>
      </c>
      <c r="B349">
        <v>5480</v>
      </c>
      <c r="C349" t="s">
        <v>451</v>
      </c>
      <c r="D349" t="s">
        <v>84</v>
      </c>
      <c r="E349" t="s">
        <v>85</v>
      </c>
      <c r="F349" t="s">
        <v>86</v>
      </c>
      <c r="G349" t="s">
        <v>48</v>
      </c>
      <c r="H349" t="s">
        <v>88</v>
      </c>
      <c r="I349" t="s">
        <v>189</v>
      </c>
      <c r="J349">
        <v>15865.4</v>
      </c>
      <c r="K349">
        <v>96468</v>
      </c>
      <c r="L349">
        <v>11594</v>
      </c>
      <c r="M349">
        <v>5049.8999999999996</v>
      </c>
      <c r="N349">
        <v>31795</v>
      </c>
      <c r="O349">
        <v>1549</v>
      </c>
      <c r="P349">
        <v>21753.7</v>
      </c>
      <c r="Q349">
        <v>163111</v>
      </c>
      <c r="R349">
        <v>349</v>
      </c>
      <c r="S349" t="s">
        <v>97</v>
      </c>
      <c r="T349" t="s">
        <v>97</v>
      </c>
      <c r="U349" t="s">
        <v>97</v>
      </c>
      <c r="V349">
        <v>42669</v>
      </c>
      <c r="W349">
        <v>291374</v>
      </c>
      <c r="X349">
        <v>13492</v>
      </c>
      <c r="Y349">
        <f t="shared" si="5"/>
        <v>291374</v>
      </c>
      <c r="Z349" t="str">
        <f>IF(ISNUMBER(SEARCH("Adjustment",$C349)),"excluded",IF($H349="Behind the Meter","excluded",IF(NOT(OR($E349="Bundled",$E349="Energy")),"excluded",IF(OR($H349="Retail Power Marketer",$H349="Community Choice Aggregator",$E349="Energy"),"procurement",IF(OR($H349="Municipal",$H349="Cooperative",$H349="Federal",$H349="State",$H349="Political Subdivision"),"cost_service",IF($H349="Investor Owned",IF(AND(COUNTIF(Parameters!$A$4:$A$33,$G349)&gt;0,COUNTIF(Parameters!$B$4:$B$33,$B349)=0),"procurement","cost_service"),"unclassified"))))))</f>
        <v>cost_service</v>
      </c>
    </row>
    <row r="350" spans="1:26" x14ac:dyDescent="0.25">
      <c r="A350">
        <v>2024</v>
      </c>
      <c r="B350">
        <v>5487</v>
      </c>
      <c r="C350" t="s">
        <v>452</v>
      </c>
      <c r="D350" t="s">
        <v>84</v>
      </c>
      <c r="E350" t="s">
        <v>85</v>
      </c>
      <c r="F350" t="s">
        <v>86</v>
      </c>
      <c r="G350" t="s">
        <v>55</v>
      </c>
      <c r="H350" t="s">
        <v>109</v>
      </c>
      <c r="I350" t="s">
        <v>92</v>
      </c>
      <c r="J350">
        <v>685304</v>
      </c>
      <c r="K350">
        <v>3151995</v>
      </c>
      <c r="L350">
        <v>434171</v>
      </c>
      <c r="M350">
        <v>159148</v>
      </c>
      <c r="N350">
        <v>999403</v>
      </c>
      <c r="O350">
        <v>38515</v>
      </c>
      <c r="P350">
        <v>8532</v>
      </c>
      <c r="Q350">
        <v>63936</v>
      </c>
      <c r="R350">
        <v>332</v>
      </c>
      <c r="S350" t="s">
        <v>97</v>
      </c>
      <c r="T350" t="s">
        <v>97</v>
      </c>
      <c r="U350" t="s">
        <v>97</v>
      </c>
      <c r="V350">
        <v>852984</v>
      </c>
      <c r="W350">
        <v>4215334</v>
      </c>
      <c r="X350">
        <v>473018</v>
      </c>
      <c r="Y350">
        <f t="shared" si="5"/>
        <v>4215334</v>
      </c>
      <c r="Z350" t="str">
        <f>IF(ISNUMBER(SEARCH("Adjustment",$C350)),"excluded",IF($H350="Behind the Meter","excluded",IF(NOT(OR($E350="Bundled",$E350="Energy")),"excluded",IF(OR($H350="Retail Power Marketer",$H350="Community Choice Aggregator",$E350="Energy"),"procurement",IF(OR($H350="Municipal",$H350="Cooperative",$H350="Federal",$H350="State",$H350="Political Subdivision"),"cost_service",IF($H350="Investor Owned",IF(AND(COUNTIF(Parameters!$A$4:$A$33,$G350)&gt;0,COUNTIF(Parameters!$B$4:$B$33,$B350)=0),"procurement","cost_service"),"unclassified"))))))</f>
        <v>procurement</v>
      </c>
    </row>
    <row r="351" spans="1:26" x14ac:dyDescent="0.25">
      <c r="A351">
        <v>2024</v>
      </c>
      <c r="B351">
        <v>5487</v>
      </c>
      <c r="C351" t="s">
        <v>452</v>
      </c>
      <c r="D351" t="s">
        <v>167</v>
      </c>
      <c r="E351" t="s">
        <v>168</v>
      </c>
      <c r="F351" t="s">
        <v>86</v>
      </c>
      <c r="G351" t="s">
        <v>55</v>
      </c>
      <c r="H351" t="s">
        <v>109</v>
      </c>
      <c r="I351" t="s">
        <v>92</v>
      </c>
      <c r="J351">
        <v>99094</v>
      </c>
      <c r="K351">
        <v>877741</v>
      </c>
      <c r="L351">
        <v>116234</v>
      </c>
      <c r="M351">
        <v>165180</v>
      </c>
      <c r="N351">
        <v>4708846</v>
      </c>
      <c r="O351">
        <v>23855</v>
      </c>
      <c r="P351">
        <v>38301</v>
      </c>
      <c r="Q351">
        <v>2945306</v>
      </c>
      <c r="R351">
        <v>680</v>
      </c>
      <c r="S351">
        <v>1328</v>
      </c>
      <c r="T351">
        <v>14216</v>
      </c>
      <c r="U351">
        <v>1</v>
      </c>
      <c r="V351">
        <v>303903</v>
      </c>
      <c r="W351">
        <v>8546109</v>
      </c>
      <c r="X351">
        <v>140770</v>
      </c>
      <c r="Y351">
        <f t="shared" si="5"/>
        <v>8546109</v>
      </c>
      <c r="Z351" t="str">
        <f>IF(ISNUMBER(SEARCH("Adjustment",$C351)),"excluded",IF($H351="Behind the Meter","excluded",IF(NOT(OR($E351="Bundled",$E351="Energy")),"excluded",IF(OR($H351="Retail Power Marketer",$H351="Community Choice Aggregator",$E351="Energy"),"procurement",IF(OR($H351="Municipal",$H351="Cooperative",$H351="Federal",$H351="State",$H351="Political Subdivision"),"cost_service",IF($H351="Investor Owned",IF(AND(COUNTIF(Parameters!$A$4:$A$33,$G351)&gt;0,COUNTIF(Parameters!$B$4:$B$33,$B351)=0),"procurement","cost_service"),"unclassified"))))))</f>
        <v>excluded</v>
      </c>
    </row>
    <row r="352" spans="1:26" x14ac:dyDescent="0.25">
      <c r="A352">
        <v>2024</v>
      </c>
      <c r="B352">
        <v>5509</v>
      </c>
      <c r="C352" t="s">
        <v>453</v>
      </c>
      <c r="D352" t="s">
        <v>84</v>
      </c>
      <c r="E352" t="s">
        <v>85</v>
      </c>
      <c r="F352" t="s">
        <v>86</v>
      </c>
      <c r="G352" t="s">
        <v>156</v>
      </c>
      <c r="H352" t="s">
        <v>88</v>
      </c>
      <c r="I352" t="s">
        <v>89</v>
      </c>
      <c r="J352">
        <v>14465</v>
      </c>
      <c r="K352">
        <v>129756</v>
      </c>
      <c r="L352">
        <v>9475</v>
      </c>
      <c r="M352">
        <v>15951</v>
      </c>
      <c r="N352">
        <v>138532</v>
      </c>
      <c r="O352">
        <v>2590</v>
      </c>
      <c r="P352">
        <v>7554</v>
      </c>
      <c r="Q352">
        <v>104658</v>
      </c>
      <c r="R352">
        <v>10</v>
      </c>
      <c r="S352">
        <v>0</v>
      </c>
      <c r="T352">
        <v>0</v>
      </c>
      <c r="U352">
        <v>0</v>
      </c>
      <c r="V352">
        <v>37970</v>
      </c>
      <c r="W352">
        <v>372946</v>
      </c>
      <c r="X352">
        <v>12075</v>
      </c>
      <c r="Y352">
        <f t="shared" si="5"/>
        <v>372946</v>
      </c>
      <c r="Z352" t="str">
        <f>IF(ISNUMBER(SEARCH("Adjustment",$C352)),"excluded",IF($H352="Behind the Meter","excluded",IF(NOT(OR($E352="Bundled",$E352="Energy")),"excluded",IF(OR($H352="Retail Power Marketer",$H352="Community Choice Aggregator",$E352="Energy"),"procurement",IF(OR($H352="Municipal",$H352="Cooperative",$H352="Federal",$H352="State",$H352="Political Subdivision"),"cost_service",IF($H352="Investor Owned",IF(AND(COUNTIF(Parameters!$A$4:$A$33,$G352)&gt;0,COUNTIF(Parameters!$B$4:$B$33,$B352)=0),"procurement","cost_service"),"unclassified"))))))</f>
        <v>cost_service</v>
      </c>
    </row>
    <row r="353" spans="1:26" x14ac:dyDescent="0.25">
      <c r="A353">
        <v>2024</v>
      </c>
      <c r="B353">
        <v>5535</v>
      </c>
      <c r="C353" t="s">
        <v>454</v>
      </c>
      <c r="D353" t="s">
        <v>84</v>
      </c>
      <c r="E353" t="s">
        <v>85</v>
      </c>
      <c r="F353" t="s">
        <v>86</v>
      </c>
      <c r="G353" t="s">
        <v>46</v>
      </c>
      <c r="H353" t="s">
        <v>91</v>
      </c>
      <c r="I353" t="s">
        <v>96</v>
      </c>
      <c r="J353">
        <v>28817.4</v>
      </c>
      <c r="K353">
        <v>185504</v>
      </c>
      <c r="L353">
        <v>13707</v>
      </c>
      <c r="M353">
        <v>16950</v>
      </c>
      <c r="N353">
        <v>131959</v>
      </c>
      <c r="O353">
        <v>1758</v>
      </c>
      <c r="P353" t="s">
        <v>97</v>
      </c>
      <c r="Q353" t="s">
        <v>97</v>
      </c>
      <c r="R353" t="s">
        <v>97</v>
      </c>
      <c r="S353" t="s">
        <v>97</v>
      </c>
      <c r="T353" t="s">
        <v>97</v>
      </c>
      <c r="U353" t="s">
        <v>97</v>
      </c>
      <c r="V353">
        <v>45767.4</v>
      </c>
      <c r="W353">
        <v>317463</v>
      </c>
      <c r="X353">
        <v>15465</v>
      </c>
      <c r="Y353">
        <f t="shared" si="5"/>
        <v>317463</v>
      </c>
      <c r="Z353" t="str">
        <f>IF(ISNUMBER(SEARCH("Adjustment",$C353)),"excluded",IF($H353="Behind the Meter","excluded",IF(NOT(OR($E353="Bundled",$E353="Energy")),"excluded",IF(OR($H353="Retail Power Marketer",$H353="Community Choice Aggregator",$E353="Energy"),"procurement",IF(OR($H353="Municipal",$H353="Cooperative",$H353="Federal",$H353="State",$H353="Political Subdivision"),"cost_service",IF($H353="Investor Owned",IF(AND(COUNTIF(Parameters!$A$4:$A$33,$G353)&gt;0,COUNTIF(Parameters!$B$4:$B$33,$B353)=0),"procurement","cost_service"),"unclassified"))))))</f>
        <v>cost_service</v>
      </c>
    </row>
    <row r="354" spans="1:26" x14ac:dyDescent="0.25">
      <c r="A354">
        <v>2024</v>
      </c>
      <c r="B354">
        <v>5551</v>
      </c>
      <c r="C354" t="s">
        <v>455</v>
      </c>
      <c r="D354" t="s">
        <v>84</v>
      </c>
      <c r="E354" t="s">
        <v>85</v>
      </c>
      <c r="F354" t="s">
        <v>86</v>
      </c>
      <c r="G354" t="s">
        <v>95</v>
      </c>
      <c r="H354" t="s">
        <v>88</v>
      </c>
      <c r="I354" t="s">
        <v>96</v>
      </c>
      <c r="J354">
        <v>872.7</v>
      </c>
      <c r="K354">
        <v>6024</v>
      </c>
      <c r="L354">
        <v>1055</v>
      </c>
      <c r="M354">
        <v>2673</v>
      </c>
      <c r="N354">
        <v>23076</v>
      </c>
      <c r="O354">
        <v>532</v>
      </c>
      <c r="P354">
        <v>0</v>
      </c>
      <c r="Q354">
        <v>0</v>
      </c>
      <c r="R354">
        <v>0</v>
      </c>
      <c r="S354">
        <v>0</v>
      </c>
      <c r="T354">
        <v>0</v>
      </c>
      <c r="U354">
        <v>0</v>
      </c>
      <c r="V354">
        <v>3545.7</v>
      </c>
      <c r="W354">
        <v>29100</v>
      </c>
      <c r="X354">
        <v>1587</v>
      </c>
      <c r="Y354">
        <f t="shared" si="5"/>
        <v>29100</v>
      </c>
      <c r="Z354" t="str">
        <f>IF(ISNUMBER(SEARCH("Adjustment",$C354)),"excluded",IF($H354="Behind the Meter","excluded",IF(NOT(OR($E354="Bundled",$E354="Energy")),"excluded",IF(OR($H354="Retail Power Marketer",$H354="Community Choice Aggregator",$E354="Energy"),"procurement",IF(OR($H354="Municipal",$H354="Cooperative",$H354="Federal",$H354="State",$H354="Political Subdivision"),"cost_service",IF($H354="Investor Owned",IF(AND(COUNTIF(Parameters!$A$4:$A$33,$G354)&gt;0,COUNTIF(Parameters!$B$4:$B$33,$B354)=0),"procurement","cost_service"),"unclassified"))))))</f>
        <v>cost_service</v>
      </c>
    </row>
    <row r="355" spans="1:26" x14ac:dyDescent="0.25">
      <c r="A355">
        <v>2024</v>
      </c>
      <c r="B355">
        <v>5574</v>
      </c>
      <c r="C355" t="s">
        <v>456</v>
      </c>
      <c r="D355" t="s">
        <v>84</v>
      </c>
      <c r="E355" t="s">
        <v>85</v>
      </c>
      <c r="F355" t="s">
        <v>86</v>
      </c>
      <c r="G355" t="s">
        <v>104</v>
      </c>
      <c r="H355" t="s">
        <v>91</v>
      </c>
      <c r="I355" t="s">
        <v>96</v>
      </c>
      <c r="J355">
        <v>91815</v>
      </c>
      <c r="K355">
        <v>543737</v>
      </c>
      <c r="L355">
        <v>55250</v>
      </c>
      <c r="M355">
        <v>32480.6</v>
      </c>
      <c r="N355">
        <v>262442</v>
      </c>
      <c r="O355">
        <v>6589</v>
      </c>
      <c r="P355">
        <v>9302.5</v>
      </c>
      <c r="Q355">
        <v>111872</v>
      </c>
      <c r="R355">
        <v>184</v>
      </c>
      <c r="S355">
        <v>0</v>
      </c>
      <c r="T355">
        <v>0</v>
      </c>
      <c r="U355">
        <v>0</v>
      </c>
      <c r="V355">
        <v>133598.1</v>
      </c>
      <c r="W355">
        <v>918051</v>
      </c>
      <c r="X355">
        <v>62023</v>
      </c>
      <c r="Y355">
        <f t="shared" si="5"/>
        <v>918051</v>
      </c>
      <c r="Z355" t="str">
        <f>IF(ISNUMBER(SEARCH("Adjustment",$C355)),"excluded",IF($H355="Behind the Meter","excluded",IF(NOT(OR($E355="Bundled",$E355="Energy")),"excluded",IF(OR($H355="Retail Power Marketer",$H355="Community Choice Aggregator",$E355="Energy"),"procurement",IF(OR($H355="Municipal",$H355="Cooperative",$H355="Federal",$H355="State",$H355="Political Subdivision"),"cost_service",IF($H355="Investor Owned",IF(AND(COUNTIF(Parameters!$A$4:$A$33,$G355)&gt;0,COUNTIF(Parameters!$B$4:$B$33,$B355)=0),"procurement","cost_service"),"unclassified"))))))</f>
        <v>cost_service</v>
      </c>
    </row>
    <row r="356" spans="1:26" x14ac:dyDescent="0.25">
      <c r="A356">
        <v>2024</v>
      </c>
      <c r="B356">
        <v>5574</v>
      </c>
      <c r="C356" t="s">
        <v>456</v>
      </c>
      <c r="D356" t="s">
        <v>84</v>
      </c>
      <c r="E356" t="s">
        <v>85</v>
      </c>
      <c r="F356" t="s">
        <v>86</v>
      </c>
      <c r="G356" t="s">
        <v>95</v>
      </c>
      <c r="H356" t="s">
        <v>91</v>
      </c>
      <c r="I356" t="s">
        <v>96</v>
      </c>
      <c r="J356">
        <v>7728.1</v>
      </c>
      <c r="K356">
        <v>46427</v>
      </c>
      <c r="L356">
        <v>5182</v>
      </c>
      <c r="M356">
        <v>959.1</v>
      </c>
      <c r="N356">
        <v>6613</v>
      </c>
      <c r="O356">
        <v>388</v>
      </c>
      <c r="P356">
        <v>0</v>
      </c>
      <c r="Q356">
        <v>0</v>
      </c>
      <c r="R356">
        <v>0</v>
      </c>
      <c r="S356">
        <v>0</v>
      </c>
      <c r="T356">
        <v>0</v>
      </c>
      <c r="U356">
        <v>0</v>
      </c>
      <c r="V356">
        <v>8687.2000000000007</v>
      </c>
      <c r="W356">
        <v>53040</v>
      </c>
      <c r="X356">
        <v>5570</v>
      </c>
      <c r="Y356">
        <f t="shared" si="5"/>
        <v>53040</v>
      </c>
      <c r="Z356" t="str">
        <f>IF(ISNUMBER(SEARCH("Adjustment",$C356)),"excluded",IF($H356="Behind the Meter","excluded",IF(NOT(OR($E356="Bundled",$E356="Energy")),"excluded",IF(OR($H356="Retail Power Marketer",$H356="Community Choice Aggregator",$E356="Energy"),"procurement",IF(OR($H356="Municipal",$H356="Cooperative",$H356="Federal",$H356="State",$H356="Political Subdivision"),"cost_service",IF($H356="Investor Owned",IF(AND(COUNTIF(Parameters!$A$4:$A$33,$G356)&gt;0,COUNTIF(Parameters!$B$4:$B$33,$B356)=0),"procurement","cost_service"),"unclassified"))))))</f>
        <v>cost_service</v>
      </c>
    </row>
    <row r="357" spans="1:26" x14ac:dyDescent="0.25">
      <c r="A357">
        <v>2024</v>
      </c>
      <c r="B357">
        <v>5578</v>
      </c>
      <c r="C357" t="s">
        <v>457</v>
      </c>
      <c r="D357" t="s">
        <v>84</v>
      </c>
      <c r="E357" t="s">
        <v>85</v>
      </c>
      <c r="F357" t="s">
        <v>86</v>
      </c>
      <c r="G357" t="s">
        <v>87</v>
      </c>
      <c r="H357" t="s">
        <v>91</v>
      </c>
      <c r="I357" t="s">
        <v>89</v>
      </c>
      <c r="J357">
        <v>18042</v>
      </c>
      <c r="K357">
        <v>126541</v>
      </c>
      <c r="L357">
        <v>9885</v>
      </c>
      <c r="M357">
        <v>12626</v>
      </c>
      <c r="N357">
        <v>91099</v>
      </c>
      <c r="O357">
        <v>3351</v>
      </c>
      <c r="P357">
        <v>0</v>
      </c>
      <c r="Q357">
        <v>0</v>
      </c>
      <c r="R357">
        <v>0</v>
      </c>
      <c r="S357">
        <v>0</v>
      </c>
      <c r="T357">
        <v>0</v>
      </c>
      <c r="U357">
        <v>0</v>
      </c>
      <c r="V357">
        <v>30668</v>
      </c>
      <c r="W357">
        <v>217640</v>
      </c>
      <c r="X357">
        <v>13236</v>
      </c>
      <c r="Y357">
        <f t="shared" si="5"/>
        <v>217640</v>
      </c>
      <c r="Z357" t="str">
        <f>IF(ISNUMBER(SEARCH("Adjustment",$C357)),"excluded",IF($H357="Behind the Meter","excluded",IF(NOT(OR($E357="Bundled",$E357="Energy")),"excluded",IF(OR($H357="Retail Power Marketer",$H357="Community Choice Aggregator",$E357="Energy"),"procurement",IF(OR($H357="Municipal",$H357="Cooperative",$H357="Federal",$H357="State",$H357="Political Subdivision"),"cost_service",IF($H357="Investor Owned",IF(AND(COUNTIF(Parameters!$A$4:$A$33,$G357)&gt;0,COUNTIF(Parameters!$B$4:$B$33,$B357)=0),"procurement","cost_service"),"unclassified"))))))</f>
        <v>cost_service</v>
      </c>
    </row>
    <row r="358" spans="1:26" x14ac:dyDescent="0.25">
      <c r="A358">
        <v>2024</v>
      </c>
      <c r="B358">
        <v>5582</v>
      </c>
      <c r="C358" t="s">
        <v>458</v>
      </c>
      <c r="D358" t="s">
        <v>84</v>
      </c>
      <c r="E358" t="s">
        <v>85</v>
      </c>
      <c r="F358" t="s">
        <v>86</v>
      </c>
      <c r="G358" t="s">
        <v>123</v>
      </c>
      <c r="H358" t="s">
        <v>88</v>
      </c>
      <c r="I358" t="s">
        <v>113</v>
      </c>
      <c r="J358">
        <v>19424.2</v>
      </c>
      <c r="K358">
        <v>162306</v>
      </c>
      <c r="L358">
        <v>16365</v>
      </c>
      <c r="M358">
        <v>25146.7</v>
      </c>
      <c r="N358">
        <v>274952</v>
      </c>
      <c r="O358">
        <v>1507</v>
      </c>
      <c r="P358" t="s">
        <v>97</v>
      </c>
      <c r="Q358" t="s">
        <v>97</v>
      </c>
      <c r="R358" t="s">
        <v>97</v>
      </c>
      <c r="S358" t="s">
        <v>97</v>
      </c>
      <c r="T358" t="s">
        <v>97</v>
      </c>
      <c r="U358" t="s">
        <v>97</v>
      </c>
      <c r="V358">
        <v>44570.9</v>
      </c>
      <c r="W358">
        <v>437258</v>
      </c>
      <c r="X358">
        <v>17872</v>
      </c>
      <c r="Y358">
        <f t="shared" si="5"/>
        <v>437258</v>
      </c>
      <c r="Z358" t="str">
        <f>IF(ISNUMBER(SEARCH("Adjustment",$C358)),"excluded",IF($H358="Behind the Meter","excluded",IF(NOT(OR($E358="Bundled",$E358="Energy")),"excluded",IF(OR($H358="Retail Power Marketer",$H358="Community Choice Aggregator",$E358="Energy"),"procurement",IF(OR($H358="Municipal",$H358="Cooperative",$H358="Federal",$H358="State",$H358="Political Subdivision"),"cost_service",IF($H358="Investor Owned",IF(AND(COUNTIF(Parameters!$A$4:$A$33,$G358)&gt;0,COUNTIF(Parameters!$B$4:$B$33,$B358)=0),"procurement","cost_service"),"unclassified"))))))</f>
        <v>cost_service</v>
      </c>
    </row>
    <row r="359" spans="1:26" x14ac:dyDescent="0.25">
      <c r="A359">
        <v>2024</v>
      </c>
      <c r="B359">
        <v>5585</v>
      </c>
      <c r="C359" t="s">
        <v>459</v>
      </c>
      <c r="D359" t="s">
        <v>84</v>
      </c>
      <c r="E359" t="s">
        <v>85</v>
      </c>
      <c r="F359" t="s">
        <v>86</v>
      </c>
      <c r="G359" t="s">
        <v>46</v>
      </c>
      <c r="H359" t="s">
        <v>91</v>
      </c>
      <c r="I359" t="s">
        <v>96</v>
      </c>
      <c r="J359">
        <v>28218</v>
      </c>
      <c r="K359">
        <v>165027</v>
      </c>
      <c r="L359">
        <v>11115</v>
      </c>
      <c r="M359">
        <v>7968</v>
      </c>
      <c r="N359">
        <v>51770</v>
      </c>
      <c r="O359">
        <v>2370</v>
      </c>
      <c r="P359">
        <v>2456</v>
      </c>
      <c r="Q359">
        <v>19230</v>
      </c>
      <c r="R359">
        <v>14</v>
      </c>
      <c r="S359">
        <v>0</v>
      </c>
      <c r="T359">
        <v>0</v>
      </c>
      <c r="U359">
        <v>0</v>
      </c>
      <c r="V359">
        <v>38642</v>
      </c>
      <c r="W359">
        <v>236027</v>
      </c>
      <c r="X359">
        <v>13499</v>
      </c>
      <c r="Y359">
        <f t="shared" si="5"/>
        <v>236027</v>
      </c>
      <c r="Z359" t="str">
        <f>IF(ISNUMBER(SEARCH("Adjustment",$C359)),"excluded",IF($H359="Behind the Meter","excluded",IF(NOT(OR($E359="Bundled",$E359="Energy")),"excluded",IF(OR($H359="Retail Power Marketer",$H359="Community Choice Aggregator",$E359="Energy"),"procurement",IF(OR($H359="Municipal",$H359="Cooperative",$H359="Federal",$H359="State",$H359="Political Subdivision"),"cost_service",IF($H359="Investor Owned",IF(AND(COUNTIF(Parameters!$A$4:$A$33,$G359)&gt;0,COUNTIF(Parameters!$B$4:$B$33,$B359)=0),"procurement","cost_service"),"unclassified"))))))</f>
        <v>cost_service</v>
      </c>
    </row>
    <row r="360" spans="1:26" x14ac:dyDescent="0.25">
      <c r="A360">
        <v>2024</v>
      </c>
      <c r="B360">
        <v>5588</v>
      </c>
      <c r="C360" t="s">
        <v>460</v>
      </c>
      <c r="D360" t="s">
        <v>84</v>
      </c>
      <c r="E360" t="s">
        <v>85</v>
      </c>
      <c r="F360" t="s">
        <v>86</v>
      </c>
      <c r="G360" t="s">
        <v>146</v>
      </c>
      <c r="H360" t="s">
        <v>91</v>
      </c>
      <c r="I360" t="s">
        <v>96</v>
      </c>
      <c r="J360">
        <v>15812</v>
      </c>
      <c r="K360">
        <v>119049</v>
      </c>
      <c r="L360">
        <v>7368</v>
      </c>
      <c r="M360">
        <v>6769</v>
      </c>
      <c r="N360">
        <v>58457</v>
      </c>
      <c r="O360">
        <v>1850</v>
      </c>
      <c r="P360">
        <v>3100</v>
      </c>
      <c r="Q360">
        <v>36964</v>
      </c>
      <c r="R360">
        <v>6</v>
      </c>
      <c r="S360" t="s">
        <v>97</v>
      </c>
      <c r="T360" t="s">
        <v>97</v>
      </c>
      <c r="U360" t="s">
        <v>97</v>
      </c>
      <c r="V360">
        <v>25681</v>
      </c>
      <c r="W360">
        <v>214470</v>
      </c>
      <c r="X360">
        <v>9224</v>
      </c>
      <c r="Y360">
        <f t="shared" si="5"/>
        <v>214470</v>
      </c>
      <c r="Z360" t="str">
        <f>IF(ISNUMBER(SEARCH("Adjustment",$C360)),"excluded",IF($H360="Behind the Meter","excluded",IF(NOT(OR($E360="Bundled",$E360="Energy")),"excluded",IF(OR($H360="Retail Power Marketer",$H360="Community Choice Aggregator",$E360="Energy"),"procurement",IF(OR($H360="Municipal",$H360="Cooperative",$H360="Federal",$H360="State",$H360="Political Subdivision"),"cost_service",IF($H360="Investor Owned",IF(AND(COUNTIF(Parameters!$A$4:$A$33,$G360)&gt;0,COUNTIF(Parameters!$B$4:$B$33,$B360)=0),"procurement","cost_service"),"unclassified"))))))</f>
        <v>cost_service</v>
      </c>
    </row>
    <row r="361" spans="1:26" x14ac:dyDescent="0.25">
      <c r="A361">
        <v>2024</v>
      </c>
      <c r="B361">
        <v>5598</v>
      </c>
      <c r="C361" t="s">
        <v>461</v>
      </c>
      <c r="D361" t="s">
        <v>84</v>
      </c>
      <c r="E361" t="s">
        <v>85</v>
      </c>
      <c r="F361" t="s">
        <v>86</v>
      </c>
      <c r="G361" t="s">
        <v>136</v>
      </c>
      <c r="H361" t="s">
        <v>91</v>
      </c>
      <c r="I361" t="s">
        <v>227</v>
      </c>
      <c r="J361">
        <v>54724</v>
      </c>
      <c r="K361">
        <v>456285</v>
      </c>
      <c r="L361">
        <v>33358</v>
      </c>
      <c r="M361">
        <v>19663</v>
      </c>
      <c r="N361">
        <v>203584</v>
      </c>
      <c r="O361">
        <v>4081</v>
      </c>
      <c r="P361" t="s">
        <v>97</v>
      </c>
      <c r="Q361" t="s">
        <v>97</v>
      </c>
      <c r="R361" t="s">
        <v>97</v>
      </c>
      <c r="S361" t="s">
        <v>97</v>
      </c>
      <c r="T361" t="s">
        <v>97</v>
      </c>
      <c r="U361" t="s">
        <v>97</v>
      </c>
      <c r="V361">
        <v>74387</v>
      </c>
      <c r="W361">
        <v>659869</v>
      </c>
      <c r="X361">
        <v>37439</v>
      </c>
      <c r="Y361">
        <f t="shared" si="5"/>
        <v>659869</v>
      </c>
      <c r="Z361" t="str">
        <f>IF(ISNUMBER(SEARCH("Adjustment",$C361)),"excluded",IF($H361="Behind the Meter","excluded",IF(NOT(OR($E361="Bundled",$E361="Energy")),"excluded",IF(OR($H361="Retail Power Marketer",$H361="Community Choice Aggregator",$E361="Energy"),"procurement",IF(OR($H361="Municipal",$H361="Cooperative",$H361="Federal",$H361="State",$H361="Political Subdivision"),"cost_service",IF($H361="Investor Owned",IF(AND(COUNTIF(Parameters!$A$4:$A$33,$G361)&gt;0,COUNTIF(Parameters!$B$4:$B$33,$B361)=0),"procurement","cost_service"),"unclassified"))))))</f>
        <v>cost_service</v>
      </c>
    </row>
    <row r="362" spans="1:26" x14ac:dyDescent="0.25">
      <c r="A362">
        <v>2024</v>
      </c>
      <c r="B362">
        <v>5605</v>
      </c>
      <c r="C362" t="s">
        <v>462</v>
      </c>
      <c r="D362" t="s">
        <v>84</v>
      </c>
      <c r="E362" t="s">
        <v>85</v>
      </c>
      <c r="F362" t="s">
        <v>86</v>
      </c>
      <c r="G362" t="s">
        <v>146</v>
      </c>
      <c r="H362" t="s">
        <v>91</v>
      </c>
      <c r="I362" t="s">
        <v>96</v>
      </c>
      <c r="J362">
        <v>38280.5</v>
      </c>
      <c r="K362">
        <v>282368</v>
      </c>
      <c r="L362">
        <v>20749</v>
      </c>
      <c r="M362">
        <v>9270.4</v>
      </c>
      <c r="N362">
        <v>77757</v>
      </c>
      <c r="O362">
        <v>3304</v>
      </c>
      <c r="P362">
        <v>15165.5</v>
      </c>
      <c r="Q362">
        <v>204507</v>
      </c>
      <c r="R362">
        <v>17</v>
      </c>
      <c r="S362" t="s">
        <v>97</v>
      </c>
      <c r="T362" t="s">
        <v>97</v>
      </c>
      <c r="U362" t="s">
        <v>97</v>
      </c>
      <c r="V362">
        <v>62716.4</v>
      </c>
      <c r="W362">
        <v>564632</v>
      </c>
      <c r="X362">
        <v>24070</v>
      </c>
      <c r="Y362">
        <f t="shared" si="5"/>
        <v>564632</v>
      </c>
      <c r="Z362" t="str">
        <f>IF(ISNUMBER(SEARCH("Adjustment",$C362)),"excluded",IF($H362="Behind the Meter","excluded",IF(NOT(OR($E362="Bundled",$E362="Energy")),"excluded",IF(OR($H362="Retail Power Marketer",$H362="Community Choice Aggregator",$E362="Energy"),"procurement",IF(OR($H362="Municipal",$H362="Cooperative",$H362="Federal",$H362="State",$H362="Political Subdivision"),"cost_service",IF($H362="Investor Owned",IF(AND(COUNTIF(Parameters!$A$4:$A$33,$G362)&gt;0,COUNTIF(Parameters!$B$4:$B$33,$B362)=0),"procurement","cost_service"),"unclassified"))))))</f>
        <v>cost_service</v>
      </c>
    </row>
    <row r="363" spans="1:26" x14ac:dyDescent="0.25">
      <c r="A363">
        <v>2024</v>
      </c>
      <c r="B363">
        <v>5609</v>
      </c>
      <c r="C363" t="s">
        <v>463</v>
      </c>
      <c r="D363" t="s">
        <v>84</v>
      </c>
      <c r="E363" t="s">
        <v>85</v>
      </c>
      <c r="F363" t="s">
        <v>86</v>
      </c>
      <c r="G363" t="s">
        <v>50</v>
      </c>
      <c r="H363" t="s">
        <v>91</v>
      </c>
      <c r="I363" t="s">
        <v>188</v>
      </c>
      <c r="J363">
        <v>11130.9</v>
      </c>
      <c r="K363">
        <v>65257</v>
      </c>
      <c r="L363">
        <v>10803</v>
      </c>
      <c r="M363">
        <v>3644.9</v>
      </c>
      <c r="N363">
        <v>23378</v>
      </c>
      <c r="O363">
        <v>2424</v>
      </c>
      <c r="P363">
        <v>1841.3</v>
      </c>
      <c r="Q363">
        <v>13908</v>
      </c>
      <c r="R363">
        <v>30</v>
      </c>
      <c r="S363">
        <v>0</v>
      </c>
      <c r="T363">
        <v>0</v>
      </c>
      <c r="U363">
        <v>0</v>
      </c>
      <c r="V363">
        <v>16617.099999999999</v>
      </c>
      <c r="W363">
        <v>102543</v>
      </c>
      <c r="X363">
        <v>13257</v>
      </c>
      <c r="Y363">
        <f t="shared" si="5"/>
        <v>102543</v>
      </c>
      <c r="Z363" t="str">
        <f>IF(ISNUMBER(SEARCH("Adjustment",$C363)),"excluded",IF($H363="Behind the Meter","excluded",IF(NOT(OR($E363="Bundled",$E363="Energy")),"excluded",IF(OR($H363="Retail Power Marketer",$H363="Community Choice Aggregator",$E363="Energy"),"procurement",IF(OR($H363="Municipal",$H363="Cooperative",$H363="Federal",$H363="State",$H363="Political Subdivision"),"cost_service",IF($H363="Investor Owned",IF(AND(COUNTIF(Parameters!$A$4:$A$33,$G363)&gt;0,COUNTIF(Parameters!$B$4:$B$33,$B363)=0),"procurement","cost_service"),"unclassified"))))))</f>
        <v>cost_service</v>
      </c>
    </row>
    <row r="364" spans="1:26" x14ac:dyDescent="0.25">
      <c r="A364">
        <v>2024</v>
      </c>
      <c r="B364">
        <v>5625</v>
      </c>
      <c r="C364" t="s">
        <v>464</v>
      </c>
      <c r="D364" t="s">
        <v>84</v>
      </c>
      <c r="E364" t="s">
        <v>85</v>
      </c>
      <c r="F364" t="s">
        <v>86</v>
      </c>
      <c r="G364" t="s">
        <v>49</v>
      </c>
      <c r="H364" t="s">
        <v>88</v>
      </c>
      <c r="I364" t="s">
        <v>92</v>
      </c>
      <c r="J364">
        <v>14012.7</v>
      </c>
      <c r="K364">
        <v>107317</v>
      </c>
      <c r="L364">
        <v>8590</v>
      </c>
      <c r="M364">
        <v>16750.400000000001</v>
      </c>
      <c r="N364">
        <v>132123</v>
      </c>
      <c r="O364">
        <v>2400</v>
      </c>
      <c r="P364" t="s">
        <v>97</v>
      </c>
      <c r="Q364" t="s">
        <v>97</v>
      </c>
      <c r="R364" t="s">
        <v>97</v>
      </c>
      <c r="S364" t="s">
        <v>97</v>
      </c>
      <c r="T364" t="s">
        <v>97</v>
      </c>
      <c r="U364" t="s">
        <v>97</v>
      </c>
      <c r="V364">
        <v>30763.1</v>
      </c>
      <c r="W364">
        <v>239440</v>
      </c>
      <c r="X364">
        <v>10990</v>
      </c>
      <c r="Y364">
        <f t="shared" si="5"/>
        <v>239440</v>
      </c>
      <c r="Z364" t="str">
        <f>IF(ISNUMBER(SEARCH("Adjustment",$C364)),"excluded",IF($H364="Behind the Meter","excluded",IF(NOT(OR($E364="Bundled",$E364="Energy")),"excluded",IF(OR($H364="Retail Power Marketer",$H364="Community Choice Aggregator",$E364="Energy"),"procurement",IF(OR($H364="Municipal",$H364="Cooperative",$H364="Federal",$H364="State",$H364="Political Subdivision"),"cost_service",IF($H364="Investor Owned",IF(AND(COUNTIF(Parameters!$A$4:$A$33,$G364)&gt;0,COUNTIF(Parameters!$B$4:$B$33,$B364)=0),"procurement","cost_service"),"unclassified"))))))</f>
        <v>cost_service</v>
      </c>
    </row>
    <row r="365" spans="1:26" x14ac:dyDescent="0.25">
      <c r="A365">
        <v>2024</v>
      </c>
      <c r="B365">
        <v>5644</v>
      </c>
      <c r="C365" t="s">
        <v>465</v>
      </c>
      <c r="D365" t="s">
        <v>84</v>
      </c>
      <c r="E365" t="s">
        <v>85</v>
      </c>
      <c r="F365" t="s">
        <v>86</v>
      </c>
      <c r="G365" t="s">
        <v>106</v>
      </c>
      <c r="H365" t="s">
        <v>91</v>
      </c>
      <c r="I365" t="s">
        <v>106</v>
      </c>
      <c r="J365">
        <v>36978.6</v>
      </c>
      <c r="K365">
        <v>225535</v>
      </c>
      <c r="L365">
        <v>15421</v>
      </c>
      <c r="M365">
        <v>10378</v>
      </c>
      <c r="N365">
        <v>56887</v>
      </c>
      <c r="O365">
        <v>5863</v>
      </c>
      <c r="P365">
        <v>11004.1</v>
      </c>
      <c r="Q365">
        <v>101091</v>
      </c>
      <c r="R365">
        <v>33</v>
      </c>
      <c r="S365" t="s">
        <v>97</v>
      </c>
      <c r="T365" t="s">
        <v>97</v>
      </c>
      <c r="U365" t="s">
        <v>97</v>
      </c>
      <c r="V365">
        <v>58360.7</v>
      </c>
      <c r="W365">
        <v>383513</v>
      </c>
      <c r="X365">
        <v>21317</v>
      </c>
      <c r="Y365">
        <f t="shared" si="5"/>
        <v>383513</v>
      </c>
      <c r="Z365" t="str">
        <f>IF(ISNUMBER(SEARCH("Adjustment",$C365)),"excluded",IF($H365="Behind the Meter","excluded",IF(NOT(OR($E365="Bundled",$E365="Energy")),"excluded",IF(OR($H365="Retail Power Marketer",$H365="Community Choice Aggregator",$E365="Energy"),"procurement",IF(OR($H365="Municipal",$H365="Cooperative",$H365="Federal",$H365="State",$H365="Political Subdivision"),"cost_service",IF($H365="Investor Owned",IF(AND(COUNTIF(Parameters!$A$4:$A$33,$G365)&gt;0,COUNTIF(Parameters!$B$4:$B$33,$B365)=0),"procurement","cost_service"),"unclassified"))))))</f>
        <v>cost_service</v>
      </c>
    </row>
    <row r="366" spans="1:26" x14ac:dyDescent="0.25">
      <c r="A366">
        <v>2024</v>
      </c>
      <c r="B366">
        <v>5656</v>
      </c>
      <c r="C366" t="s">
        <v>466</v>
      </c>
      <c r="D366" t="s">
        <v>84</v>
      </c>
      <c r="E366" t="s">
        <v>85</v>
      </c>
      <c r="F366" t="s">
        <v>86</v>
      </c>
      <c r="G366" t="s">
        <v>125</v>
      </c>
      <c r="H366" t="s">
        <v>91</v>
      </c>
      <c r="I366" t="s">
        <v>92</v>
      </c>
      <c r="J366">
        <v>23470.400000000001</v>
      </c>
      <c r="K366">
        <v>146098</v>
      </c>
      <c r="L366">
        <v>10716</v>
      </c>
      <c r="M366">
        <v>4867</v>
      </c>
      <c r="N366">
        <v>43033</v>
      </c>
      <c r="O366">
        <v>1089</v>
      </c>
      <c r="P366">
        <v>1620.6</v>
      </c>
      <c r="Q366">
        <v>19724</v>
      </c>
      <c r="R366">
        <v>13</v>
      </c>
      <c r="S366" t="s">
        <v>97</v>
      </c>
      <c r="T366" t="s">
        <v>97</v>
      </c>
      <c r="U366" t="s">
        <v>97</v>
      </c>
      <c r="V366">
        <v>29958</v>
      </c>
      <c r="W366">
        <v>208855</v>
      </c>
      <c r="X366">
        <v>11818</v>
      </c>
      <c r="Y366">
        <f t="shared" si="5"/>
        <v>208855</v>
      </c>
      <c r="Z366" t="str">
        <f>IF(ISNUMBER(SEARCH("Adjustment",$C366)),"excluded",IF($H366="Behind the Meter","excluded",IF(NOT(OR($E366="Bundled",$E366="Energy")),"excluded",IF(OR($H366="Retail Power Marketer",$H366="Community Choice Aggregator",$E366="Energy"),"procurement",IF(OR($H366="Municipal",$H366="Cooperative",$H366="Federal",$H366="State",$H366="Political Subdivision"),"cost_service",IF($H366="Investor Owned",IF(AND(COUNTIF(Parameters!$A$4:$A$33,$G366)&gt;0,COUNTIF(Parameters!$B$4:$B$33,$B366)=0),"procurement","cost_service"),"unclassified"))))))</f>
        <v>cost_service</v>
      </c>
    </row>
    <row r="367" spans="1:26" x14ac:dyDescent="0.25">
      <c r="A367">
        <v>2024</v>
      </c>
      <c r="B367">
        <v>5661</v>
      </c>
      <c r="C367" t="s">
        <v>467</v>
      </c>
      <c r="D367" t="s">
        <v>84</v>
      </c>
      <c r="E367" t="s">
        <v>85</v>
      </c>
      <c r="F367" t="s">
        <v>86</v>
      </c>
      <c r="G367" t="s">
        <v>136</v>
      </c>
      <c r="H367" t="s">
        <v>88</v>
      </c>
      <c r="I367" t="s">
        <v>135</v>
      </c>
      <c r="J367">
        <v>60235.5</v>
      </c>
      <c r="K367">
        <v>536722</v>
      </c>
      <c r="L367">
        <v>39532</v>
      </c>
      <c r="M367">
        <v>40232.800000000003</v>
      </c>
      <c r="N367">
        <v>389655</v>
      </c>
      <c r="O367">
        <v>4929</v>
      </c>
      <c r="P367" t="s">
        <v>97</v>
      </c>
      <c r="Q367" t="s">
        <v>97</v>
      </c>
      <c r="R367" t="s">
        <v>97</v>
      </c>
      <c r="S367" t="s">
        <v>97</v>
      </c>
      <c r="T367" t="s">
        <v>97</v>
      </c>
      <c r="U367" t="s">
        <v>97</v>
      </c>
      <c r="V367">
        <v>100468.3</v>
      </c>
      <c r="W367">
        <v>926377</v>
      </c>
      <c r="X367">
        <v>44461</v>
      </c>
      <c r="Y367">
        <f t="shared" si="5"/>
        <v>926377</v>
      </c>
      <c r="Z367" t="str">
        <f>IF(ISNUMBER(SEARCH("Adjustment",$C367)),"excluded",IF($H367="Behind the Meter","excluded",IF(NOT(OR($E367="Bundled",$E367="Energy")),"excluded",IF(OR($H367="Retail Power Marketer",$H367="Community Choice Aggregator",$E367="Energy"),"procurement",IF(OR($H367="Municipal",$H367="Cooperative",$H367="Federal",$H367="State",$H367="Political Subdivision"),"cost_service",IF($H367="Investor Owned",IF(AND(COUNTIF(Parameters!$A$4:$A$33,$G367)&gt;0,COUNTIF(Parameters!$B$4:$B$33,$B367)=0),"procurement","cost_service"),"unclassified"))))))</f>
        <v>cost_service</v>
      </c>
    </row>
    <row r="368" spans="1:26" x14ac:dyDescent="0.25">
      <c r="A368">
        <v>2024</v>
      </c>
      <c r="B368">
        <v>5701</v>
      </c>
      <c r="C368" t="s">
        <v>47</v>
      </c>
      <c r="D368" t="s">
        <v>84</v>
      </c>
      <c r="E368" t="s">
        <v>85</v>
      </c>
      <c r="F368" t="s">
        <v>86</v>
      </c>
      <c r="G368" t="s">
        <v>308</v>
      </c>
      <c r="H368" t="s">
        <v>109</v>
      </c>
      <c r="I368" t="s">
        <v>468</v>
      </c>
      <c r="J368">
        <v>85468</v>
      </c>
      <c r="K368">
        <v>841142</v>
      </c>
      <c r="L368">
        <v>94760</v>
      </c>
      <c r="M368">
        <v>75662</v>
      </c>
      <c r="N368">
        <v>900520</v>
      </c>
      <c r="O368">
        <v>12614</v>
      </c>
      <c r="P368">
        <v>4654</v>
      </c>
      <c r="Q368">
        <v>80423</v>
      </c>
      <c r="R368">
        <v>10</v>
      </c>
      <c r="S368">
        <v>0</v>
      </c>
      <c r="T368">
        <v>0</v>
      </c>
      <c r="U368">
        <v>0</v>
      </c>
      <c r="V368">
        <v>165784</v>
      </c>
      <c r="W368">
        <v>1822085</v>
      </c>
      <c r="X368">
        <v>107384</v>
      </c>
      <c r="Y368">
        <f t="shared" si="5"/>
        <v>1822085</v>
      </c>
      <c r="Z368" t="str">
        <f>IF(ISNUMBER(SEARCH("Adjustment",$C368)),"excluded",IF($H368="Behind the Meter","excluded",IF(NOT(OR($E368="Bundled",$E368="Energy")),"excluded",IF(OR($H368="Retail Power Marketer",$H368="Community Choice Aggregator",$E368="Energy"),"procurement",IF(OR($H368="Municipal",$H368="Cooperative",$H368="Federal",$H368="State",$H368="Political Subdivision"),"cost_service",IF($H368="Investor Owned",IF(AND(COUNTIF(Parameters!$A$4:$A$33,$G368)&gt;0,COUNTIF(Parameters!$B$4:$B$33,$B368)=0),"procurement","cost_service"),"unclassified"))))))</f>
        <v>cost_service</v>
      </c>
    </row>
    <row r="369" spans="1:26" x14ac:dyDescent="0.25">
      <c r="A369">
        <v>2024</v>
      </c>
      <c r="B369">
        <v>5701</v>
      </c>
      <c r="C369" t="s">
        <v>47</v>
      </c>
      <c r="D369" t="s">
        <v>84</v>
      </c>
      <c r="E369" t="s">
        <v>85</v>
      </c>
      <c r="F369" t="s">
        <v>86</v>
      </c>
      <c r="G369" t="s">
        <v>57</v>
      </c>
      <c r="H369" t="s">
        <v>109</v>
      </c>
      <c r="I369" t="s">
        <v>468</v>
      </c>
      <c r="J369">
        <v>358322</v>
      </c>
      <c r="K369">
        <v>2661560</v>
      </c>
      <c r="L369">
        <v>312576</v>
      </c>
      <c r="M369">
        <v>298425</v>
      </c>
      <c r="N369">
        <v>3191326</v>
      </c>
      <c r="O369">
        <v>39468</v>
      </c>
      <c r="P369">
        <v>45081</v>
      </c>
      <c r="Q369">
        <v>981503</v>
      </c>
      <c r="R369">
        <v>44</v>
      </c>
      <c r="S369">
        <v>0</v>
      </c>
      <c r="T369">
        <v>0</v>
      </c>
      <c r="U369">
        <v>0</v>
      </c>
      <c r="V369">
        <v>701828</v>
      </c>
      <c r="W369">
        <v>6834389</v>
      </c>
      <c r="X369">
        <v>352088</v>
      </c>
      <c r="Y369">
        <f t="shared" si="5"/>
        <v>6834389</v>
      </c>
      <c r="Z369" t="str">
        <f>IF(ISNUMBER(SEARCH("Adjustment",$C369)),"excluded",IF($H369="Behind the Meter","excluded",IF(NOT(OR($E369="Bundled",$E369="Energy")),"excluded",IF(OR($H369="Retail Power Marketer",$H369="Community Choice Aggregator",$E369="Energy"),"procurement",IF(OR($H369="Municipal",$H369="Cooperative",$H369="Federal",$H369="State",$H369="Political Subdivision"),"cost_service",IF($H369="Investor Owned",IF(AND(COUNTIF(Parameters!$A$4:$A$33,$G369)&gt;0,COUNTIF(Parameters!$B$4:$B$33,$B369)=0),"procurement","cost_service"),"unclassified"))))))</f>
        <v>cost_service</v>
      </c>
    </row>
    <row r="370" spans="1:26" x14ac:dyDescent="0.25">
      <c r="A370">
        <v>2024</v>
      </c>
      <c r="B370">
        <v>5703</v>
      </c>
      <c r="C370" t="s">
        <v>469</v>
      </c>
      <c r="D370" t="s">
        <v>99</v>
      </c>
      <c r="E370" t="s">
        <v>100</v>
      </c>
      <c r="F370" t="s">
        <v>86</v>
      </c>
      <c r="G370" t="s">
        <v>53</v>
      </c>
      <c r="H370" t="s">
        <v>101</v>
      </c>
      <c r="I370" t="s">
        <v>102</v>
      </c>
      <c r="J370">
        <v>0</v>
      </c>
      <c r="K370">
        <v>0</v>
      </c>
      <c r="L370">
        <v>0</v>
      </c>
      <c r="M370">
        <v>2402.4</v>
      </c>
      <c r="N370">
        <v>36276</v>
      </c>
      <c r="O370">
        <v>363</v>
      </c>
      <c r="P370">
        <v>397.9</v>
      </c>
      <c r="Q370">
        <v>5820</v>
      </c>
      <c r="R370">
        <v>30</v>
      </c>
      <c r="S370">
        <v>0</v>
      </c>
      <c r="T370">
        <v>0</v>
      </c>
      <c r="U370">
        <v>0</v>
      </c>
      <c r="V370">
        <v>2800.3</v>
      </c>
      <c r="W370">
        <v>42096</v>
      </c>
      <c r="X370">
        <v>393</v>
      </c>
      <c r="Y370">
        <f t="shared" si="5"/>
        <v>42096</v>
      </c>
      <c r="Z370" t="str">
        <f>IF(ISNUMBER(SEARCH("Adjustment",$C370)),"excluded",IF($H370="Behind the Meter","excluded",IF(NOT(OR($E370="Bundled",$E370="Energy")),"excluded",IF(OR($H370="Retail Power Marketer",$H370="Community Choice Aggregator",$E370="Energy"),"procurement",IF(OR($H370="Municipal",$H370="Cooperative",$H370="Federal",$H370="State",$H370="Political Subdivision"),"cost_service",IF($H370="Investor Owned",IF(AND(COUNTIF(Parameters!$A$4:$A$33,$G370)&gt;0,COUNTIF(Parameters!$B$4:$B$33,$B370)=0),"procurement","cost_service"),"unclassified"))))))</f>
        <v>procurement</v>
      </c>
    </row>
    <row r="371" spans="1:26" x14ac:dyDescent="0.25">
      <c r="A371">
        <v>2024</v>
      </c>
      <c r="B371">
        <v>5729</v>
      </c>
      <c r="C371" t="s">
        <v>470</v>
      </c>
      <c r="D371" t="s">
        <v>84</v>
      </c>
      <c r="E371" t="s">
        <v>85</v>
      </c>
      <c r="F371" t="s">
        <v>86</v>
      </c>
      <c r="G371" t="s">
        <v>108</v>
      </c>
      <c r="H371" t="s">
        <v>205</v>
      </c>
      <c r="I371" t="s">
        <v>110</v>
      </c>
      <c r="J371" t="s">
        <v>97</v>
      </c>
      <c r="K371" t="s">
        <v>97</v>
      </c>
      <c r="L371" t="s">
        <v>97</v>
      </c>
      <c r="M371" t="s">
        <v>97</v>
      </c>
      <c r="N371" t="s">
        <v>97</v>
      </c>
      <c r="O371" t="s">
        <v>97</v>
      </c>
      <c r="P371">
        <v>23288</v>
      </c>
      <c r="Q371">
        <v>391510</v>
      </c>
      <c r="R371">
        <v>695</v>
      </c>
      <c r="S371" t="s">
        <v>97</v>
      </c>
      <c r="T371" t="s">
        <v>97</v>
      </c>
      <c r="U371" t="s">
        <v>97</v>
      </c>
      <c r="V371">
        <v>23288</v>
      </c>
      <c r="W371">
        <v>391510</v>
      </c>
      <c r="X371">
        <v>695</v>
      </c>
      <c r="Y371">
        <f t="shared" si="5"/>
        <v>391510</v>
      </c>
      <c r="Z371" t="str">
        <f>IF(ISNUMBER(SEARCH("Adjustment",$C371)),"excluded",IF($H371="Behind the Meter","excluded",IF(NOT(OR($E371="Bundled",$E371="Energy")),"excluded",IF(OR($H371="Retail Power Marketer",$H371="Community Choice Aggregator",$E371="Energy"),"procurement",IF(OR($H371="Municipal",$H371="Cooperative",$H371="Federal",$H371="State",$H371="Political Subdivision"),"cost_service",IF($H371="Investor Owned",IF(AND(COUNTIF(Parameters!$A$4:$A$33,$G371)&gt;0,COUNTIF(Parameters!$B$4:$B$33,$B371)=0),"procurement","cost_service"),"unclassified"))))))</f>
        <v>cost_service</v>
      </c>
    </row>
    <row r="372" spans="1:26" x14ac:dyDescent="0.25">
      <c r="A372">
        <v>2024</v>
      </c>
      <c r="B372">
        <v>5760</v>
      </c>
      <c r="C372" t="s">
        <v>471</v>
      </c>
      <c r="D372" t="s">
        <v>84</v>
      </c>
      <c r="E372" t="s">
        <v>85</v>
      </c>
      <c r="F372" t="s">
        <v>86</v>
      </c>
      <c r="G372" t="s">
        <v>125</v>
      </c>
      <c r="H372" t="s">
        <v>88</v>
      </c>
      <c r="I372" t="s">
        <v>163</v>
      </c>
      <c r="J372">
        <v>17876</v>
      </c>
      <c r="K372">
        <v>152058</v>
      </c>
      <c r="L372">
        <v>11366</v>
      </c>
      <c r="M372">
        <v>14455</v>
      </c>
      <c r="N372">
        <v>152165</v>
      </c>
      <c r="O372">
        <v>2130</v>
      </c>
      <c r="P372" t="s">
        <v>97</v>
      </c>
      <c r="Q372" t="s">
        <v>97</v>
      </c>
      <c r="R372" t="s">
        <v>97</v>
      </c>
      <c r="S372" t="s">
        <v>97</v>
      </c>
      <c r="T372" t="s">
        <v>97</v>
      </c>
      <c r="U372" t="s">
        <v>97</v>
      </c>
      <c r="V372">
        <v>32331</v>
      </c>
      <c r="W372">
        <v>304223</v>
      </c>
      <c r="X372">
        <v>13496</v>
      </c>
      <c r="Y372">
        <f t="shared" si="5"/>
        <v>304223</v>
      </c>
      <c r="Z372" t="str">
        <f>IF(ISNUMBER(SEARCH("Adjustment",$C372)),"excluded",IF($H372="Behind the Meter","excluded",IF(NOT(OR($E372="Bundled",$E372="Energy")),"excluded",IF(OR($H372="Retail Power Marketer",$H372="Community Choice Aggregator",$E372="Energy"),"procurement",IF(OR($H372="Municipal",$H372="Cooperative",$H372="Federal",$H372="State",$H372="Political Subdivision"),"cost_service",IF($H372="Investor Owned",IF(AND(COUNTIF(Parameters!$A$4:$A$33,$G372)&gt;0,COUNTIF(Parameters!$B$4:$B$33,$B372)=0),"procurement","cost_service"),"unclassified"))))))</f>
        <v>cost_service</v>
      </c>
    </row>
    <row r="373" spans="1:26" x14ac:dyDescent="0.25">
      <c r="A373">
        <v>2024</v>
      </c>
      <c r="B373">
        <v>5763</v>
      </c>
      <c r="C373" t="s">
        <v>472</v>
      </c>
      <c r="D373" t="s">
        <v>84</v>
      </c>
      <c r="E373" t="s">
        <v>85</v>
      </c>
      <c r="F373" t="s">
        <v>86</v>
      </c>
      <c r="G373" t="s">
        <v>156</v>
      </c>
      <c r="H373" t="s">
        <v>88</v>
      </c>
      <c r="I373" t="s">
        <v>89</v>
      </c>
      <c r="J373">
        <v>37469</v>
      </c>
      <c r="K373">
        <v>317055</v>
      </c>
      <c r="L373">
        <v>23344</v>
      </c>
      <c r="M373">
        <v>18845</v>
      </c>
      <c r="N373">
        <v>162229</v>
      </c>
      <c r="O373">
        <v>3707</v>
      </c>
      <c r="P373">
        <v>2488</v>
      </c>
      <c r="Q373">
        <v>33605</v>
      </c>
      <c r="R373">
        <v>2</v>
      </c>
      <c r="S373">
        <v>0</v>
      </c>
      <c r="T373">
        <v>0</v>
      </c>
      <c r="U373">
        <v>0</v>
      </c>
      <c r="V373">
        <v>58802</v>
      </c>
      <c r="W373">
        <v>512889</v>
      </c>
      <c r="X373">
        <v>27053</v>
      </c>
      <c r="Y373">
        <f t="shared" si="5"/>
        <v>512889</v>
      </c>
      <c r="Z373" t="str">
        <f>IF(ISNUMBER(SEARCH("Adjustment",$C373)),"excluded",IF($H373="Behind the Meter","excluded",IF(NOT(OR($E373="Bundled",$E373="Energy")),"excluded",IF(OR($H373="Retail Power Marketer",$H373="Community Choice Aggregator",$E373="Energy"),"procurement",IF(OR($H373="Municipal",$H373="Cooperative",$H373="Federal",$H373="State",$H373="Political Subdivision"),"cost_service",IF($H373="Investor Owned",IF(AND(COUNTIF(Parameters!$A$4:$A$33,$G373)&gt;0,COUNTIF(Parameters!$B$4:$B$33,$B373)=0),"procurement","cost_service"),"unclassified"))))))</f>
        <v>cost_service</v>
      </c>
    </row>
    <row r="374" spans="1:26" x14ac:dyDescent="0.25">
      <c r="A374">
        <v>2024</v>
      </c>
      <c r="B374">
        <v>5773</v>
      </c>
      <c r="C374" t="s">
        <v>473</v>
      </c>
      <c r="D374" t="s">
        <v>84</v>
      </c>
      <c r="E374" t="s">
        <v>85</v>
      </c>
      <c r="F374" t="s">
        <v>86</v>
      </c>
      <c r="G374" t="s">
        <v>104</v>
      </c>
      <c r="H374" t="s">
        <v>88</v>
      </c>
      <c r="I374" t="s">
        <v>96</v>
      </c>
      <c r="J374">
        <v>16337</v>
      </c>
      <c r="K374">
        <v>103231</v>
      </c>
      <c r="L374">
        <v>11776</v>
      </c>
      <c r="M374">
        <v>4485</v>
      </c>
      <c r="N374">
        <v>29416</v>
      </c>
      <c r="O374">
        <v>1460</v>
      </c>
      <c r="P374">
        <v>21712</v>
      </c>
      <c r="Q374">
        <v>184109</v>
      </c>
      <c r="R374">
        <v>230</v>
      </c>
      <c r="S374" t="s">
        <v>97</v>
      </c>
      <c r="T374" t="s">
        <v>97</v>
      </c>
      <c r="U374" t="s">
        <v>97</v>
      </c>
      <c r="V374">
        <v>42534</v>
      </c>
      <c r="W374">
        <v>316756</v>
      </c>
      <c r="X374">
        <v>13466</v>
      </c>
      <c r="Y374">
        <f t="shared" si="5"/>
        <v>316756</v>
      </c>
      <c r="Z374" t="str">
        <f>IF(ISNUMBER(SEARCH("Adjustment",$C374)),"excluded",IF($H374="Behind the Meter","excluded",IF(NOT(OR($E374="Bundled",$E374="Energy")),"excluded",IF(OR($H374="Retail Power Marketer",$H374="Community Choice Aggregator",$E374="Energy"),"procurement",IF(OR($H374="Municipal",$H374="Cooperative",$H374="Federal",$H374="State",$H374="Political Subdivision"),"cost_service",IF($H374="Investor Owned",IF(AND(COUNTIF(Parameters!$A$4:$A$33,$G374)&gt;0,COUNTIF(Parameters!$B$4:$B$33,$B374)=0),"procurement","cost_service"),"unclassified"))))))</f>
        <v>cost_service</v>
      </c>
    </row>
    <row r="375" spans="1:26" x14ac:dyDescent="0.25">
      <c r="A375">
        <v>2024</v>
      </c>
      <c r="B375">
        <v>5780</v>
      </c>
      <c r="C375" t="s">
        <v>474</v>
      </c>
      <c r="D375" t="s">
        <v>84</v>
      </c>
      <c r="E375" t="s">
        <v>85</v>
      </c>
      <c r="F375" t="s">
        <v>86</v>
      </c>
      <c r="G375" t="s">
        <v>271</v>
      </c>
      <c r="H375" t="s">
        <v>205</v>
      </c>
      <c r="I375" t="s">
        <v>135</v>
      </c>
      <c r="J375">
        <v>9923</v>
      </c>
      <c r="K375">
        <v>105401</v>
      </c>
      <c r="L375">
        <v>6146</v>
      </c>
      <c r="M375">
        <v>3779</v>
      </c>
      <c r="N375">
        <v>39089</v>
      </c>
      <c r="O375">
        <v>781</v>
      </c>
      <c r="P375">
        <v>18713</v>
      </c>
      <c r="Q375">
        <v>199904</v>
      </c>
      <c r="R375">
        <v>3304</v>
      </c>
      <c r="S375">
        <v>0</v>
      </c>
      <c r="T375">
        <v>0</v>
      </c>
      <c r="U375">
        <v>0</v>
      </c>
      <c r="V375">
        <v>32415</v>
      </c>
      <c r="W375">
        <v>344394</v>
      </c>
      <c r="X375">
        <v>10231</v>
      </c>
      <c r="Y375">
        <f t="shared" si="5"/>
        <v>344394</v>
      </c>
      <c r="Z375" t="str">
        <f>IF(ISNUMBER(SEARCH("Adjustment",$C375)),"excluded",IF($H375="Behind the Meter","excluded",IF(NOT(OR($E375="Bundled",$E375="Energy")),"excluded",IF(OR($H375="Retail Power Marketer",$H375="Community Choice Aggregator",$E375="Energy"),"procurement",IF(OR($H375="Municipal",$H375="Cooperative",$H375="Federal",$H375="State",$H375="Political Subdivision"),"cost_service",IF($H375="Investor Owned",IF(AND(COUNTIF(Parameters!$A$4:$A$33,$G375)&gt;0,COUNTIF(Parameters!$B$4:$B$33,$B375)=0),"procurement","cost_service"),"unclassified"))))))</f>
        <v>cost_service</v>
      </c>
    </row>
    <row r="376" spans="1:26" x14ac:dyDescent="0.25">
      <c r="A376">
        <v>2024</v>
      </c>
      <c r="B376">
        <v>5832</v>
      </c>
      <c r="C376" t="s">
        <v>475</v>
      </c>
      <c r="D376" t="s">
        <v>84</v>
      </c>
      <c r="E376" t="s">
        <v>85</v>
      </c>
      <c r="F376" t="s">
        <v>86</v>
      </c>
      <c r="G376" t="s">
        <v>148</v>
      </c>
      <c r="H376" t="s">
        <v>91</v>
      </c>
      <c r="I376" t="s">
        <v>206</v>
      </c>
      <c r="J376">
        <v>18921.7</v>
      </c>
      <c r="K376">
        <v>227517</v>
      </c>
      <c r="L376">
        <v>15410</v>
      </c>
      <c r="M376">
        <v>3919.3</v>
      </c>
      <c r="N376">
        <v>47127</v>
      </c>
      <c r="O376">
        <v>785</v>
      </c>
      <c r="P376" t="s">
        <v>97</v>
      </c>
      <c r="Q376" t="s">
        <v>97</v>
      </c>
      <c r="R376" t="s">
        <v>97</v>
      </c>
      <c r="S376" t="s">
        <v>97</v>
      </c>
      <c r="T376" t="s">
        <v>97</v>
      </c>
      <c r="U376" t="s">
        <v>97</v>
      </c>
      <c r="V376">
        <v>22841</v>
      </c>
      <c r="W376">
        <v>274644</v>
      </c>
      <c r="X376">
        <v>16195</v>
      </c>
      <c r="Y376">
        <f t="shared" si="5"/>
        <v>274644</v>
      </c>
      <c r="Z376" t="str">
        <f>IF(ISNUMBER(SEARCH("Adjustment",$C376)),"excluded",IF($H376="Behind the Meter","excluded",IF(NOT(OR($E376="Bundled",$E376="Energy")),"excluded",IF(OR($H376="Retail Power Marketer",$H376="Community Choice Aggregator",$E376="Energy"),"procurement",IF(OR($H376="Municipal",$H376="Cooperative",$H376="Federal",$H376="State",$H376="Political Subdivision"),"cost_service",IF($H376="Investor Owned",IF(AND(COUNTIF(Parameters!$A$4:$A$33,$G376)&gt;0,COUNTIF(Parameters!$B$4:$B$33,$B376)=0),"procurement","cost_service"),"unclassified"))))))</f>
        <v>cost_service</v>
      </c>
    </row>
    <row r="377" spans="1:26" x14ac:dyDescent="0.25">
      <c r="A377">
        <v>2024</v>
      </c>
      <c r="B377">
        <v>5860</v>
      </c>
      <c r="C377" t="s">
        <v>476</v>
      </c>
      <c r="D377" t="s">
        <v>84</v>
      </c>
      <c r="E377" t="s">
        <v>85</v>
      </c>
      <c r="F377" t="s">
        <v>86</v>
      </c>
      <c r="G377" t="s">
        <v>173</v>
      </c>
      <c r="H377" t="s">
        <v>109</v>
      </c>
      <c r="I377" t="s">
        <v>135</v>
      </c>
      <c r="J377">
        <v>7105.1</v>
      </c>
      <c r="K377">
        <v>53043</v>
      </c>
      <c r="L377">
        <v>4813</v>
      </c>
      <c r="M377">
        <v>4109.2</v>
      </c>
      <c r="N377">
        <v>41003</v>
      </c>
      <c r="O377">
        <v>829</v>
      </c>
      <c r="P377">
        <v>6106.5</v>
      </c>
      <c r="Q377">
        <v>83712</v>
      </c>
      <c r="R377">
        <v>11</v>
      </c>
      <c r="S377" t="s">
        <v>97</v>
      </c>
      <c r="T377" t="s">
        <v>97</v>
      </c>
      <c r="U377" t="s">
        <v>97</v>
      </c>
      <c r="V377">
        <v>17320.8</v>
      </c>
      <c r="W377">
        <v>177758</v>
      </c>
      <c r="X377">
        <v>5653</v>
      </c>
      <c r="Y377">
        <f t="shared" si="5"/>
        <v>177758</v>
      </c>
      <c r="Z377" t="str">
        <f>IF(ISNUMBER(SEARCH("Adjustment",$C377)),"excluded",IF($H377="Behind the Meter","excluded",IF(NOT(OR($E377="Bundled",$E377="Energy")),"excluded",IF(OR($H377="Retail Power Marketer",$H377="Community Choice Aggregator",$E377="Energy"),"procurement",IF(OR($H377="Municipal",$H377="Cooperative",$H377="Federal",$H377="State",$H377="Political Subdivision"),"cost_service",IF($H377="Investor Owned",IF(AND(COUNTIF(Parameters!$A$4:$A$33,$G377)&gt;0,COUNTIF(Parameters!$B$4:$B$33,$B377)=0),"procurement","cost_service"),"unclassified"))))))</f>
        <v>cost_service</v>
      </c>
    </row>
    <row r="378" spans="1:26" x14ac:dyDescent="0.25">
      <c r="A378">
        <v>2024</v>
      </c>
      <c r="B378">
        <v>5860</v>
      </c>
      <c r="C378" t="s">
        <v>476</v>
      </c>
      <c r="D378" t="s">
        <v>84</v>
      </c>
      <c r="E378" t="s">
        <v>85</v>
      </c>
      <c r="F378" t="s">
        <v>86</v>
      </c>
      <c r="G378" t="s">
        <v>134</v>
      </c>
      <c r="H378" t="s">
        <v>109</v>
      </c>
      <c r="I378" t="s">
        <v>135</v>
      </c>
      <c r="J378">
        <v>13777.4</v>
      </c>
      <c r="K378">
        <v>103256</v>
      </c>
      <c r="L378">
        <v>8412</v>
      </c>
      <c r="M378">
        <v>8153.1</v>
      </c>
      <c r="N378">
        <v>54727</v>
      </c>
      <c r="O378">
        <v>1456</v>
      </c>
      <c r="P378">
        <v>6039.6</v>
      </c>
      <c r="Q378">
        <v>63055</v>
      </c>
      <c r="R378">
        <v>47</v>
      </c>
      <c r="S378" t="s">
        <v>97</v>
      </c>
      <c r="T378" t="s">
        <v>97</v>
      </c>
      <c r="U378" t="s">
        <v>97</v>
      </c>
      <c r="V378">
        <v>27970.1</v>
      </c>
      <c r="W378">
        <v>221038</v>
      </c>
      <c r="X378">
        <v>9915</v>
      </c>
      <c r="Y378">
        <f t="shared" si="5"/>
        <v>221038</v>
      </c>
      <c r="Z378" t="str">
        <f>IF(ISNUMBER(SEARCH("Adjustment",$C378)),"excluded",IF($H378="Behind the Meter","excluded",IF(NOT(OR($E378="Bundled",$E378="Energy")),"excluded",IF(OR($H378="Retail Power Marketer",$H378="Community Choice Aggregator",$E378="Energy"),"procurement",IF(OR($H378="Municipal",$H378="Cooperative",$H378="Federal",$H378="State",$H378="Political Subdivision"),"cost_service",IF($H378="Investor Owned",IF(AND(COUNTIF(Parameters!$A$4:$A$33,$G378)&gt;0,COUNTIF(Parameters!$B$4:$B$33,$B378)=0),"procurement","cost_service"),"unclassified"))))))</f>
        <v>cost_service</v>
      </c>
    </row>
    <row r="379" spans="1:26" x14ac:dyDescent="0.25">
      <c r="A379">
        <v>2024</v>
      </c>
      <c r="B379">
        <v>5860</v>
      </c>
      <c r="C379" t="s">
        <v>476</v>
      </c>
      <c r="D379" t="s">
        <v>84</v>
      </c>
      <c r="E379" t="s">
        <v>85</v>
      </c>
      <c r="F379" t="s">
        <v>86</v>
      </c>
      <c r="G379" t="s">
        <v>226</v>
      </c>
      <c r="H379" t="s">
        <v>109</v>
      </c>
      <c r="I379" t="s">
        <v>135</v>
      </c>
      <c r="J379">
        <v>258851</v>
      </c>
      <c r="K379">
        <v>1727154</v>
      </c>
      <c r="L379">
        <v>142537</v>
      </c>
      <c r="M379">
        <v>198305.6</v>
      </c>
      <c r="N379">
        <v>1543586</v>
      </c>
      <c r="O379">
        <v>25159</v>
      </c>
      <c r="P379">
        <v>91307.5</v>
      </c>
      <c r="Q379">
        <v>949398</v>
      </c>
      <c r="R379">
        <v>280</v>
      </c>
      <c r="S379" t="s">
        <v>97</v>
      </c>
      <c r="T379" t="s">
        <v>97</v>
      </c>
      <c r="U379" t="s">
        <v>97</v>
      </c>
      <c r="V379">
        <v>548464.1</v>
      </c>
      <c r="W379">
        <v>4220138</v>
      </c>
      <c r="X379">
        <v>167976</v>
      </c>
      <c r="Y379">
        <f t="shared" si="5"/>
        <v>4220138</v>
      </c>
      <c r="Z379" t="str">
        <f>IF(ISNUMBER(SEARCH("Adjustment",$C379)),"excluded",IF($H379="Behind the Meter","excluded",IF(NOT(OR($E379="Bundled",$E379="Energy")),"excluded",IF(OR($H379="Retail Power Marketer",$H379="Community Choice Aggregator",$E379="Energy"),"procurement",IF(OR($H379="Municipal",$H379="Cooperative",$H379="Federal",$H379="State",$H379="Political Subdivision"),"cost_service",IF($H379="Investor Owned",IF(AND(COUNTIF(Parameters!$A$4:$A$33,$G379)&gt;0,COUNTIF(Parameters!$B$4:$B$33,$B379)=0),"procurement","cost_service"),"unclassified"))))))</f>
        <v>cost_service</v>
      </c>
    </row>
    <row r="380" spans="1:26" x14ac:dyDescent="0.25">
      <c r="A380">
        <v>2024</v>
      </c>
      <c r="B380">
        <v>5860</v>
      </c>
      <c r="C380" t="s">
        <v>476</v>
      </c>
      <c r="D380" t="s">
        <v>84</v>
      </c>
      <c r="E380" t="s">
        <v>85</v>
      </c>
      <c r="F380" t="s">
        <v>86</v>
      </c>
      <c r="G380" t="s">
        <v>136</v>
      </c>
      <c r="H380" t="s">
        <v>109</v>
      </c>
      <c r="I380" t="s">
        <v>135</v>
      </c>
      <c r="J380">
        <v>7101.5</v>
      </c>
      <c r="K380">
        <v>48606</v>
      </c>
      <c r="L380">
        <v>3901</v>
      </c>
      <c r="M380">
        <v>6206.2</v>
      </c>
      <c r="N380">
        <v>38313</v>
      </c>
      <c r="O380">
        <v>960</v>
      </c>
      <c r="P380">
        <v>6529.5</v>
      </c>
      <c r="Q380">
        <v>67089</v>
      </c>
      <c r="R380">
        <v>9</v>
      </c>
      <c r="S380" t="s">
        <v>97</v>
      </c>
      <c r="T380" t="s">
        <v>97</v>
      </c>
      <c r="U380" t="s">
        <v>97</v>
      </c>
      <c r="V380">
        <v>19837.2</v>
      </c>
      <c r="W380">
        <v>154008</v>
      </c>
      <c r="X380">
        <v>4870</v>
      </c>
      <c r="Y380">
        <f t="shared" si="5"/>
        <v>154008</v>
      </c>
      <c r="Z380" t="str">
        <f>IF(ISNUMBER(SEARCH("Adjustment",$C380)),"excluded",IF($H380="Behind the Meter","excluded",IF(NOT(OR($E380="Bundled",$E380="Energy")),"excluded",IF(OR($H380="Retail Power Marketer",$H380="Community Choice Aggregator",$E380="Energy"),"procurement",IF(OR($H380="Municipal",$H380="Cooperative",$H380="Federal",$H380="State",$H380="Political Subdivision"),"cost_service",IF($H380="Investor Owned",IF(AND(COUNTIF(Parameters!$A$4:$A$33,$G380)&gt;0,COUNTIF(Parameters!$B$4:$B$33,$B380)=0),"procurement","cost_service"),"unclassified"))))))</f>
        <v>cost_service</v>
      </c>
    </row>
    <row r="381" spans="1:26" x14ac:dyDescent="0.25">
      <c r="A381">
        <v>2024</v>
      </c>
      <c r="B381">
        <v>5862</v>
      </c>
      <c r="C381" t="s">
        <v>477</v>
      </c>
      <c r="D381" t="s">
        <v>84</v>
      </c>
      <c r="E381" t="s">
        <v>85</v>
      </c>
      <c r="F381" t="s">
        <v>86</v>
      </c>
      <c r="G381" t="s">
        <v>361</v>
      </c>
      <c r="H381" t="s">
        <v>91</v>
      </c>
      <c r="I381" t="s">
        <v>259</v>
      </c>
      <c r="J381">
        <v>16733.5</v>
      </c>
      <c r="K381">
        <v>109300</v>
      </c>
      <c r="L381">
        <v>12899</v>
      </c>
      <c r="M381">
        <v>15833</v>
      </c>
      <c r="N381">
        <v>146168</v>
      </c>
      <c r="O381">
        <v>2824</v>
      </c>
      <c r="P381">
        <v>22918.7</v>
      </c>
      <c r="Q381">
        <v>320361</v>
      </c>
      <c r="R381">
        <v>138</v>
      </c>
      <c r="S381" t="s">
        <v>97</v>
      </c>
      <c r="T381" t="s">
        <v>97</v>
      </c>
      <c r="U381" t="s">
        <v>97</v>
      </c>
      <c r="V381">
        <v>55485.2</v>
      </c>
      <c r="W381">
        <v>575829</v>
      </c>
      <c r="X381">
        <v>15861</v>
      </c>
      <c r="Y381">
        <f t="shared" si="5"/>
        <v>575829</v>
      </c>
      <c r="Z381" t="str">
        <f>IF(ISNUMBER(SEARCH("Adjustment",$C381)),"excluded",IF($H381="Behind the Meter","excluded",IF(NOT(OR($E381="Bundled",$E381="Energy")),"excluded",IF(OR($H381="Retail Power Marketer",$H381="Community Choice Aggregator",$E381="Energy"),"procurement",IF(OR($H381="Municipal",$H381="Cooperative",$H381="Federal",$H381="State",$H381="Political Subdivision"),"cost_service",IF($H381="Investor Owned",IF(AND(COUNTIF(Parameters!$A$4:$A$33,$G381)&gt;0,COUNTIF(Parameters!$B$4:$B$33,$B381)=0),"procurement","cost_service"),"unclassified"))))))</f>
        <v>cost_service</v>
      </c>
    </row>
    <row r="382" spans="1:26" x14ac:dyDescent="0.25">
      <c r="A382">
        <v>2024</v>
      </c>
      <c r="B382">
        <v>5862</v>
      </c>
      <c r="C382" t="s">
        <v>477</v>
      </c>
      <c r="D382" t="s">
        <v>84</v>
      </c>
      <c r="E382" t="s">
        <v>85</v>
      </c>
      <c r="F382" t="s">
        <v>86</v>
      </c>
      <c r="G382" t="s">
        <v>245</v>
      </c>
      <c r="H382" t="s">
        <v>91</v>
      </c>
      <c r="I382" t="s">
        <v>259</v>
      </c>
      <c r="J382">
        <v>1237.2</v>
      </c>
      <c r="K382">
        <v>7608</v>
      </c>
      <c r="L382">
        <v>946</v>
      </c>
      <c r="M382">
        <v>1315.1</v>
      </c>
      <c r="N382">
        <v>9919</v>
      </c>
      <c r="O382">
        <v>352</v>
      </c>
      <c r="P382">
        <v>4.2</v>
      </c>
      <c r="Q382">
        <v>15</v>
      </c>
      <c r="R382">
        <v>5</v>
      </c>
      <c r="S382" t="s">
        <v>97</v>
      </c>
      <c r="T382" t="s">
        <v>97</v>
      </c>
      <c r="U382" t="s">
        <v>97</v>
      </c>
      <c r="V382">
        <v>2556.5</v>
      </c>
      <c r="W382">
        <v>17542</v>
      </c>
      <c r="X382">
        <v>1303</v>
      </c>
      <c r="Y382">
        <f t="shared" si="5"/>
        <v>17542</v>
      </c>
      <c r="Z382" t="str">
        <f>IF(ISNUMBER(SEARCH("Adjustment",$C382)),"excluded",IF($H382="Behind the Meter","excluded",IF(NOT(OR($E382="Bundled",$E382="Energy")),"excluded",IF(OR($H382="Retail Power Marketer",$H382="Community Choice Aggregator",$E382="Energy"),"procurement",IF(OR($H382="Municipal",$H382="Cooperative",$H382="Federal",$H382="State",$H382="Political Subdivision"),"cost_service",IF($H382="Investor Owned",IF(AND(COUNTIF(Parameters!$A$4:$A$33,$G382)&gt;0,COUNTIF(Parameters!$B$4:$B$33,$B382)=0),"procurement","cost_service"),"unclassified"))))))</f>
        <v>cost_service</v>
      </c>
    </row>
    <row r="383" spans="1:26" x14ac:dyDescent="0.25">
      <c r="A383">
        <v>2024</v>
      </c>
      <c r="B383">
        <v>5880</v>
      </c>
      <c r="C383" t="s">
        <v>478</v>
      </c>
      <c r="D383" t="s">
        <v>99</v>
      </c>
      <c r="E383" t="s">
        <v>100</v>
      </c>
      <c r="F383" t="s">
        <v>86</v>
      </c>
      <c r="G383" t="s">
        <v>53</v>
      </c>
      <c r="H383" t="s">
        <v>101</v>
      </c>
      <c r="I383" t="s">
        <v>102</v>
      </c>
      <c r="J383">
        <v>10702</v>
      </c>
      <c r="K383">
        <v>169224</v>
      </c>
      <c r="L383">
        <v>3958</v>
      </c>
      <c r="M383">
        <v>23061</v>
      </c>
      <c r="N383">
        <v>358817</v>
      </c>
      <c r="O383">
        <v>1820</v>
      </c>
      <c r="P383">
        <v>1355</v>
      </c>
      <c r="Q383">
        <v>24633</v>
      </c>
      <c r="R383">
        <v>7</v>
      </c>
      <c r="S383">
        <v>0</v>
      </c>
      <c r="T383">
        <v>0</v>
      </c>
      <c r="U383">
        <v>0</v>
      </c>
      <c r="V383">
        <v>35118</v>
      </c>
      <c r="W383">
        <v>552674</v>
      </c>
      <c r="X383">
        <v>5785</v>
      </c>
      <c r="Y383">
        <f t="shared" si="5"/>
        <v>552674</v>
      </c>
      <c r="Z383" t="str">
        <f>IF(ISNUMBER(SEARCH("Adjustment",$C383)),"excluded",IF($H383="Behind the Meter","excluded",IF(NOT(OR($E383="Bundled",$E383="Energy")),"excluded",IF(OR($H383="Retail Power Marketer",$H383="Community Choice Aggregator",$E383="Energy"),"procurement",IF(OR($H383="Municipal",$H383="Cooperative",$H383="Federal",$H383="State",$H383="Political Subdivision"),"cost_service",IF($H383="Investor Owned",IF(AND(COUNTIF(Parameters!$A$4:$A$33,$G383)&gt;0,COUNTIF(Parameters!$B$4:$B$33,$B383)=0),"procurement","cost_service"),"unclassified"))))))</f>
        <v>procurement</v>
      </c>
    </row>
    <row r="384" spans="1:26" x14ac:dyDescent="0.25">
      <c r="A384">
        <v>2024</v>
      </c>
      <c r="B384">
        <v>5880</v>
      </c>
      <c r="C384" t="s">
        <v>478</v>
      </c>
      <c r="D384" t="s">
        <v>99</v>
      </c>
      <c r="E384" t="s">
        <v>100</v>
      </c>
      <c r="F384" t="s">
        <v>86</v>
      </c>
      <c r="G384" t="s">
        <v>55</v>
      </c>
      <c r="H384" t="s">
        <v>101</v>
      </c>
      <c r="I384" t="s">
        <v>92</v>
      </c>
      <c r="J384">
        <v>179</v>
      </c>
      <c r="K384">
        <v>1802</v>
      </c>
      <c r="L384">
        <v>156</v>
      </c>
      <c r="M384">
        <v>678</v>
      </c>
      <c r="N384">
        <v>9633</v>
      </c>
      <c r="O384">
        <v>158</v>
      </c>
      <c r="P384">
        <v>0</v>
      </c>
      <c r="Q384">
        <v>0</v>
      </c>
      <c r="R384">
        <v>0</v>
      </c>
      <c r="S384">
        <v>0</v>
      </c>
      <c r="T384">
        <v>0</v>
      </c>
      <c r="U384">
        <v>0</v>
      </c>
      <c r="V384">
        <v>857</v>
      </c>
      <c r="W384">
        <v>11435</v>
      </c>
      <c r="X384">
        <v>314</v>
      </c>
      <c r="Y384">
        <f t="shared" si="5"/>
        <v>11435</v>
      </c>
      <c r="Z384" t="str">
        <f>IF(ISNUMBER(SEARCH("Adjustment",$C384)),"excluded",IF($H384="Behind the Meter","excluded",IF(NOT(OR($E384="Bundled",$E384="Energy")),"excluded",IF(OR($H384="Retail Power Marketer",$H384="Community Choice Aggregator",$E384="Energy"),"procurement",IF(OR($H384="Municipal",$H384="Cooperative",$H384="Federal",$H384="State",$H384="Political Subdivision"),"cost_service",IF($H384="Investor Owned",IF(AND(COUNTIF(Parameters!$A$4:$A$33,$G384)&gt;0,COUNTIF(Parameters!$B$4:$B$33,$B384)=0),"procurement","cost_service"),"unclassified"))))))</f>
        <v>procurement</v>
      </c>
    </row>
    <row r="385" spans="1:26" x14ac:dyDescent="0.25">
      <c r="A385">
        <v>2024</v>
      </c>
      <c r="B385">
        <v>5905</v>
      </c>
      <c r="C385" t="s">
        <v>479</v>
      </c>
      <c r="D385" t="s">
        <v>84</v>
      </c>
      <c r="E385" t="s">
        <v>85</v>
      </c>
      <c r="F385" t="s">
        <v>86</v>
      </c>
      <c r="G385" t="s">
        <v>123</v>
      </c>
      <c r="H385" t="s">
        <v>91</v>
      </c>
      <c r="I385" t="s">
        <v>113</v>
      </c>
      <c r="J385">
        <v>45450</v>
      </c>
      <c r="K385">
        <v>333979</v>
      </c>
      <c r="L385">
        <v>23422</v>
      </c>
      <c r="M385">
        <v>12749</v>
      </c>
      <c r="N385">
        <v>183285</v>
      </c>
      <c r="O385">
        <v>1639</v>
      </c>
      <c r="P385">
        <v>4267</v>
      </c>
      <c r="Q385">
        <v>30314</v>
      </c>
      <c r="R385">
        <v>410</v>
      </c>
      <c r="S385" t="s">
        <v>97</v>
      </c>
      <c r="T385" t="s">
        <v>97</v>
      </c>
      <c r="U385" t="s">
        <v>97</v>
      </c>
      <c r="V385">
        <v>62466</v>
      </c>
      <c r="W385">
        <v>547578</v>
      </c>
      <c r="X385">
        <v>25471</v>
      </c>
      <c r="Y385">
        <f t="shared" si="5"/>
        <v>547578</v>
      </c>
      <c r="Z385" t="str">
        <f>IF(ISNUMBER(SEARCH("Adjustment",$C385)),"excluded",IF($H385="Behind the Meter","excluded",IF(NOT(OR($E385="Bundled",$E385="Energy")),"excluded",IF(OR($H385="Retail Power Marketer",$H385="Community Choice Aggregator",$E385="Energy"),"procurement",IF(OR($H385="Municipal",$H385="Cooperative",$H385="Federal",$H385="State",$H385="Political Subdivision"),"cost_service",IF($H385="Investor Owned",IF(AND(COUNTIF(Parameters!$A$4:$A$33,$G385)&gt;0,COUNTIF(Parameters!$B$4:$B$33,$B385)=0),"procurement","cost_service"),"unclassified"))))))</f>
        <v>cost_service</v>
      </c>
    </row>
    <row r="386" spans="1:26" x14ac:dyDescent="0.25">
      <c r="A386">
        <v>2024</v>
      </c>
      <c r="B386">
        <v>5929</v>
      </c>
      <c r="C386" t="s">
        <v>480</v>
      </c>
      <c r="D386" t="s">
        <v>84</v>
      </c>
      <c r="E386" t="s">
        <v>85</v>
      </c>
      <c r="F386" t="s">
        <v>86</v>
      </c>
      <c r="G386" t="s">
        <v>106</v>
      </c>
      <c r="H386" t="s">
        <v>91</v>
      </c>
      <c r="I386" t="s">
        <v>106</v>
      </c>
      <c r="J386">
        <v>63647</v>
      </c>
      <c r="K386">
        <v>443569</v>
      </c>
      <c r="L386">
        <v>32397</v>
      </c>
      <c r="M386">
        <v>11310</v>
      </c>
      <c r="N386">
        <v>84472</v>
      </c>
      <c r="O386">
        <v>1818</v>
      </c>
      <c r="P386">
        <v>10358</v>
      </c>
      <c r="Q386">
        <v>143971</v>
      </c>
      <c r="R386">
        <v>17</v>
      </c>
      <c r="S386" t="s">
        <v>97</v>
      </c>
      <c r="T386" t="s">
        <v>97</v>
      </c>
      <c r="U386" t="s">
        <v>97</v>
      </c>
      <c r="V386">
        <v>85315</v>
      </c>
      <c r="W386">
        <v>672012</v>
      </c>
      <c r="X386">
        <v>34232</v>
      </c>
      <c r="Y386">
        <f t="shared" si="5"/>
        <v>672012</v>
      </c>
      <c r="Z386" t="str">
        <f>IF(ISNUMBER(SEARCH("Adjustment",$C386)),"excluded",IF($H386="Behind the Meter","excluded",IF(NOT(OR($E386="Bundled",$E386="Energy")),"excluded",IF(OR($H386="Retail Power Marketer",$H386="Community Choice Aggregator",$E386="Energy"),"procurement",IF(OR($H386="Municipal",$H386="Cooperative",$H386="Federal",$H386="State",$H386="Political Subdivision"),"cost_service",IF($H386="Investor Owned",IF(AND(COUNTIF(Parameters!$A$4:$A$33,$G386)&gt;0,COUNTIF(Parameters!$B$4:$B$33,$B386)=0),"procurement","cost_service"),"unclassified"))))))</f>
        <v>cost_service</v>
      </c>
    </row>
    <row r="387" spans="1:26" x14ac:dyDescent="0.25">
      <c r="A387">
        <v>2024</v>
      </c>
      <c r="B387">
        <v>5930</v>
      </c>
      <c r="C387" t="s">
        <v>481</v>
      </c>
      <c r="D387" t="s">
        <v>84</v>
      </c>
      <c r="E387" t="s">
        <v>85</v>
      </c>
      <c r="F387" t="s">
        <v>86</v>
      </c>
      <c r="G387" t="s">
        <v>53</v>
      </c>
      <c r="H387" t="s">
        <v>88</v>
      </c>
      <c r="I387" t="s">
        <v>102</v>
      </c>
      <c r="J387">
        <v>15472.9</v>
      </c>
      <c r="K387">
        <v>231269</v>
      </c>
      <c r="L387">
        <v>16462</v>
      </c>
      <c r="M387">
        <v>6737.6</v>
      </c>
      <c r="N387">
        <v>89145</v>
      </c>
      <c r="O387">
        <v>1602</v>
      </c>
      <c r="P387">
        <v>4487.3</v>
      </c>
      <c r="Q387">
        <v>90635</v>
      </c>
      <c r="R387">
        <v>12</v>
      </c>
      <c r="S387">
        <v>0</v>
      </c>
      <c r="T387">
        <v>0</v>
      </c>
      <c r="U387">
        <v>0</v>
      </c>
      <c r="V387">
        <v>26697.8</v>
      </c>
      <c r="W387">
        <v>411049</v>
      </c>
      <c r="X387">
        <v>18076</v>
      </c>
      <c r="Y387">
        <f t="shared" si="5"/>
        <v>411049</v>
      </c>
      <c r="Z387" t="str">
        <f>IF(ISNUMBER(SEARCH("Adjustment",$C387)),"excluded",IF($H387="Behind the Meter","excluded",IF(NOT(OR($E387="Bundled",$E387="Energy")),"excluded",IF(OR($H387="Retail Power Marketer",$H387="Community Choice Aggregator",$E387="Energy"),"procurement",IF(OR($H387="Municipal",$H387="Cooperative",$H387="Federal",$H387="State",$H387="Political Subdivision"),"cost_service",IF($H387="Investor Owned",IF(AND(COUNTIF(Parameters!$A$4:$A$33,$G387)&gt;0,COUNTIF(Parameters!$B$4:$B$33,$B387)=0),"procurement","cost_service"),"unclassified"))))))</f>
        <v>cost_service</v>
      </c>
    </row>
    <row r="388" spans="1:26" x14ac:dyDescent="0.25">
      <c r="A388">
        <v>2024</v>
      </c>
      <c r="B388">
        <v>5961</v>
      </c>
      <c r="C388" t="s">
        <v>482</v>
      </c>
      <c r="D388" t="s">
        <v>84</v>
      </c>
      <c r="E388" t="s">
        <v>85</v>
      </c>
      <c r="F388" t="s">
        <v>86</v>
      </c>
      <c r="G388" t="s">
        <v>156</v>
      </c>
      <c r="H388" t="s">
        <v>88</v>
      </c>
      <c r="I388" t="s">
        <v>89</v>
      </c>
      <c r="J388">
        <v>11330</v>
      </c>
      <c r="K388">
        <v>92620</v>
      </c>
      <c r="L388">
        <v>7618</v>
      </c>
      <c r="M388">
        <v>7014</v>
      </c>
      <c r="N388">
        <v>53274</v>
      </c>
      <c r="O388">
        <v>1387</v>
      </c>
      <c r="P388">
        <v>3790</v>
      </c>
      <c r="Q388">
        <v>46257</v>
      </c>
      <c r="R388">
        <v>3</v>
      </c>
      <c r="S388">
        <v>0</v>
      </c>
      <c r="T388">
        <v>0</v>
      </c>
      <c r="U388">
        <v>0</v>
      </c>
      <c r="V388">
        <v>22134</v>
      </c>
      <c r="W388">
        <v>192151</v>
      </c>
      <c r="X388">
        <v>9008</v>
      </c>
      <c r="Y388">
        <f t="shared" ref="Y388:Y451" si="6">IF(ISNUMBER($W388),$W388,0)</f>
        <v>192151</v>
      </c>
      <c r="Z388" t="str">
        <f>IF(ISNUMBER(SEARCH("Adjustment",$C388)),"excluded",IF($H388="Behind the Meter","excluded",IF(NOT(OR($E388="Bundled",$E388="Energy")),"excluded",IF(OR($H388="Retail Power Marketer",$H388="Community Choice Aggregator",$E388="Energy"),"procurement",IF(OR($H388="Municipal",$H388="Cooperative",$H388="Federal",$H388="State",$H388="Political Subdivision"),"cost_service",IF($H388="Investor Owned",IF(AND(COUNTIF(Parameters!$A$4:$A$33,$G388)&gt;0,COUNTIF(Parameters!$B$4:$B$33,$B388)=0),"procurement","cost_service"),"unclassified"))))))</f>
        <v>cost_service</v>
      </c>
    </row>
    <row r="389" spans="1:26" x14ac:dyDescent="0.25">
      <c r="A389">
        <v>2024</v>
      </c>
      <c r="B389">
        <v>5964</v>
      </c>
      <c r="C389" t="s">
        <v>483</v>
      </c>
      <c r="D389" t="s">
        <v>84</v>
      </c>
      <c r="E389" t="s">
        <v>85</v>
      </c>
      <c r="F389" t="s">
        <v>86</v>
      </c>
      <c r="G389" t="s">
        <v>195</v>
      </c>
      <c r="H389" t="s">
        <v>91</v>
      </c>
      <c r="I389" t="s">
        <v>113</v>
      </c>
      <c r="J389">
        <v>27476</v>
      </c>
      <c r="K389">
        <v>179919</v>
      </c>
      <c r="L389">
        <v>11914</v>
      </c>
      <c r="M389">
        <v>6315</v>
      </c>
      <c r="N389">
        <v>44596</v>
      </c>
      <c r="O389">
        <v>1310</v>
      </c>
      <c r="P389" t="s">
        <v>97</v>
      </c>
      <c r="Q389" t="s">
        <v>97</v>
      </c>
      <c r="R389" t="s">
        <v>97</v>
      </c>
      <c r="S389" t="s">
        <v>97</v>
      </c>
      <c r="T389" t="s">
        <v>97</v>
      </c>
      <c r="U389" t="s">
        <v>97</v>
      </c>
      <c r="V389">
        <v>33791</v>
      </c>
      <c r="W389">
        <v>224515</v>
      </c>
      <c r="X389">
        <v>13224</v>
      </c>
      <c r="Y389">
        <f t="shared" si="6"/>
        <v>224515</v>
      </c>
      <c r="Z389" t="str">
        <f>IF(ISNUMBER(SEARCH("Adjustment",$C389)),"excluded",IF($H389="Behind the Meter","excluded",IF(NOT(OR($E389="Bundled",$E389="Energy")),"excluded",IF(OR($H389="Retail Power Marketer",$H389="Community Choice Aggregator",$E389="Energy"),"procurement",IF(OR($H389="Municipal",$H389="Cooperative",$H389="Federal",$H389="State",$H389="Political Subdivision"),"cost_service",IF($H389="Investor Owned",IF(AND(COUNTIF(Parameters!$A$4:$A$33,$G389)&gt;0,COUNTIF(Parameters!$B$4:$B$33,$B389)=0),"procurement","cost_service"),"unclassified"))))))</f>
        <v>cost_service</v>
      </c>
    </row>
    <row r="390" spans="1:26" x14ac:dyDescent="0.25">
      <c r="A390">
        <v>2024</v>
      </c>
      <c r="B390">
        <v>5969</v>
      </c>
      <c r="C390" t="s">
        <v>484</v>
      </c>
      <c r="D390" t="s">
        <v>84</v>
      </c>
      <c r="E390" t="s">
        <v>85</v>
      </c>
      <c r="F390" t="s">
        <v>86</v>
      </c>
      <c r="G390" t="s">
        <v>115</v>
      </c>
      <c r="H390" t="s">
        <v>88</v>
      </c>
      <c r="I390" t="s">
        <v>116</v>
      </c>
      <c r="J390" t="s">
        <v>97</v>
      </c>
      <c r="K390" t="s">
        <v>97</v>
      </c>
      <c r="L390" t="s">
        <v>97</v>
      </c>
      <c r="M390">
        <v>215</v>
      </c>
      <c r="N390">
        <v>4155</v>
      </c>
      <c r="O390">
        <v>1</v>
      </c>
      <c r="P390" t="s">
        <v>97</v>
      </c>
      <c r="Q390" t="s">
        <v>97</v>
      </c>
      <c r="R390" t="s">
        <v>97</v>
      </c>
      <c r="S390" t="s">
        <v>97</v>
      </c>
      <c r="T390" t="s">
        <v>97</v>
      </c>
      <c r="U390" t="s">
        <v>97</v>
      </c>
      <c r="V390">
        <v>215</v>
      </c>
      <c r="W390">
        <v>4155</v>
      </c>
      <c r="X390">
        <v>1</v>
      </c>
      <c r="Y390">
        <f t="shared" si="6"/>
        <v>4155</v>
      </c>
      <c r="Z390" t="str">
        <f>IF(ISNUMBER(SEARCH("Adjustment",$C390)),"excluded",IF($H390="Behind the Meter","excluded",IF(NOT(OR($E390="Bundled",$E390="Energy")),"excluded",IF(OR($H390="Retail Power Marketer",$H390="Community Choice Aggregator",$E390="Energy"),"procurement",IF(OR($H390="Municipal",$H390="Cooperative",$H390="Federal",$H390="State",$H390="Political Subdivision"),"cost_service",IF($H390="Investor Owned",IF(AND(COUNTIF(Parameters!$A$4:$A$33,$G390)&gt;0,COUNTIF(Parameters!$B$4:$B$33,$B390)=0),"procurement","cost_service"),"unclassified"))))))</f>
        <v>cost_service</v>
      </c>
    </row>
    <row r="391" spans="1:26" x14ac:dyDescent="0.25">
      <c r="A391">
        <v>2024</v>
      </c>
      <c r="B391">
        <v>6008</v>
      </c>
      <c r="C391" t="s">
        <v>485</v>
      </c>
      <c r="D391" t="s">
        <v>84</v>
      </c>
      <c r="E391" t="s">
        <v>85</v>
      </c>
      <c r="F391" t="s">
        <v>86</v>
      </c>
      <c r="G391" t="s">
        <v>156</v>
      </c>
      <c r="H391" t="s">
        <v>88</v>
      </c>
      <c r="I391" t="s">
        <v>89</v>
      </c>
      <c r="J391">
        <v>8252</v>
      </c>
      <c r="K391">
        <v>60613</v>
      </c>
      <c r="L391">
        <v>4443</v>
      </c>
      <c r="M391">
        <v>3974</v>
      </c>
      <c r="N391">
        <v>27440</v>
      </c>
      <c r="O391">
        <v>916</v>
      </c>
      <c r="P391">
        <v>4518</v>
      </c>
      <c r="Q391">
        <v>72728</v>
      </c>
      <c r="R391">
        <v>1</v>
      </c>
      <c r="S391">
        <v>0</v>
      </c>
      <c r="T391">
        <v>0</v>
      </c>
      <c r="U391">
        <v>0</v>
      </c>
      <c r="V391">
        <v>16744</v>
      </c>
      <c r="W391">
        <v>160781</v>
      </c>
      <c r="X391">
        <v>5360</v>
      </c>
      <c r="Y391">
        <f t="shared" si="6"/>
        <v>160781</v>
      </c>
      <c r="Z391" t="str">
        <f>IF(ISNUMBER(SEARCH("Adjustment",$C391)),"excluded",IF($H391="Behind the Meter","excluded",IF(NOT(OR($E391="Bundled",$E391="Energy")),"excluded",IF(OR($H391="Retail Power Marketer",$H391="Community Choice Aggregator",$E391="Energy"),"procurement",IF(OR($H391="Municipal",$H391="Cooperative",$H391="Federal",$H391="State",$H391="Political Subdivision"),"cost_service",IF($H391="Investor Owned",IF(AND(COUNTIF(Parameters!$A$4:$A$33,$G391)&gt;0,COUNTIF(Parameters!$B$4:$B$33,$B391)=0),"procurement","cost_service"),"unclassified"))))))</f>
        <v>cost_service</v>
      </c>
    </row>
    <row r="392" spans="1:26" x14ac:dyDescent="0.25">
      <c r="A392">
        <v>2024</v>
      </c>
      <c r="B392">
        <v>6022</v>
      </c>
      <c r="C392" t="s">
        <v>486</v>
      </c>
      <c r="D392" t="s">
        <v>84</v>
      </c>
      <c r="E392" t="s">
        <v>85</v>
      </c>
      <c r="F392" t="s">
        <v>86</v>
      </c>
      <c r="G392" t="s">
        <v>219</v>
      </c>
      <c r="H392" t="s">
        <v>88</v>
      </c>
      <c r="I392" t="s">
        <v>206</v>
      </c>
      <c r="J392">
        <v>123745.7</v>
      </c>
      <c r="K392">
        <v>946592</v>
      </c>
      <c r="L392">
        <v>89582</v>
      </c>
      <c r="M392">
        <v>76095.100000000006</v>
      </c>
      <c r="N392">
        <v>760734</v>
      </c>
      <c r="O392">
        <v>9176</v>
      </c>
      <c r="P392">
        <v>36992.199999999997</v>
      </c>
      <c r="Q392">
        <v>568533</v>
      </c>
      <c r="R392">
        <v>1181</v>
      </c>
      <c r="S392">
        <v>0</v>
      </c>
      <c r="T392">
        <v>0</v>
      </c>
      <c r="U392">
        <v>0</v>
      </c>
      <c r="V392">
        <v>236833</v>
      </c>
      <c r="W392">
        <v>2275859</v>
      </c>
      <c r="X392">
        <v>99939</v>
      </c>
      <c r="Y392">
        <f t="shared" si="6"/>
        <v>2275859</v>
      </c>
      <c r="Z392" t="str">
        <f>IF(ISNUMBER(SEARCH("Adjustment",$C392)),"excluded",IF($H392="Behind the Meter","excluded",IF(NOT(OR($E392="Bundled",$E392="Energy")),"excluded",IF(OR($H392="Retail Power Marketer",$H392="Community Choice Aggregator",$E392="Energy"),"procurement",IF(OR($H392="Municipal",$H392="Cooperative",$H392="Federal",$H392="State",$H392="Political Subdivision"),"cost_service",IF($H392="Investor Owned",IF(AND(COUNTIF(Parameters!$A$4:$A$33,$G392)&gt;0,COUNTIF(Parameters!$B$4:$B$33,$B392)=0),"procurement","cost_service"),"unclassified"))))))</f>
        <v>cost_service</v>
      </c>
    </row>
    <row r="393" spans="1:26" x14ac:dyDescent="0.25">
      <c r="A393">
        <v>2024</v>
      </c>
      <c r="B393">
        <v>6043</v>
      </c>
      <c r="C393" t="s">
        <v>487</v>
      </c>
      <c r="D393" t="s">
        <v>84</v>
      </c>
      <c r="E393" t="s">
        <v>85</v>
      </c>
      <c r="F393" t="s">
        <v>86</v>
      </c>
      <c r="G393" t="s">
        <v>95</v>
      </c>
      <c r="H393" t="s">
        <v>88</v>
      </c>
      <c r="I393" t="s">
        <v>96</v>
      </c>
      <c r="J393">
        <v>4495.5</v>
      </c>
      <c r="K393">
        <v>28402</v>
      </c>
      <c r="L393">
        <v>3806</v>
      </c>
      <c r="M393">
        <v>3813</v>
      </c>
      <c r="N393">
        <v>27375</v>
      </c>
      <c r="O393">
        <v>659</v>
      </c>
      <c r="P393">
        <v>1059.2</v>
      </c>
      <c r="Q393">
        <v>9282</v>
      </c>
      <c r="R393">
        <v>2</v>
      </c>
      <c r="S393">
        <v>0</v>
      </c>
      <c r="T393">
        <v>0</v>
      </c>
      <c r="U393">
        <v>0</v>
      </c>
      <c r="V393">
        <v>9367.7000000000007</v>
      </c>
      <c r="W393">
        <v>65059</v>
      </c>
      <c r="X393">
        <v>4467</v>
      </c>
      <c r="Y393">
        <f t="shared" si="6"/>
        <v>65059</v>
      </c>
      <c r="Z393" t="str">
        <f>IF(ISNUMBER(SEARCH("Adjustment",$C393)),"excluded",IF($H393="Behind the Meter","excluded",IF(NOT(OR($E393="Bundled",$E393="Energy")),"excluded",IF(OR($H393="Retail Power Marketer",$H393="Community Choice Aggregator",$E393="Energy"),"procurement",IF(OR($H393="Municipal",$H393="Cooperative",$H393="Federal",$H393="State",$H393="Political Subdivision"),"cost_service",IF($H393="Investor Owned",IF(AND(COUNTIF(Parameters!$A$4:$A$33,$G393)&gt;0,COUNTIF(Parameters!$B$4:$B$33,$B393)=0),"procurement","cost_service"),"unclassified"))))))</f>
        <v>cost_service</v>
      </c>
    </row>
    <row r="394" spans="1:26" x14ac:dyDescent="0.25">
      <c r="A394">
        <v>2024</v>
      </c>
      <c r="B394">
        <v>6149</v>
      </c>
      <c r="C394" t="s">
        <v>488</v>
      </c>
      <c r="D394" t="s">
        <v>84</v>
      </c>
      <c r="E394" t="s">
        <v>85</v>
      </c>
      <c r="F394" t="s">
        <v>86</v>
      </c>
      <c r="G394" t="s">
        <v>148</v>
      </c>
      <c r="H394" t="s">
        <v>88</v>
      </c>
      <c r="I394" t="s">
        <v>206</v>
      </c>
      <c r="J394">
        <v>9950</v>
      </c>
      <c r="K394">
        <v>95700</v>
      </c>
      <c r="L394">
        <v>8799</v>
      </c>
      <c r="M394">
        <v>9245</v>
      </c>
      <c r="N394">
        <v>119740</v>
      </c>
      <c r="O394">
        <v>1378</v>
      </c>
      <c r="P394">
        <v>642</v>
      </c>
      <c r="Q394">
        <v>9078</v>
      </c>
      <c r="R394">
        <v>1</v>
      </c>
      <c r="S394" t="s">
        <v>97</v>
      </c>
      <c r="T394" t="s">
        <v>97</v>
      </c>
      <c r="U394" t="s">
        <v>97</v>
      </c>
      <c r="V394">
        <v>19837</v>
      </c>
      <c r="W394">
        <v>224518</v>
      </c>
      <c r="X394">
        <v>10178</v>
      </c>
      <c r="Y394">
        <f t="shared" si="6"/>
        <v>224518</v>
      </c>
      <c r="Z394" t="str">
        <f>IF(ISNUMBER(SEARCH("Adjustment",$C394)),"excluded",IF($H394="Behind the Meter","excluded",IF(NOT(OR($E394="Bundled",$E394="Energy")),"excluded",IF(OR($H394="Retail Power Marketer",$H394="Community Choice Aggregator",$E394="Energy"),"procurement",IF(OR($H394="Municipal",$H394="Cooperative",$H394="Federal",$H394="State",$H394="Political Subdivision"),"cost_service",IF($H394="Investor Owned",IF(AND(COUNTIF(Parameters!$A$4:$A$33,$G394)&gt;0,COUNTIF(Parameters!$B$4:$B$33,$B394)=0),"procurement","cost_service"),"unclassified"))))))</f>
        <v>cost_service</v>
      </c>
    </row>
    <row r="395" spans="1:26" x14ac:dyDescent="0.25">
      <c r="A395">
        <v>2024</v>
      </c>
      <c r="B395">
        <v>6169</v>
      </c>
      <c r="C395" t="s">
        <v>489</v>
      </c>
      <c r="D395" t="s">
        <v>84</v>
      </c>
      <c r="E395" t="s">
        <v>85</v>
      </c>
      <c r="F395" t="s">
        <v>86</v>
      </c>
      <c r="G395" t="s">
        <v>490</v>
      </c>
      <c r="H395" t="s">
        <v>91</v>
      </c>
      <c r="I395" t="s">
        <v>206</v>
      </c>
      <c r="J395">
        <v>23986</v>
      </c>
      <c r="K395">
        <v>215953</v>
      </c>
      <c r="L395">
        <v>15433</v>
      </c>
      <c r="M395">
        <v>9208</v>
      </c>
      <c r="N395">
        <v>118799</v>
      </c>
      <c r="O395">
        <v>2792</v>
      </c>
      <c r="P395" t="s">
        <v>97</v>
      </c>
      <c r="Q395" t="s">
        <v>97</v>
      </c>
      <c r="R395" t="s">
        <v>97</v>
      </c>
      <c r="S395" t="s">
        <v>97</v>
      </c>
      <c r="T395" t="s">
        <v>97</v>
      </c>
      <c r="U395" t="s">
        <v>97</v>
      </c>
      <c r="V395">
        <v>33194</v>
      </c>
      <c r="W395">
        <v>334752</v>
      </c>
      <c r="X395">
        <v>18225</v>
      </c>
      <c r="Y395">
        <f t="shared" si="6"/>
        <v>334752</v>
      </c>
      <c r="Z395" t="str">
        <f>IF(ISNUMBER(SEARCH("Adjustment",$C395)),"excluded",IF($H395="Behind the Meter","excluded",IF(NOT(OR($E395="Bundled",$E395="Energy")),"excluded",IF(OR($H395="Retail Power Marketer",$H395="Community Choice Aggregator",$E395="Energy"),"procurement",IF(OR($H395="Municipal",$H395="Cooperative",$H395="Federal",$H395="State",$H395="Political Subdivision"),"cost_service",IF($H395="Investor Owned",IF(AND(COUNTIF(Parameters!$A$4:$A$33,$G395)&gt;0,COUNTIF(Parameters!$B$4:$B$33,$B395)=0),"procurement","cost_service"),"unclassified"))))))</f>
        <v>cost_service</v>
      </c>
    </row>
    <row r="396" spans="1:26" x14ac:dyDescent="0.25">
      <c r="A396">
        <v>2024</v>
      </c>
      <c r="B396">
        <v>6169</v>
      </c>
      <c r="C396" t="s">
        <v>489</v>
      </c>
      <c r="D396" t="s">
        <v>84</v>
      </c>
      <c r="E396" t="s">
        <v>85</v>
      </c>
      <c r="F396" t="s">
        <v>86</v>
      </c>
      <c r="G396" t="s">
        <v>491</v>
      </c>
      <c r="H396" t="s">
        <v>91</v>
      </c>
      <c r="I396" t="s">
        <v>206</v>
      </c>
      <c r="J396">
        <v>2066</v>
      </c>
      <c r="K396">
        <v>18145</v>
      </c>
      <c r="L396">
        <v>1508</v>
      </c>
      <c r="M396">
        <v>2749</v>
      </c>
      <c r="N396">
        <v>34105</v>
      </c>
      <c r="O396">
        <v>572</v>
      </c>
      <c r="P396" t="s">
        <v>97</v>
      </c>
      <c r="Q396" t="s">
        <v>97</v>
      </c>
      <c r="R396" t="s">
        <v>97</v>
      </c>
      <c r="S396" t="s">
        <v>97</v>
      </c>
      <c r="T396" t="s">
        <v>97</v>
      </c>
      <c r="U396" t="s">
        <v>97</v>
      </c>
      <c r="V396">
        <v>4815</v>
      </c>
      <c r="W396">
        <v>52250</v>
      </c>
      <c r="X396">
        <v>2080</v>
      </c>
      <c r="Y396">
        <f t="shared" si="6"/>
        <v>52250</v>
      </c>
      <c r="Z396" t="str">
        <f>IF(ISNUMBER(SEARCH("Adjustment",$C396)),"excluded",IF($H396="Behind the Meter","excluded",IF(NOT(OR($E396="Bundled",$E396="Energy")),"excluded",IF(OR($H396="Retail Power Marketer",$H396="Community Choice Aggregator",$E396="Energy"),"procurement",IF(OR($H396="Municipal",$H396="Cooperative",$H396="Federal",$H396="State",$H396="Political Subdivision"),"cost_service",IF($H396="Investor Owned",IF(AND(COUNTIF(Parameters!$A$4:$A$33,$G396)&gt;0,COUNTIF(Parameters!$B$4:$B$33,$B396)=0),"procurement","cost_service"),"unclassified"))))))</f>
        <v>cost_service</v>
      </c>
    </row>
    <row r="397" spans="1:26" x14ac:dyDescent="0.25">
      <c r="A397">
        <v>2024</v>
      </c>
      <c r="B397">
        <v>6169</v>
      </c>
      <c r="C397" t="s">
        <v>489</v>
      </c>
      <c r="D397" t="s">
        <v>84</v>
      </c>
      <c r="E397" t="s">
        <v>85</v>
      </c>
      <c r="F397" t="s">
        <v>86</v>
      </c>
      <c r="G397" t="s">
        <v>323</v>
      </c>
      <c r="H397" t="s">
        <v>91</v>
      </c>
      <c r="I397" t="s">
        <v>206</v>
      </c>
      <c r="J397">
        <v>931</v>
      </c>
      <c r="K397">
        <v>9330</v>
      </c>
      <c r="L397">
        <v>341</v>
      </c>
      <c r="M397">
        <v>592</v>
      </c>
      <c r="N397">
        <v>7134</v>
      </c>
      <c r="O397">
        <v>67</v>
      </c>
      <c r="P397" t="s">
        <v>97</v>
      </c>
      <c r="Q397" t="s">
        <v>97</v>
      </c>
      <c r="R397" t="s">
        <v>97</v>
      </c>
      <c r="S397" t="s">
        <v>97</v>
      </c>
      <c r="T397" t="s">
        <v>97</v>
      </c>
      <c r="U397" t="s">
        <v>97</v>
      </c>
      <c r="V397">
        <v>1523</v>
      </c>
      <c r="W397">
        <v>16464</v>
      </c>
      <c r="X397">
        <v>408</v>
      </c>
      <c r="Y397">
        <f t="shared" si="6"/>
        <v>16464</v>
      </c>
      <c r="Z397" t="str">
        <f>IF(ISNUMBER(SEARCH("Adjustment",$C397)),"excluded",IF($H397="Behind the Meter","excluded",IF(NOT(OR($E397="Bundled",$E397="Energy")),"excluded",IF(OR($H397="Retail Power Marketer",$H397="Community Choice Aggregator",$E397="Energy"),"procurement",IF(OR($H397="Municipal",$H397="Cooperative",$H397="Federal",$H397="State",$H397="Political Subdivision"),"cost_service",IF($H397="Investor Owned",IF(AND(COUNTIF(Parameters!$A$4:$A$33,$G397)&gt;0,COUNTIF(Parameters!$B$4:$B$33,$B397)=0),"procurement","cost_service"),"unclassified"))))))</f>
        <v>cost_service</v>
      </c>
    </row>
    <row r="398" spans="1:26" x14ac:dyDescent="0.25">
      <c r="A398">
        <v>2024</v>
      </c>
      <c r="B398">
        <v>6173</v>
      </c>
      <c r="C398" t="s">
        <v>492</v>
      </c>
      <c r="D398" t="s">
        <v>84</v>
      </c>
      <c r="E398" t="s">
        <v>85</v>
      </c>
      <c r="F398" t="s">
        <v>86</v>
      </c>
      <c r="G398" t="s">
        <v>57</v>
      </c>
      <c r="H398" t="s">
        <v>91</v>
      </c>
      <c r="I398" t="s">
        <v>151</v>
      </c>
      <c r="J398">
        <v>25509</v>
      </c>
      <c r="K398">
        <v>163036</v>
      </c>
      <c r="L398">
        <v>11712</v>
      </c>
      <c r="M398">
        <v>6779</v>
      </c>
      <c r="N398">
        <v>59069</v>
      </c>
      <c r="O398">
        <v>429</v>
      </c>
      <c r="P398">
        <v>146</v>
      </c>
      <c r="Q398">
        <v>460</v>
      </c>
      <c r="R398">
        <v>31</v>
      </c>
      <c r="S398" t="s">
        <v>97</v>
      </c>
      <c r="T398" t="s">
        <v>97</v>
      </c>
      <c r="U398" t="s">
        <v>97</v>
      </c>
      <c r="V398">
        <v>32434</v>
      </c>
      <c r="W398">
        <v>222565</v>
      </c>
      <c r="X398">
        <v>12172</v>
      </c>
      <c r="Y398">
        <f t="shared" si="6"/>
        <v>222565</v>
      </c>
      <c r="Z398" t="str">
        <f>IF(ISNUMBER(SEARCH("Adjustment",$C398)),"excluded",IF($H398="Behind the Meter","excluded",IF(NOT(OR($E398="Bundled",$E398="Energy")),"excluded",IF(OR($H398="Retail Power Marketer",$H398="Community Choice Aggregator",$E398="Energy"),"procurement",IF(OR($H398="Municipal",$H398="Cooperative",$H398="Federal",$H398="State",$H398="Political Subdivision"),"cost_service",IF($H398="Investor Owned",IF(AND(COUNTIF(Parameters!$A$4:$A$33,$G398)&gt;0,COUNTIF(Parameters!$B$4:$B$33,$B398)=0),"procurement","cost_service"),"unclassified"))))))</f>
        <v>cost_service</v>
      </c>
    </row>
    <row r="399" spans="1:26" x14ac:dyDescent="0.25">
      <c r="A399">
        <v>2024</v>
      </c>
      <c r="B399">
        <v>6181</v>
      </c>
      <c r="C399" t="s">
        <v>493</v>
      </c>
      <c r="D399" t="s">
        <v>84</v>
      </c>
      <c r="E399" t="s">
        <v>85</v>
      </c>
      <c r="F399" t="s">
        <v>86</v>
      </c>
      <c r="G399" t="s">
        <v>226</v>
      </c>
      <c r="H399" t="s">
        <v>91</v>
      </c>
      <c r="I399" t="s">
        <v>227</v>
      </c>
      <c r="J399">
        <v>21636.1</v>
      </c>
      <c r="K399">
        <v>162047</v>
      </c>
      <c r="L399">
        <v>12451</v>
      </c>
      <c r="M399">
        <v>4503.2</v>
      </c>
      <c r="N399">
        <v>40227</v>
      </c>
      <c r="O399">
        <v>1181</v>
      </c>
      <c r="P399">
        <v>5379.7</v>
      </c>
      <c r="Q399">
        <v>76136</v>
      </c>
      <c r="R399">
        <v>9</v>
      </c>
      <c r="S399">
        <v>0</v>
      </c>
      <c r="T399">
        <v>0</v>
      </c>
      <c r="U399">
        <v>0</v>
      </c>
      <c r="V399">
        <v>31519</v>
      </c>
      <c r="W399">
        <v>278410</v>
      </c>
      <c r="X399">
        <v>13641</v>
      </c>
      <c r="Y399">
        <f t="shared" si="6"/>
        <v>278410</v>
      </c>
      <c r="Z399" t="str">
        <f>IF(ISNUMBER(SEARCH("Adjustment",$C399)),"excluded",IF($H399="Behind the Meter","excluded",IF(NOT(OR($E399="Bundled",$E399="Energy")),"excluded",IF(OR($H399="Retail Power Marketer",$H399="Community Choice Aggregator",$E399="Energy"),"procurement",IF(OR($H399="Municipal",$H399="Cooperative",$H399="Federal",$H399="State",$H399="Political Subdivision"),"cost_service",IF($H399="Investor Owned",IF(AND(COUNTIF(Parameters!$A$4:$A$33,$G399)&gt;0,COUNTIF(Parameters!$B$4:$B$33,$B399)=0),"procurement","cost_service"),"unclassified"))))))</f>
        <v>cost_service</v>
      </c>
    </row>
    <row r="400" spans="1:26" x14ac:dyDescent="0.25">
      <c r="A400">
        <v>2024</v>
      </c>
      <c r="B400">
        <v>6182</v>
      </c>
      <c r="C400" t="s">
        <v>494</v>
      </c>
      <c r="D400" t="s">
        <v>84</v>
      </c>
      <c r="E400" t="s">
        <v>85</v>
      </c>
      <c r="F400" t="s">
        <v>86</v>
      </c>
      <c r="G400" t="s">
        <v>57</v>
      </c>
      <c r="H400" t="s">
        <v>91</v>
      </c>
      <c r="I400" t="s">
        <v>151</v>
      </c>
      <c r="J400">
        <v>144196</v>
      </c>
      <c r="K400">
        <v>1252373</v>
      </c>
      <c r="L400">
        <v>84006</v>
      </c>
      <c r="M400">
        <v>27708</v>
      </c>
      <c r="N400">
        <v>253915</v>
      </c>
      <c r="O400">
        <v>16330</v>
      </c>
      <c r="P400">
        <v>11921</v>
      </c>
      <c r="Q400">
        <v>191999</v>
      </c>
      <c r="R400">
        <v>23</v>
      </c>
      <c r="S400" t="s">
        <v>97</v>
      </c>
      <c r="T400" t="s">
        <v>97</v>
      </c>
      <c r="U400" t="s">
        <v>97</v>
      </c>
      <c r="V400">
        <v>183825</v>
      </c>
      <c r="W400">
        <v>1698287</v>
      </c>
      <c r="X400">
        <v>100359</v>
      </c>
      <c r="Y400">
        <f t="shared" si="6"/>
        <v>1698287</v>
      </c>
      <c r="Z400" t="str">
        <f>IF(ISNUMBER(SEARCH("Adjustment",$C400)),"excluded",IF($H400="Behind the Meter","excluded",IF(NOT(OR($E400="Bundled",$E400="Energy")),"excluded",IF(OR($H400="Retail Power Marketer",$H400="Community Choice Aggregator",$E400="Energy"),"procurement",IF(OR($H400="Municipal",$H400="Cooperative",$H400="Federal",$H400="State",$H400="Political Subdivision"),"cost_service",IF($H400="Investor Owned",IF(AND(COUNTIF(Parameters!$A$4:$A$33,$G400)&gt;0,COUNTIF(Parameters!$B$4:$B$33,$B400)=0),"procurement","cost_service"),"unclassified"))))))</f>
        <v>cost_service</v>
      </c>
    </row>
    <row r="401" spans="1:26" x14ac:dyDescent="0.25">
      <c r="A401">
        <v>2024</v>
      </c>
      <c r="B401">
        <v>6183</v>
      </c>
      <c r="C401" t="s">
        <v>495</v>
      </c>
      <c r="D401" t="s">
        <v>84</v>
      </c>
      <c r="E401" t="s">
        <v>85</v>
      </c>
      <c r="F401" t="s">
        <v>86</v>
      </c>
      <c r="G401" t="s">
        <v>57</v>
      </c>
      <c r="H401" t="s">
        <v>91</v>
      </c>
      <c r="I401" t="s">
        <v>151</v>
      </c>
      <c r="J401">
        <v>21194</v>
      </c>
      <c r="K401">
        <v>168974</v>
      </c>
      <c r="L401">
        <v>14150</v>
      </c>
      <c r="M401">
        <v>7967</v>
      </c>
      <c r="N401">
        <v>66480</v>
      </c>
      <c r="O401">
        <v>2064</v>
      </c>
      <c r="P401">
        <v>9650</v>
      </c>
      <c r="Q401">
        <v>127810</v>
      </c>
      <c r="R401">
        <v>16</v>
      </c>
      <c r="S401" t="s">
        <v>97</v>
      </c>
      <c r="T401" t="s">
        <v>97</v>
      </c>
      <c r="U401" t="s">
        <v>97</v>
      </c>
      <c r="V401">
        <v>38811</v>
      </c>
      <c r="W401">
        <v>363264</v>
      </c>
      <c r="X401">
        <v>16230</v>
      </c>
      <c r="Y401">
        <f t="shared" si="6"/>
        <v>363264</v>
      </c>
      <c r="Z401" t="str">
        <f>IF(ISNUMBER(SEARCH("Adjustment",$C401)),"excluded",IF($H401="Behind the Meter","excluded",IF(NOT(OR($E401="Bundled",$E401="Energy")),"excluded",IF(OR($H401="Retail Power Marketer",$H401="Community Choice Aggregator",$E401="Energy"),"procurement",IF(OR($H401="Municipal",$H401="Cooperative",$H401="Federal",$H401="State",$H401="Political Subdivision"),"cost_service",IF($H401="Investor Owned",IF(AND(COUNTIF(Parameters!$A$4:$A$33,$G401)&gt;0,COUNTIF(Parameters!$B$4:$B$33,$B401)=0),"procurement","cost_service"),"unclassified"))))))</f>
        <v>cost_service</v>
      </c>
    </row>
    <row r="402" spans="1:26" x14ac:dyDescent="0.25">
      <c r="A402">
        <v>2024</v>
      </c>
      <c r="B402">
        <v>6194</v>
      </c>
      <c r="C402" t="s">
        <v>496</v>
      </c>
      <c r="D402" t="s">
        <v>84</v>
      </c>
      <c r="E402" t="s">
        <v>85</v>
      </c>
      <c r="F402" t="s">
        <v>86</v>
      </c>
      <c r="G402" t="s">
        <v>209</v>
      </c>
      <c r="H402" t="s">
        <v>91</v>
      </c>
      <c r="I402" t="s">
        <v>92</v>
      </c>
      <c r="J402">
        <v>40733</v>
      </c>
      <c r="K402">
        <v>311377</v>
      </c>
      <c r="L402">
        <v>24889</v>
      </c>
      <c r="M402">
        <v>9934</v>
      </c>
      <c r="N402">
        <v>79164</v>
      </c>
      <c r="O402">
        <v>2006</v>
      </c>
      <c r="P402">
        <v>8969</v>
      </c>
      <c r="Q402">
        <v>93053</v>
      </c>
      <c r="R402">
        <v>6</v>
      </c>
      <c r="S402" t="s">
        <v>97</v>
      </c>
      <c r="T402" t="s">
        <v>97</v>
      </c>
      <c r="U402" t="s">
        <v>97</v>
      </c>
      <c r="V402">
        <v>59636</v>
      </c>
      <c r="W402">
        <v>483594</v>
      </c>
      <c r="X402">
        <v>26901</v>
      </c>
      <c r="Y402">
        <f t="shared" si="6"/>
        <v>483594</v>
      </c>
      <c r="Z402" t="str">
        <f>IF(ISNUMBER(SEARCH("Adjustment",$C402)),"excluded",IF($H402="Behind the Meter","excluded",IF(NOT(OR($E402="Bundled",$E402="Energy")),"excluded",IF(OR($H402="Retail Power Marketer",$H402="Community Choice Aggregator",$E402="Energy"),"procurement",IF(OR($H402="Municipal",$H402="Cooperative",$H402="Federal",$H402="State",$H402="Political Subdivision"),"cost_service",IF($H402="Investor Owned",IF(AND(COUNTIF(Parameters!$A$4:$A$33,$G402)&gt;0,COUNTIF(Parameters!$B$4:$B$33,$B402)=0),"procurement","cost_service"),"unclassified"))))))</f>
        <v>cost_service</v>
      </c>
    </row>
    <row r="403" spans="1:26" x14ac:dyDescent="0.25">
      <c r="A403">
        <v>2024</v>
      </c>
      <c r="B403">
        <v>6198</v>
      </c>
      <c r="C403" t="s">
        <v>497</v>
      </c>
      <c r="D403" t="s">
        <v>84</v>
      </c>
      <c r="E403" t="s">
        <v>85</v>
      </c>
      <c r="F403" t="s">
        <v>86</v>
      </c>
      <c r="G403" t="s">
        <v>308</v>
      </c>
      <c r="H403" t="s">
        <v>91</v>
      </c>
      <c r="I403" t="s">
        <v>135</v>
      </c>
      <c r="J403">
        <v>13199.7</v>
      </c>
      <c r="K403">
        <v>102596</v>
      </c>
      <c r="L403">
        <v>10258</v>
      </c>
      <c r="M403">
        <v>12438.4</v>
      </c>
      <c r="N403">
        <v>102977</v>
      </c>
      <c r="O403">
        <v>1882</v>
      </c>
      <c r="P403">
        <v>16148.2</v>
      </c>
      <c r="Q403">
        <v>176577</v>
      </c>
      <c r="R403">
        <v>1532</v>
      </c>
      <c r="S403" t="s">
        <v>97</v>
      </c>
      <c r="T403" t="s">
        <v>97</v>
      </c>
      <c r="U403" t="s">
        <v>97</v>
      </c>
      <c r="V403">
        <v>41786.300000000003</v>
      </c>
      <c r="W403">
        <v>382150</v>
      </c>
      <c r="X403">
        <v>13672</v>
      </c>
      <c r="Y403">
        <f t="shared" si="6"/>
        <v>382150</v>
      </c>
      <c r="Z403" t="str">
        <f>IF(ISNUMBER(SEARCH("Adjustment",$C403)),"excluded",IF($H403="Behind the Meter","excluded",IF(NOT(OR($E403="Bundled",$E403="Energy")),"excluded",IF(OR($H403="Retail Power Marketer",$H403="Community Choice Aggregator",$E403="Energy"),"procurement",IF(OR($H403="Municipal",$H403="Cooperative",$H403="Federal",$H403="State",$H403="Political Subdivision"),"cost_service",IF($H403="Investor Owned",IF(AND(COUNTIF(Parameters!$A$4:$A$33,$G403)&gt;0,COUNTIF(Parameters!$B$4:$B$33,$B403)=0),"procurement","cost_service"),"unclassified"))))))</f>
        <v>cost_service</v>
      </c>
    </row>
    <row r="404" spans="1:26" x14ac:dyDescent="0.25">
      <c r="A404">
        <v>2024</v>
      </c>
      <c r="B404">
        <v>6204</v>
      </c>
      <c r="C404" t="s">
        <v>498</v>
      </c>
      <c r="D404" t="s">
        <v>84</v>
      </c>
      <c r="E404" t="s">
        <v>85</v>
      </c>
      <c r="F404" t="s">
        <v>86</v>
      </c>
      <c r="G404" t="s">
        <v>308</v>
      </c>
      <c r="H404" t="s">
        <v>88</v>
      </c>
      <c r="I404" t="s">
        <v>259</v>
      </c>
      <c r="J404">
        <v>35708</v>
      </c>
      <c r="K404">
        <v>281427</v>
      </c>
      <c r="L404">
        <v>35990</v>
      </c>
      <c r="M404">
        <v>41129</v>
      </c>
      <c r="N404">
        <v>372913</v>
      </c>
      <c r="O404">
        <v>9110</v>
      </c>
      <c r="P404">
        <v>17908</v>
      </c>
      <c r="Q404">
        <v>260889</v>
      </c>
      <c r="R404">
        <v>7</v>
      </c>
      <c r="S404">
        <v>0</v>
      </c>
      <c r="T404">
        <v>0</v>
      </c>
      <c r="U404">
        <v>0</v>
      </c>
      <c r="V404">
        <v>94745</v>
      </c>
      <c r="W404">
        <v>915229</v>
      </c>
      <c r="X404">
        <v>45107</v>
      </c>
      <c r="Y404">
        <f t="shared" si="6"/>
        <v>915229</v>
      </c>
      <c r="Z404" t="str">
        <f>IF(ISNUMBER(SEARCH("Adjustment",$C404)),"excluded",IF($H404="Behind the Meter","excluded",IF(NOT(OR($E404="Bundled",$E404="Energy")),"excluded",IF(OR($H404="Retail Power Marketer",$H404="Community Choice Aggregator",$E404="Energy"),"procurement",IF(OR($H404="Municipal",$H404="Cooperative",$H404="Federal",$H404="State",$H404="Political Subdivision"),"cost_service",IF($H404="Investor Owned",IF(AND(COUNTIF(Parameters!$A$4:$A$33,$G404)&gt;0,COUNTIF(Parameters!$B$4:$B$33,$B404)=0),"procurement","cost_service"),"unclassified"))))))</f>
        <v>cost_service</v>
      </c>
    </row>
    <row r="405" spans="1:26" x14ac:dyDescent="0.25">
      <c r="A405">
        <v>2024</v>
      </c>
      <c r="B405">
        <v>6205</v>
      </c>
      <c r="C405" t="s">
        <v>499</v>
      </c>
      <c r="D405" t="s">
        <v>84</v>
      </c>
      <c r="E405" t="s">
        <v>85</v>
      </c>
      <c r="F405" t="s">
        <v>86</v>
      </c>
      <c r="G405" t="s">
        <v>226</v>
      </c>
      <c r="H405" t="s">
        <v>88</v>
      </c>
      <c r="I405" t="s">
        <v>96</v>
      </c>
      <c r="J405">
        <v>9495.7999999999993</v>
      </c>
      <c r="K405">
        <v>92950</v>
      </c>
      <c r="L405">
        <v>7250</v>
      </c>
      <c r="M405">
        <v>2228.9</v>
      </c>
      <c r="N405">
        <v>21050</v>
      </c>
      <c r="O405">
        <v>970</v>
      </c>
      <c r="P405">
        <v>6399.8</v>
      </c>
      <c r="Q405">
        <v>79100</v>
      </c>
      <c r="R405">
        <v>180</v>
      </c>
      <c r="S405" t="s">
        <v>97</v>
      </c>
      <c r="T405" t="s">
        <v>97</v>
      </c>
      <c r="U405" t="s">
        <v>97</v>
      </c>
      <c r="V405">
        <v>18124.5</v>
      </c>
      <c r="W405">
        <v>193100</v>
      </c>
      <c r="X405">
        <v>8400</v>
      </c>
      <c r="Y405">
        <f t="shared" si="6"/>
        <v>193100</v>
      </c>
      <c r="Z405" t="str">
        <f>IF(ISNUMBER(SEARCH("Adjustment",$C405)),"excluded",IF($H405="Behind the Meter","excluded",IF(NOT(OR($E405="Bundled",$E405="Energy")),"excluded",IF(OR($H405="Retail Power Marketer",$H405="Community Choice Aggregator",$E405="Energy"),"procurement",IF(OR($H405="Municipal",$H405="Cooperative",$H405="Federal",$H405="State",$H405="Political Subdivision"),"cost_service",IF($H405="Investor Owned",IF(AND(COUNTIF(Parameters!$A$4:$A$33,$G405)&gt;0,COUNTIF(Parameters!$B$4:$B$33,$B405)=0),"procurement","cost_service"),"unclassified"))))))</f>
        <v>cost_service</v>
      </c>
    </row>
    <row r="406" spans="1:26" x14ac:dyDescent="0.25">
      <c r="A406">
        <v>2024</v>
      </c>
      <c r="B406">
        <v>6207</v>
      </c>
      <c r="C406" t="s">
        <v>500</v>
      </c>
      <c r="D406" t="s">
        <v>99</v>
      </c>
      <c r="E406" t="s">
        <v>100</v>
      </c>
      <c r="F406" t="s">
        <v>86</v>
      </c>
      <c r="G406" t="s">
        <v>40</v>
      </c>
      <c r="H406" t="s">
        <v>109</v>
      </c>
      <c r="I406" t="s">
        <v>189</v>
      </c>
      <c r="J406">
        <v>0</v>
      </c>
      <c r="K406">
        <v>0</v>
      </c>
      <c r="L406">
        <v>0</v>
      </c>
      <c r="M406">
        <v>0</v>
      </c>
      <c r="N406">
        <v>0</v>
      </c>
      <c r="O406">
        <v>0</v>
      </c>
      <c r="P406">
        <v>3385.2</v>
      </c>
      <c r="Q406">
        <v>31045</v>
      </c>
      <c r="R406">
        <v>1</v>
      </c>
      <c r="S406">
        <v>0</v>
      </c>
      <c r="T406">
        <v>0</v>
      </c>
      <c r="U406">
        <v>0</v>
      </c>
      <c r="V406">
        <v>3385.2</v>
      </c>
      <c r="W406">
        <v>31045</v>
      </c>
      <c r="X406">
        <v>1</v>
      </c>
      <c r="Y406">
        <f t="shared" si="6"/>
        <v>31045</v>
      </c>
      <c r="Z406" t="str">
        <f>IF(ISNUMBER(SEARCH("Adjustment",$C406)),"excluded",IF($H406="Behind the Meter","excluded",IF(NOT(OR($E406="Bundled",$E406="Energy")),"excluded",IF(OR($H406="Retail Power Marketer",$H406="Community Choice Aggregator",$E406="Energy"),"procurement",IF(OR($H406="Municipal",$H406="Cooperative",$H406="Federal",$H406="State",$H406="Political Subdivision"),"cost_service",IF($H406="Investor Owned",IF(AND(COUNTIF(Parameters!$A$4:$A$33,$G406)&gt;0,COUNTIF(Parameters!$B$4:$B$33,$B406)=0),"procurement","cost_service"),"unclassified"))))))</f>
        <v>procurement</v>
      </c>
    </row>
    <row r="407" spans="1:26" x14ac:dyDescent="0.25">
      <c r="A407">
        <v>2024</v>
      </c>
      <c r="B407">
        <v>6234</v>
      </c>
      <c r="C407" t="s">
        <v>501</v>
      </c>
      <c r="D407" t="s">
        <v>84</v>
      </c>
      <c r="E407" t="s">
        <v>85</v>
      </c>
      <c r="F407" t="s">
        <v>86</v>
      </c>
      <c r="G407" t="s">
        <v>156</v>
      </c>
      <c r="H407" t="s">
        <v>88</v>
      </c>
      <c r="I407" t="s">
        <v>89</v>
      </c>
      <c r="J407">
        <v>30361</v>
      </c>
      <c r="K407">
        <v>254558</v>
      </c>
      <c r="L407">
        <v>16667</v>
      </c>
      <c r="M407">
        <v>16495</v>
      </c>
      <c r="N407">
        <v>125196</v>
      </c>
      <c r="O407">
        <v>2793</v>
      </c>
      <c r="P407">
        <v>6202</v>
      </c>
      <c r="Q407">
        <v>95041</v>
      </c>
      <c r="R407">
        <v>5</v>
      </c>
      <c r="S407">
        <v>0</v>
      </c>
      <c r="T407">
        <v>0</v>
      </c>
      <c r="U407">
        <v>0</v>
      </c>
      <c r="V407">
        <v>53058</v>
      </c>
      <c r="W407">
        <v>474795</v>
      </c>
      <c r="X407">
        <v>19465</v>
      </c>
      <c r="Y407">
        <f t="shared" si="6"/>
        <v>474795</v>
      </c>
      <c r="Z407" t="str">
        <f>IF(ISNUMBER(SEARCH("Adjustment",$C407)),"excluded",IF($H407="Behind the Meter","excluded",IF(NOT(OR($E407="Bundled",$E407="Energy")),"excluded",IF(OR($H407="Retail Power Marketer",$H407="Community Choice Aggregator",$E407="Energy"),"procurement",IF(OR($H407="Municipal",$H407="Cooperative",$H407="Federal",$H407="State",$H407="Political Subdivision"),"cost_service",IF($H407="Investor Owned",IF(AND(COUNTIF(Parameters!$A$4:$A$33,$G407)&gt;0,COUNTIF(Parameters!$B$4:$B$33,$B407)=0),"procurement","cost_service"),"unclassified"))))))</f>
        <v>cost_service</v>
      </c>
    </row>
    <row r="408" spans="1:26" x14ac:dyDescent="0.25">
      <c r="A408">
        <v>2024</v>
      </c>
      <c r="B408">
        <v>6235</v>
      </c>
      <c r="C408" t="s">
        <v>502</v>
      </c>
      <c r="D408" t="s">
        <v>84</v>
      </c>
      <c r="E408" t="s">
        <v>85</v>
      </c>
      <c r="F408" t="s">
        <v>86</v>
      </c>
      <c r="G408" t="s">
        <v>125</v>
      </c>
      <c r="H408" t="s">
        <v>88</v>
      </c>
      <c r="I408" t="s">
        <v>163</v>
      </c>
      <c r="J408">
        <v>108073</v>
      </c>
      <c r="K408">
        <v>885025</v>
      </c>
      <c r="L408">
        <v>75987</v>
      </c>
      <c r="M408">
        <v>79048</v>
      </c>
      <c r="N408">
        <v>694522</v>
      </c>
      <c r="O408">
        <v>9426</v>
      </c>
      <c r="P408">
        <v>25043</v>
      </c>
      <c r="Q408">
        <v>364666</v>
      </c>
      <c r="R408">
        <v>22</v>
      </c>
      <c r="S408">
        <v>0</v>
      </c>
      <c r="T408">
        <v>0</v>
      </c>
      <c r="U408">
        <v>0</v>
      </c>
      <c r="V408">
        <v>212164</v>
      </c>
      <c r="W408">
        <v>1944213</v>
      </c>
      <c r="X408">
        <v>85435</v>
      </c>
      <c r="Y408">
        <f t="shared" si="6"/>
        <v>1944213</v>
      </c>
      <c r="Z408" t="str">
        <f>IF(ISNUMBER(SEARCH("Adjustment",$C408)),"excluded",IF($H408="Behind the Meter","excluded",IF(NOT(OR($E408="Bundled",$E408="Energy")),"excluded",IF(OR($H408="Retail Power Marketer",$H408="Community Choice Aggregator",$E408="Energy"),"procurement",IF(OR($H408="Municipal",$H408="Cooperative",$H408="Federal",$H408="State",$H408="Political Subdivision"),"cost_service",IF($H408="Investor Owned",IF(AND(COUNTIF(Parameters!$A$4:$A$33,$G408)&gt;0,COUNTIF(Parameters!$B$4:$B$33,$B408)=0),"procurement","cost_service"),"unclassified"))))))</f>
        <v>cost_service</v>
      </c>
    </row>
    <row r="409" spans="1:26" x14ac:dyDescent="0.25">
      <c r="A409">
        <v>2024</v>
      </c>
      <c r="B409">
        <v>6258</v>
      </c>
      <c r="C409" t="s">
        <v>503</v>
      </c>
      <c r="D409" t="s">
        <v>84</v>
      </c>
      <c r="E409" t="s">
        <v>85</v>
      </c>
      <c r="F409" t="s">
        <v>86</v>
      </c>
      <c r="G409" t="s">
        <v>146</v>
      </c>
      <c r="H409" t="s">
        <v>91</v>
      </c>
      <c r="I409" t="s">
        <v>96</v>
      </c>
      <c r="J409">
        <v>98</v>
      </c>
      <c r="K409">
        <v>829</v>
      </c>
      <c r="L409">
        <v>53</v>
      </c>
      <c r="M409" t="s">
        <v>97</v>
      </c>
      <c r="N409" t="s">
        <v>97</v>
      </c>
      <c r="O409" t="s">
        <v>97</v>
      </c>
      <c r="P409">
        <v>15</v>
      </c>
      <c r="Q409">
        <v>98</v>
      </c>
      <c r="R409">
        <v>4</v>
      </c>
      <c r="S409" t="s">
        <v>97</v>
      </c>
      <c r="T409" t="s">
        <v>97</v>
      </c>
      <c r="U409" t="s">
        <v>97</v>
      </c>
      <c r="V409">
        <v>113</v>
      </c>
      <c r="W409">
        <v>927</v>
      </c>
      <c r="X409">
        <v>57</v>
      </c>
      <c r="Y409">
        <f t="shared" si="6"/>
        <v>927</v>
      </c>
      <c r="Z409" t="str">
        <f>IF(ISNUMBER(SEARCH("Adjustment",$C409)),"excluded",IF($H409="Behind the Meter","excluded",IF(NOT(OR($E409="Bundled",$E409="Energy")),"excluded",IF(OR($H409="Retail Power Marketer",$H409="Community Choice Aggregator",$E409="Energy"),"procurement",IF(OR($H409="Municipal",$H409="Cooperative",$H409="Federal",$H409="State",$H409="Political Subdivision"),"cost_service",IF($H409="Investor Owned",IF(AND(COUNTIF(Parameters!$A$4:$A$33,$G409)&gt;0,COUNTIF(Parameters!$B$4:$B$33,$B409)=0),"procurement","cost_service"),"unclassified"))))))</f>
        <v>cost_service</v>
      </c>
    </row>
    <row r="410" spans="1:26" x14ac:dyDescent="0.25">
      <c r="A410">
        <v>2024</v>
      </c>
      <c r="B410">
        <v>6258</v>
      </c>
      <c r="C410" t="s">
        <v>503</v>
      </c>
      <c r="D410" t="s">
        <v>84</v>
      </c>
      <c r="E410" t="s">
        <v>85</v>
      </c>
      <c r="F410" t="s">
        <v>86</v>
      </c>
      <c r="G410" t="s">
        <v>104</v>
      </c>
      <c r="H410" t="s">
        <v>91</v>
      </c>
      <c r="I410" t="s">
        <v>96</v>
      </c>
      <c r="J410">
        <v>9725</v>
      </c>
      <c r="K410">
        <v>83557</v>
      </c>
      <c r="L410">
        <v>5727</v>
      </c>
      <c r="M410">
        <v>7841</v>
      </c>
      <c r="N410">
        <v>71286</v>
      </c>
      <c r="O410">
        <v>1255</v>
      </c>
      <c r="P410">
        <v>20625</v>
      </c>
      <c r="Q410">
        <v>274396</v>
      </c>
      <c r="R410">
        <v>4</v>
      </c>
      <c r="S410" t="s">
        <v>97</v>
      </c>
      <c r="T410" t="s">
        <v>97</v>
      </c>
      <c r="U410" t="s">
        <v>97</v>
      </c>
      <c r="V410">
        <v>38191</v>
      </c>
      <c r="W410">
        <v>429239</v>
      </c>
      <c r="X410">
        <v>6986</v>
      </c>
      <c r="Y410">
        <f t="shared" si="6"/>
        <v>429239</v>
      </c>
      <c r="Z410" t="str">
        <f>IF(ISNUMBER(SEARCH("Adjustment",$C410)),"excluded",IF($H410="Behind the Meter","excluded",IF(NOT(OR($E410="Bundled",$E410="Energy")),"excluded",IF(OR($H410="Retail Power Marketer",$H410="Community Choice Aggregator",$E410="Energy"),"procurement",IF(OR($H410="Municipal",$H410="Cooperative",$H410="Federal",$H410="State",$H410="Political Subdivision"),"cost_service",IF($H410="Investor Owned",IF(AND(COUNTIF(Parameters!$A$4:$A$33,$G410)&gt;0,COUNTIF(Parameters!$B$4:$B$33,$B410)=0),"procurement","cost_service"),"unclassified"))))))</f>
        <v>cost_service</v>
      </c>
    </row>
    <row r="411" spans="1:26" x14ac:dyDescent="0.25">
      <c r="A411">
        <v>2024</v>
      </c>
      <c r="B411">
        <v>6342</v>
      </c>
      <c r="C411" t="s">
        <v>504</v>
      </c>
      <c r="D411" t="s">
        <v>84</v>
      </c>
      <c r="E411" t="s">
        <v>85</v>
      </c>
      <c r="F411" t="s">
        <v>86</v>
      </c>
      <c r="G411" t="s">
        <v>173</v>
      </c>
      <c r="H411" t="s">
        <v>91</v>
      </c>
      <c r="I411" t="s">
        <v>96</v>
      </c>
      <c r="J411">
        <v>163494</v>
      </c>
      <c r="K411">
        <v>1332404</v>
      </c>
      <c r="L411">
        <v>95175</v>
      </c>
      <c r="M411">
        <v>36452</v>
      </c>
      <c r="N411">
        <v>225602</v>
      </c>
      <c r="O411">
        <v>7003</v>
      </c>
      <c r="P411">
        <v>38310</v>
      </c>
      <c r="Q411">
        <v>505212</v>
      </c>
      <c r="R411">
        <v>1782</v>
      </c>
      <c r="S411" t="s">
        <v>97</v>
      </c>
      <c r="T411" t="s">
        <v>97</v>
      </c>
      <c r="U411" t="s">
        <v>97</v>
      </c>
      <c r="V411">
        <v>238256</v>
      </c>
      <c r="W411">
        <v>2063218</v>
      </c>
      <c r="X411">
        <v>103960</v>
      </c>
      <c r="Y411">
        <f t="shared" si="6"/>
        <v>2063218</v>
      </c>
      <c r="Z411" t="str">
        <f>IF(ISNUMBER(SEARCH("Adjustment",$C411)),"excluded",IF($H411="Behind the Meter","excluded",IF(NOT(OR($E411="Bundled",$E411="Energy")),"excluded",IF(OR($H411="Retail Power Marketer",$H411="Community Choice Aggregator",$E411="Energy"),"procurement",IF(OR($H411="Municipal",$H411="Cooperative",$H411="Federal",$H411="State",$H411="Political Subdivision"),"cost_service",IF($H411="Investor Owned",IF(AND(COUNTIF(Parameters!$A$4:$A$33,$G411)&gt;0,COUNTIF(Parameters!$B$4:$B$33,$B411)=0),"procurement","cost_service"),"unclassified"))))))</f>
        <v>cost_service</v>
      </c>
    </row>
    <row r="412" spans="1:26" x14ac:dyDescent="0.25">
      <c r="A412">
        <v>2024</v>
      </c>
      <c r="B412">
        <v>6369</v>
      </c>
      <c r="C412" t="s">
        <v>505</v>
      </c>
      <c r="D412" t="s">
        <v>84</v>
      </c>
      <c r="E412" t="s">
        <v>85</v>
      </c>
      <c r="F412" t="s">
        <v>86</v>
      </c>
      <c r="G412" t="s">
        <v>53</v>
      </c>
      <c r="H412" t="s">
        <v>109</v>
      </c>
      <c r="I412" t="s">
        <v>189</v>
      </c>
      <c r="J412">
        <v>1915.3</v>
      </c>
      <c r="K412">
        <v>5018</v>
      </c>
      <c r="L412">
        <v>657</v>
      </c>
      <c r="M412">
        <v>457.6</v>
      </c>
      <c r="N412">
        <v>2061</v>
      </c>
      <c r="O412">
        <v>113</v>
      </c>
      <c r="P412">
        <v>0</v>
      </c>
      <c r="Q412">
        <v>0</v>
      </c>
      <c r="R412">
        <v>0</v>
      </c>
      <c r="S412">
        <v>0</v>
      </c>
      <c r="T412">
        <v>0</v>
      </c>
      <c r="U412">
        <v>0</v>
      </c>
      <c r="V412">
        <v>2372.9</v>
      </c>
      <c r="W412">
        <v>7079</v>
      </c>
      <c r="X412">
        <v>770</v>
      </c>
      <c r="Y412">
        <f t="shared" si="6"/>
        <v>7079</v>
      </c>
      <c r="Z412" t="str">
        <f>IF(ISNUMBER(SEARCH("Adjustment",$C412)),"excluded",IF($H412="Behind the Meter","excluded",IF(NOT(OR($E412="Bundled",$E412="Energy")),"excluded",IF(OR($H412="Retail Power Marketer",$H412="Community Choice Aggregator",$E412="Energy"),"procurement",IF(OR($H412="Municipal",$H412="Cooperative",$H412="Federal",$H412="State",$H412="Political Subdivision"),"cost_service",IF($H412="Investor Owned",IF(AND(COUNTIF(Parameters!$A$4:$A$33,$G412)&gt;0,COUNTIF(Parameters!$B$4:$B$33,$B412)=0),"procurement","cost_service"),"unclassified"))))))</f>
        <v>procurement</v>
      </c>
    </row>
    <row r="413" spans="1:26" x14ac:dyDescent="0.25">
      <c r="A413">
        <v>2024</v>
      </c>
      <c r="B413">
        <v>6374</v>
      </c>
      <c r="C413" t="s">
        <v>506</v>
      </c>
      <c r="D413" t="s">
        <v>84</v>
      </c>
      <c r="E413" t="s">
        <v>85</v>
      </c>
      <c r="F413" t="s">
        <v>86</v>
      </c>
      <c r="G413" t="s">
        <v>48</v>
      </c>
      <c r="H413" t="s">
        <v>109</v>
      </c>
      <c r="I413" t="s">
        <v>189</v>
      </c>
      <c r="J413">
        <v>14938.8</v>
      </c>
      <c r="K413">
        <v>37272</v>
      </c>
      <c r="L413">
        <v>6168</v>
      </c>
      <c r="M413">
        <v>2631</v>
      </c>
      <c r="N413">
        <v>7227</v>
      </c>
      <c r="O413">
        <v>726</v>
      </c>
      <c r="P413" t="s">
        <v>97</v>
      </c>
      <c r="Q413" t="s">
        <v>97</v>
      </c>
      <c r="R413" t="s">
        <v>97</v>
      </c>
      <c r="S413" t="s">
        <v>97</v>
      </c>
      <c r="T413" t="s">
        <v>97</v>
      </c>
      <c r="U413" t="s">
        <v>97</v>
      </c>
      <c r="V413">
        <v>17569.8</v>
      </c>
      <c r="W413">
        <v>44499</v>
      </c>
      <c r="X413">
        <v>6894</v>
      </c>
      <c r="Y413">
        <f t="shared" si="6"/>
        <v>44499</v>
      </c>
      <c r="Z413" t="str">
        <f>IF(ISNUMBER(SEARCH("Adjustment",$C413)),"excluded",IF($H413="Behind the Meter","excluded",IF(NOT(OR($E413="Bundled",$E413="Energy")),"excluded",IF(OR($H413="Retail Power Marketer",$H413="Community Choice Aggregator",$E413="Energy"),"procurement",IF(OR($H413="Municipal",$H413="Cooperative",$H413="Federal",$H413="State",$H413="Political Subdivision"),"cost_service",IF($H413="Investor Owned",IF(AND(COUNTIF(Parameters!$A$4:$A$33,$G413)&gt;0,COUNTIF(Parameters!$B$4:$B$33,$B413)=0),"procurement","cost_service"),"unclassified"))))))</f>
        <v>procurement</v>
      </c>
    </row>
    <row r="414" spans="1:26" x14ac:dyDescent="0.25">
      <c r="A414">
        <v>2024</v>
      </c>
      <c r="B414">
        <v>6374</v>
      </c>
      <c r="C414" t="s">
        <v>506</v>
      </c>
      <c r="D414" t="s">
        <v>167</v>
      </c>
      <c r="E414" t="s">
        <v>168</v>
      </c>
      <c r="F414" t="s">
        <v>86</v>
      </c>
      <c r="G414" t="s">
        <v>48</v>
      </c>
      <c r="H414" t="s">
        <v>109</v>
      </c>
      <c r="I414" t="s">
        <v>189</v>
      </c>
      <c r="J414">
        <v>24397</v>
      </c>
      <c r="K414">
        <v>126850</v>
      </c>
      <c r="L414">
        <v>20122</v>
      </c>
      <c r="M414">
        <v>13127.6</v>
      </c>
      <c r="N414">
        <v>87377</v>
      </c>
      <c r="O414">
        <v>3838</v>
      </c>
      <c r="P414">
        <v>13482.9</v>
      </c>
      <c r="Q414">
        <v>177234</v>
      </c>
      <c r="R414">
        <v>30</v>
      </c>
      <c r="S414" t="s">
        <v>97</v>
      </c>
      <c r="T414" t="s">
        <v>97</v>
      </c>
      <c r="U414" t="s">
        <v>97</v>
      </c>
      <c r="V414">
        <v>51007.5</v>
      </c>
      <c r="W414">
        <v>391461</v>
      </c>
      <c r="X414">
        <v>23990</v>
      </c>
      <c r="Y414">
        <f t="shared" si="6"/>
        <v>391461</v>
      </c>
      <c r="Z414" t="str">
        <f>IF(ISNUMBER(SEARCH("Adjustment",$C414)),"excluded",IF($H414="Behind the Meter","excluded",IF(NOT(OR($E414="Bundled",$E414="Energy")),"excluded",IF(OR($H414="Retail Power Marketer",$H414="Community Choice Aggregator",$E414="Energy"),"procurement",IF(OR($H414="Municipal",$H414="Cooperative",$H414="Federal",$H414="State",$H414="Political Subdivision"),"cost_service",IF($H414="Investor Owned",IF(AND(COUNTIF(Parameters!$A$4:$A$33,$G414)&gt;0,COUNTIF(Parameters!$B$4:$B$33,$B414)=0),"procurement","cost_service"),"unclassified"))))))</f>
        <v>excluded</v>
      </c>
    </row>
    <row r="415" spans="1:26" x14ac:dyDescent="0.25">
      <c r="A415">
        <v>2024</v>
      </c>
      <c r="B415">
        <v>6395</v>
      </c>
      <c r="C415" t="s">
        <v>507</v>
      </c>
      <c r="D415" t="s">
        <v>84</v>
      </c>
      <c r="E415" t="s">
        <v>85</v>
      </c>
      <c r="F415" t="s">
        <v>86</v>
      </c>
      <c r="G415" t="s">
        <v>491</v>
      </c>
      <c r="H415" t="s">
        <v>91</v>
      </c>
      <c r="I415" t="s">
        <v>206</v>
      </c>
      <c r="J415">
        <v>88257.1</v>
      </c>
      <c r="K415">
        <v>913035</v>
      </c>
      <c r="L415">
        <v>63317</v>
      </c>
      <c r="M415">
        <v>36941.4</v>
      </c>
      <c r="N415">
        <v>484660</v>
      </c>
      <c r="O415">
        <v>12568</v>
      </c>
      <c r="P415">
        <v>13173.8</v>
      </c>
      <c r="Q415">
        <v>219676</v>
      </c>
      <c r="R415">
        <v>97</v>
      </c>
      <c r="S415" t="s">
        <v>97</v>
      </c>
      <c r="T415" t="s">
        <v>97</v>
      </c>
      <c r="U415" t="s">
        <v>97</v>
      </c>
      <c r="V415">
        <v>138372.29999999999</v>
      </c>
      <c r="W415">
        <v>1617371</v>
      </c>
      <c r="X415">
        <v>75982</v>
      </c>
      <c r="Y415">
        <f t="shared" si="6"/>
        <v>1617371</v>
      </c>
      <c r="Z415" t="str">
        <f>IF(ISNUMBER(SEARCH("Adjustment",$C415)),"excluded",IF($H415="Behind the Meter","excluded",IF(NOT(OR($E415="Bundled",$E415="Energy")),"excluded",IF(OR($H415="Retail Power Marketer",$H415="Community Choice Aggregator",$E415="Energy"),"procurement",IF(OR($H415="Municipal",$H415="Cooperative",$H415="Federal",$H415="State",$H415="Political Subdivision"),"cost_service",IF($H415="Investor Owned",IF(AND(COUNTIF(Parameters!$A$4:$A$33,$G415)&gt;0,COUNTIF(Parameters!$B$4:$B$33,$B415)=0),"procurement","cost_service"),"unclassified"))))))</f>
        <v>cost_service</v>
      </c>
    </row>
    <row r="416" spans="1:26" x14ac:dyDescent="0.25">
      <c r="A416">
        <v>2024</v>
      </c>
      <c r="B416">
        <v>6411</v>
      </c>
      <c r="C416" t="s">
        <v>508</v>
      </c>
      <c r="D416" t="s">
        <v>84</v>
      </c>
      <c r="E416" t="s">
        <v>85</v>
      </c>
      <c r="F416" t="s">
        <v>86</v>
      </c>
      <c r="G416" t="s">
        <v>123</v>
      </c>
      <c r="H416" t="s">
        <v>91</v>
      </c>
      <c r="I416" t="s">
        <v>113</v>
      </c>
      <c r="J416">
        <v>171879.6</v>
      </c>
      <c r="K416">
        <v>1267065</v>
      </c>
      <c r="L416">
        <v>83739</v>
      </c>
      <c r="M416">
        <v>61667</v>
      </c>
      <c r="N416">
        <v>515721</v>
      </c>
      <c r="O416">
        <v>12181</v>
      </c>
      <c r="P416">
        <v>15512.1</v>
      </c>
      <c r="Q416">
        <v>193993</v>
      </c>
      <c r="R416">
        <v>787</v>
      </c>
      <c r="S416" t="s">
        <v>97</v>
      </c>
      <c r="T416" t="s">
        <v>97</v>
      </c>
      <c r="U416" t="s">
        <v>97</v>
      </c>
      <c r="V416">
        <v>249058.7</v>
      </c>
      <c r="W416">
        <v>1976779</v>
      </c>
      <c r="X416">
        <v>96707</v>
      </c>
      <c r="Y416">
        <f t="shared" si="6"/>
        <v>1976779</v>
      </c>
      <c r="Z416" t="str">
        <f>IF(ISNUMBER(SEARCH("Adjustment",$C416)),"excluded",IF($H416="Behind the Meter","excluded",IF(NOT(OR($E416="Bundled",$E416="Energy")),"excluded",IF(OR($H416="Retail Power Marketer",$H416="Community Choice Aggregator",$E416="Energy"),"procurement",IF(OR($H416="Municipal",$H416="Cooperative",$H416="Federal",$H416="State",$H416="Political Subdivision"),"cost_service",IF($H416="Investor Owned",IF(AND(COUNTIF(Parameters!$A$4:$A$33,$G416)&gt;0,COUNTIF(Parameters!$B$4:$B$33,$B416)=0),"procurement","cost_service"),"unclassified"))))))</f>
        <v>cost_service</v>
      </c>
    </row>
    <row r="417" spans="1:26" x14ac:dyDescent="0.25">
      <c r="A417">
        <v>2024</v>
      </c>
      <c r="B417">
        <v>6422</v>
      </c>
      <c r="C417" t="s">
        <v>509</v>
      </c>
      <c r="D417" t="s">
        <v>84</v>
      </c>
      <c r="E417" t="s">
        <v>85</v>
      </c>
      <c r="F417" t="s">
        <v>86</v>
      </c>
      <c r="G417" t="s">
        <v>112</v>
      </c>
      <c r="H417" t="s">
        <v>88</v>
      </c>
      <c r="I417" t="s">
        <v>89</v>
      </c>
      <c r="J417">
        <v>73769</v>
      </c>
      <c r="K417">
        <v>635264</v>
      </c>
      <c r="L417">
        <v>41594</v>
      </c>
      <c r="M417">
        <v>53141</v>
      </c>
      <c r="N417">
        <v>431864</v>
      </c>
      <c r="O417">
        <v>10687</v>
      </c>
      <c r="P417">
        <v>7239</v>
      </c>
      <c r="Q417">
        <v>117919</v>
      </c>
      <c r="R417">
        <v>8</v>
      </c>
      <c r="S417">
        <v>0</v>
      </c>
      <c r="T417">
        <v>0</v>
      </c>
      <c r="U417">
        <v>0</v>
      </c>
      <c r="V417">
        <v>134149</v>
      </c>
      <c r="W417">
        <v>1185047</v>
      </c>
      <c r="X417">
        <v>52289</v>
      </c>
      <c r="Y417">
        <f t="shared" si="6"/>
        <v>1185047</v>
      </c>
      <c r="Z417" t="str">
        <f>IF(ISNUMBER(SEARCH("Adjustment",$C417)),"excluded",IF($H417="Behind the Meter","excluded",IF(NOT(OR($E417="Bundled",$E417="Energy")),"excluded",IF(OR($H417="Retail Power Marketer",$H417="Community Choice Aggregator",$E417="Energy"),"procurement",IF(OR($H417="Municipal",$H417="Cooperative",$H417="Federal",$H417="State",$H417="Political Subdivision"),"cost_service",IF($H417="Investor Owned",IF(AND(COUNTIF(Parameters!$A$4:$A$33,$G417)&gt;0,COUNTIF(Parameters!$B$4:$B$33,$B417)=0),"procurement","cost_service"),"unclassified"))))))</f>
        <v>cost_service</v>
      </c>
    </row>
    <row r="418" spans="1:26" x14ac:dyDescent="0.25">
      <c r="A418">
        <v>2024</v>
      </c>
      <c r="B418">
        <v>6424</v>
      </c>
      <c r="C418" t="s">
        <v>510</v>
      </c>
      <c r="D418" t="s">
        <v>84</v>
      </c>
      <c r="E418" t="s">
        <v>85</v>
      </c>
      <c r="F418" t="s">
        <v>86</v>
      </c>
      <c r="G418" t="s">
        <v>95</v>
      </c>
      <c r="H418" t="s">
        <v>88</v>
      </c>
      <c r="I418" t="s">
        <v>96</v>
      </c>
      <c r="J418">
        <v>1143.8</v>
      </c>
      <c r="K418">
        <v>7360</v>
      </c>
      <c r="L418">
        <v>1428</v>
      </c>
      <c r="M418">
        <v>1182.3</v>
      </c>
      <c r="N418">
        <v>7916</v>
      </c>
      <c r="O418">
        <v>193</v>
      </c>
      <c r="P418">
        <v>0</v>
      </c>
      <c r="Q418">
        <v>0</v>
      </c>
      <c r="R418">
        <v>0</v>
      </c>
      <c r="S418">
        <v>0</v>
      </c>
      <c r="T418">
        <v>0</v>
      </c>
      <c r="U418">
        <v>0</v>
      </c>
      <c r="V418">
        <v>2326.1</v>
      </c>
      <c r="W418">
        <v>15276</v>
      </c>
      <c r="X418">
        <v>1621</v>
      </c>
      <c r="Y418">
        <f t="shared" si="6"/>
        <v>15276</v>
      </c>
      <c r="Z418" t="str">
        <f>IF(ISNUMBER(SEARCH("Adjustment",$C418)),"excluded",IF($H418="Behind the Meter","excluded",IF(NOT(OR($E418="Bundled",$E418="Energy")),"excluded",IF(OR($H418="Retail Power Marketer",$H418="Community Choice Aggregator",$E418="Energy"),"procurement",IF(OR($H418="Municipal",$H418="Cooperative",$H418="Federal",$H418="State",$H418="Political Subdivision"),"cost_service",IF($H418="Investor Owned",IF(AND(COUNTIF(Parameters!$A$4:$A$33,$G418)&gt;0,COUNTIF(Parameters!$B$4:$B$33,$B418)=0),"procurement","cost_service"),"unclassified"))))))</f>
        <v>cost_service</v>
      </c>
    </row>
    <row r="419" spans="1:26" x14ac:dyDescent="0.25">
      <c r="A419">
        <v>2024</v>
      </c>
      <c r="B419">
        <v>6427</v>
      </c>
      <c r="C419" t="s">
        <v>511</v>
      </c>
      <c r="D419" t="s">
        <v>84</v>
      </c>
      <c r="E419" t="s">
        <v>85</v>
      </c>
      <c r="F419" t="s">
        <v>86</v>
      </c>
      <c r="G419" t="s">
        <v>57</v>
      </c>
      <c r="H419" t="s">
        <v>88</v>
      </c>
      <c r="I419" t="s">
        <v>151</v>
      </c>
      <c r="J419">
        <v>31990.7</v>
      </c>
      <c r="K419">
        <v>258528</v>
      </c>
      <c r="L419">
        <v>15797</v>
      </c>
      <c r="M419">
        <v>16773.3</v>
      </c>
      <c r="N419">
        <v>129723</v>
      </c>
      <c r="O419">
        <v>2118</v>
      </c>
      <c r="P419" t="s">
        <v>97</v>
      </c>
      <c r="Q419" t="s">
        <v>97</v>
      </c>
      <c r="R419" t="s">
        <v>97</v>
      </c>
      <c r="S419" t="s">
        <v>97</v>
      </c>
      <c r="T419" t="s">
        <v>97</v>
      </c>
      <c r="U419" t="s">
        <v>97</v>
      </c>
      <c r="V419">
        <v>48764</v>
      </c>
      <c r="W419">
        <v>388251</v>
      </c>
      <c r="X419">
        <v>17915</v>
      </c>
      <c r="Y419">
        <f t="shared" si="6"/>
        <v>388251</v>
      </c>
      <c r="Z419" t="str">
        <f>IF(ISNUMBER(SEARCH("Adjustment",$C419)),"excluded",IF($H419="Behind the Meter","excluded",IF(NOT(OR($E419="Bundled",$E419="Energy")),"excluded",IF(OR($H419="Retail Power Marketer",$H419="Community Choice Aggregator",$E419="Energy"),"procurement",IF(OR($H419="Municipal",$H419="Cooperative",$H419="Federal",$H419="State",$H419="Political Subdivision"),"cost_service",IF($H419="Investor Owned",IF(AND(COUNTIF(Parameters!$A$4:$A$33,$G419)&gt;0,COUNTIF(Parameters!$B$4:$B$33,$B419)=0),"procurement","cost_service"),"unclassified"))))))</f>
        <v>cost_service</v>
      </c>
    </row>
    <row r="420" spans="1:26" x14ac:dyDescent="0.25">
      <c r="A420">
        <v>2024</v>
      </c>
      <c r="B420">
        <v>6442</v>
      </c>
      <c r="C420" t="s">
        <v>512</v>
      </c>
      <c r="D420" t="s">
        <v>84</v>
      </c>
      <c r="E420" t="s">
        <v>85</v>
      </c>
      <c r="F420" t="s">
        <v>86</v>
      </c>
      <c r="G420" t="s">
        <v>209</v>
      </c>
      <c r="H420" t="s">
        <v>91</v>
      </c>
      <c r="I420" t="s">
        <v>92</v>
      </c>
      <c r="J420">
        <v>37395</v>
      </c>
      <c r="K420">
        <v>286661</v>
      </c>
      <c r="L420">
        <v>23666</v>
      </c>
      <c r="M420">
        <v>14624</v>
      </c>
      <c r="N420">
        <v>135943</v>
      </c>
      <c r="O420">
        <v>2303</v>
      </c>
      <c r="P420">
        <v>36410</v>
      </c>
      <c r="Q420">
        <v>566455</v>
      </c>
      <c r="R420">
        <v>6</v>
      </c>
      <c r="S420" t="s">
        <v>97</v>
      </c>
      <c r="T420" t="s">
        <v>97</v>
      </c>
      <c r="U420" t="s">
        <v>97</v>
      </c>
      <c r="V420">
        <v>88429</v>
      </c>
      <c r="W420">
        <v>989059</v>
      </c>
      <c r="X420">
        <v>25975</v>
      </c>
      <c r="Y420">
        <f t="shared" si="6"/>
        <v>989059</v>
      </c>
      <c r="Z420" t="str">
        <f>IF(ISNUMBER(SEARCH("Adjustment",$C420)),"excluded",IF($H420="Behind the Meter","excluded",IF(NOT(OR($E420="Bundled",$E420="Energy")),"excluded",IF(OR($H420="Retail Power Marketer",$H420="Community Choice Aggregator",$E420="Energy"),"procurement",IF(OR($H420="Municipal",$H420="Cooperative",$H420="Federal",$H420="State",$H420="Political Subdivision"),"cost_service",IF($H420="Investor Owned",IF(AND(COUNTIF(Parameters!$A$4:$A$33,$G420)&gt;0,COUNTIF(Parameters!$B$4:$B$33,$B420)=0),"procurement","cost_service"),"unclassified"))))))</f>
        <v>cost_service</v>
      </c>
    </row>
    <row r="421" spans="1:26" x14ac:dyDescent="0.25">
      <c r="A421">
        <v>2024</v>
      </c>
      <c r="B421">
        <v>6443</v>
      </c>
      <c r="C421" t="s">
        <v>513</v>
      </c>
      <c r="D421" t="s">
        <v>84</v>
      </c>
      <c r="E421" t="s">
        <v>85</v>
      </c>
      <c r="F421" t="s">
        <v>86</v>
      </c>
      <c r="G421" t="s">
        <v>195</v>
      </c>
      <c r="H421" t="s">
        <v>91</v>
      </c>
      <c r="I421" t="s">
        <v>514</v>
      </c>
      <c r="J421">
        <v>60035</v>
      </c>
      <c r="K421">
        <v>463854</v>
      </c>
      <c r="L421">
        <v>28815</v>
      </c>
      <c r="M421">
        <v>13781</v>
      </c>
      <c r="N421">
        <v>99661</v>
      </c>
      <c r="O421">
        <v>5175</v>
      </c>
      <c r="P421">
        <v>27398</v>
      </c>
      <c r="Q421">
        <v>212323</v>
      </c>
      <c r="R421">
        <v>532</v>
      </c>
      <c r="S421" t="s">
        <v>97</v>
      </c>
      <c r="T421" t="s">
        <v>97</v>
      </c>
      <c r="U421" t="s">
        <v>97</v>
      </c>
      <c r="V421">
        <v>101214</v>
      </c>
      <c r="W421">
        <v>775838</v>
      </c>
      <c r="X421">
        <v>34522</v>
      </c>
      <c r="Y421">
        <f t="shared" si="6"/>
        <v>775838</v>
      </c>
      <c r="Z421" t="str">
        <f>IF(ISNUMBER(SEARCH("Adjustment",$C421)),"excluded",IF($H421="Behind the Meter","excluded",IF(NOT(OR($E421="Bundled",$E421="Energy")),"excluded",IF(OR($H421="Retail Power Marketer",$H421="Community Choice Aggregator",$E421="Energy"),"procurement",IF(OR($H421="Municipal",$H421="Cooperative",$H421="Federal",$H421="State",$H421="Political Subdivision"),"cost_service",IF($H421="Investor Owned",IF(AND(COUNTIF(Parameters!$A$4:$A$33,$G421)&gt;0,COUNTIF(Parameters!$B$4:$B$33,$B421)=0),"procurement","cost_service"),"unclassified"))))))</f>
        <v>cost_service</v>
      </c>
    </row>
    <row r="422" spans="1:26" x14ac:dyDescent="0.25">
      <c r="A422">
        <v>2024</v>
      </c>
      <c r="B422">
        <v>6452</v>
      </c>
      <c r="C422" t="s">
        <v>515</v>
      </c>
      <c r="D422" t="s">
        <v>84</v>
      </c>
      <c r="E422" t="s">
        <v>85</v>
      </c>
      <c r="F422" t="s">
        <v>86</v>
      </c>
      <c r="G422" t="s">
        <v>195</v>
      </c>
      <c r="H422" t="s">
        <v>109</v>
      </c>
      <c r="I422" t="s">
        <v>514</v>
      </c>
      <c r="J422">
        <v>9720848</v>
      </c>
      <c r="K422">
        <v>70926801</v>
      </c>
      <c r="L422">
        <v>5236277</v>
      </c>
      <c r="M422">
        <v>5758038</v>
      </c>
      <c r="N422">
        <v>53585736</v>
      </c>
      <c r="O422">
        <v>653302</v>
      </c>
      <c r="P422">
        <v>388560</v>
      </c>
      <c r="Q422">
        <v>4837136</v>
      </c>
      <c r="R422">
        <v>15594</v>
      </c>
      <c r="S422">
        <v>7246</v>
      </c>
      <c r="T422">
        <v>66070</v>
      </c>
      <c r="U422">
        <v>1</v>
      </c>
      <c r="V422">
        <v>15874692</v>
      </c>
      <c r="W422">
        <v>129415743</v>
      </c>
      <c r="X422">
        <v>5905174</v>
      </c>
      <c r="Y422">
        <f t="shared" si="6"/>
        <v>129415743</v>
      </c>
      <c r="Z422" t="str">
        <f>IF(ISNUMBER(SEARCH("Adjustment",$C422)),"excluded",IF($H422="Behind the Meter","excluded",IF(NOT(OR($E422="Bundled",$E422="Energy")),"excluded",IF(OR($H422="Retail Power Marketer",$H422="Community Choice Aggregator",$E422="Energy"),"procurement",IF(OR($H422="Municipal",$H422="Cooperative",$H422="Federal",$H422="State",$H422="Political Subdivision"),"cost_service",IF($H422="Investor Owned",IF(AND(COUNTIF(Parameters!$A$4:$A$33,$G422)&gt;0,COUNTIF(Parameters!$B$4:$B$33,$B422)=0),"procurement","cost_service"),"unclassified"))))))</f>
        <v>cost_service</v>
      </c>
    </row>
    <row r="423" spans="1:26" x14ac:dyDescent="0.25">
      <c r="A423">
        <v>2024</v>
      </c>
      <c r="B423">
        <v>6455</v>
      </c>
      <c r="C423" t="s">
        <v>516</v>
      </c>
      <c r="D423" t="s">
        <v>84</v>
      </c>
      <c r="E423" t="s">
        <v>85</v>
      </c>
      <c r="F423" t="s">
        <v>86</v>
      </c>
      <c r="G423" t="s">
        <v>195</v>
      </c>
      <c r="H423" t="s">
        <v>109</v>
      </c>
      <c r="I423" t="s">
        <v>196</v>
      </c>
      <c r="J423">
        <v>3665224.1</v>
      </c>
      <c r="K423">
        <v>22042842</v>
      </c>
      <c r="L423">
        <v>1793067</v>
      </c>
      <c r="M423">
        <v>1936988.4</v>
      </c>
      <c r="N423">
        <v>15801970</v>
      </c>
      <c r="O423">
        <v>214726</v>
      </c>
      <c r="P423">
        <v>318169.2</v>
      </c>
      <c r="Q423">
        <v>3286894</v>
      </c>
      <c r="R423">
        <v>1671</v>
      </c>
      <c r="S423">
        <v>0</v>
      </c>
      <c r="T423">
        <v>0</v>
      </c>
      <c r="U423">
        <v>0</v>
      </c>
      <c r="V423">
        <v>5920381.7000000002</v>
      </c>
      <c r="W423">
        <v>41131706</v>
      </c>
      <c r="X423">
        <v>2009464</v>
      </c>
      <c r="Y423">
        <f t="shared" si="6"/>
        <v>41131706</v>
      </c>
      <c r="Z423" t="str">
        <f>IF(ISNUMBER(SEARCH("Adjustment",$C423)),"excluded",IF($H423="Behind the Meter","excluded",IF(NOT(OR($E423="Bundled",$E423="Energy")),"excluded",IF(OR($H423="Retail Power Marketer",$H423="Community Choice Aggregator",$E423="Energy"),"procurement",IF(OR($H423="Municipal",$H423="Cooperative",$H423="Federal",$H423="State",$H423="Political Subdivision"),"cost_service",IF($H423="Investor Owned",IF(AND(COUNTIF(Parameters!$A$4:$A$33,$G423)&gt;0,COUNTIF(Parameters!$B$4:$B$33,$B423)=0),"procurement","cost_service"),"unclassified"))))))</f>
        <v>cost_service</v>
      </c>
    </row>
    <row r="424" spans="1:26" x14ac:dyDescent="0.25">
      <c r="A424">
        <v>2024</v>
      </c>
      <c r="B424">
        <v>6457</v>
      </c>
      <c r="C424" t="s">
        <v>517</v>
      </c>
      <c r="D424" t="s">
        <v>84</v>
      </c>
      <c r="E424" t="s">
        <v>85</v>
      </c>
      <c r="F424" t="s">
        <v>86</v>
      </c>
      <c r="G424" t="s">
        <v>195</v>
      </c>
      <c r="H424" t="s">
        <v>109</v>
      </c>
      <c r="I424" t="s">
        <v>518</v>
      </c>
      <c r="J424">
        <v>55947</v>
      </c>
      <c r="K424">
        <v>310576</v>
      </c>
      <c r="L424">
        <v>25560</v>
      </c>
      <c r="M424">
        <v>47641</v>
      </c>
      <c r="N424">
        <v>305971</v>
      </c>
      <c r="O424">
        <v>4459</v>
      </c>
      <c r="P424">
        <v>4625</v>
      </c>
      <c r="Q424">
        <v>77249</v>
      </c>
      <c r="R424">
        <v>2</v>
      </c>
      <c r="S424" t="s">
        <v>97</v>
      </c>
      <c r="T424" t="s">
        <v>97</v>
      </c>
      <c r="U424" t="s">
        <v>97</v>
      </c>
      <c r="V424">
        <v>108213</v>
      </c>
      <c r="W424">
        <v>693796</v>
      </c>
      <c r="X424">
        <v>30021</v>
      </c>
      <c r="Y424">
        <f t="shared" si="6"/>
        <v>693796</v>
      </c>
      <c r="Z424" t="str">
        <f>IF(ISNUMBER(SEARCH("Adjustment",$C424)),"excluded",IF($H424="Behind the Meter","excluded",IF(NOT(OR($E424="Bundled",$E424="Energy")),"excluded",IF(OR($H424="Retail Power Marketer",$H424="Community Choice Aggregator",$E424="Energy"),"procurement",IF(OR($H424="Municipal",$H424="Cooperative",$H424="Federal",$H424="State",$H424="Political Subdivision"),"cost_service",IF($H424="Investor Owned",IF(AND(COUNTIF(Parameters!$A$4:$A$33,$G424)&gt;0,COUNTIF(Parameters!$B$4:$B$33,$B424)=0),"procurement","cost_service"),"unclassified"))))))</f>
        <v>cost_service</v>
      </c>
    </row>
    <row r="425" spans="1:26" x14ac:dyDescent="0.25">
      <c r="A425">
        <v>2024</v>
      </c>
      <c r="B425">
        <v>6458</v>
      </c>
      <c r="C425" t="s">
        <v>519</v>
      </c>
      <c r="D425" t="s">
        <v>99</v>
      </c>
      <c r="E425" t="s">
        <v>100</v>
      </c>
      <c r="F425" t="s">
        <v>86</v>
      </c>
      <c r="G425" t="s">
        <v>46</v>
      </c>
      <c r="H425" t="s">
        <v>101</v>
      </c>
      <c r="I425" t="s">
        <v>96</v>
      </c>
      <c r="J425">
        <v>120160.1</v>
      </c>
      <c r="K425">
        <v>1339402</v>
      </c>
      <c r="L425">
        <v>149006</v>
      </c>
      <c r="M425">
        <v>29774</v>
      </c>
      <c r="N425">
        <v>453692</v>
      </c>
      <c r="O425">
        <v>12211</v>
      </c>
      <c r="P425">
        <v>44642.9</v>
      </c>
      <c r="Q425">
        <v>1050299</v>
      </c>
      <c r="R425">
        <v>13</v>
      </c>
      <c r="S425">
        <v>0</v>
      </c>
      <c r="T425">
        <v>0</v>
      </c>
      <c r="U425">
        <v>0</v>
      </c>
      <c r="V425">
        <v>194577</v>
      </c>
      <c r="W425">
        <v>2843393</v>
      </c>
      <c r="X425">
        <v>161230</v>
      </c>
      <c r="Y425">
        <f t="shared" si="6"/>
        <v>2843393</v>
      </c>
      <c r="Z425" t="str">
        <f>IF(ISNUMBER(SEARCH("Adjustment",$C425)),"excluded",IF($H425="Behind the Meter","excluded",IF(NOT(OR($E425="Bundled",$E425="Energy")),"excluded",IF(OR($H425="Retail Power Marketer",$H425="Community Choice Aggregator",$E425="Energy"),"procurement",IF(OR($H425="Municipal",$H425="Cooperative",$H425="Federal",$H425="State",$H425="Political Subdivision"),"cost_service",IF($H425="Investor Owned",IF(AND(COUNTIF(Parameters!$A$4:$A$33,$G425)&gt;0,COUNTIF(Parameters!$B$4:$B$33,$B425)=0),"procurement","cost_service"),"unclassified"))))))</f>
        <v>procurement</v>
      </c>
    </row>
    <row r="426" spans="1:26" x14ac:dyDescent="0.25">
      <c r="A426">
        <v>2024</v>
      </c>
      <c r="B426">
        <v>6458</v>
      </c>
      <c r="C426" t="s">
        <v>519</v>
      </c>
      <c r="D426" t="s">
        <v>99</v>
      </c>
      <c r="E426" t="s">
        <v>100</v>
      </c>
      <c r="F426" t="s">
        <v>86</v>
      </c>
      <c r="G426" t="s">
        <v>49</v>
      </c>
      <c r="H426" t="s">
        <v>101</v>
      </c>
      <c r="I426" t="s">
        <v>92</v>
      </c>
      <c r="J426">
        <v>2988.7</v>
      </c>
      <c r="K426">
        <v>29816</v>
      </c>
      <c r="L426">
        <v>2208</v>
      </c>
      <c r="M426">
        <v>10725.4</v>
      </c>
      <c r="N426">
        <v>118519</v>
      </c>
      <c r="O426">
        <v>420</v>
      </c>
      <c r="P426">
        <v>639.1</v>
      </c>
      <c r="Q426">
        <v>11686</v>
      </c>
      <c r="R426">
        <v>9</v>
      </c>
      <c r="S426">
        <v>0</v>
      </c>
      <c r="T426">
        <v>0</v>
      </c>
      <c r="U426">
        <v>0</v>
      </c>
      <c r="V426">
        <v>14353.2</v>
      </c>
      <c r="W426">
        <v>160021</v>
      </c>
      <c r="X426">
        <v>2637</v>
      </c>
      <c r="Y426">
        <f t="shared" si="6"/>
        <v>160021</v>
      </c>
      <c r="Z426" t="str">
        <f>IF(ISNUMBER(SEARCH("Adjustment",$C426)),"excluded",IF($H426="Behind the Meter","excluded",IF(NOT(OR($E426="Bundled",$E426="Energy")),"excluded",IF(OR($H426="Retail Power Marketer",$H426="Community Choice Aggregator",$E426="Energy"),"procurement",IF(OR($H426="Municipal",$H426="Cooperative",$H426="Federal",$H426="State",$H426="Political Subdivision"),"cost_service",IF($H426="Investor Owned",IF(AND(COUNTIF(Parameters!$A$4:$A$33,$G426)&gt;0,COUNTIF(Parameters!$B$4:$B$33,$B426)=0),"procurement","cost_service"),"unclassified"))))))</f>
        <v>procurement</v>
      </c>
    </row>
    <row r="427" spans="1:26" x14ac:dyDescent="0.25">
      <c r="A427">
        <v>2024</v>
      </c>
      <c r="B427">
        <v>6458</v>
      </c>
      <c r="C427" t="s">
        <v>519</v>
      </c>
      <c r="D427" t="s">
        <v>99</v>
      </c>
      <c r="E427" t="s">
        <v>100</v>
      </c>
      <c r="F427" t="s">
        <v>86</v>
      </c>
      <c r="G427" t="s">
        <v>140</v>
      </c>
      <c r="H427" t="s">
        <v>101</v>
      </c>
      <c r="I427" t="s">
        <v>96</v>
      </c>
      <c r="J427">
        <v>0</v>
      </c>
      <c r="K427">
        <v>0</v>
      </c>
      <c r="L427">
        <v>0</v>
      </c>
      <c r="M427">
        <v>17218.900000000001</v>
      </c>
      <c r="N427">
        <v>284755</v>
      </c>
      <c r="O427">
        <v>58</v>
      </c>
      <c r="P427">
        <v>7994.5</v>
      </c>
      <c r="Q427">
        <v>157642</v>
      </c>
      <c r="R427">
        <v>8</v>
      </c>
      <c r="S427">
        <v>0</v>
      </c>
      <c r="T427">
        <v>0</v>
      </c>
      <c r="U427">
        <v>0</v>
      </c>
      <c r="V427">
        <v>25213.4</v>
      </c>
      <c r="W427">
        <v>442397</v>
      </c>
      <c r="X427">
        <v>66</v>
      </c>
      <c r="Y427">
        <f t="shared" si="6"/>
        <v>442397</v>
      </c>
      <c r="Z427" t="str">
        <f>IF(ISNUMBER(SEARCH("Adjustment",$C427)),"excluded",IF($H427="Behind the Meter","excluded",IF(NOT(OR($E427="Bundled",$E427="Energy")),"excluded",IF(OR($H427="Retail Power Marketer",$H427="Community Choice Aggregator",$E427="Energy"),"procurement",IF(OR($H427="Municipal",$H427="Cooperative",$H427="Federal",$H427="State",$H427="Political Subdivision"),"cost_service",IF($H427="Investor Owned",IF(AND(COUNTIF(Parameters!$A$4:$A$33,$G427)&gt;0,COUNTIF(Parameters!$B$4:$B$33,$B427)=0),"procurement","cost_service"),"unclassified"))))))</f>
        <v>procurement</v>
      </c>
    </row>
    <row r="428" spans="1:26" x14ac:dyDescent="0.25">
      <c r="A428">
        <v>2024</v>
      </c>
      <c r="B428">
        <v>6458</v>
      </c>
      <c r="C428" t="s">
        <v>519</v>
      </c>
      <c r="D428" t="s">
        <v>99</v>
      </c>
      <c r="E428" t="s">
        <v>100</v>
      </c>
      <c r="F428" t="s">
        <v>86</v>
      </c>
      <c r="G428" t="s">
        <v>52</v>
      </c>
      <c r="H428" t="s">
        <v>101</v>
      </c>
      <c r="I428" t="s">
        <v>92</v>
      </c>
      <c r="J428">
        <v>327.9</v>
      </c>
      <c r="K428">
        <v>3161</v>
      </c>
      <c r="L428">
        <v>313</v>
      </c>
      <c r="M428">
        <v>15694.8</v>
      </c>
      <c r="N428">
        <v>171918</v>
      </c>
      <c r="O428">
        <v>501</v>
      </c>
      <c r="P428">
        <v>365.2</v>
      </c>
      <c r="Q428">
        <v>3111</v>
      </c>
      <c r="R428">
        <v>2</v>
      </c>
      <c r="S428">
        <v>0</v>
      </c>
      <c r="T428">
        <v>0</v>
      </c>
      <c r="U428">
        <v>0</v>
      </c>
      <c r="V428">
        <v>16387.900000000001</v>
      </c>
      <c r="W428">
        <v>178190</v>
      </c>
      <c r="X428">
        <v>816</v>
      </c>
      <c r="Y428">
        <f t="shared" si="6"/>
        <v>178190</v>
      </c>
      <c r="Z428" t="str">
        <f>IF(ISNUMBER(SEARCH("Adjustment",$C428)),"excluded",IF($H428="Behind the Meter","excluded",IF(NOT(OR($E428="Bundled",$E428="Energy")),"excluded",IF(OR($H428="Retail Power Marketer",$H428="Community Choice Aggregator",$E428="Energy"),"procurement",IF(OR($H428="Municipal",$H428="Cooperative",$H428="Federal",$H428="State",$H428="Political Subdivision"),"cost_service",IF($H428="Investor Owned",IF(AND(COUNTIF(Parameters!$A$4:$A$33,$G428)&gt;0,COUNTIF(Parameters!$B$4:$B$33,$B428)=0),"procurement","cost_service"),"unclassified"))))))</f>
        <v>procurement</v>
      </c>
    </row>
    <row r="429" spans="1:26" x14ac:dyDescent="0.25">
      <c r="A429">
        <v>2024</v>
      </c>
      <c r="B429">
        <v>6458</v>
      </c>
      <c r="C429" t="s">
        <v>519</v>
      </c>
      <c r="D429" t="s">
        <v>99</v>
      </c>
      <c r="E429" t="s">
        <v>100</v>
      </c>
      <c r="F429" t="s">
        <v>86</v>
      </c>
      <c r="G429" t="s">
        <v>54</v>
      </c>
      <c r="H429" t="s">
        <v>101</v>
      </c>
      <c r="I429" t="s">
        <v>92</v>
      </c>
      <c r="J429">
        <v>594564.69999999995</v>
      </c>
      <c r="K429">
        <v>9680052</v>
      </c>
      <c r="L429">
        <v>902100</v>
      </c>
      <c r="M429">
        <v>337756.7</v>
      </c>
      <c r="N429">
        <v>6716296</v>
      </c>
      <c r="O429">
        <v>87926</v>
      </c>
      <c r="P429">
        <v>145863.20000000001</v>
      </c>
      <c r="Q429">
        <v>3193301</v>
      </c>
      <c r="R429">
        <v>314</v>
      </c>
      <c r="S429">
        <v>0</v>
      </c>
      <c r="T429">
        <v>0</v>
      </c>
      <c r="U429">
        <v>0</v>
      </c>
      <c r="V429">
        <v>1078184.6000000001</v>
      </c>
      <c r="W429">
        <v>19589649</v>
      </c>
      <c r="X429">
        <v>990340</v>
      </c>
      <c r="Y429">
        <f t="shared" si="6"/>
        <v>19589649</v>
      </c>
      <c r="Z429" t="str">
        <f>IF(ISNUMBER(SEARCH("Adjustment",$C429)),"excluded",IF($H429="Behind the Meter","excluded",IF(NOT(OR($E429="Bundled",$E429="Energy")),"excluded",IF(OR($H429="Retail Power Marketer",$H429="Community Choice Aggregator",$E429="Energy"),"procurement",IF(OR($H429="Municipal",$H429="Cooperative",$H429="Federal",$H429="State",$H429="Political Subdivision"),"cost_service",IF($H429="Investor Owned",IF(AND(COUNTIF(Parameters!$A$4:$A$33,$G429)&gt;0,COUNTIF(Parameters!$B$4:$B$33,$B429)=0),"procurement","cost_service"),"unclassified"))))))</f>
        <v>procurement</v>
      </c>
    </row>
    <row r="430" spans="1:26" x14ac:dyDescent="0.25">
      <c r="A430">
        <v>2024</v>
      </c>
      <c r="B430">
        <v>6458</v>
      </c>
      <c r="C430" t="s">
        <v>519</v>
      </c>
      <c r="D430" t="s">
        <v>99</v>
      </c>
      <c r="E430" t="s">
        <v>100</v>
      </c>
      <c r="F430" t="s">
        <v>86</v>
      </c>
      <c r="G430" t="s">
        <v>55</v>
      </c>
      <c r="H430" t="s">
        <v>101</v>
      </c>
      <c r="I430" t="s">
        <v>92</v>
      </c>
      <c r="J430">
        <v>134640.79999999999</v>
      </c>
      <c r="K430">
        <v>1245709</v>
      </c>
      <c r="L430">
        <v>105658</v>
      </c>
      <c r="M430">
        <v>58831.6</v>
      </c>
      <c r="N430">
        <v>893102</v>
      </c>
      <c r="O430">
        <v>3436</v>
      </c>
      <c r="P430">
        <v>134045.79999999999</v>
      </c>
      <c r="Q430">
        <v>2707802</v>
      </c>
      <c r="R430">
        <v>127</v>
      </c>
      <c r="S430">
        <v>0</v>
      </c>
      <c r="T430">
        <v>0</v>
      </c>
      <c r="U430">
        <v>0</v>
      </c>
      <c r="V430">
        <v>327518.2</v>
      </c>
      <c r="W430">
        <v>4846613</v>
      </c>
      <c r="X430">
        <v>109221</v>
      </c>
      <c r="Y430">
        <f t="shared" si="6"/>
        <v>4846613</v>
      </c>
      <c r="Z430" t="str">
        <f>IF(ISNUMBER(SEARCH("Adjustment",$C430)),"excluded",IF($H430="Behind the Meter","excluded",IF(NOT(OR($E430="Bundled",$E430="Energy")),"excluded",IF(OR($H430="Retail Power Marketer",$H430="Community Choice Aggregator",$E430="Energy"),"procurement",IF(OR($H430="Municipal",$H430="Cooperative",$H430="Federal",$H430="State",$H430="Political Subdivision"),"cost_service",IF($H430="Investor Owned",IF(AND(COUNTIF(Parameters!$A$4:$A$33,$G430)&gt;0,COUNTIF(Parameters!$B$4:$B$33,$B430)=0),"procurement","cost_service"),"unclassified"))))))</f>
        <v>procurement</v>
      </c>
    </row>
    <row r="431" spans="1:26" x14ac:dyDescent="0.25">
      <c r="A431">
        <v>2024</v>
      </c>
      <c r="B431">
        <v>6491</v>
      </c>
      <c r="C431" t="s">
        <v>520</v>
      </c>
      <c r="D431" t="s">
        <v>84</v>
      </c>
      <c r="E431" t="s">
        <v>85</v>
      </c>
      <c r="F431" t="s">
        <v>86</v>
      </c>
      <c r="G431" t="s">
        <v>112</v>
      </c>
      <c r="H431" t="s">
        <v>88</v>
      </c>
      <c r="I431" t="s">
        <v>113</v>
      </c>
      <c r="J431">
        <v>101881</v>
      </c>
      <c r="K431">
        <v>755706</v>
      </c>
      <c r="L431">
        <v>50954</v>
      </c>
      <c r="M431">
        <v>54280</v>
      </c>
      <c r="N431">
        <v>460537</v>
      </c>
      <c r="O431">
        <v>7313</v>
      </c>
      <c r="P431">
        <v>4446</v>
      </c>
      <c r="Q431">
        <v>45973</v>
      </c>
      <c r="R431">
        <v>3</v>
      </c>
      <c r="S431" t="s">
        <v>97</v>
      </c>
      <c r="T431" t="s">
        <v>97</v>
      </c>
      <c r="U431" t="s">
        <v>97</v>
      </c>
      <c r="V431">
        <v>160607</v>
      </c>
      <c r="W431">
        <v>1262216</v>
      </c>
      <c r="X431">
        <v>58270</v>
      </c>
      <c r="Y431">
        <f t="shared" si="6"/>
        <v>1262216</v>
      </c>
      <c r="Z431" t="str">
        <f>IF(ISNUMBER(SEARCH("Adjustment",$C431)),"excluded",IF($H431="Behind the Meter","excluded",IF(NOT(OR($E431="Bundled",$E431="Energy")),"excluded",IF(OR($H431="Retail Power Marketer",$H431="Community Choice Aggregator",$E431="Energy"),"procurement",IF(OR($H431="Municipal",$H431="Cooperative",$H431="Federal",$H431="State",$H431="Political Subdivision"),"cost_service",IF($H431="Investor Owned",IF(AND(COUNTIF(Parameters!$A$4:$A$33,$G431)&gt;0,COUNTIF(Parameters!$B$4:$B$33,$B431)=0),"procurement","cost_service"),"unclassified"))))))</f>
        <v>cost_service</v>
      </c>
    </row>
    <row r="432" spans="1:26" x14ac:dyDescent="0.25">
      <c r="A432">
        <v>2024</v>
      </c>
      <c r="B432">
        <v>6582</v>
      </c>
      <c r="C432" t="s">
        <v>521</v>
      </c>
      <c r="D432" t="s">
        <v>84</v>
      </c>
      <c r="E432" t="s">
        <v>85</v>
      </c>
      <c r="F432" t="s">
        <v>86</v>
      </c>
      <c r="G432" t="s">
        <v>219</v>
      </c>
      <c r="H432" t="s">
        <v>88</v>
      </c>
      <c r="I432" t="s">
        <v>206</v>
      </c>
      <c r="J432">
        <v>12076</v>
      </c>
      <c r="K432">
        <v>121579</v>
      </c>
      <c r="L432">
        <v>10369</v>
      </c>
      <c r="M432">
        <v>2179</v>
      </c>
      <c r="N432">
        <v>24176</v>
      </c>
      <c r="O432">
        <v>807</v>
      </c>
      <c r="P432">
        <v>9338</v>
      </c>
      <c r="Q432">
        <v>118163</v>
      </c>
      <c r="R432">
        <v>140</v>
      </c>
      <c r="S432">
        <v>0</v>
      </c>
      <c r="T432">
        <v>0</v>
      </c>
      <c r="U432">
        <v>0</v>
      </c>
      <c r="V432">
        <v>23593</v>
      </c>
      <c r="W432">
        <v>263918</v>
      </c>
      <c r="X432">
        <v>11316</v>
      </c>
      <c r="Y432">
        <f t="shared" si="6"/>
        <v>263918</v>
      </c>
      <c r="Z432" t="str">
        <f>IF(ISNUMBER(SEARCH("Adjustment",$C432)),"excluded",IF($H432="Behind the Meter","excluded",IF(NOT(OR($E432="Bundled",$E432="Energy")),"excluded",IF(OR($H432="Retail Power Marketer",$H432="Community Choice Aggregator",$E432="Energy"),"procurement",IF(OR($H432="Municipal",$H432="Cooperative",$H432="Federal",$H432="State",$H432="Political Subdivision"),"cost_service",IF($H432="Investor Owned",IF(AND(COUNTIF(Parameters!$A$4:$A$33,$G432)&gt;0,COUNTIF(Parameters!$B$4:$B$33,$B432)=0),"procurement","cost_service"),"unclassified"))))))</f>
        <v>cost_service</v>
      </c>
    </row>
    <row r="433" spans="1:26" x14ac:dyDescent="0.25">
      <c r="A433">
        <v>2024</v>
      </c>
      <c r="B433">
        <v>6604</v>
      </c>
      <c r="C433" t="s">
        <v>522</v>
      </c>
      <c r="D433" t="s">
        <v>84</v>
      </c>
      <c r="E433" t="s">
        <v>85</v>
      </c>
      <c r="F433" t="s">
        <v>86</v>
      </c>
      <c r="G433" t="s">
        <v>361</v>
      </c>
      <c r="H433" t="s">
        <v>88</v>
      </c>
      <c r="I433" t="s">
        <v>523</v>
      </c>
      <c r="J433">
        <v>69729.7</v>
      </c>
      <c r="K433">
        <v>527984</v>
      </c>
      <c r="L433">
        <v>70803</v>
      </c>
      <c r="M433">
        <v>55003</v>
      </c>
      <c r="N433">
        <v>478265</v>
      </c>
      <c r="O433">
        <v>9174</v>
      </c>
      <c r="P433">
        <v>38469.9</v>
      </c>
      <c r="Q433">
        <v>453613</v>
      </c>
      <c r="R433">
        <v>13</v>
      </c>
      <c r="S433" t="s">
        <v>97</v>
      </c>
      <c r="T433" t="s">
        <v>97</v>
      </c>
      <c r="U433" t="s">
        <v>97</v>
      </c>
      <c r="V433">
        <v>163202.6</v>
      </c>
      <c r="W433">
        <v>1459862</v>
      </c>
      <c r="X433">
        <v>79990</v>
      </c>
      <c r="Y433">
        <f t="shared" si="6"/>
        <v>1459862</v>
      </c>
      <c r="Z433" t="str">
        <f>IF(ISNUMBER(SEARCH("Adjustment",$C433)),"excluded",IF($H433="Behind the Meter","excluded",IF(NOT(OR($E433="Bundled",$E433="Energy")),"excluded",IF(OR($H433="Retail Power Marketer",$H433="Community Choice Aggregator",$E433="Energy"),"procurement",IF(OR($H433="Municipal",$H433="Cooperative",$H433="Federal",$H433="State",$H433="Political Subdivision"),"cost_service",IF($H433="Investor Owned",IF(AND(COUNTIF(Parameters!$A$4:$A$33,$G433)&gt;0,COUNTIF(Parameters!$B$4:$B$33,$B433)=0),"procurement","cost_service"),"unclassified"))))))</f>
        <v>cost_service</v>
      </c>
    </row>
    <row r="434" spans="1:26" x14ac:dyDescent="0.25">
      <c r="A434">
        <v>2024</v>
      </c>
      <c r="B434">
        <v>6608</v>
      </c>
      <c r="C434" t="s">
        <v>524</v>
      </c>
      <c r="D434" t="s">
        <v>84</v>
      </c>
      <c r="E434" t="s">
        <v>85</v>
      </c>
      <c r="F434" t="s">
        <v>86</v>
      </c>
      <c r="G434" t="s">
        <v>156</v>
      </c>
      <c r="H434" t="s">
        <v>91</v>
      </c>
      <c r="I434" t="s">
        <v>89</v>
      </c>
      <c r="J434">
        <v>59487</v>
      </c>
      <c r="K434">
        <v>491103</v>
      </c>
      <c r="L434">
        <v>30527</v>
      </c>
      <c r="M434">
        <v>19706</v>
      </c>
      <c r="N434">
        <v>145628</v>
      </c>
      <c r="O434">
        <v>5756</v>
      </c>
      <c r="P434">
        <v>3722</v>
      </c>
      <c r="Q434">
        <v>46817</v>
      </c>
      <c r="R434">
        <v>4</v>
      </c>
      <c r="S434">
        <v>0</v>
      </c>
      <c r="T434">
        <v>0</v>
      </c>
      <c r="U434">
        <v>0</v>
      </c>
      <c r="V434">
        <v>82915</v>
      </c>
      <c r="W434">
        <v>683548</v>
      </c>
      <c r="X434">
        <v>36287</v>
      </c>
      <c r="Y434">
        <f t="shared" si="6"/>
        <v>683548</v>
      </c>
      <c r="Z434" t="str">
        <f>IF(ISNUMBER(SEARCH("Adjustment",$C434)),"excluded",IF($H434="Behind the Meter","excluded",IF(NOT(OR($E434="Bundled",$E434="Energy")),"excluded",IF(OR($H434="Retail Power Marketer",$H434="Community Choice Aggregator",$E434="Energy"),"procurement",IF(OR($H434="Municipal",$H434="Cooperative",$H434="Federal",$H434="State",$H434="Political Subdivision"),"cost_service",IF($H434="Investor Owned",IF(AND(COUNTIF(Parameters!$A$4:$A$33,$G434)&gt;0,COUNTIF(Parameters!$B$4:$B$33,$B434)=0),"procurement","cost_service"),"unclassified"))))))</f>
        <v>cost_service</v>
      </c>
    </row>
    <row r="435" spans="1:26" x14ac:dyDescent="0.25">
      <c r="A435">
        <v>2024</v>
      </c>
      <c r="B435">
        <v>6610</v>
      </c>
      <c r="C435" t="s">
        <v>525</v>
      </c>
      <c r="D435" t="s">
        <v>84</v>
      </c>
      <c r="E435" t="s">
        <v>85</v>
      </c>
      <c r="F435" t="s">
        <v>86</v>
      </c>
      <c r="G435" t="s">
        <v>361</v>
      </c>
      <c r="H435" t="s">
        <v>88</v>
      </c>
      <c r="I435" t="s">
        <v>523</v>
      </c>
      <c r="J435">
        <v>4713.2</v>
      </c>
      <c r="K435">
        <v>67589</v>
      </c>
      <c r="L435">
        <v>5999</v>
      </c>
      <c r="M435">
        <v>12182.3</v>
      </c>
      <c r="N435">
        <v>127267</v>
      </c>
      <c r="O435">
        <v>1134</v>
      </c>
      <c r="P435">
        <v>6501.2</v>
      </c>
      <c r="Q435">
        <v>74720</v>
      </c>
      <c r="R435">
        <v>1</v>
      </c>
      <c r="S435">
        <v>0</v>
      </c>
      <c r="T435">
        <v>0</v>
      </c>
      <c r="U435">
        <v>0</v>
      </c>
      <c r="V435">
        <v>23396.7</v>
      </c>
      <c r="W435">
        <v>269576</v>
      </c>
      <c r="X435">
        <v>7134</v>
      </c>
      <c r="Y435">
        <f t="shared" si="6"/>
        <v>269576</v>
      </c>
      <c r="Z435" t="str">
        <f>IF(ISNUMBER(SEARCH("Adjustment",$C435)),"excluded",IF($H435="Behind the Meter","excluded",IF(NOT(OR($E435="Bundled",$E435="Energy")),"excluded",IF(OR($H435="Retail Power Marketer",$H435="Community Choice Aggregator",$E435="Energy"),"procurement",IF(OR($H435="Municipal",$H435="Cooperative",$H435="Federal",$H435="State",$H435="Political Subdivision"),"cost_service",IF($H435="Investor Owned",IF(AND(COUNTIF(Parameters!$A$4:$A$33,$G435)&gt;0,COUNTIF(Parameters!$B$4:$B$33,$B435)=0),"procurement","cost_service"),"unclassified"))))))</f>
        <v>cost_service</v>
      </c>
    </row>
    <row r="436" spans="1:26" x14ac:dyDescent="0.25">
      <c r="A436">
        <v>2024</v>
      </c>
      <c r="B436">
        <v>6612</v>
      </c>
      <c r="C436" t="s">
        <v>526</v>
      </c>
      <c r="D436" t="s">
        <v>84</v>
      </c>
      <c r="E436" t="s">
        <v>85</v>
      </c>
      <c r="F436" t="s">
        <v>86</v>
      </c>
      <c r="G436" t="s">
        <v>112</v>
      </c>
      <c r="H436" t="s">
        <v>88</v>
      </c>
      <c r="I436" t="s">
        <v>89</v>
      </c>
      <c r="J436">
        <v>11776</v>
      </c>
      <c r="K436">
        <v>96984</v>
      </c>
      <c r="L436">
        <v>6922</v>
      </c>
      <c r="M436">
        <v>16208</v>
      </c>
      <c r="N436">
        <v>134765</v>
      </c>
      <c r="O436">
        <v>2056</v>
      </c>
      <c r="P436">
        <v>6347</v>
      </c>
      <c r="Q436">
        <v>79431</v>
      </c>
      <c r="R436">
        <v>7</v>
      </c>
      <c r="S436">
        <v>0</v>
      </c>
      <c r="T436">
        <v>0</v>
      </c>
      <c r="U436">
        <v>0</v>
      </c>
      <c r="V436">
        <v>34331</v>
      </c>
      <c r="W436">
        <v>311180</v>
      </c>
      <c r="X436">
        <v>8985</v>
      </c>
      <c r="Y436">
        <f t="shared" si="6"/>
        <v>311180</v>
      </c>
      <c r="Z436" t="str">
        <f>IF(ISNUMBER(SEARCH("Adjustment",$C436)),"excluded",IF($H436="Behind the Meter","excluded",IF(NOT(OR($E436="Bundled",$E436="Energy")),"excluded",IF(OR($H436="Retail Power Marketer",$H436="Community Choice Aggregator",$E436="Energy"),"procurement",IF(OR($H436="Municipal",$H436="Cooperative",$H436="Federal",$H436="State",$H436="Political Subdivision"),"cost_service",IF($H436="Investor Owned",IF(AND(COUNTIF(Parameters!$A$4:$A$33,$G436)&gt;0,COUNTIF(Parameters!$B$4:$B$33,$B436)=0),"procurement","cost_service"),"unclassified"))))))</f>
        <v>cost_service</v>
      </c>
    </row>
    <row r="437" spans="1:26" x14ac:dyDescent="0.25">
      <c r="A437">
        <v>2024</v>
      </c>
      <c r="B437">
        <v>6616</v>
      </c>
      <c r="C437" t="s">
        <v>527</v>
      </c>
      <c r="D437" t="s">
        <v>84</v>
      </c>
      <c r="E437" t="s">
        <v>85</v>
      </c>
      <c r="F437" t="s">
        <v>86</v>
      </c>
      <c r="G437" t="s">
        <v>195</v>
      </c>
      <c r="H437" t="s">
        <v>88</v>
      </c>
      <c r="I437" t="s">
        <v>528</v>
      </c>
      <c r="J437">
        <v>32351</v>
      </c>
      <c r="K437">
        <v>256414</v>
      </c>
      <c r="L437">
        <v>24444</v>
      </c>
      <c r="M437">
        <v>39273</v>
      </c>
      <c r="N437">
        <v>329191</v>
      </c>
      <c r="O437">
        <v>5233</v>
      </c>
      <c r="P437" t="s">
        <v>97</v>
      </c>
      <c r="Q437" t="s">
        <v>97</v>
      </c>
      <c r="R437" t="s">
        <v>97</v>
      </c>
      <c r="S437" t="s">
        <v>97</v>
      </c>
      <c r="T437" t="s">
        <v>97</v>
      </c>
      <c r="U437" t="s">
        <v>97</v>
      </c>
      <c r="V437">
        <v>71624</v>
      </c>
      <c r="W437">
        <v>585605</v>
      </c>
      <c r="X437">
        <v>29677</v>
      </c>
      <c r="Y437">
        <f t="shared" si="6"/>
        <v>585605</v>
      </c>
      <c r="Z437" t="str">
        <f>IF(ISNUMBER(SEARCH("Adjustment",$C437)),"excluded",IF($H437="Behind the Meter","excluded",IF(NOT(OR($E437="Bundled",$E437="Energy")),"excluded",IF(OR($H437="Retail Power Marketer",$H437="Community Choice Aggregator",$E437="Energy"),"procurement",IF(OR($H437="Municipal",$H437="Cooperative",$H437="Federal",$H437="State",$H437="Political Subdivision"),"cost_service",IF($H437="Investor Owned",IF(AND(COUNTIF(Parameters!$A$4:$A$33,$G437)&gt;0,COUNTIF(Parameters!$B$4:$B$33,$B437)=0),"procurement","cost_service"),"unclassified"))))))</f>
        <v>cost_service</v>
      </c>
    </row>
    <row r="438" spans="1:26" x14ac:dyDescent="0.25">
      <c r="A438">
        <v>2024</v>
      </c>
      <c r="B438">
        <v>6638</v>
      </c>
      <c r="C438" t="s">
        <v>529</v>
      </c>
      <c r="D438" t="s">
        <v>84</v>
      </c>
      <c r="E438" t="s">
        <v>85</v>
      </c>
      <c r="F438" t="s">
        <v>86</v>
      </c>
      <c r="G438" t="s">
        <v>361</v>
      </c>
      <c r="H438" t="s">
        <v>88</v>
      </c>
      <c r="I438" t="s">
        <v>523</v>
      </c>
      <c r="J438">
        <v>20575</v>
      </c>
      <c r="K438">
        <v>149763</v>
      </c>
      <c r="L438">
        <v>17242</v>
      </c>
      <c r="M438">
        <v>9803</v>
      </c>
      <c r="N438">
        <v>83657</v>
      </c>
      <c r="O438">
        <v>1048</v>
      </c>
      <c r="P438" t="s">
        <v>97</v>
      </c>
      <c r="Q438" t="s">
        <v>97</v>
      </c>
      <c r="R438" t="s">
        <v>97</v>
      </c>
      <c r="S438" t="s">
        <v>97</v>
      </c>
      <c r="T438" t="s">
        <v>97</v>
      </c>
      <c r="U438" t="s">
        <v>97</v>
      </c>
      <c r="V438">
        <v>30378</v>
      </c>
      <c r="W438">
        <v>233420</v>
      </c>
      <c r="X438">
        <v>18290</v>
      </c>
      <c r="Y438">
        <f t="shared" si="6"/>
        <v>233420</v>
      </c>
      <c r="Z438" t="str">
        <f>IF(ISNUMBER(SEARCH("Adjustment",$C438)),"excluded",IF($H438="Behind the Meter","excluded",IF(NOT(OR($E438="Bundled",$E438="Energy")),"excluded",IF(OR($H438="Retail Power Marketer",$H438="Community Choice Aggregator",$E438="Energy"),"procurement",IF(OR($H438="Municipal",$H438="Cooperative",$H438="Federal",$H438="State",$H438="Political Subdivision"),"cost_service",IF($H438="Investor Owned",IF(AND(COUNTIF(Parameters!$A$4:$A$33,$G438)&gt;0,COUNTIF(Parameters!$B$4:$B$33,$B438)=0),"procurement","cost_service"),"unclassified"))))))</f>
        <v>cost_service</v>
      </c>
    </row>
    <row r="439" spans="1:26" x14ac:dyDescent="0.25">
      <c r="A439">
        <v>2024</v>
      </c>
      <c r="B439">
        <v>6640</v>
      </c>
      <c r="C439" t="s">
        <v>530</v>
      </c>
      <c r="D439" t="s">
        <v>84</v>
      </c>
      <c r="E439" t="s">
        <v>85</v>
      </c>
      <c r="F439" t="s">
        <v>86</v>
      </c>
      <c r="G439" t="s">
        <v>125</v>
      </c>
      <c r="H439" t="s">
        <v>91</v>
      </c>
      <c r="I439" t="s">
        <v>163</v>
      </c>
      <c r="J439">
        <v>64259.4</v>
      </c>
      <c r="K439">
        <v>459787</v>
      </c>
      <c r="L439">
        <v>30807</v>
      </c>
      <c r="M439">
        <v>23822.2</v>
      </c>
      <c r="N439">
        <v>236798</v>
      </c>
      <c r="O439">
        <v>4610</v>
      </c>
      <c r="P439">
        <v>18902.099999999999</v>
      </c>
      <c r="Q439">
        <v>280756</v>
      </c>
      <c r="R439">
        <v>7</v>
      </c>
      <c r="S439" t="s">
        <v>97</v>
      </c>
      <c r="T439" t="s">
        <v>97</v>
      </c>
      <c r="U439" t="s">
        <v>97</v>
      </c>
      <c r="V439">
        <v>106983.7</v>
      </c>
      <c r="W439">
        <v>977341</v>
      </c>
      <c r="X439">
        <v>35424</v>
      </c>
      <c r="Y439">
        <f t="shared" si="6"/>
        <v>977341</v>
      </c>
      <c r="Z439" t="str">
        <f>IF(ISNUMBER(SEARCH("Adjustment",$C439)),"excluded",IF($H439="Behind the Meter","excluded",IF(NOT(OR($E439="Bundled",$E439="Energy")),"excluded",IF(OR($H439="Retail Power Marketer",$H439="Community Choice Aggregator",$E439="Energy"),"procurement",IF(OR($H439="Municipal",$H439="Cooperative",$H439="Federal",$H439="State",$H439="Political Subdivision"),"cost_service",IF($H439="Investor Owned",IF(AND(COUNTIF(Parameters!$A$4:$A$33,$G439)&gt;0,COUNTIF(Parameters!$B$4:$B$33,$B439)=0),"procurement","cost_service"),"unclassified"))))))</f>
        <v>cost_service</v>
      </c>
    </row>
    <row r="440" spans="1:26" x14ac:dyDescent="0.25">
      <c r="A440">
        <v>2024</v>
      </c>
      <c r="B440">
        <v>6641</v>
      </c>
      <c r="C440" t="s">
        <v>531</v>
      </c>
      <c r="D440" t="s">
        <v>84</v>
      </c>
      <c r="E440" t="s">
        <v>85</v>
      </c>
      <c r="F440" t="s">
        <v>86</v>
      </c>
      <c r="G440" t="s">
        <v>87</v>
      </c>
      <c r="H440" t="s">
        <v>91</v>
      </c>
      <c r="I440" t="s">
        <v>89</v>
      </c>
      <c r="J440">
        <v>77017</v>
      </c>
      <c r="K440">
        <v>597902</v>
      </c>
      <c r="L440">
        <v>41076</v>
      </c>
      <c r="M440">
        <v>48591</v>
      </c>
      <c r="N440">
        <v>321662</v>
      </c>
      <c r="O440">
        <v>10184</v>
      </c>
      <c r="P440">
        <v>13497</v>
      </c>
      <c r="Q440">
        <v>192010</v>
      </c>
      <c r="R440">
        <v>8</v>
      </c>
      <c r="S440">
        <v>0</v>
      </c>
      <c r="T440">
        <v>0</v>
      </c>
      <c r="U440">
        <v>0</v>
      </c>
      <c r="V440">
        <v>139105</v>
      </c>
      <c r="W440">
        <v>1111574</v>
      </c>
      <c r="X440">
        <v>51268</v>
      </c>
      <c r="Y440">
        <f t="shared" si="6"/>
        <v>1111574</v>
      </c>
      <c r="Z440" t="str">
        <f>IF(ISNUMBER(SEARCH("Adjustment",$C440)),"excluded",IF($H440="Behind the Meter","excluded",IF(NOT(OR($E440="Bundled",$E440="Energy")),"excluded",IF(OR($H440="Retail Power Marketer",$H440="Community Choice Aggregator",$E440="Energy"),"procurement",IF(OR($H440="Municipal",$H440="Cooperative",$H440="Federal",$H440="State",$H440="Political Subdivision"),"cost_service",IF($H440="Investor Owned",IF(AND(COUNTIF(Parameters!$A$4:$A$33,$G440)&gt;0,COUNTIF(Parameters!$B$4:$B$33,$B440)=0),"procurement","cost_service"),"unclassified"))))))</f>
        <v>cost_service</v>
      </c>
    </row>
    <row r="441" spans="1:26" x14ac:dyDescent="0.25">
      <c r="A441">
        <v>2024</v>
      </c>
      <c r="B441">
        <v>6707</v>
      </c>
      <c r="C441" t="s">
        <v>532</v>
      </c>
      <c r="D441" t="s">
        <v>84</v>
      </c>
      <c r="E441" t="s">
        <v>85</v>
      </c>
      <c r="F441" t="s">
        <v>86</v>
      </c>
      <c r="G441" t="s">
        <v>130</v>
      </c>
      <c r="H441" t="s">
        <v>88</v>
      </c>
      <c r="I441" t="s">
        <v>96</v>
      </c>
      <c r="J441">
        <v>8966</v>
      </c>
      <c r="K441">
        <v>74481</v>
      </c>
      <c r="L441">
        <v>7820</v>
      </c>
      <c r="M441">
        <v>6958</v>
      </c>
      <c r="N441">
        <v>59705</v>
      </c>
      <c r="O441">
        <v>1596</v>
      </c>
      <c r="P441">
        <v>20866</v>
      </c>
      <c r="Q441">
        <v>231024</v>
      </c>
      <c r="R441">
        <v>56</v>
      </c>
      <c r="S441" t="s">
        <v>97</v>
      </c>
      <c r="T441" t="s">
        <v>97</v>
      </c>
      <c r="U441" t="s">
        <v>97</v>
      </c>
      <c r="V441">
        <v>36790</v>
      </c>
      <c r="W441">
        <v>365210</v>
      </c>
      <c r="X441">
        <v>9472</v>
      </c>
      <c r="Y441">
        <f t="shared" si="6"/>
        <v>365210</v>
      </c>
      <c r="Z441" t="str">
        <f>IF(ISNUMBER(SEARCH("Adjustment",$C441)),"excluded",IF($H441="Behind the Meter","excluded",IF(NOT(OR($E441="Bundled",$E441="Energy")),"excluded",IF(OR($H441="Retail Power Marketer",$H441="Community Choice Aggregator",$E441="Energy"),"procurement",IF(OR($H441="Municipal",$H441="Cooperative",$H441="Federal",$H441="State",$H441="Political Subdivision"),"cost_service",IF($H441="Investor Owned",IF(AND(COUNTIF(Parameters!$A$4:$A$33,$G441)&gt;0,COUNTIF(Parameters!$B$4:$B$33,$B441)=0),"procurement","cost_service"),"unclassified"))))))</f>
        <v>cost_service</v>
      </c>
    </row>
    <row r="442" spans="1:26" x14ac:dyDescent="0.25">
      <c r="A442">
        <v>2024</v>
      </c>
      <c r="B442">
        <v>6708</v>
      </c>
      <c r="C442" t="s">
        <v>533</v>
      </c>
      <c r="D442" t="s">
        <v>84</v>
      </c>
      <c r="E442" t="s">
        <v>85</v>
      </c>
      <c r="F442" t="s">
        <v>86</v>
      </c>
      <c r="G442" t="s">
        <v>209</v>
      </c>
      <c r="H442" t="s">
        <v>88</v>
      </c>
      <c r="I442" t="s">
        <v>534</v>
      </c>
      <c r="J442">
        <v>23295</v>
      </c>
      <c r="K442">
        <v>207471</v>
      </c>
      <c r="L442">
        <v>17200</v>
      </c>
      <c r="M442">
        <v>27290</v>
      </c>
      <c r="N442">
        <v>279961</v>
      </c>
      <c r="O442">
        <v>4727</v>
      </c>
      <c r="P442">
        <v>14613</v>
      </c>
      <c r="Q442">
        <v>174757</v>
      </c>
      <c r="R442">
        <v>41</v>
      </c>
      <c r="S442" t="s">
        <v>97</v>
      </c>
      <c r="T442" t="s">
        <v>97</v>
      </c>
      <c r="U442" t="s">
        <v>97</v>
      </c>
      <c r="V442">
        <v>65198</v>
      </c>
      <c r="W442">
        <v>662189</v>
      </c>
      <c r="X442">
        <v>21968</v>
      </c>
      <c r="Y442">
        <f t="shared" si="6"/>
        <v>662189</v>
      </c>
      <c r="Z442" t="str">
        <f>IF(ISNUMBER(SEARCH("Adjustment",$C442)),"excluded",IF($H442="Behind the Meter","excluded",IF(NOT(OR($E442="Bundled",$E442="Energy")),"excluded",IF(OR($H442="Retail Power Marketer",$H442="Community Choice Aggregator",$E442="Energy"),"procurement",IF(OR($H442="Municipal",$H442="Cooperative",$H442="Federal",$H442="State",$H442="Political Subdivision"),"cost_service",IF($H442="Investor Owned",IF(AND(COUNTIF(Parameters!$A$4:$A$33,$G442)&gt;0,COUNTIF(Parameters!$B$4:$B$33,$B442)=0),"procurement","cost_service"),"unclassified"))))))</f>
        <v>cost_service</v>
      </c>
    </row>
    <row r="443" spans="1:26" x14ac:dyDescent="0.25">
      <c r="A443">
        <v>2024</v>
      </c>
      <c r="B443">
        <v>6709</v>
      </c>
      <c r="C443" t="s">
        <v>535</v>
      </c>
      <c r="D443" t="s">
        <v>84</v>
      </c>
      <c r="E443" t="s">
        <v>85</v>
      </c>
      <c r="F443" t="s">
        <v>86</v>
      </c>
      <c r="G443" t="s">
        <v>106</v>
      </c>
      <c r="H443" t="s">
        <v>88</v>
      </c>
      <c r="I443" t="s">
        <v>126</v>
      </c>
      <c r="J443">
        <v>23635</v>
      </c>
      <c r="K443">
        <v>184510</v>
      </c>
      <c r="L443">
        <v>15772</v>
      </c>
      <c r="M443">
        <v>14282.1</v>
      </c>
      <c r="N443">
        <v>117280</v>
      </c>
      <c r="O443">
        <v>1641</v>
      </c>
      <c r="P443">
        <v>220.9</v>
      </c>
      <c r="Q443">
        <v>3154</v>
      </c>
      <c r="R443">
        <v>1</v>
      </c>
      <c r="S443" t="s">
        <v>97</v>
      </c>
      <c r="T443" t="s">
        <v>97</v>
      </c>
      <c r="U443" t="s">
        <v>97</v>
      </c>
      <c r="V443">
        <v>38138</v>
      </c>
      <c r="W443">
        <v>304944</v>
      </c>
      <c r="X443">
        <v>17414</v>
      </c>
      <c r="Y443">
        <f t="shared" si="6"/>
        <v>304944</v>
      </c>
      <c r="Z443" t="str">
        <f>IF(ISNUMBER(SEARCH("Adjustment",$C443)),"excluded",IF($H443="Behind the Meter","excluded",IF(NOT(OR($E443="Bundled",$E443="Energy")),"excluded",IF(OR($H443="Retail Power Marketer",$H443="Community Choice Aggregator",$E443="Energy"),"procurement",IF(OR($H443="Municipal",$H443="Cooperative",$H443="Federal",$H443="State",$H443="Political Subdivision"),"cost_service",IF($H443="Investor Owned",IF(AND(COUNTIF(Parameters!$A$4:$A$33,$G443)&gt;0,COUNTIF(Parameters!$B$4:$B$33,$B443)=0),"procurement","cost_service"),"unclassified"))))))</f>
        <v>cost_service</v>
      </c>
    </row>
    <row r="444" spans="1:26" x14ac:dyDescent="0.25">
      <c r="A444">
        <v>2024</v>
      </c>
      <c r="B444">
        <v>6716</v>
      </c>
      <c r="C444" t="s">
        <v>536</v>
      </c>
      <c r="D444" t="s">
        <v>84</v>
      </c>
      <c r="E444" t="s">
        <v>85</v>
      </c>
      <c r="F444" t="s">
        <v>86</v>
      </c>
      <c r="G444" t="s">
        <v>148</v>
      </c>
      <c r="H444" t="s">
        <v>205</v>
      </c>
      <c r="I444" t="s">
        <v>206</v>
      </c>
      <c r="J444">
        <v>38424</v>
      </c>
      <c r="K444">
        <v>396763</v>
      </c>
      <c r="L444">
        <v>27388</v>
      </c>
      <c r="M444">
        <v>32470</v>
      </c>
      <c r="N444">
        <v>435005</v>
      </c>
      <c r="O444">
        <v>2032</v>
      </c>
      <c r="P444">
        <v>17730</v>
      </c>
      <c r="Q444">
        <v>272401</v>
      </c>
      <c r="R444">
        <v>332</v>
      </c>
      <c r="S444" t="s">
        <v>97</v>
      </c>
      <c r="T444" t="s">
        <v>97</v>
      </c>
      <c r="U444" t="s">
        <v>97</v>
      </c>
      <c r="V444">
        <v>88624</v>
      </c>
      <c r="W444">
        <v>1104169</v>
      </c>
      <c r="X444">
        <v>29752</v>
      </c>
      <c r="Y444">
        <f t="shared" si="6"/>
        <v>1104169</v>
      </c>
      <c r="Z444" t="str">
        <f>IF(ISNUMBER(SEARCH("Adjustment",$C444)),"excluded",IF($H444="Behind the Meter","excluded",IF(NOT(OR($E444="Bundled",$E444="Energy")),"excluded",IF(OR($H444="Retail Power Marketer",$H444="Community Choice Aggregator",$E444="Energy"),"procurement",IF(OR($H444="Municipal",$H444="Cooperative",$H444="Federal",$H444="State",$H444="Political Subdivision"),"cost_service",IF($H444="Investor Owned",IF(AND(COUNTIF(Parameters!$A$4:$A$33,$G444)&gt;0,COUNTIF(Parameters!$B$4:$B$33,$B444)=0),"procurement","cost_service"),"unclassified"))))))</f>
        <v>cost_service</v>
      </c>
    </row>
    <row r="445" spans="1:26" x14ac:dyDescent="0.25">
      <c r="A445">
        <v>2024</v>
      </c>
      <c r="B445">
        <v>6717</v>
      </c>
      <c r="C445" t="s">
        <v>537</v>
      </c>
      <c r="D445" t="s">
        <v>84</v>
      </c>
      <c r="E445" t="s">
        <v>85</v>
      </c>
      <c r="F445" t="s">
        <v>86</v>
      </c>
      <c r="G445" t="s">
        <v>112</v>
      </c>
      <c r="H445" t="s">
        <v>91</v>
      </c>
      <c r="I445" t="s">
        <v>89</v>
      </c>
      <c r="J445">
        <v>11205</v>
      </c>
      <c r="K445">
        <v>79843</v>
      </c>
      <c r="L445">
        <v>5979</v>
      </c>
      <c r="M445">
        <v>18377</v>
      </c>
      <c r="N445">
        <v>188087</v>
      </c>
      <c r="O445">
        <v>2012</v>
      </c>
      <c r="P445">
        <v>3471</v>
      </c>
      <c r="Q445">
        <v>45050</v>
      </c>
      <c r="R445">
        <v>3</v>
      </c>
      <c r="S445">
        <v>0</v>
      </c>
      <c r="T445">
        <v>0</v>
      </c>
      <c r="U445">
        <v>0</v>
      </c>
      <c r="V445">
        <v>33053</v>
      </c>
      <c r="W445">
        <v>312980</v>
      </c>
      <c r="X445">
        <v>7994</v>
      </c>
      <c r="Y445">
        <f t="shared" si="6"/>
        <v>312980</v>
      </c>
      <c r="Z445" t="str">
        <f>IF(ISNUMBER(SEARCH("Adjustment",$C445)),"excluded",IF($H445="Behind the Meter","excluded",IF(NOT(OR($E445="Bundled",$E445="Energy")),"excluded",IF(OR($H445="Retail Power Marketer",$H445="Community Choice Aggregator",$E445="Energy"),"procurement",IF(OR($H445="Municipal",$H445="Cooperative",$H445="Federal",$H445="State",$H445="Political Subdivision"),"cost_service",IF($H445="Investor Owned",IF(AND(COUNTIF(Parameters!$A$4:$A$33,$G445)&gt;0,COUNTIF(Parameters!$B$4:$B$33,$B445)=0),"procurement","cost_service"),"unclassified"))))))</f>
        <v>cost_service</v>
      </c>
    </row>
    <row r="446" spans="1:26" x14ac:dyDescent="0.25">
      <c r="A446">
        <v>2024</v>
      </c>
      <c r="B446">
        <v>6718</v>
      </c>
      <c r="C446" t="s">
        <v>538</v>
      </c>
      <c r="D446" t="s">
        <v>84</v>
      </c>
      <c r="E446" t="s">
        <v>85</v>
      </c>
      <c r="F446" t="s">
        <v>86</v>
      </c>
      <c r="G446" t="s">
        <v>209</v>
      </c>
      <c r="H446" t="s">
        <v>88</v>
      </c>
      <c r="I446" t="s">
        <v>89</v>
      </c>
      <c r="J446">
        <v>7074</v>
      </c>
      <c r="K446">
        <v>54766</v>
      </c>
      <c r="L446">
        <v>4561</v>
      </c>
      <c r="M446">
        <v>6406</v>
      </c>
      <c r="N446">
        <v>51880</v>
      </c>
      <c r="O446">
        <v>1299</v>
      </c>
      <c r="P446">
        <v>6842</v>
      </c>
      <c r="Q446">
        <v>117986</v>
      </c>
      <c r="R446">
        <v>4</v>
      </c>
      <c r="S446">
        <v>0</v>
      </c>
      <c r="T446">
        <v>0</v>
      </c>
      <c r="U446">
        <v>0</v>
      </c>
      <c r="V446">
        <v>20322</v>
      </c>
      <c r="W446">
        <v>224632</v>
      </c>
      <c r="X446">
        <v>5864</v>
      </c>
      <c r="Y446">
        <f t="shared" si="6"/>
        <v>224632</v>
      </c>
      <c r="Z446" t="str">
        <f>IF(ISNUMBER(SEARCH("Adjustment",$C446)),"excluded",IF($H446="Behind the Meter","excluded",IF(NOT(OR($E446="Bundled",$E446="Energy")),"excluded",IF(OR($H446="Retail Power Marketer",$H446="Community Choice Aggregator",$E446="Energy"),"procurement",IF(OR($H446="Municipal",$H446="Cooperative",$H446="Federal",$H446="State",$H446="Political Subdivision"),"cost_service",IF($H446="Investor Owned",IF(AND(COUNTIF(Parameters!$A$4:$A$33,$G446)&gt;0,COUNTIF(Parameters!$B$4:$B$33,$B446)=0),"procurement","cost_service"),"unclassified"))))))</f>
        <v>cost_service</v>
      </c>
    </row>
    <row r="447" spans="1:26" x14ac:dyDescent="0.25">
      <c r="A447">
        <v>2024</v>
      </c>
      <c r="B447">
        <v>6775</v>
      </c>
      <c r="C447" t="s">
        <v>539</v>
      </c>
      <c r="D447" t="s">
        <v>84</v>
      </c>
      <c r="E447" t="s">
        <v>85</v>
      </c>
      <c r="F447" t="s">
        <v>86</v>
      </c>
      <c r="G447" t="s">
        <v>53</v>
      </c>
      <c r="H447" t="s">
        <v>88</v>
      </c>
      <c r="I447" t="s">
        <v>102</v>
      </c>
      <c r="J447">
        <v>17431</v>
      </c>
      <c r="K447">
        <v>123471</v>
      </c>
      <c r="L447">
        <v>13353</v>
      </c>
      <c r="M447">
        <v>17427</v>
      </c>
      <c r="N447">
        <v>126721</v>
      </c>
      <c r="O447">
        <v>1966</v>
      </c>
      <c r="P447" t="s">
        <v>97</v>
      </c>
      <c r="Q447" t="s">
        <v>97</v>
      </c>
      <c r="R447" t="s">
        <v>97</v>
      </c>
      <c r="S447" t="s">
        <v>97</v>
      </c>
      <c r="T447" t="s">
        <v>97</v>
      </c>
      <c r="U447" t="s">
        <v>97</v>
      </c>
      <c r="V447">
        <v>34858</v>
      </c>
      <c r="W447">
        <v>250192</v>
      </c>
      <c r="X447">
        <v>15319</v>
      </c>
      <c r="Y447">
        <f t="shared" si="6"/>
        <v>250192</v>
      </c>
      <c r="Z447" t="str">
        <f>IF(ISNUMBER(SEARCH("Adjustment",$C447)),"excluded",IF($H447="Behind the Meter","excluded",IF(NOT(OR($E447="Bundled",$E447="Energy")),"excluded",IF(OR($H447="Retail Power Marketer",$H447="Community Choice Aggregator",$E447="Energy"),"procurement",IF(OR($H447="Municipal",$H447="Cooperative",$H447="Federal",$H447="State",$H447="Political Subdivision"),"cost_service",IF($H447="Investor Owned",IF(AND(COUNTIF(Parameters!$A$4:$A$33,$G447)&gt;0,COUNTIF(Parameters!$B$4:$B$33,$B447)=0),"procurement","cost_service"),"unclassified"))))))</f>
        <v>cost_service</v>
      </c>
    </row>
    <row r="448" spans="1:26" x14ac:dyDescent="0.25">
      <c r="A448">
        <v>2024</v>
      </c>
      <c r="B448">
        <v>6779</v>
      </c>
      <c r="C448" t="s">
        <v>540</v>
      </c>
      <c r="D448" t="s">
        <v>84</v>
      </c>
      <c r="E448" t="s">
        <v>85</v>
      </c>
      <c r="F448" t="s">
        <v>86</v>
      </c>
      <c r="G448" t="s">
        <v>271</v>
      </c>
      <c r="H448" t="s">
        <v>88</v>
      </c>
      <c r="I448" t="s">
        <v>135</v>
      </c>
      <c r="J448">
        <v>17296.099999999999</v>
      </c>
      <c r="K448">
        <v>144541</v>
      </c>
      <c r="L448">
        <v>14077</v>
      </c>
      <c r="M448">
        <v>6092.7</v>
      </c>
      <c r="N448">
        <v>56649</v>
      </c>
      <c r="O448">
        <v>1972</v>
      </c>
      <c r="P448">
        <v>27659.5</v>
      </c>
      <c r="Q448">
        <v>306725</v>
      </c>
      <c r="R448">
        <v>573</v>
      </c>
      <c r="S448" t="s">
        <v>97</v>
      </c>
      <c r="T448" t="s">
        <v>97</v>
      </c>
      <c r="U448" t="s">
        <v>97</v>
      </c>
      <c r="V448">
        <v>51048.3</v>
      </c>
      <c r="W448">
        <v>507915</v>
      </c>
      <c r="X448">
        <v>16622</v>
      </c>
      <c r="Y448">
        <f t="shared" si="6"/>
        <v>507915</v>
      </c>
      <c r="Z448" t="str">
        <f>IF(ISNUMBER(SEARCH("Adjustment",$C448)),"excluded",IF($H448="Behind the Meter","excluded",IF(NOT(OR($E448="Bundled",$E448="Energy")),"excluded",IF(OR($H448="Retail Power Marketer",$H448="Community Choice Aggregator",$E448="Energy"),"procurement",IF(OR($H448="Municipal",$H448="Cooperative",$H448="Federal",$H448="State",$H448="Political Subdivision"),"cost_service",IF($H448="Investor Owned",IF(AND(COUNTIF(Parameters!$A$4:$A$33,$G448)&gt;0,COUNTIF(Parameters!$B$4:$B$33,$B448)=0),"procurement","cost_service"),"unclassified"))))))</f>
        <v>cost_service</v>
      </c>
    </row>
    <row r="449" spans="1:26" x14ac:dyDescent="0.25">
      <c r="A449">
        <v>2024</v>
      </c>
      <c r="B449">
        <v>6782</v>
      </c>
      <c r="C449" t="s">
        <v>541</v>
      </c>
      <c r="D449" t="s">
        <v>84</v>
      </c>
      <c r="E449" t="s">
        <v>85</v>
      </c>
      <c r="F449" t="s">
        <v>86</v>
      </c>
      <c r="G449" t="s">
        <v>146</v>
      </c>
      <c r="H449" t="s">
        <v>91</v>
      </c>
      <c r="I449" t="s">
        <v>96</v>
      </c>
      <c r="J449">
        <v>17</v>
      </c>
      <c r="K449">
        <v>100</v>
      </c>
      <c r="L449">
        <v>6</v>
      </c>
      <c r="M449" t="s">
        <v>97</v>
      </c>
      <c r="N449" t="s">
        <v>97</v>
      </c>
      <c r="O449" t="s">
        <v>97</v>
      </c>
      <c r="P449" t="s">
        <v>97</v>
      </c>
      <c r="Q449" t="s">
        <v>97</v>
      </c>
      <c r="R449" t="s">
        <v>97</v>
      </c>
      <c r="S449" t="s">
        <v>97</v>
      </c>
      <c r="T449" t="s">
        <v>97</v>
      </c>
      <c r="U449" t="s">
        <v>97</v>
      </c>
      <c r="V449">
        <v>17</v>
      </c>
      <c r="W449">
        <v>100</v>
      </c>
      <c r="X449">
        <v>6</v>
      </c>
      <c r="Y449">
        <f t="shared" si="6"/>
        <v>100</v>
      </c>
      <c r="Z449" t="str">
        <f>IF(ISNUMBER(SEARCH("Adjustment",$C449)),"excluded",IF($H449="Behind the Meter","excluded",IF(NOT(OR($E449="Bundled",$E449="Energy")),"excluded",IF(OR($H449="Retail Power Marketer",$H449="Community Choice Aggregator",$E449="Energy"),"procurement",IF(OR($H449="Municipal",$H449="Cooperative",$H449="Federal",$H449="State",$H449="Political Subdivision"),"cost_service",IF($H449="Investor Owned",IF(AND(COUNTIF(Parameters!$A$4:$A$33,$G449)&gt;0,COUNTIF(Parameters!$B$4:$B$33,$B449)=0),"procurement","cost_service"),"unclassified"))))))</f>
        <v>cost_service</v>
      </c>
    </row>
    <row r="450" spans="1:26" x14ac:dyDescent="0.25">
      <c r="A450">
        <v>2024</v>
      </c>
      <c r="B450">
        <v>6782</v>
      </c>
      <c r="C450" t="s">
        <v>541</v>
      </c>
      <c r="D450" t="s">
        <v>84</v>
      </c>
      <c r="E450" t="s">
        <v>85</v>
      </c>
      <c r="F450" t="s">
        <v>86</v>
      </c>
      <c r="G450" t="s">
        <v>104</v>
      </c>
      <c r="H450" t="s">
        <v>91</v>
      </c>
      <c r="I450" t="s">
        <v>96</v>
      </c>
      <c r="J450">
        <v>27510</v>
      </c>
      <c r="K450">
        <v>181574</v>
      </c>
      <c r="L450">
        <v>17842</v>
      </c>
      <c r="M450">
        <v>16565</v>
      </c>
      <c r="N450">
        <v>136554</v>
      </c>
      <c r="O450">
        <v>3383</v>
      </c>
      <c r="P450">
        <v>14015</v>
      </c>
      <c r="Q450">
        <v>161038</v>
      </c>
      <c r="R450">
        <v>33</v>
      </c>
      <c r="S450" t="s">
        <v>97</v>
      </c>
      <c r="T450" t="s">
        <v>97</v>
      </c>
      <c r="U450" t="s">
        <v>97</v>
      </c>
      <c r="V450">
        <v>58090</v>
      </c>
      <c r="W450">
        <v>479166</v>
      </c>
      <c r="X450">
        <v>21258</v>
      </c>
      <c r="Y450">
        <f t="shared" si="6"/>
        <v>479166</v>
      </c>
      <c r="Z450" t="str">
        <f>IF(ISNUMBER(SEARCH("Adjustment",$C450)),"excluded",IF($H450="Behind the Meter","excluded",IF(NOT(OR($E450="Bundled",$E450="Energy")),"excluded",IF(OR($H450="Retail Power Marketer",$H450="Community Choice Aggregator",$E450="Energy"),"procurement",IF(OR($H450="Municipal",$H450="Cooperative",$H450="Federal",$H450="State",$H450="Political Subdivision"),"cost_service",IF($H450="Investor Owned",IF(AND(COUNTIF(Parameters!$A$4:$A$33,$G450)&gt;0,COUNTIF(Parameters!$B$4:$B$33,$B450)=0),"procurement","cost_service"),"unclassified"))))))</f>
        <v>cost_service</v>
      </c>
    </row>
    <row r="451" spans="1:26" x14ac:dyDescent="0.25">
      <c r="A451">
        <v>2024</v>
      </c>
      <c r="B451">
        <v>6784</v>
      </c>
      <c r="C451" t="s">
        <v>542</v>
      </c>
      <c r="D451" t="s">
        <v>84</v>
      </c>
      <c r="E451" t="s">
        <v>85</v>
      </c>
      <c r="F451" t="s">
        <v>86</v>
      </c>
      <c r="G451" t="s">
        <v>125</v>
      </c>
      <c r="H451" t="s">
        <v>91</v>
      </c>
      <c r="I451" t="s">
        <v>163</v>
      </c>
      <c r="J451">
        <v>49621.599999999999</v>
      </c>
      <c r="K451">
        <v>335747</v>
      </c>
      <c r="L451">
        <v>36147</v>
      </c>
      <c r="M451">
        <v>12916</v>
      </c>
      <c r="N451">
        <v>103231</v>
      </c>
      <c r="O451">
        <v>3917</v>
      </c>
      <c r="P451">
        <v>7050.5</v>
      </c>
      <c r="Q451">
        <v>84738</v>
      </c>
      <c r="R451">
        <v>5</v>
      </c>
      <c r="S451" t="s">
        <v>97</v>
      </c>
      <c r="T451" t="s">
        <v>97</v>
      </c>
      <c r="U451" t="s">
        <v>97</v>
      </c>
      <c r="V451">
        <v>69588.100000000006</v>
      </c>
      <c r="W451">
        <v>523716</v>
      </c>
      <c r="X451">
        <v>40069</v>
      </c>
      <c r="Y451">
        <f t="shared" si="6"/>
        <v>523716</v>
      </c>
      <c r="Z451" t="str">
        <f>IF(ISNUMBER(SEARCH("Adjustment",$C451)),"excluded",IF($H451="Behind the Meter","excluded",IF(NOT(OR($E451="Bundled",$E451="Energy")),"excluded",IF(OR($H451="Retail Power Marketer",$H451="Community Choice Aggregator",$E451="Energy"),"procurement",IF(OR($H451="Municipal",$H451="Cooperative",$H451="Federal",$H451="State",$H451="Political Subdivision"),"cost_service",IF($H451="Investor Owned",IF(AND(COUNTIF(Parameters!$A$4:$A$33,$G451)&gt;0,COUNTIF(Parameters!$B$4:$B$33,$B451)=0),"procurement","cost_service"),"unclassified"))))))</f>
        <v>cost_service</v>
      </c>
    </row>
    <row r="452" spans="1:26" x14ac:dyDescent="0.25">
      <c r="A452">
        <v>2024</v>
      </c>
      <c r="B452">
        <v>6784</v>
      </c>
      <c r="C452" t="s">
        <v>542</v>
      </c>
      <c r="D452" t="s">
        <v>84</v>
      </c>
      <c r="E452" t="s">
        <v>85</v>
      </c>
      <c r="F452" t="s">
        <v>86</v>
      </c>
      <c r="G452" t="s">
        <v>156</v>
      </c>
      <c r="H452" t="s">
        <v>91</v>
      </c>
      <c r="I452" t="s">
        <v>89</v>
      </c>
      <c r="J452">
        <v>1326.9</v>
      </c>
      <c r="K452">
        <v>8898</v>
      </c>
      <c r="L452">
        <v>994</v>
      </c>
      <c r="M452">
        <v>116.7</v>
      </c>
      <c r="N452">
        <v>810</v>
      </c>
      <c r="O452">
        <v>76</v>
      </c>
      <c r="P452" t="s">
        <v>97</v>
      </c>
      <c r="Q452" t="s">
        <v>97</v>
      </c>
      <c r="R452" t="s">
        <v>97</v>
      </c>
      <c r="S452" t="s">
        <v>97</v>
      </c>
      <c r="T452" t="s">
        <v>97</v>
      </c>
      <c r="U452" t="s">
        <v>97</v>
      </c>
      <c r="V452">
        <v>1443.6</v>
      </c>
      <c r="W452">
        <v>9708</v>
      </c>
      <c r="X452">
        <v>1070</v>
      </c>
      <c r="Y452">
        <f t="shared" ref="Y452:Y515" si="7">IF(ISNUMBER($W452),$W452,0)</f>
        <v>9708</v>
      </c>
      <c r="Z452" t="str">
        <f>IF(ISNUMBER(SEARCH("Adjustment",$C452)),"excluded",IF($H452="Behind the Meter","excluded",IF(NOT(OR($E452="Bundled",$E452="Energy")),"excluded",IF(OR($H452="Retail Power Marketer",$H452="Community Choice Aggregator",$E452="Energy"),"procurement",IF(OR($H452="Municipal",$H452="Cooperative",$H452="Federal",$H452="State",$H452="Political Subdivision"),"cost_service",IF($H452="Investor Owned",IF(AND(COUNTIF(Parameters!$A$4:$A$33,$G452)&gt;0,COUNTIF(Parameters!$B$4:$B$33,$B452)=0),"procurement","cost_service"),"unclassified"))))))</f>
        <v>cost_service</v>
      </c>
    </row>
    <row r="453" spans="1:26" x14ac:dyDescent="0.25">
      <c r="A453">
        <v>2024</v>
      </c>
      <c r="B453">
        <v>6840</v>
      </c>
      <c r="C453" t="s">
        <v>543</v>
      </c>
      <c r="D453" t="s">
        <v>84</v>
      </c>
      <c r="E453" t="s">
        <v>85</v>
      </c>
      <c r="F453" t="s">
        <v>86</v>
      </c>
      <c r="G453" t="s">
        <v>209</v>
      </c>
      <c r="H453" t="s">
        <v>88</v>
      </c>
      <c r="I453" t="s">
        <v>89</v>
      </c>
      <c r="J453">
        <v>1855</v>
      </c>
      <c r="K453">
        <v>13639</v>
      </c>
      <c r="L453">
        <v>1188</v>
      </c>
      <c r="M453">
        <v>2639</v>
      </c>
      <c r="N453">
        <v>20603</v>
      </c>
      <c r="O453">
        <v>424</v>
      </c>
      <c r="P453">
        <v>1490</v>
      </c>
      <c r="Q453">
        <v>16980</v>
      </c>
      <c r="R453">
        <v>1</v>
      </c>
      <c r="S453">
        <v>0</v>
      </c>
      <c r="T453">
        <v>0</v>
      </c>
      <c r="U453">
        <v>0</v>
      </c>
      <c r="V453">
        <v>5984</v>
      </c>
      <c r="W453">
        <v>51222</v>
      </c>
      <c r="X453">
        <v>1613</v>
      </c>
      <c r="Y453">
        <f t="shared" si="7"/>
        <v>51222</v>
      </c>
      <c r="Z453" t="str">
        <f>IF(ISNUMBER(SEARCH("Adjustment",$C453)),"excluded",IF($H453="Behind the Meter","excluded",IF(NOT(OR($E453="Bundled",$E453="Energy")),"excluded",IF(OR($H453="Retail Power Marketer",$H453="Community Choice Aggregator",$E453="Energy"),"procurement",IF(OR($H453="Municipal",$H453="Cooperative",$H453="Federal",$H453="State",$H453="Political Subdivision"),"cost_service",IF($H453="Investor Owned",IF(AND(COUNTIF(Parameters!$A$4:$A$33,$G453)&gt;0,COUNTIF(Parameters!$B$4:$B$33,$B453)=0),"procurement","cost_service"),"unclassified"))))))</f>
        <v>cost_service</v>
      </c>
    </row>
    <row r="454" spans="1:26" x14ac:dyDescent="0.25">
      <c r="A454">
        <v>2024</v>
      </c>
      <c r="B454">
        <v>6894</v>
      </c>
      <c r="C454" t="s">
        <v>544</v>
      </c>
      <c r="D454" t="s">
        <v>84</v>
      </c>
      <c r="E454" t="s">
        <v>85</v>
      </c>
      <c r="F454" t="s">
        <v>86</v>
      </c>
      <c r="G454" t="s">
        <v>106</v>
      </c>
      <c r="H454" t="s">
        <v>88</v>
      </c>
      <c r="I454" t="s">
        <v>126</v>
      </c>
      <c r="J454">
        <v>8961</v>
      </c>
      <c r="K454">
        <v>72314</v>
      </c>
      <c r="L454">
        <v>6314</v>
      </c>
      <c r="M454">
        <v>14098</v>
      </c>
      <c r="N454">
        <v>94506</v>
      </c>
      <c r="O454">
        <v>1329</v>
      </c>
      <c r="P454">
        <v>5399</v>
      </c>
      <c r="Q454">
        <v>51385</v>
      </c>
      <c r="R454">
        <v>22</v>
      </c>
      <c r="S454" t="s">
        <v>97</v>
      </c>
      <c r="T454" t="s">
        <v>97</v>
      </c>
      <c r="U454" t="s">
        <v>97</v>
      </c>
      <c r="V454">
        <v>28458</v>
      </c>
      <c r="W454">
        <v>218205</v>
      </c>
      <c r="X454">
        <v>7665</v>
      </c>
      <c r="Y454">
        <f t="shared" si="7"/>
        <v>218205</v>
      </c>
      <c r="Z454" t="str">
        <f>IF(ISNUMBER(SEARCH("Adjustment",$C454)),"excluded",IF($H454="Behind the Meter","excluded",IF(NOT(OR($E454="Bundled",$E454="Energy")),"excluded",IF(OR($H454="Retail Power Marketer",$H454="Community Choice Aggregator",$E454="Energy"),"procurement",IF(OR($H454="Municipal",$H454="Cooperative",$H454="Federal",$H454="State",$H454="Political Subdivision"),"cost_service",IF($H454="Investor Owned",IF(AND(COUNTIF(Parameters!$A$4:$A$33,$G454)&gt;0,COUNTIF(Parameters!$B$4:$B$33,$B454)=0),"procurement","cost_service"),"unclassified"))))))</f>
        <v>cost_service</v>
      </c>
    </row>
    <row r="455" spans="1:26" x14ac:dyDescent="0.25">
      <c r="A455">
        <v>2024</v>
      </c>
      <c r="B455">
        <v>6909</v>
      </c>
      <c r="C455" t="s">
        <v>545</v>
      </c>
      <c r="D455" t="s">
        <v>84</v>
      </c>
      <c r="E455" t="s">
        <v>85</v>
      </c>
      <c r="F455" t="s">
        <v>86</v>
      </c>
      <c r="G455" t="s">
        <v>195</v>
      </c>
      <c r="H455" t="s">
        <v>88</v>
      </c>
      <c r="I455" t="s">
        <v>546</v>
      </c>
      <c r="J455">
        <v>129307.3</v>
      </c>
      <c r="K455">
        <v>869643</v>
      </c>
      <c r="L455">
        <v>92968</v>
      </c>
      <c r="M455">
        <v>128812</v>
      </c>
      <c r="N455">
        <v>789062</v>
      </c>
      <c r="O455">
        <v>11529</v>
      </c>
      <c r="P455">
        <v>22523</v>
      </c>
      <c r="Q455">
        <v>176908</v>
      </c>
      <c r="R455">
        <v>12</v>
      </c>
      <c r="S455" t="s">
        <v>97</v>
      </c>
      <c r="T455" t="s">
        <v>97</v>
      </c>
      <c r="U455" t="s">
        <v>97</v>
      </c>
      <c r="V455">
        <v>280642.3</v>
      </c>
      <c r="W455">
        <v>1835613</v>
      </c>
      <c r="X455">
        <v>104509</v>
      </c>
      <c r="Y455">
        <f t="shared" si="7"/>
        <v>1835613</v>
      </c>
      <c r="Z455" t="str">
        <f>IF(ISNUMBER(SEARCH("Adjustment",$C455)),"excluded",IF($H455="Behind the Meter","excluded",IF(NOT(OR($E455="Bundled",$E455="Energy")),"excluded",IF(OR($H455="Retail Power Marketer",$H455="Community Choice Aggregator",$E455="Energy"),"procurement",IF(OR($H455="Municipal",$H455="Cooperative",$H455="Federal",$H455="State",$H455="Political Subdivision"),"cost_service",IF($H455="Investor Owned",IF(AND(COUNTIF(Parameters!$A$4:$A$33,$G455)&gt;0,COUNTIF(Parameters!$B$4:$B$33,$B455)=0),"procurement","cost_service"),"unclassified"))))))</f>
        <v>cost_service</v>
      </c>
    </row>
    <row r="456" spans="1:26" x14ac:dyDescent="0.25">
      <c r="A456">
        <v>2024</v>
      </c>
      <c r="B456">
        <v>6923</v>
      </c>
      <c r="C456" t="s">
        <v>547</v>
      </c>
      <c r="D456" t="s">
        <v>84</v>
      </c>
      <c r="E456" t="s">
        <v>85</v>
      </c>
      <c r="F456" t="s">
        <v>86</v>
      </c>
      <c r="G456" t="s">
        <v>156</v>
      </c>
      <c r="H456" t="s">
        <v>88</v>
      </c>
      <c r="I456" t="s">
        <v>89</v>
      </c>
      <c r="J456">
        <v>33853</v>
      </c>
      <c r="K456">
        <v>287320</v>
      </c>
      <c r="L456">
        <v>23204</v>
      </c>
      <c r="M456">
        <v>33467</v>
      </c>
      <c r="N456">
        <v>316944</v>
      </c>
      <c r="O456">
        <v>3749</v>
      </c>
      <c r="P456">
        <v>10869</v>
      </c>
      <c r="Q456">
        <v>192056</v>
      </c>
      <c r="R456">
        <v>10</v>
      </c>
      <c r="S456">
        <v>0</v>
      </c>
      <c r="T456">
        <v>0</v>
      </c>
      <c r="U456">
        <v>0</v>
      </c>
      <c r="V456">
        <v>78189</v>
      </c>
      <c r="W456">
        <v>796320</v>
      </c>
      <c r="X456">
        <v>26963</v>
      </c>
      <c r="Y456">
        <f t="shared" si="7"/>
        <v>796320</v>
      </c>
      <c r="Z456" t="str">
        <f>IF(ISNUMBER(SEARCH("Adjustment",$C456)),"excluded",IF($H456="Behind the Meter","excluded",IF(NOT(OR($E456="Bundled",$E456="Energy")),"excluded",IF(OR($H456="Retail Power Marketer",$H456="Community Choice Aggregator",$E456="Energy"),"procurement",IF(OR($H456="Municipal",$H456="Cooperative",$H456="Federal",$H456="State",$H456="Political Subdivision"),"cost_service",IF($H456="Investor Owned",IF(AND(COUNTIF(Parameters!$A$4:$A$33,$G456)&gt;0,COUNTIF(Parameters!$B$4:$B$33,$B456)=0),"procurement","cost_service"),"unclassified"))))))</f>
        <v>cost_service</v>
      </c>
    </row>
    <row r="457" spans="1:26" x14ac:dyDescent="0.25">
      <c r="A457">
        <v>2024</v>
      </c>
      <c r="B457">
        <v>6941</v>
      </c>
      <c r="C457" t="s">
        <v>548</v>
      </c>
      <c r="D457" t="s">
        <v>84</v>
      </c>
      <c r="E457" t="s">
        <v>85</v>
      </c>
      <c r="F457" t="s">
        <v>86</v>
      </c>
      <c r="G457" t="s">
        <v>134</v>
      </c>
      <c r="H457" t="s">
        <v>88</v>
      </c>
      <c r="I457" t="s">
        <v>135</v>
      </c>
      <c r="J457">
        <v>13693</v>
      </c>
      <c r="K457">
        <v>86418</v>
      </c>
      <c r="L457">
        <v>10449</v>
      </c>
      <c r="M457">
        <v>9583</v>
      </c>
      <c r="N457">
        <v>93217</v>
      </c>
      <c r="O457">
        <v>1064</v>
      </c>
      <c r="P457">
        <v>13072</v>
      </c>
      <c r="Q457">
        <v>134771</v>
      </c>
      <c r="R457">
        <v>461</v>
      </c>
      <c r="S457" t="s">
        <v>97</v>
      </c>
      <c r="T457" t="s">
        <v>97</v>
      </c>
      <c r="U457" t="s">
        <v>97</v>
      </c>
      <c r="V457">
        <v>36348</v>
      </c>
      <c r="W457">
        <v>314406</v>
      </c>
      <c r="X457">
        <v>11974</v>
      </c>
      <c r="Y457">
        <f t="shared" si="7"/>
        <v>314406</v>
      </c>
      <c r="Z457" t="str">
        <f>IF(ISNUMBER(SEARCH("Adjustment",$C457)),"excluded",IF($H457="Behind the Meter","excluded",IF(NOT(OR($E457="Bundled",$E457="Energy")),"excluded",IF(OR($H457="Retail Power Marketer",$H457="Community Choice Aggregator",$E457="Energy"),"procurement",IF(OR($H457="Municipal",$H457="Cooperative",$H457="Federal",$H457="State",$H457="Political Subdivision"),"cost_service",IF($H457="Investor Owned",IF(AND(COUNTIF(Parameters!$A$4:$A$33,$G457)&gt;0,COUNTIF(Parameters!$B$4:$B$33,$B457)=0),"procurement","cost_service"),"unclassified"))))))</f>
        <v>cost_service</v>
      </c>
    </row>
    <row r="458" spans="1:26" x14ac:dyDescent="0.25">
      <c r="A458">
        <v>2024</v>
      </c>
      <c r="B458">
        <v>6957</v>
      </c>
      <c r="C458" t="s">
        <v>549</v>
      </c>
      <c r="D458" t="s">
        <v>84</v>
      </c>
      <c r="E458" t="s">
        <v>85</v>
      </c>
      <c r="F458" t="s">
        <v>86</v>
      </c>
      <c r="G458" t="s">
        <v>108</v>
      </c>
      <c r="H458" t="s">
        <v>91</v>
      </c>
      <c r="I458" t="s">
        <v>243</v>
      </c>
      <c r="J458">
        <v>3135.3</v>
      </c>
      <c r="K458">
        <v>27237</v>
      </c>
      <c r="L458">
        <v>1401</v>
      </c>
      <c r="M458">
        <v>2025.2</v>
      </c>
      <c r="N458">
        <v>19113</v>
      </c>
      <c r="O458">
        <v>412</v>
      </c>
      <c r="P458" t="s">
        <v>97</v>
      </c>
      <c r="Q458" t="s">
        <v>97</v>
      </c>
      <c r="R458" t="s">
        <v>97</v>
      </c>
      <c r="S458" t="s">
        <v>97</v>
      </c>
      <c r="T458" t="s">
        <v>97</v>
      </c>
      <c r="U458" t="s">
        <v>97</v>
      </c>
      <c r="V458">
        <v>5160.5</v>
      </c>
      <c r="W458">
        <v>46350</v>
      </c>
      <c r="X458">
        <v>1813</v>
      </c>
      <c r="Y458">
        <f t="shared" si="7"/>
        <v>46350</v>
      </c>
      <c r="Z458" t="str">
        <f>IF(ISNUMBER(SEARCH("Adjustment",$C458)),"excluded",IF($H458="Behind the Meter","excluded",IF(NOT(OR($E458="Bundled",$E458="Energy")),"excluded",IF(OR($H458="Retail Power Marketer",$H458="Community Choice Aggregator",$E458="Energy"),"procurement",IF(OR($H458="Municipal",$H458="Cooperative",$H458="Federal",$H458="State",$H458="Political Subdivision"),"cost_service",IF($H458="Investor Owned",IF(AND(COUNTIF(Parameters!$A$4:$A$33,$G458)&gt;0,COUNTIF(Parameters!$B$4:$B$33,$B458)=0),"procurement","cost_service"),"unclassified"))))))</f>
        <v>cost_service</v>
      </c>
    </row>
    <row r="459" spans="1:26" x14ac:dyDescent="0.25">
      <c r="A459">
        <v>2024</v>
      </c>
      <c r="B459">
        <v>6957</v>
      </c>
      <c r="C459" t="s">
        <v>549</v>
      </c>
      <c r="D459" t="s">
        <v>84</v>
      </c>
      <c r="E459" t="s">
        <v>85</v>
      </c>
      <c r="F459" t="s">
        <v>86</v>
      </c>
      <c r="G459" t="s">
        <v>245</v>
      </c>
      <c r="H459" t="s">
        <v>91</v>
      </c>
      <c r="I459" t="s">
        <v>259</v>
      </c>
      <c r="J459">
        <v>14420.7</v>
      </c>
      <c r="K459">
        <v>125989</v>
      </c>
      <c r="L459">
        <v>11653</v>
      </c>
      <c r="M459">
        <v>11057.7</v>
      </c>
      <c r="N459">
        <v>102279</v>
      </c>
      <c r="O459">
        <v>2478</v>
      </c>
      <c r="P459">
        <v>1266.8</v>
      </c>
      <c r="Q459">
        <v>19039</v>
      </c>
      <c r="R459">
        <v>1</v>
      </c>
      <c r="S459" t="s">
        <v>97</v>
      </c>
      <c r="T459" t="s">
        <v>97</v>
      </c>
      <c r="U459" t="s">
        <v>97</v>
      </c>
      <c r="V459">
        <v>26745.200000000001</v>
      </c>
      <c r="W459">
        <v>247307</v>
      </c>
      <c r="X459">
        <v>14132</v>
      </c>
      <c r="Y459">
        <f t="shared" si="7"/>
        <v>247307</v>
      </c>
      <c r="Z459" t="str">
        <f>IF(ISNUMBER(SEARCH("Adjustment",$C459)),"excluded",IF($H459="Behind the Meter","excluded",IF(NOT(OR($E459="Bundled",$E459="Energy")),"excluded",IF(OR($H459="Retail Power Marketer",$H459="Community Choice Aggregator",$E459="Energy"),"procurement",IF(OR($H459="Municipal",$H459="Cooperative",$H459="Federal",$H459="State",$H459="Political Subdivision"),"cost_service",IF($H459="Investor Owned",IF(AND(COUNTIF(Parameters!$A$4:$A$33,$G459)&gt;0,COUNTIF(Parameters!$B$4:$B$33,$B459)=0),"procurement","cost_service"),"unclassified"))))))</f>
        <v>cost_service</v>
      </c>
    </row>
    <row r="460" spans="1:26" x14ac:dyDescent="0.25">
      <c r="A460">
        <v>2024</v>
      </c>
      <c r="B460">
        <v>6958</v>
      </c>
      <c r="C460" t="s">
        <v>550</v>
      </c>
      <c r="D460" t="s">
        <v>84</v>
      </c>
      <c r="E460" t="s">
        <v>85</v>
      </c>
      <c r="F460" t="s">
        <v>86</v>
      </c>
      <c r="G460" t="s">
        <v>57</v>
      </c>
      <c r="H460" t="s">
        <v>88</v>
      </c>
      <c r="I460" t="s">
        <v>151</v>
      </c>
      <c r="J460">
        <v>122442</v>
      </c>
      <c r="K460">
        <v>908633</v>
      </c>
      <c r="L460">
        <v>69421</v>
      </c>
      <c r="M460">
        <v>100348</v>
      </c>
      <c r="N460">
        <v>809954</v>
      </c>
      <c r="O460">
        <v>6908</v>
      </c>
      <c r="P460">
        <v>21172</v>
      </c>
      <c r="Q460">
        <v>319696</v>
      </c>
      <c r="R460">
        <v>8</v>
      </c>
      <c r="S460" t="s">
        <v>97</v>
      </c>
      <c r="T460" t="s">
        <v>97</v>
      </c>
      <c r="U460" t="s">
        <v>97</v>
      </c>
      <c r="V460">
        <v>243962</v>
      </c>
      <c r="W460">
        <v>2038283</v>
      </c>
      <c r="X460">
        <v>76337</v>
      </c>
      <c r="Y460">
        <f t="shared" si="7"/>
        <v>2038283</v>
      </c>
      <c r="Z460" t="str">
        <f>IF(ISNUMBER(SEARCH("Adjustment",$C460)),"excluded",IF($H460="Behind the Meter","excluded",IF(NOT(OR($E460="Bundled",$E460="Energy")),"excluded",IF(OR($H460="Retail Power Marketer",$H460="Community Choice Aggregator",$E460="Energy"),"procurement",IF(OR($H460="Municipal",$H460="Cooperative",$H460="Federal",$H460="State",$H460="Political Subdivision"),"cost_service",IF($H460="Investor Owned",IF(AND(COUNTIF(Parameters!$A$4:$A$33,$G460)&gt;0,COUNTIF(Parameters!$B$4:$B$33,$B460)=0),"procurement","cost_service"),"unclassified"))))))</f>
        <v>cost_service</v>
      </c>
    </row>
    <row r="461" spans="1:26" x14ac:dyDescent="0.25">
      <c r="A461">
        <v>2024</v>
      </c>
      <c r="B461">
        <v>7024</v>
      </c>
      <c r="C461" t="s">
        <v>551</v>
      </c>
      <c r="D461" t="s">
        <v>84</v>
      </c>
      <c r="E461" t="s">
        <v>85</v>
      </c>
      <c r="F461" t="s">
        <v>86</v>
      </c>
      <c r="G461" t="s">
        <v>226</v>
      </c>
      <c r="H461" t="s">
        <v>91</v>
      </c>
      <c r="I461" t="s">
        <v>227</v>
      </c>
      <c r="J461">
        <v>16576</v>
      </c>
      <c r="K461">
        <v>134800</v>
      </c>
      <c r="L461">
        <v>9253</v>
      </c>
      <c r="M461">
        <v>3125</v>
      </c>
      <c r="N461">
        <v>25873</v>
      </c>
      <c r="O461">
        <v>930</v>
      </c>
      <c r="P461">
        <v>3214</v>
      </c>
      <c r="Q461">
        <v>39743</v>
      </c>
      <c r="R461">
        <v>2</v>
      </c>
      <c r="S461" t="s">
        <v>97</v>
      </c>
      <c r="T461" t="s">
        <v>97</v>
      </c>
      <c r="U461" t="s">
        <v>97</v>
      </c>
      <c r="V461">
        <v>22915</v>
      </c>
      <c r="W461">
        <v>200416</v>
      </c>
      <c r="X461">
        <v>10185</v>
      </c>
      <c r="Y461">
        <f t="shared" si="7"/>
        <v>200416</v>
      </c>
      <c r="Z461" t="str">
        <f>IF(ISNUMBER(SEARCH("Adjustment",$C461)),"excluded",IF($H461="Behind the Meter","excluded",IF(NOT(OR($E461="Bundled",$E461="Energy")),"excluded",IF(OR($H461="Retail Power Marketer",$H461="Community Choice Aggregator",$E461="Energy"),"procurement",IF(OR($H461="Municipal",$H461="Cooperative",$H461="Federal",$H461="State",$H461="Political Subdivision"),"cost_service",IF($H461="Investor Owned",IF(AND(COUNTIF(Parameters!$A$4:$A$33,$G461)&gt;0,COUNTIF(Parameters!$B$4:$B$33,$B461)=0),"procurement","cost_service"),"unclassified"))))))</f>
        <v>cost_service</v>
      </c>
    </row>
    <row r="462" spans="1:26" x14ac:dyDescent="0.25">
      <c r="A462">
        <v>2024</v>
      </c>
      <c r="B462">
        <v>7027</v>
      </c>
      <c r="C462" t="s">
        <v>552</v>
      </c>
      <c r="D462" t="s">
        <v>84</v>
      </c>
      <c r="E462" t="s">
        <v>85</v>
      </c>
      <c r="F462" t="s">
        <v>86</v>
      </c>
      <c r="G462" t="s">
        <v>125</v>
      </c>
      <c r="H462" t="s">
        <v>88</v>
      </c>
      <c r="I462" t="s">
        <v>126</v>
      </c>
      <c r="J462">
        <v>35706.5</v>
      </c>
      <c r="K462">
        <v>288003</v>
      </c>
      <c r="L462">
        <v>27008</v>
      </c>
      <c r="M462">
        <v>35294.400000000001</v>
      </c>
      <c r="N462">
        <v>323339</v>
      </c>
      <c r="O462">
        <v>4238</v>
      </c>
      <c r="P462">
        <v>8275.6</v>
      </c>
      <c r="Q462">
        <v>110891</v>
      </c>
      <c r="R462">
        <v>90</v>
      </c>
      <c r="S462" t="s">
        <v>97</v>
      </c>
      <c r="T462" t="s">
        <v>97</v>
      </c>
      <c r="U462" t="s">
        <v>97</v>
      </c>
      <c r="V462">
        <v>79276.5</v>
      </c>
      <c r="W462">
        <v>722233</v>
      </c>
      <c r="X462">
        <v>31336</v>
      </c>
      <c r="Y462">
        <f t="shared" si="7"/>
        <v>722233</v>
      </c>
      <c r="Z462" t="str">
        <f>IF(ISNUMBER(SEARCH("Adjustment",$C462)),"excluded",IF($H462="Behind the Meter","excluded",IF(NOT(OR($E462="Bundled",$E462="Energy")),"excluded",IF(OR($H462="Retail Power Marketer",$H462="Community Choice Aggregator",$E462="Energy"),"procurement",IF(OR($H462="Municipal",$H462="Cooperative",$H462="Federal",$H462="State",$H462="Political Subdivision"),"cost_service",IF($H462="Investor Owned",IF(AND(COUNTIF(Parameters!$A$4:$A$33,$G462)&gt;0,COUNTIF(Parameters!$B$4:$B$33,$B462)=0),"procurement","cost_service"),"unclassified"))))))</f>
        <v>cost_service</v>
      </c>
    </row>
    <row r="463" spans="1:26" x14ac:dyDescent="0.25">
      <c r="A463">
        <v>2024</v>
      </c>
      <c r="B463">
        <v>7090</v>
      </c>
      <c r="C463" t="s">
        <v>553</v>
      </c>
      <c r="D463" t="s">
        <v>84</v>
      </c>
      <c r="E463" t="s">
        <v>85</v>
      </c>
      <c r="F463" t="s">
        <v>86</v>
      </c>
      <c r="G463" t="s">
        <v>123</v>
      </c>
      <c r="H463" t="s">
        <v>91</v>
      </c>
      <c r="I463" t="s">
        <v>113</v>
      </c>
      <c r="J463">
        <v>241837.7</v>
      </c>
      <c r="K463">
        <v>1979465</v>
      </c>
      <c r="L463">
        <v>139028</v>
      </c>
      <c r="M463">
        <v>81386.7</v>
      </c>
      <c r="N463">
        <v>638507</v>
      </c>
      <c r="O463">
        <v>13026</v>
      </c>
      <c r="P463">
        <v>42802.3</v>
      </c>
      <c r="Q463">
        <v>475798</v>
      </c>
      <c r="R463">
        <v>92</v>
      </c>
      <c r="S463">
        <v>0</v>
      </c>
      <c r="T463">
        <v>0</v>
      </c>
      <c r="U463">
        <v>0</v>
      </c>
      <c r="V463">
        <v>366026.7</v>
      </c>
      <c r="W463">
        <v>3093770</v>
      </c>
      <c r="X463">
        <v>152146</v>
      </c>
      <c r="Y463">
        <f t="shared" si="7"/>
        <v>3093770</v>
      </c>
      <c r="Z463" t="str">
        <f>IF(ISNUMBER(SEARCH("Adjustment",$C463)),"excluded",IF($H463="Behind the Meter","excluded",IF(NOT(OR($E463="Bundled",$E463="Energy")),"excluded",IF(OR($H463="Retail Power Marketer",$H463="Community Choice Aggregator",$E463="Energy"),"procurement",IF(OR($H463="Municipal",$H463="Cooperative",$H463="Federal",$H463="State",$H463="Political Subdivision"),"cost_service",IF($H463="Investor Owned",IF(AND(COUNTIF(Parameters!$A$4:$A$33,$G463)&gt;0,COUNTIF(Parameters!$B$4:$B$33,$B463)=0),"procurement","cost_service"),"unclassified"))))))</f>
        <v>cost_service</v>
      </c>
    </row>
    <row r="464" spans="1:26" x14ac:dyDescent="0.25">
      <c r="A464">
        <v>2024</v>
      </c>
      <c r="B464">
        <v>7096</v>
      </c>
      <c r="C464" t="s">
        <v>554</v>
      </c>
      <c r="D464" t="s">
        <v>84</v>
      </c>
      <c r="E464" t="s">
        <v>85</v>
      </c>
      <c r="F464" t="s">
        <v>86</v>
      </c>
      <c r="G464" t="s">
        <v>46</v>
      </c>
      <c r="H464" t="s">
        <v>88</v>
      </c>
      <c r="I464" t="s">
        <v>92</v>
      </c>
      <c r="J464">
        <v>8886</v>
      </c>
      <c r="K464">
        <v>80550</v>
      </c>
      <c r="L464">
        <v>8691</v>
      </c>
      <c r="M464">
        <v>11991</v>
      </c>
      <c r="N464">
        <v>125887</v>
      </c>
      <c r="O464">
        <v>1576</v>
      </c>
      <c r="P464">
        <v>11973</v>
      </c>
      <c r="Q464">
        <v>155527</v>
      </c>
      <c r="R464">
        <v>20</v>
      </c>
      <c r="S464" t="s">
        <v>97</v>
      </c>
      <c r="T464" t="s">
        <v>97</v>
      </c>
      <c r="U464" t="s">
        <v>97</v>
      </c>
      <c r="V464">
        <v>32850</v>
      </c>
      <c r="W464">
        <v>361964</v>
      </c>
      <c r="X464">
        <v>10287</v>
      </c>
      <c r="Y464">
        <f t="shared" si="7"/>
        <v>361964</v>
      </c>
      <c r="Z464" t="str">
        <f>IF(ISNUMBER(SEARCH("Adjustment",$C464)),"excluded",IF($H464="Behind the Meter","excluded",IF(NOT(OR($E464="Bundled",$E464="Energy")),"excluded",IF(OR($H464="Retail Power Marketer",$H464="Community Choice Aggregator",$E464="Energy"),"procurement",IF(OR($H464="Municipal",$H464="Cooperative",$H464="Federal",$H464="State",$H464="Political Subdivision"),"cost_service",IF($H464="Investor Owned",IF(AND(COUNTIF(Parameters!$A$4:$A$33,$G464)&gt;0,COUNTIF(Parameters!$B$4:$B$33,$B464)=0),"procurement","cost_service"),"unclassified"))))))</f>
        <v>cost_service</v>
      </c>
    </row>
    <row r="465" spans="1:26" x14ac:dyDescent="0.25">
      <c r="A465">
        <v>2024</v>
      </c>
      <c r="B465">
        <v>7129</v>
      </c>
      <c r="C465" t="s">
        <v>555</v>
      </c>
      <c r="D465" t="s">
        <v>84</v>
      </c>
      <c r="E465" t="s">
        <v>85</v>
      </c>
      <c r="F465" t="s">
        <v>86</v>
      </c>
      <c r="G465" t="s">
        <v>57</v>
      </c>
      <c r="H465" t="s">
        <v>88</v>
      </c>
      <c r="I465" t="s">
        <v>151</v>
      </c>
      <c r="J465">
        <v>45007.9</v>
      </c>
      <c r="K465">
        <v>324460</v>
      </c>
      <c r="L465">
        <v>29904</v>
      </c>
      <c r="M465">
        <v>38060.9</v>
      </c>
      <c r="N465">
        <v>347997</v>
      </c>
      <c r="O465">
        <v>3124</v>
      </c>
      <c r="P465">
        <v>14637.4</v>
      </c>
      <c r="Q465">
        <v>118481</v>
      </c>
      <c r="R465">
        <v>38</v>
      </c>
      <c r="S465" t="s">
        <v>97</v>
      </c>
      <c r="T465" t="s">
        <v>97</v>
      </c>
      <c r="U465" t="s">
        <v>97</v>
      </c>
      <c r="V465">
        <v>97706.2</v>
      </c>
      <c r="W465">
        <v>790938</v>
      </c>
      <c r="X465">
        <v>33066</v>
      </c>
      <c r="Y465">
        <f t="shared" si="7"/>
        <v>790938</v>
      </c>
      <c r="Z465" t="str">
        <f>IF(ISNUMBER(SEARCH("Adjustment",$C465)),"excluded",IF($H465="Behind the Meter","excluded",IF(NOT(OR($E465="Bundled",$E465="Energy")),"excluded",IF(OR($H465="Retail Power Marketer",$H465="Community Choice Aggregator",$E465="Energy"),"procurement",IF(OR($H465="Municipal",$H465="Cooperative",$H465="Federal",$H465="State",$H465="Political Subdivision"),"cost_service",IF($H465="Investor Owned",IF(AND(COUNTIF(Parameters!$A$4:$A$33,$G465)&gt;0,COUNTIF(Parameters!$B$4:$B$33,$B465)=0),"procurement","cost_service"),"unclassified"))))))</f>
        <v>cost_service</v>
      </c>
    </row>
    <row r="466" spans="1:26" x14ac:dyDescent="0.25">
      <c r="A466">
        <v>2024</v>
      </c>
      <c r="B466">
        <v>7140</v>
      </c>
      <c r="C466" t="s">
        <v>556</v>
      </c>
      <c r="D466" t="s">
        <v>84</v>
      </c>
      <c r="E466" t="s">
        <v>85</v>
      </c>
      <c r="F466" t="s">
        <v>86</v>
      </c>
      <c r="G466" t="s">
        <v>123</v>
      </c>
      <c r="H466" t="s">
        <v>109</v>
      </c>
      <c r="I466" t="s">
        <v>113</v>
      </c>
      <c r="J466">
        <v>4509930.5999999996</v>
      </c>
      <c r="K466">
        <v>29113358</v>
      </c>
      <c r="L466">
        <v>2452488</v>
      </c>
      <c r="M466">
        <v>3995961.2</v>
      </c>
      <c r="N466">
        <v>34306574</v>
      </c>
      <c r="O466">
        <v>341063</v>
      </c>
      <c r="P466">
        <v>1678490.6</v>
      </c>
      <c r="Q466">
        <v>23654325</v>
      </c>
      <c r="R466">
        <v>10551</v>
      </c>
      <c r="S466">
        <v>11591.4</v>
      </c>
      <c r="T466">
        <v>151669</v>
      </c>
      <c r="U466">
        <v>1</v>
      </c>
      <c r="V466">
        <v>10195973.800000001</v>
      </c>
      <c r="W466">
        <v>87225926</v>
      </c>
      <c r="X466">
        <v>2804103</v>
      </c>
      <c r="Y466">
        <f t="shared" si="7"/>
        <v>87225926</v>
      </c>
      <c r="Z466" t="str">
        <f>IF(ISNUMBER(SEARCH("Adjustment",$C466)),"excluded",IF($H466="Behind the Meter","excluded",IF(NOT(OR($E466="Bundled",$E466="Energy")),"excluded",IF(OR($H466="Retail Power Marketer",$H466="Community Choice Aggregator",$E466="Energy"),"procurement",IF(OR($H466="Municipal",$H466="Cooperative",$H466="Federal",$H466="State",$H466="Political Subdivision"),"cost_service",IF($H466="Investor Owned",IF(AND(COUNTIF(Parameters!$A$4:$A$33,$G466)&gt;0,COUNTIF(Parameters!$B$4:$B$33,$B466)=0),"procurement","cost_service"),"unclassified"))))))</f>
        <v>cost_service</v>
      </c>
    </row>
    <row r="467" spans="1:26" x14ac:dyDescent="0.25">
      <c r="A467">
        <v>2024</v>
      </c>
      <c r="B467">
        <v>7174</v>
      </c>
      <c r="C467" t="s">
        <v>557</v>
      </c>
      <c r="D467" t="s">
        <v>84</v>
      </c>
      <c r="E467" t="s">
        <v>85</v>
      </c>
      <c r="F467" t="s">
        <v>86</v>
      </c>
      <c r="G467" t="s">
        <v>209</v>
      </c>
      <c r="H467" t="s">
        <v>91</v>
      </c>
      <c r="I467" t="s">
        <v>89</v>
      </c>
      <c r="J467">
        <v>4716</v>
      </c>
      <c r="K467">
        <v>35374</v>
      </c>
      <c r="L467">
        <v>2527</v>
      </c>
      <c r="M467">
        <v>4050</v>
      </c>
      <c r="N467">
        <v>33166</v>
      </c>
      <c r="O467">
        <v>885</v>
      </c>
      <c r="P467">
        <v>740</v>
      </c>
      <c r="Q467">
        <v>12593</v>
      </c>
      <c r="R467">
        <v>1</v>
      </c>
      <c r="S467">
        <v>0</v>
      </c>
      <c r="T467">
        <v>0</v>
      </c>
      <c r="U467">
        <v>0</v>
      </c>
      <c r="V467">
        <v>9506</v>
      </c>
      <c r="W467">
        <v>81133</v>
      </c>
      <c r="X467">
        <v>3413</v>
      </c>
      <c r="Y467">
        <f t="shared" si="7"/>
        <v>81133</v>
      </c>
      <c r="Z467" t="str">
        <f>IF(ISNUMBER(SEARCH("Adjustment",$C467)),"excluded",IF($H467="Behind the Meter","excluded",IF(NOT(OR($E467="Bundled",$E467="Energy")),"excluded",IF(OR($H467="Retail Power Marketer",$H467="Community Choice Aggregator",$E467="Energy"),"procurement",IF(OR($H467="Municipal",$H467="Cooperative",$H467="Federal",$H467="State",$H467="Political Subdivision"),"cost_service",IF($H467="Investor Owned",IF(AND(COUNTIF(Parameters!$A$4:$A$33,$G467)&gt;0,COUNTIF(Parameters!$B$4:$B$33,$B467)=0),"procurement","cost_service"),"unclassified"))))))</f>
        <v>cost_service</v>
      </c>
    </row>
    <row r="468" spans="1:26" x14ac:dyDescent="0.25">
      <c r="A468">
        <v>2024</v>
      </c>
      <c r="B468">
        <v>7174</v>
      </c>
      <c r="C468" t="s">
        <v>557</v>
      </c>
      <c r="D468" t="s">
        <v>84</v>
      </c>
      <c r="E468" t="s">
        <v>85</v>
      </c>
      <c r="F468" t="s">
        <v>86</v>
      </c>
      <c r="G468" t="s">
        <v>156</v>
      </c>
      <c r="H468" t="s">
        <v>91</v>
      </c>
      <c r="I468" t="s">
        <v>89</v>
      </c>
      <c r="J468">
        <v>58567</v>
      </c>
      <c r="K468">
        <v>450469</v>
      </c>
      <c r="L468">
        <v>29331</v>
      </c>
      <c r="M468">
        <v>27632</v>
      </c>
      <c r="N468">
        <v>215316</v>
      </c>
      <c r="O468">
        <v>6508</v>
      </c>
      <c r="P468">
        <v>10281</v>
      </c>
      <c r="Q468">
        <v>156161</v>
      </c>
      <c r="R468">
        <v>8</v>
      </c>
      <c r="S468">
        <v>0</v>
      </c>
      <c r="T468">
        <v>0</v>
      </c>
      <c r="U468">
        <v>0</v>
      </c>
      <c r="V468">
        <v>96480</v>
      </c>
      <c r="W468">
        <v>821946</v>
      </c>
      <c r="X468">
        <v>35847</v>
      </c>
      <c r="Y468">
        <f t="shared" si="7"/>
        <v>821946</v>
      </c>
      <c r="Z468" t="str">
        <f>IF(ISNUMBER(SEARCH("Adjustment",$C468)),"excluded",IF($H468="Behind the Meter","excluded",IF(NOT(OR($E468="Bundled",$E468="Energy")),"excluded",IF(OR($H468="Retail Power Marketer",$H468="Community Choice Aggregator",$E468="Energy"),"procurement",IF(OR($H468="Municipal",$H468="Cooperative",$H468="Federal",$H468="State",$H468="Political Subdivision"),"cost_service",IF($H468="Investor Owned",IF(AND(COUNTIF(Parameters!$A$4:$A$33,$G468)&gt;0,COUNTIF(Parameters!$B$4:$B$33,$B468)=0),"procurement","cost_service"),"unclassified"))))))</f>
        <v>cost_service</v>
      </c>
    </row>
    <row r="469" spans="1:26" x14ac:dyDescent="0.25">
      <c r="A469">
        <v>2024</v>
      </c>
      <c r="B469">
        <v>7222</v>
      </c>
      <c r="C469" t="s">
        <v>558</v>
      </c>
      <c r="D469" t="s">
        <v>84</v>
      </c>
      <c r="E469" t="s">
        <v>85</v>
      </c>
      <c r="F469" t="s">
        <v>86</v>
      </c>
      <c r="G469" t="s">
        <v>323</v>
      </c>
      <c r="H469" t="s">
        <v>88</v>
      </c>
      <c r="I469" t="s">
        <v>559</v>
      </c>
      <c r="J469">
        <v>18747</v>
      </c>
      <c r="K469">
        <v>148545</v>
      </c>
      <c r="L469">
        <v>13990</v>
      </c>
      <c r="M469">
        <v>18707</v>
      </c>
      <c r="N469">
        <v>189837</v>
      </c>
      <c r="O469">
        <v>2739</v>
      </c>
      <c r="P469" t="s">
        <v>97</v>
      </c>
      <c r="Q469" t="s">
        <v>97</v>
      </c>
      <c r="R469" t="s">
        <v>97</v>
      </c>
      <c r="S469" t="s">
        <v>97</v>
      </c>
      <c r="T469" t="s">
        <v>97</v>
      </c>
      <c r="U469" t="s">
        <v>97</v>
      </c>
      <c r="V469">
        <v>37454</v>
      </c>
      <c r="W469">
        <v>338382</v>
      </c>
      <c r="X469">
        <v>16729</v>
      </c>
      <c r="Y469">
        <f t="shared" si="7"/>
        <v>338382</v>
      </c>
      <c r="Z469" t="str">
        <f>IF(ISNUMBER(SEARCH("Adjustment",$C469)),"excluded",IF($H469="Behind the Meter","excluded",IF(NOT(OR($E469="Bundled",$E469="Energy")),"excluded",IF(OR($H469="Retail Power Marketer",$H469="Community Choice Aggregator",$E469="Energy"),"procurement",IF(OR($H469="Municipal",$H469="Cooperative",$H469="Federal",$H469="State",$H469="Political Subdivision"),"cost_service",IF($H469="Investor Owned",IF(AND(COUNTIF(Parameters!$A$4:$A$33,$G469)&gt;0,COUNTIF(Parameters!$B$4:$B$33,$B469)=0),"procurement","cost_service"),"unclassified"))))))</f>
        <v>cost_service</v>
      </c>
    </row>
    <row r="470" spans="1:26" x14ac:dyDescent="0.25">
      <c r="A470">
        <v>2024</v>
      </c>
      <c r="B470">
        <v>7264</v>
      </c>
      <c r="C470" t="s">
        <v>560</v>
      </c>
      <c r="D470" t="s">
        <v>84</v>
      </c>
      <c r="E470" t="s">
        <v>85</v>
      </c>
      <c r="F470" t="s">
        <v>86</v>
      </c>
      <c r="G470" t="s">
        <v>195</v>
      </c>
      <c r="H470" t="s">
        <v>91</v>
      </c>
      <c r="I470" t="s">
        <v>299</v>
      </c>
      <c r="J470">
        <v>31637</v>
      </c>
      <c r="K470">
        <v>190738</v>
      </c>
      <c r="L470">
        <v>14456</v>
      </c>
      <c r="M470">
        <v>8847</v>
      </c>
      <c r="N470">
        <v>42709</v>
      </c>
      <c r="O470">
        <v>3557</v>
      </c>
      <c r="P470">
        <v>15161</v>
      </c>
      <c r="Q470">
        <v>110139</v>
      </c>
      <c r="R470">
        <v>519</v>
      </c>
      <c r="S470" t="s">
        <v>97</v>
      </c>
      <c r="T470" t="s">
        <v>97</v>
      </c>
      <c r="U470" t="s">
        <v>97</v>
      </c>
      <c r="V470">
        <v>55645</v>
      </c>
      <c r="W470">
        <v>343586</v>
      </c>
      <c r="X470">
        <v>18532</v>
      </c>
      <c r="Y470">
        <f t="shared" si="7"/>
        <v>343586</v>
      </c>
      <c r="Z470" t="str">
        <f>IF(ISNUMBER(SEARCH("Adjustment",$C470)),"excluded",IF($H470="Behind the Meter","excluded",IF(NOT(OR($E470="Bundled",$E470="Energy")),"excluded",IF(OR($H470="Retail Power Marketer",$H470="Community Choice Aggregator",$E470="Energy"),"procurement",IF(OR($H470="Municipal",$H470="Cooperative",$H470="Federal",$H470="State",$H470="Political Subdivision"),"cost_service",IF($H470="Investor Owned",IF(AND(COUNTIF(Parameters!$A$4:$A$33,$G470)&gt;0,COUNTIF(Parameters!$B$4:$B$33,$B470)=0),"procurement","cost_service"),"unclassified"))))))</f>
        <v>cost_service</v>
      </c>
    </row>
    <row r="471" spans="1:26" x14ac:dyDescent="0.25">
      <c r="A471">
        <v>2024</v>
      </c>
      <c r="B471">
        <v>7265</v>
      </c>
      <c r="C471" t="s">
        <v>561</v>
      </c>
      <c r="D471" t="s">
        <v>84</v>
      </c>
      <c r="E471" t="s">
        <v>85</v>
      </c>
      <c r="F471" t="s">
        <v>86</v>
      </c>
      <c r="G471" t="s">
        <v>140</v>
      </c>
      <c r="H471" t="s">
        <v>88</v>
      </c>
      <c r="I471" t="s">
        <v>96</v>
      </c>
      <c r="J471">
        <v>2328.1999999999998</v>
      </c>
      <c r="K471">
        <v>14910</v>
      </c>
      <c r="L471">
        <v>2339</v>
      </c>
      <c r="M471">
        <v>1809</v>
      </c>
      <c r="N471">
        <v>13400</v>
      </c>
      <c r="O471">
        <v>348</v>
      </c>
      <c r="P471">
        <v>0</v>
      </c>
      <c r="Q471">
        <v>0</v>
      </c>
      <c r="R471">
        <v>0</v>
      </c>
      <c r="S471">
        <v>0</v>
      </c>
      <c r="T471">
        <v>0</v>
      </c>
      <c r="U471">
        <v>0</v>
      </c>
      <c r="V471">
        <v>4137.2</v>
      </c>
      <c r="W471">
        <v>28310</v>
      </c>
      <c r="X471">
        <v>2687</v>
      </c>
      <c r="Y471">
        <f t="shared" si="7"/>
        <v>28310</v>
      </c>
      <c r="Z471" t="str">
        <f>IF(ISNUMBER(SEARCH("Adjustment",$C471)),"excluded",IF($H471="Behind the Meter","excluded",IF(NOT(OR($E471="Bundled",$E471="Energy")),"excluded",IF(OR($H471="Retail Power Marketer",$H471="Community Choice Aggregator",$E471="Energy"),"procurement",IF(OR($H471="Municipal",$H471="Cooperative",$H471="Federal",$H471="State",$H471="Political Subdivision"),"cost_service",IF($H471="Investor Owned",IF(AND(COUNTIF(Parameters!$A$4:$A$33,$G471)&gt;0,COUNTIF(Parameters!$B$4:$B$33,$B471)=0),"procurement","cost_service"),"unclassified"))))))</f>
        <v>cost_service</v>
      </c>
    </row>
    <row r="472" spans="1:26" x14ac:dyDescent="0.25">
      <c r="A472">
        <v>2024</v>
      </c>
      <c r="B472">
        <v>7270</v>
      </c>
      <c r="C472" t="s">
        <v>562</v>
      </c>
      <c r="D472" t="s">
        <v>84</v>
      </c>
      <c r="E472" t="s">
        <v>85</v>
      </c>
      <c r="F472" t="s">
        <v>86</v>
      </c>
      <c r="G472" t="s">
        <v>209</v>
      </c>
      <c r="H472" t="s">
        <v>88</v>
      </c>
      <c r="I472" t="s">
        <v>89</v>
      </c>
      <c r="J472">
        <v>8744</v>
      </c>
      <c r="K472">
        <v>64990</v>
      </c>
      <c r="L472">
        <v>5644</v>
      </c>
      <c r="M472">
        <v>16415</v>
      </c>
      <c r="N472">
        <v>139257</v>
      </c>
      <c r="O472">
        <v>1971</v>
      </c>
      <c r="P472">
        <v>735</v>
      </c>
      <c r="Q472">
        <v>9528</v>
      </c>
      <c r="R472">
        <v>3</v>
      </c>
      <c r="S472">
        <v>0</v>
      </c>
      <c r="T472">
        <v>0</v>
      </c>
      <c r="U472">
        <v>0</v>
      </c>
      <c r="V472">
        <v>25894</v>
      </c>
      <c r="W472">
        <v>213775</v>
      </c>
      <c r="X472">
        <v>7618</v>
      </c>
      <c r="Y472">
        <f t="shared" si="7"/>
        <v>213775</v>
      </c>
      <c r="Z472" t="str">
        <f>IF(ISNUMBER(SEARCH("Adjustment",$C472)),"excluded",IF($H472="Behind the Meter","excluded",IF(NOT(OR($E472="Bundled",$E472="Energy")),"excluded",IF(OR($H472="Retail Power Marketer",$H472="Community Choice Aggregator",$E472="Energy"),"procurement",IF(OR($H472="Municipal",$H472="Cooperative",$H472="Federal",$H472="State",$H472="Political Subdivision"),"cost_service",IF($H472="Investor Owned",IF(AND(COUNTIF(Parameters!$A$4:$A$33,$G472)&gt;0,COUNTIF(Parameters!$B$4:$B$33,$B472)=0),"procurement","cost_service"),"unclassified"))))))</f>
        <v>cost_service</v>
      </c>
    </row>
    <row r="473" spans="1:26" x14ac:dyDescent="0.25">
      <c r="A473">
        <v>2024</v>
      </c>
      <c r="B473">
        <v>7279</v>
      </c>
      <c r="C473" t="s">
        <v>563</v>
      </c>
      <c r="D473" t="s">
        <v>99</v>
      </c>
      <c r="E473" t="s">
        <v>100</v>
      </c>
      <c r="F473" t="s">
        <v>86</v>
      </c>
      <c r="G473" t="s">
        <v>40</v>
      </c>
      <c r="H473" t="s">
        <v>101</v>
      </c>
      <c r="I473" t="s">
        <v>189</v>
      </c>
      <c r="J473" t="s">
        <v>97</v>
      </c>
      <c r="K473" t="s">
        <v>97</v>
      </c>
      <c r="L473" t="s">
        <v>97</v>
      </c>
      <c r="M473">
        <v>41897.4</v>
      </c>
      <c r="N473">
        <v>380928</v>
      </c>
      <c r="O473">
        <v>1285</v>
      </c>
      <c r="P473" t="s">
        <v>97</v>
      </c>
      <c r="Q473" t="s">
        <v>97</v>
      </c>
      <c r="R473" t="s">
        <v>97</v>
      </c>
      <c r="S473" t="s">
        <v>97</v>
      </c>
      <c r="T473" t="s">
        <v>97</v>
      </c>
      <c r="U473" t="s">
        <v>97</v>
      </c>
      <c r="V473">
        <v>41897.4</v>
      </c>
      <c r="W473">
        <v>380928</v>
      </c>
      <c r="X473">
        <v>1285</v>
      </c>
      <c r="Y473">
        <f t="shared" si="7"/>
        <v>380928</v>
      </c>
      <c r="Z473" t="str">
        <f>IF(ISNUMBER(SEARCH("Adjustment",$C473)),"excluded",IF($H473="Behind the Meter","excluded",IF(NOT(OR($E473="Bundled",$E473="Energy")),"excluded",IF(OR($H473="Retail Power Marketer",$H473="Community Choice Aggregator",$E473="Energy"),"procurement",IF(OR($H473="Municipal",$H473="Cooperative",$H473="Federal",$H473="State",$H473="Political Subdivision"),"cost_service",IF($H473="Investor Owned",IF(AND(COUNTIF(Parameters!$A$4:$A$33,$G473)&gt;0,COUNTIF(Parameters!$B$4:$B$33,$B473)=0),"procurement","cost_service"),"unclassified"))))))</f>
        <v>procurement</v>
      </c>
    </row>
    <row r="474" spans="1:26" x14ac:dyDescent="0.25">
      <c r="A474">
        <v>2024</v>
      </c>
      <c r="B474">
        <v>7279</v>
      </c>
      <c r="C474" t="s">
        <v>563</v>
      </c>
      <c r="D474" t="s">
        <v>99</v>
      </c>
      <c r="E474" t="s">
        <v>100</v>
      </c>
      <c r="F474" t="s">
        <v>86</v>
      </c>
      <c r="G474" t="s">
        <v>42</v>
      </c>
      <c r="H474" t="s">
        <v>101</v>
      </c>
      <c r="I474" t="s">
        <v>92</v>
      </c>
      <c r="J474">
        <v>83.2</v>
      </c>
      <c r="K474">
        <v>884</v>
      </c>
      <c r="L474">
        <v>72</v>
      </c>
      <c r="M474">
        <v>4446.8999999999996</v>
      </c>
      <c r="N474">
        <v>39273</v>
      </c>
      <c r="O474">
        <v>81</v>
      </c>
      <c r="P474" t="s">
        <v>97</v>
      </c>
      <c r="Q474" t="s">
        <v>97</v>
      </c>
      <c r="R474" t="s">
        <v>97</v>
      </c>
      <c r="S474" t="s">
        <v>97</v>
      </c>
      <c r="T474" t="s">
        <v>97</v>
      </c>
      <c r="U474" t="s">
        <v>97</v>
      </c>
      <c r="V474">
        <v>4530.1000000000004</v>
      </c>
      <c r="W474">
        <v>40157</v>
      </c>
      <c r="X474">
        <v>153</v>
      </c>
      <c r="Y474">
        <f t="shared" si="7"/>
        <v>40157</v>
      </c>
      <c r="Z474" t="str">
        <f>IF(ISNUMBER(SEARCH("Adjustment",$C474)),"excluded",IF($H474="Behind the Meter","excluded",IF(NOT(OR($E474="Bundled",$E474="Energy")),"excluded",IF(OR($H474="Retail Power Marketer",$H474="Community Choice Aggregator",$E474="Energy"),"procurement",IF(OR($H474="Municipal",$H474="Cooperative",$H474="Federal",$H474="State",$H474="Political Subdivision"),"cost_service",IF($H474="Investor Owned",IF(AND(COUNTIF(Parameters!$A$4:$A$33,$G474)&gt;0,COUNTIF(Parameters!$B$4:$B$33,$B474)=0),"procurement","cost_service"),"unclassified"))))))</f>
        <v>procurement</v>
      </c>
    </row>
    <row r="475" spans="1:26" x14ac:dyDescent="0.25">
      <c r="A475">
        <v>2024</v>
      </c>
      <c r="B475">
        <v>7279</v>
      </c>
      <c r="C475" t="s">
        <v>563</v>
      </c>
      <c r="D475" t="s">
        <v>99</v>
      </c>
      <c r="E475" t="s">
        <v>100</v>
      </c>
      <c r="F475" t="s">
        <v>86</v>
      </c>
      <c r="G475" t="s">
        <v>44</v>
      </c>
      <c r="H475" t="s">
        <v>101</v>
      </c>
      <c r="I475" t="s">
        <v>92</v>
      </c>
      <c r="J475">
        <v>365.9</v>
      </c>
      <c r="K475">
        <v>2504</v>
      </c>
      <c r="L475">
        <v>211</v>
      </c>
      <c r="M475">
        <v>12621.8</v>
      </c>
      <c r="N475">
        <v>207399</v>
      </c>
      <c r="O475">
        <v>124</v>
      </c>
      <c r="P475" t="s">
        <v>97</v>
      </c>
      <c r="Q475" t="s">
        <v>97</v>
      </c>
      <c r="R475" t="s">
        <v>97</v>
      </c>
      <c r="S475" t="s">
        <v>97</v>
      </c>
      <c r="T475" t="s">
        <v>97</v>
      </c>
      <c r="U475" t="s">
        <v>97</v>
      </c>
      <c r="V475">
        <v>12987.7</v>
      </c>
      <c r="W475">
        <v>209903</v>
      </c>
      <c r="X475">
        <v>335</v>
      </c>
      <c r="Y475">
        <f t="shared" si="7"/>
        <v>209903</v>
      </c>
      <c r="Z475" t="str">
        <f>IF(ISNUMBER(SEARCH("Adjustment",$C475)),"excluded",IF($H475="Behind the Meter","excluded",IF(NOT(OR($E475="Bundled",$E475="Energy")),"excluded",IF(OR($H475="Retail Power Marketer",$H475="Community Choice Aggregator",$E475="Energy"),"procurement",IF(OR($H475="Municipal",$H475="Cooperative",$H475="Federal",$H475="State",$H475="Political Subdivision"),"cost_service",IF($H475="Investor Owned",IF(AND(COUNTIF(Parameters!$A$4:$A$33,$G475)&gt;0,COUNTIF(Parameters!$B$4:$B$33,$B475)=0),"procurement","cost_service"),"unclassified"))))))</f>
        <v>procurement</v>
      </c>
    </row>
    <row r="476" spans="1:26" x14ac:dyDescent="0.25">
      <c r="A476">
        <v>2024</v>
      </c>
      <c r="B476">
        <v>7279</v>
      </c>
      <c r="C476" t="s">
        <v>563</v>
      </c>
      <c r="D476" t="s">
        <v>99</v>
      </c>
      <c r="E476" t="s">
        <v>100</v>
      </c>
      <c r="F476" t="s">
        <v>86</v>
      </c>
      <c r="G476" t="s">
        <v>46</v>
      </c>
      <c r="H476" t="s">
        <v>101</v>
      </c>
      <c r="I476" t="s">
        <v>96</v>
      </c>
      <c r="J476" t="s">
        <v>97</v>
      </c>
      <c r="K476" t="s">
        <v>97</v>
      </c>
      <c r="L476" t="s">
        <v>97</v>
      </c>
      <c r="M476">
        <v>42839.3</v>
      </c>
      <c r="N476">
        <v>712220</v>
      </c>
      <c r="O476">
        <v>341</v>
      </c>
      <c r="P476" t="s">
        <v>97</v>
      </c>
      <c r="Q476" t="s">
        <v>97</v>
      </c>
      <c r="R476" t="s">
        <v>97</v>
      </c>
      <c r="S476" t="s">
        <v>97</v>
      </c>
      <c r="T476" t="s">
        <v>97</v>
      </c>
      <c r="U476" t="s">
        <v>97</v>
      </c>
      <c r="V476">
        <v>42839.3</v>
      </c>
      <c r="W476">
        <v>712220</v>
      </c>
      <c r="X476">
        <v>341</v>
      </c>
      <c r="Y476">
        <f t="shared" si="7"/>
        <v>712220</v>
      </c>
      <c r="Z476" t="str">
        <f>IF(ISNUMBER(SEARCH("Adjustment",$C476)),"excluded",IF($H476="Behind the Meter","excluded",IF(NOT(OR($E476="Bundled",$E476="Energy")),"excluded",IF(OR($H476="Retail Power Marketer",$H476="Community Choice Aggregator",$E476="Energy"),"procurement",IF(OR($H476="Municipal",$H476="Cooperative",$H476="Federal",$H476="State",$H476="Political Subdivision"),"cost_service",IF($H476="Investor Owned",IF(AND(COUNTIF(Parameters!$A$4:$A$33,$G476)&gt;0,COUNTIF(Parameters!$B$4:$B$33,$B476)=0),"procurement","cost_service"),"unclassified"))))))</f>
        <v>procurement</v>
      </c>
    </row>
    <row r="477" spans="1:26" x14ac:dyDescent="0.25">
      <c r="A477">
        <v>2024</v>
      </c>
      <c r="B477">
        <v>7279</v>
      </c>
      <c r="C477" t="s">
        <v>563</v>
      </c>
      <c r="D477" t="s">
        <v>99</v>
      </c>
      <c r="E477" t="s">
        <v>100</v>
      </c>
      <c r="F477" t="s">
        <v>86</v>
      </c>
      <c r="G477" t="s">
        <v>48</v>
      </c>
      <c r="H477" t="s">
        <v>101</v>
      </c>
      <c r="I477" t="s">
        <v>189</v>
      </c>
      <c r="J477">
        <v>156091.1</v>
      </c>
      <c r="K477">
        <v>1106248</v>
      </c>
      <c r="L477">
        <v>145990</v>
      </c>
      <c r="M477">
        <v>108865.1</v>
      </c>
      <c r="N477">
        <v>825726</v>
      </c>
      <c r="O477">
        <v>16020</v>
      </c>
      <c r="P477">
        <v>129.69999999999999</v>
      </c>
      <c r="Q477">
        <v>1088</v>
      </c>
      <c r="R477">
        <v>6</v>
      </c>
      <c r="S477" t="s">
        <v>97</v>
      </c>
      <c r="T477" t="s">
        <v>97</v>
      </c>
      <c r="U477" t="s">
        <v>97</v>
      </c>
      <c r="V477">
        <v>265085.90000000002</v>
      </c>
      <c r="W477">
        <v>1933062</v>
      </c>
      <c r="X477">
        <v>162016</v>
      </c>
      <c r="Y477">
        <f t="shared" si="7"/>
        <v>1933062</v>
      </c>
      <c r="Z477" t="str">
        <f>IF(ISNUMBER(SEARCH("Adjustment",$C477)),"excluded",IF($H477="Behind the Meter","excluded",IF(NOT(OR($E477="Bundled",$E477="Energy")),"excluded",IF(OR($H477="Retail Power Marketer",$H477="Community Choice Aggregator",$E477="Energy"),"procurement",IF(OR($H477="Municipal",$H477="Cooperative",$H477="Federal",$H477="State",$H477="Political Subdivision"),"cost_service",IF($H477="Investor Owned",IF(AND(COUNTIF(Parameters!$A$4:$A$33,$G477)&gt;0,COUNTIF(Parameters!$B$4:$B$33,$B477)=0),"procurement","cost_service"),"unclassified"))))))</f>
        <v>procurement</v>
      </c>
    </row>
    <row r="478" spans="1:26" x14ac:dyDescent="0.25">
      <c r="A478">
        <v>2024</v>
      </c>
      <c r="B478">
        <v>7279</v>
      </c>
      <c r="C478" t="s">
        <v>563</v>
      </c>
      <c r="D478" t="s">
        <v>99</v>
      </c>
      <c r="E478" t="s">
        <v>100</v>
      </c>
      <c r="F478" t="s">
        <v>86</v>
      </c>
      <c r="G478" t="s">
        <v>49</v>
      </c>
      <c r="H478" t="s">
        <v>101</v>
      </c>
      <c r="I478" t="s">
        <v>92</v>
      </c>
      <c r="J478">
        <v>96.4</v>
      </c>
      <c r="K478">
        <v>925</v>
      </c>
      <c r="L478">
        <v>61</v>
      </c>
      <c r="M478">
        <v>21180.1</v>
      </c>
      <c r="N478">
        <v>205634</v>
      </c>
      <c r="O478">
        <v>542</v>
      </c>
      <c r="P478" t="s">
        <v>97</v>
      </c>
      <c r="Q478" t="s">
        <v>97</v>
      </c>
      <c r="R478" t="s">
        <v>97</v>
      </c>
      <c r="S478" t="s">
        <v>97</v>
      </c>
      <c r="T478" t="s">
        <v>97</v>
      </c>
      <c r="U478" t="s">
        <v>97</v>
      </c>
      <c r="V478">
        <v>21276.5</v>
      </c>
      <c r="W478">
        <v>206559</v>
      </c>
      <c r="X478">
        <v>603</v>
      </c>
      <c r="Y478">
        <f t="shared" si="7"/>
        <v>206559</v>
      </c>
      <c r="Z478" t="str">
        <f>IF(ISNUMBER(SEARCH("Adjustment",$C478)),"excluded",IF($H478="Behind the Meter","excluded",IF(NOT(OR($E478="Bundled",$E478="Energy")),"excluded",IF(OR($H478="Retail Power Marketer",$H478="Community Choice Aggregator",$E478="Energy"),"procurement",IF(OR($H478="Municipal",$H478="Cooperative",$H478="Federal",$H478="State",$H478="Political Subdivision"),"cost_service",IF($H478="Investor Owned",IF(AND(COUNTIF(Parameters!$A$4:$A$33,$G478)&gt;0,COUNTIF(Parameters!$B$4:$B$33,$B478)=0),"procurement","cost_service"),"unclassified"))))))</f>
        <v>procurement</v>
      </c>
    </row>
    <row r="479" spans="1:26" x14ac:dyDescent="0.25">
      <c r="A479">
        <v>2024</v>
      </c>
      <c r="B479">
        <v>7279</v>
      </c>
      <c r="C479" t="s">
        <v>563</v>
      </c>
      <c r="D479" t="s">
        <v>99</v>
      </c>
      <c r="E479" t="s">
        <v>100</v>
      </c>
      <c r="F479" t="s">
        <v>86</v>
      </c>
      <c r="G479" t="s">
        <v>50</v>
      </c>
      <c r="H479" t="s">
        <v>101</v>
      </c>
      <c r="I479" t="s">
        <v>189</v>
      </c>
      <c r="J479" t="s">
        <v>97</v>
      </c>
      <c r="K479" t="s">
        <v>97</v>
      </c>
      <c r="L479" t="s">
        <v>97</v>
      </c>
      <c r="M479">
        <v>26885.3</v>
      </c>
      <c r="N479">
        <v>353885</v>
      </c>
      <c r="O479">
        <v>829</v>
      </c>
      <c r="P479" t="s">
        <v>97</v>
      </c>
      <c r="Q479" t="s">
        <v>97</v>
      </c>
      <c r="R479" t="s">
        <v>97</v>
      </c>
      <c r="S479" t="s">
        <v>97</v>
      </c>
      <c r="T479" t="s">
        <v>97</v>
      </c>
      <c r="U479" t="s">
        <v>97</v>
      </c>
      <c r="V479">
        <v>26885.3</v>
      </c>
      <c r="W479">
        <v>353885</v>
      </c>
      <c r="X479">
        <v>829</v>
      </c>
      <c r="Y479">
        <f t="shared" si="7"/>
        <v>353885</v>
      </c>
      <c r="Z479" t="str">
        <f>IF(ISNUMBER(SEARCH("Adjustment",$C479)),"excluded",IF($H479="Behind the Meter","excluded",IF(NOT(OR($E479="Bundled",$E479="Energy")),"excluded",IF(OR($H479="Retail Power Marketer",$H479="Community Choice Aggregator",$E479="Energy"),"procurement",IF(OR($H479="Municipal",$H479="Cooperative",$H479="Federal",$H479="State",$H479="Political Subdivision"),"cost_service",IF($H479="Investor Owned",IF(AND(COUNTIF(Parameters!$A$4:$A$33,$G479)&gt;0,COUNTIF(Parameters!$B$4:$B$33,$B479)=0),"procurement","cost_service"),"unclassified"))))))</f>
        <v>procurement</v>
      </c>
    </row>
    <row r="480" spans="1:26" x14ac:dyDescent="0.25">
      <c r="A480">
        <v>2024</v>
      </c>
      <c r="B480">
        <v>7279</v>
      </c>
      <c r="C480" t="s">
        <v>563</v>
      </c>
      <c r="D480" t="s">
        <v>99</v>
      </c>
      <c r="E480" t="s">
        <v>100</v>
      </c>
      <c r="F480" t="s">
        <v>86</v>
      </c>
      <c r="G480" t="s">
        <v>51</v>
      </c>
      <c r="H480" t="s">
        <v>101</v>
      </c>
      <c r="I480" t="s">
        <v>189</v>
      </c>
      <c r="J480" t="s">
        <v>97</v>
      </c>
      <c r="K480" t="s">
        <v>97</v>
      </c>
      <c r="L480" t="s">
        <v>97</v>
      </c>
      <c r="M480">
        <v>41125.1</v>
      </c>
      <c r="N480">
        <v>439922</v>
      </c>
      <c r="O480">
        <v>1199</v>
      </c>
      <c r="P480" t="s">
        <v>97</v>
      </c>
      <c r="Q480" t="s">
        <v>97</v>
      </c>
      <c r="R480" t="s">
        <v>97</v>
      </c>
      <c r="S480" t="s">
        <v>97</v>
      </c>
      <c r="T480" t="s">
        <v>97</v>
      </c>
      <c r="U480" t="s">
        <v>97</v>
      </c>
      <c r="V480">
        <v>41125.1</v>
      </c>
      <c r="W480">
        <v>439922</v>
      </c>
      <c r="X480">
        <v>1199</v>
      </c>
      <c r="Y480">
        <f t="shared" si="7"/>
        <v>439922</v>
      </c>
      <c r="Z480" t="str">
        <f>IF(ISNUMBER(SEARCH("Adjustment",$C480)),"excluded",IF($H480="Behind the Meter","excluded",IF(NOT(OR($E480="Bundled",$E480="Energy")),"excluded",IF(OR($H480="Retail Power Marketer",$H480="Community Choice Aggregator",$E480="Energy"),"procurement",IF(OR($H480="Municipal",$H480="Cooperative",$H480="Federal",$H480="State",$H480="Political Subdivision"),"cost_service",IF($H480="Investor Owned",IF(AND(COUNTIF(Parameters!$A$4:$A$33,$G480)&gt;0,COUNTIF(Parameters!$B$4:$B$33,$B480)=0),"procurement","cost_service"),"unclassified"))))))</f>
        <v>procurement</v>
      </c>
    </row>
    <row r="481" spans="1:26" x14ac:dyDescent="0.25">
      <c r="A481">
        <v>2024</v>
      </c>
      <c r="B481">
        <v>7279</v>
      </c>
      <c r="C481" t="s">
        <v>563</v>
      </c>
      <c r="D481" t="s">
        <v>99</v>
      </c>
      <c r="E481" t="s">
        <v>100</v>
      </c>
      <c r="F481" t="s">
        <v>86</v>
      </c>
      <c r="G481" t="s">
        <v>52</v>
      </c>
      <c r="H481" t="s">
        <v>101</v>
      </c>
      <c r="I481" t="s">
        <v>92</v>
      </c>
      <c r="J481">
        <v>591.5</v>
      </c>
      <c r="K481">
        <v>3443</v>
      </c>
      <c r="L481">
        <v>311</v>
      </c>
      <c r="M481">
        <v>46162</v>
      </c>
      <c r="N481">
        <v>512946</v>
      </c>
      <c r="O481">
        <v>539</v>
      </c>
      <c r="P481" t="s">
        <v>97</v>
      </c>
      <c r="Q481" t="s">
        <v>97</v>
      </c>
      <c r="R481" t="s">
        <v>97</v>
      </c>
      <c r="S481" t="s">
        <v>97</v>
      </c>
      <c r="T481" t="s">
        <v>97</v>
      </c>
      <c r="U481" t="s">
        <v>97</v>
      </c>
      <c r="V481">
        <v>46753.5</v>
      </c>
      <c r="W481">
        <v>516389</v>
      </c>
      <c r="X481">
        <v>850</v>
      </c>
      <c r="Y481">
        <f t="shared" si="7"/>
        <v>516389</v>
      </c>
      <c r="Z481" t="str">
        <f>IF(ISNUMBER(SEARCH("Adjustment",$C481)),"excluded",IF($H481="Behind the Meter","excluded",IF(NOT(OR($E481="Bundled",$E481="Energy")),"excluded",IF(OR($H481="Retail Power Marketer",$H481="Community Choice Aggregator",$E481="Energy"),"procurement",IF(OR($H481="Municipal",$H481="Cooperative",$H481="Federal",$H481="State",$H481="Political Subdivision"),"cost_service",IF($H481="Investor Owned",IF(AND(COUNTIF(Parameters!$A$4:$A$33,$G481)&gt;0,COUNTIF(Parameters!$B$4:$B$33,$B481)=0),"procurement","cost_service"),"unclassified"))))))</f>
        <v>procurement</v>
      </c>
    </row>
    <row r="482" spans="1:26" x14ac:dyDescent="0.25">
      <c r="A482">
        <v>2024</v>
      </c>
      <c r="B482">
        <v>7279</v>
      </c>
      <c r="C482" t="s">
        <v>563</v>
      </c>
      <c r="D482" t="s">
        <v>99</v>
      </c>
      <c r="E482" t="s">
        <v>100</v>
      </c>
      <c r="F482" t="s">
        <v>86</v>
      </c>
      <c r="G482" t="s">
        <v>53</v>
      </c>
      <c r="H482" t="s">
        <v>101</v>
      </c>
      <c r="I482" t="s">
        <v>102</v>
      </c>
      <c r="J482" t="s">
        <v>97</v>
      </c>
      <c r="K482" t="s">
        <v>97</v>
      </c>
      <c r="L482" t="s">
        <v>97</v>
      </c>
      <c r="M482">
        <v>19129.900000000001</v>
      </c>
      <c r="N482">
        <v>195572</v>
      </c>
      <c r="O482">
        <v>171</v>
      </c>
      <c r="P482" t="s">
        <v>97</v>
      </c>
      <c r="Q482" t="s">
        <v>97</v>
      </c>
      <c r="R482" t="s">
        <v>97</v>
      </c>
      <c r="S482" t="s">
        <v>97</v>
      </c>
      <c r="T482" t="s">
        <v>97</v>
      </c>
      <c r="U482" t="s">
        <v>97</v>
      </c>
      <c r="V482">
        <v>19129.900000000001</v>
      </c>
      <c r="W482">
        <v>195572</v>
      </c>
      <c r="X482">
        <v>171</v>
      </c>
      <c r="Y482">
        <f t="shared" si="7"/>
        <v>195572</v>
      </c>
      <c r="Z482" t="str">
        <f>IF(ISNUMBER(SEARCH("Adjustment",$C482)),"excluded",IF($H482="Behind the Meter","excluded",IF(NOT(OR($E482="Bundled",$E482="Energy")),"excluded",IF(OR($H482="Retail Power Marketer",$H482="Community Choice Aggregator",$E482="Energy"),"procurement",IF(OR($H482="Municipal",$H482="Cooperative",$H482="Federal",$H482="State",$H482="Political Subdivision"),"cost_service",IF($H482="Investor Owned",IF(AND(COUNTIF(Parameters!$A$4:$A$33,$G482)&gt;0,COUNTIF(Parameters!$B$4:$B$33,$B482)=0),"procurement","cost_service"),"unclassified"))))))</f>
        <v>procurement</v>
      </c>
    </row>
    <row r="483" spans="1:26" x14ac:dyDescent="0.25">
      <c r="A483">
        <v>2024</v>
      </c>
      <c r="B483">
        <v>7279</v>
      </c>
      <c r="C483" t="s">
        <v>563</v>
      </c>
      <c r="D483" t="s">
        <v>99</v>
      </c>
      <c r="E483" t="s">
        <v>100</v>
      </c>
      <c r="F483" t="s">
        <v>86</v>
      </c>
      <c r="G483" t="s">
        <v>54</v>
      </c>
      <c r="H483" t="s">
        <v>101</v>
      </c>
      <c r="I483" t="s">
        <v>92</v>
      </c>
      <c r="J483">
        <v>128983.7</v>
      </c>
      <c r="K483">
        <v>1977410</v>
      </c>
      <c r="L483">
        <v>437348</v>
      </c>
      <c r="M483">
        <v>38118.400000000001</v>
      </c>
      <c r="N483">
        <v>608914</v>
      </c>
      <c r="O483">
        <v>18951</v>
      </c>
      <c r="P483" t="s">
        <v>97</v>
      </c>
      <c r="Q483" t="s">
        <v>97</v>
      </c>
      <c r="R483" t="s">
        <v>97</v>
      </c>
      <c r="S483" t="s">
        <v>97</v>
      </c>
      <c r="T483" t="s">
        <v>97</v>
      </c>
      <c r="U483" t="s">
        <v>97</v>
      </c>
      <c r="V483">
        <v>167102.1</v>
      </c>
      <c r="W483">
        <v>2586324</v>
      </c>
      <c r="X483">
        <v>456299</v>
      </c>
      <c r="Y483">
        <f t="shared" si="7"/>
        <v>2586324</v>
      </c>
      <c r="Z483" t="str">
        <f>IF(ISNUMBER(SEARCH("Adjustment",$C483)),"excluded",IF($H483="Behind the Meter","excluded",IF(NOT(OR($E483="Bundled",$E483="Energy")),"excluded",IF(OR($H483="Retail Power Marketer",$H483="Community Choice Aggregator",$E483="Energy"),"procurement",IF(OR($H483="Municipal",$H483="Cooperative",$H483="Federal",$H483="State",$H483="Political Subdivision"),"cost_service",IF($H483="Investor Owned",IF(AND(COUNTIF(Parameters!$A$4:$A$33,$G483)&gt;0,COUNTIF(Parameters!$B$4:$B$33,$B483)=0),"procurement","cost_service"),"unclassified"))))))</f>
        <v>procurement</v>
      </c>
    </row>
    <row r="484" spans="1:26" x14ac:dyDescent="0.25">
      <c r="A484">
        <v>2024</v>
      </c>
      <c r="B484">
        <v>7279</v>
      </c>
      <c r="C484" t="s">
        <v>563</v>
      </c>
      <c r="D484" t="s">
        <v>99</v>
      </c>
      <c r="E484" t="s">
        <v>100</v>
      </c>
      <c r="F484" t="s">
        <v>86</v>
      </c>
      <c r="G484" t="s">
        <v>55</v>
      </c>
      <c r="H484" t="s">
        <v>101</v>
      </c>
      <c r="I484" t="s">
        <v>92</v>
      </c>
      <c r="J484">
        <v>17509.8</v>
      </c>
      <c r="K484">
        <v>124848</v>
      </c>
      <c r="L484">
        <v>11544</v>
      </c>
      <c r="M484">
        <v>88245.1</v>
      </c>
      <c r="N484">
        <v>1291326</v>
      </c>
      <c r="O484">
        <v>520</v>
      </c>
      <c r="P484" t="s">
        <v>97</v>
      </c>
      <c r="Q484" t="s">
        <v>97</v>
      </c>
      <c r="R484" t="s">
        <v>97</v>
      </c>
      <c r="S484" t="s">
        <v>97</v>
      </c>
      <c r="T484" t="s">
        <v>97</v>
      </c>
      <c r="U484" t="s">
        <v>97</v>
      </c>
      <c r="V484">
        <v>105754.9</v>
      </c>
      <c r="W484">
        <v>1416174</v>
      </c>
      <c r="X484">
        <v>12064</v>
      </c>
      <c r="Y484">
        <f t="shared" si="7"/>
        <v>1416174</v>
      </c>
      <c r="Z484" t="str">
        <f>IF(ISNUMBER(SEARCH("Adjustment",$C484)),"excluded",IF($H484="Behind the Meter","excluded",IF(NOT(OR($E484="Bundled",$E484="Energy")),"excluded",IF(OR($H484="Retail Power Marketer",$H484="Community Choice Aggregator",$E484="Energy"),"procurement",IF(OR($H484="Municipal",$H484="Cooperative",$H484="Federal",$H484="State",$H484="Political Subdivision"),"cost_service",IF($H484="Investor Owned",IF(AND(COUNTIF(Parameters!$A$4:$A$33,$G484)&gt;0,COUNTIF(Parameters!$B$4:$B$33,$B484)=0),"procurement","cost_service"),"unclassified"))))))</f>
        <v>procurement</v>
      </c>
    </row>
    <row r="485" spans="1:26" x14ac:dyDescent="0.25">
      <c r="A485">
        <v>2024</v>
      </c>
      <c r="B485">
        <v>7279</v>
      </c>
      <c r="C485" t="s">
        <v>563</v>
      </c>
      <c r="D485" t="s">
        <v>99</v>
      </c>
      <c r="E485" t="s">
        <v>100</v>
      </c>
      <c r="F485" t="s">
        <v>86</v>
      </c>
      <c r="G485" t="s">
        <v>56</v>
      </c>
      <c r="H485" t="s">
        <v>101</v>
      </c>
      <c r="I485" t="s">
        <v>189</v>
      </c>
      <c r="J485">
        <v>33007.300000000003</v>
      </c>
      <c r="K485">
        <v>283766</v>
      </c>
      <c r="L485">
        <v>85764</v>
      </c>
      <c r="M485">
        <v>25967.7</v>
      </c>
      <c r="N485">
        <v>248284</v>
      </c>
      <c r="O485">
        <v>6421</v>
      </c>
      <c r="P485">
        <v>1291.2</v>
      </c>
      <c r="Q485">
        <v>12745</v>
      </c>
      <c r="R485">
        <v>29</v>
      </c>
      <c r="S485" t="s">
        <v>97</v>
      </c>
      <c r="T485" t="s">
        <v>97</v>
      </c>
      <c r="U485" t="s">
        <v>97</v>
      </c>
      <c r="V485">
        <v>60266.2</v>
      </c>
      <c r="W485">
        <v>544795</v>
      </c>
      <c r="X485">
        <v>92214</v>
      </c>
      <c r="Y485">
        <f t="shared" si="7"/>
        <v>544795</v>
      </c>
      <c r="Z485" t="str">
        <f>IF(ISNUMBER(SEARCH("Adjustment",$C485)),"excluded",IF($H485="Behind the Meter","excluded",IF(NOT(OR($E485="Bundled",$E485="Energy")),"excluded",IF(OR($H485="Retail Power Marketer",$H485="Community Choice Aggregator",$E485="Energy"),"procurement",IF(OR($H485="Municipal",$H485="Cooperative",$H485="Federal",$H485="State",$H485="Political Subdivision"),"cost_service",IF($H485="Investor Owned",IF(AND(COUNTIF(Parameters!$A$4:$A$33,$G485)&gt;0,COUNTIF(Parameters!$B$4:$B$33,$B485)=0),"procurement","cost_service"),"unclassified"))))))</f>
        <v>procurement</v>
      </c>
    </row>
    <row r="486" spans="1:26" x14ac:dyDescent="0.25">
      <c r="A486">
        <v>2024</v>
      </c>
      <c r="B486">
        <v>7292</v>
      </c>
      <c r="C486" t="s">
        <v>564</v>
      </c>
      <c r="D486" t="s">
        <v>84</v>
      </c>
      <c r="E486" t="s">
        <v>85</v>
      </c>
      <c r="F486" t="s">
        <v>86</v>
      </c>
      <c r="G486" t="s">
        <v>104</v>
      </c>
      <c r="H486" t="s">
        <v>88</v>
      </c>
      <c r="I486" t="s">
        <v>96</v>
      </c>
      <c r="J486">
        <v>2344</v>
      </c>
      <c r="K486">
        <v>20983</v>
      </c>
      <c r="L486">
        <v>2585</v>
      </c>
      <c r="M486">
        <v>7119.9</v>
      </c>
      <c r="N486">
        <v>169714</v>
      </c>
      <c r="O486">
        <v>385</v>
      </c>
      <c r="P486">
        <v>2791.2</v>
      </c>
      <c r="Q486">
        <v>27476</v>
      </c>
      <c r="R486">
        <v>4</v>
      </c>
      <c r="S486" t="s">
        <v>97</v>
      </c>
      <c r="T486" t="s">
        <v>97</v>
      </c>
      <c r="U486" t="s">
        <v>97</v>
      </c>
      <c r="V486">
        <v>12255.1</v>
      </c>
      <c r="W486">
        <v>218173</v>
      </c>
      <c r="X486">
        <v>2974</v>
      </c>
      <c r="Y486">
        <f t="shared" si="7"/>
        <v>218173</v>
      </c>
      <c r="Z486" t="str">
        <f>IF(ISNUMBER(SEARCH("Adjustment",$C486)),"excluded",IF($H486="Behind the Meter","excluded",IF(NOT(OR($E486="Bundled",$E486="Energy")),"excluded",IF(OR($H486="Retail Power Marketer",$H486="Community Choice Aggregator",$E486="Energy"),"procurement",IF(OR($H486="Municipal",$H486="Cooperative",$H486="Federal",$H486="State",$H486="Political Subdivision"),"cost_service",IF($H486="Investor Owned",IF(AND(COUNTIF(Parameters!$A$4:$A$33,$G486)&gt;0,COUNTIF(Parameters!$B$4:$B$33,$B486)=0),"procurement","cost_service"),"unclassified"))))))</f>
        <v>cost_service</v>
      </c>
    </row>
    <row r="487" spans="1:26" x14ac:dyDescent="0.25">
      <c r="A487">
        <v>2024</v>
      </c>
      <c r="B487">
        <v>7294</v>
      </c>
      <c r="C487" t="s">
        <v>565</v>
      </c>
      <c r="D487" t="s">
        <v>84</v>
      </c>
      <c r="E487" t="s">
        <v>85</v>
      </c>
      <c r="F487" t="s">
        <v>86</v>
      </c>
      <c r="G487" t="s">
        <v>115</v>
      </c>
      <c r="H487" t="s">
        <v>88</v>
      </c>
      <c r="I487" t="s">
        <v>267</v>
      </c>
      <c r="J487">
        <v>129473.9</v>
      </c>
      <c r="K487">
        <v>382936</v>
      </c>
      <c r="L487">
        <v>77563</v>
      </c>
      <c r="M487">
        <v>143675.79999999999</v>
      </c>
      <c r="N487">
        <v>576711</v>
      </c>
      <c r="O487">
        <v>13395</v>
      </c>
      <c r="P487">
        <v>5104.2</v>
      </c>
      <c r="Q487">
        <v>22759</v>
      </c>
      <c r="R487">
        <v>32</v>
      </c>
      <c r="S487" t="s">
        <v>97</v>
      </c>
      <c r="T487" t="s">
        <v>97</v>
      </c>
      <c r="U487" t="s">
        <v>97</v>
      </c>
      <c r="V487">
        <v>278253.90000000002</v>
      </c>
      <c r="W487">
        <v>982406</v>
      </c>
      <c r="X487">
        <v>90990</v>
      </c>
      <c r="Y487">
        <f t="shared" si="7"/>
        <v>982406</v>
      </c>
      <c r="Z487" t="str">
        <f>IF(ISNUMBER(SEARCH("Adjustment",$C487)),"excluded",IF($H487="Behind the Meter","excluded",IF(NOT(OR($E487="Bundled",$E487="Energy")),"excluded",IF(OR($H487="Retail Power Marketer",$H487="Community Choice Aggregator",$E487="Energy"),"procurement",IF(OR($H487="Municipal",$H487="Cooperative",$H487="Federal",$H487="State",$H487="Political Subdivision"),"cost_service",IF($H487="Investor Owned",IF(AND(COUNTIF(Parameters!$A$4:$A$33,$G487)&gt;0,COUNTIF(Parameters!$B$4:$B$33,$B487)=0),"procurement","cost_service"),"unclassified"))))))</f>
        <v>cost_service</v>
      </c>
    </row>
    <row r="488" spans="1:26" x14ac:dyDescent="0.25">
      <c r="A488">
        <v>2024</v>
      </c>
      <c r="B488">
        <v>7353</v>
      </c>
      <c r="C488" t="s">
        <v>566</v>
      </c>
      <c r="D488" t="s">
        <v>84</v>
      </c>
      <c r="E488" t="s">
        <v>85</v>
      </c>
      <c r="F488" t="s">
        <v>86</v>
      </c>
      <c r="G488" t="s">
        <v>118</v>
      </c>
      <c r="H488" t="s">
        <v>91</v>
      </c>
      <c r="I488" t="s">
        <v>119</v>
      </c>
      <c r="J488">
        <v>87530.9</v>
      </c>
      <c r="K488">
        <v>288667</v>
      </c>
      <c r="L488">
        <v>40675</v>
      </c>
      <c r="M488">
        <v>34685.4</v>
      </c>
      <c r="N488">
        <v>118991</v>
      </c>
      <c r="O488">
        <v>6905</v>
      </c>
      <c r="P488">
        <v>179535.3</v>
      </c>
      <c r="Q488">
        <v>819779</v>
      </c>
      <c r="R488">
        <v>583</v>
      </c>
      <c r="S488">
        <v>0</v>
      </c>
      <c r="T488">
        <v>0</v>
      </c>
      <c r="U488">
        <v>0</v>
      </c>
      <c r="V488">
        <v>301751.59999999998</v>
      </c>
      <c r="W488">
        <v>1227437</v>
      </c>
      <c r="X488">
        <v>48163</v>
      </c>
      <c r="Y488">
        <f t="shared" si="7"/>
        <v>1227437</v>
      </c>
      <c r="Z488" t="str">
        <f>IF(ISNUMBER(SEARCH("Adjustment",$C488)),"excluded",IF($H488="Behind the Meter","excluded",IF(NOT(OR($E488="Bundled",$E488="Energy")),"excluded",IF(OR($H488="Retail Power Marketer",$H488="Community Choice Aggregator",$E488="Energy"),"procurement",IF(OR($H488="Municipal",$H488="Cooperative",$H488="Federal",$H488="State",$H488="Political Subdivision"),"cost_service",IF($H488="Investor Owned",IF(AND(COUNTIF(Parameters!$A$4:$A$33,$G488)&gt;0,COUNTIF(Parameters!$B$4:$B$33,$B488)=0),"procurement","cost_service"),"unclassified"))))))</f>
        <v>cost_service</v>
      </c>
    </row>
    <row r="489" spans="1:26" x14ac:dyDescent="0.25">
      <c r="A489">
        <v>2024</v>
      </c>
      <c r="B489">
        <v>7450</v>
      </c>
      <c r="C489" t="s">
        <v>567</v>
      </c>
      <c r="D489" t="s">
        <v>84</v>
      </c>
      <c r="E489" t="s">
        <v>85</v>
      </c>
      <c r="F489" t="s">
        <v>86</v>
      </c>
      <c r="G489" t="s">
        <v>123</v>
      </c>
      <c r="H489" t="s">
        <v>91</v>
      </c>
      <c r="I489" t="s">
        <v>113</v>
      </c>
      <c r="J489">
        <v>38617.300000000003</v>
      </c>
      <c r="K489">
        <v>260280</v>
      </c>
      <c r="L489">
        <v>19283</v>
      </c>
      <c r="M489">
        <v>6859.5</v>
      </c>
      <c r="N489">
        <v>51150</v>
      </c>
      <c r="O489">
        <v>995</v>
      </c>
      <c r="P489">
        <v>769.1</v>
      </c>
      <c r="Q489">
        <v>4691</v>
      </c>
      <c r="R489">
        <v>253</v>
      </c>
      <c r="S489" t="s">
        <v>97</v>
      </c>
      <c r="T489" t="s">
        <v>97</v>
      </c>
      <c r="U489" t="s">
        <v>97</v>
      </c>
      <c r="V489">
        <v>46245.9</v>
      </c>
      <c r="W489">
        <v>316121</v>
      </c>
      <c r="X489">
        <v>20531</v>
      </c>
      <c r="Y489">
        <f t="shared" si="7"/>
        <v>316121</v>
      </c>
      <c r="Z489" t="str">
        <f>IF(ISNUMBER(SEARCH("Adjustment",$C489)),"excluded",IF($H489="Behind the Meter","excluded",IF(NOT(OR($E489="Bundled",$E489="Energy")),"excluded",IF(OR($H489="Retail Power Marketer",$H489="Community Choice Aggregator",$E489="Energy"),"procurement",IF(OR($H489="Municipal",$H489="Cooperative",$H489="Federal",$H489="State",$H489="Political Subdivision"),"cost_service",IF($H489="Investor Owned",IF(AND(COUNTIF(Parameters!$A$4:$A$33,$G489)&gt;0,COUNTIF(Parameters!$B$4:$B$33,$B489)=0),"procurement","cost_service"),"unclassified"))))))</f>
        <v>cost_service</v>
      </c>
    </row>
    <row r="490" spans="1:26" x14ac:dyDescent="0.25">
      <c r="A490">
        <v>2024</v>
      </c>
      <c r="B490">
        <v>7483</v>
      </c>
      <c r="C490" t="s">
        <v>568</v>
      </c>
      <c r="D490" t="s">
        <v>84</v>
      </c>
      <c r="E490" t="s">
        <v>85</v>
      </c>
      <c r="F490" t="s">
        <v>86</v>
      </c>
      <c r="G490" t="s">
        <v>140</v>
      </c>
      <c r="H490" t="s">
        <v>88</v>
      </c>
      <c r="I490" t="s">
        <v>96</v>
      </c>
      <c r="J490">
        <v>12967.1</v>
      </c>
      <c r="K490">
        <v>87946</v>
      </c>
      <c r="L490">
        <v>13231</v>
      </c>
      <c r="M490">
        <v>11765.2</v>
      </c>
      <c r="N490">
        <v>85759</v>
      </c>
      <c r="O490">
        <v>1760</v>
      </c>
      <c r="P490">
        <v>11486.4</v>
      </c>
      <c r="Q490">
        <v>98639</v>
      </c>
      <c r="R490">
        <v>126</v>
      </c>
      <c r="S490" t="s">
        <v>97</v>
      </c>
      <c r="T490" t="s">
        <v>97</v>
      </c>
      <c r="U490" t="s">
        <v>97</v>
      </c>
      <c r="V490">
        <v>36218.699999999997</v>
      </c>
      <c r="W490">
        <v>272344</v>
      </c>
      <c r="X490">
        <v>15117</v>
      </c>
      <c r="Y490">
        <f t="shared" si="7"/>
        <v>272344</v>
      </c>
      <c r="Z490" t="str">
        <f>IF(ISNUMBER(SEARCH("Adjustment",$C490)),"excluded",IF($H490="Behind the Meter","excluded",IF(NOT(OR($E490="Bundled",$E490="Energy")),"excluded",IF(OR($H490="Retail Power Marketer",$H490="Community Choice Aggregator",$E490="Energy"),"procurement",IF(OR($H490="Municipal",$H490="Cooperative",$H490="Federal",$H490="State",$H490="Political Subdivision"),"cost_service",IF($H490="Investor Owned",IF(AND(COUNTIF(Parameters!$A$4:$A$33,$G490)&gt;0,COUNTIF(Parameters!$B$4:$B$33,$B490)=0),"procurement","cost_service"),"unclassified"))))))</f>
        <v>cost_service</v>
      </c>
    </row>
    <row r="491" spans="1:26" x14ac:dyDescent="0.25">
      <c r="A491">
        <v>2024</v>
      </c>
      <c r="B491">
        <v>7490</v>
      </c>
      <c r="C491" t="s">
        <v>569</v>
      </c>
      <c r="D491" t="s">
        <v>84</v>
      </c>
      <c r="E491" t="s">
        <v>85</v>
      </c>
      <c r="F491" t="s">
        <v>86</v>
      </c>
      <c r="G491" t="s">
        <v>136</v>
      </c>
      <c r="H491" t="s">
        <v>75</v>
      </c>
      <c r="I491" t="s">
        <v>135</v>
      </c>
      <c r="J491" t="s">
        <v>97</v>
      </c>
      <c r="K491" t="s">
        <v>97</v>
      </c>
      <c r="L491" t="s">
        <v>97</v>
      </c>
      <c r="M491">
        <v>467.5</v>
      </c>
      <c r="N491">
        <v>5179</v>
      </c>
      <c r="O491">
        <v>46</v>
      </c>
      <c r="P491">
        <v>209567.2</v>
      </c>
      <c r="Q491">
        <v>4275283</v>
      </c>
      <c r="R491">
        <v>33</v>
      </c>
      <c r="S491" t="s">
        <v>97</v>
      </c>
      <c r="T491" t="s">
        <v>97</v>
      </c>
      <c r="U491" t="s">
        <v>97</v>
      </c>
      <c r="V491">
        <v>210034.7</v>
      </c>
      <c r="W491">
        <v>4280462</v>
      </c>
      <c r="X491">
        <v>79</v>
      </c>
      <c r="Y491">
        <f t="shared" si="7"/>
        <v>4280462</v>
      </c>
      <c r="Z491" t="str">
        <f>IF(ISNUMBER(SEARCH("Adjustment",$C491)),"excluded",IF($H491="Behind the Meter","excluded",IF(NOT(OR($E491="Bundled",$E491="Energy")),"excluded",IF(OR($H491="Retail Power Marketer",$H491="Community Choice Aggregator",$E491="Energy"),"procurement",IF(OR($H491="Municipal",$H491="Cooperative",$H491="Federal",$H491="State",$H491="Political Subdivision"),"cost_service",IF($H491="Investor Owned",IF(AND(COUNTIF(Parameters!$A$4:$A$33,$G491)&gt;0,COUNTIF(Parameters!$B$4:$B$33,$B491)=0),"procurement","cost_service"),"unclassified"))))))</f>
        <v>cost_service</v>
      </c>
    </row>
    <row r="492" spans="1:26" x14ac:dyDescent="0.25">
      <c r="A492">
        <v>2024</v>
      </c>
      <c r="B492">
        <v>7548</v>
      </c>
      <c r="C492" t="s">
        <v>570</v>
      </c>
      <c r="D492" t="s">
        <v>84</v>
      </c>
      <c r="E492" t="s">
        <v>85</v>
      </c>
      <c r="F492" t="s">
        <v>86</v>
      </c>
      <c r="G492" t="s">
        <v>148</v>
      </c>
      <c r="H492" t="s">
        <v>205</v>
      </c>
      <c r="I492" t="s">
        <v>206</v>
      </c>
      <c r="J492">
        <v>63187</v>
      </c>
      <c r="K492">
        <v>504823</v>
      </c>
      <c r="L492">
        <v>39881</v>
      </c>
      <c r="M492">
        <v>33836</v>
      </c>
      <c r="N492">
        <v>314970</v>
      </c>
      <c r="O492">
        <v>5686</v>
      </c>
      <c r="P492">
        <v>6463</v>
      </c>
      <c r="Q492">
        <v>111396</v>
      </c>
      <c r="R492">
        <v>20</v>
      </c>
      <c r="S492">
        <v>0</v>
      </c>
      <c r="T492">
        <v>0</v>
      </c>
      <c r="U492">
        <v>0</v>
      </c>
      <c r="V492">
        <v>103486</v>
      </c>
      <c r="W492">
        <v>931189</v>
      </c>
      <c r="X492">
        <v>45587</v>
      </c>
      <c r="Y492">
        <f t="shared" si="7"/>
        <v>931189</v>
      </c>
      <c r="Z492" t="str">
        <f>IF(ISNUMBER(SEARCH("Adjustment",$C492)),"excluded",IF($H492="Behind the Meter","excluded",IF(NOT(OR($E492="Bundled",$E492="Energy")),"excluded",IF(OR($H492="Retail Power Marketer",$H492="Community Choice Aggregator",$E492="Energy"),"procurement",IF(OR($H492="Municipal",$H492="Cooperative",$H492="Federal",$H492="State",$H492="Political Subdivision"),"cost_service",IF($H492="Investor Owned",IF(AND(COUNTIF(Parameters!$A$4:$A$33,$G492)&gt;0,COUNTIF(Parameters!$B$4:$B$33,$B492)=0),"procurement","cost_service"),"unclassified"))))))</f>
        <v>cost_service</v>
      </c>
    </row>
    <row r="493" spans="1:26" x14ac:dyDescent="0.25">
      <c r="A493">
        <v>2024</v>
      </c>
      <c r="B493">
        <v>7554</v>
      </c>
      <c r="C493" t="s">
        <v>571</v>
      </c>
      <c r="D493" t="s">
        <v>99</v>
      </c>
      <c r="E493" t="s">
        <v>100</v>
      </c>
      <c r="F493" t="s">
        <v>86</v>
      </c>
      <c r="G493" t="s">
        <v>46</v>
      </c>
      <c r="H493" t="s">
        <v>101</v>
      </c>
      <c r="I493" t="s">
        <v>92</v>
      </c>
      <c r="J493">
        <v>6396.3</v>
      </c>
      <c r="K493">
        <v>50931</v>
      </c>
      <c r="L493">
        <v>7910</v>
      </c>
      <c r="M493">
        <v>18.7</v>
      </c>
      <c r="N493">
        <v>148</v>
      </c>
      <c r="O493">
        <v>3</v>
      </c>
      <c r="P493">
        <v>0</v>
      </c>
      <c r="Q493">
        <v>0</v>
      </c>
      <c r="R493">
        <v>0</v>
      </c>
      <c r="S493">
        <v>0</v>
      </c>
      <c r="T493">
        <v>0</v>
      </c>
      <c r="U493">
        <v>0</v>
      </c>
      <c r="V493">
        <v>6415</v>
      </c>
      <c r="W493">
        <v>51079</v>
      </c>
      <c r="X493">
        <v>7913</v>
      </c>
      <c r="Y493">
        <f t="shared" si="7"/>
        <v>51079</v>
      </c>
      <c r="Z493" t="str">
        <f>IF(ISNUMBER(SEARCH("Adjustment",$C493)),"excluded",IF($H493="Behind the Meter","excluded",IF(NOT(OR($E493="Bundled",$E493="Energy")),"excluded",IF(OR($H493="Retail Power Marketer",$H493="Community Choice Aggregator",$E493="Energy"),"procurement",IF(OR($H493="Municipal",$H493="Cooperative",$H493="Federal",$H493="State",$H493="Political Subdivision"),"cost_service",IF($H493="Investor Owned",IF(AND(COUNTIF(Parameters!$A$4:$A$33,$G493)&gt;0,COUNTIF(Parameters!$B$4:$B$33,$B493)=0),"procurement","cost_service"),"unclassified"))))))</f>
        <v>procurement</v>
      </c>
    </row>
    <row r="494" spans="1:26" x14ac:dyDescent="0.25">
      <c r="A494">
        <v>2024</v>
      </c>
      <c r="B494">
        <v>7554</v>
      </c>
      <c r="C494" t="s">
        <v>571</v>
      </c>
      <c r="D494" t="s">
        <v>99</v>
      </c>
      <c r="E494" t="s">
        <v>100</v>
      </c>
      <c r="F494" t="s">
        <v>86</v>
      </c>
      <c r="G494" t="s">
        <v>48</v>
      </c>
      <c r="H494" t="s">
        <v>101</v>
      </c>
      <c r="I494" t="s">
        <v>189</v>
      </c>
      <c r="J494">
        <v>1773</v>
      </c>
      <c r="K494">
        <v>8883</v>
      </c>
      <c r="L494">
        <v>1382</v>
      </c>
      <c r="M494">
        <v>0</v>
      </c>
      <c r="N494">
        <v>0</v>
      </c>
      <c r="O494">
        <v>0</v>
      </c>
      <c r="P494">
        <v>0</v>
      </c>
      <c r="Q494">
        <v>0</v>
      </c>
      <c r="R494">
        <v>0</v>
      </c>
      <c r="S494">
        <v>0</v>
      </c>
      <c r="T494">
        <v>0</v>
      </c>
      <c r="U494">
        <v>0</v>
      </c>
      <c r="V494">
        <v>1773</v>
      </c>
      <c r="W494">
        <v>8883</v>
      </c>
      <c r="X494">
        <v>1382</v>
      </c>
      <c r="Y494">
        <f t="shared" si="7"/>
        <v>8883</v>
      </c>
      <c r="Z494" t="str">
        <f>IF(ISNUMBER(SEARCH("Adjustment",$C494)),"excluded",IF($H494="Behind the Meter","excluded",IF(NOT(OR($E494="Bundled",$E494="Energy")),"excluded",IF(OR($H494="Retail Power Marketer",$H494="Community Choice Aggregator",$E494="Energy"),"procurement",IF(OR($H494="Municipal",$H494="Cooperative",$H494="Federal",$H494="State",$H494="Political Subdivision"),"cost_service",IF($H494="Investor Owned",IF(AND(COUNTIF(Parameters!$A$4:$A$33,$G494)&gt;0,COUNTIF(Parameters!$B$4:$B$33,$B494)=0),"procurement","cost_service"),"unclassified"))))))</f>
        <v>procurement</v>
      </c>
    </row>
    <row r="495" spans="1:26" x14ac:dyDescent="0.25">
      <c r="A495">
        <v>2024</v>
      </c>
      <c r="B495">
        <v>7554</v>
      </c>
      <c r="C495" t="s">
        <v>571</v>
      </c>
      <c r="D495" t="s">
        <v>99</v>
      </c>
      <c r="E495" t="s">
        <v>100</v>
      </c>
      <c r="F495" t="s">
        <v>86</v>
      </c>
      <c r="G495" t="s">
        <v>49</v>
      </c>
      <c r="H495" t="s">
        <v>101</v>
      </c>
      <c r="I495" t="s">
        <v>92</v>
      </c>
      <c r="J495">
        <v>2942</v>
      </c>
      <c r="K495">
        <v>19197</v>
      </c>
      <c r="L495">
        <v>1873</v>
      </c>
      <c r="M495">
        <v>0</v>
      </c>
      <c r="N495">
        <v>0</v>
      </c>
      <c r="O495">
        <v>0</v>
      </c>
      <c r="P495">
        <v>0</v>
      </c>
      <c r="Q495">
        <v>0</v>
      </c>
      <c r="R495">
        <v>0</v>
      </c>
      <c r="S495">
        <v>0</v>
      </c>
      <c r="T495">
        <v>0</v>
      </c>
      <c r="U495">
        <v>0</v>
      </c>
      <c r="V495">
        <v>2942</v>
      </c>
      <c r="W495">
        <v>19197</v>
      </c>
      <c r="X495">
        <v>1873</v>
      </c>
      <c r="Y495">
        <f t="shared" si="7"/>
        <v>19197</v>
      </c>
      <c r="Z495" t="str">
        <f>IF(ISNUMBER(SEARCH("Adjustment",$C495)),"excluded",IF($H495="Behind the Meter","excluded",IF(NOT(OR($E495="Bundled",$E495="Energy")),"excluded",IF(OR($H495="Retail Power Marketer",$H495="Community Choice Aggregator",$E495="Energy"),"procurement",IF(OR($H495="Municipal",$H495="Cooperative",$H495="Federal",$H495="State",$H495="Political Subdivision"),"cost_service",IF($H495="Investor Owned",IF(AND(COUNTIF(Parameters!$A$4:$A$33,$G495)&gt;0,COUNTIF(Parameters!$B$4:$B$33,$B495)=0),"procurement","cost_service"),"unclassified"))))))</f>
        <v>procurement</v>
      </c>
    </row>
    <row r="496" spans="1:26" x14ac:dyDescent="0.25">
      <c r="A496">
        <v>2024</v>
      </c>
      <c r="B496">
        <v>7554</v>
      </c>
      <c r="C496" t="s">
        <v>571</v>
      </c>
      <c r="D496" t="s">
        <v>99</v>
      </c>
      <c r="E496" t="s">
        <v>100</v>
      </c>
      <c r="F496" t="s">
        <v>86</v>
      </c>
      <c r="G496" t="s">
        <v>52</v>
      </c>
      <c r="H496" t="s">
        <v>101</v>
      </c>
      <c r="I496" t="s">
        <v>92</v>
      </c>
      <c r="J496">
        <v>915.3</v>
      </c>
      <c r="K496">
        <v>5248</v>
      </c>
      <c r="L496">
        <v>659</v>
      </c>
      <c r="M496">
        <v>104.7</v>
      </c>
      <c r="N496">
        <v>1251</v>
      </c>
      <c r="O496">
        <v>36</v>
      </c>
      <c r="P496">
        <v>0</v>
      </c>
      <c r="Q496">
        <v>0</v>
      </c>
      <c r="R496">
        <v>0</v>
      </c>
      <c r="S496">
        <v>0</v>
      </c>
      <c r="T496">
        <v>0</v>
      </c>
      <c r="U496">
        <v>0</v>
      </c>
      <c r="V496">
        <v>1020</v>
      </c>
      <c r="W496">
        <v>6499</v>
      </c>
      <c r="X496">
        <v>695</v>
      </c>
      <c r="Y496">
        <f t="shared" si="7"/>
        <v>6499</v>
      </c>
      <c r="Z496" t="str">
        <f>IF(ISNUMBER(SEARCH("Adjustment",$C496)),"excluded",IF($H496="Behind the Meter","excluded",IF(NOT(OR($E496="Bundled",$E496="Energy")),"excluded",IF(OR($H496="Retail Power Marketer",$H496="Community Choice Aggregator",$E496="Energy"),"procurement",IF(OR($H496="Municipal",$H496="Cooperative",$H496="Federal",$H496="State",$H496="Political Subdivision"),"cost_service",IF($H496="Investor Owned",IF(AND(COUNTIF(Parameters!$A$4:$A$33,$G496)&gt;0,COUNTIF(Parameters!$B$4:$B$33,$B496)=0),"procurement","cost_service"),"unclassified"))))))</f>
        <v>procurement</v>
      </c>
    </row>
    <row r="497" spans="1:26" x14ac:dyDescent="0.25">
      <c r="A497">
        <v>2024</v>
      </c>
      <c r="B497">
        <v>7554</v>
      </c>
      <c r="C497" t="s">
        <v>571</v>
      </c>
      <c r="D497" t="s">
        <v>99</v>
      </c>
      <c r="E497" t="s">
        <v>100</v>
      </c>
      <c r="F497" t="s">
        <v>86</v>
      </c>
      <c r="G497" t="s">
        <v>53</v>
      </c>
      <c r="H497" t="s">
        <v>101</v>
      </c>
      <c r="I497" t="s">
        <v>102</v>
      </c>
      <c r="J497">
        <v>54779.3</v>
      </c>
      <c r="K497">
        <v>296540</v>
      </c>
      <c r="L497">
        <v>66483</v>
      </c>
      <c r="M497">
        <v>1371.7</v>
      </c>
      <c r="N497">
        <v>16228</v>
      </c>
      <c r="O497">
        <v>154</v>
      </c>
      <c r="P497">
        <v>0</v>
      </c>
      <c r="Q497">
        <v>0</v>
      </c>
      <c r="R497">
        <v>0</v>
      </c>
      <c r="S497">
        <v>0</v>
      </c>
      <c r="T497">
        <v>0</v>
      </c>
      <c r="U497">
        <v>0</v>
      </c>
      <c r="V497">
        <v>56151</v>
      </c>
      <c r="W497">
        <v>312768</v>
      </c>
      <c r="X497">
        <v>66637</v>
      </c>
      <c r="Y497">
        <f t="shared" si="7"/>
        <v>312768</v>
      </c>
      <c r="Z497" t="str">
        <f>IF(ISNUMBER(SEARCH("Adjustment",$C497)),"excluded",IF($H497="Behind the Meter","excluded",IF(NOT(OR($E497="Bundled",$E497="Energy")),"excluded",IF(OR($H497="Retail Power Marketer",$H497="Community Choice Aggregator",$E497="Energy"),"procurement",IF(OR($H497="Municipal",$H497="Cooperative",$H497="Federal",$H497="State",$H497="Political Subdivision"),"cost_service",IF($H497="Investor Owned",IF(AND(COUNTIF(Parameters!$A$4:$A$33,$G497)&gt;0,COUNTIF(Parameters!$B$4:$B$33,$B497)=0),"procurement","cost_service"),"unclassified"))))))</f>
        <v>procurement</v>
      </c>
    </row>
    <row r="498" spans="1:26" x14ac:dyDescent="0.25">
      <c r="A498">
        <v>2024</v>
      </c>
      <c r="B498">
        <v>7554</v>
      </c>
      <c r="C498" t="s">
        <v>571</v>
      </c>
      <c r="D498" t="s">
        <v>99</v>
      </c>
      <c r="E498" t="s">
        <v>100</v>
      </c>
      <c r="F498" t="s">
        <v>86</v>
      </c>
      <c r="G498" t="s">
        <v>55</v>
      </c>
      <c r="H498" t="s">
        <v>101</v>
      </c>
      <c r="I498" t="s">
        <v>92</v>
      </c>
      <c r="J498">
        <v>37241</v>
      </c>
      <c r="K498">
        <v>285360</v>
      </c>
      <c r="L498">
        <v>30875</v>
      </c>
      <c r="M498">
        <v>919</v>
      </c>
      <c r="N498">
        <v>11080</v>
      </c>
      <c r="O498">
        <v>13</v>
      </c>
      <c r="P498">
        <v>0</v>
      </c>
      <c r="Q498">
        <v>0</v>
      </c>
      <c r="R498">
        <v>0</v>
      </c>
      <c r="S498">
        <v>0</v>
      </c>
      <c r="T498">
        <v>0</v>
      </c>
      <c r="U498">
        <v>0</v>
      </c>
      <c r="V498">
        <v>38160</v>
      </c>
      <c r="W498">
        <v>296440</v>
      </c>
      <c r="X498">
        <v>30888</v>
      </c>
      <c r="Y498">
        <f t="shared" si="7"/>
        <v>296440</v>
      </c>
      <c r="Z498" t="str">
        <f>IF(ISNUMBER(SEARCH("Adjustment",$C498)),"excluded",IF($H498="Behind the Meter","excluded",IF(NOT(OR($E498="Bundled",$E498="Energy")),"excluded",IF(OR($H498="Retail Power Marketer",$H498="Community Choice Aggregator",$E498="Energy"),"procurement",IF(OR($H498="Municipal",$H498="Cooperative",$H498="Federal",$H498="State",$H498="Political Subdivision"),"cost_service",IF($H498="Investor Owned",IF(AND(COUNTIF(Parameters!$A$4:$A$33,$G498)&gt;0,COUNTIF(Parameters!$B$4:$B$33,$B498)=0),"procurement","cost_service"),"unclassified"))))))</f>
        <v>procurement</v>
      </c>
    </row>
    <row r="499" spans="1:26" x14ac:dyDescent="0.25">
      <c r="A499">
        <v>2024</v>
      </c>
      <c r="B499">
        <v>7554</v>
      </c>
      <c r="C499" t="s">
        <v>571</v>
      </c>
      <c r="D499" t="s">
        <v>150</v>
      </c>
      <c r="E499" t="s">
        <v>85</v>
      </c>
      <c r="F499" t="s">
        <v>86</v>
      </c>
      <c r="G499" t="s">
        <v>57</v>
      </c>
      <c r="H499" t="s">
        <v>101</v>
      </c>
      <c r="I499" t="s">
        <v>151</v>
      </c>
      <c r="J499">
        <v>560259.69999999995</v>
      </c>
      <c r="K499">
        <v>3197910</v>
      </c>
      <c r="L499">
        <v>292172</v>
      </c>
      <c r="M499">
        <v>119924.4</v>
      </c>
      <c r="N499">
        <v>1019430</v>
      </c>
      <c r="O499">
        <v>28263</v>
      </c>
      <c r="P499">
        <v>0</v>
      </c>
      <c r="Q499">
        <v>0</v>
      </c>
      <c r="R499">
        <v>0</v>
      </c>
      <c r="S499">
        <v>0</v>
      </c>
      <c r="T499">
        <v>0</v>
      </c>
      <c r="U499">
        <v>0</v>
      </c>
      <c r="V499">
        <v>680184.1</v>
      </c>
      <c r="W499">
        <v>4217340</v>
      </c>
      <c r="X499">
        <v>320435</v>
      </c>
      <c r="Y499">
        <f t="shared" si="7"/>
        <v>4217340</v>
      </c>
      <c r="Z499" t="str">
        <f>IF(ISNUMBER(SEARCH("Adjustment",$C499)),"excluded",IF($H499="Behind the Meter","excluded",IF(NOT(OR($E499="Bundled",$E499="Energy")),"excluded",IF(OR($H499="Retail Power Marketer",$H499="Community Choice Aggregator",$E499="Energy"),"procurement",IF(OR($H499="Municipal",$H499="Cooperative",$H499="Federal",$H499="State",$H499="Political Subdivision"),"cost_service",IF($H499="Investor Owned",IF(AND(COUNTIF(Parameters!$A$4:$A$33,$G499)&gt;0,COUNTIF(Parameters!$B$4:$B$33,$B499)=0),"procurement","cost_service"),"unclassified"))))))</f>
        <v>procurement</v>
      </c>
    </row>
    <row r="500" spans="1:26" x14ac:dyDescent="0.25">
      <c r="A500">
        <v>2024</v>
      </c>
      <c r="B500">
        <v>7558</v>
      </c>
      <c r="C500" t="s">
        <v>572</v>
      </c>
      <c r="D500" t="s">
        <v>84</v>
      </c>
      <c r="E500" t="s">
        <v>85</v>
      </c>
      <c r="F500" t="s">
        <v>86</v>
      </c>
      <c r="G500" t="s">
        <v>209</v>
      </c>
      <c r="H500" t="s">
        <v>91</v>
      </c>
      <c r="I500" t="s">
        <v>92</v>
      </c>
      <c r="J500">
        <v>26427</v>
      </c>
      <c r="K500">
        <v>164405</v>
      </c>
      <c r="L500">
        <v>14429</v>
      </c>
      <c r="M500">
        <v>9278</v>
      </c>
      <c r="N500">
        <v>93035</v>
      </c>
      <c r="O500">
        <v>1166</v>
      </c>
      <c r="P500">
        <v>2311</v>
      </c>
      <c r="Q500">
        <v>28163</v>
      </c>
      <c r="R500">
        <v>2</v>
      </c>
      <c r="S500" t="s">
        <v>97</v>
      </c>
      <c r="T500" t="s">
        <v>97</v>
      </c>
      <c r="U500" t="s">
        <v>97</v>
      </c>
      <c r="V500">
        <v>38016</v>
      </c>
      <c r="W500">
        <v>285603</v>
      </c>
      <c r="X500">
        <v>15597</v>
      </c>
      <c r="Y500">
        <f t="shared" si="7"/>
        <v>285603</v>
      </c>
      <c r="Z500" t="str">
        <f>IF(ISNUMBER(SEARCH("Adjustment",$C500)),"excluded",IF($H500="Behind the Meter","excluded",IF(NOT(OR($E500="Bundled",$E500="Energy")),"excluded",IF(OR($H500="Retail Power Marketer",$H500="Community Choice Aggregator",$E500="Energy"),"procurement",IF(OR($H500="Municipal",$H500="Cooperative",$H500="Federal",$H500="State",$H500="Political Subdivision"),"cost_service",IF($H500="Investor Owned",IF(AND(COUNTIF(Parameters!$A$4:$A$33,$G500)&gt;0,COUNTIF(Parameters!$B$4:$B$33,$B500)=0),"procurement","cost_service"),"unclassified"))))))</f>
        <v>cost_service</v>
      </c>
    </row>
    <row r="501" spans="1:26" x14ac:dyDescent="0.25">
      <c r="A501">
        <v>2024</v>
      </c>
      <c r="B501">
        <v>7559</v>
      </c>
      <c r="C501" t="s">
        <v>573</v>
      </c>
      <c r="D501" t="s">
        <v>84</v>
      </c>
      <c r="E501" t="s">
        <v>85</v>
      </c>
      <c r="F501" t="s">
        <v>86</v>
      </c>
      <c r="G501" t="s">
        <v>57</v>
      </c>
      <c r="H501" t="s">
        <v>91</v>
      </c>
      <c r="I501" t="s">
        <v>151</v>
      </c>
      <c r="J501">
        <v>201519</v>
      </c>
      <c r="K501">
        <v>1228741</v>
      </c>
      <c r="L501">
        <v>90464</v>
      </c>
      <c r="M501">
        <v>44627</v>
      </c>
      <c r="N501">
        <v>301890</v>
      </c>
      <c r="O501">
        <v>5055</v>
      </c>
      <c r="P501" t="s">
        <v>97</v>
      </c>
      <c r="Q501" t="s">
        <v>97</v>
      </c>
      <c r="R501" t="s">
        <v>97</v>
      </c>
      <c r="S501" t="s">
        <v>97</v>
      </c>
      <c r="T501" t="s">
        <v>97</v>
      </c>
      <c r="U501" t="s">
        <v>97</v>
      </c>
      <c r="V501">
        <v>246146</v>
      </c>
      <c r="W501">
        <v>1530631</v>
      </c>
      <c r="X501">
        <v>95519</v>
      </c>
      <c r="Y501">
        <f t="shared" si="7"/>
        <v>1530631</v>
      </c>
      <c r="Z501" t="str">
        <f>IF(ISNUMBER(SEARCH("Adjustment",$C501)),"excluded",IF($H501="Behind the Meter","excluded",IF(NOT(OR($E501="Bundled",$E501="Energy")),"excluded",IF(OR($H501="Retail Power Marketer",$H501="Community Choice Aggregator",$E501="Energy"),"procurement",IF(OR($H501="Municipal",$H501="Cooperative",$H501="Federal",$H501="State",$H501="Political Subdivision"),"cost_service",IF($H501="Investor Owned",IF(AND(COUNTIF(Parameters!$A$4:$A$33,$G501)&gt;0,COUNTIF(Parameters!$B$4:$B$33,$B501)=0),"procurement","cost_service"),"unclassified"))))))</f>
        <v>cost_service</v>
      </c>
    </row>
    <row r="502" spans="1:26" x14ac:dyDescent="0.25">
      <c r="A502">
        <v>2024</v>
      </c>
      <c r="B502">
        <v>7561</v>
      </c>
      <c r="C502" t="s">
        <v>574</v>
      </c>
      <c r="D502" t="s">
        <v>84</v>
      </c>
      <c r="E502" t="s">
        <v>85</v>
      </c>
      <c r="F502" t="s">
        <v>86</v>
      </c>
      <c r="G502" t="s">
        <v>57</v>
      </c>
      <c r="H502" t="s">
        <v>91</v>
      </c>
      <c r="I502" t="s">
        <v>151</v>
      </c>
      <c r="J502">
        <v>5113</v>
      </c>
      <c r="K502">
        <v>28403</v>
      </c>
      <c r="L502">
        <v>3912</v>
      </c>
      <c r="M502">
        <v>3158</v>
      </c>
      <c r="N502">
        <v>22177</v>
      </c>
      <c r="O502">
        <v>825</v>
      </c>
      <c r="P502">
        <v>12927</v>
      </c>
      <c r="Q502">
        <v>158623</v>
      </c>
      <c r="R502">
        <v>926</v>
      </c>
      <c r="S502" t="s">
        <v>97</v>
      </c>
      <c r="T502" t="s">
        <v>97</v>
      </c>
      <c r="U502" t="s">
        <v>97</v>
      </c>
      <c r="V502">
        <v>21198</v>
      </c>
      <c r="W502">
        <v>209203</v>
      </c>
      <c r="X502">
        <v>5663</v>
      </c>
      <c r="Y502">
        <f t="shared" si="7"/>
        <v>209203</v>
      </c>
      <c r="Z502" t="str">
        <f>IF(ISNUMBER(SEARCH("Adjustment",$C502)),"excluded",IF($H502="Behind the Meter","excluded",IF(NOT(OR($E502="Bundled",$E502="Energy")),"excluded",IF(OR($H502="Retail Power Marketer",$H502="Community Choice Aggregator",$E502="Energy"),"procurement",IF(OR($H502="Municipal",$H502="Cooperative",$H502="Federal",$H502="State",$H502="Political Subdivision"),"cost_service",IF($H502="Investor Owned",IF(AND(COUNTIF(Parameters!$A$4:$A$33,$G502)&gt;0,COUNTIF(Parameters!$B$4:$B$33,$B502)=0),"procurement","cost_service"),"unclassified"))))))</f>
        <v>cost_service</v>
      </c>
    </row>
    <row r="503" spans="1:26" x14ac:dyDescent="0.25">
      <c r="A503">
        <v>2024</v>
      </c>
      <c r="B503">
        <v>7563</v>
      </c>
      <c r="C503" t="s">
        <v>575</v>
      </c>
      <c r="D503" t="s">
        <v>84</v>
      </c>
      <c r="E503" t="s">
        <v>85</v>
      </c>
      <c r="F503" t="s">
        <v>86</v>
      </c>
      <c r="G503" t="s">
        <v>361</v>
      </c>
      <c r="H503" t="s">
        <v>91</v>
      </c>
      <c r="I503" t="s">
        <v>523</v>
      </c>
      <c r="J503">
        <v>26160</v>
      </c>
      <c r="K503">
        <v>164101</v>
      </c>
      <c r="L503">
        <v>17268</v>
      </c>
      <c r="M503">
        <v>10141</v>
      </c>
      <c r="N503">
        <v>73225</v>
      </c>
      <c r="O503">
        <v>2230</v>
      </c>
      <c r="P503">
        <v>1399</v>
      </c>
      <c r="Q503">
        <v>11598</v>
      </c>
      <c r="R503">
        <v>191</v>
      </c>
      <c r="S503" t="s">
        <v>97</v>
      </c>
      <c r="T503" t="s">
        <v>97</v>
      </c>
      <c r="U503" t="s">
        <v>97</v>
      </c>
      <c r="V503">
        <v>37700</v>
      </c>
      <c r="W503">
        <v>248924</v>
      </c>
      <c r="X503">
        <v>19689</v>
      </c>
      <c r="Y503">
        <f t="shared" si="7"/>
        <v>248924</v>
      </c>
      <c r="Z503" t="str">
        <f>IF(ISNUMBER(SEARCH("Adjustment",$C503)),"excluded",IF($H503="Behind the Meter","excluded",IF(NOT(OR($E503="Bundled",$E503="Energy")),"excluded",IF(OR($H503="Retail Power Marketer",$H503="Community Choice Aggregator",$E503="Energy"),"procurement",IF(OR($H503="Municipal",$H503="Cooperative",$H503="Federal",$H503="State",$H503="Political Subdivision"),"cost_service",IF($H503="Investor Owned",IF(AND(COUNTIF(Parameters!$A$4:$A$33,$G503)&gt;0,COUNTIF(Parameters!$B$4:$B$33,$B503)=0),"procurement","cost_service"),"unclassified"))))))</f>
        <v>cost_service</v>
      </c>
    </row>
    <row r="504" spans="1:26" x14ac:dyDescent="0.25">
      <c r="A504">
        <v>2024</v>
      </c>
      <c r="B504">
        <v>7601</v>
      </c>
      <c r="C504" t="s">
        <v>576</v>
      </c>
      <c r="D504" t="s">
        <v>84</v>
      </c>
      <c r="E504" t="s">
        <v>85</v>
      </c>
      <c r="F504" t="s">
        <v>86</v>
      </c>
      <c r="G504" t="s">
        <v>269</v>
      </c>
      <c r="H504" t="s">
        <v>109</v>
      </c>
      <c r="I504" t="s">
        <v>189</v>
      </c>
      <c r="J504">
        <v>352142</v>
      </c>
      <c r="K504">
        <v>1594099</v>
      </c>
      <c r="L504">
        <v>226675</v>
      </c>
      <c r="M504">
        <v>283180</v>
      </c>
      <c r="N504">
        <v>1471398</v>
      </c>
      <c r="O504">
        <v>48745</v>
      </c>
      <c r="P504">
        <v>110540</v>
      </c>
      <c r="Q504">
        <v>1020096</v>
      </c>
      <c r="R504">
        <v>74</v>
      </c>
      <c r="S504" t="s">
        <v>97</v>
      </c>
      <c r="T504" t="s">
        <v>97</v>
      </c>
      <c r="U504" t="s">
        <v>97</v>
      </c>
      <c r="V504">
        <v>745862</v>
      </c>
      <c r="W504">
        <v>4085593</v>
      </c>
      <c r="X504">
        <v>275494</v>
      </c>
      <c r="Y504">
        <f t="shared" si="7"/>
        <v>4085593</v>
      </c>
      <c r="Z504" t="str">
        <f>IF(ISNUMBER(SEARCH("Adjustment",$C504)),"excluded",IF($H504="Behind the Meter","excluded",IF(NOT(OR($E504="Bundled",$E504="Energy")),"excluded",IF(OR($H504="Retail Power Marketer",$H504="Community Choice Aggregator",$E504="Energy"),"procurement",IF(OR($H504="Municipal",$H504="Cooperative",$H504="Federal",$H504="State",$H504="Political Subdivision"),"cost_service",IF($H504="Investor Owned",IF(AND(COUNTIF(Parameters!$A$4:$A$33,$G504)&gt;0,COUNTIF(Parameters!$B$4:$B$33,$B504)=0),"procurement","cost_service"),"unclassified"))))))</f>
        <v>cost_service</v>
      </c>
    </row>
    <row r="505" spans="1:26" x14ac:dyDescent="0.25">
      <c r="A505">
        <v>2024</v>
      </c>
      <c r="B505">
        <v>7625</v>
      </c>
      <c r="C505" t="s">
        <v>577</v>
      </c>
      <c r="D505" t="s">
        <v>84</v>
      </c>
      <c r="E505" t="s">
        <v>85</v>
      </c>
      <c r="F505" t="s">
        <v>86</v>
      </c>
      <c r="G505" t="s">
        <v>156</v>
      </c>
      <c r="H505" t="s">
        <v>88</v>
      </c>
      <c r="I505" t="s">
        <v>89</v>
      </c>
      <c r="J505">
        <v>55921</v>
      </c>
      <c r="K505">
        <v>469925</v>
      </c>
      <c r="L505">
        <v>32388</v>
      </c>
      <c r="M505">
        <v>36709</v>
      </c>
      <c r="N505">
        <v>291839</v>
      </c>
      <c r="O505">
        <v>8163</v>
      </c>
      <c r="P505">
        <v>21958</v>
      </c>
      <c r="Q505">
        <v>337182</v>
      </c>
      <c r="R505">
        <v>18</v>
      </c>
      <c r="S505">
        <v>0</v>
      </c>
      <c r="T505">
        <v>0</v>
      </c>
      <c r="U505">
        <v>0</v>
      </c>
      <c r="V505">
        <v>114588</v>
      </c>
      <c r="W505">
        <v>1098946</v>
      </c>
      <c r="X505">
        <v>40569</v>
      </c>
      <c r="Y505">
        <f t="shared" si="7"/>
        <v>1098946</v>
      </c>
      <c r="Z505" t="str">
        <f>IF(ISNUMBER(SEARCH("Adjustment",$C505)),"excluded",IF($H505="Behind the Meter","excluded",IF(NOT(OR($E505="Bundled",$E505="Energy")),"excluded",IF(OR($H505="Retail Power Marketer",$H505="Community Choice Aggregator",$E505="Energy"),"procurement",IF(OR($H505="Municipal",$H505="Cooperative",$H505="Federal",$H505="State",$H505="Political Subdivision"),"cost_service",IF($H505="Investor Owned",IF(AND(COUNTIF(Parameters!$A$4:$A$33,$G505)&gt;0,COUNTIF(Parameters!$B$4:$B$33,$B505)=0),"procurement","cost_service"),"unclassified"))))))</f>
        <v>cost_service</v>
      </c>
    </row>
    <row r="506" spans="1:26" x14ac:dyDescent="0.25">
      <c r="A506">
        <v>2024</v>
      </c>
      <c r="B506">
        <v>7627</v>
      </c>
      <c r="C506" t="s">
        <v>578</v>
      </c>
      <c r="D506" t="s">
        <v>84</v>
      </c>
      <c r="E506" t="s">
        <v>85</v>
      </c>
      <c r="F506" t="s">
        <v>86</v>
      </c>
      <c r="G506" t="s">
        <v>130</v>
      </c>
      <c r="H506" t="s">
        <v>88</v>
      </c>
      <c r="I506" t="s">
        <v>96</v>
      </c>
      <c r="J506">
        <v>14420</v>
      </c>
      <c r="K506">
        <v>109792</v>
      </c>
      <c r="L506">
        <v>11858</v>
      </c>
      <c r="M506">
        <v>11534</v>
      </c>
      <c r="N506">
        <v>92837</v>
      </c>
      <c r="O506">
        <v>1187</v>
      </c>
      <c r="P506">
        <v>16478</v>
      </c>
      <c r="Q506">
        <v>155681</v>
      </c>
      <c r="R506">
        <v>10</v>
      </c>
      <c r="S506" t="s">
        <v>97</v>
      </c>
      <c r="T506" t="s">
        <v>97</v>
      </c>
      <c r="U506" t="s">
        <v>97</v>
      </c>
      <c r="V506">
        <v>42432</v>
      </c>
      <c r="W506">
        <v>358310</v>
      </c>
      <c r="X506">
        <v>13055</v>
      </c>
      <c r="Y506">
        <f t="shared" si="7"/>
        <v>358310</v>
      </c>
      <c r="Z506" t="str">
        <f>IF(ISNUMBER(SEARCH("Adjustment",$C506)),"excluded",IF($H506="Behind the Meter","excluded",IF(NOT(OR($E506="Bundled",$E506="Energy")),"excluded",IF(OR($H506="Retail Power Marketer",$H506="Community Choice Aggregator",$E506="Energy"),"procurement",IF(OR($H506="Municipal",$H506="Cooperative",$H506="Federal",$H506="State",$H506="Political Subdivision"),"cost_service",IF($H506="Investor Owned",IF(AND(COUNTIF(Parameters!$A$4:$A$33,$G506)&gt;0,COUNTIF(Parameters!$B$4:$B$33,$B506)=0),"procurement","cost_service"),"unclassified"))))))</f>
        <v>cost_service</v>
      </c>
    </row>
    <row r="507" spans="1:26" x14ac:dyDescent="0.25">
      <c r="A507">
        <v>2024</v>
      </c>
      <c r="B507">
        <v>7634</v>
      </c>
      <c r="C507" t="s">
        <v>579</v>
      </c>
      <c r="D507" t="s">
        <v>84</v>
      </c>
      <c r="E507" t="s">
        <v>85</v>
      </c>
      <c r="F507" t="s">
        <v>86</v>
      </c>
      <c r="G507" t="s">
        <v>57</v>
      </c>
      <c r="H507" t="s">
        <v>88</v>
      </c>
      <c r="I507" t="s">
        <v>151</v>
      </c>
      <c r="J507">
        <v>28417</v>
      </c>
      <c r="K507">
        <v>190082</v>
      </c>
      <c r="L507">
        <v>15165</v>
      </c>
      <c r="M507">
        <v>35430</v>
      </c>
      <c r="N507">
        <v>351199</v>
      </c>
      <c r="O507">
        <v>2274</v>
      </c>
      <c r="P507" t="s">
        <v>97</v>
      </c>
      <c r="Q507" t="s">
        <v>97</v>
      </c>
      <c r="R507" t="s">
        <v>97</v>
      </c>
      <c r="S507" t="s">
        <v>97</v>
      </c>
      <c r="T507" t="s">
        <v>97</v>
      </c>
      <c r="U507" t="s">
        <v>97</v>
      </c>
      <c r="V507">
        <v>63847</v>
      </c>
      <c r="W507">
        <v>541281</v>
      </c>
      <c r="X507">
        <v>17439</v>
      </c>
      <c r="Y507">
        <f t="shared" si="7"/>
        <v>541281</v>
      </c>
      <c r="Z507" t="str">
        <f>IF(ISNUMBER(SEARCH("Adjustment",$C507)),"excluded",IF($H507="Behind the Meter","excluded",IF(NOT(OR($E507="Bundled",$E507="Energy")),"excluded",IF(OR($H507="Retail Power Marketer",$H507="Community Choice Aggregator",$E507="Energy"),"procurement",IF(OR($H507="Municipal",$H507="Cooperative",$H507="Federal",$H507="State",$H507="Political Subdivision"),"cost_service",IF($H507="Investor Owned",IF(AND(COUNTIF(Parameters!$A$4:$A$33,$G507)&gt;0,COUNTIF(Parameters!$B$4:$B$33,$B507)=0),"procurement","cost_service"),"unclassified"))))))</f>
        <v>cost_service</v>
      </c>
    </row>
    <row r="508" spans="1:26" x14ac:dyDescent="0.25">
      <c r="A508">
        <v>2024</v>
      </c>
      <c r="B508">
        <v>7639</v>
      </c>
      <c r="C508" t="s">
        <v>580</v>
      </c>
      <c r="D508" t="s">
        <v>84</v>
      </c>
      <c r="E508" t="s">
        <v>85</v>
      </c>
      <c r="F508" t="s">
        <v>86</v>
      </c>
      <c r="G508" t="s">
        <v>125</v>
      </c>
      <c r="H508" t="s">
        <v>88</v>
      </c>
      <c r="I508" t="s">
        <v>163</v>
      </c>
      <c r="J508">
        <v>93792.4</v>
      </c>
      <c r="K508">
        <v>783492</v>
      </c>
      <c r="L508">
        <v>65731</v>
      </c>
      <c r="M508">
        <v>62614.1</v>
      </c>
      <c r="N508">
        <v>609944</v>
      </c>
      <c r="O508">
        <v>7934</v>
      </c>
      <c r="P508">
        <v>25038.799999999999</v>
      </c>
      <c r="Q508">
        <v>371973</v>
      </c>
      <c r="R508">
        <v>453</v>
      </c>
      <c r="S508" t="s">
        <v>97</v>
      </c>
      <c r="T508" t="s">
        <v>97</v>
      </c>
      <c r="U508" t="s">
        <v>97</v>
      </c>
      <c r="V508">
        <v>181445.3</v>
      </c>
      <c r="W508">
        <v>1765409</v>
      </c>
      <c r="X508">
        <v>74118</v>
      </c>
      <c r="Y508">
        <f t="shared" si="7"/>
        <v>1765409</v>
      </c>
      <c r="Z508" t="str">
        <f>IF(ISNUMBER(SEARCH("Adjustment",$C508)),"excluded",IF($H508="Behind the Meter","excluded",IF(NOT(OR($E508="Bundled",$E508="Energy")),"excluded",IF(OR($H508="Retail Power Marketer",$H508="Community Choice Aggregator",$E508="Energy"),"procurement",IF(OR($H508="Municipal",$H508="Cooperative",$H508="Federal",$H508="State",$H508="Political Subdivision"),"cost_service",IF($H508="Investor Owned",IF(AND(COUNTIF(Parameters!$A$4:$A$33,$G508)&gt;0,COUNTIF(Parameters!$B$4:$B$33,$B508)=0),"procurement","cost_service"),"unclassified"))))))</f>
        <v>cost_service</v>
      </c>
    </row>
    <row r="509" spans="1:26" x14ac:dyDescent="0.25">
      <c r="A509">
        <v>2024</v>
      </c>
      <c r="B509">
        <v>7646</v>
      </c>
      <c r="C509" t="s">
        <v>581</v>
      </c>
      <c r="D509" t="s">
        <v>84</v>
      </c>
      <c r="E509" t="s">
        <v>85</v>
      </c>
      <c r="F509" t="s">
        <v>86</v>
      </c>
      <c r="G509" t="s">
        <v>106</v>
      </c>
      <c r="H509" t="s">
        <v>88</v>
      </c>
      <c r="I509" t="s">
        <v>126</v>
      </c>
      <c r="J509">
        <v>10348</v>
      </c>
      <c r="K509">
        <v>114492</v>
      </c>
      <c r="L509">
        <v>11753</v>
      </c>
      <c r="M509">
        <v>12366</v>
      </c>
      <c r="N509">
        <v>169303</v>
      </c>
      <c r="O509">
        <v>2989</v>
      </c>
      <c r="P509" t="s">
        <v>97</v>
      </c>
      <c r="Q509" t="s">
        <v>97</v>
      </c>
      <c r="R509" t="s">
        <v>97</v>
      </c>
      <c r="S509" t="s">
        <v>97</v>
      </c>
      <c r="T509" t="s">
        <v>97</v>
      </c>
      <c r="U509" t="s">
        <v>97</v>
      </c>
      <c r="V509">
        <v>22714</v>
      </c>
      <c r="W509">
        <v>283795</v>
      </c>
      <c r="X509">
        <v>14742</v>
      </c>
      <c r="Y509">
        <f t="shared" si="7"/>
        <v>283795</v>
      </c>
      <c r="Z509" t="str">
        <f>IF(ISNUMBER(SEARCH("Adjustment",$C509)),"excluded",IF($H509="Behind the Meter","excluded",IF(NOT(OR($E509="Bundled",$E509="Energy")),"excluded",IF(OR($H509="Retail Power Marketer",$H509="Community Choice Aggregator",$E509="Energy"),"procurement",IF(OR($H509="Municipal",$H509="Cooperative",$H509="Federal",$H509="State",$H509="Political Subdivision"),"cost_service",IF($H509="Investor Owned",IF(AND(COUNTIF(Parameters!$A$4:$A$33,$G509)&gt;0,COUNTIF(Parameters!$B$4:$B$33,$B509)=0),"procurement","cost_service"),"unclassified"))))))</f>
        <v>cost_service</v>
      </c>
    </row>
    <row r="510" spans="1:26" x14ac:dyDescent="0.25">
      <c r="A510">
        <v>2024</v>
      </c>
      <c r="B510">
        <v>7651</v>
      </c>
      <c r="C510" t="s">
        <v>582</v>
      </c>
      <c r="D510" t="s">
        <v>84</v>
      </c>
      <c r="E510" t="s">
        <v>85</v>
      </c>
      <c r="F510" t="s">
        <v>86</v>
      </c>
      <c r="G510" t="s">
        <v>87</v>
      </c>
      <c r="H510" t="s">
        <v>88</v>
      </c>
      <c r="I510" t="s">
        <v>96</v>
      </c>
      <c r="J510">
        <v>10489.7</v>
      </c>
      <c r="K510">
        <v>93069</v>
      </c>
      <c r="L510">
        <v>7204</v>
      </c>
      <c r="M510">
        <v>12338.2</v>
      </c>
      <c r="N510">
        <v>121516</v>
      </c>
      <c r="O510">
        <v>1678</v>
      </c>
      <c r="P510">
        <v>3027.9</v>
      </c>
      <c r="Q510">
        <v>35885</v>
      </c>
      <c r="R510">
        <v>5</v>
      </c>
      <c r="S510" t="s">
        <v>97</v>
      </c>
      <c r="T510" t="s">
        <v>97</v>
      </c>
      <c r="U510" t="s">
        <v>97</v>
      </c>
      <c r="V510">
        <v>25855.8</v>
      </c>
      <c r="W510">
        <v>250470</v>
      </c>
      <c r="X510">
        <v>8887</v>
      </c>
      <c r="Y510">
        <f t="shared" si="7"/>
        <v>250470</v>
      </c>
      <c r="Z510" t="str">
        <f>IF(ISNUMBER(SEARCH("Adjustment",$C510)),"excluded",IF($H510="Behind the Meter","excluded",IF(NOT(OR($E510="Bundled",$E510="Energy")),"excluded",IF(OR($H510="Retail Power Marketer",$H510="Community Choice Aggregator",$E510="Energy"),"procurement",IF(OR($H510="Municipal",$H510="Cooperative",$H510="Federal",$H510="State",$H510="Political Subdivision"),"cost_service",IF($H510="Investor Owned",IF(AND(COUNTIF(Parameters!$A$4:$A$33,$G510)&gt;0,COUNTIF(Parameters!$B$4:$B$33,$B510)=0),"procurement","cost_service"),"unclassified"))))))</f>
        <v>cost_service</v>
      </c>
    </row>
    <row r="511" spans="1:26" x14ac:dyDescent="0.25">
      <c r="A511">
        <v>2024</v>
      </c>
      <c r="B511">
        <v>7654</v>
      </c>
      <c r="C511" t="s">
        <v>583</v>
      </c>
      <c r="D511" t="s">
        <v>84</v>
      </c>
      <c r="E511" t="s">
        <v>85</v>
      </c>
      <c r="F511" t="s">
        <v>86</v>
      </c>
      <c r="G511" t="s">
        <v>106</v>
      </c>
      <c r="H511" t="s">
        <v>88</v>
      </c>
      <c r="I511" t="s">
        <v>126</v>
      </c>
      <c r="J511">
        <v>28920</v>
      </c>
      <c r="K511">
        <v>245024</v>
      </c>
      <c r="L511">
        <v>24893</v>
      </c>
      <c r="M511">
        <v>22872</v>
      </c>
      <c r="N511">
        <v>201467</v>
      </c>
      <c r="O511">
        <v>10414</v>
      </c>
      <c r="P511" t="s">
        <v>97</v>
      </c>
      <c r="Q511" t="s">
        <v>97</v>
      </c>
      <c r="R511" t="s">
        <v>97</v>
      </c>
      <c r="S511" t="s">
        <v>97</v>
      </c>
      <c r="T511" t="s">
        <v>97</v>
      </c>
      <c r="U511" t="s">
        <v>97</v>
      </c>
      <c r="V511">
        <v>51792</v>
      </c>
      <c r="W511">
        <v>446491</v>
      </c>
      <c r="X511">
        <v>35307</v>
      </c>
      <c r="Y511">
        <f t="shared" si="7"/>
        <v>446491</v>
      </c>
      <c r="Z511" t="str">
        <f>IF(ISNUMBER(SEARCH("Adjustment",$C511)),"excluded",IF($H511="Behind the Meter","excluded",IF(NOT(OR($E511="Bundled",$E511="Energy")),"excluded",IF(OR($H511="Retail Power Marketer",$H511="Community Choice Aggregator",$E511="Energy"),"procurement",IF(OR($H511="Municipal",$H511="Cooperative",$H511="Federal",$H511="State",$H511="Political Subdivision"),"cost_service",IF($H511="Investor Owned",IF(AND(COUNTIF(Parameters!$A$4:$A$33,$G511)&gt;0,COUNTIF(Parameters!$B$4:$B$33,$B511)=0),"procurement","cost_service"),"unclassified"))))))</f>
        <v>cost_service</v>
      </c>
    </row>
    <row r="512" spans="1:26" x14ac:dyDescent="0.25">
      <c r="A512">
        <v>2024</v>
      </c>
      <c r="B512">
        <v>7679</v>
      </c>
      <c r="C512" t="s">
        <v>584</v>
      </c>
      <c r="D512" t="s">
        <v>84</v>
      </c>
      <c r="E512" t="s">
        <v>85</v>
      </c>
      <c r="F512" t="s">
        <v>86</v>
      </c>
      <c r="G512" t="s">
        <v>123</v>
      </c>
      <c r="H512" t="s">
        <v>88</v>
      </c>
      <c r="I512" t="s">
        <v>113</v>
      </c>
      <c r="J512">
        <v>24211.7</v>
      </c>
      <c r="K512">
        <v>161378</v>
      </c>
      <c r="L512">
        <v>13594</v>
      </c>
      <c r="M512">
        <v>24722.3</v>
      </c>
      <c r="N512">
        <v>161690</v>
      </c>
      <c r="O512">
        <v>2389</v>
      </c>
      <c r="P512">
        <v>8940.4</v>
      </c>
      <c r="Q512">
        <v>89710</v>
      </c>
      <c r="R512">
        <v>24</v>
      </c>
      <c r="S512" t="s">
        <v>97</v>
      </c>
      <c r="T512" t="s">
        <v>97</v>
      </c>
      <c r="U512" t="s">
        <v>97</v>
      </c>
      <c r="V512">
        <v>57874.400000000001</v>
      </c>
      <c r="W512">
        <v>412778</v>
      </c>
      <c r="X512">
        <v>16007</v>
      </c>
      <c r="Y512">
        <f t="shared" si="7"/>
        <v>412778</v>
      </c>
      <c r="Z512" t="str">
        <f>IF(ISNUMBER(SEARCH("Adjustment",$C512)),"excluded",IF($H512="Behind the Meter","excluded",IF(NOT(OR($E512="Bundled",$E512="Energy")),"excluded",IF(OR($H512="Retail Power Marketer",$H512="Community Choice Aggregator",$E512="Energy"),"procurement",IF(OR($H512="Municipal",$H512="Cooperative",$H512="Federal",$H512="State",$H512="Political Subdivision"),"cost_service",IF($H512="Investor Owned",IF(AND(COUNTIF(Parameters!$A$4:$A$33,$G512)&gt;0,COUNTIF(Parameters!$B$4:$B$33,$B512)=0),"procurement","cost_service"),"unclassified"))))))</f>
        <v>cost_service</v>
      </c>
    </row>
    <row r="513" spans="1:26" x14ac:dyDescent="0.25">
      <c r="A513">
        <v>2024</v>
      </c>
      <c r="B513">
        <v>7716</v>
      </c>
      <c r="C513" t="s">
        <v>585</v>
      </c>
      <c r="D513" t="s">
        <v>84</v>
      </c>
      <c r="E513" t="s">
        <v>85</v>
      </c>
      <c r="F513" t="s">
        <v>86</v>
      </c>
      <c r="G513" t="s">
        <v>40</v>
      </c>
      <c r="H513" t="s">
        <v>88</v>
      </c>
      <c r="I513" t="s">
        <v>189</v>
      </c>
      <c r="J513">
        <v>19705.7</v>
      </c>
      <c r="K513">
        <v>105354</v>
      </c>
      <c r="L513">
        <v>12284</v>
      </c>
      <c r="M513">
        <v>17000.5</v>
      </c>
      <c r="N513">
        <v>94527</v>
      </c>
      <c r="O513">
        <v>1588</v>
      </c>
      <c r="P513">
        <v>25015.1</v>
      </c>
      <c r="Q513">
        <v>184750</v>
      </c>
      <c r="R513">
        <v>17</v>
      </c>
      <c r="S513">
        <v>0</v>
      </c>
      <c r="T513">
        <v>0</v>
      </c>
      <c r="U513">
        <v>0</v>
      </c>
      <c r="V513">
        <v>61721.3</v>
      </c>
      <c r="W513">
        <v>384631</v>
      </c>
      <c r="X513">
        <v>13889</v>
      </c>
      <c r="Y513">
        <f t="shared" si="7"/>
        <v>384631</v>
      </c>
      <c r="Z513" t="str">
        <f>IF(ISNUMBER(SEARCH("Adjustment",$C513)),"excluded",IF($H513="Behind the Meter","excluded",IF(NOT(OR($E513="Bundled",$E513="Energy")),"excluded",IF(OR($H513="Retail Power Marketer",$H513="Community Choice Aggregator",$E513="Energy"),"procurement",IF(OR($H513="Municipal",$H513="Cooperative",$H513="Federal",$H513="State",$H513="Political Subdivision"),"cost_service",IF($H513="Investor Owned",IF(AND(COUNTIF(Parameters!$A$4:$A$33,$G513)&gt;0,COUNTIF(Parameters!$B$4:$B$33,$B513)=0),"procurement","cost_service"),"unclassified"))))))</f>
        <v>cost_service</v>
      </c>
    </row>
    <row r="514" spans="1:26" x14ac:dyDescent="0.25">
      <c r="A514">
        <v>2024</v>
      </c>
      <c r="B514">
        <v>7752</v>
      </c>
      <c r="C514" t="s">
        <v>586</v>
      </c>
      <c r="D514" t="s">
        <v>84</v>
      </c>
      <c r="E514" t="s">
        <v>85</v>
      </c>
      <c r="F514" t="s">
        <v>86</v>
      </c>
      <c r="G514" t="s">
        <v>57</v>
      </c>
      <c r="H514" t="s">
        <v>91</v>
      </c>
      <c r="I514" t="s">
        <v>151</v>
      </c>
      <c r="J514">
        <v>165374.29999999999</v>
      </c>
      <c r="K514">
        <v>1324456</v>
      </c>
      <c r="L514">
        <v>92189</v>
      </c>
      <c r="M514">
        <v>41649.699999999997</v>
      </c>
      <c r="N514">
        <v>366237</v>
      </c>
      <c r="O514">
        <v>10544</v>
      </c>
      <c r="P514">
        <v>65823</v>
      </c>
      <c r="Q514">
        <v>1219504</v>
      </c>
      <c r="R514">
        <v>1048</v>
      </c>
      <c r="S514" t="s">
        <v>97</v>
      </c>
      <c r="T514" t="s">
        <v>97</v>
      </c>
      <c r="U514" t="s">
        <v>97</v>
      </c>
      <c r="V514">
        <v>272847</v>
      </c>
      <c r="W514">
        <v>2910197</v>
      </c>
      <c r="X514">
        <v>103781</v>
      </c>
      <c r="Y514">
        <f t="shared" si="7"/>
        <v>2910197</v>
      </c>
      <c r="Z514" t="str">
        <f>IF(ISNUMBER(SEARCH("Adjustment",$C514)),"excluded",IF($H514="Behind the Meter","excluded",IF(NOT(OR($E514="Bundled",$E514="Energy")),"excluded",IF(OR($H514="Retail Power Marketer",$H514="Community Choice Aggregator",$E514="Energy"),"procurement",IF(OR($H514="Municipal",$H514="Cooperative",$H514="Federal",$H514="State",$H514="Political Subdivision"),"cost_service",IF($H514="Investor Owned",IF(AND(COUNTIF(Parameters!$A$4:$A$33,$G514)&gt;0,COUNTIF(Parameters!$B$4:$B$33,$B514)=0),"procurement","cost_service"),"unclassified"))))))</f>
        <v>cost_service</v>
      </c>
    </row>
    <row r="515" spans="1:26" x14ac:dyDescent="0.25">
      <c r="A515">
        <v>2024</v>
      </c>
      <c r="B515">
        <v>7785</v>
      </c>
      <c r="C515" t="s">
        <v>587</v>
      </c>
      <c r="D515" t="s">
        <v>84</v>
      </c>
      <c r="E515" t="s">
        <v>85</v>
      </c>
      <c r="F515" t="s">
        <v>86</v>
      </c>
      <c r="G515" t="s">
        <v>195</v>
      </c>
      <c r="H515" t="s">
        <v>91</v>
      </c>
      <c r="I515" t="s">
        <v>113</v>
      </c>
      <c r="J515">
        <v>44571.7</v>
      </c>
      <c r="K515">
        <v>303810</v>
      </c>
      <c r="L515">
        <v>21220</v>
      </c>
      <c r="M515">
        <v>9623.7000000000007</v>
      </c>
      <c r="N515">
        <v>74653</v>
      </c>
      <c r="O515">
        <v>1548</v>
      </c>
      <c r="P515" t="s">
        <v>97</v>
      </c>
      <c r="Q515" t="s">
        <v>97</v>
      </c>
      <c r="R515" t="s">
        <v>97</v>
      </c>
      <c r="S515" t="s">
        <v>97</v>
      </c>
      <c r="T515" t="s">
        <v>97</v>
      </c>
      <c r="U515" t="s">
        <v>97</v>
      </c>
      <c r="V515">
        <v>54195.4</v>
      </c>
      <c r="W515">
        <v>378463</v>
      </c>
      <c r="X515">
        <v>22768</v>
      </c>
      <c r="Y515">
        <f t="shared" si="7"/>
        <v>378463</v>
      </c>
      <c r="Z515" t="str">
        <f>IF(ISNUMBER(SEARCH("Adjustment",$C515)),"excluded",IF($H515="Behind the Meter","excluded",IF(NOT(OR($E515="Bundled",$E515="Energy")),"excluded",IF(OR($H515="Retail Power Marketer",$H515="Community Choice Aggregator",$E515="Energy"),"procurement",IF(OR($H515="Municipal",$H515="Cooperative",$H515="Federal",$H515="State",$H515="Political Subdivision"),"cost_service",IF($H515="Investor Owned",IF(AND(COUNTIF(Parameters!$A$4:$A$33,$G515)&gt;0,COUNTIF(Parameters!$B$4:$B$33,$B515)=0),"procurement","cost_service"),"unclassified"))))))</f>
        <v>cost_service</v>
      </c>
    </row>
    <row r="516" spans="1:26" x14ac:dyDescent="0.25">
      <c r="A516">
        <v>2024</v>
      </c>
      <c r="B516">
        <v>7827</v>
      </c>
      <c r="C516" t="s">
        <v>588</v>
      </c>
      <c r="D516" t="s">
        <v>84</v>
      </c>
      <c r="E516" t="s">
        <v>85</v>
      </c>
      <c r="F516" t="s">
        <v>86</v>
      </c>
      <c r="G516" t="s">
        <v>112</v>
      </c>
      <c r="H516" t="s">
        <v>88</v>
      </c>
      <c r="I516" t="s">
        <v>89</v>
      </c>
      <c r="J516">
        <v>9143</v>
      </c>
      <c r="K516">
        <v>71438</v>
      </c>
      <c r="L516">
        <v>4875</v>
      </c>
      <c r="M516">
        <v>11542</v>
      </c>
      <c r="N516">
        <v>90107</v>
      </c>
      <c r="O516">
        <v>2042</v>
      </c>
      <c r="P516">
        <v>6985</v>
      </c>
      <c r="Q516">
        <v>84609</v>
      </c>
      <c r="R516">
        <v>5</v>
      </c>
      <c r="S516">
        <v>0</v>
      </c>
      <c r="T516">
        <v>0</v>
      </c>
      <c r="U516">
        <v>0</v>
      </c>
      <c r="V516">
        <v>27670</v>
      </c>
      <c r="W516">
        <v>246154</v>
      </c>
      <c r="X516">
        <v>6922</v>
      </c>
      <c r="Y516">
        <f t="shared" ref="Y516:Y579" si="8">IF(ISNUMBER($W516),$W516,0)</f>
        <v>246154</v>
      </c>
      <c r="Z516" t="str">
        <f>IF(ISNUMBER(SEARCH("Adjustment",$C516)),"excluded",IF($H516="Behind the Meter","excluded",IF(NOT(OR($E516="Bundled",$E516="Energy")),"excluded",IF(OR($H516="Retail Power Marketer",$H516="Community Choice Aggregator",$E516="Energy"),"procurement",IF(OR($H516="Municipal",$H516="Cooperative",$H516="Federal",$H516="State",$H516="Political Subdivision"),"cost_service",IF($H516="Investor Owned",IF(AND(COUNTIF(Parameters!$A$4:$A$33,$G516)&gt;0,COUNTIF(Parameters!$B$4:$B$33,$B516)=0),"procurement","cost_service"),"unclassified"))))))</f>
        <v>cost_service</v>
      </c>
    </row>
    <row r="517" spans="1:26" x14ac:dyDescent="0.25">
      <c r="A517">
        <v>2024</v>
      </c>
      <c r="B517">
        <v>7887</v>
      </c>
      <c r="C517" t="s">
        <v>589</v>
      </c>
      <c r="D517" t="s">
        <v>84</v>
      </c>
      <c r="E517" t="s">
        <v>85</v>
      </c>
      <c r="F517" t="s">
        <v>86</v>
      </c>
      <c r="G517" t="s">
        <v>123</v>
      </c>
      <c r="H517" t="s">
        <v>91</v>
      </c>
      <c r="I517" t="s">
        <v>113</v>
      </c>
      <c r="J517">
        <v>62308.3</v>
      </c>
      <c r="K517">
        <v>444362</v>
      </c>
      <c r="L517">
        <v>35011</v>
      </c>
      <c r="M517">
        <v>11547.7</v>
      </c>
      <c r="N517">
        <v>95280</v>
      </c>
      <c r="O517">
        <v>2627</v>
      </c>
      <c r="P517">
        <v>1247.7</v>
      </c>
      <c r="Q517">
        <v>10816</v>
      </c>
      <c r="R517">
        <v>17</v>
      </c>
      <c r="S517" t="s">
        <v>97</v>
      </c>
      <c r="T517" t="s">
        <v>97</v>
      </c>
      <c r="U517" t="s">
        <v>97</v>
      </c>
      <c r="V517">
        <v>75103.7</v>
      </c>
      <c r="W517">
        <v>550458</v>
      </c>
      <c r="X517">
        <v>37655</v>
      </c>
      <c r="Y517">
        <f t="shared" si="8"/>
        <v>550458</v>
      </c>
      <c r="Z517" t="str">
        <f>IF(ISNUMBER(SEARCH("Adjustment",$C517)),"excluded",IF($H517="Behind the Meter","excluded",IF(NOT(OR($E517="Bundled",$E517="Energy")),"excluded",IF(OR($H517="Retail Power Marketer",$H517="Community Choice Aggregator",$E517="Energy"),"procurement",IF(OR($H517="Municipal",$H517="Cooperative",$H517="Federal",$H517="State",$H517="Political Subdivision"),"cost_service",IF($H517="Investor Owned",IF(AND(COUNTIF(Parameters!$A$4:$A$33,$G517)&gt;0,COUNTIF(Parameters!$B$4:$B$33,$B517)=0),"procurement","cost_service"),"unclassified"))))))</f>
        <v>cost_service</v>
      </c>
    </row>
    <row r="518" spans="1:26" x14ac:dyDescent="0.25">
      <c r="A518">
        <v>2024</v>
      </c>
      <c r="B518">
        <v>7891</v>
      </c>
      <c r="C518" t="s">
        <v>590</v>
      </c>
      <c r="D518" t="s">
        <v>84</v>
      </c>
      <c r="E518" t="s">
        <v>85</v>
      </c>
      <c r="F518" t="s">
        <v>86</v>
      </c>
      <c r="G518" t="s">
        <v>54</v>
      </c>
      <c r="H518" t="s">
        <v>91</v>
      </c>
      <c r="I518" t="s">
        <v>92</v>
      </c>
      <c r="J518">
        <v>30348</v>
      </c>
      <c r="K518">
        <v>168625</v>
      </c>
      <c r="L518">
        <v>15289</v>
      </c>
      <c r="M518">
        <v>7625.2</v>
      </c>
      <c r="N518">
        <v>46748</v>
      </c>
      <c r="O518">
        <v>1879</v>
      </c>
      <c r="P518">
        <v>4373.3999999999996</v>
      </c>
      <c r="Q518">
        <v>30900</v>
      </c>
      <c r="R518">
        <v>10</v>
      </c>
      <c r="S518" t="s">
        <v>97</v>
      </c>
      <c r="T518" t="s">
        <v>97</v>
      </c>
      <c r="U518" t="s">
        <v>97</v>
      </c>
      <c r="V518">
        <v>42346.6</v>
      </c>
      <c r="W518">
        <v>246273</v>
      </c>
      <c r="X518">
        <v>17178</v>
      </c>
      <c r="Y518">
        <f t="shared" si="8"/>
        <v>246273</v>
      </c>
      <c r="Z518" t="str">
        <f>IF(ISNUMBER(SEARCH("Adjustment",$C518)),"excluded",IF($H518="Behind the Meter","excluded",IF(NOT(OR($E518="Bundled",$E518="Energy")),"excluded",IF(OR($H518="Retail Power Marketer",$H518="Community Choice Aggregator",$E518="Energy"),"procurement",IF(OR($H518="Municipal",$H518="Cooperative",$H518="Federal",$H518="State",$H518="Political Subdivision"),"cost_service",IF($H518="Investor Owned",IF(AND(COUNTIF(Parameters!$A$4:$A$33,$G518)&gt;0,COUNTIF(Parameters!$B$4:$B$33,$B518)=0),"procurement","cost_service"),"unclassified"))))))</f>
        <v>cost_service</v>
      </c>
    </row>
    <row r="519" spans="1:26" x14ac:dyDescent="0.25">
      <c r="A519">
        <v>2024</v>
      </c>
      <c r="B519">
        <v>7908</v>
      </c>
      <c r="C519" t="s">
        <v>591</v>
      </c>
      <c r="D519" t="s">
        <v>84</v>
      </c>
      <c r="E519" t="s">
        <v>85</v>
      </c>
      <c r="F519" t="s">
        <v>86</v>
      </c>
      <c r="G519" t="s">
        <v>49</v>
      </c>
      <c r="H519" t="s">
        <v>88</v>
      </c>
      <c r="I519" t="s">
        <v>92</v>
      </c>
      <c r="J519">
        <v>12852</v>
      </c>
      <c r="K519">
        <v>165448</v>
      </c>
      <c r="L519">
        <v>15099</v>
      </c>
      <c r="M519">
        <v>7015.5</v>
      </c>
      <c r="N519">
        <v>86781</v>
      </c>
      <c r="O519">
        <v>2592</v>
      </c>
      <c r="P519">
        <v>4575.3999999999996</v>
      </c>
      <c r="Q519">
        <v>67177</v>
      </c>
      <c r="R519">
        <v>52</v>
      </c>
      <c r="S519" t="s">
        <v>97</v>
      </c>
      <c r="T519" t="s">
        <v>97</v>
      </c>
      <c r="U519" t="s">
        <v>97</v>
      </c>
      <c r="V519">
        <v>24442.9</v>
      </c>
      <c r="W519">
        <v>319406</v>
      </c>
      <c r="X519">
        <v>17743</v>
      </c>
      <c r="Y519">
        <f t="shared" si="8"/>
        <v>319406</v>
      </c>
      <c r="Z519" t="str">
        <f>IF(ISNUMBER(SEARCH("Adjustment",$C519)),"excluded",IF($H519="Behind the Meter","excluded",IF(NOT(OR($E519="Bundled",$E519="Energy")),"excluded",IF(OR($H519="Retail Power Marketer",$H519="Community Choice Aggregator",$E519="Energy"),"procurement",IF(OR($H519="Municipal",$H519="Cooperative",$H519="Federal",$H519="State",$H519="Political Subdivision"),"cost_service",IF($H519="Investor Owned",IF(AND(COUNTIF(Parameters!$A$4:$A$33,$G519)&gt;0,COUNTIF(Parameters!$B$4:$B$33,$B519)=0),"procurement","cost_service"),"unclassified"))))))</f>
        <v>cost_service</v>
      </c>
    </row>
    <row r="520" spans="1:26" x14ac:dyDescent="0.25">
      <c r="A520">
        <v>2024</v>
      </c>
      <c r="B520">
        <v>7977</v>
      </c>
      <c r="C520" t="s">
        <v>592</v>
      </c>
      <c r="D520" t="s">
        <v>84</v>
      </c>
      <c r="E520" t="s">
        <v>85</v>
      </c>
      <c r="F520" t="s">
        <v>86</v>
      </c>
      <c r="G520" t="s">
        <v>54</v>
      </c>
      <c r="H520" t="s">
        <v>88</v>
      </c>
      <c r="I520" t="s">
        <v>92</v>
      </c>
      <c r="J520">
        <v>38789</v>
      </c>
      <c r="K520">
        <v>251261</v>
      </c>
      <c r="L520">
        <v>26964</v>
      </c>
      <c r="M520">
        <v>33763</v>
      </c>
      <c r="N520">
        <v>358215</v>
      </c>
      <c r="O520">
        <v>2852</v>
      </c>
      <c r="P520">
        <v>8911</v>
      </c>
      <c r="Q520">
        <v>78842</v>
      </c>
      <c r="R520">
        <v>75</v>
      </c>
      <c r="S520" t="s">
        <v>97</v>
      </c>
      <c r="T520" t="s">
        <v>97</v>
      </c>
      <c r="U520" t="s">
        <v>97</v>
      </c>
      <c r="V520">
        <v>81463</v>
      </c>
      <c r="W520">
        <v>688318</v>
      </c>
      <c r="X520">
        <v>29891</v>
      </c>
      <c r="Y520">
        <f t="shared" si="8"/>
        <v>688318</v>
      </c>
      <c r="Z520" t="str">
        <f>IF(ISNUMBER(SEARCH("Adjustment",$C520)),"excluded",IF($H520="Behind the Meter","excluded",IF(NOT(OR($E520="Bundled",$E520="Energy")),"excluded",IF(OR($H520="Retail Power Marketer",$H520="Community Choice Aggregator",$E520="Energy"),"procurement",IF(OR($H520="Municipal",$H520="Cooperative",$H520="Federal",$H520="State",$H520="Political Subdivision"),"cost_service",IF($H520="Investor Owned",IF(AND(COUNTIF(Parameters!$A$4:$A$33,$G520)&gt;0,COUNTIF(Parameters!$B$4:$B$33,$B520)=0),"procurement","cost_service"),"unclassified"))))))</f>
        <v>cost_service</v>
      </c>
    </row>
    <row r="521" spans="1:26" x14ac:dyDescent="0.25">
      <c r="A521">
        <v>2024</v>
      </c>
      <c r="B521">
        <v>7979</v>
      </c>
      <c r="C521" t="s">
        <v>593</v>
      </c>
      <c r="D521" t="s">
        <v>84</v>
      </c>
      <c r="E521" t="s">
        <v>85</v>
      </c>
      <c r="F521" t="s">
        <v>86</v>
      </c>
      <c r="G521" t="s">
        <v>57</v>
      </c>
      <c r="H521" t="s">
        <v>91</v>
      </c>
      <c r="I521" t="s">
        <v>151</v>
      </c>
      <c r="J521">
        <v>31636.6</v>
      </c>
      <c r="K521">
        <v>231024</v>
      </c>
      <c r="L521">
        <v>19594</v>
      </c>
      <c r="M521">
        <v>3995.5</v>
      </c>
      <c r="N521">
        <v>31170</v>
      </c>
      <c r="O521">
        <v>798</v>
      </c>
      <c r="P521" t="s">
        <v>97</v>
      </c>
      <c r="Q521" t="s">
        <v>97</v>
      </c>
      <c r="R521" t="s">
        <v>97</v>
      </c>
      <c r="S521" t="s">
        <v>97</v>
      </c>
      <c r="T521" t="s">
        <v>97</v>
      </c>
      <c r="U521" t="s">
        <v>97</v>
      </c>
      <c r="V521">
        <v>35632.1</v>
      </c>
      <c r="W521">
        <v>262194</v>
      </c>
      <c r="X521">
        <v>20392</v>
      </c>
      <c r="Y521">
        <f t="shared" si="8"/>
        <v>262194</v>
      </c>
      <c r="Z521" t="str">
        <f>IF(ISNUMBER(SEARCH("Adjustment",$C521)),"excluded",IF($H521="Behind the Meter","excluded",IF(NOT(OR($E521="Bundled",$E521="Energy")),"excluded",IF(OR($H521="Retail Power Marketer",$H521="Community Choice Aggregator",$E521="Energy"),"procurement",IF(OR($H521="Municipal",$H521="Cooperative",$H521="Federal",$H521="State",$H521="Political Subdivision"),"cost_service",IF($H521="Investor Owned",IF(AND(COUNTIF(Parameters!$A$4:$A$33,$G521)&gt;0,COUNTIF(Parameters!$B$4:$B$33,$B521)=0),"procurement","cost_service"),"unclassified"))))))</f>
        <v>cost_service</v>
      </c>
    </row>
    <row r="522" spans="1:26" x14ac:dyDescent="0.25">
      <c r="A522">
        <v>2024</v>
      </c>
      <c r="B522">
        <v>8000</v>
      </c>
      <c r="C522" t="s">
        <v>594</v>
      </c>
      <c r="D522" t="s">
        <v>84</v>
      </c>
      <c r="E522" t="s">
        <v>85</v>
      </c>
      <c r="F522" t="s">
        <v>86</v>
      </c>
      <c r="G522" t="s">
        <v>130</v>
      </c>
      <c r="H522" t="s">
        <v>91</v>
      </c>
      <c r="I522" t="s">
        <v>96</v>
      </c>
      <c r="J522">
        <v>41374</v>
      </c>
      <c r="K522">
        <v>263797</v>
      </c>
      <c r="L522">
        <v>17770</v>
      </c>
      <c r="M522">
        <v>6808.7</v>
      </c>
      <c r="N522">
        <v>49559</v>
      </c>
      <c r="O522">
        <v>1084</v>
      </c>
      <c r="P522">
        <v>2940</v>
      </c>
      <c r="Q522">
        <v>23383</v>
      </c>
      <c r="R522">
        <v>82</v>
      </c>
      <c r="S522" t="s">
        <v>97</v>
      </c>
      <c r="T522" t="s">
        <v>97</v>
      </c>
      <c r="U522" t="s">
        <v>97</v>
      </c>
      <c r="V522">
        <v>51122.7</v>
      </c>
      <c r="W522">
        <v>336739</v>
      </c>
      <c r="X522">
        <v>18936</v>
      </c>
      <c r="Y522">
        <f t="shared" si="8"/>
        <v>336739</v>
      </c>
      <c r="Z522" t="str">
        <f>IF(ISNUMBER(SEARCH("Adjustment",$C522)),"excluded",IF($H522="Behind the Meter","excluded",IF(NOT(OR($E522="Bundled",$E522="Energy")),"excluded",IF(OR($H522="Retail Power Marketer",$H522="Community Choice Aggregator",$E522="Energy"),"procurement",IF(OR($H522="Municipal",$H522="Cooperative",$H522="Federal",$H522="State",$H522="Political Subdivision"),"cost_service",IF($H522="Investor Owned",IF(AND(COUNTIF(Parameters!$A$4:$A$33,$G522)&gt;0,COUNTIF(Parameters!$B$4:$B$33,$B522)=0),"procurement","cost_service"),"unclassified"))))))</f>
        <v>cost_service</v>
      </c>
    </row>
    <row r="523" spans="1:26" x14ac:dyDescent="0.25">
      <c r="A523">
        <v>2024</v>
      </c>
      <c r="B523">
        <v>8034</v>
      </c>
      <c r="C523" t="s">
        <v>595</v>
      </c>
      <c r="D523" t="s">
        <v>84</v>
      </c>
      <c r="E523" t="s">
        <v>85</v>
      </c>
      <c r="F523" t="s">
        <v>86</v>
      </c>
      <c r="G523" t="s">
        <v>54</v>
      </c>
      <c r="H523" t="s">
        <v>91</v>
      </c>
      <c r="I523" t="s">
        <v>92</v>
      </c>
      <c r="J523">
        <v>25043.7</v>
      </c>
      <c r="K523">
        <v>146926</v>
      </c>
      <c r="L523">
        <v>11307</v>
      </c>
      <c r="M523">
        <v>14797.6</v>
      </c>
      <c r="N523">
        <v>101735</v>
      </c>
      <c r="O523">
        <v>2321</v>
      </c>
      <c r="P523">
        <v>11427.7</v>
      </c>
      <c r="Q523">
        <v>103817</v>
      </c>
      <c r="R523">
        <v>12</v>
      </c>
      <c r="S523" t="s">
        <v>97</v>
      </c>
      <c r="T523" t="s">
        <v>97</v>
      </c>
      <c r="U523" t="s">
        <v>97</v>
      </c>
      <c r="V523">
        <v>51269</v>
      </c>
      <c r="W523">
        <v>352478</v>
      </c>
      <c r="X523">
        <v>13640</v>
      </c>
      <c r="Y523">
        <f t="shared" si="8"/>
        <v>352478</v>
      </c>
      <c r="Z523" t="str">
        <f>IF(ISNUMBER(SEARCH("Adjustment",$C523)),"excluded",IF($H523="Behind the Meter","excluded",IF(NOT(OR($E523="Bundled",$E523="Energy")),"excluded",IF(OR($H523="Retail Power Marketer",$H523="Community Choice Aggregator",$E523="Energy"),"procurement",IF(OR($H523="Municipal",$H523="Cooperative",$H523="Federal",$H523="State",$H523="Political Subdivision"),"cost_service",IF($H523="Investor Owned",IF(AND(COUNTIF(Parameters!$A$4:$A$33,$G523)&gt;0,COUNTIF(Parameters!$B$4:$B$33,$B523)=0),"procurement","cost_service"),"unclassified"))))))</f>
        <v>cost_service</v>
      </c>
    </row>
    <row r="524" spans="1:26" x14ac:dyDescent="0.25">
      <c r="A524">
        <v>2024</v>
      </c>
      <c r="B524">
        <v>8055</v>
      </c>
      <c r="C524" t="s">
        <v>596</v>
      </c>
      <c r="D524" t="s">
        <v>84</v>
      </c>
      <c r="E524" t="s">
        <v>85</v>
      </c>
      <c r="F524" t="s">
        <v>86</v>
      </c>
      <c r="G524" t="s">
        <v>226</v>
      </c>
      <c r="H524" t="s">
        <v>88</v>
      </c>
      <c r="I524" t="s">
        <v>96</v>
      </c>
      <c r="J524">
        <v>10012</v>
      </c>
      <c r="K524">
        <v>77552</v>
      </c>
      <c r="L524">
        <v>7639</v>
      </c>
      <c r="M524">
        <v>3627.2</v>
      </c>
      <c r="N524">
        <v>27458</v>
      </c>
      <c r="O524">
        <v>1069</v>
      </c>
      <c r="P524">
        <v>10804</v>
      </c>
      <c r="Q524">
        <v>118666</v>
      </c>
      <c r="R524">
        <v>90</v>
      </c>
      <c r="S524" t="s">
        <v>97</v>
      </c>
      <c r="T524" t="s">
        <v>97</v>
      </c>
      <c r="U524" t="s">
        <v>97</v>
      </c>
      <c r="V524">
        <v>24443.200000000001</v>
      </c>
      <c r="W524">
        <v>223676</v>
      </c>
      <c r="X524">
        <v>8798</v>
      </c>
      <c r="Y524">
        <f t="shared" si="8"/>
        <v>223676</v>
      </c>
      <c r="Z524" t="str">
        <f>IF(ISNUMBER(SEARCH("Adjustment",$C524)),"excluded",IF($H524="Behind the Meter","excluded",IF(NOT(OR($E524="Bundled",$E524="Energy")),"excluded",IF(OR($H524="Retail Power Marketer",$H524="Community Choice Aggregator",$E524="Energy"),"procurement",IF(OR($H524="Municipal",$H524="Cooperative",$H524="Federal",$H524="State",$H524="Political Subdivision"),"cost_service",IF($H524="Investor Owned",IF(AND(COUNTIF(Parameters!$A$4:$A$33,$G524)&gt;0,COUNTIF(Parameters!$B$4:$B$33,$B524)=0),"procurement","cost_service"),"unclassified"))))))</f>
        <v>cost_service</v>
      </c>
    </row>
    <row r="525" spans="1:26" x14ac:dyDescent="0.25">
      <c r="A525">
        <v>2024</v>
      </c>
      <c r="B525">
        <v>8147</v>
      </c>
      <c r="C525" t="s">
        <v>597</v>
      </c>
      <c r="D525" t="s">
        <v>84</v>
      </c>
      <c r="E525" t="s">
        <v>85</v>
      </c>
      <c r="F525" t="s">
        <v>86</v>
      </c>
      <c r="G525" t="s">
        <v>156</v>
      </c>
      <c r="H525" t="s">
        <v>88</v>
      </c>
      <c r="I525" t="s">
        <v>89</v>
      </c>
      <c r="J525">
        <v>16662</v>
      </c>
      <c r="K525">
        <v>123988</v>
      </c>
      <c r="L525">
        <v>9335</v>
      </c>
      <c r="M525">
        <v>9435</v>
      </c>
      <c r="N525">
        <v>63606</v>
      </c>
      <c r="O525">
        <v>1986</v>
      </c>
      <c r="P525">
        <v>3478</v>
      </c>
      <c r="Q525">
        <v>68619</v>
      </c>
      <c r="R525">
        <v>1</v>
      </c>
      <c r="S525">
        <v>0</v>
      </c>
      <c r="T525">
        <v>0</v>
      </c>
      <c r="U525">
        <v>0</v>
      </c>
      <c r="V525">
        <v>29575</v>
      </c>
      <c r="W525">
        <v>256213</v>
      </c>
      <c r="X525">
        <v>11322</v>
      </c>
      <c r="Y525">
        <f t="shared" si="8"/>
        <v>256213</v>
      </c>
      <c r="Z525" t="str">
        <f>IF(ISNUMBER(SEARCH("Adjustment",$C525)),"excluded",IF($H525="Behind the Meter","excluded",IF(NOT(OR($E525="Bundled",$E525="Energy")),"excluded",IF(OR($H525="Retail Power Marketer",$H525="Community Choice Aggregator",$E525="Energy"),"procurement",IF(OR($H525="Municipal",$H525="Cooperative",$H525="Federal",$H525="State",$H525="Political Subdivision"),"cost_service",IF($H525="Investor Owned",IF(AND(COUNTIF(Parameters!$A$4:$A$33,$G525)&gt;0,COUNTIF(Parameters!$B$4:$B$33,$B525)=0),"procurement","cost_service"),"unclassified"))))))</f>
        <v>cost_service</v>
      </c>
    </row>
    <row r="526" spans="1:26" x14ac:dyDescent="0.25">
      <c r="A526">
        <v>2024</v>
      </c>
      <c r="B526">
        <v>8179</v>
      </c>
      <c r="C526" t="s">
        <v>598</v>
      </c>
      <c r="D526" t="s">
        <v>84</v>
      </c>
      <c r="E526" t="s">
        <v>85</v>
      </c>
      <c r="F526" t="s">
        <v>86</v>
      </c>
      <c r="G526" t="s">
        <v>130</v>
      </c>
      <c r="H526" t="s">
        <v>91</v>
      </c>
      <c r="I526" t="s">
        <v>96</v>
      </c>
      <c r="J526">
        <v>48864.1</v>
      </c>
      <c r="K526">
        <v>351945</v>
      </c>
      <c r="L526">
        <v>23221</v>
      </c>
      <c r="M526">
        <v>10524</v>
      </c>
      <c r="N526">
        <v>80263</v>
      </c>
      <c r="O526">
        <v>1451</v>
      </c>
      <c r="P526">
        <v>7020</v>
      </c>
      <c r="Q526">
        <v>61322</v>
      </c>
      <c r="R526">
        <v>19</v>
      </c>
      <c r="S526" t="s">
        <v>97</v>
      </c>
      <c r="T526" t="s">
        <v>97</v>
      </c>
      <c r="U526" t="s">
        <v>97</v>
      </c>
      <c r="V526">
        <v>66408.100000000006</v>
      </c>
      <c r="W526">
        <v>493530</v>
      </c>
      <c r="X526">
        <v>24691</v>
      </c>
      <c r="Y526">
        <f t="shared" si="8"/>
        <v>493530</v>
      </c>
      <c r="Z526" t="str">
        <f>IF(ISNUMBER(SEARCH("Adjustment",$C526)),"excluded",IF($H526="Behind the Meter","excluded",IF(NOT(OR($E526="Bundled",$E526="Energy")),"excluded",IF(OR($H526="Retail Power Marketer",$H526="Community Choice Aggregator",$E526="Energy"),"procurement",IF(OR($H526="Municipal",$H526="Cooperative",$H526="Federal",$H526="State",$H526="Political Subdivision"),"cost_service",IF($H526="Investor Owned",IF(AND(COUNTIF(Parameters!$A$4:$A$33,$G526)&gt;0,COUNTIF(Parameters!$B$4:$B$33,$B526)=0),"procurement","cost_service"),"unclassified"))))))</f>
        <v>cost_service</v>
      </c>
    </row>
    <row r="527" spans="1:26" x14ac:dyDescent="0.25">
      <c r="A527">
        <v>2024</v>
      </c>
      <c r="B527">
        <v>8198</v>
      </c>
      <c r="C527" t="s">
        <v>599</v>
      </c>
      <c r="D527" t="s">
        <v>84</v>
      </c>
      <c r="E527" t="s">
        <v>85</v>
      </c>
      <c r="F527" t="s">
        <v>86</v>
      </c>
      <c r="G527" t="s">
        <v>93</v>
      </c>
      <c r="H527" t="s">
        <v>88</v>
      </c>
      <c r="I527" t="s">
        <v>92</v>
      </c>
      <c r="J527">
        <v>23125</v>
      </c>
      <c r="K527">
        <v>203590</v>
      </c>
      <c r="L527">
        <v>18089</v>
      </c>
      <c r="M527">
        <v>37053</v>
      </c>
      <c r="N527">
        <v>371332</v>
      </c>
      <c r="O527">
        <v>3603</v>
      </c>
      <c r="P527">
        <v>9173</v>
      </c>
      <c r="Q527">
        <v>113817</v>
      </c>
      <c r="R527">
        <v>13</v>
      </c>
      <c r="S527" t="s">
        <v>97</v>
      </c>
      <c r="T527" t="s">
        <v>97</v>
      </c>
      <c r="U527" t="s">
        <v>97</v>
      </c>
      <c r="V527">
        <v>69351</v>
      </c>
      <c r="W527">
        <v>688739</v>
      </c>
      <c r="X527">
        <v>21705</v>
      </c>
      <c r="Y527">
        <f t="shared" si="8"/>
        <v>688739</v>
      </c>
      <c r="Z527" t="str">
        <f>IF(ISNUMBER(SEARCH("Adjustment",$C527)),"excluded",IF($H527="Behind the Meter","excluded",IF(NOT(OR($E527="Bundled",$E527="Energy")),"excluded",IF(OR($H527="Retail Power Marketer",$H527="Community Choice Aggregator",$E527="Energy"),"procurement",IF(OR($H527="Municipal",$H527="Cooperative",$H527="Federal",$H527="State",$H527="Political Subdivision"),"cost_service",IF($H527="Investor Owned",IF(AND(COUNTIF(Parameters!$A$4:$A$33,$G527)&gt;0,COUNTIF(Parameters!$B$4:$B$33,$B527)=0),"procurement","cost_service"),"unclassified"))))))</f>
        <v>cost_service</v>
      </c>
    </row>
    <row r="528" spans="1:26" x14ac:dyDescent="0.25">
      <c r="A528">
        <v>2024</v>
      </c>
      <c r="B528">
        <v>8210</v>
      </c>
      <c r="C528" t="s">
        <v>600</v>
      </c>
      <c r="D528" t="s">
        <v>84</v>
      </c>
      <c r="E528" t="s">
        <v>85</v>
      </c>
      <c r="F528" t="s">
        <v>86</v>
      </c>
      <c r="G528" t="s">
        <v>123</v>
      </c>
      <c r="H528" t="s">
        <v>91</v>
      </c>
      <c r="I528" t="s">
        <v>113</v>
      </c>
      <c r="J528">
        <v>54598</v>
      </c>
      <c r="K528">
        <v>415155</v>
      </c>
      <c r="L528">
        <v>30297</v>
      </c>
      <c r="M528">
        <v>25777.7</v>
      </c>
      <c r="N528">
        <v>199721</v>
      </c>
      <c r="O528">
        <v>9549</v>
      </c>
      <c r="P528">
        <v>2519.3000000000002</v>
      </c>
      <c r="Q528">
        <v>26200</v>
      </c>
      <c r="R528">
        <v>23</v>
      </c>
      <c r="S528" t="s">
        <v>97</v>
      </c>
      <c r="T528" t="s">
        <v>97</v>
      </c>
      <c r="U528" t="s">
        <v>97</v>
      </c>
      <c r="V528">
        <v>82895</v>
      </c>
      <c r="W528">
        <v>641076</v>
      </c>
      <c r="X528">
        <v>39869</v>
      </c>
      <c r="Y528">
        <f t="shared" si="8"/>
        <v>641076</v>
      </c>
      <c r="Z528" t="str">
        <f>IF(ISNUMBER(SEARCH("Adjustment",$C528)),"excluded",IF($H528="Behind the Meter","excluded",IF(NOT(OR($E528="Bundled",$E528="Energy")),"excluded",IF(OR($H528="Retail Power Marketer",$H528="Community Choice Aggregator",$E528="Energy"),"procurement",IF(OR($H528="Municipal",$H528="Cooperative",$H528="Federal",$H528="State",$H528="Political Subdivision"),"cost_service",IF($H528="Investor Owned",IF(AND(COUNTIF(Parameters!$A$4:$A$33,$G528)&gt;0,COUNTIF(Parameters!$B$4:$B$33,$B528)=0),"procurement","cost_service"),"unclassified"))))))</f>
        <v>cost_service</v>
      </c>
    </row>
    <row r="529" spans="1:26" x14ac:dyDescent="0.25">
      <c r="A529">
        <v>2024</v>
      </c>
      <c r="B529">
        <v>8212</v>
      </c>
      <c r="C529" t="s">
        <v>601</v>
      </c>
      <c r="D529" t="s">
        <v>84</v>
      </c>
      <c r="E529" t="s">
        <v>85</v>
      </c>
      <c r="F529" t="s">
        <v>86</v>
      </c>
      <c r="G529" t="s">
        <v>95</v>
      </c>
      <c r="H529" t="s">
        <v>88</v>
      </c>
      <c r="I529" t="s">
        <v>96</v>
      </c>
      <c r="J529">
        <v>6072.2</v>
      </c>
      <c r="K529">
        <v>51874</v>
      </c>
      <c r="L529">
        <v>6998</v>
      </c>
      <c r="M529">
        <v>7554</v>
      </c>
      <c r="N529">
        <v>79832</v>
      </c>
      <c r="O529">
        <v>966</v>
      </c>
      <c r="P529">
        <v>12756.9</v>
      </c>
      <c r="Q529">
        <v>169306</v>
      </c>
      <c r="R529">
        <v>7</v>
      </c>
      <c r="S529">
        <v>0</v>
      </c>
      <c r="T529">
        <v>0</v>
      </c>
      <c r="U529">
        <v>0</v>
      </c>
      <c r="V529">
        <v>26383.1</v>
      </c>
      <c r="W529">
        <v>301012</v>
      </c>
      <c r="X529">
        <v>7971</v>
      </c>
      <c r="Y529">
        <f t="shared" si="8"/>
        <v>301012</v>
      </c>
      <c r="Z529" t="str">
        <f>IF(ISNUMBER(SEARCH("Adjustment",$C529)),"excluded",IF($H529="Behind the Meter","excluded",IF(NOT(OR($E529="Bundled",$E529="Energy")),"excluded",IF(OR($H529="Retail Power Marketer",$H529="Community Choice Aggregator",$E529="Energy"),"procurement",IF(OR($H529="Municipal",$H529="Cooperative",$H529="Federal",$H529="State",$H529="Political Subdivision"),"cost_service",IF($H529="Investor Owned",IF(AND(COUNTIF(Parameters!$A$4:$A$33,$G529)&gt;0,COUNTIF(Parameters!$B$4:$B$33,$B529)=0),"procurement","cost_service"),"unclassified"))))))</f>
        <v>cost_service</v>
      </c>
    </row>
    <row r="530" spans="1:26" x14ac:dyDescent="0.25">
      <c r="A530">
        <v>2024</v>
      </c>
      <c r="B530">
        <v>8226</v>
      </c>
      <c r="C530" t="s">
        <v>602</v>
      </c>
      <c r="D530" t="s">
        <v>84</v>
      </c>
      <c r="E530" t="s">
        <v>85</v>
      </c>
      <c r="F530" t="s">
        <v>86</v>
      </c>
      <c r="G530" t="s">
        <v>112</v>
      </c>
      <c r="H530" t="s">
        <v>88</v>
      </c>
      <c r="I530" t="s">
        <v>89</v>
      </c>
      <c r="J530">
        <v>7664</v>
      </c>
      <c r="K530">
        <v>63141</v>
      </c>
      <c r="L530">
        <v>4629</v>
      </c>
      <c r="M530">
        <v>7094</v>
      </c>
      <c r="N530">
        <v>59968</v>
      </c>
      <c r="O530">
        <v>1124</v>
      </c>
      <c r="P530">
        <v>1765</v>
      </c>
      <c r="Q530">
        <v>28737</v>
      </c>
      <c r="R530">
        <v>2</v>
      </c>
      <c r="S530">
        <v>0</v>
      </c>
      <c r="T530">
        <v>0</v>
      </c>
      <c r="U530">
        <v>0</v>
      </c>
      <c r="V530">
        <v>16523</v>
      </c>
      <c r="W530">
        <v>151846</v>
      </c>
      <c r="X530">
        <v>5755</v>
      </c>
      <c r="Y530">
        <f t="shared" si="8"/>
        <v>151846</v>
      </c>
      <c r="Z530" t="str">
        <f>IF(ISNUMBER(SEARCH("Adjustment",$C530)),"excluded",IF($H530="Behind the Meter","excluded",IF(NOT(OR($E530="Bundled",$E530="Energy")),"excluded",IF(OR($H530="Retail Power Marketer",$H530="Community Choice Aggregator",$E530="Energy"),"procurement",IF(OR($H530="Municipal",$H530="Cooperative",$H530="Federal",$H530="State",$H530="Political Subdivision"),"cost_service",IF($H530="Investor Owned",IF(AND(COUNTIF(Parameters!$A$4:$A$33,$G530)&gt;0,COUNTIF(Parameters!$B$4:$B$33,$B530)=0),"procurement","cost_service"),"unclassified"))))))</f>
        <v>cost_service</v>
      </c>
    </row>
    <row r="531" spans="1:26" x14ac:dyDescent="0.25">
      <c r="A531">
        <v>2024</v>
      </c>
      <c r="B531">
        <v>8245</v>
      </c>
      <c r="C531" t="s">
        <v>603</v>
      </c>
      <c r="D531" t="s">
        <v>84</v>
      </c>
      <c r="E531" t="s">
        <v>85</v>
      </c>
      <c r="F531" t="s">
        <v>86</v>
      </c>
      <c r="G531" t="s">
        <v>271</v>
      </c>
      <c r="H531" t="s">
        <v>88</v>
      </c>
      <c r="I531" t="s">
        <v>135</v>
      </c>
      <c r="J531">
        <v>12582</v>
      </c>
      <c r="K531">
        <v>111145</v>
      </c>
      <c r="L531">
        <v>11611</v>
      </c>
      <c r="M531">
        <v>11046</v>
      </c>
      <c r="N531">
        <v>108334</v>
      </c>
      <c r="O531">
        <v>2352</v>
      </c>
      <c r="P531">
        <v>14563</v>
      </c>
      <c r="Q531">
        <v>198798</v>
      </c>
      <c r="R531">
        <v>120</v>
      </c>
      <c r="S531" t="s">
        <v>97</v>
      </c>
      <c r="T531" t="s">
        <v>97</v>
      </c>
      <c r="U531" t="s">
        <v>97</v>
      </c>
      <c r="V531">
        <v>38191</v>
      </c>
      <c r="W531">
        <v>418277</v>
      </c>
      <c r="X531">
        <v>14083</v>
      </c>
      <c r="Y531">
        <f t="shared" si="8"/>
        <v>418277</v>
      </c>
      <c r="Z531" t="str">
        <f>IF(ISNUMBER(SEARCH("Adjustment",$C531)),"excluded",IF($H531="Behind the Meter","excluded",IF(NOT(OR($E531="Bundled",$E531="Energy")),"excluded",IF(OR($H531="Retail Power Marketer",$H531="Community Choice Aggregator",$E531="Energy"),"procurement",IF(OR($H531="Municipal",$H531="Cooperative",$H531="Federal",$H531="State",$H531="Political Subdivision"),"cost_service",IF($H531="Investor Owned",IF(AND(COUNTIF(Parameters!$A$4:$A$33,$G531)&gt;0,COUNTIF(Parameters!$B$4:$B$33,$B531)=0),"procurement","cost_service"),"unclassified"))))))</f>
        <v>cost_service</v>
      </c>
    </row>
    <row r="532" spans="1:26" x14ac:dyDescent="0.25">
      <c r="A532">
        <v>2024</v>
      </c>
      <c r="B532">
        <v>8287</v>
      </c>
      <c r="C532" t="s">
        <v>604</v>
      </c>
      <c r="D532" t="s">
        <v>84</v>
      </c>
      <c r="E532" t="s">
        <v>85</v>
      </c>
      <c r="F532" t="s">
        <v>86</v>
      </c>
      <c r="G532" t="s">
        <v>605</v>
      </c>
      <c r="H532" t="s">
        <v>109</v>
      </c>
      <c r="I532" t="s">
        <v>119</v>
      </c>
      <c r="J532">
        <v>206725.6</v>
      </c>
      <c r="K532">
        <v>427915</v>
      </c>
      <c r="L532">
        <v>78386</v>
      </c>
      <c r="M532">
        <v>168124.4</v>
      </c>
      <c r="N532">
        <v>365299</v>
      </c>
      <c r="O532">
        <v>11434</v>
      </c>
      <c r="P532">
        <v>100706</v>
      </c>
      <c r="Q532">
        <v>253488</v>
      </c>
      <c r="R532">
        <v>103</v>
      </c>
      <c r="S532">
        <v>0</v>
      </c>
      <c r="T532">
        <v>0</v>
      </c>
      <c r="U532">
        <v>0</v>
      </c>
      <c r="V532">
        <v>475556</v>
      </c>
      <c r="W532">
        <v>1046702</v>
      </c>
      <c r="X532">
        <v>89923</v>
      </c>
      <c r="Y532">
        <f t="shared" si="8"/>
        <v>1046702</v>
      </c>
      <c r="Z532" t="str">
        <f>IF(ISNUMBER(SEARCH("Adjustment",$C532)),"excluded",IF($H532="Behind the Meter","excluded",IF(NOT(OR($E532="Bundled",$E532="Energy")),"excluded",IF(OR($H532="Retail Power Marketer",$H532="Community Choice Aggregator",$E532="Energy"),"procurement",IF(OR($H532="Municipal",$H532="Cooperative",$H532="Federal",$H532="State",$H532="Political Subdivision"),"cost_service",IF($H532="Investor Owned",IF(AND(COUNTIF(Parameters!$A$4:$A$33,$G532)&gt;0,COUNTIF(Parameters!$B$4:$B$33,$B532)=0),"procurement","cost_service"),"unclassified"))))))</f>
        <v>cost_service</v>
      </c>
    </row>
    <row r="533" spans="1:26" x14ac:dyDescent="0.25">
      <c r="A533">
        <v>2024</v>
      </c>
      <c r="B533">
        <v>8319</v>
      </c>
      <c r="C533" t="s">
        <v>606</v>
      </c>
      <c r="D533" t="s">
        <v>84</v>
      </c>
      <c r="E533" t="s">
        <v>85</v>
      </c>
      <c r="F533" t="s">
        <v>86</v>
      </c>
      <c r="G533" t="s">
        <v>146</v>
      </c>
      <c r="H533" t="s">
        <v>91</v>
      </c>
      <c r="I533" t="s">
        <v>96</v>
      </c>
      <c r="J533">
        <v>10111.4</v>
      </c>
      <c r="K533">
        <v>79791</v>
      </c>
      <c r="L533">
        <v>4351</v>
      </c>
      <c r="M533">
        <v>4714.8</v>
      </c>
      <c r="N533">
        <v>45332</v>
      </c>
      <c r="O533">
        <v>950</v>
      </c>
      <c r="P533">
        <v>16048.9</v>
      </c>
      <c r="Q533">
        <v>239067</v>
      </c>
      <c r="R533">
        <v>10</v>
      </c>
      <c r="S533" t="s">
        <v>97</v>
      </c>
      <c r="T533" t="s">
        <v>97</v>
      </c>
      <c r="U533" t="s">
        <v>97</v>
      </c>
      <c r="V533">
        <v>30875.1</v>
      </c>
      <c r="W533">
        <v>364190</v>
      </c>
      <c r="X533">
        <v>5311</v>
      </c>
      <c r="Y533">
        <f t="shared" si="8"/>
        <v>364190</v>
      </c>
      <c r="Z533" t="str">
        <f>IF(ISNUMBER(SEARCH("Adjustment",$C533)),"excluded",IF($H533="Behind the Meter","excluded",IF(NOT(OR($E533="Bundled",$E533="Energy")),"excluded",IF(OR($H533="Retail Power Marketer",$H533="Community Choice Aggregator",$E533="Energy"),"procurement",IF(OR($H533="Municipal",$H533="Cooperative",$H533="Federal",$H533="State",$H533="Political Subdivision"),"cost_service",IF($H533="Investor Owned",IF(AND(COUNTIF(Parameters!$A$4:$A$33,$G533)&gt;0,COUNTIF(Parameters!$B$4:$B$33,$B533)=0),"procurement","cost_service"),"unclassified"))))))</f>
        <v>cost_service</v>
      </c>
    </row>
    <row r="534" spans="1:26" x14ac:dyDescent="0.25">
      <c r="A534">
        <v>2024</v>
      </c>
      <c r="B534">
        <v>8319</v>
      </c>
      <c r="C534" t="s">
        <v>606</v>
      </c>
      <c r="D534" t="s">
        <v>84</v>
      </c>
      <c r="E534" t="s">
        <v>85</v>
      </c>
      <c r="F534" t="s">
        <v>86</v>
      </c>
      <c r="G534" t="s">
        <v>104</v>
      </c>
      <c r="H534" t="s">
        <v>91</v>
      </c>
      <c r="I534" t="s">
        <v>96</v>
      </c>
      <c r="J534">
        <v>117</v>
      </c>
      <c r="K534">
        <v>964</v>
      </c>
      <c r="L534">
        <v>38</v>
      </c>
      <c r="M534" t="s">
        <v>97</v>
      </c>
      <c r="N534" t="s">
        <v>97</v>
      </c>
      <c r="O534" t="s">
        <v>97</v>
      </c>
      <c r="P534" t="s">
        <v>97</v>
      </c>
      <c r="Q534" t="s">
        <v>97</v>
      </c>
      <c r="R534" t="s">
        <v>97</v>
      </c>
      <c r="S534" t="s">
        <v>97</v>
      </c>
      <c r="T534" t="s">
        <v>97</v>
      </c>
      <c r="U534" t="s">
        <v>97</v>
      </c>
      <c r="V534">
        <v>117</v>
      </c>
      <c r="W534">
        <v>964</v>
      </c>
      <c r="X534">
        <v>38</v>
      </c>
      <c r="Y534">
        <f t="shared" si="8"/>
        <v>964</v>
      </c>
      <c r="Z534" t="str">
        <f>IF(ISNUMBER(SEARCH("Adjustment",$C534)),"excluded",IF($H534="Behind the Meter","excluded",IF(NOT(OR($E534="Bundled",$E534="Energy")),"excluded",IF(OR($H534="Retail Power Marketer",$H534="Community Choice Aggregator",$E534="Energy"),"procurement",IF(OR($H534="Municipal",$H534="Cooperative",$H534="Federal",$H534="State",$H534="Political Subdivision"),"cost_service",IF($H534="Investor Owned",IF(AND(COUNTIF(Parameters!$A$4:$A$33,$G534)&gt;0,COUNTIF(Parameters!$B$4:$B$33,$B534)=0),"procurement","cost_service"),"unclassified"))))))</f>
        <v>cost_service</v>
      </c>
    </row>
    <row r="535" spans="1:26" x14ac:dyDescent="0.25">
      <c r="A535">
        <v>2024</v>
      </c>
      <c r="B535">
        <v>8333</v>
      </c>
      <c r="C535" t="s">
        <v>607</v>
      </c>
      <c r="D535" t="s">
        <v>84</v>
      </c>
      <c r="E535" t="s">
        <v>85</v>
      </c>
      <c r="F535" t="s">
        <v>86</v>
      </c>
      <c r="G535" t="s">
        <v>123</v>
      </c>
      <c r="H535" t="s">
        <v>91</v>
      </c>
      <c r="I535" t="s">
        <v>126</v>
      </c>
      <c r="J535">
        <v>630</v>
      </c>
      <c r="K535">
        <v>3635</v>
      </c>
      <c r="L535">
        <v>433</v>
      </c>
      <c r="M535">
        <v>6</v>
      </c>
      <c r="N535">
        <v>26</v>
      </c>
      <c r="O535">
        <v>6</v>
      </c>
      <c r="P535" t="s">
        <v>97</v>
      </c>
      <c r="Q535" t="s">
        <v>97</v>
      </c>
      <c r="R535" t="s">
        <v>97</v>
      </c>
      <c r="S535" t="s">
        <v>97</v>
      </c>
      <c r="T535" t="s">
        <v>97</v>
      </c>
      <c r="U535" t="s">
        <v>97</v>
      </c>
      <c r="V535">
        <v>636</v>
      </c>
      <c r="W535">
        <v>3661</v>
      </c>
      <c r="X535">
        <v>439</v>
      </c>
      <c r="Y535">
        <f t="shared" si="8"/>
        <v>3661</v>
      </c>
      <c r="Z535" t="str">
        <f>IF(ISNUMBER(SEARCH("Adjustment",$C535)),"excluded",IF($H535="Behind the Meter","excluded",IF(NOT(OR($E535="Bundled",$E535="Energy")),"excluded",IF(OR($H535="Retail Power Marketer",$H535="Community Choice Aggregator",$E535="Energy"),"procurement",IF(OR($H535="Municipal",$H535="Cooperative",$H535="Federal",$H535="State",$H535="Political Subdivision"),"cost_service",IF($H535="Investor Owned",IF(AND(COUNTIF(Parameters!$A$4:$A$33,$G535)&gt;0,COUNTIF(Parameters!$B$4:$B$33,$B535)=0),"procurement","cost_service"),"unclassified"))))))</f>
        <v>cost_service</v>
      </c>
    </row>
    <row r="536" spans="1:26" x14ac:dyDescent="0.25">
      <c r="A536">
        <v>2024</v>
      </c>
      <c r="B536">
        <v>8333</v>
      </c>
      <c r="C536" t="s">
        <v>607</v>
      </c>
      <c r="D536" t="s">
        <v>84</v>
      </c>
      <c r="E536" t="s">
        <v>85</v>
      </c>
      <c r="F536" t="s">
        <v>86</v>
      </c>
      <c r="G536" t="s">
        <v>125</v>
      </c>
      <c r="H536" t="s">
        <v>91</v>
      </c>
      <c r="I536" t="s">
        <v>126</v>
      </c>
      <c r="J536">
        <v>46758</v>
      </c>
      <c r="K536">
        <v>281601</v>
      </c>
      <c r="L536">
        <v>29078</v>
      </c>
      <c r="M536">
        <v>3366</v>
      </c>
      <c r="N536">
        <v>25759</v>
      </c>
      <c r="O536">
        <v>936</v>
      </c>
      <c r="P536">
        <v>757</v>
      </c>
      <c r="Q536">
        <v>6396</v>
      </c>
      <c r="R536">
        <v>19</v>
      </c>
      <c r="S536" t="s">
        <v>97</v>
      </c>
      <c r="T536" t="s">
        <v>97</v>
      </c>
      <c r="U536" t="s">
        <v>97</v>
      </c>
      <c r="V536">
        <v>50881</v>
      </c>
      <c r="W536">
        <v>313756</v>
      </c>
      <c r="X536">
        <v>30033</v>
      </c>
      <c r="Y536">
        <f t="shared" si="8"/>
        <v>313756</v>
      </c>
      <c r="Z536" t="str">
        <f>IF(ISNUMBER(SEARCH("Adjustment",$C536)),"excluded",IF($H536="Behind the Meter","excluded",IF(NOT(OR($E536="Bundled",$E536="Energy")),"excluded",IF(OR($H536="Retail Power Marketer",$H536="Community Choice Aggregator",$E536="Energy"),"procurement",IF(OR($H536="Municipal",$H536="Cooperative",$H536="Federal",$H536="State",$H536="Political Subdivision"),"cost_service",IF($H536="Investor Owned",IF(AND(COUNTIF(Parameters!$A$4:$A$33,$G536)&gt;0,COUNTIF(Parameters!$B$4:$B$33,$B536)=0),"procurement","cost_service"),"unclassified"))))))</f>
        <v>cost_service</v>
      </c>
    </row>
    <row r="537" spans="1:26" x14ac:dyDescent="0.25">
      <c r="A537">
        <v>2024</v>
      </c>
      <c r="B537">
        <v>8333</v>
      </c>
      <c r="C537" t="s">
        <v>607</v>
      </c>
      <c r="D537" t="s">
        <v>84</v>
      </c>
      <c r="E537" t="s">
        <v>85</v>
      </c>
      <c r="F537" t="s">
        <v>86</v>
      </c>
      <c r="G537" t="s">
        <v>106</v>
      </c>
      <c r="H537" t="s">
        <v>91</v>
      </c>
      <c r="I537" t="s">
        <v>126</v>
      </c>
      <c r="J537">
        <v>11</v>
      </c>
      <c r="K537">
        <v>58</v>
      </c>
      <c r="L537">
        <v>9</v>
      </c>
      <c r="M537">
        <v>9.8000000000000007</v>
      </c>
      <c r="N537">
        <v>60</v>
      </c>
      <c r="O537">
        <v>5</v>
      </c>
      <c r="P537" t="s">
        <v>97</v>
      </c>
      <c r="Q537" t="s">
        <v>97</v>
      </c>
      <c r="R537" t="s">
        <v>97</v>
      </c>
      <c r="S537" t="s">
        <v>97</v>
      </c>
      <c r="T537" t="s">
        <v>97</v>
      </c>
      <c r="U537" t="s">
        <v>97</v>
      </c>
      <c r="V537">
        <v>20.8</v>
      </c>
      <c r="W537">
        <v>118</v>
      </c>
      <c r="X537">
        <v>14</v>
      </c>
      <c r="Y537">
        <f t="shared" si="8"/>
        <v>118</v>
      </c>
      <c r="Z537" t="str">
        <f>IF(ISNUMBER(SEARCH("Adjustment",$C537)),"excluded",IF($H537="Behind the Meter","excluded",IF(NOT(OR($E537="Bundled",$E537="Energy")),"excluded",IF(OR($H537="Retail Power Marketer",$H537="Community Choice Aggregator",$E537="Energy"),"procurement",IF(OR($H537="Municipal",$H537="Cooperative",$H537="Federal",$H537="State",$H537="Political Subdivision"),"cost_service",IF($H537="Investor Owned",IF(AND(COUNTIF(Parameters!$A$4:$A$33,$G537)&gt;0,COUNTIF(Parameters!$B$4:$B$33,$B537)=0),"procurement","cost_service"),"unclassified"))))))</f>
        <v>cost_service</v>
      </c>
    </row>
    <row r="538" spans="1:26" x14ac:dyDescent="0.25">
      <c r="A538">
        <v>2024</v>
      </c>
      <c r="B538">
        <v>8447</v>
      </c>
      <c r="C538" t="s">
        <v>608</v>
      </c>
      <c r="D538" t="s">
        <v>84</v>
      </c>
      <c r="E538" t="s">
        <v>85</v>
      </c>
      <c r="F538" t="s">
        <v>86</v>
      </c>
      <c r="G538" t="s">
        <v>130</v>
      </c>
      <c r="H538" t="s">
        <v>91</v>
      </c>
      <c r="I538" t="s">
        <v>96</v>
      </c>
      <c r="J538">
        <v>72234.399999999994</v>
      </c>
      <c r="K538">
        <v>522062</v>
      </c>
      <c r="L538">
        <v>37638</v>
      </c>
      <c r="M538">
        <v>31901.200000000001</v>
      </c>
      <c r="N538">
        <v>295743</v>
      </c>
      <c r="O538">
        <v>1047</v>
      </c>
      <c r="P538">
        <v>5749.1</v>
      </c>
      <c r="Q538">
        <v>66334</v>
      </c>
      <c r="R538">
        <v>5</v>
      </c>
      <c r="S538" t="s">
        <v>97</v>
      </c>
      <c r="T538" t="s">
        <v>97</v>
      </c>
      <c r="U538" t="s">
        <v>97</v>
      </c>
      <c r="V538">
        <v>109884.7</v>
      </c>
      <c r="W538">
        <v>884139</v>
      </c>
      <c r="X538">
        <v>38690</v>
      </c>
      <c r="Y538">
        <f t="shared" si="8"/>
        <v>884139</v>
      </c>
      <c r="Z538" t="str">
        <f>IF(ISNUMBER(SEARCH("Adjustment",$C538)),"excluded",IF($H538="Behind the Meter","excluded",IF(NOT(OR($E538="Bundled",$E538="Energy")),"excluded",IF(OR($H538="Retail Power Marketer",$H538="Community Choice Aggregator",$E538="Energy"),"procurement",IF(OR($H538="Municipal",$H538="Cooperative",$H538="Federal",$H538="State",$H538="Political Subdivision"),"cost_service",IF($H538="Investor Owned",IF(AND(COUNTIF(Parameters!$A$4:$A$33,$G538)&gt;0,COUNTIF(Parameters!$B$4:$B$33,$B538)=0),"procurement","cost_service"),"unclassified"))))))</f>
        <v>cost_service</v>
      </c>
    </row>
    <row r="539" spans="1:26" x14ac:dyDescent="0.25">
      <c r="A539">
        <v>2024</v>
      </c>
      <c r="B539">
        <v>8449</v>
      </c>
      <c r="C539" t="s">
        <v>609</v>
      </c>
      <c r="D539" t="s">
        <v>84</v>
      </c>
      <c r="E539" t="s">
        <v>85</v>
      </c>
      <c r="F539" t="s">
        <v>86</v>
      </c>
      <c r="G539" t="s">
        <v>209</v>
      </c>
      <c r="H539" t="s">
        <v>88</v>
      </c>
      <c r="I539" t="s">
        <v>96</v>
      </c>
      <c r="J539">
        <v>12587.1</v>
      </c>
      <c r="K539">
        <v>116150</v>
      </c>
      <c r="L539">
        <v>10320</v>
      </c>
      <c r="M539">
        <v>10088.6</v>
      </c>
      <c r="N539">
        <v>101629</v>
      </c>
      <c r="O539">
        <v>1616</v>
      </c>
      <c r="P539">
        <v>23102.5</v>
      </c>
      <c r="Q539">
        <v>289919</v>
      </c>
      <c r="R539">
        <v>33</v>
      </c>
      <c r="S539" t="s">
        <v>97</v>
      </c>
      <c r="T539" t="s">
        <v>97</v>
      </c>
      <c r="U539" t="s">
        <v>97</v>
      </c>
      <c r="V539">
        <v>45778.2</v>
      </c>
      <c r="W539">
        <v>507698</v>
      </c>
      <c r="X539">
        <v>11969</v>
      </c>
      <c r="Y539">
        <f t="shared" si="8"/>
        <v>507698</v>
      </c>
      <c r="Z539" t="str">
        <f>IF(ISNUMBER(SEARCH("Adjustment",$C539)),"excluded",IF($H539="Behind the Meter","excluded",IF(NOT(OR($E539="Bundled",$E539="Energy")),"excluded",IF(OR($H539="Retail Power Marketer",$H539="Community Choice Aggregator",$E539="Energy"),"procurement",IF(OR($H539="Municipal",$H539="Cooperative",$H539="Federal",$H539="State",$H539="Political Subdivision"),"cost_service",IF($H539="Investor Owned",IF(AND(COUNTIF(Parameters!$A$4:$A$33,$G539)&gt;0,COUNTIF(Parameters!$B$4:$B$33,$B539)=0),"procurement","cost_service"),"unclassified"))))))</f>
        <v>cost_service</v>
      </c>
    </row>
    <row r="540" spans="1:26" x14ac:dyDescent="0.25">
      <c r="A540">
        <v>2024</v>
      </c>
      <c r="B540">
        <v>8548</v>
      </c>
      <c r="C540" t="s">
        <v>610</v>
      </c>
      <c r="D540" t="s">
        <v>84</v>
      </c>
      <c r="E540" t="s">
        <v>85</v>
      </c>
      <c r="F540" t="s">
        <v>86</v>
      </c>
      <c r="G540" t="s">
        <v>209</v>
      </c>
      <c r="H540" t="s">
        <v>88</v>
      </c>
      <c r="I540" t="s">
        <v>89</v>
      </c>
      <c r="J540">
        <v>1352</v>
      </c>
      <c r="K540">
        <v>9328</v>
      </c>
      <c r="L540">
        <v>821</v>
      </c>
      <c r="M540">
        <v>1063</v>
      </c>
      <c r="N540">
        <v>6661</v>
      </c>
      <c r="O540">
        <v>232</v>
      </c>
      <c r="P540">
        <v>0</v>
      </c>
      <c r="Q540">
        <v>0</v>
      </c>
      <c r="R540">
        <v>0</v>
      </c>
      <c r="S540">
        <v>0</v>
      </c>
      <c r="T540">
        <v>0</v>
      </c>
      <c r="U540">
        <v>0</v>
      </c>
      <c r="V540">
        <v>2415</v>
      </c>
      <c r="W540">
        <v>15989</v>
      </c>
      <c r="X540">
        <v>1053</v>
      </c>
      <c r="Y540">
        <f t="shared" si="8"/>
        <v>15989</v>
      </c>
      <c r="Z540" t="str">
        <f>IF(ISNUMBER(SEARCH("Adjustment",$C540)),"excluded",IF($H540="Behind the Meter","excluded",IF(NOT(OR($E540="Bundled",$E540="Energy")),"excluded",IF(OR($H540="Retail Power Marketer",$H540="Community Choice Aggregator",$E540="Energy"),"procurement",IF(OR($H540="Municipal",$H540="Cooperative",$H540="Federal",$H540="State",$H540="Political Subdivision"),"cost_service",IF($H540="Investor Owned",IF(AND(COUNTIF(Parameters!$A$4:$A$33,$G540)&gt;0,COUNTIF(Parameters!$B$4:$B$33,$B540)=0),"procurement","cost_service"),"unclassified"))))))</f>
        <v>cost_service</v>
      </c>
    </row>
    <row r="541" spans="1:26" x14ac:dyDescent="0.25">
      <c r="A541">
        <v>2024</v>
      </c>
      <c r="B541">
        <v>8566</v>
      </c>
      <c r="C541" t="s">
        <v>611</v>
      </c>
      <c r="D541" t="s">
        <v>84</v>
      </c>
      <c r="E541" t="s">
        <v>85</v>
      </c>
      <c r="F541" t="s">
        <v>86</v>
      </c>
      <c r="G541" t="s">
        <v>323</v>
      </c>
      <c r="H541" t="s">
        <v>91</v>
      </c>
      <c r="I541" t="s">
        <v>259</v>
      </c>
      <c r="J541">
        <v>19979</v>
      </c>
      <c r="K541">
        <v>145725</v>
      </c>
      <c r="L541">
        <v>12767</v>
      </c>
      <c r="M541">
        <v>4521</v>
      </c>
      <c r="N541">
        <v>41551</v>
      </c>
      <c r="O541">
        <v>409</v>
      </c>
      <c r="P541">
        <v>56291</v>
      </c>
      <c r="Q541">
        <v>688988</v>
      </c>
      <c r="R541">
        <v>752</v>
      </c>
      <c r="S541">
        <v>0</v>
      </c>
      <c r="T541">
        <v>0</v>
      </c>
      <c r="U541">
        <v>0</v>
      </c>
      <c r="V541">
        <v>80791</v>
      </c>
      <c r="W541">
        <v>876264</v>
      </c>
      <c r="X541">
        <v>13928</v>
      </c>
      <c r="Y541">
        <f t="shared" si="8"/>
        <v>876264</v>
      </c>
      <c r="Z541" t="str">
        <f>IF(ISNUMBER(SEARCH("Adjustment",$C541)),"excluded",IF($H541="Behind the Meter","excluded",IF(NOT(OR($E541="Bundled",$E541="Energy")),"excluded",IF(OR($H541="Retail Power Marketer",$H541="Community Choice Aggregator",$E541="Energy"),"procurement",IF(OR($H541="Municipal",$H541="Cooperative",$H541="Federal",$H541="State",$H541="Political Subdivision"),"cost_service",IF($H541="Investor Owned",IF(AND(COUNTIF(Parameters!$A$4:$A$33,$G541)&gt;0,COUNTIF(Parameters!$B$4:$B$33,$B541)=0),"procurement","cost_service"),"unclassified"))))))</f>
        <v>cost_service</v>
      </c>
    </row>
    <row r="542" spans="1:26" x14ac:dyDescent="0.25">
      <c r="A542">
        <v>2024</v>
      </c>
      <c r="B542">
        <v>8570</v>
      </c>
      <c r="C542" t="s">
        <v>612</v>
      </c>
      <c r="D542" t="s">
        <v>84</v>
      </c>
      <c r="E542" t="s">
        <v>85</v>
      </c>
      <c r="F542" t="s">
        <v>86</v>
      </c>
      <c r="G542" t="s">
        <v>361</v>
      </c>
      <c r="H542" t="s">
        <v>91</v>
      </c>
      <c r="I542" t="s">
        <v>259</v>
      </c>
      <c r="J542">
        <v>7662.4</v>
      </c>
      <c r="K542">
        <v>54263</v>
      </c>
      <c r="L542">
        <v>5047</v>
      </c>
      <c r="M542">
        <v>7561</v>
      </c>
      <c r="N542">
        <v>56626</v>
      </c>
      <c r="O542">
        <v>1398</v>
      </c>
      <c r="P542">
        <v>30921.1</v>
      </c>
      <c r="Q542">
        <v>293349</v>
      </c>
      <c r="R542">
        <v>2098</v>
      </c>
      <c r="S542" t="s">
        <v>97</v>
      </c>
      <c r="T542" t="s">
        <v>97</v>
      </c>
      <c r="U542" t="s">
        <v>97</v>
      </c>
      <c r="V542">
        <v>46144.5</v>
      </c>
      <c r="W542">
        <v>404238</v>
      </c>
      <c r="X542">
        <v>8543</v>
      </c>
      <c r="Y542">
        <f t="shared" si="8"/>
        <v>404238</v>
      </c>
      <c r="Z542" t="str">
        <f>IF(ISNUMBER(SEARCH("Adjustment",$C542)),"excluded",IF($H542="Behind the Meter","excluded",IF(NOT(OR($E542="Bundled",$E542="Energy")),"excluded",IF(OR($H542="Retail Power Marketer",$H542="Community Choice Aggregator",$E542="Energy"),"procurement",IF(OR($H542="Municipal",$H542="Cooperative",$H542="Federal",$H542="State",$H542="Political Subdivision"),"cost_service",IF($H542="Investor Owned",IF(AND(COUNTIF(Parameters!$A$4:$A$33,$G542)&gt;0,COUNTIF(Parameters!$B$4:$B$33,$B542)=0),"procurement","cost_service"),"unclassified"))))))</f>
        <v>cost_service</v>
      </c>
    </row>
    <row r="543" spans="1:26" x14ac:dyDescent="0.25">
      <c r="A543">
        <v>2024</v>
      </c>
      <c r="B543">
        <v>8570</v>
      </c>
      <c r="C543" t="s">
        <v>612</v>
      </c>
      <c r="D543" t="s">
        <v>84</v>
      </c>
      <c r="E543" t="s">
        <v>85</v>
      </c>
      <c r="F543" t="s">
        <v>86</v>
      </c>
      <c r="G543" t="s">
        <v>271</v>
      </c>
      <c r="H543" t="s">
        <v>91</v>
      </c>
      <c r="I543" t="s">
        <v>259</v>
      </c>
      <c r="J543">
        <v>1148.3</v>
      </c>
      <c r="K543">
        <v>8116</v>
      </c>
      <c r="L543">
        <v>752</v>
      </c>
      <c r="M543">
        <v>1081.8</v>
      </c>
      <c r="N543">
        <v>8410</v>
      </c>
      <c r="O543">
        <v>194</v>
      </c>
      <c r="P543">
        <v>8391.1</v>
      </c>
      <c r="Q543">
        <v>61317</v>
      </c>
      <c r="R543">
        <v>1050</v>
      </c>
      <c r="S543" t="s">
        <v>97</v>
      </c>
      <c r="T543" t="s">
        <v>97</v>
      </c>
      <c r="U543" t="s">
        <v>97</v>
      </c>
      <c r="V543">
        <v>10621.2</v>
      </c>
      <c r="W543">
        <v>77843</v>
      </c>
      <c r="X543">
        <v>1996</v>
      </c>
      <c r="Y543">
        <f t="shared" si="8"/>
        <v>77843</v>
      </c>
      <c r="Z543" t="str">
        <f>IF(ISNUMBER(SEARCH("Adjustment",$C543)),"excluded",IF($H543="Behind the Meter","excluded",IF(NOT(OR($E543="Bundled",$E543="Energy")),"excluded",IF(OR($H543="Retail Power Marketer",$H543="Community Choice Aggregator",$E543="Energy"),"procurement",IF(OR($H543="Municipal",$H543="Cooperative",$H543="Federal",$H543="State",$H543="Political Subdivision"),"cost_service",IF($H543="Investor Owned",IF(AND(COUNTIF(Parameters!$A$4:$A$33,$G543)&gt;0,COUNTIF(Parameters!$B$4:$B$33,$B543)=0),"procurement","cost_service"),"unclassified"))))))</f>
        <v>cost_service</v>
      </c>
    </row>
    <row r="544" spans="1:26" x14ac:dyDescent="0.25">
      <c r="A544">
        <v>2024</v>
      </c>
      <c r="B544">
        <v>8571</v>
      </c>
      <c r="C544" t="s">
        <v>613</v>
      </c>
      <c r="D544" t="s">
        <v>84</v>
      </c>
      <c r="E544" t="s">
        <v>85</v>
      </c>
      <c r="F544" t="s">
        <v>86</v>
      </c>
      <c r="G544" t="s">
        <v>125</v>
      </c>
      <c r="H544" t="s">
        <v>88</v>
      </c>
      <c r="I544" t="s">
        <v>126</v>
      </c>
      <c r="J544">
        <v>46800.3</v>
      </c>
      <c r="K544">
        <v>402417</v>
      </c>
      <c r="L544">
        <v>38079</v>
      </c>
      <c r="M544">
        <v>62234.5</v>
      </c>
      <c r="N544">
        <v>591485</v>
      </c>
      <c r="O544">
        <v>5926</v>
      </c>
      <c r="P544">
        <v>14035.7</v>
      </c>
      <c r="Q544">
        <v>149600</v>
      </c>
      <c r="R544">
        <v>190</v>
      </c>
      <c r="S544">
        <v>0</v>
      </c>
      <c r="T544">
        <v>0</v>
      </c>
      <c r="U544">
        <v>0</v>
      </c>
      <c r="V544">
        <v>123070.5</v>
      </c>
      <c r="W544">
        <v>1143502</v>
      </c>
      <c r="X544">
        <v>44195</v>
      </c>
      <c r="Y544">
        <f t="shared" si="8"/>
        <v>1143502</v>
      </c>
      <c r="Z544" t="str">
        <f>IF(ISNUMBER(SEARCH("Adjustment",$C544)),"excluded",IF($H544="Behind the Meter","excluded",IF(NOT(OR($E544="Bundled",$E544="Energy")),"excluded",IF(OR($H544="Retail Power Marketer",$H544="Community Choice Aggregator",$E544="Energy"),"procurement",IF(OR($H544="Municipal",$H544="Cooperative",$H544="Federal",$H544="State",$H544="Political Subdivision"),"cost_service",IF($H544="Investor Owned",IF(AND(COUNTIF(Parameters!$A$4:$A$33,$G544)&gt;0,COUNTIF(Parameters!$B$4:$B$33,$B544)=0),"procurement","cost_service"),"unclassified"))))))</f>
        <v>cost_service</v>
      </c>
    </row>
    <row r="545" spans="1:26" x14ac:dyDescent="0.25">
      <c r="A545">
        <v>2024</v>
      </c>
      <c r="B545">
        <v>8620</v>
      </c>
      <c r="C545" t="s">
        <v>614</v>
      </c>
      <c r="D545" t="s">
        <v>84</v>
      </c>
      <c r="E545" t="s">
        <v>85</v>
      </c>
      <c r="F545" t="s">
        <v>86</v>
      </c>
      <c r="G545" t="s">
        <v>57</v>
      </c>
      <c r="H545" t="s">
        <v>91</v>
      </c>
      <c r="I545" t="s">
        <v>151</v>
      </c>
      <c r="J545">
        <v>69635</v>
      </c>
      <c r="K545">
        <v>467038</v>
      </c>
      <c r="L545">
        <v>26883</v>
      </c>
      <c r="M545">
        <v>26228</v>
      </c>
      <c r="N545">
        <v>180767</v>
      </c>
      <c r="O545">
        <v>8438</v>
      </c>
      <c r="P545">
        <v>728</v>
      </c>
      <c r="Q545">
        <v>7411</v>
      </c>
      <c r="R545">
        <v>1</v>
      </c>
      <c r="S545" t="s">
        <v>97</v>
      </c>
      <c r="T545" t="s">
        <v>97</v>
      </c>
      <c r="U545" t="s">
        <v>97</v>
      </c>
      <c r="V545">
        <v>96591</v>
      </c>
      <c r="W545">
        <v>655216</v>
      </c>
      <c r="X545">
        <v>35322</v>
      </c>
      <c r="Y545">
        <f t="shared" si="8"/>
        <v>655216</v>
      </c>
      <c r="Z545" t="str">
        <f>IF(ISNUMBER(SEARCH("Adjustment",$C545)),"excluded",IF($H545="Behind the Meter","excluded",IF(NOT(OR($E545="Bundled",$E545="Energy")),"excluded",IF(OR($H545="Retail Power Marketer",$H545="Community Choice Aggregator",$E545="Energy"),"procurement",IF(OR($H545="Municipal",$H545="Cooperative",$H545="Federal",$H545="State",$H545="Political Subdivision"),"cost_service",IF($H545="Investor Owned",IF(AND(COUNTIF(Parameters!$A$4:$A$33,$G545)&gt;0,COUNTIF(Parameters!$B$4:$B$33,$B545)=0),"procurement","cost_service"),"unclassified"))))))</f>
        <v>cost_service</v>
      </c>
    </row>
    <row r="546" spans="1:26" x14ac:dyDescent="0.25">
      <c r="A546">
        <v>2024</v>
      </c>
      <c r="B546">
        <v>8699</v>
      </c>
      <c r="C546" t="s">
        <v>615</v>
      </c>
      <c r="D546" t="s">
        <v>84</v>
      </c>
      <c r="E546" t="s">
        <v>85</v>
      </c>
      <c r="F546" t="s">
        <v>86</v>
      </c>
      <c r="G546" t="s">
        <v>490</v>
      </c>
      <c r="H546" t="s">
        <v>91</v>
      </c>
      <c r="I546" t="s">
        <v>206</v>
      </c>
      <c r="J546">
        <v>3293.4</v>
      </c>
      <c r="K546">
        <v>36933</v>
      </c>
      <c r="L546">
        <v>2115</v>
      </c>
      <c r="M546">
        <v>418.2</v>
      </c>
      <c r="N546">
        <v>4549</v>
      </c>
      <c r="O546">
        <v>152</v>
      </c>
      <c r="P546">
        <v>2.1</v>
      </c>
      <c r="Q546">
        <v>9</v>
      </c>
      <c r="R546">
        <v>2</v>
      </c>
      <c r="S546">
        <v>0</v>
      </c>
      <c r="T546">
        <v>0</v>
      </c>
      <c r="U546">
        <v>0</v>
      </c>
      <c r="V546">
        <v>3713.7</v>
      </c>
      <c r="W546">
        <v>41491</v>
      </c>
      <c r="X546">
        <v>2269</v>
      </c>
      <c r="Y546">
        <f t="shared" si="8"/>
        <v>41491</v>
      </c>
      <c r="Z546" t="str">
        <f>IF(ISNUMBER(SEARCH("Adjustment",$C546)),"excluded",IF($H546="Behind the Meter","excluded",IF(NOT(OR($E546="Bundled",$E546="Energy")),"excluded",IF(OR($H546="Retail Power Marketer",$H546="Community Choice Aggregator",$E546="Energy"),"procurement",IF(OR($H546="Municipal",$H546="Cooperative",$H546="Federal",$H546="State",$H546="Political Subdivision"),"cost_service",IF($H546="Investor Owned",IF(AND(COUNTIF(Parameters!$A$4:$A$33,$G546)&gt;0,COUNTIF(Parameters!$B$4:$B$33,$B546)=0),"procurement","cost_service"),"unclassified"))))))</f>
        <v>cost_service</v>
      </c>
    </row>
    <row r="547" spans="1:26" x14ac:dyDescent="0.25">
      <c r="A547">
        <v>2024</v>
      </c>
      <c r="B547">
        <v>8699</v>
      </c>
      <c r="C547" t="s">
        <v>615</v>
      </c>
      <c r="D547" t="s">
        <v>84</v>
      </c>
      <c r="E547" t="s">
        <v>85</v>
      </c>
      <c r="F547" t="s">
        <v>86</v>
      </c>
      <c r="G547" t="s">
        <v>148</v>
      </c>
      <c r="H547" t="s">
        <v>91</v>
      </c>
      <c r="I547" t="s">
        <v>206</v>
      </c>
      <c r="J547">
        <v>64202.2</v>
      </c>
      <c r="K547">
        <v>715220</v>
      </c>
      <c r="L547">
        <v>41684</v>
      </c>
      <c r="M547">
        <v>18210.900000000001</v>
      </c>
      <c r="N547">
        <v>209378</v>
      </c>
      <c r="O547">
        <v>3348</v>
      </c>
      <c r="P547">
        <v>6478.1</v>
      </c>
      <c r="Q547">
        <v>99958</v>
      </c>
      <c r="R547">
        <v>504</v>
      </c>
      <c r="S547">
        <v>0</v>
      </c>
      <c r="T547">
        <v>0</v>
      </c>
      <c r="U547">
        <v>0</v>
      </c>
      <c r="V547">
        <v>88891.199999999997</v>
      </c>
      <c r="W547">
        <v>1024556</v>
      </c>
      <c r="X547">
        <v>45536</v>
      </c>
      <c r="Y547">
        <f t="shared" si="8"/>
        <v>1024556</v>
      </c>
      <c r="Z547" t="str">
        <f>IF(ISNUMBER(SEARCH("Adjustment",$C547)),"excluded",IF($H547="Behind the Meter","excluded",IF(NOT(OR($E547="Bundled",$E547="Energy")),"excluded",IF(OR($H547="Retail Power Marketer",$H547="Community Choice Aggregator",$E547="Energy"),"procurement",IF(OR($H547="Municipal",$H547="Cooperative",$H547="Federal",$H547="State",$H547="Political Subdivision"),"cost_service",IF($H547="Investor Owned",IF(AND(COUNTIF(Parameters!$A$4:$A$33,$G547)&gt;0,COUNTIF(Parameters!$B$4:$B$33,$B547)=0),"procurement","cost_service"),"unclassified"))))))</f>
        <v>cost_service</v>
      </c>
    </row>
    <row r="548" spans="1:26" x14ac:dyDescent="0.25">
      <c r="A548">
        <v>2024</v>
      </c>
      <c r="B548">
        <v>8723</v>
      </c>
      <c r="C548" t="s">
        <v>616</v>
      </c>
      <c r="D548" t="s">
        <v>84</v>
      </c>
      <c r="E548" t="s">
        <v>85</v>
      </c>
      <c r="F548" t="s">
        <v>86</v>
      </c>
      <c r="G548" t="s">
        <v>140</v>
      </c>
      <c r="H548" t="s">
        <v>88</v>
      </c>
      <c r="I548" t="s">
        <v>96</v>
      </c>
      <c r="J548">
        <v>21598.3</v>
      </c>
      <c r="K548">
        <v>184987</v>
      </c>
      <c r="L548">
        <v>26608</v>
      </c>
      <c r="M548">
        <v>34099.199999999997</v>
      </c>
      <c r="N548">
        <v>319564</v>
      </c>
      <c r="O548">
        <v>4674</v>
      </c>
      <c r="P548">
        <v>47715</v>
      </c>
      <c r="Q548">
        <v>626843</v>
      </c>
      <c r="R548">
        <v>175</v>
      </c>
      <c r="S548" t="s">
        <v>97</v>
      </c>
      <c r="T548" t="s">
        <v>97</v>
      </c>
      <c r="U548" t="s">
        <v>97</v>
      </c>
      <c r="V548">
        <v>103412.5</v>
      </c>
      <c r="W548">
        <v>1131394</v>
      </c>
      <c r="X548">
        <v>31457</v>
      </c>
      <c r="Y548">
        <f t="shared" si="8"/>
        <v>1131394</v>
      </c>
      <c r="Z548" t="str">
        <f>IF(ISNUMBER(SEARCH("Adjustment",$C548)),"excluded",IF($H548="Behind the Meter","excluded",IF(NOT(OR($E548="Bundled",$E548="Energy")),"excluded",IF(OR($H548="Retail Power Marketer",$H548="Community Choice Aggregator",$E548="Energy"),"procurement",IF(OR($H548="Municipal",$H548="Cooperative",$H548="Federal",$H548="State",$H548="Political Subdivision"),"cost_service",IF($H548="Investor Owned",IF(AND(COUNTIF(Parameters!$A$4:$A$33,$G548)&gt;0,COUNTIF(Parameters!$B$4:$B$33,$B548)=0),"procurement","cost_service"),"unclassified"))))))</f>
        <v>cost_service</v>
      </c>
    </row>
    <row r="549" spans="1:26" x14ac:dyDescent="0.25">
      <c r="A549">
        <v>2024</v>
      </c>
      <c r="B549">
        <v>8748</v>
      </c>
      <c r="C549" t="s">
        <v>617</v>
      </c>
      <c r="D549" t="s">
        <v>84</v>
      </c>
      <c r="E549" t="s">
        <v>85</v>
      </c>
      <c r="F549" t="s">
        <v>86</v>
      </c>
      <c r="G549" t="s">
        <v>87</v>
      </c>
      <c r="H549" t="s">
        <v>88</v>
      </c>
      <c r="I549" t="s">
        <v>89</v>
      </c>
      <c r="J549">
        <v>10673</v>
      </c>
      <c r="K549">
        <v>87102</v>
      </c>
      <c r="L549">
        <v>9399</v>
      </c>
      <c r="M549">
        <v>6301</v>
      </c>
      <c r="N549">
        <v>45244</v>
      </c>
      <c r="O549">
        <v>2611</v>
      </c>
      <c r="P549">
        <v>564</v>
      </c>
      <c r="Q549">
        <v>5463</v>
      </c>
      <c r="R549">
        <v>2</v>
      </c>
      <c r="S549">
        <v>0</v>
      </c>
      <c r="T549">
        <v>0</v>
      </c>
      <c r="U549">
        <v>0</v>
      </c>
      <c r="V549">
        <v>17538</v>
      </c>
      <c r="W549">
        <v>137809</v>
      </c>
      <c r="X549">
        <v>12012</v>
      </c>
      <c r="Y549">
        <f t="shared" si="8"/>
        <v>137809</v>
      </c>
      <c r="Z549" t="str">
        <f>IF(ISNUMBER(SEARCH("Adjustment",$C549)),"excluded",IF($H549="Behind the Meter","excluded",IF(NOT(OR($E549="Bundled",$E549="Energy")),"excluded",IF(OR($H549="Retail Power Marketer",$H549="Community Choice Aggregator",$E549="Energy"),"procurement",IF(OR($H549="Municipal",$H549="Cooperative",$H549="Federal",$H549="State",$H549="Political Subdivision"),"cost_service",IF($H549="Investor Owned",IF(AND(COUNTIF(Parameters!$A$4:$A$33,$G549)&gt;0,COUNTIF(Parameters!$B$4:$B$33,$B549)=0),"procurement","cost_service"),"unclassified"))))))</f>
        <v>cost_service</v>
      </c>
    </row>
    <row r="550" spans="1:26" x14ac:dyDescent="0.25">
      <c r="A550">
        <v>2024</v>
      </c>
      <c r="B550">
        <v>8761</v>
      </c>
      <c r="C550" t="s">
        <v>618</v>
      </c>
      <c r="D550" t="s">
        <v>84</v>
      </c>
      <c r="E550" t="s">
        <v>85</v>
      </c>
      <c r="F550" t="s">
        <v>86</v>
      </c>
      <c r="G550" t="s">
        <v>54</v>
      </c>
      <c r="H550" t="s">
        <v>91</v>
      </c>
      <c r="I550" t="s">
        <v>92</v>
      </c>
      <c r="J550">
        <v>29379.200000000001</v>
      </c>
      <c r="K550">
        <v>177870</v>
      </c>
      <c r="L550">
        <v>14714</v>
      </c>
      <c r="M550">
        <v>14622.2</v>
      </c>
      <c r="N550">
        <v>101643</v>
      </c>
      <c r="O550">
        <v>3211</v>
      </c>
      <c r="P550">
        <v>10125.1</v>
      </c>
      <c r="Q550">
        <v>89625</v>
      </c>
      <c r="R550">
        <v>22</v>
      </c>
      <c r="S550">
        <v>0</v>
      </c>
      <c r="T550">
        <v>0</v>
      </c>
      <c r="U550">
        <v>0</v>
      </c>
      <c r="V550">
        <v>54126.5</v>
      </c>
      <c r="W550">
        <v>369138</v>
      </c>
      <c r="X550">
        <v>17947</v>
      </c>
      <c r="Y550">
        <f t="shared" si="8"/>
        <v>369138</v>
      </c>
      <c r="Z550" t="str">
        <f>IF(ISNUMBER(SEARCH("Adjustment",$C550)),"excluded",IF($H550="Behind the Meter","excluded",IF(NOT(OR($E550="Bundled",$E550="Energy")),"excluded",IF(OR($H550="Retail Power Marketer",$H550="Community Choice Aggregator",$E550="Energy"),"procurement",IF(OR($H550="Municipal",$H550="Cooperative",$H550="Federal",$H550="State",$H550="Political Subdivision"),"cost_service",IF($H550="Investor Owned",IF(AND(COUNTIF(Parameters!$A$4:$A$33,$G550)&gt;0,COUNTIF(Parameters!$B$4:$B$33,$B550)=0),"procurement","cost_service"),"unclassified"))))))</f>
        <v>cost_service</v>
      </c>
    </row>
    <row r="551" spans="1:26" x14ac:dyDescent="0.25">
      <c r="A551">
        <v>2024</v>
      </c>
      <c r="B551">
        <v>8764</v>
      </c>
      <c r="C551" t="s">
        <v>619</v>
      </c>
      <c r="D551" t="s">
        <v>84</v>
      </c>
      <c r="E551" t="s">
        <v>85</v>
      </c>
      <c r="F551" t="s">
        <v>86</v>
      </c>
      <c r="G551" t="s">
        <v>156</v>
      </c>
      <c r="H551" t="s">
        <v>91</v>
      </c>
      <c r="I551" t="s">
        <v>89</v>
      </c>
      <c r="J551">
        <v>46877</v>
      </c>
      <c r="K551">
        <v>359154</v>
      </c>
      <c r="L551">
        <v>25773</v>
      </c>
      <c r="M551">
        <v>20856</v>
      </c>
      <c r="N551">
        <v>145281</v>
      </c>
      <c r="O551">
        <v>6698</v>
      </c>
      <c r="P551">
        <v>19513</v>
      </c>
      <c r="Q551">
        <v>269667</v>
      </c>
      <c r="R551">
        <v>16</v>
      </c>
      <c r="S551">
        <v>0</v>
      </c>
      <c r="T551">
        <v>0</v>
      </c>
      <c r="U551">
        <v>0</v>
      </c>
      <c r="V551">
        <v>87246</v>
      </c>
      <c r="W551">
        <v>774102</v>
      </c>
      <c r="X551">
        <v>32487</v>
      </c>
      <c r="Y551">
        <f t="shared" si="8"/>
        <v>774102</v>
      </c>
      <c r="Z551" t="str">
        <f>IF(ISNUMBER(SEARCH("Adjustment",$C551)),"excluded",IF($H551="Behind the Meter","excluded",IF(NOT(OR($E551="Bundled",$E551="Energy")),"excluded",IF(OR($H551="Retail Power Marketer",$H551="Community Choice Aggregator",$E551="Energy"),"procurement",IF(OR($H551="Municipal",$H551="Cooperative",$H551="Federal",$H551="State",$H551="Political Subdivision"),"cost_service",IF($H551="Investor Owned",IF(AND(COUNTIF(Parameters!$A$4:$A$33,$G551)&gt;0,COUNTIF(Parameters!$B$4:$B$33,$B551)=0),"procurement","cost_service"),"unclassified"))))))</f>
        <v>cost_service</v>
      </c>
    </row>
    <row r="552" spans="1:26" x14ac:dyDescent="0.25">
      <c r="A552">
        <v>2024</v>
      </c>
      <c r="B552">
        <v>8773</v>
      </c>
      <c r="C552" t="s">
        <v>620</v>
      </c>
      <c r="D552" t="s">
        <v>84</v>
      </c>
      <c r="E552" t="s">
        <v>85</v>
      </c>
      <c r="F552" t="s">
        <v>86</v>
      </c>
      <c r="G552" t="s">
        <v>361</v>
      </c>
      <c r="H552" t="s">
        <v>91</v>
      </c>
      <c r="I552" t="s">
        <v>523</v>
      </c>
      <c r="J552">
        <v>83039</v>
      </c>
      <c r="K552">
        <v>689825</v>
      </c>
      <c r="L552">
        <v>49982</v>
      </c>
      <c r="M552">
        <v>52321</v>
      </c>
      <c r="N552">
        <v>521102</v>
      </c>
      <c r="O552">
        <v>11196</v>
      </c>
      <c r="P552">
        <v>6631</v>
      </c>
      <c r="Q552">
        <v>66272</v>
      </c>
      <c r="R552">
        <v>19</v>
      </c>
      <c r="S552">
        <v>0</v>
      </c>
      <c r="T552">
        <v>0</v>
      </c>
      <c r="U552">
        <v>0</v>
      </c>
      <c r="V552">
        <v>141991</v>
      </c>
      <c r="W552">
        <v>1277199</v>
      </c>
      <c r="X552">
        <v>61197</v>
      </c>
      <c r="Y552">
        <f t="shared" si="8"/>
        <v>1277199</v>
      </c>
      <c r="Z552" t="str">
        <f>IF(ISNUMBER(SEARCH("Adjustment",$C552)),"excluded",IF($H552="Behind the Meter","excluded",IF(NOT(OR($E552="Bundled",$E552="Energy")),"excluded",IF(OR($H552="Retail Power Marketer",$H552="Community Choice Aggregator",$E552="Energy"),"procurement",IF(OR($H552="Municipal",$H552="Cooperative",$H552="Federal",$H552="State",$H552="Political Subdivision"),"cost_service",IF($H552="Investor Owned",IF(AND(COUNTIF(Parameters!$A$4:$A$33,$G552)&gt;0,COUNTIF(Parameters!$B$4:$B$33,$B552)=0),"procurement","cost_service"),"unclassified"))))))</f>
        <v>cost_service</v>
      </c>
    </row>
    <row r="553" spans="1:26" x14ac:dyDescent="0.25">
      <c r="A553">
        <v>2024</v>
      </c>
      <c r="B553">
        <v>8774</v>
      </c>
      <c r="C553" t="s">
        <v>621</v>
      </c>
      <c r="D553" t="s">
        <v>84</v>
      </c>
      <c r="E553" t="s">
        <v>85</v>
      </c>
      <c r="F553" t="s">
        <v>86</v>
      </c>
      <c r="G553" t="s">
        <v>48</v>
      </c>
      <c r="H553" t="s">
        <v>88</v>
      </c>
      <c r="I553" t="s">
        <v>189</v>
      </c>
      <c r="J553">
        <v>17929</v>
      </c>
      <c r="K553">
        <v>108136</v>
      </c>
      <c r="L553">
        <v>15040</v>
      </c>
      <c r="M553">
        <v>33851</v>
      </c>
      <c r="N553">
        <v>227354</v>
      </c>
      <c r="O553">
        <v>2905</v>
      </c>
      <c r="P553">
        <v>5370</v>
      </c>
      <c r="Q553">
        <v>46317</v>
      </c>
      <c r="R553">
        <v>21</v>
      </c>
      <c r="S553" t="s">
        <v>97</v>
      </c>
      <c r="T553" t="s">
        <v>97</v>
      </c>
      <c r="U553" t="s">
        <v>97</v>
      </c>
      <c r="V553">
        <v>57150</v>
      </c>
      <c r="W553">
        <v>381807</v>
      </c>
      <c r="X553">
        <v>17966</v>
      </c>
      <c r="Y553">
        <f t="shared" si="8"/>
        <v>381807</v>
      </c>
      <c r="Z553" t="str">
        <f>IF(ISNUMBER(SEARCH("Adjustment",$C553)),"excluded",IF($H553="Behind the Meter","excluded",IF(NOT(OR($E553="Bundled",$E553="Energy")),"excluded",IF(OR($H553="Retail Power Marketer",$H553="Community Choice Aggregator",$E553="Energy"),"procurement",IF(OR($H553="Municipal",$H553="Cooperative",$H553="Federal",$H553="State",$H553="Political Subdivision"),"cost_service",IF($H553="Investor Owned",IF(AND(COUNTIF(Parameters!$A$4:$A$33,$G553)&gt;0,COUNTIF(Parameters!$B$4:$B$33,$B553)=0),"procurement","cost_service"),"unclassified"))))))</f>
        <v>cost_service</v>
      </c>
    </row>
    <row r="554" spans="1:26" x14ac:dyDescent="0.25">
      <c r="A554">
        <v>2024</v>
      </c>
      <c r="B554">
        <v>8786</v>
      </c>
      <c r="C554" t="s">
        <v>622</v>
      </c>
      <c r="D554" t="s">
        <v>84</v>
      </c>
      <c r="E554" t="s">
        <v>85</v>
      </c>
      <c r="F554" t="s">
        <v>86</v>
      </c>
      <c r="G554" t="s">
        <v>106</v>
      </c>
      <c r="H554" t="s">
        <v>91</v>
      </c>
      <c r="I554" t="s">
        <v>106</v>
      </c>
      <c r="J554">
        <v>146028</v>
      </c>
      <c r="K554">
        <v>1103356</v>
      </c>
      <c r="L554">
        <v>86726</v>
      </c>
      <c r="M554">
        <v>35355</v>
      </c>
      <c r="N554">
        <v>260638</v>
      </c>
      <c r="O554">
        <v>12280</v>
      </c>
      <c r="P554">
        <v>1708</v>
      </c>
      <c r="Q554">
        <v>15588</v>
      </c>
      <c r="R554">
        <v>8</v>
      </c>
      <c r="S554" t="s">
        <v>97</v>
      </c>
      <c r="T554" t="s">
        <v>97</v>
      </c>
      <c r="U554" t="s">
        <v>97</v>
      </c>
      <c r="V554">
        <v>183091</v>
      </c>
      <c r="W554">
        <v>1379582</v>
      </c>
      <c r="X554">
        <v>99014</v>
      </c>
      <c r="Y554">
        <f t="shared" si="8"/>
        <v>1379582</v>
      </c>
      <c r="Z554" t="str">
        <f>IF(ISNUMBER(SEARCH("Adjustment",$C554)),"excluded",IF($H554="Behind the Meter","excluded",IF(NOT(OR($E554="Bundled",$E554="Energy")),"excluded",IF(OR($H554="Retail Power Marketer",$H554="Community Choice Aggregator",$E554="Energy"),"procurement",IF(OR($H554="Municipal",$H554="Cooperative",$H554="Federal",$H554="State",$H554="Political Subdivision"),"cost_service",IF($H554="Investor Owned",IF(AND(COUNTIF(Parameters!$A$4:$A$33,$G554)&gt;0,COUNTIF(Parameters!$B$4:$B$33,$B554)=0),"procurement","cost_service"),"unclassified"))))))</f>
        <v>cost_service</v>
      </c>
    </row>
    <row r="555" spans="1:26" x14ac:dyDescent="0.25">
      <c r="A555">
        <v>2024</v>
      </c>
      <c r="B555">
        <v>8795</v>
      </c>
      <c r="C555" t="s">
        <v>623</v>
      </c>
      <c r="D555" t="s">
        <v>84</v>
      </c>
      <c r="E555" t="s">
        <v>85</v>
      </c>
      <c r="F555" t="s">
        <v>86</v>
      </c>
      <c r="G555" t="s">
        <v>195</v>
      </c>
      <c r="H555" t="s">
        <v>88</v>
      </c>
      <c r="I555" t="s">
        <v>624</v>
      </c>
      <c r="J555">
        <v>49731.3</v>
      </c>
      <c r="K555">
        <v>404627</v>
      </c>
      <c r="L555">
        <v>26052</v>
      </c>
      <c r="M555">
        <v>7434.6</v>
      </c>
      <c r="N555">
        <v>66945</v>
      </c>
      <c r="O555">
        <v>2133</v>
      </c>
      <c r="P555">
        <v>12669.4</v>
      </c>
      <c r="Q555">
        <v>165753</v>
      </c>
      <c r="R555">
        <v>610</v>
      </c>
      <c r="S555" t="s">
        <v>97</v>
      </c>
      <c r="T555" t="s">
        <v>97</v>
      </c>
      <c r="U555" t="s">
        <v>97</v>
      </c>
      <c r="V555">
        <v>69835.3</v>
      </c>
      <c r="W555">
        <v>637325</v>
      </c>
      <c r="X555">
        <v>28795</v>
      </c>
      <c r="Y555">
        <f t="shared" si="8"/>
        <v>637325</v>
      </c>
      <c r="Z555" t="str">
        <f>IF(ISNUMBER(SEARCH("Adjustment",$C555)),"excluded",IF($H555="Behind the Meter","excluded",IF(NOT(OR($E555="Bundled",$E555="Energy")),"excluded",IF(OR($H555="Retail Power Marketer",$H555="Community Choice Aggregator",$E555="Energy"),"procurement",IF(OR($H555="Municipal",$H555="Cooperative",$H555="Federal",$H555="State",$H555="Political Subdivision"),"cost_service",IF($H555="Investor Owned",IF(AND(COUNTIF(Parameters!$A$4:$A$33,$G555)&gt;0,COUNTIF(Parameters!$B$4:$B$33,$B555)=0),"procurement","cost_service"),"unclassified"))))))</f>
        <v>cost_service</v>
      </c>
    </row>
    <row r="556" spans="1:26" x14ac:dyDescent="0.25">
      <c r="A556">
        <v>2024</v>
      </c>
      <c r="B556">
        <v>8840</v>
      </c>
      <c r="C556" t="s">
        <v>625</v>
      </c>
      <c r="D556" t="s">
        <v>84</v>
      </c>
      <c r="E556" t="s">
        <v>85</v>
      </c>
      <c r="F556" t="s">
        <v>86</v>
      </c>
      <c r="G556" t="s">
        <v>173</v>
      </c>
      <c r="H556" t="s">
        <v>88</v>
      </c>
      <c r="I556" t="s">
        <v>96</v>
      </c>
      <c r="J556">
        <v>7372</v>
      </c>
      <c r="K556">
        <v>63051</v>
      </c>
      <c r="L556">
        <v>5782</v>
      </c>
      <c r="M556">
        <v>12317</v>
      </c>
      <c r="N556">
        <v>110380</v>
      </c>
      <c r="O556">
        <v>1099</v>
      </c>
      <c r="P556">
        <v>4256</v>
      </c>
      <c r="Q556">
        <v>44823</v>
      </c>
      <c r="R556">
        <v>1</v>
      </c>
      <c r="S556" t="s">
        <v>97</v>
      </c>
      <c r="T556" t="s">
        <v>97</v>
      </c>
      <c r="U556" t="s">
        <v>97</v>
      </c>
      <c r="V556">
        <v>23945</v>
      </c>
      <c r="W556">
        <v>218254</v>
      </c>
      <c r="X556">
        <v>6882</v>
      </c>
      <c r="Y556">
        <f t="shared" si="8"/>
        <v>218254</v>
      </c>
      <c r="Z556" t="str">
        <f>IF(ISNUMBER(SEARCH("Adjustment",$C556)),"excluded",IF($H556="Behind the Meter","excluded",IF(NOT(OR($E556="Bundled",$E556="Energy")),"excluded",IF(OR($H556="Retail Power Marketer",$H556="Community Choice Aggregator",$E556="Energy"),"procurement",IF(OR($H556="Municipal",$H556="Cooperative",$H556="Federal",$H556="State",$H556="Political Subdivision"),"cost_service",IF($H556="Investor Owned",IF(AND(COUNTIF(Parameters!$A$4:$A$33,$G556)&gt;0,COUNTIF(Parameters!$B$4:$B$33,$B556)=0),"procurement","cost_service"),"unclassified"))))))</f>
        <v>cost_service</v>
      </c>
    </row>
    <row r="557" spans="1:26" x14ac:dyDescent="0.25">
      <c r="A557">
        <v>2024</v>
      </c>
      <c r="B557">
        <v>8846</v>
      </c>
      <c r="C557" t="s">
        <v>626</v>
      </c>
      <c r="D557" t="s">
        <v>84</v>
      </c>
      <c r="E557" t="s">
        <v>85</v>
      </c>
      <c r="F557" t="s">
        <v>86</v>
      </c>
      <c r="G557" t="s">
        <v>209</v>
      </c>
      <c r="H557" t="s">
        <v>88</v>
      </c>
      <c r="I557" t="s">
        <v>89</v>
      </c>
      <c r="J557">
        <v>14675</v>
      </c>
      <c r="K557">
        <v>117129</v>
      </c>
      <c r="L557">
        <v>9832</v>
      </c>
      <c r="M557">
        <v>16489</v>
      </c>
      <c r="N557">
        <v>126059</v>
      </c>
      <c r="O557">
        <v>3030</v>
      </c>
      <c r="P557">
        <v>8533</v>
      </c>
      <c r="Q557">
        <v>146284</v>
      </c>
      <c r="R557">
        <v>3</v>
      </c>
      <c r="S557">
        <v>0</v>
      </c>
      <c r="T557">
        <v>0</v>
      </c>
      <c r="U557">
        <v>0</v>
      </c>
      <c r="V557">
        <v>39697</v>
      </c>
      <c r="W557">
        <v>389472</v>
      </c>
      <c r="X557">
        <v>12865</v>
      </c>
      <c r="Y557">
        <f t="shared" si="8"/>
        <v>389472</v>
      </c>
      <c r="Z557" t="str">
        <f>IF(ISNUMBER(SEARCH("Adjustment",$C557)),"excluded",IF($H557="Behind the Meter","excluded",IF(NOT(OR($E557="Bundled",$E557="Energy")),"excluded",IF(OR($H557="Retail Power Marketer",$H557="Community Choice Aggregator",$E557="Energy"),"procurement",IF(OR($H557="Municipal",$H557="Cooperative",$H557="Federal",$H557="State",$H557="Political Subdivision"),"cost_service",IF($H557="Investor Owned",IF(AND(COUNTIF(Parameters!$A$4:$A$33,$G557)&gt;0,COUNTIF(Parameters!$B$4:$B$33,$B557)=0),"procurement","cost_service"),"unclassified"))))))</f>
        <v>cost_service</v>
      </c>
    </row>
    <row r="558" spans="1:26" x14ac:dyDescent="0.25">
      <c r="A558">
        <v>2024</v>
      </c>
      <c r="B558">
        <v>8883</v>
      </c>
      <c r="C558" t="s">
        <v>627</v>
      </c>
      <c r="D558" t="s">
        <v>84</v>
      </c>
      <c r="E558" t="s">
        <v>85</v>
      </c>
      <c r="F558" t="s">
        <v>86</v>
      </c>
      <c r="G558" t="s">
        <v>50</v>
      </c>
      <c r="H558" t="s">
        <v>88</v>
      </c>
      <c r="I558" t="s">
        <v>188</v>
      </c>
      <c r="J558">
        <v>4123.6000000000004</v>
      </c>
      <c r="K558">
        <v>34513</v>
      </c>
      <c r="L558">
        <v>3907</v>
      </c>
      <c r="M558">
        <v>2435.6999999999998</v>
      </c>
      <c r="N558">
        <v>20209</v>
      </c>
      <c r="O558">
        <v>1509</v>
      </c>
      <c r="P558">
        <v>2328.3000000000002</v>
      </c>
      <c r="Q558">
        <v>22583</v>
      </c>
      <c r="R558">
        <v>77</v>
      </c>
      <c r="S558">
        <v>0</v>
      </c>
      <c r="T558">
        <v>0</v>
      </c>
      <c r="U558">
        <v>0</v>
      </c>
      <c r="V558">
        <v>8887.6</v>
      </c>
      <c r="W558">
        <v>77305</v>
      </c>
      <c r="X558">
        <v>5493</v>
      </c>
      <c r="Y558">
        <f t="shared" si="8"/>
        <v>77305</v>
      </c>
      <c r="Z558" t="str">
        <f>IF(ISNUMBER(SEARCH("Adjustment",$C558)),"excluded",IF($H558="Behind the Meter","excluded",IF(NOT(OR($E558="Bundled",$E558="Energy")),"excluded",IF(OR($H558="Retail Power Marketer",$H558="Community Choice Aggregator",$E558="Energy"),"procurement",IF(OR($H558="Municipal",$H558="Cooperative",$H558="Federal",$H558="State",$H558="Political Subdivision"),"cost_service",IF($H558="Investor Owned",IF(AND(COUNTIF(Parameters!$A$4:$A$33,$G558)&gt;0,COUNTIF(Parameters!$B$4:$B$33,$B558)=0),"procurement","cost_service"),"unclassified"))))))</f>
        <v>cost_service</v>
      </c>
    </row>
    <row r="559" spans="1:26" x14ac:dyDescent="0.25">
      <c r="A559">
        <v>2024</v>
      </c>
      <c r="B559">
        <v>8883</v>
      </c>
      <c r="C559" t="s">
        <v>627</v>
      </c>
      <c r="D559" t="s">
        <v>167</v>
      </c>
      <c r="E559" t="s">
        <v>168</v>
      </c>
      <c r="F559" t="s">
        <v>86</v>
      </c>
      <c r="G559" t="s">
        <v>50</v>
      </c>
      <c r="H559" t="s">
        <v>88</v>
      </c>
      <c r="I559" t="s">
        <v>188</v>
      </c>
      <c r="J559">
        <v>0</v>
      </c>
      <c r="K559">
        <v>0</v>
      </c>
      <c r="L559">
        <v>0</v>
      </c>
      <c r="M559">
        <v>1.7</v>
      </c>
      <c r="N559">
        <v>32</v>
      </c>
      <c r="O559">
        <v>2</v>
      </c>
      <c r="P559">
        <v>953.2</v>
      </c>
      <c r="Q559">
        <v>37283</v>
      </c>
      <c r="R559">
        <v>1</v>
      </c>
      <c r="S559">
        <v>0</v>
      </c>
      <c r="T559">
        <v>0</v>
      </c>
      <c r="U559">
        <v>0</v>
      </c>
      <c r="V559">
        <v>954.9</v>
      </c>
      <c r="W559">
        <v>37315</v>
      </c>
      <c r="X559">
        <v>3</v>
      </c>
      <c r="Y559">
        <f t="shared" si="8"/>
        <v>37315</v>
      </c>
      <c r="Z559" t="str">
        <f>IF(ISNUMBER(SEARCH("Adjustment",$C559)),"excluded",IF($H559="Behind the Meter","excluded",IF(NOT(OR($E559="Bundled",$E559="Energy")),"excluded",IF(OR($H559="Retail Power Marketer",$H559="Community Choice Aggregator",$E559="Energy"),"procurement",IF(OR($H559="Municipal",$H559="Cooperative",$H559="Federal",$H559="State",$H559="Political Subdivision"),"cost_service",IF($H559="Investor Owned",IF(AND(COUNTIF(Parameters!$A$4:$A$33,$G559)&gt;0,COUNTIF(Parameters!$B$4:$B$33,$B559)=0),"procurement","cost_service"),"unclassified"))))))</f>
        <v>excluded</v>
      </c>
    </row>
    <row r="560" spans="1:26" x14ac:dyDescent="0.25">
      <c r="A560">
        <v>2024</v>
      </c>
      <c r="B560">
        <v>8884</v>
      </c>
      <c r="C560" t="s">
        <v>628</v>
      </c>
      <c r="D560" t="s">
        <v>84</v>
      </c>
      <c r="E560" t="s">
        <v>85</v>
      </c>
      <c r="F560" t="s">
        <v>86</v>
      </c>
      <c r="G560" t="s">
        <v>138</v>
      </c>
      <c r="H560" t="s">
        <v>88</v>
      </c>
      <c r="I560" t="s">
        <v>96</v>
      </c>
      <c r="J560">
        <v>18759</v>
      </c>
      <c r="K560">
        <v>174885</v>
      </c>
      <c r="L560">
        <v>11218</v>
      </c>
      <c r="M560">
        <v>13839</v>
      </c>
      <c r="N560">
        <v>131482</v>
      </c>
      <c r="O560">
        <v>2586</v>
      </c>
      <c r="P560" t="s">
        <v>97</v>
      </c>
      <c r="Q560" t="s">
        <v>97</v>
      </c>
      <c r="R560" t="s">
        <v>97</v>
      </c>
      <c r="S560" t="s">
        <v>97</v>
      </c>
      <c r="T560" t="s">
        <v>97</v>
      </c>
      <c r="U560" t="s">
        <v>97</v>
      </c>
      <c r="V560">
        <v>32598</v>
      </c>
      <c r="W560">
        <v>306367</v>
      </c>
      <c r="X560">
        <v>13804</v>
      </c>
      <c r="Y560">
        <f t="shared" si="8"/>
        <v>306367</v>
      </c>
      <c r="Z560" t="str">
        <f>IF(ISNUMBER(SEARCH("Adjustment",$C560)),"excluded",IF($H560="Behind the Meter","excluded",IF(NOT(OR($E560="Bundled",$E560="Energy")),"excluded",IF(OR($H560="Retail Power Marketer",$H560="Community Choice Aggregator",$E560="Energy"),"procurement",IF(OR($H560="Municipal",$H560="Cooperative",$H560="Federal",$H560="State",$H560="Political Subdivision"),"cost_service",IF($H560="Investor Owned",IF(AND(COUNTIF(Parameters!$A$4:$A$33,$G560)&gt;0,COUNTIF(Parameters!$B$4:$B$33,$B560)=0),"procurement","cost_service"),"unclassified"))))))</f>
        <v>cost_service</v>
      </c>
    </row>
    <row r="561" spans="1:26" x14ac:dyDescent="0.25">
      <c r="A561">
        <v>2024</v>
      </c>
      <c r="B561">
        <v>8898</v>
      </c>
      <c r="C561" t="s">
        <v>629</v>
      </c>
      <c r="D561" t="s">
        <v>84</v>
      </c>
      <c r="E561" t="s">
        <v>85</v>
      </c>
      <c r="F561" t="s">
        <v>86</v>
      </c>
      <c r="G561" t="s">
        <v>57</v>
      </c>
      <c r="H561" t="s">
        <v>91</v>
      </c>
      <c r="I561" t="s">
        <v>151</v>
      </c>
      <c r="J561">
        <v>36637</v>
      </c>
      <c r="K561">
        <v>220692</v>
      </c>
      <c r="L561">
        <v>21426</v>
      </c>
      <c r="M561">
        <v>7600.4</v>
      </c>
      <c r="N561">
        <v>59552</v>
      </c>
      <c r="O561">
        <v>1466</v>
      </c>
      <c r="P561">
        <v>9848.7000000000007</v>
      </c>
      <c r="Q561">
        <v>129188</v>
      </c>
      <c r="R561">
        <v>9</v>
      </c>
      <c r="S561" t="s">
        <v>97</v>
      </c>
      <c r="T561" t="s">
        <v>97</v>
      </c>
      <c r="U561" t="s">
        <v>97</v>
      </c>
      <c r="V561">
        <v>54086.1</v>
      </c>
      <c r="W561">
        <v>409432</v>
      </c>
      <c r="X561">
        <v>22901</v>
      </c>
      <c r="Y561">
        <f t="shared" si="8"/>
        <v>409432</v>
      </c>
      <c r="Z561" t="str">
        <f>IF(ISNUMBER(SEARCH("Adjustment",$C561)),"excluded",IF($H561="Behind the Meter","excluded",IF(NOT(OR($E561="Bundled",$E561="Energy")),"excluded",IF(OR($H561="Retail Power Marketer",$H561="Community Choice Aggregator",$E561="Energy"),"procurement",IF(OR($H561="Municipal",$H561="Cooperative",$H561="Federal",$H561="State",$H561="Political Subdivision"),"cost_service",IF($H561="Investor Owned",IF(AND(COUNTIF(Parameters!$A$4:$A$33,$G561)&gt;0,COUNTIF(Parameters!$B$4:$B$33,$B561)=0),"procurement","cost_service"),"unclassified"))))))</f>
        <v>cost_service</v>
      </c>
    </row>
    <row r="562" spans="1:26" x14ac:dyDescent="0.25">
      <c r="A562">
        <v>2024</v>
      </c>
      <c r="B562">
        <v>8934</v>
      </c>
      <c r="C562" t="s">
        <v>630</v>
      </c>
      <c r="D562" t="s">
        <v>84</v>
      </c>
      <c r="E562" t="s">
        <v>85</v>
      </c>
      <c r="F562" t="s">
        <v>86</v>
      </c>
      <c r="G562" t="s">
        <v>226</v>
      </c>
      <c r="H562" t="s">
        <v>91</v>
      </c>
      <c r="I562" t="s">
        <v>227</v>
      </c>
      <c r="J562">
        <v>37817.1</v>
      </c>
      <c r="K562">
        <v>301522</v>
      </c>
      <c r="L562">
        <v>23101</v>
      </c>
      <c r="M562">
        <v>6358.1</v>
      </c>
      <c r="N562">
        <v>57345</v>
      </c>
      <c r="O562">
        <v>2541</v>
      </c>
      <c r="P562">
        <v>4415.2</v>
      </c>
      <c r="Q562">
        <v>46483</v>
      </c>
      <c r="R562">
        <v>122</v>
      </c>
      <c r="S562" t="s">
        <v>97</v>
      </c>
      <c r="T562" t="s">
        <v>97</v>
      </c>
      <c r="U562" t="s">
        <v>97</v>
      </c>
      <c r="V562">
        <v>48590.400000000001</v>
      </c>
      <c r="W562">
        <v>405350</v>
      </c>
      <c r="X562">
        <v>25764</v>
      </c>
      <c r="Y562">
        <f t="shared" si="8"/>
        <v>405350</v>
      </c>
      <c r="Z562" t="str">
        <f>IF(ISNUMBER(SEARCH("Adjustment",$C562)),"excluded",IF($H562="Behind the Meter","excluded",IF(NOT(OR($E562="Bundled",$E562="Energy")),"excluded",IF(OR($H562="Retail Power Marketer",$H562="Community Choice Aggregator",$E562="Energy"),"procurement",IF(OR($H562="Municipal",$H562="Cooperative",$H562="Federal",$H562="State",$H562="Political Subdivision"),"cost_service",IF($H562="Investor Owned",IF(AND(COUNTIF(Parameters!$A$4:$A$33,$G562)&gt;0,COUNTIF(Parameters!$B$4:$B$33,$B562)=0),"procurement","cost_service"),"unclassified"))))))</f>
        <v>cost_service</v>
      </c>
    </row>
    <row r="563" spans="1:26" x14ac:dyDescent="0.25">
      <c r="A563">
        <v>2024</v>
      </c>
      <c r="B563">
        <v>8973</v>
      </c>
      <c r="C563" t="s">
        <v>631</v>
      </c>
      <c r="D563" t="s">
        <v>84</v>
      </c>
      <c r="E563" t="s">
        <v>85</v>
      </c>
      <c r="F563" t="s">
        <v>86</v>
      </c>
      <c r="G563" t="s">
        <v>48</v>
      </c>
      <c r="H563" t="s">
        <v>88</v>
      </c>
      <c r="I563" t="s">
        <v>189</v>
      </c>
      <c r="J563">
        <v>13981.7</v>
      </c>
      <c r="K563">
        <v>104445</v>
      </c>
      <c r="L563">
        <v>11448</v>
      </c>
      <c r="M563">
        <v>4502.3999999999996</v>
      </c>
      <c r="N563">
        <v>41774</v>
      </c>
      <c r="O563">
        <v>1901</v>
      </c>
      <c r="P563">
        <v>10337.200000000001</v>
      </c>
      <c r="Q563">
        <v>68689</v>
      </c>
      <c r="R563">
        <v>166</v>
      </c>
      <c r="S563" t="s">
        <v>97</v>
      </c>
      <c r="T563" t="s">
        <v>97</v>
      </c>
      <c r="U563" t="s">
        <v>97</v>
      </c>
      <c r="V563">
        <v>28821.3</v>
      </c>
      <c r="W563">
        <v>214908</v>
      </c>
      <c r="X563">
        <v>13515</v>
      </c>
      <c r="Y563">
        <f t="shared" si="8"/>
        <v>214908</v>
      </c>
      <c r="Z563" t="str">
        <f>IF(ISNUMBER(SEARCH("Adjustment",$C563)),"excluded",IF($H563="Behind the Meter","excluded",IF(NOT(OR($E563="Bundled",$E563="Energy")),"excluded",IF(OR($H563="Retail Power Marketer",$H563="Community Choice Aggregator",$E563="Energy"),"procurement",IF(OR($H563="Municipal",$H563="Cooperative",$H563="Federal",$H563="State",$H563="Political Subdivision"),"cost_service",IF($H563="Investor Owned",IF(AND(COUNTIF(Parameters!$A$4:$A$33,$G563)&gt;0,COUNTIF(Parameters!$B$4:$B$33,$B563)=0),"procurement","cost_service"),"unclassified"))))))</f>
        <v>cost_service</v>
      </c>
    </row>
    <row r="564" spans="1:26" x14ac:dyDescent="0.25">
      <c r="A564">
        <v>2024</v>
      </c>
      <c r="B564">
        <v>9023</v>
      </c>
      <c r="C564" t="s">
        <v>632</v>
      </c>
      <c r="D564" t="s">
        <v>84</v>
      </c>
      <c r="E564" t="s">
        <v>85</v>
      </c>
      <c r="F564" t="s">
        <v>86</v>
      </c>
      <c r="G564" t="s">
        <v>156</v>
      </c>
      <c r="H564" t="s">
        <v>88</v>
      </c>
      <c r="I564" t="s">
        <v>89</v>
      </c>
      <c r="J564">
        <v>4914</v>
      </c>
      <c r="K564">
        <v>43266</v>
      </c>
      <c r="L564">
        <v>3529</v>
      </c>
      <c r="M564">
        <v>6769</v>
      </c>
      <c r="N564">
        <v>60710</v>
      </c>
      <c r="O564">
        <v>1051</v>
      </c>
      <c r="P564">
        <v>6215</v>
      </c>
      <c r="Q564">
        <v>105315</v>
      </c>
      <c r="R564">
        <v>5</v>
      </c>
      <c r="S564">
        <v>0</v>
      </c>
      <c r="T564">
        <v>0</v>
      </c>
      <c r="U564">
        <v>0</v>
      </c>
      <c r="V564">
        <v>17898</v>
      </c>
      <c r="W564">
        <v>209291</v>
      </c>
      <c r="X564">
        <v>4585</v>
      </c>
      <c r="Y564">
        <f t="shared" si="8"/>
        <v>209291</v>
      </c>
      <c r="Z564" t="str">
        <f>IF(ISNUMBER(SEARCH("Adjustment",$C564)),"excluded",IF($H564="Behind the Meter","excluded",IF(NOT(OR($E564="Bundled",$E564="Energy")),"excluded",IF(OR($H564="Retail Power Marketer",$H564="Community Choice Aggregator",$E564="Energy"),"procurement",IF(OR($H564="Municipal",$H564="Cooperative",$H564="Federal",$H564="State",$H564="Political Subdivision"),"cost_service",IF($H564="Investor Owned",IF(AND(COUNTIF(Parameters!$A$4:$A$33,$G564)&gt;0,COUNTIF(Parameters!$B$4:$B$33,$B564)=0),"procurement","cost_service"),"unclassified"))))))</f>
        <v>cost_service</v>
      </c>
    </row>
    <row r="565" spans="1:26" x14ac:dyDescent="0.25">
      <c r="A565">
        <v>2024</v>
      </c>
      <c r="B565">
        <v>9087</v>
      </c>
      <c r="C565" t="s">
        <v>633</v>
      </c>
      <c r="D565" t="s">
        <v>84</v>
      </c>
      <c r="E565" t="s">
        <v>85</v>
      </c>
      <c r="F565" t="s">
        <v>86</v>
      </c>
      <c r="G565" t="s">
        <v>125</v>
      </c>
      <c r="H565" t="s">
        <v>88</v>
      </c>
      <c r="I565" t="s">
        <v>126</v>
      </c>
      <c r="J565">
        <v>11545.9</v>
      </c>
      <c r="K565">
        <v>95224</v>
      </c>
      <c r="L565">
        <v>8080</v>
      </c>
      <c r="M565">
        <v>6741.9</v>
      </c>
      <c r="N565">
        <v>65751</v>
      </c>
      <c r="O565">
        <v>710</v>
      </c>
      <c r="P565">
        <v>9078.5</v>
      </c>
      <c r="Q565">
        <v>134646</v>
      </c>
      <c r="R565">
        <v>2</v>
      </c>
      <c r="S565" t="s">
        <v>97</v>
      </c>
      <c r="T565" t="s">
        <v>97</v>
      </c>
      <c r="U565" t="s">
        <v>97</v>
      </c>
      <c r="V565">
        <v>27366.3</v>
      </c>
      <c r="W565">
        <v>295621</v>
      </c>
      <c r="X565">
        <v>8792</v>
      </c>
      <c r="Y565">
        <f t="shared" si="8"/>
        <v>295621</v>
      </c>
      <c r="Z565" t="str">
        <f>IF(ISNUMBER(SEARCH("Adjustment",$C565)),"excluded",IF($H565="Behind the Meter","excluded",IF(NOT(OR($E565="Bundled",$E565="Energy")),"excluded",IF(OR($H565="Retail Power Marketer",$H565="Community Choice Aggregator",$E565="Energy"),"procurement",IF(OR($H565="Municipal",$H565="Cooperative",$H565="Federal",$H565="State",$H565="Political Subdivision"),"cost_service",IF($H565="Investor Owned",IF(AND(COUNTIF(Parameters!$A$4:$A$33,$G565)&gt;0,COUNTIF(Parameters!$B$4:$B$33,$B565)=0),"procurement","cost_service"),"unclassified"))))))</f>
        <v>cost_service</v>
      </c>
    </row>
    <row r="566" spans="1:26" x14ac:dyDescent="0.25">
      <c r="A566">
        <v>2024</v>
      </c>
      <c r="B566">
        <v>9094</v>
      </c>
      <c r="C566" t="s">
        <v>634</v>
      </c>
      <c r="D566" t="s">
        <v>84</v>
      </c>
      <c r="E566" t="s">
        <v>85</v>
      </c>
      <c r="F566" t="s">
        <v>86</v>
      </c>
      <c r="G566" t="s">
        <v>112</v>
      </c>
      <c r="H566" t="s">
        <v>88</v>
      </c>
      <c r="I566" t="s">
        <v>89</v>
      </c>
      <c r="J566">
        <v>318331</v>
      </c>
      <c r="K566">
        <v>2779774</v>
      </c>
      <c r="L566">
        <v>197537</v>
      </c>
      <c r="M566">
        <v>240403</v>
      </c>
      <c r="N566">
        <v>2168220</v>
      </c>
      <c r="O566">
        <v>23010</v>
      </c>
      <c r="P566">
        <v>33338</v>
      </c>
      <c r="Q566">
        <v>466766</v>
      </c>
      <c r="R566">
        <v>29</v>
      </c>
      <c r="S566">
        <v>0</v>
      </c>
      <c r="T566">
        <v>0</v>
      </c>
      <c r="U566">
        <v>0</v>
      </c>
      <c r="V566">
        <v>592072</v>
      </c>
      <c r="W566">
        <v>5414760</v>
      </c>
      <c r="X566">
        <v>220576</v>
      </c>
      <c r="Y566">
        <f t="shared" si="8"/>
        <v>5414760</v>
      </c>
      <c r="Z566" t="str">
        <f>IF(ISNUMBER(SEARCH("Adjustment",$C566)),"excluded",IF($H566="Behind the Meter","excluded",IF(NOT(OR($E566="Bundled",$E566="Energy")),"excluded",IF(OR($H566="Retail Power Marketer",$H566="Community Choice Aggregator",$E566="Energy"),"procurement",IF(OR($H566="Municipal",$H566="Cooperative",$H566="Federal",$H566="State",$H566="Political Subdivision"),"cost_service",IF($H566="Investor Owned",IF(AND(COUNTIF(Parameters!$A$4:$A$33,$G566)&gt;0,COUNTIF(Parameters!$B$4:$B$33,$B566)=0),"procurement","cost_service"),"unclassified"))))))</f>
        <v>cost_service</v>
      </c>
    </row>
    <row r="567" spans="1:26" x14ac:dyDescent="0.25">
      <c r="A567">
        <v>2024</v>
      </c>
      <c r="B567">
        <v>9096</v>
      </c>
      <c r="C567" t="s">
        <v>635</v>
      </c>
      <c r="D567" t="s">
        <v>84</v>
      </c>
      <c r="E567" t="s">
        <v>85</v>
      </c>
      <c r="F567" t="s">
        <v>86</v>
      </c>
      <c r="G567" t="s">
        <v>138</v>
      </c>
      <c r="H567" t="s">
        <v>88</v>
      </c>
      <c r="I567" t="s">
        <v>96</v>
      </c>
      <c r="J567">
        <v>86739</v>
      </c>
      <c r="K567">
        <v>856774</v>
      </c>
      <c r="L567">
        <v>59961</v>
      </c>
      <c r="M567">
        <v>95725</v>
      </c>
      <c r="N567">
        <v>1119834</v>
      </c>
      <c r="O567">
        <v>12382</v>
      </c>
      <c r="P567" t="s">
        <v>97</v>
      </c>
      <c r="Q567" t="s">
        <v>97</v>
      </c>
      <c r="R567" t="s">
        <v>97</v>
      </c>
      <c r="S567" t="s">
        <v>97</v>
      </c>
      <c r="T567" t="s">
        <v>97</v>
      </c>
      <c r="U567" t="s">
        <v>97</v>
      </c>
      <c r="V567">
        <v>182464</v>
      </c>
      <c r="W567">
        <v>1976608</v>
      </c>
      <c r="X567">
        <v>72343</v>
      </c>
      <c r="Y567">
        <f t="shared" si="8"/>
        <v>1976608</v>
      </c>
      <c r="Z567" t="str">
        <f>IF(ISNUMBER(SEARCH("Adjustment",$C567)),"excluded",IF($H567="Behind the Meter","excluded",IF(NOT(OR($E567="Bundled",$E567="Energy")),"excluded",IF(OR($H567="Retail Power Marketer",$H567="Community Choice Aggregator",$E567="Energy"),"procurement",IF(OR($H567="Municipal",$H567="Cooperative",$H567="Federal",$H567="State",$H567="Political Subdivision"),"cost_service",IF($H567="Investor Owned",IF(AND(COUNTIF(Parameters!$A$4:$A$33,$G567)&gt;0,COUNTIF(Parameters!$B$4:$B$33,$B567)=0),"procurement","cost_service"),"unclassified"))))))</f>
        <v>cost_service</v>
      </c>
    </row>
    <row r="568" spans="1:26" x14ac:dyDescent="0.25">
      <c r="A568">
        <v>2024</v>
      </c>
      <c r="B568">
        <v>9124</v>
      </c>
      <c r="C568" t="s">
        <v>636</v>
      </c>
      <c r="D568" t="s">
        <v>84</v>
      </c>
      <c r="E568" t="s">
        <v>85</v>
      </c>
      <c r="F568" t="s">
        <v>86</v>
      </c>
      <c r="G568" t="s">
        <v>95</v>
      </c>
      <c r="H568" t="s">
        <v>88</v>
      </c>
      <c r="I568" t="s">
        <v>96</v>
      </c>
      <c r="J568">
        <v>1522.8</v>
      </c>
      <c r="K568">
        <v>11017</v>
      </c>
      <c r="L568">
        <v>1315</v>
      </c>
      <c r="M568">
        <v>939</v>
      </c>
      <c r="N568">
        <v>7160</v>
      </c>
      <c r="O568">
        <v>282</v>
      </c>
      <c r="P568">
        <v>0</v>
      </c>
      <c r="Q568">
        <v>0</v>
      </c>
      <c r="R568">
        <v>0</v>
      </c>
      <c r="S568">
        <v>0</v>
      </c>
      <c r="T568">
        <v>0</v>
      </c>
      <c r="U568">
        <v>0</v>
      </c>
      <c r="V568">
        <v>2461.8000000000002</v>
      </c>
      <c r="W568">
        <v>18177</v>
      </c>
      <c r="X568">
        <v>1597</v>
      </c>
      <c r="Y568">
        <f t="shared" si="8"/>
        <v>18177</v>
      </c>
      <c r="Z568" t="str">
        <f>IF(ISNUMBER(SEARCH("Adjustment",$C568)),"excluded",IF($H568="Behind the Meter","excluded",IF(NOT(OR($E568="Bundled",$E568="Energy")),"excluded",IF(OR($H568="Retail Power Marketer",$H568="Community Choice Aggregator",$E568="Energy"),"procurement",IF(OR($H568="Municipal",$H568="Cooperative",$H568="Federal",$H568="State",$H568="Political Subdivision"),"cost_service",IF($H568="Investor Owned",IF(AND(COUNTIF(Parameters!$A$4:$A$33,$G568)&gt;0,COUNTIF(Parameters!$B$4:$B$33,$B568)=0),"procurement","cost_service"),"unclassified"))))))</f>
        <v>cost_service</v>
      </c>
    </row>
    <row r="569" spans="1:26" x14ac:dyDescent="0.25">
      <c r="A569">
        <v>2024</v>
      </c>
      <c r="B569">
        <v>9130</v>
      </c>
      <c r="C569" t="s">
        <v>637</v>
      </c>
      <c r="D569" t="s">
        <v>84</v>
      </c>
      <c r="E569" t="s">
        <v>85</v>
      </c>
      <c r="F569" t="s">
        <v>86</v>
      </c>
      <c r="G569" t="s">
        <v>104</v>
      </c>
      <c r="H569" t="s">
        <v>88</v>
      </c>
      <c r="I569" t="s">
        <v>96</v>
      </c>
      <c r="J569">
        <v>6041</v>
      </c>
      <c r="K569">
        <v>54495</v>
      </c>
      <c r="L569">
        <v>6653</v>
      </c>
      <c r="M569">
        <v>9051</v>
      </c>
      <c r="N569">
        <v>95296</v>
      </c>
      <c r="O569">
        <v>1009</v>
      </c>
      <c r="P569">
        <v>8644</v>
      </c>
      <c r="Q569">
        <v>109141</v>
      </c>
      <c r="R569">
        <v>3</v>
      </c>
      <c r="S569">
        <v>0</v>
      </c>
      <c r="T569">
        <v>0</v>
      </c>
      <c r="U569">
        <v>0</v>
      </c>
      <c r="V569">
        <v>23736</v>
      </c>
      <c r="W569">
        <v>258932</v>
      </c>
      <c r="X569">
        <v>7665</v>
      </c>
      <c r="Y569">
        <f t="shared" si="8"/>
        <v>258932</v>
      </c>
      <c r="Z569" t="str">
        <f>IF(ISNUMBER(SEARCH("Adjustment",$C569)),"excluded",IF($H569="Behind the Meter","excluded",IF(NOT(OR($E569="Bundled",$E569="Energy")),"excluded",IF(OR($H569="Retail Power Marketer",$H569="Community Choice Aggregator",$E569="Energy"),"procurement",IF(OR($H569="Municipal",$H569="Cooperative",$H569="Federal",$H569="State",$H569="Political Subdivision"),"cost_service",IF($H569="Investor Owned",IF(AND(COUNTIF(Parameters!$A$4:$A$33,$G569)&gt;0,COUNTIF(Parameters!$B$4:$B$33,$B569)=0),"procurement","cost_service"),"unclassified"))))))</f>
        <v>cost_service</v>
      </c>
    </row>
    <row r="570" spans="1:26" x14ac:dyDescent="0.25">
      <c r="A570">
        <v>2024</v>
      </c>
      <c r="B570">
        <v>9187</v>
      </c>
      <c r="C570" t="s">
        <v>638</v>
      </c>
      <c r="D570" t="s">
        <v>84</v>
      </c>
      <c r="E570" t="s">
        <v>85</v>
      </c>
      <c r="F570" t="s">
        <v>86</v>
      </c>
      <c r="G570" t="s">
        <v>490</v>
      </c>
      <c r="H570" t="s">
        <v>88</v>
      </c>
      <c r="I570" t="s">
        <v>246</v>
      </c>
      <c r="J570">
        <v>29714.7</v>
      </c>
      <c r="K570">
        <v>321312</v>
      </c>
      <c r="L570">
        <v>28142</v>
      </c>
      <c r="M570">
        <v>28816.3</v>
      </c>
      <c r="N570">
        <v>383763</v>
      </c>
      <c r="O570">
        <v>4634</v>
      </c>
      <c r="P570">
        <v>3420.8</v>
      </c>
      <c r="Q570">
        <v>59060</v>
      </c>
      <c r="R570">
        <v>6</v>
      </c>
      <c r="S570">
        <v>0</v>
      </c>
      <c r="T570">
        <v>0</v>
      </c>
      <c r="U570">
        <v>0</v>
      </c>
      <c r="V570">
        <v>61951.8</v>
      </c>
      <c r="W570">
        <v>764135</v>
      </c>
      <c r="X570">
        <v>32782</v>
      </c>
      <c r="Y570">
        <f t="shared" si="8"/>
        <v>764135</v>
      </c>
      <c r="Z570" t="str">
        <f>IF(ISNUMBER(SEARCH("Adjustment",$C570)),"excluded",IF($H570="Behind the Meter","excluded",IF(NOT(OR($E570="Bundled",$E570="Energy")),"excluded",IF(OR($H570="Retail Power Marketer",$H570="Community Choice Aggregator",$E570="Energy"),"procurement",IF(OR($H570="Municipal",$H570="Cooperative",$H570="Federal",$H570="State",$H570="Political Subdivision"),"cost_service",IF($H570="Investor Owned",IF(AND(COUNTIF(Parameters!$A$4:$A$33,$G570)&gt;0,COUNTIF(Parameters!$B$4:$B$33,$B570)=0),"procurement","cost_service"),"unclassified"))))))</f>
        <v>cost_service</v>
      </c>
    </row>
    <row r="571" spans="1:26" x14ac:dyDescent="0.25">
      <c r="A571">
        <v>2024</v>
      </c>
      <c r="B571">
        <v>9191</v>
      </c>
      <c r="C571" t="s">
        <v>639</v>
      </c>
      <c r="D571" t="s">
        <v>84</v>
      </c>
      <c r="E571" t="s">
        <v>85</v>
      </c>
      <c r="F571" t="s">
        <v>86</v>
      </c>
      <c r="G571" t="s">
        <v>490</v>
      </c>
      <c r="H571" t="s">
        <v>109</v>
      </c>
      <c r="I571" t="s">
        <v>640</v>
      </c>
      <c r="J571">
        <v>679350</v>
      </c>
      <c r="K571">
        <v>5777153</v>
      </c>
      <c r="L571">
        <v>525751</v>
      </c>
      <c r="M571">
        <v>382101.4</v>
      </c>
      <c r="N571">
        <v>4176454</v>
      </c>
      <c r="O571">
        <v>75435</v>
      </c>
      <c r="P571">
        <v>435328.7</v>
      </c>
      <c r="Q571">
        <v>5343487</v>
      </c>
      <c r="R571">
        <v>20187</v>
      </c>
      <c r="S571">
        <v>0</v>
      </c>
      <c r="T571">
        <v>0</v>
      </c>
      <c r="U571">
        <v>0</v>
      </c>
      <c r="V571">
        <v>1496780.1</v>
      </c>
      <c r="W571">
        <v>15297094</v>
      </c>
      <c r="X571">
        <v>621373</v>
      </c>
      <c r="Y571">
        <f t="shared" si="8"/>
        <v>15297094</v>
      </c>
      <c r="Z571" t="str">
        <f>IF(ISNUMBER(SEARCH("Adjustment",$C571)),"excluded",IF($H571="Behind the Meter","excluded",IF(NOT(OR($E571="Bundled",$E571="Energy")),"excluded",IF(OR($H571="Retail Power Marketer",$H571="Community Choice Aggregator",$E571="Energy"),"procurement",IF(OR($H571="Municipal",$H571="Cooperative",$H571="Federal",$H571="State",$H571="Political Subdivision"),"cost_service",IF($H571="Investor Owned",IF(AND(COUNTIF(Parameters!$A$4:$A$33,$G571)&gt;0,COUNTIF(Parameters!$B$4:$B$33,$B571)=0),"procurement","cost_service"),"unclassified"))))))</f>
        <v>cost_service</v>
      </c>
    </row>
    <row r="572" spans="1:26" x14ac:dyDescent="0.25">
      <c r="A572">
        <v>2024</v>
      </c>
      <c r="B572">
        <v>9191</v>
      </c>
      <c r="C572" t="s">
        <v>639</v>
      </c>
      <c r="D572" t="s">
        <v>84</v>
      </c>
      <c r="E572" t="s">
        <v>85</v>
      </c>
      <c r="F572" t="s">
        <v>86</v>
      </c>
      <c r="G572" t="s">
        <v>219</v>
      </c>
      <c r="H572" t="s">
        <v>109</v>
      </c>
      <c r="I572" t="s">
        <v>640</v>
      </c>
      <c r="J572">
        <v>21052</v>
      </c>
      <c r="K572">
        <v>186456</v>
      </c>
      <c r="L572">
        <v>14098</v>
      </c>
      <c r="M572">
        <v>15188.4</v>
      </c>
      <c r="N572">
        <v>155552</v>
      </c>
      <c r="O572">
        <v>3666</v>
      </c>
      <c r="P572">
        <v>28229</v>
      </c>
      <c r="Q572">
        <v>331932</v>
      </c>
      <c r="R572">
        <v>2430</v>
      </c>
      <c r="S572">
        <v>0</v>
      </c>
      <c r="T572">
        <v>0</v>
      </c>
      <c r="U572">
        <v>0</v>
      </c>
      <c r="V572">
        <v>64469.4</v>
      </c>
      <c r="W572">
        <v>673940</v>
      </c>
      <c r="X572">
        <v>20194</v>
      </c>
      <c r="Y572">
        <f t="shared" si="8"/>
        <v>673940</v>
      </c>
      <c r="Z572" t="str">
        <f>IF(ISNUMBER(SEARCH("Adjustment",$C572)),"excluded",IF($H572="Behind the Meter","excluded",IF(NOT(OR($E572="Bundled",$E572="Energy")),"excluded",IF(OR($H572="Retail Power Marketer",$H572="Community Choice Aggregator",$E572="Energy"),"procurement",IF(OR($H572="Municipal",$H572="Cooperative",$H572="Federal",$H572="State",$H572="Political Subdivision"),"cost_service",IF($H572="Investor Owned",IF(AND(COUNTIF(Parameters!$A$4:$A$33,$G572)&gt;0,COUNTIF(Parameters!$B$4:$B$33,$B572)=0),"procurement","cost_service"),"unclassified"))))))</f>
        <v>cost_service</v>
      </c>
    </row>
    <row r="573" spans="1:26" x14ac:dyDescent="0.25">
      <c r="A573">
        <v>2024</v>
      </c>
      <c r="B573">
        <v>9216</v>
      </c>
      <c r="C573" t="s">
        <v>641</v>
      </c>
      <c r="D573" t="s">
        <v>84</v>
      </c>
      <c r="E573" t="s">
        <v>85</v>
      </c>
      <c r="F573" t="s">
        <v>86</v>
      </c>
      <c r="G573" t="s">
        <v>115</v>
      </c>
      <c r="H573" t="s">
        <v>205</v>
      </c>
      <c r="I573" t="s">
        <v>642</v>
      </c>
      <c r="J573">
        <v>353871</v>
      </c>
      <c r="K573">
        <v>1975507</v>
      </c>
      <c r="L573">
        <v>142078</v>
      </c>
      <c r="M573">
        <v>288059</v>
      </c>
      <c r="N573">
        <v>1581503</v>
      </c>
      <c r="O573">
        <v>21915</v>
      </c>
      <c r="P573">
        <v>18371</v>
      </c>
      <c r="Q573">
        <v>88354</v>
      </c>
      <c r="R573">
        <v>809</v>
      </c>
      <c r="S573" t="s">
        <v>97</v>
      </c>
      <c r="T573" t="s">
        <v>97</v>
      </c>
      <c r="U573" t="s">
        <v>97</v>
      </c>
      <c r="V573">
        <v>660301</v>
      </c>
      <c r="W573">
        <v>3645364</v>
      </c>
      <c r="X573">
        <v>164802</v>
      </c>
      <c r="Y573">
        <f t="shared" si="8"/>
        <v>3645364</v>
      </c>
      <c r="Z573" t="str">
        <f>IF(ISNUMBER(SEARCH("Adjustment",$C573)),"excluded",IF($H573="Behind the Meter","excluded",IF(NOT(OR($E573="Bundled",$E573="Energy")),"excluded",IF(OR($H573="Retail Power Marketer",$H573="Community Choice Aggregator",$E573="Energy"),"procurement",IF(OR($H573="Municipal",$H573="Cooperative",$H573="Federal",$H573="State",$H573="Political Subdivision"),"cost_service",IF($H573="Investor Owned",IF(AND(COUNTIF(Parameters!$A$4:$A$33,$G573)&gt;0,COUNTIF(Parameters!$B$4:$B$33,$B573)=0),"procurement","cost_service"),"unclassified"))))))</f>
        <v>cost_service</v>
      </c>
    </row>
    <row r="574" spans="1:26" x14ac:dyDescent="0.25">
      <c r="A574">
        <v>2024</v>
      </c>
      <c r="B574">
        <v>9230</v>
      </c>
      <c r="C574" t="s">
        <v>643</v>
      </c>
      <c r="D574" t="s">
        <v>84</v>
      </c>
      <c r="E574" t="s">
        <v>85</v>
      </c>
      <c r="F574" t="s">
        <v>86</v>
      </c>
      <c r="G574" t="s">
        <v>146</v>
      </c>
      <c r="H574" t="s">
        <v>88</v>
      </c>
      <c r="I574" t="s">
        <v>96</v>
      </c>
      <c r="J574">
        <v>2919.6</v>
      </c>
      <c r="K574">
        <v>21131</v>
      </c>
      <c r="L574">
        <v>2719</v>
      </c>
      <c r="M574">
        <v>3658.5</v>
      </c>
      <c r="N574">
        <v>37089</v>
      </c>
      <c r="O574">
        <v>473</v>
      </c>
      <c r="P574">
        <v>1124.3</v>
      </c>
      <c r="Q574">
        <v>14770</v>
      </c>
      <c r="R574">
        <v>1</v>
      </c>
      <c r="S574">
        <v>0</v>
      </c>
      <c r="T574">
        <v>0</v>
      </c>
      <c r="U574">
        <v>0</v>
      </c>
      <c r="V574">
        <v>7702.4</v>
      </c>
      <c r="W574">
        <v>72990</v>
      </c>
      <c r="X574">
        <v>3193</v>
      </c>
      <c r="Y574">
        <f t="shared" si="8"/>
        <v>72990</v>
      </c>
      <c r="Z574" t="str">
        <f>IF(ISNUMBER(SEARCH("Adjustment",$C574)),"excluded",IF($H574="Behind the Meter","excluded",IF(NOT(OR($E574="Bundled",$E574="Energy")),"excluded",IF(OR($H574="Retail Power Marketer",$H574="Community Choice Aggregator",$E574="Energy"),"procurement",IF(OR($H574="Municipal",$H574="Cooperative",$H574="Federal",$H574="State",$H574="Political Subdivision"),"cost_service",IF($H574="Investor Owned",IF(AND(COUNTIF(Parameters!$A$4:$A$33,$G574)&gt;0,COUNTIF(Parameters!$B$4:$B$33,$B574)=0),"procurement","cost_service"),"unclassified"))))))</f>
        <v>cost_service</v>
      </c>
    </row>
    <row r="575" spans="1:26" x14ac:dyDescent="0.25">
      <c r="A575">
        <v>2024</v>
      </c>
      <c r="B575">
        <v>9231</v>
      </c>
      <c r="C575" t="s">
        <v>644</v>
      </c>
      <c r="D575" t="s">
        <v>84</v>
      </c>
      <c r="E575" t="s">
        <v>85</v>
      </c>
      <c r="F575" t="s">
        <v>86</v>
      </c>
      <c r="G575" t="s">
        <v>226</v>
      </c>
      <c r="H575" t="s">
        <v>88</v>
      </c>
      <c r="I575" t="s">
        <v>135</v>
      </c>
      <c r="J575">
        <v>85546.2</v>
      </c>
      <c r="K575">
        <v>543440</v>
      </c>
      <c r="L575">
        <v>53832</v>
      </c>
      <c r="M575">
        <v>58307.199999999997</v>
      </c>
      <c r="N575">
        <v>389891</v>
      </c>
      <c r="O575">
        <v>4944</v>
      </c>
      <c r="P575">
        <v>6366</v>
      </c>
      <c r="Q575">
        <v>59664</v>
      </c>
      <c r="R575">
        <v>13</v>
      </c>
      <c r="S575">
        <v>0</v>
      </c>
      <c r="T575">
        <v>0</v>
      </c>
      <c r="U575">
        <v>0</v>
      </c>
      <c r="V575">
        <v>150219.4</v>
      </c>
      <c r="W575">
        <v>992995</v>
      </c>
      <c r="X575">
        <v>58789</v>
      </c>
      <c r="Y575">
        <f t="shared" si="8"/>
        <v>992995</v>
      </c>
      <c r="Z575" t="str">
        <f>IF(ISNUMBER(SEARCH("Adjustment",$C575)),"excluded",IF($H575="Behind the Meter","excluded",IF(NOT(OR($E575="Bundled",$E575="Energy")),"excluded",IF(OR($H575="Retail Power Marketer",$H575="Community Choice Aggregator",$E575="Energy"),"procurement",IF(OR($H575="Municipal",$H575="Cooperative",$H575="Federal",$H575="State",$H575="Political Subdivision"),"cost_service",IF($H575="Investor Owned",IF(AND(COUNTIF(Parameters!$A$4:$A$33,$G575)&gt;0,COUNTIF(Parameters!$B$4:$B$33,$B575)=0),"procurement","cost_service"),"unclassified"))))))</f>
        <v>cost_service</v>
      </c>
    </row>
    <row r="576" spans="1:26" x14ac:dyDescent="0.25">
      <c r="A576">
        <v>2024</v>
      </c>
      <c r="B576">
        <v>9246</v>
      </c>
      <c r="C576" t="s">
        <v>645</v>
      </c>
      <c r="D576" t="s">
        <v>84</v>
      </c>
      <c r="E576" t="s">
        <v>85</v>
      </c>
      <c r="F576" t="s">
        <v>86</v>
      </c>
      <c r="G576" t="s">
        <v>136</v>
      </c>
      <c r="H576" t="s">
        <v>91</v>
      </c>
      <c r="I576" t="s">
        <v>135</v>
      </c>
      <c r="J576">
        <v>29143.4</v>
      </c>
      <c r="K576">
        <v>231896</v>
      </c>
      <c r="L576">
        <v>14839</v>
      </c>
      <c r="M576">
        <v>23342.5</v>
      </c>
      <c r="N576">
        <v>216997</v>
      </c>
      <c r="O576">
        <v>5655</v>
      </c>
      <c r="P576">
        <v>12100.6</v>
      </c>
      <c r="Q576">
        <v>176262</v>
      </c>
      <c r="R576">
        <v>11</v>
      </c>
      <c r="S576" t="s">
        <v>97</v>
      </c>
      <c r="T576" t="s">
        <v>97</v>
      </c>
      <c r="U576" t="s">
        <v>97</v>
      </c>
      <c r="V576">
        <v>64586.5</v>
      </c>
      <c r="W576">
        <v>625155</v>
      </c>
      <c r="X576">
        <v>20505</v>
      </c>
      <c r="Y576">
        <f t="shared" si="8"/>
        <v>625155</v>
      </c>
      <c r="Z576" t="str">
        <f>IF(ISNUMBER(SEARCH("Adjustment",$C576)),"excluded",IF($H576="Behind the Meter","excluded",IF(NOT(OR($E576="Bundled",$E576="Energy")),"excluded",IF(OR($H576="Retail Power Marketer",$H576="Community Choice Aggregator",$E576="Energy"),"procurement",IF(OR($H576="Municipal",$H576="Cooperative",$H576="Federal",$H576="State",$H576="Political Subdivision"),"cost_service",IF($H576="Investor Owned",IF(AND(COUNTIF(Parameters!$A$4:$A$33,$G576)&gt;0,COUNTIF(Parameters!$B$4:$B$33,$B576)=0),"procurement","cost_service"),"unclassified"))))))</f>
        <v>cost_service</v>
      </c>
    </row>
    <row r="577" spans="1:26" x14ac:dyDescent="0.25">
      <c r="A577">
        <v>2024</v>
      </c>
      <c r="B577">
        <v>9273</v>
      </c>
      <c r="C577" t="s">
        <v>646</v>
      </c>
      <c r="D577" t="s">
        <v>84</v>
      </c>
      <c r="E577" t="s">
        <v>85</v>
      </c>
      <c r="F577" t="s">
        <v>86</v>
      </c>
      <c r="G577" t="s">
        <v>130</v>
      </c>
      <c r="H577" t="s">
        <v>109</v>
      </c>
      <c r="I577" t="s">
        <v>96</v>
      </c>
      <c r="J577">
        <v>694095.2</v>
      </c>
      <c r="K577">
        <v>5048596</v>
      </c>
      <c r="L577">
        <v>469499</v>
      </c>
      <c r="M577">
        <v>253634.5</v>
      </c>
      <c r="N577">
        <v>1774798</v>
      </c>
      <c r="O577">
        <v>55587</v>
      </c>
      <c r="P577">
        <v>615907.19999999995</v>
      </c>
      <c r="Q577">
        <v>6041240</v>
      </c>
      <c r="R577">
        <v>5716</v>
      </c>
      <c r="S577">
        <v>0</v>
      </c>
      <c r="T577">
        <v>0</v>
      </c>
      <c r="U577" t="s">
        <v>97</v>
      </c>
      <c r="V577">
        <v>1563636.9</v>
      </c>
      <c r="W577">
        <v>12864634</v>
      </c>
      <c r="X577">
        <v>530802</v>
      </c>
      <c r="Y577">
        <f t="shared" si="8"/>
        <v>12864634</v>
      </c>
      <c r="Z577" t="str">
        <f>IF(ISNUMBER(SEARCH("Adjustment",$C577)),"excluded",IF($H577="Behind the Meter","excluded",IF(NOT(OR($E577="Bundled",$E577="Energy")),"excluded",IF(OR($H577="Retail Power Marketer",$H577="Community Choice Aggregator",$E577="Energy"),"procurement",IF(OR($H577="Municipal",$H577="Cooperative",$H577="Federal",$H577="State",$H577="Political Subdivision"),"cost_service",IF($H577="Investor Owned",IF(AND(COUNTIF(Parameters!$A$4:$A$33,$G577)&gt;0,COUNTIF(Parameters!$B$4:$B$33,$B577)=0),"procurement","cost_service"),"unclassified"))))))</f>
        <v>cost_service</v>
      </c>
    </row>
    <row r="578" spans="1:26" x14ac:dyDescent="0.25">
      <c r="A578">
        <v>2024</v>
      </c>
      <c r="B578">
        <v>9292</v>
      </c>
      <c r="C578" t="s">
        <v>647</v>
      </c>
      <c r="D578" t="s">
        <v>84</v>
      </c>
      <c r="E578" t="s">
        <v>85</v>
      </c>
      <c r="F578" t="s">
        <v>86</v>
      </c>
      <c r="G578" t="s">
        <v>209</v>
      </c>
      <c r="H578" t="s">
        <v>91</v>
      </c>
      <c r="I578" t="s">
        <v>92</v>
      </c>
      <c r="J578">
        <v>48126</v>
      </c>
      <c r="K578">
        <v>350346</v>
      </c>
      <c r="L578">
        <v>26655</v>
      </c>
      <c r="M578">
        <v>7421</v>
      </c>
      <c r="N578">
        <v>59906</v>
      </c>
      <c r="O578">
        <v>1352</v>
      </c>
      <c r="P578">
        <v>12989</v>
      </c>
      <c r="Q578">
        <v>173229</v>
      </c>
      <c r="R578">
        <v>10</v>
      </c>
      <c r="S578" t="s">
        <v>97</v>
      </c>
      <c r="T578" t="s">
        <v>97</v>
      </c>
      <c r="U578" t="s">
        <v>97</v>
      </c>
      <c r="V578">
        <v>68536</v>
      </c>
      <c r="W578">
        <v>583481</v>
      </c>
      <c r="X578">
        <v>28017</v>
      </c>
      <c r="Y578">
        <f t="shared" si="8"/>
        <v>583481</v>
      </c>
      <c r="Z578" t="str">
        <f>IF(ISNUMBER(SEARCH("Adjustment",$C578)),"excluded",IF($H578="Behind the Meter","excluded",IF(NOT(OR($E578="Bundled",$E578="Energy")),"excluded",IF(OR($H578="Retail Power Marketer",$H578="Community Choice Aggregator",$E578="Energy"),"procurement",IF(OR($H578="Municipal",$H578="Cooperative",$H578="Federal",$H578="State",$H578="Political Subdivision"),"cost_service",IF($H578="Investor Owned",IF(AND(COUNTIF(Parameters!$A$4:$A$33,$G578)&gt;0,COUNTIF(Parameters!$B$4:$B$33,$B578)=0),"procurement","cost_service"),"unclassified"))))))</f>
        <v>cost_service</v>
      </c>
    </row>
    <row r="579" spans="1:26" x14ac:dyDescent="0.25">
      <c r="A579">
        <v>2024</v>
      </c>
      <c r="B579">
        <v>9324</v>
      </c>
      <c r="C579" t="s">
        <v>648</v>
      </c>
      <c r="D579" t="s">
        <v>84</v>
      </c>
      <c r="E579" t="s">
        <v>85</v>
      </c>
      <c r="F579" t="s">
        <v>86</v>
      </c>
      <c r="G579" t="s">
        <v>130</v>
      </c>
      <c r="H579" t="s">
        <v>109</v>
      </c>
      <c r="I579" t="s">
        <v>92</v>
      </c>
      <c r="J579">
        <v>683413.4</v>
      </c>
      <c r="K579">
        <v>4191016</v>
      </c>
      <c r="L579">
        <v>422062</v>
      </c>
      <c r="M579">
        <v>508594.8</v>
      </c>
      <c r="N579">
        <v>4274678</v>
      </c>
      <c r="O579">
        <v>56229</v>
      </c>
      <c r="P579">
        <v>551230.30000000005</v>
      </c>
      <c r="Q579">
        <v>6532162</v>
      </c>
      <c r="R579">
        <v>3992</v>
      </c>
      <c r="S579">
        <v>0</v>
      </c>
      <c r="T579">
        <v>0</v>
      </c>
      <c r="U579">
        <v>0</v>
      </c>
      <c r="V579">
        <v>1743238.5</v>
      </c>
      <c r="W579">
        <v>14997856</v>
      </c>
      <c r="X579">
        <v>482283</v>
      </c>
      <c r="Y579">
        <f t="shared" si="8"/>
        <v>14997856</v>
      </c>
      <c r="Z579" t="str">
        <f>IF(ISNUMBER(SEARCH("Adjustment",$C579)),"excluded",IF($H579="Behind the Meter","excluded",IF(NOT(OR($E579="Bundled",$E579="Energy")),"excluded",IF(OR($H579="Retail Power Marketer",$H579="Community Choice Aggregator",$E579="Energy"),"procurement",IF(OR($H579="Municipal",$H579="Cooperative",$H579="Federal",$H579="State",$H579="Political Subdivision"),"cost_service",IF($H579="Investor Owned",IF(AND(COUNTIF(Parameters!$A$4:$A$33,$G579)&gt;0,COUNTIF(Parameters!$B$4:$B$33,$B579)=0),"procurement","cost_service"),"unclassified"))))))</f>
        <v>cost_service</v>
      </c>
    </row>
    <row r="580" spans="1:26" x14ac:dyDescent="0.25">
      <c r="A580">
        <v>2024</v>
      </c>
      <c r="B580">
        <v>9324</v>
      </c>
      <c r="C580" t="s">
        <v>648</v>
      </c>
      <c r="D580" t="s">
        <v>84</v>
      </c>
      <c r="E580" t="s">
        <v>85</v>
      </c>
      <c r="F580" t="s">
        <v>86</v>
      </c>
      <c r="G580" t="s">
        <v>140</v>
      </c>
      <c r="H580" t="s">
        <v>109</v>
      </c>
      <c r="I580" t="s">
        <v>92</v>
      </c>
      <c r="J580">
        <v>188749.7</v>
      </c>
      <c r="K580">
        <v>1109966</v>
      </c>
      <c r="L580">
        <v>112600</v>
      </c>
      <c r="M580">
        <v>118962.8</v>
      </c>
      <c r="N580">
        <v>979208</v>
      </c>
      <c r="O580">
        <v>18879</v>
      </c>
      <c r="P580">
        <v>62424</v>
      </c>
      <c r="Q580">
        <v>537045</v>
      </c>
      <c r="R580">
        <v>743</v>
      </c>
      <c r="S580">
        <v>0</v>
      </c>
      <c r="T580">
        <v>0</v>
      </c>
      <c r="U580">
        <v>0</v>
      </c>
      <c r="V580">
        <v>370136.5</v>
      </c>
      <c r="W580">
        <v>2626219</v>
      </c>
      <c r="X580">
        <v>132222</v>
      </c>
      <c r="Y580">
        <f t="shared" ref="Y580:Y643" si="9">IF(ISNUMBER($W580),$W580,0)</f>
        <v>2626219</v>
      </c>
      <c r="Z580" t="str">
        <f>IF(ISNUMBER(SEARCH("Adjustment",$C580)),"excluded",IF($H580="Behind the Meter","excluded",IF(NOT(OR($E580="Bundled",$E580="Energy")),"excluded",IF(OR($H580="Retail Power Marketer",$H580="Community Choice Aggregator",$E580="Energy"),"procurement",IF(OR($H580="Municipal",$H580="Cooperative",$H580="Federal",$H580="State",$H580="Political Subdivision"),"cost_service",IF($H580="Investor Owned",IF(AND(COUNTIF(Parameters!$A$4:$A$33,$G580)&gt;0,COUNTIF(Parameters!$B$4:$B$33,$B580)=0),"procurement","cost_service"),"unclassified"))))))</f>
        <v>cost_service</v>
      </c>
    </row>
    <row r="581" spans="1:26" x14ac:dyDescent="0.25">
      <c r="A581">
        <v>2024</v>
      </c>
      <c r="B581">
        <v>9324</v>
      </c>
      <c r="C581" t="s">
        <v>648</v>
      </c>
      <c r="D581" t="s">
        <v>167</v>
      </c>
      <c r="E581" t="s">
        <v>168</v>
      </c>
      <c r="F581" t="s">
        <v>86</v>
      </c>
      <c r="G581" t="s">
        <v>140</v>
      </c>
      <c r="H581" t="s">
        <v>109</v>
      </c>
      <c r="I581" t="s">
        <v>92</v>
      </c>
      <c r="J581" t="s">
        <v>97</v>
      </c>
      <c r="K581" t="s">
        <v>97</v>
      </c>
      <c r="L581" t="s">
        <v>97</v>
      </c>
      <c r="M581">
        <v>1231.5999999999999</v>
      </c>
      <c r="N581">
        <v>67788</v>
      </c>
      <c r="O581">
        <v>31</v>
      </c>
      <c r="P581">
        <v>1972.6</v>
      </c>
      <c r="Q581">
        <v>228352</v>
      </c>
      <c r="R581">
        <v>20</v>
      </c>
      <c r="S581" t="s">
        <v>97</v>
      </c>
      <c r="T581" t="s">
        <v>97</v>
      </c>
      <c r="U581" t="s">
        <v>97</v>
      </c>
      <c r="V581">
        <v>3204.2</v>
      </c>
      <c r="W581">
        <v>296140</v>
      </c>
      <c r="X581">
        <v>51</v>
      </c>
      <c r="Y581">
        <f t="shared" si="9"/>
        <v>296140</v>
      </c>
      <c r="Z581" t="str">
        <f>IF(ISNUMBER(SEARCH("Adjustment",$C581)),"excluded",IF($H581="Behind the Meter","excluded",IF(NOT(OR($E581="Bundled",$E581="Energy")),"excluded",IF(OR($H581="Retail Power Marketer",$H581="Community Choice Aggregator",$E581="Energy"),"procurement",IF(OR($H581="Municipal",$H581="Cooperative",$H581="Federal",$H581="State",$H581="Political Subdivision"),"cost_service",IF($H581="Investor Owned",IF(AND(COUNTIF(Parameters!$A$4:$A$33,$G581)&gt;0,COUNTIF(Parameters!$B$4:$B$33,$B581)=0),"procurement","cost_service"),"unclassified"))))))</f>
        <v>excluded</v>
      </c>
    </row>
    <row r="582" spans="1:26" x14ac:dyDescent="0.25">
      <c r="A582">
        <v>2024</v>
      </c>
      <c r="B582">
        <v>9331</v>
      </c>
      <c r="C582" t="s">
        <v>649</v>
      </c>
      <c r="D582" t="s">
        <v>84</v>
      </c>
      <c r="E582" t="s">
        <v>85</v>
      </c>
      <c r="F582" t="s">
        <v>86</v>
      </c>
      <c r="G582" t="s">
        <v>226</v>
      </c>
      <c r="H582" t="s">
        <v>91</v>
      </c>
      <c r="I582" t="s">
        <v>227</v>
      </c>
      <c r="J582">
        <v>55773</v>
      </c>
      <c r="K582">
        <v>428730</v>
      </c>
      <c r="L582">
        <v>29956</v>
      </c>
      <c r="M582">
        <v>7153</v>
      </c>
      <c r="N582">
        <v>69384</v>
      </c>
      <c r="O582">
        <v>2061</v>
      </c>
      <c r="P582">
        <v>3100</v>
      </c>
      <c r="Q582">
        <v>45130</v>
      </c>
      <c r="R582">
        <v>14</v>
      </c>
      <c r="S582" t="s">
        <v>97</v>
      </c>
      <c r="T582" t="s">
        <v>97</v>
      </c>
      <c r="U582" t="s">
        <v>97</v>
      </c>
      <c r="V582">
        <v>66026</v>
      </c>
      <c r="W582">
        <v>543244</v>
      </c>
      <c r="X582">
        <v>32031</v>
      </c>
      <c r="Y582">
        <f t="shared" si="9"/>
        <v>543244</v>
      </c>
      <c r="Z582" t="str">
        <f>IF(ISNUMBER(SEARCH("Adjustment",$C582)),"excluded",IF($H582="Behind the Meter","excluded",IF(NOT(OR($E582="Bundled",$E582="Energy")),"excluded",IF(OR($H582="Retail Power Marketer",$H582="Community Choice Aggregator",$E582="Energy"),"procurement",IF(OR($H582="Municipal",$H582="Cooperative",$H582="Federal",$H582="State",$H582="Political Subdivision"),"cost_service",IF($H582="Investor Owned",IF(AND(COUNTIF(Parameters!$A$4:$A$33,$G582)&gt;0,COUNTIF(Parameters!$B$4:$B$33,$B582)=0),"procurement","cost_service"),"unclassified"))))))</f>
        <v>cost_service</v>
      </c>
    </row>
    <row r="583" spans="1:26" x14ac:dyDescent="0.25">
      <c r="A583">
        <v>2024</v>
      </c>
      <c r="B583">
        <v>9336</v>
      </c>
      <c r="C583" t="s">
        <v>650</v>
      </c>
      <c r="D583" t="s">
        <v>84</v>
      </c>
      <c r="E583" t="s">
        <v>85</v>
      </c>
      <c r="F583" t="s">
        <v>86</v>
      </c>
      <c r="G583" t="s">
        <v>361</v>
      </c>
      <c r="H583" t="s">
        <v>91</v>
      </c>
      <c r="I583" t="s">
        <v>523</v>
      </c>
      <c r="J583">
        <v>257358</v>
      </c>
      <c r="K583">
        <v>1710656</v>
      </c>
      <c r="L583">
        <v>165067</v>
      </c>
      <c r="M583">
        <v>105069.1</v>
      </c>
      <c r="N583">
        <v>856370</v>
      </c>
      <c r="O583">
        <v>15744</v>
      </c>
      <c r="P583">
        <v>6057</v>
      </c>
      <c r="Q583">
        <v>64652</v>
      </c>
      <c r="R583">
        <v>12</v>
      </c>
      <c r="S583" t="s">
        <v>97</v>
      </c>
      <c r="T583" t="s">
        <v>97</v>
      </c>
      <c r="U583" t="s">
        <v>97</v>
      </c>
      <c r="V583">
        <v>368484.1</v>
      </c>
      <c r="W583">
        <v>2631678</v>
      </c>
      <c r="X583">
        <v>180823</v>
      </c>
      <c r="Y583">
        <f t="shared" si="9"/>
        <v>2631678</v>
      </c>
      <c r="Z583" t="str">
        <f>IF(ISNUMBER(SEARCH("Adjustment",$C583)),"excluded",IF($H583="Behind the Meter","excluded",IF(NOT(OR($E583="Bundled",$E583="Energy")),"excluded",IF(OR($H583="Retail Power Marketer",$H583="Community Choice Aggregator",$E583="Energy"),"procurement",IF(OR($H583="Municipal",$H583="Cooperative",$H583="Federal",$H583="State",$H583="Political Subdivision"),"cost_service",IF($H583="Investor Owned",IF(AND(COUNTIF(Parameters!$A$4:$A$33,$G583)&gt;0,COUNTIF(Parameters!$B$4:$B$33,$B583)=0),"procurement","cost_service"),"unclassified"))))))</f>
        <v>cost_service</v>
      </c>
    </row>
    <row r="584" spans="1:26" x14ac:dyDescent="0.25">
      <c r="A584">
        <v>2024</v>
      </c>
      <c r="B584">
        <v>9417</v>
      </c>
      <c r="C584" t="s">
        <v>651</v>
      </c>
      <c r="D584" t="s">
        <v>84</v>
      </c>
      <c r="E584" t="s">
        <v>85</v>
      </c>
      <c r="F584" t="s">
        <v>86</v>
      </c>
      <c r="G584" t="s">
        <v>146</v>
      </c>
      <c r="H584" t="s">
        <v>109</v>
      </c>
      <c r="I584" t="s">
        <v>96</v>
      </c>
      <c r="J584">
        <v>639738</v>
      </c>
      <c r="K584">
        <v>3573253</v>
      </c>
      <c r="L584">
        <v>417153</v>
      </c>
      <c r="M584">
        <v>537537</v>
      </c>
      <c r="N584">
        <v>4005972</v>
      </c>
      <c r="O584">
        <v>85663</v>
      </c>
      <c r="P584">
        <v>497215</v>
      </c>
      <c r="Q584">
        <v>6072390</v>
      </c>
      <c r="R584">
        <v>1330</v>
      </c>
      <c r="S584" t="s">
        <v>97</v>
      </c>
      <c r="T584" t="s">
        <v>97</v>
      </c>
      <c r="U584" t="s">
        <v>97</v>
      </c>
      <c r="V584">
        <v>1674490</v>
      </c>
      <c r="W584">
        <v>13651615</v>
      </c>
      <c r="X584">
        <v>504146</v>
      </c>
      <c r="Y584">
        <f t="shared" si="9"/>
        <v>13651615</v>
      </c>
      <c r="Z584" t="str">
        <f>IF(ISNUMBER(SEARCH("Adjustment",$C584)),"excluded",IF($H584="Behind the Meter","excluded",IF(NOT(OR($E584="Bundled",$E584="Energy")),"excluded",IF(OR($H584="Retail Power Marketer",$H584="Community Choice Aggregator",$E584="Energy"),"procurement",IF(OR($H584="Municipal",$H584="Cooperative",$H584="Federal",$H584="State",$H584="Political Subdivision"),"cost_service",IF($H584="Investor Owned",IF(AND(COUNTIF(Parameters!$A$4:$A$33,$G584)&gt;0,COUNTIF(Parameters!$B$4:$B$33,$B584)=0),"procurement","cost_service"),"unclassified"))))))</f>
        <v>cost_service</v>
      </c>
    </row>
    <row r="585" spans="1:26" x14ac:dyDescent="0.25">
      <c r="A585">
        <v>2024</v>
      </c>
      <c r="B585">
        <v>9425</v>
      </c>
      <c r="C585" t="s">
        <v>652</v>
      </c>
      <c r="D585" t="s">
        <v>84</v>
      </c>
      <c r="E585" t="s">
        <v>85</v>
      </c>
      <c r="F585" t="s">
        <v>86</v>
      </c>
      <c r="G585" t="s">
        <v>146</v>
      </c>
      <c r="H585" t="s">
        <v>91</v>
      </c>
      <c r="I585" t="s">
        <v>135</v>
      </c>
      <c r="J585">
        <v>23197.5</v>
      </c>
      <c r="K585">
        <v>168339</v>
      </c>
      <c r="L585">
        <v>9714</v>
      </c>
      <c r="M585">
        <v>15380.4</v>
      </c>
      <c r="N585">
        <v>130665</v>
      </c>
      <c r="O585">
        <v>3414</v>
      </c>
      <c r="P585">
        <v>23016.6</v>
      </c>
      <c r="Q585">
        <v>302707</v>
      </c>
      <c r="R585">
        <v>78</v>
      </c>
      <c r="S585" t="s">
        <v>97</v>
      </c>
      <c r="T585" t="s">
        <v>97</v>
      </c>
      <c r="U585" t="s">
        <v>97</v>
      </c>
      <c r="V585">
        <v>61594.5</v>
      </c>
      <c r="W585">
        <v>601711</v>
      </c>
      <c r="X585">
        <v>13206</v>
      </c>
      <c r="Y585">
        <f t="shared" si="9"/>
        <v>601711</v>
      </c>
      <c r="Z585" t="str">
        <f>IF(ISNUMBER(SEARCH("Adjustment",$C585)),"excluded",IF($H585="Behind the Meter","excluded",IF(NOT(OR($E585="Bundled",$E585="Energy")),"excluded",IF(OR($H585="Retail Power Marketer",$H585="Community Choice Aggregator",$E585="Energy"),"procurement",IF(OR($H585="Municipal",$H585="Cooperative",$H585="Federal",$H585="State",$H585="Political Subdivision"),"cost_service",IF($H585="Investor Owned",IF(AND(COUNTIF(Parameters!$A$4:$A$33,$G585)&gt;0,COUNTIF(Parameters!$B$4:$B$33,$B585)=0),"procurement","cost_service"),"unclassified"))))))</f>
        <v>cost_service</v>
      </c>
    </row>
    <row r="586" spans="1:26" x14ac:dyDescent="0.25">
      <c r="A586">
        <v>2024</v>
      </c>
      <c r="B586">
        <v>9475</v>
      </c>
      <c r="C586" t="s">
        <v>653</v>
      </c>
      <c r="D586" t="s">
        <v>84</v>
      </c>
      <c r="E586" t="s">
        <v>85</v>
      </c>
      <c r="F586" t="s">
        <v>86</v>
      </c>
      <c r="G586" t="s">
        <v>104</v>
      </c>
      <c r="H586" t="s">
        <v>91</v>
      </c>
      <c r="I586" t="s">
        <v>96</v>
      </c>
      <c r="J586">
        <v>16406.599999999999</v>
      </c>
      <c r="K586">
        <v>122108</v>
      </c>
      <c r="L586">
        <v>11200</v>
      </c>
      <c r="M586">
        <v>2573.9</v>
      </c>
      <c r="N586">
        <v>20292</v>
      </c>
      <c r="O586">
        <v>1075</v>
      </c>
      <c r="P586">
        <v>12879.2</v>
      </c>
      <c r="Q586">
        <v>141366</v>
      </c>
      <c r="R586">
        <v>406</v>
      </c>
      <c r="S586" t="s">
        <v>97</v>
      </c>
      <c r="T586" t="s">
        <v>97</v>
      </c>
      <c r="U586" t="s">
        <v>97</v>
      </c>
      <c r="V586">
        <v>31859.7</v>
      </c>
      <c r="W586">
        <v>283766</v>
      </c>
      <c r="X586">
        <v>12681</v>
      </c>
      <c r="Y586">
        <f t="shared" si="9"/>
        <v>283766</v>
      </c>
      <c r="Z586" t="str">
        <f>IF(ISNUMBER(SEARCH("Adjustment",$C586)),"excluded",IF($H586="Behind the Meter","excluded",IF(NOT(OR($E586="Bundled",$E586="Energy")),"excluded",IF(OR($H586="Retail Power Marketer",$H586="Community Choice Aggregator",$E586="Energy"),"procurement",IF(OR($H586="Municipal",$H586="Cooperative",$H586="Federal",$H586="State",$H586="Political Subdivision"),"cost_service",IF($H586="Investor Owned",IF(AND(COUNTIF(Parameters!$A$4:$A$33,$G586)&gt;0,COUNTIF(Parameters!$B$4:$B$33,$B586)=0),"procurement","cost_service"),"unclassified"))))))</f>
        <v>cost_service</v>
      </c>
    </row>
    <row r="587" spans="1:26" x14ac:dyDescent="0.25">
      <c r="A587">
        <v>2024</v>
      </c>
      <c r="B587">
        <v>9575</v>
      </c>
      <c r="C587" t="s">
        <v>654</v>
      </c>
      <c r="D587" t="s">
        <v>84</v>
      </c>
      <c r="E587" t="s">
        <v>85</v>
      </c>
      <c r="F587" t="s">
        <v>86</v>
      </c>
      <c r="G587" t="s">
        <v>209</v>
      </c>
      <c r="H587" t="s">
        <v>91</v>
      </c>
      <c r="I587" t="s">
        <v>92</v>
      </c>
      <c r="J587">
        <v>90862.399999999994</v>
      </c>
      <c r="K587">
        <v>665206</v>
      </c>
      <c r="L587">
        <v>49423</v>
      </c>
      <c r="M587">
        <v>17008.400000000001</v>
      </c>
      <c r="N587">
        <v>139293</v>
      </c>
      <c r="O587">
        <v>3857</v>
      </c>
      <c r="P587">
        <v>15325.1</v>
      </c>
      <c r="Q587">
        <v>189286</v>
      </c>
      <c r="R587">
        <v>15</v>
      </c>
      <c r="S587" t="s">
        <v>97</v>
      </c>
      <c r="T587" t="s">
        <v>97</v>
      </c>
      <c r="U587" t="s">
        <v>97</v>
      </c>
      <c r="V587">
        <v>123195.9</v>
      </c>
      <c r="W587">
        <v>993785</v>
      </c>
      <c r="X587">
        <v>53295</v>
      </c>
      <c r="Y587">
        <f t="shared" si="9"/>
        <v>993785</v>
      </c>
      <c r="Z587" t="str">
        <f>IF(ISNUMBER(SEARCH("Adjustment",$C587)),"excluded",IF($H587="Behind the Meter","excluded",IF(NOT(OR($E587="Bundled",$E587="Energy")),"excluded",IF(OR($H587="Retail Power Marketer",$H587="Community Choice Aggregator",$E587="Energy"),"procurement",IF(OR($H587="Municipal",$H587="Cooperative",$H587="Federal",$H587="State",$H587="Political Subdivision"),"cost_service",IF($H587="Investor Owned",IF(AND(COUNTIF(Parameters!$A$4:$A$33,$G587)&gt;0,COUNTIF(Parameters!$B$4:$B$33,$B587)=0),"procurement","cost_service"),"unclassified"))))))</f>
        <v>cost_service</v>
      </c>
    </row>
    <row r="588" spans="1:26" x14ac:dyDescent="0.25">
      <c r="A588">
        <v>2024</v>
      </c>
      <c r="B588">
        <v>9576</v>
      </c>
      <c r="C588" t="s">
        <v>655</v>
      </c>
      <c r="D588" t="s">
        <v>84</v>
      </c>
      <c r="E588" t="s">
        <v>85</v>
      </c>
      <c r="F588" t="s">
        <v>86</v>
      </c>
      <c r="G588" t="s">
        <v>130</v>
      </c>
      <c r="H588" t="s">
        <v>91</v>
      </c>
      <c r="I588" t="s">
        <v>96</v>
      </c>
      <c r="J588">
        <v>55727</v>
      </c>
      <c r="K588">
        <v>363693</v>
      </c>
      <c r="L588">
        <v>24215</v>
      </c>
      <c r="M588">
        <v>6687</v>
      </c>
      <c r="N588">
        <v>50263</v>
      </c>
      <c r="O588">
        <v>1160</v>
      </c>
      <c r="P588">
        <v>4609</v>
      </c>
      <c r="Q588">
        <v>43890</v>
      </c>
      <c r="R588">
        <v>24</v>
      </c>
      <c r="S588" t="s">
        <v>97</v>
      </c>
      <c r="T588" t="s">
        <v>97</v>
      </c>
      <c r="U588" t="s">
        <v>97</v>
      </c>
      <c r="V588">
        <v>67023</v>
      </c>
      <c r="W588">
        <v>457846</v>
      </c>
      <c r="X588">
        <v>25399</v>
      </c>
      <c r="Y588">
        <f t="shared" si="9"/>
        <v>457846</v>
      </c>
      <c r="Z588" t="str">
        <f>IF(ISNUMBER(SEARCH("Adjustment",$C588)),"excluded",IF($H588="Behind the Meter","excluded",IF(NOT(OR($E588="Bundled",$E588="Energy")),"excluded",IF(OR($H588="Retail Power Marketer",$H588="Community Choice Aggregator",$E588="Energy"),"procurement",IF(OR($H588="Municipal",$H588="Cooperative",$H588="Federal",$H588="State",$H588="Political Subdivision"),"cost_service",IF($H588="Investor Owned",IF(AND(COUNTIF(Parameters!$A$4:$A$33,$G588)&gt;0,COUNTIF(Parameters!$B$4:$B$33,$B588)=0),"procurement","cost_service"),"unclassified"))))))</f>
        <v>cost_service</v>
      </c>
    </row>
    <row r="589" spans="1:26" x14ac:dyDescent="0.25">
      <c r="A589">
        <v>2024</v>
      </c>
      <c r="B589">
        <v>9590</v>
      </c>
      <c r="C589" t="s">
        <v>656</v>
      </c>
      <c r="D589" t="s">
        <v>84</v>
      </c>
      <c r="E589" t="s">
        <v>85</v>
      </c>
      <c r="F589" t="s">
        <v>86</v>
      </c>
      <c r="G589" t="s">
        <v>57</v>
      </c>
      <c r="H589" t="s">
        <v>91</v>
      </c>
      <c r="I589" t="s">
        <v>151</v>
      </c>
      <c r="J589">
        <v>22826</v>
      </c>
      <c r="K589">
        <v>170123</v>
      </c>
      <c r="L589">
        <v>15620</v>
      </c>
      <c r="M589">
        <v>5752</v>
      </c>
      <c r="N589">
        <v>47660</v>
      </c>
      <c r="O589">
        <v>1722</v>
      </c>
      <c r="P589">
        <v>46174</v>
      </c>
      <c r="Q589">
        <v>764116</v>
      </c>
      <c r="R589">
        <v>60</v>
      </c>
      <c r="S589" t="s">
        <v>97</v>
      </c>
      <c r="T589" t="s">
        <v>97</v>
      </c>
      <c r="U589" t="s">
        <v>97</v>
      </c>
      <c r="V589">
        <v>74752</v>
      </c>
      <c r="W589">
        <v>981899</v>
      </c>
      <c r="X589">
        <v>17402</v>
      </c>
      <c r="Y589">
        <f t="shared" si="9"/>
        <v>981899</v>
      </c>
      <c r="Z589" t="str">
        <f>IF(ISNUMBER(SEARCH("Adjustment",$C589)),"excluded",IF($H589="Behind the Meter","excluded",IF(NOT(OR($E589="Bundled",$E589="Energy")),"excluded",IF(OR($H589="Retail Power Marketer",$H589="Community Choice Aggregator",$E589="Energy"),"procurement",IF(OR($H589="Municipal",$H589="Cooperative",$H589="Federal",$H589="State",$H589="Political Subdivision"),"cost_service",IF($H589="Investor Owned",IF(AND(COUNTIF(Parameters!$A$4:$A$33,$G589)&gt;0,COUNTIF(Parameters!$B$4:$B$33,$B589)=0),"procurement","cost_service"),"unclassified"))))))</f>
        <v>cost_service</v>
      </c>
    </row>
    <row r="590" spans="1:26" x14ac:dyDescent="0.25">
      <c r="A590">
        <v>2024</v>
      </c>
      <c r="B590">
        <v>9601</v>
      </c>
      <c r="C590" t="s">
        <v>657</v>
      </c>
      <c r="D590" t="s">
        <v>84</v>
      </c>
      <c r="E590" t="s">
        <v>85</v>
      </c>
      <c r="F590" t="s">
        <v>86</v>
      </c>
      <c r="G590" t="s">
        <v>123</v>
      </c>
      <c r="H590" t="s">
        <v>91</v>
      </c>
      <c r="I590" t="s">
        <v>113</v>
      </c>
      <c r="J590">
        <v>395695.3</v>
      </c>
      <c r="K590">
        <v>3476293</v>
      </c>
      <c r="L590">
        <v>239558</v>
      </c>
      <c r="M590">
        <v>186681</v>
      </c>
      <c r="N590">
        <v>1645493</v>
      </c>
      <c r="O590">
        <v>22797</v>
      </c>
      <c r="P590">
        <v>60589.1</v>
      </c>
      <c r="Q590">
        <v>841910</v>
      </c>
      <c r="R590">
        <v>274</v>
      </c>
      <c r="S590">
        <v>0</v>
      </c>
      <c r="T590">
        <v>0</v>
      </c>
      <c r="U590">
        <v>0</v>
      </c>
      <c r="V590">
        <v>642965.4</v>
      </c>
      <c r="W590">
        <v>5963696</v>
      </c>
      <c r="X590">
        <v>262629</v>
      </c>
      <c r="Y590">
        <f t="shared" si="9"/>
        <v>5963696</v>
      </c>
      <c r="Z590" t="str">
        <f>IF(ISNUMBER(SEARCH("Adjustment",$C590)),"excluded",IF($H590="Behind the Meter","excluded",IF(NOT(OR($E590="Bundled",$E590="Energy")),"excluded",IF(OR($H590="Retail Power Marketer",$H590="Community Choice Aggregator",$E590="Energy"),"procurement",IF(OR($H590="Municipal",$H590="Cooperative",$H590="Federal",$H590="State",$H590="Political Subdivision"),"cost_service",IF($H590="Investor Owned",IF(AND(COUNTIF(Parameters!$A$4:$A$33,$G590)&gt;0,COUNTIF(Parameters!$B$4:$B$33,$B590)=0),"procurement","cost_service"),"unclassified"))))))</f>
        <v>cost_service</v>
      </c>
    </row>
    <row r="591" spans="1:26" x14ac:dyDescent="0.25">
      <c r="A591">
        <v>2024</v>
      </c>
      <c r="B591">
        <v>9605</v>
      </c>
      <c r="C591" t="s">
        <v>658</v>
      </c>
      <c r="D591" t="s">
        <v>84</v>
      </c>
      <c r="E591" t="s">
        <v>85</v>
      </c>
      <c r="F591" t="s">
        <v>86</v>
      </c>
      <c r="G591" t="s">
        <v>209</v>
      </c>
      <c r="H591" t="s">
        <v>91</v>
      </c>
      <c r="I591" t="s">
        <v>96</v>
      </c>
      <c r="J591">
        <v>53021.5</v>
      </c>
      <c r="K591">
        <v>338928</v>
      </c>
      <c r="L591">
        <v>23979</v>
      </c>
      <c r="M591">
        <v>37798.199999999997</v>
      </c>
      <c r="N591">
        <v>471428</v>
      </c>
      <c r="O591">
        <v>6722</v>
      </c>
      <c r="P591">
        <v>5034.1000000000004</v>
      </c>
      <c r="Q591">
        <v>43136</v>
      </c>
      <c r="R591">
        <v>7</v>
      </c>
      <c r="S591" t="s">
        <v>97</v>
      </c>
      <c r="T591" t="s">
        <v>97</v>
      </c>
      <c r="U591" t="s">
        <v>97</v>
      </c>
      <c r="V591">
        <v>95853.8</v>
      </c>
      <c r="W591">
        <v>853492</v>
      </c>
      <c r="X591">
        <v>30708</v>
      </c>
      <c r="Y591">
        <f t="shared" si="9"/>
        <v>853492</v>
      </c>
      <c r="Z591" t="str">
        <f>IF(ISNUMBER(SEARCH("Adjustment",$C591)),"excluded",IF($H591="Behind the Meter","excluded",IF(NOT(OR($E591="Bundled",$E591="Energy")),"excluded",IF(OR($H591="Retail Power Marketer",$H591="Community Choice Aggregator",$E591="Energy"),"procurement",IF(OR($H591="Municipal",$H591="Cooperative",$H591="Federal",$H591="State",$H591="Political Subdivision"),"cost_service",IF($H591="Investor Owned",IF(AND(COUNTIF(Parameters!$A$4:$A$33,$G591)&gt;0,COUNTIF(Parameters!$B$4:$B$33,$B591)=0),"procurement","cost_service"),"unclassified"))))))</f>
        <v>cost_service</v>
      </c>
    </row>
    <row r="592" spans="1:26" x14ac:dyDescent="0.25">
      <c r="A592">
        <v>2024</v>
      </c>
      <c r="B592">
        <v>9612</v>
      </c>
      <c r="C592" t="s">
        <v>659</v>
      </c>
      <c r="D592" t="s">
        <v>84</v>
      </c>
      <c r="E592" t="s">
        <v>85</v>
      </c>
      <c r="F592" t="s">
        <v>86</v>
      </c>
      <c r="G592" t="s">
        <v>156</v>
      </c>
      <c r="H592" t="s">
        <v>88</v>
      </c>
      <c r="I592" t="s">
        <v>89</v>
      </c>
      <c r="J592">
        <v>48852</v>
      </c>
      <c r="K592">
        <v>408065</v>
      </c>
      <c r="L592">
        <v>31856</v>
      </c>
      <c r="M592">
        <v>63373</v>
      </c>
      <c r="N592">
        <v>547092</v>
      </c>
      <c r="O592">
        <v>6829</v>
      </c>
      <c r="P592">
        <v>43265</v>
      </c>
      <c r="Q592">
        <v>691744</v>
      </c>
      <c r="R592">
        <v>34</v>
      </c>
      <c r="S592">
        <v>0</v>
      </c>
      <c r="T592">
        <v>0</v>
      </c>
      <c r="U592">
        <v>0</v>
      </c>
      <c r="V592">
        <v>155490</v>
      </c>
      <c r="W592">
        <v>1646901</v>
      </c>
      <c r="X592">
        <v>38719</v>
      </c>
      <c r="Y592">
        <f t="shared" si="9"/>
        <v>1646901</v>
      </c>
      <c r="Z592" t="str">
        <f>IF(ISNUMBER(SEARCH("Adjustment",$C592)),"excluded",IF($H592="Behind the Meter","excluded",IF(NOT(OR($E592="Bundled",$E592="Energy")),"excluded",IF(OR($H592="Retail Power Marketer",$H592="Community Choice Aggregator",$E592="Energy"),"procurement",IF(OR($H592="Municipal",$H592="Cooperative",$H592="Federal",$H592="State",$H592="Political Subdivision"),"cost_service",IF($H592="Investor Owned",IF(AND(COUNTIF(Parameters!$A$4:$A$33,$G592)&gt;0,COUNTIF(Parameters!$B$4:$B$33,$B592)=0),"procurement","cost_service"),"unclassified"))))))</f>
        <v>cost_service</v>
      </c>
    </row>
    <row r="593" spans="1:26" x14ac:dyDescent="0.25">
      <c r="A593">
        <v>2024</v>
      </c>
      <c r="B593">
        <v>9613</v>
      </c>
      <c r="C593" t="s">
        <v>660</v>
      </c>
      <c r="D593" t="s">
        <v>84</v>
      </c>
      <c r="E593" t="s">
        <v>85</v>
      </c>
      <c r="F593" t="s">
        <v>86</v>
      </c>
      <c r="G593" t="s">
        <v>130</v>
      </c>
      <c r="H593" t="s">
        <v>88</v>
      </c>
      <c r="I593" t="s">
        <v>96</v>
      </c>
      <c r="J593">
        <v>9591.2000000000007</v>
      </c>
      <c r="K593">
        <v>76278</v>
      </c>
      <c r="L593">
        <v>8076</v>
      </c>
      <c r="M593">
        <v>4025.7</v>
      </c>
      <c r="N593">
        <v>29665</v>
      </c>
      <c r="O593">
        <v>1340</v>
      </c>
      <c r="P593">
        <v>14944.2</v>
      </c>
      <c r="Q593">
        <v>142004</v>
      </c>
      <c r="R593">
        <v>146</v>
      </c>
      <c r="S593" t="s">
        <v>97</v>
      </c>
      <c r="T593" t="s">
        <v>97</v>
      </c>
      <c r="U593" t="s">
        <v>97</v>
      </c>
      <c r="V593">
        <v>28561.1</v>
      </c>
      <c r="W593">
        <v>247947</v>
      </c>
      <c r="X593">
        <v>9562</v>
      </c>
      <c r="Y593">
        <f t="shared" si="9"/>
        <v>247947</v>
      </c>
      <c r="Z593" t="str">
        <f>IF(ISNUMBER(SEARCH("Adjustment",$C593)),"excluded",IF($H593="Behind the Meter","excluded",IF(NOT(OR($E593="Bundled",$E593="Energy")),"excluded",IF(OR($H593="Retail Power Marketer",$H593="Community Choice Aggregator",$E593="Energy"),"procurement",IF(OR($H593="Municipal",$H593="Cooperative",$H593="Federal",$H593="State",$H593="Political Subdivision"),"cost_service",IF($H593="Investor Owned",IF(AND(COUNTIF(Parameters!$A$4:$A$33,$G593)&gt;0,COUNTIF(Parameters!$B$4:$B$33,$B593)=0),"procurement","cost_service"),"unclassified"))))))</f>
        <v>cost_service</v>
      </c>
    </row>
    <row r="594" spans="1:26" x14ac:dyDescent="0.25">
      <c r="A594">
        <v>2024</v>
      </c>
      <c r="B594">
        <v>9616</v>
      </c>
      <c r="C594" t="s">
        <v>661</v>
      </c>
      <c r="D594" t="s">
        <v>84</v>
      </c>
      <c r="E594" t="s">
        <v>85</v>
      </c>
      <c r="F594" t="s">
        <v>86</v>
      </c>
      <c r="G594" t="s">
        <v>195</v>
      </c>
      <c r="H594" t="s">
        <v>88</v>
      </c>
      <c r="I594" t="s">
        <v>514</v>
      </c>
      <c r="J594">
        <v>54832</v>
      </c>
      <c r="K594">
        <v>442908</v>
      </c>
      <c r="L594">
        <v>30358</v>
      </c>
      <c r="M594">
        <v>38357</v>
      </c>
      <c r="N594">
        <v>289604</v>
      </c>
      <c r="O594">
        <v>5618</v>
      </c>
      <c r="P594" t="s">
        <v>97</v>
      </c>
      <c r="Q594" t="s">
        <v>97</v>
      </c>
      <c r="R594" t="s">
        <v>97</v>
      </c>
      <c r="S594" t="s">
        <v>97</v>
      </c>
      <c r="T594" t="s">
        <v>97</v>
      </c>
      <c r="U594" t="s">
        <v>97</v>
      </c>
      <c r="V594">
        <v>93189</v>
      </c>
      <c r="W594">
        <v>732512</v>
      </c>
      <c r="X594">
        <v>35976</v>
      </c>
      <c r="Y594">
        <f t="shared" si="9"/>
        <v>732512</v>
      </c>
      <c r="Z594" t="str">
        <f>IF(ISNUMBER(SEARCH("Adjustment",$C594)),"excluded",IF($H594="Behind the Meter","excluded",IF(NOT(OR($E594="Bundled",$E594="Energy")),"excluded",IF(OR($H594="Retail Power Marketer",$H594="Community Choice Aggregator",$E594="Energy"),"procurement",IF(OR($H594="Municipal",$H594="Cooperative",$H594="Federal",$H594="State",$H594="Political Subdivision"),"cost_service",IF($H594="Investor Owned",IF(AND(COUNTIF(Parameters!$A$4:$A$33,$G594)&gt;0,COUNTIF(Parameters!$B$4:$B$33,$B594)=0),"procurement","cost_service"),"unclassified"))))))</f>
        <v>cost_service</v>
      </c>
    </row>
    <row r="595" spans="1:26" x14ac:dyDescent="0.25">
      <c r="A595">
        <v>2024</v>
      </c>
      <c r="B595">
        <v>9617</v>
      </c>
      <c r="C595" t="s">
        <v>518</v>
      </c>
      <c r="D595" t="s">
        <v>84</v>
      </c>
      <c r="E595" t="s">
        <v>85</v>
      </c>
      <c r="F595" t="s">
        <v>86</v>
      </c>
      <c r="G595" t="s">
        <v>195</v>
      </c>
      <c r="H595" t="s">
        <v>88</v>
      </c>
      <c r="I595" t="s">
        <v>518</v>
      </c>
      <c r="J595">
        <v>748256</v>
      </c>
      <c r="K595">
        <v>6021884</v>
      </c>
      <c r="L595">
        <v>470564</v>
      </c>
      <c r="M595">
        <v>437728.1</v>
      </c>
      <c r="N595">
        <v>4156854</v>
      </c>
      <c r="O595">
        <v>61115</v>
      </c>
      <c r="P595">
        <v>213552</v>
      </c>
      <c r="Q595">
        <v>2690679</v>
      </c>
      <c r="R595">
        <v>203</v>
      </c>
      <c r="S595">
        <v>351.9</v>
      </c>
      <c r="T595">
        <v>3848</v>
      </c>
      <c r="U595">
        <v>1</v>
      </c>
      <c r="V595">
        <v>1399888</v>
      </c>
      <c r="W595">
        <v>12873265</v>
      </c>
      <c r="X595">
        <v>531883</v>
      </c>
      <c r="Y595">
        <f t="shared" si="9"/>
        <v>12873265</v>
      </c>
      <c r="Z595" t="str">
        <f>IF(ISNUMBER(SEARCH("Adjustment",$C595)),"excluded",IF($H595="Behind the Meter","excluded",IF(NOT(OR($E595="Bundled",$E595="Energy")),"excluded",IF(OR($H595="Retail Power Marketer",$H595="Community Choice Aggregator",$E595="Energy"),"procurement",IF(OR($H595="Municipal",$H595="Cooperative",$H595="Federal",$H595="State",$H595="Political Subdivision"),"cost_service",IF($H595="Investor Owned",IF(AND(COUNTIF(Parameters!$A$4:$A$33,$G595)&gt;0,COUNTIF(Parameters!$B$4:$B$33,$B595)=0),"procurement","cost_service"),"unclassified"))))))</f>
        <v>cost_service</v>
      </c>
    </row>
    <row r="596" spans="1:26" x14ac:dyDescent="0.25">
      <c r="A596">
        <v>2024</v>
      </c>
      <c r="B596">
        <v>9645</v>
      </c>
      <c r="C596" t="s">
        <v>662</v>
      </c>
      <c r="D596" t="s">
        <v>84</v>
      </c>
      <c r="E596" t="s">
        <v>85</v>
      </c>
      <c r="F596" t="s">
        <v>86</v>
      </c>
      <c r="G596" t="s">
        <v>53</v>
      </c>
      <c r="H596" t="s">
        <v>88</v>
      </c>
      <c r="I596" t="s">
        <v>102</v>
      </c>
      <c r="J596">
        <v>12766.9</v>
      </c>
      <c r="K596">
        <v>151534</v>
      </c>
      <c r="L596">
        <v>15562</v>
      </c>
      <c r="M596">
        <v>12969.8</v>
      </c>
      <c r="N596">
        <v>148786</v>
      </c>
      <c r="O596">
        <v>2667</v>
      </c>
      <c r="P596">
        <v>6882.8</v>
      </c>
      <c r="Q596">
        <v>95100</v>
      </c>
      <c r="R596">
        <v>118</v>
      </c>
      <c r="S596">
        <v>0</v>
      </c>
      <c r="T596">
        <v>0</v>
      </c>
      <c r="U596">
        <v>0</v>
      </c>
      <c r="V596">
        <v>32619.5</v>
      </c>
      <c r="W596">
        <v>395420</v>
      </c>
      <c r="X596">
        <v>18347</v>
      </c>
      <c r="Y596">
        <f t="shared" si="9"/>
        <v>395420</v>
      </c>
      <c r="Z596" t="str">
        <f>IF(ISNUMBER(SEARCH("Adjustment",$C596)),"excluded",IF($H596="Behind the Meter","excluded",IF(NOT(OR($E596="Bundled",$E596="Energy")),"excluded",IF(OR($H596="Retail Power Marketer",$H596="Community Choice Aggregator",$E596="Energy"),"procurement",IF(OR($H596="Municipal",$H596="Cooperative",$H596="Federal",$H596="State",$H596="Political Subdivision"),"cost_service",IF($H596="Investor Owned",IF(AND(COUNTIF(Parameters!$A$4:$A$33,$G596)&gt;0,COUNTIF(Parameters!$B$4:$B$33,$B596)=0),"procurement","cost_service"),"unclassified"))))))</f>
        <v>cost_service</v>
      </c>
    </row>
    <row r="597" spans="1:26" x14ac:dyDescent="0.25">
      <c r="A597">
        <v>2024</v>
      </c>
      <c r="B597">
        <v>9665</v>
      </c>
      <c r="C597" t="s">
        <v>663</v>
      </c>
      <c r="D597" t="s">
        <v>84</v>
      </c>
      <c r="E597" t="s">
        <v>85</v>
      </c>
      <c r="F597" t="s">
        <v>86</v>
      </c>
      <c r="G597" t="s">
        <v>130</v>
      </c>
      <c r="H597" t="s">
        <v>91</v>
      </c>
      <c r="I597" t="s">
        <v>96</v>
      </c>
      <c r="J597">
        <v>15658.4</v>
      </c>
      <c r="K597">
        <v>102072</v>
      </c>
      <c r="L597">
        <v>7745</v>
      </c>
      <c r="M597">
        <v>15344.1</v>
      </c>
      <c r="N597">
        <v>126305</v>
      </c>
      <c r="O597">
        <v>965</v>
      </c>
      <c r="P597">
        <v>3584.6</v>
      </c>
      <c r="Q597">
        <v>47550</v>
      </c>
      <c r="R597">
        <v>2</v>
      </c>
      <c r="S597" t="s">
        <v>97</v>
      </c>
      <c r="T597" t="s">
        <v>97</v>
      </c>
      <c r="U597" t="s">
        <v>97</v>
      </c>
      <c r="V597">
        <v>34587.1</v>
      </c>
      <c r="W597">
        <v>275927</v>
      </c>
      <c r="X597">
        <v>8712</v>
      </c>
      <c r="Y597">
        <f t="shared" si="9"/>
        <v>275927</v>
      </c>
      <c r="Z597" t="str">
        <f>IF(ISNUMBER(SEARCH("Adjustment",$C597)),"excluded",IF($H597="Behind the Meter","excluded",IF(NOT(OR($E597="Bundled",$E597="Energy")),"excluded",IF(OR($H597="Retail Power Marketer",$H597="Community Choice Aggregator",$E597="Energy"),"procurement",IF(OR($H597="Municipal",$H597="Cooperative",$H597="Federal",$H597="State",$H597="Political Subdivision"),"cost_service",IF($H597="Investor Owned",IF(AND(COUNTIF(Parameters!$A$4:$A$33,$G597)&gt;0,COUNTIF(Parameters!$B$4:$B$33,$B597)=0),"procurement","cost_service"),"unclassified"))))))</f>
        <v>cost_service</v>
      </c>
    </row>
    <row r="598" spans="1:26" x14ac:dyDescent="0.25">
      <c r="A598">
        <v>2024</v>
      </c>
      <c r="B598">
        <v>9667</v>
      </c>
      <c r="C598" t="s">
        <v>664</v>
      </c>
      <c r="D598" t="s">
        <v>84</v>
      </c>
      <c r="E598" t="s">
        <v>85</v>
      </c>
      <c r="F598" t="s">
        <v>86</v>
      </c>
      <c r="G598" t="s">
        <v>130</v>
      </c>
      <c r="H598" t="s">
        <v>88</v>
      </c>
      <c r="I598" t="s">
        <v>96</v>
      </c>
      <c r="J598">
        <v>8002.2</v>
      </c>
      <c r="K598">
        <v>71530</v>
      </c>
      <c r="L598">
        <v>6568</v>
      </c>
      <c r="M598">
        <v>11284.9</v>
      </c>
      <c r="N598">
        <v>107550</v>
      </c>
      <c r="O598">
        <v>1250</v>
      </c>
      <c r="P598">
        <v>11042.5</v>
      </c>
      <c r="Q598">
        <v>98194</v>
      </c>
      <c r="R598">
        <v>81</v>
      </c>
      <c r="S598" t="s">
        <v>97</v>
      </c>
      <c r="T598" t="s">
        <v>97</v>
      </c>
      <c r="U598" t="s">
        <v>97</v>
      </c>
      <c r="V598">
        <v>30329.599999999999</v>
      </c>
      <c r="W598">
        <v>277274</v>
      </c>
      <c r="X598">
        <v>7899</v>
      </c>
      <c r="Y598">
        <f t="shared" si="9"/>
        <v>277274</v>
      </c>
      <c r="Z598" t="str">
        <f>IF(ISNUMBER(SEARCH("Adjustment",$C598)),"excluded",IF($H598="Behind the Meter","excluded",IF(NOT(OR($E598="Bundled",$E598="Energy")),"excluded",IF(OR($H598="Retail Power Marketer",$H598="Community Choice Aggregator",$E598="Energy"),"procurement",IF(OR($H598="Municipal",$H598="Cooperative",$H598="Federal",$H598="State",$H598="Political Subdivision"),"cost_service",IF($H598="Investor Owned",IF(AND(COUNTIF(Parameters!$A$4:$A$33,$G598)&gt;0,COUNTIF(Parameters!$B$4:$B$33,$B598)=0),"procurement","cost_service"),"unclassified"))))))</f>
        <v>cost_service</v>
      </c>
    </row>
    <row r="599" spans="1:26" x14ac:dyDescent="0.25">
      <c r="A599">
        <v>2024</v>
      </c>
      <c r="B599">
        <v>9668</v>
      </c>
      <c r="C599" t="s">
        <v>665</v>
      </c>
      <c r="D599" t="s">
        <v>84</v>
      </c>
      <c r="E599" t="s">
        <v>85</v>
      </c>
      <c r="F599" t="s">
        <v>86</v>
      </c>
      <c r="G599" t="s">
        <v>57</v>
      </c>
      <c r="H599" t="s">
        <v>91</v>
      </c>
      <c r="I599" t="s">
        <v>96</v>
      </c>
      <c r="J599">
        <v>35690</v>
      </c>
      <c r="K599">
        <v>275394</v>
      </c>
      <c r="L599">
        <v>21180</v>
      </c>
      <c r="M599">
        <v>6814</v>
      </c>
      <c r="N599">
        <v>44456</v>
      </c>
      <c r="O599">
        <v>2571</v>
      </c>
      <c r="P599">
        <v>11484</v>
      </c>
      <c r="Q599">
        <v>135696</v>
      </c>
      <c r="R599">
        <v>169</v>
      </c>
      <c r="S599" t="s">
        <v>97</v>
      </c>
      <c r="T599" t="s">
        <v>97</v>
      </c>
      <c r="U599" t="s">
        <v>97</v>
      </c>
      <c r="V599">
        <v>53988</v>
      </c>
      <c r="W599">
        <v>455546</v>
      </c>
      <c r="X599">
        <v>23920</v>
      </c>
      <c r="Y599">
        <f t="shared" si="9"/>
        <v>455546</v>
      </c>
      <c r="Z599" t="str">
        <f>IF(ISNUMBER(SEARCH("Adjustment",$C599)),"excluded",IF($H599="Behind the Meter","excluded",IF(NOT(OR($E599="Bundled",$E599="Energy")),"excluded",IF(OR($H599="Retail Power Marketer",$H599="Community Choice Aggregator",$E599="Energy"),"procurement",IF(OR($H599="Municipal",$H599="Cooperative",$H599="Federal",$H599="State",$H599="Political Subdivision"),"cost_service",IF($H599="Investor Owned",IF(AND(COUNTIF(Parameters!$A$4:$A$33,$G599)&gt;0,COUNTIF(Parameters!$B$4:$B$33,$B599)=0),"procurement","cost_service"),"unclassified"))))))</f>
        <v>cost_service</v>
      </c>
    </row>
    <row r="600" spans="1:26" x14ac:dyDescent="0.25">
      <c r="A600">
        <v>2024</v>
      </c>
      <c r="B600">
        <v>9682</v>
      </c>
      <c r="C600" t="s">
        <v>666</v>
      </c>
      <c r="D600" t="s">
        <v>84</v>
      </c>
      <c r="E600" t="s">
        <v>85</v>
      </c>
      <c r="F600" t="s">
        <v>86</v>
      </c>
      <c r="G600" t="s">
        <v>138</v>
      </c>
      <c r="H600" t="s">
        <v>91</v>
      </c>
      <c r="I600" t="s">
        <v>96</v>
      </c>
      <c r="J600">
        <v>18456</v>
      </c>
      <c r="K600">
        <v>131371</v>
      </c>
      <c r="L600">
        <v>9127</v>
      </c>
      <c r="M600">
        <v>5223</v>
      </c>
      <c r="N600">
        <v>38140</v>
      </c>
      <c r="O600">
        <v>1472</v>
      </c>
      <c r="P600">
        <v>6186</v>
      </c>
      <c r="Q600">
        <v>62890</v>
      </c>
      <c r="R600">
        <v>126</v>
      </c>
      <c r="S600" t="s">
        <v>97</v>
      </c>
      <c r="T600" t="s">
        <v>97</v>
      </c>
      <c r="U600" t="s">
        <v>97</v>
      </c>
      <c r="V600">
        <v>29865</v>
      </c>
      <c r="W600">
        <v>232401</v>
      </c>
      <c r="X600">
        <v>10725</v>
      </c>
      <c r="Y600">
        <f t="shared" si="9"/>
        <v>232401</v>
      </c>
      <c r="Z600" t="str">
        <f>IF(ISNUMBER(SEARCH("Adjustment",$C600)),"excluded",IF($H600="Behind the Meter","excluded",IF(NOT(OR($E600="Bundled",$E600="Energy")),"excluded",IF(OR($H600="Retail Power Marketer",$H600="Community Choice Aggregator",$E600="Energy"),"procurement",IF(OR($H600="Municipal",$H600="Cooperative",$H600="Federal",$H600="State",$H600="Political Subdivision"),"cost_service",IF($H600="Investor Owned",IF(AND(COUNTIF(Parameters!$A$4:$A$33,$G600)&gt;0,COUNTIF(Parameters!$B$4:$B$33,$B600)=0),"procurement","cost_service"),"unclassified"))))))</f>
        <v>cost_service</v>
      </c>
    </row>
    <row r="601" spans="1:26" x14ac:dyDescent="0.25">
      <c r="A601">
        <v>2024</v>
      </c>
      <c r="B601">
        <v>9689</v>
      </c>
      <c r="C601" t="s">
        <v>667</v>
      </c>
      <c r="D601" t="s">
        <v>84</v>
      </c>
      <c r="E601" t="s">
        <v>85</v>
      </c>
      <c r="F601" t="s">
        <v>86</v>
      </c>
      <c r="G601" t="s">
        <v>123</v>
      </c>
      <c r="H601" t="s">
        <v>91</v>
      </c>
      <c r="I601" t="s">
        <v>113</v>
      </c>
      <c r="J601">
        <v>60484</v>
      </c>
      <c r="K601">
        <v>455869</v>
      </c>
      <c r="L601">
        <v>34490</v>
      </c>
      <c r="M601">
        <v>9810</v>
      </c>
      <c r="N601">
        <v>77024</v>
      </c>
      <c r="O601">
        <v>2016</v>
      </c>
      <c r="P601">
        <v>9299</v>
      </c>
      <c r="Q601">
        <v>106602</v>
      </c>
      <c r="R601">
        <v>425</v>
      </c>
      <c r="S601">
        <v>0</v>
      </c>
      <c r="T601">
        <v>0</v>
      </c>
      <c r="U601">
        <v>0</v>
      </c>
      <c r="V601">
        <v>79593</v>
      </c>
      <c r="W601">
        <v>639495</v>
      </c>
      <c r="X601">
        <v>36931</v>
      </c>
      <c r="Y601">
        <f t="shared" si="9"/>
        <v>639495</v>
      </c>
      <c r="Z601" t="str">
        <f>IF(ISNUMBER(SEARCH("Adjustment",$C601)),"excluded",IF($H601="Behind the Meter","excluded",IF(NOT(OR($E601="Bundled",$E601="Energy")),"excluded",IF(OR($H601="Retail Power Marketer",$H601="Community Choice Aggregator",$E601="Energy"),"procurement",IF(OR($H601="Municipal",$H601="Cooperative",$H601="Federal",$H601="State",$H601="Political Subdivision"),"cost_service",IF($H601="Investor Owned",IF(AND(COUNTIF(Parameters!$A$4:$A$33,$G601)&gt;0,COUNTIF(Parameters!$B$4:$B$33,$B601)=0),"procurement","cost_service"),"unclassified"))))))</f>
        <v>cost_service</v>
      </c>
    </row>
    <row r="602" spans="1:26" x14ac:dyDescent="0.25">
      <c r="A602">
        <v>2024</v>
      </c>
      <c r="B602">
        <v>9690</v>
      </c>
      <c r="C602" t="s">
        <v>668</v>
      </c>
      <c r="D602" t="s">
        <v>84</v>
      </c>
      <c r="E602" t="s">
        <v>85</v>
      </c>
      <c r="F602" t="s">
        <v>86</v>
      </c>
      <c r="G602" t="s">
        <v>95</v>
      </c>
      <c r="H602" t="s">
        <v>88</v>
      </c>
      <c r="I602" t="s">
        <v>96</v>
      </c>
      <c r="J602">
        <v>3489.1</v>
      </c>
      <c r="K602">
        <v>29398</v>
      </c>
      <c r="L602">
        <v>3718</v>
      </c>
      <c r="M602">
        <v>5229.7</v>
      </c>
      <c r="N602">
        <v>49595</v>
      </c>
      <c r="O602">
        <v>614</v>
      </c>
      <c r="P602">
        <v>1297.5</v>
      </c>
      <c r="Q602">
        <v>16469</v>
      </c>
      <c r="R602">
        <v>1</v>
      </c>
      <c r="S602">
        <v>0</v>
      </c>
      <c r="T602">
        <v>0</v>
      </c>
      <c r="U602">
        <v>0</v>
      </c>
      <c r="V602">
        <v>10016.299999999999</v>
      </c>
      <c r="W602">
        <v>95462</v>
      </c>
      <c r="X602">
        <v>4333</v>
      </c>
      <c r="Y602">
        <f t="shared" si="9"/>
        <v>95462</v>
      </c>
      <c r="Z602" t="str">
        <f>IF(ISNUMBER(SEARCH("Adjustment",$C602)),"excluded",IF($H602="Behind the Meter","excluded",IF(NOT(OR($E602="Bundled",$E602="Energy")),"excluded",IF(OR($H602="Retail Power Marketer",$H602="Community Choice Aggregator",$E602="Energy"),"procurement",IF(OR($H602="Municipal",$H602="Cooperative",$H602="Federal",$H602="State",$H602="Political Subdivision"),"cost_service",IF($H602="Investor Owned",IF(AND(COUNTIF(Parameters!$A$4:$A$33,$G602)&gt;0,COUNTIF(Parameters!$B$4:$B$33,$B602)=0),"procurement","cost_service"),"unclassified"))))))</f>
        <v>cost_service</v>
      </c>
    </row>
    <row r="603" spans="1:26" x14ac:dyDescent="0.25">
      <c r="A603">
        <v>2024</v>
      </c>
      <c r="B603">
        <v>9697</v>
      </c>
      <c r="C603" t="s">
        <v>669</v>
      </c>
      <c r="D603" t="s">
        <v>84</v>
      </c>
      <c r="E603" t="s">
        <v>85</v>
      </c>
      <c r="F603" t="s">
        <v>86</v>
      </c>
      <c r="G603" t="s">
        <v>209</v>
      </c>
      <c r="H603" t="s">
        <v>88</v>
      </c>
      <c r="I603" t="s">
        <v>89</v>
      </c>
      <c r="J603">
        <v>2975</v>
      </c>
      <c r="K603">
        <v>22691</v>
      </c>
      <c r="L603">
        <v>1763</v>
      </c>
      <c r="M603">
        <v>802</v>
      </c>
      <c r="N603">
        <v>5360</v>
      </c>
      <c r="O603">
        <v>358</v>
      </c>
      <c r="P603">
        <v>0</v>
      </c>
      <c r="Q603">
        <v>0</v>
      </c>
      <c r="R603">
        <v>0</v>
      </c>
      <c r="S603">
        <v>0</v>
      </c>
      <c r="T603">
        <v>0</v>
      </c>
      <c r="U603">
        <v>0</v>
      </c>
      <c r="V603">
        <v>3777</v>
      </c>
      <c r="W603">
        <v>28051</v>
      </c>
      <c r="X603">
        <v>2121</v>
      </c>
      <c r="Y603">
        <f t="shared" si="9"/>
        <v>28051</v>
      </c>
      <c r="Z603" t="str">
        <f>IF(ISNUMBER(SEARCH("Adjustment",$C603)),"excluded",IF($H603="Behind the Meter","excluded",IF(NOT(OR($E603="Bundled",$E603="Energy")),"excluded",IF(OR($H603="Retail Power Marketer",$H603="Community Choice Aggregator",$E603="Energy"),"procurement",IF(OR($H603="Municipal",$H603="Cooperative",$H603="Federal",$H603="State",$H603="Political Subdivision"),"cost_service",IF($H603="Investor Owned",IF(AND(COUNTIF(Parameters!$A$4:$A$33,$G603)&gt;0,COUNTIF(Parameters!$B$4:$B$33,$B603)=0),"procurement","cost_service"),"unclassified"))))))</f>
        <v>cost_service</v>
      </c>
    </row>
    <row r="604" spans="1:26" x14ac:dyDescent="0.25">
      <c r="A604">
        <v>2024</v>
      </c>
      <c r="B604">
        <v>9697</v>
      </c>
      <c r="C604" t="s">
        <v>669</v>
      </c>
      <c r="D604" t="s">
        <v>84</v>
      </c>
      <c r="E604" t="s">
        <v>85</v>
      </c>
      <c r="F604" t="s">
        <v>86</v>
      </c>
      <c r="G604" t="s">
        <v>156</v>
      </c>
      <c r="H604" t="s">
        <v>88</v>
      </c>
      <c r="I604" t="s">
        <v>89</v>
      </c>
      <c r="J604">
        <v>2811</v>
      </c>
      <c r="K604">
        <v>21527</v>
      </c>
      <c r="L604">
        <v>1620</v>
      </c>
      <c r="M604">
        <v>2345</v>
      </c>
      <c r="N604">
        <v>16565</v>
      </c>
      <c r="O604">
        <v>669</v>
      </c>
      <c r="P604">
        <v>5791</v>
      </c>
      <c r="Q604">
        <v>107108</v>
      </c>
      <c r="R604">
        <v>1</v>
      </c>
      <c r="S604">
        <v>0</v>
      </c>
      <c r="T604">
        <v>0</v>
      </c>
      <c r="U604">
        <v>0</v>
      </c>
      <c r="V604">
        <v>10947</v>
      </c>
      <c r="W604">
        <v>145200</v>
      </c>
      <c r="X604">
        <v>2290</v>
      </c>
      <c r="Y604">
        <f t="shared" si="9"/>
        <v>145200</v>
      </c>
      <c r="Z604" t="str">
        <f>IF(ISNUMBER(SEARCH("Adjustment",$C604)),"excluded",IF($H604="Behind the Meter","excluded",IF(NOT(OR($E604="Bundled",$E604="Energy")),"excluded",IF(OR($H604="Retail Power Marketer",$H604="Community Choice Aggregator",$E604="Energy"),"procurement",IF(OR($H604="Municipal",$H604="Cooperative",$H604="Federal",$H604="State",$H604="Political Subdivision"),"cost_service",IF($H604="Investor Owned",IF(AND(COUNTIF(Parameters!$A$4:$A$33,$G604)&gt;0,COUNTIF(Parameters!$B$4:$B$33,$B604)=0),"procurement","cost_service"),"unclassified"))))))</f>
        <v>cost_service</v>
      </c>
    </row>
    <row r="605" spans="1:26" x14ac:dyDescent="0.25">
      <c r="A605">
        <v>2024</v>
      </c>
      <c r="B605">
        <v>9699</v>
      </c>
      <c r="C605" t="s">
        <v>670</v>
      </c>
      <c r="D605" t="s">
        <v>84</v>
      </c>
      <c r="E605" t="s">
        <v>85</v>
      </c>
      <c r="F605" t="s">
        <v>86</v>
      </c>
      <c r="G605" t="s">
        <v>308</v>
      </c>
      <c r="H605" t="s">
        <v>91</v>
      </c>
      <c r="I605" t="s">
        <v>243</v>
      </c>
      <c r="J605">
        <v>30086.799999999999</v>
      </c>
      <c r="K605">
        <v>195881</v>
      </c>
      <c r="L605">
        <v>28093</v>
      </c>
      <c r="M605">
        <v>21059.8</v>
      </c>
      <c r="N605">
        <v>149381</v>
      </c>
      <c r="O605">
        <v>3574</v>
      </c>
      <c r="P605">
        <v>2544.1</v>
      </c>
      <c r="Q605">
        <v>21075</v>
      </c>
      <c r="R605">
        <v>9</v>
      </c>
      <c r="S605" t="s">
        <v>97</v>
      </c>
      <c r="T605" t="s">
        <v>97</v>
      </c>
      <c r="U605" t="s">
        <v>97</v>
      </c>
      <c r="V605">
        <v>53690.7</v>
      </c>
      <c r="W605">
        <v>366337</v>
      </c>
      <c r="X605">
        <v>31676</v>
      </c>
      <c r="Y605">
        <f t="shared" si="9"/>
        <v>366337</v>
      </c>
      <c r="Z605" t="str">
        <f>IF(ISNUMBER(SEARCH("Adjustment",$C605)),"excluded",IF($H605="Behind the Meter","excluded",IF(NOT(OR($E605="Bundled",$E605="Energy")),"excluded",IF(OR($H605="Retail Power Marketer",$H605="Community Choice Aggregator",$E605="Energy"),"procurement",IF(OR($H605="Municipal",$H605="Cooperative",$H605="Federal",$H605="State",$H605="Political Subdivision"),"cost_service",IF($H605="Investor Owned",IF(AND(COUNTIF(Parameters!$A$4:$A$33,$G605)&gt;0,COUNTIF(Parameters!$B$4:$B$33,$B605)=0),"procurement","cost_service"),"unclassified"))))))</f>
        <v>cost_service</v>
      </c>
    </row>
    <row r="606" spans="1:26" x14ac:dyDescent="0.25">
      <c r="A606">
        <v>2024</v>
      </c>
      <c r="B606">
        <v>9726</v>
      </c>
      <c r="C606" t="s">
        <v>671</v>
      </c>
      <c r="D606" t="s">
        <v>84</v>
      </c>
      <c r="E606" t="s">
        <v>85</v>
      </c>
      <c r="F606" t="s">
        <v>86</v>
      </c>
      <c r="G606" t="s">
        <v>52</v>
      </c>
      <c r="H606" t="s">
        <v>109</v>
      </c>
      <c r="I606" t="s">
        <v>92</v>
      </c>
      <c r="J606">
        <v>1433528.6</v>
      </c>
      <c r="K606">
        <v>9161728</v>
      </c>
      <c r="L606">
        <v>964802</v>
      </c>
      <c r="M606">
        <v>431603.3</v>
      </c>
      <c r="N606">
        <v>2872532</v>
      </c>
      <c r="O606">
        <v>92791</v>
      </c>
      <c r="P606">
        <v>25978.7</v>
      </c>
      <c r="Q606">
        <v>187495</v>
      </c>
      <c r="R606">
        <v>1162</v>
      </c>
      <c r="S606">
        <v>0</v>
      </c>
      <c r="T606">
        <v>0</v>
      </c>
      <c r="U606">
        <v>0</v>
      </c>
      <c r="V606">
        <v>1891110.6</v>
      </c>
      <c r="W606">
        <v>12221755</v>
      </c>
      <c r="X606">
        <v>1058755</v>
      </c>
      <c r="Y606">
        <f t="shared" si="9"/>
        <v>12221755</v>
      </c>
      <c r="Z606" t="str">
        <f>IF(ISNUMBER(SEARCH("Adjustment",$C606)),"excluded",IF($H606="Behind the Meter","excluded",IF(NOT(OR($E606="Bundled",$E606="Energy")),"excluded",IF(OR($H606="Retail Power Marketer",$H606="Community Choice Aggregator",$E606="Energy"),"procurement",IF(OR($H606="Municipal",$H606="Cooperative",$H606="Federal",$H606="State",$H606="Political Subdivision"),"cost_service",IF($H606="Investor Owned",IF(AND(COUNTIF(Parameters!$A$4:$A$33,$G606)&gt;0,COUNTIF(Parameters!$B$4:$B$33,$B606)=0),"procurement","cost_service"),"unclassified"))))))</f>
        <v>procurement</v>
      </c>
    </row>
    <row r="607" spans="1:26" x14ac:dyDescent="0.25">
      <c r="A607">
        <v>2024</v>
      </c>
      <c r="B607">
        <v>9726</v>
      </c>
      <c r="C607" t="s">
        <v>671</v>
      </c>
      <c r="D607" t="s">
        <v>167</v>
      </c>
      <c r="E607" t="s">
        <v>168</v>
      </c>
      <c r="F607" t="s">
        <v>86</v>
      </c>
      <c r="G607" t="s">
        <v>52</v>
      </c>
      <c r="H607" t="s">
        <v>109</v>
      </c>
      <c r="I607" t="s">
        <v>92</v>
      </c>
      <c r="J607">
        <v>33982.5</v>
      </c>
      <c r="K607">
        <v>643407</v>
      </c>
      <c r="L607">
        <v>73456</v>
      </c>
      <c r="M607">
        <v>214375.8</v>
      </c>
      <c r="N607">
        <v>5392193</v>
      </c>
      <c r="O607">
        <v>38571</v>
      </c>
      <c r="P607">
        <v>41829.699999999997</v>
      </c>
      <c r="Q607">
        <v>1508518</v>
      </c>
      <c r="R607">
        <v>1054</v>
      </c>
      <c r="S607">
        <v>1727.9</v>
      </c>
      <c r="T607">
        <v>83693</v>
      </c>
      <c r="U607">
        <v>1</v>
      </c>
      <c r="V607">
        <v>291915.90000000002</v>
      </c>
      <c r="W607">
        <v>7627811</v>
      </c>
      <c r="X607">
        <v>113082</v>
      </c>
      <c r="Y607">
        <f t="shared" si="9"/>
        <v>7627811</v>
      </c>
      <c r="Z607" t="str">
        <f>IF(ISNUMBER(SEARCH("Adjustment",$C607)),"excluded",IF($H607="Behind the Meter","excluded",IF(NOT(OR($E607="Bundled",$E607="Energy")),"excluded",IF(OR($H607="Retail Power Marketer",$H607="Community Choice Aggregator",$E607="Energy"),"procurement",IF(OR($H607="Municipal",$H607="Cooperative",$H607="Federal",$H607="State",$H607="Political Subdivision"),"cost_service",IF($H607="Investor Owned",IF(AND(COUNTIF(Parameters!$A$4:$A$33,$G607)&gt;0,COUNTIF(Parameters!$B$4:$B$33,$B607)=0),"procurement","cost_service"),"unclassified"))))))</f>
        <v>excluded</v>
      </c>
    </row>
    <row r="608" spans="1:26" x14ac:dyDescent="0.25">
      <c r="A608">
        <v>2024</v>
      </c>
      <c r="B608">
        <v>9739</v>
      </c>
      <c r="C608" t="s">
        <v>672</v>
      </c>
      <c r="D608" t="s">
        <v>84</v>
      </c>
      <c r="E608" t="s">
        <v>85</v>
      </c>
      <c r="F608" t="s">
        <v>86</v>
      </c>
      <c r="G608" t="s">
        <v>112</v>
      </c>
      <c r="H608" t="s">
        <v>91</v>
      </c>
      <c r="I608" t="s">
        <v>89</v>
      </c>
      <c r="J608">
        <v>86327</v>
      </c>
      <c r="K608">
        <v>595913</v>
      </c>
      <c r="L608">
        <v>36973</v>
      </c>
      <c r="M608">
        <v>46185</v>
      </c>
      <c r="N608">
        <v>326951</v>
      </c>
      <c r="O608">
        <v>9140</v>
      </c>
      <c r="P608">
        <v>52702</v>
      </c>
      <c r="Q608">
        <v>872520</v>
      </c>
      <c r="R608">
        <v>22</v>
      </c>
      <c r="S608">
        <v>0</v>
      </c>
      <c r="T608">
        <v>0</v>
      </c>
      <c r="U608">
        <v>0</v>
      </c>
      <c r="V608">
        <v>185214</v>
      </c>
      <c r="W608">
        <v>1795384</v>
      </c>
      <c r="X608">
        <v>46135</v>
      </c>
      <c r="Y608">
        <f t="shared" si="9"/>
        <v>1795384</v>
      </c>
      <c r="Z608" t="str">
        <f>IF(ISNUMBER(SEARCH("Adjustment",$C608)),"excluded",IF($H608="Behind the Meter","excluded",IF(NOT(OR($E608="Bundled",$E608="Energy")),"excluded",IF(OR($H608="Retail Power Marketer",$H608="Community Choice Aggregator",$E608="Energy"),"procurement",IF(OR($H608="Municipal",$H608="Cooperative",$H608="Federal",$H608="State",$H608="Political Subdivision"),"cost_service",IF($H608="Investor Owned",IF(AND(COUNTIF(Parameters!$A$4:$A$33,$G608)&gt;0,COUNTIF(Parameters!$B$4:$B$33,$B608)=0),"procurement","cost_service"),"unclassified"))))))</f>
        <v>cost_service</v>
      </c>
    </row>
    <row r="609" spans="1:26" x14ac:dyDescent="0.25">
      <c r="A609">
        <v>2024</v>
      </c>
      <c r="B609">
        <v>9750</v>
      </c>
      <c r="C609" t="s">
        <v>673</v>
      </c>
      <c r="D609" t="s">
        <v>84</v>
      </c>
      <c r="E609" t="s">
        <v>85</v>
      </c>
      <c r="F609" t="s">
        <v>86</v>
      </c>
      <c r="G609" t="s">
        <v>46</v>
      </c>
      <c r="H609" t="s">
        <v>91</v>
      </c>
      <c r="I609" t="s">
        <v>96</v>
      </c>
      <c r="J609">
        <v>28977</v>
      </c>
      <c r="K609">
        <v>146432</v>
      </c>
      <c r="L609">
        <v>17227</v>
      </c>
      <c r="M609">
        <v>14430</v>
      </c>
      <c r="N609">
        <v>84700</v>
      </c>
      <c r="O609">
        <v>2877</v>
      </c>
      <c r="P609">
        <v>8831</v>
      </c>
      <c r="Q609">
        <v>78850</v>
      </c>
      <c r="R609">
        <v>84</v>
      </c>
      <c r="S609" t="s">
        <v>97</v>
      </c>
      <c r="T609" t="s">
        <v>97</v>
      </c>
      <c r="U609" t="s">
        <v>97</v>
      </c>
      <c r="V609">
        <v>52238</v>
      </c>
      <c r="W609">
        <v>309982</v>
      </c>
      <c r="X609">
        <v>20188</v>
      </c>
      <c r="Y609">
        <f t="shared" si="9"/>
        <v>309982</v>
      </c>
      <c r="Z609" t="str">
        <f>IF(ISNUMBER(SEARCH("Adjustment",$C609)),"excluded",IF($H609="Behind the Meter","excluded",IF(NOT(OR($E609="Bundled",$E609="Energy")),"excluded",IF(OR($H609="Retail Power Marketer",$H609="Community Choice Aggregator",$E609="Energy"),"procurement",IF(OR($H609="Municipal",$H609="Cooperative",$H609="Federal",$H609="State",$H609="Political Subdivision"),"cost_service",IF($H609="Investor Owned",IF(AND(COUNTIF(Parameters!$A$4:$A$33,$G609)&gt;0,COUNTIF(Parameters!$B$4:$B$33,$B609)=0),"procurement","cost_service"),"unclassified"))))))</f>
        <v>cost_service</v>
      </c>
    </row>
    <row r="610" spans="1:26" x14ac:dyDescent="0.25">
      <c r="A610">
        <v>2024</v>
      </c>
      <c r="B610">
        <v>9750</v>
      </c>
      <c r="C610" t="s">
        <v>673</v>
      </c>
      <c r="D610" t="s">
        <v>167</v>
      </c>
      <c r="E610" t="s">
        <v>168</v>
      </c>
      <c r="F610" t="s">
        <v>86</v>
      </c>
      <c r="G610" t="s">
        <v>46</v>
      </c>
      <c r="H610" t="s">
        <v>91</v>
      </c>
      <c r="I610" t="s">
        <v>96</v>
      </c>
      <c r="J610" t="s">
        <v>97</v>
      </c>
      <c r="K610" t="s">
        <v>97</v>
      </c>
      <c r="L610" t="s">
        <v>97</v>
      </c>
      <c r="M610" t="s">
        <v>97</v>
      </c>
      <c r="N610" t="s">
        <v>97</v>
      </c>
      <c r="O610" t="s">
        <v>97</v>
      </c>
      <c r="P610">
        <v>1529.3</v>
      </c>
      <c r="Q610">
        <v>187820</v>
      </c>
      <c r="R610">
        <v>1</v>
      </c>
      <c r="S610" t="s">
        <v>97</v>
      </c>
      <c r="T610" t="s">
        <v>97</v>
      </c>
      <c r="U610" t="s">
        <v>97</v>
      </c>
      <c r="V610">
        <v>1529.3</v>
      </c>
      <c r="W610">
        <v>187820</v>
      </c>
      <c r="X610">
        <v>1</v>
      </c>
      <c r="Y610">
        <f t="shared" si="9"/>
        <v>187820</v>
      </c>
      <c r="Z610" t="str">
        <f>IF(ISNUMBER(SEARCH("Adjustment",$C610)),"excluded",IF($H610="Behind the Meter","excluded",IF(NOT(OR($E610="Bundled",$E610="Energy")),"excluded",IF(OR($H610="Retail Power Marketer",$H610="Community Choice Aggregator",$E610="Energy"),"procurement",IF(OR($H610="Municipal",$H610="Cooperative",$H610="Federal",$H610="State",$H610="Political Subdivision"),"cost_service",IF($H610="Investor Owned",IF(AND(COUNTIF(Parameters!$A$4:$A$33,$G610)&gt;0,COUNTIF(Parameters!$B$4:$B$33,$B610)=0),"procurement","cost_service"),"unclassified"))))))</f>
        <v>excluded</v>
      </c>
    </row>
    <row r="611" spans="1:26" x14ac:dyDescent="0.25">
      <c r="A611">
        <v>2024</v>
      </c>
      <c r="B611">
        <v>9777</v>
      </c>
      <c r="C611" t="s">
        <v>674</v>
      </c>
      <c r="D611" t="s">
        <v>84</v>
      </c>
      <c r="E611" t="s">
        <v>85</v>
      </c>
      <c r="F611" t="s">
        <v>86</v>
      </c>
      <c r="G611" t="s">
        <v>156</v>
      </c>
      <c r="H611" t="s">
        <v>88</v>
      </c>
      <c r="I611" t="s">
        <v>89</v>
      </c>
      <c r="J611">
        <v>124321</v>
      </c>
      <c r="K611">
        <v>1001670</v>
      </c>
      <c r="L611">
        <v>72205</v>
      </c>
      <c r="M611">
        <v>83210</v>
      </c>
      <c r="N611">
        <v>731665</v>
      </c>
      <c r="O611">
        <v>11891</v>
      </c>
      <c r="P611">
        <v>11735</v>
      </c>
      <c r="Q611">
        <v>224295</v>
      </c>
      <c r="R611">
        <v>13</v>
      </c>
      <c r="S611">
        <v>0</v>
      </c>
      <c r="T611">
        <v>0</v>
      </c>
      <c r="U611">
        <v>0</v>
      </c>
      <c r="V611">
        <v>219266</v>
      </c>
      <c r="W611">
        <v>1957630</v>
      </c>
      <c r="X611">
        <v>84109</v>
      </c>
      <c r="Y611">
        <f t="shared" si="9"/>
        <v>1957630</v>
      </c>
      <c r="Z611" t="str">
        <f>IF(ISNUMBER(SEARCH("Adjustment",$C611)),"excluded",IF($H611="Behind the Meter","excluded",IF(NOT(OR($E611="Bundled",$E611="Energy")),"excluded",IF(OR($H611="Retail Power Marketer",$H611="Community Choice Aggregator",$E611="Energy"),"procurement",IF(OR($H611="Municipal",$H611="Cooperative",$H611="Federal",$H611="State",$H611="Political Subdivision"),"cost_service",IF($H611="Investor Owned",IF(AND(COUNTIF(Parameters!$A$4:$A$33,$G611)&gt;0,COUNTIF(Parameters!$B$4:$B$33,$B611)=0),"procurement","cost_service"),"unclassified"))))))</f>
        <v>cost_service</v>
      </c>
    </row>
    <row r="612" spans="1:26" x14ac:dyDescent="0.25">
      <c r="A612">
        <v>2024</v>
      </c>
      <c r="B612">
        <v>9778</v>
      </c>
      <c r="C612" t="s">
        <v>675</v>
      </c>
      <c r="D612" t="s">
        <v>84</v>
      </c>
      <c r="E612" t="s">
        <v>85</v>
      </c>
      <c r="F612" t="s">
        <v>86</v>
      </c>
      <c r="G612" t="s">
        <v>130</v>
      </c>
      <c r="H612" t="s">
        <v>91</v>
      </c>
      <c r="I612" t="s">
        <v>96</v>
      </c>
      <c r="J612">
        <v>50787.7</v>
      </c>
      <c r="K612">
        <v>368238</v>
      </c>
      <c r="L612">
        <v>28279</v>
      </c>
      <c r="M612">
        <v>15389.8</v>
      </c>
      <c r="N612">
        <v>116190</v>
      </c>
      <c r="O612">
        <v>3180</v>
      </c>
      <c r="P612">
        <v>7619.3</v>
      </c>
      <c r="Q612">
        <v>96748</v>
      </c>
      <c r="R612">
        <v>42</v>
      </c>
      <c r="S612" t="s">
        <v>97</v>
      </c>
      <c r="T612" t="s">
        <v>97</v>
      </c>
      <c r="U612" t="s">
        <v>97</v>
      </c>
      <c r="V612">
        <v>73796.800000000003</v>
      </c>
      <c r="W612">
        <v>581176</v>
      </c>
      <c r="X612">
        <v>31501</v>
      </c>
      <c r="Y612">
        <f t="shared" si="9"/>
        <v>581176</v>
      </c>
      <c r="Z612" t="str">
        <f>IF(ISNUMBER(SEARCH("Adjustment",$C612)),"excluded",IF($H612="Behind the Meter","excluded",IF(NOT(OR($E612="Bundled",$E612="Energy")),"excluded",IF(OR($H612="Retail Power Marketer",$H612="Community Choice Aggregator",$E612="Energy"),"procurement",IF(OR($H612="Municipal",$H612="Cooperative",$H612="Federal",$H612="State",$H612="Political Subdivision"),"cost_service",IF($H612="Investor Owned",IF(AND(COUNTIF(Parameters!$A$4:$A$33,$G612)&gt;0,COUNTIF(Parameters!$B$4:$B$33,$B612)=0),"procurement","cost_service"),"unclassified"))))))</f>
        <v>cost_service</v>
      </c>
    </row>
    <row r="613" spans="1:26" x14ac:dyDescent="0.25">
      <c r="A613">
        <v>2024</v>
      </c>
      <c r="B613">
        <v>9837</v>
      </c>
      <c r="C613" t="s">
        <v>676</v>
      </c>
      <c r="D613" t="s">
        <v>84</v>
      </c>
      <c r="E613" t="s">
        <v>85</v>
      </c>
      <c r="F613" t="s">
        <v>86</v>
      </c>
      <c r="G613" t="s">
        <v>125</v>
      </c>
      <c r="H613" t="s">
        <v>91</v>
      </c>
      <c r="I613" t="s">
        <v>163</v>
      </c>
      <c r="J613">
        <v>135231.70000000001</v>
      </c>
      <c r="K613">
        <v>1032935</v>
      </c>
      <c r="L613">
        <v>79690</v>
      </c>
      <c r="M613">
        <v>24980.9</v>
      </c>
      <c r="N613">
        <v>245005</v>
      </c>
      <c r="O613">
        <v>4632</v>
      </c>
      <c r="P613">
        <v>3000.5</v>
      </c>
      <c r="Q613">
        <v>35040</v>
      </c>
      <c r="R613">
        <v>4</v>
      </c>
      <c r="S613">
        <v>0</v>
      </c>
      <c r="T613">
        <v>0</v>
      </c>
      <c r="U613">
        <v>0</v>
      </c>
      <c r="V613">
        <v>163213.1</v>
      </c>
      <c r="W613">
        <v>1312980</v>
      </c>
      <c r="X613">
        <v>84326</v>
      </c>
      <c r="Y613">
        <f t="shared" si="9"/>
        <v>1312980</v>
      </c>
      <c r="Z613" t="str">
        <f>IF(ISNUMBER(SEARCH("Adjustment",$C613)),"excluded",IF($H613="Behind the Meter","excluded",IF(NOT(OR($E613="Bundled",$E613="Energy")),"excluded",IF(OR($H613="Retail Power Marketer",$H613="Community Choice Aggregator",$E613="Energy"),"procurement",IF(OR($H613="Municipal",$H613="Cooperative",$H613="Federal",$H613="State",$H613="Political Subdivision"),"cost_service",IF($H613="Investor Owned",IF(AND(COUNTIF(Parameters!$A$4:$A$33,$G613)&gt;0,COUNTIF(Parameters!$B$4:$B$33,$B613)=0),"procurement","cost_service"),"unclassified"))))))</f>
        <v>cost_service</v>
      </c>
    </row>
    <row r="614" spans="1:26" x14ac:dyDescent="0.25">
      <c r="A614">
        <v>2024</v>
      </c>
      <c r="B614">
        <v>9879</v>
      </c>
      <c r="C614" t="s">
        <v>677</v>
      </c>
      <c r="D614" t="s">
        <v>84</v>
      </c>
      <c r="E614" t="s">
        <v>85</v>
      </c>
      <c r="F614" t="s">
        <v>86</v>
      </c>
      <c r="G614" t="s">
        <v>173</v>
      </c>
      <c r="H614" t="s">
        <v>88</v>
      </c>
      <c r="I614" t="s">
        <v>96</v>
      </c>
      <c r="J614">
        <v>33351</v>
      </c>
      <c r="K614">
        <v>503106</v>
      </c>
      <c r="L614">
        <v>35013</v>
      </c>
      <c r="M614">
        <v>21964</v>
      </c>
      <c r="N614">
        <v>324371</v>
      </c>
      <c r="O614">
        <v>5616</v>
      </c>
      <c r="P614">
        <v>29367</v>
      </c>
      <c r="Q614">
        <v>577644</v>
      </c>
      <c r="R614">
        <v>38</v>
      </c>
      <c r="S614" t="s">
        <v>97</v>
      </c>
      <c r="T614" t="s">
        <v>97</v>
      </c>
      <c r="U614" t="s">
        <v>97</v>
      </c>
      <c r="V614">
        <v>84682</v>
      </c>
      <c r="W614">
        <v>1405121</v>
      </c>
      <c r="X614">
        <v>40667</v>
      </c>
      <c r="Y614">
        <f t="shared" si="9"/>
        <v>1405121</v>
      </c>
      <c r="Z614" t="str">
        <f>IF(ISNUMBER(SEARCH("Adjustment",$C614)),"excluded",IF($H614="Behind the Meter","excluded",IF(NOT(OR($E614="Bundled",$E614="Energy")),"excluded",IF(OR($H614="Retail Power Marketer",$H614="Community Choice Aggregator",$E614="Energy"),"procurement",IF(OR($H614="Municipal",$H614="Cooperative",$H614="Federal",$H614="State",$H614="Political Subdivision"),"cost_service",IF($H614="Investor Owned",IF(AND(COUNTIF(Parameters!$A$4:$A$33,$G614)&gt;0,COUNTIF(Parameters!$B$4:$B$33,$B614)=0),"procurement","cost_service"),"unclassified"))))))</f>
        <v>cost_service</v>
      </c>
    </row>
    <row r="615" spans="1:26" x14ac:dyDescent="0.25">
      <c r="A615">
        <v>2024</v>
      </c>
      <c r="B615">
        <v>9936</v>
      </c>
      <c r="C615" t="s">
        <v>678</v>
      </c>
      <c r="D615" t="s">
        <v>84</v>
      </c>
      <c r="E615" t="s">
        <v>85</v>
      </c>
      <c r="F615" t="s">
        <v>86</v>
      </c>
      <c r="G615" t="s">
        <v>95</v>
      </c>
      <c r="H615" t="s">
        <v>88</v>
      </c>
      <c r="I615" t="s">
        <v>96</v>
      </c>
      <c r="J615">
        <v>899.9</v>
      </c>
      <c r="K615">
        <v>7699</v>
      </c>
      <c r="L615">
        <v>970</v>
      </c>
      <c r="M615">
        <v>2079.6</v>
      </c>
      <c r="N615">
        <v>20928</v>
      </c>
      <c r="O615">
        <v>194</v>
      </c>
      <c r="P615">
        <v>1346</v>
      </c>
      <c r="Q615">
        <v>15959</v>
      </c>
      <c r="R615">
        <v>2</v>
      </c>
      <c r="S615">
        <v>0</v>
      </c>
      <c r="T615">
        <v>0</v>
      </c>
      <c r="U615">
        <v>0</v>
      </c>
      <c r="V615">
        <v>4325.5</v>
      </c>
      <c r="W615">
        <v>44586</v>
      </c>
      <c r="X615">
        <v>1166</v>
      </c>
      <c r="Y615">
        <f t="shared" si="9"/>
        <v>44586</v>
      </c>
      <c r="Z615" t="str">
        <f>IF(ISNUMBER(SEARCH("Adjustment",$C615)),"excluded",IF($H615="Behind the Meter","excluded",IF(NOT(OR($E615="Bundled",$E615="Energy")),"excluded",IF(OR($H615="Retail Power Marketer",$H615="Community Choice Aggregator",$E615="Energy"),"procurement",IF(OR($H615="Municipal",$H615="Cooperative",$H615="Federal",$H615="State",$H615="Political Subdivision"),"cost_service",IF($H615="Investor Owned",IF(AND(COUNTIF(Parameters!$A$4:$A$33,$G615)&gt;0,COUNTIF(Parameters!$B$4:$B$33,$B615)=0),"procurement","cost_service"),"unclassified"))))))</f>
        <v>cost_service</v>
      </c>
    </row>
    <row r="616" spans="1:26" x14ac:dyDescent="0.25">
      <c r="A616">
        <v>2024</v>
      </c>
      <c r="B616">
        <v>9949</v>
      </c>
      <c r="C616" t="s">
        <v>679</v>
      </c>
      <c r="D616" t="s">
        <v>99</v>
      </c>
      <c r="E616" t="s">
        <v>100</v>
      </c>
      <c r="F616" t="s">
        <v>86</v>
      </c>
      <c r="G616" t="s">
        <v>48</v>
      </c>
      <c r="H616" t="s">
        <v>101</v>
      </c>
      <c r="I616" t="s">
        <v>189</v>
      </c>
      <c r="J616">
        <v>72</v>
      </c>
      <c r="K616">
        <v>544</v>
      </c>
      <c r="L616">
        <v>100</v>
      </c>
      <c r="M616">
        <v>9.4</v>
      </c>
      <c r="N616">
        <v>59</v>
      </c>
      <c r="O616">
        <v>3</v>
      </c>
      <c r="P616">
        <v>0</v>
      </c>
      <c r="Q616">
        <v>0</v>
      </c>
      <c r="R616">
        <v>0</v>
      </c>
      <c r="S616">
        <v>0</v>
      </c>
      <c r="T616">
        <v>0</v>
      </c>
      <c r="U616">
        <v>0</v>
      </c>
      <c r="V616">
        <v>81.400000000000006</v>
      </c>
      <c r="W616">
        <v>603</v>
      </c>
      <c r="X616">
        <v>103</v>
      </c>
      <c r="Y616">
        <f t="shared" si="9"/>
        <v>603</v>
      </c>
      <c r="Z616" t="str">
        <f>IF(ISNUMBER(SEARCH("Adjustment",$C616)),"excluded",IF($H616="Behind the Meter","excluded",IF(NOT(OR($E616="Bundled",$E616="Energy")),"excluded",IF(OR($H616="Retail Power Marketer",$H616="Community Choice Aggregator",$E616="Energy"),"procurement",IF(OR($H616="Municipal",$H616="Cooperative",$H616="Federal",$H616="State",$H616="Political Subdivision"),"cost_service",IF($H616="Investor Owned",IF(AND(COUNTIF(Parameters!$A$4:$A$33,$G616)&gt;0,COUNTIF(Parameters!$B$4:$B$33,$B616)=0),"procurement","cost_service"),"unclassified"))))))</f>
        <v>procurement</v>
      </c>
    </row>
    <row r="617" spans="1:26" x14ac:dyDescent="0.25">
      <c r="A617">
        <v>2024</v>
      </c>
      <c r="B617">
        <v>9949</v>
      </c>
      <c r="C617" t="s">
        <v>679</v>
      </c>
      <c r="D617" t="s">
        <v>99</v>
      </c>
      <c r="E617" t="s">
        <v>100</v>
      </c>
      <c r="F617" t="s">
        <v>86</v>
      </c>
      <c r="G617" t="s">
        <v>55</v>
      </c>
      <c r="H617" t="s">
        <v>101</v>
      </c>
      <c r="I617" t="s">
        <v>92</v>
      </c>
      <c r="J617">
        <v>29825.8</v>
      </c>
      <c r="K617">
        <v>236938</v>
      </c>
      <c r="L617">
        <v>20938</v>
      </c>
      <c r="M617">
        <v>5.0999999999999996</v>
      </c>
      <c r="N617">
        <v>45</v>
      </c>
      <c r="O617">
        <v>3</v>
      </c>
      <c r="P617">
        <v>0</v>
      </c>
      <c r="Q617">
        <v>0</v>
      </c>
      <c r="R617">
        <v>0</v>
      </c>
      <c r="S617">
        <v>0</v>
      </c>
      <c r="T617">
        <v>0</v>
      </c>
      <c r="U617">
        <v>0</v>
      </c>
      <c r="V617">
        <v>29830.9</v>
      </c>
      <c r="W617">
        <v>236983</v>
      </c>
      <c r="X617">
        <v>20941</v>
      </c>
      <c r="Y617">
        <f t="shared" si="9"/>
        <v>236983</v>
      </c>
      <c r="Z617" t="str">
        <f>IF(ISNUMBER(SEARCH("Adjustment",$C617)),"excluded",IF($H617="Behind the Meter","excluded",IF(NOT(OR($E617="Bundled",$E617="Energy")),"excluded",IF(OR($H617="Retail Power Marketer",$H617="Community Choice Aggregator",$E617="Energy"),"procurement",IF(OR($H617="Municipal",$H617="Cooperative",$H617="Federal",$H617="State",$H617="Political Subdivision"),"cost_service",IF($H617="Investor Owned",IF(AND(COUNTIF(Parameters!$A$4:$A$33,$G617)&gt;0,COUNTIF(Parameters!$B$4:$B$33,$B617)=0),"procurement","cost_service"),"unclassified"))))))</f>
        <v>procurement</v>
      </c>
    </row>
    <row r="618" spans="1:26" x14ac:dyDescent="0.25">
      <c r="A618">
        <v>2024</v>
      </c>
      <c r="B618">
        <v>9949</v>
      </c>
      <c r="C618" t="s">
        <v>679</v>
      </c>
      <c r="D618" t="s">
        <v>150</v>
      </c>
      <c r="E618" t="s">
        <v>85</v>
      </c>
      <c r="F618" t="s">
        <v>86</v>
      </c>
      <c r="G618" t="s">
        <v>57</v>
      </c>
      <c r="H618" t="s">
        <v>101</v>
      </c>
      <c r="I618" t="s">
        <v>151</v>
      </c>
      <c r="J618">
        <v>906643.8</v>
      </c>
      <c r="K618">
        <v>5984993</v>
      </c>
      <c r="L618">
        <v>407723</v>
      </c>
      <c r="M618">
        <v>64146.9</v>
      </c>
      <c r="N618">
        <v>444623</v>
      </c>
      <c r="O618">
        <v>20249</v>
      </c>
      <c r="P618">
        <v>0</v>
      </c>
      <c r="Q618">
        <v>0</v>
      </c>
      <c r="R618">
        <v>0</v>
      </c>
      <c r="S618">
        <v>0</v>
      </c>
      <c r="T618">
        <v>0</v>
      </c>
      <c r="U618">
        <v>0</v>
      </c>
      <c r="V618">
        <v>970790.7</v>
      </c>
      <c r="W618">
        <v>6429616</v>
      </c>
      <c r="X618">
        <v>427972</v>
      </c>
      <c r="Y618">
        <f t="shared" si="9"/>
        <v>6429616</v>
      </c>
      <c r="Z618" t="str">
        <f>IF(ISNUMBER(SEARCH("Adjustment",$C618)),"excluded",IF($H618="Behind the Meter","excluded",IF(NOT(OR($E618="Bundled",$E618="Energy")),"excluded",IF(OR($H618="Retail Power Marketer",$H618="Community Choice Aggregator",$E618="Energy"),"procurement",IF(OR($H618="Municipal",$H618="Cooperative",$H618="Federal",$H618="State",$H618="Political Subdivision"),"cost_service",IF($H618="Investor Owned",IF(AND(COUNTIF(Parameters!$A$4:$A$33,$G618)&gt;0,COUNTIF(Parameters!$B$4:$B$33,$B618)=0),"procurement","cost_service"),"unclassified"))))))</f>
        <v>procurement</v>
      </c>
    </row>
    <row r="619" spans="1:26" x14ac:dyDescent="0.25">
      <c r="A619">
        <v>2024</v>
      </c>
      <c r="B619">
        <v>9964</v>
      </c>
      <c r="C619" t="s">
        <v>680</v>
      </c>
      <c r="D619" t="s">
        <v>84</v>
      </c>
      <c r="E619" t="s">
        <v>85</v>
      </c>
      <c r="F619" t="s">
        <v>86</v>
      </c>
      <c r="G619" t="s">
        <v>209</v>
      </c>
      <c r="H619" t="s">
        <v>91</v>
      </c>
      <c r="I619" t="s">
        <v>96</v>
      </c>
      <c r="J619">
        <v>101538</v>
      </c>
      <c r="K619">
        <v>670042</v>
      </c>
      <c r="L619">
        <v>47292</v>
      </c>
      <c r="M619">
        <v>41625</v>
      </c>
      <c r="N619">
        <v>304684</v>
      </c>
      <c r="O619">
        <v>12384</v>
      </c>
      <c r="P619">
        <v>221866</v>
      </c>
      <c r="Q619">
        <v>4473950</v>
      </c>
      <c r="R619">
        <v>26</v>
      </c>
      <c r="S619" t="s">
        <v>97</v>
      </c>
      <c r="T619" t="s">
        <v>97</v>
      </c>
      <c r="U619" t="s">
        <v>97</v>
      </c>
      <c r="V619">
        <v>365029</v>
      </c>
      <c r="W619">
        <v>5448676</v>
      </c>
      <c r="X619">
        <v>59702</v>
      </c>
      <c r="Y619">
        <f t="shared" si="9"/>
        <v>5448676</v>
      </c>
      <c r="Z619" t="str">
        <f>IF(ISNUMBER(SEARCH("Adjustment",$C619)),"excluded",IF($H619="Behind the Meter","excluded",IF(NOT(OR($E619="Bundled",$E619="Energy")),"excluded",IF(OR($H619="Retail Power Marketer",$H619="Community Choice Aggregator",$E619="Energy"),"procurement",IF(OR($H619="Municipal",$H619="Cooperative",$H619="Federal",$H619="State",$H619="Political Subdivision"),"cost_service",IF($H619="Investor Owned",IF(AND(COUNTIF(Parameters!$A$4:$A$33,$G619)&gt;0,COUNTIF(Parameters!$B$4:$B$33,$B619)=0),"procurement","cost_service"),"unclassified"))))))</f>
        <v>cost_service</v>
      </c>
    </row>
    <row r="620" spans="1:26" x14ac:dyDescent="0.25">
      <c r="A620">
        <v>2024</v>
      </c>
      <c r="B620">
        <v>9996</v>
      </c>
      <c r="C620" t="s">
        <v>681</v>
      </c>
      <c r="D620" t="s">
        <v>84</v>
      </c>
      <c r="E620" t="s">
        <v>85</v>
      </c>
      <c r="F620" t="s">
        <v>86</v>
      </c>
      <c r="G620" t="s">
        <v>134</v>
      </c>
      <c r="H620" t="s">
        <v>88</v>
      </c>
      <c r="I620" t="s">
        <v>135</v>
      </c>
      <c r="J620">
        <v>87905</v>
      </c>
      <c r="K620">
        <v>572473</v>
      </c>
      <c r="L620">
        <v>61475</v>
      </c>
      <c r="M620">
        <v>129362</v>
      </c>
      <c r="N620">
        <v>1073013</v>
      </c>
      <c r="O620">
        <v>7082</v>
      </c>
      <c r="P620">
        <v>49823</v>
      </c>
      <c r="Q620">
        <v>507713</v>
      </c>
      <c r="R620">
        <v>80</v>
      </c>
      <c r="S620">
        <v>0</v>
      </c>
      <c r="T620">
        <v>0</v>
      </c>
      <c r="U620">
        <v>0</v>
      </c>
      <c r="V620">
        <v>267090</v>
      </c>
      <c r="W620">
        <v>2153199</v>
      </c>
      <c r="X620">
        <v>68637</v>
      </c>
      <c r="Y620">
        <f t="shared" si="9"/>
        <v>2153199</v>
      </c>
      <c r="Z620" t="str">
        <f>IF(ISNUMBER(SEARCH("Adjustment",$C620)),"excluded",IF($H620="Behind the Meter","excluded",IF(NOT(OR($E620="Bundled",$E620="Energy")),"excluded",IF(OR($H620="Retail Power Marketer",$H620="Community Choice Aggregator",$E620="Energy"),"procurement",IF(OR($H620="Municipal",$H620="Cooperative",$H620="Federal",$H620="State",$H620="Political Subdivision"),"cost_service",IF($H620="Investor Owned",IF(AND(COUNTIF(Parameters!$A$4:$A$33,$G620)&gt;0,COUNTIF(Parameters!$B$4:$B$33,$B620)=0),"procurement","cost_service"),"unclassified"))))))</f>
        <v>cost_service</v>
      </c>
    </row>
    <row r="621" spans="1:26" x14ac:dyDescent="0.25">
      <c r="A621">
        <v>2024</v>
      </c>
      <c r="B621">
        <v>9999</v>
      </c>
      <c r="C621" t="s">
        <v>682</v>
      </c>
      <c r="D621" t="s">
        <v>84</v>
      </c>
      <c r="E621" t="s">
        <v>85</v>
      </c>
      <c r="F621" t="s">
        <v>86</v>
      </c>
      <c r="G621" t="s">
        <v>130</v>
      </c>
      <c r="H621" t="s">
        <v>91</v>
      </c>
      <c r="I621" t="s">
        <v>96</v>
      </c>
      <c r="J621">
        <v>33202.9</v>
      </c>
      <c r="K621">
        <v>218432</v>
      </c>
      <c r="L621">
        <v>18994</v>
      </c>
      <c r="M621">
        <v>8353.7000000000007</v>
      </c>
      <c r="N621">
        <v>54191</v>
      </c>
      <c r="O621">
        <v>2647</v>
      </c>
      <c r="P621">
        <v>2750.7</v>
      </c>
      <c r="Q621">
        <v>24748</v>
      </c>
      <c r="R621">
        <v>12</v>
      </c>
      <c r="S621" t="s">
        <v>97</v>
      </c>
      <c r="T621" t="s">
        <v>97</v>
      </c>
      <c r="U621" t="s">
        <v>97</v>
      </c>
      <c r="V621">
        <v>44307.3</v>
      </c>
      <c r="W621">
        <v>297371</v>
      </c>
      <c r="X621">
        <v>21653</v>
      </c>
      <c r="Y621">
        <f t="shared" si="9"/>
        <v>297371</v>
      </c>
      <c r="Z621" t="str">
        <f>IF(ISNUMBER(SEARCH("Adjustment",$C621)),"excluded",IF($H621="Behind the Meter","excluded",IF(NOT(OR($E621="Bundled",$E621="Energy")),"excluded",IF(OR($H621="Retail Power Marketer",$H621="Community Choice Aggregator",$E621="Energy"),"procurement",IF(OR($H621="Municipal",$H621="Cooperative",$H621="Federal",$H621="State",$H621="Political Subdivision"),"cost_service",IF($H621="Investor Owned",IF(AND(COUNTIF(Parameters!$A$4:$A$33,$G621)&gt;0,COUNTIF(Parameters!$B$4:$B$33,$B621)=0),"procurement","cost_service"),"unclassified"))))))</f>
        <v>cost_service</v>
      </c>
    </row>
    <row r="622" spans="1:26" x14ac:dyDescent="0.25">
      <c r="A622">
        <v>2024</v>
      </c>
      <c r="B622">
        <v>10000</v>
      </c>
      <c r="C622" t="s">
        <v>683</v>
      </c>
      <c r="D622" t="s">
        <v>84</v>
      </c>
      <c r="E622" t="s">
        <v>85</v>
      </c>
      <c r="F622" t="s">
        <v>86</v>
      </c>
      <c r="G622" t="s">
        <v>134</v>
      </c>
      <c r="H622" t="s">
        <v>109</v>
      </c>
      <c r="I622" t="s">
        <v>135</v>
      </c>
      <c r="J622">
        <v>374727.3</v>
      </c>
      <c r="K622">
        <v>2854073</v>
      </c>
      <c r="L622">
        <v>244555</v>
      </c>
      <c r="M622">
        <v>344816.3</v>
      </c>
      <c r="N622">
        <v>3221176</v>
      </c>
      <c r="O622">
        <v>31292</v>
      </c>
      <c r="P622">
        <v>23731.599999999999</v>
      </c>
      <c r="Q622">
        <v>241033</v>
      </c>
      <c r="R622">
        <v>825</v>
      </c>
      <c r="S622" t="s">
        <v>97</v>
      </c>
      <c r="T622" t="s">
        <v>97</v>
      </c>
      <c r="U622" t="s">
        <v>97</v>
      </c>
      <c r="V622">
        <v>743275.2</v>
      </c>
      <c r="W622">
        <v>6316282</v>
      </c>
      <c r="X622">
        <v>276672</v>
      </c>
      <c r="Y622">
        <f t="shared" si="9"/>
        <v>6316282</v>
      </c>
      <c r="Z622" t="str">
        <f>IF(ISNUMBER(SEARCH("Adjustment",$C622)),"excluded",IF($H622="Behind the Meter","excluded",IF(NOT(OR($E622="Bundled",$E622="Energy")),"excluded",IF(OR($H622="Retail Power Marketer",$H622="Community Choice Aggregator",$E622="Energy"),"procurement",IF(OR($H622="Municipal",$H622="Cooperative",$H622="Federal",$H622="State",$H622="Political Subdivision"),"cost_service",IF($H622="Investor Owned",IF(AND(COUNTIF(Parameters!$A$4:$A$33,$G622)&gt;0,COUNTIF(Parameters!$B$4:$B$33,$B622)=0),"procurement","cost_service"),"unclassified"))))))</f>
        <v>cost_service</v>
      </c>
    </row>
    <row r="623" spans="1:26" x14ac:dyDescent="0.25">
      <c r="A623">
        <v>2024</v>
      </c>
      <c r="B623">
        <v>10000</v>
      </c>
      <c r="C623" t="s">
        <v>683</v>
      </c>
      <c r="D623" t="s">
        <v>84</v>
      </c>
      <c r="E623" t="s">
        <v>85</v>
      </c>
      <c r="F623" t="s">
        <v>86</v>
      </c>
      <c r="G623" t="s">
        <v>226</v>
      </c>
      <c r="H623" t="s">
        <v>109</v>
      </c>
      <c r="I623" t="s">
        <v>135</v>
      </c>
      <c r="J623">
        <v>359634.1</v>
      </c>
      <c r="K623">
        <v>2621084</v>
      </c>
      <c r="L623">
        <v>273860</v>
      </c>
      <c r="M623">
        <v>435026.1</v>
      </c>
      <c r="N623">
        <v>4193265</v>
      </c>
      <c r="O623">
        <v>33476</v>
      </c>
      <c r="P623">
        <v>108174.39999999999</v>
      </c>
      <c r="Q623">
        <v>1467831</v>
      </c>
      <c r="R623">
        <v>881</v>
      </c>
      <c r="S623">
        <v>293.2</v>
      </c>
      <c r="T623">
        <v>2379</v>
      </c>
      <c r="U623">
        <v>1</v>
      </c>
      <c r="V623">
        <v>903127.8</v>
      </c>
      <c r="W623">
        <v>8284559</v>
      </c>
      <c r="X623">
        <v>308218</v>
      </c>
      <c r="Y623">
        <f t="shared" si="9"/>
        <v>8284559</v>
      </c>
      <c r="Z623" t="str">
        <f>IF(ISNUMBER(SEARCH("Adjustment",$C623)),"excluded",IF($H623="Behind the Meter","excluded",IF(NOT(OR($E623="Bundled",$E623="Energy")),"excluded",IF(OR($H623="Retail Power Marketer",$H623="Community Choice Aggregator",$E623="Energy"),"procurement",IF(OR($H623="Municipal",$H623="Cooperative",$H623="Federal",$H623="State",$H623="Political Subdivision"),"cost_service",IF($H623="Investor Owned",IF(AND(COUNTIF(Parameters!$A$4:$A$33,$G623)&gt;0,COUNTIF(Parameters!$B$4:$B$33,$B623)=0),"procurement","cost_service"),"unclassified"))))))</f>
        <v>cost_service</v>
      </c>
    </row>
    <row r="624" spans="1:26" x14ac:dyDescent="0.25">
      <c r="A624">
        <v>2024</v>
      </c>
      <c r="B624">
        <v>10005</v>
      </c>
      <c r="C624" t="s">
        <v>684</v>
      </c>
      <c r="D624" t="s">
        <v>84</v>
      </c>
      <c r="E624" t="s">
        <v>85</v>
      </c>
      <c r="F624" t="s">
        <v>86</v>
      </c>
      <c r="G624" t="s">
        <v>134</v>
      </c>
      <c r="H624" t="s">
        <v>109</v>
      </c>
      <c r="I624" t="s">
        <v>135</v>
      </c>
      <c r="J624">
        <v>453478.9</v>
      </c>
      <c r="K624">
        <v>3181627</v>
      </c>
      <c r="L624">
        <v>302508</v>
      </c>
      <c r="M624">
        <v>354433.4</v>
      </c>
      <c r="N624">
        <v>3150612</v>
      </c>
      <c r="O624">
        <v>40867</v>
      </c>
      <c r="P624">
        <v>260844.9</v>
      </c>
      <c r="Q624">
        <v>3416549</v>
      </c>
      <c r="R624">
        <v>3119</v>
      </c>
      <c r="S624" t="s">
        <v>97</v>
      </c>
      <c r="T624" t="s">
        <v>97</v>
      </c>
      <c r="U624" t="s">
        <v>97</v>
      </c>
      <c r="V624">
        <v>1068757.2</v>
      </c>
      <c r="W624">
        <v>9748788</v>
      </c>
      <c r="X624">
        <v>346494</v>
      </c>
      <c r="Y624">
        <f t="shared" si="9"/>
        <v>9748788</v>
      </c>
      <c r="Z624" t="str">
        <f>IF(ISNUMBER(SEARCH("Adjustment",$C624)),"excluded",IF($H624="Behind the Meter","excluded",IF(NOT(OR($E624="Bundled",$E624="Energy")),"excluded",IF(OR($H624="Retail Power Marketer",$H624="Community Choice Aggregator",$E624="Energy"),"procurement",IF(OR($H624="Municipal",$H624="Cooperative",$H624="Federal",$H624="State",$H624="Political Subdivision"),"cost_service",IF($H624="Investor Owned",IF(AND(COUNTIF(Parameters!$A$4:$A$33,$G624)&gt;0,COUNTIF(Parameters!$B$4:$B$33,$B624)=0),"procurement","cost_service"),"unclassified"))))))</f>
        <v>cost_service</v>
      </c>
    </row>
    <row r="625" spans="1:26" x14ac:dyDescent="0.25">
      <c r="A625">
        <v>2024</v>
      </c>
      <c r="B625">
        <v>10009</v>
      </c>
      <c r="C625" t="s">
        <v>685</v>
      </c>
      <c r="D625" t="s">
        <v>84</v>
      </c>
      <c r="E625" t="s">
        <v>85</v>
      </c>
      <c r="F625" t="s">
        <v>86</v>
      </c>
      <c r="G625" t="s">
        <v>57</v>
      </c>
      <c r="H625" t="s">
        <v>91</v>
      </c>
      <c r="I625" t="s">
        <v>151</v>
      </c>
      <c r="J625">
        <v>22940</v>
      </c>
      <c r="K625">
        <v>231647</v>
      </c>
      <c r="L625">
        <v>13222</v>
      </c>
      <c r="M625">
        <v>59235</v>
      </c>
      <c r="N625">
        <v>640754</v>
      </c>
      <c r="O625">
        <v>9416</v>
      </c>
      <c r="P625">
        <v>38785</v>
      </c>
      <c r="Q625">
        <v>629504</v>
      </c>
      <c r="R625">
        <v>511</v>
      </c>
      <c r="S625" t="s">
        <v>97</v>
      </c>
      <c r="T625" t="s">
        <v>97</v>
      </c>
      <c r="U625" t="s">
        <v>97</v>
      </c>
      <c r="V625">
        <v>120960</v>
      </c>
      <c r="W625">
        <v>1501905</v>
      </c>
      <c r="X625">
        <v>23149</v>
      </c>
      <c r="Y625">
        <f t="shared" si="9"/>
        <v>1501905</v>
      </c>
      <c r="Z625" t="str">
        <f>IF(ISNUMBER(SEARCH("Adjustment",$C625)),"excluded",IF($H625="Behind the Meter","excluded",IF(NOT(OR($E625="Bundled",$E625="Energy")),"excluded",IF(OR($H625="Retail Power Marketer",$H625="Community Choice Aggregator",$E625="Energy"),"procurement",IF(OR($H625="Municipal",$H625="Cooperative",$H625="Federal",$H625="State",$H625="Political Subdivision"),"cost_service",IF($H625="Investor Owned",IF(AND(COUNTIF(Parameters!$A$4:$A$33,$G625)&gt;0,COUNTIF(Parameters!$B$4:$B$33,$B625)=0),"procurement","cost_service"),"unclassified"))))))</f>
        <v>cost_service</v>
      </c>
    </row>
    <row r="626" spans="1:26" x14ac:dyDescent="0.25">
      <c r="A626">
        <v>2024</v>
      </c>
      <c r="B626">
        <v>10012</v>
      </c>
      <c r="C626" t="s">
        <v>686</v>
      </c>
      <c r="D626" t="s">
        <v>84</v>
      </c>
      <c r="E626" t="s">
        <v>85</v>
      </c>
      <c r="F626" t="s">
        <v>86</v>
      </c>
      <c r="G626" t="s">
        <v>136</v>
      </c>
      <c r="H626" t="s">
        <v>91</v>
      </c>
      <c r="I626" t="s">
        <v>135</v>
      </c>
      <c r="J626">
        <v>7459</v>
      </c>
      <c r="K626">
        <v>52805</v>
      </c>
      <c r="L626">
        <v>4371</v>
      </c>
      <c r="M626">
        <v>16305</v>
      </c>
      <c r="N626">
        <v>130493</v>
      </c>
      <c r="O626">
        <v>1521</v>
      </c>
      <c r="P626">
        <v>15761</v>
      </c>
      <c r="Q626">
        <v>250547</v>
      </c>
      <c r="R626">
        <v>7</v>
      </c>
      <c r="S626">
        <v>0</v>
      </c>
      <c r="T626">
        <v>0</v>
      </c>
      <c r="U626">
        <v>0</v>
      </c>
      <c r="V626">
        <v>39525</v>
      </c>
      <c r="W626">
        <v>433845</v>
      </c>
      <c r="X626">
        <v>5899</v>
      </c>
      <c r="Y626">
        <f t="shared" si="9"/>
        <v>433845</v>
      </c>
      <c r="Z626" t="str">
        <f>IF(ISNUMBER(SEARCH("Adjustment",$C626)),"excluded",IF($H626="Behind the Meter","excluded",IF(NOT(OR($E626="Bundled",$E626="Energy")),"excluded",IF(OR($H626="Retail Power Marketer",$H626="Community Choice Aggregator",$E626="Energy"),"procurement",IF(OR($H626="Municipal",$H626="Cooperative",$H626="Federal",$H626="State",$H626="Political Subdivision"),"cost_service",IF($H626="Investor Owned",IF(AND(COUNTIF(Parameters!$A$4:$A$33,$G626)&gt;0,COUNTIF(Parameters!$B$4:$B$33,$B626)=0),"procurement","cost_service"),"unclassified"))))))</f>
        <v>cost_service</v>
      </c>
    </row>
    <row r="627" spans="1:26" x14ac:dyDescent="0.25">
      <c r="A627">
        <v>2024</v>
      </c>
      <c r="B627">
        <v>10019</v>
      </c>
      <c r="C627" t="s">
        <v>687</v>
      </c>
      <c r="D627" t="s">
        <v>84</v>
      </c>
      <c r="E627" t="s">
        <v>85</v>
      </c>
      <c r="F627" t="s">
        <v>86</v>
      </c>
      <c r="G627" t="s">
        <v>134</v>
      </c>
      <c r="H627" t="s">
        <v>91</v>
      </c>
      <c r="I627" t="s">
        <v>135</v>
      </c>
      <c r="J627">
        <v>36491</v>
      </c>
      <c r="K627">
        <v>222322</v>
      </c>
      <c r="L627">
        <v>17514</v>
      </c>
      <c r="M627">
        <v>5600</v>
      </c>
      <c r="N627">
        <v>37159</v>
      </c>
      <c r="O627">
        <v>1467</v>
      </c>
      <c r="P627">
        <v>2040</v>
      </c>
      <c r="Q627">
        <v>22544</v>
      </c>
      <c r="R627">
        <v>11</v>
      </c>
      <c r="S627" t="s">
        <v>97</v>
      </c>
      <c r="T627" t="s">
        <v>97</v>
      </c>
      <c r="U627" t="s">
        <v>97</v>
      </c>
      <c r="V627">
        <v>44131</v>
      </c>
      <c r="W627">
        <v>282025</v>
      </c>
      <c r="X627">
        <v>18992</v>
      </c>
      <c r="Y627">
        <f t="shared" si="9"/>
        <v>282025</v>
      </c>
      <c r="Z627" t="str">
        <f>IF(ISNUMBER(SEARCH("Adjustment",$C627)),"excluded",IF($H627="Behind the Meter","excluded",IF(NOT(OR($E627="Bundled",$E627="Energy")),"excluded",IF(OR($H627="Retail Power Marketer",$H627="Community Choice Aggregator",$E627="Energy"),"procurement",IF(OR($H627="Municipal",$H627="Cooperative",$H627="Federal",$H627="State",$H627="Political Subdivision"),"cost_service",IF($H627="Investor Owned",IF(AND(COUNTIF(Parameters!$A$4:$A$33,$G627)&gt;0,COUNTIF(Parameters!$B$4:$B$33,$B627)=0),"procurement","cost_service"),"unclassified"))))))</f>
        <v>cost_service</v>
      </c>
    </row>
    <row r="628" spans="1:26" x14ac:dyDescent="0.25">
      <c r="A628">
        <v>2024</v>
      </c>
      <c r="B628">
        <v>10056</v>
      </c>
      <c r="C628" t="s">
        <v>688</v>
      </c>
      <c r="D628" t="s">
        <v>84</v>
      </c>
      <c r="E628" t="s">
        <v>85</v>
      </c>
      <c r="F628" t="s">
        <v>86</v>
      </c>
      <c r="G628" t="s">
        <v>95</v>
      </c>
      <c r="H628" t="s">
        <v>88</v>
      </c>
      <c r="I628" t="s">
        <v>96</v>
      </c>
      <c r="J628">
        <v>15556.2</v>
      </c>
      <c r="K628">
        <v>124114</v>
      </c>
      <c r="L628">
        <v>14543</v>
      </c>
      <c r="M628">
        <v>13855.4</v>
      </c>
      <c r="N628">
        <v>133536</v>
      </c>
      <c r="O628">
        <v>2056</v>
      </c>
      <c r="P628">
        <v>26858.7</v>
      </c>
      <c r="Q628">
        <v>356560</v>
      </c>
      <c r="R628">
        <v>13</v>
      </c>
      <c r="S628">
        <v>0</v>
      </c>
      <c r="T628">
        <v>0</v>
      </c>
      <c r="U628">
        <v>0</v>
      </c>
      <c r="V628">
        <v>56270.3</v>
      </c>
      <c r="W628">
        <v>614210</v>
      </c>
      <c r="X628">
        <v>16612</v>
      </c>
      <c r="Y628">
        <f t="shared" si="9"/>
        <v>614210</v>
      </c>
      <c r="Z628" t="str">
        <f>IF(ISNUMBER(SEARCH("Adjustment",$C628)),"excluded",IF($H628="Behind the Meter","excluded",IF(NOT(OR($E628="Bundled",$E628="Energy")),"excluded",IF(OR($H628="Retail Power Marketer",$H628="Community Choice Aggregator",$E628="Energy"),"procurement",IF(OR($H628="Municipal",$H628="Cooperative",$H628="Federal",$H628="State",$H628="Political Subdivision"),"cost_service",IF($H628="Investor Owned",IF(AND(COUNTIF(Parameters!$A$4:$A$33,$G628)&gt;0,COUNTIF(Parameters!$B$4:$B$33,$B628)=0),"procurement","cost_service"),"unclassified"))))))</f>
        <v>cost_service</v>
      </c>
    </row>
    <row r="629" spans="1:26" x14ac:dyDescent="0.25">
      <c r="A629">
        <v>2024</v>
      </c>
      <c r="B629">
        <v>10066</v>
      </c>
      <c r="C629" t="s">
        <v>689</v>
      </c>
      <c r="D629" t="s">
        <v>84</v>
      </c>
      <c r="E629" t="s">
        <v>85</v>
      </c>
      <c r="F629" t="s">
        <v>86</v>
      </c>
      <c r="G629" t="s">
        <v>361</v>
      </c>
      <c r="H629" t="s">
        <v>91</v>
      </c>
      <c r="I629" t="s">
        <v>259</v>
      </c>
      <c r="J629">
        <v>5361.1</v>
      </c>
      <c r="K629">
        <v>40943</v>
      </c>
      <c r="L629">
        <v>3404</v>
      </c>
      <c r="M629">
        <v>15200.8</v>
      </c>
      <c r="N629">
        <v>121498</v>
      </c>
      <c r="O629">
        <v>2560</v>
      </c>
      <c r="P629">
        <v>8561.2999999999993</v>
      </c>
      <c r="Q629">
        <v>77042</v>
      </c>
      <c r="R629">
        <v>661</v>
      </c>
      <c r="S629" t="s">
        <v>97</v>
      </c>
      <c r="T629" t="s">
        <v>97</v>
      </c>
      <c r="U629" t="s">
        <v>97</v>
      </c>
      <c r="V629">
        <v>29123.200000000001</v>
      </c>
      <c r="W629">
        <v>239483</v>
      </c>
      <c r="X629">
        <v>6625</v>
      </c>
      <c r="Y629">
        <f t="shared" si="9"/>
        <v>239483</v>
      </c>
      <c r="Z629" t="str">
        <f>IF(ISNUMBER(SEARCH("Adjustment",$C629)),"excluded",IF($H629="Behind the Meter","excluded",IF(NOT(OR($E629="Bundled",$E629="Energy")),"excluded",IF(OR($H629="Retail Power Marketer",$H629="Community Choice Aggregator",$E629="Energy"),"procurement",IF(OR($H629="Municipal",$H629="Cooperative",$H629="Federal",$H629="State",$H629="Political Subdivision"),"cost_service",IF($H629="Investor Owned",IF(AND(COUNTIF(Parameters!$A$4:$A$33,$G629)&gt;0,COUNTIF(Parameters!$B$4:$B$33,$B629)=0),"procurement","cost_service"),"unclassified"))))))</f>
        <v>cost_service</v>
      </c>
    </row>
    <row r="630" spans="1:26" x14ac:dyDescent="0.25">
      <c r="A630">
        <v>2024</v>
      </c>
      <c r="B630">
        <v>10071</v>
      </c>
      <c r="C630" t="s">
        <v>690</v>
      </c>
      <c r="D630" t="s">
        <v>84</v>
      </c>
      <c r="E630" t="s">
        <v>85</v>
      </c>
      <c r="F630" t="s">
        <v>86</v>
      </c>
      <c r="G630" t="s">
        <v>605</v>
      </c>
      <c r="H630" t="s">
        <v>91</v>
      </c>
      <c r="I630" t="s">
        <v>119</v>
      </c>
      <c r="J630">
        <v>79983.399999999994</v>
      </c>
      <c r="K630">
        <v>193728</v>
      </c>
      <c r="L630">
        <v>30109</v>
      </c>
      <c r="M630">
        <v>49287.1</v>
      </c>
      <c r="N630">
        <v>118236</v>
      </c>
      <c r="O630">
        <v>5094</v>
      </c>
      <c r="P630">
        <v>59535.5</v>
      </c>
      <c r="Q630">
        <v>160503</v>
      </c>
      <c r="R630">
        <v>113</v>
      </c>
      <c r="S630">
        <v>0</v>
      </c>
      <c r="T630">
        <v>0</v>
      </c>
      <c r="U630">
        <v>0</v>
      </c>
      <c r="V630">
        <v>188806</v>
      </c>
      <c r="W630">
        <v>472467</v>
      </c>
      <c r="X630">
        <v>35316</v>
      </c>
      <c r="Y630">
        <f t="shared" si="9"/>
        <v>472467</v>
      </c>
      <c r="Z630" t="str">
        <f>IF(ISNUMBER(SEARCH("Adjustment",$C630)),"excluded",IF($H630="Behind the Meter","excluded",IF(NOT(OR($E630="Bundled",$E630="Energy")),"excluded",IF(OR($H630="Retail Power Marketer",$H630="Community Choice Aggregator",$E630="Energy"),"procurement",IF(OR($H630="Municipal",$H630="Cooperative",$H630="Federal",$H630="State",$H630="Political Subdivision"),"cost_service",IF($H630="Investor Owned",IF(AND(COUNTIF(Parameters!$A$4:$A$33,$G630)&gt;0,COUNTIF(Parameters!$B$4:$B$33,$B630)=0),"procurement","cost_service"),"unclassified"))))))</f>
        <v>cost_service</v>
      </c>
    </row>
    <row r="631" spans="1:26" x14ac:dyDescent="0.25">
      <c r="A631">
        <v>2024</v>
      </c>
      <c r="B631">
        <v>10170</v>
      </c>
      <c r="C631" t="s">
        <v>691</v>
      </c>
      <c r="D631" t="s">
        <v>84</v>
      </c>
      <c r="E631" t="s">
        <v>85</v>
      </c>
      <c r="F631" t="s">
        <v>86</v>
      </c>
      <c r="G631" t="s">
        <v>136</v>
      </c>
      <c r="H631" t="s">
        <v>91</v>
      </c>
      <c r="I631" t="s">
        <v>227</v>
      </c>
      <c r="J631">
        <v>35266</v>
      </c>
      <c r="K631">
        <v>273463</v>
      </c>
      <c r="L631">
        <v>18685</v>
      </c>
      <c r="M631">
        <v>9157</v>
      </c>
      <c r="N631">
        <v>73838</v>
      </c>
      <c r="O631">
        <v>1835</v>
      </c>
      <c r="P631">
        <v>3697</v>
      </c>
      <c r="Q631">
        <v>44218</v>
      </c>
      <c r="R631">
        <v>12</v>
      </c>
      <c r="S631" t="s">
        <v>97</v>
      </c>
      <c r="T631" t="s">
        <v>97</v>
      </c>
      <c r="U631" t="s">
        <v>97</v>
      </c>
      <c r="V631">
        <v>48120</v>
      </c>
      <c r="W631">
        <v>391519</v>
      </c>
      <c r="X631">
        <v>20532</v>
      </c>
      <c r="Y631">
        <f t="shared" si="9"/>
        <v>391519</v>
      </c>
      <c r="Z631" t="str">
        <f>IF(ISNUMBER(SEARCH("Adjustment",$C631)),"excluded",IF($H631="Behind the Meter","excluded",IF(NOT(OR($E631="Bundled",$E631="Energy")),"excluded",IF(OR($H631="Retail Power Marketer",$H631="Community Choice Aggregator",$E631="Energy"),"procurement",IF(OR($H631="Municipal",$H631="Cooperative",$H631="Federal",$H631="State",$H631="Political Subdivision"),"cost_service",IF($H631="Investor Owned",IF(AND(COUNTIF(Parameters!$A$4:$A$33,$G631)&gt;0,COUNTIF(Parameters!$B$4:$B$33,$B631)=0),"procurement","cost_service"),"unclassified"))))))</f>
        <v>cost_service</v>
      </c>
    </row>
    <row r="632" spans="1:26" x14ac:dyDescent="0.25">
      <c r="A632">
        <v>2024</v>
      </c>
      <c r="B632">
        <v>10171</v>
      </c>
      <c r="C632" t="s">
        <v>692</v>
      </c>
      <c r="D632" t="s">
        <v>84</v>
      </c>
      <c r="E632" t="s">
        <v>85</v>
      </c>
      <c r="F632" t="s">
        <v>86</v>
      </c>
      <c r="G632" t="s">
        <v>209</v>
      </c>
      <c r="H632" t="s">
        <v>109</v>
      </c>
      <c r="I632" t="s">
        <v>534</v>
      </c>
      <c r="J632">
        <v>702923.8</v>
      </c>
      <c r="K632">
        <v>5933106</v>
      </c>
      <c r="L632">
        <v>450673</v>
      </c>
      <c r="M632">
        <v>642277.69999999995</v>
      </c>
      <c r="N632">
        <v>5536949</v>
      </c>
      <c r="O632">
        <v>94302</v>
      </c>
      <c r="P632">
        <v>435621.6</v>
      </c>
      <c r="Q632">
        <v>6125648</v>
      </c>
      <c r="R632">
        <v>1624</v>
      </c>
      <c r="S632" t="s">
        <v>97</v>
      </c>
      <c r="T632" t="s">
        <v>97</v>
      </c>
      <c r="U632" t="s">
        <v>97</v>
      </c>
      <c r="V632">
        <v>1780823.1</v>
      </c>
      <c r="W632">
        <v>17595703</v>
      </c>
      <c r="X632">
        <v>546599</v>
      </c>
      <c r="Y632">
        <f t="shared" si="9"/>
        <v>17595703</v>
      </c>
      <c r="Z632" t="str">
        <f>IF(ISNUMBER(SEARCH("Adjustment",$C632)),"excluded",IF($H632="Behind the Meter","excluded",IF(NOT(OR($E632="Bundled",$E632="Energy")),"excluded",IF(OR($H632="Retail Power Marketer",$H632="Community Choice Aggregator",$E632="Energy"),"procurement",IF(OR($H632="Municipal",$H632="Cooperative",$H632="Federal",$H632="State",$H632="Political Subdivision"),"cost_service",IF($H632="Investor Owned",IF(AND(COUNTIF(Parameters!$A$4:$A$33,$G632)&gt;0,COUNTIF(Parameters!$B$4:$B$33,$B632)=0),"procurement","cost_service"),"unclassified"))))))</f>
        <v>cost_service</v>
      </c>
    </row>
    <row r="633" spans="1:26" x14ac:dyDescent="0.25">
      <c r="A633">
        <v>2024</v>
      </c>
      <c r="B633">
        <v>10171</v>
      </c>
      <c r="C633" t="s">
        <v>692</v>
      </c>
      <c r="D633" t="s">
        <v>84</v>
      </c>
      <c r="E633" t="s">
        <v>85</v>
      </c>
      <c r="F633" t="s">
        <v>86</v>
      </c>
      <c r="G633" t="s">
        <v>93</v>
      </c>
      <c r="H633" t="s">
        <v>109</v>
      </c>
      <c r="I633" t="s">
        <v>534</v>
      </c>
      <c r="J633">
        <v>46449.1</v>
      </c>
      <c r="K633">
        <v>325240</v>
      </c>
      <c r="L633">
        <v>22669</v>
      </c>
      <c r="M633">
        <v>28782.9</v>
      </c>
      <c r="N633">
        <v>230757</v>
      </c>
      <c r="O633">
        <v>4762</v>
      </c>
      <c r="P633">
        <v>8812.6</v>
      </c>
      <c r="Q633">
        <v>71135</v>
      </c>
      <c r="R633">
        <v>64</v>
      </c>
      <c r="S633" t="s">
        <v>97</v>
      </c>
      <c r="T633" t="s">
        <v>97</v>
      </c>
      <c r="U633" t="s">
        <v>97</v>
      </c>
      <c r="V633">
        <v>84044.6</v>
      </c>
      <c r="W633">
        <v>627132</v>
      </c>
      <c r="X633">
        <v>27495</v>
      </c>
      <c r="Y633">
        <f t="shared" si="9"/>
        <v>627132</v>
      </c>
      <c r="Z633" t="str">
        <f>IF(ISNUMBER(SEARCH("Adjustment",$C633)),"excluded",IF($H633="Behind the Meter","excluded",IF(NOT(OR($E633="Bundled",$E633="Energy")),"excluded",IF(OR($H633="Retail Power Marketer",$H633="Community Choice Aggregator",$E633="Energy"),"procurement",IF(OR($H633="Municipal",$H633="Cooperative",$H633="Federal",$H633="State",$H633="Political Subdivision"),"cost_service",IF($H633="Investor Owned",IF(AND(COUNTIF(Parameters!$A$4:$A$33,$G633)&gt;0,COUNTIF(Parameters!$B$4:$B$33,$B633)=0),"procurement","cost_service"),"unclassified"))))))</f>
        <v>cost_service</v>
      </c>
    </row>
    <row r="634" spans="1:26" x14ac:dyDescent="0.25">
      <c r="A634">
        <v>2024</v>
      </c>
      <c r="B634">
        <v>10210</v>
      </c>
      <c r="C634" t="s">
        <v>693</v>
      </c>
      <c r="D634" t="s">
        <v>84</v>
      </c>
      <c r="E634" t="s">
        <v>85</v>
      </c>
      <c r="F634" t="s">
        <v>86</v>
      </c>
      <c r="G634" t="s">
        <v>118</v>
      </c>
      <c r="H634" t="s">
        <v>88</v>
      </c>
      <c r="I634" t="s">
        <v>119</v>
      </c>
      <c r="J634">
        <v>9741.7000000000007</v>
      </c>
      <c r="K634">
        <v>78034</v>
      </c>
      <c r="L634">
        <v>6561</v>
      </c>
      <c r="M634">
        <v>9227.2000000000007</v>
      </c>
      <c r="N634">
        <v>76702</v>
      </c>
      <c r="O634">
        <v>1389</v>
      </c>
      <c r="P634">
        <v>2361.1</v>
      </c>
      <c r="Q634">
        <v>22752</v>
      </c>
      <c r="R634">
        <v>14</v>
      </c>
      <c r="S634">
        <v>0</v>
      </c>
      <c r="T634">
        <v>0</v>
      </c>
      <c r="U634">
        <v>0</v>
      </c>
      <c r="V634">
        <v>21330</v>
      </c>
      <c r="W634">
        <v>177488</v>
      </c>
      <c r="X634">
        <v>7964</v>
      </c>
      <c r="Y634">
        <f t="shared" si="9"/>
        <v>177488</v>
      </c>
      <c r="Z634" t="str">
        <f>IF(ISNUMBER(SEARCH("Adjustment",$C634)),"excluded",IF($H634="Behind the Meter","excluded",IF(NOT(OR($E634="Bundled",$E634="Energy")),"excluded",IF(OR($H634="Retail Power Marketer",$H634="Community Choice Aggregator",$E634="Energy"),"procurement",IF(OR($H634="Municipal",$H634="Cooperative",$H634="Federal",$H634="State",$H634="Political Subdivision"),"cost_service",IF($H634="Investor Owned",IF(AND(COUNTIF(Parameters!$A$4:$A$33,$G634)&gt;0,COUNTIF(Parameters!$B$4:$B$33,$B634)=0),"procurement","cost_service"),"unclassified"))))))</f>
        <v>cost_service</v>
      </c>
    </row>
    <row r="635" spans="1:26" x14ac:dyDescent="0.25">
      <c r="A635">
        <v>2024</v>
      </c>
      <c r="B635">
        <v>10226</v>
      </c>
      <c r="C635" t="s">
        <v>694</v>
      </c>
      <c r="D635" t="s">
        <v>84</v>
      </c>
      <c r="E635" t="s">
        <v>85</v>
      </c>
      <c r="F635" t="s">
        <v>86</v>
      </c>
      <c r="G635" t="s">
        <v>195</v>
      </c>
      <c r="H635" t="s">
        <v>88</v>
      </c>
      <c r="I635" t="s">
        <v>528</v>
      </c>
      <c r="J635">
        <v>55404</v>
      </c>
      <c r="K635">
        <v>394917</v>
      </c>
      <c r="L635">
        <v>27264</v>
      </c>
      <c r="M635">
        <v>51965</v>
      </c>
      <c r="N635">
        <v>346391</v>
      </c>
      <c r="O635">
        <v>4609</v>
      </c>
      <c r="P635" t="s">
        <v>97</v>
      </c>
      <c r="Q635" t="s">
        <v>97</v>
      </c>
      <c r="R635" t="s">
        <v>97</v>
      </c>
      <c r="S635" t="s">
        <v>97</v>
      </c>
      <c r="T635" t="s">
        <v>97</v>
      </c>
      <c r="U635" t="s">
        <v>97</v>
      </c>
      <c r="V635">
        <v>107369</v>
      </c>
      <c r="W635">
        <v>741308</v>
      </c>
      <c r="X635">
        <v>31873</v>
      </c>
      <c r="Y635">
        <f t="shared" si="9"/>
        <v>741308</v>
      </c>
      <c r="Z635" t="str">
        <f>IF(ISNUMBER(SEARCH("Adjustment",$C635)),"excluded",IF($H635="Behind the Meter","excluded",IF(NOT(OR($E635="Bundled",$E635="Energy")),"excluded",IF(OR($H635="Retail Power Marketer",$H635="Community Choice Aggregator",$E635="Energy"),"procurement",IF(OR($H635="Municipal",$H635="Cooperative",$H635="Federal",$H635="State",$H635="Political Subdivision"),"cost_service",IF($H635="Investor Owned",IF(AND(COUNTIF(Parameters!$A$4:$A$33,$G635)&gt;0,COUNTIF(Parameters!$B$4:$B$33,$B635)=0),"procurement","cost_service"),"unclassified"))))))</f>
        <v>cost_service</v>
      </c>
    </row>
    <row r="636" spans="1:26" x14ac:dyDescent="0.25">
      <c r="A636">
        <v>2024</v>
      </c>
      <c r="B636">
        <v>10325</v>
      </c>
      <c r="C636" t="s">
        <v>695</v>
      </c>
      <c r="D636" t="s">
        <v>84</v>
      </c>
      <c r="E636" t="s">
        <v>85</v>
      </c>
      <c r="F636" t="s">
        <v>86</v>
      </c>
      <c r="G636" t="s">
        <v>115</v>
      </c>
      <c r="H636" t="s">
        <v>205</v>
      </c>
      <c r="I636" t="s">
        <v>116</v>
      </c>
      <c r="J636" t="s">
        <v>97</v>
      </c>
      <c r="K636" t="s">
        <v>97</v>
      </c>
      <c r="L636" t="s">
        <v>97</v>
      </c>
      <c r="M636">
        <v>3623.4</v>
      </c>
      <c r="N636">
        <v>450755</v>
      </c>
      <c r="O636">
        <v>1</v>
      </c>
      <c r="P636" t="s">
        <v>97</v>
      </c>
      <c r="Q636" t="s">
        <v>97</v>
      </c>
      <c r="R636" t="s">
        <v>97</v>
      </c>
      <c r="S636" t="s">
        <v>97</v>
      </c>
      <c r="T636" t="s">
        <v>97</v>
      </c>
      <c r="U636" t="s">
        <v>97</v>
      </c>
      <c r="V636">
        <v>3623.4</v>
      </c>
      <c r="W636">
        <v>450755</v>
      </c>
      <c r="X636">
        <v>1</v>
      </c>
      <c r="Y636">
        <f t="shared" si="9"/>
        <v>450755</v>
      </c>
      <c r="Z636" t="str">
        <f>IF(ISNUMBER(SEARCH("Adjustment",$C636)),"excluded",IF($H636="Behind the Meter","excluded",IF(NOT(OR($E636="Bundled",$E636="Energy")),"excluded",IF(OR($H636="Retail Power Marketer",$H636="Community Choice Aggregator",$E636="Energy"),"procurement",IF(OR($H636="Municipal",$H636="Cooperative",$H636="Federal",$H636="State",$H636="Political Subdivision"),"cost_service",IF($H636="Investor Owned",IF(AND(COUNTIF(Parameters!$A$4:$A$33,$G636)&gt;0,COUNTIF(Parameters!$B$4:$B$33,$B636)=0),"procurement","cost_service"),"unclassified"))))))</f>
        <v>cost_service</v>
      </c>
    </row>
    <row r="637" spans="1:26" x14ac:dyDescent="0.25">
      <c r="A637">
        <v>2024</v>
      </c>
      <c r="B637">
        <v>10331</v>
      </c>
      <c r="C637" t="s">
        <v>696</v>
      </c>
      <c r="D637" t="s">
        <v>84</v>
      </c>
      <c r="E637" t="s">
        <v>85</v>
      </c>
      <c r="F637" t="s">
        <v>86</v>
      </c>
      <c r="G637" t="s">
        <v>156</v>
      </c>
      <c r="H637" t="s">
        <v>109</v>
      </c>
      <c r="I637" t="s">
        <v>92</v>
      </c>
      <c r="J637">
        <v>81661</v>
      </c>
      <c r="K637">
        <v>636147</v>
      </c>
      <c r="L637">
        <v>43159</v>
      </c>
      <c r="M637">
        <v>53303</v>
      </c>
      <c r="N637">
        <v>386067</v>
      </c>
      <c r="O637">
        <v>6136</v>
      </c>
      <c r="P637">
        <v>72743</v>
      </c>
      <c r="Q637">
        <v>780515</v>
      </c>
      <c r="R637">
        <v>194</v>
      </c>
      <c r="S637">
        <v>0</v>
      </c>
      <c r="T637">
        <v>0</v>
      </c>
      <c r="U637">
        <v>0</v>
      </c>
      <c r="V637">
        <v>207707</v>
      </c>
      <c r="W637">
        <v>1802729</v>
      </c>
      <c r="X637">
        <v>49489</v>
      </c>
      <c r="Y637">
        <f t="shared" si="9"/>
        <v>1802729</v>
      </c>
      <c r="Z637" t="str">
        <f>IF(ISNUMBER(SEARCH("Adjustment",$C637)),"excluded",IF($H637="Behind the Meter","excluded",IF(NOT(OR($E637="Bundled",$E637="Energy")),"excluded",IF(OR($H637="Retail Power Marketer",$H637="Community Choice Aggregator",$E637="Energy"),"procurement",IF(OR($H637="Municipal",$H637="Cooperative",$H637="Federal",$H637="State",$H637="Political Subdivision"),"cost_service",IF($H637="Investor Owned",IF(AND(COUNTIF(Parameters!$A$4:$A$33,$G637)&gt;0,COUNTIF(Parameters!$B$4:$B$33,$B637)=0),"procurement","cost_service"),"unclassified"))))))</f>
        <v>cost_service</v>
      </c>
    </row>
    <row r="638" spans="1:26" x14ac:dyDescent="0.25">
      <c r="A638">
        <v>2024</v>
      </c>
      <c r="B638">
        <v>10345</v>
      </c>
      <c r="C638" t="s">
        <v>697</v>
      </c>
      <c r="D638" t="s">
        <v>84</v>
      </c>
      <c r="E638" t="s">
        <v>85</v>
      </c>
      <c r="F638" t="s">
        <v>86</v>
      </c>
      <c r="G638" t="s">
        <v>125</v>
      </c>
      <c r="H638" t="s">
        <v>88</v>
      </c>
      <c r="I638" t="s">
        <v>163</v>
      </c>
      <c r="J638">
        <v>16727.599999999999</v>
      </c>
      <c r="K638">
        <v>127937</v>
      </c>
      <c r="L638">
        <v>10042</v>
      </c>
      <c r="M638">
        <v>14982.5</v>
      </c>
      <c r="N638">
        <v>128892</v>
      </c>
      <c r="O638">
        <v>1948</v>
      </c>
      <c r="P638">
        <v>13801.9</v>
      </c>
      <c r="Q638">
        <v>166762</v>
      </c>
      <c r="R638">
        <v>12</v>
      </c>
      <c r="S638" t="s">
        <v>97</v>
      </c>
      <c r="T638" t="s">
        <v>97</v>
      </c>
      <c r="U638" t="s">
        <v>97</v>
      </c>
      <c r="V638">
        <v>45512</v>
      </c>
      <c r="W638">
        <v>423591</v>
      </c>
      <c r="X638">
        <v>12002</v>
      </c>
      <c r="Y638">
        <f t="shared" si="9"/>
        <v>423591</v>
      </c>
      <c r="Z638" t="str">
        <f>IF(ISNUMBER(SEARCH("Adjustment",$C638)),"excluded",IF($H638="Behind the Meter","excluded",IF(NOT(OR($E638="Bundled",$E638="Energy")),"excluded",IF(OR($H638="Retail Power Marketer",$H638="Community Choice Aggregator",$E638="Energy"),"procurement",IF(OR($H638="Municipal",$H638="Cooperative",$H638="Federal",$H638="State",$H638="Political Subdivision"),"cost_service",IF($H638="Investor Owned",IF(AND(COUNTIF(Parameters!$A$4:$A$33,$G638)&gt;0,COUNTIF(Parameters!$B$4:$B$33,$B638)=0),"procurement","cost_service"),"unclassified"))))))</f>
        <v>cost_service</v>
      </c>
    </row>
    <row r="639" spans="1:26" x14ac:dyDescent="0.25">
      <c r="A639">
        <v>2024</v>
      </c>
      <c r="B639">
        <v>10370</v>
      </c>
      <c r="C639" t="s">
        <v>698</v>
      </c>
      <c r="D639" t="s">
        <v>84</v>
      </c>
      <c r="E639" t="s">
        <v>85</v>
      </c>
      <c r="F639" t="s">
        <v>86</v>
      </c>
      <c r="G639" t="s">
        <v>226</v>
      </c>
      <c r="H639" t="s">
        <v>88</v>
      </c>
      <c r="I639" t="s">
        <v>96</v>
      </c>
      <c r="J639">
        <v>13781</v>
      </c>
      <c r="K639">
        <v>96003</v>
      </c>
      <c r="L639">
        <v>9084</v>
      </c>
      <c r="M639">
        <v>11904</v>
      </c>
      <c r="N639">
        <v>84685</v>
      </c>
      <c r="O639">
        <v>1228</v>
      </c>
      <c r="P639">
        <v>956</v>
      </c>
      <c r="Q639">
        <v>5835</v>
      </c>
      <c r="R639">
        <v>1</v>
      </c>
      <c r="S639" t="s">
        <v>97</v>
      </c>
      <c r="T639" t="s">
        <v>97</v>
      </c>
      <c r="U639" t="s">
        <v>97</v>
      </c>
      <c r="V639">
        <v>26641</v>
      </c>
      <c r="W639">
        <v>186523</v>
      </c>
      <c r="X639">
        <v>10313</v>
      </c>
      <c r="Y639">
        <f t="shared" si="9"/>
        <v>186523</v>
      </c>
      <c r="Z639" t="str">
        <f>IF(ISNUMBER(SEARCH("Adjustment",$C639)),"excluded",IF($H639="Behind the Meter","excluded",IF(NOT(OR($E639="Bundled",$E639="Energy")),"excluded",IF(OR($H639="Retail Power Marketer",$H639="Community Choice Aggregator",$E639="Energy"),"procurement",IF(OR($H639="Municipal",$H639="Cooperative",$H639="Federal",$H639="State",$H639="Political Subdivision"),"cost_service",IF($H639="Investor Owned",IF(AND(COUNTIF(Parameters!$A$4:$A$33,$G639)&gt;0,COUNTIF(Parameters!$B$4:$B$33,$B639)=0),"procurement","cost_service"),"unclassified"))))))</f>
        <v>cost_service</v>
      </c>
    </row>
    <row r="640" spans="1:26" x14ac:dyDescent="0.25">
      <c r="A640">
        <v>2024</v>
      </c>
      <c r="B640">
        <v>10376</v>
      </c>
      <c r="C640" t="s">
        <v>699</v>
      </c>
      <c r="D640" t="s">
        <v>84</v>
      </c>
      <c r="E640" t="s">
        <v>85</v>
      </c>
      <c r="F640" t="s">
        <v>86</v>
      </c>
      <c r="G640" t="s">
        <v>195</v>
      </c>
      <c r="H640" t="s">
        <v>88</v>
      </c>
      <c r="I640" t="s">
        <v>528</v>
      </c>
      <c r="J640">
        <v>141365</v>
      </c>
      <c r="K640">
        <v>1069507</v>
      </c>
      <c r="L640">
        <v>79281</v>
      </c>
      <c r="M640">
        <v>76210.899999999994</v>
      </c>
      <c r="N640">
        <v>601873</v>
      </c>
      <c r="O640">
        <v>12232</v>
      </c>
      <c r="P640">
        <v>16633.400000000001</v>
      </c>
      <c r="Q640">
        <v>150994</v>
      </c>
      <c r="R640">
        <v>48</v>
      </c>
      <c r="S640">
        <v>0</v>
      </c>
      <c r="T640">
        <v>0</v>
      </c>
      <c r="U640">
        <v>0</v>
      </c>
      <c r="V640">
        <v>234209.3</v>
      </c>
      <c r="W640">
        <v>1822374</v>
      </c>
      <c r="X640">
        <v>91561</v>
      </c>
      <c r="Y640">
        <f t="shared" si="9"/>
        <v>1822374</v>
      </c>
      <c r="Z640" t="str">
        <f>IF(ISNUMBER(SEARCH("Adjustment",$C640)),"excluded",IF($H640="Behind the Meter","excluded",IF(NOT(OR($E640="Bundled",$E640="Energy")),"excluded",IF(OR($H640="Retail Power Marketer",$H640="Community Choice Aggregator",$E640="Energy"),"procurement",IF(OR($H640="Municipal",$H640="Cooperative",$H640="Federal",$H640="State",$H640="Political Subdivision"),"cost_service",IF($H640="Investor Owned",IF(AND(COUNTIF(Parameters!$A$4:$A$33,$G640)&gt;0,COUNTIF(Parameters!$B$4:$B$33,$B640)=0),"procurement","cost_service"),"unclassified"))))))</f>
        <v>cost_service</v>
      </c>
    </row>
    <row r="641" spans="1:26" x14ac:dyDescent="0.25">
      <c r="A641">
        <v>2024</v>
      </c>
      <c r="B641">
        <v>10378</v>
      </c>
      <c r="C641" t="s">
        <v>700</v>
      </c>
      <c r="D641" t="s">
        <v>84</v>
      </c>
      <c r="E641" t="s">
        <v>85</v>
      </c>
      <c r="F641" t="s">
        <v>86</v>
      </c>
      <c r="G641" t="s">
        <v>308</v>
      </c>
      <c r="H641" t="s">
        <v>91</v>
      </c>
      <c r="I641" t="s">
        <v>309</v>
      </c>
      <c r="J641">
        <v>28030.7</v>
      </c>
      <c r="K641">
        <v>154183</v>
      </c>
      <c r="L641">
        <v>26097</v>
      </c>
      <c r="M641">
        <v>17617</v>
      </c>
      <c r="N641">
        <v>112231</v>
      </c>
      <c r="O641">
        <v>4700</v>
      </c>
      <c r="P641">
        <v>2216.6999999999998</v>
      </c>
      <c r="Q641">
        <v>18551</v>
      </c>
      <c r="R641">
        <v>10</v>
      </c>
      <c r="S641" t="s">
        <v>97</v>
      </c>
      <c r="T641" t="s">
        <v>97</v>
      </c>
      <c r="U641" t="s">
        <v>97</v>
      </c>
      <c r="V641">
        <v>47864.4</v>
      </c>
      <c r="W641">
        <v>284965</v>
      </c>
      <c r="X641">
        <v>30807</v>
      </c>
      <c r="Y641">
        <f t="shared" si="9"/>
        <v>284965</v>
      </c>
      <c r="Z641" t="str">
        <f>IF(ISNUMBER(SEARCH("Adjustment",$C641)),"excluded",IF($H641="Behind the Meter","excluded",IF(NOT(OR($E641="Bundled",$E641="Energy")),"excluded",IF(OR($H641="Retail Power Marketer",$H641="Community Choice Aggregator",$E641="Energy"),"procurement",IF(OR($H641="Municipal",$H641="Cooperative",$H641="Federal",$H641="State",$H641="Political Subdivision"),"cost_service",IF($H641="Investor Owned",IF(AND(COUNTIF(Parameters!$A$4:$A$33,$G641)&gt;0,COUNTIF(Parameters!$B$4:$B$33,$B641)=0),"procurement","cost_service"),"unclassified"))))))</f>
        <v>cost_service</v>
      </c>
    </row>
    <row r="642" spans="1:26" x14ac:dyDescent="0.25">
      <c r="A642">
        <v>2024</v>
      </c>
      <c r="B642">
        <v>10393</v>
      </c>
      <c r="C642" t="s">
        <v>701</v>
      </c>
      <c r="D642" t="s">
        <v>84</v>
      </c>
      <c r="E642" t="s">
        <v>85</v>
      </c>
      <c r="F642" t="s">
        <v>86</v>
      </c>
      <c r="G642" t="s">
        <v>148</v>
      </c>
      <c r="H642" t="s">
        <v>205</v>
      </c>
      <c r="I642" t="s">
        <v>206</v>
      </c>
      <c r="J642">
        <v>19790</v>
      </c>
      <c r="K642">
        <v>164190</v>
      </c>
      <c r="L642">
        <v>11917</v>
      </c>
      <c r="M642">
        <v>11226</v>
      </c>
      <c r="N642">
        <v>112111</v>
      </c>
      <c r="O642">
        <v>2115</v>
      </c>
      <c r="P642">
        <v>6642</v>
      </c>
      <c r="Q642">
        <v>105219</v>
      </c>
      <c r="R642">
        <v>254</v>
      </c>
      <c r="S642" t="s">
        <v>97</v>
      </c>
      <c r="T642" t="s">
        <v>97</v>
      </c>
      <c r="U642" t="s">
        <v>97</v>
      </c>
      <c r="V642">
        <v>37658</v>
      </c>
      <c r="W642">
        <v>381520</v>
      </c>
      <c r="X642">
        <v>14286</v>
      </c>
      <c r="Y642">
        <f t="shared" si="9"/>
        <v>381520</v>
      </c>
      <c r="Z642" t="str">
        <f>IF(ISNUMBER(SEARCH("Adjustment",$C642)),"excluded",IF($H642="Behind the Meter","excluded",IF(NOT(OR($E642="Bundled",$E642="Energy")),"excluded",IF(OR($H642="Retail Power Marketer",$H642="Community Choice Aggregator",$E642="Energy"),"procurement",IF(OR($H642="Municipal",$H642="Cooperative",$H642="Federal",$H642="State",$H642="Political Subdivision"),"cost_service",IF($H642="Investor Owned",IF(AND(COUNTIF(Parameters!$A$4:$A$33,$G642)&gt;0,COUNTIF(Parameters!$B$4:$B$33,$B642)=0),"procurement","cost_service"),"unclassified"))))))</f>
        <v>cost_service</v>
      </c>
    </row>
    <row r="643" spans="1:26" x14ac:dyDescent="0.25">
      <c r="A643">
        <v>2024</v>
      </c>
      <c r="B643">
        <v>10421</v>
      </c>
      <c r="C643" t="s">
        <v>702</v>
      </c>
      <c r="D643" t="s">
        <v>84</v>
      </c>
      <c r="E643" t="s">
        <v>85</v>
      </c>
      <c r="F643" t="s">
        <v>86</v>
      </c>
      <c r="G643" t="s">
        <v>156</v>
      </c>
      <c r="H643" t="s">
        <v>88</v>
      </c>
      <c r="I643" t="s">
        <v>89</v>
      </c>
      <c r="J643">
        <v>318595</v>
      </c>
      <c r="K643">
        <v>2540563</v>
      </c>
      <c r="L643">
        <v>193707</v>
      </c>
      <c r="M643">
        <v>276829</v>
      </c>
      <c r="N643">
        <v>2324105</v>
      </c>
      <c r="O643">
        <v>25566</v>
      </c>
      <c r="P643">
        <v>52491</v>
      </c>
      <c r="Q643">
        <v>1016780</v>
      </c>
      <c r="R643">
        <v>24</v>
      </c>
      <c r="S643">
        <v>0</v>
      </c>
      <c r="T643">
        <v>0</v>
      </c>
      <c r="U643">
        <v>0</v>
      </c>
      <c r="V643">
        <v>647915</v>
      </c>
      <c r="W643">
        <v>5881448</v>
      </c>
      <c r="X643">
        <v>219297</v>
      </c>
      <c r="Y643">
        <f t="shared" si="9"/>
        <v>5881448</v>
      </c>
      <c r="Z643" t="str">
        <f>IF(ISNUMBER(SEARCH("Adjustment",$C643)),"excluded",IF($H643="Behind the Meter","excluded",IF(NOT(OR($E643="Bundled",$E643="Energy")),"excluded",IF(OR($H643="Retail Power Marketer",$H643="Community Choice Aggregator",$E643="Energy"),"procurement",IF(OR($H643="Municipal",$H643="Cooperative",$H643="Federal",$H643="State",$H643="Political Subdivision"),"cost_service",IF($H643="Investor Owned",IF(AND(COUNTIF(Parameters!$A$4:$A$33,$G643)&gt;0,COUNTIF(Parameters!$B$4:$B$33,$B643)=0),"procurement","cost_service"),"unclassified"))))))</f>
        <v>cost_service</v>
      </c>
    </row>
    <row r="644" spans="1:26" x14ac:dyDescent="0.25">
      <c r="A644">
        <v>2024</v>
      </c>
      <c r="B644">
        <v>10433</v>
      </c>
      <c r="C644" t="s">
        <v>703</v>
      </c>
      <c r="D644" t="s">
        <v>84</v>
      </c>
      <c r="E644" t="s">
        <v>85</v>
      </c>
      <c r="F644" t="s">
        <v>86</v>
      </c>
      <c r="G644" t="s">
        <v>118</v>
      </c>
      <c r="H644" t="s">
        <v>91</v>
      </c>
      <c r="I644" t="s">
        <v>119</v>
      </c>
      <c r="J644">
        <v>7498</v>
      </c>
      <c r="K644">
        <v>39813</v>
      </c>
      <c r="L644">
        <v>4772</v>
      </c>
      <c r="M644">
        <v>4544</v>
      </c>
      <c r="N644">
        <v>24379</v>
      </c>
      <c r="O644">
        <v>1363</v>
      </c>
      <c r="P644">
        <v>14128</v>
      </c>
      <c r="Q644">
        <v>84636</v>
      </c>
      <c r="R644">
        <v>120</v>
      </c>
      <c r="S644" t="s">
        <v>97</v>
      </c>
      <c r="T644" t="s">
        <v>97</v>
      </c>
      <c r="U644" t="s">
        <v>97</v>
      </c>
      <c r="V644">
        <v>26170</v>
      </c>
      <c r="W644">
        <v>148828</v>
      </c>
      <c r="X644">
        <v>6255</v>
      </c>
      <c r="Y644">
        <f t="shared" ref="Y644:Y707" si="10">IF(ISNUMBER($W644),$W644,0)</f>
        <v>148828</v>
      </c>
      <c r="Z644" t="str">
        <f>IF(ISNUMBER(SEARCH("Adjustment",$C644)),"excluded",IF($H644="Behind the Meter","excluded",IF(NOT(OR($E644="Bundled",$E644="Energy")),"excluded",IF(OR($H644="Retail Power Marketer",$H644="Community Choice Aggregator",$E644="Energy"),"procurement",IF(OR($H644="Municipal",$H644="Cooperative",$H644="Federal",$H644="State",$H644="Political Subdivision"),"cost_service",IF($H644="Investor Owned",IF(AND(COUNTIF(Parameters!$A$4:$A$33,$G644)&gt;0,COUNTIF(Parameters!$B$4:$B$33,$B644)=0),"procurement","cost_service"),"unclassified"))))))</f>
        <v>cost_service</v>
      </c>
    </row>
    <row r="645" spans="1:26" x14ac:dyDescent="0.25">
      <c r="A645">
        <v>2024</v>
      </c>
      <c r="B645">
        <v>10448</v>
      </c>
      <c r="C645" t="s">
        <v>704</v>
      </c>
      <c r="D645" t="s">
        <v>84</v>
      </c>
      <c r="E645" t="s">
        <v>85</v>
      </c>
      <c r="F645" t="s">
        <v>86</v>
      </c>
      <c r="G645" t="s">
        <v>130</v>
      </c>
      <c r="H645" t="s">
        <v>91</v>
      </c>
      <c r="I645" t="s">
        <v>96</v>
      </c>
      <c r="J645">
        <v>24889.599999999999</v>
      </c>
      <c r="K645">
        <v>187587</v>
      </c>
      <c r="L645">
        <v>17435</v>
      </c>
      <c r="M645" t="s">
        <v>97</v>
      </c>
      <c r="N645" t="s">
        <v>97</v>
      </c>
      <c r="O645" t="s">
        <v>97</v>
      </c>
      <c r="P645">
        <v>27723.8</v>
      </c>
      <c r="Q645">
        <v>260404</v>
      </c>
      <c r="R645">
        <v>1568</v>
      </c>
      <c r="S645" t="s">
        <v>97</v>
      </c>
      <c r="T645" t="s">
        <v>97</v>
      </c>
      <c r="U645" t="s">
        <v>97</v>
      </c>
      <c r="V645">
        <v>52613.4</v>
      </c>
      <c r="W645">
        <v>447991</v>
      </c>
      <c r="X645">
        <v>19003</v>
      </c>
      <c r="Y645">
        <f t="shared" si="10"/>
        <v>447991</v>
      </c>
      <c r="Z645" t="str">
        <f>IF(ISNUMBER(SEARCH("Adjustment",$C645)),"excluded",IF($H645="Behind the Meter","excluded",IF(NOT(OR($E645="Bundled",$E645="Energy")),"excluded",IF(OR($H645="Retail Power Marketer",$H645="Community Choice Aggregator",$E645="Energy"),"procurement",IF(OR($H645="Municipal",$H645="Cooperative",$H645="Federal",$H645="State",$H645="Political Subdivision"),"cost_service",IF($H645="Investor Owned",IF(AND(COUNTIF(Parameters!$A$4:$A$33,$G645)&gt;0,COUNTIF(Parameters!$B$4:$B$33,$B645)=0),"procurement","cost_service"),"unclassified"))))))</f>
        <v>cost_service</v>
      </c>
    </row>
    <row r="646" spans="1:26" x14ac:dyDescent="0.25">
      <c r="A646">
        <v>2024</v>
      </c>
      <c r="B646">
        <v>10451</v>
      </c>
      <c r="C646" t="s">
        <v>705</v>
      </c>
      <c r="D646" t="s">
        <v>84</v>
      </c>
      <c r="E646" t="s">
        <v>85</v>
      </c>
      <c r="F646" t="s">
        <v>86</v>
      </c>
      <c r="G646" t="s">
        <v>118</v>
      </c>
      <c r="H646" t="s">
        <v>91</v>
      </c>
      <c r="I646" t="s">
        <v>119</v>
      </c>
      <c r="J646">
        <v>3695.1</v>
      </c>
      <c r="K646">
        <v>7715</v>
      </c>
      <c r="L646">
        <v>1227</v>
      </c>
      <c r="M646">
        <v>5258.4</v>
      </c>
      <c r="N646">
        <v>11559</v>
      </c>
      <c r="O646">
        <v>127</v>
      </c>
      <c r="P646">
        <v>0</v>
      </c>
      <c r="Q646">
        <v>0</v>
      </c>
      <c r="R646">
        <v>0</v>
      </c>
      <c r="S646">
        <v>0</v>
      </c>
      <c r="T646">
        <v>0</v>
      </c>
      <c r="U646">
        <v>0</v>
      </c>
      <c r="V646">
        <v>8953.5</v>
      </c>
      <c r="W646">
        <v>19274</v>
      </c>
      <c r="X646">
        <v>1354</v>
      </c>
      <c r="Y646">
        <f t="shared" si="10"/>
        <v>19274</v>
      </c>
      <c r="Z646" t="str">
        <f>IF(ISNUMBER(SEARCH("Adjustment",$C646)),"excluded",IF($H646="Behind the Meter","excluded",IF(NOT(OR($E646="Bundled",$E646="Energy")),"excluded",IF(OR($H646="Retail Power Marketer",$H646="Community Choice Aggregator",$E646="Energy"),"procurement",IF(OR($H646="Municipal",$H646="Cooperative",$H646="Federal",$H646="State",$H646="Political Subdivision"),"cost_service",IF($H646="Investor Owned",IF(AND(COUNTIF(Parameters!$A$4:$A$33,$G646)&gt;0,COUNTIF(Parameters!$B$4:$B$33,$B646)=0),"procurement","cost_service"),"unclassified"))))))</f>
        <v>cost_service</v>
      </c>
    </row>
    <row r="647" spans="1:26" x14ac:dyDescent="0.25">
      <c r="A647">
        <v>2024</v>
      </c>
      <c r="B647">
        <v>10454</v>
      </c>
      <c r="C647" t="s">
        <v>706</v>
      </c>
      <c r="D647" t="s">
        <v>84</v>
      </c>
      <c r="E647" t="s">
        <v>85</v>
      </c>
      <c r="F647" t="s">
        <v>86</v>
      </c>
      <c r="G647" t="s">
        <v>490</v>
      </c>
      <c r="H647" t="s">
        <v>91</v>
      </c>
      <c r="I647" t="s">
        <v>707</v>
      </c>
      <c r="J647">
        <v>50310</v>
      </c>
      <c r="K647">
        <v>412201</v>
      </c>
      <c r="L647">
        <v>30378</v>
      </c>
      <c r="M647">
        <v>16232</v>
      </c>
      <c r="N647">
        <v>140814</v>
      </c>
      <c r="O647">
        <v>2712</v>
      </c>
      <c r="P647">
        <v>2100.1999999999998</v>
      </c>
      <c r="Q647">
        <v>27592</v>
      </c>
      <c r="R647">
        <v>39</v>
      </c>
      <c r="S647">
        <v>0</v>
      </c>
      <c r="T647">
        <v>0</v>
      </c>
      <c r="U647">
        <v>0</v>
      </c>
      <c r="V647">
        <v>68642.2</v>
      </c>
      <c r="W647">
        <v>580607</v>
      </c>
      <c r="X647">
        <v>33129</v>
      </c>
      <c r="Y647">
        <f t="shared" si="10"/>
        <v>580607</v>
      </c>
      <c r="Z647" t="str">
        <f>IF(ISNUMBER(SEARCH("Adjustment",$C647)),"excluded",IF($H647="Behind the Meter","excluded",IF(NOT(OR($E647="Bundled",$E647="Energy")),"excluded",IF(OR($H647="Retail Power Marketer",$H647="Community Choice Aggregator",$E647="Energy"),"procurement",IF(OR($H647="Municipal",$H647="Cooperative",$H647="Federal",$H647="State",$H647="Political Subdivision"),"cost_service",IF($H647="Investor Owned",IF(AND(COUNTIF(Parameters!$A$4:$A$33,$G647)&gt;0,COUNTIF(Parameters!$B$4:$B$33,$B647)=0),"procurement","cost_service"),"unclassified"))))))</f>
        <v>cost_service</v>
      </c>
    </row>
    <row r="648" spans="1:26" x14ac:dyDescent="0.25">
      <c r="A648">
        <v>2024</v>
      </c>
      <c r="B648">
        <v>10454</v>
      </c>
      <c r="C648" t="s">
        <v>706</v>
      </c>
      <c r="D648" t="s">
        <v>84</v>
      </c>
      <c r="E648" t="s">
        <v>85</v>
      </c>
      <c r="F648" t="s">
        <v>86</v>
      </c>
      <c r="G648" t="s">
        <v>148</v>
      </c>
      <c r="H648" t="s">
        <v>91</v>
      </c>
      <c r="I648" t="s">
        <v>707</v>
      </c>
      <c r="J648">
        <v>258.39999999999998</v>
      </c>
      <c r="K648">
        <v>2377</v>
      </c>
      <c r="L648">
        <v>92</v>
      </c>
      <c r="M648">
        <v>24.5</v>
      </c>
      <c r="N648">
        <v>226</v>
      </c>
      <c r="O648">
        <v>4</v>
      </c>
      <c r="P648">
        <v>0.3</v>
      </c>
      <c r="Q648">
        <v>0</v>
      </c>
      <c r="R648">
        <v>1</v>
      </c>
      <c r="S648">
        <v>0</v>
      </c>
      <c r="T648">
        <v>0</v>
      </c>
      <c r="U648">
        <v>0</v>
      </c>
      <c r="V648">
        <v>283.2</v>
      </c>
      <c r="W648">
        <v>2603</v>
      </c>
      <c r="X648">
        <v>97</v>
      </c>
      <c r="Y648">
        <f t="shared" si="10"/>
        <v>2603</v>
      </c>
      <c r="Z648" t="str">
        <f>IF(ISNUMBER(SEARCH("Adjustment",$C648)),"excluded",IF($H648="Behind the Meter","excluded",IF(NOT(OR($E648="Bundled",$E648="Energy")),"excluded",IF(OR($H648="Retail Power Marketer",$H648="Community Choice Aggregator",$E648="Energy"),"procurement",IF(OR($H648="Municipal",$H648="Cooperative",$H648="Federal",$H648="State",$H648="Political Subdivision"),"cost_service",IF($H648="Investor Owned",IF(AND(COUNTIF(Parameters!$A$4:$A$33,$G648)&gt;0,COUNTIF(Parameters!$B$4:$B$33,$B648)=0),"procurement","cost_service"),"unclassified"))))))</f>
        <v>cost_service</v>
      </c>
    </row>
    <row r="649" spans="1:26" x14ac:dyDescent="0.25">
      <c r="A649">
        <v>2024</v>
      </c>
      <c r="B649">
        <v>10508</v>
      </c>
      <c r="C649" t="s">
        <v>708</v>
      </c>
      <c r="D649" t="s">
        <v>84</v>
      </c>
      <c r="E649" t="s">
        <v>85</v>
      </c>
      <c r="F649" t="s">
        <v>86</v>
      </c>
      <c r="G649" t="s">
        <v>140</v>
      </c>
      <c r="H649" t="s">
        <v>88</v>
      </c>
      <c r="I649" t="s">
        <v>96</v>
      </c>
      <c r="J649">
        <v>799.6</v>
      </c>
      <c r="K649">
        <v>4753</v>
      </c>
      <c r="L649">
        <v>946</v>
      </c>
      <c r="M649">
        <v>972</v>
      </c>
      <c r="N649">
        <v>6735</v>
      </c>
      <c r="O649">
        <v>208</v>
      </c>
      <c r="P649">
        <v>0</v>
      </c>
      <c r="Q649">
        <v>0</v>
      </c>
      <c r="R649">
        <v>0</v>
      </c>
      <c r="S649">
        <v>0</v>
      </c>
      <c r="T649">
        <v>0</v>
      </c>
      <c r="U649">
        <v>0</v>
      </c>
      <c r="V649">
        <v>1771.6</v>
      </c>
      <c r="W649">
        <v>11488</v>
      </c>
      <c r="X649">
        <v>1154</v>
      </c>
      <c r="Y649">
        <f t="shared" si="10"/>
        <v>11488</v>
      </c>
      <c r="Z649" t="str">
        <f>IF(ISNUMBER(SEARCH("Adjustment",$C649)),"excluded",IF($H649="Behind the Meter","excluded",IF(NOT(OR($E649="Bundled",$E649="Energy")),"excluded",IF(OR($H649="Retail Power Marketer",$H649="Community Choice Aggregator",$E649="Energy"),"procurement",IF(OR($H649="Municipal",$H649="Cooperative",$H649="Federal",$H649="State",$H649="Political Subdivision"),"cost_service",IF($H649="Investor Owned",IF(AND(COUNTIF(Parameters!$A$4:$A$33,$G649)&gt;0,COUNTIF(Parameters!$B$4:$B$33,$B649)=0),"procurement","cost_service"),"unclassified"))))))</f>
        <v>cost_service</v>
      </c>
    </row>
    <row r="650" spans="1:26" x14ac:dyDescent="0.25">
      <c r="A650">
        <v>2024</v>
      </c>
      <c r="B650">
        <v>10539</v>
      </c>
      <c r="C650" t="s">
        <v>709</v>
      </c>
      <c r="D650" t="s">
        <v>84</v>
      </c>
      <c r="E650" t="s">
        <v>85</v>
      </c>
      <c r="F650" t="s">
        <v>86</v>
      </c>
      <c r="G650" t="s">
        <v>361</v>
      </c>
      <c r="H650" t="s">
        <v>91</v>
      </c>
      <c r="I650" t="s">
        <v>259</v>
      </c>
      <c r="J650">
        <v>52878</v>
      </c>
      <c r="K650">
        <v>316525</v>
      </c>
      <c r="L650">
        <v>39931</v>
      </c>
      <c r="M650">
        <v>32002</v>
      </c>
      <c r="N650">
        <v>252265</v>
      </c>
      <c r="O650">
        <v>6839</v>
      </c>
      <c r="P650">
        <v>24757</v>
      </c>
      <c r="Q650">
        <v>309449</v>
      </c>
      <c r="R650">
        <v>232</v>
      </c>
      <c r="S650" t="s">
        <v>97</v>
      </c>
      <c r="T650" t="s">
        <v>97</v>
      </c>
      <c r="U650" t="s">
        <v>97</v>
      </c>
      <c r="V650">
        <v>109637</v>
      </c>
      <c r="W650">
        <v>878239</v>
      </c>
      <c r="X650">
        <v>47002</v>
      </c>
      <c r="Y650">
        <f t="shared" si="10"/>
        <v>878239</v>
      </c>
      <c r="Z650" t="str">
        <f>IF(ISNUMBER(SEARCH("Adjustment",$C650)),"excluded",IF($H650="Behind the Meter","excluded",IF(NOT(OR($E650="Bundled",$E650="Energy")),"excluded",IF(OR($H650="Retail Power Marketer",$H650="Community Choice Aggregator",$E650="Energy"),"procurement",IF(OR($H650="Municipal",$H650="Cooperative",$H650="Federal",$H650="State",$H650="Political Subdivision"),"cost_service",IF($H650="Investor Owned",IF(AND(COUNTIF(Parameters!$A$4:$A$33,$G650)&gt;0,COUNTIF(Parameters!$B$4:$B$33,$B650)=0),"procurement","cost_service"),"unclassified"))))))</f>
        <v>cost_service</v>
      </c>
    </row>
    <row r="651" spans="1:26" x14ac:dyDescent="0.25">
      <c r="A651">
        <v>2024</v>
      </c>
      <c r="B651">
        <v>10579</v>
      </c>
      <c r="C651" t="s">
        <v>710</v>
      </c>
      <c r="D651" t="s">
        <v>84</v>
      </c>
      <c r="E651" t="s">
        <v>85</v>
      </c>
      <c r="F651" t="s">
        <v>86</v>
      </c>
      <c r="G651" t="s">
        <v>156</v>
      </c>
      <c r="H651" t="s">
        <v>88</v>
      </c>
      <c r="I651" t="s">
        <v>89</v>
      </c>
      <c r="J651">
        <v>34287</v>
      </c>
      <c r="K651">
        <v>253837</v>
      </c>
      <c r="L651">
        <v>19934</v>
      </c>
      <c r="M651">
        <v>19612</v>
      </c>
      <c r="N651">
        <v>171619</v>
      </c>
      <c r="O651">
        <v>3418</v>
      </c>
      <c r="P651">
        <v>1537</v>
      </c>
      <c r="Q651">
        <v>15307</v>
      </c>
      <c r="R651">
        <v>2</v>
      </c>
      <c r="S651">
        <v>0</v>
      </c>
      <c r="T651">
        <v>0</v>
      </c>
      <c r="U651">
        <v>0</v>
      </c>
      <c r="V651">
        <v>55436</v>
      </c>
      <c r="W651">
        <v>440763</v>
      </c>
      <c r="X651">
        <v>23354</v>
      </c>
      <c r="Y651">
        <f t="shared" si="10"/>
        <v>440763</v>
      </c>
      <c r="Z651" t="str">
        <f>IF(ISNUMBER(SEARCH("Adjustment",$C651)),"excluded",IF($H651="Behind the Meter","excluded",IF(NOT(OR($E651="Bundled",$E651="Energy")),"excluded",IF(OR($H651="Retail Power Marketer",$H651="Community Choice Aggregator",$E651="Energy"),"procurement",IF(OR($H651="Municipal",$H651="Cooperative",$H651="Federal",$H651="State",$H651="Political Subdivision"),"cost_service",IF($H651="Investor Owned",IF(AND(COUNTIF(Parameters!$A$4:$A$33,$G651)&gt;0,COUNTIF(Parameters!$B$4:$B$33,$B651)=0),"procurement","cost_service"),"unclassified"))))))</f>
        <v>cost_service</v>
      </c>
    </row>
    <row r="652" spans="1:26" x14ac:dyDescent="0.25">
      <c r="A652">
        <v>2024</v>
      </c>
      <c r="B652">
        <v>10585</v>
      </c>
      <c r="C652" t="s">
        <v>711</v>
      </c>
      <c r="D652" t="s">
        <v>84</v>
      </c>
      <c r="E652" t="s">
        <v>85</v>
      </c>
      <c r="F652" t="s">
        <v>86</v>
      </c>
      <c r="G652" t="s">
        <v>123</v>
      </c>
      <c r="H652" t="s">
        <v>88</v>
      </c>
      <c r="I652" t="s">
        <v>113</v>
      </c>
      <c r="J652">
        <v>18036</v>
      </c>
      <c r="K652">
        <v>143475</v>
      </c>
      <c r="L652">
        <v>12347</v>
      </c>
      <c r="M652">
        <v>18141</v>
      </c>
      <c r="N652">
        <v>175550</v>
      </c>
      <c r="O652">
        <v>1906</v>
      </c>
      <c r="P652">
        <v>15841</v>
      </c>
      <c r="Q652">
        <v>197311</v>
      </c>
      <c r="R652">
        <v>59</v>
      </c>
      <c r="S652" t="s">
        <v>97</v>
      </c>
      <c r="T652" t="s">
        <v>97</v>
      </c>
      <c r="U652" t="s">
        <v>97</v>
      </c>
      <c r="V652">
        <v>52018</v>
      </c>
      <c r="W652">
        <v>516336</v>
      </c>
      <c r="X652">
        <v>14312</v>
      </c>
      <c r="Y652">
        <f t="shared" si="10"/>
        <v>516336</v>
      </c>
      <c r="Z652" t="str">
        <f>IF(ISNUMBER(SEARCH("Adjustment",$C652)),"excluded",IF($H652="Behind the Meter","excluded",IF(NOT(OR($E652="Bundled",$E652="Energy")),"excluded",IF(OR($H652="Retail Power Marketer",$H652="Community Choice Aggregator",$E652="Energy"),"procurement",IF(OR($H652="Municipal",$H652="Cooperative",$H652="Federal",$H652="State",$H652="Political Subdivision"),"cost_service",IF($H652="Investor Owned",IF(AND(COUNTIF(Parameters!$A$4:$A$33,$G652)&gt;0,COUNTIF(Parameters!$B$4:$B$33,$B652)=0),"procurement","cost_service"),"unclassified"))))))</f>
        <v>cost_service</v>
      </c>
    </row>
    <row r="653" spans="1:26" x14ac:dyDescent="0.25">
      <c r="A653">
        <v>2024</v>
      </c>
      <c r="B653">
        <v>10596</v>
      </c>
      <c r="C653" t="s">
        <v>712</v>
      </c>
      <c r="D653" t="s">
        <v>84</v>
      </c>
      <c r="E653" t="s">
        <v>85</v>
      </c>
      <c r="F653" t="s">
        <v>86</v>
      </c>
      <c r="G653" t="s">
        <v>104</v>
      </c>
      <c r="H653" t="s">
        <v>88</v>
      </c>
      <c r="I653" t="s">
        <v>96</v>
      </c>
      <c r="J653">
        <v>1676</v>
      </c>
      <c r="K653">
        <v>7993</v>
      </c>
      <c r="L653">
        <v>1070</v>
      </c>
      <c r="M653">
        <v>1418.2</v>
      </c>
      <c r="N653">
        <v>7983</v>
      </c>
      <c r="O653">
        <v>179</v>
      </c>
      <c r="P653" t="s">
        <v>97</v>
      </c>
      <c r="Q653" t="s">
        <v>97</v>
      </c>
      <c r="R653" t="s">
        <v>97</v>
      </c>
      <c r="S653" t="s">
        <v>97</v>
      </c>
      <c r="T653" t="s">
        <v>97</v>
      </c>
      <c r="U653" t="s">
        <v>97</v>
      </c>
      <c r="V653">
        <v>3094.2</v>
      </c>
      <c r="W653">
        <v>15976</v>
      </c>
      <c r="X653">
        <v>1249</v>
      </c>
      <c r="Y653">
        <f t="shared" si="10"/>
        <v>15976</v>
      </c>
      <c r="Z653" t="str">
        <f>IF(ISNUMBER(SEARCH("Adjustment",$C653)),"excluded",IF($H653="Behind the Meter","excluded",IF(NOT(OR($E653="Bundled",$E653="Energy")),"excluded",IF(OR($H653="Retail Power Marketer",$H653="Community Choice Aggregator",$E653="Energy"),"procurement",IF(OR($H653="Municipal",$H653="Cooperative",$H653="Federal",$H653="State",$H653="Political Subdivision"),"cost_service",IF($H653="Investor Owned",IF(AND(COUNTIF(Parameters!$A$4:$A$33,$G653)&gt;0,COUNTIF(Parameters!$B$4:$B$33,$B653)=0),"procurement","cost_service"),"unclassified"))))))</f>
        <v>cost_service</v>
      </c>
    </row>
    <row r="654" spans="1:26" x14ac:dyDescent="0.25">
      <c r="A654">
        <v>2024</v>
      </c>
      <c r="B654">
        <v>10599</v>
      </c>
      <c r="C654" t="s">
        <v>713</v>
      </c>
      <c r="D654" t="s">
        <v>84</v>
      </c>
      <c r="E654" t="s">
        <v>85</v>
      </c>
      <c r="F654" t="s">
        <v>86</v>
      </c>
      <c r="G654" t="s">
        <v>136</v>
      </c>
      <c r="H654" t="s">
        <v>91</v>
      </c>
      <c r="I654" t="s">
        <v>227</v>
      </c>
      <c r="J654">
        <v>41920</v>
      </c>
      <c r="K654">
        <v>348681</v>
      </c>
      <c r="L654">
        <v>24788</v>
      </c>
      <c r="M654">
        <v>3992</v>
      </c>
      <c r="N654">
        <v>35232</v>
      </c>
      <c r="O654">
        <v>1497</v>
      </c>
      <c r="P654">
        <v>7122</v>
      </c>
      <c r="Q654">
        <v>77152</v>
      </c>
      <c r="R654">
        <v>196</v>
      </c>
      <c r="S654" t="s">
        <v>97</v>
      </c>
      <c r="T654" t="s">
        <v>97</v>
      </c>
      <c r="U654" t="s">
        <v>97</v>
      </c>
      <c r="V654">
        <v>53034</v>
      </c>
      <c r="W654">
        <v>461065</v>
      </c>
      <c r="X654">
        <v>26481</v>
      </c>
      <c r="Y654">
        <f t="shared" si="10"/>
        <v>461065</v>
      </c>
      <c r="Z654" t="str">
        <f>IF(ISNUMBER(SEARCH("Adjustment",$C654)),"excluded",IF($H654="Behind the Meter","excluded",IF(NOT(OR($E654="Bundled",$E654="Energy")),"excluded",IF(OR($H654="Retail Power Marketer",$H654="Community Choice Aggregator",$E654="Energy"),"procurement",IF(OR($H654="Municipal",$H654="Cooperative",$H654="Federal",$H654="State",$H654="Political Subdivision"),"cost_service",IF($H654="Investor Owned",IF(AND(COUNTIF(Parameters!$A$4:$A$33,$G654)&gt;0,COUNTIF(Parameters!$B$4:$B$33,$B654)=0),"procurement","cost_service"),"unclassified"))))))</f>
        <v>cost_service</v>
      </c>
    </row>
    <row r="655" spans="1:26" x14ac:dyDescent="0.25">
      <c r="A655">
        <v>2024</v>
      </c>
      <c r="B655">
        <v>10603</v>
      </c>
      <c r="C655" t="s">
        <v>714</v>
      </c>
      <c r="D655" t="s">
        <v>84</v>
      </c>
      <c r="E655" t="s">
        <v>85</v>
      </c>
      <c r="F655" t="s">
        <v>86</v>
      </c>
      <c r="G655" t="s">
        <v>226</v>
      </c>
      <c r="H655" t="s">
        <v>91</v>
      </c>
      <c r="I655" t="s">
        <v>227</v>
      </c>
      <c r="J655">
        <v>59859</v>
      </c>
      <c r="K655">
        <v>510467</v>
      </c>
      <c r="L655">
        <v>35026</v>
      </c>
      <c r="M655">
        <v>13303</v>
      </c>
      <c r="N655">
        <v>114611</v>
      </c>
      <c r="O655">
        <v>3927</v>
      </c>
      <c r="P655">
        <v>2307</v>
      </c>
      <c r="Q655">
        <v>22638</v>
      </c>
      <c r="R655">
        <v>14</v>
      </c>
      <c r="S655" t="s">
        <v>97</v>
      </c>
      <c r="T655" t="s">
        <v>97</v>
      </c>
      <c r="U655" t="s">
        <v>97</v>
      </c>
      <c r="V655">
        <v>75469</v>
      </c>
      <c r="W655">
        <v>647716</v>
      </c>
      <c r="X655">
        <v>38967</v>
      </c>
      <c r="Y655">
        <f t="shared" si="10"/>
        <v>647716</v>
      </c>
      <c r="Z655" t="str">
        <f>IF(ISNUMBER(SEARCH("Adjustment",$C655)),"excluded",IF($H655="Behind the Meter","excluded",IF(NOT(OR($E655="Bundled",$E655="Energy")),"excluded",IF(OR($H655="Retail Power Marketer",$H655="Community Choice Aggregator",$E655="Energy"),"procurement",IF(OR($H655="Municipal",$H655="Cooperative",$H655="Federal",$H655="State",$H655="Political Subdivision"),"cost_service",IF($H655="Investor Owned",IF(AND(COUNTIF(Parameters!$A$4:$A$33,$G655)&gt;0,COUNTIF(Parameters!$B$4:$B$33,$B655)=0),"procurement","cost_service"),"unclassified"))))))</f>
        <v>cost_service</v>
      </c>
    </row>
    <row r="656" spans="1:26" x14ac:dyDescent="0.25">
      <c r="A656">
        <v>2024</v>
      </c>
      <c r="B656">
        <v>10605</v>
      </c>
      <c r="C656" t="s">
        <v>715</v>
      </c>
      <c r="D656" t="s">
        <v>84</v>
      </c>
      <c r="E656" t="s">
        <v>85</v>
      </c>
      <c r="F656" t="s">
        <v>86</v>
      </c>
      <c r="G656" t="s">
        <v>95</v>
      </c>
      <c r="H656" t="s">
        <v>88</v>
      </c>
      <c r="I656" t="s">
        <v>96</v>
      </c>
      <c r="J656">
        <v>4163</v>
      </c>
      <c r="K656">
        <v>30030</v>
      </c>
      <c r="L656">
        <v>4124</v>
      </c>
      <c r="M656">
        <v>3963.5</v>
      </c>
      <c r="N656">
        <v>32955</v>
      </c>
      <c r="O656">
        <v>456</v>
      </c>
      <c r="P656">
        <v>0</v>
      </c>
      <c r="Q656">
        <v>0</v>
      </c>
      <c r="R656">
        <v>0</v>
      </c>
      <c r="S656">
        <v>0</v>
      </c>
      <c r="T656">
        <v>0</v>
      </c>
      <c r="U656">
        <v>0</v>
      </c>
      <c r="V656">
        <v>8126.5</v>
      </c>
      <c r="W656">
        <v>62985</v>
      </c>
      <c r="X656">
        <v>4580</v>
      </c>
      <c r="Y656">
        <f t="shared" si="10"/>
        <v>62985</v>
      </c>
      <c r="Z656" t="str">
        <f>IF(ISNUMBER(SEARCH("Adjustment",$C656)),"excluded",IF($H656="Behind the Meter","excluded",IF(NOT(OR($E656="Bundled",$E656="Energy")),"excluded",IF(OR($H656="Retail Power Marketer",$H656="Community Choice Aggregator",$E656="Energy"),"procurement",IF(OR($H656="Municipal",$H656="Cooperative",$H656="Federal",$H656="State",$H656="Political Subdivision"),"cost_service",IF($H656="Investor Owned",IF(AND(COUNTIF(Parameters!$A$4:$A$33,$G656)&gt;0,COUNTIF(Parameters!$B$4:$B$33,$B656)=0),"procurement","cost_service"),"unclassified"))))))</f>
        <v>cost_service</v>
      </c>
    </row>
    <row r="657" spans="1:26" x14ac:dyDescent="0.25">
      <c r="A657">
        <v>2024</v>
      </c>
      <c r="B657">
        <v>10618</v>
      </c>
      <c r="C657" t="s">
        <v>716</v>
      </c>
      <c r="D657" t="s">
        <v>84</v>
      </c>
      <c r="E657" t="s">
        <v>85</v>
      </c>
      <c r="F657" t="s">
        <v>86</v>
      </c>
      <c r="G657" t="s">
        <v>104</v>
      </c>
      <c r="H657" t="s">
        <v>91</v>
      </c>
      <c r="I657" t="s">
        <v>96</v>
      </c>
      <c r="J657">
        <v>43164.9</v>
      </c>
      <c r="K657">
        <v>325139</v>
      </c>
      <c r="L657">
        <v>27239</v>
      </c>
      <c r="M657">
        <v>12171.1</v>
      </c>
      <c r="N657">
        <v>116245</v>
      </c>
      <c r="O657">
        <v>2082</v>
      </c>
      <c r="P657">
        <v>1912.7</v>
      </c>
      <c r="Q657">
        <v>13372</v>
      </c>
      <c r="R657">
        <v>748</v>
      </c>
      <c r="S657" t="s">
        <v>97</v>
      </c>
      <c r="T657" t="s">
        <v>97</v>
      </c>
      <c r="U657" t="s">
        <v>97</v>
      </c>
      <c r="V657">
        <v>57248.7</v>
      </c>
      <c r="W657">
        <v>454756</v>
      </c>
      <c r="X657">
        <v>30069</v>
      </c>
      <c r="Y657">
        <f t="shared" si="10"/>
        <v>454756</v>
      </c>
      <c r="Z657" t="str">
        <f>IF(ISNUMBER(SEARCH("Adjustment",$C657)),"excluded",IF($H657="Behind the Meter","excluded",IF(NOT(OR($E657="Bundled",$E657="Energy")),"excluded",IF(OR($H657="Retail Power Marketer",$H657="Community Choice Aggregator",$E657="Energy"),"procurement",IF(OR($H657="Municipal",$H657="Cooperative",$H657="Federal",$H657="State",$H657="Political Subdivision"),"cost_service",IF($H657="Investor Owned",IF(AND(COUNTIF(Parameters!$A$4:$A$33,$G657)&gt;0,COUNTIF(Parameters!$B$4:$B$33,$B657)=0),"procurement","cost_service"),"unclassified"))))))</f>
        <v>cost_service</v>
      </c>
    </row>
    <row r="658" spans="1:26" x14ac:dyDescent="0.25">
      <c r="A658">
        <v>2024</v>
      </c>
      <c r="B658">
        <v>10620</v>
      </c>
      <c r="C658" t="s">
        <v>717</v>
      </c>
      <c r="D658" t="s">
        <v>84</v>
      </c>
      <c r="E658" t="s">
        <v>85</v>
      </c>
      <c r="F658" t="s">
        <v>86</v>
      </c>
      <c r="G658" t="s">
        <v>195</v>
      </c>
      <c r="H658" t="s">
        <v>88</v>
      </c>
      <c r="I658" t="s">
        <v>528</v>
      </c>
      <c r="J658">
        <v>38018.9</v>
      </c>
      <c r="K658">
        <v>301807</v>
      </c>
      <c r="L658">
        <v>24475</v>
      </c>
      <c r="M658">
        <v>24065</v>
      </c>
      <c r="N658">
        <v>177571</v>
      </c>
      <c r="O658">
        <v>3367</v>
      </c>
      <c r="P658">
        <v>0</v>
      </c>
      <c r="Q658">
        <v>0</v>
      </c>
      <c r="R658">
        <v>0</v>
      </c>
      <c r="S658">
        <v>0</v>
      </c>
      <c r="T658">
        <v>0</v>
      </c>
      <c r="U658">
        <v>0</v>
      </c>
      <c r="V658">
        <v>62083.9</v>
      </c>
      <c r="W658">
        <v>479378</v>
      </c>
      <c r="X658">
        <v>27842</v>
      </c>
      <c r="Y658">
        <f t="shared" si="10"/>
        <v>479378</v>
      </c>
      <c r="Z658" t="str">
        <f>IF(ISNUMBER(SEARCH("Adjustment",$C658)),"excluded",IF($H658="Behind the Meter","excluded",IF(NOT(OR($E658="Bundled",$E658="Energy")),"excluded",IF(OR($H658="Retail Power Marketer",$H658="Community Choice Aggregator",$E658="Energy"),"procurement",IF(OR($H658="Municipal",$H658="Cooperative",$H658="Federal",$H658="State",$H658="Political Subdivision"),"cost_service",IF($H658="Investor Owned",IF(AND(COUNTIF(Parameters!$A$4:$A$33,$G658)&gt;0,COUNTIF(Parameters!$B$4:$B$33,$B658)=0),"procurement","cost_service"),"unclassified"))))))</f>
        <v>cost_service</v>
      </c>
    </row>
    <row r="659" spans="1:26" x14ac:dyDescent="0.25">
      <c r="A659">
        <v>2024</v>
      </c>
      <c r="B659">
        <v>10623</v>
      </c>
      <c r="C659" t="s">
        <v>718</v>
      </c>
      <c r="D659" t="s">
        <v>84</v>
      </c>
      <c r="E659" t="s">
        <v>85</v>
      </c>
      <c r="F659" t="s">
        <v>86</v>
      </c>
      <c r="G659" t="s">
        <v>195</v>
      </c>
      <c r="H659" t="s">
        <v>88</v>
      </c>
      <c r="I659" t="s">
        <v>528</v>
      </c>
      <c r="J659">
        <v>195448</v>
      </c>
      <c r="K659">
        <v>1714227</v>
      </c>
      <c r="L659">
        <v>121604</v>
      </c>
      <c r="M659">
        <v>85758</v>
      </c>
      <c r="N659">
        <v>905593</v>
      </c>
      <c r="O659">
        <v>14851</v>
      </c>
      <c r="P659">
        <v>51547</v>
      </c>
      <c r="Q659">
        <v>701589</v>
      </c>
      <c r="R659">
        <v>88</v>
      </c>
      <c r="S659">
        <v>0</v>
      </c>
      <c r="T659">
        <v>0</v>
      </c>
      <c r="U659">
        <v>0</v>
      </c>
      <c r="V659">
        <v>332753</v>
      </c>
      <c r="W659">
        <v>3321409</v>
      </c>
      <c r="X659">
        <v>136543</v>
      </c>
      <c r="Y659">
        <f t="shared" si="10"/>
        <v>3321409</v>
      </c>
      <c r="Z659" t="str">
        <f>IF(ISNUMBER(SEARCH("Adjustment",$C659)),"excluded",IF($H659="Behind the Meter","excluded",IF(NOT(OR($E659="Bundled",$E659="Energy")),"excluded",IF(OR($H659="Retail Power Marketer",$H659="Community Choice Aggregator",$E659="Energy"),"procurement",IF(OR($H659="Municipal",$H659="Cooperative",$H659="Federal",$H659="State",$H659="Political Subdivision"),"cost_service",IF($H659="Investor Owned",IF(AND(COUNTIF(Parameters!$A$4:$A$33,$G659)&gt;0,COUNTIF(Parameters!$B$4:$B$33,$B659)=0),"procurement","cost_service"),"unclassified"))))))</f>
        <v>cost_service</v>
      </c>
    </row>
    <row r="660" spans="1:26" x14ac:dyDescent="0.25">
      <c r="A660">
        <v>2024</v>
      </c>
      <c r="B660">
        <v>10624</v>
      </c>
      <c r="C660" t="s">
        <v>719</v>
      </c>
      <c r="D660" t="s">
        <v>84</v>
      </c>
      <c r="E660" t="s">
        <v>85</v>
      </c>
      <c r="F660" t="s">
        <v>86</v>
      </c>
      <c r="G660" t="s">
        <v>123</v>
      </c>
      <c r="H660" t="s">
        <v>91</v>
      </c>
      <c r="I660" t="s">
        <v>113</v>
      </c>
      <c r="J660">
        <v>50769</v>
      </c>
      <c r="K660">
        <v>309412</v>
      </c>
      <c r="L660">
        <v>20411</v>
      </c>
      <c r="M660">
        <v>6484</v>
      </c>
      <c r="N660">
        <v>40613</v>
      </c>
      <c r="O660">
        <v>1174</v>
      </c>
      <c r="P660">
        <v>2825</v>
      </c>
      <c r="Q660">
        <v>25119</v>
      </c>
      <c r="R660">
        <v>10</v>
      </c>
      <c r="S660" t="s">
        <v>97</v>
      </c>
      <c r="T660" t="s">
        <v>97</v>
      </c>
      <c r="U660" t="s">
        <v>97</v>
      </c>
      <c r="V660">
        <v>60078</v>
      </c>
      <c r="W660">
        <v>375144</v>
      </c>
      <c r="X660">
        <v>21595</v>
      </c>
      <c r="Y660">
        <f t="shared" si="10"/>
        <v>375144</v>
      </c>
      <c r="Z660" t="str">
        <f>IF(ISNUMBER(SEARCH("Adjustment",$C660)),"excluded",IF($H660="Behind the Meter","excluded",IF(NOT(OR($E660="Bundled",$E660="Energy")),"excluded",IF(OR($H660="Retail Power Marketer",$H660="Community Choice Aggregator",$E660="Energy"),"procurement",IF(OR($H660="Municipal",$H660="Cooperative",$H660="Federal",$H660="State",$H660="Political Subdivision"),"cost_service",IF($H660="Investor Owned",IF(AND(COUNTIF(Parameters!$A$4:$A$33,$G660)&gt;0,COUNTIF(Parameters!$B$4:$B$33,$B660)=0),"procurement","cost_service"),"unclassified"))))))</f>
        <v>cost_service</v>
      </c>
    </row>
    <row r="661" spans="1:26" x14ac:dyDescent="0.25">
      <c r="A661">
        <v>2024</v>
      </c>
      <c r="B661">
        <v>10625</v>
      </c>
      <c r="C661" t="s">
        <v>720</v>
      </c>
      <c r="D661" t="s">
        <v>84</v>
      </c>
      <c r="E661" t="s">
        <v>85</v>
      </c>
      <c r="F661" t="s">
        <v>86</v>
      </c>
      <c r="G661" t="s">
        <v>57</v>
      </c>
      <c r="H661" t="s">
        <v>91</v>
      </c>
      <c r="I661" t="s">
        <v>135</v>
      </c>
      <c r="J661">
        <v>3464</v>
      </c>
      <c r="K661">
        <v>36392</v>
      </c>
      <c r="L661">
        <v>2810</v>
      </c>
      <c r="M661">
        <v>5141</v>
      </c>
      <c r="N661">
        <v>61242</v>
      </c>
      <c r="O661">
        <v>1528</v>
      </c>
      <c r="P661">
        <v>20496</v>
      </c>
      <c r="Q661">
        <v>269268</v>
      </c>
      <c r="R661">
        <v>7296</v>
      </c>
      <c r="S661" t="s">
        <v>97</v>
      </c>
      <c r="T661" t="s">
        <v>97</v>
      </c>
      <c r="U661" t="s">
        <v>97</v>
      </c>
      <c r="V661">
        <v>29101</v>
      </c>
      <c r="W661">
        <v>366902</v>
      </c>
      <c r="X661">
        <v>11634</v>
      </c>
      <c r="Y661">
        <f t="shared" si="10"/>
        <v>366902</v>
      </c>
      <c r="Z661" t="str">
        <f>IF(ISNUMBER(SEARCH("Adjustment",$C661)),"excluded",IF($H661="Behind the Meter","excluded",IF(NOT(OR($E661="Bundled",$E661="Energy")),"excluded",IF(OR($H661="Retail Power Marketer",$H661="Community Choice Aggregator",$E661="Energy"),"procurement",IF(OR($H661="Municipal",$H661="Cooperative",$H661="Federal",$H661="State",$H661="Political Subdivision"),"cost_service",IF($H661="Investor Owned",IF(AND(COUNTIF(Parameters!$A$4:$A$33,$G661)&gt;0,COUNTIF(Parameters!$B$4:$B$33,$B661)=0),"procurement","cost_service"),"unclassified"))))))</f>
        <v>cost_service</v>
      </c>
    </row>
    <row r="662" spans="1:26" x14ac:dyDescent="0.25">
      <c r="A662">
        <v>2024</v>
      </c>
      <c r="B662">
        <v>10627</v>
      </c>
      <c r="C662" t="s">
        <v>721</v>
      </c>
      <c r="D662" t="s">
        <v>84</v>
      </c>
      <c r="E662" t="s">
        <v>85</v>
      </c>
      <c r="F662" t="s">
        <v>86</v>
      </c>
      <c r="G662" t="s">
        <v>148</v>
      </c>
      <c r="H662" t="s">
        <v>91</v>
      </c>
      <c r="I662" t="s">
        <v>206</v>
      </c>
      <c r="J662">
        <v>10615</v>
      </c>
      <c r="K662">
        <v>107115</v>
      </c>
      <c r="L662">
        <v>8238</v>
      </c>
      <c r="M662">
        <v>7806</v>
      </c>
      <c r="N662">
        <v>82879</v>
      </c>
      <c r="O662">
        <v>2151</v>
      </c>
      <c r="P662">
        <v>4796</v>
      </c>
      <c r="Q662">
        <v>58861</v>
      </c>
      <c r="R662">
        <v>49</v>
      </c>
      <c r="S662" t="s">
        <v>97</v>
      </c>
      <c r="T662" t="s">
        <v>97</v>
      </c>
      <c r="U662" t="s">
        <v>97</v>
      </c>
      <c r="V662">
        <v>23217</v>
      </c>
      <c r="W662">
        <v>248855</v>
      </c>
      <c r="X662">
        <v>10438</v>
      </c>
      <c r="Y662">
        <f t="shared" si="10"/>
        <v>248855</v>
      </c>
      <c r="Z662" t="str">
        <f>IF(ISNUMBER(SEARCH("Adjustment",$C662)),"excluded",IF($H662="Behind the Meter","excluded",IF(NOT(OR($E662="Bundled",$E662="Energy")),"excluded",IF(OR($H662="Retail Power Marketer",$H662="Community Choice Aggregator",$E662="Energy"),"procurement",IF(OR($H662="Municipal",$H662="Cooperative",$H662="Federal",$H662="State",$H662="Political Subdivision"),"cost_service",IF($H662="Investor Owned",IF(AND(COUNTIF(Parameters!$A$4:$A$33,$G662)&gt;0,COUNTIF(Parameters!$B$4:$B$33,$B662)=0),"procurement","cost_service"),"unclassified"))))))</f>
        <v>cost_service</v>
      </c>
    </row>
    <row r="663" spans="1:26" x14ac:dyDescent="0.25">
      <c r="A663">
        <v>2024</v>
      </c>
      <c r="B663">
        <v>10649</v>
      </c>
      <c r="C663" t="s">
        <v>722</v>
      </c>
      <c r="D663" t="s">
        <v>84</v>
      </c>
      <c r="E663" t="s">
        <v>85</v>
      </c>
      <c r="F663" t="s">
        <v>86</v>
      </c>
      <c r="G663" t="s">
        <v>57</v>
      </c>
      <c r="H663" t="s">
        <v>91</v>
      </c>
      <c r="I663" t="s">
        <v>151</v>
      </c>
      <c r="J663">
        <v>23023</v>
      </c>
      <c r="K663">
        <v>167869</v>
      </c>
      <c r="L663">
        <v>12935</v>
      </c>
      <c r="M663">
        <v>14316.7</v>
      </c>
      <c r="N663">
        <v>126944</v>
      </c>
      <c r="O663">
        <v>1078</v>
      </c>
      <c r="P663" t="s">
        <v>97</v>
      </c>
      <c r="Q663" t="s">
        <v>97</v>
      </c>
      <c r="R663" t="s">
        <v>97</v>
      </c>
      <c r="S663" t="s">
        <v>97</v>
      </c>
      <c r="T663" t="s">
        <v>97</v>
      </c>
      <c r="U663" t="s">
        <v>97</v>
      </c>
      <c r="V663">
        <v>37339.699999999997</v>
      </c>
      <c r="W663">
        <v>294813</v>
      </c>
      <c r="X663">
        <v>14013</v>
      </c>
      <c r="Y663">
        <f t="shared" si="10"/>
        <v>294813</v>
      </c>
      <c r="Z663" t="str">
        <f>IF(ISNUMBER(SEARCH("Adjustment",$C663)),"excluded",IF($H663="Behind the Meter","excluded",IF(NOT(OR($E663="Bundled",$E663="Energy")),"excluded",IF(OR($H663="Retail Power Marketer",$H663="Community Choice Aggregator",$E663="Energy"),"procurement",IF(OR($H663="Municipal",$H663="Cooperative",$H663="Federal",$H663="State",$H663="Political Subdivision"),"cost_service",IF($H663="Investor Owned",IF(AND(COUNTIF(Parameters!$A$4:$A$33,$G663)&gt;0,COUNTIF(Parameters!$B$4:$B$33,$B663)=0),"procurement","cost_service"),"unclassified"))))))</f>
        <v>cost_service</v>
      </c>
    </row>
    <row r="664" spans="1:26" x14ac:dyDescent="0.25">
      <c r="A664">
        <v>2024</v>
      </c>
      <c r="B664">
        <v>10668</v>
      </c>
      <c r="C664" t="s">
        <v>723</v>
      </c>
      <c r="D664" t="s">
        <v>84</v>
      </c>
      <c r="E664" t="s">
        <v>85</v>
      </c>
      <c r="F664" t="s">
        <v>86</v>
      </c>
      <c r="G664" t="s">
        <v>54</v>
      </c>
      <c r="H664" t="s">
        <v>91</v>
      </c>
      <c r="I664" t="s">
        <v>92</v>
      </c>
      <c r="J664">
        <v>55072.1</v>
      </c>
      <c r="K664">
        <v>326266</v>
      </c>
      <c r="L664">
        <v>25820</v>
      </c>
      <c r="M664">
        <v>5232.8999999999996</v>
      </c>
      <c r="N664">
        <v>29867</v>
      </c>
      <c r="O664">
        <v>1663</v>
      </c>
      <c r="P664">
        <v>9287.4</v>
      </c>
      <c r="Q664">
        <v>69207</v>
      </c>
      <c r="R664">
        <v>85</v>
      </c>
      <c r="S664">
        <v>0</v>
      </c>
      <c r="T664">
        <v>0</v>
      </c>
      <c r="U664">
        <v>0</v>
      </c>
      <c r="V664">
        <v>69592.399999999994</v>
      </c>
      <c r="W664">
        <v>425340</v>
      </c>
      <c r="X664">
        <v>27568</v>
      </c>
      <c r="Y664">
        <f t="shared" si="10"/>
        <v>425340</v>
      </c>
      <c r="Z664" t="str">
        <f>IF(ISNUMBER(SEARCH("Adjustment",$C664)),"excluded",IF($H664="Behind the Meter","excluded",IF(NOT(OR($E664="Bundled",$E664="Energy")),"excluded",IF(OR($H664="Retail Power Marketer",$H664="Community Choice Aggregator",$E664="Energy"),"procurement",IF(OR($H664="Municipal",$H664="Cooperative",$H664="Federal",$H664="State",$H664="Political Subdivision"),"cost_service",IF($H664="Investor Owned",IF(AND(COUNTIF(Parameters!$A$4:$A$33,$G664)&gt;0,COUNTIF(Parameters!$B$4:$B$33,$B664)=0),"procurement","cost_service"),"unclassified"))))))</f>
        <v>cost_service</v>
      </c>
    </row>
    <row r="665" spans="1:26" x14ac:dyDescent="0.25">
      <c r="A665">
        <v>2024</v>
      </c>
      <c r="B665">
        <v>10681</v>
      </c>
      <c r="C665" t="s">
        <v>724</v>
      </c>
      <c r="D665" t="s">
        <v>84</v>
      </c>
      <c r="E665" t="s">
        <v>85</v>
      </c>
      <c r="F665" t="s">
        <v>86</v>
      </c>
      <c r="G665" t="s">
        <v>219</v>
      </c>
      <c r="H665" t="s">
        <v>91</v>
      </c>
      <c r="I665" t="s">
        <v>206</v>
      </c>
      <c r="J665">
        <v>23235</v>
      </c>
      <c r="K665">
        <v>185173</v>
      </c>
      <c r="L665">
        <v>12413</v>
      </c>
      <c r="M665">
        <v>4667</v>
      </c>
      <c r="N665">
        <v>43047</v>
      </c>
      <c r="O665">
        <v>1092</v>
      </c>
      <c r="P665">
        <v>430.4</v>
      </c>
      <c r="Q665">
        <v>5823</v>
      </c>
      <c r="R665">
        <v>2</v>
      </c>
      <c r="S665" t="s">
        <v>97</v>
      </c>
      <c r="T665" t="s">
        <v>97</v>
      </c>
      <c r="U665" t="s">
        <v>97</v>
      </c>
      <c r="V665">
        <v>28332.400000000001</v>
      </c>
      <c r="W665">
        <v>234043</v>
      </c>
      <c r="X665">
        <v>13507</v>
      </c>
      <c r="Y665">
        <f t="shared" si="10"/>
        <v>234043</v>
      </c>
      <c r="Z665" t="str">
        <f>IF(ISNUMBER(SEARCH("Adjustment",$C665)),"excluded",IF($H665="Behind the Meter","excluded",IF(NOT(OR($E665="Bundled",$E665="Energy")),"excluded",IF(OR($H665="Retail Power Marketer",$H665="Community Choice Aggregator",$E665="Energy"),"procurement",IF(OR($H665="Municipal",$H665="Cooperative",$H665="Federal",$H665="State",$H665="Political Subdivision"),"cost_service",IF($H665="Investor Owned",IF(AND(COUNTIF(Parameters!$A$4:$A$33,$G665)&gt;0,COUNTIF(Parameters!$B$4:$B$33,$B665)=0),"procurement","cost_service"),"unclassified"))))))</f>
        <v>cost_service</v>
      </c>
    </row>
    <row r="666" spans="1:26" x14ac:dyDescent="0.25">
      <c r="A666">
        <v>2024</v>
      </c>
      <c r="B666">
        <v>10697</v>
      </c>
      <c r="C666" t="s">
        <v>725</v>
      </c>
      <c r="D666" t="s">
        <v>84</v>
      </c>
      <c r="E666" t="s">
        <v>85</v>
      </c>
      <c r="F666" t="s">
        <v>86</v>
      </c>
      <c r="G666" t="s">
        <v>104</v>
      </c>
      <c r="H666" t="s">
        <v>91</v>
      </c>
      <c r="I666" t="s">
        <v>96</v>
      </c>
      <c r="J666">
        <v>84024.3</v>
      </c>
      <c r="K666">
        <v>469478</v>
      </c>
      <c r="L666">
        <v>47204</v>
      </c>
      <c r="M666">
        <v>17989.900000000001</v>
      </c>
      <c r="N666">
        <v>117384</v>
      </c>
      <c r="O666">
        <v>4176</v>
      </c>
      <c r="P666">
        <v>8417.6</v>
      </c>
      <c r="Q666">
        <v>105722</v>
      </c>
      <c r="R666">
        <v>3</v>
      </c>
      <c r="S666" t="s">
        <v>97</v>
      </c>
      <c r="T666" t="s">
        <v>97</v>
      </c>
      <c r="U666" t="s">
        <v>97</v>
      </c>
      <c r="V666">
        <v>110431.8</v>
      </c>
      <c r="W666">
        <v>692584</v>
      </c>
      <c r="X666">
        <v>51383</v>
      </c>
      <c r="Y666">
        <f t="shared" si="10"/>
        <v>692584</v>
      </c>
      <c r="Z666" t="str">
        <f>IF(ISNUMBER(SEARCH("Adjustment",$C666)),"excluded",IF($H666="Behind the Meter","excluded",IF(NOT(OR($E666="Bundled",$E666="Energy")),"excluded",IF(OR($H666="Retail Power Marketer",$H666="Community Choice Aggregator",$E666="Energy"),"procurement",IF(OR($H666="Municipal",$H666="Cooperative",$H666="Federal",$H666="State",$H666="Political Subdivision"),"cost_service",IF($H666="Investor Owned",IF(AND(COUNTIF(Parameters!$A$4:$A$33,$G666)&gt;0,COUNTIF(Parameters!$B$4:$B$33,$B666)=0),"procurement","cost_service"),"unclassified"))))))</f>
        <v>cost_service</v>
      </c>
    </row>
    <row r="667" spans="1:26" x14ac:dyDescent="0.25">
      <c r="A667">
        <v>2024</v>
      </c>
      <c r="B667">
        <v>10704</v>
      </c>
      <c r="C667" t="s">
        <v>726</v>
      </c>
      <c r="D667" t="s">
        <v>84</v>
      </c>
      <c r="E667" t="s">
        <v>85</v>
      </c>
      <c r="F667" t="s">
        <v>86</v>
      </c>
      <c r="G667" t="s">
        <v>140</v>
      </c>
      <c r="H667" t="s">
        <v>88</v>
      </c>
      <c r="I667" t="s">
        <v>96</v>
      </c>
      <c r="J667">
        <v>106606</v>
      </c>
      <c r="K667">
        <v>538955</v>
      </c>
      <c r="L667">
        <v>87301</v>
      </c>
      <c r="M667">
        <v>158172</v>
      </c>
      <c r="N667">
        <v>970905</v>
      </c>
      <c r="O667">
        <v>12116</v>
      </c>
      <c r="P667">
        <v>67691</v>
      </c>
      <c r="Q667">
        <v>502945</v>
      </c>
      <c r="R667">
        <v>232</v>
      </c>
      <c r="S667">
        <v>0</v>
      </c>
      <c r="T667">
        <v>0</v>
      </c>
      <c r="U667">
        <v>0</v>
      </c>
      <c r="V667">
        <v>332469</v>
      </c>
      <c r="W667">
        <v>2012805</v>
      </c>
      <c r="X667">
        <v>99649</v>
      </c>
      <c r="Y667">
        <f t="shared" si="10"/>
        <v>2012805</v>
      </c>
      <c r="Z667" t="str">
        <f>IF(ISNUMBER(SEARCH("Adjustment",$C667)),"excluded",IF($H667="Behind the Meter","excluded",IF(NOT(OR($E667="Bundled",$E667="Energy")),"excluded",IF(OR($H667="Retail Power Marketer",$H667="Community Choice Aggregator",$E667="Energy"),"procurement",IF(OR($H667="Municipal",$H667="Cooperative",$H667="Federal",$H667="State",$H667="Political Subdivision"),"cost_service",IF($H667="Investor Owned",IF(AND(COUNTIF(Parameters!$A$4:$A$33,$G667)&gt;0,COUNTIF(Parameters!$B$4:$B$33,$B667)=0),"procurement","cost_service"),"unclassified"))))))</f>
        <v>cost_service</v>
      </c>
    </row>
    <row r="668" spans="1:26" x14ac:dyDescent="0.25">
      <c r="A668">
        <v>2024</v>
      </c>
      <c r="B668">
        <v>10768</v>
      </c>
      <c r="C668" t="s">
        <v>727</v>
      </c>
      <c r="D668" t="s">
        <v>84</v>
      </c>
      <c r="E668" t="s">
        <v>85</v>
      </c>
      <c r="F668" t="s">
        <v>86</v>
      </c>
      <c r="G668" t="s">
        <v>106</v>
      </c>
      <c r="H668" t="s">
        <v>91</v>
      </c>
      <c r="I668" t="s">
        <v>126</v>
      </c>
      <c r="J668">
        <v>109482</v>
      </c>
      <c r="K668">
        <v>746888</v>
      </c>
      <c r="L668">
        <v>58438</v>
      </c>
      <c r="M668">
        <v>32212</v>
      </c>
      <c r="N668">
        <v>232117</v>
      </c>
      <c r="O668">
        <v>6169</v>
      </c>
      <c r="P668">
        <v>16351</v>
      </c>
      <c r="Q668">
        <v>181956</v>
      </c>
      <c r="R668">
        <v>58</v>
      </c>
      <c r="S668">
        <v>0</v>
      </c>
      <c r="T668">
        <v>0</v>
      </c>
      <c r="U668">
        <v>0</v>
      </c>
      <c r="V668">
        <v>158045</v>
      </c>
      <c r="W668">
        <v>1160961</v>
      </c>
      <c r="X668">
        <v>64665</v>
      </c>
      <c r="Y668">
        <f t="shared" si="10"/>
        <v>1160961</v>
      </c>
      <c r="Z668" t="str">
        <f>IF(ISNUMBER(SEARCH("Adjustment",$C668)),"excluded",IF($H668="Behind the Meter","excluded",IF(NOT(OR($E668="Bundled",$E668="Energy")),"excluded",IF(OR($H668="Retail Power Marketer",$H668="Community Choice Aggregator",$E668="Energy"),"procurement",IF(OR($H668="Municipal",$H668="Cooperative",$H668="Federal",$H668="State",$H668="Political Subdivision"),"cost_service",IF($H668="Investor Owned",IF(AND(COUNTIF(Parameters!$A$4:$A$33,$G668)&gt;0,COUNTIF(Parameters!$B$4:$B$33,$B668)=0),"procurement","cost_service"),"unclassified"))))))</f>
        <v>cost_service</v>
      </c>
    </row>
    <row r="669" spans="1:26" x14ac:dyDescent="0.25">
      <c r="A669">
        <v>2024</v>
      </c>
      <c r="B669">
        <v>10799</v>
      </c>
      <c r="C669" t="s">
        <v>728</v>
      </c>
      <c r="D669" t="s">
        <v>84</v>
      </c>
      <c r="E669" t="s">
        <v>85</v>
      </c>
      <c r="F669" t="s">
        <v>86</v>
      </c>
      <c r="G669" t="s">
        <v>156</v>
      </c>
      <c r="H669" t="s">
        <v>88</v>
      </c>
      <c r="I669" t="s">
        <v>89</v>
      </c>
      <c r="J669">
        <v>32255</v>
      </c>
      <c r="K669">
        <v>263879</v>
      </c>
      <c r="L669">
        <v>18076</v>
      </c>
      <c r="M669">
        <v>21164</v>
      </c>
      <c r="N669">
        <v>150115</v>
      </c>
      <c r="O669">
        <v>3754</v>
      </c>
      <c r="P669">
        <v>5937</v>
      </c>
      <c r="Q669">
        <v>73971</v>
      </c>
      <c r="R669">
        <v>8</v>
      </c>
      <c r="S669">
        <v>0</v>
      </c>
      <c r="T669">
        <v>0</v>
      </c>
      <c r="U669">
        <v>0</v>
      </c>
      <c r="V669">
        <v>59356</v>
      </c>
      <c r="W669">
        <v>487965</v>
      </c>
      <c r="X669">
        <v>21838</v>
      </c>
      <c r="Y669">
        <f t="shared" si="10"/>
        <v>487965</v>
      </c>
      <c r="Z669" t="str">
        <f>IF(ISNUMBER(SEARCH("Adjustment",$C669)),"excluded",IF($H669="Behind the Meter","excluded",IF(NOT(OR($E669="Bundled",$E669="Energy")),"excluded",IF(OR($H669="Retail Power Marketer",$H669="Community Choice Aggregator",$E669="Energy"),"procurement",IF(OR($H669="Municipal",$H669="Cooperative",$H669="Federal",$H669="State",$H669="Political Subdivision"),"cost_service",IF($H669="Investor Owned",IF(AND(COUNTIF(Parameters!$A$4:$A$33,$G669)&gt;0,COUNTIF(Parameters!$B$4:$B$33,$B669)=0),"procurement","cost_service"),"unclassified"))))))</f>
        <v>cost_service</v>
      </c>
    </row>
    <row r="670" spans="1:26" x14ac:dyDescent="0.25">
      <c r="A670">
        <v>2024</v>
      </c>
      <c r="B670">
        <v>10800</v>
      </c>
      <c r="C670" t="s">
        <v>729</v>
      </c>
      <c r="D670" t="s">
        <v>84</v>
      </c>
      <c r="E670" t="s">
        <v>85</v>
      </c>
      <c r="F670" t="s">
        <v>86</v>
      </c>
      <c r="G670" t="s">
        <v>123</v>
      </c>
      <c r="H670" t="s">
        <v>88</v>
      </c>
      <c r="I670" t="s">
        <v>113</v>
      </c>
      <c r="J670">
        <v>17255.099999999999</v>
      </c>
      <c r="K670">
        <v>109381</v>
      </c>
      <c r="L670">
        <v>10667</v>
      </c>
      <c r="M670">
        <v>26588.3</v>
      </c>
      <c r="N670">
        <v>228318</v>
      </c>
      <c r="O670">
        <v>1944</v>
      </c>
      <c r="P670">
        <v>85.2</v>
      </c>
      <c r="Q670">
        <v>648</v>
      </c>
      <c r="R670">
        <v>2</v>
      </c>
      <c r="S670" t="s">
        <v>97</v>
      </c>
      <c r="T670" t="s">
        <v>97</v>
      </c>
      <c r="U670" t="s">
        <v>97</v>
      </c>
      <c r="V670">
        <v>43928.6</v>
      </c>
      <c r="W670">
        <v>338347</v>
      </c>
      <c r="X670">
        <v>12613</v>
      </c>
      <c r="Y670">
        <f t="shared" si="10"/>
        <v>338347</v>
      </c>
      <c r="Z670" t="str">
        <f>IF(ISNUMBER(SEARCH("Adjustment",$C670)),"excluded",IF($H670="Behind the Meter","excluded",IF(NOT(OR($E670="Bundled",$E670="Energy")),"excluded",IF(OR($H670="Retail Power Marketer",$H670="Community Choice Aggregator",$E670="Energy"),"procurement",IF(OR($H670="Municipal",$H670="Cooperative",$H670="Federal",$H670="State",$H670="Political Subdivision"),"cost_service",IF($H670="Investor Owned",IF(AND(COUNTIF(Parameters!$A$4:$A$33,$G670)&gt;0,COUNTIF(Parameters!$B$4:$B$33,$B670)=0),"procurement","cost_service"),"unclassified"))))))</f>
        <v>cost_service</v>
      </c>
    </row>
    <row r="671" spans="1:26" x14ac:dyDescent="0.25">
      <c r="A671">
        <v>2024</v>
      </c>
      <c r="B671">
        <v>10817</v>
      </c>
      <c r="C671" t="s">
        <v>730</v>
      </c>
      <c r="D671" t="s">
        <v>84</v>
      </c>
      <c r="E671" t="s">
        <v>85</v>
      </c>
      <c r="F671" t="s">
        <v>86</v>
      </c>
      <c r="G671" t="s">
        <v>308</v>
      </c>
      <c r="H671" t="s">
        <v>91</v>
      </c>
      <c r="I671" t="s">
        <v>135</v>
      </c>
      <c r="J671">
        <v>9864</v>
      </c>
      <c r="K671">
        <v>97978</v>
      </c>
      <c r="L671">
        <v>7217</v>
      </c>
      <c r="M671">
        <v>27648</v>
      </c>
      <c r="N671">
        <v>338925</v>
      </c>
      <c r="O671">
        <v>3943</v>
      </c>
      <c r="P671">
        <v>20645</v>
      </c>
      <c r="Q671">
        <v>311348</v>
      </c>
      <c r="R671">
        <v>11</v>
      </c>
      <c r="S671" t="s">
        <v>97</v>
      </c>
      <c r="T671" t="s">
        <v>97</v>
      </c>
      <c r="U671" t="s">
        <v>97</v>
      </c>
      <c r="V671">
        <v>58157</v>
      </c>
      <c r="W671">
        <v>748251</v>
      </c>
      <c r="X671">
        <v>11171</v>
      </c>
      <c r="Y671">
        <f t="shared" si="10"/>
        <v>748251</v>
      </c>
      <c r="Z671" t="str">
        <f>IF(ISNUMBER(SEARCH("Adjustment",$C671)),"excluded",IF($H671="Behind the Meter","excluded",IF(NOT(OR($E671="Bundled",$E671="Energy")),"excluded",IF(OR($H671="Retail Power Marketer",$H671="Community Choice Aggregator",$E671="Energy"),"procurement",IF(OR($H671="Municipal",$H671="Cooperative",$H671="Federal",$H671="State",$H671="Political Subdivision"),"cost_service",IF($H671="Investor Owned",IF(AND(COUNTIF(Parameters!$A$4:$A$33,$G671)&gt;0,COUNTIF(Parameters!$B$4:$B$33,$B671)=0),"procurement","cost_service"),"unclassified"))))))</f>
        <v>cost_service</v>
      </c>
    </row>
    <row r="672" spans="1:26" x14ac:dyDescent="0.25">
      <c r="A672">
        <v>2024</v>
      </c>
      <c r="B672">
        <v>10817</v>
      </c>
      <c r="C672" t="s">
        <v>730</v>
      </c>
      <c r="D672" t="s">
        <v>84</v>
      </c>
      <c r="E672" t="s">
        <v>85</v>
      </c>
      <c r="F672" t="s">
        <v>86</v>
      </c>
      <c r="G672" t="s">
        <v>57</v>
      </c>
      <c r="H672" t="s">
        <v>91</v>
      </c>
      <c r="I672" t="s">
        <v>135</v>
      </c>
      <c r="J672">
        <v>3037</v>
      </c>
      <c r="K672">
        <v>30939</v>
      </c>
      <c r="L672">
        <v>1989</v>
      </c>
      <c r="M672">
        <v>34218</v>
      </c>
      <c r="N672">
        <v>440854</v>
      </c>
      <c r="O672">
        <v>3304</v>
      </c>
      <c r="P672">
        <v>11024</v>
      </c>
      <c r="Q672">
        <v>162579</v>
      </c>
      <c r="R672">
        <v>16</v>
      </c>
      <c r="S672" t="s">
        <v>97</v>
      </c>
      <c r="T672" t="s">
        <v>97</v>
      </c>
      <c r="U672" t="s">
        <v>97</v>
      </c>
      <c r="V672">
        <v>48279</v>
      </c>
      <c r="W672">
        <v>634372</v>
      </c>
      <c r="X672">
        <v>5309</v>
      </c>
      <c r="Y672">
        <f t="shared" si="10"/>
        <v>634372</v>
      </c>
      <c r="Z672" t="str">
        <f>IF(ISNUMBER(SEARCH("Adjustment",$C672)),"excluded",IF($H672="Behind the Meter","excluded",IF(NOT(OR($E672="Bundled",$E672="Energy")),"excluded",IF(OR($H672="Retail Power Marketer",$H672="Community Choice Aggregator",$E672="Energy"),"procurement",IF(OR($H672="Municipal",$H672="Cooperative",$H672="Federal",$H672="State",$H672="Political Subdivision"),"cost_service",IF($H672="Investor Owned",IF(AND(COUNTIF(Parameters!$A$4:$A$33,$G672)&gt;0,COUNTIF(Parameters!$B$4:$B$33,$B672)=0),"procurement","cost_service"),"unclassified"))))))</f>
        <v>cost_service</v>
      </c>
    </row>
    <row r="673" spans="1:26" x14ac:dyDescent="0.25">
      <c r="A673">
        <v>2024</v>
      </c>
      <c r="B673">
        <v>10830</v>
      </c>
      <c r="C673" t="s">
        <v>731</v>
      </c>
      <c r="D673" t="s">
        <v>84</v>
      </c>
      <c r="E673" t="s">
        <v>85</v>
      </c>
      <c r="F673" t="s">
        <v>86</v>
      </c>
      <c r="G673" t="s">
        <v>54</v>
      </c>
      <c r="H673" t="s">
        <v>88</v>
      </c>
      <c r="I673" t="s">
        <v>92</v>
      </c>
      <c r="J673">
        <v>9704</v>
      </c>
      <c r="K673">
        <v>87082</v>
      </c>
      <c r="L673">
        <v>8707</v>
      </c>
      <c r="M673">
        <v>1554</v>
      </c>
      <c r="N673">
        <v>16167</v>
      </c>
      <c r="O673">
        <v>627</v>
      </c>
      <c r="P673">
        <v>18485</v>
      </c>
      <c r="Q673">
        <v>234136</v>
      </c>
      <c r="R673">
        <v>490</v>
      </c>
      <c r="S673" t="s">
        <v>97</v>
      </c>
      <c r="T673" t="s">
        <v>97</v>
      </c>
      <c r="U673" t="s">
        <v>97</v>
      </c>
      <c r="V673">
        <v>29743</v>
      </c>
      <c r="W673">
        <v>337385</v>
      </c>
      <c r="X673">
        <v>9824</v>
      </c>
      <c r="Y673">
        <f t="shared" si="10"/>
        <v>337385</v>
      </c>
      <c r="Z673" t="str">
        <f>IF(ISNUMBER(SEARCH("Adjustment",$C673)),"excluded",IF($H673="Behind the Meter","excluded",IF(NOT(OR($E673="Bundled",$E673="Energy")),"excluded",IF(OR($H673="Retail Power Marketer",$H673="Community Choice Aggregator",$E673="Energy"),"procurement",IF(OR($H673="Municipal",$H673="Cooperative",$H673="Federal",$H673="State",$H673="Political Subdivision"),"cost_service",IF($H673="Investor Owned",IF(AND(COUNTIF(Parameters!$A$4:$A$33,$G673)&gt;0,COUNTIF(Parameters!$B$4:$B$33,$B673)=0),"procurement","cost_service"),"unclassified"))))))</f>
        <v>cost_service</v>
      </c>
    </row>
    <row r="674" spans="1:26" x14ac:dyDescent="0.25">
      <c r="A674">
        <v>2024</v>
      </c>
      <c r="B674">
        <v>10832</v>
      </c>
      <c r="C674" t="s">
        <v>732</v>
      </c>
      <c r="D674" t="s">
        <v>84</v>
      </c>
      <c r="E674" t="s">
        <v>85</v>
      </c>
      <c r="F674" t="s">
        <v>86</v>
      </c>
      <c r="G674" t="s">
        <v>226</v>
      </c>
      <c r="H674" t="s">
        <v>88</v>
      </c>
      <c r="I674" t="s">
        <v>227</v>
      </c>
      <c r="J674">
        <v>7991</v>
      </c>
      <c r="K674">
        <v>79919</v>
      </c>
      <c r="L674">
        <v>6066</v>
      </c>
      <c r="M674">
        <v>8266</v>
      </c>
      <c r="N674">
        <v>85483</v>
      </c>
      <c r="O674">
        <v>1384</v>
      </c>
      <c r="P674">
        <v>7937</v>
      </c>
      <c r="Q674">
        <v>85081</v>
      </c>
      <c r="R674">
        <v>40</v>
      </c>
      <c r="S674" t="s">
        <v>97</v>
      </c>
      <c r="T674" t="s">
        <v>97</v>
      </c>
      <c r="U674" t="s">
        <v>97</v>
      </c>
      <c r="V674">
        <v>24194</v>
      </c>
      <c r="W674">
        <v>250483</v>
      </c>
      <c r="X674">
        <v>7490</v>
      </c>
      <c r="Y674">
        <f t="shared" si="10"/>
        <v>250483</v>
      </c>
      <c r="Z674" t="str">
        <f>IF(ISNUMBER(SEARCH("Adjustment",$C674)),"excluded",IF($H674="Behind the Meter","excluded",IF(NOT(OR($E674="Bundled",$E674="Energy")),"excluded",IF(OR($H674="Retail Power Marketer",$H674="Community Choice Aggregator",$E674="Energy"),"procurement",IF(OR($H674="Municipal",$H674="Cooperative",$H674="Federal",$H674="State",$H674="Political Subdivision"),"cost_service",IF($H674="Investor Owned",IF(AND(COUNTIF(Parameters!$A$4:$A$33,$G674)&gt;0,COUNTIF(Parameters!$B$4:$B$33,$B674)=0),"procurement","cost_service"),"unclassified"))))))</f>
        <v>cost_service</v>
      </c>
    </row>
    <row r="675" spans="1:26" x14ac:dyDescent="0.25">
      <c r="A675">
        <v>2024</v>
      </c>
      <c r="B675">
        <v>10857</v>
      </c>
      <c r="C675" t="s">
        <v>733</v>
      </c>
      <c r="D675" t="s">
        <v>84</v>
      </c>
      <c r="E675" t="s">
        <v>85</v>
      </c>
      <c r="F675" t="s">
        <v>86</v>
      </c>
      <c r="G675" t="s">
        <v>195</v>
      </c>
      <c r="H675" t="s">
        <v>91</v>
      </c>
      <c r="I675" t="s">
        <v>514</v>
      </c>
      <c r="J675">
        <v>441966.2</v>
      </c>
      <c r="K675">
        <v>3264831</v>
      </c>
      <c r="L675">
        <v>231142</v>
      </c>
      <c r="M675">
        <v>148052.9</v>
      </c>
      <c r="N675">
        <v>1293951</v>
      </c>
      <c r="O675">
        <v>26489</v>
      </c>
      <c r="P675" t="s">
        <v>97</v>
      </c>
      <c r="Q675" t="s">
        <v>97</v>
      </c>
      <c r="R675" t="s">
        <v>97</v>
      </c>
      <c r="S675" t="s">
        <v>97</v>
      </c>
      <c r="T675" t="s">
        <v>97</v>
      </c>
      <c r="U675" t="s">
        <v>97</v>
      </c>
      <c r="V675">
        <v>590019.1</v>
      </c>
      <c r="W675">
        <v>4558782</v>
      </c>
      <c r="X675">
        <v>257631</v>
      </c>
      <c r="Y675">
        <f t="shared" si="10"/>
        <v>4558782</v>
      </c>
      <c r="Z675" t="str">
        <f>IF(ISNUMBER(SEARCH("Adjustment",$C675)),"excluded",IF($H675="Behind the Meter","excluded",IF(NOT(OR($E675="Bundled",$E675="Energy")),"excluded",IF(OR($H675="Retail Power Marketer",$H675="Community Choice Aggregator",$E675="Energy"),"procurement",IF(OR($H675="Municipal",$H675="Cooperative",$H675="Federal",$H675="State",$H675="Political Subdivision"),"cost_service",IF($H675="Investor Owned",IF(AND(COUNTIF(Parameters!$A$4:$A$33,$G675)&gt;0,COUNTIF(Parameters!$B$4:$B$33,$B675)=0),"procurement","cost_service"),"unclassified"))))))</f>
        <v>cost_service</v>
      </c>
    </row>
    <row r="676" spans="1:26" x14ac:dyDescent="0.25">
      <c r="A676">
        <v>2024</v>
      </c>
      <c r="B676">
        <v>10868</v>
      </c>
      <c r="C676" t="s">
        <v>734</v>
      </c>
      <c r="D676" t="s">
        <v>84</v>
      </c>
      <c r="E676" t="s">
        <v>85</v>
      </c>
      <c r="F676" t="s">
        <v>86</v>
      </c>
      <c r="G676" t="s">
        <v>195</v>
      </c>
      <c r="H676" t="s">
        <v>88</v>
      </c>
      <c r="I676" t="s">
        <v>196</v>
      </c>
      <c r="J676">
        <v>36733.800000000003</v>
      </c>
      <c r="K676">
        <v>284182</v>
      </c>
      <c r="L676">
        <v>24482</v>
      </c>
      <c r="M676">
        <v>25682.9</v>
      </c>
      <c r="N676">
        <v>218812</v>
      </c>
      <c r="O676">
        <v>4416</v>
      </c>
      <c r="P676">
        <v>1107.3</v>
      </c>
      <c r="Q676">
        <v>8245</v>
      </c>
      <c r="R676">
        <v>1</v>
      </c>
      <c r="S676" t="s">
        <v>97</v>
      </c>
      <c r="T676" t="s">
        <v>97</v>
      </c>
      <c r="U676" t="s">
        <v>97</v>
      </c>
      <c r="V676">
        <v>63524</v>
      </c>
      <c r="W676">
        <v>511239</v>
      </c>
      <c r="X676">
        <v>28899</v>
      </c>
      <c r="Y676">
        <f t="shared" si="10"/>
        <v>511239</v>
      </c>
      <c r="Z676" t="str">
        <f>IF(ISNUMBER(SEARCH("Adjustment",$C676)),"excluded",IF($H676="Behind the Meter","excluded",IF(NOT(OR($E676="Bundled",$E676="Energy")),"excluded",IF(OR($H676="Retail Power Marketer",$H676="Community Choice Aggregator",$E676="Energy"),"procurement",IF(OR($H676="Municipal",$H676="Cooperative",$H676="Federal",$H676="State",$H676="Political Subdivision"),"cost_service",IF($H676="Investor Owned",IF(AND(COUNTIF(Parameters!$A$4:$A$33,$G676)&gt;0,COUNTIF(Parameters!$B$4:$B$33,$B676)=0),"procurement","cost_service"),"unclassified"))))))</f>
        <v>cost_service</v>
      </c>
    </row>
    <row r="677" spans="1:26" x14ac:dyDescent="0.25">
      <c r="A677">
        <v>2024</v>
      </c>
      <c r="B677">
        <v>10879</v>
      </c>
      <c r="C677" t="s">
        <v>735</v>
      </c>
      <c r="D677" t="s">
        <v>84</v>
      </c>
      <c r="E677" t="s">
        <v>85</v>
      </c>
      <c r="F677" t="s">
        <v>86</v>
      </c>
      <c r="G677" t="s">
        <v>245</v>
      </c>
      <c r="H677" t="s">
        <v>88</v>
      </c>
      <c r="I677" t="s">
        <v>246</v>
      </c>
      <c r="J677">
        <v>29047.1</v>
      </c>
      <c r="K677">
        <v>265338</v>
      </c>
      <c r="L677">
        <v>27459</v>
      </c>
      <c r="M677">
        <v>25790.799999999999</v>
      </c>
      <c r="N677">
        <v>232986</v>
      </c>
      <c r="O677">
        <v>2713</v>
      </c>
      <c r="P677" t="s">
        <v>97</v>
      </c>
      <c r="Q677" t="s">
        <v>97</v>
      </c>
      <c r="R677" t="s">
        <v>97</v>
      </c>
      <c r="S677" t="s">
        <v>97</v>
      </c>
      <c r="T677" t="s">
        <v>97</v>
      </c>
      <c r="U677" t="s">
        <v>97</v>
      </c>
      <c r="V677">
        <v>54837.9</v>
      </c>
      <c r="W677">
        <v>498324</v>
      </c>
      <c r="X677">
        <v>30172</v>
      </c>
      <c r="Y677">
        <f t="shared" si="10"/>
        <v>498324</v>
      </c>
      <c r="Z677" t="str">
        <f>IF(ISNUMBER(SEARCH("Adjustment",$C677)),"excluded",IF($H677="Behind the Meter","excluded",IF(NOT(OR($E677="Bundled",$E677="Energy")),"excluded",IF(OR($H677="Retail Power Marketer",$H677="Community Choice Aggregator",$E677="Energy"),"procurement",IF(OR($H677="Municipal",$H677="Cooperative",$H677="Federal",$H677="State",$H677="Political Subdivision"),"cost_service",IF($H677="Investor Owned",IF(AND(COUNTIF(Parameters!$A$4:$A$33,$G677)&gt;0,COUNTIF(Parameters!$B$4:$B$33,$B677)=0),"procurement","cost_service"),"unclassified"))))))</f>
        <v>cost_service</v>
      </c>
    </row>
    <row r="678" spans="1:26" x14ac:dyDescent="0.25">
      <c r="A678">
        <v>2024</v>
      </c>
      <c r="B678">
        <v>10906</v>
      </c>
      <c r="C678" t="s">
        <v>736</v>
      </c>
      <c r="D678" t="s">
        <v>84</v>
      </c>
      <c r="E678" t="s">
        <v>85</v>
      </c>
      <c r="F678" t="s">
        <v>86</v>
      </c>
      <c r="G678" t="s">
        <v>156</v>
      </c>
      <c r="H678" t="s">
        <v>88</v>
      </c>
      <c r="I678" t="s">
        <v>89</v>
      </c>
      <c r="J678">
        <v>109361</v>
      </c>
      <c r="K678">
        <v>914831</v>
      </c>
      <c r="L678">
        <v>62455</v>
      </c>
      <c r="M678">
        <v>87482</v>
      </c>
      <c r="N678">
        <v>744498</v>
      </c>
      <c r="O678">
        <v>14893</v>
      </c>
      <c r="P678">
        <v>12639</v>
      </c>
      <c r="Q678">
        <v>215263</v>
      </c>
      <c r="R678">
        <v>10</v>
      </c>
      <c r="S678">
        <v>0</v>
      </c>
      <c r="T678">
        <v>0</v>
      </c>
      <c r="U678">
        <v>0</v>
      </c>
      <c r="V678">
        <v>209482</v>
      </c>
      <c r="W678">
        <v>1874592</v>
      </c>
      <c r="X678">
        <v>77358</v>
      </c>
      <c r="Y678">
        <f t="shared" si="10"/>
        <v>1874592</v>
      </c>
      <c r="Z678" t="str">
        <f>IF(ISNUMBER(SEARCH("Adjustment",$C678)),"excluded",IF($H678="Behind the Meter","excluded",IF(NOT(OR($E678="Bundled",$E678="Energy")),"excluded",IF(OR($H678="Retail Power Marketer",$H678="Community Choice Aggregator",$E678="Energy"),"procurement",IF(OR($H678="Municipal",$H678="Cooperative",$H678="Federal",$H678="State",$H678="Political Subdivision"),"cost_service",IF($H678="Investor Owned",IF(AND(COUNTIF(Parameters!$A$4:$A$33,$G678)&gt;0,COUNTIF(Parameters!$B$4:$B$33,$B678)=0),"procurement","cost_service"),"unclassified"))))))</f>
        <v>cost_service</v>
      </c>
    </row>
    <row r="679" spans="1:26" x14ac:dyDescent="0.25">
      <c r="A679">
        <v>2024</v>
      </c>
      <c r="B679">
        <v>10944</v>
      </c>
      <c r="C679" t="s">
        <v>737</v>
      </c>
      <c r="D679" t="s">
        <v>84</v>
      </c>
      <c r="E679" t="s">
        <v>85</v>
      </c>
      <c r="F679" t="s">
        <v>86</v>
      </c>
      <c r="G679" t="s">
        <v>148</v>
      </c>
      <c r="H679" t="s">
        <v>205</v>
      </c>
      <c r="I679" t="s">
        <v>206</v>
      </c>
      <c r="J679">
        <v>46703.1</v>
      </c>
      <c r="K679">
        <v>492598</v>
      </c>
      <c r="L679">
        <v>29417</v>
      </c>
      <c r="M679">
        <v>16407.400000000001</v>
      </c>
      <c r="N679">
        <v>190531</v>
      </c>
      <c r="O679">
        <v>5213</v>
      </c>
      <c r="P679">
        <v>17921.7</v>
      </c>
      <c r="Q679">
        <v>278086</v>
      </c>
      <c r="R679">
        <v>136</v>
      </c>
      <c r="S679" t="s">
        <v>97</v>
      </c>
      <c r="T679" t="s">
        <v>97</v>
      </c>
      <c r="U679" t="s">
        <v>97</v>
      </c>
      <c r="V679">
        <v>81032.2</v>
      </c>
      <c r="W679">
        <v>961215</v>
      </c>
      <c r="X679">
        <v>34766</v>
      </c>
      <c r="Y679">
        <f t="shared" si="10"/>
        <v>961215</v>
      </c>
      <c r="Z679" t="str">
        <f>IF(ISNUMBER(SEARCH("Adjustment",$C679)),"excluded",IF($H679="Behind the Meter","excluded",IF(NOT(OR($E679="Bundled",$E679="Energy")),"excluded",IF(OR($H679="Retail Power Marketer",$H679="Community Choice Aggregator",$E679="Energy"),"procurement",IF(OR($H679="Municipal",$H679="Cooperative",$H679="Federal",$H679="State",$H679="Political Subdivision"),"cost_service",IF($H679="Investor Owned",IF(AND(COUNTIF(Parameters!$A$4:$A$33,$G679)&gt;0,COUNTIF(Parameters!$B$4:$B$33,$B679)=0),"procurement","cost_service"),"unclassified"))))))</f>
        <v>cost_service</v>
      </c>
    </row>
    <row r="680" spans="1:26" x14ac:dyDescent="0.25">
      <c r="A680">
        <v>2024</v>
      </c>
      <c r="B680">
        <v>10960</v>
      </c>
      <c r="C680" t="s">
        <v>738</v>
      </c>
      <c r="D680" t="s">
        <v>84</v>
      </c>
      <c r="E680" t="s">
        <v>85</v>
      </c>
      <c r="F680" t="s">
        <v>86</v>
      </c>
      <c r="G680" t="s">
        <v>156</v>
      </c>
      <c r="H680" t="s">
        <v>88</v>
      </c>
      <c r="I680" t="s">
        <v>89</v>
      </c>
      <c r="J680">
        <v>7642</v>
      </c>
      <c r="K680">
        <v>68095</v>
      </c>
      <c r="L680">
        <v>4981</v>
      </c>
      <c r="M680">
        <v>10553</v>
      </c>
      <c r="N680">
        <v>89951</v>
      </c>
      <c r="O680">
        <v>1673</v>
      </c>
      <c r="P680">
        <v>10895</v>
      </c>
      <c r="Q680">
        <v>160155</v>
      </c>
      <c r="R680">
        <v>8</v>
      </c>
      <c r="S680">
        <v>0</v>
      </c>
      <c r="T680">
        <v>0</v>
      </c>
      <c r="U680">
        <v>0</v>
      </c>
      <c r="V680">
        <v>29090</v>
      </c>
      <c r="W680">
        <v>318201</v>
      </c>
      <c r="X680">
        <v>6662</v>
      </c>
      <c r="Y680">
        <f t="shared" si="10"/>
        <v>318201</v>
      </c>
      <c r="Z680" t="str">
        <f>IF(ISNUMBER(SEARCH("Adjustment",$C680)),"excluded",IF($H680="Behind the Meter","excluded",IF(NOT(OR($E680="Bundled",$E680="Energy")),"excluded",IF(OR($H680="Retail Power Marketer",$H680="Community Choice Aggregator",$E680="Energy"),"procurement",IF(OR($H680="Municipal",$H680="Cooperative",$H680="Federal",$H680="State",$H680="Political Subdivision"),"cost_service",IF($H680="Investor Owned",IF(AND(COUNTIF(Parameters!$A$4:$A$33,$G680)&gt;0,COUNTIF(Parameters!$B$4:$B$33,$B680)=0),"procurement","cost_service"),"unclassified"))))))</f>
        <v>cost_service</v>
      </c>
    </row>
    <row r="681" spans="1:26" x14ac:dyDescent="0.25">
      <c r="A681">
        <v>2024</v>
      </c>
      <c r="B681">
        <v>10966</v>
      </c>
      <c r="C681" t="s">
        <v>739</v>
      </c>
      <c r="D681" t="s">
        <v>84</v>
      </c>
      <c r="E681" t="s">
        <v>85</v>
      </c>
      <c r="F681" t="s">
        <v>86</v>
      </c>
      <c r="G681" t="s">
        <v>125</v>
      </c>
      <c r="H681" t="s">
        <v>88</v>
      </c>
      <c r="I681" t="s">
        <v>126</v>
      </c>
      <c r="J681">
        <v>27754.6</v>
      </c>
      <c r="K681">
        <v>236225</v>
      </c>
      <c r="L681">
        <v>18053</v>
      </c>
      <c r="M681">
        <v>16094.9</v>
      </c>
      <c r="N681">
        <v>131801</v>
      </c>
      <c r="O681">
        <v>2239</v>
      </c>
      <c r="P681">
        <v>2397.6999999999998</v>
      </c>
      <c r="Q681">
        <v>24503</v>
      </c>
      <c r="R681">
        <v>31</v>
      </c>
      <c r="S681" t="s">
        <v>97</v>
      </c>
      <c r="T681" t="s">
        <v>97</v>
      </c>
      <c r="U681" t="s">
        <v>97</v>
      </c>
      <c r="V681">
        <v>46247.199999999997</v>
      </c>
      <c r="W681">
        <v>392529</v>
      </c>
      <c r="X681">
        <v>20323</v>
      </c>
      <c r="Y681">
        <f t="shared" si="10"/>
        <v>392529</v>
      </c>
      <c r="Z681" t="str">
        <f>IF(ISNUMBER(SEARCH("Adjustment",$C681)),"excluded",IF($H681="Behind the Meter","excluded",IF(NOT(OR($E681="Bundled",$E681="Energy")),"excluded",IF(OR($H681="Retail Power Marketer",$H681="Community Choice Aggregator",$E681="Energy"),"procurement",IF(OR($H681="Municipal",$H681="Cooperative",$H681="Federal",$H681="State",$H681="Political Subdivision"),"cost_service",IF($H681="Investor Owned",IF(AND(COUNTIF(Parameters!$A$4:$A$33,$G681)&gt;0,COUNTIF(Parameters!$B$4:$B$33,$B681)=0),"procurement","cost_service"),"unclassified"))))))</f>
        <v>cost_service</v>
      </c>
    </row>
    <row r="682" spans="1:26" x14ac:dyDescent="0.25">
      <c r="A682">
        <v>2024</v>
      </c>
      <c r="B682">
        <v>10967</v>
      </c>
      <c r="C682" t="s">
        <v>740</v>
      </c>
      <c r="D682" t="s">
        <v>84</v>
      </c>
      <c r="E682" t="s">
        <v>85</v>
      </c>
      <c r="F682" t="s">
        <v>86</v>
      </c>
      <c r="G682" t="s">
        <v>271</v>
      </c>
      <c r="H682" t="s">
        <v>88</v>
      </c>
      <c r="I682" t="s">
        <v>135</v>
      </c>
      <c r="J682">
        <v>5499.2</v>
      </c>
      <c r="K682">
        <v>54961</v>
      </c>
      <c r="L682">
        <v>3815</v>
      </c>
      <c r="M682">
        <v>4325.3999999999996</v>
      </c>
      <c r="N682">
        <v>43445</v>
      </c>
      <c r="O682">
        <v>790</v>
      </c>
      <c r="P682">
        <v>9388.1</v>
      </c>
      <c r="Q682">
        <v>138556</v>
      </c>
      <c r="R682">
        <v>9</v>
      </c>
      <c r="S682" t="s">
        <v>97</v>
      </c>
      <c r="T682" t="s">
        <v>97</v>
      </c>
      <c r="U682" t="s">
        <v>97</v>
      </c>
      <c r="V682">
        <v>19212.7</v>
      </c>
      <c r="W682">
        <v>236962</v>
      </c>
      <c r="X682">
        <v>4614</v>
      </c>
      <c r="Y682">
        <f t="shared" si="10"/>
        <v>236962</v>
      </c>
      <c r="Z682" t="str">
        <f>IF(ISNUMBER(SEARCH("Adjustment",$C682)),"excluded",IF($H682="Behind the Meter","excluded",IF(NOT(OR($E682="Bundled",$E682="Energy")),"excluded",IF(OR($H682="Retail Power Marketer",$H682="Community Choice Aggregator",$E682="Energy"),"procurement",IF(OR($H682="Municipal",$H682="Cooperative",$H682="Federal",$H682="State",$H682="Political Subdivision"),"cost_service",IF($H682="Investor Owned",IF(AND(COUNTIF(Parameters!$A$4:$A$33,$G682)&gt;0,COUNTIF(Parameters!$B$4:$B$33,$B682)=0),"procurement","cost_service"),"unclassified"))))))</f>
        <v>cost_service</v>
      </c>
    </row>
    <row r="683" spans="1:26" x14ac:dyDescent="0.25">
      <c r="A683">
        <v>2024</v>
      </c>
      <c r="B683">
        <v>10968</v>
      </c>
      <c r="C683" t="s">
        <v>741</v>
      </c>
      <c r="D683" t="s">
        <v>84</v>
      </c>
      <c r="E683" t="s">
        <v>85</v>
      </c>
      <c r="F683" t="s">
        <v>86</v>
      </c>
      <c r="G683" t="s">
        <v>156</v>
      </c>
      <c r="H683" t="s">
        <v>88</v>
      </c>
      <c r="I683" t="s">
        <v>89</v>
      </c>
      <c r="J683">
        <v>27930</v>
      </c>
      <c r="K683">
        <v>231999</v>
      </c>
      <c r="L683">
        <v>17961</v>
      </c>
      <c r="M683">
        <v>20353</v>
      </c>
      <c r="N683">
        <v>157783</v>
      </c>
      <c r="O683">
        <v>5616</v>
      </c>
      <c r="P683">
        <v>3027</v>
      </c>
      <c r="Q683">
        <v>36670</v>
      </c>
      <c r="R683">
        <v>7</v>
      </c>
      <c r="S683">
        <v>0</v>
      </c>
      <c r="T683">
        <v>0</v>
      </c>
      <c r="U683">
        <v>0</v>
      </c>
      <c r="V683">
        <v>51310</v>
      </c>
      <c r="W683">
        <v>426452</v>
      </c>
      <c r="X683">
        <v>23584</v>
      </c>
      <c r="Y683">
        <f t="shared" si="10"/>
        <v>426452</v>
      </c>
      <c r="Z683" t="str">
        <f>IF(ISNUMBER(SEARCH("Adjustment",$C683)),"excluded",IF($H683="Behind the Meter","excluded",IF(NOT(OR($E683="Bundled",$E683="Energy")),"excluded",IF(OR($H683="Retail Power Marketer",$H683="Community Choice Aggregator",$E683="Energy"),"procurement",IF(OR($H683="Municipal",$H683="Cooperative",$H683="Federal",$H683="State",$H683="Political Subdivision"),"cost_service",IF($H683="Investor Owned",IF(AND(COUNTIF(Parameters!$A$4:$A$33,$G683)&gt;0,COUNTIF(Parameters!$B$4:$B$33,$B683)=0),"procurement","cost_service"),"unclassified"))))))</f>
        <v>cost_service</v>
      </c>
    </row>
    <row r="684" spans="1:26" x14ac:dyDescent="0.25">
      <c r="A684">
        <v>2024</v>
      </c>
      <c r="B684">
        <v>11011</v>
      </c>
      <c r="C684" t="s">
        <v>742</v>
      </c>
      <c r="D684" t="s">
        <v>84</v>
      </c>
      <c r="E684" t="s">
        <v>85</v>
      </c>
      <c r="F684" t="s">
        <v>86</v>
      </c>
      <c r="G684" t="s">
        <v>209</v>
      </c>
      <c r="H684" t="s">
        <v>91</v>
      </c>
      <c r="I684" t="s">
        <v>92</v>
      </c>
      <c r="J684">
        <v>25852</v>
      </c>
      <c r="K684">
        <v>186865</v>
      </c>
      <c r="L684">
        <v>16805</v>
      </c>
      <c r="M684">
        <v>10813</v>
      </c>
      <c r="N684">
        <v>135596</v>
      </c>
      <c r="O684">
        <v>1080</v>
      </c>
      <c r="P684">
        <v>987</v>
      </c>
      <c r="Q684">
        <v>11175</v>
      </c>
      <c r="R684">
        <v>7</v>
      </c>
      <c r="S684" t="s">
        <v>97</v>
      </c>
      <c r="T684" t="s">
        <v>97</v>
      </c>
      <c r="U684" t="s">
        <v>97</v>
      </c>
      <c r="V684">
        <v>37652</v>
      </c>
      <c r="W684">
        <v>333636</v>
      </c>
      <c r="X684">
        <v>17892</v>
      </c>
      <c r="Y684">
        <f t="shared" si="10"/>
        <v>333636</v>
      </c>
      <c r="Z684" t="str">
        <f>IF(ISNUMBER(SEARCH("Adjustment",$C684)),"excluded",IF($H684="Behind the Meter","excluded",IF(NOT(OR($E684="Bundled",$E684="Energy")),"excluded",IF(OR($H684="Retail Power Marketer",$H684="Community Choice Aggregator",$E684="Energy"),"procurement",IF(OR($H684="Municipal",$H684="Cooperative",$H684="Federal",$H684="State",$H684="Political Subdivision"),"cost_service",IF($H684="Investor Owned",IF(AND(COUNTIF(Parameters!$A$4:$A$33,$G684)&gt;0,COUNTIF(Parameters!$B$4:$B$33,$B684)=0),"procurement","cost_service"),"unclassified"))))))</f>
        <v>cost_service</v>
      </c>
    </row>
    <row r="685" spans="1:26" x14ac:dyDescent="0.25">
      <c r="A685">
        <v>2024</v>
      </c>
      <c r="B685">
        <v>11014</v>
      </c>
      <c r="C685" t="s">
        <v>743</v>
      </c>
      <c r="D685" t="s">
        <v>84</v>
      </c>
      <c r="E685" t="s">
        <v>85</v>
      </c>
      <c r="F685" t="s">
        <v>86</v>
      </c>
      <c r="G685" t="s">
        <v>57</v>
      </c>
      <c r="H685" t="s">
        <v>91</v>
      </c>
      <c r="I685" t="s">
        <v>151</v>
      </c>
      <c r="J685">
        <v>3998.4</v>
      </c>
      <c r="K685">
        <v>27407</v>
      </c>
      <c r="L685">
        <v>3878</v>
      </c>
      <c r="M685">
        <v>14781.9</v>
      </c>
      <c r="N685">
        <v>442650</v>
      </c>
      <c r="O685">
        <v>425</v>
      </c>
      <c r="P685">
        <v>19558.2</v>
      </c>
      <c r="Q685">
        <v>148949</v>
      </c>
      <c r="R685">
        <v>5197</v>
      </c>
      <c r="S685" t="s">
        <v>97</v>
      </c>
      <c r="T685" t="s">
        <v>97</v>
      </c>
      <c r="U685" t="s">
        <v>97</v>
      </c>
      <c r="V685">
        <v>38338.5</v>
      </c>
      <c r="W685">
        <v>619006</v>
      </c>
      <c r="X685">
        <v>9500</v>
      </c>
      <c r="Y685">
        <f t="shared" si="10"/>
        <v>619006</v>
      </c>
      <c r="Z685" t="str">
        <f>IF(ISNUMBER(SEARCH("Adjustment",$C685)),"excluded",IF($H685="Behind the Meter","excluded",IF(NOT(OR($E685="Bundled",$E685="Energy")),"excluded",IF(OR($H685="Retail Power Marketer",$H685="Community Choice Aggregator",$E685="Energy"),"procurement",IF(OR($H685="Municipal",$H685="Cooperative",$H685="Federal",$H685="State",$H685="Political Subdivision"),"cost_service",IF($H685="Investor Owned",IF(AND(COUNTIF(Parameters!$A$4:$A$33,$G685)&gt;0,COUNTIF(Parameters!$B$4:$B$33,$B685)=0),"procurement","cost_service"),"unclassified"))))))</f>
        <v>cost_service</v>
      </c>
    </row>
    <row r="686" spans="1:26" x14ac:dyDescent="0.25">
      <c r="A686">
        <v>2024</v>
      </c>
      <c r="B686">
        <v>11018</v>
      </c>
      <c r="C686" t="s">
        <v>744</v>
      </c>
      <c r="D686" t="s">
        <v>84</v>
      </c>
      <c r="E686" t="s">
        <v>85</v>
      </c>
      <c r="F686" t="s">
        <v>86</v>
      </c>
      <c r="G686" t="s">
        <v>271</v>
      </c>
      <c r="H686" t="s">
        <v>88</v>
      </c>
      <c r="I686" t="s">
        <v>135</v>
      </c>
      <c r="J686">
        <v>141987.4</v>
      </c>
      <c r="K686">
        <v>1307690</v>
      </c>
      <c r="L686">
        <v>134912</v>
      </c>
      <c r="M686">
        <v>125712.9</v>
      </c>
      <c r="N686">
        <v>1473540</v>
      </c>
      <c r="O686">
        <v>17920</v>
      </c>
      <c r="P686">
        <v>33439</v>
      </c>
      <c r="Q686">
        <v>469694</v>
      </c>
      <c r="R686">
        <v>237</v>
      </c>
      <c r="S686">
        <v>0</v>
      </c>
      <c r="T686">
        <v>0</v>
      </c>
      <c r="U686">
        <v>0</v>
      </c>
      <c r="V686">
        <v>301139.3</v>
      </c>
      <c r="W686">
        <v>3250924</v>
      </c>
      <c r="X686">
        <v>153069</v>
      </c>
      <c r="Y686">
        <f t="shared" si="10"/>
        <v>3250924</v>
      </c>
      <c r="Z686" t="str">
        <f>IF(ISNUMBER(SEARCH("Adjustment",$C686)),"excluded",IF($H686="Behind the Meter","excluded",IF(NOT(OR($E686="Bundled",$E686="Energy")),"excluded",IF(OR($H686="Retail Power Marketer",$H686="Community Choice Aggregator",$E686="Energy"),"procurement",IF(OR($H686="Municipal",$H686="Cooperative",$H686="Federal",$H686="State",$H686="Political Subdivision"),"cost_service",IF($H686="Investor Owned",IF(AND(COUNTIF(Parameters!$A$4:$A$33,$G686)&gt;0,COUNTIF(Parameters!$B$4:$B$33,$B686)=0),"procurement","cost_service"),"unclassified"))))))</f>
        <v>cost_service</v>
      </c>
    </row>
    <row r="687" spans="1:26" x14ac:dyDescent="0.25">
      <c r="A687">
        <v>2024</v>
      </c>
      <c r="B687">
        <v>11053</v>
      </c>
      <c r="C687" t="s">
        <v>745</v>
      </c>
      <c r="D687" t="s">
        <v>84</v>
      </c>
      <c r="E687" t="s">
        <v>85</v>
      </c>
      <c r="F687" t="s">
        <v>86</v>
      </c>
      <c r="G687" t="s">
        <v>146</v>
      </c>
      <c r="H687" t="s">
        <v>91</v>
      </c>
      <c r="I687" t="s">
        <v>96</v>
      </c>
      <c r="J687">
        <v>44026</v>
      </c>
      <c r="K687">
        <v>309400</v>
      </c>
      <c r="L687">
        <v>30323</v>
      </c>
      <c r="M687">
        <v>7950</v>
      </c>
      <c r="N687">
        <v>57442</v>
      </c>
      <c r="O687">
        <v>4214</v>
      </c>
      <c r="P687">
        <v>14648</v>
      </c>
      <c r="Q687">
        <v>159962</v>
      </c>
      <c r="R687">
        <v>197</v>
      </c>
      <c r="S687" t="s">
        <v>97</v>
      </c>
      <c r="T687" t="s">
        <v>97</v>
      </c>
      <c r="U687" t="s">
        <v>97</v>
      </c>
      <c r="V687">
        <v>66624</v>
      </c>
      <c r="W687">
        <v>526804</v>
      </c>
      <c r="X687">
        <v>34734</v>
      </c>
      <c r="Y687">
        <f t="shared" si="10"/>
        <v>526804</v>
      </c>
      <c r="Z687" t="str">
        <f>IF(ISNUMBER(SEARCH("Adjustment",$C687)),"excluded",IF($H687="Behind the Meter","excluded",IF(NOT(OR($E687="Bundled",$E687="Energy")),"excluded",IF(OR($H687="Retail Power Marketer",$H687="Community Choice Aggregator",$E687="Energy"),"procurement",IF(OR($H687="Municipal",$H687="Cooperative",$H687="Federal",$H687="State",$H687="Political Subdivision"),"cost_service",IF($H687="Investor Owned",IF(AND(COUNTIF(Parameters!$A$4:$A$33,$G687)&gt;0,COUNTIF(Parameters!$B$4:$B$33,$B687)=0),"procurement","cost_service"),"unclassified"))))))</f>
        <v>cost_service</v>
      </c>
    </row>
    <row r="688" spans="1:26" x14ac:dyDescent="0.25">
      <c r="A688">
        <v>2024</v>
      </c>
      <c r="B688">
        <v>11085</v>
      </c>
      <c r="C688" t="s">
        <v>746</v>
      </c>
      <c r="D688" t="s">
        <v>84</v>
      </c>
      <c r="E688" t="s">
        <v>85</v>
      </c>
      <c r="F688" t="s">
        <v>86</v>
      </c>
      <c r="G688" t="s">
        <v>48</v>
      </c>
      <c r="H688" t="s">
        <v>88</v>
      </c>
      <c r="I688" t="s">
        <v>189</v>
      </c>
      <c r="J688">
        <v>9699.6</v>
      </c>
      <c r="K688">
        <v>68711</v>
      </c>
      <c r="L688">
        <v>6738</v>
      </c>
      <c r="M688">
        <v>6439.7</v>
      </c>
      <c r="N688">
        <v>42493</v>
      </c>
      <c r="O688">
        <v>809</v>
      </c>
      <c r="P688">
        <v>15052.1</v>
      </c>
      <c r="Q688">
        <v>112087</v>
      </c>
      <c r="R688">
        <v>49</v>
      </c>
      <c r="S688" t="s">
        <v>97</v>
      </c>
      <c r="T688" t="s">
        <v>97</v>
      </c>
      <c r="U688" t="s">
        <v>97</v>
      </c>
      <c r="V688">
        <v>31191.4</v>
      </c>
      <c r="W688">
        <v>223291</v>
      </c>
      <c r="X688">
        <v>7596</v>
      </c>
      <c r="Y688">
        <f t="shared" si="10"/>
        <v>223291</v>
      </c>
      <c r="Z688" t="str">
        <f>IF(ISNUMBER(SEARCH("Adjustment",$C688)),"excluded",IF($H688="Behind the Meter","excluded",IF(NOT(OR($E688="Bundled",$E688="Energy")),"excluded",IF(OR($H688="Retail Power Marketer",$H688="Community Choice Aggregator",$E688="Energy"),"procurement",IF(OR($H688="Municipal",$H688="Cooperative",$H688="Federal",$H688="State",$H688="Political Subdivision"),"cost_service",IF($H688="Investor Owned",IF(AND(COUNTIF(Parameters!$A$4:$A$33,$G688)&gt;0,COUNTIF(Parameters!$B$4:$B$33,$B688)=0),"procurement","cost_service"),"unclassified"))))))</f>
        <v>cost_service</v>
      </c>
    </row>
    <row r="689" spans="1:26" x14ac:dyDescent="0.25">
      <c r="A689">
        <v>2024</v>
      </c>
      <c r="B689">
        <v>11118</v>
      </c>
      <c r="C689" t="s">
        <v>747</v>
      </c>
      <c r="D689" t="s">
        <v>84</v>
      </c>
      <c r="E689" t="s">
        <v>85</v>
      </c>
      <c r="F689" t="s">
        <v>86</v>
      </c>
      <c r="G689" t="s">
        <v>106</v>
      </c>
      <c r="H689" t="s">
        <v>109</v>
      </c>
      <c r="I689" t="s">
        <v>126</v>
      </c>
      <c r="J689">
        <v>8555.7999999999993</v>
      </c>
      <c r="K689">
        <v>63769</v>
      </c>
      <c r="L689">
        <v>4976</v>
      </c>
      <c r="M689">
        <v>29504.3</v>
      </c>
      <c r="N689">
        <v>547375</v>
      </c>
      <c r="O689">
        <v>1357</v>
      </c>
      <c r="P689">
        <v>6987.8</v>
      </c>
      <c r="Q689">
        <v>120386</v>
      </c>
      <c r="R689">
        <v>10</v>
      </c>
      <c r="S689" t="s">
        <v>97</v>
      </c>
      <c r="T689" t="s">
        <v>97</v>
      </c>
      <c r="U689" t="s">
        <v>97</v>
      </c>
      <c r="V689">
        <v>45047.9</v>
      </c>
      <c r="W689">
        <v>731530</v>
      </c>
      <c r="X689">
        <v>6343</v>
      </c>
      <c r="Y689">
        <f t="shared" si="10"/>
        <v>731530</v>
      </c>
      <c r="Z689" t="str">
        <f>IF(ISNUMBER(SEARCH("Adjustment",$C689)),"excluded",IF($H689="Behind the Meter","excluded",IF(NOT(OR($E689="Bundled",$E689="Energy")),"excluded",IF(OR($H689="Retail Power Marketer",$H689="Community Choice Aggregator",$E689="Energy"),"procurement",IF(OR($H689="Municipal",$H689="Cooperative",$H689="Federal",$H689="State",$H689="Political Subdivision"),"cost_service",IF($H689="Investor Owned",IF(AND(COUNTIF(Parameters!$A$4:$A$33,$G689)&gt;0,COUNTIF(Parameters!$B$4:$B$33,$B689)=0),"procurement","cost_service"),"unclassified"))))))</f>
        <v>cost_service</v>
      </c>
    </row>
    <row r="690" spans="1:26" x14ac:dyDescent="0.25">
      <c r="A690">
        <v>2024</v>
      </c>
      <c r="B690">
        <v>11124</v>
      </c>
      <c r="C690" t="s">
        <v>748</v>
      </c>
      <c r="D690" t="s">
        <v>84</v>
      </c>
      <c r="E690" t="s">
        <v>85</v>
      </c>
      <c r="F690" t="s">
        <v>86</v>
      </c>
      <c r="G690" t="s">
        <v>115</v>
      </c>
      <c r="H690" t="s">
        <v>88</v>
      </c>
      <c r="I690" t="s">
        <v>116</v>
      </c>
      <c r="J690">
        <v>38996</v>
      </c>
      <c r="K690">
        <v>173515</v>
      </c>
      <c r="L690">
        <v>23751</v>
      </c>
      <c r="M690">
        <v>33076.300000000003</v>
      </c>
      <c r="N690">
        <v>167813</v>
      </c>
      <c r="O690">
        <v>2165</v>
      </c>
      <c r="P690">
        <v>18178.900000000001</v>
      </c>
      <c r="Q690">
        <v>117724</v>
      </c>
      <c r="R690">
        <v>23</v>
      </c>
      <c r="S690" t="s">
        <v>97</v>
      </c>
      <c r="T690" t="s">
        <v>97</v>
      </c>
      <c r="U690" t="s">
        <v>97</v>
      </c>
      <c r="V690">
        <v>90251.199999999997</v>
      </c>
      <c r="W690">
        <v>459052</v>
      </c>
      <c r="X690">
        <v>25939</v>
      </c>
      <c r="Y690">
        <f t="shared" si="10"/>
        <v>459052</v>
      </c>
      <c r="Z690" t="str">
        <f>IF(ISNUMBER(SEARCH("Adjustment",$C690)),"excluded",IF($H690="Behind the Meter","excluded",IF(NOT(OR($E690="Bundled",$E690="Energy")),"excluded",IF(OR($H690="Retail Power Marketer",$H690="Community Choice Aggregator",$E690="Energy"),"procurement",IF(OR($H690="Municipal",$H690="Cooperative",$H690="Federal",$H690="State",$H690="Political Subdivision"),"cost_service",IF($H690="Investor Owned",IF(AND(COUNTIF(Parameters!$A$4:$A$33,$G690)&gt;0,COUNTIF(Parameters!$B$4:$B$33,$B690)=0),"procurement","cost_service"),"unclassified"))))))</f>
        <v>cost_service</v>
      </c>
    </row>
    <row r="691" spans="1:26" x14ac:dyDescent="0.25">
      <c r="A691">
        <v>2024</v>
      </c>
      <c r="B691">
        <v>11125</v>
      </c>
      <c r="C691" t="s">
        <v>749</v>
      </c>
      <c r="D691" t="s">
        <v>84</v>
      </c>
      <c r="E691" t="s">
        <v>85</v>
      </c>
      <c r="F691" t="s">
        <v>86</v>
      </c>
      <c r="G691" t="s">
        <v>95</v>
      </c>
      <c r="H691" t="s">
        <v>88</v>
      </c>
      <c r="I691" t="s">
        <v>96</v>
      </c>
      <c r="J691">
        <v>1491.8</v>
      </c>
      <c r="K691">
        <v>11224</v>
      </c>
      <c r="L691">
        <v>1490</v>
      </c>
      <c r="M691">
        <v>1851.2</v>
      </c>
      <c r="N691">
        <v>15471</v>
      </c>
      <c r="O691">
        <v>311</v>
      </c>
      <c r="P691">
        <v>0</v>
      </c>
      <c r="Q691">
        <v>0</v>
      </c>
      <c r="R691">
        <v>0</v>
      </c>
      <c r="S691">
        <v>0</v>
      </c>
      <c r="T691">
        <v>0</v>
      </c>
      <c r="U691">
        <v>0</v>
      </c>
      <c r="V691">
        <v>3343</v>
      </c>
      <c r="W691">
        <v>26695</v>
      </c>
      <c r="X691">
        <v>1801</v>
      </c>
      <c r="Y691">
        <f t="shared" si="10"/>
        <v>26695</v>
      </c>
      <c r="Z691" t="str">
        <f>IF(ISNUMBER(SEARCH("Adjustment",$C691)),"excluded",IF($H691="Behind the Meter","excluded",IF(NOT(OR($E691="Bundled",$E691="Energy")),"excluded",IF(OR($H691="Retail Power Marketer",$H691="Community Choice Aggregator",$E691="Energy"),"procurement",IF(OR($H691="Municipal",$H691="Cooperative",$H691="Federal",$H691="State",$H691="Political Subdivision"),"cost_service",IF($H691="Investor Owned",IF(AND(COUNTIF(Parameters!$A$4:$A$33,$G691)&gt;0,COUNTIF(Parameters!$B$4:$B$33,$B691)=0),"procurement","cost_service"),"unclassified"))))))</f>
        <v>cost_service</v>
      </c>
    </row>
    <row r="692" spans="1:26" x14ac:dyDescent="0.25">
      <c r="A692">
        <v>2024</v>
      </c>
      <c r="B692">
        <v>11135</v>
      </c>
      <c r="C692" t="s">
        <v>750</v>
      </c>
      <c r="D692" t="s">
        <v>84</v>
      </c>
      <c r="E692" t="s">
        <v>85</v>
      </c>
      <c r="F692" t="s">
        <v>86</v>
      </c>
      <c r="G692" t="s">
        <v>245</v>
      </c>
      <c r="H692" t="s">
        <v>88</v>
      </c>
      <c r="I692" t="s">
        <v>246</v>
      </c>
      <c r="J692">
        <v>15024.3</v>
      </c>
      <c r="K692">
        <v>117191</v>
      </c>
      <c r="L692">
        <v>19455</v>
      </c>
      <c r="M692">
        <v>23039.7</v>
      </c>
      <c r="N692">
        <v>202490</v>
      </c>
      <c r="O692">
        <v>2312</v>
      </c>
      <c r="P692">
        <v>9750.2999999999993</v>
      </c>
      <c r="Q692">
        <v>108086</v>
      </c>
      <c r="R692">
        <v>7</v>
      </c>
      <c r="S692" t="s">
        <v>97</v>
      </c>
      <c r="T692" t="s">
        <v>97</v>
      </c>
      <c r="U692" t="s">
        <v>97</v>
      </c>
      <c r="V692">
        <v>47814.3</v>
      </c>
      <c r="W692">
        <v>427767</v>
      </c>
      <c r="X692">
        <v>21774</v>
      </c>
      <c r="Y692">
        <f t="shared" si="10"/>
        <v>427767</v>
      </c>
      <c r="Z692" t="str">
        <f>IF(ISNUMBER(SEARCH("Adjustment",$C692)),"excluded",IF($H692="Behind the Meter","excluded",IF(NOT(OR($E692="Bundled",$E692="Energy")),"excluded",IF(OR($H692="Retail Power Marketer",$H692="Community Choice Aggregator",$E692="Energy"),"procurement",IF(OR($H692="Municipal",$H692="Cooperative",$H692="Federal",$H692="State",$H692="Political Subdivision"),"cost_service",IF($H692="Investor Owned",IF(AND(COUNTIF(Parameters!$A$4:$A$33,$G692)&gt;0,COUNTIF(Parameters!$B$4:$B$33,$B692)=0),"procurement","cost_service"),"unclassified"))))))</f>
        <v>cost_service</v>
      </c>
    </row>
    <row r="693" spans="1:26" x14ac:dyDescent="0.25">
      <c r="A693">
        <v>2024</v>
      </c>
      <c r="B693">
        <v>11142</v>
      </c>
      <c r="C693" t="s">
        <v>751</v>
      </c>
      <c r="D693" t="s">
        <v>84</v>
      </c>
      <c r="E693" t="s">
        <v>85</v>
      </c>
      <c r="F693" t="s">
        <v>86</v>
      </c>
      <c r="G693" t="s">
        <v>130</v>
      </c>
      <c r="H693" t="s">
        <v>88</v>
      </c>
      <c r="I693" t="s">
        <v>96</v>
      </c>
      <c r="J693">
        <v>11069</v>
      </c>
      <c r="K693">
        <v>101243</v>
      </c>
      <c r="L693">
        <v>11350</v>
      </c>
      <c r="M693">
        <v>7196</v>
      </c>
      <c r="N693">
        <v>71870</v>
      </c>
      <c r="O693">
        <v>1464</v>
      </c>
      <c r="P693">
        <v>18109</v>
      </c>
      <c r="Q693">
        <v>240286</v>
      </c>
      <c r="R693">
        <v>71</v>
      </c>
      <c r="S693" t="s">
        <v>97</v>
      </c>
      <c r="T693" t="s">
        <v>97</v>
      </c>
      <c r="U693" t="s">
        <v>97</v>
      </c>
      <c r="V693">
        <v>36374</v>
      </c>
      <c r="W693">
        <v>413399</v>
      </c>
      <c r="X693">
        <v>12885</v>
      </c>
      <c r="Y693">
        <f t="shared" si="10"/>
        <v>413399</v>
      </c>
      <c r="Z693" t="str">
        <f>IF(ISNUMBER(SEARCH("Adjustment",$C693)),"excluded",IF($H693="Behind the Meter","excluded",IF(NOT(OR($E693="Bundled",$E693="Energy")),"excluded",IF(OR($H693="Retail Power Marketer",$H693="Community Choice Aggregator",$E693="Energy"),"procurement",IF(OR($H693="Municipal",$H693="Cooperative",$H693="Federal",$H693="State",$H693="Political Subdivision"),"cost_service",IF($H693="Investor Owned",IF(AND(COUNTIF(Parameters!$A$4:$A$33,$G693)&gt;0,COUNTIF(Parameters!$B$4:$B$33,$B693)=0),"procurement","cost_service"),"unclassified"))))))</f>
        <v>cost_service</v>
      </c>
    </row>
    <row r="694" spans="1:26" x14ac:dyDescent="0.25">
      <c r="A694">
        <v>2024</v>
      </c>
      <c r="B694">
        <v>11171</v>
      </c>
      <c r="C694" t="s">
        <v>752</v>
      </c>
      <c r="D694" t="s">
        <v>84</v>
      </c>
      <c r="E694" t="s">
        <v>85</v>
      </c>
      <c r="F694" t="s">
        <v>86</v>
      </c>
      <c r="G694" t="s">
        <v>53</v>
      </c>
      <c r="H694" t="s">
        <v>75</v>
      </c>
      <c r="I694" t="s">
        <v>102</v>
      </c>
      <c r="J694">
        <v>2243175.7000000002</v>
      </c>
      <c r="K694">
        <v>9129181</v>
      </c>
      <c r="L694">
        <v>1029943</v>
      </c>
      <c r="M694">
        <v>1798103.7</v>
      </c>
      <c r="N694">
        <v>8379635</v>
      </c>
      <c r="O694">
        <v>131220</v>
      </c>
      <c r="P694" t="s">
        <v>97</v>
      </c>
      <c r="Q694" t="s">
        <v>97</v>
      </c>
      <c r="R694" t="s">
        <v>97</v>
      </c>
      <c r="S694">
        <v>45659.3</v>
      </c>
      <c r="T694">
        <v>308685</v>
      </c>
      <c r="U694">
        <v>1</v>
      </c>
      <c r="V694">
        <v>4086938.7</v>
      </c>
      <c r="W694">
        <v>17817501</v>
      </c>
      <c r="X694">
        <v>1161164</v>
      </c>
      <c r="Y694">
        <f t="shared" si="10"/>
        <v>17817501</v>
      </c>
      <c r="Z694" t="str">
        <f>IF(ISNUMBER(SEARCH("Adjustment",$C694)),"excluded",IF($H694="Behind the Meter","excluded",IF(NOT(OR($E694="Bundled",$E694="Energy")),"excluded",IF(OR($H694="Retail Power Marketer",$H694="Community Choice Aggregator",$E694="Energy"),"procurement",IF(OR($H694="Municipal",$H694="Cooperative",$H694="Federal",$H694="State",$H694="Political Subdivision"),"cost_service",IF($H694="Investor Owned",IF(AND(COUNTIF(Parameters!$A$4:$A$33,$G694)&gt;0,COUNTIF(Parameters!$B$4:$B$33,$B694)=0),"procurement","cost_service"),"unclassified"))))))</f>
        <v>cost_service</v>
      </c>
    </row>
    <row r="695" spans="1:26" x14ac:dyDescent="0.25">
      <c r="A695">
        <v>2024</v>
      </c>
      <c r="B695">
        <v>11171</v>
      </c>
      <c r="C695" t="s">
        <v>752</v>
      </c>
      <c r="D695" t="s">
        <v>167</v>
      </c>
      <c r="E695" t="s">
        <v>168</v>
      </c>
      <c r="F695" t="s">
        <v>86</v>
      </c>
      <c r="G695" t="s">
        <v>53</v>
      </c>
      <c r="H695" t="s">
        <v>75</v>
      </c>
      <c r="I695" t="s">
        <v>102</v>
      </c>
      <c r="J695">
        <v>40.9</v>
      </c>
      <c r="K695">
        <v>248</v>
      </c>
      <c r="L695">
        <v>12</v>
      </c>
      <c r="M695">
        <v>50115.4</v>
      </c>
      <c r="N695">
        <v>592126</v>
      </c>
      <c r="O695">
        <v>612</v>
      </c>
      <c r="P695" t="s">
        <v>97</v>
      </c>
      <c r="Q695" t="s">
        <v>97</v>
      </c>
      <c r="R695" t="s">
        <v>97</v>
      </c>
      <c r="S695" t="s">
        <v>97</v>
      </c>
      <c r="T695" t="s">
        <v>97</v>
      </c>
      <c r="U695" t="s">
        <v>97</v>
      </c>
      <c r="V695">
        <v>50156.3</v>
      </c>
      <c r="W695">
        <v>592374</v>
      </c>
      <c r="X695">
        <v>624</v>
      </c>
      <c r="Y695">
        <f t="shared" si="10"/>
        <v>592374</v>
      </c>
      <c r="Z695" t="str">
        <f>IF(ISNUMBER(SEARCH("Adjustment",$C695)),"excluded",IF($H695="Behind the Meter","excluded",IF(NOT(OR($E695="Bundled",$E695="Energy")),"excluded",IF(OR($H695="Retail Power Marketer",$H695="Community Choice Aggregator",$E695="Energy"),"procurement",IF(OR($H695="Municipal",$H695="Cooperative",$H695="Federal",$H695="State",$H695="Political Subdivision"),"cost_service",IF($H695="Investor Owned",IF(AND(COUNTIF(Parameters!$A$4:$A$33,$G695)&gt;0,COUNTIF(Parameters!$B$4:$B$33,$B695)=0),"procurement","cost_service"),"unclassified"))))))</f>
        <v>excluded</v>
      </c>
    </row>
    <row r="696" spans="1:26" x14ac:dyDescent="0.25">
      <c r="A696">
        <v>2024</v>
      </c>
      <c r="B696">
        <v>11187</v>
      </c>
      <c r="C696" t="s">
        <v>753</v>
      </c>
      <c r="D696" t="s">
        <v>84</v>
      </c>
      <c r="E696" t="s">
        <v>85</v>
      </c>
      <c r="F696" t="s">
        <v>86</v>
      </c>
      <c r="G696" t="s">
        <v>361</v>
      </c>
      <c r="H696" t="s">
        <v>88</v>
      </c>
      <c r="I696" t="s">
        <v>523</v>
      </c>
      <c r="J696">
        <v>41698.5</v>
      </c>
      <c r="K696">
        <v>338976</v>
      </c>
      <c r="L696">
        <v>40855</v>
      </c>
      <c r="M696">
        <v>37722</v>
      </c>
      <c r="N696">
        <v>341771</v>
      </c>
      <c r="O696">
        <v>2873</v>
      </c>
      <c r="P696">
        <v>12141.8</v>
      </c>
      <c r="Q696">
        <v>136584</v>
      </c>
      <c r="R696">
        <v>13</v>
      </c>
      <c r="S696" t="s">
        <v>97</v>
      </c>
      <c r="T696" t="s">
        <v>97</v>
      </c>
      <c r="U696" t="s">
        <v>97</v>
      </c>
      <c r="V696">
        <v>91562.3</v>
      </c>
      <c r="W696">
        <v>817331</v>
      </c>
      <c r="X696">
        <v>43741</v>
      </c>
      <c r="Y696">
        <f t="shared" si="10"/>
        <v>817331</v>
      </c>
      <c r="Z696" t="str">
        <f>IF(ISNUMBER(SEARCH("Adjustment",$C696)),"excluded",IF($H696="Behind the Meter","excluded",IF(NOT(OR($E696="Bundled",$E696="Energy")),"excluded",IF(OR($H696="Retail Power Marketer",$H696="Community Choice Aggregator",$E696="Energy"),"procurement",IF(OR($H696="Municipal",$H696="Cooperative",$H696="Federal",$H696="State",$H696="Political Subdivision"),"cost_service",IF($H696="Investor Owned",IF(AND(COUNTIF(Parameters!$A$4:$A$33,$G696)&gt;0,COUNTIF(Parameters!$B$4:$B$33,$B696)=0),"procurement","cost_service"),"unclassified"))))))</f>
        <v>cost_service</v>
      </c>
    </row>
    <row r="697" spans="1:26" x14ac:dyDescent="0.25">
      <c r="A697">
        <v>2024</v>
      </c>
      <c r="B697">
        <v>11200</v>
      </c>
      <c r="C697" t="s">
        <v>754</v>
      </c>
      <c r="D697" t="s">
        <v>84</v>
      </c>
      <c r="E697" t="s">
        <v>85</v>
      </c>
      <c r="F697" t="s">
        <v>86</v>
      </c>
      <c r="G697" t="s">
        <v>54</v>
      </c>
      <c r="H697" t="s">
        <v>91</v>
      </c>
      <c r="I697" t="s">
        <v>92</v>
      </c>
      <c r="J697">
        <v>36685.699999999997</v>
      </c>
      <c r="K697">
        <v>212521</v>
      </c>
      <c r="L697">
        <v>15234</v>
      </c>
      <c r="M697">
        <v>7378.8</v>
      </c>
      <c r="N697">
        <v>46454</v>
      </c>
      <c r="O697">
        <v>1594</v>
      </c>
      <c r="P697">
        <v>3832.3</v>
      </c>
      <c r="Q697">
        <v>61966</v>
      </c>
      <c r="R697">
        <v>3</v>
      </c>
      <c r="S697" t="s">
        <v>97</v>
      </c>
      <c r="T697" t="s">
        <v>97</v>
      </c>
      <c r="U697" t="s">
        <v>97</v>
      </c>
      <c r="V697">
        <v>47896.800000000003</v>
      </c>
      <c r="W697">
        <v>320941</v>
      </c>
      <c r="X697">
        <v>16831</v>
      </c>
      <c r="Y697">
        <f t="shared" si="10"/>
        <v>320941</v>
      </c>
      <c r="Z697" t="str">
        <f>IF(ISNUMBER(SEARCH("Adjustment",$C697)),"excluded",IF($H697="Behind the Meter","excluded",IF(NOT(OR($E697="Bundled",$E697="Energy")),"excluded",IF(OR($H697="Retail Power Marketer",$H697="Community Choice Aggregator",$E697="Energy"),"procurement",IF(OR($H697="Municipal",$H697="Cooperative",$H697="Federal",$H697="State",$H697="Political Subdivision"),"cost_service",IF($H697="Investor Owned",IF(AND(COUNTIF(Parameters!$A$4:$A$33,$G697)&gt;0,COUNTIF(Parameters!$B$4:$B$33,$B697)=0),"procurement","cost_service"),"unclassified"))))))</f>
        <v>cost_service</v>
      </c>
    </row>
    <row r="698" spans="1:26" x14ac:dyDescent="0.25">
      <c r="A698">
        <v>2024</v>
      </c>
      <c r="B698">
        <v>11204</v>
      </c>
      <c r="C698" t="s">
        <v>755</v>
      </c>
      <c r="D698" t="s">
        <v>84</v>
      </c>
      <c r="E698" t="s">
        <v>85</v>
      </c>
      <c r="F698" t="s">
        <v>86</v>
      </c>
      <c r="G698" t="s">
        <v>308</v>
      </c>
      <c r="H698" t="s">
        <v>88</v>
      </c>
      <c r="I698" t="s">
        <v>309</v>
      </c>
      <c r="J698">
        <v>8687.9</v>
      </c>
      <c r="K698">
        <v>61406</v>
      </c>
      <c r="L698">
        <v>7742</v>
      </c>
      <c r="M698">
        <v>7570.8</v>
      </c>
      <c r="N698">
        <v>56271</v>
      </c>
      <c r="O698">
        <v>838</v>
      </c>
      <c r="P698">
        <v>31036.799999999999</v>
      </c>
      <c r="Q698">
        <v>368103</v>
      </c>
      <c r="R698">
        <v>1</v>
      </c>
      <c r="S698">
        <v>0</v>
      </c>
      <c r="T698">
        <v>0</v>
      </c>
      <c r="U698">
        <v>0</v>
      </c>
      <c r="V698">
        <v>47295.5</v>
      </c>
      <c r="W698">
        <v>485780</v>
      </c>
      <c r="X698">
        <v>8581</v>
      </c>
      <c r="Y698">
        <f t="shared" si="10"/>
        <v>485780</v>
      </c>
      <c r="Z698" t="str">
        <f>IF(ISNUMBER(SEARCH("Adjustment",$C698)),"excluded",IF($H698="Behind the Meter","excluded",IF(NOT(OR($E698="Bundled",$E698="Energy")),"excluded",IF(OR($H698="Retail Power Marketer",$H698="Community Choice Aggregator",$E698="Energy"),"procurement",IF(OR($H698="Municipal",$H698="Cooperative",$H698="Federal",$H698="State",$H698="Political Subdivision"),"cost_service",IF($H698="Investor Owned",IF(AND(COUNTIF(Parameters!$A$4:$A$33,$G698)&gt;0,COUNTIF(Parameters!$B$4:$B$33,$B698)=0),"procurement","cost_service"),"unclassified"))))))</f>
        <v>cost_service</v>
      </c>
    </row>
    <row r="699" spans="1:26" x14ac:dyDescent="0.25">
      <c r="A699">
        <v>2024</v>
      </c>
      <c r="B699">
        <v>11208</v>
      </c>
      <c r="C699" t="s">
        <v>756</v>
      </c>
      <c r="D699" t="s">
        <v>84</v>
      </c>
      <c r="E699" t="s">
        <v>85</v>
      </c>
      <c r="F699" t="s">
        <v>86</v>
      </c>
      <c r="G699" t="s">
        <v>115</v>
      </c>
      <c r="H699" t="s">
        <v>88</v>
      </c>
      <c r="I699" t="s">
        <v>267</v>
      </c>
      <c r="J699">
        <v>1956785</v>
      </c>
      <c r="K699">
        <v>8208619</v>
      </c>
      <c r="L699">
        <v>1410191</v>
      </c>
      <c r="M699">
        <v>2629825</v>
      </c>
      <c r="N699">
        <v>11978429</v>
      </c>
      <c r="O699">
        <v>91304</v>
      </c>
      <c r="P699">
        <v>216919</v>
      </c>
      <c r="Q699">
        <v>1049637</v>
      </c>
      <c r="R699">
        <v>9498</v>
      </c>
      <c r="S699">
        <v>23687.1</v>
      </c>
      <c r="T699">
        <v>110390</v>
      </c>
      <c r="U699">
        <v>2</v>
      </c>
      <c r="V699">
        <v>4827216.0999999996</v>
      </c>
      <c r="W699">
        <v>21347075</v>
      </c>
      <c r="X699">
        <v>1510995</v>
      </c>
      <c r="Y699">
        <f t="shared" si="10"/>
        <v>21347075</v>
      </c>
      <c r="Z699" t="str">
        <f>IF(ISNUMBER(SEARCH("Adjustment",$C699)),"excluded",IF($H699="Behind the Meter","excluded",IF(NOT(OR($E699="Bundled",$E699="Energy")),"excluded",IF(OR($H699="Retail Power Marketer",$H699="Community Choice Aggregator",$E699="Energy"),"procurement",IF(OR($H699="Municipal",$H699="Cooperative",$H699="Federal",$H699="State",$H699="Political Subdivision"),"cost_service",IF($H699="Investor Owned",IF(AND(COUNTIF(Parameters!$A$4:$A$33,$G699)&gt;0,COUNTIF(Parameters!$B$4:$B$33,$B699)=0),"procurement","cost_service"),"unclassified"))))))</f>
        <v>cost_service</v>
      </c>
    </row>
    <row r="700" spans="1:26" x14ac:dyDescent="0.25">
      <c r="A700">
        <v>2024</v>
      </c>
      <c r="B700">
        <v>11222</v>
      </c>
      <c r="C700" t="s">
        <v>757</v>
      </c>
      <c r="D700" t="s">
        <v>84</v>
      </c>
      <c r="E700" t="s">
        <v>85</v>
      </c>
      <c r="F700" t="s">
        <v>86</v>
      </c>
      <c r="G700" t="s">
        <v>156</v>
      </c>
      <c r="H700" t="s">
        <v>88</v>
      </c>
      <c r="I700" t="s">
        <v>89</v>
      </c>
      <c r="J700">
        <v>20333</v>
      </c>
      <c r="K700">
        <v>177561</v>
      </c>
      <c r="L700">
        <v>12698</v>
      </c>
      <c r="M700">
        <v>15128</v>
      </c>
      <c r="N700">
        <v>131687</v>
      </c>
      <c r="O700">
        <v>1928</v>
      </c>
      <c r="P700">
        <v>16238</v>
      </c>
      <c r="Q700">
        <v>239473</v>
      </c>
      <c r="R700">
        <v>11</v>
      </c>
      <c r="S700">
        <v>0</v>
      </c>
      <c r="T700">
        <v>0</v>
      </c>
      <c r="U700">
        <v>0</v>
      </c>
      <c r="V700">
        <v>51699</v>
      </c>
      <c r="W700">
        <v>548721</v>
      </c>
      <c r="X700">
        <v>14637</v>
      </c>
      <c r="Y700">
        <f t="shared" si="10"/>
        <v>548721</v>
      </c>
      <c r="Z700" t="str">
        <f>IF(ISNUMBER(SEARCH("Adjustment",$C700)),"excluded",IF($H700="Behind the Meter","excluded",IF(NOT(OR($E700="Bundled",$E700="Energy")),"excluded",IF(OR($H700="Retail Power Marketer",$H700="Community Choice Aggregator",$E700="Energy"),"procurement",IF(OR($H700="Municipal",$H700="Cooperative",$H700="Federal",$H700="State",$H700="Political Subdivision"),"cost_service",IF($H700="Investor Owned",IF(AND(COUNTIF(Parameters!$A$4:$A$33,$G700)&gt;0,COUNTIF(Parameters!$B$4:$B$33,$B700)=0),"procurement","cost_service"),"unclassified"))))))</f>
        <v>cost_service</v>
      </c>
    </row>
    <row r="701" spans="1:26" x14ac:dyDescent="0.25">
      <c r="A701">
        <v>2024</v>
      </c>
      <c r="B701">
        <v>11241</v>
      </c>
      <c r="C701" t="s">
        <v>758</v>
      </c>
      <c r="D701" t="s">
        <v>84</v>
      </c>
      <c r="E701" t="s">
        <v>85</v>
      </c>
      <c r="F701" t="s">
        <v>86</v>
      </c>
      <c r="G701" t="s">
        <v>138</v>
      </c>
      <c r="H701" t="s">
        <v>109</v>
      </c>
      <c r="I701" t="s">
        <v>96</v>
      </c>
      <c r="J701">
        <v>1554400</v>
      </c>
      <c r="K701">
        <v>14061790</v>
      </c>
      <c r="L701">
        <v>957522</v>
      </c>
      <c r="M701">
        <v>1185845.3</v>
      </c>
      <c r="N701">
        <v>11914015</v>
      </c>
      <c r="O701">
        <v>141393</v>
      </c>
      <c r="P701">
        <v>1781614.9</v>
      </c>
      <c r="Q701">
        <v>34520048</v>
      </c>
      <c r="R701">
        <v>10241</v>
      </c>
      <c r="S701" t="s">
        <v>97</v>
      </c>
      <c r="T701" t="s">
        <v>97</v>
      </c>
      <c r="U701" t="s">
        <v>97</v>
      </c>
      <c r="V701">
        <v>4521860.2</v>
      </c>
      <c r="W701">
        <v>60495853</v>
      </c>
      <c r="X701">
        <v>1109156</v>
      </c>
      <c r="Y701">
        <f t="shared" si="10"/>
        <v>60495853</v>
      </c>
      <c r="Z701" t="str">
        <f>IF(ISNUMBER(SEARCH("Adjustment",$C701)),"excluded",IF($H701="Behind the Meter","excluded",IF(NOT(OR($E701="Bundled",$E701="Energy")),"excluded",IF(OR($H701="Retail Power Marketer",$H701="Community Choice Aggregator",$E701="Energy"),"procurement",IF(OR($H701="Municipal",$H701="Cooperative",$H701="Federal",$H701="State",$H701="Political Subdivision"),"cost_service",IF($H701="Investor Owned",IF(AND(COUNTIF(Parameters!$A$4:$A$33,$G701)&gt;0,COUNTIF(Parameters!$B$4:$B$33,$B701)=0),"procurement","cost_service"),"unclassified"))))))</f>
        <v>cost_service</v>
      </c>
    </row>
    <row r="702" spans="1:26" x14ac:dyDescent="0.25">
      <c r="A702">
        <v>2024</v>
      </c>
      <c r="B702">
        <v>11247</v>
      </c>
      <c r="C702" t="s">
        <v>759</v>
      </c>
      <c r="D702" t="s">
        <v>84</v>
      </c>
      <c r="E702" t="s">
        <v>85</v>
      </c>
      <c r="F702" t="s">
        <v>86</v>
      </c>
      <c r="G702" t="s">
        <v>87</v>
      </c>
      <c r="H702" t="s">
        <v>88</v>
      </c>
      <c r="I702" t="s">
        <v>89</v>
      </c>
      <c r="J702">
        <v>3323</v>
      </c>
      <c r="K702">
        <v>30518</v>
      </c>
      <c r="L702">
        <v>2444</v>
      </c>
      <c r="M702">
        <v>5759</v>
      </c>
      <c r="N702">
        <v>49166</v>
      </c>
      <c r="O702">
        <v>1015</v>
      </c>
      <c r="P702">
        <v>3189</v>
      </c>
      <c r="Q702">
        <v>46851</v>
      </c>
      <c r="R702">
        <v>3</v>
      </c>
      <c r="S702">
        <v>0</v>
      </c>
      <c r="T702">
        <v>0</v>
      </c>
      <c r="U702">
        <v>0</v>
      </c>
      <c r="V702">
        <v>12271</v>
      </c>
      <c r="W702">
        <v>126535</v>
      </c>
      <c r="X702">
        <v>3462</v>
      </c>
      <c r="Y702">
        <f t="shared" si="10"/>
        <v>126535</v>
      </c>
      <c r="Z702" t="str">
        <f>IF(ISNUMBER(SEARCH("Adjustment",$C702)),"excluded",IF($H702="Behind the Meter","excluded",IF(NOT(OR($E702="Bundled",$E702="Energy")),"excluded",IF(OR($H702="Retail Power Marketer",$H702="Community Choice Aggregator",$E702="Energy"),"procurement",IF(OR($H702="Municipal",$H702="Cooperative",$H702="Federal",$H702="State",$H702="Political Subdivision"),"cost_service",IF($H702="Investor Owned",IF(AND(COUNTIF(Parameters!$A$4:$A$33,$G702)&gt;0,COUNTIF(Parameters!$B$4:$B$33,$B702)=0),"procurement","cost_service"),"unclassified"))))))</f>
        <v>cost_service</v>
      </c>
    </row>
    <row r="703" spans="1:26" x14ac:dyDescent="0.25">
      <c r="A703">
        <v>2024</v>
      </c>
      <c r="B703">
        <v>11249</v>
      </c>
      <c r="C703" t="s">
        <v>760</v>
      </c>
      <c r="D703" t="s">
        <v>84</v>
      </c>
      <c r="E703" t="s">
        <v>85</v>
      </c>
      <c r="F703" t="s">
        <v>86</v>
      </c>
      <c r="G703" t="s">
        <v>209</v>
      </c>
      <c r="H703" t="s">
        <v>109</v>
      </c>
      <c r="I703" t="s">
        <v>534</v>
      </c>
      <c r="J703">
        <v>516693</v>
      </c>
      <c r="K703">
        <v>4206876</v>
      </c>
      <c r="L703">
        <v>384902</v>
      </c>
      <c r="M703">
        <v>524165</v>
      </c>
      <c r="N703">
        <v>4682305</v>
      </c>
      <c r="O703">
        <v>52286</v>
      </c>
      <c r="P703">
        <v>178818</v>
      </c>
      <c r="Q703">
        <v>2379447</v>
      </c>
      <c r="R703">
        <v>549</v>
      </c>
      <c r="S703">
        <v>0</v>
      </c>
      <c r="T703">
        <v>0</v>
      </c>
      <c r="U703">
        <v>0</v>
      </c>
      <c r="V703">
        <v>1219676</v>
      </c>
      <c r="W703">
        <v>11268628</v>
      </c>
      <c r="X703">
        <v>437737</v>
      </c>
      <c r="Y703">
        <f t="shared" si="10"/>
        <v>11268628</v>
      </c>
      <c r="Z703" t="str">
        <f>IF(ISNUMBER(SEARCH("Adjustment",$C703)),"excluded",IF($H703="Behind the Meter","excluded",IF(NOT(OR($E703="Bundled",$E703="Energy")),"excluded",IF(OR($H703="Retail Power Marketer",$H703="Community Choice Aggregator",$E703="Energy"),"procurement",IF(OR($H703="Municipal",$H703="Cooperative",$H703="Federal",$H703="State",$H703="Political Subdivision"),"cost_service",IF($H703="Investor Owned",IF(AND(COUNTIF(Parameters!$A$4:$A$33,$G703)&gt;0,COUNTIF(Parameters!$B$4:$B$33,$B703)=0),"procurement","cost_service"),"unclassified"))))))</f>
        <v>cost_service</v>
      </c>
    </row>
    <row r="704" spans="1:26" x14ac:dyDescent="0.25">
      <c r="A704">
        <v>2024</v>
      </c>
      <c r="B704">
        <v>11251</v>
      </c>
      <c r="C704" t="s">
        <v>761</v>
      </c>
      <c r="D704" t="s">
        <v>84</v>
      </c>
      <c r="E704" t="s">
        <v>85</v>
      </c>
      <c r="F704" t="s">
        <v>86</v>
      </c>
      <c r="G704" t="s">
        <v>271</v>
      </c>
      <c r="H704" t="s">
        <v>205</v>
      </c>
      <c r="I704" t="s">
        <v>135</v>
      </c>
      <c r="J704">
        <v>25351</v>
      </c>
      <c r="K704">
        <v>239409</v>
      </c>
      <c r="L704">
        <v>16292</v>
      </c>
      <c r="M704">
        <v>21498.5</v>
      </c>
      <c r="N704">
        <v>213715</v>
      </c>
      <c r="O704">
        <v>3874</v>
      </c>
      <c r="P704">
        <v>41211.1</v>
      </c>
      <c r="Q704">
        <v>633215</v>
      </c>
      <c r="R704">
        <v>596</v>
      </c>
      <c r="S704" t="s">
        <v>97</v>
      </c>
      <c r="T704" t="s">
        <v>97</v>
      </c>
      <c r="U704" t="s">
        <v>97</v>
      </c>
      <c r="V704">
        <v>88060.6</v>
      </c>
      <c r="W704">
        <v>1086339</v>
      </c>
      <c r="X704">
        <v>20762</v>
      </c>
      <c r="Y704">
        <f t="shared" si="10"/>
        <v>1086339</v>
      </c>
      <c r="Z704" t="str">
        <f>IF(ISNUMBER(SEARCH("Adjustment",$C704)),"excluded",IF($H704="Behind the Meter","excluded",IF(NOT(OR($E704="Bundled",$E704="Energy")),"excluded",IF(OR($H704="Retail Power Marketer",$H704="Community Choice Aggregator",$E704="Energy"),"procurement",IF(OR($H704="Municipal",$H704="Cooperative",$H704="Federal",$H704="State",$H704="Political Subdivision"),"cost_service",IF($H704="Investor Owned",IF(AND(COUNTIF(Parameters!$A$4:$A$33,$G704)&gt;0,COUNTIF(Parameters!$B$4:$B$33,$B704)=0),"procurement","cost_service"),"unclassified"))))))</f>
        <v>cost_service</v>
      </c>
    </row>
    <row r="705" spans="1:26" x14ac:dyDescent="0.25">
      <c r="A705">
        <v>2024</v>
      </c>
      <c r="B705">
        <v>11256</v>
      </c>
      <c r="C705" t="s">
        <v>762</v>
      </c>
      <c r="D705" t="s">
        <v>84</v>
      </c>
      <c r="E705" t="s">
        <v>85</v>
      </c>
      <c r="F705" t="s">
        <v>86</v>
      </c>
      <c r="G705" t="s">
        <v>361</v>
      </c>
      <c r="H705" t="s">
        <v>88</v>
      </c>
      <c r="I705" t="s">
        <v>523</v>
      </c>
      <c r="J705">
        <v>39771.300000000003</v>
      </c>
      <c r="K705">
        <v>276130</v>
      </c>
      <c r="L705">
        <v>37007</v>
      </c>
      <c r="M705">
        <v>14706.9</v>
      </c>
      <c r="N705">
        <v>103458</v>
      </c>
      <c r="O705">
        <v>4992</v>
      </c>
      <c r="P705">
        <v>32394.799999999999</v>
      </c>
      <c r="Q705">
        <v>328791</v>
      </c>
      <c r="R705">
        <v>376</v>
      </c>
      <c r="S705" t="s">
        <v>97</v>
      </c>
      <c r="T705" t="s">
        <v>97</v>
      </c>
      <c r="U705" t="s">
        <v>97</v>
      </c>
      <c r="V705">
        <v>86873</v>
      </c>
      <c r="W705">
        <v>708379</v>
      </c>
      <c r="X705">
        <v>42375</v>
      </c>
      <c r="Y705">
        <f t="shared" si="10"/>
        <v>708379</v>
      </c>
      <c r="Z705" t="str">
        <f>IF(ISNUMBER(SEARCH("Adjustment",$C705)),"excluded",IF($H705="Behind the Meter","excluded",IF(NOT(OR($E705="Bundled",$E705="Energy")),"excluded",IF(OR($H705="Retail Power Marketer",$H705="Community Choice Aggregator",$E705="Energy"),"procurement",IF(OR($H705="Municipal",$H705="Cooperative",$H705="Federal",$H705="State",$H705="Political Subdivision"),"cost_service",IF($H705="Investor Owned",IF(AND(COUNTIF(Parameters!$A$4:$A$33,$G705)&gt;0,COUNTIF(Parameters!$B$4:$B$33,$B705)=0),"procurement","cost_service"),"unclassified"))))))</f>
        <v>cost_service</v>
      </c>
    </row>
    <row r="706" spans="1:26" x14ac:dyDescent="0.25">
      <c r="A706">
        <v>2024</v>
      </c>
      <c r="B706">
        <v>11272</v>
      </c>
      <c r="C706" t="s">
        <v>763</v>
      </c>
      <c r="D706" t="s">
        <v>84</v>
      </c>
      <c r="E706" t="s">
        <v>85</v>
      </c>
      <c r="F706" t="s">
        <v>86</v>
      </c>
      <c r="G706" t="s">
        <v>491</v>
      </c>
      <c r="H706" t="s">
        <v>91</v>
      </c>
      <c r="I706" t="s">
        <v>559</v>
      </c>
      <c r="J706">
        <v>4387.3999999999996</v>
      </c>
      <c r="K706">
        <v>49660</v>
      </c>
      <c r="L706">
        <v>3499</v>
      </c>
      <c r="M706">
        <v>2208.6</v>
      </c>
      <c r="N706">
        <v>18571</v>
      </c>
      <c r="O706">
        <v>726</v>
      </c>
      <c r="P706">
        <v>23751.200000000001</v>
      </c>
      <c r="Q706">
        <v>232506</v>
      </c>
      <c r="R706">
        <v>1003</v>
      </c>
      <c r="S706" t="s">
        <v>97</v>
      </c>
      <c r="T706" t="s">
        <v>97</v>
      </c>
      <c r="U706" t="s">
        <v>97</v>
      </c>
      <c r="V706">
        <v>30347.200000000001</v>
      </c>
      <c r="W706">
        <v>300737</v>
      </c>
      <c r="X706">
        <v>5228</v>
      </c>
      <c r="Y706">
        <f t="shared" si="10"/>
        <v>300737</v>
      </c>
      <c r="Z706" t="str">
        <f>IF(ISNUMBER(SEARCH("Adjustment",$C706)),"excluded",IF($H706="Behind the Meter","excluded",IF(NOT(OR($E706="Bundled",$E706="Energy")),"excluded",IF(OR($H706="Retail Power Marketer",$H706="Community Choice Aggregator",$E706="Energy"),"procurement",IF(OR($H706="Municipal",$H706="Cooperative",$H706="Federal",$H706="State",$H706="Political Subdivision"),"cost_service",IF($H706="Investor Owned",IF(AND(COUNTIF(Parameters!$A$4:$A$33,$G706)&gt;0,COUNTIF(Parameters!$B$4:$B$33,$B706)=0),"procurement","cost_service"),"unclassified"))))))</f>
        <v>cost_service</v>
      </c>
    </row>
    <row r="707" spans="1:26" x14ac:dyDescent="0.25">
      <c r="A707">
        <v>2024</v>
      </c>
      <c r="B707">
        <v>11272</v>
      </c>
      <c r="C707" t="s">
        <v>763</v>
      </c>
      <c r="D707" t="s">
        <v>84</v>
      </c>
      <c r="E707" t="s">
        <v>85</v>
      </c>
      <c r="F707" t="s">
        <v>86</v>
      </c>
      <c r="G707" t="s">
        <v>198</v>
      </c>
      <c r="H707" t="s">
        <v>91</v>
      </c>
      <c r="I707" t="s">
        <v>135</v>
      </c>
      <c r="J707">
        <v>1139.5999999999999</v>
      </c>
      <c r="K707">
        <v>12734</v>
      </c>
      <c r="L707">
        <v>799</v>
      </c>
      <c r="M707">
        <v>307.3</v>
      </c>
      <c r="N707">
        <v>2985</v>
      </c>
      <c r="O707">
        <v>165</v>
      </c>
      <c r="P707">
        <v>13464.8</v>
      </c>
      <c r="Q707">
        <v>138625</v>
      </c>
      <c r="R707">
        <v>194</v>
      </c>
      <c r="S707" t="s">
        <v>97</v>
      </c>
      <c r="T707" t="s">
        <v>97</v>
      </c>
      <c r="U707" t="s">
        <v>97</v>
      </c>
      <c r="V707">
        <v>14911.7</v>
      </c>
      <c r="W707">
        <v>154344</v>
      </c>
      <c r="X707">
        <v>1158</v>
      </c>
      <c r="Y707">
        <f t="shared" si="10"/>
        <v>154344</v>
      </c>
      <c r="Z707" t="str">
        <f>IF(ISNUMBER(SEARCH("Adjustment",$C707)),"excluded",IF($H707="Behind the Meter","excluded",IF(NOT(OR($E707="Bundled",$E707="Energy")),"excluded",IF(OR($H707="Retail Power Marketer",$H707="Community Choice Aggregator",$E707="Energy"),"procurement",IF(OR($H707="Municipal",$H707="Cooperative",$H707="Federal",$H707="State",$H707="Political Subdivision"),"cost_service",IF($H707="Investor Owned",IF(AND(COUNTIF(Parameters!$A$4:$A$33,$G707)&gt;0,COUNTIF(Parameters!$B$4:$B$33,$B707)=0),"procurement","cost_service"),"unclassified"))))))</f>
        <v>cost_service</v>
      </c>
    </row>
    <row r="708" spans="1:26" x14ac:dyDescent="0.25">
      <c r="A708">
        <v>2024</v>
      </c>
      <c r="B708">
        <v>11273</v>
      </c>
      <c r="C708" t="s">
        <v>764</v>
      </c>
      <c r="D708" t="s">
        <v>84</v>
      </c>
      <c r="E708" t="s">
        <v>85</v>
      </c>
      <c r="F708" t="s">
        <v>86</v>
      </c>
      <c r="G708" t="s">
        <v>490</v>
      </c>
      <c r="H708" t="s">
        <v>91</v>
      </c>
      <c r="I708" t="s">
        <v>206</v>
      </c>
      <c r="J708">
        <v>1518</v>
      </c>
      <c r="K708">
        <v>20994</v>
      </c>
      <c r="L708">
        <v>1636</v>
      </c>
      <c r="M708">
        <v>339</v>
      </c>
      <c r="N708">
        <v>4836</v>
      </c>
      <c r="O708">
        <v>363</v>
      </c>
      <c r="P708">
        <v>2395</v>
      </c>
      <c r="Q708">
        <v>48369</v>
      </c>
      <c r="R708">
        <v>41</v>
      </c>
      <c r="S708">
        <v>0</v>
      </c>
      <c r="T708">
        <v>0</v>
      </c>
      <c r="U708">
        <v>0</v>
      </c>
      <c r="V708">
        <v>4252</v>
      </c>
      <c r="W708">
        <v>74199</v>
      </c>
      <c r="X708">
        <v>2040</v>
      </c>
      <c r="Y708">
        <f t="shared" ref="Y708:Y771" si="11">IF(ISNUMBER($W708),$W708,0)</f>
        <v>74199</v>
      </c>
      <c r="Z708" t="str">
        <f>IF(ISNUMBER(SEARCH("Adjustment",$C708)),"excluded",IF($H708="Behind the Meter","excluded",IF(NOT(OR($E708="Bundled",$E708="Energy")),"excluded",IF(OR($H708="Retail Power Marketer",$H708="Community Choice Aggregator",$E708="Energy"),"procurement",IF(OR($H708="Municipal",$H708="Cooperative",$H708="Federal",$H708="State",$H708="Political Subdivision"),"cost_service",IF($H708="Investor Owned",IF(AND(COUNTIF(Parameters!$A$4:$A$33,$G708)&gt;0,COUNTIF(Parameters!$B$4:$B$33,$B708)=0),"procurement","cost_service"),"unclassified"))))))</f>
        <v>cost_service</v>
      </c>
    </row>
    <row r="709" spans="1:26" x14ac:dyDescent="0.25">
      <c r="A709">
        <v>2024</v>
      </c>
      <c r="B709">
        <v>11273</v>
      </c>
      <c r="C709" t="s">
        <v>764</v>
      </c>
      <c r="D709" t="s">
        <v>84</v>
      </c>
      <c r="E709" t="s">
        <v>85</v>
      </c>
      <c r="F709" t="s">
        <v>86</v>
      </c>
      <c r="G709" t="s">
        <v>323</v>
      </c>
      <c r="H709" t="s">
        <v>91</v>
      </c>
      <c r="I709" t="s">
        <v>206</v>
      </c>
      <c r="J709">
        <v>35469</v>
      </c>
      <c r="K709">
        <v>550459</v>
      </c>
      <c r="L709">
        <v>22827</v>
      </c>
      <c r="M709">
        <v>17218</v>
      </c>
      <c r="N709">
        <v>272075</v>
      </c>
      <c r="O709">
        <v>6028</v>
      </c>
      <c r="P709">
        <v>1725</v>
      </c>
      <c r="Q709">
        <v>32626</v>
      </c>
      <c r="R709">
        <v>246</v>
      </c>
      <c r="S709">
        <v>0</v>
      </c>
      <c r="T709">
        <v>0</v>
      </c>
      <c r="U709">
        <v>0</v>
      </c>
      <c r="V709">
        <v>54412</v>
      </c>
      <c r="W709">
        <v>855160</v>
      </c>
      <c r="X709">
        <v>29101</v>
      </c>
      <c r="Y709">
        <f t="shared" si="11"/>
        <v>855160</v>
      </c>
      <c r="Z709" t="str">
        <f>IF(ISNUMBER(SEARCH("Adjustment",$C709)),"excluded",IF($H709="Behind the Meter","excluded",IF(NOT(OR($E709="Bundled",$E709="Energy")),"excluded",IF(OR($H709="Retail Power Marketer",$H709="Community Choice Aggregator",$E709="Energy"),"procurement",IF(OR($H709="Municipal",$H709="Cooperative",$H709="Federal",$H709="State",$H709="Political Subdivision"),"cost_service",IF($H709="Investor Owned",IF(AND(COUNTIF(Parameters!$A$4:$A$33,$G709)&gt;0,COUNTIF(Parameters!$B$4:$B$33,$B709)=0),"procurement","cost_service"),"unclassified"))))))</f>
        <v>cost_service</v>
      </c>
    </row>
    <row r="710" spans="1:26" x14ac:dyDescent="0.25">
      <c r="A710">
        <v>2024</v>
      </c>
      <c r="B710">
        <v>11291</v>
      </c>
      <c r="C710" t="s">
        <v>765</v>
      </c>
      <c r="D710" t="s">
        <v>84</v>
      </c>
      <c r="E710" t="s">
        <v>85</v>
      </c>
      <c r="F710" t="s">
        <v>86</v>
      </c>
      <c r="G710" t="s">
        <v>125</v>
      </c>
      <c r="H710" t="s">
        <v>91</v>
      </c>
      <c r="I710" t="s">
        <v>163</v>
      </c>
      <c r="J710">
        <v>129687</v>
      </c>
      <c r="K710">
        <v>1012516</v>
      </c>
      <c r="L710">
        <v>64396</v>
      </c>
      <c r="M710">
        <v>19579.8</v>
      </c>
      <c r="N710">
        <v>199424</v>
      </c>
      <c r="O710">
        <v>2801</v>
      </c>
      <c r="P710">
        <v>12715.6</v>
      </c>
      <c r="Q710">
        <v>148381</v>
      </c>
      <c r="R710">
        <v>17</v>
      </c>
      <c r="S710" t="s">
        <v>97</v>
      </c>
      <c r="T710" t="s">
        <v>97</v>
      </c>
      <c r="U710" t="s">
        <v>97</v>
      </c>
      <c r="V710">
        <v>161982.39999999999</v>
      </c>
      <c r="W710">
        <v>1360321</v>
      </c>
      <c r="X710">
        <v>67214</v>
      </c>
      <c r="Y710">
        <f t="shared" si="11"/>
        <v>1360321</v>
      </c>
      <c r="Z710" t="str">
        <f>IF(ISNUMBER(SEARCH("Adjustment",$C710)),"excluded",IF($H710="Behind the Meter","excluded",IF(NOT(OR($E710="Bundled",$E710="Energy")),"excluded",IF(OR($H710="Retail Power Marketer",$H710="Community Choice Aggregator",$E710="Energy"),"procurement",IF(OR($H710="Municipal",$H710="Cooperative",$H710="Federal",$H710="State",$H710="Political Subdivision"),"cost_service",IF($H710="Investor Owned",IF(AND(COUNTIF(Parameters!$A$4:$A$33,$G710)&gt;0,COUNTIF(Parameters!$B$4:$B$33,$B710)=0),"procurement","cost_service"),"unclassified"))))))</f>
        <v>cost_service</v>
      </c>
    </row>
    <row r="711" spans="1:26" x14ac:dyDescent="0.25">
      <c r="A711">
        <v>2024</v>
      </c>
      <c r="B711">
        <v>11292</v>
      </c>
      <c r="C711" t="s">
        <v>766</v>
      </c>
      <c r="D711" t="s">
        <v>84</v>
      </c>
      <c r="E711" t="s">
        <v>85</v>
      </c>
      <c r="F711" t="s">
        <v>86</v>
      </c>
      <c r="G711" t="s">
        <v>57</v>
      </c>
      <c r="H711" t="s">
        <v>88</v>
      </c>
      <c r="I711" t="s">
        <v>151</v>
      </c>
      <c r="J711">
        <v>32562</v>
      </c>
      <c r="K711">
        <v>237850</v>
      </c>
      <c r="L711">
        <v>4825</v>
      </c>
      <c r="M711">
        <v>34716</v>
      </c>
      <c r="N711">
        <v>320854</v>
      </c>
      <c r="O711">
        <v>788</v>
      </c>
      <c r="P711">
        <v>2308</v>
      </c>
      <c r="Q711">
        <v>31303</v>
      </c>
      <c r="R711">
        <v>1</v>
      </c>
      <c r="S711" t="s">
        <v>97</v>
      </c>
      <c r="T711" t="s">
        <v>97</v>
      </c>
      <c r="U711" t="s">
        <v>97</v>
      </c>
      <c r="V711">
        <v>69586</v>
      </c>
      <c r="W711">
        <v>590007</v>
      </c>
      <c r="X711">
        <v>5614</v>
      </c>
      <c r="Y711">
        <f t="shared" si="11"/>
        <v>590007</v>
      </c>
      <c r="Z711" t="str">
        <f>IF(ISNUMBER(SEARCH("Adjustment",$C711)),"excluded",IF($H711="Behind the Meter","excluded",IF(NOT(OR($E711="Bundled",$E711="Energy")),"excluded",IF(OR($H711="Retail Power Marketer",$H711="Community Choice Aggregator",$E711="Energy"),"procurement",IF(OR($H711="Municipal",$H711="Cooperative",$H711="Federal",$H711="State",$H711="Political Subdivision"),"cost_service",IF($H711="Investor Owned",IF(AND(COUNTIF(Parameters!$A$4:$A$33,$G711)&gt;0,COUNTIF(Parameters!$B$4:$B$33,$B711)=0),"procurement","cost_service"),"unclassified"))))))</f>
        <v>cost_service</v>
      </c>
    </row>
    <row r="712" spans="1:26" x14ac:dyDescent="0.25">
      <c r="A712">
        <v>2024</v>
      </c>
      <c r="B712">
        <v>11318</v>
      </c>
      <c r="C712" t="s">
        <v>767</v>
      </c>
      <c r="D712" t="s">
        <v>84</v>
      </c>
      <c r="E712" t="s">
        <v>85</v>
      </c>
      <c r="F712" t="s">
        <v>86</v>
      </c>
      <c r="G712" t="s">
        <v>125</v>
      </c>
      <c r="H712" t="s">
        <v>88</v>
      </c>
      <c r="I712" t="s">
        <v>163</v>
      </c>
      <c r="J712">
        <v>13589</v>
      </c>
      <c r="K712">
        <v>98229</v>
      </c>
      <c r="L712">
        <v>9983</v>
      </c>
      <c r="M712">
        <v>15582</v>
      </c>
      <c r="N712">
        <v>122044</v>
      </c>
      <c r="O712">
        <v>1857</v>
      </c>
      <c r="P712">
        <v>2334</v>
      </c>
      <c r="Q712">
        <v>22994</v>
      </c>
      <c r="R712">
        <v>8</v>
      </c>
      <c r="S712" t="s">
        <v>97</v>
      </c>
      <c r="T712" t="s">
        <v>97</v>
      </c>
      <c r="U712" t="s">
        <v>97</v>
      </c>
      <c r="V712">
        <v>31505</v>
      </c>
      <c r="W712">
        <v>243267</v>
      </c>
      <c r="X712">
        <v>11848</v>
      </c>
      <c r="Y712">
        <f t="shared" si="11"/>
        <v>243267</v>
      </c>
      <c r="Z712" t="str">
        <f>IF(ISNUMBER(SEARCH("Adjustment",$C712)),"excluded",IF($H712="Behind the Meter","excluded",IF(NOT(OR($E712="Bundled",$E712="Energy")),"excluded",IF(OR($H712="Retail Power Marketer",$H712="Community Choice Aggregator",$E712="Energy"),"procurement",IF(OR($H712="Municipal",$H712="Cooperative",$H712="Federal",$H712="State",$H712="Political Subdivision"),"cost_service",IF($H712="Investor Owned",IF(AND(COUNTIF(Parameters!$A$4:$A$33,$G712)&gt;0,COUNTIF(Parameters!$B$4:$B$33,$B712)=0),"procurement","cost_service"),"unclassified"))))))</f>
        <v>cost_service</v>
      </c>
    </row>
    <row r="713" spans="1:26" x14ac:dyDescent="0.25">
      <c r="A713">
        <v>2024</v>
      </c>
      <c r="B713">
        <v>11355</v>
      </c>
      <c r="C713" t="s">
        <v>768</v>
      </c>
      <c r="D713" t="s">
        <v>84</v>
      </c>
      <c r="E713" t="s">
        <v>85</v>
      </c>
      <c r="F713" t="s">
        <v>86</v>
      </c>
      <c r="G713" t="s">
        <v>106</v>
      </c>
      <c r="H713" t="s">
        <v>91</v>
      </c>
      <c r="I713" t="s">
        <v>106</v>
      </c>
      <c r="J713">
        <v>41164</v>
      </c>
      <c r="K713">
        <v>262103</v>
      </c>
      <c r="L713">
        <v>21363</v>
      </c>
      <c r="M713">
        <v>7878</v>
      </c>
      <c r="N713">
        <v>57077</v>
      </c>
      <c r="O713">
        <v>991</v>
      </c>
      <c r="P713">
        <v>11564</v>
      </c>
      <c r="Q713">
        <v>158812</v>
      </c>
      <c r="R713">
        <v>8</v>
      </c>
      <c r="S713" t="s">
        <v>97</v>
      </c>
      <c r="T713" t="s">
        <v>97</v>
      </c>
      <c r="U713" t="s">
        <v>97</v>
      </c>
      <c r="V713">
        <v>60606</v>
      </c>
      <c r="W713">
        <v>477992</v>
      </c>
      <c r="X713">
        <v>22362</v>
      </c>
      <c r="Y713">
        <f t="shared" si="11"/>
        <v>477992</v>
      </c>
      <c r="Z713" t="str">
        <f>IF(ISNUMBER(SEARCH("Adjustment",$C713)),"excluded",IF($H713="Behind the Meter","excluded",IF(NOT(OR($E713="Bundled",$E713="Energy")),"excluded",IF(OR($H713="Retail Power Marketer",$H713="Community Choice Aggregator",$E713="Energy"),"procurement",IF(OR($H713="Municipal",$H713="Cooperative",$H713="Federal",$H713="State",$H713="Political Subdivision"),"cost_service",IF($H713="Investor Owned",IF(AND(COUNTIF(Parameters!$A$4:$A$33,$G713)&gt;0,COUNTIF(Parameters!$B$4:$B$33,$B713)=0),"procurement","cost_service"),"unclassified"))))))</f>
        <v>cost_service</v>
      </c>
    </row>
    <row r="714" spans="1:26" x14ac:dyDescent="0.25">
      <c r="A714">
        <v>2024</v>
      </c>
      <c r="B714">
        <v>11364</v>
      </c>
      <c r="C714" t="s">
        <v>769</v>
      </c>
      <c r="D714" t="s">
        <v>84</v>
      </c>
      <c r="E714" t="s">
        <v>85</v>
      </c>
      <c r="F714" t="s">
        <v>86</v>
      </c>
      <c r="G714" t="s">
        <v>57</v>
      </c>
      <c r="H714" t="s">
        <v>91</v>
      </c>
      <c r="I714" t="s">
        <v>135</v>
      </c>
      <c r="J714">
        <v>10886</v>
      </c>
      <c r="K714">
        <v>121040</v>
      </c>
      <c r="L714">
        <v>9021</v>
      </c>
      <c r="M714">
        <v>25238</v>
      </c>
      <c r="N714">
        <v>375771</v>
      </c>
      <c r="O714">
        <v>3507</v>
      </c>
      <c r="P714">
        <v>36403</v>
      </c>
      <c r="Q714">
        <v>409289</v>
      </c>
      <c r="R714">
        <v>11354</v>
      </c>
      <c r="S714" t="s">
        <v>97</v>
      </c>
      <c r="T714" t="s">
        <v>97</v>
      </c>
      <c r="U714" t="s">
        <v>97</v>
      </c>
      <c r="V714">
        <v>72527</v>
      </c>
      <c r="W714">
        <v>906100</v>
      </c>
      <c r="X714">
        <v>23882</v>
      </c>
      <c r="Y714">
        <f t="shared" si="11"/>
        <v>906100</v>
      </c>
      <c r="Z714" t="str">
        <f>IF(ISNUMBER(SEARCH("Adjustment",$C714)),"excluded",IF($H714="Behind the Meter","excluded",IF(NOT(OR($E714="Bundled",$E714="Energy")),"excluded",IF(OR($H714="Retail Power Marketer",$H714="Community Choice Aggregator",$E714="Energy"),"procurement",IF(OR($H714="Municipal",$H714="Cooperative",$H714="Federal",$H714="State",$H714="Political Subdivision"),"cost_service",IF($H714="Investor Owned",IF(AND(COUNTIF(Parameters!$A$4:$A$33,$G714)&gt;0,COUNTIF(Parameters!$B$4:$B$33,$B714)=0),"procurement","cost_service"),"unclassified"))))))</f>
        <v>cost_service</v>
      </c>
    </row>
    <row r="715" spans="1:26" x14ac:dyDescent="0.25">
      <c r="A715">
        <v>2024</v>
      </c>
      <c r="B715">
        <v>11458</v>
      </c>
      <c r="C715" t="s">
        <v>770</v>
      </c>
      <c r="D715" t="s">
        <v>84</v>
      </c>
      <c r="E715" t="s">
        <v>85</v>
      </c>
      <c r="F715" t="s">
        <v>86</v>
      </c>
      <c r="G715" t="s">
        <v>87</v>
      </c>
      <c r="H715" t="s">
        <v>88</v>
      </c>
      <c r="I715" t="s">
        <v>89</v>
      </c>
      <c r="J715">
        <v>1444</v>
      </c>
      <c r="K715">
        <v>11140</v>
      </c>
      <c r="L715">
        <v>892</v>
      </c>
      <c r="M715">
        <v>1359</v>
      </c>
      <c r="N715">
        <v>10299</v>
      </c>
      <c r="O715">
        <v>288</v>
      </c>
      <c r="P715">
        <v>257</v>
      </c>
      <c r="Q715">
        <v>1214</v>
      </c>
      <c r="R715">
        <v>1</v>
      </c>
      <c r="S715">
        <v>0</v>
      </c>
      <c r="T715">
        <v>0</v>
      </c>
      <c r="U715">
        <v>0</v>
      </c>
      <c r="V715">
        <v>3060</v>
      </c>
      <c r="W715">
        <v>22653</v>
      </c>
      <c r="X715">
        <v>1181</v>
      </c>
      <c r="Y715">
        <f t="shared" si="11"/>
        <v>22653</v>
      </c>
      <c r="Z715" t="str">
        <f>IF(ISNUMBER(SEARCH("Adjustment",$C715)),"excluded",IF($H715="Behind the Meter","excluded",IF(NOT(OR($E715="Bundled",$E715="Energy")),"excluded",IF(OR($H715="Retail Power Marketer",$H715="Community Choice Aggregator",$E715="Energy"),"procurement",IF(OR($H715="Municipal",$H715="Cooperative",$H715="Federal",$H715="State",$H715="Political Subdivision"),"cost_service",IF($H715="Investor Owned",IF(AND(COUNTIF(Parameters!$A$4:$A$33,$G715)&gt;0,COUNTIF(Parameters!$B$4:$B$33,$B715)=0),"procurement","cost_service"),"unclassified"))))))</f>
        <v>cost_service</v>
      </c>
    </row>
    <row r="716" spans="1:26" x14ac:dyDescent="0.25">
      <c r="A716">
        <v>2024</v>
      </c>
      <c r="B716">
        <v>11463</v>
      </c>
      <c r="C716" t="s">
        <v>771</v>
      </c>
      <c r="D716" t="s">
        <v>84</v>
      </c>
      <c r="E716" t="s">
        <v>85</v>
      </c>
      <c r="F716" t="s">
        <v>86</v>
      </c>
      <c r="G716" t="s">
        <v>226</v>
      </c>
      <c r="H716" t="s">
        <v>91</v>
      </c>
      <c r="I716" t="s">
        <v>227</v>
      </c>
      <c r="J716">
        <v>18137.599999999999</v>
      </c>
      <c r="K716">
        <v>122370</v>
      </c>
      <c r="L716">
        <v>10023</v>
      </c>
      <c r="M716">
        <v>5353.2</v>
      </c>
      <c r="N716">
        <v>40733</v>
      </c>
      <c r="O716">
        <v>1626</v>
      </c>
      <c r="P716">
        <v>6047.8</v>
      </c>
      <c r="Q716">
        <v>84431</v>
      </c>
      <c r="R716">
        <v>2</v>
      </c>
      <c r="S716" t="s">
        <v>97</v>
      </c>
      <c r="T716" t="s">
        <v>97</v>
      </c>
      <c r="U716" t="s">
        <v>97</v>
      </c>
      <c r="V716">
        <v>29538.6</v>
      </c>
      <c r="W716">
        <v>247534</v>
      </c>
      <c r="X716">
        <v>11651</v>
      </c>
      <c r="Y716">
        <f t="shared" si="11"/>
        <v>247534</v>
      </c>
      <c r="Z716" t="str">
        <f>IF(ISNUMBER(SEARCH("Adjustment",$C716)),"excluded",IF($H716="Behind the Meter","excluded",IF(NOT(OR($E716="Bundled",$E716="Energy")),"excluded",IF(OR($H716="Retail Power Marketer",$H716="Community Choice Aggregator",$E716="Energy"),"procurement",IF(OR($H716="Municipal",$H716="Cooperative",$H716="Federal",$H716="State",$H716="Political Subdivision"),"cost_service",IF($H716="Investor Owned",IF(AND(COUNTIF(Parameters!$A$4:$A$33,$G716)&gt;0,COUNTIF(Parameters!$B$4:$B$33,$B716)=0),"procurement","cost_service"),"unclassified"))))))</f>
        <v>cost_service</v>
      </c>
    </row>
    <row r="717" spans="1:26" x14ac:dyDescent="0.25">
      <c r="A717">
        <v>2024</v>
      </c>
      <c r="B717">
        <v>11475</v>
      </c>
      <c r="C717" t="s">
        <v>772</v>
      </c>
      <c r="D717" t="s">
        <v>84</v>
      </c>
      <c r="E717" t="s">
        <v>85</v>
      </c>
      <c r="F717" t="s">
        <v>86</v>
      </c>
      <c r="G717" t="s">
        <v>224</v>
      </c>
      <c r="H717" t="s">
        <v>88</v>
      </c>
      <c r="I717" t="s">
        <v>96</v>
      </c>
      <c r="J717">
        <v>3819</v>
      </c>
      <c r="K717">
        <v>33251</v>
      </c>
      <c r="L717">
        <v>2802</v>
      </c>
      <c r="M717">
        <v>3261</v>
      </c>
      <c r="N717">
        <v>32470</v>
      </c>
      <c r="O717">
        <v>452</v>
      </c>
      <c r="P717">
        <v>2692</v>
      </c>
      <c r="Q717">
        <v>29176</v>
      </c>
      <c r="R717">
        <v>68</v>
      </c>
      <c r="S717">
        <v>0</v>
      </c>
      <c r="T717">
        <v>0</v>
      </c>
      <c r="U717">
        <v>0</v>
      </c>
      <c r="V717">
        <v>9772</v>
      </c>
      <c r="W717">
        <v>94897</v>
      </c>
      <c r="X717">
        <v>3322</v>
      </c>
      <c r="Y717">
        <f t="shared" si="11"/>
        <v>94897</v>
      </c>
      <c r="Z717" t="str">
        <f>IF(ISNUMBER(SEARCH("Adjustment",$C717)),"excluded",IF($H717="Behind the Meter","excluded",IF(NOT(OR($E717="Bundled",$E717="Energy")),"excluded",IF(OR($H717="Retail Power Marketer",$H717="Community Choice Aggregator",$E717="Energy"),"procurement",IF(OR($H717="Municipal",$H717="Cooperative",$H717="Federal",$H717="State",$H717="Political Subdivision"),"cost_service",IF($H717="Investor Owned",IF(AND(COUNTIF(Parameters!$A$4:$A$33,$G717)&gt;0,COUNTIF(Parameters!$B$4:$B$33,$B717)=0),"procurement","cost_service"),"unclassified"))))))</f>
        <v>cost_service</v>
      </c>
    </row>
    <row r="718" spans="1:26" x14ac:dyDescent="0.25">
      <c r="A718">
        <v>2024</v>
      </c>
      <c r="B718">
        <v>11477</v>
      </c>
      <c r="C718" t="s">
        <v>773</v>
      </c>
      <c r="D718" t="s">
        <v>84</v>
      </c>
      <c r="E718" t="s">
        <v>85</v>
      </c>
      <c r="F718" t="s">
        <v>86</v>
      </c>
      <c r="G718" t="s">
        <v>50</v>
      </c>
      <c r="H718" t="s">
        <v>88</v>
      </c>
      <c r="I718" t="s">
        <v>189</v>
      </c>
      <c r="J718">
        <v>2949</v>
      </c>
      <c r="K718">
        <v>19455</v>
      </c>
      <c r="L718">
        <v>2413</v>
      </c>
      <c r="M718">
        <v>680</v>
      </c>
      <c r="N718">
        <v>3190</v>
      </c>
      <c r="O718">
        <v>226</v>
      </c>
      <c r="P718">
        <v>557.70000000000005</v>
      </c>
      <c r="Q718">
        <v>4514</v>
      </c>
      <c r="R718">
        <v>15</v>
      </c>
      <c r="S718">
        <v>0</v>
      </c>
      <c r="T718">
        <v>0</v>
      </c>
      <c r="U718">
        <v>0</v>
      </c>
      <c r="V718">
        <v>4186.7</v>
      </c>
      <c r="W718">
        <v>27159</v>
      </c>
      <c r="X718">
        <v>2654</v>
      </c>
      <c r="Y718">
        <f t="shared" si="11"/>
        <v>27159</v>
      </c>
      <c r="Z718" t="str">
        <f>IF(ISNUMBER(SEARCH("Adjustment",$C718)),"excluded",IF($H718="Behind the Meter","excluded",IF(NOT(OR($E718="Bundled",$E718="Energy")),"excluded",IF(OR($H718="Retail Power Marketer",$H718="Community Choice Aggregator",$E718="Energy"),"procurement",IF(OR($H718="Municipal",$H718="Cooperative",$H718="Federal",$H718="State",$H718="Political Subdivision"),"cost_service",IF($H718="Investor Owned",IF(AND(COUNTIF(Parameters!$A$4:$A$33,$G718)&gt;0,COUNTIF(Parameters!$B$4:$B$33,$B718)=0),"procurement","cost_service"),"unclassified"))))))</f>
        <v>cost_service</v>
      </c>
    </row>
    <row r="719" spans="1:26" x14ac:dyDescent="0.25">
      <c r="A719">
        <v>2024</v>
      </c>
      <c r="B719">
        <v>11477</v>
      </c>
      <c r="C719" t="s">
        <v>773</v>
      </c>
      <c r="D719" t="s">
        <v>167</v>
      </c>
      <c r="E719" t="s">
        <v>168</v>
      </c>
      <c r="F719" t="s">
        <v>86</v>
      </c>
      <c r="G719" t="s">
        <v>50</v>
      </c>
      <c r="H719" t="s">
        <v>88</v>
      </c>
      <c r="I719" t="s">
        <v>189</v>
      </c>
      <c r="J719">
        <v>0</v>
      </c>
      <c r="K719">
        <v>0</v>
      </c>
      <c r="L719">
        <v>0</v>
      </c>
      <c r="M719">
        <v>0</v>
      </c>
      <c r="N719">
        <v>0</v>
      </c>
      <c r="O719">
        <v>0</v>
      </c>
      <c r="P719">
        <v>979.4</v>
      </c>
      <c r="Q719">
        <v>34122</v>
      </c>
      <c r="R719">
        <v>2</v>
      </c>
      <c r="S719">
        <v>0</v>
      </c>
      <c r="T719">
        <v>0</v>
      </c>
      <c r="U719">
        <v>0</v>
      </c>
      <c r="V719">
        <v>979.4</v>
      </c>
      <c r="W719">
        <v>34122</v>
      </c>
      <c r="X719">
        <v>2</v>
      </c>
      <c r="Y719">
        <f t="shared" si="11"/>
        <v>34122</v>
      </c>
      <c r="Z719" t="str">
        <f>IF(ISNUMBER(SEARCH("Adjustment",$C719)),"excluded",IF($H719="Behind the Meter","excluded",IF(NOT(OR($E719="Bundled",$E719="Energy")),"excluded",IF(OR($H719="Retail Power Marketer",$H719="Community Choice Aggregator",$E719="Energy"),"procurement",IF(OR($H719="Municipal",$H719="Cooperative",$H719="Federal",$H719="State",$H719="Political Subdivision"),"cost_service",IF($H719="Investor Owned",IF(AND(COUNTIF(Parameters!$A$4:$A$33,$G719)&gt;0,COUNTIF(Parameters!$B$4:$B$33,$B719)=0),"procurement","cost_service"),"unclassified"))))))</f>
        <v>excluded</v>
      </c>
    </row>
    <row r="720" spans="1:26" x14ac:dyDescent="0.25">
      <c r="A720">
        <v>2024</v>
      </c>
      <c r="B720">
        <v>11479</v>
      </c>
      <c r="C720" t="s">
        <v>774</v>
      </c>
      <c r="D720" t="s">
        <v>84</v>
      </c>
      <c r="E720" t="s">
        <v>85</v>
      </c>
      <c r="F720" t="s">
        <v>86</v>
      </c>
      <c r="G720" t="s">
        <v>95</v>
      </c>
      <c r="H720" t="s">
        <v>109</v>
      </c>
      <c r="I720" t="s">
        <v>96</v>
      </c>
      <c r="J720">
        <v>175040</v>
      </c>
      <c r="K720">
        <v>860759</v>
      </c>
      <c r="L720">
        <v>147501</v>
      </c>
      <c r="M720">
        <v>296563</v>
      </c>
      <c r="N720">
        <v>2151231</v>
      </c>
      <c r="O720">
        <v>21410</v>
      </c>
      <c r="P720">
        <v>12984</v>
      </c>
      <c r="Q720">
        <v>141976</v>
      </c>
      <c r="R720">
        <v>21</v>
      </c>
      <c r="S720" t="s">
        <v>97</v>
      </c>
      <c r="T720" t="s">
        <v>97</v>
      </c>
      <c r="U720" t="s">
        <v>97</v>
      </c>
      <c r="V720">
        <v>484587</v>
      </c>
      <c r="W720">
        <v>3153966</v>
      </c>
      <c r="X720">
        <v>168932</v>
      </c>
      <c r="Y720">
        <f t="shared" si="11"/>
        <v>3153966</v>
      </c>
      <c r="Z720" t="str">
        <f>IF(ISNUMBER(SEARCH("Adjustment",$C720)),"excluded",IF($H720="Behind the Meter","excluded",IF(NOT(OR($E720="Bundled",$E720="Energy")),"excluded",IF(OR($H720="Retail Power Marketer",$H720="Community Choice Aggregator",$E720="Energy"),"procurement",IF(OR($H720="Municipal",$H720="Cooperative",$H720="Federal",$H720="State",$H720="Political Subdivision"),"cost_service",IF($H720="Investor Owned",IF(AND(COUNTIF(Parameters!$A$4:$A$33,$G720)&gt;0,COUNTIF(Parameters!$B$4:$B$33,$B720)=0),"procurement","cost_service"),"unclassified"))))))</f>
        <v>cost_service</v>
      </c>
    </row>
    <row r="721" spans="1:26" x14ac:dyDescent="0.25">
      <c r="A721">
        <v>2024</v>
      </c>
      <c r="B721">
        <v>11488</v>
      </c>
      <c r="C721" t="s">
        <v>775</v>
      </c>
      <c r="D721" t="s">
        <v>84</v>
      </c>
      <c r="E721" t="s">
        <v>85</v>
      </c>
      <c r="F721" t="s">
        <v>86</v>
      </c>
      <c r="G721" t="s">
        <v>209</v>
      </c>
      <c r="H721" t="s">
        <v>88</v>
      </c>
      <c r="I721" t="s">
        <v>534</v>
      </c>
      <c r="J721">
        <v>8725</v>
      </c>
      <c r="K721">
        <v>74710</v>
      </c>
      <c r="L721">
        <v>6919</v>
      </c>
      <c r="M721">
        <v>11616</v>
      </c>
      <c r="N721">
        <v>113419</v>
      </c>
      <c r="O721">
        <v>1520</v>
      </c>
      <c r="P721">
        <v>6570</v>
      </c>
      <c r="Q721">
        <v>64076</v>
      </c>
      <c r="R721">
        <v>5</v>
      </c>
      <c r="S721">
        <v>0</v>
      </c>
      <c r="T721">
        <v>0</v>
      </c>
      <c r="U721">
        <v>0</v>
      </c>
      <c r="V721">
        <v>26911</v>
      </c>
      <c r="W721">
        <v>252205</v>
      </c>
      <c r="X721">
        <v>8444</v>
      </c>
      <c r="Y721">
        <f t="shared" si="11"/>
        <v>252205</v>
      </c>
      <c r="Z721" t="str">
        <f>IF(ISNUMBER(SEARCH("Adjustment",$C721)),"excluded",IF($H721="Behind the Meter","excluded",IF(NOT(OR($E721="Bundled",$E721="Energy")),"excluded",IF(OR($H721="Retail Power Marketer",$H721="Community Choice Aggregator",$E721="Energy"),"procurement",IF(OR($H721="Municipal",$H721="Cooperative",$H721="Federal",$H721="State",$H721="Political Subdivision"),"cost_service",IF($H721="Investor Owned",IF(AND(COUNTIF(Parameters!$A$4:$A$33,$G721)&gt;0,COUNTIF(Parameters!$B$4:$B$33,$B721)=0),"procurement","cost_service"),"unclassified"))))))</f>
        <v>cost_service</v>
      </c>
    </row>
    <row r="722" spans="1:26" x14ac:dyDescent="0.25">
      <c r="A722">
        <v>2024</v>
      </c>
      <c r="B722">
        <v>11501</v>
      </c>
      <c r="C722" t="s">
        <v>776</v>
      </c>
      <c r="D722" t="s">
        <v>84</v>
      </c>
      <c r="E722" t="s">
        <v>85</v>
      </c>
      <c r="F722" t="s">
        <v>86</v>
      </c>
      <c r="G722" t="s">
        <v>57</v>
      </c>
      <c r="H722" t="s">
        <v>91</v>
      </c>
      <c r="I722" t="s">
        <v>151</v>
      </c>
      <c r="J722">
        <v>200348.7</v>
      </c>
      <c r="K722">
        <v>1963936</v>
      </c>
      <c r="L722">
        <v>126402</v>
      </c>
      <c r="M722">
        <v>31795.599999999999</v>
      </c>
      <c r="N722">
        <v>292304</v>
      </c>
      <c r="O722">
        <v>18438</v>
      </c>
      <c r="P722">
        <v>50248.9</v>
      </c>
      <c r="Q722">
        <v>603427</v>
      </c>
      <c r="R722">
        <v>915</v>
      </c>
      <c r="S722" t="s">
        <v>97</v>
      </c>
      <c r="T722" t="s">
        <v>97</v>
      </c>
      <c r="U722" t="s">
        <v>97</v>
      </c>
      <c r="V722">
        <v>282393.2</v>
      </c>
      <c r="W722">
        <v>2859667</v>
      </c>
      <c r="X722">
        <v>145755</v>
      </c>
      <c r="Y722">
        <f t="shared" si="11"/>
        <v>2859667</v>
      </c>
      <c r="Z722" t="str">
        <f>IF(ISNUMBER(SEARCH("Adjustment",$C722)),"excluded",IF($H722="Behind the Meter","excluded",IF(NOT(OR($E722="Bundled",$E722="Energy")),"excluded",IF(OR($H722="Retail Power Marketer",$H722="Community Choice Aggregator",$E722="Energy"),"procurement",IF(OR($H722="Municipal",$H722="Cooperative",$H722="Federal",$H722="State",$H722="Political Subdivision"),"cost_service",IF($H722="Investor Owned",IF(AND(COUNTIF(Parameters!$A$4:$A$33,$G722)&gt;0,COUNTIF(Parameters!$B$4:$B$33,$B722)=0),"procurement","cost_service"),"unclassified"))))))</f>
        <v>cost_service</v>
      </c>
    </row>
    <row r="723" spans="1:26" x14ac:dyDescent="0.25">
      <c r="A723">
        <v>2024</v>
      </c>
      <c r="B723">
        <v>11519</v>
      </c>
      <c r="C723" t="s">
        <v>777</v>
      </c>
      <c r="D723" t="s">
        <v>84</v>
      </c>
      <c r="E723" t="s">
        <v>85</v>
      </c>
      <c r="F723" t="s">
        <v>86</v>
      </c>
      <c r="G723" t="s">
        <v>87</v>
      </c>
      <c r="H723" t="s">
        <v>91</v>
      </c>
      <c r="I723" t="s">
        <v>96</v>
      </c>
      <c r="J723">
        <v>61427</v>
      </c>
      <c r="K723">
        <v>409501</v>
      </c>
      <c r="L723">
        <v>31070</v>
      </c>
      <c r="M723">
        <v>14327</v>
      </c>
      <c r="N723">
        <v>96208</v>
      </c>
      <c r="O723">
        <v>2272</v>
      </c>
      <c r="P723">
        <v>11344</v>
      </c>
      <c r="Q723">
        <v>133423</v>
      </c>
      <c r="R723">
        <v>13</v>
      </c>
      <c r="S723" t="s">
        <v>97</v>
      </c>
      <c r="T723" t="s">
        <v>97</v>
      </c>
      <c r="U723" t="s">
        <v>97</v>
      </c>
      <c r="V723">
        <v>87098</v>
      </c>
      <c r="W723">
        <v>639132</v>
      </c>
      <c r="X723">
        <v>33355</v>
      </c>
      <c r="Y723">
        <f t="shared" si="11"/>
        <v>639132</v>
      </c>
      <c r="Z723" t="str">
        <f>IF(ISNUMBER(SEARCH("Adjustment",$C723)),"excluded",IF($H723="Behind the Meter","excluded",IF(NOT(OR($E723="Bundled",$E723="Energy")),"excluded",IF(OR($H723="Retail Power Marketer",$H723="Community Choice Aggregator",$E723="Energy"),"procurement",IF(OR($H723="Municipal",$H723="Cooperative",$H723="Federal",$H723="State",$H723="Political Subdivision"),"cost_service",IF($H723="Investor Owned",IF(AND(COUNTIF(Parameters!$A$4:$A$33,$G723)&gt;0,COUNTIF(Parameters!$B$4:$B$33,$B723)=0),"procurement","cost_service"),"unclassified"))))))</f>
        <v>cost_service</v>
      </c>
    </row>
    <row r="724" spans="1:26" x14ac:dyDescent="0.25">
      <c r="A724">
        <v>2024</v>
      </c>
      <c r="B724">
        <v>11560</v>
      </c>
      <c r="C724" t="s">
        <v>778</v>
      </c>
      <c r="D724" t="s">
        <v>84</v>
      </c>
      <c r="E724" t="s">
        <v>85</v>
      </c>
      <c r="F724" t="s">
        <v>86</v>
      </c>
      <c r="G724" t="s">
        <v>93</v>
      </c>
      <c r="H724" t="s">
        <v>88</v>
      </c>
      <c r="I724" t="s">
        <v>92</v>
      </c>
      <c r="J724">
        <v>19329</v>
      </c>
      <c r="K724">
        <v>166150</v>
      </c>
      <c r="L724">
        <v>13947</v>
      </c>
      <c r="M724">
        <v>19930</v>
      </c>
      <c r="N724">
        <v>190715</v>
      </c>
      <c r="O724">
        <v>2676</v>
      </c>
      <c r="P724">
        <v>2775</v>
      </c>
      <c r="Q724">
        <v>37487</v>
      </c>
      <c r="R724">
        <v>1</v>
      </c>
      <c r="S724">
        <v>0</v>
      </c>
      <c r="T724">
        <v>0</v>
      </c>
      <c r="U724">
        <v>0</v>
      </c>
      <c r="V724">
        <v>42034</v>
      </c>
      <c r="W724">
        <v>394352</v>
      </c>
      <c r="X724">
        <v>16624</v>
      </c>
      <c r="Y724">
        <f t="shared" si="11"/>
        <v>394352</v>
      </c>
      <c r="Z724" t="str">
        <f>IF(ISNUMBER(SEARCH("Adjustment",$C724)),"excluded",IF($H724="Behind the Meter","excluded",IF(NOT(OR($E724="Bundled",$E724="Energy")),"excluded",IF(OR($H724="Retail Power Marketer",$H724="Community Choice Aggregator",$E724="Energy"),"procurement",IF(OR($H724="Municipal",$H724="Cooperative",$H724="Federal",$H724="State",$H724="Political Subdivision"),"cost_service",IF($H724="Investor Owned",IF(AND(COUNTIF(Parameters!$A$4:$A$33,$G724)&gt;0,COUNTIF(Parameters!$B$4:$B$33,$B724)=0),"procurement","cost_service"),"unclassified"))))))</f>
        <v>cost_service</v>
      </c>
    </row>
    <row r="725" spans="1:26" x14ac:dyDescent="0.25">
      <c r="A725">
        <v>2024</v>
      </c>
      <c r="B725">
        <v>11571</v>
      </c>
      <c r="C725" t="s">
        <v>779</v>
      </c>
      <c r="D725" t="s">
        <v>84</v>
      </c>
      <c r="E725" t="s">
        <v>85</v>
      </c>
      <c r="F725" t="s">
        <v>86</v>
      </c>
      <c r="G725" t="s">
        <v>95</v>
      </c>
      <c r="H725" t="s">
        <v>88</v>
      </c>
      <c r="I725" t="s">
        <v>96</v>
      </c>
      <c r="J725">
        <v>11997.2</v>
      </c>
      <c r="K725">
        <v>107643</v>
      </c>
      <c r="L725">
        <v>16152</v>
      </c>
      <c r="M725">
        <v>8491.7000000000007</v>
      </c>
      <c r="N725">
        <v>88598</v>
      </c>
      <c r="O725">
        <v>1997</v>
      </c>
      <c r="P725">
        <v>23938</v>
      </c>
      <c r="Q725">
        <v>314816</v>
      </c>
      <c r="R725">
        <v>79</v>
      </c>
      <c r="S725" t="s">
        <v>97</v>
      </c>
      <c r="T725" t="s">
        <v>97</v>
      </c>
      <c r="U725" t="s">
        <v>97</v>
      </c>
      <c r="V725">
        <v>44426.9</v>
      </c>
      <c r="W725">
        <v>511057</v>
      </c>
      <c r="X725">
        <v>18228</v>
      </c>
      <c r="Y725">
        <f t="shared" si="11"/>
        <v>511057</v>
      </c>
      <c r="Z725" t="str">
        <f>IF(ISNUMBER(SEARCH("Adjustment",$C725)),"excluded",IF($H725="Behind the Meter","excluded",IF(NOT(OR($E725="Bundled",$E725="Energy")),"excluded",IF(OR($H725="Retail Power Marketer",$H725="Community Choice Aggregator",$E725="Energy"),"procurement",IF(OR($H725="Municipal",$H725="Cooperative",$H725="Federal",$H725="State",$H725="Political Subdivision"),"cost_service",IF($H725="Investor Owned",IF(AND(COUNTIF(Parameters!$A$4:$A$33,$G725)&gt;0,COUNTIF(Parameters!$B$4:$B$33,$B725)=0),"procurement","cost_service"),"unclassified"))))))</f>
        <v>cost_service</v>
      </c>
    </row>
    <row r="726" spans="1:26" x14ac:dyDescent="0.25">
      <c r="A726">
        <v>2024</v>
      </c>
      <c r="B726">
        <v>11586</v>
      </c>
      <c r="C726" t="s">
        <v>780</v>
      </c>
      <c r="D726" t="s">
        <v>84</v>
      </c>
      <c r="E726" t="s">
        <v>85</v>
      </c>
      <c r="F726" t="s">
        <v>86</v>
      </c>
      <c r="G726" t="s">
        <v>48</v>
      </c>
      <c r="H726" t="s">
        <v>88</v>
      </c>
      <c r="I726" t="s">
        <v>189</v>
      </c>
      <c r="J726">
        <v>12398.7</v>
      </c>
      <c r="K726">
        <v>81769</v>
      </c>
      <c r="L726">
        <v>9399</v>
      </c>
      <c r="M726">
        <v>3018.6</v>
      </c>
      <c r="N726">
        <v>18915</v>
      </c>
      <c r="O726">
        <v>888</v>
      </c>
      <c r="P726">
        <v>17313.8</v>
      </c>
      <c r="Q726">
        <v>118663</v>
      </c>
      <c r="R726">
        <v>277</v>
      </c>
      <c r="S726" t="s">
        <v>97</v>
      </c>
      <c r="T726" t="s">
        <v>97</v>
      </c>
      <c r="U726" t="s">
        <v>97</v>
      </c>
      <c r="V726">
        <v>32731.1</v>
      </c>
      <c r="W726">
        <v>219347</v>
      </c>
      <c r="X726">
        <v>10564</v>
      </c>
      <c r="Y726">
        <f t="shared" si="11"/>
        <v>219347</v>
      </c>
      <c r="Z726" t="str">
        <f>IF(ISNUMBER(SEARCH("Adjustment",$C726)),"excluded",IF($H726="Behind the Meter","excluded",IF(NOT(OR($E726="Bundled",$E726="Energy")),"excluded",IF(OR($H726="Retail Power Marketer",$H726="Community Choice Aggregator",$E726="Energy"),"procurement",IF(OR($H726="Municipal",$H726="Cooperative",$H726="Federal",$H726="State",$H726="Political Subdivision"),"cost_service",IF($H726="Investor Owned",IF(AND(COUNTIF(Parameters!$A$4:$A$33,$G726)&gt;0,COUNTIF(Parameters!$B$4:$B$33,$B726)=0),"procurement","cost_service"),"unclassified"))))))</f>
        <v>cost_service</v>
      </c>
    </row>
    <row r="727" spans="1:26" x14ac:dyDescent="0.25">
      <c r="A727">
        <v>2024</v>
      </c>
      <c r="B727">
        <v>11611</v>
      </c>
      <c r="C727" t="s">
        <v>781</v>
      </c>
      <c r="D727" t="s">
        <v>84</v>
      </c>
      <c r="E727" t="s">
        <v>85</v>
      </c>
      <c r="F727" t="s">
        <v>86</v>
      </c>
      <c r="G727" t="s">
        <v>146</v>
      </c>
      <c r="H727" t="s">
        <v>88</v>
      </c>
      <c r="I727" t="s">
        <v>96</v>
      </c>
      <c r="J727">
        <v>3079.1</v>
      </c>
      <c r="K727">
        <v>23411</v>
      </c>
      <c r="L727">
        <v>2805</v>
      </c>
      <c r="M727">
        <v>3441.3</v>
      </c>
      <c r="N727">
        <v>30453</v>
      </c>
      <c r="O727">
        <v>609</v>
      </c>
      <c r="P727">
        <v>1462</v>
      </c>
      <c r="Q727">
        <v>13518</v>
      </c>
      <c r="R727">
        <v>2</v>
      </c>
      <c r="S727">
        <v>0</v>
      </c>
      <c r="T727">
        <v>0</v>
      </c>
      <c r="U727">
        <v>0</v>
      </c>
      <c r="V727">
        <v>7982.4</v>
      </c>
      <c r="W727">
        <v>67382</v>
      </c>
      <c r="X727">
        <v>3416</v>
      </c>
      <c r="Y727">
        <f t="shared" si="11"/>
        <v>67382</v>
      </c>
      <c r="Z727" t="str">
        <f>IF(ISNUMBER(SEARCH("Adjustment",$C727)),"excluded",IF($H727="Behind the Meter","excluded",IF(NOT(OR($E727="Bundled",$E727="Energy")),"excluded",IF(OR($H727="Retail Power Marketer",$H727="Community Choice Aggregator",$E727="Energy"),"procurement",IF(OR($H727="Municipal",$H727="Cooperative",$H727="Federal",$H727="State",$H727="Political Subdivision"),"cost_service",IF($H727="Investor Owned",IF(AND(COUNTIF(Parameters!$A$4:$A$33,$G727)&gt;0,COUNTIF(Parameters!$B$4:$B$33,$B727)=0),"procurement","cost_service"),"unclassified"))))))</f>
        <v>cost_service</v>
      </c>
    </row>
    <row r="728" spans="1:26" x14ac:dyDescent="0.25">
      <c r="A728">
        <v>2024</v>
      </c>
      <c r="B728">
        <v>11646</v>
      </c>
      <c r="C728" t="s">
        <v>782</v>
      </c>
      <c r="D728" t="s">
        <v>84</v>
      </c>
      <c r="E728" t="s">
        <v>85</v>
      </c>
      <c r="F728" t="s">
        <v>86</v>
      </c>
      <c r="G728" t="s">
        <v>123</v>
      </c>
      <c r="H728" t="s">
        <v>88</v>
      </c>
      <c r="I728" t="s">
        <v>113</v>
      </c>
      <c r="J728">
        <v>43110.7</v>
      </c>
      <c r="K728">
        <v>361258</v>
      </c>
      <c r="L728">
        <v>36273</v>
      </c>
      <c r="M728">
        <v>72414.2</v>
      </c>
      <c r="N728">
        <v>607785</v>
      </c>
      <c r="O728">
        <v>6233</v>
      </c>
      <c r="P728" t="s">
        <v>97</v>
      </c>
      <c r="Q728" t="s">
        <v>97</v>
      </c>
      <c r="R728" t="s">
        <v>97</v>
      </c>
      <c r="S728" t="s">
        <v>97</v>
      </c>
      <c r="T728" t="s">
        <v>97</v>
      </c>
      <c r="U728" t="s">
        <v>97</v>
      </c>
      <c r="V728">
        <v>115524.9</v>
      </c>
      <c r="W728">
        <v>969043</v>
      </c>
      <c r="X728">
        <v>42506</v>
      </c>
      <c r="Y728">
        <f t="shared" si="11"/>
        <v>969043</v>
      </c>
      <c r="Z728" t="str">
        <f>IF(ISNUMBER(SEARCH("Adjustment",$C728)),"excluded",IF($H728="Behind the Meter","excluded",IF(NOT(OR($E728="Bundled",$E728="Energy")),"excluded",IF(OR($H728="Retail Power Marketer",$H728="Community Choice Aggregator",$E728="Energy"),"procurement",IF(OR($H728="Municipal",$H728="Cooperative",$H728="Federal",$H728="State",$H728="Political Subdivision"),"cost_service",IF($H728="Investor Owned",IF(AND(COUNTIF(Parameters!$A$4:$A$33,$G728)&gt;0,COUNTIF(Parameters!$B$4:$B$33,$B728)=0),"procurement","cost_service"),"unclassified"))))))</f>
        <v>cost_service</v>
      </c>
    </row>
    <row r="729" spans="1:26" x14ac:dyDescent="0.25">
      <c r="A729">
        <v>2024</v>
      </c>
      <c r="B729">
        <v>11701</v>
      </c>
      <c r="C729" t="s">
        <v>783</v>
      </c>
      <c r="D729" t="s">
        <v>84</v>
      </c>
      <c r="E729" t="s">
        <v>85</v>
      </c>
      <c r="F729" t="s">
        <v>86</v>
      </c>
      <c r="G729" t="s">
        <v>140</v>
      </c>
      <c r="H729" t="s">
        <v>88</v>
      </c>
      <c r="I729" t="s">
        <v>96</v>
      </c>
      <c r="J729">
        <v>15550</v>
      </c>
      <c r="K729">
        <v>91673</v>
      </c>
      <c r="L729">
        <v>15036</v>
      </c>
      <c r="M729">
        <v>25414.6</v>
      </c>
      <c r="N729">
        <v>166025</v>
      </c>
      <c r="O729">
        <v>2130</v>
      </c>
      <c r="P729" t="s">
        <v>97</v>
      </c>
      <c r="Q729" t="s">
        <v>97</v>
      </c>
      <c r="R729" t="s">
        <v>97</v>
      </c>
      <c r="S729" t="s">
        <v>97</v>
      </c>
      <c r="T729" t="s">
        <v>97</v>
      </c>
      <c r="U729" t="s">
        <v>97</v>
      </c>
      <c r="V729">
        <v>40964.6</v>
      </c>
      <c r="W729">
        <v>257698</v>
      </c>
      <c r="X729">
        <v>17166</v>
      </c>
      <c r="Y729">
        <f t="shared" si="11"/>
        <v>257698</v>
      </c>
      <c r="Z729" t="str">
        <f>IF(ISNUMBER(SEARCH("Adjustment",$C729)),"excluded",IF($H729="Behind the Meter","excluded",IF(NOT(OR($E729="Bundled",$E729="Energy")),"excluded",IF(OR($H729="Retail Power Marketer",$H729="Community Choice Aggregator",$E729="Energy"),"procurement",IF(OR($H729="Municipal",$H729="Cooperative",$H729="Federal",$H729="State",$H729="Political Subdivision"),"cost_service",IF($H729="Investor Owned",IF(AND(COUNTIF(Parameters!$A$4:$A$33,$G729)&gt;0,COUNTIF(Parameters!$B$4:$B$33,$B729)=0),"procurement","cost_service"),"unclassified"))))))</f>
        <v>cost_service</v>
      </c>
    </row>
    <row r="730" spans="1:26" x14ac:dyDescent="0.25">
      <c r="A730">
        <v>2024</v>
      </c>
      <c r="B730">
        <v>11714</v>
      </c>
      <c r="C730" t="s">
        <v>784</v>
      </c>
      <c r="D730" t="s">
        <v>84</v>
      </c>
      <c r="E730" t="s">
        <v>85</v>
      </c>
      <c r="F730" t="s">
        <v>86</v>
      </c>
      <c r="G730" t="s">
        <v>112</v>
      </c>
      <c r="H730" t="s">
        <v>91</v>
      </c>
      <c r="I730" t="s">
        <v>89</v>
      </c>
      <c r="J730">
        <v>32202</v>
      </c>
      <c r="K730">
        <v>257918</v>
      </c>
      <c r="L730">
        <v>17318</v>
      </c>
      <c r="M730">
        <v>22649</v>
      </c>
      <c r="N730">
        <v>177757</v>
      </c>
      <c r="O730">
        <v>4055</v>
      </c>
      <c r="P730">
        <v>2721</v>
      </c>
      <c r="Q730">
        <v>30154</v>
      </c>
      <c r="R730">
        <v>4</v>
      </c>
      <c r="S730">
        <v>0</v>
      </c>
      <c r="T730">
        <v>0</v>
      </c>
      <c r="U730">
        <v>0</v>
      </c>
      <c r="V730">
        <v>57572</v>
      </c>
      <c r="W730">
        <v>465829</v>
      </c>
      <c r="X730">
        <v>21377</v>
      </c>
      <c r="Y730">
        <f t="shared" si="11"/>
        <v>465829</v>
      </c>
      <c r="Z730" t="str">
        <f>IF(ISNUMBER(SEARCH("Adjustment",$C730)),"excluded",IF($H730="Behind the Meter","excluded",IF(NOT(OR($E730="Bundled",$E730="Energy")),"excluded",IF(OR($H730="Retail Power Marketer",$H730="Community Choice Aggregator",$E730="Energy"),"procurement",IF(OR($H730="Municipal",$H730="Cooperative",$H730="Federal",$H730="State",$H730="Political Subdivision"),"cost_service",IF($H730="Investor Owned",IF(AND(COUNTIF(Parameters!$A$4:$A$33,$G730)&gt;0,COUNTIF(Parameters!$B$4:$B$33,$B730)=0),"procurement","cost_service"),"unclassified"))))))</f>
        <v>cost_service</v>
      </c>
    </row>
    <row r="731" spans="1:26" x14ac:dyDescent="0.25">
      <c r="A731">
        <v>2024</v>
      </c>
      <c r="B731">
        <v>11731</v>
      </c>
      <c r="C731" t="s">
        <v>785</v>
      </c>
      <c r="D731" t="s">
        <v>84</v>
      </c>
      <c r="E731" t="s">
        <v>85</v>
      </c>
      <c r="F731" t="s">
        <v>86</v>
      </c>
      <c r="G731" t="s">
        <v>104</v>
      </c>
      <c r="H731" t="s">
        <v>88</v>
      </c>
      <c r="I731" t="s">
        <v>96</v>
      </c>
      <c r="J731">
        <v>5773.5</v>
      </c>
      <c r="K731">
        <v>59549</v>
      </c>
      <c r="L731">
        <v>5857</v>
      </c>
      <c r="M731">
        <v>6871.7</v>
      </c>
      <c r="N731">
        <v>81855</v>
      </c>
      <c r="O731">
        <v>965</v>
      </c>
      <c r="P731">
        <v>23237.7</v>
      </c>
      <c r="Q731">
        <v>376076</v>
      </c>
      <c r="R731">
        <v>103</v>
      </c>
      <c r="S731">
        <v>0</v>
      </c>
      <c r="T731">
        <v>0</v>
      </c>
      <c r="U731">
        <v>0</v>
      </c>
      <c r="V731">
        <v>35882.9</v>
      </c>
      <c r="W731">
        <v>517480</v>
      </c>
      <c r="X731">
        <v>6925</v>
      </c>
      <c r="Y731">
        <f t="shared" si="11"/>
        <v>517480</v>
      </c>
      <c r="Z731" t="str">
        <f>IF(ISNUMBER(SEARCH("Adjustment",$C731)),"excluded",IF($H731="Behind the Meter","excluded",IF(NOT(OR($E731="Bundled",$E731="Energy")),"excluded",IF(OR($H731="Retail Power Marketer",$H731="Community Choice Aggregator",$E731="Energy"),"procurement",IF(OR($H731="Municipal",$H731="Cooperative",$H731="Federal",$H731="State",$H731="Political Subdivision"),"cost_service",IF($H731="Investor Owned",IF(AND(COUNTIF(Parameters!$A$4:$A$33,$G731)&gt;0,COUNTIF(Parameters!$B$4:$B$33,$B731)=0),"procurement","cost_service"),"unclassified"))))))</f>
        <v>cost_service</v>
      </c>
    </row>
    <row r="732" spans="1:26" x14ac:dyDescent="0.25">
      <c r="A732">
        <v>2024</v>
      </c>
      <c r="B732">
        <v>11740</v>
      </c>
      <c r="C732" t="s">
        <v>786</v>
      </c>
      <c r="D732" t="s">
        <v>84</v>
      </c>
      <c r="E732" t="s">
        <v>85</v>
      </c>
      <c r="F732" t="s">
        <v>86</v>
      </c>
      <c r="G732" t="s">
        <v>95</v>
      </c>
      <c r="H732" t="s">
        <v>88</v>
      </c>
      <c r="I732" t="s">
        <v>96</v>
      </c>
      <c r="J732">
        <v>9721</v>
      </c>
      <c r="K732">
        <v>96545</v>
      </c>
      <c r="L732">
        <v>11928</v>
      </c>
      <c r="M732">
        <v>8519</v>
      </c>
      <c r="N732">
        <v>87088</v>
      </c>
      <c r="O732">
        <v>1984</v>
      </c>
      <c r="P732">
        <v>14823</v>
      </c>
      <c r="Q732">
        <v>172841</v>
      </c>
      <c r="R732">
        <v>54</v>
      </c>
      <c r="S732" t="s">
        <v>97</v>
      </c>
      <c r="T732" t="s">
        <v>97</v>
      </c>
      <c r="U732" t="s">
        <v>97</v>
      </c>
      <c r="V732">
        <v>33063</v>
      </c>
      <c r="W732">
        <v>356474</v>
      </c>
      <c r="X732">
        <v>13966</v>
      </c>
      <c r="Y732">
        <f t="shared" si="11"/>
        <v>356474</v>
      </c>
      <c r="Z732" t="str">
        <f>IF(ISNUMBER(SEARCH("Adjustment",$C732)),"excluded",IF($H732="Behind the Meter","excluded",IF(NOT(OR($E732="Bundled",$E732="Energy")),"excluded",IF(OR($H732="Retail Power Marketer",$H732="Community Choice Aggregator",$E732="Energy"),"procurement",IF(OR($H732="Municipal",$H732="Cooperative",$H732="Federal",$H732="State",$H732="Political Subdivision"),"cost_service",IF($H732="Investor Owned",IF(AND(COUNTIF(Parameters!$A$4:$A$33,$G732)&gt;0,COUNTIF(Parameters!$B$4:$B$33,$B732)=0),"procurement","cost_service"),"unclassified"))))))</f>
        <v>cost_service</v>
      </c>
    </row>
    <row r="733" spans="1:26" x14ac:dyDescent="0.25">
      <c r="A733">
        <v>2024</v>
      </c>
      <c r="B733">
        <v>11788</v>
      </c>
      <c r="C733" t="s">
        <v>787</v>
      </c>
      <c r="D733" t="s">
        <v>84</v>
      </c>
      <c r="E733" t="s">
        <v>85</v>
      </c>
      <c r="F733" t="s">
        <v>86</v>
      </c>
      <c r="G733" t="s">
        <v>146</v>
      </c>
      <c r="H733" t="s">
        <v>91</v>
      </c>
      <c r="I733" t="s">
        <v>96</v>
      </c>
      <c r="J733">
        <v>12702</v>
      </c>
      <c r="K733">
        <v>84659</v>
      </c>
      <c r="L733">
        <v>6922</v>
      </c>
      <c r="M733">
        <v>3363</v>
      </c>
      <c r="N733">
        <v>28559</v>
      </c>
      <c r="O733">
        <v>619</v>
      </c>
      <c r="P733">
        <v>6599</v>
      </c>
      <c r="Q733">
        <v>101506</v>
      </c>
      <c r="R733">
        <v>19</v>
      </c>
      <c r="S733" t="s">
        <v>97</v>
      </c>
      <c r="T733" t="s">
        <v>97</v>
      </c>
      <c r="U733" t="s">
        <v>97</v>
      </c>
      <c r="V733">
        <v>22664</v>
      </c>
      <c r="W733">
        <v>214724</v>
      </c>
      <c r="X733">
        <v>7560</v>
      </c>
      <c r="Y733">
        <f t="shared" si="11"/>
        <v>214724</v>
      </c>
      <c r="Z733" t="str">
        <f>IF(ISNUMBER(SEARCH("Adjustment",$C733)),"excluded",IF($H733="Behind the Meter","excluded",IF(NOT(OR($E733="Bundled",$E733="Energy")),"excluded",IF(OR($H733="Retail Power Marketer",$H733="Community Choice Aggregator",$E733="Energy"),"procurement",IF(OR($H733="Municipal",$H733="Cooperative",$H733="Federal",$H733="State",$H733="Political Subdivision"),"cost_service",IF($H733="Investor Owned",IF(AND(COUNTIF(Parameters!$A$4:$A$33,$G733)&gt;0,COUNTIF(Parameters!$B$4:$B$33,$B733)=0),"procurement","cost_service"),"unclassified"))))))</f>
        <v>cost_service</v>
      </c>
    </row>
    <row r="734" spans="1:26" x14ac:dyDescent="0.25">
      <c r="A734">
        <v>2024</v>
      </c>
      <c r="B734">
        <v>11789</v>
      </c>
      <c r="C734" t="s">
        <v>788</v>
      </c>
      <c r="D734" t="s">
        <v>84</v>
      </c>
      <c r="E734" t="s">
        <v>85</v>
      </c>
      <c r="F734" t="s">
        <v>86</v>
      </c>
      <c r="G734" t="s">
        <v>156</v>
      </c>
      <c r="H734" t="s">
        <v>88</v>
      </c>
      <c r="I734" t="s">
        <v>89</v>
      </c>
      <c r="J734">
        <v>30077</v>
      </c>
      <c r="K734">
        <v>266710</v>
      </c>
      <c r="L734">
        <v>19971</v>
      </c>
      <c r="M734">
        <v>28689</v>
      </c>
      <c r="N734">
        <v>244884</v>
      </c>
      <c r="O734">
        <v>3091</v>
      </c>
      <c r="P734">
        <v>15597</v>
      </c>
      <c r="Q734">
        <v>263561</v>
      </c>
      <c r="R734">
        <v>11</v>
      </c>
      <c r="S734">
        <v>0</v>
      </c>
      <c r="T734">
        <v>0</v>
      </c>
      <c r="U734">
        <v>0</v>
      </c>
      <c r="V734">
        <v>74363</v>
      </c>
      <c r="W734">
        <v>775155</v>
      </c>
      <c r="X734">
        <v>23073</v>
      </c>
      <c r="Y734">
        <f t="shared" si="11"/>
        <v>775155</v>
      </c>
      <c r="Z734" t="str">
        <f>IF(ISNUMBER(SEARCH("Adjustment",$C734)),"excluded",IF($H734="Behind the Meter","excluded",IF(NOT(OR($E734="Bundled",$E734="Energy")),"excluded",IF(OR($H734="Retail Power Marketer",$H734="Community Choice Aggregator",$E734="Energy"),"procurement",IF(OR($H734="Municipal",$H734="Cooperative",$H734="Federal",$H734="State",$H734="Political Subdivision"),"cost_service",IF($H734="Investor Owned",IF(AND(COUNTIF(Parameters!$A$4:$A$33,$G734)&gt;0,COUNTIF(Parameters!$B$4:$B$33,$B734)=0),"procurement","cost_service"),"unclassified"))))))</f>
        <v>cost_service</v>
      </c>
    </row>
    <row r="735" spans="1:26" x14ac:dyDescent="0.25">
      <c r="A735">
        <v>2024</v>
      </c>
      <c r="B735">
        <v>11804</v>
      </c>
      <c r="C735" t="s">
        <v>789</v>
      </c>
      <c r="D735" t="s">
        <v>84</v>
      </c>
      <c r="E735" t="s">
        <v>85</v>
      </c>
      <c r="F735" t="s">
        <v>86</v>
      </c>
      <c r="G735" t="s">
        <v>48</v>
      </c>
      <c r="H735" t="s">
        <v>109</v>
      </c>
      <c r="I735" t="s">
        <v>189</v>
      </c>
      <c r="J735">
        <v>1045148.2</v>
      </c>
      <c r="K735">
        <v>3110674</v>
      </c>
      <c r="L735">
        <v>526437</v>
      </c>
      <c r="M735">
        <v>239012.3</v>
      </c>
      <c r="N735">
        <v>1038014</v>
      </c>
      <c r="O735">
        <v>56090</v>
      </c>
      <c r="P735">
        <v>20703.099999999999</v>
      </c>
      <c r="Q735">
        <v>86673</v>
      </c>
      <c r="R735">
        <v>926</v>
      </c>
      <c r="S735" t="s">
        <v>97</v>
      </c>
      <c r="T735" t="s">
        <v>97</v>
      </c>
      <c r="U735" t="s">
        <v>97</v>
      </c>
      <c r="V735">
        <v>1304863.6000000001</v>
      </c>
      <c r="W735">
        <v>4235361</v>
      </c>
      <c r="X735">
        <v>583453</v>
      </c>
      <c r="Y735">
        <f t="shared" si="11"/>
        <v>4235361</v>
      </c>
      <c r="Z735" t="str">
        <f>IF(ISNUMBER(SEARCH("Adjustment",$C735)),"excluded",IF($H735="Behind the Meter","excluded",IF(NOT(OR($E735="Bundled",$E735="Energy")),"excluded",IF(OR($H735="Retail Power Marketer",$H735="Community Choice Aggregator",$E735="Energy"),"procurement",IF(OR($H735="Municipal",$H735="Cooperative",$H735="Federal",$H735="State",$H735="Political Subdivision"),"cost_service",IF($H735="Investor Owned",IF(AND(COUNTIF(Parameters!$A$4:$A$33,$G735)&gt;0,COUNTIF(Parameters!$B$4:$B$33,$B735)=0),"procurement","cost_service"),"unclassified"))))))</f>
        <v>procurement</v>
      </c>
    </row>
    <row r="736" spans="1:26" x14ac:dyDescent="0.25">
      <c r="A736">
        <v>2024</v>
      </c>
      <c r="B736">
        <v>11804</v>
      </c>
      <c r="C736" t="s">
        <v>789</v>
      </c>
      <c r="D736" t="s">
        <v>167</v>
      </c>
      <c r="E736" t="s">
        <v>168</v>
      </c>
      <c r="F736" t="s">
        <v>86</v>
      </c>
      <c r="G736" t="s">
        <v>48</v>
      </c>
      <c r="H736" t="s">
        <v>109</v>
      </c>
      <c r="I736" t="s">
        <v>189</v>
      </c>
      <c r="J736">
        <v>788460.5</v>
      </c>
      <c r="K736">
        <v>4837264</v>
      </c>
      <c r="L736">
        <v>683676</v>
      </c>
      <c r="M736">
        <v>776270.1</v>
      </c>
      <c r="N736">
        <v>7682284</v>
      </c>
      <c r="O736">
        <v>104042</v>
      </c>
      <c r="P736">
        <v>198695.2</v>
      </c>
      <c r="Q736">
        <v>2271883</v>
      </c>
      <c r="R736">
        <v>2584</v>
      </c>
      <c r="S736">
        <v>169.9</v>
      </c>
      <c r="T736">
        <v>695</v>
      </c>
      <c r="U736">
        <v>1</v>
      </c>
      <c r="V736">
        <v>1763595.7</v>
      </c>
      <c r="W736">
        <v>14792126</v>
      </c>
      <c r="X736">
        <v>790303</v>
      </c>
      <c r="Y736">
        <f t="shared" si="11"/>
        <v>14792126</v>
      </c>
      <c r="Z736" t="str">
        <f>IF(ISNUMBER(SEARCH("Adjustment",$C736)),"excluded",IF($H736="Behind the Meter","excluded",IF(NOT(OR($E736="Bundled",$E736="Energy")),"excluded",IF(OR($H736="Retail Power Marketer",$H736="Community Choice Aggregator",$E736="Energy"),"procurement",IF(OR($H736="Municipal",$H736="Cooperative",$H736="Federal",$H736="State",$H736="Political Subdivision"),"cost_service",IF($H736="Investor Owned",IF(AND(COUNTIF(Parameters!$A$4:$A$33,$G736)&gt;0,COUNTIF(Parameters!$B$4:$B$33,$B736)=0),"procurement","cost_service"),"unclassified"))))))</f>
        <v>excluded</v>
      </c>
    </row>
    <row r="737" spans="1:26" x14ac:dyDescent="0.25">
      <c r="A737">
        <v>2024</v>
      </c>
      <c r="B737">
        <v>11811</v>
      </c>
      <c r="C737" t="s">
        <v>790</v>
      </c>
      <c r="D737" t="s">
        <v>84</v>
      </c>
      <c r="E737" t="s">
        <v>85</v>
      </c>
      <c r="F737" t="s">
        <v>86</v>
      </c>
      <c r="G737" t="s">
        <v>53</v>
      </c>
      <c r="H737" t="s">
        <v>88</v>
      </c>
      <c r="I737" t="s">
        <v>102</v>
      </c>
      <c r="J737">
        <v>7060.4</v>
      </c>
      <c r="K737">
        <v>113978</v>
      </c>
      <c r="L737">
        <v>8156</v>
      </c>
      <c r="M737">
        <v>1317.9</v>
      </c>
      <c r="N737">
        <v>16734</v>
      </c>
      <c r="O737">
        <v>1017</v>
      </c>
      <c r="P737">
        <v>4098.8</v>
      </c>
      <c r="Q737">
        <v>79012</v>
      </c>
      <c r="R737">
        <v>155</v>
      </c>
      <c r="S737" t="s">
        <v>97</v>
      </c>
      <c r="T737" t="s">
        <v>97</v>
      </c>
      <c r="U737" t="s">
        <v>97</v>
      </c>
      <c r="V737">
        <v>12477.1</v>
      </c>
      <c r="W737">
        <v>209724</v>
      </c>
      <c r="X737">
        <v>9328</v>
      </c>
      <c r="Y737">
        <f t="shared" si="11"/>
        <v>209724</v>
      </c>
      <c r="Z737" t="str">
        <f>IF(ISNUMBER(SEARCH("Adjustment",$C737)),"excluded",IF($H737="Behind the Meter","excluded",IF(NOT(OR($E737="Bundled",$E737="Energy")),"excluded",IF(OR($H737="Retail Power Marketer",$H737="Community Choice Aggregator",$E737="Energy"),"procurement",IF(OR($H737="Municipal",$H737="Cooperative",$H737="Federal",$H737="State",$H737="Political Subdivision"),"cost_service",IF($H737="Investor Owned",IF(AND(COUNTIF(Parameters!$A$4:$A$33,$G737)&gt;0,COUNTIF(Parameters!$B$4:$B$33,$B737)=0),"procurement","cost_service"),"unclassified"))))))</f>
        <v>cost_service</v>
      </c>
    </row>
    <row r="738" spans="1:26" x14ac:dyDescent="0.25">
      <c r="A738">
        <v>2024</v>
      </c>
      <c r="B738">
        <v>11824</v>
      </c>
      <c r="C738" t="s">
        <v>791</v>
      </c>
      <c r="D738" t="s">
        <v>84</v>
      </c>
      <c r="E738" t="s">
        <v>85</v>
      </c>
      <c r="F738" t="s">
        <v>86</v>
      </c>
      <c r="G738" t="s">
        <v>118</v>
      </c>
      <c r="H738" t="s">
        <v>91</v>
      </c>
      <c r="I738" t="s">
        <v>119</v>
      </c>
      <c r="J738">
        <v>109114.7</v>
      </c>
      <c r="K738">
        <v>466931</v>
      </c>
      <c r="L738">
        <v>64205</v>
      </c>
      <c r="M738">
        <v>65069</v>
      </c>
      <c r="N738">
        <v>321388</v>
      </c>
      <c r="O738">
        <v>6849</v>
      </c>
      <c r="P738">
        <v>0</v>
      </c>
      <c r="Q738">
        <v>0</v>
      </c>
      <c r="R738">
        <v>0</v>
      </c>
      <c r="S738">
        <v>0</v>
      </c>
      <c r="T738">
        <v>0</v>
      </c>
      <c r="U738">
        <v>0</v>
      </c>
      <c r="V738">
        <v>174183.7</v>
      </c>
      <c r="W738">
        <v>788319</v>
      </c>
      <c r="X738">
        <v>71054</v>
      </c>
      <c r="Y738">
        <f t="shared" si="11"/>
        <v>788319</v>
      </c>
      <c r="Z738" t="str">
        <f>IF(ISNUMBER(SEARCH("Adjustment",$C738)),"excluded",IF($H738="Behind the Meter","excluded",IF(NOT(OR($E738="Bundled",$E738="Energy")),"excluded",IF(OR($H738="Retail Power Marketer",$H738="Community Choice Aggregator",$E738="Energy"),"procurement",IF(OR($H738="Municipal",$H738="Cooperative",$H738="Federal",$H738="State",$H738="Political Subdivision"),"cost_service",IF($H738="Investor Owned",IF(AND(COUNTIF(Parameters!$A$4:$A$33,$G738)&gt;0,COUNTIF(Parameters!$B$4:$B$33,$B738)=0),"procurement","cost_service"),"unclassified"))))))</f>
        <v>cost_service</v>
      </c>
    </row>
    <row r="739" spans="1:26" x14ac:dyDescent="0.25">
      <c r="A739">
        <v>2024</v>
      </c>
      <c r="B739">
        <v>11843</v>
      </c>
      <c r="C739" t="s">
        <v>792</v>
      </c>
      <c r="D739" t="s">
        <v>84</v>
      </c>
      <c r="E739" t="s">
        <v>85</v>
      </c>
      <c r="F739" t="s">
        <v>86</v>
      </c>
      <c r="G739" t="s">
        <v>605</v>
      </c>
      <c r="H739" t="s">
        <v>109</v>
      </c>
      <c r="I739" t="s">
        <v>119</v>
      </c>
      <c r="J739">
        <v>159187.6</v>
      </c>
      <c r="K739">
        <v>362096</v>
      </c>
      <c r="L739">
        <v>61811</v>
      </c>
      <c r="M739">
        <v>134212.4</v>
      </c>
      <c r="N739">
        <v>308918</v>
      </c>
      <c r="O739">
        <v>9944</v>
      </c>
      <c r="P739">
        <v>141409.5</v>
      </c>
      <c r="Q739">
        <v>366644</v>
      </c>
      <c r="R739">
        <v>151</v>
      </c>
      <c r="S739" t="s">
        <v>97</v>
      </c>
      <c r="T739" t="s">
        <v>97</v>
      </c>
      <c r="U739" t="s">
        <v>97</v>
      </c>
      <c r="V739">
        <v>434809.5</v>
      </c>
      <c r="W739">
        <v>1037658</v>
      </c>
      <c r="X739">
        <v>71906</v>
      </c>
      <c r="Y739">
        <f t="shared" si="11"/>
        <v>1037658</v>
      </c>
      <c r="Z739" t="str">
        <f>IF(ISNUMBER(SEARCH("Adjustment",$C739)),"excluded",IF($H739="Behind the Meter","excluded",IF(NOT(OR($E739="Bundled",$E739="Energy")),"excluded",IF(OR($H739="Retail Power Marketer",$H739="Community Choice Aggregator",$E739="Energy"),"procurement",IF(OR($H739="Municipal",$H739="Cooperative",$H739="Federal",$H739="State",$H739="Political Subdivision"),"cost_service",IF($H739="Investor Owned",IF(AND(COUNTIF(Parameters!$A$4:$A$33,$G739)&gt;0,COUNTIF(Parameters!$B$4:$B$33,$B739)=0),"procurement","cost_service"),"unclassified"))))))</f>
        <v>cost_service</v>
      </c>
    </row>
    <row r="740" spans="1:26" x14ac:dyDescent="0.25">
      <c r="A740">
        <v>2024</v>
      </c>
      <c r="B740">
        <v>11871</v>
      </c>
      <c r="C740" t="s">
        <v>793</v>
      </c>
      <c r="D740" t="s">
        <v>84</v>
      </c>
      <c r="E740" t="s">
        <v>85</v>
      </c>
      <c r="F740" t="s">
        <v>86</v>
      </c>
      <c r="G740" t="s">
        <v>209</v>
      </c>
      <c r="H740" t="s">
        <v>88</v>
      </c>
      <c r="I740" t="s">
        <v>89</v>
      </c>
      <c r="J740">
        <v>6079</v>
      </c>
      <c r="K740">
        <v>45463</v>
      </c>
      <c r="L740">
        <v>4348</v>
      </c>
      <c r="M740">
        <v>8192</v>
      </c>
      <c r="N740">
        <v>66428</v>
      </c>
      <c r="O740">
        <v>866</v>
      </c>
      <c r="P740">
        <v>1117</v>
      </c>
      <c r="Q740">
        <v>11126</v>
      </c>
      <c r="R740">
        <v>2</v>
      </c>
      <c r="S740">
        <v>0</v>
      </c>
      <c r="T740">
        <v>0</v>
      </c>
      <c r="U740">
        <v>0</v>
      </c>
      <c r="V740">
        <v>15388</v>
      </c>
      <c r="W740">
        <v>123017</v>
      </c>
      <c r="X740">
        <v>5216</v>
      </c>
      <c r="Y740">
        <f t="shared" si="11"/>
        <v>123017</v>
      </c>
      <c r="Z740" t="str">
        <f>IF(ISNUMBER(SEARCH("Adjustment",$C740)),"excluded",IF($H740="Behind the Meter","excluded",IF(NOT(OR($E740="Bundled",$E740="Energy")),"excluded",IF(OR($H740="Retail Power Marketer",$H740="Community Choice Aggregator",$E740="Energy"),"procurement",IF(OR($H740="Municipal",$H740="Cooperative",$H740="Federal",$H740="State",$H740="Political Subdivision"),"cost_service",IF($H740="Investor Owned",IF(AND(COUNTIF(Parameters!$A$4:$A$33,$G740)&gt;0,COUNTIF(Parameters!$B$4:$B$33,$B740)=0),"procurement","cost_service"),"unclassified"))))))</f>
        <v>cost_service</v>
      </c>
    </row>
    <row r="741" spans="1:26" x14ac:dyDescent="0.25">
      <c r="A741">
        <v>2024</v>
      </c>
      <c r="B741">
        <v>12087</v>
      </c>
      <c r="C741" t="s">
        <v>794</v>
      </c>
      <c r="D741" t="s">
        <v>84</v>
      </c>
      <c r="E741" t="s">
        <v>85</v>
      </c>
      <c r="F741" t="s">
        <v>86</v>
      </c>
      <c r="G741" t="s">
        <v>491</v>
      </c>
      <c r="H741" t="s">
        <v>91</v>
      </c>
      <c r="I741" t="s">
        <v>135</v>
      </c>
      <c r="J741">
        <v>34.799999999999997</v>
      </c>
      <c r="K741">
        <v>404</v>
      </c>
      <c r="L741">
        <v>25</v>
      </c>
      <c r="M741">
        <v>11.2</v>
      </c>
      <c r="N741">
        <v>93</v>
      </c>
      <c r="O741">
        <v>12</v>
      </c>
      <c r="P741">
        <v>37.200000000000003</v>
      </c>
      <c r="Q741">
        <v>150</v>
      </c>
      <c r="R741">
        <v>80</v>
      </c>
      <c r="S741" t="s">
        <v>97</v>
      </c>
      <c r="T741" t="s">
        <v>97</v>
      </c>
      <c r="U741" t="s">
        <v>97</v>
      </c>
      <c r="V741">
        <v>83.2</v>
      </c>
      <c r="W741">
        <v>647</v>
      </c>
      <c r="X741">
        <v>117</v>
      </c>
      <c r="Y741">
        <f t="shared" si="11"/>
        <v>647</v>
      </c>
      <c r="Z741" t="str">
        <f>IF(ISNUMBER(SEARCH("Adjustment",$C741)),"excluded",IF($H741="Behind the Meter","excluded",IF(NOT(OR($E741="Bundled",$E741="Energy")),"excluded",IF(OR($H741="Retail Power Marketer",$H741="Community Choice Aggregator",$E741="Energy"),"procurement",IF(OR($H741="Municipal",$H741="Cooperative",$H741="Federal",$H741="State",$H741="Political Subdivision"),"cost_service",IF($H741="Investor Owned",IF(AND(COUNTIF(Parameters!$A$4:$A$33,$G741)&gt;0,COUNTIF(Parameters!$B$4:$B$33,$B741)=0),"procurement","cost_service"),"unclassified"))))))</f>
        <v>cost_service</v>
      </c>
    </row>
    <row r="742" spans="1:26" x14ac:dyDescent="0.25">
      <c r="A742">
        <v>2024</v>
      </c>
      <c r="B742">
        <v>12087</v>
      </c>
      <c r="C742" t="s">
        <v>794</v>
      </c>
      <c r="D742" t="s">
        <v>84</v>
      </c>
      <c r="E742" t="s">
        <v>85</v>
      </c>
      <c r="F742" t="s">
        <v>86</v>
      </c>
      <c r="G742" t="s">
        <v>198</v>
      </c>
      <c r="H742" t="s">
        <v>91</v>
      </c>
      <c r="I742" t="s">
        <v>135</v>
      </c>
      <c r="J742">
        <v>8665.9</v>
      </c>
      <c r="K742">
        <v>110229</v>
      </c>
      <c r="L742">
        <v>5382</v>
      </c>
      <c r="M742">
        <v>155416.29999999999</v>
      </c>
      <c r="N742">
        <v>2028065</v>
      </c>
      <c r="O742">
        <v>7117</v>
      </c>
      <c r="P742">
        <v>282799.40000000002</v>
      </c>
      <c r="Q742">
        <v>4389359</v>
      </c>
      <c r="R742">
        <v>1165</v>
      </c>
      <c r="S742" t="s">
        <v>97</v>
      </c>
      <c r="T742" t="s">
        <v>97</v>
      </c>
      <c r="U742" t="s">
        <v>97</v>
      </c>
      <c r="V742">
        <v>446881.6</v>
      </c>
      <c r="W742">
        <v>6527653</v>
      </c>
      <c r="X742">
        <v>13664</v>
      </c>
      <c r="Y742">
        <f t="shared" si="11"/>
        <v>6527653</v>
      </c>
      <c r="Z742" t="str">
        <f>IF(ISNUMBER(SEARCH("Adjustment",$C742)),"excluded",IF($H742="Behind the Meter","excluded",IF(NOT(OR($E742="Bundled",$E742="Energy")),"excluded",IF(OR($H742="Retail Power Marketer",$H742="Community Choice Aggregator",$E742="Energy"),"procurement",IF(OR($H742="Municipal",$H742="Cooperative",$H742="Federal",$H742="State",$H742="Political Subdivision"),"cost_service",IF($H742="Investor Owned",IF(AND(COUNTIF(Parameters!$A$4:$A$33,$G742)&gt;0,COUNTIF(Parameters!$B$4:$B$33,$B742)=0),"procurement","cost_service"),"unclassified"))))))</f>
        <v>cost_service</v>
      </c>
    </row>
    <row r="743" spans="1:26" x14ac:dyDescent="0.25">
      <c r="A743">
        <v>2024</v>
      </c>
      <c r="B743">
        <v>12090</v>
      </c>
      <c r="C743" t="s">
        <v>795</v>
      </c>
      <c r="D743" t="s">
        <v>84</v>
      </c>
      <c r="E743" t="s">
        <v>85</v>
      </c>
      <c r="F743" t="s">
        <v>86</v>
      </c>
      <c r="G743" t="s">
        <v>198</v>
      </c>
      <c r="H743" t="s">
        <v>91</v>
      </c>
      <c r="I743" t="s">
        <v>96</v>
      </c>
      <c r="J743">
        <v>7800</v>
      </c>
      <c r="K743">
        <v>54734</v>
      </c>
      <c r="L743">
        <v>3711</v>
      </c>
      <c r="M743">
        <v>5440</v>
      </c>
      <c r="N743">
        <v>43075</v>
      </c>
      <c r="O743">
        <v>464</v>
      </c>
      <c r="P743">
        <v>6834</v>
      </c>
      <c r="Q743">
        <v>91186</v>
      </c>
      <c r="R743">
        <v>103</v>
      </c>
      <c r="S743">
        <v>0</v>
      </c>
      <c r="T743">
        <v>0</v>
      </c>
      <c r="U743">
        <v>0</v>
      </c>
      <c r="V743">
        <v>20074</v>
      </c>
      <c r="W743">
        <v>188995</v>
      </c>
      <c r="X743">
        <v>4278</v>
      </c>
      <c r="Y743">
        <f t="shared" si="11"/>
        <v>188995</v>
      </c>
      <c r="Z743" t="str">
        <f>IF(ISNUMBER(SEARCH("Adjustment",$C743)),"excluded",IF($H743="Behind the Meter","excluded",IF(NOT(OR($E743="Bundled",$E743="Energy")),"excluded",IF(OR($H743="Retail Power Marketer",$H743="Community Choice Aggregator",$E743="Energy"),"procurement",IF(OR($H743="Municipal",$H743="Cooperative",$H743="Federal",$H743="State",$H743="Political Subdivision"),"cost_service",IF($H743="Investor Owned",IF(AND(COUNTIF(Parameters!$A$4:$A$33,$G743)&gt;0,COUNTIF(Parameters!$B$4:$B$33,$B743)=0),"procurement","cost_service"),"unclassified"))))))</f>
        <v>cost_service</v>
      </c>
    </row>
    <row r="744" spans="1:26" x14ac:dyDescent="0.25">
      <c r="A744">
        <v>2024</v>
      </c>
      <c r="B744">
        <v>12186</v>
      </c>
      <c r="C744" t="s">
        <v>796</v>
      </c>
      <c r="D744" t="s">
        <v>84</v>
      </c>
      <c r="E744" t="s">
        <v>85</v>
      </c>
      <c r="F744" t="s">
        <v>86</v>
      </c>
      <c r="G744" t="s">
        <v>156</v>
      </c>
      <c r="H744" t="s">
        <v>88</v>
      </c>
      <c r="I744" t="s">
        <v>89</v>
      </c>
      <c r="J744">
        <v>9258</v>
      </c>
      <c r="K744">
        <v>78240</v>
      </c>
      <c r="L744">
        <v>6646</v>
      </c>
      <c r="M744">
        <v>10580</v>
      </c>
      <c r="N744">
        <v>85186</v>
      </c>
      <c r="O744">
        <v>1659</v>
      </c>
      <c r="P744">
        <v>1019</v>
      </c>
      <c r="Q744">
        <v>10590</v>
      </c>
      <c r="R744">
        <v>2</v>
      </c>
      <c r="S744">
        <v>0</v>
      </c>
      <c r="T744">
        <v>0</v>
      </c>
      <c r="U744">
        <v>0</v>
      </c>
      <c r="V744">
        <v>20857</v>
      </c>
      <c r="W744">
        <v>174016</v>
      </c>
      <c r="X744">
        <v>8307</v>
      </c>
      <c r="Y744">
        <f t="shared" si="11"/>
        <v>174016</v>
      </c>
      <c r="Z744" t="str">
        <f>IF(ISNUMBER(SEARCH("Adjustment",$C744)),"excluded",IF($H744="Behind the Meter","excluded",IF(NOT(OR($E744="Bundled",$E744="Energy")),"excluded",IF(OR($H744="Retail Power Marketer",$H744="Community Choice Aggregator",$E744="Energy"),"procurement",IF(OR($H744="Municipal",$H744="Cooperative",$H744="Federal",$H744="State",$H744="Political Subdivision"),"cost_service",IF($H744="Investor Owned",IF(AND(COUNTIF(Parameters!$A$4:$A$33,$G744)&gt;0,COUNTIF(Parameters!$B$4:$B$33,$B744)=0),"procurement","cost_service"),"unclassified"))))))</f>
        <v>cost_service</v>
      </c>
    </row>
    <row r="745" spans="1:26" x14ac:dyDescent="0.25">
      <c r="A745">
        <v>2024</v>
      </c>
      <c r="B745">
        <v>12187</v>
      </c>
      <c r="C745" t="s">
        <v>797</v>
      </c>
      <c r="D745" t="s">
        <v>84</v>
      </c>
      <c r="E745" t="s">
        <v>85</v>
      </c>
      <c r="F745" t="s">
        <v>86</v>
      </c>
      <c r="G745" t="s">
        <v>219</v>
      </c>
      <c r="H745" t="s">
        <v>88</v>
      </c>
      <c r="I745" t="s">
        <v>206</v>
      </c>
      <c r="J745">
        <v>15461</v>
      </c>
      <c r="K745">
        <v>204575</v>
      </c>
      <c r="L745">
        <v>17190</v>
      </c>
      <c r="M745">
        <v>12479</v>
      </c>
      <c r="N745">
        <v>163461</v>
      </c>
      <c r="O745">
        <v>2984</v>
      </c>
      <c r="P745">
        <v>14269</v>
      </c>
      <c r="Q745">
        <v>358163</v>
      </c>
      <c r="R745">
        <v>58</v>
      </c>
      <c r="S745" t="s">
        <v>97</v>
      </c>
      <c r="T745" t="s">
        <v>97</v>
      </c>
      <c r="U745" t="s">
        <v>97</v>
      </c>
      <c r="V745">
        <v>42209</v>
      </c>
      <c r="W745">
        <v>726199</v>
      </c>
      <c r="X745">
        <v>20232</v>
      </c>
      <c r="Y745">
        <f t="shared" si="11"/>
        <v>726199</v>
      </c>
      <c r="Z745" t="str">
        <f>IF(ISNUMBER(SEARCH("Adjustment",$C745)),"excluded",IF($H745="Behind the Meter","excluded",IF(NOT(OR($E745="Bundled",$E745="Energy")),"excluded",IF(OR($H745="Retail Power Marketer",$H745="Community Choice Aggregator",$E745="Energy"),"procurement",IF(OR($H745="Municipal",$H745="Cooperative",$H745="Federal",$H745="State",$H745="Political Subdivision"),"cost_service",IF($H745="Investor Owned",IF(AND(COUNTIF(Parameters!$A$4:$A$33,$G745)&gt;0,COUNTIF(Parameters!$B$4:$B$33,$B745)=0),"procurement","cost_service"),"unclassified"))))))</f>
        <v>cost_service</v>
      </c>
    </row>
    <row r="746" spans="1:26" x14ac:dyDescent="0.25">
      <c r="A746">
        <v>2024</v>
      </c>
      <c r="B746">
        <v>12199</v>
      </c>
      <c r="C746" t="s">
        <v>798</v>
      </c>
      <c r="D746" t="s">
        <v>84</v>
      </c>
      <c r="E746" t="s">
        <v>85</v>
      </c>
      <c r="F746" t="s">
        <v>86</v>
      </c>
      <c r="G746" t="s">
        <v>491</v>
      </c>
      <c r="H746" t="s">
        <v>109</v>
      </c>
      <c r="I746" t="s">
        <v>135</v>
      </c>
      <c r="J746">
        <v>23050</v>
      </c>
      <c r="K746">
        <v>178873</v>
      </c>
      <c r="L746">
        <v>19616</v>
      </c>
      <c r="M746">
        <v>30457</v>
      </c>
      <c r="N746">
        <v>263207</v>
      </c>
      <c r="O746">
        <v>5745</v>
      </c>
      <c r="P746">
        <v>21765</v>
      </c>
      <c r="Q746">
        <v>262981</v>
      </c>
      <c r="R746">
        <v>112</v>
      </c>
      <c r="S746">
        <v>0</v>
      </c>
      <c r="T746">
        <v>0</v>
      </c>
      <c r="U746">
        <v>0</v>
      </c>
      <c r="V746">
        <v>75272</v>
      </c>
      <c r="W746">
        <v>705061</v>
      </c>
      <c r="X746">
        <v>25473</v>
      </c>
      <c r="Y746">
        <f t="shared" si="11"/>
        <v>705061</v>
      </c>
      <c r="Z746" t="str">
        <f>IF(ISNUMBER(SEARCH("Adjustment",$C746)),"excluded",IF($H746="Behind the Meter","excluded",IF(NOT(OR($E746="Bundled",$E746="Energy")),"excluded",IF(OR($H746="Retail Power Marketer",$H746="Community Choice Aggregator",$E746="Energy"),"procurement",IF(OR($H746="Municipal",$H746="Cooperative",$H746="Federal",$H746="State",$H746="Political Subdivision"),"cost_service",IF($H746="Investor Owned",IF(AND(COUNTIF(Parameters!$A$4:$A$33,$G746)&gt;0,COUNTIF(Parameters!$B$4:$B$33,$B746)=0),"procurement","cost_service"),"unclassified"))))))</f>
        <v>cost_service</v>
      </c>
    </row>
    <row r="747" spans="1:26" x14ac:dyDescent="0.25">
      <c r="A747">
        <v>2024</v>
      </c>
      <c r="B747">
        <v>12199</v>
      </c>
      <c r="C747" t="s">
        <v>798</v>
      </c>
      <c r="D747" t="s">
        <v>84</v>
      </c>
      <c r="E747" t="s">
        <v>85</v>
      </c>
      <c r="F747" t="s">
        <v>86</v>
      </c>
      <c r="G747" t="s">
        <v>198</v>
      </c>
      <c r="H747" t="s">
        <v>109</v>
      </c>
      <c r="I747" t="s">
        <v>96</v>
      </c>
      <c r="J747">
        <v>89896</v>
      </c>
      <c r="K747">
        <v>767257</v>
      </c>
      <c r="L747">
        <v>79354</v>
      </c>
      <c r="M747">
        <v>121899</v>
      </c>
      <c r="N747">
        <v>2086375</v>
      </c>
      <c r="O747">
        <v>14799</v>
      </c>
      <c r="P747">
        <v>19849</v>
      </c>
      <c r="Q747">
        <v>259531</v>
      </c>
      <c r="R747">
        <v>85</v>
      </c>
      <c r="S747">
        <v>0</v>
      </c>
      <c r="T747">
        <v>0</v>
      </c>
      <c r="U747">
        <v>0</v>
      </c>
      <c r="V747">
        <v>231644</v>
      </c>
      <c r="W747">
        <v>3113163</v>
      </c>
      <c r="X747">
        <v>94238</v>
      </c>
      <c r="Y747">
        <f t="shared" si="11"/>
        <v>3113163</v>
      </c>
      <c r="Z747" t="str">
        <f>IF(ISNUMBER(SEARCH("Adjustment",$C747)),"excluded",IF($H747="Behind the Meter","excluded",IF(NOT(OR($E747="Bundled",$E747="Energy")),"excluded",IF(OR($H747="Retail Power Marketer",$H747="Community Choice Aggregator",$E747="Energy"),"procurement",IF(OR($H747="Municipal",$H747="Cooperative",$H747="Federal",$H747="State",$H747="Political Subdivision"),"cost_service",IF($H747="Investor Owned",IF(AND(COUNTIF(Parameters!$A$4:$A$33,$G747)&gt;0,COUNTIF(Parameters!$B$4:$B$33,$B747)=0),"procurement","cost_service"),"unclassified"))))))</f>
        <v>cost_service</v>
      </c>
    </row>
    <row r="748" spans="1:26" x14ac:dyDescent="0.25">
      <c r="A748">
        <v>2024</v>
      </c>
      <c r="B748">
        <v>12199</v>
      </c>
      <c r="C748" t="s">
        <v>798</v>
      </c>
      <c r="D748" t="s">
        <v>84</v>
      </c>
      <c r="E748" t="s">
        <v>85</v>
      </c>
      <c r="F748" t="s">
        <v>86</v>
      </c>
      <c r="G748" t="s">
        <v>224</v>
      </c>
      <c r="H748" t="s">
        <v>109</v>
      </c>
      <c r="I748" t="s">
        <v>96</v>
      </c>
      <c r="J748">
        <v>9285</v>
      </c>
      <c r="K748">
        <v>63618</v>
      </c>
      <c r="L748">
        <v>6367</v>
      </c>
      <c r="M748">
        <v>8307</v>
      </c>
      <c r="N748">
        <v>64294</v>
      </c>
      <c r="O748">
        <v>2076</v>
      </c>
      <c r="P748">
        <v>522</v>
      </c>
      <c r="Q748">
        <v>4602</v>
      </c>
      <c r="R748">
        <v>8</v>
      </c>
      <c r="S748">
        <v>0</v>
      </c>
      <c r="T748">
        <v>0</v>
      </c>
      <c r="U748">
        <v>0</v>
      </c>
      <c r="V748">
        <v>18114</v>
      </c>
      <c r="W748">
        <v>132514</v>
      </c>
      <c r="X748">
        <v>8451</v>
      </c>
      <c r="Y748">
        <f t="shared" si="11"/>
        <v>132514</v>
      </c>
      <c r="Z748" t="str">
        <f>IF(ISNUMBER(SEARCH("Adjustment",$C748)),"excluded",IF($H748="Behind the Meter","excluded",IF(NOT(OR($E748="Bundled",$E748="Energy")),"excluded",IF(OR($H748="Retail Power Marketer",$H748="Community Choice Aggregator",$E748="Energy"),"procurement",IF(OR($H748="Municipal",$H748="Cooperative",$H748="Federal",$H748="State",$H748="Political Subdivision"),"cost_service",IF($H748="Investor Owned",IF(AND(COUNTIF(Parameters!$A$4:$A$33,$G748)&gt;0,COUNTIF(Parameters!$B$4:$B$33,$B748)=0),"procurement","cost_service"),"unclassified"))))))</f>
        <v>cost_service</v>
      </c>
    </row>
    <row r="749" spans="1:26" x14ac:dyDescent="0.25">
      <c r="A749">
        <v>2024</v>
      </c>
      <c r="B749">
        <v>12199</v>
      </c>
      <c r="C749" t="s">
        <v>798</v>
      </c>
      <c r="D749" t="s">
        <v>84</v>
      </c>
      <c r="E749" t="s">
        <v>85</v>
      </c>
      <c r="F749" t="s">
        <v>86</v>
      </c>
      <c r="G749" t="s">
        <v>323</v>
      </c>
      <c r="H749" t="s">
        <v>109</v>
      </c>
      <c r="I749" t="s">
        <v>259</v>
      </c>
      <c r="J749">
        <v>17631</v>
      </c>
      <c r="K749">
        <v>149770</v>
      </c>
      <c r="L749">
        <v>14706</v>
      </c>
      <c r="M749">
        <v>12888</v>
      </c>
      <c r="N749">
        <v>142155</v>
      </c>
      <c r="O749">
        <v>2804</v>
      </c>
      <c r="P749">
        <v>184</v>
      </c>
      <c r="Q749">
        <v>1799</v>
      </c>
      <c r="R749">
        <v>14</v>
      </c>
      <c r="S749">
        <v>0</v>
      </c>
      <c r="T749">
        <v>0</v>
      </c>
      <c r="U749">
        <v>0</v>
      </c>
      <c r="V749">
        <v>30703</v>
      </c>
      <c r="W749">
        <v>293724</v>
      </c>
      <c r="X749">
        <v>17524</v>
      </c>
      <c r="Y749">
        <f t="shared" si="11"/>
        <v>293724</v>
      </c>
      <c r="Z749" t="str">
        <f>IF(ISNUMBER(SEARCH("Adjustment",$C749)),"excluded",IF($H749="Behind the Meter","excluded",IF(NOT(OR($E749="Bundled",$E749="Energy")),"excluded",IF(OR($H749="Retail Power Marketer",$H749="Community Choice Aggregator",$E749="Energy"),"procurement",IF(OR($H749="Municipal",$H749="Cooperative",$H749="Federal",$H749="State",$H749="Political Subdivision"),"cost_service",IF($H749="Investor Owned",IF(AND(COUNTIF(Parameters!$A$4:$A$33,$G749)&gt;0,COUNTIF(Parameters!$B$4:$B$33,$B749)=0),"procurement","cost_service"),"unclassified"))))))</f>
        <v>cost_service</v>
      </c>
    </row>
    <row r="750" spans="1:26" x14ac:dyDescent="0.25">
      <c r="A750">
        <v>2024</v>
      </c>
      <c r="B750">
        <v>12208</v>
      </c>
      <c r="C750" t="s">
        <v>799</v>
      </c>
      <c r="D750" t="s">
        <v>84</v>
      </c>
      <c r="E750" t="s">
        <v>85</v>
      </c>
      <c r="F750" t="s">
        <v>86</v>
      </c>
      <c r="G750" t="s">
        <v>134</v>
      </c>
      <c r="H750" t="s">
        <v>88</v>
      </c>
      <c r="I750" t="s">
        <v>135</v>
      </c>
      <c r="J750">
        <v>8264.7000000000007</v>
      </c>
      <c r="K750">
        <v>91983</v>
      </c>
      <c r="L750">
        <v>7432</v>
      </c>
      <c r="M750">
        <v>8711</v>
      </c>
      <c r="N750">
        <v>100638</v>
      </c>
      <c r="O750">
        <v>1535</v>
      </c>
      <c r="P750">
        <v>49126</v>
      </c>
      <c r="Q750">
        <v>953740</v>
      </c>
      <c r="R750">
        <v>21</v>
      </c>
      <c r="S750" t="s">
        <v>97</v>
      </c>
      <c r="T750" t="s">
        <v>97</v>
      </c>
      <c r="U750" t="s">
        <v>97</v>
      </c>
      <c r="V750">
        <v>66101.7</v>
      </c>
      <c r="W750">
        <v>1146361</v>
      </c>
      <c r="X750">
        <v>8988</v>
      </c>
      <c r="Y750">
        <f t="shared" si="11"/>
        <v>1146361</v>
      </c>
      <c r="Z750" t="str">
        <f>IF(ISNUMBER(SEARCH("Adjustment",$C750)),"excluded",IF($H750="Behind the Meter","excluded",IF(NOT(OR($E750="Bundled",$E750="Energy")),"excluded",IF(OR($H750="Retail Power Marketer",$H750="Community Choice Aggregator",$E750="Energy"),"procurement",IF(OR($H750="Municipal",$H750="Cooperative",$H750="Federal",$H750="State",$H750="Political Subdivision"),"cost_service",IF($H750="Investor Owned",IF(AND(COUNTIF(Parameters!$A$4:$A$33,$G750)&gt;0,COUNTIF(Parameters!$B$4:$B$33,$B750)=0),"procurement","cost_service"),"unclassified"))))))</f>
        <v>cost_service</v>
      </c>
    </row>
    <row r="751" spans="1:26" x14ac:dyDescent="0.25">
      <c r="A751">
        <v>2024</v>
      </c>
      <c r="B751">
        <v>12227</v>
      </c>
      <c r="C751" t="s">
        <v>800</v>
      </c>
      <c r="D751" t="s">
        <v>84</v>
      </c>
      <c r="E751" t="s">
        <v>85</v>
      </c>
      <c r="F751" t="s">
        <v>86</v>
      </c>
      <c r="G751" t="s">
        <v>104</v>
      </c>
      <c r="H751" t="s">
        <v>91</v>
      </c>
      <c r="I751" t="s">
        <v>96</v>
      </c>
      <c r="J751">
        <v>19357.7</v>
      </c>
      <c r="K751">
        <v>137382</v>
      </c>
      <c r="L751">
        <v>8572</v>
      </c>
      <c r="M751">
        <v>3559.1</v>
      </c>
      <c r="N751">
        <v>29543</v>
      </c>
      <c r="O751">
        <v>659</v>
      </c>
      <c r="P751">
        <v>2643.3</v>
      </c>
      <c r="Q751">
        <v>32052</v>
      </c>
      <c r="R751">
        <v>130</v>
      </c>
      <c r="S751" t="s">
        <v>97</v>
      </c>
      <c r="T751" t="s">
        <v>97</v>
      </c>
      <c r="U751" t="s">
        <v>97</v>
      </c>
      <c r="V751">
        <v>25560.1</v>
      </c>
      <c r="W751">
        <v>198977</v>
      </c>
      <c r="X751">
        <v>9361</v>
      </c>
      <c r="Y751">
        <f t="shared" si="11"/>
        <v>198977</v>
      </c>
      <c r="Z751" t="str">
        <f>IF(ISNUMBER(SEARCH("Adjustment",$C751)),"excluded",IF($H751="Behind the Meter","excluded",IF(NOT(OR($E751="Bundled",$E751="Energy")),"excluded",IF(OR($H751="Retail Power Marketer",$H751="Community Choice Aggregator",$E751="Energy"),"procurement",IF(OR($H751="Municipal",$H751="Cooperative",$H751="Federal",$H751="State",$H751="Political Subdivision"),"cost_service",IF($H751="Investor Owned",IF(AND(COUNTIF(Parameters!$A$4:$A$33,$G751)&gt;0,COUNTIF(Parameters!$B$4:$B$33,$B751)=0),"procurement","cost_service"),"unclassified"))))))</f>
        <v>cost_service</v>
      </c>
    </row>
    <row r="752" spans="1:26" x14ac:dyDescent="0.25">
      <c r="A752">
        <v>2024</v>
      </c>
      <c r="B752">
        <v>12243</v>
      </c>
      <c r="C752" t="s">
        <v>801</v>
      </c>
      <c r="D752" t="s">
        <v>84</v>
      </c>
      <c r="E752" t="s">
        <v>85</v>
      </c>
      <c r="F752" t="s">
        <v>86</v>
      </c>
      <c r="G752" t="s">
        <v>209</v>
      </c>
      <c r="H752" t="s">
        <v>91</v>
      </c>
      <c r="I752" t="s">
        <v>96</v>
      </c>
      <c r="J752">
        <v>48783.4</v>
      </c>
      <c r="K752">
        <v>341836</v>
      </c>
      <c r="L752">
        <v>29248</v>
      </c>
      <c r="M752">
        <v>14288</v>
      </c>
      <c r="N752">
        <v>102306</v>
      </c>
      <c r="O752">
        <v>2236</v>
      </c>
      <c r="P752">
        <v>21733.200000000001</v>
      </c>
      <c r="Q752">
        <v>527878</v>
      </c>
      <c r="R752">
        <v>1</v>
      </c>
      <c r="S752" t="s">
        <v>97</v>
      </c>
      <c r="T752" t="s">
        <v>97</v>
      </c>
      <c r="U752" t="s">
        <v>97</v>
      </c>
      <c r="V752">
        <v>84804.6</v>
      </c>
      <c r="W752">
        <v>972020</v>
      </c>
      <c r="X752">
        <v>31485</v>
      </c>
      <c r="Y752">
        <f t="shared" si="11"/>
        <v>972020</v>
      </c>
      <c r="Z752" t="str">
        <f>IF(ISNUMBER(SEARCH("Adjustment",$C752)),"excluded",IF($H752="Behind the Meter","excluded",IF(NOT(OR($E752="Bundled",$E752="Energy")),"excluded",IF(OR($H752="Retail Power Marketer",$H752="Community Choice Aggregator",$E752="Energy"),"procurement",IF(OR($H752="Municipal",$H752="Cooperative",$H752="Federal",$H752="State",$H752="Political Subdivision"),"cost_service",IF($H752="Investor Owned",IF(AND(COUNTIF(Parameters!$A$4:$A$33,$G752)&gt;0,COUNTIF(Parameters!$B$4:$B$33,$B752)=0),"procurement","cost_service"),"unclassified"))))))</f>
        <v>cost_service</v>
      </c>
    </row>
    <row r="753" spans="1:26" x14ac:dyDescent="0.25">
      <c r="A753">
        <v>2024</v>
      </c>
      <c r="B753">
        <v>12260</v>
      </c>
      <c r="C753" t="s">
        <v>802</v>
      </c>
      <c r="D753" t="s">
        <v>84</v>
      </c>
      <c r="E753" t="s">
        <v>85</v>
      </c>
      <c r="F753" t="s">
        <v>86</v>
      </c>
      <c r="G753" t="s">
        <v>125</v>
      </c>
      <c r="H753" t="s">
        <v>91</v>
      </c>
      <c r="I753" t="s">
        <v>92</v>
      </c>
      <c r="J753">
        <v>244.5</v>
      </c>
      <c r="K753">
        <v>1698</v>
      </c>
      <c r="L753">
        <v>135</v>
      </c>
      <c r="M753">
        <v>1.1000000000000001</v>
      </c>
      <c r="N753">
        <v>7</v>
      </c>
      <c r="O753">
        <v>3</v>
      </c>
      <c r="P753" t="s">
        <v>97</v>
      </c>
      <c r="Q753" t="s">
        <v>97</v>
      </c>
      <c r="R753" t="s">
        <v>97</v>
      </c>
      <c r="S753" t="s">
        <v>97</v>
      </c>
      <c r="T753" t="s">
        <v>97</v>
      </c>
      <c r="U753" t="s">
        <v>97</v>
      </c>
      <c r="V753">
        <v>245.6</v>
      </c>
      <c r="W753">
        <v>1705</v>
      </c>
      <c r="X753">
        <v>138</v>
      </c>
      <c r="Y753">
        <f t="shared" si="11"/>
        <v>1705</v>
      </c>
      <c r="Z753" t="str">
        <f>IF(ISNUMBER(SEARCH("Adjustment",$C753)),"excluded",IF($H753="Behind the Meter","excluded",IF(NOT(OR($E753="Bundled",$E753="Energy")),"excluded",IF(OR($H753="Retail Power Marketer",$H753="Community Choice Aggregator",$E753="Energy"),"procurement",IF(OR($H753="Municipal",$H753="Cooperative",$H753="Federal",$H753="State",$H753="Political Subdivision"),"cost_service",IF($H753="Investor Owned",IF(AND(COUNTIF(Parameters!$A$4:$A$33,$G753)&gt;0,COUNTIF(Parameters!$B$4:$B$33,$B753)=0),"procurement","cost_service"),"unclassified"))))))</f>
        <v>cost_service</v>
      </c>
    </row>
    <row r="754" spans="1:26" x14ac:dyDescent="0.25">
      <c r="A754">
        <v>2024</v>
      </c>
      <c r="B754">
        <v>12260</v>
      </c>
      <c r="C754" t="s">
        <v>802</v>
      </c>
      <c r="D754" t="s">
        <v>84</v>
      </c>
      <c r="E754" t="s">
        <v>85</v>
      </c>
      <c r="F754" t="s">
        <v>86</v>
      </c>
      <c r="G754" t="s">
        <v>93</v>
      </c>
      <c r="H754" t="s">
        <v>91</v>
      </c>
      <c r="I754" t="s">
        <v>92</v>
      </c>
      <c r="J754">
        <v>50807</v>
      </c>
      <c r="K754">
        <v>350293</v>
      </c>
      <c r="L754">
        <v>30016</v>
      </c>
      <c r="M754">
        <v>69197.100000000006</v>
      </c>
      <c r="N754">
        <v>1309871</v>
      </c>
      <c r="O754">
        <v>1889</v>
      </c>
      <c r="P754">
        <v>16249.3</v>
      </c>
      <c r="Q754">
        <v>191222</v>
      </c>
      <c r="R754">
        <v>29</v>
      </c>
      <c r="S754" t="s">
        <v>97</v>
      </c>
      <c r="T754" t="s">
        <v>97</v>
      </c>
      <c r="U754" t="s">
        <v>97</v>
      </c>
      <c r="V754">
        <v>136253.4</v>
      </c>
      <c r="W754">
        <v>1851386</v>
      </c>
      <c r="X754">
        <v>31934</v>
      </c>
      <c r="Y754">
        <f t="shared" si="11"/>
        <v>1851386</v>
      </c>
      <c r="Z754" t="str">
        <f>IF(ISNUMBER(SEARCH("Adjustment",$C754)),"excluded",IF($H754="Behind the Meter","excluded",IF(NOT(OR($E754="Bundled",$E754="Energy")),"excluded",IF(OR($H754="Retail Power Marketer",$H754="Community Choice Aggregator",$E754="Energy"),"procurement",IF(OR($H754="Municipal",$H754="Cooperative",$H754="Federal",$H754="State",$H754="Political Subdivision"),"cost_service",IF($H754="Investor Owned",IF(AND(COUNTIF(Parameters!$A$4:$A$33,$G754)&gt;0,COUNTIF(Parameters!$B$4:$B$33,$B754)=0),"procurement","cost_service"),"unclassified"))))))</f>
        <v>cost_service</v>
      </c>
    </row>
    <row r="755" spans="1:26" x14ac:dyDescent="0.25">
      <c r="A755">
        <v>2024</v>
      </c>
      <c r="B755">
        <v>12268</v>
      </c>
      <c r="C755" t="s">
        <v>803</v>
      </c>
      <c r="D755" t="s">
        <v>84</v>
      </c>
      <c r="E755" t="s">
        <v>85</v>
      </c>
      <c r="F755" t="s">
        <v>86</v>
      </c>
      <c r="G755" t="s">
        <v>57</v>
      </c>
      <c r="H755" t="s">
        <v>91</v>
      </c>
      <c r="I755" t="s">
        <v>151</v>
      </c>
      <c r="J755">
        <v>49460.6</v>
      </c>
      <c r="K755">
        <v>408889</v>
      </c>
      <c r="L755">
        <v>30205</v>
      </c>
      <c r="M755">
        <v>32024.5</v>
      </c>
      <c r="N755">
        <v>314086</v>
      </c>
      <c r="O755">
        <v>6325</v>
      </c>
      <c r="P755">
        <v>64484</v>
      </c>
      <c r="Q755">
        <v>862775</v>
      </c>
      <c r="R755">
        <v>1115</v>
      </c>
      <c r="S755">
        <v>0</v>
      </c>
      <c r="T755">
        <v>0</v>
      </c>
      <c r="U755">
        <v>0</v>
      </c>
      <c r="V755">
        <v>145969.1</v>
      </c>
      <c r="W755">
        <v>1585750</v>
      </c>
      <c r="X755">
        <v>37645</v>
      </c>
      <c r="Y755">
        <f t="shared" si="11"/>
        <v>1585750</v>
      </c>
      <c r="Z755" t="str">
        <f>IF(ISNUMBER(SEARCH("Adjustment",$C755)),"excluded",IF($H755="Behind the Meter","excluded",IF(NOT(OR($E755="Bundled",$E755="Energy")),"excluded",IF(OR($H755="Retail Power Marketer",$H755="Community Choice Aggregator",$E755="Energy"),"procurement",IF(OR($H755="Municipal",$H755="Cooperative",$H755="Federal",$H755="State",$H755="Political Subdivision"),"cost_service",IF($H755="Investor Owned",IF(AND(COUNTIF(Parameters!$A$4:$A$33,$G755)&gt;0,COUNTIF(Parameters!$B$4:$B$33,$B755)=0),"procurement","cost_service"),"unclassified"))))))</f>
        <v>cost_service</v>
      </c>
    </row>
    <row r="756" spans="1:26" x14ac:dyDescent="0.25">
      <c r="A756">
        <v>2024</v>
      </c>
      <c r="B756">
        <v>12293</v>
      </c>
      <c r="C756" t="s">
        <v>804</v>
      </c>
      <c r="D756" t="s">
        <v>84</v>
      </c>
      <c r="E756" t="s">
        <v>85</v>
      </c>
      <c r="F756" t="s">
        <v>86</v>
      </c>
      <c r="G756" t="s">
        <v>156</v>
      </c>
      <c r="H756" t="s">
        <v>88</v>
      </c>
      <c r="I756" t="s">
        <v>89</v>
      </c>
      <c r="J756">
        <v>632029.19999999995</v>
      </c>
      <c r="K756">
        <v>5196735</v>
      </c>
      <c r="L756">
        <v>380286</v>
      </c>
      <c r="M756">
        <v>721756.5</v>
      </c>
      <c r="N756">
        <v>6007246</v>
      </c>
      <c r="O756">
        <v>42966</v>
      </c>
      <c r="P756">
        <v>123814.6</v>
      </c>
      <c r="Q756">
        <v>1740384</v>
      </c>
      <c r="R756">
        <v>86</v>
      </c>
      <c r="S756">
        <v>0</v>
      </c>
      <c r="T756">
        <v>0</v>
      </c>
      <c r="U756">
        <v>0</v>
      </c>
      <c r="V756">
        <v>1477600.3</v>
      </c>
      <c r="W756">
        <v>12944365</v>
      </c>
      <c r="X756">
        <v>423338</v>
      </c>
      <c r="Y756">
        <f t="shared" si="11"/>
        <v>12944365</v>
      </c>
      <c r="Z756" t="str">
        <f>IF(ISNUMBER(SEARCH("Adjustment",$C756)),"excluded",IF($H756="Behind the Meter","excluded",IF(NOT(OR($E756="Bundled",$E756="Energy")),"excluded",IF(OR($H756="Retail Power Marketer",$H756="Community Choice Aggregator",$E756="Energy"),"procurement",IF(OR($H756="Municipal",$H756="Cooperative",$H756="Federal",$H756="State",$H756="Political Subdivision"),"cost_service",IF($H756="Investor Owned",IF(AND(COUNTIF(Parameters!$A$4:$A$33,$G756)&gt;0,COUNTIF(Parameters!$B$4:$B$33,$B756)=0),"procurement","cost_service"),"unclassified"))))))</f>
        <v>cost_service</v>
      </c>
    </row>
    <row r="757" spans="1:26" x14ac:dyDescent="0.25">
      <c r="A757">
        <v>2024</v>
      </c>
      <c r="B757">
        <v>12298</v>
      </c>
      <c r="C757" t="s">
        <v>805</v>
      </c>
      <c r="D757" t="s">
        <v>84</v>
      </c>
      <c r="E757" t="s">
        <v>85</v>
      </c>
      <c r="F757" t="s">
        <v>86</v>
      </c>
      <c r="G757" t="s">
        <v>95</v>
      </c>
      <c r="H757" t="s">
        <v>88</v>
      </c>
      <c r="I757" t="s">
        <v>96</v>
      </c>
      <c r="J757">
        <v>7593.3</v>
      </c>
      <c r="K757">
        <v>61128</v>
      </c>
      <c r="L757">
        <v>8607</v>
      </c>
      <c r="M757">
        <v>5782.1</v>
      </c>
      <c r="N757">
        <v>55759</v>
      </c>
      <c r="O757">
        <v>854</v>
      </c>
      <c r="P757">
        <v>25110.400000000001</v>
      </c>
      <c r="Q757">
        <v>358564</v>
      </c>
      <c r="R757">
        <v>8</v>
      </c>
      <c r="S757">
        <v>0</v>
      </c>
      <c r="T757">
        <v>0</v>
      </c>
      <c r="U757">
        <v>0</v>
      </c>
      <c r="V757">
        <v>38485.800000000003</v>
      </c>
      <c r="W757">
        <v>475451</v>
      </c>
      <c r="X757">
        <v>9469</v>
      </c>
      <c r="Y757">
        <f t="shared" si="11"/>
        <v>475451</v>
      </c>
      <c r="Z757" t="str">
        <f>IF(ISNUMBER(SEARCH("Adjustment",$C757)),"excluded",IF($H757="Behind the Meter","excluded",IF(NOT(OR($E757="Bundled",$E757="Energy")),"excluded",IF(OR($H757="Retail Power Marketer",$H757="Community Choice Aggregator",$E757="Energy"),"procurement",IF(OR($H757="Municipal",$H757="Cooperative",$H757="Federal",$H757="State",$H757="Political Subdivision"),"cost_service",IF($H757="Investor Owned",IF(AND(COUNTIF(Parameters!$A$4:$A$33,$G757)&gt;0,COUNTIF(Parameters!$B$4:$B$33,$B757)=0),"procurement","cost_service"),"unclassified"))))))</f>
        <v>cost_service</v>
      </c>
    </row>
    <row r="758" spans="1:26" x14ac:dyDescent="0.25">
      <c r="A758">
        <v>2024</v>
      </c>
      <c r="B758">
        <v>12301</v>
      </c>
      <c r="C758" t="s">
        <v>806</v>
      </c>
      <c r="D758" t="s">
        <v>84</v>
      </c>
      <c r="E758" t="s">
        <v>85</v>
      </c>
      <c r="F758" t="s">
        <v>86</v>
      </c>
      <c r="G758" t="s">
        <v>198</v>
      </c>
      <c r="H758" t="s">
        <v>91</v>
      </c>
      <c r="I758" t="s">
        <v>96</v>
      </c>
      <c r="J758">
        <v>43918</v>
      </c>
      <c r="K758">
        <v>363665</v>
      </c>
      <c r="L758">
        <v>20803</v>
      </c>
      <c r="M758">
        <v>29050</v>
      </c>
      <c r="N758">
        <v>851482</v>
      </c>
      <c r="O758">
        <v>3</v>
      </c>
      <c r="P758">
        <v>64254</v>
      </c>
      <c r="Q758">
        <v>813668</v>
      </c>
      <c r="R758">
        <v>534</v>
      </c>
      <c r="S758">
        <v>0</v>
      </c>
      <c r="T758">
        <v>0</v>
      </c>
      <c r="U758">
        <v>0</v>
      </c>
      <c r="V758">
        <v>137222</v>
      </c>
      <c r="W758">
        <v>2028815</v>
      </c>
      <c r="X758">
        <v>21340</v>
      </c>
      <c r="Y758">
        <f t="shared" si="11"/>
        <v>2028815</v>
      </c>
      <c r="Z758" t="str">
        <f>IF(ISNUMBER(SEARCH("Adjustment",$C758)),"excluded",IF($H758="Behind the Meter","excluded",IF(NOT(OR($E758="Bundled",$E758="Energy")),"excluded",IF(OR($H758="Retail Power Marketer",$H758="Community Choice Aggregator",$E758="Energy"),"procurement",IF(OR($H758="Municipal",$H758="Cooperative",$H758="Federal",$H758="State",$H758="Political Subdivision"),"cost_service",IF($H758="Investor Owned",IF(AND(COUNTIF(Parameters!$A$4:$A$33,$G758)&gt;0,COUNTIF(Parameters!$B$4:$B$33,$B758)=0),"procurement","cost_service"),"unclassified"))))))</f>
        <v>cost_service</v>
      </c>
    </row>
    <row r="759" spans="1:26" x14ac:dyDescent="0.25">
      <c r="A759">
        <v>2024</v>
      </c>
      <c r="B759">
        <v>12312</v>
      </c>
      <c r="C759" t="s">
        <v>807</v>
      </c>
      <c r="D759" t="s">
        <v>84</v>
      </c>
      <c r="E759" t="s">
        <v>85</v>
      </c>
      <c r="F759" t="s">
        <v>86</v>
      </c>
      <c r="G759" t="s">
        <v>115</v>
      </c>
      <c r="H759" t="s">
        <v>205</v>
      </c>
      <c r="I759" t="s">
        <v>116</v>
      </c>
      <c r="J759">
        <v>21222.7</v>
      </c>
      <c r="K759">
        <v>87505</v>
      </c>
      <c r="L759">
        <v>11366</v>
      </c>
      <c r="M759">
        <v>50705.7</v>
      </c>
      <c r="N759">
        <v>262208</v>
      </c>
      <c r="O759">
        <v>1678</v>
      </c>
      <c r="P759">
        <v>26091.7</v>
      </c>
      <c r="Q759">
        <v>167623</v>
      </c>
      <c r="R759">
        <v>96</v>
      </c>
      <c r="S759" t="s">
        <v>97</v>
      </c>
      <c r="T759" t="s">
        <v>97</v>
      </c>
      <c r="U759" t="s">
        <v>97</v>
      </c>
      <c r="V759">
        <v>98020.1</v>
      </c>
      <c r="W759">
        <v>517336</v>
      </c>
      <c r="X759">
        <v>13140</v>
      </c>
      <c r="Y759">
        <f t="shared" si="11"/>
        <v>517336</v>
      </c>
      <c r="Z759" t="str">
        <f>IF(ISNUMBER(SEARCH("Adjustment",$C759)),"excluded",IF($H759="Behind the Meter","excluded",IF(NOT(OR($E759="Bundled",$E759="Energy")),"excluded",IF(OR($H759="Retail Power Marketer",$H759="Community Choice Aggregator",$E759="Energy"),"procurement",IF(OR($H759="Municipal",$H759="Cooperative",$H759="Federal",$H759="State",$H759="Political Subdivision"),"cost_service",IF($H759="Investor Owned",IF(AND(COUNTIF(Parameters!$A$4:$A$33,$G759)&gt;0,COUNTIF(Parameters!$B$4:$B$33,$B759)=0),"procurement","cost_service"),"unclassified"))))))</f>
        <v>cost_service</v>
      </c>
    </row>
    <row r="760" spans="1:26" x14ac:dyDescent="0.25">
      <c r="A760">
        <v>2024</v>
      </c>
      <c r="B760">
        <v>12330</v>
      </c>
      <c r="C760" t="s">
        <v>808</v>
      </c>
      <c r="D760" t="s">
        <v>84</v>
      </c>
      <c r="E760" t="s">
        <v>85</v>
      </c>
      <c r="F760" t="s">
        <v>86</v>
      </c>
      <c r="G760" t="s">
        <v>156</v>
      </c>
      <c r="H760" t="s">
        <v>91</v>
      </c>
      <c r="I760" t="s">
        <v>89</v>
      </c>
      <c r="J760">
        <v>58724</v>
      </c>
      <c r="K760">
        <v>429142</v>
      </c>
      <c r="L760">
        <v>30319</v>
      </c>
      <c r="M760">
        <v>31657</v>
      </c>
      <c r="N760">
        <v>215638</v>
      </c>
      <c r="O760">
        <v>6430</v>
      </c>
      <c r="P760">
        <v>30409</v>
      </c>
      <c r="Q760">
        <v>516157</v>
      </c>
      <c r="R760">
        <v>9</v>
      </c>
      <c r="S760">
        <v>0</v>
      </c>
      <c r="T760">
        <v>0</v>
      </c>
      <c r="U760">
        <v>0</v>
      </c>
      <c r="V760">
        <v>120790</v>
      </c>
      <c r="W760">
        <v>1160937</v>
      </c>
      <c r="X760">
        <v>36758</v>
      </c>
      <c r="Y760">
        <f t="shared" si="11"/>
        <v>1160937</v>
      </c>
      <c r="Z760" t="str">
        <f>IF(ISNUMBER(SEARCH("Adjustment",$C760)),"excluded",IF($H760="Behind the Meter","excluded",IF(NOT(OR($E760="Bundled",$E760="Energy")),"excluded",IF(OR($H760="Retail Power Marketer",$H760="Community Choice Aggregator",$E760="Energy"),"procurement",IF(OR($H760="Municipal",$H760="Cooperative",$H760="Federal",$H760="State",$H760="Political Subdivision"),"cost_service",IF($H760="Investor Owned",IF(AND(COUNTIF(Parameters!$A$4:$A$33,$G760)&gt;0,COUNTIF(Parameters!$B$4:$B$33,$B760)=0),"procurement","cost_service"),"unclassified"))))))</f>
        <v>cost_service</v>
      </c>
    </row>
    <row r="761" spans="1:26" x14ac:dyDescent="0.25">
      <c r="A761">
        <v>2024</v>
      </c>
      <c r="B761">
        <v>12341</v>
      </c>
      <c r="C761" t="s">
        <v>809</v>
      </c>
      <c r="D761" t="s">
        <v>84</v>
      </c>
      <c r="E761" t="s">
        <v>85</v>
      </c>
      <c r="F761" t="s">
        <v>86</v>
      </c>
      <c r="G761" t="s">
        <v>146</v>
      </c>
      <c r="H761" t="s">
        <v>109</v>
      </c>
      <c r="I761" t="s">
        <v>96</v>
      </c>
      <c r="J761">
        <v>661484.69999999995</v>
      </c>
      <c r="K761">
        <v>6006862</v>
      </c>
      <c r="L761">
        <v>632436</v>
      </c>
      <c r="M761">
        <v>414740.6</v>
      </c>
      <c r="N761">
        <v>4917627</v>
      </c>
      <c r="O761">
        <v>104372</v>
      </c>
      <c r="P761">
        <v>1027827.7</v>
      </c>
      <c r="Q761">
        <v>16992820</v>
      </c>
      <c r="R761">
        <v>1527</v>
      </c>
      <c r="S761" t="s">
        <v>97</v>
      </c>
      <c r="T761" t="s">
        <v>97</v>
      </c>
      <c r="U761" t="s">
        <v>97</v>
      </c>
      <c r="V761">
        <v>2104053</v>
      </c>
      <c r="W761">
        <v>27917309</v>
      </c>
      <c r="X761">
        <v>738335</v>
      </c>
      <c r="Y761">
        <f t="shared" si="11"/>
        <v>27917309</v>
      </c>
      <c r="Z761" t="str">
        <f>IF(ISNUMBER(SEARCH("Adjustment",$C761)),"excluded",IF($H761="Behind the Meter","excluded",IF(NOT(OR($E761="Bundled",$E761="Energy")),"excluded",IF(OR($H761="Retail Power Marketer",$H761="Community Choice Aggregator",$E761="Energy"),"procurement",IF(OR($H761="Municipal",$H761="Cooperative",$H761="Federal",$H761="State",$H761="Political Subdivision"),"cost_service",IF($H761="Investor Owned",IF(AND(COUNTIF(Parameters!$A$4:$A$33,$G761)&gt;0,COUNTIF(Parameters!$B$4:$B$33,$B761)=0),"procurement","cost_service"),"unclassified"))))))</f>
        <v>cost_service</v>
      </c>
    </row>
    <row r="762" spans="1:26" x14ac:dyDescent="0.25">
      <c r="A762">
        <v>2024</v>
      </c>
      <c r="B762">
        <v>12341</v>
      </c>
      <c r="C762" t="s">
        <v>809</v>
      </c>
      <c r="D762" t="s">
        <v>84</v>
      </c>
      <c r="E762" t="s">
        <v>85</v>
      </c>
      <c r="F762" t="s">
        <v>86</v>
      </c>
      <c r="G762" t="s">
        <v>46</v>
      </c>
      <c r="H762" t="s">
        <v>109</v>
      </c>
      <c r="I762" t="s">
        <v>96</v>
      </c>
      <c r="J762">
        <v>62812.800000000003</v>
      </c>
      <c r="K762">
        <v>628574</v>
      </c>
      <c r="L762">
        <v>73564</v>
      </c>
      <c r="M762">
        <v>44621.8</v>
      </c>
      <c r="N762">
        <v>589356</v>
      </c>
      <c r="O762">
        <v>11924</v>
      </c>
      <c r="P762">
        <v>30217.1</v>
      </c>
      <c r="Q762">
        <v>583844</v>
      </c>
      <c r="R762">
        <v>46</v>
      </c>
      <c r="S762" t="s">
        <v>97</v>
      </c>
      <c r="T762" t="s">
        <v>97</v>
      </c>
      <c r="U762" t="s">
        <v>97</v>
      </c>
      <c r="V762">
        <v>137651.70000000001</v>
      </c>
      <c r="W762">
        <v>1801774</v>
      </c>
      <c r="X762">
        <v>85534</v>
      </c>
      <c r="Y762">
        <f t="shared" si="11"/>
        <v>1801774</v>
      </c>
      <c r="Z762" t="str">
        <f>IF(ISNUMBER(SEARCH("Adjustment",$C762)),"excluded",IF($H762="Behind the Meter","excluded",IF(NOT(OR($E762="Bundled",$E762="Energy")),"excluded",IF(OR($H762="Retail Power Marketer",$H762="Community Choice Aggregator",$E762="Energy"),"procurement",IF(OR($H762="Municipal",$H762="Cooperative",$H762="Federal",$H762="State",$H762="Political Subdivision"),"cost_service",IF($H762="Investor Owned",IF(AND(COUNTIF(Parameters!$A$4:$A$33,$G762)&gt;0,COUNTIF(Parameters!$B$4:$B$33,$B762)=0),"procurement","cost_service"),"unclassified"))))))</f>
        <v>procurement</v>
      </c>
    </row>
    <row r="763" spans="1:26" x14ac:dyDescent="0.25">
      <c r="A763">
        <v>2024</v>
      </c>
      <c r="B763">
        <v>12341</v>
      </c>
      <c r="C763" t="s">
        <v>809</v>
      </c>
      <c r="D763" t="s">
        <v>84</v>
      </c>
      <c r="E763" t="s">
        <v>85</v>
      </c>
      <c r="F763" t="s">
        <v>86</v>
      </c>
      <c r="G763" t="s">
        <v>224</v>
      </c>
      <c r="H763" t="s">
        <v>109</v>
      </c>
      <c r="I763" t="s">
        <v>96</v>
      </c>
      <c r="J763">
        <v>4779.5</v>
      </c>
      <c r="K763">
        <v>55049</v>
      </c>
      <c r="L763">
        <v>4236</v>
      </c>
      <c r="M763">
        <v>4905</v>
      </c>
      <c r="N763">
        <v>64465</v>
      </c>
      <c r="O763">
        <v>1066</v>
      </c>
      <c r="P763">
        <v>10415.299999999999</v>
      </c>
      <c r="Q763">
        <v>196938</v>
      </c>
      <c r="R763">
        <v>24</v>
      </c>
      <c r="S763" t="s">
        <v>97</v>
      </c>
      <c r="T763" t="s">
        <v>97</v>
      </c>
      <c r="U763" t="s">
        <v>97</v>
      </c>
      <c r="V763">
        <v>20099.8</v>
      </c>
      <c r="W763">
        <v>316452</v>
      </c>
      <c r="X763">
        <v>5326</v>
      </c>
      <c r="Y763">
        <f t="shared" si="11"/>
        <v>316452</v>
      </c>
      <c r="Z763" t="str">
        <f>IF(ISNUMBER(SEARCH("Adjustment",$C763)),"excluded",IF($H763="Behind the Meter","excluded",IF(NOT(OR($E763="Bundled",$E763="Energy")),"excluded",IF(OR($H763="Retail Power Marketer",$H763="Community Choice Aggregator",$E763="Energy"),"procurement",IF(OR($H763="Municipal",$H763="Cooperative",$H763="Federal",$H763="State",$H763="Political Subdivision"),"cost_service",IF($H763="Investor Owned",IF(AND(COUNTIF(Parameters!$A$4:$A$33,$G763)&gt;0,COUNTIF(Parameters!$B$4:$B$33,$B763)=0),"procurement","cost_service"),"unclassified"))))))</f>
        <v>cost_service</v>
      </c>
    </row>
    <row r="764" spans="1:26" x14ac:dyDescent="0.25">
      <c r="A764">
        <v>2024</v>
      </c>
      <c r="B764">
        <v>12341</v>
      </c>
      <c r="C764" t="s">
        <v>809</v>
      </c>
      <c r="D764" t="s">
        <v>167</v>
      </c>
      <c r="E764" t="s">
        <v>168</v>
      </c>
      <c r="F764" t="s">
        <v>86</v>
      </c>
      <c r="G764" t="s">
        <v>46</v>
      </c>
      <c r="H764" t="s">
        <v>109</v>
      </c>
      <c r="I764" t="s">
        <v>96</v>
      </c>
      <c r="J764">
        <v>6.8</v>
      </c>
      <c r="K764">
        <v>145</v>
      </c>
      <c r="L764">
        <v>18</v>
      </c>
      <c r="M764">
        <v>401.9</v>
      </c>
      <c r="N764">
        <v>17634</v>
      </c>
      <c r="O764">
        <v>79</v>
      </c>
      <c r="P764">
        <v>169.3</v>
      </c>
      <c r="Q764">
        <v>10780</v>
      </c>
      <c r="R764">
        <v>4</v>
      </c>
      <c r="S764" t="s">
        <v>97</v>
      </c>
      <c r="T764" t="s">
        <v>97</v>
      </c>
      <c r="U764" t="s">
        <v>97</v>
      </c>
      <c r="V764">
        <v>578</v>
      </c>
      <c r="W764">
        <v>28559</v>
      </c>
      <c r="X764">
        <v>101</v>
      </c>
      <c r="Y764">
        <f t="shared" si="11"/>
        <v>28559</v>
      </c>
      <c r="Z764" t="str">
        <f>IF(ISNUMBER(SEARCH("Adjustment",$C764)),"excluded",IF($H764="Behind the Meter","excluded",IF(NOT(OR($E764="Bundled",$E764="Energy")),"excluded",IF(OR($H764="Retail Power Marketer",$H764="Community Choice Aggregator",$E764="Energy"),"procurement",IF(OR($H764="Municipal",$H764="Cooperative",$H764="Federal",$H764="State",$H764="Political Subdivision"),"cost_service",IF($H764="Investor Owned",IF(AND(COUNTIF(Parameters!$A$4:$A$33,$G764)&gt;0,COUNTIF(Parameters!$B$4:$B$33,$B764)=0),"procurement","cost_service"),"unclassified"))))))</f>
        <v>excluded</v>
      </c>
    </row>
    <row r="765" spans="1:26" x14ac:dyDescent="0.25">
      <c r="A765">
        <v>2024</v>
      </c>
      <c r="B765">
        <v>12351</v>
      </c>
      <c r="C765" t="s">
        <v>810</v>
      </c>
      <c r="D765" t="s">
        <v>84</v>
      </c>
      <c r="E765" t="s">
        <v>85</v>
      </c>
      <c r="F765" t="s">
        <v>86</v>
      </c>
      <c r="G765" t="s">
        <v>108</v>
      </c>
      <c r="H765" t="s">
        <v>88</v>
      </c>
      <c r="I765" t="s">
        <v>243</v>
      </c>
      <c r="J765">
        <v>26812</v>
      </c>
      <c r="K765">
        <v>158340</v>
      </c>
      <c r="L765">
        <v>15331</v>
      </c>
      <c r="M765">
        <v>23503.200000000001</v>
      </c>
      <c r="N765">
        <v>167792</v>
      </c>
      <c r="O765">
        <v>2770</v>
      </c>
      <c r="P765" t="s">
        <v>97</v>
      </c>
      <c r="Q765" t="s">
        <v>97</v>
      </c>
      <c r="R765" t="s">
        <v>97</v>
      </c>
      <c r="S765" t="s">
        <v>97</v>
      </c>
      <c r="T765" t="s">
        <v>97</v>
      </c>
      <c r="U765" t="s">
        <v>97</v>
      </c>
      <c r="V765">
        <v>50315.199999999997</v>
      </c>
      <c r="W765">
        <v>326132</v>
      </c>
      <c r="X765">
        <v>18101</v>
      </c>
      <c r="Y765">
        <f t="shared" si="11"/>
        <v>326132</v>
      </c>
      <c r="Z765" t="str">
        <f>IF(ISNUMBER(SEARCH("Adjustment",$C765)),"excluded",IF($H765="Behind the Meter","excluded",IF(NOT(OR($E765="Bundled",$E765="Energy")),"excluded",IF(OR($H765="Retail Power Marketer",$H765="Community Choice Aggregator",$E765="Energy"),"procurement",IF(OR($H765="Municipal",$H765="Cooperative",$H765="Federal",$H765="State",$H765="Political Subdivision"),"cost_service",IF($H765="Investor Owned",IF(AND(COUNTIF(Parameters!$A$4:$A$33,$G765)&gt;0,COUNTIF(Parameters!$B$4:$B$33,$B765)=0),"procurement","cost_service"),"unclassified"))))))</f>
        <v>cost_service</v>
      </c>
    </row>
    <row r="766" spans="1:26" x14ac:dyDescent="0.25">
      <c r="A766">
        <v>2024</v>
      </c>
      <c r="B766">
        <v>12377</v>
      </c>
      <c r="C766" t="s">
        <v>811</v>
      </c>
      <c r="D766" t="s">
        <v>84</v>
      </c>
      <c r="E766" t="s">
        <v>85</v>
      </c>
      <c r="F766" t="s">
        <v>86</v>
      </c>
      <c r="G766" t="s">
        <v>130</v>
      </c>
      <c r="H766" t="s">
        <v>91</v>
      </c>
      <c r="I766" t="s">
        <v>92</v>
      </c>
      <c r="J766">
        <v>729.3</v>
      </c>
      <c r="K766">
        <v>3806</v>
      </c>
      <c r="L766">
        <v>310</v>
      </c>
      <c r="M766">
        <v>468.3</v>
      </c>
      <c r="N766">
        <v>2695</v>
      </c>
      <c r="O766">
        <v>55</v>
      </c>
      <c r="P766" t="s">
        <v>97</v>
      </c>
      <c r="Q766" t="s">
        <v>97</v>
      </c>
      <c r="R766" t="s">
        <v>97</v>
      </c>
      <c r="S766" t="s">
        <v>97</v>
      </c>
      <c r="T766" t="s">
        <v>97</v>
      </c>
      <c r="U766" t="s">
        <v>97</v>
      </c>
      <c r="V766">
        <v>1197.5999999999999</v>
      </c>
      <c r="W766">
        <v>6501</v>
      </c>
      <c r="X766">
        <v>365</v>
      </c>
      <c r="Y766">
        <f t="shared" si="11"/>
        <v>6501</v>
      </c>
      <c r="Z766" t="str">
        <f>IF(ISNUMBER(SEARCH("Adjustment",$C766)),"excluded",IF($H766="Behind the Meter","excluded",IF(NOT(OR($E766="Bundled",$E766="Energy")),"excluded",IF(OR($H766="Retail Power Marketer",$H766="Community Choice Aggregator",$E766="Energy"),"procurement",IF(OR($H766="Municipal",$H766="Cooperative",$H766="Federal",$H766="State",$H766="Political Subdivision"),"cost_service",IF($H766="Investor Owned",IF(AND(COUNTIF(Parameters!$A$4:$A$33,$G766)&gt;0,COUNTIF(Parameters!$B$4:$B$33,$B766)=0),"procurement","cost_service"),"unclassified"))))))</f>
        <v>cost_service</v>
      </c>
    </row>
    <row r="767" spans="1:26" x14ac:dyDescent="0.25">
      <c r="A767">
        <v>2024</v>
      </c>
      <c r="B767">
        <v>12377</v>
      </c>
      <c r="C767" t="s">
        <v>811</v>
      </c>
      <c r="D767" t="s">
        <v>84</v>
      </c>
      <c r="E767" t="s">
        <v>85</v>
      </c>
      <c r="F767" t="s">
        <v>86</v>
      </c>
      <c r="G767" t="s">
        <v>140</v>
      </c>
      <c r="H767" t="s">
        <v>91</v>
      </c>
      <c r="I767" t="s">
        <v>92</v>
      </c>
      <c r="J767">
        <v>65082.9</v>
      </c>
      <c r="K767">
        <v>326871</v>
      </c>
      <c r="L767">
        <v>29283</v>
      </c>
      <c r="M767">
        <v>40072.300000000003</v>
      </c>
      <c r="N767">
        <v>226506</v>
      </c>
      <c r="O767">
        <v>6319</v>
      </c>
      <c r="P767" t="s">
        <v>97</v>
      </c>
      <c r="Q767" t="s">
        <v>97</v>
      </c>
      <c r="R767" t="s">
        <v>97</v>
      </c>
      <c r="S767" t="s">
        <v>97</v>
      </c>
      <c r="T767" t="s">
        <v>97</v>
      </c>
      <c r="U767" t="s">
        <v>97</v>
      </c>
      <c r="V767">
        <v>105155.2</v>
      </c>
      <c r="W767">
        <v>553377</v>
      </c>
      <c r="X767">
        <v>35602</v>
      </c>
      <c r="Y767">
        <f t="shared" si="11"/>
        <v>553377</v>
      </c>
      <c r="Z767" t="str">
        <f>IF(ISNUMBER(SEARCH("Adjustment",$C767)),"excluded",IF($H767="Behind the Meter","excluded",IF(NOT(OR($E767="Bundled",$E767="Energy")),"excluded",IF(OR($H767="Retail Power Marketer",$H767="Community Choice Aggregator",$E767="Energy"),"procurement",IF(OR($H767="Municipal",$H767="Cooperative",$H767="Federal",$H767="State",$H767="Political Subdivision"),"cost_service",IF($H767="Investor Owned",IF(AND(COUNTIF(Parameters!$A$4:$A$33,$G767)&gt;0,COUNTIF(Parameters!$B$4:$B$33,$B767)=0),"procurement","cost_service"),"unclassified"))))))</f>
        <v>cost_service</v>
      </c>
    </row>
    <row r="768" spans="1:26" x14ac:dyDescent="0.25">
      <c r="A768">
        <v>2024</v>
      </c>
      <c r="B768">
        <v>12377</v>
      </c>
      <c r="C768" t="s">
        <v>811</v>
      </c>
      <c r="D768" t="s">
        <v>84</v>
      </c>
      <c r="E768" t="s">
        <v>85</v>
      </c>
      <c r="F768" t="s">
        <v>86</v>
      </c>
      <c r="G768" t="s">
        <v>54</v>
      </c>
      <c r="H768" t="s">
        <v>91</v>
      </c>
      <c r="I768" t="s">
        <v>92</v>
      </c>
      <c r="J768">
        <v>2043.7</v>
      </c>
      <c r="K768">
        <v>10496</v>
      </c>
      <c r="L768">
        <v>863</v>
      </c>
      <c r="M768">
        <v>1001.2</v>
      </c>
      <c r="N768">
        <v>5713</v>
      </c>
      <c r="O768">
        <v>198</v>
      </c>
      <c r="P768" t="s">
        <v>97</v>
      </c>
      <c r="Q768" t="s">
        <v>97</v>
      </c>
      <c r="R768" t="s">
        <v>97</v>
      </c>
      <c r="S768" t="s">
        <v>97</v>
      </c>
      <c r="T768" t="s">
        <v>97</v>
      </c>
      <c r="U768" t="s">
        <v>97</v>
      </c>
      <c r="V768">
        <v>3044.9</v>
      </c>
      <c r="W768">
        <v>16209</v>
      </c>
      <c r="X768">
        <v>1061</v>
      </c>
      <c r="Y768">
        <f t="shared" si="11"/>
        <v>16209</v>
      </c>
      <c r="Z768" t="str">
        <f>IF(ISNUMBER(SEARCH("Adjustment",$C768)),"excluded",IF($H768="Behind the Meter","excluded",IF(NOT(OR($E768="Bundled",$E768="Energy")),"excluded",IF(OR($H768="Retail Power Marketer",$H768="Community Choice Aggregator",$E768="Energy"),"procurement",IF(OR($H768="Municipal",$H768="Cooperative",$H768="Federal",$H768="State",$H768="Political Subdivision"),"cost_service",IF($H768="Investor Owned",IF(AND(COUNTIF(Parameters!$A$4:$A$33,$G768)&gt;0,COUNTIF(Parameters!$B$4:$B$33,$B768)=0),"procurement","cost_service"),"unclassified"))))))</f>
        <v>cost_service</v>
      </c>
    </row>
    <row r="769" spans="1:26" x14ac:dyDescent="0.25">
      <c r="A769">
        <v>2024</v>
      </c>
      <c r="B769">
        <v>12395</v>
      </c>
      <c r="C769" t="s">
        <v>812</v>
      </c>
      <c r="D769" t="s">
        <v>84</v>
      </c>
      <c r="E769" t="s">
        <v>85</v>
      </c>
      <c r="F769" t="s">
        <v>86</v>
      </c>
      <c r="G769" t="s">
        <v>46</v>
      </c>
      <c r="H769" t="s">
        <v>91</v>
      </c>
      <c r="I769" t="s">
        <v>96</v>
      </c>
      <c r="J769">
        <v>19338.2</v>
      </c>
      <c r="K769">
        <v>107126</v>
      </c>
      <c r="L769">
        <v>9048</v>
      </c>
      <c r="M769">
        <v>4901.8</v>
      </c>
      <c r="N769">
        <v>32060</v>
      </c>
      <c r="O769">
        <v>606</v>
      </c>
      <c r="P769">
        <v>7958.7</v>
      </c>
      <c r="Q769">
        <v>40486</v>
      </c>
      <c r="R769">
        <v>1318</v>
      </c>
      <c r="S769" t="s">
        <v>97</v>
      </c>
      <c r="T769" t="s">
        <v>97</v>
      </c>
      <c r="U769" t="s">
        <v>97</v>
      </c>
      <c r="V769">
        <v>32198.7</v>
      </c>
      <c r="W769">
        <v>179672</v>
      </c>
      <c r="X769">
        <v>10972</v>
      </c>
      <c r="Y769">
        <f t="shared" si="11"/>
        <v>179672</v>
      </c>
      <c r="Z769" t="str">
        <f>IF(ISNUMBER(SEARCH("Adjustment",$C769)),"excluded",IF($H769="Behind the Meter","excluded",IF(NOT(OR($E769="Bundled",$E769="Energy")),"excluded",IF(OR($H769="Retail Power Marketer",$H769="Community Choice Aggregator",$E769="Energy"),"procurement",IF(OR($H769="Municipal",$H769="Cooperative",$H769="Federal",$H769="State",$H769="Political Subdivision"),"cost_service",IF($H769="Investor Owned",IF(AND(COUNTIF(Parameters!$A$4:$A$33,$G769)&gt;0,COUNTIF(Parameters!$B$4:$B$33,$B769)=0),"procurement","cost_service"),"unclassified"))))))</f>
        <v>cost_service</v>
      </c>
    </row>
    <row r="770" spans="1:26" x14ac:dyDescent="0.25">
      <c r="A770">
        <v>2024</v>
      </c>
      <c r="B770">
        <v>12439</v>
      </c>
      <c r="C770" t="s">
        <v>813</v>
      </c>
      <c r="D770" t="s">
        <v>84</v>
      </c>
      <c r="E770" t="s">
        <v>85</v>
      </c>
      <c r="F770" t="s">
        <v>86</v>
      </c>
      <c r="G770" t="s">
        <v>219</v>
      </c>
      <c r="H770" t="s">
        <v>91</v>
      </c>
      <c r="I770" t="s">
        <v>206</v>
      </c>
      <c r="J770">
        <v>30323</v>
      </c>
      <c r="K770">
        <v>288117</v>
      </c>
      <c r="L770">
        <v>18594</v>
      </c>
      <c r="M770">
        <v>11378</v>
      </c>
      <c r="N770">
        <v>127546</v>
      </c>
      <c r="O770">
        <v>2917</v>
      </c>
      <c r="P770">
        <v>3102</v>
      </c>
      <c r="Q770">
        <v>37552</v>
      </c>
      <c r="R770">
        <v>6</v>
      </c>
      <c r="S770" t="s">
        <v>97</v>
      </c>
      <c r="T770" t="s">
        <v>97</v>
      </c>
      <c r="U770" t="s">
        <v>97</v>
      </c>
      <c r="V770">
        <v>44803</v>
      </c>
      <c r="W770">
        <v>453215</v>
      </c>
      <c r="X770">
        <v>21517</v>
      </c>
      <c r="Y770">
        <f t="shared" si="11"/>
        <v>453215</v>
      </c>
      <c r="Z770" t="str">
        <f>IF(ISNUMBER(SEARCH("Adjustment",$C770)),"excluded",IF($H770="Behind the Meter","excluded",IF(NOT(OR($E770="Bundled",$E770="Energy")),"excluded",IF(OR($H770="Retail Power Marketer",$H770="Community Choice Aggregator",$E770="Energy"),"procurement",IF(OR($H770="Municipal",$H770="Cooperative",$H770="Federal",$H770="State",$H770="Political Subdivision"),"cost_service",IF($H770="Investor Owned",IF(AND(COUNTIF(Parameters!$A$4:$A$33,$G770)&gt;0,COUNTIF(Parameters!$B$4:$B$33,$B770)=0),"procurement","cost_service"),"unclassified"))))))</f>
        <v>cost_service</v>
      </c>
    </row>
    <row r="771" spans="1:26" x14ac:dyDescent="0.25">
      <c r="A771">
        <v>2024</v>
      </c>
      <c r="B771">
        <v>12450</v>
      </c>
      <c r="C771" t="s">
        <v>814</v>
      </c>
      <c r="D771" t="s">
        <v>84</v>
      </c>
      <c r="E771" t="s">
        <v>85</v>
      </c>
      <c r="F771" t="s">
        <v>86</v>
      </c>
      <c r="G771" t="s">
        <v>146</v>
      </c>
      <c r="H771" t="s">
        <v>91</v>
      </c>
      <c r="I771" t="s">
        <v>96</v>
      </c>
      <c r="J771">
        <v>27419</v>
      </c>
      <c r="K771">
        <v>201590</v>
      </c>
      <c r="L771">
        <v>11939</v>
      </c>
      <c r="M771">
        <v>6828</v>
      </c>
      <c r="N771">
        <v>60498</v>
      </c>
      <c r="O771">
        <v>599</v>
      </c>
      <c r="P771">
        <v>16823</v>
      </c>
      <c r="Q771">
        <v>238479</v>
      </c>
      <c r="R771">
        <v>24</v>
      </c>
      <c r="S771" t="s">
        <v>97</v>
      </c>
      <c r="T771" t="s">
        <v>97</v>
      </c>
      <c r="U771" t="s">
        <v>97</v>
      </c>
      <c r="V771">
        <v>51070</v>
      </c>
      <c r="W771">
        <v>500567</v>
      </c>
      <c r="X771">
        <v>12562</v>
      </c>
      <c r="Y771">
        <f t="shared" si="11"/>
        <v>500567</v>
      </c>
      <c r="Z771" t="str">
        <f>IF(ISNUMBER(SEARCH("Adjustment",$C771)),"excluded",IF($H771="Behind the Meter","excluded",IF(NOT(OR($E771="Bundled",$E771="Energy")),"excluded",IF(OR($H771="Retail Power Marketer",$H771="Community Choice Aggregator",$E771="Energy"),"procurement",IF(OR($H771="Municipal",$H771="Cooperative",$H771="Federal",$H771="State",$H771="Political Subdivision"),"cost_service",IF($H771="Investor Owned",IF(AND(COUNTIF(Parameters!$A$4:$A$33,$G771)&gt;0,COUNTIF(Parameters!$B$4:$B$33,$B771)=0),"procurement","cost_service"),"unclassified"))))))</f>
        <v>cost_service</v>
      </c>
    </row>
    <row r="772" spans="1:26" x14ac:dyDescent="0.25">
      <c r="A772">
        <v>2024</v>
      </c>
      <c r="B772">
        <v>12452</v>
      </c>
      <c r="C772" t="s">
        <v>815</v>
      </c>
      <c r="D772" t="s">
        <v>84</v>
      </c>
      <c r="E772" t="s">
        <v>85</v>
      </c>
      <c r="F772" t="s">
        <v>86</v>
      </c>
      <c r="G772" t="s">
        <v>57</v>
      </c>
      <c r="H772" t="s">
        <v>91</v>
      </c>
      <c r="I772" t="s">
        <v>151</v>
      </c>
      <c r="J772">
        <v>76901.7</v>
      </c>
      <c r="K772">
        <v>546054</v>
      </c>
      <c r="L772">
        <v>36267</v>
      </c>
      <c r="M772">
        <v>23294.1</v>
      </c>
      <c r="N772">
        <v>161693</v>
      </c>
      <c r="O772">
        <v>5043</v>
      </c>
      <c r="P772">
        <v>28350.6</v>
      </c>
      <c r="Q772">
        <v>314315</v>
      </c>
      <c r="R772">
        <v>21</v>
      </c>
      <c r="S772" t="s">
        <v>97</v>
      </c>
      <c r="T772" t="s">
        <v>97</v>
      </c>
      <c r="U772" t="s">
        <v>97</v>
      </c>
      <c r="V772">
        <v>128546.4</v>
      </c>
      <c r="W772">
        <v>1022062</v>
      </c>
      <c r="X772">
        <v>41331</v>
      </c>
      <c r="Y772">
        <f t="shared" ref="Y772:Y835" si="12">IF(ISNUMBER($W772),$W772,0)</f>
        <v>1022062</v>
      </c>
      <c r="Z772" t="str">
        <f>IF(ISNUMBER(SEARCH("Adjustment",$C772)),"excluded",IF($H772="Behind the Meter","excluded",IF(NOT(OR($E772="Bundled",$E772="Energy")),"excluded",IF(OR($H772="Retail Power Marketer",$H772="Community Choice Aggregator",$E772="Energy"),"procurement",IF(OR($H772="Municipal",$H772="Cooperative",$H772="Federal",$H772="State",$H772="Political Subdivision"),"cost_service",IF($H772="Investor Owned",IF(AND(COUNTIF(Parameters!$A$4:$A$33,$G772)&gt;0,COUNTIF(Parameters!$B$4:$B$33,$B772)=0),"procurement","cost_service"),"unclassified"))))))</f>
        <v>cost_service</v>
      </c>
    </row>
    <row r="773" spans="1:26" x14ac:dyDescent="0.25">
      <c r="A773">
        <v>2024</v>
      </c>
      <c r="B773">
        <v>12462</v>
      </c>
      <c r="C773" t="s">
        <v>816</v>
      </c>
      <c r="D773" t="s">
        <v>84</v>
      </c>
      <c r="E773" t="s">
        <v>85</v>
      </c>
      <c r="F773" t="s">
        <v>86</v>
      </c>
      <c r="G773" t="s">
        <v>106</v>
      </c>
      <c r="H773" t="s">
        <v>91</v>
      </c>
      <c r="I773" t="s">
        <v>106</v>
      </c>
      <c r="J773">
        <v>115582.9</v>
      </c>
      <c r="K773">
        <v>776807</v>
      </c>
      <c r="L773">
        <v>56463</v>
      </c>
      <c r="M773">
        <v>30053.8</v>
      </c>
      <c r="N773">
        <v>231506</v>
      </c>
      <c r="O773">
        <v>4094</v>
      </c>
      <c r="P773">
        <v>3313.3</v>
      </c>
      <c r="Q773">
        <v>34783</v>
      </c>
      <c r="R773">
        <v>9</v>
      </c>
      <c r="S773" t="s">
        <v>97</v>
      </c>
      <c r="T773" t="s">
        <v>97</v>
      </c>
      <c r="U773" t="s">
        <v>97</v>
      </c>
      <c r="V773">
        <v>148950</v>
      </c>
      <c r="W773">
        <v>1043096</v>
      </c>
      <c r="X773">
        <v>60566</v>
      </c>
      <c r="Y773">
        <f t="shared" si="12"/>
        <v>1043096</v>
      </c>
      <c r="Z773" t="str">
        <f>IF(ISNUMBER(SEARCH("Adjustment",$C773)),"excluded",IF($H773="Behind the Meter","excluded",IF(NOT(OR($E773="Bundled",$E773="Energy")),"excluded",IF(OR($H773="Retail Power Marketer",$H773="Community Choice Aggregator",$E773="Energy"),"procurement",IF(OR($H773="Municipal",$H773="Cooperative",$H773="Federal",$H773="State",$H773="Political Subdivision"),"cost_service",IF($H773="Investor Owned",IF(AND(COUNTIF(Parameters!$A$4:$A$33,$G773)&gt;0,COUNTIF(Parameters!$B$4:$B$33,$B773)=0),"procurement","cost_service"),"unclassified"))))))</f>
        <v>cost_service</v>
      </c>
    </row>
    <row r="774" spans="1:26" x14ac:dyDescent="0.25">
      <c r="A774">
        <v>2024</v>
      </c>
      <c r="B774">
        <v>12470</v>
      </c>
      <c r="C774" t="s">
        <v>817</v>
      </c>
      <c r="D774" t="s">
        <v>84</v>
      </c>
      <c r="E774" t="s">
        <v>85</v>
      </c>
      <c r="F774" t="s">
        <v>86</v>
      </c>
      <c r="G774" t="s">
        <v>156</v>
      </c>
      <c r="H774" t="s">
        <v>91</v>
      </c>
      <c r="I774" t="s">
        <v>89</v>
      </c>
      <c r="J774">
        <v>547097</v>
      </c>
      <c r="K774">
        <v>4650561</v>
      </c>
      <c r="L774">
        <v>307370</v>
      </c>
      <c r="M774">
        <v>363416</v>
      </c>
      <c r="N774">
        <v>3173415</v>
      </c>
      <c r="O774">
        <v>36886</v>
      </c>
      <c r="P774">
        <v>56766</v>
      </c>
      <c r="Q774">
        <v>848729</v>
      </c>
      <c r="R774">
        <v>39</v>
      </c>
      <c r="S774">
        <v>0</v>
      </c>
      <c r="T774">
        <v>0</v>
      </c>
      <c r="U774">
        <v>0</v>
      </c>
      <c r="V774">
        <v>967279</v>
      </c>
      <c r="W774">
        <v>8672705</v>
      </c>
      <c r="X774">
        <v>344295</v>
      </c>
      <c r="Y774">
        <f t="shared" si="12"/>
        <v>8672705</v>
      </c>
      <c r="Z774" t="str">
        <f>IF(ISNUMBER(SEARCH("Adjustment",$C774)),"excluded",IF($H774="Behind the Meter","excluded",IF(NOT(OR($E774="Bundled",$E774="Energy")),"excluded",IF(OR($H774="Retail Power Marketer",$H774="Community Choice Aggregator",$E774="Energy"),"procurement",IF(OR($H774="Municipal",$H774="Cooperative",$H774="Federal",$H774="State",$H774="Political Subdivision"),"cost_service",IF($H774="Investor Owned",IF(AND(COUNTIF(Parameters!$A$4:$A$33,$G774)&gt;0,COUNTIF(Parameters!$B$4:$B$33,$B774)=0),"procurement","cost_service"),"unclassified"))))))</f>
        <v>cost_service</v>
      </c>
    </row>
    <row r="775" spans="1:26" x14ac:dyDescent="0.25">
      <c r="A775">
        <v>2024</v>
      </c>
      <c r="B775">
        <v>12473</v>
      </c>
      <c r="C775" t="s">
        <v>818</v>
      </c>
      <c r="D775" t="s">
        <v>84</v>
      </c>
      <c r="E775" t="s">
        <v>85</v>
      </c>
      <c r="F775" t="s">
        <v>86</v>
      </c>
      <c r="G775" t="s">
        <v>48</v>
      </c>
      <c r="H775" t="s">
        <v>88</v>
      </c>
      <c r="I775" t="s">
        <v>189</v>
      </c>
      <c r="J775">
        <v>22393.599999999999</v>
      </c>
      <c r="K775">
        <v>141406</v>
      </c>
      <c r="L775">
        <v>14884</v>
      </c>
      <c r="M775">
        <v>19472.599999999999</v>
      </c>
      <c r="N775">
        <v>130291</v>
      </c>
      <c r="O775">
        <v>3231</v>
      </c>
      <c r="P775">
        <v>5972.5</v>
      </c>
      <c r="Q775">
        <v>43896</v>
      </c>
      <c r="R775">
        <v>17</v>
      </c>
      <c r="S775" t="s">
        <v>97</v>
      </c>
      <c r="T775" t="s">
        <v>97</v>
      </c>
      <c r="U775" t="s">
        <v>97</v>
      </c>
      <c r="V775">
        <v>47838.7</v>
      </c>
      <c r="W775">
        <v>315593</v>
      </c>
      <c r="X775">
        <v>18132</v>
      </c>
      <c r="Y775">
        <f t="shared" si="12"/>
        <v>315593</v>
      </c>
      <c r="Z775" t="str">
        <f>IF(ISNUMBER(SEARCH("Adjustment",$C775)),"excluded",IF($H775="Behind the Meter","excluded",IF(NOT(OR($E775="Bundled",$E775="Energy")),"excluded",IF(OR($H775="Retail Power Marketer",$H775="Community Choice Aggregator",$E775="Energy"),"procurement",IF(OR($H775="Municipal",$H775="Cooperative",$H775="Federal",$H775="State",$H775="Political Subdivision"),"cost_service",IF($H775="Investor Owned",IF(AND(COUNTIF(Parameters!$A$4:$A$33,$G775)&gt;0,COUNTIF(Parameters!$B$4:$B$33,$B775)=0),"procurement","cost_service"),"unclassified"))))))</f>
        <v>cost_service</v>
      </c>
    </row>
    <row r="776" spans="1:26" x14ac:dyDescent="0.25">
      <c r="A776">
        <v>2024</v>
      </c>
      <c r="B776">
        <v>12478</v>
      </c>
      <c r="C776" t="s">
        <v>819</v>
      </c>
      <c r="D776" t="s">
        <v>84</v>
      </c>
      <c r="E776" t="s">
        <v>85</v>
      </c>
      <c r="F776" t="s">
        <v>86</v>
      </c>
      <c r="G776" t="s">
        <v>44</v>
      </c>
      <c r="H776" t="s">
        <v>88</v>
      </c>
      <c r="I776" t="s">
        <v>92</v>
      </c>
      <c r="J776">
        <v>17226.8</v>
      </c>
      <c r="K776">
        <v>100606</v>
      </c>
      <c r="L776">
        <v>9071</v>
      </c>
      <c r="M776">
        <v>1506.2</v>
      </c>
      <c r="N776">
        <v>8162</v>
      </c>
      <c r="O776">
        <v>694</v>
      </c>
      <c r="P776">
        <v>21377.5</v>
      </c>
      <c r="Q776">
        <v>164300</v>
      </c>
      <c r="R776">
        <v>403</v>
      </c>
      <c r="S776" t="s">
        <v>97</v>
      </c>
      <c r="T776" t="s">
        <v>97</v>
      </c>
      <c r="U776" t="s">
        <v>97</v>
      </c>
      <c r="V776">
        <v>40110.5</v>
      </c>
      <c r="W776">
        <v>273068</v>
      </c>
      <c r="X776">
        <v>10168</v>
      </c>
      <c r="Y776">
        <f t="shared" si="12"/>
        <v>273068</v>
      </c>
      <c r="Z776" t="str">
        <f>IF(ISNUMBER(SEARCH("Adjustment",$C776)),"excluded",IF($H776="Behind the Meter","excluded",IF(NOT(OR($E776="Bundled",$E776="Energy")),"excluded",IF(OR($H776="Retail Power Marketer",$H776="Community Choice Aggregator",$E776="Energy"),"procurement",IF(OR($H776="Municipal",$H776="Cooperative",$H776="Federal",$H776="State",$H776="Political Subdivision"),"cost_service",IF($H776="Investor Owned",IF(AND(COUNTIF(Parameters!$A$4:$A$33,$G776)&gt;0,COUNTIF(Parameters!$B$4:$B$33,$B776)=0),"procurement","cost_service"),"unclassified"))))))</f>
        <v>cost_service</v>
      </c>
    </row>
    <row r="777" spans="1:26" x14ac:dyDescent="0.25">
      <c r="A777">
        <v>2024</v>
      </c>
      <c r="B777">
        <v>12515</v>
      </c>
      <c r="C777" t="s">
        <v>820</v>
      </c>
      <c r="D777" t="s">
        <v>84</v>
      </c>
      <c r="E777" t="s">
        <v>85</v>
      </c>
      <c r="F777" t="s">
        <v>86</v>
      </c>
      <c r="G777" t="s">
        <v>54</v>
      </c>
      <c r="H777" t="s">
        <v>91</v>
      </c>
      <c r="I777" t="s">
        <v>92</v>
      </c>
      <c r="J777">
        <v>26145.3</v>
      </c>
      <c r="K777">
        <v>171169</v>
      </c>
      <c r="L777">
        <v>10836</v>
      </c>
      <c r="M777">
        <v>11373.4</v>
      </c>
      <c r="N777">
        <v>99538</v>
      </c>
      <c r="O777">
        <v>353</v>
      </c>
      <c r="P777">
        <v>2300.8000000000002</v>
      </c>
      <c r="Q777">
        <v>23407</v>
      </c>
      <c r="R777">
        <v>4</v>
      </c>
      <c r="S777">
        <v>0</v>
      </c>
      <c r="T777">
        <v>0</v>
      </c>
      <c r="U777">
        <v>0</v>
      </c>
      <c r="V777">
        <v>39819.5</v>
      </c>
      <c r="W777">
        <v>294114</v>
      </c>
      <c r="X777">
        <v>11193</v>
      </c>
      <c r="Y777">
        <f t="shared" si="12"/>
        <v>294114</v>
      </c>
      <c r="Z777" t="str">
        <f>IF(ISNUMBER(SEARCH("Adjustment",$C777)),"excluded",IF($H777="Behind the Meter","excluded",IF(NOT(OR($E777="Bundled",$E777="Energy")),"excluded",IF(OR($H777="Retail Power Marketer",$H777="Community Choice Aggregator",$E777="Energy"),"procurement",IF(OR($H777="Municipal",$H777="Cooperative",$H777="Federal",$H777="State",$H777="Political Subdivision"),"cost_service",IF($H777="Investor Owned",IF(AND(COUNTIF(Parameters!$A$4:$A$33,$G777)&gt;0,COUNTIF(Parameters!$B$4:$B$33,$B777)=0),"procurement","cost_service"),"unclassified"))))))</f>
        <v>cost_service</v>
      </c>
    </row>
    <row r="778" spans="1:26" x14ac:dyDescent="0.25">
      <c r="A778">
        <v>2024</v>
      </c>
      <c r="B778">
        <v>12524</v>
      </c>
      <c r="C778" t="s">
        <v>821</v>
      </c>
      <c r="D778" t="s">
        <v>84</v>
      </c>
      <c r="E778" t="s">
        <v>85</v>
      </c>
      <c r="F778" t="s">
        <v>86</v>
      </c>
      <c r="G778" t="s">
        <v>134</v>
      </c>
      <c r="H778" t="s">
        <v>91</v>
      </c>
      <c r="I778" t="s">
        <v>135</v>
      </c>
      <c r="J778">
        <v>36288.300000000003</v>
      </c>
      <c r="K778">
        <v>317121</v>
      </c>
      <c r="L778">
        <v>29832</v>
      </c>
      <c r="M778">
        <v>40537.699999999997</v>
      </c>
      <c r="N778">
        <v>379076</v>
      </c>
      <c r="O778">
        <v>13429</v>
      </c>
      <c r="P778">
        <v>65123.9</v>
      </c>
      <c r="Q778">
        <v>837215</v>
      </c>
      <c r="R778">
        <v>7043</v>
      </c>
      <c r="S778">
        <v>0</v>
      </c>
      <c r="T778">
        <v>0</v>
      </c>
      <c r="U778">
        <v>0</v>
      </c>
      <c r="V778">
        <v>141949.9</v>
      </c>
      <c r="W778">
        <v>1533412</v>
      </c>
      <c r="X778">
        <v>50304</v>
      </c>
      <c r="Y778">
        <f t="shared" si="12"/>
        <v>1533412</v>
      </c>
      <c r="Z778" t="str">
        <f>IF(ISNUMBER(SEARCH("Adjustment",$C778)),"excluded",IF($H778="Behind the Meter","excluded",IF(NOT(OR($E778="Bundled",$E778="Energy")),"excluded",IF(OR($H778="Retail Power Marketer",$H778="Community Choice Aggregator",$E778="Energy"),"procurement",IF(OR($H778="Municipal",$H778="Cooperative",$H778="Federal",$H778="State",$H778="Political Subdivision"),"cost_service",IF($H778="Investor Owned",IF(AND(COUNTIF(Parameters!$A$4:$A$33,$G778)&gt;0,COUNTIF(Parameters!$B$4:$B$33,$B778)=0),"procurement","cost_service"),"unclassified"))))))</f>
        <v>cost_service</v>
      </c>
    </row>
    <row r="779" spans="1:26" x14ac:dyDescent="0.25">
      <c r="A779">
        <v>2024</v>
      </c>
      <c r="B779">
        <v>12532</v>
      </c>
      <c r="C779" t="s">
        <v>822</v>
      </c>
      <c r="D779" t="s">
        <v>84</v>
      </c>
      <c r="E779" t="s">
        <v>85</v>
      </c>
      <c r="F779" t="s">
        <v>86</v>
      </c>
      <c r="G779" t="s">
        <v>156</v>
      </c>
      <c r="H779" t="s">
        <v>88</v>
      </c>
      <c r="I779" t="s">
        <v>89</v>
      </c>
      <c r="J779">
        <v>12130</v>
      </c>
      <c r="K779">
        <v>100330</v>
      </c>
      <c r="L779">
        <v>6902</v>
      </c>
      <c r="M779">
        <v>7583</v>
      </c>
      <c r="N779">
        <v>62081</v>
      </c>
      <c r="O779">
        <v>1630</v>
      </c>
      <c r="P779">
        <v>1636</v>
      </c>
      <c r="Q779">
        <v>17572</v>
      </c>
      <c r="R779">
        <v>2</v>
      </c>
      <c r="S779">
        <v>0</v>
      </c>
      <c r="T779">
        <v>0</v>
      </c>
      <c r="U779">
        <v>0</v>
      </c>
      <c r="V779">
        <v>21349</v>
      </c>
      <c r="W779">
        <v>179983</v>
      </c>
      <c r="X779">
        <v>8534</v>
      </c>
      <c r="Y779">
        <f t="shared" si="12"/>
        <v>179983</v>
      </c>
      <c r="Z779" t="str">
        <f>IF(ISNUMBER(SEARCH("Adjustment",$C779)),"excluded",IF($H779="Behind the Meter","excluded",IF(NOT(OR($E779="Bundled",$E779="Energy")),"excluded",IF(OR($H779="Retail Power Marketer",$H779="Community Choice Aggregator",$E779="Energy"),"procurement",IF(OR($H779="Municipal",$H779="Cooperative",$H779="Federal",$H779="State",$H779="Political Subdivision"),"cost_service",IF($H779="Investor Owned",IF(AND(COUNTIF(Parameters!$A$4:$A$33,$G779)&gt;0,COUNTIF(Parameters!$B$4:$B$33,$B779)=0),"procurement","cost_service"),"unclassified"))))))</f>
        <v>cost_service</v>
      </c>
    </row>
    <row r="780" spans="1:26" x14ac:dyDescent="0.25">
      <c r="A780">
        <v>2024</v>
      </c>
      <c r="B780">
        <v>12539</v>
      </c>
      <c r="C780" t="s">
        <v>823</v>
      </c>
      <c r="D780" t="s">
        <v>84</v>
      </c>
      <c r="E780" t="s">
        <v>85</v>
      </c>
      <c r="F780" t="s">
        <v>86</v>
      </c>
      <c r="G780" t="s">
        <v>271</v>
      </c>
      <c r="H780" t="s">
        <v>91</v>
      </c>
      <c r="I780" t="s">
        <v>259</v>
      </c>
      <c r="J780">
        <v>4127.7</v>
      </c>
      <c r="K780">
        <v>34285</v>
      </c>
      <c r="L780">
        <v>2389</v>
      </c>
      <c r="M780">
        <v>5436.9</v>
      </c>
      <c r="N780">
        <v>39628</v>
      </c>
      <c r="O780">
        <v>2214</v>
      </c>
      <c r="P780">
        <v>23044.2</v>
      </c>
      <c r="Q780">
        <v>170878</v>
      </c>
      <c r="R780">
        <v>2186</v>
      </c>
      <c r="S780">
        <v>0</v>
      </c>
      <c r="T780">
        <v>0</v>
      </c>
      <c r="U780">
        <v>0</v>
      </c>
      <c r="V780">
        <v>32608.799999999999</v>
      </c>
      <c r="W780">
        <v>244791</v>
      </c>
      <c r="X780">
        <v>6789</v>
      </c>
      <c r="Y780">
        <f t="shared" si="12"/>
        <v>244791</v>
      </c>
      <c r="Z780" t="str">
        <f>IF(ISNUMBER(SEARCH("Adjustment",$C780)),"excluded",IF($H780="Behind the Meter","excluded",IF(NOT(OR($E780="Bundled",$E780="Energy")),"excluded",IF(OR($H780="Retail Power Marketer",$H780="Community Choice Aggregator",$E780="Energy"),"procurement",IF(OR($H780="Municipal",$H780="Cooperative",$H780="Federal",$H780="State",$H780="Political Subdivision"),"cost_service",IF($H780="Investor Owned",IF(AND(COUNTIF(Parameters!$A$4:$A$33,$G780)&gt;0,COUNTIF(Parameters!$B$4:$B$33,$B780)=0),"procurement","cost_service"),"unclassified"))))))</f>
        <v>cost_service</v>
      </c>
    </row>
    <row r="781" spans="1:26" x14ac:dyDescent="0.25">
      <c r="A781">
        <v>2024</v>
      </c>
      <c r="B781">
        <v>12540</v>
      </c>
      <c r="C781" t="s">
        <v>824</v>
      </c>
      <c r="D781" t="s">
        <v>84</v>
      </c>
      <c r="E781" t="s">
        <v>85</v>
      </c>
      <c r="F781" t="s">
        <v>86</v>
      </c>
      <c r="G781" t="s">
        <v>44</v>
      </c>
      <c r="H781" t="s">
        <v>88</v>
      </c>
      <c r="I781" t="s">
        <v>92</v>
      </c>
      <c r="J781">
        <v>12128.9</v>
      </c>
      <c r="K781">
        <v>79966</v>
      </c>
      <c r="L781">
        <v>7169</v>
      </c>
      <c r="M781">
        <v>9686.6</v>
      </c>
      <c r="N781">
        <v>68432</v>
      </c>
      <c r="O781">
        <v>1559</v>
      </c>
      <c r="P781">
        <v>10676.1</v>
      </c>
      <c r="Q781">
        <v>90239</v>
      </c>
      <c r="R781">
        <v>12</v>
      </c>
      <c r="S781">
        <v>0</v>
      </c>
      <c r="T781">
        <v>0</v>
      </c>
      <c r="U781">
        <v>0</v>
      </c>
      <c r="V781">
        <v>32491.599999999999</v>
      </c>
      <c r="W781">
        <v>238637</v>
      </c>
      <c r="X781">
        <v>8740</v>
      </c>
      <c r="Y781">
        <f t="shared" si="12"/>
        <v>238637</v>
      </c>
      <c r="Z781" t="str">
        <f>IF(ISNUMBER(SEARCH("Adjustment",$C781)),"excluded",IF($H781="Behind the Meter","excluded",IF(NOT(OR($E781="Bundled",$E781="Energy")),"excluded",IF(OR($H781="Retail Power Marketer",$H781="Community Choice Aggregator",$E781="Energy"),"procurement",IF(OR($H781="Municipal",$H781="Cooperative",$H781="Federal",$H781="State",$H781="Political Subdivision"),"cost_service",IF($H781="Investor Owned",IF(AND(COUNTIF(Parameters!$A$4:$A$33,$G781)&gt;0,COUNTIF(Parameters!$B$4:$B$33,$B781)=0),"procurement","cost_service"),"unclassified"))))))</f>
        <v>cost_service</v>
      </c>
    </row>
    <row r="782" spans="1:26" x14ac:dyDescent="0.25">
      <c r="A782">
        <v>2024</v>
      </c>
      <c r="B782">
        <v>12546</v>
      </c>
      <c r="C782" t="s">
        <v>825</v>
      </c>
      <c r="D782" t="s">
        <v>84</v>
      </c>
      <c r="E782" t="s">
        <v>85</v>
      </c>
      <c r="F782" t="s">
        <v>86</v>
      </c>
      <c r="G782" t="s">
        <v>104</v>
      </c>
      <c r="H782" t="s">
        <v>91</v>
      </c>
      <c r="I782" t="s">
        <v>96</v>
      </c>
      <c r="J782">
        <v>21446.7</v>
      </c>
      <c r="K782">
        <v>121995</v>
      </c>
      <c r="L782">
        <v>14546</v>
      </c>
      <c r="M782">
        <v>4890.3</v>
      </c>
      <c r="N782">
        <v>37741</v>
      </c>
      <c r="O782">
        <v>1319</v>
      </c>
      <c r="P782">
        <v>4019</v>
      </c>
      <c r="Q782">
        <v>33606</v>
      </c>
      <c r="R782">
        <v>113</v>
      </c>
      <c r="S782" t="s">
        <v>97</v>
      </c>
      <c r="T782" t="s">
        <v>97</v>
      </c>
      <c r="U782" t="s">
        <v>97</v>
      </c>
      <c r="V782">
        <v>30356</v>
      </c>
      <c r="W782">
        <v>193342</v>
      </c>
      <c r="X782">
        <v>15978</v>
      </c>
      <c r="Y782">
        <f t="shared" si="12"/>
        <v>193342</v>
      </c>
      <c r="Z782" t="str">
        <f>IF(ISNUMBER(SEARCH("Adjustment",$C782)),"excluded",IF($H782="Behind the Meter","excluded",IF(NOT(OR($E782="Bundled",$E782="Energy")),"excluded",IF(OR($H782="Retail Power Marketer",$H782="Community Choice Aggregator",$E782="Energy"),"procurement",IF(OR($H782="Municipal",$H782="Cooperative",$H782="Federal",$H782="State",$H782="Political Subdivision"),"cost_service",IF($H782="Investor Owned",IF(AND(COUNTIF(Parameters!$A$4:$A$33,$G782)&gt;0,COUNTIF(Parameters!$B$4:$B$33,$B782)=0),"procurement","cost_service"),"unclassified"))))))</f>
        <v>cost_service</v>
      </c>
    </row>
    <row r="783" spans="1:26" x14ac:dyDescent="0.25">
      <c r="A783">
        <v>2024</v>
      </c>
      <c r="B783">
        <v>12642</v>
      </c>
      <c r="C783" t="s">
        <v>826</v>
      </c>
      <c r="D783" t="s">
        <v>84</v>
      </c>
      <c r="E783" t="s">
        <v>85</v>
      </c>
      <c r="F783" t="s">
        <v>86</v>
      </c>
      <c r="G783" t="s">
        <v>146</v>
      </c>
      <c r="H783" t="s">
        <v>91</v>
      </c>
      <c r="I783" t="s">
        <v>96</v>
      </c>
      <c r="J783">
        <v>19314.400000000001</v>
      </c>
      <c r="K783">
        <v>140384</v>
      </c>
      <c r="L783">
        <v>11051</v>
      </c>
      <c r="M783">
        <v>16355.2</v>
      </c>
      <c r="N783">
        <v>141949</v>
      </c>
      <c r="O783">
        <v>6062</v>
      </c>
      <c r="P783">
        <v>982.4</v>
      </c>
      <c r="Q783">
        <v>10918</v>
      </c>
      <c r="R783">
        <v>57</v>
      </c>
      <c r="S783" t="s">
        <v>97</v>
      </c>
      <c r="T783" t="s">
        <v>97</v>
      </c>
      <c r="U783" t="s">
        <v>97</v>
      </c>
      <c r="V783">
        <v>36652</v>
      </c>
      <c r="W783">
        <v>293251</v>
      </c>
      <c r="X783">
        <v>17170</v>
      </c>
      <c r="Y783">
        <f t="shared" si="12"/>
        <v>293251</v>
      </c>
      <c r="Z783" t="str">
        <f>IF(ISNUMBER(SEARCH("Adjustment",$C783)),"excluded",IF($H783="Behind the Meter","excluded",IF(NOT(OR($E783="Bundled",$E783="Energy")),"excluded",IF(OR($H783="Retail Power Marketer",$H783="Community Choice Aggregator",$E783="Energy"),"procurement",IF(OR($H783="Municipal",$H783="Cooperative",$H783="Federal",$H783="State",$H783="Political Subdivision"),"cost_service",IF($H783="Investor Owned",IF(AND(COUNTIF(Parameters!$A$4:$A$33,$G783)&gt;0,COUNTIF(Parameters!$B$4:$B$33,$B783)=0),"procurement","cost_service"),"unclassified"))))))</f>
        <v>cost_service</v>
      </c>
    </row>
    <row r="784" spans="1:26" x14ac:dyDescent="0.25">
      <c r="A784">
        <v>2024</v>
      </c>
      <c r="B784">
        <v>12647</v>
      </c>
      <c r="C784" t="s">
        <v>827</v>
      </c>
      <c r="D784" t="s">
        <v>84</v>
      </c>
      <c r="E784" t="s">
        <v>85</v>
      </c>
      <c r="F784" t="s">
        <v>86</v>
      </c>
      <c r="G784" t="s">
        <v>104</v>
      </c>
      <c r="H784" t="s">
        <v>109</v>
      </c>
      <c r="I784" t="s">
        <v>96</v>
      </c>
      <c r="J784">
        <v>154078.70000000001</v>
      </c>
      <c r="K784">
        <v>983680</v>
      </c>
      <c r="L784">
        <v>125896</v>
      </c>
      <c r="M784">
        <v>174471.2</v>
      </c>
      <c r="N784">
        <v>1204294</v>
      </c>
      <c r="O784">
        <v>26027</v>
      </c>
      <c r="P784">
        <v>555452.30000000005</v>
      </c>
      <c r="Q784">
        <v>6203291</v>
      </c>
      <c r="R784">
        <v>419</v>
      </c>
      <c r="S784">
        <v>0</v>
      </c>
      <c r="T784">
        <v>0</v>
      </c>
      <c r="U784">
        <v>0</v>
      </c>
      <c r="V784">
        <v>884002.2</v>
      </c>
      <c r="W784">
        <v>8391265</v>
      </c>
      <c r="X784">
        <v>152342</v>
      </c>
      <c r="Y784">
        <f t="shared" si="12"/>
        <v>8391265</v>
      </c>
      <c r="Z784" t="str">
        <f>IF(ISNUMBER(SEARCH("Adjustment",$C784)),"excluded",IF($H784="Behind the Meter","excluded",IF(NOT(OR($E784="Bundled",$E784="Energy")),"excluded",IF(OR($H784="Retail Power Marketer",$H784="Community Choice Aggregator",$E784="Energy"),"procurement",IF(OR($H784="Municipal",$H784="Cooperative",$H784="Federal",$H784="State",$H784="Political Subdivision"),"cost_service",IF($H784="Investor Owned",IF(AND(COUNTIF(Parameters!$A$4:$A$33,$G784)&gt;0,COUNTIF(Parameters!$B$4:$B$33,$B784)=0),"procurement","cost_service"),"unclassified"))))))</f>
        <v>cost_service</v>
      </c>
    </row>
    <row r="785" spans="1:26" x14ac:dyDescent="0.25">
      <c r="A785">
        <v>2024</v>
      </c>
      <c r="B785">
        <v>12651</v>
      </c>
      <c r="C785" t="s">
        <v>828</v>
      </c>
      <c r="D785" t="s">
        <v>84</v>
      </c>
      <c r="E785" t="s">
        <v>85</v>
      </c>
      <c r="F785" t="s">
        <v>86</v>
      </c>
      <c r="G785" t="s">
        <v>104</v>
      </c>
      <c r="H785" t="s">
        <v>91</v>
      </c>
      <c r="I785" t="s">
        <v>96</v>
      </c>
      <c r="J785">
        <v>69003</v>
      </c>
      <c r="K785">
        <v>493660</v>
      </c>
      <c r="L785">
        <v>43412</v>
      </c>
      <c r="M785">
        <v>38691</v>
      </c>
      <c r="N785">
        <v>367261</v>
      </c>
      <c r="O785">
        <v>4220</v>
      </c>
      <c r="P785" t="s">
        <v>97</v>
      </c>
      <c r="Q785" t="s">
        <v>97</v>
      </c>
      <c r="R785" t="s">
        <v>97</v>
      </c>
      <c r="S785" t="s">
        <v>97</v>
      </c>
      <c r="T785" t="s">
        <v>97</v>
      </c>
      <c r="U785" t="s">
        <v>97</v>
      </c>
      <c r="V785">
        <v>107694</v>
      </c>
      <c r="W785">
        <v>860921</v>
      </c>
      <c r="X785">
        <v>47632</v>
      </c>
      <c r="Y785">
        <f t="shared" si="12"/>
        <v>860921</v>
      </c>
      <c r="Z785" t="str">
        <f>IF(ISNUMBER(SEARCH("Adjustment",$C785)),"excluded",IF($H785="Behind the Meter","excluded",IF(NOT(OR($E785="Bundled",$E785="Energy")),"excluded",IF(OR($H785="Retail Power Marketer",$H785="Community Choice Aggregator",$E785="Energy"),"procurement",IF(OR($H785="Municipal",$H785="Cooperative",$H785="Federal",$H785="State",$H785="Political Subdivision"),"cost_service",IF($H785="Investor Owned",IF(AND(COUNTIF(Parameters!$A$4:$A$33,$G785)&gt;0,COUNTIF(Parameters!$B$4:$B$33,$B785)=0),"procurement","cost_service"),"unclassified"))))))</f>
        <v>cost_service</v>
      </c>
    </row>
    <row r="786" spans="1:26" x14ac:dyDescent="0.25">
      <c r="A786">
        <v>2024</v>
      </c>
      <c r="B786">
        <v>12674</v>
      </c>
      <c r="C786" t="s">
        <v>829</v>
      </c>
      <c r="D786" t="s">
        <v>84</v>
      </c>
      <c r="E786" t="s">
        <v>85</v>
      </c>
      <c r="F786" t="s">
        <v>86</v>
      </c>
      <c r="G786" t="s">
        <v>130</v>
      </c>
      <c r="H786" t="s">
        <v>88</v>
      </c>
      <c r="I786" t="s">
        <v>92</v>
      </c>
      <c r="J786">
        <v>18613.7</v>
      </c>
      <c r="K786">
        <v>180338</v>
      </c>
      <c r="L786">
        <v>25071</v>
      </c>
      <c r="M786">
        <v>38709.699999999997</v>
      </c>
      <c r="N786">
        <v>355874</v>
      </c>
      <c r="O786">
        <v>3801</v>
      </c>
      <c r="P786" t="s">
        <v>97</v>
      </c>
      <c r="Q786" t="s">
        <v>97</v>
      </c>
      <c r="R786" t="s">
        <v>97</v>
      </c>
      <c r="S786" t="s">
        <v>97</v>
      </c>
      <c r="T786" t="s">
        <v>97</v>
      </c>
      <c r="U786" t="s">
        <v>97</v>
      </c>
      <c r="V786">
        <v>57323.4</v>
      </c>
      <c r="W786">
        <v>536212</v>
      </c>
      <c r="X786">
        <v>28872</v>
      </c>
      <c r="Y786">
        <f t="shared" si="12"/>
        <v>536212</v>
      </c>
      <c r="Z786" t="str">
        <f>IF(ISNUMBER(SEARCH("Adjustment",$C786)),"excluded",IF($H786="Behind the Meter","excluded",IF(NOT(OR($E786="Bundled",$E786="Energy")),"excluded",IF(OR($H786="Retail Power Marketer",$H786="Community Choice Aggregator",$E786="Energy"),"procurement",IF(OR($H786="Municipal",$H786="Cooperative",$H786="Federal",$H786="State",$H786="Political Subdivision"),"cost_service",IF($H786="Investor Owned",IF(AND(COUNTIF(Parameters!$A$4:$A$33,$G786)&gt;0,COUNTIF(Parameters!$B$4:$B$33,$B786)=0),"procurement","cost_service"),"unclassified"))))))</f>
        <v>cost_service</v>
      </c>
    </row>
    <row r="787" spans="1:26" x14ac:dyDescent="0.25">
      <c r="A787">
        <v>2024</v>
      </c>
      <c r="B787">
        <v>12681</v>
      </c>
      <c r="C787" t="s">
        <v>830</v>
      </c>
      <c r="D787" t="s">
        <v>84</v>
      </c>
      <c r="E787" t="s">
        <v>85</v>
      </c>
      <c r="F787" t="s">
        <v>86</v>
      </c>
      <c r="G787" t="s">
        <v>173</v>
      </c>
      <c r="H787" t="s">
        <v>91</v>
      </c>
      <c r="I787" t="s">
        <v>96</v>
      </c>
      <c r="J787">
        <v>4653</v>
      </c>
      <c r="K787">
        <v>54855</v>
      </c>
      <c r="L787">
        <v>3232</v>
      </c>
      <c r="M787">
        <v>1409</v>
      </c>
      <c r="N787">
        <v>16187</v>
      </c>
      <c r="O787">
        <v>779</v>
      </c>
      <c r="P787">
        <v>159029</v>
      </c>
      <c r="Q787">
        <v>3129990</v>
      </c>
      <c r="R787">
        <v>908</v>
      </c>
      <c r="S787">
        <v>0</v>
      </c>
      <c r="T787">
        <v>0</v>
      </c>
      <c r="U787">
        <v>0</v>
      </c>
      <c r="V787">
        <v>165091</v>
      </c>
      <c r="W787">
        <v>3201032</v>
      </c>
      <c r="X787">
        <v>4919</v>
      </c>
      <c r="Y787">
        <f t="shared" si="12"/>
        <v>3201032</v>
      </c>
      <c r="Z787" t="str">
        <f>IF(ISNUMBER(SEARCH("Adjustment",$C787)),"excluded",IF($H787="Behind the Meter","excluded",IF(NOT(OR($E787="Bundled",$E787="Energy")),"excluded",IF(OR($H787="Retail Power Marketer",$H787="Community Choice Aggregator",$E787="Energy"),"procurement",IF(OR($H787="Municipal",$H787="Cooperative",$H787="Federal",$H787="State",$H787="Political Subdivision"),"cost_service",IF($H787="Investor Owned",IF(AND(COUNTIF(Parameters!$A$4:$A$33,$G787)&gt;0,COUNTIF(Parameters!$B$4:$B$33,$B787)=0),"procurement","cost_service"),"unclassified"))))))</f>
        <v>cost_service</v>
      </c>
    </row>
    <row r="788" spans="1:26" x14ac:dyDescent="0.25">
      <c r="A788">
        <v>2024</v>
      </c>
      <c r="B788">
        <v>12685</v>
      </c>
      <c r="C788" t="s">
        <v>831</v>
      </c>
      <c r="D788" t="s">
        <v>84</v>
      </c>
      <c r="E788" t="s">
        <v>85</v>
      </c>
      <c r="F788" t="s">
        <v>86</v>
      </c>
      <c r="G788" t="s">
        <v>87</v>
      </c>
      <c r="H788" t="s">
        <v>109</v>
      </c>
      <c r="I788" t="s">
        <v>96</v>
      </c>
      <c r="J788">
        <v>724601</v>
      </c>
      <c r="K788">
        <v>5483701</v>
      </c>
      <c r="L788">
        <v>384611</v>
      </c>
      <c r="M788">
        <v>633904.1</v>
      </c>
      <c r="N788">
        <v>4984401</v>
      </c>
      <c r="O788">
        <v>71533</v>
      </c>
      <c r="P788">
        <v>195193.9</v>
      </c>
      <c r="Q788">
        <v>2357445</v>
      </c>
      <c r="R788">
        <v>4037</v>
      </c>
      <c r="S788" t="s">
        <v>97</v>
      </c>
      <c r="T788" t="s">
        <v>97</v>
      </c>
      <c r="U788" t="s">
        <v>97</v>
      </c>
      <c r="V788">
        <v>1553699</v>
      </c>
      <c r="W788">
        <v>12825547</v>
      </c>
      <c r="X788">
        <v>460181</v>
      </c>
      <c r="Y788">
        <f t="shared" si="12"/>
        <v>12825547</v>
      </c>
      <c r="Z788" t="str">
        <f>IF(ISNUMBER(SEARCH("Adjustment",$C788)),"excluded",IF($H788="Behind the Meter","excluded",IF(NOT(OR($E788="Bundled",$E788="Energy")),"excluded",IF(OR($H788="Retail Power Marketer",$H788="Community Choice Aggregator",$E788="Energy"),"procurement",IF(OR($H788="Municipal",$H788="Cooperative",$H788="Federal",$H788="State",$H788="Political Subdivision"),"cost_service",IF($H788="Investor Owned",IF(AND(COUNTIF(Parameters!$A$4:$A$33,$G788)&gt;0,COUNTIF(Parameters!$B$4:$B$33,$B788)=0),"procurement","cost_service"),"unclassified"))))))</f>
        <v>cost_service</v>
      </c>
    </row>
    <row r="789" spans="1:26" x14ac:dyDescent="0.25">
      <c r="A789">
        <v>2024</v>
      </c>
      <c r="B789">
        <v>12686</v>
      </c>
      <c r="C789" t="s">
        <v>832</v>
      </c>
      <c r="D789" t="s">
        <v>84</v>
      </c>
      <c r="E789" t="s">
        <v>85</v>
      </c>
      <c r="F789" t="s">
        <v>86</v>
      </c>
      <c r="G789" t="s">
        <v>87</v>
      </c>
      <c r="H789" t="s">
        <v>109</v>
      </c>
      <c r="I789" t="s">
        <v>113</v>
      </c>
      <c r="J789">
        <v>303566</v>
      </c>
      <c r="K789">
        <v>2097472</v>
      </c>
      <c r="L789">
        <v>157437</v>
      </c>
      <c r="M789">
        <v>326014</v>
      </c>
      <c r="N789">
        <v>2947843</v>
      </c>
      <c r="O789">
        <v>34553</v>
      </c>
      <c r="P789">
        <v>334964</v>
      </c>
      <c r="Q789">
        <v>4735309</v>
      </c>
      <c r="R789">
        <v>426</v>
      </c>
      <c r="S789">
        <v>0</v>
      </c>
      <c r="T789" t="s">
        <v>97</v>
      </c>
      <c r="U789" t="s">
        <v>97</v>
      </c>
      <c r="V789">
        <v>964544</v>
      </c>
      <c r="W789">
        <v>9780624</v>
      </c>
      <c r="X789">
        <v>192416</v>
      </c>
      <c r="Y789">
        <f t="shared" si="12"/>
        <v>9780624</v>
      </c>
      <c r="Z789" t="str">
        <f>IF(ISNUMBER(SEARCH("Adjustment",$C789)),"excluded",IF($H789="Behind the Meter","excluded",IF(NOT(OR($E789="Bundled",$E789="Energy")),"excluded",IF(OR($H789="Retail Power Marketer",$H789="Community Choice Aggregator",$E789="Energy"),"procurement",IF(OR($H789="Municipal",$H789="Cooperative",$H789="Federal",$H789="State",$H789="Political Subdivision"),"cost_service",IF($H789="Investor Owned",IF(AND(COUNTIF(Parameters!$A$4:$A$33,$G789)&gt;0,COUNTIF(Parameters!$B$4:$B$33,$B789)=0),"procurement","cost_service"),"unclassified"))))))</f>
        <v>cost_service</v>
      </c>
    </row>
    <row r="790" spans="1:26" x14ac:dyDescent="0.25">
      <c r="A790">
        <v>2024</v>
      </c>
      <c r="B790">
        <v>12692</v>
      </c>
      <c r="C790" t="s">
        <v>833</v>
      </c>
      <c r="D790" t="s">
        <v>84</v>
      </c>
      <c r="E790" t="s">
        <v>85</v>
      </c>
      <c r="F790" t="s">
        <v>86</v>
      </c>
      <c r="G790" t="s">
        <v>490</v>
      </c>
      <c r="H790" t="s">
        <v>91</v>
      </c>
      <c r="I790" t="s">
        <v>206</v>
      </c>
      <c r="J790">
        <v>69.400000000000006</v>
      </c>
      <c r="K790">
        <v>694</v>
      </c>
      <c r="L790">
        <v>46</v>
      </c>
      <c r="M790">
        <v>86</v>
      </c>
      <c r="N790">
        <v>878</v>
      </c>
      <c r="O790">
        <v>25</v>
      </c>
      <c r="P790">
        <v>0</v>
      </c>
      <c r="Q790">
        <v>0</v>
      </c>
      <c r="R790">
        <v>0</v>
      </c>
      <c r="S790">
        <v>0</v>
      </c>
      <c r="T790">
        <v>0</v>
      </c>
      <c r="U790">
        <v>0</v>
      </c>
      <c r="V790">
        <v>155.4</v>
      </c>
      <c r="W790">
        <v>1572</v>
      </c>
      <c r="X790">
        <v>71</v>
      </c>
      <c r="Y790">
        <f t="shared" si="12"/>
        <v>1572</v>
      </c>
      <c r="Z790" t="str">
        <f>IF(ISNUMBER(SEARCH("Adjustment",$C790)),"excluded",IF($H790="Behind the Meter","excluded",IF(NOT(OR($E790="Bundled",$E790="Energy")),"excluded",IF(OR($H790="Retail Power Marketer",$H790="Community Choice Aggregator",$E790="Energy"),"procurement",IF(OR($H790="Municipal",$H790="Cooperative",$H790="Federal",$H790="State",$H790="Political Subdivision"),"cost_service",IF($H790="Investor Owned",IF(AND(COUNTIF(Parameters!$A$4:$A$33,$G790)&gt;0,COUNTIF(Parameters!$B$4:$B$33,$B790)=0),"procurement","cost_service"),"unclassified"))))))</f>
        <v>cost_service</v>
      </c>
    </row>
    <row r="791" spans="1:26" x14ac:dyDescent="0.25">
      <c r="A791">
        <v>2024</v>
      </c>
      <c r="B791">
        <v>12692</v>
      </c>
      <c r="C791" t="s">
        <v>833</v>
      </c>
      <c r="D791" t="s">
        <v>84</v>
      </c>
      <c r="E791" t="s">
        <v>85</v>
      </c>
      <c r="F791" t="s">
        <v>86</v>
      </c>
      <c r="G791" t="s">
        <v>491</v>
      </c>
      <c r="H791" t="s">
        <v>91</v>
      </c>
      <c r="I791" t="s">
        <v>206</v>
      </c>
      <c r="J791">
        <v>19910.599999999999</v>
      </c>
      <c r="K791">
        <v>189571</v>
      </c>
      <c r="L791">
        <v>14686</v>
      </c>
      <c r="M791">
        <v>5069.3</v>
      </c>
      <c r="N791">
        <v>52803</v>
      </c>
      <c r="O791">
        <v>1551</v>
      </c>
      <c r="P791">
        <v>1361.2</v>
      </c>
      <c r="Q791">
        <v>15268</v>
      </c>
      <c r="R791">
        <v>267</v>
      </c>
      <c r="S791">
        <v>0</v>
      </c>
      <c r="T791">
        <v>0</v>
      </c>
      <c r="U791">
        <v>0</v>
      </c>
      <c r="V791">
        <v>26341.1</v>
      </c>
      <c r="W791">
        <v>257642</v>
      </c>
      <c r="X791">
        <v>16504</v>
      </c>
      <c r="Y791">
        <f t="shared" si="12"/>
        <v>257642</v>
      </c>
      <c r="Z791" t="str">
        <f>IF(ISNUMBER(SEARCH("Adjustment",$C791)),"excluded",IF($H791="Behind the Meter","excluded",IF(NOT(OR($E791="Bundled",$E791="Energy")),"excluded",IF(OR($H791="Retail Power Marketer",$H791="Community Choice Aggregator",$E791="Energy"),"procurement",IF(OR($H791="Municipal",$H791="Cooperative",$H791="Federal",$H791="State",$H791="Political Subdivision"),"cost_service",IF($H791="Investor Owned",IF(AND(COUNTIF(Parameters!$A$4:$A$33,$G791)&gt;0,COUNTIF(Parameters!$B$4:$B$33,$B791)=0),"procurement","cost_service"),"unclassified"))))))</f>
        <v>cost_service</v>
      </c>
    </row>
    <row r="792" spans="1:26" x14ac:dyDescent="0.25">
      <c r="A792">
        <v>2024</v>
      </c>
      <c r="B792">
        <v>12698</v>
      </c>
      <c r="C792" t="s">
        <v>834</v>
      </c>
      <c r="D792" t="s">
        <v>84</v>
      </c>
      <c r="E792" t="s">
        <v>85</v>
      </c>
      <c r="F792" t="s">
        <v>86</v>
      </c>
      <c r="G792" t="s">
        <v>226</v>
      </c>
      <c r="H792" t="s">
        <v>109</v>
      </c>
      <c r="I792" t="s">
        <v>135</v>
      </c>
      <c r="J792">
        <v>449877.9</v>
      </c>
      <c r="K792">
        <v>3584586</v>
      </c>
      <c r="L792">
        <v>305583</v>
      </c>
      <c r="M792">
        <v>338432.4</v>
      </c>
      <c r="N792">
        <v>3535452</v>
      </c>
      <c r="O792">
        <v>40976</v>
      </c>
      <c r="P792">
        <v>95662.9</v>
      </c>
      <c r="Q792">
        <v>1390662</v>
      </c>
      <c r="R792">
        <v>225</v>
      </c>
      <c r="S792" t="s">
        <v>97</v>
      </c>
      <c r="T792" t="s">
        <v>97</v>
      </c>
      <c r="U792" t="s">
        <v>97</v>
      </c>
      <c r="V792">
        <v>883973.2</v>
      </c>
      <c r="W792">
        <v>8510700</v>
      </c>
      <c r="X792">
        <v>346784</v>
      </c>
      <c r="Y792">
        <f t="shared" si="12"/>
        <v>8510700</v>
      </c>
      <c r="Z792" t="str">
        <f>IF(ISNUMBER(SEARCH("Adjustment",$C792)),"excluded",IF($H792="Behind the Meter","excluded",IF(NOT(OR($E792="Bundled",$E792="Energy")),"excluded",IF(OR($H792="Retail Power Marketer",$H792="Community Choice Aggregator",$E792="Energy"),"procurement",IF(OR($H792="Municipal",$H792="Cooperative",$H792="Federal",$H792="State",$H792="Political Subdivision"),"cost_service",IF($H792="Investor Owned",IF(AND(COUNTIF(Parameters!$A$4:$A$33,$G792)&gt;0,COUNTIF(Parameters!$B$4:$B$33,$B792)=0),"procurement","cost_service"),"unclassified"))))))</f>
        <v>cost_service</v>
      </c>
    </row>
    <row r="793" spans="1:26" x14ac:dyDescent="0.25">
      <c r="A793">
        <v>2024</v>
      </c>
      <c r="B793">
        <v>12700</v>
      </c>
      <c r="C793" t="s">
        <v>835</v>
      </c>
      <c r="D793" t="s">
        <v>84</v>
      </c>
      <c r="E793" t="s">
        <v>85</v>
      </c>
      <c r="F793" t="s">
        <v>86</v>
      </c>
      <c r="G793" t="s">
        <v>226</v>
      </c>
      <c r="H793" t="s">
        <v>91</v>
      </c>
      <c r="I793" t="s">
        <v>227</v>
      </c>
      <c r="J793">
        <v>8961</v>
      </c>
      <c r="K793">
        <v>65800</v>
      </c>
      <c r="L793">
        <v>5049</v>
      </c>
      <c r="M793">
        <v>2974</v>
      </c>
      <c r="N793">
        <v>24911</v>
      </c>
      <c r="O793">
        <v>572</v>
      </c>
      <c r="P793">
        <v>8584</v>
      </c>
      <c r="Q793">
        <v>127614</v>
      </c>
      <c r="R793">
        <v>11</v>
      </c>
      <c r="S793" t="s">
        <v>97</v>
      </c>
      <c r="T793" t="s">
        <v>97</v>
      </c>
      <c r="U793" t="s">
        <v>97</v>
      </c>
      <c r="V793">
        <v>20519</v>
      </c>
      <c r="W793">
        <v>218325</v>
      </c>
      <c r="X793">
        <v>5632</v>
      </c>
      <c r="Y793">
        <f t="shared" si="12"/>
        <v>218325</v>
      </c>
      <c r="Z793" t="str">
        <f>IF(ISNUMBER(SEARCH("Adjustment",$C793)),"excluded",IF($H793="Behind the Meter","excluded",IF(NOT(OR($E793="Bundled",$E793="Energy")),"excluded",IF(OR($H793="Retail Power Marketer",$H793="Community Choice Aggregator",$E793="Energy"),"procurement",IF(OR($H793="Municipal",$H793="Cooperative",$H793="Federal",$H793="State",$H793="Political Subdivision"),"cost_service",IF($H793="Investor Owned",IF(AND(COUNTIF(Parameters!$A$4:$A$33,$G793)&gt;0,COUNTIF(Parameters!$B$4:$B$33,$B793)=0),"procurement","cost_service"),"unclassified"))))))</f>
        <v>cost_service</v>
      </c>
    </row>
    <row r="794" spans="1:26" x14ac:dyDescent="0.25">
      <c r="A794">
        <v>2024</v>
      </c>
      <c r="B794">
        <v>12706</v>
      </c>
      <c r="C794" t="s">
        <v>836</v>
      </c>
      <c r="D794" t="s">
        <v>84</v>
      </c>
      <c r="E794" t="s">
        <v>85</v>
      </c>
      <c r="F794" t="s">
        <v>86</v>
      </c>
      <c r="G794" t="s">
        <v>123</v>
      </c>
      <c r="H794" t="s">
        <v>91</v>
      </c>
      <c r="I794" t="s">
        <v>113</v>
      </c>
      <c r="J794">
        <v>47853.8</v>
      </c>
      <c r="K794">
        <v>298974</v>
      </c>
      <c r="L794">
        <v>21293</v>
      </c>
      <c r="M794">
        <v>22196</v>
      </c>
      <c r="N794">
        <v>158238</v>
      </c>
      <c r="O794">
        <v>4387</v>
      </c>
      <c r="P794" t="s">
        <v>97</v>
      </c>
      <c r="Q794" t="s">
        <v>97</v>
      </c>
      <c r="R794" t="s">
        <v>97</v>
      </c>
      <c r="S794" t="s">
        <v>97</v>
      </c>
      <c r="T794" t="s">
        <v>97</v>
      </c>
      <c r="U794" t="s">
        <v>97</v>
      </c>
      <c r="V794">
        <v>70049.8</v>
      </c>
      <c r="W794">
        <v>457212</v>
      </c>
      <c r="X794">
        <v>25680</v>
      </c>
      <c r="Y794">
        <f t="shared" si="12"/>
        <v>457212</v>
      </c>
      <c r="Z794" t="str">
        <f>IF(ISNUMBER(SEARCH("Adjustment",$C794)),"excluded",IF($H794="Behind the Meter","excluded",IF(NOT(OR($E794="Bundled",$E794="Energy")),"excluded",IF(OR($H794="Retail Power Marketer",$H794="Community Choice Aggregator",$E794="Energy"),"procurement",IF(OR($H794="Municipal",$H794="Cooperative",$H794="Federal",$H794="State",$H794="Political Subdivision"),"cost_service",IF($H794="Investor Owned",IF(AND(COUNTIF(Parameters!$A$4:$A$33,$G794)&gt;0,COUNTIF(Parameters!$B$4:$B$33,$B794)=0),"procurement","cost_service"),"unclassified"))))))</f>
        <v>cost_service</v>
      </c>
    </row>
    <row r="795" spans="1:26" x14ac:dyDescent="0.25">
      <c r="A795">
        <v>2024</v>
      </c>
      <c r="B795">
        <v>12744</v>
      </c>
      <c r="C795" t="s">
        <v>837</v>
      </c>
      <c r="D795" t="s">
        <v>84</v>
      </c>
      <c r="E795" t="s">
        <v>85</v>
      </c>
      <c r="F795" t="s">
        <v>86</v>
      </c>
      <c r="G795" t="s">
        <v>148</v>
      </c>
      <c r="H795" t="s">
        <v>91</v>
      </c>
      <c r="I795" t="s">
        <v>707</v>
      </c>
      <c r="J795">
        <v>7588.6</v>
      </c>
      <c r="K795">
        <v>102145</v>
      </c>
      <c r="L795">
        <v>9181</v>
      </c>
      <c r="M795">
        <v>8563.9</v>
      </c>
      <c r="N795">
        <v>122895</v>
      </c>
      <c r="O795">
        <v>1748</v>
      </c>
      <c r="P795" t="s">
        <v>97</v>
      </c>
      <c r="Q795" t="s">
        <v>97</v>
      </c>
      <c r="R795" t="s">
        <v>97</v>
      </c>
      <c r="S795" t="s">
        <v>97</v>
      </c>
      <c r="T795" t="s">
        <v>97</v>
      </c>
      <c r="U795" t="s">
        <v>97</v>
      </c>
      <c r="V795">
        <v>16152.5</v>
      </c>
      <c r="W795">
        <v>225040</v>
      </c>
      <c r="X795">
        <v>10929</v>
      </c>
      <c r="Y795">
        <f t="shared" si="12"/>
        <v>225040</v>
      </c>
      <c r="Z795" t="str">
        <f>IF(ISNUMBER(SEARCH("Adjustment",$C795)),"excluded",IF($H795="Behind the Meter","excluded",IF(NOT(OR($E795="Bundled",$E795="Energy")),"excluded",IF(OR($H795="Retail Power Marketer",$H795="Community Choice Aggregator",$E795="Energy"),"procurement",IF(OR($H795="Municipal",$H795="Cooperative",$H795="Federal",$H795="State",$H795="Political Subdivision"),"cost_service",IF($H795="Investor Owned",IF(AND(COUNTIF(Parameters!$A$4:$A$33,$G795)&gt;0,COUNTIF(Parameters!$B$4:$B$33,$B795)=0),"procurement","cost_service"),"unclassified"))))))</f>
        <v>cost_service</v>
      </c>
    </row>
    <row r="796" spans="1:26" x14ac:dyDescent="0.25">
      <c r="A796">
        <v>2024</v>
      </c>
      <c r="B796">
        <v>12745</v>
      </c>
      <c r="C796" t="s">
        <v>838</v>
      </c>
      <c r="D796" t="s">
        <v>84</v>
      </c>
      <c r="E796" t="s">
        <v>85</v>
      </c>
      <c r="F796" t="s">
        <v>86</v>
      </c>
      <c r="G796" t="s">
        <v>115</v>
      </c>
      <c r="H796" t="s">
        <v>205</v>
      </c>
      <c r="I796" t="s">
        <v>839</v>
      </c>
      <c r="J796">
        <v>218924.79999999999</v>
      </c>
      <c r="K796">
        <v>1005119</v>
      </c>
      <c r="L796">
        <v>103650</v>
      </c>
      <c r="M796">
        <v>146788</v>
      </c>
      <c r="N796">
        <v>855244</v>
      </c>
      <c r="O796">
        <v>29728</v>
      </c>
      <c r="P796">
        <v>99166.8</v>
      </c>
      <c r="Q796">
        <v>808929</v>
      </c>
      <c r="R796">
        <v>139</v>
      </c>
      <c r="S796">
        <v>0</v>
      </c>
      <c r="T796">
        <v>0</v>
      </c>
      <c r="U796">
        <v>0</v>
      </c>
      <c r="V796">
        <v>464879.6</v>
      </c>
      <c r="W796">
        <v>2669292</v>
      </c>
      <c r="X796">
        <v>133517</v>
      </c>
      <c r="Y796">
        <f t="shared" si="12"/>
        <v>2669292</v>
      </c>
      <c r="Z796" t="str">
        <f>IF(ISNUMBER(SEARCH("Adjustment",$C796)),"excluded",IF($H796="Behind the Meter","excluded",IF(NOT(OR($E796="Bundled",$E796="Energy")),"excluded",IF(OR($H796="Retail Power Marketer",$H796="Community Choice Aggregator",$E796="Energy"),"procurement",IF(OR($H796="Municipal",$H796="Cooperative",$H796="Federal",$H796="State",$H796="Political Subdivision"),"cost_service",IF($H796="Investor Owned",IF(AND(COUNTIF(Parameters!$A$4:$A$33,$G796)&gt;0,COUNTIF(Parameters!$B$4:$B$33,$B796)=0),"procurement","cost_service"),"unclassified"))))))</f>
        <v>cost_service</v>
      </c>
    </row>
    <row r="797" spans="1:26" x14ac:dyDescent="0.25">
      <c r="A797">
        <v>2024</v>
      </c>
      <c r="B797">
        <v>12782</v>
      </c>
      <c r="C797" t="s">
        <v>840</v>
      </c>
      <c r="D797" t="s">
        <v>84</v>
      </c>
      <c r="E797" t="s">
        <v>85</v>
      </c>
      <c r="F797" t="s">
        <v>86</v>
      </c>
      <c r="G797" t="s">
        <v>226</v>
      </c>
      <c r="H797" t="s">
        <v>88</v>
      </c>
      <c r="I797" t="s">
        <v>135</v>
      </c>
      <c r="J797">
        <v>6348.1</v>
      </c>
      <c r="K797">
        <v>46509</v>
      </c>
      <c r="L797">
        <v>4118</v>
      </c>
      <c r="M797">
        <v>6663.5</v>
      </c>
      <c r="N797">
        <v>55061</v>
      </c>
      <c r="O797">
        <v>732</v>
      </c>
      <c r="P797">
        <v>12858.4</v>
      </c>
      <c r="Q797">
        <v>118112</v>
      </c>
      <c r="R797">
        <v>37</v>
      </c>
      <c r="S797" t="s">
        <v>97</v>
      </c>
      <c r="T797" t="s">
        <v>97</v>
      </c>
      <c r="U797" t="s">
        <v>97</v>
      </c>
      <c r="V797">
        <v>25870</v>
      </c>
      <c r="W797">
        <v>219682</v>
      </c>
      <c r="X797">
        <v>4887</v>
      </c>
      <c r="Y797">
        <f t="shared" si="12"/>
        <v>219682</v>
      </c>
      <c r="Z797" t="str">
        <f>IF(ISNUMBER(SEARCH("Adjustment",$C797)),"excluded",IF($H797="Behind the Meter","excluded",IF(NOT(OR($E797="Bundled",$E797="Energy")),"excluded",IF(OR($H797="Retail Power Marketer",$H797="Community Choice Aggregator",$E797="Energy"),"procurement",IF(OR($H797="Municipal",$H797="Cooperative",$H797="Federal",$H797="State",$H797="Political Subdivision"),"cost_service",IF($H797="Investor Owned",IF(AND(COUNTIF(Parameters!$A$4:$A$33,$G797)&gt;0,COUNTIF(Parameters!$B$4:$B$33,$B797)=0),"procurement","cost_service"),"unclassified"))))))</f>
        <v>cost_service</v>
      </c>
    </row>
    <row r="798" spans="1:26" x14ac:dyDescent="0.25">
      <c r="A798">
        <v>2024</v>
      </c>
      <c r="B798">
        <v>12796</v>
      </c>
      <c r="C798" t="s">
        <v>841</v>
      </c>
      <c r="D798" t="s">
        <v>84</v>
      </c>
      <c r="E798" t="s">
        <v>85</v>
      </c>
      <c r="F798" t="s">
        <v>86</v>
      </c>
      <c r="G798" t="s">
        <v>166</v>
      </c>
      <c r="H798" t="s">
        <v>109</v>
      </c>
      <c r="I798" t="s">
        <v>92</v>
      </c>
      <c r="J798">
        <v>500111.5</v>
      </c>
      <c r="K798">
        <v>3579591</v>
      </c>
      <c r="L798">
        <v>334588</v>
      </c>
      <c r="M798">
        <v>357066</v>
      </c>
      <c r="N798">
        <v>3269443</v>
      </c>
      <c r="O798">
        <v>56139</v>
      </c>
      <c r="P798">
        <v>428976.7</v>
      </c>
      <c r="Q798">
        <v>5567182</v>
      </c>
      <c r="R798">
        <v>6468</v>
      </c>
      <c r="S798">
        <v>0</v>
      </c>
      <c r="T798">
        <v>0</v>
      </c>
      <c r="U798">
        <v>0</v>
      </c>
      <c r="V798">
        <v>1286154.2</v>
      </c>
      <c r="W798">
        <v>12416216</v>
      </c>
      <c r="X798">
        <v>397195</v>
      </c>
      <c r="Y798">
        <f t="shared" si="12"/>
        <v>12416216</v>
      </c>
      <c r="Z798" t="str">
        <f>IF(ISNUMBER(SEARCH("Adjustment",$C798)),"excluded",IF($H798="Behind the Meter","excluded",IF(NOT(OR($E798="Bundled",$E798="Energy")),"excluded",IF(OR($H798="Retail Power Marketer",$H798="Community Choice Aggregator",$E798="Energy"),"procurement",IF(OR($H798="Municipal",$H798="Cooperative",$H798="Federal",$H798="State",$H798="Political Subdivision"),"cost_service",IF($H798="Investor Owned",IF(AND(COUNTIF(Parameters!$A$4:$A$33,$G798)&gt;0,COUNTIF(Parameters!$B$4:$B$33,$B798)=0),"procurement","cost_service"),"unclassified"))))))</f>
        <v>cost_service</v>
      </c>
    </row>
    <row r="799" spans="1:26" x14ac:dyDescent="0.25">
      <c r="A799">
        <v>2024</v>
      </c>
      <c r="B799">
        <v>12801</v>
      </c>
      <c r="C799" t="s">
        <v>842</v>
      </c>
      <c r="D799" t="s">
        <v>84</v>
      </c>
      <c r="E799" t="s">
        <v>85</v>
      </c>
      <c r="F799" t="s">
        <v>86</v>
      </c>
      <c r="G799" t="s">
        <v>125</v>
      </c>
      <c r="H799" t="s">
        <v>88</v>
      </c>
      <c r="I799" t="s">
        <v>126</v>
      </c>
      <c r="J799">
        <v>14970</v>
      </c>
      <c r="K799">
        <v>121868</v>
      </c>
      <c r="L799">
        <v>10543</v>
      </c>
      <c r="M799">
        <v>18779.3</v>
      </c>
      <c r="N799">
        <v>167292</v>
      </c>
      <c r="O799">
        <v>2249</v>
      </c>
      <c r="P799">
        <v>28627</v>
      </c>
      <c r="Q799">
        <v>433741</v>
      </c>
      <c r="R799">
        <v>113</v>
      </c>
      <c r="S799" t="s">
        <v>97</v>
      </c>
      <c r="T799" t="s">
        <v>97</v>
      </c>
      <c r="U799" t="s">
        <v>97</v>
      </c>
      <c r="V799">
        <v>62376.3</v>
      </c>
      <c r="W799">
        <v>722901</v>
      </c>
      <c r="X799">
        <v>12905</v>
      </c>
      <c r="Y799">
        <f t="shared" si="12"/>
        <v>722901</v>
      </c>
      <c r="Z799" t="str">
        <f>IF(ISNUMBER(SEARCH("Adjustment",$C799)),"excluded",IF($H799="Behind the Meter","excluded",IF(NOT(OR($E799="Bundled",$E799="Energy")),"excluded",IF(OR($H799="Retail Power Marketer",$H799="Community Choice Aggregator",$E799="Energy"),"procurement",IF(OR($H799="Municipal",$H799="Cooperative",$H799="Federal",$H799="State",$H799="Political Subdivision"),"cost_service",IF($H799="Investor Owned",IF(AND(COUNTIF(Parameters!$A$4:$A$33,$G799)&gt;0,COUNTIF(Parameters!$B$4:$B$33,$B799)=0),"procurement","cost_service"),"unclassified"))))))</f>
        <v>cost_service</v>
      </c>
    </row>
    <row r="800" spans="1:26" x14ac:dyDescent="0.25">
      <c r="A800">
        <v>2024</v>
      </c>
      <c r="B800">
        <v>12825</v>
      </c>
      <c r="C800" t="s">
        <v>843</v>
      </c>
      <c r="D800" t="s">
        <v>84</v>
      </c>
      <c r="E800" t="s">
        <v>85</v>
      </c>
      <c r="F800" t="s">
        <v>86</v>
      </c>
      <c r="G800" t="s">
        <v>491</v>
      </c>
      <c r="H800" t="s">
        <v>109</v>
      </c>
      <c r="I800" t="s">
        <v>844</v>
      </c>
      <c r="J800">
        <v>398459</v>
      </c>
      <c r="K800">
        <v>2800513</v>
      </c>
      <c r="L800">
        <v>328125</v>
      </c>
      <c r="M800">
        <v>415977</v>
      </c>
      <c r="N800">
        <v>3090579</v>
      </c>
      <c r="O800">
        <v>84523</v>
      </c>
      <c r="P800">
        <v>45087</v>
      </c>
      <c r="Q800">
        <v>418827</v>
      </c>
      <c r="R800">
        <v>2239</v>
      </c>
      <c r="S800" t="s">
        <v>97</v>
      </c>
      <c r="T800" t="s">
        <v>97</v>
      </c>
      <c r="U800" t="s">
        <v>97</v>
      </c>
      <c r="V800">
        <v>859523</v>
      </c>
      <c r="W800">
        <v>6309919</v>
      </c>
      <c r="X800">
        <v>414887</v>
      </c>
      <c r="Y800">
        <f t="shared" si="12"/>
        <v>6309919</v>
      </c>
      <c r="Z800" t="str">
        <f>IF(ISNUMBER(SEARCH("Adjustment",$C800)),"excluded",IF($H800="Behind the Meter","excluded",IF(NOT(OR($E800="Bundled",$E800="Energy")),"excluded",IF(OR($H800="Retail Power Marketer",$H800="Community Choice Aggregator",$E800="Energy"),"procurement",IF(OR($H800="Municipal",$H800="Cooperative",$H800="Federal",$H800="State",$H800="Political Subdivision"),"cost_service",IF($H800="Investor Owned",IF(AND(COUNTIF(Parameters!$A$4:$A$33,$G800)&gt;0,COUNTIF(Parameters!$B$4:$B$33,$B800)=0),"procurement","cost_service"),"unclassified"))))))</f>
        <v>cost_service</v>
      </c>
    </row>
    <row r="801" spans="1:26" x14ac:dyDescent="0.25">
      <c r="A801">
        <v>2024</v>
      </c>
      <c r="B801">
        <v>12825</v>
      </c>
      <c r="C801" t="s">
        <v>843</v>
      </c>
      <c r="D801" t="s">
        <v>84</v>
      </c>
      <c r="E801" t="s">
        <v>85</v>
      </c>
      <c r="F801" t="s">
        <v>86</v>
      </c>
      <c r="G801" t="s">
        <v>323</v>
      </c>
      <c r="H801" t="s">
        <v>109</v>
      </c>
      <c r="I801" t="s">
        <v>844</v>
      </c>
      <c r="J801">
        <v>331</v>
      </c>
      <c r="K801">
        <v>2580</v>
      </c>
      <c r="L801">
        <v>294</v>
      </c>
      <c r="M801">
        <v>5533</v>
      </c>
      <c r="N801">
        <v>28331</v>
      </c>
      <c r="O801">
        <v>389</v>
      </c>
      <c r="P801" t="s">
        <v>97</v>
      </c>
      <c r="Q801" t="s">
        <v>97</v>
      </c>
      <c r="R801" t="s">
        <v>97</v>
      </c>
      <c r="S801" t="s">
        <v>97</v>
      </c>
      <c r="T801" t="s">
        <v>97</v>
      </c>
      <c r="U801" t="s">
        <v>97</v>
      </c>
      <c r="V801">
        <v>5864</v>
      </c>
      <c r="W801">
        <v>30911</v>
      </c>
      <c r="X801">
        <v>683</v>
      </c>
      <c r="Y801">
        <f t="shared" si="12"/>
        <v>30911</v>
      </c>
      <c r="Z801" t="str">
        <f>IF(ISNUMBER(SEARCH("Adjustment",$C801)),"excluded",IF($H801="Behind the Meter","excluded",IF(NOT(OR($E801="Bundled",$E801="Energy")),"excluded",IF(OR($H801="Retail Power Marketer",$H801="Community Choice Aggregator",$E801="Energy"),"procurement",IF(OR($H801="Municipal",$H801="Cooperative",$H801="Federal",$H801="State",$H801="Political Subdivision"),"cost_service",IF($H801="Investor Owned",IF(AND(COUNTIF(Parameters!$A$4:$A$33,$G801)&gt;0,COUNTIF(Parameters!$B$4:$B$33,$B801)=0),"procurement","cost_service"),"unclassified"))))))</f>
        <v>cost_service</v>
      </c>
    </row>
    <row r="802" spans="1:26" x14ac:dyDescent="0.25">
      <c r="A802">
        <v>2024</v>
      </c>
      <c r="B802">
        <v>12825</v>
      </c>
      <c r="C802" t="s">
        <v>843</v>
      </c>
      <c r="D802" t="s">
        <v>167</v>
      </c>
      <c r="E802" t="s">
        <v>168</v>
      </c>
      <c r="F802" t="s">
        <v>86</v>
      </c>
      <c r="G802" t="s">
        <v>491</v>
      </c>
      <c r="H802" t="s">
        <v>109</v>
      </c>
      <c r="I802" t="s">
        <v>844</v>
      </c>
      <c r="J802">
        <v>0.3</v>
      </c>
      <c r="K802">
        <v>5</v>
      </c>
      <c r="L802">
        <v>2</v>
      </c>
      <c r="M802">
        <v>3211</v>
      </c>
      <c r="N802">
        <v>113741</v>
      </c>
      <c r="O802">
        <v>398</v>
      </c>
      <c r="P802">
        <v>15053</v>
      </c>
      <c r="Q802">
        <v>2971170</v>
      </c>
      <c r="R802">
        <v>36</v>
      </c>
      <c r="S802" t="s">
        <v>97</v>
      </c>
      <c r="T802" t="s">
        <v>97</v>
      </c>
      <c r="U802" t="s">
        <v>97</v>
      </c>
      <c r="V802">
        <v>18264.3</v>
      </c>
      <c r="W802">
        <v>3084916</v>
      </c>
      <c r="X802">
        <v>436</v>
      </c>
      <c r="Y802">
        <f t="shared" si="12"/>
        <v>3084916</v>
      </c>
      <c r="Z802" t="str">
        <f>IF(ISNUMBER(SEARCH("Adjustment",$C802)),"excluded",IF($H802="Behind the Meter","excluded",IF(NOT(OR($E802="Bundled",$E802="Energy")),"excluded",IF(OR($H802="Retail Power Marketer",$H802="Community Choice Aggregator",$E802="Energy"),"procurement",IF(OR($H802="Municipal",$H802="Cooperative",$H802="Federal",$H802="State",$H802="Political Subdivision"),"cost_service",IF($H802="Investor Owned",IF(AND(COUNTIF(Parameters!$A$4:$A$33,$G802)&gt;0,COUNTIF(Parameters!$B$4:$B$33,$B802)=0),"procurement","cost_service"),"unclassified"))))))</f>
        <v>excluded</v>
      </c>
    </row>
    <row r="803" spans="1:26" x14ac:dyDescent="0.25">
      <c r="A803">
        <v>2024</v>
      </c>
      <c r="B803">
        <v>12860</v>
      </c>
      <c r="C803" t="s">
        <v>845</v>
      </c>
      <c r="D803" t="s">
        <v>84</v>
      </c>
      <c r="E803" t="s">
        <v>85</v>
      </c>
      <c r="F803" t="s">
        <v>86</v>
      </c>
      <c r="G803" t="s">
        <v>361</v>
      </c>
      <c r="H803" t="s">
        <v>91</v>
      </c>
      <c r="I803" t="s">
        <v>259</v>
      </c>
      <c r="J803">
        <v>10218.9</v>
      </c>
      <c r="K803">
        <v>71098</v>
      </c>
      <c r="L803">
        <v>5825</v>
      </c>
      <c r="M803">
        <v>25230.7</v>
      </c>
      <c r="N803">
        <v>255922</v>
      </c>
      <c r="O803">
        <v>2122</v>
      </c>
      <c r="P803">
        <v>18153.400000000001</v>
      </c>
      <c r="Q803">
        <v>146336</v>
      </c>
      <c r="R803">
        <v>1617</v>
      </c>
      <c r="S803" t="s">
        <v>97</v>
      </c>
      <c r="T803" t="s">
        <v>97</v>
      </c>
      <c r="U803" t="s">
        <v>97</v>
      </c>
      <c r="V803">
        <v>53603</v>
      </c>
      <c r="W803">
        <v>473356</v>
      </c>
      <c r="X803">
        <v>9564</v>
      </c>
      <c r="Y803">
        <f t="shared" si="12"/>
        <v>473356</v>
      </c>
      <c r="Z803" t="str">
        <f>IF(ISNUMBER(SEARCH("Adjustment",$C803)),"excluded",IF($H803="Behind the Meter","excluded",IF(NOT(OR($E803="Bundled",$E803="Energy")),"excluded",IF(OR($H803="Retail Power Marketer",$H803="Community Choice Aggregator",$E803="Energy"),"procurement",IF(OR($H803="Municipal",$H803="Cooperative",$H803="Federal",$H803="State",$H803="Political Subdivision"),"cost_service",IF($H803="Investor Owned",IF(AND(COUNTIF(Parameters!$A$4:$A$33,$G803)&gt;0,COUNTIF(Parameters!$B$4:$B$33,$B803)=0),"procurement","cost_service"),"unclassified"))))))</f>
        <v>cost_service</v>
      </c>
    </row>
    <row r="804" spans="1:26" x14ac:dyDescent="0.25">
      <c r="A804">
        <v>2024</v>
      </c>
      <c r="B804">
        <v>12866</v>
      </c>
      <c r="C804" t="s">
        <v>846</v>
      </c>
      <c r="D804" t="s">
        <v>84</v>
      </c>
      <c r="E804" t="s">
        <v>85</v>
      </c>
      <c r="F804" t="s">
        <v>86</v>
      </c>
      <c r="G804" t="s">
        <v>361</v>
      </c>
      <c r="H804" t="s">
        <v>91</v>
      </c>
      <c r="I804" t="s">
        <v>259</v>
      </c>
      <c r="J804">
        <v>1452.6</v>
      </c>
      <c r="K804">
        <v>15530</v>
      </c>
      <c r="L804">
        <v>1526</v>
      </c>
      <c r="M804">
        <v>1776.2</v>
      </c>
      <c r="N804">
        <v>19812</v>
      </c>
      <c r="O804">
        <v>560</v>
      </c>
      <c r="P804">
        <v>34711.1</v>
      </c>
      <c r="Q804">
        <v>449468</v>
      </c>
      <c r="R804">
        <v>141</v>
      </c>
      <c r="S804">
        <v>0</v>
      </c>
      <c r="T804">
        <v>0</v>
      </c>
      <c r="U804">
        <v>0</v>
      </c>
      <c r="V804">
        <v>37939.9</v>
      </c>
      <c r="W804">
        <v>484810</v>
      </c>
      <c r="X804">
        <v>2227</v>
      </c>
      <c r="Y804">
        <f t="shared" si="12"/>
        <v>484810</v>
      </c>
      <c r="Z804" t="str">
        <f>IF(ISNUMBER(SEARCH("Adjustment",$C804)),"excluded",IF($H804="Behind the Meter","excluded",IF(NOT(OR($E804="Bundled",$E804="Energy")),"excluded",IF(OR($H804="Retail Power Marketer",$H804="Community Choice Aggregator",$E804="Energy"),"procurement",IF(OR($H804="Municipal",$H804="Cooperative",$H804="Federal",$H804="State",$H804="Political Subdivision"),"cost_service",IF($H804="Investor Owned",IF(AND(COUNTIF(Parameters!$A$4:$A$33,$G804)&gt;0,COUNTIF(Parameters!$B$4:$B$33,$B804)=0),"procurement","cost_service"),"unclassified"))))))</f>
        <v>cost_service</v>
      </c>
    </row>
    <row r="805" spans="1:26" x14ac:dyDescent="0.25">
      <c r="A805">
        <v>2024</v>
      </c>
      <c r="B805">
        <v>12866</v>
      </c>
      <c r="C805" t="s">
        <v>846</v>
      </c>
      <c r="D805" t="s">
        <v>84</v>
      </c>
      <c r="E805" t="s">
        <v>85</v>
      </c>
      <c r="F805" t="s">
        <v>86</v>
      </c>
      <c r="G805" t="s">
        <v>245</v>
      </c>
      <c r="H805" t="s">
        <v>91</v>
      </c>
      <c r="I805" t="s">
        <v>259</v>
      </c>
      <c r="J805">
        <v>14287</v>
      </c>
      <c r="K805">
        <v>159125</v>
      </c>
      <c r="L805">
        <v>13275</v>
      </c>
      <c r="M805">
        <v>11130.3</v>
      </c>
      <c r="N805">
        <v>126929</v>
      </c>
      <c r="O805">
        <v>2781</v>
      </c>
      <c r="P805">
        <v>32209.1</v>
      </c>
      <c r="Q805">
        <v>309373</v>
      </c>
      <c r="R805">
        <v>2094</v>
      </c>
      <c r="S805" t="s">
        <v>97</v>
      </c>
      <c r="T805" t="s">
        <v>97</v>
      </c>
      <c r="U805" t="s">
        <v>97</v>
      </c>
      <c r="V805">
        <v>57626.400000000001</v>
      </c>
      <c r="W805">
        <v>595427</v>
      </c>
      <c r="X805">
        <v>18150</v>
      </c>
      <c r="Y805">
        <f t="shared" si="12"/>
        <v>595427</v>
      </c>
      <c r="Z805" t="str">
        <f>IF(ISNUMBER(SEARCH("Adjustment",$C805)),"excluded",IF($H805="Behind the Meter","excluded",IF(NOT(OR($E805="Bundled",$E805="Energy")),"excluded",IF(OR($H805="Retail Power Marketer",$H805="Community Choice Aggregator",$E805="Energy"),"procurement",IF(OR($H805="Municipal",$H805="Cooperative",$H805="Federal",$H805="State",$H805="Political Subdivision"),"cost_service",IF($H805="Investor Owned",IF(AND(COUNTIF(Parameters!$A$4:$A$33,$G805)&gt;0,COUNTIF(Parameters!$B$4:$B$33,$B805)=0),"procurement","cost_service"),"unclassified"))))))</f>
        <v>cost_service</v>
      </c>
    </row>
    <row r="806" spans="1:26" x14ac:dyDescent="0.25">
      <c r="A806">
        <v>2024</v>
      </c>
      <c r="B806">
        <v>12894</v>
      </c>
      <c r="C806" t="s">
        <v>847</v>
      </c>
      <c r="D806" t="s">
        <v>84</v>
      </c>
      <c r="E806" t="s">
        <v>85</v>
      </c>
      <c r="F806" t="s">
        <v>86</v>
      </c>
      <c r="G806" t="s">
        <v>104</v>
      </c>
      <c r="H806" t="s">
        <v>88</v>
      </c>
      <c r="I806" t="s">
        <v>135</v>
      </c>
      <c r="J806">
        <v>20247.8</v>
      </c>
      <c r="K806">
        <v>177935</v>
      </c>
      <c r="L806">
        <v>18180</v>
      </c>
      <c r="M806">
        <v>3726.3</v>
      </c>
      <c r="N806">
        <v>30796</v>
      </c>
      <c r="O806">
        <v>1856</v>
      </c>
      <c r="P806">
        <v>17386.8</v>
      </c>
      <c r="Q806">
        <v>199268</v>
      </c>
      <c r="R806">
        <v>368</v>
      </c>
      <c r="S806" t="s">
        <v>97</v>
      </c>
      <c r="T806" t="s">
        <v>97</v>
      </c>
      <c r="U806" t="s">
        <v>97</v>
      </c>
      <c r="V806">
        <v>41360.9</v>
      </c>
      <c r="W806">
        <v>407999</v>
      </c>
      <c r="X806">
        <v>20404</v>
      </c>
      <c r="Y806">
        <f t="shared" si="12"/>
        <v>407999</v>
      </c>
      <c r="Z806" t="str">
        <f>IF(ISNUMBER(SEARCH("Adjustment",$C806)),"excluded",IF($H806="Behind the Meter","excluded",IF(NOT(OR($E806="Bundled",$E806="Energy")),"excluded",IF(OR($H806="Retail Power Marketer",$H806="Community Choice Aggregator",$E806="Energy"),"procurement",IF(OR($H806="Municipal",$H806="Cooperative",$H806="Federal",$H806="State",$H806="Political Subdivision"),"cost_service",IF($H806="Investor Owned",IF(AND(COUNTIF(Parameters!$A$4:$A$33,$G806)&gt;0,COUNTIF(Parameters!$B$4:$B$33,$B806)=0),"procurement","cost_service"),"unclassified"))))))</f>
        <v>cost_service</v>
      </c>
    </row>
    <row r="807" spans="1:26" x14ac:dyDescent="0.25">
      <c r="A807">
        <v>2024</v>
      </c>
      <c r="B807">
        <v>12917</v>
      </c>
      <c r="C807" t="s">
        <v>848</v>
      </c>
      <c r="D807" t="s">
        <v>99</v>
      </c>
      <c r="E807" t="s">
        <v>100</v>
      </c>
      <c r="F807" t="s">
        <v>86</v>
      </c>
      <c r="G807" t="s">
        <v>491</v>
      </c>
      <c r="H807" t="s">
        <v>101</v>
      </c>
      <c r="I807" t="s">
        <v>844</v>
      </c>
      <c r="J807" t="s">
        <v>97</v>
      </c>
      <c r="K807" t="s">
        <v>97</v>
      </c>
      <c r="L807" t="s">
        <v>97</v>
      </c>
      <c r="M807" t="s">
        <v>97</v>
      </c>
      <c r="N807" t="s">
        <v>97</v>
      </c>
      <c r="O807" t="s">
        <v>97</v>
      </c>
      <c r="P807">
        <v>9184.2999999999993</v>
      </c>
      <c r="Q807">
        <v>177943</v>
      </c>
      <c r="R807">
        <v>1</v>
      </c>
      <c r="S807" t="s">
        <v>97</v>
      </c>
      <c r="T807" t="s">
        <v>97</v>
      </c>
      <c r="U807" t="s">
        <v>97</v>
      </c>
      <c r="V807">
        <v>9184.2999999999993</v>
      </c>
      <c r="W807">
        <v>177943</v>
      </c>
      <c r="X807">
        <v>1</v>
      </c>
      <c r="Y807">
        <f t="shared" si="12"/>
        <v>177943</v>
      </c>
      <c r="Z807" t="str">
        <f>IF(ISNUMBER(SEARCH("Adjustment",$C807)),"excluded",IF($H807="Behind the Meter","excluded",IF(NOT(OR($E807="Bundled",$E807="Energy")),"excluded",IF(OR($H807="Retail Power Marketer",$H807="Community Choice Aggregator",$E807="Energy"),"procurement",IF(OR($H807="Municipal",$H807="Cooperative",$H807="Federal",$H807="State",$H807="Political Subdivision"),"cost_service",IF($H807="Investor Owned",IF(AND(COUNTIF(Parameters!$A$4:$A$33,$G807)&gt;0,COUNTIF(Parameters!$B$4:$B$33,$B807)=0),"procurement","cost_service"),"unclassified"))))))</f>
        <v>procurement</v>
      </c>
    </row>
    <row r="808" spans="1:26" x14ac:dyDescent="0.25">
      <c r="A808">
        <v>2024</v>
      </c>
      <c r="B808">
        <v>12917</v>
      </c>
      <c r="C808" t="s">
        <v>848</v>
      </c>
      <c r="D808" t="s">
        <v>150</v>
      </c>
      <c r="E808" t="s">
        <v>85</v>
      </c>
      <c r="F808" t="s">
        <v>86</v>
      </c>
      <c r="G808" t="s">
        <v>57</v>
      </c>
      <c r="H808" t="s">
        <v>101</v>
      </c>
      <c r="I808" t="s">
        <v>151</v>
      </c>
      <c r="J808" t="s">
        <v>97</v>
      </c>
      <c r="K808" t="s">
        <v>97</v>
      </c>
      <c r="L808" t="s">
        <v>97</v>
      </c>
      <c r="M808">
        <v>26763.8</v>
      </c>
      <c r="N808">
        <v>237168</v>
      </c>
      <c r="O808">
        <v>2</v>
      </c>
      <c r="P808" t="s">
        <v>97</v>
      </c>
      <c r="Q808" t="s">
        <v>97</v>
      </c>
      <c r="R808" t="s">
        <v>97</v>
      </c>
      <c r="S808" t="s">
        <v>97</v>
      </c>
      <c r="T808" t="s">
        <v>97</v>
      </c>
      <c r="U808" t="s">
        <v>97</v>
      </c>
      <c r="V808">
        <v>26763.8</v>
      </c>
      <c r="W808">
        <v>237168</v>
      </c>
      <c r="X808">
        <v>2</v>
      </c>
      <c r="Y808">
        <f t="shared" si="12"/>
        <v>237168</v>
      </c>
      <c r="Z808" t="str">
        <f>IF(ISNUMBER(SEARCH("Adjustment",$C808)),"excluded",IF($H808="Behind the Meter","excluded",IF(NOT(OR($E808="Bundled",$E808="Energy")),"excluded",IF(OR($H808="Retail Power Marketer",$H808="Community Choice Aggregator",$E808="Energy"),"procurement",IF(OR($H808="Municipal",$H808="Cooperative",$H808="Federal",$H808="State",$H808="Political Subdivision"),"cost_service",IF($H808="Investor Owned",IF(AND(COUNTIF(Parameters!$A$4:$A$33,$G808)&gt;0,COUNTIF(Parameters!$B$4:$B$33,$B808)=0),"procurement","cost_service"),"unclassified"))))))</f>
        <v>procurement</v>
      </c>
    </row>
    <row r="809" spans="1:26" x14ac:dyDescent="0.25">
      <c r="A809">
        <v>2024</v>
      </c>
      <c r="B809">
        <v>12919</v>
      </c>
      <c r="C809" t="s">
        <v>849</v>
      </c>
      <c r="D809" t="s">
        <v>84</v>
      </c>
      <c r="E809" t="s">
        <v>85</v>
      </c>
      <c r="F809" t="s">
        <v>86</v>
      </c>
      <c r="G809" t="s">
        <v>108</v>
      </c>
      <c r="H809" t="s">
        <v>109</v>
      </c>
      <c r="I809" t="s">
        <v>243</v>
      </c>
      <c r="J809">
        <v>2366.6</v>
      </c>
      <c r="K809">
        <v>21078</v>
      </c>
      <c r="L809">
        <v>2232</v>
      </c>
      <c r="M809">
        <v>1787.2</v>
      </c>
      <c r="N809">
        <v>16742</v>
      </c>
      <c r="O809">
        <v>396</v>
      </c>
      <c r="P809">
        <v>123443.6</v>
      </c>
      <c r="Q809">
        <v>2702496</v>
      </c>
      <c r="R809">
        <v>2</v>
      </c>
      <c r="S809">
        <v>0</v>
      </c>
      <c r="T809">
        <v>0</v>
      </c>
      <c r="U809">
        <v>0</v>
      </c>
      <c r="V809">
        <v>127597.4</v>
      </c>
      <c r="W809">
        <v>2740316</v>
      </c>
      <c r="X809">
        <v>2630</v>
      </c>
      <c r="Y809">
        <f t="shared" si="12"/>
        <v>2740316</v>
      </c>
      <c r="Z809" t="str">
        <f>IF(ISNUMBER(SEARCH("Adjustment",$C809)),"excluded",IF($H809="Behind the Meter","excluded",IF(NOT(OR($E809="Bundled",$E809="Energy")),"excluded",IF(OR($H809="Retail Power Marketer",$H809="Community Choice Aggregator",$E809="Energy"),"procurement",IF(OR($H809="Municipal",$H809="Cooperative",$H809="Federal",$H809="State",$H809="Political Subdivision"),"cost_service",IF($H809="Investor Owned",IF(AND(COUNTIF(Parameters!$A$4:$A$33,$G809)&gt;0,COUNTIF(Parameters!$B$4:$B$33,$B809)=0),"procurement","cost_service"),"unclassified"))))))</f>
        <v>cost_service</v>
      </c>
    </row>
    <row r="810" spans="1:26" x14ac:dyDescent="0.25">
      <c r="A810">
        <v>2024</v>
      </c>
      <c r="B810">
        <v>12929</v>
      </c>
      <c r="C810" t="s">
        <v>850</v>
      </c>
      <c r="D810" t="s">
        <v>84</v>
      </c>
      <c r="E810" t="s">
        <v>85</v>
      </c>
      <c r="F810" t="s">
        <v>86</v>
      </c>
      <c r="G810" t="s">
        <v>130</v>
      </c>
      <c r="H810" t="s">
        <v>91</v>
      </c>
      <c r="I810" t="s">
        <v>96</v>
      </c>
      <c r="J810">
        <v>79935</v>
      </c>
      <c r="K810">
        <v>450962</v>
      </c>
      <c r="L810">
        <v>34901</v>
      </c>
      <c r="M810">
        <v>8168</v>
      </c>
      <c r="N810">
        <v>56312</v>
      </c>
      <c r="O810">
        <v>592</v>
      </c>
      <c r="P810">
        <v>9171</v>
      </c>
      <c r="Q810">
        <v>82227</v>
      </c>
      <c r="R810">
        <v>11</v>
      </c>
      <c r="S810" t="s">
        <v>97</v>
      </c>
      <c r="T810" t="s">
        <v>97</v>
      </c>
      <c r="U810" t="s">
        <v>97</v>
      </c>
      <c r="V810">
        <v>97274</v>
      </c>
      <c r="W810">
        <v>589501</v>
      </c>
      <c r="X810">
        <v>35504</v>
      </c>
      <c r="Y810">
        <f t="shared" si="12"/>
        <v>589501</v>
      </c>
      <c r="Z810" t="str">
        <f>IF(ISNUMBER(SEARCH("Adjustment",$C810)),"excluded",IF($H810="Behind the Meter","excluded",IF(NOT(OR($E810="Bundled",$E810="Energy")),"excluded",IF(OR($H810="Retail Power Marketer",$H810="Community Choice Aggregator",$E810="Energy"),"procurement",IF(OR($H810="Municipal",$H810="Cooperative",$H810="Federal",$H810="State",$H810="Political Subdivision"),"cost_service",IF($H810="Investor Owned",IF(AND(COUNTIF(Parameters!$A$4:$A$33,$G810)&gt;0,COUNTIF(Parameters!$B$4:$B$33,$B810)=0),"procurement","cost_service"),"unclassified"))))))</f>
        <v>cost_service</v>
      </c>
    </row>
    <row r="811" spans="1:26" x14ac:dyDescent="0.25">
      <c r="A811">
        <v>2024</v>
      </c>
      <c r="B811">
        <v>12944</v>
      </c>
      <c r="C811" t="s">
        <v>851</v>
      </c>
      <c r="D811" t="s">
        <v>84</v>
      </c>
      <c r="E811" t="s">
        <v>85</v>
      </c>
      <c r="F811" t="s">
        <v>86</v>
      </c>
      <c r="G811" t="s">
        <v>125</v>
      </c>
      <c r="H811" t="s">
        <v>88</v>
      </c>
      <c r="I811" t="s">
        <v>126</v>
      </c>
      <c r="J811">
        <v>8012</v>
      </c>
      <c r="K811">
        <v>75066</v>
      </c>
      <c r="L811">
        <v>7055</v>
      </c>
      <c r="M811">
        <v>8607</v>
      </c>
      <c r="N811">
        <v>104382</v>
      </c>
      <c r="O811">
        <v>1774</v>
      </c>
      <c r="P811">
        <v>8391</v>
      </c>
      <c r="Q811">
        <v>117702</v>
      </c>
      <c r="R811">
        <v>39</v>
      </c>
      <c r="S811" t="s">
        <v>97</v>
      </c>
      <c r="T811" t="s">
        <v>97</v>
      </c>
      <c r="U811" t="s">
        <v>97</v>
      </c>
      <c r="V811">
        <v>25010</v>
      </c>
      <c r="W811">
        <v>297150</v>
      </c>
      <c r="X811">
        <v>8868</v>
      </c>
      <c r="Y811">
        <f t="shared" si="12"/>
        <v>297150</v>
      </c>
      <c r="Z811" t="str">
        <f>IF(ISNUMBER(SEARCH("Adjustment",$C811)),"excluded",IF($H811="Behind the Meter","excluded",IF(NOT(OR($E811="Bundled",$E811="Energy")),"excluded",IF(OR($H811="Retail Power Marketer",$H811="Community Choice Aggregator",$E811="Energy"),"procurement",IF(OR($H811="Municipal",$H811="Cooperative",$H811="Federal",$H811="State",$H811="Political Subdivision"),"cost_service",IF($H811="Investor Owned",IF(AND(COUNTIF(Parameters!$A$4:$A$33,$G811)&gt;0,COUNTIF(Parameters!$B$4:$B$33,$B811)=0),"procurement","cost_service"),"unclassified"))))))</f>
        <v>cost_service</v>
      </c>
    </row>
    <row r="812" spans="1:26" x14ac:dyDescent="0.25">
      <c r="A812">
        <v>2024</v>
      </c>
      <c r="B812">
        <v>12988</v>
      </c>
      <c r="C812" t="s">
        <v>852</v>
      </c>
      <c r="D812" t="s">
        <v>84</v>
      </c>
      <c r="E812" t="s">
        <v>85</v>
      </c>
      <c r="F812" t="s">
        <v>86</v>
      </c>
      <c r="G812" t="s">
        <v>156</v>
      </c>
      <c r="H812" t="s">
        <v>88</v>
      </c>
      <c r="I812" t="s">
        <v>89</v>
      </c>
      <c r="J812">
        <v>21567</v>
      </c>
      <c r="K812">
        <v>169235</v>
      </c>
      <c r="L812">
        <v>13459</v>
      </c>
      <c r="M812">
        <v>35193</v>
      </c>
      <c r="N812">
        <v>308118</v>
      </c>
      <c r="O812">
        <v>3021</v>
      </c>
      <c r="P812">
        <v>30466</v>
      </c>
      <c r="Q812">
        <v>446774</v>
      </c>
      <c r="R812">
        <v>29</v>
      </c>
      <c r="S812">
        <v>0</v>
      </c>
      <c r="T812">
        <v>0</v>
      </c>
      <c r="U812">
        <v>0</v>
      </c>
      <c r="V812">
        <v>87226</v>
      </c>
      <c r="W812">
        <v>924127</v>
      </c>
      <c r="X812">
        <v>16509</v>
      </c>
      <c r="Y812">
        <f t="shared" si="12"/>
        <v>924127</v>
      </c>
      <c r="Z812" t="str">
        <f>IF(ISNUMBER(SEARCH("Adjustment",$C812)),"excluded",IF($H812="Behind the Meter","excluded",IF(NOT(OR($E812="Bundled",$E812="Energy")),"excluded",IF(OR($H812="Retail Power Marketer",$H812="Community Choice Aggregator",$E812="Energy"),"procurement",IF(OR($H812="Municipal",$H812="Cooperative",$H812="Federal",$H812="State",$H812="Political Subdivision"),"cost_service",IF($H812="Investor Owned",IF(AND(COUNTIF(Parameters!$A$4:$A$33,$G812)&gt;0,COUNTIF(Parameters!$B$4:$B$33,$B812)=0),"procurement","cost_service"),"unclassified"))))))</f>
        <v>cost_service</v>
      </c>
    </row>
    <row r="813" spans="1:26" x14ac:dyDescent="0.25">
      <c r="A813">
        <v>2024</v>
      </c>
      <c r="B813">
        <v>12990</v>
      </c>
      <c r="C813" t="s">
        <v>853</v>
      </c>
      <c r="D813" t="s">
        <v>84</v>
      </c>
      <c r="E813" t="s">
        <v>85</v>
      </c>
      <c r="F813" t="s">
        <v>86</v>
      </c>
      <c r="G813" t="s">
        <v>54</v>
      </c>
      <c r="H813" t="s">
        <v>91</v>
      </c>
      <c r="I813" t="s">
        <v>92</v>
      </c>
      <c r="J813">
        <v>41474</v>
      </c>
      <c r="K813">
        <v>257472</v>
      </c>
      <c r="L813">
        <v>16897</v>
      </c>
      <c r="M813">
        <v>15500</v>
      </c>
      <c r="N813">
        <v>105064</v>
      </c>
      <c r="O813">
        <v>2363</v>
      </c>
      <c r="P813">
        <v>7853</v>
      </c>
      <c r="Q813">
        <v>67699</v>
      </c>
      <c r="R813">
        <v>12</v>
      </c>
      <c r="S813" t="s">
        <v>97</v>
      </c>
      <c r="T813" t="s">
        <v>97</v>
      </c>
      <c r="U813" t="s">
        <v>97</v>
      </c>
      <c r="V813">
        <v>64827</v>
      </c>
      <c r="W813">
        <v>430235</v>
      </c>
      <c r="X813">
        <v>19272</v>
      </c>
      <c r="Y813">
        <f t="shared" si="12"/>
        <v>430235</v>
      </c>
      <c r="Z813" t="str">
        <f>IF(ISNUMBER(SEARCH("Adjustment",$C813)),"excluded",IF($H813="Behind the Meter","excluded",IF(NOT(OR($E813="Bundled",$E813="Energy")),"excluded",IF(OR($H813="Retail Power Marketer",$H813="Community Choice Aggregator",$E813="Energy"),"procurement",IF(OR($H813="Municipal",$H813="Cooperative",$H813="Federal",$H813="State",$H813="Political Subdivision"),"cost_service",IF($H813="Investor Owned",IF(AND(COUNTIF(Parameters!$A$4:$A$33,$G813)&gt;0,COUNTIF(Parameters!$B$4:$B$33,$B813)=0),"procurement","cost_service"),"unclassified"))))))</f>
        <v>cost_service</v>
      </c>
    </row>
    <row r="814" spans="1:26" x14ac:dyDescent="0.25">
      <c r="A814">
        <v>2024</v>
      </c>
      <c r="B814">
        <v>13027</v>
      </c>
      <c r="C814" t="s">
        <v>854</v>
      </c>
      <c r="D814" t="s">
        <v>84</v>
      </c>
      <c r="E814" t="s">
        <v>85</v>
      </c>
      <c r="F814" t="s">
        <v>86</v>
      </c>
      <c r="G814" t="s">
        <v>125</v>
      </c>
      <c r="H814" t="s">
        <v>91</v>
      </c>
      <c r="I814" t="s">
        <v>89</v>
      </c>
      <c r="J814">
        <v>21452</v>
      </c>
      <c r="K814">
        <v>171496</v>
      </c>
      <c r="L814">
        <v>15491</v>
      </c>
      <c r="M814">
        <v>13598</v>
      </c>
      <c r="N814">
        <v>98201</v>
      </c>
      <c r="O814">
        <v>4573</v>
      </c>
      <c r="P814">
        <v>0</v>
      </c>
      <c r="Q814">
        <v>0</v>
      </c>
      <c r="R814">
        <v>0</v>
      </c>
      <c r="S814">
        <v>0</v>
      </c>
      <c r="T814">
        <v>0</v>
      </c>
      <c r="U814">
        <v>0</v>
      </c>
      <c r="V814">
        <v>35050</v>
      </c>
      <c r="W814">
        <v>269697</v>
      </c>
      <c r="X814">
        <v>20064</v>
      </c>
      <c r="Y814">
        <f t="shared" si="12"/>
        <v>269697</v>
      </c>
      <c r="Z814" t="str">
        <f>IF(ISNUMBER(SEARCH("Adjustment",$C814)),"excluded",IF($H814="Behind the Meter","excluded",IF(NOT(OR($E814="Bundled",$E814="Energy")),"excluded",IF(OR($H814="Retail Power Marketer",$H814="Community Choice Aggregator",$E814="Energy"),"procurement",IF(OR($H814="Municipal",$H814="Cooperative",$H814="Federal",$H814="State",$H814="Political Subdivision"),"cost_service",IF($H814="Investor Owned",IF(AND(COUNTIF(Parameters!$A$4:$A$33,$G814)&gt;0,COUNTIF(Parameters!$B$4:$B$33,$B814)=0),"procurement","cost_service"),"unclassified"))))))</f>
        <v>cost_service</v>
      </c>
    </row>
    <row r="815" spans="1:26" x14ac:dyDescent="0.25">
      <c r="A815">
        <v>2024</v>
      </c>
      <c r="B815">
        <v>13027</v>
      </c>
      <c r="C815" t="s">
        <v>854</v>
      </c>
      <c r="D815" t="s">
        <v>84</v>
      </c>
      <c r="E815" t="s">
        <v>85</v>
      </c>
      <c r="F815" t="s">
        <v>86</v>
      </c>
      <c r="G815" t="s">
        <v>156</v>
      </c>
      <c r="H815" t="s">
        <v>91</v>
      </c>
      <c r="I815" t="s">
        <v>89</v>
      </c>
      <c r="J815">
        <v>18527</v>
      </c>
      <c r="K815">
        <v>150090</v>
      </c>
      <c r="L815">
        <v>12539</v>
      </c>
      <c r="M815">
        <v>10437</v>
      </c>
      <c r="N815">
        <v>75008</v>
      </c>
      <c r="O815">
        <v>3720</v>
      </c>
      <c r="P815">
        <v>5692</v>
      </c>
      <c r="Q815">
        <v>96185</v>
      </c>
      <c r="R815">
        <v>3</v>
      </c>
      <c r="S815">
        <v>0</v>
      </c>
      <c r="T815">
        <v>0</v>
      </c>
      <c r="U815">
        <v>0</v>
      </c>
      <c r="V815">
        <v>34656</v>
      </c>
      <c r="W815">
        <v>321283</v>
      </c>
      <c r="X815">
        <v>16262</v>
      </c>
      <c r="Y815">
        <f t="shared" si="12"/>
        <v>321283</v>
      </c>
      <c r="Z815" t="str">
        <f>IF(ISNUMBER(SEARCH("Adjustment",$C815)),"excluded",IF($H815="Behind the Meter","excluded",IF(NOT(OR($E815="Bundled",$E815="Energy")),"excluded",IF(OR($H815="Retail Power Marketer",$H815="Community Choice Aggregator",$E815="Energy"),"procurement",IF(OR($H815="Municipal",$H815="Cooperative",$H815="Federal",$H815="State",$H815="Political Subdivision"),"cost_service",IF($H815="Investor Owned",IF(AND(COUNTIF(Parameters!$A$4:$A$33,$G815)&gt;0,COUNTIF(Parameters!$B$4:$B$33,$B815)=0),"procurement","cost_service"),"unclassified"))))))</f>
        <v>cost_service</v>
      </c>
    </row>
    <row r="816" spans="1:26" x14ac:dyDescent="0.25">
      <c r="A816">
        <v>2024</v>
      </c>
      <c r="B816">
        <v>13032</v>
      </c>
      <c r="C816" t="s">
        <v>855</v>
      </c>
      <c r="D816" t="s">
        <v>84</v>
      </c>
      <c r="E816" t="s">
        <v>85</v>
      </c>
      <c r="F816" t="s">
        <v>86</v>
      </c>
      <c r="G816" t="s">
        <v>46</v>
      </c>
      <c r="H816" t="s">
        <v>109</v>
      </c>
      <c r="I816" t="s">
        <v>96</v>
      </c>
      <c r="J816">
        <v>8725</v>
      </c>
      <c r="K816">
        <v>45617</v>
      </c>
      <c r="L816">
        <v>4327</v>
      </c>
      <c r="M816">
        <v>2953</v>
      </c>
      <c r="N816">
        <v>15381</v>
      </c>
      <c r="O816">
        <v>818</v>
      </c>
      <c r="P816">
        <v>3872</v>
      </c>
      <c r="Q816">
        <v>22680</v>
      </c>
      <c r="R816">
        <v>88</v>
      </c>
      <c r="S816" t="s">
        <v>97</v>
      </c>
      <c r="T816" t="s">
        <v>97</v>
      </c>
      <c r="U816" t="s">
        <v>97</v>
      </c>
      <c r="V816">
        <v>15550</v>
      </c>
      <c r="W816">
        <v>83678</v>
      </c>
      <c r="X816">
        <v>5233</v>
      </c>
      <c r="Y816">
        <f t="shared" si="12"/>
        <v>83678</v>
      </c>
      <c r="Z816" t="str">
        <f>IF(ISNUMBER(SEARCH("Adjustment",$C816)),"excluded",IF($H816="Behind the Meter","excluded",IF(NOT(OR($E816="Bundled",$E816="Energy")),"excluded",IF(OR($H816="Retail Power Marketer",$H816="Community Choice Aggregator",$E816="Energy"),"procurement",IF(OR($H816="Municipal",$H816="Cooperative",$H816="Federal",$H816="State",$H816="Political Subdivision"),"cost_service",IF($H816="Investor Owned",IF(AND(COUNTIF(Parameters!$A$4:$A$33,$G816)&gt;0,COUNTIF(Parameters!$B$4:$B$33,$B816)=0),"procurement","cost_service"),"unclassified"))))))</f>
        <v>procurement</v>
      </c>
    </row>
    <row r="817" spans="1:26" x14ac:dyDescent="0.25">
      <c r="A817">
        <v>2024</v>
      </c>
      <c r="B817">
        <v>13036</v>
      </c>
      <c r="C817" t="s">
        <v>856</v>
      </c>
      <c r="D817" t="s">
        <v>84</v>
      </c>
      <c r="E817" t="s">
        <v>85</v>
      </c>
      <c r="F817" t="s">
        <v>86</v>
      </c>
      <c r="G817" t="s">
        <v>95</v>
      </c>
      <c r="H817" t="s">
        <v>88</v>
      </c>
      <c r="I817" t="s">
        <v>96</v>
      </c>
      <c r="J817">
        <v>3632.8</v>
      </c>
      <c r="K817">
        <v>29683</v>
      </c>
      <c r="L817">
        <v>3734</v>
      </c>
      <c r="M817">
        <v>3327.5</v>
      </c>
      <c r="N817">
        <v>27826</v>
      </c>
      <c r="O817">
        <v>552</v>
      </c>
      <c r="P817">
        <v>0</v>
      </c>
      <c r="Q817">
        <v>0</v>
      </c>
      <c r="R817">
        <v>0</v>
      </c>
      <c r="S817">
        <v>0</v>
      </c>
      <c r="T817">
        <v>0</v>
      </c>
      <c r="U817">
        <v>0</v>
      </c>
      <c r="V817">
        <v>6960.3</v>
      </c>
      <c r="W817">
        <v>57509</v>
      </c>
      <c r="X817">
        <v>4286</v>
      </c>
      <c r="Y817">
        <f t="shared" si="12"/>
        <v>57509</v>
      </c>
      <c r="Z817" t="str">
        <f>IF(ISNUMBER(SEARCH("Adjustment",$C817)),"excluded",IF($H817="Behind the Meter","excluded",IF(NOT(OR($E817="Bundled",$E817="Energy")),"excluded",IF(OR($H817="Retail Power Marketer",$H817="Community Choice Aggregator",$E817="Energy"),"procurement",IF(OR($H817="Municipal",$H817="Cooperative",$H817="Federal",$H817="State",$H817="Political Subdivision"),"cost_service",IF($H817="Investor Owned",IF(AND(COUNTIF(Parameters!$A$4:$A$33,$G817)&gt;0,COUNTIF(Parameters!$B$4:$B$33,$B817)=0),"procurement","cost_service"),"unclassified"))))))</f>
        <v>cost_service</v>
      </c>
    </row>
    <row r="818" spans="1:26" x14ac:dyDescent="0.25">
      <c r="A818">
        <v>2024</v>
      </c>
      <c r="B818">
        <v>13039</v>
      </c>
      <c r="C818" t="s">
        <v>857</v>
      </c>
      <c r="D818" t="s">
        <v>84</v>
      </c>
      <c r="E818" t="s">
        <v>85</v>
      </c>
      <c r="F818" t="s">
        <v>86</v>
      </c>
      <c r="G818" t="s">
        <v>156</v>
      </c>
      <c r="H818" t="s">
        <v>88</v>
      </c>
      <c r="I818" t="s">
        <v>89</v>
      </c>
      <c r="J818">
        <v>6441</v>
      </c>
      <c r="K818">
        <v>49316</v>
      </c>
      <c r="L818">
        <v>3524</v>
      </c>
      <c r="M818">
        <v>4531</v>
      </c>
      <c r="N818">
        <v>32733</v>
      </c>
      <c r="O818">
        <v>764</v>
      </c>
      <c r="P818">
        <v>5143</v>
      </c>
      <c r="Q818">
        <v>61876</v>
      </c>
      <c r="R818">
        <v>6</v>
      </c>
      <c r="S818">
        <v>0</v>
      </c>
      <c r="T818">
        <v>0</v>
      </c>
      <c r="U818">
        <v>0</v>
      </c>
      <c r="V818">
        <v>16115</v>
      </c>
      <c r="W818">
        <v>143925</v>
      </c>
      <c r="X818">
        <v>4294</v>
      </c>
      <c r="Y818">
        <f t="shared" si="12"/>
        <v>143925</v>
      </c>
      <c r="Z818" t="str">
        <f>IF(ISNUMBER(SEARCH("Adjustment",$C818)),"excluded",IF($H818="Behind the Meter","excluded",IF(NOT(OR($E818="Bundled",$E818="Energy")),"excluded",IF(OR($H818="Retail Power Marketer",$H818="Community Choice Aggregator",$E818="Energy"),"procurement",IF(OR($H818="Municipal",$H818="Cooperative",$H818="Federal",$H818="State",$H818="Political Subdivision"),"cost_service",IF($H818="Investor Owned",IF(AND(COUNTIF(Parameters!$A$4:$A$33,$G818)&gt;0,COUNTIF(Parameters!$B$4:$B$33,$B818)=0),"procurement","cost_service"),"unclassified"))))))</f>
        <v>cost_service</v>
      </c>
    </row>
    <row r="819" spans="1:26" x14ac:dyDescent="0.25">
      <c r="A819">
        <v>2024</v>
      </c>
      <c r="B819">
        <v>13050</v>
      </c>
      <c r="C819" t="s">
        <v>858</v>
      </c>
      <c r="D819" t="s">
        <v>84</v>
      </c>
      <c r="E819" t="s">
        <v>85</v>
      </c>
      <c r="F819" t="s">
        <v>86</v>
      </c>
      <c r="G819" t="s">
        <v>361</v>
      </c>
      <c r="H819" t="s">
        <v>91</v>
      </c>
      <c r="I819" t="s">
        <v>259</v>
      </c>
      <c r="J819">
        <v>27476</v>
      </c>
      <c r="K819">
        <v>171905</v>
      </c>
      <c r="L819">
        <v>19183</v>
      </c>
      <c r="M819">
        <v>16077</v>
      </c>
      <c r="N819">
        <v>130744</v>
      </c>
      <c r="O819">
        <v>3568</v>
      </c>
      <c r="P819">
        <v>3532</v>
      </c>
      <c r="Q819">
        <v>41723</v>
      </c>
      <c r="R819">
        <v>28</v>
      </c>
      <c r="S819">
        <v>0</v>
      </c>
      <c r="T819">
        <v>0</v>
      </c>
      <c r="U819">
        <v>0</v>
      </c>
      <c r="V819">
        <v>47085</v>
      </c>
      <c r="W819">
        <v>344372</v>
      </c>
      <c r="X819">
        <v>22779</v>
      </c>
      <c r="Y819">
        <f t="shared" si="12"/>
        <v>344372</v>
      </c>
      <c r="Z819" t="str">
        <f>IF(ISNUMBER(SEARCH("Adjustment",$C819)),"excluded",IF($H819="Behind the Meter","excluded",IF(NOT(OR($E819="Bundled",$E819="Energy")),"excluded",IF(OR($H819="Retail Power Marketer",$H819="Community Choice Aggregator",$E819="Energy"),"procurement",IF(OR($H819="Municipal",$H819="Cooperative",$H819="Federal",$H819="State",$H819="Political Subdivision"),"cost_service",IF($H819="Investor Owned",IF(AND(COUNTIF(Parameters!$A$4:$A$33,$G819)&gt;0,COUNTIF(Parameters!$B$4:$B$33,$B819)=0),"procurement","cost_service"),"unclassified"))))))</f>
        <v>cost_service</v>
      </c>
    </row>
    <row r="820" spans="1:26" x14ac:dyDescent="0.25">
      <c r="A820">
        <v>2024</v>
      </c>
      <c r="B820">
        <v>13058</v>
      </c>
      <c r="C820" t="s">
        <v>859</v>
      </c>
      <c r="D820" t="s">
        <v>84</v>
      </c>
      <c r="E820" t="s">
        <v>85</v>
      </c>
      <c r="F820" t="s">
        <v>86</v>
      </c>
      <c r="G820" t="s">
        <v>361</v>
      </c>
      <c r="H820" t="s">
        <v>91</v>
      </c>
      <c r="I820" t="s">
        <v>259</v>
      </c>
      <c r="J820">
        <v>99901.3</v>
      </c>
      <c r="K820">
        <v>643841</v>
      </c>
      <c r="L820">
        <v>59789</v>
      </c>
      <c r="M820">
        <v>26288.5</v>
      </c>
      <c r="N820">
        <v>200506</v>
      </c>
      <c r="O820">
        <v>4445</v>
      </c>
      <c r="P820">
        <v>11898.4</v>
      </c>
      <c r="Q820">
        <v>138797</v>
      </c>
      <c r="R820">
        <v>41</v>
      </c>
      <c r="S820" t="s">
        <v>97</v>
      </c>
      <c r="T820" t="s">
        <v>97</v>
      </c>
      <c r="U820" t="s">
        <v>97</v>
      </c>
      <c r="V820">
        <v>138088.20000000001</v>
      </c>
      <c r="W820">
        <v>983144</v>
      </c>
      <c r="X820">
        <v>64275</v>
      </c>
      <c r="Y820">
        <f t="shared" si="12"/>
        <v>983144</v>
      </c>
      <c r="Z820" t="str">
        <f>IF(ISNUMBER(SEARCH("Adjustment",$C820)),"excluded",IF($H820="Behind the Meter","excluded",IF(NOT(OR($E820="Bundled",$E820="Energy")),"excluded",IF(OR($H820="Retail Power Marketer",$H820="Community Choice Aggregator",$E820="Energy"),"procurement",IF(OR($H820="Municipal",$H820="Cooperative",$H820="Federal",$H820="State",$H820="Political Subdivision"),"cost_service",IF($H820="Investor Owned",IF(AND(COUNTIF(Parameters!$A$4:$A$33,$G820)&gt;0,COUNTIF(Parameters!$B$4:$B$33,$B820)=0),"procurement","cost_service"),"unclassified"))))))</f>
        <v>cost_service</v>
      </c>
    </row>
    <row r="821" spans="1:26" x14ac:dyDescent="0.25">
      <c r="A821">
        <v>2024</v>
      </c>
      <c r="B821">
        <v>13073</v>
      </c>
      <c r="C821" t="s">
        <v>860</v>
      </c>
      <c r="D821" t="s">
        <v>84</v>
      </c>
      <c r="E821" t="s">
        <v>85</v>
      </c>
      <c r="F821" t="s">
        <v>86</v>
      </c>
      <c r="G821" t="s">
        <v>242</v>
      </c>
      <c r="H821" t="s">
        <v>91</v>
      </c>
      <c r="I821" t="s">
        <v>390</v>
      </c>
      <c r="J821">
        <v>7274.2</v>
      </c>
      <c r="K821">
        <v>85575</v>
      </c>
      <c r="L821">
        <v>5169</v>
      </c>
      <c r="M821">
        <v>3978.5</v>
      </c>
      <c r="N821">
        <v>41561</v>
      </c>
      <c r="O821">
        <v>1710</v>
      </c>
      <c r="P821">
        <v>30259.599999999999</v>
      </c>
      <c r="Q821">
        <v>434730</v>
      </c>
      <c r="R821">
        <v>461</v>
      </c>
      <c r="S821">
        <v>0</v>
      </c>
      <c r="T821">
        <v>0</v>
      </c>
      <c r="U821">
        <v>0</v>
      </c>
      <c r="V821">
        <v>41512.300000000003</v>
      </c>
      <c r="W821">
        <v>561866</v>
      </c>
      <c r="X821">
        <v>7340</v>
      </c>
      <c r="Y821">
        <f t="shared" si="12"/>
        <v>561866</v>
      </c>
      <c r="Z821" t="str">
        <f>IF(ISNUMBER(SEARCH("Adjustment",$C821)),"excluded",IF($H821="Behind the Meter","excluded",IF(NOT(OR($E821="Bundled",$E821="Energy")),"excluded",IF(OR($H821="Retail Power Marketer",$H821="Community Choice Aggregator",$E821="Energy"),"procurement",IF(OR($H821="Municipal",$H821="Cooperative",$H821="Federal",$H821="State",$H821="Political Subdivision"),"cost_service",IF($H821="Investor Owned",IF(AND(COUNTIF(Parameters!$A$4:$A$33,$G821)&gt;0,COUNTIF(Parameters!$B$4:$B$33,$B821)=0),"procurement","cost_service"),"unclassified"))))))</f>
        <v>cost_service</v>
      </c>
    </row>
    <row r="822" spans="1:26" x14ac:dyDescent="0.25">
      <c r="A822">
        <v>2024</v>
      </c>
      <c r="B822">
        <v>13073</v>
      </c>
      <c r="C822" t="s">
        <v>860</v>
      </c>
      <c r="D822" t="s">
        <v>84</v>
      </c>
      <c r="E822" t="s">
        <v>85</v>
      </c>
      <c r="F822" t="s">
        <v>86</v>
      </c>
      <c r="G822" t="s">
        <v>245</v>
      </c>
      <c r="H822" t="s">
        <v>91</v>
      </c>
      <c r="I822" t="s">
        <v>390</v>
      </c>
      <c r="J822">
        <v>216.1</v>
      </c>
      <c r="K822">
        <v>2250</v>
      </c>
      <c r="L822">
        <v>211</v>
      </c>
      <c r="M822">
        <v>252.9</v>
      </c>
      <c r="N822">
        <v>2443</v>
      </c>
      <c r="O822">
        <v>138</v>
      </c>
      <c r="P822">
        <v>688.5</v>
      </c>
      <c r="Q822">
        <v>9450</v>
      </c>
      <c r="R822">
        <v>60</v>
      </c>
      <c r="S822">
        <v>0</v>
      </c>
      <c r="T822">
        <v>0</v>
      </c>
      <c r="U822">
        <v>0</v>
      </c>
      <c r="V822">
        <v>1157.5</v>
      </c>
      <c r="W822">
        <v>14143</v>
      </c>
      <c r="X822">
        <v>409</v>
      </c>
      <c r="Y822">
        <f t="shared" si="12"/>
        <v>14143</v>
      </c>
      <c r="Z822" t="str">
        <f>IF(ISNUMBER(SEARCH("Adjustment",$C822)),"excluded",IF($H822="Behind the Meter","excluded",IF(NOT(OR($E822="Bundled",$E822="Energy")),"excluded",IF(OR($H822="Retail Power Marketer",$H822="Community Choice Aggregator",$E822="Energy"),"procurement",IF(OR($H822="Municipal",$H822="Cooperative",$H822="Federal",$H822="State",$H822="Political Subdivision"),"cost_service",IF($H822="Investor Owned",IF(AND(COUNTIF(Parameters!$A$4:$A$33,$G822)&gt;0,COUNTIF(Parameters!$B$4:$B$33,$B822)=0),"procurement","cost_service"),"unclassified"))))))</f>
        <v>cost_service</v>
      </c>
    </row>
    <row r="823" spans="1:26" x14ac:dyDescent="0.25">
      <c r="A823">
        <v>2024</v>
      </c>
      <c r="B823">
        <v>13137</v>
      </c>
      <c r="C823" t="s">
        <v>861</v>
      </c>
      <c r="D823" t="s">
        <v>84</v>
      </c>
      <c r="E823" t="s">
        <v>85</v>
      </c>
      <c r="F823" t="s">
        <v>86</v>
      </c>
      <c r="G823" t="s">
        <v>245</v>
      </c>
      <c r="H823" t="s">
        <v>88</v>
      </c>
      <c r="I823" t="s">
        <v>246</v>
      </c>
      <c r="J823">
        <v>14005</v>
      </c>
      <c r="K823">
        <v>126657</v>
      </c>
      <c r="L823">
        <v>17000</v>
      </c>
      <c r="M823">
        <v>17805</v>
      </c>
      <c r="N823">
        <v>224319</v>
      </c>
      <c r="O823">
        <v>3238</v>
      </c>
      <c r="P823">
        <v>2599</v>
      </c>
      <c r="Q823">
        <v>43056</v>
      </c>
      <c r="R823">
        <v>2</v>
      </c>
      <c r="S823" t="s">
        <v>97</v>
      </c>
      <c r="T823" t="s">
        <v>97</v>
      </c>
      <c r="U823" t="s">
        <v>97</v>
      </c>
      <c r="V823">
        <v>34409</v>
      </c>
      <c r="W823">
        <v>394032</v>
      </c>
      <c r="X823">
        <v>20240</v>
      </c>
      <c r="Y823">
        <f t="shared" si="12"/>
        <v>394032</v>
      </c>
      <c r="Z823" t="str">
        <f>IF(ISNUMBER(SEARCH("Adjustment",$C823)),"excluded",IF($H823="Behind the Meter","excluded",IF(NOT(OR($E823="Bundled",$E823="Energy")),"excluded",IF(OR($H823="Retail Power Marketer",$H823="Community Choice Aggregator",$E823="Energy"),"procurement",IF(OR($H823="Municipal",$H823="Cooperative",$H823="Federal",$H823="State",$H823="Political Subdivision"),"cost_service",IF($H823="Investor Owned",IF(AND(COUNTIF(Parameters!$A$4:$A$33,$G823)&gt;0,COUNTIF(Parameters!$B$4:$B$33,$B823)=0),"procurement","cost_service"),"unclassified"))))))</f>
        <v>cost_service</v>
      </c>
    </row>
    <row r="824" spans="1:26" x14ac:dyDescent="0.25">
      <c r="A824">
        <v>2024</v>
      </c>
      <c r="B824">
        <v>13138</v>
      </c>
      <c r="C824" t="s">
        <v>862</v>
      </c>
      <c r="D824" t="s">
        <v>84</v>
      </c>
      <c r="E824" t="s">
        <v>85</v>
      </c>
      <c r="F824" t="s">
        <v>86</v>
      </c>
      <c r="G824" t="s">
        <v>209</v>
      </c>
      <c r="H824" t="s">
        <v>88</v>
      </c>
      <c r="I824" t="s">
        <v>89</v>
      </c>
      <c r="J824">
        <v>8520</v>
      </c>
      <c r="K824">
        <v>64202</v>
      </c>
      <c r="L824">
        <v>6163</v>
      </c>
      <c r="M824">
        <v>15871</v>
      </c>
      <c r="N824">
        <v>147589</v>
      </c>
      <c r="O824">
        <v>1773</v>
      </c>
      <c r="P824">
        <v>2709</v>
      </c>
      <c r="Q824">
        <v>41987</v>
      </c>
      <c r="R824">
        <v>2</v>
      </c>
      <c r="S824">
        <v>0</v>
      </c>
      <c r="T824">
        <v>0</v>
      </c>
      <c r="U824">
        <v>0</v>
      </c>
      <c r="V824">
        <v>27100</v>
      </c>
      <c r="W824">
        <v>253778</v>
      </c>
      <c r="X824">
        <v>7938</v>
      </c>
      <c r="Y824">
        <f t="shared" si="12"/>
        <v>253778</v>
      </c>
      <c r="Z824" t="str">
        <f>IF(ISNUMBER(SEARCH("Adjustment",$C824)),"excluded",IF($H824="Behind the Meter","excluded",IF(NOT(OR($E824="Bundled",$E824="Energy")),"excluded",IF(OR($H824="Retail Power Marketer",$H824="Community Choice Aggregator",$E824="Energy"),"procurement",IF(OR($H824="Municipal",$H824="Cooperative",$H824="Federal",$H824="State",$H824="Political Subdivision"),"cost_service",IF($H824="Investor Owned",IF(AND(COUNTIF(Parameters!$A$4:$A$33,$G824)&gt;0,COUNTIF(Parameters!$B$4:$B$33,$B824)=0),"procurement","cost_service"),"unclassified"))))))</f>
        <v>cost_service</v>
      </c>
    </row>
    <row r="825" spans="1:26" x14ac:dyDescent="0.25">
      <c r="A825">
        <v>2024</v>
      </c>
      <c r="B825">
        <v>13143</v>
      </c>
      <c r="C825" t="s">
        <v>863</v>
      </c>
      <c r="D825" t="s">
        <v>84</v>
      </c>
      <c r="E825" t="s">
        <v>85</v>
      </c>
      <c r="F825" t="s">
        <v>86</v>
      </c>
      <c r="G825" t="s">
        <v>146</v>
      </c>
      <c r="H825" t="s">
        <v>88</v>
      </c>
      <c r="I825" t="s">
        <v>96</v>
      </c>
      <c r="J825">
        <v>12394.2</v>
      </c>
      <c r="K825">
        <v>98119</v>
      </c>
      <c r="L825">
        <v>10123</v>
      </c>
      <c r="M825">
        <v>13314</v>
      </c>
      <c r="N825">
        <v>138754</v>
      </c>
      <c r="O825">
        <v>1585</v>
      </c>
      <c r="P825">
        <v>40733.9</v>
      </c>
      <c r="Q825">
        <v>637771</v>
      </c>
      <c r="R825">
        <v>16</v>
      </c>
      <c r="S825" t="s">
        <v>97</v>
      </c>
      <c r="T825" t="s">
        <v>97</v>
      </c>
      <c r="U825" t="s">
        <v>97</v>
      </c>
      <c r="V825">
        <v>66442.100000000006</v>
      </c>
      <c r="W825">
        <v>874644</v>
      </c>
      <c r="X825">
        <v>11724</v>
      </c>
      <c r="Y825">
        <f t="shared" si="12"/>
        <v>874644</v>
      </c>
      <c r="Z825" t="str">
        <f>IF(ISNUMBER(SEARCH("Adjustment",$C825)),"excluded",IF($H825="Behind the Meter","excluded",IF(NOT(OR($E825="Bundled",$E825="Energy")),"excluded",IF(OR($H825="Retail Power Marketer",$H825="Community Choice Aggregator",$E825="Energy"),"procurement",IF(OR($H825="Municipal",$H825="Cooperative",$H825="Federal",$H825="State",$H825="Political Subdivision"),"cost_service",IF($H825="Investor Owned",IF(AND(COUNTIF(Parameters!$A$4:$A$33,$G825)&gt;0,COUNTIF(Parameters!$B$4:$B$33,$B825)=0),"procurement","cost_service"),"unclassified"))))))</f>
        <v>cost_service</v>
      </c>
    </row>
    <row r="826" spans="1:26" x14ac:dyDescent="0.25">
      <c r="A826">
        <v>2024</v>
      </c>
      <c r="B826">
        <v>13144</v>
      </c>
      <c r="C826" t="s">
        <v>864</v>
      </c>
      <c r="D826" t="s">
        <v>84</v>
      </c>
      <c r="E826" t="s">
        <v>85</v>
      </c>
      <c r="F826" t="s">
        <v>86</v>
      </c>
      <c r="G826" t="s">
        <v>112</v>
      </c>
      <c r="H826" t="s">
        <v>88</v>
      </c>
      <c r="I826" t="s">
        <v>89</v>
      </c>
      <c r="J826">
        <v>12631</v>
      </c>
      <c r="K826">
        <v>105580</v>
      </c>
      <c r="L826">
        <v>7154</v>
      </c>
      <c r="M826">
        <v>13519</v>
      </c>
      <c r="N826">
        <v>109529</v>
      </c>
      <c r="O826">
        <v>1837</v>
      </c>
      <c r="P826">
        <v>7767</v>
      </c>
      <c r="Q826">
        <v>102752</v>
      </c>
      <c r="R826">
        <v>9</v>
      </c>
      <c r="S826">
        <v>0</v>
      </c>
      <c r="T826">
        <v>0</v>
      </c>
      <c r="U826">
        <v>0</v>
      </c>
      <c r="V826">
        <v>33917</v>
      </c>
      <c r="W826">
        <v>317861</v>
      </c>
      <c r="X826">
        <v>9000</v>
      </c>
      <c r="Y826">
        <f t="shared" si="12"/>
        <v>317861</v>
      </c>
      <c r="Z826" t="str">
        <f>IF(ISNUMBER(SEARCH("Adjustment",$C826)),"excluded",IF($H826="Behind the Meter","excluded",IF(NOT(OR($E826="Bundled",$E826="Energy")),"excluded",IF(OR($H826="Retail Power Marketer",$H826="Community Choice Aggregator",$E826="Energy"),"procurement",IF(OR($H826="Municipal",$H826="Cooperative",$H826="Federal",$H826="State",$H826="Political Subdivision"),"cost_service",IF($H826="Investor Owned",IF(AND(COUNTIF(Parameters!$A$4:$A$33,$G826)&gt;0,COUNTIF(Parameters!$B$4:$B$33,$B826)=0),"procurement","cost_service"),"unclassified"))))))</f>
        <v>cost_service</v>
      </c>
    </row>
    <row r="827" spans="1:26" x14ac:dyDescent="0.25">
      <c r="A827">
        <v>2024</v>
      </c>
      <c r="B827">
        <v>13145</v>
      </c>
      <c r="C827" t="s">
        <v>865</v>
      </c>
      <c r="D827" t="s">
        <v>84</v>
      </c>
      <c r="E827" t="s">
        <v>85</v>
      </c>
      <c r="F827" t="s">
        <v>86</v>
      </c>
      <c r="G827" t="s">
        <v>95</v>
      </c>
      <c r="H827" t="s">
        <v>88</v>
      </c>
      <c r="I827" t="s">
        <v>96</v>
      </c>
      <c r="J827">
        <v>785.1</v>
      </c>
      <c r="K827">
        <v>7190</v>
      </c>
      <c r="L827">
        <v>938</v>
      </c>
      <c r="M827">
        <v>1026.9000000000001</v>
      </c>
      <c r="N827">
        <v>8813</v>
      </c>
      <c r="O827">
        <v>197</v>
      </c>
      <c r="P827">
        <v>3349.4</v>
      </c>
      <c r="Q827">
        <v>39472</v>
      </c>
      <c r="R827">
        <v>3</v>
      </c>
      <c r="S827">
        <v>0</v>
      </c>
      <c r="T827">
        <v>0</v>
      </c>
      <c r="U827">
        <v>0</v>
      </c>
      <c r="V827">
        <v>5161.3999999999996</v>
      </c>
      <c r="W827">
        <v>55475</v>
      </c>
      <c r="X827">
        <v>1138</v>
      </c>
      <c r="Y827">
        <f t="shared" si="12"/>
        <v>55475</v>
      </c>
      <c r="Z827" t="str">
        <f>IF(ISNUMBER(SEARCH("Adjustment",$C827)),"excluded",IF($H827="Behind the Meter","excluded",IF(NOT(OR($E827="Bundled",$E827="Energy")),"excluded",IF(OR($H827="Retail Power Marketer",$H827="Community Choice Aggregator",$E827="Energy"),"procurement",IF(OR($H827="Municipal",$H827="Cooperative",$H827="Federal",$H827="State",$H827="Political Subdivision"),"cost_service",IF($H827="Investor Owned",IF(AND(COUNTIF(Parameters!$A$4:$A$33,$G827)&gt;0,COUNTIF(Parameters!$B$4:$B$33,$B827)=0),"procurement","cost_service"),"unclassified"))))))</f>
        <v>cost_service</v>
      </c>
    </row>
    <row r="828" spans="1:26" x14ac:dyDescent="0.25">
      <c r="A828">
        <v>2024</v>
      </c>
      <c r="B828">
        <v>13196</v>
      </c>
      <c r="C828" t="s">
        <v>866</v>
      </c>
      <c r="D828" t="s">
        <v>84</v>
      </c>
      <c r="E828" t="s">
        <v>85</v>
      </c>
      <c r="F828" t="s">
        <v>86</v>
      </c>
      <c r="G828" t="s">
        <v>198</v>
      </c>
      <c r="H828" t="s">
        <v>91</v>
      </c>
      <c r="I828" t="s">
        <v>96</v>
      </c>
      <c r="J828">
        <v>24261</v>
      </c>
      <c r="K828">
        <v>227714</v>
      </c>
      <c r="L828">
        <v>10393</v>
      </c>
      <c r="M828">
        <v>8407</v>
      </c>
      <c r="N828">
        <v>76917</v>
      </c>
      <c r="O828">
        <v>1458</v>
      </c>
      <c r="P828">
        <v>11527</v>
      </c>
      <c r="Q828">
        <v>137098</v>
      </c>
      <c r="R828">
        <v>188</v>
      </c>
      <c r="S828">
        <v>0</v>
      </c>
      <c r="T828">
        <v>0</v>
      </c>
      <c r="U828">
        <v>0</v>
      </c>
      <c r="V828">
        <v>44195</v>
      </c>
      <c r="W828">
        <v>441729</v>
      </c>
      <c r="X828">
        <v>12039</v>
      </c>
      <c r="Y828">
        <f t="shared" si="12"/>
        <v>441729</v>
      </c>
      <c r="Z828" t="str">
        <f>IF(ISNUMBER(SEARCH("Adjustment",$C828)),"excluded",IF($H828="Behind the Meter","excluded",IF(NOT(OR($E828="Bundled",$E828="Energy")),"excluded",IF(OR($H828="Retail Power Marketer",$H828="Community Choice Aggregator",$E828="Energy"),"procurement",IF(OR($H828="Municipal",$H828="Cooperative",$H828="Federal",$H828="State",$H828="Political Subdivision"),"cost_service",IF($H828="Investor Owned",IF(AND(COUNTIF(Parameters!$A$4:$A$33,$G828)&gt;0,COUNTIF(Parameters!$B$4:$B$33,$B828)=0),"procurement","cost_service"),"unclassified"))))))</f>
        <v>cost_service</v>
      </c>
    </row>
    <row r="829" spans="1:26" x14ac:dyDescent="0.25">
      <c r="A829">
        <v>2024</v>
      </c>
      <c r="B829">
        <v>13206</v>
      </c>
      <c r="C829" t="s">
        <v>867</v>
      </c>
      <c r="D829" t="s">
        <v>84</v>
      </c>
      <c r="E829" t="s">
        <v>85</v>
      </c>
      <c r="F829" t="s">
        <v>86</v>
      </c>
      <c r="G829" t="s">
        <v>48</v>
      </c>
      <c r="H829" t="s">
        <v>109</v>
      </c>
      <c r="I829" t="s">
        <v>189</v>
      </c>
      <c r="J829">
        <v>6976.4</v>
      </c>
      <c r="K829">
        <v>19871</v>
      </c>
      <c r="L829">
        <v>2055</v>
      </c>
      <c r="M829">
        <v>750.2</v>
      </c>
      <c r="N829">
        <v>2489</v>
      </c>
      <c r="O829">
        <v>250</v>
      </c>
      <c r="P829">
        <v>7.6</v>
      </c>
      <c r="Q829">
        <v>25</v>
      </c>
      <c r="R829">
        <v>1</v>
      </c>
      <c r="S829" t="s">
        <v>97</v>
      </c>
      <c r="T829" t="s">
        <v>97</v>
      </c>
      <c r="U829" t="s">
        <v>97</v>
      </c>
      <c r="V829">
        <v>7734.2</v>
      </c>
      <c r="W829">
        <v>22385</v>
      </c>
      <c r="X829">
        <v>2306</v>
      </c>
      <c r="Y829">
        <f t="shared" si="12"/>
        <v>22385</v>
      </c>
      <c r="Z829" t="str">
        <f>IF(ISNUMBER(SEARCH("Adjustment",$C829)),"excluded",IF($H829="Behind the Meter","excluded",IF(NOT(OR($E829="Bundled",$E829="Energy")),"excluded",IF(OR($H829="Retail Power Marketer",$H829="Community Choice Aggregator",$E829="Energy"),"procurement",IF(OR($H829="Municipal",$H829="Cooperative",$H829="Federal",$H829="State",$H829="Political Subdivision"),"cost_service",IF($H829="Investor Owned",IF(AND(COUNTIF(Parameters!$A$4:$A$33,$G829)&gt;0,COUNTIF(Parameters!$B$4:$B$33,$B829)=0),"procurement","cost_service"),"unclassified"))))))</f>
        <v>procurement</v>
      </c>
    </row>
    <row r="830" spans="1:26" x14ac:dyDescent="0.25">
      <c r="A830">
        <v>2024</v>
      </c>
      <c r="B830">
        <v>13206</v>
      </c>
      <c r="C830" t="s">
        <v>867</v>
      </c>
      <c r="D830" t="s">
        <v>167</v>
      </c>
      <c r="E830" t="s">
        <v>168</v>
      </c>
      <c r="F830" t="s">
        <v>86</v>
      </c>
      <c r="G830" t="s">
        <v>48</v>
      </c>
      <c r="H830" t="s">
        <v>109</v>
      </c>
      <c r="I830" t="s">
        <v>189</v>
      </c>
      <c r="J830">
        <v>19913.3</v>
      </c>
      <c r="K830">
        <v>110153</v>
      </c>
      <c r="L830">
        <v>10768</v>
      </c>
      <c r="M830">
        <v>6784.7</v>
      </c>
      <c r="N830">
        <v>54430</v>
      </c>
      <c r="O830">
        <v>1467</v>
      </c>
      <c r="P830">
        <v>66</v>
      </c>
      <c r="Q830">
        <v>571</v>
      </c>
      <c r="R830">
        <v>3</v>
      </c>
      <c r="S830" t="s">
        <v>97</v>
      </c>
      <c r="T830" t="s">
        <v>97</v>
      </c>
      <c r="U830" t="s">
        <v>97</v>
      </c>
      <c r="V830">
        <v>26764</v>
      </c>
      <c r="W830">
        <v>165154</v>
      </c>
      <c r="X830">
        <v>12238</v>
      </c>
      <c r="Y830">
        <f t="shared" si="12"/>
        <v>165154</v>
      </c>
      <c r="Z830" t="str">
        <f>IF(ISNUMBER(SEARCH("Adjustment",$C830)),"excluded",IF($H830="Behind the Meter","excluded",IF(NOT(OR($E830="Bundled",$E830="Energy")),"excluded",IF(OR($H830="Retail Power Marketer",$H830="Community Choice Aggregator",$E830="Energy"),"procurement",IF(OR($H830="Municipal",$H830="Cooperative",$H830="Federal",$H830="State",$H830="Political Subdivision"),"cost_service",IF($H830="Investor Owned",IF(AND(COUNTIF(Parameters!$A$4:$A$33,$G830)&gt;0,COUNTIF(Parameters!$B$4:$B$33,$B830)=0),"procurement","cost_service"),"unclassified"))))))</f>
        <v>excluded</v>
      </c>
    </row>
    <row r="831" spans="1:26" x14ac:dyDescent="0.25">
      <c r="A831">
        <v>2024</v>
      </c>
      <c r="B831">
        <v>13208</v>
      </c>
      <c r="C831" t="s">
        <v>868</v>
      </c>
      <c r="D831" t="s">
        <v>84</v>
      </c>
      <c r="E831" t="s">
        <v>85</v>
      </c>
      <c r="F831" t="s">
        <v>86</v>
      </c>
      <c r="G831" t="s">
        <v>46</v>
      </c>
      <c r="H831" t="s">
        <v>88</v>
      </c>
      <c r="I831" t="s">
        <v>92</v>
      </c>
      <c r="J831">
        <v>66567.100000000006</v>
      </c>
      <c r="K831">
        <v>512938</v>
      </c>
      <c r="L831">
        <v>56117</v>
      </c>
      <c r="M831">
        <v>66085</v>
      </c>
      <c r="N831">
        <v>609689</v>
      </c>
      <c r="O831">
        <v>6865</v>
      </c>
      <c r="P831">
        <v>9547.7000000000007</v>
      </c>
      <c r="Q831">
        <v>89472</v>
      </c>
      <c r="R831">
        <v>8</v>
      </c>
      <c r="S831" t="s">
        <v>97</v>
      </c>
      <c r="T831" t="s">
        <v>97</v>
      </c>
      <c r="U831" t="s">
        <v>97</v>
      </c>
      <c r="V831">
        <v>142199.79999999999</v>
      </c>
      <c r="W831">
        <v>1212099</v>
      </c>
      <c r="X831">
        <v>62990</v>
      </c>
      <c r="Y831">
        <f t="shared" si="12"/>
        <v>1212099</v>
      </c>
      <c r="Z831" t="str">
        <f>IF(ISNUMBER(SEARCH("Adjustment",$C831)),"excluded",IF($H831="Behind the Meter","excluded",IF(NOT(OR($E831="Bundled",$E831="Energy")),"excluded",IF(OR($H831="Retail Power Marketer",$H831="Community Choice Aggregator",$E831="Energy"),"procurement",IF(OR($H831="Municipal",$H831="Cooperative",$H831="Federal",$H831="State",$H831="Political Subdivision"),"cost_service",IF($H831="Investor Owned",IF(AND(COUNTIF(Parameters!$A$4:$A$33,$G831)&gt;0,COUNTIF(Parameters!$B$4:$B$33,$B831)=0),"procurement","cost_service"),"unclassified"))))))</f>
        <v>cost_service</v>
      </c>
    </row>
    <row r="832" spans="1:26" x14ac:dyDescent="0.25">
      <c r="A832">
        <v>2024</v>
      </c>
      <c r="B832">
        <v>13214</v>
      </c>
      <c r="C832" t="s">
        <v>869</v>
      </c>
      <c r="D832" t="s">
        <v>84</v>
      </c>
      <c r="E832" t="s">
        <v>85</v>
      </c>
      <c r="F832" t="s">
        <v>86</v>
      </c>
      <c r="G832" t="s">
        <v>56</v>
      </c>
      <c r="H832" t="s">
        <v>109</v>
      </c>
      <c r="I832" t="s">
        <v>189</v>
      </c>
      <c r="J832">
        <v>647602.80000000005</v>
      </c>
      <c r="K832">
        <v>2291381</v>
      </c>
      <c r="L832">
        <v>332540</v>
      </c>
      <c r="M832">
        <v>188501.8</v>
      </c>
      <c r="N832">
        <v>813526</v>
      </c>
      <c r="O832">
        <v>34977</v>
      </c>
      <c r="P832">
        <v>22022.9</v>
      </c>
      <c r="Q832">
        <v>84962</v>
      </c>
      <c r="R832">
        <v>926</v>
      </c>
      <c r="S832">
        <v>0</v>
      </c>
      <c r="T832">
        <v>0</v>
      </c>
      <c r="U832">
        <v>0</v>
      </c>
      <c r="V832">
        <v>858127.5</v>
      </c>
      <c r="W832">
        <v>3189869</v>
      </c>
      <c r="X832">
        <v>368443</v>
      </c>
      <c r="Y832">
        <f t="shared" si="12"/>
        <v>3189869</v>
      </c>
      <c r="Z832" t="str">
        <f>IF(ISNUMBER(SEARCH("Adjustment",$C832)),"excluded",IF($H832="Behind the Meter","excluded",IF(NOT(OR($E832="Bundled",$E832="Energy")),"excluded",IF(OR($H832="Retail Power Marketer",$H832="Community Choice Aggregator",$E832="Energy"),"procurement",IF(OR($H832="Municipal",$H832="Cooperative",$H832="Federal",$H832="State",$H832="Political Subdivision"),"cost_service",IF($H832="Investor Owned",IF(AND(COUNTIF(Parameters!$A$4:$A$33,$G832)&gt;0,COUNTIF(Parameters!$B$4:$B$33,$B832)=0),"procurement","cost_service"),"unclassified"))))))</f>
        <v>procurement</v>
      </c>
    </row>
    <row r="833" spans="1:26" x14ac:dyDescent="0.25">
      <c r="A833">
        <v>2024</v>
      </c>
      <c r="B833">
        <v>13214</v>
      </c>
      <c r="C833" t="s">
        <v>869</v>
      </c>
      <c r="D833" t="s">
        <v>167</v>
      </c>
      <c r="E833" t="s">
        <v>168</v>
      </c>
      <c r="F833" t="s">
        <v>86</v>
      </c>
      <c r="G833" t="s">
        <v>56</v>
      </c>
      <c r="H833" t="s">
        <v>109</v>
      </c>
      <c r="I833" t="s">
        <v>189</v>
      </c>
      <c r="J833">
        <v>111762.8</v>
      </c>
      <c r="K833">
        <v>735954</v>
      </c>
      <c r="L833">
        <v>118841</v>
      </c>
      <c r="M833">
        <v>298761.59999999998</v>
      </c>
      <c r="N833">
        <v>2799357</v>
      </c>
      <c r="O833">
        <v>26717</v>
      </c>
      <c r="P833">
        <v>52298.3</v>
      </c>
      <c r="Q833">
        <v>514297</v>
      </c>
      <c r="R833">
        <v>661</v>
      </c>
      <c r="S833">
        <v>2494.6</v>
      </c>
      <c r="T833">
        <v>21914</v>
      </c>
      <c r="U833">
        <v>1</v>
      </c>
      <c r="V833">
        <v>465317.3</v>
      </c>
      <c r="W833">
        <v>4071522</v>
      </c>
      <c r="X833">
        <v>146220</v>
      </c>
      <c r="Y833">
        <f t="shared" si="12"/>
        <v>4071522</v>
      </c>
      <c r="Z833" t="str">
        <f>IF(ISNUMBER(SEARCH("Adjustment",$C833)),"excluded",IF($H833="Behind the Meter","excluded",IF(NOT(OR($E833="Bundled",$E833="Energy")),"excluded",IF(OR($H833="Retail Power Marketer",$H833="Community Choice Aggregator",$E833="Energy"),"procurement",IF(OR($H833="Municipal",$H833="Cooperative",$H833="Federal",$H833="State",$H833="Political Subdivision"),"cost_service",IF($H833="Investor Owned",IF(AND(COUNTIF(Parameters!$A$4:$A$33,$G833)&gt;0,COUNTIF(Parameters!$B$4:$B$33,$B833)=0),"procurement","cost_service"),"unclassified"))))))</f>
        <v>excluded</v>
      </c>
    </row>
    <row r="834" spans="1:26" x14ac:dyDescent="0.25">
      <c r="A834">
        <v>2024</v>
      </c>
      <c r="B834">
        <v>13216</v>
      </c>
      <c r="C834" t="s">
        <v>870</v>
      </c>
      <c r="D834" t="s">
        <v>84</v>
      </c>
      <c r="E834" t="s">
        <v>85</v>
      </c>
      <c r="F834" t="s">
        <v>86</v>
      </c>
      <c r="G834" t="s">
        <v>156</v>
      </c>
      <c r="H834" t="s">
        <v>88</v>
      </c>
      <c r="I834" t="s">
        <v>89</v>
      </c>
      <c r="J834">
        <v>689133</v>
      </c>
      <c r="K834">
        <v>5115864</v>
      </c>
      <c r="L834">
        <v>417640</v>
      </c>
      <c r="M834">
        <v>730152</v>
      </c>
      <c r="N834">
        <v>6069079</v>
      </c>
      <c r="O834">
        <v>45757</v>
      </c>
      <c r="P834">
        <v>69388</v>
      </c>
      <c r="Q834">
        <v>917818</v>
      </c>
      <c r="R834">
        <v>58</v>
      </c>
      <c r="S834">
        <v>0</v>
      </c>
      <c r="T834">
        <v>0</v>
      </c>
      <c r="U834">
        <v>0</v>
      </c>
      <c r="V834">
        <v>1488673</v>
      </c>
      <c r="W834">
        <v>12102761</v>
      </c>
      <c r="X834">
        <v>463455</v>
      </c>
      <c r="Y834">
        <f t="shared" si="12"/>
        <v>12102761</v>
      </c>
      <c r="Z834" t="str">
        <f>IF(ISNUMBER(SEARCH("Adjustment",$C834)),"excluded",IF($H834="Behind the Meter","excluded",IF(NOT(OR($E834="Bundled",$E834="Energy")),"excluded",IF(OR($H834="Retail Power Marketer",$H834="Community Choice Aggregator",$E834="Energy"),"procurement",IF(OR($H834="Municipal",$H834="Cooperative",$H834="Federal",$H834="State",$H834="Political Subdivision"),"cost_service",IF($H834="Investor Owned",IF(AND(COUNTIF(Parameters!$A$4:$A$33,$G834)&gt;0,COUNTIF(Parameters!$B$4:$B$33,$B834)=0),"procurement","cost_service"),"unclassified"))))))</f>
        <v>cost_service</v>
      </c>
    </row>
    <row r="835" spans="1:26" x14ac:dyDescent="0.25">
      <c r="A835">
        <v>2024</v>
      </c>
      <c r="B835">
        <v>13227</v>
      </c>
      <c r="C835" t="s">
        <v>871</v>
      </c>
      <c r="D835" t="s">
        <v>84</v>
      </c>
      <c r="E835" t="s">
        <v>85</v>
      </c>
      <c r="F835" t="s">
        <v>86</v>
      </c>
      <c r="G835" t="s">
        <v>87</v>
      </c>
      <c r="H835" t="s">
        <v>91</v>
      </c>
      <c r="I835" t="s">
        <v>89</v>
      </c>
      <c r="J835">
        <v>21763</v>
      </c>
      <c r="K835">
        <v>170086</v>
      </c>
      <c r="L835">
        <v>12611</v>
      </c>
      <c r="M835">
        <v>14374</v>
      </c>
      <c r="N835">
        <v>104438</v>
      </c>
      <c r="O835">
        <v>3614</v>
      </c>
      <c r="P835">
        <v>2440</v>
      </c>
      <c r="Q835">
        <v>22187</v>
      </c>
      <c r="R835">
        <v>4</v>
      </c>
      <c r="S835">
        <v>0</v>
      </c>
      <c r="T835">
        <v>0</v>
      </c>
      <c r="U835">
        <v>0</v>
      </c>
      <c r="V835">
        <v>38577</v>
      </c>
      <c r="W835">
        <v>296711</v>
      </c>
      <c r="X835">
        <v>16229</v>
      </c>
      <c r="Y835">
        <f t="shared" si="12"/>
        <v>296711</v>
      </c>
      <c r="Z835" t="str">
        <f>IF(ISNUMBER(SEARCH("Adjustment",$C835)),"excluded",IF($H835="Behind the Meter","excluded",IF(NOT(OR($E835="Bundled",$E835="Energy")),"excluded",IF(OR($H835="Retail Power Marketer",$H835="Community Choice Aggregator",$E835="Energy"),"procurement",IF(OR($H835="Municipal",$H835="Cooperative",$H835="Federal",$H835="State",$H835="Political Subdivision"),"cost_service",IF($H835="Investor Owned",IF(AND(COUNTIF(Parameters!$A$4:$A$33,$G835)&gt;0,COUNTIF(Parameters!$B$4:$B$33,$B835)=0),"procurement","cost_service"),"unclassified"))))))</f>
        <v>cost_service</v>
      </c>
    </row>
    <row r="836" spans="1:26" x14ac:dyDescent="0.25">
      <c r="A836">
        <v>2024</v>
      </c>
      <c r="B836">
        <v>13228</v>
      </c>
      <c r="C836" t="s">
        <v>872</v>
      </c>
      <c r="D836" t="s">
        <v>84</v>
      </c>
      <c r="E836" t="s">
        <v>85</v>
      </c>
      <c r="F836" t="s">
        <v>86</v>
      </c>
      <c r="G836" t="s">
        <v>138</v>
      </c>
      <c r="H836" t="s">
        <v>88</v>
      </c>
      <c r="I836" t="s">
        <v>96</v>
      </c>
      <c r="J836">
        <v>8072.4</v>
      </c>
      <c r="K836">
        <v>87226</v>
      </c>
      <c r="L836">
        <v>7234</v>
      </c>
      <c r="M836">
        <v>9669.5</v>
      </c>
      <c r="N836">
        <v>107833</v>
      </c>
      <c r="O836">
        <v>1242</v>
      </c>
      <c r="P836">
        <v>3437.1</v>
      </c>
      <c r="Q836">
        <v>74927</v>
      </c>
      <c r="R836">
        <v>5</v>
      </c>
      <c r="S836" t="s">
        <v>97</v>
      </c>
      <c r="T836" t="s">
        <v>97</v>
      </c>
      <c r="U836" t="s">
        <v>97</v>
      </c>
      <c r="V836">
        <v>21179</v>
      </c>
      <c r="W836">
        <v>269986</v>
      </c>
      <c r="X836">
        <v>8481</v>
      </c>
      <c r="Y836">
        <f t="shared" ref="Y836:Y899" si="13">IF(ISNUMBER($W836),$W836,0)</f>
        <v>269986</v>
      </c>
      <c r="Z836" t="str">
        <f>IF(ISNUMBER(SEARCH("Adjustment",$C836)),"excluded",IF($H836="Behind the Meter","excluded",IF(NOT(OR($E836="Bundled",$E836="Energy")),"excluded",IF(OR($H836="Retail Power Marketer",$H836="Community Choice Aggregator",$E836="Energy"),"procurement",IF(OR($H836="Municipal",$H836="Cooperative",$H836="Federal",$H836="State",$H836="Political Subdivision"),"cost_service",IF($H836="Investor Owned",IF(AND(COUNTIF(Parameters!$A$4:$A$33,$G836)&gt;0,COUNTIF(Parameters!$B$4:$B$33,$B836)=0),"procurement","cost_service"),"unclassified"))))))</f>
        <v>cost_service</v>
      </c>
    </row>
    <row r="837" spans="1:26" x14ac:dyDescent="0.25">
      <c r="A837">
        <v>2024</v>
      </c>
      <c r="B837">
        <v>13292</v>
      </c>
      <c r="C837" t="s">
        <v>873</v>
      </c>
      <c r="D837" t="s">
        <v>84</v>
      </c>
      <c r="E837" t="s">
        <v>85</v>
      </c>
      <c r="F837" t="s">
        <v>86</v>
      </c>
      <c r="G837" t="s">
        <v>46</v>
      </c>
      <c r="H837" t="s">
        <v>91</v>
      </c>
      <c r="I837" t="s">
        <v>96</v>
      </c>
      <c r="J837">
        <v>36904</v>
      </c>
      <c r="K837">
        <v>244675</v>
      </c>
      <c r="L837">
        <v>18074</v>
      </c>
      <c r="M837">
        <v>12546</v>
      </c>
      <c r="N837">
        <v>92927</v>
      </c>
      <c r="O837">
        <v>2213</v>
      </c>
      <c r="P837">
        <v>3595</v>
      </c>
      <c r="Q837">
        <v>23621</v>
      </c>
      <c r="R837">
        <v>13</v>
      </c>
      <c r="S837" t="s">
        <v>97</v>
      </c>
      <c r="T837" t="s">
        <v>97</v>
      </c>
      <c r="U837" t="s">
        <v>97</v>
      </c>
      <c r="V837">
        <v>53045</v>
      </c>
      <c r="W837">
        <v>361223</v>
      </c>
      <c r="X837">
        <v>20300</v>
      </c>
      <c r="Y837">
        <f t="shared" si="13"/>
        <v>361223</v>
      </c>
      <c r="Z837" t="str">
        <f>IF(ISNUMBER(SEARCH("Adjustment",$C837)),"excluded",IF($H837="Behind the Meter","excluded",IF(NOT(OR($E837="Bundled",$E837="Energy")),"excluded",IF(OR($H837="Retail Power Marketer",$H837="Community Choice Aggregator",$E837="Energy"),"procurement",IF(OR($H837="Municipal",$H837="Cooperative",$H837="Federal",$H837="State",$H837="Political Subdivision"),"cost_service",IF($H837="Investor Owned",IF(AND(COUNTIF(Parameters!$A$4:$A$33,$G837)&gt;0,COUNTIF(Parameters!$B$4:$B$33,$B837)=0),"procurement","cost_service"),"unclassified"))))))</f>
        <v>cost_service</v>
      </c>
    </row>
    <row r="838" spans="1:26" x14ac:dyDescent="0.25">
      <c r="A838">
        <v>2024</v>
      </c>
      <c r="B838">
        <v>13314</v>
      </c>
      <c r="C838" t="s">
        <v>874</v>
      </c>
      <c r="D838" t="s">
        <v>84</v>
      </c>
      <c r="E838" t="s">
        <v>85</v>
      </c>
      <c r="F838" t="s">
        <v>86</v>
      </c>
      <c r="G838" t="s">
        <v>108</v>
      </c>
      <c r="H838" t="s">
        <v>75</v>
      </c>
      <c r="I838" t="s">
        <v>246</v>
      </c>
      <c r="J838">
        <v>26410</v>
      </c>
      <c r="K838">
        <v>158835</v>
      </c>
      <c r="L838">
        <v>27014</v>
      </c>
      <c r="M838">
        <v>36048</v>
      </c>
      <c r="N838">
        <v>206972</v>
      </c>
      <c r="O838">
        <v>3330</v>
      </c>
      <c r="P838">
        <v>6362</v>
      </c>
      <c r="Q838">
        <v>79935</v>
      </c>
      <c r="R838">
        <v>2</v>
      </c>
      <c r="S838">
        <v>0</v>
      </c>
      <c r="T838">
        <v>0</v>
      </c>
      <c r="U838">
        <v>0</v>
      </c>
      <c r="V838">
        <v>68820</v>
      </c>
      <c r="W838">
        <v>445742</v>
      </c>
      <c r="X838">
        <v>30346</v>
      </c>
      <c r="Y838">
        <f t="shared" si="13"/>
        <v>445742</v>
      </c>
      <c r="Z838" t="str">
        <f>IF(ISNUMBER(SEARCH("Adjustment",$C838)),"excluded",IF($H838="Behind the Meter","excluded",IF(NOT(OR($E838="Bundled",$E838="Energy")),"excluded",IF(OR($H838="Retail Power Marketer",$H838="Community Choice Aggregator",$E838="Energy"),"procurement",IF(OR($H838="Municipal",$H838="Cooperative",$H838="Federal",$H838="State",$H838="Political Subdivision"),"cost_service",IF($H838="Investor Owned",IF(AND(COUNTIF(Parameters!$A$4:$A$33,$G838)&gt;0,COUNTIF(Parameters!$B$4:$B$33,$B838)=0),"procurement","cost_service"),"unclassified"))))))</f>
        <v>cost_service</v>
      </c>
    </row>
    <row r="839" spans="1:26" x14ac:dyDescent="0.25">
      <c r="A839">
        <v>2024</v>
      </c>
      <c r="B839">
        <v>13314</v>
      </c>
      <c r="C839" t="s">
        <v>874</v>
      </c>
      <c r="D839" t="s">
        <v>84</v>
      </c>
      <c r="E839" t="s">
        <v>85</v>
      </c>
      <c r="F839" t="s">
        <v>86</v>
      </c>
      <c r="G839" t="s">
        <v>308</v>
      </c>
      <c r="H839" t="s">
        <v>75</v>
      </c>
      <c r="I839" t="s">
        <v>246</v>
      </c>
      <c r="J839">
        <v>10016</v>
      </c>
      <c r="K839">
        <v>60590</v>
      </c>
      <c r="L839">
        <v>9834</v>
      </c>
      <c r="M839">
        <v>10772</v>
      </c>
      <c r="N839">
        <v>62451</v>
      </c>
      <c r="O839">
        <v>940</v>
      </c>
      <c r="P839">
        <v>475</v>
      </c>
      <c r="Q839">
        <v>1992</v>
      </c>
      <c r="R839">
        <v>140</v>
      </c>
      <c r="S839">
        <v>0</v>
      </c>
      <c r="T839">
        <v>0</v>
      </c>
      <c r="U839">
        <v>0</v>
      </c>
      <c r="V839">
        <v>21263</v>
      </c>
      <c r="W839">
        <v>125033</v>
      </c>
      <c r="X839">
        <v>10914</v>
      </c>
      <c r="Y839">
        <f t="shared" si="13"/>
        <v>125033</v>
      </c>
      <c r="Z839" t="str">
        <f>IF(ISNUMBER(SEARCH("Adjustment",$C839)),"excluded",IF($H839="Behind the Meter","excluded",IF(NOT(OR($E839="Bundled",$E839="Energy")),"excluded",IF(OR($H839="Retail Power Marketer",$H839="Community Choice Aggregator",$E839="Energy"),"procurement",IF(OR($H839="Municipal",$H839="Cooperative",$H839="Federal",$H839="State",$H839="Political Subdivision"),"cost_service",IF($H839="Investor Owned",IF(AND(COUNTIF(Parameters!$A$4:$A$33,$G839)&gt;0,COUNTIF(Parameters!$B$4:$B$33,$B839)=0),"procurement","cost_service"),"unclassified"))))))</f>
        <v>cost_service</v>
      </c>
    </row>
    <row r="840" spans="1:26" x14ac:dyDescent="0.25">
      <c r="A840">
        <v>2024</v>
      </c>
      <c r="B840">
        <v>13314</v>
      </c>
      <c r="C840" t="s">
        <v>874</v>
      </c>
      <c r="D840" t="s">
        <v>84</v>
      </c>
      <c r="E840" t="s">
        <v>85</v>
      </c>
      <c r="F840" t="s">
        <v>86</v>
      </c>
      <c r="G840" t="s">
        <v>245</v>
      </c>
      <c r="H840" t="s">
        <v>75</v>
      </c>
      <c r="I840" t="s">
        <v>246</v>
      </c>
      <c r="J840">
        <v>1711</v>
      </c>
      <c r="K840">
        <v>12296</v>
      </c>
      <c r="L840">
        <v>1805</v>
      </c>
      <c r="M840">
        <v>1916</v>
      </c>
      <c r="N840">
        <v>13451</v>
      </c>
      <c r="O840">
        <v>242</v>
      </c>
      <c r="P840">
        <v>15003</v>
      </c>
      <c r="Q840">
        <v>291961</v>
      </c>
      <c r="R840">
        <v>1</v>
      </c>
      <c r="S840">
        <v>0</v>
      </c>
      <c r="T840">
        <v>0</v>
      </c>
      <c r="U840">
        <v>0</v>
      </c>
      <c r="V840">
        <v>18630</v>
      </c>
      <c r="W840">
        <v>317708</v>
      </c>
      <c r="X840">
        <v>2048</v>
      </c>
      <c r="Y840">
        <f t="shared" si="13"/>
        <v>317708</v>
      </c>
      <c r="Z840" t="str">
        <f>IF(ISNUMBER(SEARCH("Adjustment",$C840)),"excluded",IF($H840="Behind the Meter","excluded",IF(NOT(OR($E840="Bundled",$E840="Energy")),"excluded",IF(OR($H840="Retail Power Marketer",$H840="Community Choice Aggregator",$E840="Energy"),"procurement",IF(OR($H840="Municipal",$H840="Cooperative",$H840="Federal",$H840="State",$H840="Political Subdivision"),"cost_service",IF($H840="Investor Owned",IF(AND(COUNTIF(Parameters!$A$4:$A$33,$G840)&gt;0,COUNTIF(Parameters!$B$4:$B$33,$B840)=0),"procurement","cost_service"),"unclassified"))))))</f>
        <v>cost_service</v>
      </c>
    </row>
    <row r="841" spans="1:26" x14ac:dyDescent="0.25">
      <c r="A841">
        <v>2024</v>
      </c>
      <c r="B841">
        <v>13318</v>
      </c>
      <c r="C841" t="s">
        <v>875</v>
      </c>
      <c r="D841" t="s">
        <v>84</v>
      </c>
      <c r="E841" t="s">
        <v>85</v>
      </c>
      <c r="F841" t="s">
        <v>86</v>
      </c>
      <c r="G841" t="s">
        <v>108</v>
      </c>
      <c r="H841" t="s">
        <v>91</v>
      </c>
      <c r="I841" t="s">
        <v>876</v>
      </c>
      <c r="J841">
        <v>39512</v>
      </c>
      <c r="K841">
        <v>294157</v>
      </c>
      <c r="L841">
        <v>40076</v>
      </c>
      <c r="M841">
        <v>7857</v>
      </c>
      <c r="N841">
        <v>69447</v>
      </c>
      <c r="O841">
        <v>3639</v>
      </c>
      <c r="P841">
        <v>10577</v>
      </c>
      <c r="Q841">
        <v>104004</v>
      </c>
      <c r="R841">
        <v>413</v>
      </c>
      <c r="S841" t="s">
        <v>97</v>
      </c>
      <c r="T841" t="s">
        <v>97</v>
      </c>
      <c r="U841" t="s">
        <v>97</v>
      </c>
      <c r="V841">
        <v>57946</v>
      </c>
      <c r="W841">
        <v>467608</v>
      </c>
      <c r="X841">
        <v>44128</v>
      </c>
      <c r="Y841">
        <f t="shared" si="13"/>
        <v>467608</v>
      </c>
      <c r="Z841" t="str">
        <f>IF(ISNUMBER(SEARCH("Adjustment",$C841)),"excluded",IF($H841="Behind the Meter","excluded",IF(NOT(OR($E841="Bundled",$E841="Energy")),"excluded",IF(OR($H841="Retail Power Marketer",$H841="Community Choice Aggregator",$E841="Energy"),"procurement",IF(OR($H841="Municipal",$H841="Cooperative",$H841="Federal",$H841="State",$H841="Political Subdivision"),"cost_service",IF($H841="Investor Owned",IF(AND(COUNTIF(Parameters!$A$4:$A$33,$G841)&gt;0,COUNTIF(Parameters!$B$4:$B$33,$B841)=0),"procurement","cost_service"),"unclassified"))))))</f>
        <v>cost_service</v>
      </c>
    </row>
    <row r="842" spans="1:26" x14ac:dyDescent="0.25">
      <c r="A842">
        <v>2024</v>
      </c>
      <c r="B842">
        <v>13318</v>
      </c>
      <c r="C842" t="s">
        <v>875</v>
      </c>
      <c r="D842" t="s">
        <v>84</v>
      </c>
      <c r="E842" t="s">
        <v>85</v>
      </c>
      <c r="F842" t="s">
        <v>86</v>
      </c>
      <c r="G842" t="s">
        <v>308</v>
      </c>
      <c r="H842" t="s">
        <v>91</v>
      </c>
      <c r="I842" t="s">
        <v>876</v>
      </c>
      <c r="J842">
        <v>1211</v>
      </c>
      <c r="K842">
        <v>8107</v>
      </c>
      <c r="L842">
        <v>1493</v>
      </c>
      <c r="M842">
        <v>281</v>
      </c>
      <c r="N842">
        <v>2861</v>
      </c>
      <c r="O842">
        <v>203</v>
      </c>
      <c r="P842">
        <v>63</v>
      </c>
      <c r="Q842">
        <v>640</v>
      </c>
      <c r="R842">
        <v>11</v>
      </c>
      <c r="S842" t="s">
        <v>97</v>
      </c>
      <c r="T842" t="s">
        <v>97</v>
      </c>
      <c r="U842" t="s">
        <v>97</v>
      </c>
      <c r="V842">
        <v>1555</v>
      </c>
      <c r="W842">
        <v>11608</v>
      </c>
      <c r="X842">
        <v>1707</v>
      </c>
      <c r="Y842">
        <f t="shared" si="13"/>
        <v>11608</v>
      </c>
      <c r="Z842" t="str">
        <f>IF(ISNUMBER(SEARCH("Adjustment",$C842)),"excluded",IF($H842="Behind the Meter","excluded",IF(NOT(OR($E842="Bundled",$E842="Energy")),"excluded",IF(OR($H842="Retail Power Marketer",$H842="Community Choice Aggregator",$E842="Energy"),"procurement",IF(OR($H842="Municipal",$H842="Cooperative",$H842="Federal",$H842="State",$H842="Political Subdivision"),"cost_service",IF($H842="Investor Owned",IF(AND(COUNTIF(Parameters!$A$4:$A$33,$G842)&gt;0,COUNTIF(Parameters!$B$4:$B$33,$B842)=0),"procurement","cost_service"),"unclassified"))))))</f>
        <v>cost_service</v>
      </c>
    </row>
    <row r="843" spans="1:26" x14ac:dyDescent="0.25">
      <c r="A843">
        <v>2024</v>
      </c>
      <c r="B843">
        <v>13332</v>
      </c>
      <c r="C843" t="s">
        <v>877</v>
      </c>
      <c r="D843" t="s">
        <v>84</v>
      </c>
      <c r="E843" t="s">
        <v>85</v>
      </c>
      <c r="F843" t="s">
        <v>86</v>
      </c>
      <c r="G843" t="s">
        <v>57</v>
      </c>
      <c r="H843" t="s">
        <v>91</v>
      </c>
      <c r="I843" t="s">
        <v>151</v>
      </c>
      <c r="J843">
        <v>38926</v>
      </c>
      <c r="K843">
        <v>273090</v>
      </c>
      <c r="L843">
        <v>18435</v>
      </c>
      <c r="M843">
        <v>7105</v>
      </c>
      <c r="N843">
        <v>48369</v>
      </c>
      <c r="O843">
        <v>1814</v>
      </c>
      <c r="P843">
        <v>17828</v>
      </c>
      <c r="Q843">
        <v>242553</v>
      </c>
      <c r="R843">
        <v>13</v>
      </c>
      <c r="S843" t="s">
        <v>97</v>
      </c>
      <c r="T843" t="s">
        <v>97</v>
      </c>
      <c r="U843" t="s">
        <v>97</v>
      </c>
      <c r="V843">
        <v>63859</v>
      </c>
      <c r="W843">
        <v>564012</v>
      </c>
      <c r="X843">
        <v>20262</v>
      </c>
      <c r="Y843">
        <f t="shared" si="13"/>
        <v>564012</v>
      </c>
      <c r="Z843" t="str">
        <f>IF(ISNUMBER(SEARCH("Adjustment",$C843)),"excluded",IF($H843="Behind the Meter","excluded",IF(NOT(OR($E843="Bundled",$E843="Energy")),"excluded",IF(OR($H843="Retail Power Marketer",$H843="Community Choice Aggregator",$E843="Energy"),"procurement",IF(OR($H843="Municipal",$H843="Cooperative",$H843="Federal",$H843="State",$H843="Political Subdivision"),"cost_service",IF($H843="Investor Owned",IF(AND(COUNTIF(Parameters!$A$4:$A$33,$G843)&gt;0,COUNTIF(Parameters!$B$4:$B$33,$B843)=0),"procurement","cost_service"),"unclassified"))))))</f>
        <v>cost_service</v>
      </c>
    </row>
    <row r="844" spans="1:26" x14ac:dyDescent="0.25">
      <c r="A844">
        <v>2024</v>
      </c>
      <c r="B844">
        <v>13337</v>
      </c>
      <c r="C844" t="s">
        <v>878</v>
      </c>
      <c r="D844" t="s">
        <v>84</v>
      </c>
      <c r="E844" t="s">
        <v>85</v>
      </c>
      <c r="F844" t="s">
        <v>86</v>
      </c>
      <c r="G844" t="s">
        <v>271</v>
      </c>
      <c r="H844" t="s">
        <v>205</v>
      </c>
      <c r="I844" t="s">
        <v>135</v>
      </c>
      <c r="J844">
        <v>88105</v>
      </c>
      <c r="K844">
        <v>828834</v>
      </c>
      <c r="L844">
        <v>73650</v>
      </c>
      <c r="M844">
        <v>90397</v>
      </c>
      <c r="N844">
        <v>1081242</v>
      </c>
      <c r="O844">
        <v>19670</v>
      </c>
      <c r="P844">
        <v>86141</v>
      </c>
      <c r="Q844">
        <v>1906518</v>
      </c>
      <c r="R844">
        <v>62</v>
      </c>
      <c r="S844">
        <v>0</v>
      </c>
      <c r="T844">
        <v>0</v>
      </c>
      <c r="U844">
        <v>0</v>
      </c>
      <c r="V844">
        <v>264643</v>
      </c>
      <c r="W844">
        <v>3816594</v>
      </c>
      <c r="X844">
        <v>93382</v>
      </c>
      <c r="Y844">
        <f t="shared" si="13"/>
        <v>3816594</v>
      </c>
      <c r="Z844" t="str">
        <f>IF(ISNUMBER(SEARCH("Adjustment",$C844)),"excluded",IF($H844="Behind the Meter","excluded",IF(NOT(OR($E844="Bundled",$E844="Energy")),"excluded",IF(OR($H844="Retail Power Marketer",$H844="Community Choice Aggregator",$E844="Energy"),"procurement",IF(OR($H844="Municipal",$H844="Cooperative",$H844="Federal",$H844="State",$H844="Political Subdivision"),"cost_service",IF($H844="Investor Owned",IF(AND(COUNTIF(Parameters!$A$4:$A$33,$G844)&gt;0,COUNTIF(Parameters!$B$4:$B$33,$B844)=0),"procurement","cost_service"),"unclassified"))))))</f>
        <v>cost_service</v>
      </c>
    </row>
    <row r="845" spans="1:26" x14ac:dyDescent="0.25">
      <c r="A845">
        <v>2024</v>
      </c>
      <c r="B845">
        <v>13337</v>
      </c>
      <c r="C845" t="s">
        <v>878</v>
      </c>
      <c r="D845" t="s">
        <v>84</v>
      </c>
      <c r="E845" t="s">
        <v>85</v>
      </c>
      <c r="F845" t="s">
        <v>86</v>
      </c>
      <c r="G845" t="s">
        <v>224</v>
      </c>
      <c r="H845" t="s">
        <v>205</v>
      </c>
      <c r="I845" t="s">
        <v>135</v>
      </c>
      <c r="J845">
        <v>1529</v>
      </c>
      <c r="K845">
        <v>15719</v>
      </c>
      <c r="L845">
        <v>1044</v>
      </c>
      <c r="M845">
        <v>1508</v>
      </c>
      <c r="N845">
        <v>20681</v>
      </c>
      <c r="O845">
        <v>236</v>
      </c>
      <c r="P845">
        <v>0</v>
      </c>
      <c r="Q845">
        <v>0</v>
      </c>
      <c r="R845">
        <v>0</v>
      </c>
      <c r="S845">
        <v>0</v>
      </c>
      <c r="T845">
        <v>0</v>
      </c>
      <c r="U845">
        <v>0</v>
      </c>
      <c r="V845">
        <v>3037</v>
      </c>
      <c r="W845">
        <v>36400</v>
      </c>
      <c r="X845">
        <v>1280</v>
      </c>
      <c r="Y845">
        <f t="shared" si="13"/>
        <v>36400</v>
      </c>
      <c r="Z845" t="str">
        <f>IF(ISNUMBER(SEARCH("Adjustment",$C845)),"excluded",IF($H845="Behind the Meter","excluded",IF(NOT(OR($E845="Bundled",$E845="Energy")),"excluded",IF(OR($H845="Retail Power Marketer",$H845="Community Choice Aggregator",$E845="Energy"),"procurement",IF(OR($H845="Municipal",$H845="Cooperative",$H845="Federal",$H845="State",$H845="Political Subdivision"),"cost_service",IF($H845="Investor Owned",IF(AND(COUNTIF(Parameters!$A$4:$A$33,$G845)&gt;0,COUNTIF(Parameters!$B$4:$B$33,$B845)=0),"procurement","cost_service"),"unclassified"))))))</f>
        <v>cost_service</v>
      </c>
    </row>
    <row r="846" spans="1:26" x14ac:dyDescent="0.25">
      <c r="A846">
        <v>2024</v>
      </c>
      <c r="B846">
        <v>13352</v>
      </c>
      <c r="C846" t="s">
        <v>879</v>
      </c>
      <c r="D846" t="s">
        <v>84</v>
      </c>
      <c r="E846" t="s">
        <v>85</v>
      </c>
      <c r="F846" t="s">
        <v>86</v>
      </c>
      <c r="G846" t="s">
        <v>140</v>
      </c>
      <c r="H846" t="s">
        <v>88</v>
      </c>
      <c r="I846" t="s">
        <v>96</v>
      </c>
      <c r="J846">
        <v>2400.9</v>
      </c>
      <c r="K846">
        <v>11056</v>
      </c>
      <c r="L846">
        <v>1978</v>
      </c>
      <c r="M846">
        <v>1608.7</v>
      </c>
      <c r="N846">
        <v>9946</v>
      </c>
      <c r="O846">
        <v>285</v>
      </c>
      <c r="P846">
        <v>0</v>
      </c>
      <c r="Q846">
        <v>0</v>
      </c>
      <c r="R846">
        <v>0</v>
      </c>
      <c r="S846">
        <v>0</v>
      </c>
      <c r="T846">
        <v>0</v>
      </c>
      <c r="U846">
        <v>0</v>
      </c>
      <c r="V846">
        <v>4009.6</v>
      </c>
      <c r="W846">
        <v>21002</v>
      </c>
      <c r="X846">
        <v>2263</v>
      </c>
      <c r="Y846">
        <f t="shared" si="13"/>
        <v>21002</v>
      </c>
      <c r="Z846" t="str">
        <f>IF(ISNUMBER(SEARCH("Adjustment",$C846)),"excluded",IF($H846="Behind the Meter","excluded",IF(NOT(OR($E846="Bundled",$E846="Energy")),"excluded",IF(OR($H846="Retail Power Marketer",$H846="Community Choice Aggregator",$E846="Energy"),"procurement",IF(OR($H846="Municipal",$H846="Cooperative",$H846="Federal",$H846="State",$H846="Political Subdivision"),"cost_service",IF($H846="Investor Owned",IF(AND(COUNTIF(Parameters!$A$4:$A$33,$G846)&gt;0,COUNTIF(Parameters!$B$4:$B$33,$B846)=0),"procurement","cost_service"),"unclassified"))))))</f>
        <v>cost_service</v>
      </c>
    </row>
    <row r="847" spans="1:26" x14ac:dyDescent="0.25">
      <c r="A847">
        <v>2024</v>
      </c>
      <c r="B847">
        <v>13374</v>
      </c>
      <c r="C847" t="s">
        <v>880</v>
      </c>
      <c r="D847" t="s">
        <v>99</v>
      </c>
      <c r="E847" t="s">
        <v>100</v>
      </c>
      <c r="F847" t="s">
        <v>86</v>
      </c>
      <c r="G847" t="s">
        <v>115</v>
      </c>
      <c r="H847" t="s">
        <v>101</v>
      </c>
      <c r="I847" t="s">
        <v>116</v>
      </c>
      <c r="J847">
        <v>0</v>
      </c>
      <c r="K847">
        <v>0</v>
      </c>
      <c r="L847">
        <v>0</v>
      </c>
      <c r="M847">
        <v>664518</v>
      </c>
      <c r="N847">
        <v>5184583</v>
      </c>
      <c r="O847">
        <v>11073</v>
      </c>
      <c r="P847">
        <v>66607.600000000006</v>
      </c>
      <c r="Q847">
        <v>493014</v>
      </c>
      <c r="R847">
        <v>86</v>
      </c>
      <c r="S847">
        <v>0</v>
      </c>
      <c r="T847">
        <v>0</v>
      </c>
      <c r="U847">
        <v>0</v>
      </c>
      <c r="V847">
        <v>731125.6</v>
      </c>
      <c r="W847">
        <v>5677597</v>
      </c>
      <c r="X847">
        <v>11159</v>
      </c>
      <c r="Y847">
        <f t="shared" si="13"/>
        <v>5677597</v>
      </c>
      <c r="Z847" t="str">
        <f>IF(ISNUMBER(SEARCH("Adjustment",$C847)),"excluded",IF($H847="Behind the Meter","excluded",IF(NOT(OR($E847="Bundled",$E847="Energy")),"excluded",IF(OR($H847="Retail Power Marketer",$H847="Community Choice Aggregator",$E847="Energy"),"procurement",IF(OR($H847="Municipal",$H847="Cooperative",$H847="Federal",$H847="State",$H847="Political Subdivision"),"cost_service",IF($H847="Investor Owned",IF(AND(COUNTIF(Parameters!$A$4:$A$33,$G847)&gt;0,COUNTIF(Parameters!$B$4:$B$33,$B847)=0),"procurement","cost_service"),"unclassified"))))))</f>
        <v>procurement</v>
      </c>
    </row>
    <row r="848" spans="1:26" x14ac:dyDescent="0.25">
      <c r="A848">
        <v>2024</v>
      </c>
      <c r="B848">
        <v>13374</v>
      </c>
      <c r="C848" t="s">
        <v>880</v>
      </c>
      <c r="D848" t="s">
        <v>99</v>
      </c>
      <c r="E848" t="s">
        <v>100</v>
      </c>
      <c r="F848" t="s">
        <v>86</v>
      </c>
      <c r="G848" t="s">
        <v>40</v>
      </c>
      <c r="H848" t="s">
        <v>101</v>
      </c>
      <c r="I848" t="s">
        <v>189</v>
      </c>
      <c r="J848">
        <v>144599.4</v>
      </c>
      <c r="K848">
        <v>1139183</v>
      </c>
      <c r="L848">
        <v>125376</v>
      </c>
      <c r="M848">
        <v>279026</v>
      </c>
      <c r="N848">
        <v>2720141</v>
      </c>
      <c r="O848">
        <v>28360</v>
      </c>
      <c r="P848">
        <v>138491.79999999999</v>
      </c>
      <c r="Q848">
        <v>1411698</v>
      </c>
      <c r="R848">
        <v>701</v>
      </c>
      <c r="S848">
        <v>6358.2</v>
      </c>
      <c r="T848">
        <v>58035</v>
      </c>
      <c r="U848">
        <v>1</v>
      </c>
      <c r="V848">
        <v>568475.4</v>
      </c>
      <c r="W848">
        <v>5329057</v>
      </c>
      <c r="X848">
        <v>154438</v>
      </c>
      <c r="Y848">
        <f t="shared" si="13"/>
        <v>5329057</v>
      </c>
      <c r="Z848" t="str">
        <f>IF(ISNUMBER(SEARCH("Adjustment",$C848)),"excluded",IF($H848="Behind the Meter","excluded",IF(NOT(OR($E848="Bundled",$E848="Energy")),"excluded",IF(OR($H848="Retail Power Marketer",$H848="Community Choice Aggregator",$E848="Energy"),"procurement",IF(OR($H848="Municipal",$H848="Cooperative",$H848="Federal",$H848="State",$H848="Political Subdivision"),"cost_service",IF($H848="Investor Owned",IF(AND(COUNTIF(Parameters!$A$4:$A$33,$G848)&gt;0,COUNTIF(Parameters!$B$4:$B$33,$B848)=0),"procurement","cost_service"),"unclassified"))))))</f>
        <v>procurement</v>
      </c>
    </row>
    <row r="849" spans="1:26" x14ac:dyDescent="0.25">
      <c r="A849">
        <v>2024</v>
      </c>
      <c r="B849">
        <v>13374</v>
      </c>
      <c r="C849" t="s">
        <v>880</v>
      </c>
      <c r="D849" t="s">
        <v>99</v>
      </c>
      <c r="E849" t="s">
        <v>100</v>
      </c>
      <c r="F849" t="s">
        <v>86</v>
      </c>
      <c r="G849" t="s">
        <v>42</v>
      </c>
      <c r="H849" t="s">
        <v>101</v>
      </c>
      <c r="I849" t="s">
        <v>92</v>
      </c>
      <c r="J849">
        <v>1611.4</v>
      </c>
      <c r="K849">
        <v>13479</v>
      </c>
      <c r="L849">
        <v>1597</v>
      </c>
      <c r="M849">
        <v>200967.6</v>
      </c>
      <c r="N849">
        <v>2031820</v>
      </c>
      <c r="O849">
        <v>3307</v>
      </c>
      <c r="P849">
        <v>2540.5</v>
      </c>
      <c r="Q849">
        <v>27792</v>
      </c>
      <c r="R849">
        <v>40</v>
      </c>
      <c r="S849">
        <v>0</v>
      </c>
      <c r="T849">
        <v>0</v>
      </c>
      <c r="U849">
        <v>0</v>
      </c>
      <c r="V849">
        <v>205119.5</v>
      </c>
      <c r="W849">
        <v>2073091</v>
      </c>
      <c r="X849">
        <v>4944</v>
      </c>
      <c r="Y849">
        <f t="shared" si="13"/>
        <v>2073091</v>
      </c>
      <c r="Z849" t="str">
        <f>IF(ISNUMBER(SEARCH("Adjustment",$C849)),"excluded",IF($H849="Behind the Meter","excluded",IF(NOT(OR($E849="Bundled",$E849="Energy")),"excluded",IF(OR($H849="Retail Power Marketer",$H849="Community Choice Aggregator",$E849="Energy"),"procurement",IF(OR($H849="Municipal",$H849="Cooperative",$H849="Federal",$H849="State",$H849="Political Subdivision"),"cost_service",IF($H849="Investor Owned",IF(AND(COUNTIF(Parameters!$A$4:$A$33,$G849)&gt;0,COUNTIF(Parameters!$B$4:$B$33,$B849)=0),"procurement","cost_service"),"unclassified"))))))</f>
        <v>procurement</v>
      </c>
    </row>
    <row r="850" spans="1:26" x14ac:dyDescent="0.25">
      <c r="A850">
        <v>2024</v>
      </c>
      <c r="B850">
        <v>13374</v>
      </c>
      <c r="C850" t="s">
        <v>880</v>
      </c>
      <c r="D850" t="s">
        <v>99</v>
      </c>
      <c r="E850" t="s">
        <v>100</v>
      </c>
      <c r="F850" t="s">
        <v>86</v>
      </c>
      <c r="G850" t="s">
        <v>44</v>
      </c>
      <c r="H850" t="s">
        <v>101</v>
      </c>
      <c r="I850" t="s">
        <v>92</v>
      </c>
      <c r="J850">
        <v>820.6</v>
      </c>
      <c r="K850">
        <v>8234</v>
      </c>
      <c r="L850">
        <v>712</v>
      </c>
      <c r="M850">
        <v>66855.100000000006</v>
      </c>
      <c r="N850">
        <v>927718</v>
      </c>
      <c r="O850">
        <v>3912</v>
      </c>
      <c r="P850">
        <v>4743.1000000000004</v>
      </c>
      <c r="Q850">
        <v>77206</v>
      </c>
      <c r="R850">
        <v>14</v>
      </c>
      <c r="S850">
        <v>0</v>
      </c>
      <c r="T850">
        <v>0</v>
      </c>
      <c r="U850">
        <v>0</v>
      </c>
      <c r="V850">
        <v>72418.8</v>
      </c>
      <c r="W850">
        <v>1013158</v>
      </c>
      <c r="X850">
        <v>4638</v>
      </c>
      <c r="Y850">
        <f t="shared" si="13"/>
        <v>1013158</v>
      </c>
      <c r="Z850" t="str">
        <f>IF(ISNUMBER(SEARCH("Adjustment",$C850)),"excluded",IF($H850="Behind the Meter","excluded",IF(NOT(OR($E850="Bundled",$E850="Energy")),"excluded",IF(OR($H850="Retail Power Marketer",$H850="Community Choice Aggregator",$E850="Energy"),"procurement",IF(OR($H850="Municipal",$H850="Cooperative",$H850="Federal",$H850="State",$H850="Political Subdivision"),"cost_service",IF($H850="Investor Owned",IF(AND(COUNTIF(Parameters!$A$4:$A$33,$G850)&gt;0,COUNTIF(Parameters!$B$4:$B$33,$B850)=0),"procurement","cost_service"),"unclassified"))))))</f>
        <v>procurement</v>
      </c>
    </row>
    <row r="851" spans="1:26" x14ac:dyDescent="0.25">
      <c r="A851">
        <v>2024</v>
      </c>
      <c r="B851">
        <v>13374</v>
      </c>
      <c r="C851" t="s">
        <v>880</v>
      </c>
      <c r="D851" t="s">
        <v>99</v>
      </c>
      <c r="E851" t="s">
        <v>100</v>
      </c>
      <c r="F851" t="s">
        <v>86</v>
      </c>
      <c r="G851" t="s">
        <v>46</v>
      </c>
      <c r="H851" t="s">
        <v>101</v>
      </c>
      <c r="I851" t="s">
        <v>92</v>
      </c>
      <c r="J851">
        <v>20400.099999999999</v>
      </c>
      <c r="K851">
        <v>236053</v>
      </c>
      <c r="L851">
        <v>30123</v>
      </c>
      <c r="M851">
        <v>807743.3</v>
      </c>
      <c r="N851">
        <v>14852360</v>
      </c>
      <c r="O851">
        <v>43409</v>
      </c>
      <c r="P851">
        <v>64917</v>
      </c>
      <c r="Q851">
        <v>1209493</v>
      </c>
      <c r="R851">
        <v>530</v>
      </c>
      <c r="S851">
        <v>0</v>
      </c>
      <c r="T851">
        <v>0</v>
      </c>
      <c r="U851">
        <v>0</v>
      </c>
      <c r="V851">
        <v>893060.4</v>
      </c>
      <c r="W851">
        <v>16297906</v>
      </c>
      <c r="X851">
        <v>74062</v>
      </c>
      <c r="Y851">
        <f t="shared" si="13"/>
        <v>16297906</v>
      </c>
      <c r="Z851" t="str">
        <f>IF(ISNUMBER(SEARCH("Adjustment",$C851)),"excluded",IF($H851="Behind the Meter","excluded",IF(NOT(OR($E851="Bundled",$E851="Energy")),"excluded",IF(OR($H851="Retail Power Marketer",$H851="Community Choice Aggregator",$E851="Energy"),"procurement",IF(OR($H851="Municipal",$H851="Cooperative",$H851="Federal",$H851="State",$H851="Political Subdivision"),"cost_service",IF($H851="Investor Owned",IF(AND(COUNTIF(Parameters!$A$4:$A$33,$G851)&gt;0,COUNTIF(Parameters!$B$4:$B$33,$B851)=0),"procurement","cost_service"),"unclassified"))))))</f>
        <v>procurement</v>
      </c>
    </row>
    <row r="852" spans="1:26" x14ac:dyDescent="0.25">
      <c r="A852">
        <v>2024</v>
      </c>
      <c r="B852">
        <v>13374</v>
      </c>
      <c r="C852" t="s">
        <v>880</v>
      </c>
      <c r="D852" t="s">
        <v>99</v>
      </c>
      <c r="E852" t="s">
        <v>100</v>
      </c>
      <c r="F852" t="s">
        <v>86</v>
      </c>
      <c r="G852" t="s">
        <v>46</v>
      </c>
      <c r="H852" t="s">
        <v>101</v>
      </c>
      <c r="I852" t="s">
        <v>96</v>
      </c>
      <c r="J852">
        <v>177262.8</v>
      </c>
      <c r="K852">
        <v>1730621</v>
      </c>
      <c r="L852">
        <v>199367</v>
      </c>
      <c r="M852">
        <v>276407</v>
      </c>
      <c r="N852">
        <v>4283501</v>
      </c>
      <c r="O852">
        <v>29670</v>
      </c>
      <c r="P852">
        <v>21446.400000000001</v>
      </c>
      <c r="Q852">
        <v>340917</v>
      </c>
      <c r="R852">
        <v>63</v>
      </c>
      <c r="S852">
        <v>0</v>
      </c>
      <c r="T852">
        <v>0</v>
      </c>
      <c r="U852">
        <v>0</v>
      </c>
      <c r="V852">
        <v>475116.2</v>
      </c>
      <c r="W852">
        <v>6355039</v>
      </c>
      <c r="X852">
        <v>229100</v>
      </c>
      <c r="Y852">
        <f t="shared" si="13"/>
        <v>6355039</v>
      </c>
      <c r="Z852" t="str">
        <f>IF(ISNUMBER(SEARCH("Adjustment",$C852)),"excluded",IF($H852="Behind the Meter","excluded",IF(NOT(OR($E852="Bundled",$E852="Energy")),"excluded",IF(OR($H852="Retail Power Marketer",$H852="Community Choice Aggregator",$E852="Energy"),"procurement",IF(OR($H852="Municipal",$H852="Cooperative",$H852="Federal",$H852="State",$H852="Political Subdivision"),"cost_service",IF($H852="Investor Owned",IF(AND(COUNTIF(Parameters!$A$4:$A$33,$G852)&gt;0,COUNTIF(Parameters!$B$4:$B$33,$B852)=0),"procurement","cost_service"),"unclassified"))))))</f>
        <v>procurement</v>
      </c>
    </row>
    <row r="853" spans="1:26" x14ac:dyDescent="0.25">
      <c r="A853">
        <v>2024</v>
      </c>
      <c r="B853">
        <v>13374</v>
      </c>
      <c r="C853" t="s">
        <v>880</v>
      </c>
      <c r="D853" t="s">
        <v>99</v>
      </c>
      <c r="E853" t="s">
        <v>100</v>
      </c>
      <c r="F853" t="s">
        <v>86</v>
      </c>
      <c r="G853" t="s">
        <v>48</v>
      </c>
      <c r="H853" t="s">
        <v>101</v>
      </c>
      <c r="I853" t="s">
        <v>189</v>
      </c>
      <c r="J853">
        <v>302149.2</v>
      </c>
      <c r="K853">
        <v>1949741</v>
      </c>
      <c r="L853">
        <v>291382</v>
      </c>
      <c r="M853">
        <v>1027488.2</v>
      </c>
      <c r="N853">
        <v>8597724</v>
      </c>
      <c r="O853">
        <v>112456</v>
      </c>
      <c r="P853">
        <v>87674.6</v>
      </c>
      <c r="Q853">
        <v>799891</v>
      </c>
      <c r="R853">
        <v>367</v>
      </c>
      <c r="S853">
        <v>5593</v>
      </c>
      <c r="T853">
        <v>37333</v>
      </c>
      <c r="U853">
        <v>1</v>
      </c>
      <c r="V853">
        <v>1422905</v>
      </c>
      <c r="W853">
        <v>11384689</v>
      </c>
      <c r="X853">
        <v>404206</v>
      </c>
      <c r="Y853">
        <f t="shared" si="13"/>
        <v>11384689</v>
      </c>
      <c r="Z853" t="str">
        <f>IF(ISNUMBER(SEARCH("Adjustment",$C853)),"excluded",IF($H853="Behind the Meter","excluded",IF(NOT(OR($E853="Bundled",$E853="Energy")),"excluded",IF(OR($H853="Retail Power Marketer",$H853="Community Choice Aggregator",$E853="Energy"),"procurement",IF(OR($H853="Municipal",$H853="Cooperative",$H853="Federal",$H853="State",$H853="Political Subdivision"),"cost_service",IF($H853="Investor Owned",IF(AND(COUNTIF(Parameters!$A$4:$A$33,$G853)&gt;0,COUNTIF(Parameters!$B$4:$B$33,$B853)=0),"procurement","cost_service"),"unclassified"))))))</f>
        <v>procurement</v>
      </c>
    </row>
    <row r="854" spans="1:26" x14ac:dyDescent="0.25">
      <c r="A854">
        <v>2024</v>
      </c>
      <c r="B854">
        <v>13374</v>
      </c>
      <c r="C854" t="s">
        <v>880</v>
      </c>
      <c r="D854" t="s">
        <v>99</v>
      </c>
      <c r="E854" t="s">
        <v>100</v>
      </c>
      <c r="F854" t="s">
        <v>86</v>
      </c>
      <c r="G854" t="s">
        <v>49</v>
      </c>
      <c r="H854" t="s">
        <v>101</v>
      </c>
      <c r="I854" t="s">
        <v>92</v>
      </c>
      <c r="J854">
        <v>91658</v>
      </c>
      <c r="K854">
        <v>811484</v>
      </c>
      <c r="L854">
        <v>68033</v>
      </c>
      <c r="M854">
        <v>431381</v>
      </c>
      <c r="N854">
        <v>5449084</v>
      </c>
      <c r="O854">
        <v>37677</v>
      </c>
      <c r="P854">
        <v>140842.4</v>
      </c>
      <c r="Q854">
        <v>1879066</v>
      </c>
      <c r="R854">
        <v>1283</v>
      </c>
      <c r="S854">
        <v>11102.8</v>
      </c>
      <c r="T854">
        <v>94604</v>
      </c>
      <c r="U854">
        <v>1</v>
      </c>
      <c r="V854">
        <v>674984.2</v>
      </c>
      <c r="W854">
        <v>8234238</v>
      </c>
      <c r="X854">
        <v>106994</v>
      </c>
      <c r="Y854">
        <f t="shared" si="13"/>
        <v>8234238</v>
      </c>
      <c r="Z854" t="str">
        <f>IF(ISNUMBER(SEARCH("Adjustment",$C854)),"excluded",IF($H854="Behind the Meter","excluded",IF(NOT(OR($E854="Bundled",$E854="Energy")),"excluded",IF(OR($H854="Retail Power Marketer",$H854="Community Choice Aggregator",$E854="Energy"),"procurement",IF(OR($H854="Municipal",$H854="Cooperative",$H854="Federal",$H854="State",$H854="Political Subdivision"),"cost_service",IF($H854="Investor Owned",IF(AND(COUNTIF(Parameters!$A$4:$A$33,$G854)&gt;0,COUNTIF(Parameters!$B$4:$B$33,$B854)=0),"procurement","cost_service"),"unclassified"))))))</f>
        <v>procurement</v>
      </c>
    </row>
    <row r="855" spans="1:26" x14ac:dyDescent="0.25">
      <c r="A855">
        <v>2024</v>
      </c>
      <c r="B855">
        <v>13374</v>
      </c>
      <c r="C855" t="s">
        <v>880</v>
      </c>
      <c r="D855" t="s">
        <v>99</v>
      </c>
      <c r="E855" t="s">
        <v>100</v>
      </c>
      <c r="F855" t="s">
        <v>86</v>
      </c>
      <c r="G855" t="s">
        <v>50</v>
      </c>
      <c r="H855" t="s">
        <v>101</v>
      </c>
      <c r="I855" t="s">
        <v>189</v>
      </c>
      <c r="J855">
        <v>0</v>
      </c>
      <c r="K855">
        <v>0</v>
      </c>
      <c r="L855">
        <v>0</v>
      </c>
      <c r="M855">
        <v>122624</v>
      </c>
      <c r="N855">
        <v>1247602</v>
      </c>
      <c r="O855">
        <v>13807</v>
      </c>
      <c r="P855">
        <v>26578.799999999999</v>
      </c>
      <c r="Q855">
        <v>320430</v>
      </c>
      <c r="R855">
        <v>110</v>
      </c>
      <c r="S855">
        <v>0</v>
      </c>
      <c r="T855">
        <v>0</v>
      </c>
      <c r="U855">
        <v>0</v>
      </c>
      <c r="V855">
        <v>149202.79999999999</v>
      </c>
      <c r="W855">
        <v>1568032</v>
      </c>
      <c r="X855">
        <v>13917</v>
      </c>
      <c r="Y855">
        <f t="shared" si="13"/>
        <v>1568032</v>
      </c>
      <c r="Z855" t="str">
        <f>IF(ISNUMBER(SEARCH("Adjustment",$C855)),"excluded",IF($H855="Behind the Meter","excluded",IF(NOT(OR($E855="Bundled",$E855="Energy")),"excluded",IF(OR($H855="Retail Power Marketer",$H855="Community Choice Aggregator",$E855="Energy"),"procurement",IF(OR($H855="Municipal",$H855="Cooperative",$H855="Federal",$H855="State",$H855="Political Subdivision"),"cost_service",IF($H855="Investor Owned",IF(AND(COUNTIF(Parameters!$A$4:$A$33,$G855)&gt;0,COUNTIF(Parameters!$B$4:$B$33,$B855)=0),"procurement","cost_service"),"unclassified"))))))</f>
        <v>procurement</v>
      </c>
    </row>
    <row r="856" spans="1:26" x14ac:dyDescent="0.25">
      <c r="A856">
        <v>2024</v>
      </c>
      <c r="B856">
        <v>13374</v>
      </c>
      <c r="C856" t="s">
        <v>880</v>
      </c>
      <c r="D856" t="s">
        <v>99</v>
      </c>
      <c r="E856" t="s">
        <v>100</v>
      </c>
      <c r="F856" t="s">
        <v>86</v>
      </c>
      <c r="G856" t="s">
        <v>140</v>
      </c>
      <c r="H856" t="s">
        <v>101</v>
      </c>
      <c r="I856" t="s">
        <v>92</v>
      </c>
      <c r="J856">
        <v>0</v>
      </c>
      <c r="K856">
        <v>0</v>
      </c>
      <c r="L856">
        <v>0</v>
      </c>
      <c r="M856">
        <v>8204.7000000000007</v>
      </c>
      <c r="N856">
        <v>109470</v>
      </c>
      <c r="O856">
        <v>54</v>
      </c>
      <c r="P856">
        <v>13265.1</v>
      </c>
      <c r="Q856">
        <v>187408</v>
      </c>
      <c r="R856">
        <v>5</v>
      </c>
      <c r="S856">
        <v>0</v>
      </c>
      <c r="T856">
        <v>0</v>
      </c>
      <c r="U856">
        <v>0</v>
      </c>
      <c r="V856">
        <v>21469.8</v>
      </c>
      <c r="W856">
        <v>296878</v>
      </c>
      <c r="X856">
        <v>59</v>
      </c>
      <c r="Y856">
        <f t="shared" si="13"/>
        <v>296878</v>
      </c>
      <c r="Z856" t="str">
        <f>IF(ISNUMBER(SEARCH("Adjustment",$C856)),"excluded",IF($H856="Behind the Meter","excluded",IF(NOT(OR($E856="Bundled",$E856="Energy")),"excluded",IF(OR($H856="Retail Power Marketer",$H856="Community Choice Aggregator",$E856="Energy"),"procurement",IF(OR($H856="Municipal",$H856="Cooperative",$H856="Federal",$H856="State",$H856="Political Subdivision"),"cost_service",IF($H856="Investor Owned",IF(AND(COUNTIF(Parameters!$A$4:$A$33,$G856)&gt;0,COUNTIF(Parameters!$B$4:$B$33,$B856)=0),"procurement","cost_service"),"unclassified"))))))</f>
        <v>procurement</v>
      </c>
    </row>
    <row r="857" spans="1:26" x14ac:dyDescent="0.25">
      <c r="A857">
        <v>2024</v>
      </c>
      <c r="B857">
        <v>13374</v>
      </c>
      <c r="C857" t="s">
        <v>880</v>
      </c>
      <c r="D857" t="s">
        <v>99</v>
      </c>
      <c r="E857" t="s">
        <v>100</v>
      </c>
      <c r="F857" t="s">
        <v>86</v>
      </c>
      <c r="G857" t="s">
        <v>140</v>
      </c>
      <c r="H857" t="s">
        <v>101</v>
      </c>
      <c r="I857" t="s">
        <v>96</v>
      </c>
      <c r="J857">
        <v>0</v>
      </c>
      <c r="K857">
        <v>0</v>
      </c>
      <c r="L857">
        <v>0</v>
      </c>
      <c r="M857">
        <v>169904.4</v>
      </c>
      <c r="N857">
        <v>2391303</v>
      </c>
      <c r="O857">
        <v>2815</v>
      </c>
      <c r="P857">
        <v>127553.60000000001</v>
      </c>
      <c r="Q857">
        <v>1899236</v>
      </c>
      <c r="R857">
        <v>313</v>
      </c>
      <c r="S857">
        <v>0</v>
      </c>
      <c r="T857">
        <v>0</v>
      </c>
      <c r="U857">
        <v>0</v>
      </c>
      <c r="V857">
        <v>297458</v>
      </c>
      <c r="W857">
        <v>4290539</v>
      </c>
      <c r="X857">
        <v>3128</v>
      </c>
      <c r="Y857">
        <f t="shared" si="13"/>
        <v>4290539</v>
      </c>
      <c r="Z857" t="str">
        <f>IF(ISNUMBER(SEARCH("Adjustment",$C857)),"excluded",IF($H857="Behind the Meter","excluded",IF(NOT(OR($E857="Bundled",$E857="Energy")),"excluded",IF(OR($H857="Retail Power Marketer",$H857="Community Choice Aggregator",$E857="Energy"),"procurement",IF(OR($H857="Municipal",$H857="Cooperative",$H857="Federal",$H857="State",$H857="Political Subdivision"),"cost_service",IF($H857="Investor Owned",IF(AND(COUNTIF(Parameters!$A$4:$A$33,$G857)&gt;0,COUNTIF(Parameters!$B$4:$B$33,$B857)=0),"procurement","cost_service"),"unclassified"))))))</f>
        <v>procurement</v>
      </c>
    </row>
    <row r="858" spans="1:26" x14ac:dyDescent="0.25">
      <c r="A858">
        <v>2024</v>
      </c>
      <c r="B858">
        <v>13374</v>
      </c>
      <c r="C858" t="s">
        <v>880</v>
      </c>
      <c r="D858" t="s">
        <v>99</v>
      </c>
      <c r="E858" t="s">
        <v>100</v>
      </c>
      <c r="F858" t="s">
        <v>86</v>
      </c>
      <c r="G858" t="s">
        <v>51</v>
      </c>
      <c r="H858" t="s">
        <v>101</v>
      </c>
      <c r="I858" t="s">
        <v>189</v>
      </c>
      <c r="J858">
        <v>0</v>
      </c>
      <c r="K858">
        <v>0</v>
      </c>
      <c r="L858">
        <v>0</v>
      </c>
      <c r="M858">
        <v>160519.20000000001</v>
      </c>
      <c r="N858">
        <v>1636832</v>
      </c>
      <c r="O858">
        <v>14685</v>
      </c>
      <c r="P858">
        <v>13337</v>
      </c>
      <c r="Q858">
        <v>155932</v>
      </c>
      <c r="R858">
        <v>157</v>
      </c>
      <c r="S858">
        <v>0</v>
      </c>
      <c r="T858">
        <v>0</v>
      </c>
      <c r="U858">
        <v>0</v>
      </c>
      <c r="V858">
        <v>173856.2</v>
      </c>
      <c r="W858">
        <v>1792764</v>
      </c>
      <c r="X858">
        <v>14842</v>
      </c>
      <c r="Y858">
        <f t="shared" si="13"/>
        <v>1792764</v>
      </c>
      <c r="Z858" t="str">
        <f>IF(ISNUMBER(SEARCH("Adjustment",$C858)),"excluded",IF($H858="Behind the Meter","excluded",IF(NOT(OR($E858="Bundled",$E858="Energy")),"excluded",IF(OR($H858="Retail Power Marketer",$H858="Community Choice Aggregator",$E858="Energy"),"procurement",IF(OR($H858="Municipal",$H858="Cooperative",$H858="Federal",$H858="State",$H858="Political Subdivision"),"cost_service",IF($H858="Investor Owned",IF(AND(COUNTIF(Parameters!$A$4:$A$33,$G858)&gt;0,COUNTIF(Parameters!$B$4:$B$33,$B858)=0),"procurement","cost_service"),"unclassified"))))))</f>
        <v>procurement</v>
      </c>
    </row>
    <row r="859" spans="1:26" x14ac:dyDescent="0.25">
      <c r="A859">
        <v>2024</v>
      </c>
      <c r="B859">
        <v>13374</v>
      </c>
      <c r="C859" t="s">
        <v>880</v>
      </c>
      <c r="D859" t="s">
        <v>99</v>
      </c>
      <c r="E859" t="s">
        <v>100</v>
      </c>
      <c r="F859" t="s">
        <v>86</v>
      </c>
      <c r="G859" t="s">
        <v>52</v>
      </c>
      <c r="H859" t="s">
        <v>101</v>
      </c>
      <c r="I859" t="s">
        <v>92</v>
      </c>
      <c r="J859">
        <v>6105.1</v>
      </c>
      <c r="K859">
        <v>51421</v>
      </c>
      <c r="L859">
        <v>5262</v>
      </c>
      <c r="M859">
        <v>758019.6</v>
      </c>
      <c r="N859">
        <v>8439873</v>
      </c>
      <c r="O859">
        <v>37032</v>
      </c>
      <c r="P859">
        <v>51389.5</v>
      </c>
      <c r="Q859">
        <v>601279</v>
      </c>
      <c r="R859">
        <v>298</v>
      </c>
      <c r="S859">
        <v>3753.2</v>
      </c>
      <c r="T859">
        <v>38411</v>
      </c>
      <c r="U859">
        <v>1</v>
      </c>
      <c r="V859">
        <v>819267.4</v>
      </c>
      <c r="W859">
        <v>9130984</v>
      </c>
      <c r="X859">
        <v>42593</v>
      </c>
      <c r="Y859">
        <f t="shared" si="13"/>
        <v>9130984</v>
      </c>
      <c r="Z859" t="str">
        <f>IF(ISNUMBER(SEARCH("Adjustment",$C859)),"excluded",IF($H859="Behind the Meter","excluded",IF(NOT(OR($E859="Bundled",$E859="Energy")),"excluded",IF(OR($H859="Retail Power Marketer",$H859="Community Choice Aggregator",$E859="Energy"),"procurement",IF(OR($H859="Municipal",$H859="Cooperative",$H859="Federal",$H859="State",$H859="Political Subdivision"),"cost_service",IF($H859="Investor Owned",IF(AND(COUNTIF(Parameters!$A$4:$A$33,$G859)&gt;0,COUNTIF(Parameters!$B$4:$B$33,$B859)=0),"procurement","cost_service"),"unclassified"))))))</f>
        <v>procurement</v>
      </c>
    </row>
    <row r="860" spans="1:26" x14ac:dyDescent="0.25">
      <c r="A860">
        <v>2024</v>
      </c>
      <c r="B860">
        <v>13374</v>
      </c>
      <c r="C860" t="s">
        <v>880</v>
      </c>
      <c r="D860" t="s">
        <v>99</v>
      </c>
      <c r="E860" t="s">
        <v>100</v>
      </c>
      <c r="F860" t="s">
        <v>86</v>
      </c>
      <c r="G860" t="s">
        <v>53</v>
      </c>
      <c r="H860" t="s">
        <v>101</v>
      </c>
      <c r="I860" t="s">
        <v>102</v>
      </c>
      <c r="J860">
        <v>140566.6</v>
      </c>
      <c r="K860">
        <v>1084403</v>
      </c>
      <c r="L860">
        <v>153210</v>
      </c>
      <c r="M860">
        <v>960923</v>
      </c>
      <c r="N860">
        <v>10574164</v>
      </c>
      <c r="O860">
        <v>71686</v>
      </c>
      <c r="P860">
        <v>309420</v>
      </c>
      <c r="Q860">
        <v>4673880</v>
      </c>
      <c r="R860">
        <v>1503</v>
      </c>
      <c r="S860">
        <v>7738.2</v>
      </c>
      <c r="T860">
        <v>80899</v>
      </c>
      <c r="U860">
        <v>1</v>
      </c>
      <c r="V860">
        <v>1418647.8</v>
      </c>
      <c r="W860">
        <v>16413346</v>
      </c>
      <c r="X860">
        <v>226400</v>
      </c>
      <c r="Y860">
        <f t="shared" si="13"/>
        <v>16413346</v>
      </c>
      <c r="Z860" t="str">
        <f>IF(ISNUMBER(SEARCH("Adjustment",$C860)),"excluded",IF($H860="Behind the Meter","excluded",IF(NOT(OR($E860="Bundled",$E860="Energy")),"excluded",IF(OR($H860="Retail Power Marketer",$H860="Community Choice Aggregator",$E860="Energy"),"procurement",IF(OR($H860="Municipal",$H860="Cooperative",$H860="Federal",$H860="State",$H860="Political Subdivision"),"cost_service",IF($H860="Investor Owned",IF(AND(COUNTIF(Parameters!$A$4:$A$33,$G860)&gt;0,COUNTIF(Parameters!$B$4:$B$33,$B860)=0),"procurement","cost_service"),"unclassified"))))))</f>
        <v>procurement</v>
      </c>
    </row>
    <row r="861" spans="1:26" x14ac:dyDescent="0.25">
      <c r="A861">
        <v>2024</v>
      </c>
      <c r="B861">
        <v>13374</v>
      </c>
      <c r="C861" t="s">
        <v>880</v>
      </c>
      <c r="D861" t="s">
        <v>99</v>
      </c>
      <c r="E861" t="s">
        <v>100</v>
      </c>
      <c r="F861" t="s">
        <v>86</v>
      </c>
      <c r="G861" t="s">
        <v>54</v>
      </c>
      <c r="H861" t="s">
        <v>101</v>
      </c>
      <c r="I861" t="s">
        <v>92</v>
      </c>
      <c r="J861">
        <v>33987.199999999997</v>
      </c>
      <c r="K861">
        <v>462359</v>
      </c>
      <c r="L861">
        <v>45101</v>
      </c>
      <c r="M861">
        <v>399851</v>
      </c>
      <c r="N861">
        <v>7986093</v>
      </c>
      <c r="O861">
        <v>31010</v>
      </c>
      <c r="P861">
        <v>23365</v>
      </c>
      <c r="Q861">
        <v>431688</v>
      </c>
      <c r="R861">
        <v>1308</v>
      </c>
      <c r="S861">
        <v>0</v>
      </c>
      <c r="T861">
        <v>0</v>
      </c>
      <c r="U861">
        <v>0</v>
      </c>
      <c r="V861">
        <v>457203.20000000001</v>
      </c>
      <c r="W861">
        <v>8880140</v>
      </c>
      <c r="X861">
        <v>77419</v>
      </c>
      <c r="Y861">
        <f t="shared" si="13"/>
        <v>8880140</v>
      </c>
      <c r="Z861" t="str">
        <f>IF(ISNUMBER(SEARCH("Adjustment",$C861)),"excluded",IF($H861="Behind the Meter","excluded",IF(NOT(OR($E861="Bundled",$E861="Energy")),"excluded",IF(OR($H861="Retail Power Marketer",$H861="Community Choice Aggregator",$E861="Energy"),"procurement",IF(OR($H861="Municipal",$H861="Cooperative",$H861="Federal",$H861="State",$H861="Political Subdivision"),"cost_service",IF($H861="Investor Owned",IF(AND(COUNTIF(Parameters!$A$4:$A$33,$G861)&gt;0,COUNTIF(Parameters!$B$4:$B$33,$B861)=0),"procurement","cost_service"),"unclassified"))))))</f>
        <v>procurement</v>
      </c>
    </row>
    <row r="862" spans="1:26" x14ac:dyDescent="0.25">
      <c r="A862">
        <v>2024</v>
      </c>
      <c r="B862">
        <v>13374</v>
      </c>
      <c r="C862" t="s">
        <v>880</v>
      </c>
      <c r="D862" t="s">
        <v>99</v>
      </c>
      <c r="E862" t="s">
        <v>100</v>
      </c>
      <c r="F862" t="s">
        <v>86</v>
      </c>
      <c r="G862" t="s">
        <v>219</v>
      </c>
      <c r="H862" t="s">
        <v>101</v>
      </c>
      <c r="I862" t="s">
        <v>396</v>
      </c>
      <c r="J862">
        <v>0</v>
      </c>
      <c r="K862">
        <v>0</v>
      </c>
      <c r="L862">
        <v>0</v>
      </c>
      <c r="M862">
        <v>19382.7</v>
      </c>
      <c r="N862">
        <v>222425</v>
      </c>
      <c r="O862">
        <v>77</v>
      </c>
      <c r="P862">
        <v>13088.3</v>
      </c>
      <c r="Q862">
        <v>147460</v>
      </c>
      <c r="R862">
        <v>18</v>
      </c>
      <c r="S862">
        <v>0</v>
      </c>
      <c r="T862">
        <v>0</v>
      </c>
      <c r="U862">
        <v>0</v>
      </c>
      <c r="V862">
        <v>32471</v>
      </c>
      <c r="W862">
        <v>369885</v>
      </c>
      <c r="X862">
        <v>95</v>
      </c>
      <c r="Y862">
        <f t="shared" si="13"/>
        <v>369885</v>
      </c>
      <c r="Z862" t="str">
        <f>IF(ISNUMBER(SEARCH("Adjustment",$C862)),"excluded",IF($H862="Behind the Meter","excluded",IF(NOT(OR($E862="Bundled",$E862="Energy")),"excluded",IF(OR($H862="Retail Power Marketer",$H862="Community Choice Aggregator",$E862="Energy"),"procurement",IF(OR($H862="Municipal",$H862="Cooperative",$H862="Federal",$H862="State",$H862="Political Subdivision"),"cost_service",IF($H862="Investor Owned",IF(AND(COUNTIF(Parameters!$A$4:$A$33,$G862)&gt;0,COUNTIF(Parameters!$B$4:$B$33,$B862)=0),"procurement","cost_service"),"unclassified"))))))</f>
        <v>procurement</v>
      </c>
    </row>
    <row r="863" spans="1:26" x14ac:dyDescent="0.25">
      <c r="A863">
        <v>2024</v>
      </c>
      <c r="B863">
        <v>13374</v>
      </c>
      <c r="C863" t="s">
        <v>880</v>
      </c>
      <c r="D863" t="s">
        <v>99</v>
      </c>
      <c r="E863" t="s">
        <v>100</v>
      </c>
      <c r="F863" t="s">
        <v>86</v>
      </c>
      <c r="G863" t="s">
        <v>55</v>
      </c>
      <c r="H863" t="s">
        <v>101</v>
      </c>
      <c r="I863" t="s">
        <v>92</v>
      </c>
      <c r="J863">
        <v>61610.7</v>
      </c>
      <c r="K863">
        <v>593218</v>
      </c>
      <c r="L863">
        <v>53821</v>
      </c>
      <c r="M863">
        <v>1380249.1</v>
      </c>
      <c r="N863">
        <v>19290687</v>
      </c>
      <c r="O863">
        <v>81982</v>
      </c>
      <c r="P863">
        <v>180491.1</v>
      </c>
      <c r="Q863">
        <v>2854913</v>
      </c>
      <c r="R863">
        <v>1102</v>
      </c>
      <c r="S863">
        <v>12008.3</v>
      </c>
      <c r="T863">
        <v>148548</v>
      </c>
      <c r="U863">
        <v>1</v>
      </c>
      <c r="V863">
        <v>1634359.2</v>
      </c>
      <c r="W863">
        <v>22887366</v>
      </c>
      <c r="X863">
        <v>136906</v>
      </c>
      <c r="Y863">
        <f t="shared" si="13"/>
        <v>22887366</v>
      </c>
      <c r="Z863" t="str">
        <f>IF(ISNUMBER(SEARCH("Adjustment",$C863)),"excluded",IF($H863="Behind the Meter","excluded",IF(NOT(OR($E863="Bundled",$E863="Energy")),"excluded",IF(OR($H863="Retail Power Marketer",$H863="Community Choice Aggregator",$E863="Energy"),"procurement",IF(OR($H863="Municipal",$H863="Cooperative",$H863="Federal",$H863="State",$H863="Political Subdivision"),"cost_service",IF($H863="Investor Owned",IF(AND(COUNTIF(Parameters!$A$4:$A$33,$G863)&gt;0,COUNTIF(Parameters!$B$4:$B$33,$B863)=0),"procurement","cost_service"),"unclassified"))))))</f>
        <v>procurement</v>
      </c>
    </row>
    <row r="864" spans="1:26" x14ac:dyDescent="0.25">
      <c r="A864">
        <v>2024</v>
      </c>
      <c r="B864">
        <v>13374</v>
      </c>
      <c r="C864" t="s">
        <v>880</v>
      </c>
      <c r="D864" t="s">
        <v>99</v>
      </c>
      <c r="E864" t="s">
        <v>100</v>
      </c>
      <c r="F864" t="s">
        <v>86</v>
      </c>
      <c r="G864" t="s">
        <v>56</v>
      </c>
      <c r="H864" t="s">
        <v>101</v>
      </c>
      <c r="I864" t="s">
        <v>189</v>
      </c>
      <c r="J864">
        <v>0</v>
      </c>
      <c r="K864">
        <v>0</v>
      </c>
      <c r="L864">
        <v>0</v>
      </c>
      <c r="M864">
        <v>110336.9</v>
      </c>
      <c r="N864">
        <v>1119919</v>
      </c>
      <c r="O864">
        <v>8700</v>
      </c>
      <c r="P864">
        <v>3157.2</v>
      </c>
      <c r="Q864">
        <v>32972</v>
      </c>
      <c r="R864">
        <v>47</v>
      </c>
      <c r="S864">
        <v>2531.8000000000002</v>
      </c>
      <c r="T864">
        <v>24993</v>
      </c>
      <c r="U864">
        <v>1</v>
      </c>
      <c r="V864">
        <v>116025.9</v>
      </c>
      <c r="W864">
        <v>1177884</v>
      </c>
      <c r="X864">
        <v>8748</v>
      </c>
      <c r="Y864">
        <f t="shared" si="13"/>
        <v>1177884</v>
      </c>
      <c r="Z864" t="str">
        <f>IF(ISNUMBER(SEARCH("Adjustment",$C864)),"excluded",IF($H864="Behind the Meter","excluded",IF(NOT(OR($E864="Bundled",$E864="Energy")),"excluded",IF(OR($H864="Retail Power Marketer",$H864="Community Choice Aggregator",$E864="Energy"),"procurement",IF(OR($H864="Municipal",$H864="Cooperative",$H864="Federal",$H864="State",$H864="Political Subdivision"),"cost_service",IF($H864="Investor Owned",IF(AND(COUNTIF(Parameters!$A$4:$A$33,$G864)&gt;0,COUNTIF(Parameters!$B$4:$B$33,$B864)=0),"procurement","cost_service"),"unclassified"))))))</f>
        <v>procurement</v>
      </c>
    </row>
    <row r="865" spans="1:26" x14ac:dyDescent="0.25">
      <c r="A865">
        <v>2024</v>
      </c>
      <c r="B865">
        <v>13374</v>
      </c>
      <c r="C865" t="s">
        <v>880</v>
      </c>
      <c r="D865" t="s">
        <v>99</v>
      </c>
      <c r="E865" t="s">
        <v>100</v>
      </c>
      <c r="F865" t="s">
        <v>86</v>
      </c>
      <c r="G865" t="s">
        <v>93</v>
      </c>
      <c r="H865" t="s">
        <v>101</v>
      </c>
      <c r="I865" t="s">
        <v>92</v>
      </c>
      <c r="J865">
        <v>0</v>
      </c>
      <c r="K865">
        <v>0</v>
      </c>
      <c r="L865">
        <v>0</v>
      </c>
      <c r="M865">
        <v>51998.9</v>
      </c>
      <c r="N865">
        <v>869219</v>
      </c>
      <c r="O865">
        <v>836</v>
      </c>
      <c r="P865">
        <v>0</v>
      </c>
      <c r="Q865">
        <v>0</v>
      </c>
      <c r="R865">
        <v>0</v>
      </c>
      <c r="S865">
        <v>0</v>
      </c>
      <c r="T865">
        <v>0</v>
      </c>
      <c r="U865">
        <v>0</v>
      </c>
      <c r="V865">
        <v>51998.9</v>
      </c>
      <c r="W865">
        <v>869219</v>
      </c>
      <c r="X865">
        <v>836</v>
      </c>
      <c r="Y865">
        <f t="shared" si="13"/>
        <v>869219</v>
      </c>
      <c r="Z865" t="str">
        <f>IF(ISNUMBER(SEARCH("Adjustment",$C865)),"excluded",IF($H865="Behind the Meter","excluded",IF(NOT(OR($E865="Bundled",$E865="Energy")),"excluded",IF(OR($H865="Retail Power Marketer",$H865="Community Choice Aggregator",$E865="Energy"),"procurement",IF(OR($H865="Municipal",$H865="Cooperative",$H865="Federal",$H865="State",$H865="Political Subdivision"),"cost_service",IF($H865="Investor Owned",IF(AND(COUNTIF(Parameters!$A$4:$A$33,$G865)&gt;0,COUNTIF(Parameters!$B$4:$B$33,$B865)=0),"procurement","cost_service"),"unclassified"))))))</f>
        <v>procurement</v>
      </c>
    </row>
    <row r="866" spans="1:26" x14ac:dyDescent="0.25">
      <c r="A866">
        <v>2024</v>
      </c>
      <c r="B866">
        <v>13374</v>
      </c>
      <c r="C866" t="s">
        <v>880</v>
      </c>
      <c r="D866" t="s">
        <v>150</v>
      </c>
      <c r="E866" t="s">
        <v>85</v>
      </c>
      <c r="F866" t="s">
        <v>86</v>
      </c>
      <c r="G866" t="s">
        <v>57</v>
      </c>
      <c r="H866" t="s">
        <v>101</v>
      </c>
      <c r="I866" t="s">
        <v>151</v>
      </c>
      <c r="J866">
        <v>328069.8</v>
      </c>
      <c r="K866">
        <v>2057121</v>
      </c>
      <c r="L866">
        <v>139928</v>
      </c>
      <c r="M866">
        <v>687079.4</v>
      </c>
      <c r="N866">
        <v>9063868</v>
      </c>
      <c r="O866">
        <v>56492</v>
      </c>
      <c r="P866">
        <v>70547.600000000006</v>
      </c>
      <c r="Q866">
        <v>1400738</v>
      </c>
      <c r="R866">
        <v>399</v>
      </c>
      <c r="S866">
        <v>0</v>
      </c>
      <c r="T866">
        <v>0</v>
      </c>
      <c r="U866">
        <v>0</v>
      </c>
      <c r="V866">
        <v>1085696.8</v>
      </c>
      <c r="W866">
        <v>12521727</v>
      </c>
      <c r="X866">
        <v>196819</v>
      </c>
      <c r="Y866">
        <f t="shared" si="13"/>
        <v>12521727</v>
      </c>
      <c r="Z866" t="str">
        <f>IF(ISNUMBER(SEARCH("Adjustment",$C866)),"excluded",IF($H866="Behind the Meter","excluded",IF(NOT(OR($E866="Bundled",$E866="Energy")),"excluded",IF(OR($H866="Retail Power Marketer",$H866="Community Choice Aggregator",$E866="Energy"),"procurement",IF(OR($H866="Municipal",$H866="Cooperative",$H866="Federal",$H866="State",$H866="Political Subdivision"),"cost_service",IF($H866="Investor Owned",IF(AND(COUNTIF(Parameters!$A$4:$A$33,$G866)&gt;0,COUNTIF(Parameters!$B$4:$B$33,$B866)=0),"procurement","cost_service"),"unclassified"))))))</f>
        <v>procurement</v>
      </c>
    </row>
    <row r="867" spans="1:26" x14ac:dyDescent="0.25">
      <c r="A867">
        <v>2024</v>
      </c>
      <c r="B867">
        <v>13407</v>
      </c>
      <c r="C867" t="s">
        <v>881</v>
      </c>
      <c r="D867" t="s">
        <v>84</v>
      </c>
      <c r="E867" t="s">
        <v>85</v>
      </c>
      <c r="F867" t="s">
        <v>86</v>
      </c>
      <c r="G867" t="s">
        <v>242</v>
      </c>
      <c r="H867" t="s">
        <v>109</v>
      </c>
      <c r="I867" t="s">
        <v>390</v>
      </c>
      <c r="J867">
        <v>1615271.8</v>
      </c>
      <c r="K867">
        <v>10535373</v>
      </c>
      <c r="L867">
        <v>916385</v>
      </c>
      <c r="M867">
        <v>630060.4</v>
      </c>
      <c r="N867">
        <v>5856111</v>
      </c>
      <c r="O867">
        <v>117014</v>
      </c>
      <c r="P867">
        <v>576846</v>
      </c>
      <c r="Q867">
        <v>5715958</v>
      </c>
      <c r="R867">
        <v>1554</v>
      </c>
      <c r="S867">
        <v>814</v>
      </c>
      <c r="T867">
        <v>7638</v>
      </c>
      <c r="U867">
        <v>1</v>
      </c>
      <c r="V867">
        <v>2822992.2</v>
      </c>
      <c r="W867">
        <v>22115080</v>
      </c>
      <c r="X867">
        <v>1034954</v>
      </c>
      <c r="Y867">
        <f t="shared" si="13"/>
        <v>22115080</v>
      </c>
      <c r="Z867" t="str">
        <f>IF(ISNUMBER(SEARCH("Adjustment",$C867)),"excluded",IF($H867="Behind the Meter","excluded",IF(NOT(OR($E867="Bundled",$E867="Energy")),"excluded",IF(OR($H867="Retail Power Marketer",$H867="Community Choice Aggregator",$E867="Energy"),"procurement",IF(OR($H867="Municipal",$H867="Cooperative",$H867="Federal",$H867="State",$H867="Political Subdivision"),"cost_service",IF($H867="Investor Owned",IF(AND(COUNTIF(Parameters!$A$4:$A$33,$G867)&gt;0,COUNTIF(Parameters!$B$4:$B$33,$B867)=0),"procurement","cost_service"),"unclassified"))))))</f>
        <v>cost_service</v>
      </c>
    </row>
    <row r="868" spans="1:26" x14ac:dyDescent="0.25">
      <c r="A868">
        <v>2024</v>
      </c>
      <c r="B868">
        <v>13407</v>
      </c>
      <c r="C868" t="s">
        <v>881</v>
      </c>
      <c r="D868" t="s">
        <v>167</v>
      </c>
      <c r="E868" t="s">
        <v>168</v>
      </c>
      <c r="F868" t="s">
        <v>86</v>
      </c>
      <c r="G868" t="s">
        <v>242</v>
      </c>
      <c r="H868" t="s">
        <v>109</v>
      </c>
      <c r="I868" t="s">
        <v>390</v>
      </c>
      <c r="J868">
        <v>0</v>
      </c>
      <c r="K868">
        <v>0</v>
      </c>
      <c r="L868">
        <v>0</v>
      </c>
      <c r="M868">
        <v>17787.400000000001</v>
      </c>
      <c r="N868">
        <v>2803561</v>
      </c>
      <c r="O868">
        <v>183</v>
      </c>
      <c r="P868">
        <v>362.6</v>
      </c>
      <c r="Q868">
        <v>110677</v>
      </c>
      <c r="R868">
        <v>2</v>
      </c>
      <c r="S868">
        <v>0</v>
      </c>
      <c r="T868">
        <v>0</v>
      </c>
      <c r="U868">
        <v>0</v>
      </c>
      <c r="V868">
        <v>18150</v>
      </c>
      <c r="W868">
        <v>2914238</v>
      </c>
      <c r="X868">
        <v>185</v>
      </c>
      <c r="Y868">
        <f t="shared" si="13"/>
        <v>2914238</v>
      </c>
      <c r="Z868" t="str">
        <f>IF(ISNUMBER(SEARCH("Adjustment",$C868)),"excluded",IF($H868="Behind the Meter","excluded",IF(NOT(OR($E868="Bundled",$E868="Energy")),"excluded",IF(OR($H868="Retail Power Marketer",$H868="Community Choice Aggregator",$E868="Energy"),"procurement",IF(OR($H868="Municipal",$H868="Cooperative",$H868="Federal",$H868="State",$H868="Political Subdivision"),"cost_service",IF($H868="Investor Owned",IF(AND(COUNTIF(Parameters!$A$4:$A$33,$G868)&gt;0,COUNTIF(Parameters!$B$4:$B$33,$B868)=0),"procurement","cost_service"),"unclassified"))))))</f>
        <v>excluded</v>
      </c>
    </row>
    <row r="869" spans="1:26" x14ac:dyDescent="0.25">
      <c r="A869">
        <v>2024</v>
      </c>
      <c r="B869">
        <v>13412</v>
      </c>
      <c r="C869" t="s">
        <v>882</v>
      </c>
      <c r="D869" t="s">
        <v>84</v>
      </c>
      <c r="E869" t="s">
        <v>85</v>
      </c>
      <c r="F869" t="s">
        <v>86</v>
      </c>
      <c r="G869" t="s">
        <v>87</v>
      </c>
      <c r="H869" t="s">
        <v>88</v>
      </c>
      <c r="I869" t="s">
        <v>89</v>
      </c>
      <c r="J869">
        <v>14009</v>
      </c>
      <c r="K869">
        <v>113112</v>
      </c>
      <c r="L869">
        <v>8157</v>
      </c>
      <c r="M869">
        <v>14274</v>
      </c>
      <c r="N869">
        <v>110561</v>
      </c>
      <c r="O869">
        <v>3161</v>
      </c>
      <c r="P869">
        <v>6433</v>
      </c>
      <c r="Q869">
        <v>101378</v>
      </c>
      <c r="R869">
        <v>3</v>
      </c>
      <c r="S869">
        <v>0</v>
      </c>
      <c r="T869">
        <v>0</v>
      </c>
      <c r="U869">
        <v>0</v>
      </c>
      <c r="V869">
        <v>34716</v>
      </c>
      <c r="W869">
        <v>325051</v>
      </c>
      <c r="X869">
        <v>11321</v>
      </c>
      <c r="Y869">
        <f t="shared" si="13"/>
        <v>325051</v>
      </c>
      <c r="Z869" t="str">
        <f>IF(ISNUMBER(SEARCH("Adjustment",$C869)),"excluded",IF($H869="Behind the Meter","excluded",IF(NOT(OR($E869="Bundled",$E869="Energy")),"excluded",IF(OR($H869="Retail Power Marketer",$H869="Community Choice Aggregator",$E869="Energy"),"procurement",IF(OR($H869="Municipal",$H869="Cooperative",$H869="Federal",$H869="State",$H869="Political Subdivision"),"cost_service",IF($H869="Investor Owned",IF(AND(COUNTIF(Parameters!$A$4:$A$33,$G869)&gt;0,COUNTIF(Parameters!$B$4:$B$33,$B869)=0),"procurement","cost_service"),"unclassified"))))))</f>
        <v>cost_service</v>
      </c>
    </row>
    <row r="870" spans="1:26" x14ac:dyDescent="0.25">
      <c r="A870">
        <v>2024</v>
      </c>
      <c r="B870">
        <v>13416</v>
      </c>
      <c r="C870" t="s">
        <v>883</v>
      </c>
      <c r="D870" t="s">
        <v>84</v>
      </c>
      <c r="E870" t="s">
        <v>85</v>
      </c>
      <c r="F870" t="s">
        <v>86</v>
      </c>
      <c r="G870" t="s">
        <v>125</v>
      </c>
      <c r="H870" t="s">
        <v>88</v>
      </c>
      <c r="I870" t="s">
        <v>163</v>
      </c>
      <c r="J870">
        <v>32903.699999999997</v>
      </c>
      <c r="K870">
        <v>260174</v>
      </c>
      <c r="L870">
        <v>21226</v>
      </c>
      <c r="M870">
        <v>20053</v>
      </c>
      <c r="N870">
        <v>186521</v>
      </c>
      <c r="O870">
        <v>3722</v>
      </c>
      <c r="P870">
        <v>1365.7</v>
      </c>
      <c r="Q870">
        <v>17226</v>
      </c>
      <c r="R870">
        <v>4</v>
      </c>
      <c r="S870" t="s">
        <v>97</v>
      </c>
      <c r="T870" t="s">
        <v>97</v>
      </c>
      <c r="U870" t="s">
        <v>97</v>
      </c>
      <c r="V870">
        <v>54322.400000000001</v>
      </c>
      <c r="W870">
        <v>463921</v>
      </c>
      <c r="X870">
        <v>24952</v>
      </c>
      <c r="Y870">
        <f t="shared" si="13"/>
        <v>463921</v>
      </c>
      <c r="Z870" t="str">
        <f>IF(ISNUMBER(SEARCH("Adjustment",$C870)),"excluded",IF($H870="Behind the Meter","excluded",IF(NOT(OR($E870="Bundled",$E870="Energy")),"excluded",IF(OR($H870="Retail Power Marketer",$H870="Community Choice Aggregator",$E870="Energy"),"procurement",IF(OR($H870="Municipal",$H870="Cooperative",$H870="Federal",$H870="State",$H870="Political Subdivision"),"cost_service",IF($H870="Investor Owned",IF(AND(COUNTIF(Parameters!$A$4:$A$33,$G870)&gt;0,COUNTIF(Parameters!$B$4:$B$33,$B870)=0),"procurement","cost_service"),"unclassified"))))))</f>
        <v>cost_service</v>
      </c>
    </row>
    <row r="871" spans="1:26" x14ac:dyDescent="0.25">
      <c r="A871">
        <v>2024</v>
      </c>
      <c r="B871">
        <v>13418</v>
      </c>
      <c r="C871" t="s">
        <v>884</v>
      </c>
      <c r="D871" t="s">
        <v>84</v>
      </c>
      <c r="E871" t="s">
        <v>85</v>
      </c>
      <c r="F871" t="s">
        <v>86</v>
      </c>
      <c r="G871" t="s">
        <v>57</v>
      </c>
      <c r="H871" t="s">
        <v>88</v>
      </c>
      <c r="I871" t="s">
        <v>151</v>
      </c>
      <c r="J871">
        <v>89975</v>
      </c>
      <c r="K871">
        <v>682873</v>
      </c>
      <c r="L871">
        <v>53975</v>
      </c>
      <c r="M871">
        <v>58920</v>
      </c>
      <c r="N871">
        <v>482519</v>
      </c>
      <c r="O871">
        <v>6470</v>
      </c>
      <c r="P871">
        <v>52854.3</v>
      </c>
      <c r="Q871">
        <v>580021</v>
      </c>
      <c r="R871">
        <v>18</v>
      </c>
      <c r="S871" t="s">
        <v>97</v>
      </c>
      <c r="T871" t="s">
        <v>97</v>
      </c>
      <c r="U871" t="s">
        <v>97</v>
      </c>
      <c r="V871">
        <v>201749.3</v>
      </c>
      <c r="W871">
        <v>1745413</v>
      </c>
      <c r="X871">
        <v>60463</v>
      </c>
      <c r="Y871">
        <f t="shared" si="13"/>
        <v>1745413</v>
      </c>
      <c r="Z871" t="str">
        <f>IF(ISNUMBER(SEARCH("Adjustment",$C871)),"excluded",IF($H871="Behind the Meter","excluded",IF(NOT(OR($E871="Bundled",$E871="Energy")),"excluded",IF(OR($H871="Retail Power Marketer",$H871="Community Choice Aggregator",$E871="Energy"),"procurement",IF(OR($H871="Municipal",$H871="Cooperative",$H871="Federal",$H871="State",$H871="Political Subdivision"),"cost_service",IF($H871="Investor Owned",IF(AND(COUNTIF(Parameters!$A$4:$A$33,$G871)&gt;0,COUNTIF(Parameters!$B$4:$B$33,$B871)=0),"procurement","cost_service"),"unclassified"))))))</f>
        <v>cost_service</v>
      </c>
    </row>
    <row r="872" spans="1:26" x14ac:dyDescent="0.25">
      <c r="A872">
        <v>2024</v>
      </c>
      <c r="B872">
        <v>13437</v>
      </c>
      <c r="C872" t="s">
        <v>885</v>
      </c>
      <c r="D872" t="s">
        <v>84</v>
      </c>
      <c r="E872" t="s">
        <v>85</v>
      </c>
      <c r="F872" t="s">
        <v>86</v>
      </c>
      <c r="G872" t="s">
        <v>156</v>
      </c>
      <c r="H872" t="s">
        <v>88</v>
      </c>
      <c r="I872" t="s">
        <v>89</v>
      </c>
      <c r="J872">
        <v>2080</v>
      </c>
      <c r="K872">
        <v>20120</v>
      </c>
      <c r="L872">
        <v>1495</v>
      </c>
      <c r="M872">
        <v>2276</v>
      </c>
      <c r="N872">
        <v>20925</v>
      </c>
      <c r="O872">
        <v>338</v>
      </c>
      <c r="P872">
        <v>4805</v>
      </c>
      <c r="Q872">
        <v>59405</v>
      </c>
      <c r="R872">
        <v>3</v>
      </c>
      <c r="S872">
        <v>0</v>
      </c>
      <c r="T872">
        <v>0</v>
      </c>
      <c r="U872">
        <v>0</v>
      </c>
      <c r="V872">
        <v>9161</v>
      </c>
      <c r="W872">
        <v>100450</v>
      </c>
      <c r="X872">
        <v>1836</v>
      </c>
      <c r="Y872">
        <f t="shared" si="13"/>
        <v>100450</v>
      </c>
      <c r="Z872" t="str">
        <f>IF(ISNUMBER(SEARCH("Adjustment",$C872)),"excluded",IF($H872="Behind the Meter","excluded",IF(NOT(OR($E872="Bundled",$E872="Energy")),"excluded",IF(OR($H872="Retail Power Marketer",$H872="Community Choice Aggregator",$E872="Energy"),"procurement",IF(OR($H872="Municipal",$H872="Cooperative",$H872="Federal",$H872="State",$H872="Political Subdivision"),"cost_service",IF($H872="Investor Owned",IF(AND(COUNTIF(Parameters!$A$4:$A$33,$G872)&gt;0,COUNTIF(Parameters!$B$4:$B$33,$B872)=0),"procurement","cost_service"),"unclassified"))))))</f>
        <v>cost_service</v>
      </c>
    </row>
    <row r="873" spans="1:26" x14ac:dyDescent="0.25">
      <c r="A873">
        <v>2024</v>
      </c>
      <c r="B873">
        <v>13438</v>
      </c>
      <c r="C873" t="s">
        <v>886</v>
      </c>
      <c r="D873" t="s">
        <v>84</v>
      </c>
      <c r="E873" t="s">
        <v>85</v>
      </c>
      <c r="F873" t="s">
        <v>86</v>
      </c>
      <c r="G873" t="s">
        <v>95</v>
      </c>
      <c r="H873" t="s">
        <v>88</v>
      </c>
      <c r="I873" t="s">
        <v>96</v>
      </c>
      <c r="J873">
        <v>1078.0999999999999</v>
      </c>
      <c r="K873">
        <v>8003</v>
      </c>
      <c r="L873">
        <v>1091</v>
      </c>
      <c r="M873">
        <v>1642</v>
      </c>
      <c r="N873">
        <v>15340</v>
      </c>
      <c r="O873">
        <v>205</v>
      </c>
      <c r="P873">
        <v>0</v>
      </c>
      <c r="Q873">
        <v>0</v>
      </c>
      <c r="R873">
        <v>0</v>
      </c>
      <c r="S873">
        <v>0</v>
      </c>
      <c r="T873">
        <v>0</v>
      </c>
      <c r="U873">
        <v>0</v>
      </c>
      <c r="V873">
        <v>2720.1</v>
      </c>
      <c r="W873">
        <v>23343</v>
      </c>
      <c r="X873">
        <v>1296</v>
      </c>
      <c r="Y873">
        <f t="shared" si="13"/>
        <v>23343</v>
      </c>
      <c r="Z873" t="str">
        <f>IF(ISNUMBER(SEARCH("Adjustment",$C873)),"excluded",IF($H873="Behind the Meter","excluded",IF(NOT(OR($E873="Bundled",$E873="Energy")),"excluded",IF(OR($H873="Retail Power Marketer",$H873="Community Choice Aggregator",$E873="Energy"),"procurement",IF(OR($H873="Municipal",$H873="Cooperative",$H873="Federal",$H873="State",$H873="Political Subdivision"),"cost_service",IF($H873="Investor Owned",IF(AND(COUNTIF(Parameters!$A$4:$A$33,$G873)&gt;0,COUNTIF(Parameters!$B$4:$B$33,$B873)=0),"procurement","cost_service"),"unclassified"))))))</f>
        <v>cost_service</v>
      </c>
    </row>
    <row r="874" spans="1:26" x14ac:dyDescent="0.25">
      <c r="A874">
        <v>2024</v>
      </c>
      <c r="B874">
        <v>13441</v>
      </c>
      <c r="C874" t="s">
        <v>887</v>
      </c>
      <c r="D874" t="s">
        <v>84</v>
      </c>
      <c r="E874" t="s">
        <v>85</v>
      </c>
      <c r="F874" t="s">
        <v>86</v>
      </c>
      <c r="G874" t="s">
        <v>51</v>
      </c>
      <c r="H874" t="s">
        <v>91</v>
      </c>
      <c r="I874" t="s">
        <v>189</v>
      </c>
      <c r="J874">
        <v>120000.4</v>
      </c>
      <c r="K874">
        <v>503499</v>
      </c>
      <c r="L874">
        <v>72772</v>
      </c>
      <c r="M874">
        <v>29421.4</v>
      </c>
      <c r="N874">
        <v>132949</v>
      </c>
      <c r="O874">
        <v>9163</v>
      </c>
      <c r="P874">
        <v>2299</v>
      </c>
      <c r="Q874">
        <v>13584</v>
      </c>
      <c r="R874">
        <v>9</v>
      </c>
      <c r="S874">
        <v>0</v>
      </c>
      <c r="T874">
        <v>0</v>
      </c>
      <c r="U874">
        <v>0</v>
      </c>
      <c r="V874">
        <v>151720.79999999999</v>
      </c>
      <c r="W874">
        <v>650032</v>
      </c>
      <c r="X874">
        <v>81944</v>
      </c>
      <c r="Y874">
        <f t="shared" si="13"/>
        <v>650032</v>
      </c>
      <c r="Z874" t="str">
        <f>IF(ISNUMBER(SEARCH("Adjustment",$C874)),"excluded",IF($H874="Behind the Meter","excluded",IF(NOT(OR($E874="Bundled",$E874="Energy")),"excluded",IF(OR($H874="Retail Power Marketer",$H874="Community Choice Aggregator",$E874="Energy"),"procurement",IF(OR($H874="Municipal",$H874="Cooperative",$H874="Federal",$H874="State",$H874="Political Subdivision"),"cost_service",IF($H874="Investor Owned",IF(AND(COUNTIF(Parameters!$A$4:$A$33,$G874)&gt;0,COUNTIF(Parameters!$B$4:$B$33,$B874)=0),"procurement","cost_service"),"unclassified"))))))</f>
        <v>cost_service</v>
      </c>
    </row>
    <row r="875" spans="1:26" x14ac:dyDescent="0.25">
      <c r="A875">
        <v>2024</v>
      </c>
      <c r="B875">
        <v>13441</v>
      </c>
      <c r="C875" t="s">
        <v>887</v>
      </c>
      <c r="D875" t="s">
        <v>167</v>
      </c>
      <c r="E875" t="s">
        <v>168</v>
      </c>
      <c r="F875" t="s">
        <v>86</v>
      </c>
      <c r="G875" t="s">
        <v>51</v>
      </c>
      <c r="H875" t="s">
        <v>91</v>
      </c>
      <c r="I875" t="s">
        <v>189</v>
      </c>
      <c r="J875">
        <v>1456</v>
      </c>
      <c r="K875">
        <v>10856</v>
      </c>
      <c r="L875">
        <v>1372</v>
      </c>
      <c r="M875">
        <v>8353</v>
      </c>
      <c r="N875">
        <v>80335</v>
      </c>
      <c r="O875">
        <v>1567</v>
      </c>
      <c r="P875">
        <v>6321.1</v>
      </c>
      <c r="Q875">
        <v>69431</v>
      </c>
      <c r="R875">
        <v>23</v>
      </c>
      <c r="S875">
        <v>0</v>
      </c>
      <c r="T875">
        <v>0</v>
      </c>
      <c r="U875">
        <v>0</v>
      </c>
      <c r="V875">
        <v>16130.1</v>
      </c>
      <c r="W875">
        <v>160622</v>
      </c>
      <c r="X875">
        <v>2962</v>
      </c>
      <c r="Y875">
        <f t="shared" si="13"/>
        <v>160622</v>
      </c>
      <c r="Z875" t="str">
        <f>IF(ISNUMBER(SEARCH("Adjustment",$C875)),"excluded",IF($H875="Behind the Meter","excluded",IF(NOT(OR($E875="Bundled",$E875="Energy")),"excluded",IF(OR($H875="Retail Power Marketer",$H875="Community Choice Aggregator",$E875="Energy"),"procurement",IF(OR($H875="Municipal",$H875="Cooperative",$H875="Federal",$H875="State",$H875="Political Subdivision"),"cost_service",IF($H875="Investor Owned",IF(AND(COUNTIF(Parameters!$A$4:$A$33,$G875)&gt;0,COUNTIF(Parameters!$B$4:$B$33,$B875)=0),"procurement","cost_service"),"unclassified"))))))</f>
        <v>excluded</v>
      </c>
    </row>
    <row r="876" spans="1:26" x14ac:dyDescent="0.25">
      <c r="A876">
        <v>2024</v>
      </c>
      <c r="B876">
        <v>13448</v>
      </c>
      <c r="C876" t="s">
        <v>888</v>
      </c>
      <c r="D876" t="s">
        <v>84</v>
      </c>
      <c r="E876" t="s">
        <v>85</v>
      </c>
      <c r="F876" t="s">
        <v>86</v>
      </c>
      <c r="G876" t="s">
        <v>95</v>
      </c>
      <c r="H876" t="s">
        <v>88</v>
      </c>
      <c r="I876" t="s">
        <v>96</v>
      </c>
      <c r="J876">
        <v>2547.9</v>
      </c>
      <c r="K876">
        <v>19119</v>
      </c>
      <c r="L876">
        <v>2255</v>
      </c>
      <c r="M876">
        <v>2497.1</v>
      </c>
      <c r="N876">
        <v>21486</v>
      </c>
      <c r="O876">
        <v>461</v>
      </c>
      <c r="P876">
        <v>0</v>
      </c>
      <c r="Q876">
        <v>0</v>
      </c>
      <c r="R876">
        <v>0</v>
      </c>
      <c r="S876">
        <v>0</v>
      </c>
      <c r="T876">
        <v>0</v>
      </c>
      <c r="U876">
        <v>0</v>
      </c>
      <c r="V876">
        <v>5045</v>
      </c>
      <c r="W876">
        <v>40605</v>
      </c>
      <c r="X876">
        <v>2716</v>
      </c>
      <c r="Y876">
        <f t="shared" si="13"/>
        <v>40605</v>
      </c>
      <c r="Z876" t="str">
        <f>IF(ISNUMBER(SEARCH("Adjustment",$C876)),"excluded",IF($H876="Behind the Meter","excluded",IF(NOT(OR($E876="Bundled",$E876="Energy")),"excluded",IF(OR($H876="Retail Power Marketer",$H876="Community Choice Aggregator",$E876="Energy"),"procurement",IF(OR($H876="Municipal",$H876="Cooperative",$H876="Federal",$H876="State",$H876="Political Subdivision"),"cost_service",IF($H876="Investor Owned",IF(AND(COUNTIF(Parameters!$A$4:$A$33,$G876)&gt;0,COUNTIF(Parameters!$B$4:$B$33,$B876)=0),"procurement","cost_service"),"unclassified"))))))</f>
        <v>cost_service</v>
      </c>
    </row>
    <row r="877" spans="1:26" x14ac:dyDescent="0.25">
      <c r="A877">
        <v>2024</v>
      </c>
      <c r="B877">
        <v>13467</v>
      </c>
      <c r="C877" t="s">
        <v>889</v>
      </c>
      <c r="D877" t="s">
        <v>84</v>
      </c>
      <c r="E877" t="s">
        <v>85</v>
      </c>
      <c r="F877" t="s">
        <v>86</v>
      </c>
      <c r="G877" t="s">
        <v>95</v>
      </c>
      <c r="H877" t="s">
        <v>88</v>
      </c>
      <c r="I877" t="s">
        <v>96</v>
      </c>
      <c r="J877">
        <v>3218.9</v>
      </c>
      <c r="K877">
        <v>26187</v>
      </c>
      <c r="L877">
        <v>3501</v>
      </c>
      <c r="M877">
        <v>3772.1</v>
      </c>
      <c r="N877">
        <v>35104</v>
      </c>
      <c r="O877">
        <v>636</v>
      </c>
      <c r="P877">
        <v>9809.2000000000007</v>
      </c>
      <c r="Q877">
        <v>120190</v>
      </c>
      <c r="R877">
        <v>5</v>
      </c>
      <c r="S877">
        <v>0</v>
      </c>
      <c r="T877">
        <v>0</v>
      </c>
      <c r="U877">
        <v>0</v>
      </c>
      <c r="V877">
        <v>16800.2</v>
      </c>
      <c r="W877">
        <v>181481</v>
      </c>
      <c r="X877">
        <v>4142</v>
      </c>
      <c r="Y877">
        <f t="shared" si="13"/>
        <v>181481</v>
      </c>
      <c r="Z877" t="str">
        <f>IF(ISNUMBER(SEARCH("Adjustment",$C877)),"excluded",IF($H877="Behind the Meter","excluded",IF(NOT(OR($E877="Bundled",$E877="Energy")),"excluded",IF(OR($H877="Retail Power Marketer",$H877="Community Choice Aggregator",$E877="Energy"),"procurement",IF(OR($H877="Municipal",$H877="Cooperative",$H877="Federal",$H877="State",$H877="Political Subdivision"),"cost_service",IF($H877="Investor Owned",IF(AND(COUNTIF(Parameters!$A$4:$A$33,$G877)&gt;0,COUNTIF(Parameters!$B$4:$B$33,$B877)=0),"procurement","cost_service"),"unclassified"))))))</f>
        <v>cost_service</v>
      </c>
    </row>
    <row r="878" spans="1:26" x14ac:dyDescent="0.25">
      <c r="A878">
        <v>2024</v>
      </c>
      <c r="B878">
        <v>13478</v>
      </c>
      <c r="C878" t="s">
        <v>890</v>
      </c>
      <c r="D878" t="s">
        <v>84</v>
      </c>
      <c r="E878" t="s">
        <v>85</v>
      </c>
      <c r="F878" t="s">
        <v>86</v>
      </c>
      <c r="G878" t="s">
        <v>138</v>
      </c>
      <c r="H878" t="s">
        <v>109</v>
      </c>
      <c r="I878" t="s">
        <v>96</v>
      </c>
      <c r="J878">
        <v>306672.59999999998</v>
      </c>
      <c r="K878">
        <v>2353677</v>
      </c>
      <c r="L878">
        <v>188178</v>
      </c>
      <c r="M878">
        <v>305430</v>
      </c>
      <c r="N878">
        <v>2874888</v>
      </c>
      <c r="O878">
        <v>19331</v>
      </c>
      <c r="P878">
        <v>29612.2</v>
      </c>
      <c r="Q878">
        <v>395547</v>
      </c>
      <c r="R878">
        <v>1335</v>
      </c>
      <c r="S878">
        <v>1157</v>
      </c>
      <c r="T878">
        <v>10026</v>
      </c>
      <c r="U878">
        <v>1</v>
      </c>
      <c r="V878">
        <v>642871.80000000005</v>
      </c>
      <c r="W878">
        <v>5634138</v>
      </c>
      <c r="X878">
        <v>208845</v>
      </c>
      <c r="Y878">
        <f t="shared" si="13"/>
        <v>5634138</v>
      </c>
      <c r="Z878" t="str">
        <f>IF(ISNUMBER(SEARCH("Adjustment",$C878)),"excluded",IF($H878="Behind the Meter","excluded",IF(NOT(OR($E878="Bundled",$E878="Energy")),"excluded",IF(OR($H878="Retail Power Marketer",$H878="Community Choice Aggregator",$E878="Energy"),"procurement",IF(OR($H878="Municipal",$H878="Cooperative",$H878="Federal",$H878="State",$H878="Political Subdivision"),"cost_service",IF($H878="Investor Owned",IF(AND(COUNTIF(Parameters!$A$4:$A$33,$G878)&gt;0,COUNTIF(Parameters!$B$4:$B$33,$B878)=0),"procurement","cost_service"),"unclassified"))))))</f>
        <v>cost_service</v>
      </c>
    </row>
    <row r="879" spans="1:26" x14ac:dyDescent="0.25">
      <c r="A879">
        <v>2024</v>
      </c>
      <c r="B879">
        <v>13481</v>
      </c>
      <c r="C879" t="s">
        <v>891</v>
      </c>
      <c r="D879" t="s">
        <v>84</v>
      </c>
      <c r="E879" t="s">
        <v>85</v>
      </c>
      <c r="F879" t="s">
        <v>86</v>
      </c>
      <c r="G879" t="s">
        <v>95</v>
      </c>
      <c r="H879" t="s">
        <v>88</v>
      </c>
      <c r="I879" t="s">
        <v>96</v>
      </c>
      <c r="J879">
        <v>4701</v>
      </c>
      <c r="K879">
        <v>40537</v>
      </c>
      <c r="L879">
        <v>4957</v>
      </c>
      <c r="M879">
        <v>6522.6</v>
      </c>
      <c r="N879">
        <v>65940</v>
      </c>
      <c r="O879">
        <v>748</v>
      </c>
      <c r="P879">
        <v>0</v>
      </c>
      <c r="Q879">
        <v>0</v>
      </c>
      <c r="R879">
        <v>0</v>
      </c>
      <c r="S879">
        <v>0</v>
      </c>
      <c r="T879">
        <v>0</v>
      </c>
      <c r="U879">
        <v>0</v>
      </c>
      <c r="V879">
        <v>11223.6</v>
      </c>
      <c r="W879">
        <v>106477</v>
      </c>
      <c r="X879">
        <v>5705</v>
      </c>
      <c r="Y879">
        <f t="shared" si="13"/>
        <v>106477</v>
      </c>
      <c r="Z879" t="str">
        <f>IF(ISNUMBER(SEARCH("Adjustment",$C879)),"excluded",IF($H879="Behind the Meter","excluded",IF(NOT(OR($E879="Bundled",$E879="Energy")),"excluded",IF(OR($H879="Retail Power Marketer",$H879="Community Choice Aggregator",$E879="Energy"),"procurement",IF(OR($H879="Municipal",$H879="Cooperative",$H879="Federal",$H879="State",$H879="Political Subdivision"),"cost_service",IF($H879="Investor Owned",IF(AND(COUNTIF(Parameters!$A$4:$A$33,$G879)&gt;0,COUNTIF(Parameters!$B$4:$B$33,$B879)=0),"procurement","cost_service"),"unclassified"))))))</f>
        <v>cost_service</v>
      </c>
    </row>
    <row r="880" spans="1:26" x14ac:dyDescent="0.25">
      <c r="A880">
        <v>2024</v>
      </c>
      <c r="B880">
        <v>13482</v>
      </c>
      <c r="C880" t="s">
        <v>892</v>
      </c>
      <c r="D880" t="s">
        <v>84</v>
      </c>
      <c r="E880" t="s">
        <v>85</v>
      </c>
      <c r="F880" t="s">
        <v>86</v>
      </c>
      <c r="G880" t="s">
        <v>125</v>
      </c>
      <c r="H880" t="s">
        <v>75</v>
      </c>
      <c r="I880" t="s">
        <v>126</v>
      </c>
      <c r="J880">
        <v>7752</v>
      </c>
      <c r="K880">
        <v>62263</v>
      </c>
      <c r="L880">
        <v>7247</v>
      </c>
      <c r="M880">
        <v>15003.8</v>
      </c>
      <c r="N880">
        <v>144747</v>
      </c>
      <c r="O880">
        <v>1850</v>
      </c>
      <c r="P880" t="s">
        <v>97</v>
      </c>
      <c r="Q880" t="s">
        <v>97</v>
      </c>
      <c r="R880" t="s">
        <v>97</v>
      </c>
      <c r="S880" t="s">
        <v>97</v>
      </c>
      <c r="T880" t="s">
        <v>97</v>
      </c>
      <c r="U880" t="s">
        <v>97</v>
      </c>
      <c r="V880">
        <v>22755.8</v>
      </c>
      <c r="W880">
        <v>207010</v>
      </c>
      <c r="X880">
        <v>9097</v>
      </c>
      <c r="Y880">
        <f t="shared" si="13"/>
        <v>207010</v>
      </c>
      <c r="Z880" t="str">
        <f>IF(ISNUMBER(SEARCH("Adjustment",$C880)),"excluded",IF($H880="Behind the Meter","excluded",IF(NOT(OR($E880="Bundled",$E880="Energy")),"excluded",IF(OR($H880="Retail Power Marketer",$H880="Community Choice Aggregator",$E880="Energy"),"procurement",IF(OR($H880="Municipal",$H880="Cooperative",$H880="Federal",$H880="State",$H880="Political Subdivision"),"cost_service",IF($H880="Investor Owned",IF(AND(COUNTIF(Parameters!$A$4:$A$33,$G880)&gt;0,COUNTIF(Parameters!$B$4:$B$33,$B880)=0),"procurement","cost_service"),"unclassified"))))))</f>
        <v>cost_service</v>
      </c>
    </row>
    <row r="881" spans="1:26" x14ac:dyDescent="0.25">
      <c r="A881">
        <v>2024</v>
      </c>
      <c r="B881">
        <v>13485</v>
      </c>
      <c r="C881" t="s">
        <v>893</v>
      </c>
      <c r="D881" t="s">
        <v>84</v>
      </c>
      <c r="E881" t="s">
        <v>85</v>
      </c>
      <c r="F881" t="s">
        <v>86</v>
      </c>
      <c r="G881" t="s">
        <v>195</v>
      </c>
      <c r="H881" t="s">
        <v>88</v>
      </c>
      <c r="I881" t="s">
        <v>514</v>
      </c>
      <c r="J881">
        <v>34872</v>
      </c>
      <c r="K881">
        <v>319280</v>
      </c>
      <c r="L881">
        <v>27879</v>
      </c>
      <c r="M881">
        <v>15571</v>
      </c>
      <c r="N881">
        <v>143474</v>
      </c>
      <c r="O881">
        <v>3611</v>
      </c>
      <c r="P881" t="s">
        <v>97</v>
      </c>
      <c r="Q881" t="s">
        <v>97</v>
      </c>
      <c r="R881" t="s">
        <v>97</v>
      </c>
      <c r="S881" t="s">
        <v>97</v>
      </c>
      <c r="T881" t="s">
        <v>97</v>
      </c>
      <c r="U881" t="s">
        <v>97</v>
      </c>
      <c r="V881">
        <v>50443</v>
      </c>
      <c r="W881">
        <v>462754</v>
      </c>
      <c r="X881">
        <v>31490</v>
      </c>
      <c r="Y881">
        <f t="shared" si="13"/>
        <v>462754</v>
      </c>
      <c r="Z881" t="str">
        <f>IF(ISNUMBER(SEARCH("Adjustment",$C881)),"excluded",IF($H881="Behind the Meter","excluded",IF(NOT(OR($E881="Bundled",$E881="Energy")),"excluded",IF(OR($H881="Retail Power Marketer",$H881="Community Choice Aggregator",$E881="Energy"),"procurement",IF(OR($H881="Municipal",$H881="Cooperative",$H881="Federal",$H881="State",$H881="Political Subdivision"),"cost_service",IF($H881="Investor Owned",IF(AND(COUNTIF(Parameters!$A$4:$A$33,$G881)&gt;0,COUNTIF(Parameters!$B$4:$B$33,$B881)=0),"procurement","cost_service"),"unclassified"))))))</f>
        <v>cost_service</v>
      </c>
    </row>
    <row r="882" spans="1:26" x14ac:dyDescent="0.25">
      <c r="A882">
        <v>2024</v>
      </c>
      <c r="B882">
        <v>13511</v>
      </c>
      <c r="C882" t="s">
        <v>894</v>
      </c>
      <c r="D882" t="s">
        <v>84</v>
      </c>
      <c r="E882" t="s">
        <v>85</v>
      </c>
      <c r="F882" t="s">
        <v>86</v>
      </c>
      <c r="G882" t="s">
        <v>53</v>
      </c>
      <c r="H882" t="s">
        <v>109</v>
      </c>
      <c r="I882" t="s">
        <v>102</v>
      </c>
      <c r="J882">
        <v>1168062.6000000001</v>
      </c>
      <c r="K882">
        <v>6375673</v>
      </c>
      <c r="L882">
        <v>735192</v>
      </c>
      <c r="M882">
        <v>286343.40000000002</v>
      </c>
      <c r="N882">
        <v>1914373</v>
      </c>
      <c r="O882">
        <v>90322</v>
      </c>
      <c r="P882">
        <v>10364</v>
      </c>
      <c r="Q882">
        <v>83140</v>
      </c>
      <c r="R882">
        <v>543</v>
      </c>
      <c r="S882">
        <v>1007</v>
      </c>
      <c r="T882">
        <v>10502</v>
      </c>
      <c r="U882">
        <v>1</v>
      </c>
      <c r="V882">
        <v>1465777</v>
      </c>
      <c r="W882">
        <v>8383688</v>
      </c>
      <c r="X882">
        <v>826058</v>
      </c>
      <c r="Y882">
        <f t="shared" si="13"/>
        <v>8383688</v>
      </c>
      <c r="Z882" t="str">
        <f>IF(ISNUMBER(SEARCH("Adjustment",$C882)),"excluded",IF($H882="Behind the Meter","excluded",IF(NOT(OR($E882="Bundled",$E882="Energy")),"excluded",IF(OR($H882="Retail Power Marketer",$H882="Community Choice Aggregator",$E882="Energy"),"procurement",IF(OR($H882="Municipal",$H882="Cooperative",$H882="Federal",$H882="State",$H882="Political Subdivision"),"cost_service",IF($H882="Investor Owned",IF(AND(COUNTIF(Parameters!$A$4:$A$33,$G882)&gt;0,COUNTIF(Parameters!$B$4:$B$33,$B882)=0),"procurement","cost_service"),"unclassified"))))))</f>
        <v>procurement</v>
      </c>
    </row>
    <row r="883" spans="1:26" x14ac:dyDescent="0.25">
      <c r="A883">
        <v>2024</v>
      </c>
      <c r="B883">
        <v>13511</v>
      </c>
      <c r="C883" t="s">
        <v>894</v>
      </c>
      <c r="D883" t="s">
        <v>167</v>
      </c>
      <c r="E883" t="s">
        <v>168</v>
      </c>
      <c r="F883" t="s">
        <v>86</v>
      </c>
      <c r="G883" t="s">
        <v>53</v>
      </c>
      <c r="H883" t="s">
        <v>109</v>
      </c>
      <c r="I883" t="s">
        <v>102</v>
      </c>
      <c r="J883">
        <v>60346.7</v>
      </c>
      <c r="K883">
        <v>544166</v>
      </c>
      <c r="L883">
        <v>57108</v>
      </c>
      <c r="M883">
        <v>186291</v>
      </c>
      <c r="N883">
        <v>3892555</v>
      </c>
      <c r="O883">
        <v>37245</v>
      </c>
      <c r="P883">
        <v>51968</v>
      </c>
      <c r="Q883">
        <v>2389704</v>
      </c>
      <c r="R883">
        <v>957</v>
      </c>
      <c r="S883">
        <v>602</v>
      </c>
      <c r="T883">
        <v>21656</v>
      </c>
      <c r="U883">
        <v>1</v>
      </c>
      <c r="V883">
        <v>299207.7</v>
      </c>
      <c r="W883">
        <v>6848081</v>
      </c>
      <c r="X883">
        <v>95311</v>
      </c>
      <c r="Y883">
        <f t="shared" si="13"/>
        <v>6848081</v>
      </c>
      <c r="Z883" t="str">
        <f>IF(ISNUMBER(SEARCH("Adjustment",$C883)),"excluded",IF($H883="Behind the Meter","excluded",IF(NOT(OR($E883="Bundled",$E883="Energy")),"excluded",IF(OR($H883="Retail Power Marketer",$H883="Community Choice Aggregator",$E883="Energy"),"procurement",IF(OR($H883="Municipal",$H883="Cooperative",$H883="Federal",$H883="State",$H883="Political Subdivision"),"cost_service",IF($H883="Investor Owned",IF(AND(COUNTIF(Parameters!$A$4:$A$33,$G883)&gt;0,COUNTIF(Parameters!$B$4:$B$33,$B883)=0),"procurement","cost_service"),"unclassified"))))))</f>
        <v>excluded</v>
      </c>
    </row>
    <row r="884" spans="1:26" x14ac:dyDescent="0.25">
      <c r="A884">
        <v>2024</v>
      </c>
      <c r="B884">
        <v>13519</v>
      </c>
      <c r="C884" t="s">
        <v>895</v>
      </c>
      <c r="D884" t="s">
        <v>84</v>
      </c>
      <c r="E884" t="s">
        <v>85</v>
      </c>
      <c r="F884" t="s">
        <v>86</v>
      </c>
      <c r="G884" t="s">
        <v>44</v>
      </c>
      <c r="H884" t="s">
        <v>88</v>
      </c>
      <c r="I884" t="s">
        <v>92</v>
      </c>
      <c r="J884">
        <v>18762</v>
      </c>
      <c r="K884">
        <v>98785</v>
      </c>
      <c r="L884">
        <v>11888</v>
      </c>
      <c r="M884">
        <v>12830.7</v>
      </c>
      <c r="N884">
        <v>73371</v>
      </c>
      <c r="O884">
        <v>1492</v>
      </c>
      <c r="P884">
        <v>30063.599999999999</v>
      </c>
      <c r="Q884">
        <v>250502</v>
      </c>
      <c r="R884">
        <v>59</v>
      </c>
      <c r="S884">
        <v>0</v>
      </c>
      <c r="T884">
        <v>0</v>
      </c>
      <c r="U884">
        <v>0</v>
      </c>
      <c r="V884">
        <v>61656.3</v>
      </c>
      <c r="W884">
        <v>422658</v>
      </c>
      <c r="X884">
        <v>13439</v>
      </c>
      <c r="Y884">
        <f t="shared" si="13"/>
        <v>422658</v>
      </c>
      <c r="Z884" t="str">
        <f>IF(ISNUMBER(SEARCH("Adjustment",$C884)),"excluded",IF($H884="Behind the Meter","excluded",IF(NOT(OR($E884="Bundled",$E884="Energy")),"excluded",IF(OR($H884="Retail Power Marketer",$H884="Community Choice Aggregator",$E884="Energy"),"procurement",IF(OR($H884="Municipal",$H884="Cooperative",$H884="Federal",$H884="State",$H884="Political Subdivision"),"cost_service",IF($H884="Investor Owned",IF(AND(COUNTIF(Parameters!$A$4:$A$33,$G884)&gt;0,COUNTIF(Parameters!$B$4:$B$33,$B884)=0),"procurement","cost_service"),"unclassified"))))))</f>
        <v>cost_service</v>
      </c>
    </row>
    <row r="885" spans="1:26" x14ac:dyDescent="0.25">
      <c r="A885">
        <v>2024</v>
      </c>
      <c r="B885">
        <v>13520</v>
      </c>
      <c r="C885" t="s">
        <v>896</v>
      </c>
      <c r="D885" t="s">
        <v>84</v>
      </c>
      <c r="E885" t="s">
        <v>85</v>
      </c>
      <c r="F885" t="s">
        <v>86</v>
      </c>
      <c r="G885" t="s">
        <v>226</v>
      </c>
      <c r="H885" t="s">
        <v>91</v>
      </c>
      <c r="I885" t="s">
        <v>227</v>
      </c>
      <c r="J885">
        <v>38474</v>
      </c>
      <c r="K885">
        <v>304731</v>
      </c>
      <c r="L885">
        <v>19445</v>
      </c>
      <c r="M885">
        <v>6055</v>
      </c>
      <c r="N885">
        <v>51801</v>
      </c>
      <c r="O885">
        <v>171</v>
      </c>
      <c r="P885">
        <v>3475</v>
      </c>
      <c r="Q885">
        <v>49514</v>
      </c>
      <c r="R885">
        <v>4</v>
      </c>
      <c r="S885" t="s">
        <v>97</v>
      </c>
      <c r="T885" t="s">
        <v>97</v>
      </c>
      <c r="U885" t="s">
        <v>97</v>
      </c>
      <c r="V885">
        <v>48004</v>
      </c>
      <c r="W885">
        <v>406046</v>
      </c>
      <c r="X885">
        <v>19620</v>
      </c>
      <c r="Y885">
        <f t="shared" si="13"/>
        <v>406046</v>
      </c>
      <c r="Z885" t="str">
        <f>IF(ISNUMBER(SEARCH("Adjustment",$C885)),"excluded",IF($H885="Behind the Meter","excluded",IF(NOT(OR($E885="Bundled",$E885="Energy")),"excluded",IF(OR($H885="Retail Power Marketer",$H885="Community Choice Aggregator",$E885="Energy"),"procurement",IF(OR($H885="Municipal",$H885="Cooperative",$H885="Federal",$H885="State",$H885="Political Subdivision"),"cost_service",IF($H885="Investor Owned",IF(AND(COUNTIF(Parameters!$A$4:$A$33,$G885)&gt;0,COUNTIF(Parameters!$B$4:$B$33,$B885)=0),"procurement","cost_service"),"unclassified"))))))</f>
        <v>cost_service</v>
      </c>
    </row>
    <row r="886" spans="1:26" x14ac:dyDescent="0.25">
      <c r="A886">
        <v>2024</v>
      </c>
      <c r="B886">
        <v>13524</v>
      </c>
      <c r="C886" t="s">
        <v>897</v>
      </c>
      <c r="D886" t="s">
        <v>84</v>
      </c>
      <c r="E886" t="s">
        <v>85</v>
      </c>
      <c r="F886" t="s">
        <v>86</v>
      </c>
      <c r="G886" t="s">
        <v>106</v>
      </c>
      <c r="H886" t="s">
        <v>91</v>
      </c>
      <c r="I886" t="s">
        <v>106</v>
      </c>
      <c r="J886">
        <v>25345</v>
      </c>
      <c r="K886">
        <v>155329</v>
      </c>
      <c r="L886">
        <v>12970</v>
      </c>
      <c r="M886">
        <v>10059.200000000001</v>
      </c>
      <c r="N886">
        <v>142968</v>
      </c>
      <c r="O886">
        <v>741</v>
      </c>
      <c r="P886">
        <v>14971.8</v>
      </c>
      <c r="Q886">
        <v>175301</v>
      </c>
      <c r="R886">
        <v>26</v>
      </c>
      <c r="S886">
        <v>0</v>
      </c>
      <c r="T886">
        <v>0</v>
      </c>
      <c r="U886">
        <v>0</v>
      </c>
      <c r="V886">
        <v>50376</v>
      </c>
      <c r="W886">
        <v>473598</v>
      </c>
      <c r="X886">
        <v>13737</v>
      </c>
      <c r="Y886">
        <f t="shared" si="13"/>
        <v>473598</v>
      </c>
      <c r="Z886" t="str">
        <f>IF(ISNUMBER(SEARCH("Adjustment",$C886)),"excluded",IF($H886="Behind the Meter","excluded",IF(NOT(OR($E886="Bundled",$E886="Energy")),"excluded",IF(OR($H886="Retail Power Marketer",$H886="Community Choice Aggregator",$E886="Energy"),"procurement",IF(OR($H886="Municipal",$H886="Cooperative",$H886="Federal",$H886="State",$H886="Political Subdivision"),"cost_service",IF($H886="Investor Owned",IF(AND(COUNTIF(Parameters!$A$4:$A$33,$G886)&gt;0,COUNTIF(Parameters!$B$4:$B$33,$B886)=0),"procurement","cost_service"),"unclassified"))))))</f>
        <v>cost_service</v>
      </c>
    </row>
    <row r="887" spans="1:26" x14ac:dyDescent="0.25">
      <c r="A887">
        <v>2024</v>
      </c>
      <c r="B887">
        <v>13547</v>
      </c>
      <c r="C887" t="s">
        <v>898</v>
      </c>
      <c r="D887" t="s">
        <v>84</v>
      </c>
      <c r="E887" t="s">
        <v>85</v>
      </c>
      <c r="F887" t="s">
        <v>86</v>
      </c>
      <c r="G887" t="s">
        <v>123</v>
      </c>
      <c r="H887" t="s">
        <v>88</v>
      </c>
      <c r="I887" t="s">
        <v>113</v>
      </c>
      <c r="J887">
        <v>13189</v>
      </c>
      <c r="K887">
        <v>99916</v>
      </c>
      <c r="L887">
        <v>9209</v>
      </c>
      <c r="M887">
        <v>21168</v>
      </c>
      <c r="N887">
        <v>200124</v>
      </c>
      <c r="O887">
        <v>1840</v>
      </c>
      <c r="P887">
        <v>6279</v>
      </c>
      <c r="Q887">
        <v>64220</v>
      </c>
      <c r="R887">
        <v>1</v>
      </c>
      <c r="S887" t="s">
        <v>97</v>
      </c>
      <c r="T887" t="s">
        <v>97</v>
      </c>
      <c r="U887" t="s">
        <v>97</v>
      </c>
      <c r="V887">
        <v>40636</v>
      </c>
      <c r="W887">
        <v>364260</v>
      </c>
      <c r="X887">
        <v>11050</v>
      </c>
      <c r="Y887">
        <f t="shared" si="13"/>
        <v>364260</v>
      </c>
      <c r="Z887" t="str">
        <f>IF(ISNUMBER(SEARCH("Adjustment",$C887)),"excluded",IF($H887="Behind the Meter","excluded",IF(NOT(OR($E887="Bundled",$E887="Energy")),"excluded",IF(OR($H887="Retail Power Marketer",$H887="Community Choice Aggregator",$E887="Energy"),"procurement",IF(OR($H887="Municipal",$H887="Cooperative",$H887="Federal",$H887="State",$H887="Political Subdivision"),"cost_service",IF($H887="Investor Owned",IF(AND(COUNTIF(Parameters!$A$4:$A$33,$G887)&gt;0,COUNTIF(Parameters!$B$4:$B$33,$B887)=0),"procurement","cost_service"),"unclassified"))))))</f>
        <v>cost_service</v>
      </c>
    </row>
    <row r="888" spans="1:26" x14ac:dyDescent="0.25">
      <c r="A888">
        <v>2024</v>
      </c>
      <c r="B888">
        <v>13550</v>
      </c>
      <c r="C888" t="s">
        <v>899</v>
      </c>
      <c r="D888" t="s">
        <v>84</v>
      </c>
      <c r="E888" t="s">
        <v>85</v>
      </c>
      <c r="F888" t="s">
        <v>86</v>
      </c>
      <c r="G888" t="s">
        <v>156</v>
      </c>
      <c r="H888" t="s">
        <v>88</v>
      </c>
      <c r="I888" t="s">
        <v>89</v>
      </c>
      <c r="J888">
        <v>35443</v>
      </c>
      <c r="K888">
        <v>256270</v>
      </c>
      <c r="L888">
        <v>19859</v>
      </c>
      <c r="M888">
        <v>17849</v>
      </c>
      <c r="N888">
        <v>127248</v>
      </c>
      <c r="O888">
        <v>3619</v>
      </c>
      <c r="P888">
        <v>9803</v>
      </c>
      <c r="Q888">
        <v>145129</v>
      </c>
      <c r="R888">
        <v>6</v>
      </c>
      <c r="S888">
        <v>0</v>
      </c>
      <c r="T888">
        <v>0</v>
      </c>
      <c r="U888">
        <v>0</v>
      </c>
      <c r="V888">
        <v>63095</v>
      </c>
      <c r="W888">
        <v>528647</v>
      </c>
      <c r="X888">
        <v>23484</v>
      </c>
      <c r="Y888">
        <f t="shared" si="13"/>
        <v>528647</v>
      </c>
      <c r="Z888" t="str">
        <f>IF(ISNUMBER(SEARCH("Adjustment",$C888)),"excluded",IF($H888="Behind the Meter","excluded",IF(NOT(OR($E888="Bundled",$E888="Energy")),"excluded",IF(OR($H888="Retail Power Marketer",$H888="Community Choice Aggregator",$E888="Energy"),"procurement",IF(OR($H888="Municipal",$H888="Cooperative",$H888="Federal",$H888="State",$H888="Political Subdivision"),"cost_service",IF($H888="Investor Owned",IF(AND(COUNTIF(Parameters!$A$4:$A$33,$G888)&gt;0,COUNTIF(Parameters!$B$4:$B$33,$B888)=0),"procurement","cost_service"),"unclassified"))))))</f>
        <v>cost_service</v>
      </c>
    </row>
    <row r="889" spans="1:26" x14ac:dyDescent="0.25">
      <c r="A889">
        <v>2024</v>
      </c>
      <c r="B889">
        <v>13573</v>
      </c>
      <c r="C889" t="s">
        <v>900</v>
      </c>
      <c r="D889" t="s">
        <v>84</v>
      </c>
      <c r="E889" t="s">
        <v>85</v>
      </c>
      <c r="F889" t="s">
        <v>86</v>
      </c>
      <c r="G889" t="s">
        <v>53</v>
      </c>
      <c r="H889" t="s">
        <v>109</v>
      </c>
      <c r="I889" t="s">
        <v>102</v>
      </c>
      <c r="J889">
        <v>1883342.6</v>
      </c>
      <c r="K889">
        <v>10935613</v>
      </c>
      <c r="L889">
        <v>1430208</v>
      </c>
      <c r="M889">
        <v>413300.7</v>
      </c>
      <c r="N889">
        <v>3963116</v>
      </c>
      <c r="O889">
        <v>129036</v>
      </c>
      <c r="P889">
        <v>86507</v>
      </c>
      <c r="Q889">
        <v>1442245</v>
      </c>
      <c r="R889">
        <v>622</v>
      </c>
      <c r="S889">
        <v>0</v>
      </c>
      <c r="T889">
        <v>0</v>
      </c>
      <c r="U889">
        <v>0</v>
      </c>
      <c r="V889">
        <v>2383150.2999999998</v>
      </c>
      <c r="W889">
        <v>16340974</v>
      </c>
      <c r="X889">
        <v>1559866</v>
      </c>
      <c r="Y889">
        <f t="shared" si="13"/>
        <v>16340974</v>
      </c>
      <c r="Z889" t="str">
        <f>IF(ISNUMBER(SEARCH("Adjustment",$C889)),"excluded",IF($H889="Behind the Meter","excluded",IF(NOT(OR($E889="Bundled",$E889="Energy")),"excluded",IF(OR($H889="Retail Power Marketer",$H889="Community Choice Aggregator",$E889="Energy"),"procurement",IF(OR($H889="Municipal",$H889="Cooperative",$H889="Federal",$H889="State",$H889="Political Subdivision"),"cost_service",IF($H889="Investor Owned",IF(AND(COUNTIF(Parameters!$A$4:$A$33,$G889)&gt;0,COUNTIF(Parameters!$B$4:$B$33,$B889)=0),"procurement","cost_service"),"unclassified"))))))</f>
        <v>procurement</v>
      </c>
    </row>
    <row r="890" spans="1:26" x14ac:dyDescent="0.25">
      <c r="A890">
        <v>2024</v>
      </c>
      <c r="B890">
        <v>13573</v>
      </c>
      <c r="C890" t="s">
        <v>900</v>
      </c>
      <c r="D890" t="s">
        <v>167</v>
      </c>
      <c r="E890" t="s">
        <v>168</v>
      </c>
      <c r="F890" t="s">
        <v>86</v>
      </c>
      <c r="G890" t="s">
        <v>53</v>
      </c>
      <c r="H890" t="s">
        <v>109</v>
      </c>
      <c r="I890" t="s">
        <v>102</v>
      </c>
      <c r="J890">
        <v>89292.800000000003</v>
      </c>
      <c r="K890">
        <v>898282</v>
      </c>
      <c r="L890">
        <v>102086</v>
      </c>
      <c r="M890">
        <v>379436.6</v>
      </c>
      <c r="N890">
        <v>8613200</v>
      </c>
      <c r="O890">
        <v>56036</v>
      </c>
      <c r="P890">
        <v>134116</v>
      </c>
      <c r="Q890">
        <v>6860529</v>
      </c>
      <c r="R890">
        <v>932</v>
      </c>
      <c r="S890">
        <v>48.6</v>
      </c>
      <c r="T890">
        <v>5108</v>
      </c>
      <c r="U890">
        <v>1</v>
      </c>
      <c r="V890">
        <v>602894</v>
      </c>
      <c r="W890">
        <v>16377119</v>
      </c>
      <c r="X890">
        <v>159055</v>
      </c>
      <c r="Y890">
        <f t="shared" si="13"/>
        <v>16377119</v>
      </c>
      <c r="Z890" t="str">
        <f>IF(ISNUMBER(SEARCH("Adjustment",$C890)),"excluded",IF($H890="Behind the Meter","excluded",IF(NOT(OR($E890="Bundled",$E890="Energy")),"excluded",IF(OR($H890="Retail Power Marketer",$H890="Community Choice Aggregator",$E890="Energy"),"procurement",IF(OR($H890="Municipal",$H890="Cooperative",$H890="Federal",$H890="State",$H890="Political Subdivision"),"cost_service",IF($H890="Investor Owned",IF(AND(COUNTIF(Parameters!$A$4:$A$33,$G890)&gt;0,COUNTIF(Parameters!$B$4:$B$33,$B890)=0),"procurement","cost_service"),"unclassified"))))))</f>
        <v>excluded</v>
      </c>
    </row>
    <row r="891" spans="1:26" x14ac:dyDescent="0.25">
      <c r="A891">
        <v>2024</v>
      </c>
      <c r="B891">
        <v>13602</v>
      </c>
      <c r="C891" t="s">
        <v>901</v>
      </c>
      <c r="D891" t="s">
        <v>84</v>
      </c>
      <c r="E891" t="s">
        <v>85</v>
      </c>
      <c r="F891" t="s">
        <v>86</v>
      </c>
      <c r="G891" t="s">
        <v>54</v>
      </c>
      <c r="H891" t="s">
        <v>88</v>
      </c>
      <c r="I891" t="s">
        <v>92</v>
      </c>
      <c r="J891">
        <v>7347</v>
      </c>
      <c r="K891">
        <v>78886</v>
      </c>
      <c r="L891">
        <v>11882</v>
      </c>
      <c r="M891">
        <v>8035</v>
      </c>
      <c r="N891">
        <v>95336</v>
      </c>
      <c r="O891">
        <v>911</v>
      </c>
      <c r="P891">
        <v>4486</v>
      </c>
      <c r="Q891">
        <v>62720</v>
      </c>
      <c r="R891">
        <v>22</v>
      </c>
      <c r="S891" t="s">
        <v>97</v>
      </c>
      <c r="T891" t="s">
        <v>97</v>
      </c>
      <c r="U891" t="s">
        <v>97</v>
      </c>
      <c r="V891">
        <v>19868</v>
      </c>
      <c r="W891">
        <v>236942</v>
      </c>
      <c r="X891">
        <v>12815</v>
      </c>
      <c r="Y891">
        <f t="shared" si="13"/>
        <v>236942</v>
      </c>
      <c r="Z891" t="str">
        <f>IF(ISNUMBER(SEARCH("Adjustment",$C891)),"excluded",IF($H891="Behind the Meter","excluded",IF(NOT(OR($E891="Bundled",$E891="Energy")),"excluded",IF(OR($H891="Retail Power Marketer",$H891="Community Choice Aggregator",$E891="Energy"),"procurement",IF(OR($H891="Municipal",$H891="Cooperative",$H891="Federal",$H891="State",$H891="Political Subdivision"),"cost_service",IF($H891="Investor Owned",IF(AND(COUNTIF(Parameters!$A$4:$A$33,$G891)&gt;0,COUNTIF(Parameters!$B$4:$B$33,$B891)=0),"procurement","cost_service"),"unclassified"))))))</f>
        <v>cost_service</v>
      </c>
    </row>
    <row r="892" spans="1:26" x14ac:dyDescent="0.25">
      <c r="A892">
        <v>2024</v>
      </c>
      <c r="B892">
        <v>13640</v>
      </c>
      <c r="C892" t="s">
        <v>902</v>
      </c>
      <c r="D892" t="s">
        <v>84</v>
      </c>
      <c r="E892" t="s">
        <v>85</v>
      </c>
      <c r="F892" t="s">
        <v>86</v>
      </c>
      <c r="G892" t="s">
        <v>93</v>
      </c>
      <c r="H892" t="s">
        <v>91</v>
      </c>
      <c r="I892" t="s">
        <v>92</v>
      </c>
      <c r="J892">
        <v>265681</v>
      </c>
      <c r="K892">
        <v>2296226</v>
      </c>
      <c r="L892">
        <v>167274</v>
      </c>
      <c r="M892">
        <v>616008</v>
      </c>
      <c r="N892">
        <v>9912583</v>
      </c>
      <c r="O892">
        <v>14796</v>
      </c>
      <c r="P892">
        <v>1649</v>
      </c>
      <c r="Q892">
        <v>22272</v>
      </c>
      <c r="R892">
        <v>4</v>
      </c>
      <c r="S892" t="s">
        <v>97</v>
      </c>
      <c r="T892" t="s">
        <v>97</v>
      </c>
      <c r="U892" t="s">
        <v>97</v>
      </c>
      <c r="V892">
        <v>883338</v>
      </c>
      <c r="W892">
        <v>12231081</v>
      </c>
      <c r="X892">
        <v>182074</v>
      </c>
      <c r="Y892">
        <f t="shared" si="13"/>
        <v>12231081</v>
      </c>
      <c r="Z892" t="str">
        <f>IF(ISNUMBER(SEARCH("Adjustment",$C892)),"excluded",IF($H892="Behind the Meter","excluded",IF(NOT(OR($E892="Bundled",$E892="Energy")),"excluded",IF(OR($H892="Retail Power Marketer",$H892="Community Choice Aggregator",$E892="Energy"),"procurement",IF(OR($H892="Municipal",$H892="Cooperative",$H892="Federal",$H892="State",$H892="Political Subdivision"),"cost_service",IF($H892="Investor Owned",IF(AND(COUNTIF(Parameters!$A$4:$A$33,$G892)&gt;0,COUNTIF(Parameters!$B$4:$B$33,$B892)=0),"procurement","cost_service"),"unclassified"))))))</f>
        <v>cost_service</v>
      </c>
    </row>
    <row r="893" spans="1:26" x14ac:dyDescent="0.25">
      <c r="A893">
        <v>2024</v>
      </c>
      <c r="B893">
        <v>13647</v>
      </c>
      <c r="C893" t="s">
        <v>903</v>
      </c>
      <c r="D893" t="s">
        <v>84</v>
      </c>
      <c r="E893" t="s">
        <v>85</v>
      </c>
      <c r="F893" t="s">
        <v>86</v>
      </c>
      <c r="G893" t="s">
        <v>130</v>
      </c>
      <c r="H893" t="s">
        <v>91</v>
      </c>
      <c r="I893" t="s">
        <v>92</v>
      </c>
      <c r="J893">
        <v>17971.400000000001</v>
      </c>
      <c r="K893">
        <v>132778</v>
      </c>
      <c r="L893">
        <v>10986</v>
      </c>
      <c r="M893">
        <v>2466</v>
      </c>
      <c r="N893">
        <v>19151</v>
      </c>
      <c r="O893">
        <v>542</v>
      </c>
      <c r="P893">
        <v>5438.1</v>
      </c>
      <c r="Q893">
        <v>50327</v>
      </c>
      <c r="R893">
        <v>139</v>
      </c>
      <c r="S893" t="s">
        <v>97</v>
      </c>
      <c r="T893" t="s">
        <v>97</v>
      </c>
      <c r="U893" t="s">
        <v>97</v>
      </c>
      <c r="V893">
        <v>25875.5</v>
      </c>
      <c r="W893">
        <v>202256</v>
      </c>
      <c r="X893">
        <v>11667</v>
      </c>
      <c r="Y893">
        <f t="shared" si="13"/>
        <v>202256</v>
      </c>
      <c r="Z893" t="str">
        <f>IF(ISNUMBER(SEARCH("Adjustment",$C893)),"excluded",IF($H893="Behind the Meter","excluded",IF(NOT(OR($E893="Bundled",$E893="Energy")),"excluded",IF(OR($H893="Retail Power Marketer",$H893="Community Choice Aggregator",$E893="Energy"),"procurement",IF(OR($H893="Municipal",$H893="Cooperative",$H893="Federal",$H893="State",$H893="Political Subdivision"),"cost_service",IF($H893="Investor Owned",IF(AND(COUNTIF(Parameters!$A$4:$A$33,$G893)&gt;0,COUNTIF(Parameters!$B$4:$B$33,$B893)=0),"procurement","cost_service"),"unclassified"))))))</f>
        <v>cost_service</v>
      </c>
    </row>
    <row r="894" spans="1:26" x14ac:dyDescent="0.25">
      <c r="A894">
        <v>2024</v>
      </c>
      <c r="B894">
        <v>13651</v>
      </c>
      <c r="C894" t="s">
        <v>904</v>
      </c>
      <c r="D894" t="s">
        <v>84</v>
      </c>
      <c r="E894" t="s">
        <v>85</v>
      </c>
      <c r="F894" t="s">
        <v>86</v>
      </c>
      <c r="G894" t="s">
        <v>209</v>
      </c>
      <c r="H894" t="s">
        <v>91</v>
      </c>
      <c r="I894" t="s">
        <v>92</v>
      </c>
      <c r="J894">
        <v>64182</v>
      </c>
      <c r="K894">
        <v>490715</v>
      </c>
      <c r="L894">
        <v>35855</v>
      </c>
      <c r="M894">
        <v>13918</v>
      </c>
      <c r="N894">
        <v>119508</v>
      </c>
      <c r="O894">
        <v>2884</v>
      </c>
      <c r="P894">
        <v>8879</v>
      </c>
      <c r="Q894">
        <v>131740</v>
      </c>
      <c r="R894">
        <v>2</v>
      </c>
      <c r="S894" t="s">
        <v>97</v>
      </c>
      <c r="T894" t="s">
        <v>97</v>
      </c>
      <c r="U894" t="s">
        <v>97</v>
      </c>
      <c r="V894">
        <v>86979</v>
      </c>
      <c r="W894">
        <v>741963</v>
      </c>
      <c r="X894">
        <v>38741</v>
      </c>
      <c r="Y894">
        <f t="shared" si="13"/>
        <v>741963</v>
      </c>
      <c r="Z894" t="str">
        <f>IF(ISNUMBER(SEARCH("Adjustment",$C894)),"excluded",IF($H894="Behind the Meter","excluded",IF(NOT(OR($E894="Bundled",$E894="Energy")),"excluded",IF(OR($H894="Retail Power Marketer",$H894="Community Choice Aggregator",$E894="Energy"),"procurement",IF(OR($H894="Municipal",$H894="Cooperative",$H894="Federal",$H894="State",$H894="Political Subdivision"),"cost_service",IF($H894="Investor Owned",IF(AND(COUNTIF(Parameters!$A$4:$A$33,$G894)&gt;0,COUNTIF(Parameters!$B$4:$B$33,$B894)=0),"procurement","cost_service"),"unclassified"))))))</f>
        <v>cost_service</v>
      </c>
    </row>
    <row r="895" spans="1:26" x14ac:dyDescent="0.25">
      <c r="A895">
        <v>2024</v>
      </c>
      <c r="B895">
        <v>13664</v>
      </c>
      <c r="C895" t="s">
        <v>905</v>
      </c>
      <c r="D895" t="s">
        <v>84</v>
      </c>
      <c r="E895" t="s">
        <v>85</v>
      </c>
      <c r="F895" t="s">
        <v>86</v>
      </c>
      <c r="G895" t="s">
        <v>271</v>
      </c>
      <c r="H895" t="s">
        <v>205</v>
      </c>
      <c r="I895" t="s">
        <v>135</v>
      </c>
      <c r="J895">
        <v>32191.5</v>
      </c>
      <c r="K895">
        <v>334982</v>
      </c>
      <c r="L895">
        <v>18387</v>
      </c>
      <c r="M895">
        <v>16191.8</v>
      </c>
      <c r="N895">
        <v>154274</v>
      </c>
      <c r="O895">
        <v>6524</v>
      </c>
      <c r="P895">
        <v>43813.5</v>
      </c>
      <c r="Q895">
        <v>611419</v>
      </c>
      <c r="R895">
        <v>2854</v>
      </c>
      <c r="S895">
        <v>0</v>
      </c>
      <c r="T895">
        <v>0</v>
      </c>
      <c r="U895">
        <v>0</v>
      </c>
      <c r="V895">
        <v>92196.800000000003</v>
      </c>
      <c r="W895">
        <v>1100675</v>
      </c>
      <c r="X895">
        <v>27765</v>
      </c>
      <c r="Y895">
        <f t="shared" si="13"/>
        <v>1100675</v>
      </c>
      <c r="Z895" t="str">
        <f>IF(ISNUMBER(SEARCH("Adjustment",$C895)),"excluded",IF($H895="Behind the Meter","excluded",IF(NOT(OR($E895="Bundled",$E895="Energy")),"excluded",IF(OR($H895="Retail Power Marketer",$H895="Community Choice Aggregator",$E895="Energy"),"procurement",IF(OR($H895="Municipal",$H895="Cooperative",$H895="Federal",$H895="State",$H895="Political Subdivision"),"cost_service",IF($H895="Investor Owned",IF(AND(COUNTIF(Parameters!$A$4:$A$33,$G895)&gt;0,COUNTIF(Parameters!$B$4:$B$33,$B895)=0),"procurement","cost_service"),"unclassified"))))))</f>
        <v>cost_service</v>
      </c>
    </row>
    <row r="896" spans="1:26" x14ac:dyDescent="0.25">
      <c r="A896">
        <v>2024</v>
      </c>
      <c r="B896">
        <v>13669</v>
      </c>
      <c r="C896" t="s">
        <v>906</v>
      </c>
      <c r="D896" t="s">
        <v>84</v>
      </c>
      <c r="E896" t="s">
        <v>85</v>
      </c>
      <c r="F896" t="s">
        <v>86</v>
      </c>
      <c r="G896" t="s">
        <v>112</v>
      </c>
      <c r="H896" t="s">
        <v>91</v>
      </c>
      <c r="I896" t="s">
        <v>89</v>
      </c>
      <c r="J896">
        <v>25483</v>
      </c>
      <c r="K896">
        <v>198549</v>
      </c>
      <c r="L896">
        <v>13099</v>
      </c>
      <c r="M896">
        <v>16840</v>
      </c>
      <c r="N896">
        <v>113566</v>
      </c>
      <c r="O896">
        <v>6410</v>
      </c>
      <c r="P896">
        <v>7232</v>
      </c>
      <c r="Q896">
        <v>145448</v>
      </c>
      <c r="R896">
        <v>3</v>
      </c>
      <c r="S896">
        <v>0</v>
      </c>
      <c r="T896">
        <v>0</v>
      </c>
      <c r="U896">
        <v>0</v>
      </c>
      <c r="V896">
        <v>49555</v>
      </c>
      <c r="W896">
        <v>457563</v>
      </c>
      <c r="X896">
        <v>19512</v>
      </c>
      <c r="Y896">
        <f t="shared" si="13"/>
        <v>457563</v>
      </c>
      <c r="Z896" t="str">
        <f>IF(ISNUMBER(SEARCH("Adjustment",$C896)),"excluded",IF($H896="Behind the Meter","excluded",IF(NOT(OR($E896="Bundled",$E896="Energy")),"excluded",IF(OR($H896="Retail Power Marketer",$H896="Community Choice Aggregator",$E896="Energy"),"procurement",IF(OR($H896="Municipal",$H896="Cooperative",$H896="Federal",$H896="State",$H896="Political Subdivision"),"cost_service",IF($H896="Investor Owned",IF(AND(COUNTIF(Parameters!$A$4:$A$33,$G896)&gt;0,COUNTIF(Parameters!$B$4:$B$33,$B896)=0),"procurement","cost_service"),"unclassified"))))))</f>
        <v>cost_service</v>
      </c>
    </row>
    <row r="897" spans="1:26" x14ac:dyDescent="0.25">
      <c r="A897">
        <v>2024</v>
      </c>
      <c r="B897">
        <v>13676</v>
      </c>
      <c r="C897" t="s">
        <v>907</v>
      </c>
      <c r="D897" t="s">
        <v>84</v>
      </c>
      <c r="E897" t="s">
        <v>85</v>
      </c>
      <c r="F897" t="s">
        <v>86</v>
      </c>
      <c r="G897" t="s">
        <v>173</v>
      </c>
      <c r="H897" t="s">
        <v>91</v>
      </c>
      <c r="I897" t="s">
        <v>96</v>
      </c>
      <c r="J897">
        <v>54083.4</v>
      </c>
      <c r="K897">
        <v>420412</v>
      </c>
      <c r="L897">
        <v>36355</v>
      </c>
      <c r="M897">
        <v>11834.9</v>
      </c>
      <c r="N897">
        <v>106787</v>
      </c>
      <c r="O897">
        <v>2614</v>
      </c>
      <c r="P897">
        <v>7856.8</v>
      </c>
      <c r="Q897">
        <v>97849</v>
      </c>
      <c r="R897">
        <v>9</v>
      </c>
      <c r="S897" t="s">
        <v>97</v>
      </c>
      <c r="T897" t="s">
        <v>97</v>
      </c>
      <c r="U897" t="s">
        <v>97</v>
      </c>
      <c r="V897">
        <v>73775.100000000006</v>
      </c>
      <c r="W897">
        <v>625048</v>
      </c>
      <c r="X897">
        <v>38978</v>
      </c>
      <c r="Y897">
        <f t="shared" si="13"/>
        <v>625048</v>
      </c>
      <c r="Z897" t="str">
        <f>IF(ISNUMBER(SEARCH("Adjustment",$C897)),"excluded",IF($H897="Behind the Meter","excluded",IF(NOT(OR($E897="Bundled",$E897="Energy")),"excluded",IF(OR($H897="Retail Power Marketer",$H897="Community Choice Aggregator",$E897="Energy"),"procurement",IF(OR($H897="Municipal",$H897="Cooperative",$H897="Federal",$H897="State",$H897="Political Subdivision"),"cost_service",IF($H897="Investor Owned",IF(AND(COUNTIF(Parameters!$A$4:$A$33,$G897)&gt;0,COUNTIF(Parameters!$B$4:$B$33,$B897)=0),"procurement","cost_service"),"unclassified"))))))</f>
        <v>cost_service</v>
      </c>
    </row>
    <row r="898" spans="1:26" x14ac:dyDescent="0.25">
      <c r="A898">
        <v>2024</v>
      </c>
      <c r="B898">
        <v>13679</v>
      </c>
      <c r="C898" t="s">
        <v>908</v>
      </c>
      <c r="D898" t="s">
        <v>84</v>
      </c>
      <c r="E898" t="s">
        <v>85</v>
      </c>
      <c r="F898" t="s">
        <v>86</v>
      </c>
      <c r="G898" t="s">
        <v>48</v>
      </c>
      <c r="H898" t="s">
        <v>88</v>
      </c>
      <c r="I898" t="s">
        <v>189</v>
      </c>
      <c r="J898">
        <v>18329.5</v>
      </c>
      <c r="K898">
        <v>115237</v>
      </c>
      <c r="L898">
        <v>12607</v>
      </c>
      <c r="M898">
        <v>5281</v>
      </c>
      <c r="N898">
        <v>33397</v>
      </c>
      <c r="O898">
        <v>1161</v>
      </c>
      <c r="P898">
        <v>9793.4</v>
      </c>
      <c r="Q898">
        <v>65305</v>
      </c>
      <c r="R898">
        <v>128</v>
      </c>
      <c r="S898" t="s">
        <v>97</v>
      </c>
      <c r="T898" t="s">
        <v>97</v>
      </c>
      <c r="U898" t="s">
        <v>97</v>
      </c>
      <c r="V898">
        <v>33403.9</v>
      </c>
      <c r="W898">
        <v>213939</v>
      </c>
      <c r="X898">
        <v>13896</v>
      </c>
      <c r="Y898">
        <f t="shared" si="13"/>
        <v>213939</v>
      </c>
      <c r="Z898" t="str">
        <f>IF(ISNUMBER(SEARCH("Adjustment",$C898)),"excluded",IF($H898="Behind the Meter","excluded",IF(NOT(OR($E898="Bundled",$E898="Energy")),"excluded",IF(OR($H898="Retail Power Marketer",$H898="Community Choice Aggregator",$E898="Energy"),"procurement",IF(OR($H898="Municipal",$H898="Cooperative",$H898="Federal",$H898="State",$H898="Political Subdivision"),"cost_service",IF($H898="Investor Owned",IF(AND(COUNTIF(Parameters!$A$4:$A$33,$G898)&gt;0,COUNTIF(Parameters!$B$4:$B$33,$B898)=0),"procurement","cost_service"),"unclassified"))))))</f>
        <v>cost_service</v>
      </c>
    </row>
    <row r="899" spans="1:26" x14ac:dyDescent="0.25">
      <c r="A899">
        <v>2024</v>
      </c>
      <c r="B899">
        <v>13693</v>
      </c>
      <c r="C899" t="s">
        <v>909</v>
      </c>
      <c r="D899" t="s">
        <v>84</v>
      </c>
      <c r="E899" t="s">
        <v>85</v>
      </c>
      <c r="F899" t="s">
        <v>86</v>
      </c>
      <c r="G899" t="s">
        <v>54</v>
      </c>
      <c r="H899" t="s">
        <v>91</v>
      </c>
      <c r="I899" t="s">
        <v>92</v>
      </c>
      <c r="J899">
        <v>20479.099999999999</v>
      </c>
      <c r="K899">
        <v>119796</v>
      </c>
      <c r="L899">
        <v>8433</v>
      </c>
      <c r="M899">
        <v>5253.4</v>
      </c>
      <c r="N899">
        <v>32032</v>
      </c>
      <c r="O899">
        <v>1270</v>
      </c>
      <c r="P899">
        <v>7633.9</v>
      </c>
      <c r="Q899">
        <v>69024</v>
      </c>
      <c r="R899">
        <v>42</v>
      </c>
      <c r="S899" t="s">
        <v>97</v>
      </c>
      <c r="T899" t="s">
        <v>97</v>
      </c>
      <c r="U899" t="s">
        <v>97</v>
      </c>
      <c r="V899">
        <v>33366.400000000001</v>
      </c>
      <c r="W899">
        <v>220852</v>
      </c>
      <c r="X899">
        <v>9745</v>
      </c>
      <c r="Y899">
        <f t="shared" si="13"/>
        <v>220852</v>
      </c>
      <c r="Z899" t="str">
        <f>IF(ISNUMBER(SEARCH("Adjustment",$C899)),"excluded",IF($H899="Behind the Meter","excluded",IF(NOT(OR($E899="Bundled",$E899="Energy")),"excluded",IF(OR($H899="Retail Power Marketer",$H899="Community Choice Aggregator",$E899="Energy"),"procurement",IF(OR($H899="Municipal",$H899="Cooperative",$H899="Federal",$H899="State",$H899="Political Subdivision"),"cost_service",IF($H899="Investor Owned",IF(AND(COUNTIF(Parameters!$A$4:$A$33,$G899)&gt;0,COUNTIF(Parameters!$B$4:$B$33,$B899)=0),"procurement","cost_service"),"unclassified"))))))</f>
        <v>cost_service</v>
      </c>
    </row>
    <row r="900" spans="1:26" x14ac:dyDescent="0.25">
      <c r="A900">
        <v>2024</v>
      </c>
      <c r="B900">
        <v>13694</v>
      </c>
      <c r="C900" t="s">
        <v>910</v>
      </c>
      <c r="D900" t="s">
        <v>84</v>
      </c>
      <c r="E900" t="s">
        <v>85</v>
      </c>
      <c r="F900" t="s">
        <v>86</v>
      </c>
      <c r="G900" t="s">
        <v>198</v>
      </c>
      <c r="H900" t="s">
        <v>91</v>
      </c>
      <c r="I900" t="s">
        <v>96</v>
      </c>
      <c r="J900">
        <v>14691.5</v>
      </c>
      <c r="K900">
        <v>134786</v>
      </c>
      <c r="L900">
        <v>6061</v>
      </c>
      <c r="M900">
        <v>11456.4</v>
      </c>
      <c r="N900">
        <v>84389</v>
      </c>
      <c r="O900">
        <v>1526</v>
      </c>
      <c r="P900">
        <v>1142.3</v>
      </c>
      <c r="Q900">
        <v>14595</v>
      </c>
      <c r="R900">
        <v>5</v>
      </c>
      <c r="S900">
        <v>0</v>
      </c>
      <c r="T900">
        <v>0</v>
      </c>
      <c r="U900">
        <v>0</v>
      </c>
      <c r="V900">
        <v>27290.2</v>
      </c>
      <c r="W900">
        <v>233770</v>
      </c>
      <c r="X900">
        <v>7592</v>
      </c>
      <c r="Y900">
        <f t="shared" ref="Y900:Y963" si="14">IF(ISNUMBER($W900),$W900,0)</f>
        <v>233770</v>
      </c>
      <c r="Z900" t="str">
        <f>IF(ISNUMBER(SEARCH("Adjustment",$C900)),"excluded",IF($H900="Behind the Meter","excluded",IF(NOT(OR($E900="Bundled",$E900="Energy")),"excluded",IF(OR($H900="Retail Power Marketer",$H900="Community Choice Aggregator",$E900="Energy"),"procurement",IF(OR($H900="Municipal",$H900="Cooperative",$H900="Federal",$H900="State",$H900="Political Subdivision"),"cost_service",IF($H900="Investor Owned",IF(AND(COUNTIF(Parameters!$A$4:$A$33,$G900)&gt;0,COUNTIF(Parameters!$B$4:$B$33,$B900)=0),"procurement","cost_service"),"unclassified"))))))</f>
        <v>cost_service</v>
      </c>
    </row>
    <row r="901" spans="1:26" x14ac:dyDescent="0.25">
      <c r="A901">
        <v>2024</v>
      </c>
      <c r="B901">
        <v>13697</v>
      </c>
      <c r="C901" t="s">
        <v>911</v>
      </c>
      <c r="D901" t="s">
        <v>84</v>
      </c>
      <c r="E901" t="s">
        <v>85</v>
      </c>
      <c r="F901" t="s">
        <v>86</v>
      </c>
      <c r="G901" t="s">
        <v>95</v>
      </c>
      <c r="H901" t="s">
        <v>109</v>
      </c>
      <c r="I901" t="s">
        <v>96</v>
      </c>
      <c r="J901">
        <v>3991.7</v>
      </c>
      <c r="K901">
        <v>25371</v>
      </c>
      <c r="L901">
        <v>4991</v>
      </c>
      <c r="M901">
        <v>1078.4000000000001</v>
      </c>
      <c r="N901">
        <v>7545</v>
      </c>
      <c r="O901">
        <v>520</v>
      </c>
      <c r="P901">
        <v>294.7</v>
      </c>
      <c r="Q901">
        <v>3076</v>
      </c>
      <c r="R901">
        <v>5</v>
      </c>
      <c r="S901">
        <v>0</v>
      </c>
      <c r="T901">
        <v>0</v>
      </c>
      <c r="U901">
        <v>0</v>
      </c>
      <c r="V901">
        <v>5364.8</v>
      </c>
      <c r="W901">
        <v>35992</v>
      </c>
      <c r="X901">
        <v>5516</v>
      </c>
      <c r="Y901">
        <f t="shared" si="14"/>
        <v>35992</v>
      </c>
      <c r="Z901" t="str">
        <f>IF(ISNUMBER(SEARCH("Adjustment",$C901)),"excluded",IF($H901="Behind the Meter","excluded",IF(NOT(OR($E901="Bundled",$E901="Energy")),"excluded",IF(OR($H901="Retail Power Marketer",$H901="Community Choice Aggregator",$E901="Energy"),"procurement",IF(OR($H901="Municipal",$H901="Cooperative",$H901="Federal",$H901="State",$H901="Political Subdivision"),"cost_service",IF($H901="Investor Owned",IF(AND(COUNTIF(Parameters!$A$4:$A$33,$G901)&gt;0,COUNTIF(Parameters!$B$4:$B$33,$B901)=0),"procurement","cost_service"),"unclassified"))))))</f>
        <v>cost_service</v>
      </c>
    </row>
    <row r="902" spans="1:26" x14ac:dyDescent="0.25">
      <c r="A902">
        <v>2024</v>
      </c>
      <c r="B902">
        <v>13716</v>
      </c>
      <c r="C902" t="s">
        <v>912</v>
      </c>
      <c r="D902" t="s">
        <v>84</v>
      </c>
      <c r="E902" t="s">
        <v>85</v>
      </c>
      <c r="F902" t="s">
        <v>86</v>
      </c>
      <c r="G902" t="s">
        <v>123</v>
      </c>
      <c r="H902" t="s">
        <v>91</v>
      </c>
      <c r="I902" t="s">
        <v>89</v>
      </c>
      <c r="J902">
        <v>177226</v>
      </c>
      <c r="K902">
        <v>1454917</v>
      </c>
      <c r="L902">
        <v>90182</v>
      </c>
      <c r="M902">
        <v>77087</v>
      </c>
      <c r="N902">
        <v>818532</v>
      </c>
      <c r="O902">
        <v>16106</v>
      </c>
      <c r="P902">
        <v>13126</v>
      </c>
      <c r="Q902">
        <v>181624</v>
      </c>
      <c r="R902">
        <v>28</v>
      </c>
      <c r="S902">
        <v>0</v>
      </c>
      <c r="T902">
        <v>0</v>
      </c>
      <c r="U902">
        <v>0</v>
      </c>
      <c r="V902">
        <v>267439</v>
      </c>
      <c r="W902">
        <v>2455073</v>
      </c>
      <c r="X902">
        <v>106316</v>
      </c>
      <c r="Y902">
        <f t="shared" si="14"/>
        <v>2455073</v>
      </c>
      <c r="Z902" t="str">
        <f>IF(ISNUMBER(SEARCH("Adjustment",$C902)),"excluded",IF($H902="Behind the Meter","excluded",IF(NOT(OR($E902="Bundled",$E902="Energy")),"excluded",IF(OR($H902="Retail Power Marketer",$H902="Community Choice Aggregator",$E902="Energy"),"procurement",IF(OR($H902="Municipal",$H902="Cooperative",$H902="Federal",$H902="State",$H902="Political Subdivision"),"cost_service",IF($H902="Investor Owned",IF(AND(COUNTIF(Parameters!$A$4:$A$33,$G902)&gt;0,COUNTIF(Parameters!$B$4:$B$33,$B902)=0),"procurement","cost_service"),"unclassified"))))))</f>
        <v>cost_service</v>
      </c>
    </row>
    <row r="903" spans="1:26" x14ac:dyDescent="0.25">
      <c r="A903">
        <v>2024</v>
      </c>
      <c r="B903">
        <v>13718</v>
      </c>
      <c r="C903" t="s">
        <v>913</v>
      </c>
      <c r="D903" t="s">
        <v>84</v>
      </c>
      <c r="E903" t="s">
        <v>85</v>
      </c>
      <c r="F903" t="s">
        <v>86</v>
      </c>
      <c r="G903" t="s">
        <v>173</v>
      </c>
      <c r="H903" t="s">
        <v>88</v>
      </c>
      <c r="I903" t="s">
        <v>96</v>
      </c>
      <c r="J903">
        <v>45431</v>
      </c>
      <c r="K903">
        <v>371555</v>
      </c>
      <c r="L903">
        <v>34984</v>
      </c>
      <c r="M903">
        <v>23588</v>
      </c>
      <c r="N903">
        <v>196936</v>
      </c>
      <c r="O903">
        <v>4886</v>
      </c>
      <c r="P903">
        <v>31745</v>
      </c>
      <c r="Q903">
        <v>322557</v>
      </c>
      <c r="R903">
        <v>266</v>
      </c>
      <c r="S903">
        <v>34</v>
      </c>
      <c r="T903">
        <v>259</v>
      </c>
      <c r="U903">
        <v>1</v>
      </c>
      <c r="V903">
        <v>100798</v>
      </c>
      <c r="W903">
        <v>891307</v>
      </c>
      <c r="X903">
        <v>40137</v>
      </c>
      <c r="Y903">
        <f t="shared" si="14"/>
        <v>891307</v>
      </c>
      <c r="Z903" t="str">
        <f>IF(ISNUMBER(SEARCH("Adjustment",$C903)),"excluded",IF($H903="Behind the Meter","excluded",IF(NOT(OR($E903="Bundled",$E903="Energy")),"excluded",IF(OR($H903="Retail Power Marketer",$H903="Community Choice Aggregator",$E903="Energy"),"procurement",IF(OR($H903="Municipal",$H903="Cooperative",$H903="Federal",$H903="State",$H903="Political Subdivision"),"cost_service",IF($H903="Investor Owned",IF(AND(COUNTIF(Parameters!$A$4:$A$33,$G903)&gt;0,COUNTIF(Parameters!$B$4:$B$33,$B903)=0),"procurement","cost_service"),"unclassified"))))))</f>
        <v>cost_service</v>
      </c>
    </row>
    <row r="904" spans="1:26" x14ac:dyDescent="0.25">
      <c r="A904">
        <v>2024</v>
      </c>
      <c r="B904">
        <v>13725</v>
      </c>
      <c r="C904" t="s">
        <v>914</v>
      </c>
      <c r="D904" t="s">
        <v>84</v>
      </c>
      <c r="E904" t="s">
        <v>85</v>
      </c>
      <c r="F904" t="s">
        <v>86</v>
      </c>
      <c r="G904" t="s">
        <v>271</v>
      </c>
      <c r="H904" t="s">
        <v>88</v>
      </c>
      <c r="I904" t="s">
        <v>135</v>
      </c>
      <c r="J904">
        <v>13376</v>
      </c>
      <c r="K904">
        <v>117701</v>
      </c>
      <c r="L904">
        <v>11906</v>
      </c>
      <c r="M904">
        <v>13726</v>
      </c>
      <c r="N904">
        <v>133653</v>
      </c>
      <c r="O904">
        <v>2204</v>
      </c>
      <c r="P904">
        <v>2112</v>
      </c>
      <c r="Q904">
        <v>34849</v>
      </c>
      <c r="R904">
        <v>4</v>
      </c>
      <c r="S904">
        <v>0</v>
      </c>
      <c r="T904">
        <v>0</v>
      </c>
      <c r="U904">
        <v>0</v>
      </c>
      <c r="V904">
        <v>29214</v>
      </c>
      <c r="W904">
        <v>286203</v>
      </c>
      <c r="X904">
        <v>14114</v>
      </c>
      <c r="Y904">
        <f t="shared" si="14"/>
        <v>286203</v>
      </c>
      <c r="Z904" t="str">
        <f>IF(ISNUMBER(SEARCH("Adjustment",$C904)),"excluded",IF($H904="Behind the Meter","excluded",IF(NOT(OR($E904="Bundled",$E904="Energy")),"excluded",IF(OR($H904="Retail Power Marketer",$H904="Community Choice Aggregator",$E904="Energy"),"procurement",IF(OR($H904="Municipal",$H904="Cooperative",$H904="Federal",$H904="State",$H904="Political Subdivision"),"cost_service",IF($H904="Investor Owned",IF(AND(COUNTIF(Parameters!$A$4:$A$33,$G904)&gt;0,COUNTIF(Parameters!$B$4:$B$33,$B904)=0),"procurement","cost_service"),"unclassified"))))))</f>
        <v>cost_service</v>
      </c>
    </row>
    <row r="905" spans="1:26" x14ac:dyDescent="0.25">
      <c r="A905">
        <v>2024</v>
      </c>
      <c r="B905">
        <v>13734</v>
      </c>
      <c r="C905" t="s">
        <v>915</v>
      </c>
      <c r="D905" t="s">
        <v>84</v>
      </c>
      <c r="E905" t="s">
        <v>85</v>
      </c>
      <c r="F905" t="s">
        <v>86</v>
      </c>
      <c r="G905" t="s">
        <v>136</v>
      </c>
      <c r="H905" t="s">
        <v>91</v>
      </c>
      <c r="I905" t="s">
        <v>135</v>
      </c>
      <c r="J905">
        <v>65472</v>
      </c>
      <c r="K905">
        <v>509520</v>
      </c>
      <c r="L905">
        <v>37871</v>
      </c>
      <c r="M905">
        <v>22755</v>
      </c>
      <c r="N905">
        <v>203758</v>
      </c>
      <c r="O905">
        <v>4113</v>
      </c>
      <c r="P905">
        <v>2849</v>
      </c>
      <c r="Q905">
        <v>33613</v>
      </c>
      <c r="R905">
        <v>11</v>
      </c>
      <c r="S905">
        <v>0</v>
      </c>
      <c r="T905">
        <v>0</v>
      </c>
      <c r="U905">
        <v>0</v>
      </c>
      <c r="V905">
        <v>91076</v>
      </c>
      <c r="W905">
        <v>746891</v>
      </c>
      <c r="X905">
        <v>41995</v>
      </c>
      <c r="Y905">
        <f t="shared" si="14"/>
        <v>746891</v>
      </c>
      <c r="Z905" t="str">
        <f>IF(ISNUMBER(SEARCH("Adjustment",$C905)),"excluded",IF($H905="Behind the Meter","excluded",IF(NOT(OR($E905="Bundled",$E905="Energy")),"excluded",IF(OR($H905="Retail Power Marketer",$H905="Community Choice Aggregator",$E905="Energy"),"procurement",IF(OR($H905="Municipal",$H905="Cooperative",$H905="Federal",$H905="State",$H905="Political Subdivision"),"cost_service",IF($H905="Investor Owned",IF(AND(COUNTIF(Parameters!$A$4:$A$33,$G905)&gt;0,COUNTIF(Parameters!$B$4:$B$33,$B905)=0),"procurement","cost_service"),"unclassified"))))))</f>
        <v>cost_service</v>
      </c>
    </row>
    <row r="906" spans="1:26" x14ac:dyDescent="0.25">
      <c r="A906">
        <v>2024</v>
      </c>
      <c r="B906">
        <v>13735</v>
      </c>
      <c r="C906" t="s">
        <v>916</v>
      </c>
      <c r="D906" t="s">
        <v>84</v>
      </c>
      <c r="E906" t="s">
        <v>85</v>
      </c>
      <c r="F906" t="s">
        <v>86</v>
      </c>
      <c r="G906" t="s">
        <v>87</v>
      </c>
      <c r="H906" t="s">
        <v>91</v>
      </c>
      <c r="I906" t="s">
        <v>89</v>
      </c>
      <c r="J906">
        <v>53251</v>
      </c>
      <c r="K906">
        <v>425370</v>
      </c>
      <c r="L906">
        <v>29136</v>
      </c>
      <c r="M906">
        <v>57509</v>
      </c>
      <c r="N906">
        <v>450517</v>
      </c>
      <c r="O906">
        <v>6493</v>
      </c>
      <c r="P906">
        <v>14560</v>
      </c>
      <c r="Q906">
        <v>208810</v>
      </c>
      <c r="R906">
        <v>14</v>
      </c>
      <c r="S906">
        <v>0</v>
      </c>
      <c r="T906">
        <v>0</v>
      </c>
      <c r="U906">
        <v>0</v>
      </c>
      <c r="V906">
        <v>125320</v>
      </c>
      <c r="W906">
        <v>1084697</v>
      </c>
      <c r="X906">
        <v>35643</v>
      </c>
      <c r="Y906">
        <f t="shared" si="14"/>
        <v>1084697</v>
      </c>
      <c r="Z906" t="str">
        <f>IF(ISNUMBER(SEARCH("Adjustment",$C906)),"excluded",IF($H906="Behind the Meter","excluded",IF(NOT(OR($E906="Bundled",$E906="Energy")),"excluded",IF(OR($H906="Retail Power Marketer",$H906="Community Choice Aggregator",$E906="Energy"),"procurement",IF(OR($H906="Municipal",$H906="Cooperative",$H906="Federal",$H906="State",$H906="Political Subdivision"),"cost_service",IF($H906="Investor Owned",IF(AND(COUNTIF(Parameters!$A$4:$A$33,$G906)&gt;0,COUNTIF(Parameters!$B$4:$B$33,$B906)=0),"procurement","cost_service"),"unclassified"))))))</f>
        <v>cost_service</v>
      </c>
    </row>
    <row r="907" spans="1:26" x14ac:dyDescent="0.25">
      <c r="A907">
        <v>2024</v>
      </c>
      <c r="B907">
        <v>13739</v>
      </c>
      <c r="C907" t="s">
        <v>917</v>
      </c>
      <c r="D907" t="s">
        <v>84</v>
      </c>
      <c r="E907" t="s">
        <v>85</v>
      </c>
      <c r="F907" t="s">
        <v>86</v>
      </c>
      <c r="G907" t="s">
        <v>271</v>
      </c>
      <c r="H907" t="s">
        <v>205</v>
      </c>
      <c r="I907" t="s">
        <v>135</v>
      </c>
      <c r="J907">
        <v>10682</v>
      </c>
      <c r="K907">
        <v>109811</v>
      </c>
      <c r="L907">
        <v>6846</v>
      </c>
      <c r="M907">
        <v>14495</v>
      </c>
      <c r="N907">
        <v>201291</v>
      </c>
      <c r="O907">
        <v>1003</v>
      </c>
      <c r="P907">
        <v>3718</v>
      </c>
      <c r="Q907">
        <v>20960</v>
      </c>
      <c r="R907">
        <v>805</v>
      </c>
      <c r="S907" t="s">
        <v>97</v>
      </c>
      <c r="T907" t="s">
        <v>97</v>
      </c>
      <c r="U907" t="s">
        <v>97</v>
      </c>
      <c r="V907">
        <v>28895</v>
      </c>
      <c r="W907">
        <v>332062</v>
      </c>
      <c r="X907">
        <v>8654</v>
      </c>
      <c r="Y907">
        <f t="shared" si="14"/>
        <v>332062</v>
      </c>
      <c r="Z907" t="str">
        <f>IF(ISNUMBER(SEARCH("Adjustment",$C907)),"excluded",IF($H907="Behind the Meter","excluded",IF(NOT(OR($E907="Bundled",$E907="Energy")),"excluded",IF(OR($H907="Retail Power Marketer",$H907="Community Choice Aggregator",$E907="Energy"),"procurement",IF(OR($H907="Municipal",$H907="Cooperative",$H907="Federal",$H907="State",$H907="Political Subdivision"),"cost_service",IF($H907="Investor Owned",IF(AND(COUNTIF(Parameters!$A$4:$A$33,$G907)&gt;0,COUNTIF(Parameters!$B$4:$B$33,$B907)=0),"procurement","cost_service"),"unclassified"))))))</f>
        <v>cost_service</v>
      </c>
    </row>
    <row r="908" spans="1:26" x14ac:dyDescent="0.25">
      <c r="A908">
        <v>2024</v>
      </c>
      <c r="B908">
        <v>13750</v>
      </c>
      <c r="C908" t="s">
        <v>918</v>
      </c>
      <c r="D908" t="s">
        <v>84</v>
      </c>
      <c r="E908" t="s">
        <v>85</v>
      </c>
      <c r="F908" t="s">
        <v>86</v>
      </c>
      <c r="G908" t="s">
        <v>224</v>
      </c>
      <c r="H908" t="s">
        <v>91</v>
      </c>
      <c r="I908" t="s">
        <v>135</v>
      </c>
      <c r="J908">
        <v>15583.9</v>
      </c>
      <c r="K908">
        <v>138063</v>
      </c>
      <c r="L908">
        <v>5757</v>
      </c>
      <c r="M908">
        <v>5203.7</v>
      </c>
      <c r="N908">
        <v>52760</v>
      </c>
      <c r="O908">
        <v>883</v>
      </c>
      <c r="P908">
        <v>8866.9</v>
      </c>
      <c r="Q908">
        <v>104955</v>
      </c>
      <c r="R908">
        <v>248</v>
      </c>
      <c r="S908">
        <v>0</v>
      </c>
      <c r="T908">
        <v>0</v>
      </c>
      <c r="U908">
        <v>0</v>
      </c>
      <c r="V908">
        <v>29654.5</v>
      </c>
      <c r="W908">
        <v>295778</v>
      </c>
      <c r="X908">
        <v>6888</v>
      </c>
      <c r="Y908">
        <f t="shared" si="14"/>
        <v>295778</v>
      </c>
      <c r="Z908" t="str">
        <f>IF(ISNUMBER(SEARCH("Adjustment",$C908)),"excluded",IF($H908="Behind the Meter","excluded",IF(NOT(OR($E908="Bundled",$E908="Energy")),"excluded",IF(OR($H908="Retail Power Marketer",$H908="Community Choice Aggregator",$E908="Energy"),"procurement",IF(OR($H908="Municipal",$H908="Cooperative",$H908="Federal",$H908="State",$H908="Political Subdivision"),"cost_service",IF($H908="Investor Owned",IF(AND(COUNTIF(Parameters!$A$4:$A$33,$G908)&gt;0,COUNTIF(Parameters!$B$4:$B$33,$B908)=0),"procurement","cost_service"),"unclassified"))))))</f>
        <v>cost_service</v>
      </c>
    </row>
    <row r="909" spans="1:26" x14ac:dyDescent="0.25">
      <c r="A909">
        <v>2024</v>
      </c>
      <c r="B909">
        <v>13756</v>
      </c>
      <c r="C909" t="s">
        <v>919</v>
      </c>
      <c r="D909" t="s">
        <v>84</v>
      </c>
      <c r="E909" t="s">
        <v>85</v>
      </c>
      <c r="F909" t="s">
        <v>86</v>
      </c>
      <c r="G909" t="s">
        <v>130</v>
      </c>
      <c r="H909" t="s">
        <v>109</v>
      </c>
      <c r="I909" t="s">
        <v>96</v>
      </c>
      <c r="J909">
        <v>649930.9</v>
      </c>
      <c r="K909">
        <v>3404882</v>
      </c>
      <c r="L909">
        <v>430648</v>
      </c>
      <c r="M909">
        <v>633805.1</v>
      </c>
      <c r="N909">
        <v>3765256</v>
      </c>
      <c r="O909">
        <v>59920</v>
      </c>
      <c r="P909">
        <v>500011.7</v>
      </c>
      <c r="Q909">
        <v>7984846</v>
      </c>
      <c r="R909">
        <v>2131</v>
      </c>
      <c r="S909">
        <v>2200.9</v>
      </c>
      <c r="T909">
        <v>17876</v>
      </c>
      <c r="U909">
        <v>1</v>
      </c>
      <c r="V909">
        <v>1785948.6</v>
      </c>
      <c r="W909">
        <v>15172860</v>
      </c>
      <c r="X909">
        <v>492700</v>
      </c>
      <c r="Y909">
        <f t="shared" si="14"/>
        <v>15172860</v>
      </c>
      <c r="Z909" t="str">
        <f>IF(ISNUMBER(SEARCH("Adjustment",$C909)),"excluded",IF($H909="Behind the Meter","excluded",IF(NOT(OR($E909="Bundled",$E909="Energy")),"excluded",IF(OR($H909="Retail Power Marketer",$H909="Community Choice Aggregator",$E909="Energy"),"procurement",IF(OR($H909="Municipal",$H909="Cooperative",$H909="Federal",$H909="State",$H909="Political Subdivision"),"cost_service",IF($H909="Investor Owned",IF(AND(COUNTIF(Parameters!$A$4:$A$33,$G909)&gt;0,COUNTIF(Parameters!$B$4:$B$33,$B909)=0),"procurement","cost_service"),"unclassified"))))))</f>
        <v>cost_service</v>
      </c>
    </row>
    <row r="910" spans="1:26" x14ac:dyDescent="0.25">
      <c r="A910">
        <v>2024</v>
      </c>
      <c r="B910">
        <v>13757</v>
      </c>
      <c r="C910" t="s">
        <v>920</v>
      </c>
      <c r="D910" t="s">
        <v>84</v>
      </c>
      <c r="E910" t="s">
        <v>85</v>
      </c>
      <c r="F910" t="s">
        <v>86</v>
      </c>
      <c r="G910" t="s">
        <v>57</v>
      </c>
      <c r="H910" t="s">
        <v>91</v>
      </c>
      <c r="I910" t="s">
        <v>135</v>
      </c>
      <c r="J910">
        <v>3440</v>
      </c>
      <c r="K910">
        <v>33900</v>
      </c>
      <c r="L910">
        <v>3081</v>
      </c>
      <c r="M910">
        <v>9035</v>
      </c>
      <c r="N910">
        <v>107126</v>
      </c>
      <c r="O910">
        <v>2678</v>
      </c>
      <c r="P910">
        <v>18736</v>
      </c>
      <c r="Q910">
        <v>275762</v>
      </c>
      <c r="R910">
        <v>1444</v>
      </c>
      <c r="S910" t="s">
        <v>97</v>
      </c>
      <c r="T910" t="s">
        <v>97</v>
      </c>
      <c r="U910" t="s">
        <v>97</v>
      </c>
      <c r="V910">
        <v>31211</v>
      </c>
      <c r="W910">
        <v>416788</v>
      </c>
      <c r="X910">
        <v>7203</v>
      </c>
      <c r="Y910">
        <f t="shared" si="14"/>
        <v>416788</v>
      </c>
      <c r="Z910" t="str">
        <f>IF(ISNUMBER(SEARCH("Adjustment",$C910)),"excluded",IF($H910="Behind the Meter","excluded",IF(NOT(OR($E910="Bundled",$E910="Energy")),"excluded",IF(OR($H910="Retail Power Marketer",$H910="Community Choice Aggregator",$E910="Energy"),"procurement",IF(OR($H910="Municipal",$H910="Cooperative",$H910="Federal",$H910="State",$H910="Political Subdivision"),"cost_service",IF($H910="Investor Owned",IF(AND(COUNTIF(Parameters!$A$4:$A$33,$G910)&gt;0,COUNTIF(Parameters!$B$4:$B$33,$B910)=0),"procurement","cost_service"),"unclassified"))))))</f>
        <v>cost_service</v>
      </c>
    </row>
    <row r="911" spans="1:26" x14ac:dyDescent="0.25">
      <c r="A911">
        <v>2024</v>
      </c>
      <c r="B911">
        <v>13758</v>
      </c>
      <c r="C911" t="s">
        <v>921</v>
      </c>
      <c r="D911" t="s">
        <v>84</v>
      </c>
      <c r="E911" t="s">
        <v>85</v>
      </c>
      <c r="F911" t="s">
        <v>86</v>
      </c>
      <c r="G911" t="s">
        <v>490</v>
      </c>
      <c r="H911" t="s">
        <v>91</v>
      </c>
      <c r="I911" t="s">
        <v>206</v>
      </c>
      <c r="J911">
        <v>27644</v>
      </c>
      <c r="K911">
        <v>240558</v>
      </c>
      <c r="L911">
        <v>18511</v>
      </c>
      <c r="M911">
        <v>5877</v>
      </c>
      <c r="N911">
        <v>51938</v>
      </c>
      <c r="O911">
        <v>1093</v>
      </c>
      <c r="P911">
        <v>1703</v>
      </c>
      <c r="Q911">
        <v>30506</v>
      </c>
      <c r="R911">
        <v>5</v>
      </c>
      <c r="S911">
        <v>0</v>
      </c>
      <c r="T911">
        <v>0</v>
      </c>
      <c r="U911">
        <v>0</v>
      </c>
      <c r="V911">
        <v>35224</v>
      </c>
      <c r="W911">
        <v>323002</v>
      </c>
      <c r="X911">
        <v>19609</v>
      </c>
      <c r="Y911">
        <f t="shared" si="14"/>
        <v>323002</v>
      </c>
      <c r="Z911" t="str">
        <f>IF(ISNUMBER(SEARCH("Adjustment",$C911)),"excluded",IF($H911="Behind the Meter","excluded",IF(NOT(OR($E911="Bundled",$E911="Energy")),"excluded",IF(OR($H911="Retail Power Marketer",$H911="Community Choice Aggregator",$E911="Energy"),"procurement",IF(OR($H911="Municipal",$H911="Cooperative",$H911="Federal",$H911="State",$H911="Political Subdivision"),"cost_service",IF($H911="Investor Owned",IF(AND(COUNTIF(Parameters!$A$4:$A$33,$G911)&gt;0,COUNTIF(Parameters!$B$4:$B$33,$B911)=0),"procurement","cost_service"),"unclassified"))))))</f>
        <v>cost_service</v>
      </c>
    </row>
    <row r="912" spans="1:26" x14ac:dyDescent="0.25">
      <c r="A912">
        <v>2024</v>
      </c>
      <c r="B912">
        <v>13758</v>
      </c>
      <c r="C912" t="s">
        <v>921</v>
      </c>
      <c r="D912" t="s">
        <v>84</v>
      </c>
      <c r="E912" t="s">
        <v>85</v>
      </c>
      <c r="F912" t="s">
        <v>86</v>
      </c>
      <c r="G912" t="s">
        <v>491</v>
      </c>
      <c r="H912" t="s">
        <v>91</v>
      </c>
      <c r="I912" t="s">
        <v>206</v>
      </c>
      <c r="J912">
        <v>6426</v>
      </c>
      <c r="K912">
        <v>51332</v>
      </c>
      <c r="L912">
        <v>3985</v>
      </c>
      <c r="M912">
        <v>841</v>
      </c>
      <c r="N912">
        <v>8497</v>
      </c>
      <c r="O912">
        <v>296</v>
      </c>
      <c r="P912">
        <v>435</v>
      </c>
      <c r="Q912">
        <v>5016</v>
      </c>
      <c r="R912">
        <v>6</v>
      </c>
      <c r="S912">
        <v>0</v>
      </c>
      <c r="T912">
        <v>0</v>
      </c>
      <c r="U912">
        <v>0</v>
      </c>
      <c r="V912">
        <v>7702</v>
      </c>
      <c r="W912">
        <v>64845</v>
      </c>
      <c r="X912">
        <v>4287</v>
      </c>
      <c r="Y912">
        <f t="shared" si="14"/>
        <v>64845</v>
      </c>
      <c r="Z912" t="str">
        <f>IF(ISNUMBER(SEARCH("Adjustment",$C912)),"excluded",IF($H912="Behind the Meter","excluded",IF(NOT(OR($E912="Bundled",$E912="Energy")),"excluded",IF(OR($H912="Retail Power Marketer",$H912="Community Choice Aggregator",$E912="Energy"),"procurement",IF(OR($H912="Municipal",$H912="Cooperative",$H912="Federal",$H912="State",$H912="Political Subdivision"),"cost_service",IF($H912="Investor Owned",IF(AND(COUNTIF(Parameters!$A$4:$A$33,$G912)&gt;0,COUNTIF(Parameters!$B$4:$B$33,$B912)=0),"procurement","cost_service"),"unclassified"))))))</f>
        <v>cost_service</v>
      </c>
    </row>
    <row r="913" spans="1:26" x14ac:dyDescent="0.25">
      <c r="A913">
        <v>2024</v>
      </c>
      <c r="B913">
        <v>13758</v>
      </c>
      <c r="C913" t="s">
        <v>921</v>
      </c>
      <c r="D913" t="s">
        <v>84</v>
      </c>
      <c r="E913" t="s">
        <v>85</v>
      </c>
      <c r="F913" t="s">
        <v>86</v>
      </c>
      <c r="G913" t="s">
        <v>148</v>
      </c>
      <c r="H913" t="s">
        <v>91</v>
      </c>
      <c r="I913" t="s">
        <v>206</v>
      </c>
      <c r="J913">
        <v>28</v>
      </c>
      <c r="K913">
        <v>233</v>
      </c>
      <c r="L913">
        <v>14</v>
      </c>
      <c r="M913">
        <v>0</v>
      </c>
      <c r="N913">
        <v>0</v>
      </c>
      <c r="O913">
        <v>0</v>
      </c>
      <c r="P913">
        <v>0</v>
      </c>
      <c r="Q913">
        <v>0</v>
      </c>
      <c r="R913">
        <v>0</v>
      </c>
      <c r="S913">
        <v>0</v>
      </c>
      <c r="T913">
        <v>0</v>
      </c>
      <c r="U913">
        <v>0</v>
      </c>
      <c r="V913">
        <v>28</v>
      </c>
      <c r="W913">
        <v>233</v>
      </c>
      <c r="X913">
        <v>14</v>
      </c>
      <c r="Y913">
        <f t="shared" si="14"/>
        <v>233</v>
      </c>
      <c r="Z913" t="str">
        <f>IF(ISNUMBER(SEARCH("Adjustment",$C913)),"excluded",IF($H913="Behind the Meter","excluded",IF(NOT(OR($E913="Bundled",$E913="Energy")),"excluded",IF(OR($H913="Retail Power Marketer",$H913="Community Choice Aggregator",$E913="Energy"),"procurement",IF(OR($H913="Municipal",$H913="Cooperative",$H913="Federal",$H913="State",$H913="Political Subdivision"),"cost_service",IF($H913="Investor Owned",IF(AND(COUNTIF(Parameters!$A$4:$A$33,$G913)&gt;0,COUNTIF(Parameters!$B$4:$B$33,$B913)=0),"procurement","cost_service"),"unclassified"))))))</f>
        <v>cost_service</v>
      </c>
    </row>
    <row r="914" spans="1:26" x14ac:dyDescent="0.25">
      <c r="A914">
        <v>2024</v>
      </c>
      <c r="B914">
        <v>13762</v>
      </c>
      <c r="C914" t="s">
        <v>922</v>
      </c>
      <c r="D914" t="s">
        <v>84</v>
      </c>
      <c r="E914" t="s">
        <v>85</v>
      </c>
      <c r="F914" t="s">
        <v>86</v>
      </c>
      <c r="G914" t="s">
        <v>93</v>
      </c>
      <c r="H914" t="s">
        <v>91</v>
      </c>
      <c r="I914" t="s">
        <v>92</v>
      </c>
      <c r="J914">
        <v>39223</v>
      </c>
      <c r="K914">
        <v>243248</v>
      </c>
      <c r="L914">
        <v>17991</v>
      </c>
      <c r="M914">
        <v>6248</v>
      </c>
      <c r="N914">
        <v>40629</v>
      </c>
      <c r="O914">
        <v>2667</v>
      </c>
      <c r="P914" t="s">
        <v>97</v>
      </c>
      <c r="Q914" t="s">
        <v>97</v>
      </c>
      <c r="R914" t="s">
        <v>97</v>
      </c>
      <c r="S914" t="s">
        <v>97</v>
      </c>
      <c r="T914" t="s">
        <v>97</v>
      </c>
      <c r="U914" t="s">
        <v>97</v>
      </c>
      <c r="V914">
        <v>45471</v>
      </c>
      <c r="W914">
        <v>283877</v>
      </c>
      <c r="X914">
        <v>20658</v>
      </c>
      <c r="Y914">
        <f t="shared" si="14"/>
        <v>283877</v>
      </c>
      <c r="Z914" t="str">
        <f>IF(ISNUMBER(SEARCH("Adjustment",$C914)),"excluded",IF($H914="Behind the Meter","excluded",IF(NOT(OR($E914="Bundled",$E914="Energy")),"excluded",IF(OR($H914="Retail Power Marketer",$H914="Community Choice Aggregator",$E914="Energy"),"procurement",IF(OR($H914="Municipal",$H914="Cooperative",$H914="Federal",$H914="State",$H914="Political Subdivision"),"cost_service",IF($H914="Investor Owned",IF(AND(COUNTIF(Parameters!$A$4:$A$33,$G914)&gt;0,COUNTIF(Parameters!$B$4:$B$33,$B914)=0),"procurement","cost_service"),"unclassified"))))))</f>
        <v>cost_service</v>
      </c>
    </row>
    <row r="915" spans="1:26" x14ac:dyDescent="0.25">
      <c r="A915">
        <v>2024</v>
      </c>
      <c r="B915">
        <v>13780</v>
      </c>
      <c r="C915" t="s">
        <v>923</v>
      </c>
      <c r="D915" t="s">
        <v>84</v>
      </c>
      <c r="E915" t="s">
        <v>85</v>
      </c>
      <c r="F915" t="s">
        <v>86</v>
      </c>
      <c r="G915" t="s">
        <v>140</v>
      </c>
      <c r="H915" t="s">
        <v>109</v>
      </c>
      <c r="I915" t="s">
        <v>96</v>
      </c>
      <c r="J915">
        <v>7726.4</v>
      </c>
      <c r="K915">
        <v>52715</v>
      </c>
      <c r="L915">
        <v>7579</v>
      </c>
      <c r="M915">
        <v>6167</v>
      </c>
      <c r="N915">
        <v>47036</v>
      </c>
      <c r="O915">
        <v>1343</v>
      </c>
      <c r="P915">
        <v>2267</v>
      </c>
      <c r="Q915">
        <v>30745</v>
      </c>
      <c r="R915">
        <v>2</v>
      </c>
      <c r="S915">
        <v>0</v>
      </c>
      <c r="T915">
        <v>0</v>
      </c>
      <c r="U915">
        <v>0</v>
      </c>
      <c r="V915">
        <v>16160.4</v>
      </c>
      <c r="W915">
        <v>130496</v>
      </c>
      <c r="X915">
        <v>8924</v>
      </c>
      <c r="Y915">
        <f t="shared" si="14"/>
        <v>130496</v>
      </c>
      <c r="Z915" t="str">
        <f>IF(ISNUMBER(SEARCH("Adjustment",$C915)),"excluded",IF($H915="Behind the Meter","excluded",IF(NOT(OR($E915="Bundled",$E915="Energy")),"excluded",IF(OR($H915="Retail Power Marketer",$H915="Community Choice Aggregator",$E915="Energy"),"procurement",IF(OR($H915="Municipal",$H915="Cooperative",$H915="Federal",$H915="State",$H915="Political Subdivision"),"cost_service",IF($H915="Investor Owned",IF(AND(COUNTIF(Parameters!$A$4:$A$33,$G915)&gt;0,COUNTIF(Parameters!$B$4:$B$33,$B915)=0),"procurement","cost_service"),"unclassified"))))))</f>
        <v>cost_service</v>
      </c>
    </row>
    <row r="916" spans="1:26" x14ac:dyDescent="0.25">
      <c r="A916">
        <v>2024</v>
      </c>
      <c r="B916">
        <v>13780</v>
      </c>
      <c r="C916" t="s">
        <v>923</v>
      </c>
      <c r="D916" t="s">
        <v>84</v>
      </c>
      <c r="E916" t="s">
        <v>85</v>
      </c>
      <c r="F916" t="s">
        <v>86</v>
      </c>
      <c r="G916" t="s">
        <v>95</v>
      </c>
      <c r="H916" t="s">
        <v>109</v>
      </c>
      <c r="I916" t="s">
        <v>96</v>
      </c>
      <c r="J916">
        <v>289311.2</v>
      </c>
      <c r="K916">
        <v>1827684</v>
      </c>
      <c r="L916">
        <v>220574</v>
      </c>
      <c r="M916">
        <v>310838.40000000002</v>
      </c>
      <c r="N916">
        <v>2673561</v>
      </c>
      <c r="O916">
        <v>41684</v>
      </c>
      <c r="P916">
        <v>177930.6</v>
      </c>
      <c r="Q916">
        <v>2093919</v>
      </c>
      <c r="R916">
        <v>116</v>
      </c>
      <c r="S916">
        <v>0</v>
      </c>
      <c r="T916">
        <v>0</v>
      </c>
      <c r="U916">
        <v>0</v>
      </c>
      <c r="V916">
        <v>778080.2</v>
      </c>
      <c r="W916">
        <v>6595164</v>
      </c>
      <c r="X916">
        <v>262374</v>
      </c>
      <c r="Y916">
        <f t="shared" si="14"/>
        <v>6595164</v>
      </c>
      <c r="Z916" t="str">
        <f>IF(ISNUMBER(SEARCH("Adjustment",$C916)),"excluded",IF($H916="Behind the Meter","excluded",IF(NOT(OR($E916="Bundled",$E916="Energy")),"excluded",IF(OR($H916="Retail Power Marketer",$H916="Community Choice Aggregator",$E916="Energy"),"procurement",IF(OR($H916="Municipal",$H916="Cooperative",$H916="Federal",$H916="State",$H916="Political Subdivision"),"cost_service",IF($H916="Investor Owned",IF(AND(COUNTIF(Parameters!$A$4:$A$33,$G916)&gt;0,COUNTIF(Parameters!$B$4:$B$33,$B916)=0),"procurement","cost_service"),"unclassified"))))))</f>
        <v>cost_service</v>
      </c>
    </row>
    <row r="917" spans="1:26" x14ac:dyDescent="0.25">
      <c r="A917">
        <v>2024</v>
      </c>
      <c r="B917">
        <v>13781</v>
      </c>
      <c r="C917" t="s">
        <v>924</v>
      </c>
      <c r="D917" t="s">
        <v>84</v>
      </c>
      <c r="E917" t="s">
        <v>85</v>
      </c>
      <c r="F917" t="s">
        <v>86</v>
      </c>
      <c r="G917" t="s">
        <v>104</v>
      </c>
      <c r="H917" t="s">
        <v>109</v>
      </c>
      <c r="I917" t="s">
        <v>96</v>
      </c>
      <c r="J917">
        <v>1473375.3</v>
      </c>
      <c r="K917">
        <v>8676639</v>
      </c>
      <c r="L917">
        <v>1230057</v>
      </c>
      <c r="M917">
        <v>1566594.5</v>
      </c>
      <c r="N917">
        <v>12191505</v>
      </c>
      <c r="O917">
        <v>144718</v>
      </c>
      <c r="P917">
        <v>666241.19999999995</v>
      </c>
      <c r="Q917">
        <v>6838715</v>
      </c>
      <c r="R917">
        <v>480</v>
      </c>
      <c r="S917">
        <v>1948.5</v>
      </c>
      <c r="T917">
        <v>15332</v>
      </c>
      <c r="U917">
        <v>1</v>
      </c>
      <c r="V917">
        <v>3708159.5</v>
      </c>
      <c r="W917">
        <v>27722191</v>
      </c>
      <c r="X917">
        <v>1375256</v>
      </c>
      <c r="Y917">
        <f t="shared" si="14"/>
        <v>27722191</v>
      </c>
      <c r="Z917" t="str">
        <f>IF(ISNUMBER(SEARCH("Adjustment",$C917)),"excluded",IF($H917="Behind the Meter","excluded",IF(NOT(OR($E917="Bundled",$E917="Energy")),"excluded",IF(OR($H917="Retail Power Marketer",$H917="Community Choice Aggregator",$E917="Energy"),"procurement",IF(OR($H917="Municipal",$H917="Cooperative",$H917="Federal",$H917="State",$H917="Political Subdivision"),"cost_service",IF($H917="Investor Owned",IF(AND(COUNTIF(Parameters!$A$4:$A$33,$G917)&gt;0,COUNTIF(Parameters!$B$4:$B$33,$B917)=0),"procurement","cost_service"),"unclassified"))))))</f>
        <v>cost_service</v>
      </c>
    </row>
    <row r="918" spans="1:26" x14ac:dyDescent="0.25">
      <c r="A918">
        <v>2024</v>
      </c>
      <c r="B918">
        <v>13781</v>
      </c>
      <c r="C918" t="s">
        <v>924</v>
      </c>
      <c r="D918" t="s">
        <v>84</v>
      </c>
      <c r="E918" t="s">
        <v>85</v>
      </c>
      <c r="F918" t="s">
        <v>86</v>
      </c>
      <c r="G918" t="s">
        <v>198</v>
      </c>
      <c r="H918" t="s">
        <v>109</v>
      </c>
      <c r="I918" t="s">
        <v>96</v>
      </c>
      <c r="J918">
        <v>88553</v>
      </c>
      <c r="K918">
        <v>731084</v>
      </c>
      <c r="L918">
        <v>82987</v>
      </c>
      <c r="M918">
        <v>106696.6</v>
      </c>
      <c r="N918">
        <v>985019</v>
      </c>
      <c r="O918">
        <v>13411</v>
      </c>
      <c r="P918">
        <v>32920.9</v>
      </c>
      <c r="Q918">
        <v>387480</v>
      </c>
      <c r="R918">
        <v>24</v>
      </c>
      <c r="S918">
        <v>0</v>
      </c>
      <c r="T918">
        <v>0</v>
      </c>
      <c r="U918">
        <v>0</v>
      </c>
      <c r="V918">
        <v>228170.5</v>
      </c>
      <c r="W918">
        <v>2103583</v>
      </c>
      <c r="X918">
        <v>96422</v>
      </c>
      <c r="Y918">
        <f t="shared" si="14"/>
        <v>2103583</v>
      </c>
      <c r="Z918" t="str">
        <f>IF(ISNUMBER(SEARCH("Adjustment",$C918)),"excluded",IF($H918="Behind the Meter","excluded",IF(NOT(OR($E918="Bundled",$E918="Energy")),"excluded",IF(OR($H918="Retail Power Marketer",$H918="Community Choice Aggregator",$E918="Energy"),"procurement",IF(OR($H918="Municipal",$H918="Cooperative",$H918="Federal",$H918="State",$H918="Political Subdivision"),"cost_service",IF($H918="Investor Owned",IF(AND(COUNTIF(Parameters!$A$4:$A$33,$G918)&gt;0,COUNTIF(Parameters!$B$4:$B$33,$B918)=0),"procurement","cost_service"),"unclassified"))))))</f>
        <v>cost_service</v>
      </c>
    </row>
    <row r="919" spans="1:26" x14ac:dyDescent="0.25">
      <c r="A919">
        <v>2024</v>
      </c>
      <c r="B919">
        <v>13781</v>
      </c>
      <c r="C919" t="s">
        <v>924</v>
      </c>
      <c r="D919" t="s">
        <v>84</v>
      </c>
      <c r="E919" t="s">
        <v>85</v>
      </c>
      <c r="F919" t="s">
        <v>86</v>
      </c>
      <c r="G919" t="s">
        <v>224</v>
      </c>
      <c r="H919" t="s">
        <v>109</v>
      </c>
      <c r="I919" t="s">
        <v>96</v>
      </c>
      <c r="J919">
        <v>114326.5</v>
      </c>
      <c r="K919">
        <v>824522</v>
      </c>
      <c r="L919">
        <v>92204</v>
      </c>
      <c r="M919">
        <v>116870.1</v>
      </c>
      <c r="N919">
        <v>1016559</v>
      </c>
      <c r="O919">
        <v>13567</v>
      </c>
      <c r="P919">
        <v>37734.1</v>
      </c>
      <c r="Q919">
        <v>402544</v>
      </c>
      <c r="R919">
        <v>27</v>
      </c>
      <c r="S919">
        <v>0</v>
      </c>
      <c r="T919">
        <v>0</v>
      </c>
      <c r="U919">
        <v>0</v>
      </c>
      <c r="V919">
        <v>268930.7</v>
      </c>
      <c r="W919">
        <v>2243625</v>
      </c>
      <c r="X919">
        <v>105798</v>
      </c>
      <c r="Y919">
        <f t="shared" si="14"/>
        <v>2243625</v>
      </c>
      <c r="Z919" t="str">
        <f>IF(ISNUMBER(SEARCH("Adjustment",$C919)),"excluded",IF($H919="Behind the Meter","excluded",IF(NOT(OR($E919="Bundled",$E919="Energy")),"excluded",IF(OR($H919="Retail Power Marketer",$H919="Community Choice Aggregator",$E919="Energy"),"procurement",IF(OR($H919="Municipal",$H919="Cooperative",$H919="Federal",$H919="State",$H919="Political Subdivision"),"cost_service",IF($H919="Investor Owned",IF(AND(COUNTIF(Parameters!$A$4:$A$33,$G919)&gt;0,COUNTIF(Parameters!$B$4:$B$33,$B919)=0),"procurement","cost_service"),"unclassified"))))))</f>
        <v>cost_service</v>
      </c>
    </row>
    <row r="920" spans="1:26" x14ac:dyDescent="0.25">
      <c r="A920">
        <v>2024</v>
      </c>
      <c r="B920">
        <v>13783</v>
      </c>
      <c r="C920" t="s">
        <v>925</v>
      </c>
      <c r="D920" t="s">
        <v>84</v>
      </c>
      <c r="E920" t="s">
        <v>85</v>
      </c>
      <c r="F920" t="s">
        <v>86</v>
      </c>
      <c r="G920" t="s">
        <v>138</v>
      </c>
      <c r="H920" t="s">
        <v>91</v>
      </c>
      <c r="I920" t="s">
        <v>96</v>
      </c>
      <c r="J920">
        <v>20534</v>
      </c>
      <c r="K920">
        <v>192625</v>
      </c>
      <c r="L920">
        <v>11543</v>
      </c>
      <c r="M920">
        <v>7554</v>
      </c>
      <c r="N920">
        <v>60475</v>
      </c>
      <c r="O920">
        <v>3317</v>
      </c>
      <c r="P920">
        <v>2472</v>
      </c>
      <c r="Q920">
        <v>12710</v>
      </c>
      <c r="R920">
        <v>2895</v>
      </c>
      <c r="S920" t="s">
        <v>97</v>
      </c>
      <c r="T920" t="s">
        <v>97</v>
      </c>
      <c r="U920" t="s">
        <v>97</v>
      </c>
      <c r="V920">
        <v>30560</v>
      </c>
      <c r="W920">
        <v>265810</v>
      </c>
      <c r="X920">
        <v>17755</v>
      </c>
      <c r="Y920">
        <f t="shared" si="14"/>
        <v>265810</v>
      </c>
      <c r="Z920" t="str">
        <f>IF(ISNUMBER(SEARCH("Adjustment",$C920)),"excluded",IF($H920="Behind the Meter","excluded",IF(NOT(OR($E920="Bundled",$E920="Energy")),"excluded",IF(OR($H920="Retail Power Marketer",$H920="Community Choice Aggregator",$E920="Energy"),"procurement",IF(OR($H920="Municipal",$H920="Cooperative",$H920="Federal",$H920="State",$H920="Political Subdivision"),"cost_service",IF($H920="Investor Owned",IF(AND(COUNTIF(Parameters!$A$4:$A$33,$G920)&gt;0,COUNTIF(Parameters!$B$4:$B$33,$B920)=0),"procurement","cost_service"),"unclassified"))))))</f>
        <v>cost_service</v>
      </c>
    </row>
    <row r="921" spans="1:26" x14ac:dyDescent="0.25">
      <c r="A921">
        <v>2024</v>
      </c>
      <c r="B921">
        <v>13788</v>
      </c>
      <c r="C921" t="s">
        <v>926</v>
      </c>
      <c r="D921" t="s">
        <v>84</v>
      </c>
      <c r="E921" t="s">
        <v>85</v>
      </c>
      <c r="F921" t="s">
        <v>86</v>
      </c>
      <c r="G921" t="s">
        <v>219</v>
      </c>
      <c r="H921" t="s">
        <v>205</v>
      </c>
      <c r="I921" t="s">
        <v>206</v>
      </c>
      <c r="J921">
        <v>11221</v>
      </c>
      <c r="K921">
        <v>145326</v>
      </c>
      <c r="L921">
        <v>9800</v>
      </c>
      <c r="M921">
        <v>2814.8</v>
      </c>
      <c r="N921">
        <v>121887</v>
      </c>
      <c r="O921">
        <v>502</v>
      </c>
      <c r="P921">
        <v>100335.2</v>
      </c>
      <c r="Q921">
        <v>1263389</v>
      </c>
      <c r="R921">
        <v>190</v>
      </c>
      <c r="S921" t="s">
        <v>97</v>
      </c>
      <c r="T921" t="s">
        <v>97</v>
      </c>
      <c r="U921" t="s">
        <v>97</v>
      </c>
      <c r="V921">
        <v>114371</v>
      </c>
      <c r="W921">
        <v>1530602</v>
      </c>
      <c r="X921">
        <v>10492</v>
      </c>
      <c r="Y921">
        <f t="shared" si="14"/>
        <v>1530602</v>
      </c>
      <c r="Z921" t="str">
        <f>IF(ISNUMBER(SEARCH("Adjustment",$C921)),"excluded",IF($H921="Behind the Meter","excluded",IF(NOT(OR($E921="Bundled",$E921="Energy")),"excluded",IF(OR($H921="Retail Power Marketer",$H921="Community Choice Aggregator",$E921="Energy"),"procurement",IF(OR($H921="Municipal",$H921="Cooperative",$H921="Federal",$H921="State",$H921="Political Subdivision"),"cost_service",IF($H921="Investor Owned",IF(AND(COUNTIF(Parameters!$A$4:$A$33,$G921)&gt;0,COUNTIF(Parameters!$B$4:$B$33,$B921)=0),"procurement","cost_service"),"unclassified"))))))</f>
        <v>cost_service</v>
      </c>
    </row>
    <row r="922" spans="1:26" x14ac:dyDescent="0.25">
      <c r="A922">
        <v>2024</v>
      </c>
      <c r="B922">
        <v>13799</v>
      </c>
      <c r="C922" t="s">
        <v>927</v>
      </c>
      <c r="D922" t="s">
        <v>84</v>
      </c>
      <c r="E922" t="s">
        <v>85</v>
      </c>
      <c r="F922" t="s">
        <v>86</v>
      </c>
      <c r="G922" t="s">
        <v>134</v>
      </c>
      <c r="H922" t="s">
        <v>91</v>
      </c>
      <c r="I922" t="s">
        <v>135</v>
      </c>
      <c r="J922">
        <v>18782.2</v>
      </c>
      <c r="K922">
        <v>131438</v>
      </c>
      <c r="L922">
        <v>13273</v>
      </c>
      <c r="M922">
        <v>20682.2</v>
      </c>
      <c r="N922">
        <v>153986</v>
      </c>
      <c r="O922">
        <v>8922</v>
      </c>
      <c r="P922">
        <v>20861.599999999999</v>
      </c>
      <c r="Q922">
        <v>273417</v>
      </c>
      <c r="R922">
        <v>2346</v>
      </c>
      <c r="S922" t="s">
        <v>97</v>
      </c>
      <c r="T922" t="s">
        <v>97</v>
      </c>
      <c r="U922" t="s">
        <v>97</v>
      </c>
      <c r="V922">
        <v>60326</v>
      </c>
      <c r="W922">
        <v>558841</v>
      </c>
      <c r="X922">
        <v>24541</v>
      </c>
      <c r="Y922">
        <f t="shared" si="14"/>
        <v>558841</v>
      </c>
      <c r="Z922" t="str">
        <f>IF(ISNUMBER(SEARCH("Adjustment",$C922)),"excluded",IF($H922="Behind the Meter","excluded",IF(NOT(OR($E922="Bundled",$E922="Energy")),"excluded",IF(OR($H922="Retail Power Marketer",$H922="Community Choice Aggregator",$E922="Energy"),"procurement",IF(OR($H922="Municipal",$H922="Cooperative",$H922="Federal",$H922="State",$H922="Political Subdivision"),"cost_service",IF($H922="Investor Owned",IF(AND(COUNTIF(Parameters!$A$4:$A$33,$G922)&gt;0,COUNTIF(Parameters!$B$4:$B$33,$B922)=0),"procurement","cost_service"),"unclassified"))))))</f>
        <v>cost_service</v>
      </c>
    </row>
    <row r="923" spans="1:26" x14ac:dyDescent="0.25">
      <c r="A923">
        <v>2024</v>
      </c>
      <c r="B923">
        <v>13807</v>
      </c>
      <c r="C923" t="s">
        <v>928</v>
      </c>
      <c r="D923" t="s">
        <v>84</v>
      </c>
      <c r="E923" t="s">
        <v>85</v>
      </c>
      <c r="F923" t="s">
        <v>86</v>
      </c>
      <c r="G923" t="s">
        <v>136</v>
      </c>
      <c r="H923" t="s">
        <v>91</v>
      </c>
      <c r="I923" t="s">
        <v>135</v>
      </c>
      <c r="J923">
        <v>16273</v>
      </c>
      <c r="K923">
        <v>106464</v>
      </c>
      <c r="L923">
        <v>9620</v>
      </c>
      <c r="M923">
        <v>13614</v>
      </c>
      <c r="N923">
        <v>109967</v>
      </c>
      <c r="O923">
        <v>2335</v>
      </c>
      <c r="P923">
        <v>8957</v>
      </c>
      <c r="Q923">
        <v>132140</v>
      </c>
      <c r="R923">
        <v>11</v>
      </c>
      <c r="S923" t="s">
        <v>97</v>
      </c>
      <c r="T923" t="s">
        <v>97</v>
      </c>
      <c r="U923" t="s">
        <v>97</v>
      </c>
      <c r="V923">
        <v>38844</v>
      </c>
      <c r="W923">
        <v>348571</v>
      </c>
      <c r="X923">
        <v>11966</v>
      </c>
      <c r="Y923">
        <f t="shared" si="14"/>
        <v>348571</v>
      </c>
      <c r="Z923" t="str">
        <f>IF(ISNUMBER(SEARCH("Adjustment",$C923)),"excluded",IF($H923="Behind the Meter","excluded",IF(NOT(OR($E923="Bundled",$E923="Energy")),"excluded",IF(OR($H923="Retail Power Marketer",$H923="Community Choice Aggregator",$E923="Energy"),"procurement",IF(OR($H923="Municipal",$H923="Cooperative",$H923="Federal",$H923="State",$H923="Political Subdivision"),"cost_service",IF($H923="Investor Owned",IF(AND(COUNTIF(Parameters!$A$4:$A$33,$G923)&gt;0,COUNTIF(Parameters!$B$4:$B$33,$B923)=0),"procurement","cost_service"),"unclassified"))))))</f>
        <v>cost_service</v>
      </c>
    </row>
    <row r="924" spans="1:26" x14ac:dyDescent="0.25">
      <c r="A924">
        <v>2024</v>
      </c>
      <c r="B924">
        <v>13809</v>
      </c>
      <c r="C924" t="s">
        <v>929</v>
      </c>
      <c r="D924" t="s">
        <v>84</v>
      </c>
      <c r="E924" t="s">
        <v>85</v>
      </c>
      <c r="F924" t="s">
        <v>86</v>
      </c>
      <c r="G924" t="s">
        <v>224</v>
      </c>
      <c r="H924" t="s">
        <v>109</v>
      </c>
      <c r="I924" t="s">
        <v>135</v>
      </c>
      <c r="J924">
        <v>70012</v>
      </c>
      <c r="K924">
        <v>557457</v>
      </c>
      <c r="L924">
        <v>51467</v>
      </c>
      <c r="M924">
        <v>80339</v>
      </c>
      <c r="N924">
        <v>668834</v>
      </c>
      <c r="O924">
        <v>13444</v>
      </c>
      <c r="P924">
        <v>34748</v>
      </c>
      <c r="Q924">
        <v>438660</v>
      </c>
      <c r="R924">
        <v>60</v>
      </c>
      <c r="S924" t="s">
        <v>97</v>
      </c>
      <c r="T924" t="s">
        <v>97</v>
      </c>
      <c r="U924" t="s">
        <v>97</v>
      </c>
      <c r="V924">
        <v>185099</v>
      </c>
      <c r="W924">
        <v>1664951</v>
      </c>
      <c r="X924">
        <v>64971</v>
      </c>
      <c r="Y924">
        <f t="shared" si="14"/>
        <v>1664951</v>
      </c>
      <c r="Z924" t="str">
        <f>IF(ISNUMBER(SEARCH("Adjustment",$C924)),"excluded",IF($H924="Behind the Meter","excluded",IF(NOT(OR($E924="Bundled",$E924="Energy")),"excluded",IF(OR($H924="Retail Power Marketer",$H924="Community Choice Aggregator",$E924="Energy"),"procurement",IF(OR($H924="Municipal",$H924="Cooperative",$H924="Federal",$H924="State",$H924="Political Subdivision"),"cost_service",IF($H924="Investor Owned",IF(AND(COUNTIF(Parameters!$A$4:$A$33,$G924)&gt;0,COUNTIF(Parameters!$B$4:$B$33,$B924)=0),"procurement","cost_service"),"unclassified"))))))</f>
        <v>cost_service</v>
      </c>
    </row>
    <row r="925" spans="1:26" x14ac:dyDescent="0.25">
      <c r="A925">
        <v>2024</v>
      </c>
      <c r="B925">
        <v>13815</v>
      </c>
      <c r="C925" t="s">
        <v>930</v>
      </c>
      <c r="D925" t="s">
        <v>84</v>
      </c>
      <c r="E925" t="s">
        <v>85</v>
      </c>
      <c r="F925" t="s">
        <v>86</v>
      </c>
      <c r="G925" t="s">
        <v>104</v>
      </c>
      <c r="H925" t="s">
        <v>109</v>
      </c>
      <c r="I925" t="s">
        <v>96</v>
      </c>
      <c r="J925">
        <v>67.5</v>
      </c>
      <c r="K925">
        <v>467</v>
      </c>
      <c r="L925">
        <v>88</v>
      </c>
      <c r="M925">
        <v>25.2</v>
      </c>
      <c r="N925">
        <v>167</v>
      </c>
      <c r="O925">
        <v>28</v>
      </c>
      <c r="P925" t="s">
        <v>97</v>
      </c>
      <c r="Q925" t="s">
        <v>97</v>
      </c>
      <c r="R925" t="s">
        <v>97</v>
      </c>
      <c r="S925" t="s">
        <v>97</v>
      </c>
      <c r="T925" t="s">
        <v>97</v>
      </c>
      <c r="U925" t="s">
        <v>97</v>
      </c>
      <c r="V925">
        <v>92.7</v>
      </c>
      <c r="W925">
        <v>634</v>
      </c>
      <c r="X925">
        <v>116</v>
      </c>
      <c r="Y925">
        <f t="shared" si="14"/>
        <v>634</v>
      </c>
      <c r="Z925" t="str">
        <f>IF(ISNUMBER(SEARCH("Adjustment",$C925)),"excluded",IF($H925="Behind the Meter","excluded",IF(NOT(OR($E925="Bundled",$E925="Energy")),"excluded",IF(OR($H925="Retail Power Marketer",$H925="Community Choice Aggregator",$E925="Energy"),"procurement",IF(OR($H925="Municipal",$H925="Cooperative",$H925="Federal",$H925="State",$H925="Political Subdivision"),"cost_service",IF($H925="Investor Owned",IF(AND(COUNTIF(Parameters!$A$4:$A$33,$G925)&gt;0,COUNTIF(Parameters!$B$4:$B$33,$B925)=0),"procurement","cost_service"),"unclassified"))))))</f>
        <v>cost_service</v>
      </c>
    </row>
    <row r="926" spans="1:26" x14ac:dyDescent="0.25">
      <c r="A926">
        <v>2024</v>
      </c>
      <c r="B926">
        <v>13815</v>
      </c>
      <c r="C926" t="s">
        <v>930</v>
      </c>
      <c r="D926" t="s">
        <v>84</v>
      </c>
      <c r="E926" t="s">
        <v>85</v>
      </c>
      <c r="F926" t="s">
        <v>86</v>
      </c>
      <c r="G926" t="s">
        <v>95</v>
      </c>
      <c r="H926" t="s">
        <v>109</v>
      </c>
      <c r="I926" t="s">
        <v>96</v>
      </c>
      <c r="J926">
        <v>11717.7</v>
      </c>
      <c r="K926">
        <v>84695</v>
      </c>
      <c r="L926">
        <v>12990</v>
      </c>
      <c r="M926">
        <v>6037.3</v>
      </c>
      <c r="N926">
        <v>51133</v>
      </c>
      <c r="O926">
        <v>2017</v>
      </c>
      <c r="P926">
        <v>3690.6</v>
      </c>
      <c r="Q926">
        <v>41097</v>
      </c>
      <c r="R926">
        <v>27</v>
      </c>
      <c r="S926" t="s">
        <v>97</v>
      </c>
      <c r="T926" t="s">
        <v>97</v>
      </c>
      <c r="U926" t="s">
        <v>97</v>
      </c>
      <c r="V926">
        <v>21445.599999999999</v>
      </c>
      <c r="W926">
        <v>176925</v>
      </c>
      <c r="X926">
        <v>15034</v>
      </c>
      <c r="Y926">
        <f t="shared" si="14"/>
        <v>176925</v>
      </c>
      <c r="Z926" t="str">
        <f>IF(ISNUMBER(SEARCH("Adjustment",$C926)),"excluded",IF($H926="Behind the Meter","excluded",IF(NOT(OR($E926="Bundled",$E926="Energy")),"excluded",IF(OR($H926="Retail Power Marketer",$H926="Community Choice Aggregator",$E926="Energy"),"procurement",IF(OR($H926="Municipal",$H926="Cooperative",$H926="Federal",$H926="State",$H926="Political Subdivision"),"cost_service",IF($H926="Investor Owned",IF(AND(COUNTIF(Parameters!$A$4:$A$33,$G926)&gt;0,COUNTIF(Parameters!$B$4:$B$33,$B926)=0),"procurement","cost_service"),"unclassified"))))))</f>
        <v>cost_service</v>
      </c>
    </row>
    <row r="927" spans="1:26" x14ac:dyDescent="0.25">
      <c r="A927">
        <v>2024</v>
      </c>
      <c r="B927">
        <v>13826</v>
      </c>
      <c r="C927" t="s">
        <v>931</v>
      </c>
      <c r="D927" t="s">
        <v>84</v>
      </c>
      <c r="E927" t="s">
        <v>85</v>
      </c>
      <c r="F927" t="s">
        <v>86</v>
      </c>
      <c r="G927" t="s">
        <v>140</v>
      </c>
      <c r="H927" t="s">
        <v>88</v>
      </c>
      <c r="I927" t="s">
        <v>96</v>
      </c>
      <c r="J927">
        <v>2211.1</v>
      </c>
      <c r="K927">
        <v>12961</v>
      </c>
      <c r="L927">
        <v>1995</v>
      </c>
      <c r="M927">
        <v>1397</v>
      </c>
      <c r="N927">
        <v>8961</v>
      </c>
      <c r="O927">
        <v>262</v>
      </c>
      <c r="P927">
        <v>0</v>
      </c>
      <c r="Q927">
        <v>0</v>
      </c>
      <c r="R927">
        <v>0</v>
      </c>
      <c r="S927">
        <v>0</v>
      </c>
      <c r="T927">
        <v>0</v>
      </c>
      <c r="U927">
        <v>0</v>
      </c>
      <c r="V927">
        <v>3608.1</v>
      </c>
      <c r="W927">
        <v>21922</v>
      </c>
      <c r="X927">
        <v>2257</v>
      </c>
      <c r="Y927">
        <f t="shared" si="14"/>
        <v>21922</v>
      </c>
      <c r="Z927" t="str">
        <f>IF(ISNUMBER(SEARCH("Adjustment",$C927)),"excluded",IF($H927="Behind the Meter","excluded",IF(NOT(OR($E927="Bundled",$E927="Energy")),"excluded",IF(OR($H927="Retail Power Marketer",$H927="Community Choice Aggregator",$E927="Energy"),"procurement",IF(OR($H927="Municipal",$H927="Cooperative",$H927="Federal",$H927="State",$H927="Political Subdivision"),"cost_service",IF($H927="Investor Owned",IF(AND(COUNTIF(Parameters!$A$4:$A$33,$G927)&gt;0,COUNTIF(Parameters!$B$4:$B$33,$B927)=0),"procurement","cost_service"),"unclassified"))))))</f>
        <v>cost_service</v>
      </c>
    </row>
    <row r="928" spans="1:26" x14ac:dyDescent="0.25">
      <c r="A928">
        <v>2024</v>
      </c>
      <c r="B928">
        <v>13830</v>
      </c>
      <c r="C928" t="s">
        <v>932</v>
      </c>
      <c r="D928" t="s">
        <v>84</v>
      </c>
      <c r="E928" t="s">
        <v>85</v>
      </c>
      <c r="F928" t="s">
        <v>86</v>
      </c>
      <c r="G928" t="s">
        <v>57</v>
      </c>
      <c r="H928" t="s">
        <v>91</v>
      </c>
      <c r="I928" t="s">
        <v>151</v>
      </c>
      <c r="J928">
        <v>37552.699999999997</v>
      </c>
      <c r="K928">
        <v>274361</v>
      </c>
      <c r="L928">
        <v>18038</v>
      </c>
      <c r="M928">
        <v>7348.2</v>
      </c>
      <c r="N928">
        <v>69659</v>
      </c>
      <c r="O928">
        <v>1970</v>
      </c>
      <c r="P928">
        <v>492.3</v>
      </c>
      <c r="Q928">
        <v>1990</v>
      </c>
      <c r="R928">
        <v>34</v>
      </c>
      <c r="S928">
        <v>0</v>
      </c>
      <c r="T928">
        <v>0</v>
      </c>
      <c r="U928">
        <v>0</v>
      </c>
      <c r="V928">
        <v>45393.2</v>
      </c>
      <c r="W928">
        <v>346010</v>
      </c>
      <c r="X928">
        <v>20042</v>
      </c>
      <c r="Y928">
        <f t="shared" si="14"/>
        <v>346010</v>
      </c>
      <c r="Z928" t="str">
        <f>IF(ISNUMBER(SEARCH("Adjustment",$C928)),"excluded",IF($H928="Behind the Meter","excluded",IF(NOT(OR($E928="Bundled",$E928="Energy")),"excluded",IF(OR($H928="Retail Power Marketer",$H928="Community Choice Aggregator",$E928="Energy"),"procurement",IF(OR($H928="Municipal",$H928="Cooperative",$H928="Federal",$H928="State",$H928="Political Subdivision"),"cost_service",IF($H928="Investor Owned",IF(AND(COUNTIF(Parameters!$A$4:$A$33,$G928)&gt;0,COUNTIF(Parameters!$B$4:$B$33,$B928)=0),"procurement","cost_service"),"unclassified"))))))</f>
        <v>cost_service</v>
      </c>
    </row>
    <row r="929" spans="1:26" x14ac:dyDescent="0.25">
      <c r="A929">
        <v>2024</v>
      </c>
      <c r="B929">
        <v>13830</v>
      </c>
      <c r="C929" t="s">
        <v>932</v>
      </c>
      <c r="D929" t="s">
        <v>150</v>
      </c>
      <c r="E929" t="s">
        <v>85</v>
      </c>
      <c r="F929" t="s">
        <v>86</v>
      </c>
      <c r="G929" t="s">
        <v>57</v>
      </c>
      <c r="H929" t="s">
        <v>91</v>
      </c>
      <c r="I929" t="s">
        <v>151</v>
      </c>
      <c r="J929">
        <v>38147.599999999999</v>
      </c>
      <c r="K929">
        <v>434129</v>
      </c>
      <c r="L929">
        <v>28371</v>
      </c>
      <c r="M929">
        <v>7189.8</v>
      </c>
      <c r="N929">
        <v>80190</v>
      </c>
      <c r="O929">
        <v>4190</v>
      </c>
      <c r="P929">
        <v>0</v>
      </c>
      <c r="Q929">
        <v>0</v>
      </c>
      <c r="R929">
        <v>0</v>
      </c>
      <c r="S929">
        <v>0</v>
      </c>
      <c r="T929">
        <v>0</v>
      </c>
      <c r="U929">
        <v>0</v>
      </c>
      <c r="V929">
        <v>45337.4</v>
      </c>
      <c r="W929">
        <v>514319</v>
      </c>
      <c r="X929">
        <v>32561</v>
      </c>
      <c r="Y929">
        <f t="shared" si="14"/>
        <v>514319</v>
      </c>
      <c r="Z929" t="str">
        <f>IF(ISNUMBER(SEARCH("Adjustment",$C929)),"excluded",IF($H929="Behind the Meter","excluded",IF(NOT(OR($E929="Bundled",$E929="Energy")),"excluded",IF(OR($H929="Retail Power Marketer",$H929="Community Choice Aggregator",$E929="Energy"),"procurement",IF(OR($H929="Municipal",$H929="Cooperative",$H929="Federal",$H929="State",$H929="Political Subdivision"),"cost_service",IF($H929="Investor Owned",IF(AND(COUNTIF(Parameters!$A$4:$A$33,$G929)&gt;0,COUNTIF(Parameters!$B$4:$B$33,$B929)=0),"procurement","cost_service"),"unclassified"))))))</f>
        <v>cost_service</v>
      </c>
    </row>
    <row r="930" spans="1:26" x14ac:dyDescent="0.25">
      <c r="A930">
        <v>2024</v>
      </c>
      <c r="B930">
        <v>13831</v>
      </c>
      <c r="C930" t="s">
        <v>933</v>
      </c>
      <c r="D930" t="s">
        <v>84</v>
      </c>
      <c r="E930" t="s">
        <v>85</v>
      </c>
      <c r="F930" t="s">
        <v>86</v>
      </c>
      <c r="G930" t="s">
        <v>40</v>
      </c>
      <c r="H930" t="s">
        <v>88</v>
      </c>
      <c r="I930" t="s">
        <v>189</v>
      </c>
      <c r="J930">
        <v>31757.3</v>
      </c>
      <c r="K930">
        <v>139392</v>
      </c>
      <c r="L930">
        <v>18870</v>
      </c>
      <c r="M930">
        <v>25862.2</v>
      </c>
      <c r="N930">
        <v>127341</v>
      </c>
      <c r="O930">
        <v>2014</v>
      </c>
      <c r="P930">
        <v>2382.1</v>
      </c>
      <c r="Q930">
        <v>12973</v>
      </c>
      <c r="R930">
        <v>14</v>
      </c>
      <c r="S930" t="s">
        <v>97</v>
      </c>
      <c r="T930" t="s">
        <v>97</v>
      </c>
      <c r="U930" t="s">
        <v>97</v>
      </c>
      <c r="V930">
        <v>60001.599999999999</v>
      </c>
      <c r="W930">
        <v>279706</v>
      </c>
      <c r="X930">
        <v>20898</v>
      </c>
      <c r="Y930">
        <f t="shared" si="14"/>
        <v>279706</v>
      </c>
      <c r="Z930" t="str">
        <f>IF(ISNUMBER(SEARCH("Adjustment",$C930)),"excluded",IF($H930="Behind the Meter","excluded",IF(NOT(OR($E930="Bundled",$E930="Energy")),"excluded",IF(OR($H930="Retail Power Marketer",$H930="Community Choice Aggregator",$E930="Energy"),"procurement",IF(OR($H930="Municipal",$H930="Cooperative",$H930="Federal",$H930="State",$H930="Political Subdivision"),"cost_service",IF($H930="Investor Owned",IF(AND(COUNTIF(Parameters!$A$4:$A$33,$G930)&gt;0,COUNTIF(Parameters!$B$4:$B$33,$B930)=0),"procurement","cost_service"),"unclassified"))))))</f>
        <v>cost_service</v>
      </c>
    </row>
    <row r="931" spans="1:26" x14ac:dyDescent="0.25">
      <c r="A931">
        <v>2024</v>
      </c>
      <c r="B931">
        <v>13839</v>
      </c>
      <c r="C931" t="s">
        <v>934</v>
      </c>
      <c r="D931" t="s">
        <v>84</v>
      </c>
      <c r="E931" t="s">
        <v>85</v>
      </c>
      <c r="F931" t="s">
        <v>86</v>
      </c>
      <c r="G931" t="s">
        <v>48</v>
      </c>
      <c r="H931" t="s">
        <v>88</v>
      </c>
      <c r="I931" t="s">
        <v>189</v>
      </c>
      <c r="J931">
        <v>15915.8</v>
      </c>
      <c r="K931">
        <v>90086</v>
      </c>
      <c r="L931">
        <v>13601</v>
      </c>
      <c r="M931">
        <v>20461.5</v>
      </c>
      <c r="N931">
        <v>104543</v>
      </c>
      <c r="O931">
        <v>2148</v>
      </c>
      <c r="P931">
        <v>19512.3</v>
      </c>
      <c r="Q931">
        <v>124942</v>
      </c>
      <c r="R931">
        <v>45</v>
      </c>
      <c r="S931" t="s">
        <v>97</v>
      </c>
      <c r="T931" t="s">
        <v>97</v>
      </c>
      <c r="U931" t="s">
        <v>97</v>
      </c>
      <c r="V931">
        <v>55889.599999999999</v>
      </c>
      <c r="W931">
        <v>319571</v>
      </c>
      <c r="X931">
        <v>15794</v>
      </c>
      <c r="Y931">
        <f t="shared" si="14"/>
        <v>319571</v>
      </c>
      <c r="Z931" t="str">
        <f>IF(ISNUMBER(SEARCH("Adjustment",$C931)),"excluded",IF($H931="Behind the Meter","excluded",IF(NOT(OR($E931="Bundled",$E931="Energy")),"excluded",IF(OR($H931="Retail Power Marketer",$H931="Community Choice Aggregator",$E931="Energy"),"procurement",IF(OR($H931="Municipal",$H931="Cooperative",$H931="Federal",$H931="State",$H931="Political Subdivision"),"cost_service",IF($H931="Investor Owned",IF(AND(COUNTIF(Parameters!$A$4:$A$33,$G931)&gt;0,COUNTIF(Parameters!$B$4:$B$33,$B931)=0),"procurement","cost_service"),"unclassified"))))))</f>
        <v>cost_service</v>
      </c>
    </row>
    <row r="932" spans="1:26" x14ac:dyDescent="0.25">
      <c r="A932">
        <v>2024</v>
      </c>
      <c r="B932">
        <v>13933</v>
      </c>
      <c r="C932" t="s">
        <v>935</v>
      </c>
      <c r="D932" t="s">
        <v>84</v>
      </c>
      <c r="E932" t="s">
        <v>85</v>
      </c>
      <c r="F932" t="s">
        <v>86</v>
      </c>
      <c r="G932" t="s">
        <v>156</v>
      </c>
      <c r="H932" t="s">
        <v>88</v>
      </c>
      <c r="I932" t="s">
        <v>89</v>
      </c>
      <c r="J932">
        <v>21636</v>
      </c>
      <c r="K932">
        <v>173511</v>
      </c>
      <c r="L932">
        <v>15497</v>
      </c>
      <c r="M932">
        <v>36715</v>
      </c>
      <c r="N932">
        <v>305349</v>
      </c>
      <c r="O932">
        <v>2332</v>
      </c>
      <c r="P932">
        <v>877</v>
      </c>
      <c r="Q932">
        <v>10861</v>
      </c>
      <c r="R932">
        <v>2</v>
      </c>
      <c r="S932">
        <v>0</v>
      </c>
      <c r="T932">
        <v>0</v>
      </c>
      <c r="U932">
        <v>0</v>
      </c>
      <c r="V932">
        <v>59228</v>
      </c>
      <c r="W932">
        <v>489721</v>
      </c>
      <c r="X932">
        <v>17831</v>
      </c>
      <c r="Y932">
        <f t="shared" si="14"/>
        <v>489721</v>
      </c>
      <c r="Z932" t="str">
        <f>IF(ISNUMBER(SEARCH("Adjustment",$C932)),"excluded",IF($H932="Behind the Meter","excluded",IF(NOT(OR($E932="Bundled",$E932="Energy")),"excluded",IF(OR($H932="Retail Power Marketer",$H932="Community Choice Aggregator",$E932="Energy"),"procurement",IF(OR($H932="Municipal",$H932="Cooperative",$H932="Federal",$H932="State",$H932="Political Subdivision"),"cost_service",IF($H932="Investor Owned",IF(AND(COUNTIF(Parameters!$A$4:$A$33,$G932)&gt;0,COUNTIF(Parameters!$B$4:$B$33,$B932)=0),"procurement","cost_service"),"unclassified"))))))</f>
        <v>cost_service</v>
      </c>
    </row>
    <row r="933" spans="1:26" x14ac:dyDescent="0.25">
      <c r="A933">
        <v>2024</v>
      </c>
      <c r="B933">
        <v>13936</v>
      </c>
      <c r="C933" t="s">
        <v>936</v>
      </c>
      <c r="D933" t="s">
        <v>84</v>
      </c>
      <c r="E933" t="s">
        <v>85</v>
      </c>
      <c r="F933" t="s">
        <v>86</v>
      </c>
      <c r="G933" t="s">
        <v>95</v>
      </c>
      <c r="H933" t="s">
        <v>91</v>
      </c>
      <c r="I933" t="s">
        <v>96</v>
      </c>
      <c r="J933">
        <v>23056</v>
      </c>
      <c r="K933">
        <v>145324</v>
      </c>
      <c r="L933">
        <v>17027</v>
      </c>
      <c r="M933">
        <v>6659</v>
      </c>
      <c r="N933">
        <v>51759</v>
      </c>
      <c r="O933">
        <v>1758</v>
      </c>
      <c r="P933">
        <v>14968</v>
      </c>
      <c r="Q933">
        <v>172767</v>
      </c>
      <c r="R933">
        <v>58</v>
      </c>
      <c r="S933">
        <v>0</v>
      </c>
      <c r="T933">
        <v>0</v>
      </c>
      <c r="U933">
        <v>0</v>
      </c>
      <c r="V933">
        <v>44683</v>
      </c>
      <c r="W933">
        <v>369850</v>
      </c>
      <c r="X933">
        <v>18843</v>
      </c>
      <c r="Y933">
        <f t="shared" si="14"/>
        <v>369850</v>
      </c>
      <c r="Z933" t="str">
        <f>IF(ISNUMBER(SEARCH("Adjustment",$C933)),"excluded",IF($H933="Behind the Meter","excluded",IF(NOT(OR($E933="Bundled",$E933="Energy")),"excluded",IF(OR($H933="Retail Power Marketer",$H933="Community Choice Aggregator",$E933="Energy"),"procurement",IF(OR($H933="Municipal",$H933="Cooperative",$H933="Federal",$H933="State",$H933="Political Subdivision"),"cost_service",IF($H933="Investor Owned",IF(AND(COUNTIF(Parameters!$A$4:$A$33,$G933)&gt;0,COUNTIF(Parameters!$B$4:$B$33,$B933)=0),"procurement","cost_service"),"unclassified"))))))</f>
        <v>cost_service</v>
      </c>
    </row>
    <row r="934" spans="1:26" x14ac:dyDescent="0.25">
      <c r="A934">
        <v>2024</v>
      </c>
      <c r="B934">
        <v>13955</v>
      </c>
      <c r="C934" t="s">
        <v>937</v>
      </c>
      <c r="D934" t="s">
        <v>84</v>
      </c>
      <c r="E934" t="s">
        <v>85</v>
      </c>
      <c r="F934" t="s">
        <v>86</v>
      </c>
      <c r="G934" t="s">
        <v>195</v>
      </c>
      <c r="H934" t="s">
        <v>88</v>
      </c>
      <c r="I934" t="s">
        <v>528</v>
      </c>
      <c r="J934">
        <v>68469.2</v>
      </c>
      <c r="K934">
        <v>565310</v>
      </c>
      <c r="L934">
        <v>45171</v>
      </c>
      <c r="M934">
        <v>25586.1</v>
      </c>
      <c r="N934">
        <v>215595</v>
      </c>
      <c r="O934">
        <v>10888</v>
      </c>
      <c r="P934">
        <v>54207.8</v>
      </c>
      <c r="Q934">
        <v>580635</v>
      </c>
      <c r="R934">
        <v>976</v>
      </c>
      <c r="S934">
        <v>0</v>
      </c>
      <c r="T934">
        <v>0</v>
      </c>
      <c r="U934">
        <v>0</v>
      </c>
      <c r="V934">
        <v>148263.1</v>
      </c>
      <c r="W934">
        <v>1361540</v>
      </c>
      <c r="X934">
        <v>57035</v>
      </c>
      <c r="Y934">
        <f t="shared" si="14"/>
        <v>1361540</v>
      </c>
      <c r="Z934" t="str">
        <f>IF(ISNUMBER(SEARCH("Adjustment",$C934)),"excluded",IF($H934="Behind the Meter","excluded",IF(NOT(OR($E934="Bundled",$E934="Energy")),"excluded",IF(OR($H934="Retail Power Marketer",$H934="Community Choice Aggregator",$E934="Energy"),"procurement",IF(OR($H934="Municipal",$H934="Cooperative",$H934="Federal",$H934="State",$H934="Political Subdivision"),"cost_service",IF($H934="Investor Owned",IF(AND(COUNTIF(Parameters!$A$4:$A$33,$G934)&gt;0,COUNTIF(Parameters!$B$4:$B$33,$B934)=0),"procurement","cost_service"),"unclassified"))))))</f>
        <v>cost_service</v>
      </c>
    </row>
    <row r="935" spans="1:26" x14ac:dyDescent="0.25">
      <c r="A935">
        <v>2024</v>
      </c>
      <c r="B935">
        <v>13962</v>
      </c>
      <c r="C935" t="s">
        <v>938</v>
      </c>
      <c r="D935" t="s">
        <v>84</v>
      </c>
      <c r="E935" t="s">
        <v>85</v>
      </c>
      <c r="F935" t="s">
        <v>86</v>
      </c>
      <c r="G935" t="s">
        <v>123</v>
      </c>
      <c r="H935" t="s">
        <v>91</v>
      </c>
      <c r="I935" t="s">
        <v>113</v>
      </c>
      <c r="J935">
        <v>23115.3</v>
      </c>
      <c r="K935">
        <v>147116</v>
      </c>
      <c r="L935">
        <v>10743</v>
      </c>
      <c r="M935">
        <v>6234.9</v>
      </c>
      <c r="N935">
        <v>38030</v>
      </c>
      <c r="O935">
        <v>2665</v>
      </c>
      <c r="P935">
        <v>5904.1</v>
      </c>
      <c r="Q935">
        <v>73479</v>
      </c>
      <c r="R935">
        <v>10</v>
      </c>
      <c r="S935" t="s">
        <v>97</v>
      </c>
      <c r="T935" t="s">
        <v>97</v>
      </c>
      <c r="U935" t="s">
        <v>97</v>
      </c>
      <c r="V935">
        <v>35254.300000000003</v>
      </c>
      <c r="W935">
        <v>258625</v>
      </c>
      <c r="X935">
        <v>13418</v>
      </c>
      <c r="Y935">
        <f t="shared" si="14"/>
        <v>258625</v>
      </c>
      <c r="Z935" t="str">
        <f>IF(ISNUMBER(SEARCH("Adjustment",$C935)),"excluded",IF($H935="Behind the Meter","excluded",IF(NOT(OR($E935="Bundled",$E935="Energy")),"excluded",IF(OR($H935="Retail Power Marketer",$H935="Community Choice Aggregator",$E935="Energy"),"procurement",IF(OR($H935="Municipal",$H935="Cooperative",$H935="Federal",$H935="State",$H935="Political Subdivision"),"cost_service",IF($H935="Investor Owned",IF(AND(COUNTIF(Parameters!$A$4:$A$33,$G935)&gt;0,COUNTIF(Parameters!$B$4:$B$33,$B935)=0),"procurement","cost_service"),"unclassified"))))))</f>
        <v>cost_service</v>
      </c>
    </row>
    <row r="936" spans="1:26" x14ac:dyDescent="0.25">
      <c r="A936">
        <v>2024</v>
      </c>
      <c r="B936">
        <v>13963</v>
      </c>
      <c r="C936" t="s">
        <v>939</v>
      </c>
      <c r="D936" t="s">
        <v>84</v>
      </c>
      <c r="E936" t="s">
        <v>85</v>
      </c>
      <c r="F936" t="s">
        <v>86</v>
      </c>
      <c r="G936" t="s">
        <v>95</v>
      </c>
      <c r="H936" t="s">
        <v>88</v>
      </c>
      <c r="I936" t="s">
        <v>96</v>
      </c>
      <c r="J936">
        <v>11006</v>
      </c>
      <c r="K936">
        <v>80049</v>
      </c>
      <c r="L936">
        <v>9972</v>
      </c>
      <c r="M936">
        <v>12484.8</v>
      </c>
      <c r="N936">
        <v>113253</v>
      </c>
      <c r="O936">
        <v>1400</v>
      </c>
      <c r="P936">
        <v>2380.8000000000002</v>
      </c>
      <c r="Q936">
        <v>26911</v>
      </c>
      <c r="R936">
        <v>4</v>
      </c>
      <c r="S936">
        <v>0</v>
      </c>
      <c r="T936">
        <v>0</v>
      </c>
      <c r="U936">
        <v>0</v>
      </c>
      <c r="V936">
        <v>25871.599999999999</v>
      </c>
      <c r="W936">
        <v>220213</v>
      </c>
      <c r="X936">
        <v>11376</v>
      </c>
      <c r="Y936">
        <f t="shared" si="14"/>
        <v>220213</v>
      </c>
      <c r="Z936" t="str">
        <f>IF(ISNUMBER(SEARCH("Adjustment",$C936)),"excluded",IF($H936="Behind the Meter","excluded",IF(NOT(OR($E936="Bundled",$E936="Energy")),"excluded",IF(OR($H936="Retail Power Marketer",$H936="Community Choice Aggregator",$E936="Energy"),"procurement",IF(OR($H936="Municipal",$H936="Cooperative",$H936="Federal",$H936="State",$H936="Political Subdivision"),"cost_service",IF($H936="Investor Owned",IF(AND(COUNTIF(Parameters!$A$4:$A$33,$G936)&gt;0,COUNTIF(Parameters!$B$4:$B$33,$B936)=0),"procurement","cost_service"),"unclassified"))))))</f>
        <v>cost_service</v>
      </c>
    </row>
    <row r="937" spans="1:26" x14ac:dyDescent="0.25">
      <c r="A937">
        <v>2024</v>
      </c>
      <c r="B937">
        <v>13965</v>
      </c>
      <c r="C937" t="s">
        <v>940</v>
      </c>
      <c r="D937" t="s">
        <v>84</v>
      </c>
      <c r="E937" t="s">
        <v>85</v>
      </c>
      <c r="F937" t="s">
        <v>86</v>
      </c>
      <c r="G937" t="s">
        <v>95</v>
      </c>
      <c r="H937" t="s">
        <v>88</v>
      </c>
      <c r="I937" t="s">
        <v>96</v>
      </c>
      <c r="J937">
        <v>1326.1</v>
      </c>
      <c r="K937">
        <v>9703</v>
      </c>
      <c r="L937">
        <v>1364</v>
      </c>
      <c r="M937">
        <v>1834.6</v>
      </c>
      <c r="N937">
        <v>15743</v>
      </c>
      <c r="O937">
        <v>310</v>
      </c>
      <c r="P937">
        <v>0</v>
      </c>
      <c r="Q937">
        <v>0</v>
      </c>
      <c r="R937">
        <v>0</v>
      </c>
      <c r="S937">
        <v>0</v>
      </c>
      <c r="T937">
        <v>0</v>
      </c>
      <c r="U937">
        <v>0</v>
      </c>
      <c r="V937">
        <v>3160.7</v>
      </c>
      <c r="W937">
        <v>25446</v>
      </c>
      <c r="X937">
        <v>1674</v>
      </c>
      <c r="Y937">
        <f t="shared" si="14"/>
        <v>25446</v>
      </c>
      <c r="Z937" t="str">
        <f>IF(ISNUMBER(SEARCH("Adjustment",$C937)),"excluded",IF($H937="Behind the Meter","excluded",IF(NOT(OR($E937="Bundled",$E937="Energy")),"excluded",IF(OR($H937="Retail Power Marketer",$H937="Community Choice Aggregator",$E937="Energy"),"procurement",IF(OR($H937="Municipal",$H937="Cooperative",$H937="Federal",$H937="State",$H937="Political Subdivision"),"cost_service",IF($H937="Investor Owned",IF(AND(COUNTIF(Parameters!$A$4:$A$33,$G937)&gt;0,COUNTIF(Parameters!$B$4:$B$33,$B937)=0),"procurement","cost_service"),"unclassified"))))))</f>
        <v>cost_service</v>
      </c>
    </row>
    <row r="938" spans="1:26" x14ac:dyDescent="0.25">
      <c r="A938">
        <v>2024</v>
      </c>
      <c r="B938">
        <v>13998</v>
      </c>
      <c r="C938" t="s">
        <v>941</v>
      </c>
      <c r="D938" t="s">
        <v>84</v>
      </c>
      <c r="E938" t="s">
        <v>85</v>
      </c>
      <c r="F938" t="s">
        <v>86</v>
      </c>
      <c r="G938" t="s">
        <v>54</v>
      </c>
      <c r="H938" t="s">
        <v>109</v>
      </c>
      <c r="I938" t="s">
        <v>92</v>
      </c>
      <c r="J938">
        <v>383931.4</v>
      </c>
      <c r="K938">
        <v>2373567</v>
      </c>
      <c r="L938">
        <v>251751</v>
      </c>
      <c r="M938">
        <v>91276.5</v>
      </c>
      <c r="N938">
        <v>531605</v>
      </c>
      <c r="O938">
        <v>20747</v>
      </c>
      <c r="P938">
        <v>15437.8</v>
      </c>
      <c r="Q938">
        <v>116637</v>
      </c>
      <c r="R938">
        <v>167</v>
      </c>
      <c r="S938">
        <v>0</v>
      </c>
      <c r="T938">
        <v>0</v>
      </c>
      <c r="U938">
        <v>0</v>
      </c>
      <c r="V938">
        <v>490645.7</v>
      </c>
      <c r="W938">
        <v>3021809</v>
      </c>
      <c r="X938">
        <v>272665</v>
      </c>
      <c r="Y938">
        <f t="shared" si="14"/>
        <v>3021809</v>
      </c>
      <c r="Z938" t="str">
        <f>IF(ISNUMBER(SEARCH("Adjustment",$C938)),"excluded",IF($H938="Behind the Meter","excluded",IF(NOT(OR($E938="Bundled",$E938="Energy")),"excluded",IF(OR($H938="Retail Power Marketer",$H938="Community Choice Aggregator",$E938="Energy"),"procurement",IF(OR($H938="Municipal",$H938="Cooperative",$H938="Federal",$H938="State",$H938="Political Subdivision"),"cost_service",IF($H938="Investor Owned",IF(AND(COUNTIF(Parameters!$A$4:$A$33,$G938)&gt;0,COUNTIF(Parameters!$B$4:$B$33,$B938)=0),"procurement","cost_service"),"unclassified"))))))</f>
        <v>procurement</v>
      </c>
    </row>
    <row r="939" spans="1:26" x14ac:dyDescent="0.25">
      <c r="A939">
        <v>2024</v>
      </c>
      <c r="B939">
        <v>13998</v>
      </c>
      <c r="C939" t="s">
        <v>941</v>
      </c>
      <c r="D939" t="s">
        <v>167</v>
      </c>
      <c r="E939" t="s">
        <v>168</v>
      </c>
      <c r="F939" t="s">
        <v>86</v>
      </c>
      <c r="G939" t="s">
        <v>54</v>
      </c>
      <c r="H939" t="s">
        <v>109</v>
      </c>
      <c r="I939" t="s">
        <v>92</v>
      </c>
      <c r="J939">
        <v>511890.1</v>
      </c>
      <c r="K939">
        <v>7007869</v>
      </c>
      <c r="L939">
        <v>706029</v>
      </c>
      <c r="M939">
        <v>307599.09999999998</v>
      </c>
      <c r="N939">
        <v>5632589</v>
      </c>
      <c r="O939">
        <v>94161</v>
      </c>
      <c r="P939">
        <v>145741.79999999999</v>
      </c>
      <c r="Q939">
        <v>8773186</v>
      </c>
      <c r="R939">
        <v>1211</v>
      </c>
      <c r="S939">
        <v>0</v>
      </c>
      <c r="T939">
        <v>0</v>
      </c>
      <c r="U939">
        <v>0</v>
      </c>
      <c r="V939">
        <v>965231</v>
      </c>
      <c r="W939">
        <v>21413644</v>
      </c>
      <c r="X939">
        <v>801401</v>
      </c>
      <c r="Y939">
        <f t="shared" si="14"/>
        <v>21413644</v>
      </c>
      <c r="Z939" t="str">
        <f>IF(ISNUMBER(SEARCH("Adjustment",$C939)),"excluded",IF($H939="Behind the Meter","excluded",IF(NOT(OR($E939="Bundled",$E939="Energy")),"excluded",IF(OR($H939="Retail Power Marketer",$H939="Community Choice Aggregator",$E939="Energy"),"procurement",IF(OR($H939="Municipal",$H939="Cooperative",$H939="Federal",$H939="State",$H939="Political Subdivision"),"cost_service",IF($H939="Investor Owned",IF(AND(COUNTIF(Parameters!$A$4:$A$33,$G939)&gt;0,COUNTIF(Parameters!$B$4:$B$33,$B939)=0),"procurement","cost_service"),"unclassified"))))))</f>
        <v>excluded</v>
      </c>
    </row>
    <row r="940" spans="1:26" x14ac:dyDescent="0.25">
      <c r="A940">
        <v>2024</v>
      </c>
      <c r="B940">
        <v>14006</v>
      </c>
      <c r="C940" t="s">
        <v>942</v>
      </c>
      <c r="D940" t="s">
        <v>84</v>
      </c>
      <c r="E940" t="s">
        <v>85</v>
      </c>
      <c r="F940" t="s">
        <v>86</v>
      </c>
      <c r="G940" t="s">
        <v>54</v>
      </c>
      <c r="H940" t="s">
        <v>109</v>
      </c>
      <c r="I940" t="s">
        <v>92</v>
      </c>
      <c r="J940">
        <v>1147047</v>
      </c>
      <c r="K940">
        <v>5934288</v>
      </c>
      <c r="L940">
        <v>550768</v>
      </c>
      <c r="M940">
        <v>290649</v>
      </c>
      <c r="N940">
        <v>1760606</v>
      </c>
      <c r="O940">
        <v>57739</v>
      </c>
      <c r="P940">
        <v>26027</v>
      </c>
      <c r="Q940">
        <v>171430</v>
      </c>
      <c r="R940">
        <v>2577</v>
      </c>
      <c r="S940" t="s">
        <v>97</v>
      </c>
      <c r="T940" t="s">
        <v>97</v>
      </c>
      <c r="U940" t="s">
        <v>97</v>
      </c>
      <c r="V940">
        <v>1463723</v>
      </c>
      <c r="W940">
        <v>7866324</v>
      </c>
      <c r="X940">
        <v>611084</v>
      </c>
      <c r="Y940">
        <f t="shared" si="14"/>
        <v>7866324</v>
      </c>
      <c r="Z940" t="str">
        <f>IF(ISNUMBER(SEARCH("Adjustment",$C940)),"excluded",IF($H940="Behind the Meter","excluded",IF(NOT(OR($E940="Bundled",$E940="Energy")),"excluded",IF(OR($H940="Retail Power Marketer",$H940="Community Choice Aggregator",$E940="Energy"),"procurement",IF(OR($H940="Municipal",$H940="Cooperative",$H940="Federal",$H940="State",$H940="Political Subdivision"),"cost_service",IF($H940="Investor Owned",IF(AND(COUNTIF(Parameters!$A$4:$A$33,$G940)&gt;0,COUNTIF(Parameters!$B$4:$B$33,$B940)=0),"procurement","cost_service"),"unclassified"))))))</f>
        <v>procurement</v>
      </c>
    </row>
    <row r="941" spans="1:26" x14ac:dyDescent="0.25">
      <c r="A941">
        <v>2024</v>
      </c>
      <c r="B941">
        <v>14006</v>
      </c>
      <c r="C941" t="s">
        <v>942</v>
      </c>
      <c r="D941" t="s">
        <v>167</v>
      </c>
      <c r="E941" t="s">
        <v>168</v>
      </c>
      <c r="F941" t="s">
        <v>86</v>
      </c>
      <c r="G941" t="s">
        <v>54</v>
      </c>
      <c r="H941" t="s">
        <v>109</v>
      </c>
      <c r="I941" t="s">
        <v>92</v>
      </c>
      <c r="J941">
        <v>880857</v>
      </c>
      <c r="K941">
        <v>8193512</v>
      </c>
      <c r="L941">
        <v>788464</v>
      </c>
      <c r="M941">
        <v>825811</v>
      </c>
      <c r="N941">
        <v>18659514</v>
      </c>
      <c r="O941">
        <v>127543</v>
      </c>
      <c r="P941">
        <v>346715</v>
      </c>
      <c r="Q941">
        <v>13933557</v>
      </c>
      <c r="R941">
        <v>6174</v>
      </c>
      <c r="S941" t="s">
        <v>97</v>
      </c>
      <c r="T941" t="s">
        <v>97</v>
      </c>
      <c r="U941" t="s">
        <v>97</v>
      </c>
      <c r="V941">
        <v>2053383</v>
      </c>
      <c r="W941">
        <v>40786583</v>
      </c>
      <c r="X941">
        <v>922181</v>
      </c>
      <c r="Y941">
        <f t="shared" si="14"/>
        <v>40786583</v>
      </c>
      <c r="Z941" t="str">
        <f>IF(ISNUMBER(SEARCH("Adjustment",$C941)),"excluded",IF($H941="Behind the Meter","excluded",IF(NOT(OR($E941="Bundled",$E941="Energy")),"excluded",IF(OR($H941="Retail Power Marketer",$H941="Community Choice Aggregator",$E941="Energy"),"procurement",IF(OR($H941="Municipal",$H941="Cooperative",$H941="Federal",$H941="State",$H941="Political Subdivision"),"cost_service",IF($H941="Investor Owned",IF(AND(COUNTIF(Parameters!$A$4:$A$33,$G941)&gt;0,COUNTIF(Parameters!$B$4:$B$33,$B941)=0),"procurement","cost_service"),"unclassified"))))))</f>
        <v>excluded</v>
      </c>
    </row>
    <row r="942" spans="1:26" x14ac:dyDescent="0.25">
      <c r="A942">
        <v>2024</v>
      </c>
      <c r="B942">
        <v>14015</v>
      </c>
      <c r="C942" t="s">
        <v>943</v>
      </c>
      <c r="D942" t="s">
        <v>84</v>
      </c>
      <c r="E942" t="s">
        <v>85</v>
      </c>
      <c r="F942" t="s">
        <v>86</v>
      </c>
      <c r="G942" t="s">
        <v>54</v>
      </c>
      <c r="H942" t="s">
        <v>109</v>
      </c>
      <c r="I942" t="s">
        <v>92</v>
      </c>
      <c r="J942" t="s">
        <v>97</v>
      </c>
      <c r="K942" t="s">
        <v>97</v>
      </c>
      <c r="L942" t="s">
        <v>97</v>
      </c>
      <c r="M942" t="s">
        <v>97</v>
      </c>
      <c r="N942" t="s">
        <v>97</v>
      </c>
      <c r="O942" t="s">
        <v>97</v>
      </c>
      <c r="P942">
        <v>4132</v>
      </c>
      <c r="Q942">
        <v>104845</v>
      </c>
      <c r="R942">
        <v>1</v>
      </c>
      <c r="S942" t="s">
        <v>97</v>
      </c>
      <c r="T942" t="s">
        <v>97</v>
      </c>
      <c r="U942" t="s">
        <v>97</v>
      </c>
      <c r="V942">
        <v>4132</v>
      </c>
      <c r="W942">
        <v>104845</v>
      </c>
      <c r="X942">
        <v>1</v>
      </c>
      <c r="Y942">
        <f t="shared" si="14"/>
        <v>104845</v>
      </c>
      <c r="Z942" t="str">
        <f>IF(ISNUMBER(SEARCH("Adjustment",$C942)),"excluded",IF($H942="Behind the Meter","excluded",IF(NOT(OR($E942="Bundled",$E942="Energy")),"excluded",IF(OR($H942="Retail Power Marketer",$H942="Community Choice Aggregator",$E942="Energy"),"procurement",IF(OR($H942="Municipal",$H942="Cooperative",$H942="Federal",$H942="State",$H942="Political Subdivision"),"cost_service",IF($H942="Investor Owned",IF(AND(COUNTIF(Parameters!$A$4:$A$33,$G942)&gt;0,COUNTIF(Parameters!$B$4:$B$33,$B942)=0),"procurement","cost_service"),"unclassified"))))))</f>
        <v>procurement</v>
      </c>
    </row>
    <row r="943" spans="1:26" x14ac:dyDescent="0.25">
      <c r="A943">
        <v>2024</v>
      </c>
      <c r="B943">
        <v>14055</v>
      </c>
      <c r="C943" t="s">
        <v>944</v>
      </c>
      <c r="D943" t="s">
        <v>84</v>
      </c>
      <c r="E943" t="s">
        <v>85</v>
      </c>
      <c r="F943" t="s">
        <v>86</v>
      </c>
      <c r="G943" t="s">
        <v>148</v>
      </c>
      <c r="H943" t="s">
        <v>205</v>
      </c>
      <c r="I943" t="s">
        <v>443</v>
      </c>
      <c r="J943">
        <v>30420</v>
      </c>
      <c r="K943">
        <v>297361</v>
      </c>
      <c r="L943">
        <v>18133</v>
      </c>
      <c r="M943">
        <v>25333.200000000001</v>
      </c>
      <c r="N943">
        <v>315880</v>
      </c>
      <c r="O943">
        <v>4020</v>
      </c>
      <c r="P943">
        <v>934.6</v>
      </c>
      <c r="Q943">
        <v>13173</v>
      </c>
      <c r="R943">
        <v>2</v>
      </c>
      <c r="S943" t="s">
        <v>97</v>
      </c>
      <c r="T943" t="s">
        <v>97</v>
      </c>
      <c r="U943" t="s">
        <v>97</v>
      </c>
      <c r="V943">
        <v>56687.8</v>
      </c>
      <c r="W943">
        <v>626414</v>
      </c>
      <c r="X943">
        <v>22155</v>
      </c>
      <c r="Y943">
        <f t="shared" si="14"/>
        <v>626414</v>
      </c>
      <c r="Z943" t="str">
        <f>IF(ISNUMBER(SEARCH("Adjustment",$C943)),"excluded",IF($H943="Behind the Meter","excluded",IF(NOT(OR($E943="Bundled",$E943="Energy")),"excluded",IF(OR($H943="Retail Power Marketer",$H943="Community Choice Aggregator",$E943="Energy"),"procurement",IF(OR($H943="Municipal",$H943="Cooperative",$H943="Federal",$H943="State",$H943="Political Subdivision"),"cost_service",IF($H943="Investor Owned",IF(AND(COUNTIF(Parameters!$A$4:$A$33,$G943)&gt;0,COUNTIF(Parameters!$B$4:$B$33,$B943)=0),"procurement","cost_service"),"unclassified"))))))</f>
        <v>cost_service</v>
      </c>
    </row>
    <row r="944" spans="1:26" x14ac:dyDescent="0.25">
      <c r="A944">
        <v>2024</v>
      </c>
      <c r="B944">
        <v>14062</v>
      </c>
      <c r="C944" t="s">
        <v>945</v>
      </c>
      <c r="D944" t="s">
        <v>84</v>
      </c>
      <c r="E944" t="s">
        <v>85</v>
      </c>
      <c r="F944" t="s">
        <v>86</v>
      </c>
      <c r="G944" t="s">
        <v>136</v>
      </c>
      <c r="H944" t="s">
        <v>91</v>
      </c>
      <c r="I944" t="s">
        <v>135</v>
      </c>
      <c r="J944">
        <v>108658</v>
      </c>
      <c r="K944">
        <v>886736</v>
      </c>
      <c r="L944">
        <v>58544</v>
      </c>
      <c r="M944">
        <v>36010</v>
      </c>
      <c r="N944">
        <v>312684</v>
      </c>
      <c r="O944">
        <v>5523</v>
      </c>
      <c r="P944">
        <v>19172</v>
      </c>
      <c r="Q944">
        <v>336865</v>
      </c>
      <c r="R944">
        <v>141</v>
      </c>
      <c r="S944" t="s">
        <v>97</v>
      </c>
      <c r="T944" t="s">
        <v>97</v>
      </c>
      <c r="U944" t="s">
        <v>97</v>
      </c>
      <c r="V944">
        <v>163840</v>
      </c>
      <c r="W944">
        <v>1536285</v>
      </c>
      <c r="X944">
        <v>64208</v>
      </c>
      <c r="Y944">
        <f t="shared" si="14"/>
        <v>1536285</v>
      </c>
      <c r="Z944" t="str">
        <f>IF(ISNUMBER(SEARCH("Adjustment",$C944)),"excluded",IF($H944="Behind the Meter","excluded",IF(NOT(OR($E944="Bundled",$E944="Energy")),"excluded",IF(OR($H944="Retail Power Marketer",$H944="Community Choice Aggregator",$E944="Energy"),"procurement",IF(OR($H944="Municipal",$H944="Cooperative",$H944="Federal",$H944="State",$H944="Political Subdivision"),"cost_service",IF($H944="Investor Owned",IF(AND(COUNTIF(Parameters!$A$4:$A$33,$G944)&gt;0,COUNTIF(Parameters!$B$4:$B$33,$B944)=0),"procurement","cost_service"),"unclassified"))))))</f>
        <v>cost_service</v>
      </c>
    </row>
    <row r="945" spans="1:26" x14ac:dyDescent="0.25">
      <c r="A945">
        <v>2024</v>
      </c>
      <c r="B945">
        <v>14063</v>
      </c>
      <c r="C945" t="s">
        <v>946</v>
      </c>
      <c r="D945" t="s">
        <v>84</v>
      </c>
      <c r="E945" t="s">
        <v>85</v>
      </c>
      <c r="F945" t="s">
        <v>86</v>
      </c>
      <c r="G945" t="s">
        <v>173</v>
      </c>
      <c r="H945" t="s">
        <v>109</v>
      </c>
      <c r="I945" t="s">
        <v>135</v>
      </c>
      <c r="J945">
        <v>82513.7</v>
      </c>
      <c r="K945">
        <v>718272</v>
      </c>
      <c r="L945">
        <v>58218</v>
      </c>
      <c r="M945">
        <v>81253.5</v>
      </c>
      <c r="N945">
        <v>813309</v>
      </c>
      <c r="O945">
        <v>11422</v>
      </c>
      <c r="P945">
        <v>73086</v>
      </c>
      <c r="Q945">
        <v>1055315</v>
      </c>
      <c r="R945">
        <v>353</v>
      </c>
      <c r="S945">
        <v>0</v>
      </c>
      <c r="T945">
        <v>0</v>
      </c>
      <c r="U945">
        <v>0</v>
      </c>
      <c r="V945">
        <v>236853.2</v>
      </c>
      <c r="W945">
        <v>2586896</v>
      </c>
      <c r="X945">
        <v>69993</v>
      </c>
      <c r="Y945">
        <f t="shared" si="14"/>
        <v>2586896</v>
      </c>
      <c r="Z945" t="str">
        <f>IF(ISNUMBER(SEARCH("Adjustment",$C945)),"excluded",IF($H945="Behind the Meter","excluded",IF(NOT(OR($E945="Bundled",$E945="Energy")),"excluded",IF(OR($H945="Retail Power Marketer",$H945="Community Choice Aggregator",$E945="Energy"),"procurement",IF(OR($H945="Municipal",$H945="Cooperative",$H945="Federal",$H945="State",$H945="Political Subdivision"),"cost_service",IF($H945="Investor Owned",IF(AND(COUNTIF(Parameters!$A$4:$A$33,$G945)&gt;0,COUNTIF(Parameters!$B$4:$B$33,$B945)=0),"procurement","cost_service"),"unclassified"))))))</f>
        <v>cost_service</v>
      </c>
    </row>
    <row r="946" spans="1:26" x14ac:dyDescent="0.25">
      <c r="A946">
        <v>2024</v>
      </c>
      <c r="B946">
        <v>14063</v>
      </c>
      <c r="C946" t="s">
        <v>946</v>
      </c>
      <c r="D946" t="s">
        <v>84</v>
      </c>
      <c r="E946" t="s">
        <v>85</v>
      </c>
      <c r="F946" t="s">
        <v>86</v>
      </c>
      <c r="G946" t="s">
        <v>136</v>
      </c>
      <c r="H946" t="s">
        <v>109</v>
      </c>
      <c r="I946" t="s">
        <v>135</v>
      </c>
      <c r="J946">
        <v>1068353.3999999999</v>
      </c>
      <c r="K946">
        <v>9067611</v>
      </c>
      <c r="L946">
        <v>710123</v>
      </c>
      <c r="M946">
        <v>1022448.8</v>
      </c>
      <c r="N946">
        <v>12782432</v>
      </c>
      <c r="O946">
        <v>113936</v>
      </c>
      <c r="P946">
        <v>411746.8</v>
      </c>
      <c r="Q946">
        <v>7534932</v>
      </c>
      <c r="R946">
        <v>8662</v>
      </c>
      <c r="S946">
        <v>0</v>
      </c>
      <c r="T946">
        <v>0</v>
      </c>
      <c r="U946">
        <v>0</v>
      </c>
      <c r="V946">
        <v>2502549</v>
      </c>
      <c r="W946">
        <v>29384975</v>
      </c>
      <c r="X946">
        <v>832721</v>
      </c>
      <c r="Y946">
        <f t="shared" si="14"/>
        <v>29384975</v>
      </c>
      <c r="Z946" t="str">
        <f>IF(ISNUMBER(SEARCH("Adjustment",$C946)),"excluded",IF($H946="Behind the Meter","excluded",IF(NOT(OR($E946="Bundled",$E946="Energy")),"excluded",IF(OR($H946="Retail Power Marketer",$H946="Community Choice Aggregator",$E946="Energy"),"procurement",IF(OR($H946="Municipal",$H946="Cooperative",$H946="Federal",$H946="State",$H946="Political Subdivision"),"cost_service",IF($H946="Investor Owned",IF(AND(COUNTIF(Parameters!$A$4:$A$33,$G946)&gt;0,COUNTIF(Parameters!$B$4:$B$33,$B946)=0),"procurement","cost_service"),"unclassified"))))))</f>
        <v>cost_service</v>
      </c>
    </row>
    <row r="947" spans="1:26" x14ac:dyDescent="0.25">
      <c r="A947">
        <v>2024</v>
      </c>
      <c r="B947">
        <v>14078</v>
      </c>
      <c r="C947" t="s">
        <v>947</v>
      </c>
      <c r="D947" t="s">
        <v>84</v>
      </c>
      <c r="E947" t="s">
        <v>85</v>
      </c>
      <c r="F947" t="s">
        <v>86</v>
      </c>
      <c r="G947" t="s">
        <v>87</v>
      </c>
      <c r="H947" t="s">
        <v>88</v>
      </c>
      <c r="I947" t="s">
        <v>89</v>
      </c>
      <c r="J947">
        <v>7593</v>
      </c>
      <c r="K947">
        <v>59217</v>
      </c>
      <c r="L947">
        <v>4289</v>
      </c>
      <c r="M947">
        <v>3681</v>
      </c>
      <c r="N947">
        <v>26445</v>
      </c>
      <c r="O947">
        <v>1101</v>
      </c>
      <c r="P947">
        <v>0</v>
      </c>
      <c r="Q947">
        <v>0</v>
      </c>
      <c r="R947">
        <v>0</v>
      </c>
      <c r="S947">
        <v>0</v>
      </c>
      <c r="T947">
        <v>0</v>
      </c>
      <c r="U947">
        <v>0</v>
      </c>
      <c r="V947">
        <v>11274</v>
      </c>
      <c r="W947">
        <v>85662</v>
      </c>
      <c r="X947">
        <v>5390</v>
      </c>
      <c r="Y947">
        <f t="shared" si="14"/>
        <v>85662</v>
      </c>
      <c r="Z947" t="str">
        <f>IF(ISNUMBER(SEARCH("Adjustment",$C947)),"excluded",IF($H947="Behind the Meter","excluded",IF(NOT(OR($E947="Bundled",$E947="Energy")),"excluded",IF(OR($H947="Retail Power Marketer",$H947="Community Choice Aggregator",$E947="Energy"),"procurement",IF(OR($H947="Municipal",$H947="Cooperative",$H947="Federal",$H947="State",$H947="Political Subdivision"),"cost_service",IF($H947="Investor Owned",IF(AND(COUNTIF(Parameters!$A$4:$A$33,$G947)&gt;0,COUNTIF(Parameters!$B$4:$B$33,$B947)=0),"procurement","cost_service"),"unclassified"))))))</f>
        <v>cost_service</v>
      </c>
    </row>
    <row r="948" spans="1:26" x14ac:dyDescent="0.25">
      <c r="A948">
        <v>2024</v>
      </c>
      <c r="B948">
        <v>14109</v>
      </c>
      <c r="C948" t="s">
        <v>948</v>
      </c>
      <c r="D948" t="s">
        <v>84</v>
      </c>
      <c r="E948" t="s">
        <v>85</v>
      </c>
      <c r="F948" t="s">
        <v>86</v>
      </c>
      <c r="G948" t="s">
        <v>219</v>
      </c>
      <c r="H948" t="s">
        <v>91</v>
      </c>
      <c r="I948" t="s">
        <v>206</v>
      </c>
      <c r="J948">
        <v>31515</v>
      </c>
      <c r="K948">
        <v>312802</v>
      </c>
      <c r="L948">
        <v>25997</v>
      </c>
      <c r="M948">
        <v>16193</v>
      </c>
      <c r="N948">
        <v>190990</v>
      </c>
      <c r="O948">
        <v>4500</v>
      </c>
      <c r="P948">
        <v>10343</v>
      </c>
      <c r="Q948">
        <v>171374</v>
      </c>
      <c r="R948">
        <v>1326</v>
      </c>
      <c r="S948" t="s">
        <v>97</v>
      </c>
      <c r="T948" t="s">
        <v>97</v>
      </c>
      <c r="U948" t="s">
        <v>97</v>
      </c>
      <c r="V948">
        <v>58051</v>
      </c>
      <c r="W948">
        <v>675166</v>
      </c>
      <c r="X948">
        <v>31823</v>
      </c>
      <c r="Y948">
        <f t="shared" si="14"/>
        <v>675166</v>
      </c>
      <c r="Z948" t="str">
        <f>IF(ISNUMBER(SEARCH("Adjustment",$C948)),"excluded",IF($H948="Behind the Meter","excluded",IF(NOT(OR($E948="Bundled",$E948="Energy")),"excluded",IF(OR($H948="Retail Power Marketer",$H948="Community Choice Aggregator",$E948="Energy"),"procurement",IF(OR($H948="Municipal",$H948="Cooperative",$H948="Federal",$H948="State",$H948="Political Subdivision"),"cost_service",IF($H948="Investor Owned",IF(AND(COUNTIF(Parameters!$A$4:$A$33,$G948)&gt;0,COUNTIF(Parameters!$B$4:$B$33,$B948)=0),"procurement","cost_service"),"unclassified"))))))</f>
        <v>cost_service</v>
      </c>
    </row>
    <row r="949" spans="1:26" x14ac:dyDescent="0.25">
      <c r="A949">
        <v>2024</v>
      </c>
      <c r="B949">
        <v>14127</v>
      </c>
      <c r="C949" t="s">
        <v>949</v>
      </c>
      <c r="D949" t="s">
        <v>84</v>
      </c>
      <c r="E949" t="s">
        <v>85</v>
      </c>
      <c r="F949" t="s">
        <v>86</v>
      </c>
      <c r="G949" t="s">
        <v>271</v>
      </c>
      <c r="H949" t="s">
        <v>205</v>
      </c>
      <c r="I949" t="s">
        <v>135</v>
      </c>
      <c r="J949">
        <v>476086</v>
      </c>
      <c r="K949">
        <v>3852495</v>
      </c>
      <c r="L949">
        <v>362918</v>
      </c>
      <c r="M949">
        <v>516016</v>
      </c>
      <c r="N949">
        <v>6415364</v>
      </c>
      <c r="O949">
        <v>50370</v>
      </c>
      <c r="P949">
        <v>225964</v>
      </c>
      <c r="Q949">
        <v>3213379</v>
      </c>
      <c r="R949">
        <v>126</v>
      </c>
      <c r="S949">
        <v>0</v>
      </c>
      <c r="T949">
        <v>0</v>
      </c>
      <c r="U949">
        <v>0</v>
      </c>
      <c r="V949">
        <v>1218066</v>
      </c>
      <c r="W949">
        <v>13481238</v>
      </c>
      <c r="X949">
        <v>413414</v>
      </c>
      <c r="Y949">
        <f t="shared" si="14"/>
        <v>13481238</v>
      </c>
      <c r="Z949" t="str">
        <f>IF(ISNUMBER(SEARCH("Adjustment",$C949)),"excluded",IF($H949="Behind the Meter","excluded",IF(NOT(OR($E949="Bundled",$E949="Energy")),"excluded",IF(OR($H949="Retail Power Marketer",$H949="Community Choice Aggregator",$E949="Energy"),"procurement",IF(OR($H949="Municipal",$H949="Cooperative",$H949="Federal",$H949="State",$H949="Political Subdivision"),"cost_service",IF($H949="Investor Owned",IF(AND(COUNTIF(Parameters!$A$4:$A$33,$G949)&gt;0,COUNTIF(Parameters!$B$4:$B$33,$B949)=0),"procurement","cost_service"),"unclassified"))))))</f>
        <v>cost_service</v>
      </c>
    </row>
    <row r="950" spans="1:26" x14ac:dyDescent="0.25">
      <c r="A950">
        <v>2024</v>
      </c>
      <c r="B950">
        <v>14146</v>
      </c>
      <c r="C950" t="s">
        <v>950</v>
      </c>
      <c r="D950" t="s">
        <v>84</v>
      </c>
      <c r="E950" t="s">
        <v>85</v>
      </c>
      <c r="F950" t="s">
        <v>86</v>
      </c>
      <c r="G950" t="s">
        <v>112</v>
      </c>
      <c r="H950" t="s">
        <v>88</v>
      </c>
      <c r="I950" t="s">
        <v>113</v>
      </c>
      <c r="J950">
        <v>21140</v>
      </c>
      <c r="K950">
        <v>164791</v>
      </c>
      <c r="L950">
        <v>13555</v>
      </c>
      <c r="M950">
        <v>26160</v>
      </c>
      <c r="N950">
        <v>223504</v>
      </c>
      <c r="O950">
        <v>2371</v>
      </c>
      <c r="P950">
        <v>2352</v>
      </c>
      <c r="Q950">
        <v>22776</v>
      </c>
      <c r="R950">
        <v>7</v>
      </c>
      <c r="S950" t="s">
        <v>97</v>
      </c>
      <c r="T950" t="s">
        <v>97</v>
      </c>
      <c r="U950" t="s">
        <v>97</v>
      </c>
      <c r="V950">
        <v>49652</v>
      </c>
      <c r="W950">
        <v>411071</v>
      </c>
      <c r="X950">
        <v>15933</v>
      </c>
      <c r="Y950">
        <f t="shared" si="14"/>
        <v>411071</v>
      </c>
      <c r="Z950" t="str">
        <f>IF(ISNUMBER(SEARCH("Adjustment",$C950)),"excluded",IF($H950="Behind the Meter","excluded",IF(NOT(OR($E950="Bundled",$E950="Energy")),"excluded",IF(OR($H950="Retail Power Marketer",$H950="Community Choice Aggregator",$E950="Energy"),"procurement",IF(OR($H950="Municipal",$H950="Cooperative",$H950="Federal",$H950="State",$H950="Political Subdivision"),"cost_service",IF($H950="Investor Owned",IF(AND(COUNTIF(Parameters!$A$4:$A$33,$G950)&gt;0,COUNTIF(Parameters!$B$4:$B$33,$B950)=0),"procurement","cost_service"),"unclassified"))))))</f>
        <v>cost_service</v>
      </c>
    </row>
    <row r="951" spans="1:26" x14ac:dyDescent="0.25">
      <c r="A951">
        <v>2024</v>
      </c>
      <c r="B951">
        <v>14154</v>
      </c>
      <c r="C951" t="s">
        <v>951</v>
      </c>
      <c r="D951" t="s">
        <v>84</v>
      </c>
      <c r="E951" t="s">
        <v>85</v>
      </c>
      <c r="F951" t="s">
        <v>86</v>
      </c>
      <c r="G951" t="s">
        <v>53</v>
      </c>
      <c r="H951" t="s">
        <v>109</v>
      </c>
      <c r="I951" t="s">
        <v>102</v>
      </c>
      <c r="J951">
        <v>319627.5</v>
      </c>
      <c r="K951">
        <v>1371430</v>
      </c>
      <c r="L951">
        <v>170465</v>
      </c>
      <c r="M951">
        <v>102879.7</v>
      </c>
      <c r="N951">
        <v>638906</v>
      </c>
      <c r="O951">
        <v>21615</v>
      </c>
      <c r="P951">
        <v>5332.6</v>
      </c>
      <c r="Q951">
        <v>57197</v>
      </c>
      <c r="R951">
        <v>29</v>
      </c>
      <c r="S951">
        <v>0</v>
      </c>
      <c r="T951">
        <v>0</v>
      </c>
      <c r="U951">
        <v>0</v>
      </c>
      <c r="V951">
        <v>427839.8</v>
      </c>
      <c r="W951">
        <v>2067533</v>
      </c>
      <c r="X951">
        <v>192109</v>
      </c>
      <c r="Y951">
        <f t="shared" si="14"/>
        <v>2067533</v>
      </c>
      <c r="Z951" t="str">
        <f>IF(ISNUMBER(SEARCH("Adjustment",$C951)),"excluded",IF($H951="Behind the Meter","excluded",IF(NOT(OR($E951="Bundled",$E951="Energy")),"excluded",IF(OR($H951="Retail Power Marketer",$H951="Community Choice Aggregator",$E951="Energy"),"procurement",IF(OR($H951="Municipal",$H951="Cooperative",$H951="Federal",$H951="State",$H951="Political Subdivision"),"cost_service",IF($H951="Investor Owned",IF(AND(COUNTIF(Parameters!$A$4:$A$33,$G951)&gt;0,COUNTIF(Parameters!$B$4:$B$33,$B951)=0),"procurement","cost_service"),"unclassified"))))))</f>
        <v>procurement</v>
      </c>
    </row>
    <row r="952" spans="1:26" x14ac:dyDescent="0.25">
      <c r="A952">
        <v>2024</v>
      </c>
      <c r="B952">
        <v>14154</v>
      </c>
      <c r="C952" t="s">
        <v>951</v>
      </c>
      <c r="D952" t="s">
        <v>167</v>
      </c>
      <c r="E952" t="s">
        <v>168</v>
      </c>
      <c r="F952" t="s">
        <v>86</v>
      </c>
      <c r="G952" t="s">
        <v>53</v>
      </c>
      <c r="H952" t="s">
        <v>109</v>
      </c>
      <c r="I952" t="s">
        <v>102</v>
      </c>
      <c r="J952">
        <v>55301.2</v>
      </c>
      <c r="K952">
        <v>379340</v>
      </c>
      <c r="L952">
        <v>40546</v>
      </c>
      <c r="M952">
        <v>100138.9</v>
      </c>
      <c r="N952">
        <v>1384471</v>
      </c>
      <c r="O952">
        <v>12080</v>
      </c>
      <c r="P952">
        <v>11168</v>
      </c>
      <c r="Q952">
        <v>256440</v>
      </c>
      <c r="R952">
        <v>56</v>
      </c>
      <c r="S952">
        <v>0</v>
      </c>
      <c r="T952">
        <v>0</v>
      </c>
      <c r="U952">
        <v>0</v>
      </c>
      <c r="V952">
        <v>166608.1</v>
      </c>
      <c r="W952">
        <v>2020251</v>
      </c>
      <c r="X952">
        <v>52682</v>
      </c>
      <c r="Y952">
        <f t="shared" si="14"/>
        <v>2020251</v>
      </c>
      <c r="Z952" t="str">
        <f>IF(ISNUMBER(SEARCH("Adjustment",$C952)),"excluded",IF($H952="Behind the Meter","excluded",IF(NOT(OR($E952="Bundled",$E952="Energy")),"excluded",IF(OR($H952="Retail Power Marketer",$H952="Community Choice Aggregator",$E952="Energy"),"procurement",IF(OR($H952="Municipal",$H952="Cooperative",$H952="Federal",$H952="State",$H952="Political Subdivision"),"cost_service",IF($H952="Investor Owned",IF(AND(COUNTIF(Parameters!$A$4:$A$33,$G952)&gt;0,COUNTIF(Parameters!$B$4:$B$33,$B952)=0),"procurement","cost_service"),"unclassified"))))))</f>
        <v>excluded</v>
      </c>
    </row>
    <row r="953" spans="1:26" x14ac:dyDescent="0.25">
      <c r="A953">
        <v>2024</v>
      </c>
      <c r="B953">
        <v>14164</v>
      </c>
      <c r="C953" t="s">
        <v>952</v>
      </c>
      <c r="D953" t="s">
        <v>84</v>
      </c>
      <c r="E953" t="s">
        <v>85</v>
      </c>
      <c r="F953" t="s">
        <v>86</v>
      </c>
      <c r="G953" t="s">
        <v>106</v>
      </c>
      <c r="H953" t="s">
        <v>88</v>
      </c>
      <c r="I953" t="s">
        <v>953</v>
      </c>
      <c r="J953">
        <v>40812</v>
      </c>
      <c r="K953">
        <v>263507</v>
      </c>
      <c r="L953">
        <v>20639</v>
      </c>
      <c r="M953">
        <v>32002.7</v>
      </c>
      <c r="N953">
        <v>252377</v>
      </c>
      <c r="O953">
        <v>3710</v>
      </c>
      <c r="P953">
        <v>21000.1</v>
      </c>
      <c r="Q953">
        <v>230843</v>
      </c>
      <c r="R953">
        <v>112</v>
      </c>
      <c r="S953" t="s">
        <v>97</v>
      </c>
      <c r="T953" t="s">
        <v>97</v>
      </c>
      <c r="U953" t="s">
        <v>97</v>
      </c>
      <c r="V953">
        <v>93814.8</v>
      </c>
      <c r="W953">
        <v>746727</v>
      </c>
      <c r="X953">
        <v>24461</v>
      </c>
      <c r="Y953">
        <f t="shared" si="14"/>
        <v>746727</v>
      </c>
      <c r="Z953" t="str">
        <f>IF(ISNUMBER(SEARCH("Adjustment",$C953)),"excluded",IF($H953="Behind the Meter","excluded",IF(NOT(OR($E953="Bundled",$E953="Energy")),"excluded",IF(OR($H953="Retail Power Marketer",$H953="Community Choice Aggregator",$E953="Energy"),"procurement",IF(OR($H953="Municipal",$H953="Cooperative",$H953="Federal",$H953="State",$H953="Political Subdivision"),"cost_service",IF($H953="Investor Owned",IF(AND(COUNTIF(Parameters!$A$4:$A$33,$G953)&gt;0,COUNTIF(Parameters!$B$4:$B$33,$B953)=0),"procurement","cost_service"),"unclassified"))))))</f>
        <v>cost_service</v>
      </c>
    </row>
    <row r="954" spans="1:26" x14ac:dyDescent="0.25">
      <c r="A954">
        <v>2024</v>
      </c>
      <c r="B954">
        <v>14170</v>
      </c>
      <c r="C954" t="s">
        <v>954</v>
      </c>
      <c r="D954" t="s">
        <v>84</v>
      </c>
      <c r="E954" t="s">
        <v>85</v>
      </c>
      <c r="F954" t="s">
        <v>86</v>
      </c>
      <c r="G954" t="s">
        <v>148</v>
      </c>
      <c r="H954" t="s">
        <v>91</v>
      </c>
      <c r="I954" t="s">
        <v>206</v>
      </c>
      <c r="J954">
        <v>29823</v>
      </c>
      <c r="K954">
        <v>162295</v>
      </c>
      <c r="L954">
        <v>13948</v>
      </c>
      <c r="M954">
        <v>9490</v>
      </c>
      <c r="N954">
        <v>56915</v>
      </c>
      <c r="O954">
        <v>1995</v>
      </c>
      <c r="P954" t="s">
        <v>97</v>
      </c>
      <c r="Q954" t="s">
        <v>97</v>
      </c>
      <c r="R954" t="s">
        <v>97</v>
      </c>
      <c r="S954" t="s">
        <v>97</v>
      </c>
      <c r="T954" t="s">
        <v>97</v>
      </c>
      <c r="U954" t="s">
        <v>97</v>
      </c>
      <c r="V954">
        <v>39313</v>
      </c>
      <c r="W954">
        <v>219210</v>
      </c>
      <c r="X954">
        <v>15943</v>
      </c>
      <c r="Y954">
        <f t="shared" si="14"/>
        <v>219210</v>
      </c>
      <c r="Z954" t="str">
        <f>IF(ISNUMBER(SEARCH("Adjustment",$C954)),"excluded",IF($H954="Behind the Meter","excluded",IF(NOT(OR($E954="Bundled",$E954="Energy")),"excluded",IF(OR($H954="Retail Power Marketer",$H954="Community Choice Aggregator",$E954="Energy"),"procurement",IF(OR($H954="Municipal",$H954="Cooperative",$H954="Federal",$H954="State",$H954="Political Subdivision"),"cost_service",IF($H954="Investor Owned",IF(AND(COUNTIF(Parameters!$A$4:$A$33,$G954)&gt;0,COUNTIF(Parameters!$B$4:$B$33,$B954)=0),"procurement","cost_service"),"unclassified"))))))</f>
        <v>cost_service</v>
      </c>
    </row>
    <row r="955" spans="1:26" x14ac:dyDescent="0.25">
      <c r="A955">
        <v>2024</v>
      </c>
      <c r="B955">
        <v>14175</v>
      </c>
      <c r="C955" t="s">
        <v>955</v>
      </c>
      <c r="D955" t="s">
        <v>84</v>
      </c>
      <c r="E955" t="s">
        <v>85</v>
      </c>
      <c r="F955" t="s">
        <v>86</v>
      </c>
      <c r="G955" t="s">
        <v>106</v>
      </c>
      <c r="H955" t="s">
        <v>91</v>
      </c>
      <c r="I955" t="s">
        <v>106</v>
      </c>
      <c r="J955">
        <v>43120</v>
      </c>
      <c r="K955">
        <v>232956</v>
      </c>
      <c r="L955">
        <v>17672</v>
      </c>
      <c r="M955">
        <v>6470</v>
      </c>
      <c r="N955">
        <v>40286</v>
      </c>
      <c r="O955">
        <v>521</v>
      </c>
      <c r="P955">
        <v>3050</v>
      </c>
      <c r="Q955">
        <v>27317</v>
      </c>
      <c r="R955">
        <v>273</v>
      </c>
      <c r="S955" t="s">
        <v>97</v>
      </c>
      <c r="T955" t="s">
        <v>97</v>
      </c>
      <c r="U955" t="s">
        <v>97</v>
      </c>
      <c r="V955">
        <v>52640</v>
      </c>
      <c r="W955">
        <v>300559</v>
      </c>
      <c r="X955">
        <v>18466</v>
      </c>
      <c r="Y955">
        <f t="shared" si="14"/>
        <v>300559</v>
      </c>
      <c r="Z955" t="str">
        <f>IF(ISNUMBER(SEARCH("Adjustment",$C955)),"excluded",IF($H955="Behind the Meter","excluded",IF(NOT(OR($E955="Bundled",$E955="Energy")),"excluded",IF(OR($H955="Retail Power Marketer",$H955="Community Choice Aggregator",$E955="Energy"),"procurement",IF(OR($H955="Municipal",$H955="Cooperative",$H955="Federal",$H955="State",$H955="Political Subdivision"),"cost_service",IF($H955="Investor Owned",IF(AND(COUNTIF(Parameters!$A$4:$A$33,$G955)&gt;0,COUNTIF(Parameters!$B$4:$B$33,$B955)=0),"procurement","cost_service"),"unclassified"))))))</f>
        <v>cost_service</v>
      </c>
    </row>
    <row r="956" spans="1:26" x14ac:dyDescent="0.25">
      <c r="A956">
        <v>2024</v>
      </c>
      <c r="B956">
        <v>14192</v>
      </c>
      <c r="C956" t="s">
        <v>956</v>
      </c>
      <c r="D956" t="s">
        <v>84</v>
      </c>
      <c r="E956" t="s">
        <v>85</v>
      </c>
      <c r="F956" t="s">
        <v>86</v>
      </c>
      <c r="G956" t="s">
        <v>226</v>
      </c>
      <c r="H956" t="s">
        <v>91</v>
      </c>
      <c r="I956" t="s">
        <v>227</v>
      </c>
      <c r="J956">
        <v>35338</v>
      </c>
      <c r="K956">
        <v>252446</v>
      </c>
      <c r="L956">
        <v>16945</v>
      </c>
      <c r="M956">
        <v>4532</v>
      </c>
      <c r="N956">
        <v>36178</v>
      </c>
      <c r="O956">
        <v>1084</v>
      </c>
      <c r="P956" t="s">
        <v>97</v>
      </c>
      <c r="Q956" t="s">
        <v>97</v>
      </c>
      <c r="R956" t="s">
        <v>97</v>
      </c>
      <c r="S956" t="s">
        <v>97</v>
      </c>
      <c r="T956" t="s">
        <v>97</v>
      </c>
      <c r="U956" t="s">
        <v>97</v>
      </c>
      <c r="V956">
        <v>39870</v>
      </c>
      <c r="W956">
        <v>288624</v>
      </c>
      <c r="X956">
        <v>18029</v>
      </c>
      <c r="Y956">
        <f t="shared" si="14"/>
        <v>288624</v>
      </c>
      <c r="Z956" t="str">
        <f>IF(ISNUMBER(SEARCH("Adjustment",$C956)),"excluded",IF($H956="Behind the Meter","excluded",IF(NOT(OR($E956="Bundled",$E956="Energy")),"excluded",IF(OR($H956="Retail Power Marketer",$H956="Community Choice Aggregator",$E956="Energy"),"procurement",IF(OR($H956="Municipal",$H956="Cooperative",$H956="Federal",$H956="State",$H956="Political Subdivision"),"cost_service",IF($H956="Investor Owned",IF(AND(COUNTIF(Parameters!$A$4:$A$33,$G956)&gt;0,COUNTIF(Parameters!$B$4:$B$33,$B956)=0),"procurement","cost_service"),"unclassified"))))))</f>
        <v>cost_service</v>
      </c>
    </row>
    <row r="957" spans="1:26" x14ac:dyDescent="0.25">
      <c r="A957">
        <v>2024</v>
      </c>
      <c r="B957">
        <v>14194</v>
      </c>
      <c r="C957" t="s">
        <v>957</v>
      </c>
      <c r="D957" t="s">
        <v>84</v>
      </c>
      <c r="E957" t="s">
        <v>85</v>
      </c>
      <c r="F957" t="s">
        <v>86</v>
      </c>
      <c r="G957" t="s">
        <v>54</v>
      </c>
      <c r="H957" t="s">
        <v>88</v>
      </c>
      <c r="I957" t="s">
        <v>92</v>
      </c>
      <c r="J957">
        <v>8159</v>
      </c>
      <c r="K957">
        <v>74411</v>
      </c>
      <c r="L957">
        <v>6314</v>
      </c>
      <c r="M957">
        <v>7672</v>
      </c>
      <c r="N957">
        <v>69356</v>
      </c>
      <c r="O957">
        <v>787</v>
      </c>
      <c r="P957">
        <v>14590</v>
      </c>
      <c r="Q957">
        <v>155323</v>
      </c>
      <c r="R957">
        <v>13</v>
      </c>
      <c r="S957" t="s">
        <v>97</v>
      </c>
      <c r="T957" t="s">
        <v>97</v>
      </c>
      <c r="U957" t="s">
        <v>97</v>
      </c>
      <c r="V957">
        <v>30421</v>
      </c>
      <c r="W957">
        <v>299090</v>
      </c>
      <c r="X957">
        <v>7114</v>
      </c>
      <c r="Y957">
        <f t="shared" si="14"/>
        <v>299090</v>
      </c>
      <c r="Z957" t="str">
        <f>IF(ISNUMBER(SEARCH("Adjustment",$C957)),"excluded",IF($H957="Behind the Meter","excluded",IF(NOT(OR($E957="Bundled",$E957="Energy")),"excluded",IF(OR($H957="Retail Power Marketer",$H957="Community Choice Aggregator",$E957="Energy"),"procurement",IF(OR($H957="Municipal",$H957="Cooperative",$H957="Federal",$H957="State",$H957="Political Subdivision"),"cost_service",IF($H957="Investor Owned",IF(AND(COUNTIF(Parameters!$A$4:$A$33,$G957)&gt;0,COUNTIF(Parameters!$B$4:$B$33,$B957)=0),"procurement","cost_service"),"unclassified"))))))</f>
        <v>cost_service</v>
      </c>
    </row>
    <row r="958" spans="1:26" x14ac:dyDescent="0.25">
      <c r="A958">
        <v>2024</v>
      </c>
      <c r="B958">
        <v>14224</v>
      </c>
      <c r="C958" t="s">
        <v>958</v>
      </c>
      <c r="D958" t="s">
        <v>84</v>
      </c>
      <c r="E958" t="s">
        <v>85</v>
      </c>
      <c r="F958" t="s">
        <v>86</v>
      </c>
      <c r="G958" t="s">
        <v>308</v>
      </c>
      <c r="H958" t="s">
        <v>91</v>
      </c>
      <c r="I958" t="s">
        <v>309</v>
      </c>
      <c r="J958">
        <v>20000</v>
      </c>
      <c r="K958">
        <v>113297</v>
      </c>
      <c r="L958">
        <v>16448</v>
      </c>
      <c r="M958">
        <v>13854</v>
      </c>
      <c r="N958">
        <v>87939</v>
      </c>
      <c r="O958">
        <v>4134</v>
      </c>
      <c r="P958" t="s">
        <v>97</v>
      </c>
      <c r="Q958" t="s">
        <v>97</v>
      </c>
      <c r="R958" t="s">
        <v>97</v>
      </c>
      <c r="S958" t="s">
        <v>97</v>
      </c>
      <c r="T958" t="s">
        <v>97</v>
      </c>
      <c r="U958" t="s">
        <v>97</v>
      </c>
      <c r="V958">
        <v>33854</v>
      </c>
      <c r="W958">
        <v>201236</v>
      </c>
      <c r="X958">
        <v>20582</v>
      </c>
      <c r="Y958">
        <f t="shared" si="14"/>
        <v>201236</v>
      </c>
      <c r="Z958" t="str">
        <f>IF(ISNUMBER(SEARCH("Adjustment",$C958)),"excluded",IF($H958="Behind the Meter","excluded",IF(NOT(OR($E958="Bundled",$E958="Energy")),"excluded",IF(OR($H958="Retail Power Marketer",$H958="Community Choice Aggregator",$E958="Energy"),"procurement",IF(OR($H958="Municipal",$H958="Cooperative",$H958="Federal",$H958="State",$H958="Political Subdivision"),"cost_service",IF($H958="Investor Owned",IF(AND(COUNTIF(Parameters!$A$4:$A$33,$G958)&gt;0,COUNTIF(Parameters!$B$4:$B$33,$B958)=0),"procurement","cost_service"),"unclassified"))))))</f>
        <v>cost_service</v>
      </c>
    </row>
    <row r="959" spans="1:26" x14ac:dyDescent="0.25">
      <c r="A959">
        <v>2024</v>
      </c>
      <c r="B959">
        <v>14232</v>
      </c>
      <c r="C959" t="s">
        <v>959</v>
      </c>
      <c r="D959" t="s">
        <v>84</v>
      </c>
      <c r="E959" t="s">
        <v>85</v>
      </c>
      <c r="F959" t="s">
        <v>86</v>
      </c>
      <c r="G959" t="s">
        <v>104</v>
      </c>
      <c r="H959" t="s">
        <v>109</v>
      </c>
      <c r="I959" t="s">
        <v>96</v>
      </c>
      <c r="J959">
        <v>57431.9</v>
      </c>
      <c r="K959">
        <v>506692</v>
      </c>
      <c r="L959">
        <v>50118</v>
      </c>
      <c r="M959">
        <v>94469.2</v>
      </c>
      <c r="N959">
        <v>1014880</v>
      </c>
      <c r="O959">
        <v>13197</v>
      </c>
      <c r="P959">
        <v>65278.5</v>
      </c>
      <c r="Q959">
        <v>1209723</v>
      </c>
      <c r="R959">
        <v>11</v>
      </c>
      <c r="S959">
        <v>0</v>
      </c>
      <c r="T959">
        <v>0</v>
      </c>
      <c r="U959">
        <v>0</v>
      </c>
      <c r="V959">
        <v>217179.6</v>
      </c>
      <c r="W959">
        <v>2731295</v>
      </c>
      <c r="X959">
        <v>63326</v>
      </c>
      <c r="Y959">
        <f t="shared" si="14"/>
        <v>2731295</v>
      </c>
      <c r="Z959" t="str">
        <f>IF(ISNUMBER(SEARCH("Adjustment",$C959)),"excluded",IF($H959="Behind the Meter","excluded",IF(NOT(OR($E959="Bundled",$E959="Energy")),"excluded",IF(OR($H959="Retail Power Marketer",$H959="Community Choice Aggregator",$E959="Energy"),"procurement",IF(OR($H959="Municipal",$H959="Cooperative",$H959="Federal",$H959="State",$H959="Political Subdivision"),"cost_service",IF($H959="Investor Owned",IF(AND(COUNTIF(Parameters!$A$4:$A$33,$G959)&gt;0,COUNTIF(Parameters!$B$4:$B$33,$B959)=0),"procurement","cost_service"),"unclassified"))))))</f>
        <v>cost_service</v>
      </c>
    </row>
    <row r="960" spans="1:26" x14ac:dyDescent="0.25">
      <c r="A960">
        <v>2024</v>
      </c>
      <c r="B960">
        <v>14232</v>
      </c>
      <c r="C960" t="s">
        <v>959</v>
      </c>
      <c r="D960" t="s">
        <v>84</v>
      </c>
      <c r="E960" t="s">
        <v>85</v>
      </c>
      <c r="F960" t="s">
        <v>86</v>
      </c>
      <c r="G960" t="s">
        <v>198</v>
      </c>
      <c r="H960" t="s">
        <v>109</v>
      </c>
      <c r="I960" t="s">
        <v>96</v>
      </c>
      <c r="J960">
        <v>63354.1</v>
      </c>
      <c r="K960">
        <v>556789</v>
      </c>
      <c r="L960">
        <v>45467</v>
      </c>
      <c r="M960">
        <v>128757.8</v>
      </c>
      <c r="N960">
        <v>1882667</v>
      </c>
      <c r="O960">
        <v>13643</v>
      </c>
      <c r="P960">
        <v>1017.5</v>
      </c>
      <c r="Q960">
        <v>13841</v>
      </c>
      <c r="R960">
        <v>2</v>
      </c>
      <c r="S960">
        <v>0</v>
      </c>
      <c r="T960">
        <v>0</v>
      </c>
      <c r="U960">
        <v>0</v>
      </c>
      <c r="V960">
        <v>193129.4</v>
      </c>
      <c r="W960">
        <v>2453297</v>
      </c>
      <c r="X960">
        <v>59112</v>
      </c>
      <c r="Y960">
        <f t="shared" si="14"/>
        <v>2453297</v>
      </c>
      <c r="Z960" t="str">
        <f>IF(ISNUMBER(SEARCH("Adjustment",$C960)),"excluded",IF($H960="Behind the Meter","excluded",IF(NOT(OR($E960="Bundled",$E960="Energy")),"excluded",IF(OR($H960="Retail Power Marketer",$H960="Community Choice Aggregator",$E960="Energy"),"procurement",IF(OR($H960="Municipal",$H960="Cooperative",$H960="Federal",$H960="State",$H960="Political Subdivision"),"cost_service",IF($H960="Investor Owned",IF(AND(COUNTIF(Parameters!$A$4:$A$33,$G960)&gt;0,COUNTIF(Parameters!$B$4:$B$33,$B960)=0),"procurement","cost_service"),"unclassified"))))))</f>
        <v>cost_service</v>
      </c>
    </row>
    <row r="961" spans="1:26" x14ac:dyDescent="0.25">
      <c r="A961">
        <v>2024</v>
      </c>
      <c r="B961">
        <v>14232</v>
      </c>
      <c r="C961" t="s">
        <v>959</v>
      </c>
      <c r="D961" t="s">
        <v>84</v>
      </c>
      <c r="E961" t="s">
        <v>85</v>
      </c>
      <c r="F961" t="s">
        <v>86</v>
      </c>
      <c r="G961" t="s">
        <v>224</v>
      </c>
      <c r="H961" t="s">
        <v>109</v>
      </c>
      <c r="I961" t="s">
        <v>96</v>
      </c>
      <c r="J961">
        <v>12136.7</v>
      </c>
      <c r="K961">
        <v>111064</v>
      </c>
      <c r="L961">
        <v>9048</v>
      </c>
      <c r="M961">
        <v>28273.5</v>
      </c>
      <c r="N961">
        <v>385612</v>
      </c>
      <c r="O961">
        <v>2911</v>
      </c>
      <c r="P961">
        <v>0</v>
      </c>
      <c r="Q961">
        <v>0</v>
      </c>
      <c r="R961">
        <v>0</v>
      </c>
      <c r="S961">
        <v>0</v>
      </c>
      <c r="T961">
        <v>0</v>
      </c>
      <c r="U961">
        <v>0</v>
      </c>
      <c r="V961">
        <v>40410.199999999997</v>
      </c>
      <c r="W961">
        <v>496676</v>
      </c>
      <c r="X961">
        <v>11959</v>
      </c>
      <c r="Y961">
        <f t="shared" si="14"/>
        <v>496676</v>
      </c>
      <c r="Z961" t="str">
        <f>IF(ISNUMBER(SEARCH("Adjustment",$C961)),"excluded",IF($H961="Behind the Meter","excluded",IF(NOT(OR($E961="Bundled",$E961="Energy")),"excluded",IF(OR($H961="Retail Power Marketer",$H961="Community Choice Aggregator",$E961="Energy"),"procurement",IF(OR($H961="Municipal",$H961="Cooperative",$H961="Federal",$H961="State",$H961="Political Subdivision"),"cost_service",IF($H961="Investor Owned",IF(AND(COUNTIF(Parameters!$A$4:$A$33,$G961)&gt;0,COUNTIF(Parameters!$B$4:$B$33,$B961)=0),"procurement","cost_service"),"unclassified"))))))</f>
        <v>cost_service</v>
      </c>
    </row>
    <row r="962" spans="1:26" x14ac:dyDescent="0.25">
      <c r="A962">
        <v>2024</v>
      </c>
      <c r="B962">
        <v>14238</v>
      </c>
      <c r="C962" t="s">
        <v>960</v>
      </c>
      <c r="D962" t="s">
        <v>84</v>
      </c>
      <c r="E962" t="s">
        <v>85</v>
      </c>
      <c r="F962" t="s">
        <v>86</v>
      </c>
      <c r="G962" t="s">
        <v>173</v>
      </c>
      <c r="H962" t="s">
        <v>91</v>
      </c>
      <c r="I962" t="s">
        <v>96</v>
      </c>
      <c r="J962">
        <v>12576</v>
      </c>
      <c r="K962">
        <v>95374</v>
      </c>
      <c r="L962">
        <v>8391</v>
      </c>
      <c r="M962">
        <v>2870</v>
      </c>
      <c r="N962">
        <v>24247</v>
      </c>
      <c r="O962">
        <v>614</v>
      </c>
      <c r="P962">
        <v>10796</v>
      </c>
      <c r="Q962">
        <v>118382</v>
      </c>
      <c r="R962">
        <v>276</v>
      </c>
      <c r="S962" t="s">
        <v>97</v>
      </c>
      <c r="T962" t="s">
        <v>97</v>
      </c>
      <c r="U962" t="s">
        <v>97</v>
      </c>
      <c r="V962">
        <v>26242</v>
      </c>
      <c r="W962">
        <v>238003</v>
      </c>
      <c r="X962">
        <v>9281</v>
      </c>
      <c r="Y962">
        <f t="shared" si="14"/>
        <v>238003</v>
      </c>
      <c r="Z962" t="str">
        <f>IF(ISNUMBER(SEARCH("Adjustment",$C962)),"excluded",IF($H962="Behind the Meter","excluded",IF(NOT(OR($E962="Bundled",$E962="Energy")),"excluded",IF(OR($H962="Retail Power Marketer",$H962="Community Choice Aggregator",$E962="Energy"),"procurement",IF(OR($H962="Municipal",$H962="Cooperative",$H962="Federal",$H962="State",$H962="Political Subdivision"),"cost_service",IF($H962="Investor Owned",IF(AND(COUNTIF(Parameters!$A$4:$A$33,$G962)&gt;0,COUNTIF(Parameters!$B$4:$B$33,$B962)=0),"procurement","cost_service"),"unclassified"))))))</f>
        <v>cost_service</v>
      </c>
    </row>
    <row r="963" spans="1:26" x14ac:dyDescent="0.25">
      <c r="A963">
        <v>2024</v>
      </c>
      <c r="B963">
        <v>14245</v>
      </c>
      <c r="C963" t="s">
        <v>961</v>
      </c>
      <c r="D963" t="s">
        <v>84</v>
      </c>
      <c r="E963" t="s">
        <v>85</v>
      </c>
      <c r="F963" t="s">
        <v>86</v>
      </c>
      <c r="G963" t="s">
        <v>242</v>
      </c>
      <c r="H963" t="s">
        <v>205</v>
      </c>
      <c r="I963" t="s">
        <v>390</v>
      </c>
      <c r="J963">
        <v>24614</v>
      </c>
      <c r="K963">
        <v>230182</v>
      </c>
      <c r="L963">
        <v>15545</v>
      </c>
      <c r="M963">
        <v>11990.2</v>
      </c>
      <c r="N963">
        <v>122800</v>
      </c>
      <c r="O963">
        <v>2945</v>
      </c>
      <c r="P963">
        <v>12338.2</v>
      </c>
      <c r="Q963">
        <v>109749</v>
      </c>
      <c r="R963">
        <v>49</v>
      </c>
      <c r="S963" t="s">
        <v>97</v>
      </c>
      <c r="T963" t="s">
        <v>97</v>
      </c>
      <c r="U963" t="s">
        <v>97</v>
      </c>
      <c r="V963">
        <v>48942.400000000001</v>
      </c>
      <c r="W963">
        <v>462731</v>
      </c>
      <c r="X963">
        <v>18539</v>
      </c>
      <c r="Y963">
        <f t="shared" si="14"/>
        <v>462731</v>
      </c>
      <c r="Z963" t="str">
        <f>IF(ISNUMBER(SEARCH("Adjustment",$C963)),"excluded",IF($H963="Behind the Meter","excluded",IF(NOT(OR($E963="Bundled",$E963="Energy")),"excluded",IF(OR($H963="Retail Power Marketer",$H963="Community Choice Aggregator",$E963="Energy"),"procurement",IF(OR($H963="Municipal",$H963="Cooperative",$H963="Federal",$H963="State",$H963="Political Subdivision"),"cost_service",IF($H963="Investor Owned",IF(AND(COUNTIF(Parameters!$A$4:$A$33,$G963)&gt;0,COUNTIF(Parameters!$B$4:$B$33,$B963)=0),"procurement","cost_service"),"unclassified"))))))</f>
        <v>cost_service</v>
      </c>
    </row>
    <row r="964" spans="1:26" x14ac:dyDescent="0.25">
      <c r="A964">
        <v>2024</v>
      </c>
      <c r="B964">
        <v>14246</v>
      </c>
      <c r="C964" t="s">
        <v>962</v>
      </c>
      <c r="D964" t="s">
        <v>84</v>
      </c>
      <c r="E964" t="s">
        <v>85</v>
      </c>
      <c r="F964" t="s">
        <v>86</v>
      </c>
      <c r="G964" t="s">
        <v>104</v>
      </c>
      <c r="H964" t="s">
        <v>88</v>
      </c>
      <c r="I964" t="s">
        <v>96</v>
      </c>
      <c r="J964">
        <v>13222.7</v>
      </c>
      <c r="K964">
        <v>86579</v>
      </c>
      <c r="L964">
        <v>11434</v>
      </c>
      <c r="M964">
        <v>7507.5</v>
      </c>
      <c r="N964">
        <v>58727</v>
      </c>
      <c r="O964">
        <v>990</v>
      </c>
      <c r="P964">
        <v>24581</v>
      </c>
      <c r="Q964">
        <v>236195</v>
      </c>
      <c r="R964">
        <v>65</v>
      </c>
      <c r="S964" t="s">
        <v>97</v>
      </c>
      <c r="T964" t="s">
        <v>97</v>
      </c>
      <c r="U964" t="s">
        <v>97</v>
      </c>
      <c r="V964">
        <v>45311.199999999997</v>
      </c>
      <c r="W964">
        <v>381501</v>
      </c>
      <c r="X964">
        <v>12489</v>
      </c>
      <c r="Y964">
        <f t="shared" ref="Y964:Y1027" si="15">IF(ISNUMBER($W964),$W964,0)</f>
        <v>381501</v>
      </c>
      <c r="Z964" t="str">
        <f>IF(ISNUMBER(SEARCH("Adjustment",$C964)),"excluded",IF($H964="Behind the Meter","excluded",IF(NOT(OR($E964="Bundled",$E964="Energy")),"excluded",IF(OR($H964="Retail Power Marketer",$H964="Community Choice Aggregator",$E964="Energy"),"procurement",IF(OR($H964="Municipal",$H964="Cooperative",$H964="Federal",$H964="State",$H964="Political Subdivision"),"cost_service",IF($H964="Investor Owned",IF(AND(COUNTIF(Parameters!$A$4:$A$33,$G964)&gt;0,COUNTIF(Parameters!$B$4:$B$33,$B964)=0),"procurement","cost_service"),"unclassified"))))))</f>
        <v>cost_service</v>
      </c>
    </row>
    <row r="965" spans="1:26" x14ac:dyDescent="0.25">
      <c r="A965">
        <v>2024</v>
      </c>
      <c r="B965">
        <v>14251</v>
      </c>
      <c r="C965" t="s">
        <v>963</v>
      </c>
      <c r="D965" t="s">
        <v>84</v>
      </c>
      <c r="E965" t="s">
        <v>85</v>
      </c>
      <c r="F965" t="s">
        <v>86</v>
      </c>
      <c r="G965" t="s">
        <v>209</v>
      </c>
      <c r="H965" t="s">
        <v>91</v>
      </c>
      <c r="I965" t="s">
        <v>92</v>
      </c>
      <c r="J965">
        <v>106790</v>
      </c>
      <c r="K965">
        <v>851113</v>
      </c>
      <c r="L965">
        <v>63984</v>
      </c>
      <c r="M965">
        <v>22278</v>
      </c>
      <c r="N965">
        <v>208087</v>
      </c>
      <c r="O965">
        <v>2740</v>
      </c>
      <c r="P965">
        <v>111628</v>
      </c>
      <c r="Q965">
        <v>1835475</v>
      </c>
      <c r="R965">
        <v>39</v>
      </c>
      <c r="S965" t="s">
        <v>97</v>
      </c>
      <c r="T965" t="s">
        <v>97</v>
      </c>
      <c r="U965" t="s">
        <v>97</v>
      </c>
      <c r="V965">
        <v>240696</v>
      </c>
      <c r="W965">
        <v>2894675</v>
      </c>
      <c r="X965">
        <v>66763</v>
      </c>
      <c r="Y965">
        <f t="shared" si="15"/>
        <v>2894675</v>
      </c>
      <c r="Z965" t="str">
        <f>IF(ISNUMBER(SEARCH("Adjustment",$C965)),"excluded",IF($H965="Behind the Meter","excluded",IF(NOT(OR($E965="Bundled",$E965="Energy")),"excluded",IF(OR($H965="Retail Power Marketer",$H965="Community Choice Aggregator",$E965="Energy"),"procurement",IF(OR($H965="Municipal",$H965="Cooperative",$H965="Federal",$H965="State",$H965="Political Subdivision"),"cost_service",IF($H965="Investor Owned",IF(AND(COUNTIF(Parameters!$A$4:$A$33,$G965)&gt;0,COUNTIF(Parameters!$B$4:$B$33,$B965)=0),"procurement","cost_service"),"unclassified"))))))</f>
        <v>cost_service</v>
      </c>
    </row>
    <row r="966" spans="1:26" x14ac:dyDescent="0.25">
      <c r="A966">
        <v>2024</v>
      </c>
      <c r="B966">
        <v>14268</v>
      </c>
      <c r="C966" t="s">
        <v>964</v>
      </c>
      <c r="D966" t="s">
        <v>84</v>
      </c>
      <c r="E966" t="s">
        <v>85</v>
      </c>
      <c r="F966" t="s">
        <v>86</v>
      </c>
      <c r="G966" t="s">
        <v>209</v>
      </c>
      <c r="H966" t="s">
        <v>88</v>
      </c>
      <c r="I966" t="s">
        <v>534</v>
      </c>
      <c r="J966">
        <v>28818.6</v>
      </c>
      <c r="K966">
        <v>214670</v>
      </c>
      <c r="L966">
        <v>23286</v>
      </c>
      <c r="M966">
        <v>25809.3</v>
      </c>
      <c r="N966">
        <v>242083</v>
      </c>
      <c r="O966">
        <v>3196</v>
      </c>
      <c r="P966">
        <v>27326.1</v>
      </c>
      <c r="Q966">
        <v>296228</v>
      </c>
      <c r="R966">
        <v>74</v>
      </c>
      <c r="S966" t="s">
        <v>97</v>
      </c>
      <c r="T966" t="s">
        <v>97</v>
      </c>
      <c r="U966" t="s">
        <v>97</v>
      </c>
      <c r="V966">
        <v>81954</v>
      </c>
      <c r="W966">
        <v>752981</v>
      </c>
      <c r="X966">
        <v>26556</v>
      </c>
      <c r="Y966">
        <f t="shared" si="15"/>
        <v>752981</v>
      </c>
      <c r="Z966" t="str">
        <f>IF(ISNUMBER(SEARCH("Adjustment",$C966)),"excluded",IF($H966="Behind the Meter","excluded",IF(NOT(OR($E966="Bundled",$E966="Energy")),"excluded",IF(OR($H966="Retail Power Marketer",$H966="Community Choice Aggregator",$E966="Energy"),"procurement",IF(OR($H966="Municipal",$H966="Cooperative",$H966="Federal",$H966="State",$H966="Political Subdivision"),"cost_service",IF($H966="Investor Owned",IF(AND(COUNTIF(Parameters!$A$4:$A$33,$G966)&gt;0,COUNTIF(Parameters!$B$4:$B$33,$B966)=0),"procurement","cost_service"),"unclassified"))))))</f>
        <v>cost_service</v>
      </c>
    </row>
    <row r="967" spans="1:26" x14ac:dyDescent="0.25">
      <c r="A967">
        <v>2024</v>
      </c>
      <c r="B967">
        <v>14275</v>
      </c>
      <c r="C967" t="s">
        <v>965</v>
      </c>
      <c r="D967" t="s">
        <v>84</v>
      </c>
      <c r="E967" t="s">
        <v>85</v>
      </c>
      <c r="F967" t="s">
        <v>86</v>
      </c>
      <c r="G967" t="s">
        <v>87</v>
      </c>
      <c r="H967" t="s">
        <v>88</v>
      </c>
      <c r="I967" t="s">
        <v>89</v>
      </c>
      <c r="J967">
        <v>10880</v>
      </c>
      <c r="K967">
        <v>93616</v>
      </c>
      <c r="L967">
        <v>8502</v>
      </c>
      <c r="M967">
        <v>14683</v>
      </c>
      <c r="N967">
        <v>129444</v>
      </c>
      <c r="O967">
        <v>1964</v>
      </c>
      <c r="P967">
        <v>0</v>
      </c>
      <c r="Q967">
        <v>0</v>
      </c>
      <c r="R967">
        <v>0</v>
      </c>
      <c r="S967">
        <v>0</v>
      </c>
      <c r="T967">
        <v>0</v>
      </c>
      <c r="U967">
        <v>0</v>
      </c>
      <c r="V967">
        <v>25563</v>
      </c>
      <c r="W967">
        <v>223060</v>
      </c>
      <c r="X967">
        <v>10466</v>
      </c>
      <c r="Y967">
        <f t="shared" si="15"/>
        <v>223060</v>
      </c>
      <c r="Z967" t="str">
        <f>IF(ISNUMBER(SEARCH("Adjustment",$C967)),"excluded",IF($H967="Behind the Meter","excluded",IF(NOT(OR($E967="Bundled",$E967="Energy")),"excluded",IF(OR($H967="Retail Power Marketer",$H967="Community Choice Aggregator",$E967="Energy"),"procurement",IF(OR($H967="Municipal",$H967="Cooperative",$H967="Federal",$H967="State",$H967="Political Subdivision"),"cost_service",IF($H967="Investor Owned",IF(AND(COUNTIF(Parameters!$A$4:$A$33,$G967)&gt;0,COUNTIF(Parameters!$B$4:$B$33,$B967)=0),"procurement","cost_service"),"unclassified"))))))</f>
        <v>cost_service</v>
      </c>
    </row>
    <row r="968" spans="1:26" x14ac:dyDescent="0.25">
      <c r="A968">
        <v>2024</v>
      </c>
      <c r="B968">
        <v>14285</v>
      </c>
      <c r="C968" t="s">
        <v>966</v>
      </c>
      <c r="D968" t="s">
        <v>84</v>
      </c>
      <c r="E968" t="s">
        <v>85</v>
      </c>
      <c r="F968" t="s">
        <v>86</v>
      </c>
      <c r="G968" t="s">
        <v>226</v>
      </c>
      <c r="H968" t="s">
        <v>91</v>
      </c>
      <c r="I968" t="s">
        <v>227</v>
      </c>
      <c r="J968">
        <v>59792</v>
      </c>
      <c r="K968">
        <v>512979</v>
      </c>
      <c r="L968">
        <v>33229</v>
      </c>
      <c r="M968">
        <v>17154</v>
      </c>
      <c r="N968">
        <v>158380</v>
      </c>
      <c r="O968">
        <v>7746</v>
      </c>
      <c r="P968">
        <v>2240</v>
      </c>
      <c r="Q968">
        <v>25177</v>
      </c>
      <c r="R968">
        <v>13</v>
      </c>
      <c r="S968" t="s">
        <v>97</v>
      </c>
      <c r="T968" t="s">
        <v>97</v>
      </c>
      <c r="U968" t="s">
        <v>97</v>
      </c>
      <c r="V968">
        <v>79186</v>
      </c>
      <c r="W968">
        <v>696536</v>
      </c>
      <c r="X968">
        <v>40988</v>
      </c>
      <c r="Y968">
        <f t="shared" si="15"/>
        <v>696536</v>
      </c>
      <c r="Z968" t="str">
        <f>IF(ISNUMBER(SEARCH("Adjustment",$C968)),"excluded",IF($H968="Behind the Meter","excluded",IF(NOT(OR($E968="Bundled",$E968="Energy")),"excluded",IF(OR($H968="Retail Power Marketer",$H968="Community Choice Aggregator",$E968="Energy"),"procurement",IF(OR($H968="Municipal",$H968="Cooperative",$H968="Federal",$H968="State",$H968="Political Subdivision"),"cost_service",IF($H968="Investor Owned",IF(AND(COUNTIF(Parameters!$A$4:$A$33,$G968)&gt;0,COUNTIF(Parameters!$B$4:$B$33,$B968)=0),"procurement","cost_service"),"unclassified"))))))</f>
        <v>cost_service</v>
      </c>
    </row>
    <row r="969" spans="1:26" x14ac:dyDescent="0.25">
      <c r="A969">
        <v>2024</v>
      </c>
      <c r="B969">
        <v>14288</v>
      </c>
      <c r="C969" t="s">
        <v>967</v>
      </c>
      <c r="D969" t="s">
        <v>84</v>
      </c>
      <c r="E969" t="s">
        <v>85</v>
      </c>
      <c r="F969" t="s">
        <v>86</v>
      </c>
      <c r="G969" t="s">
        <v>226</v>
      </c>
      <c r="H969" t="s">
        <v>91</v>
      </c>
      <c r="I969" t="s">
        <v>227</v>
      </c>
      <c r="J969">
        <v>60423.5</v>
      </c>
      <c r="K969">
        <v>429321</v>
      </c>
      <c r="L969">
        <v>31534</v>
      </c>
      <c r="M969">
        <v>12326</v>
      </c>
      <c r="N969">
        <v>102930</v>
      </c>
      <c r="O969">
        <v>3756</v>
      </c>
      <c r="P969">
        <v>948.1</v>
      </c>
      <c r="Q969">
        <v>11147</v>
      </c>
      <c r="R969">
        <v>1</v>
      </c>
      <c r="S969" t="s">
        <v>97</v>
      </c>
      <c r="T969" t="s">
        <v>97</v>
      </c>
      <c r="U969" t="s">
        <v>97</v>
      </c>
      <c r="V969">
        <v>73697.600000000006</v>
      </c>
      <c r="W969">
        <v>543398</v>
      </c>
      <c r="X969">
        <v>35291</v>
      </c>
      <c r="Y969">
        <f t="shared" si="15"/>
        <v>543398</v>
      </c>
      <c r="Z969" t="str">
        <f>IF(ISNUMBER(SEARCH("Adjustment",$C969)),"excluded",IF($H969="Behind the Meter","excluded",IF(NOT(OR($E969="Bundled",$E969="Energy")),"excluded",IF(OR($H969="Retail Power Marketer",$H969="Community Choice Aggregator",$E969="Energy"),"procurement",IF(OR($H969="Municipal",$H969="Cooperative",$H969="Federal",$H969="State",$H969="Political Subdivision"),"cost_service",IF($H969="Investor Owned",IF(AND(COUNTIF(Parameters!$A$4:$A$33,$G969)&gt;0,COUNTIF(Parameters!$B$4:$B$33,$B969)=0),"procurement","cost_service"),"unclassified"))))))</f>
        <v>cost_service</v>
      </c>
    </row>
    <row r="970" spans="1:26" x14ac:dyDescent="0.25">
      <c r="A970">
        <v>2024</v>
      </c>
      <c r="B970">
        <v>14289</v>
      </c>
      <c r="C970" t="s">
        <v>968</v>
      </c>
      <c r="D970" t="s">
        <v>84</v>
      </c>
      <c r="E970" t="s">
        <v>85</v>
      </c>
      <c r="F970" t="s">
        <v>86</v>
      </c>
      <c r="G970" t="s">
        <v>173</v>
      </c>
      <c r="H970" t="s">
        <v>91</v>
      </c>
      <c r="I970" t="s">
        <v>135</v>
      </c>
      <c r="J970">
        <v>115836</v>
      </c>
      <c r="K970">
        <v>889081</v>
      </c>
      <c r="L970">
        <v>72076</v>
      </c>
      <c r="M970">
        <v>42990</v>
      </c>
      <c r="N970">
        <v>342357</v>
      </c>
      <c r="O970">
        <v>5234</v>
      </c>
      <c r="P970">
        <v>11988</v>
      </c>
      <c r="Q970">
        <v>125576</v>
      </c>
      <c r="R970">
        <v>36</v>
      </c>
      <c r="S970" t="s">
        <v>97</v>
      </c>
      <c r="T970" t="s">
        <v>97</v>
      </c>
      <c r="U970" t="s">
        <v>97</v>
      </c>
      <c r="V970">
        <v>170814</v>
      </c>
      <c r="W970">
        <v>1357014</v>
      </c>
      <c r="X970">
        <v>77346</v>
      </c>
      <c r="Y970">
        <f t="shared" si="15"/>
        <v>1357014</v>
      </c>
      <c r="Z970" t="str">
        <f>IF(ISNUMBER(SEARCH("Adjustment",$C970)),"excluded",IF($H970="Behind the Meter","excluded",IF(NOT(OR($E970="Bundled",$E970="Energy")),"excluded",IF(OR($H970="Retail Power Marketer",$H970="Community Choice Aggregator",$E970="Energy"),"procurement",IF(OR($H970="Municipal",$H970="Cooperative",$H970="Federal",$H970="State",$H970="Political Subdivision"),"cost_service",IF($H970="Investor Owned",IF(AND(COUNTIF(Parameters!$A$4:$A$33,$G970)&gt;0,COUNTIF(Parameters!$B$4:$B$33,$B970)=0),"procurement","cost_service"),"unclassified"))))))</f>
        <v>cost_service</v>
      </c>
    </row>
    <row r="971" spans="1:26" x14ac:dyDescent="0.25">
      <c r="A971">
        <v>2024</v>
      </c>
      <c r="B971">
        <v>14289</v>
      </c>
      <c r="C971" t="s">
        <v>968</v>
      </c>
      <c r="D971" t="s">
        <v>84</v>
      </c>
      <c r="E971" t="s">
        <v>85</v>
      </c>
      <c r="F971" t="s">
        <v>86</v>
      </c>
      <c r="G971" t="s">
        <v>136</v>
      </c>
      <c r="H971" t="s">
        <v>91</v>
      </c>
      <c r="I971" t="s">
        <v>135</v>
      </c>
      <c r="J971">
        <v>20407</v>
      </c>
      <c r="K971">
        <v>143757</v>
      </c>
      <c r="L971">
        <v>11783</v>
      </c>
      <c r="M971">
        <v>8146</v>
      </c>
      <c r="N971">
        <v>61965</v>
      </c>
      <c r="O971">
        <v>1101</v>
      </c>
      <c r="P971">
        <v>1186</v>
      </c>
      <c r="Q971">
        <v>9721</v>
      </c>
      <c r="R971">
        <v>6</v>
      </c>
      <c r="S971" t="s">
        <v>97</v>
      </c>
      <c r="T971" t="s">
        <v>97</v>
      </c>
      <c r="U971" t="s">
        <v>97</v>
      </c>
      <c r="V971">
        <v>29739</v>
      </c>
      <c r="W971">
        <v>215443</v>
      </c>
      <c r="X971">
        <v>12890</v>
      </c>
      <c r="Y971">
        <f t="shared" si="15"/>
        <v>215443</v>
      </c>
      <c r="Z971" t="str">
        <f>IF(ISNUMBER(SEARCH("Adjustment",$C971)),"excluded",IF($H971="Behind the Meter","excluded",IF(NOT(OR($E971="Bundled",$E971="Energy")),"excluded",IF(OR($H971="Retail Power Marketer",$H971="Community Choice Aggregator",$E971="Energy"),"procurement",IF(OR($H971="Municipal",$H971="Cooperative",$H971="Federal",$H971="State",$H971="Political Subdivision"),"cost_service",IF($H971="Investor Owned",IF(AND(COUNTIF(Parameters!$A$4:$A$33,$G971)&gt;0,COUNTIF(Parameters!$B$4:$B$33,$B971)=0),"procurement","cost_service"),"unclassified"))))))</f>
        <v>cost_service</v>
      </c>
    </row>
    <row r="972" spans="1:26" x14ac:dyDescent="0.25">
      <c r="A972">
        <v>2024</v>
      </c>
      <c r="B972">
        <v>14324</v>
      </c>
      <c r="C972" t="s">
        <v>969</v>
      </c>
      <c r="D972" t="s">
        <v>84</v>
      </c>
      <c r="E972" t="s">
        <v>85</v>
      </c>
      <c r="F972" t="s">
        <v>86</v>
      </c>
      <c r="G972" t="s">
        <v>148</v>
      </c>
      <c r="H972" t="s">
        <v>205</v>
      </c>
      <c r="I972" t="s">
        <v>206</v>
      </c>
      <c r="J972">
        <v>18052</v>
      </c>
      <c r="K972">
        <v>196783</v>
      </c>
      <c r="L972">
        <v>16513</v>
      </c>
      <c r="M972">
        <v>7993</v>
      </c>
      <c r="N972">
        <v>90423</v>
      </c>
      <c r="O972">
        <v>2063</v>
      </c>
      <c r="P972">
        <v>1439</v>
      </c>
      <c r="Q972">
        <v>23911</v>
      </c>
      <c r="R972">
        <v>1</v>
      </c>
      <c r="S972" t="s">
        <v>97</v>
      </c>
      <c r="T972" t="s">
        <v>97</v>
      </c>
      <c r="U972" t="s">
        <v>97</v>
      </c>
      <c r="V972">
        <v>27484</v>
      </c>
      <c r="W972">
        <v>311117</v>
      </c>
      <c r="X972">
        <v>18577</v>
      </c>
      <c r="Y972">
        <f t="shared" si="15"/>
        <v>311117</v>
      </c>
      <c r="Z972" t="str">
        <f>IF(ISNUMBER(SEARCH("Adjustment",$C972)),"excluded",IF($H972="Behind the Meter","excluded",IF(NOT(OR($E972="Bundled",$E972="Energy")),"excluded",IF(OR($H972="Retail Power Marketer",$H972="Community Choice Aggregator",$E972="Energy"),"procurement",IF(OR($H972="Municipal",$H972="Cooperative",$H972="Federal",$H972="State",$H972="Political Subdivision"),"cost_service",IF($H972="Investor Owned",IF(AND(COUNTIF(Parameters!$A$4:$A$33,$G972)&gt;0,COUNTIF(Parameters!$B$4:$B$33,$B972)=0),"procurement","cost_service"),"unclassified"))))))</f>
        <v>cost_service</v>
      </c>
    </row>
    <row r="973" spans="1:26" x14ac:dyDescent="0.25">
      <c r="A973">
        <v>2024</v>
      </c>
      <c r="B973">
        <v>14328</v>
      </c>
      <c r="C973" t="s">
        <v>970</v>
      </c>
      <c r="D973" t="s">
        <v>84</v>
      </c>
      <c r="E973" t="s">
        <v>85</v>
      </c>
      <c r="F973" t="s">
        <v>86</v>
      </c>
      <c r="G973" t="s">
        <v>115</v>
      </c>
      <c r="H973" t="s">
        <v>109</v>
      </c>
      <c r="I973" t="s">
        <v>116</v>
      </c>
      <c r="J973">
        <v>4412805</v>
      </c>
      <c r="K973">
        <v>11138420</v>
      </c>
      <c r="L973">
        <v>1856780</v>
      </c>
      <c r="M973">
        <v>3219777</v>
      </c>
      <c r="N973">
        <v>8159051</v>
      </c>
      <c r="O973">
        <v>213729</v>
      </c>
      <c r="P973">
        <v>2597539</v>
      </c>
      <c r="Q973">
        <v>7835738</v>
      </c>
      <c r="R973">
        <v>76343</v>
      </c>
      <c r="S973">
        <v>0</v>
      </c>
      <c r="T973">
        <v>0</v>
      </c>
      <c r="U973">
        <v>0</v>
      </c>
      <c r="V973">
        <v>10230121</v>
      </c>
      <c r="W973">
        <v>27133209</v>
      </c>
      <c r="X973">
        <v>2146852</v>
      </c>
      <c r="Y973">
        <f t="shared" si="15"/>
        <v>27133209</v>
      </c>
      <c r="Z973" t="str">
        <f>IF(ISNUMBER(SEARCH("Adjustment",$C973)),"excluded",IF($H973="Behind the Meter","excluded",IF(NOT(OR($E973="Bundled",$E973="Energy")),"excluded",IF(OR($H973="Retail Power Marketer",$H973="Community Choice Aggregator",$E973="Energy"),"procurement",IF(OR($H973="Municipal",$H973="Cooperative",$H973="Federal",$H973="State",$H973="Political Subdivision"),"cost_service",IF($H973="Investor Owned",IF(AND(COUNTIF(Parameters!$A$4:$A$33,$G973)&gt;0,COUNTIF(Parameters!$B$4:$B$33,$B973)=0),"procurement","cost_service"),"unclassified"))))))</f>
        <v>cost_service</v>
      </c>
    </row>
    <row r="974" spans="1:26" x14ac:dyDescent="0.25">
      <c r="A974">
        <v>2024</v>
      </c>
      <c r="B974">
        <v>14328</v>
      </c>
      <c r="C974" t="s">
        <v>970</v>
      </c>
      <c r="D974" t="s">
        <v>167</v>
      </c>
      <c r="E974" t="s">
        <v>168</v>
      </c>
      <c r="F974" t="s">
        <v>86</v>
      </c>
      <c r="G974" t="s">
        <v>115</v>
      </c>
      <c r="H974" t="s">
        <v>109</v>
      </c>
      <c r="I974" t="s">
        <v>116</v>
      </c>
      <c r="J974">
        <v>3825771</v>
      </c>
      <c r="K974">
        <v>14848793</v>
      </c>
      <c r="L974">
        <v>3190681</v>
      </c>
      <c r="M974">
        <v>4222914</v>
      </c>
      <c r="N974">
        <v>20638351</v>
      </c>
      <c r="O974">
        <v>372078</v>
      </c>
      <c r="P974">
        <v>1425098</v>
      </c>
      <c r="Q974">
        <v>11211901</v>
      </c>
      <c r="R974">
        <v>15792</v>
      </c>
      <c r="S974">
        <v>17435.099999999999</v>
      </c>
      <c r="T974">
        <v>370714</v>
      </c>
      <c r="U974">
        <v>1</v>
      </c>
      <c r="V974">
        <v>9491218.0999999996</v>
      </c>
      <c r="W974">
        <v>47069759</v>
      </c>
      <c r="X974">
        <v>3578552</v>
      </c>
      <c r="Y974">
        <f t="shared" si="15"/>
        <v>47069759</v>
      </c>
      <c r="Z974" t="str">
        <f>IF(ISNUMBER(SEARCH("Adjustment",$C974)),"excluded",IF($H974="Behind the Meter","excluded",IF(NOT(OR($E974="Bundled",$E974="Energy")),"excluded",IF(OR($H974="Retail Power Marketer",$H974="Community Choice Aggregator",$E974="Energy"),"procurement",IF(OR($H974="Municipal",$H974="Cooperative",$H974="Federal",$H974="State",$H974="Political Subdivision"),"cost_service",IF($H974="Investor Owned",IF(AND(COUNTIF(Parameters!$A$4:$A$33,$G974)&gt;0,COUNTIF(Parameters!$B$4:$B$33,$B974)=0),"procurement","cost_service"),"unclassified"))))))</f>
        <v>excluded</v>
      </c>
    </row>
    <row r="975" spans="1:26" x14ac:dyDescent="0.25">
      <c r="A975">
        <v>2024</v>
      </c>
      <c r="B975">
        <v>14349</v>
      </c>
      <c r="C975" t="s">
        <v>971</v>
      </c>
      <c r="D975" t="s">
        <v>99</v>
      </c>
      <c r="E975" t="s">
        <v>100</v>
      </c>
      <c r="F975" t="s">
        <v>86</v>
      </c>
      <c r="G975" t="s">
        <v>219</v>
      </c>
      <c r="H975" t="s">
        <v>101</v>
      </c>
      <c r="I975" t="s">
        <v>972</v>
      </c>
      <c r="J975">
        <v>0</v>
      </c>
      <c r="K975">
        <v>0</v>
      </c>
      <c r="L975">
        <v>0</v>
      </c>
      <c r="M975">
        <v>19936</v>
      </c>
      <c r="N975">
        <v>376274</v>
      </c>
      <c r="O975">
        <v>2</v>
      </c>
      <c r="P975">
        <v>0</v>
      </c>
      <c r="Q975">
        <v>0</v>
      </c>
      <c r="R975">
        <v>0</v>
      </c>
      <c r="S975">
        <v>0</v>
      </c>
      <c r="T975">
        <v>0</v>
      </c>
      <c r="U975">
        <v>0</v>
      </c>
      <c r="V975">
        <v>19936</v>
      </c>
      <c r="W975">
        <v>376274</v>
      </c>
      <c r="X975">
        <v>2</v>
      </c>
      <c r="Y975">
        <f t="shared" si="15"/>
        <v>376274</v>
      </c>
      <c r="Z975" t="str">
        <f>IF(ISNUMBER(SEARCH("Adjustment",$C975)),"excluded",IF($H975="Behind the Meter","excluded",IF(NOT(OR($E975="Bundled",$E975="Energy")),"excluded",IF(OR($H975="Retail Power Marketer",$H975="Community Choice Aggregator",$E975="Energy"),"procurement",IF(OR($H975="Municipal",$H975="Cooperative",$H975="Federal",$H975="State",$H975="Political Subdivision"),"cost_service",IF($H975="Investor Owned",IF(AND(COUNTIF(Parameters!$A$4:$A$33,$G975)&gt;0,COUNTIF(Parameters!$B$4:$B$33,$B975)=0),"procurement","cost_service"),"unclassified"))))))</f>
        <v>procurement</v>
      </c>
    </row>
    <row r="976" spans="1:26" x14ac:dyDescent="0.25">
      <c r="A976">
        <v>2024</v>
      </c>
      <c r="B976">
        <v>14349</v>
      </c>
      <c r="C976" t="s">
        <v>971</v>
      </c>
      <c r="D976" t="s">
        <v>99</v>
      </c>
      <c r="E976" t="s">
        <v>100</v>
      </c>
      <c r="F976" t="s">
        <v>86</v>
      </c>
      <c r="G976" t="s">
        <v>148</v>
      </c>
      <c r="H976" t="s">
        <v>101</v>
      </c>
      <c r="I976" t="s">
        <v>149</v>
      </c>
      <c r="J976">
        <v>0</v>
      </c>
      <c r="K976">
        <v>0</v>
      </c>
      <c r="L976">
        <v>0</v>
      </c>
      <c r="M976">
        <v>1021</v>
      </c>
      <c r="N976">
        <v>32951</v>
      </c>
      <c r="O976">
        <v>1</v>
      </c>
      <c r="P976">
        <v>0</v>
      </c>
      <c r="Q976">
        <v>0</v>
      </c>
      <c r="R976">
        <v>0</v>
      </c>
      <c r="S976">
        <v>0</v>
      </c>
      <c r="T976">
        <v>0</v>
      </c>
      <c r="U976">
        <v>0</v>
      </c>
      <c r="V976">
        <v>1021</v>
      </c>
      <c r="W976">
        <v>32951</v>
      </c>
      <c r="X976">
        <v>1</v>
      </c>
      <c r="Y976">
        <f t="shared" si="15"/>
        <v>32951</v>
      </c>
      <c r="Z976" t="str">
        <f>IF(ISNUMBER(SEARCH("Adjustment",$C976)),"excluded",IF($H976="Behind the Meter","excluded",IF(NOT(OR($E976="Bundled",$E976="Energy")),"excluded",IF(OR($H976="Retail Power Marketer",$H976="Community Choice Aggregator",$E976="Energy"),"procurement",IF(OR($H976="Municipal",$H976="Cooperative",$H976="Federal",$H976="State",$H976="Political Subdivision"),"cost_service",IF($H976="Investor Owned",IF(AND(COUNTIF(Parameters!$A$4:$A$33,$G976)&gt;0,COUNTIF(Parameters!$B$4:$B$33,$B976)=0),"procurement","cost_service"),"unclassified"))))))</f>
        <v>procurement</v>
      </c>
    </row>
    <row r="977" spans="1:26" x14ac:dyDescent="0.25">
      <c r="A977">
        <v>2024</v>
      </c>
      <c r="B977">
        <v>14354</v>
      </c>
      <c r="C977" t="s">
        <v>973</v>
      </c>
      <c r="D977" t="s">
        <v>84</v>
      </c>
      <c r="E977" t="s">
        <v>85</v>
      </c>
      <c r="F977" t="s">
        <v>86</v>
      </c>
      <c r="G977" t="s">
        <v>115</v>
      </c>
      <c r="H977" t="s">
        <v>109</v>
      </c>
      <c r="I977" t="s">
        <v>972</v>
      </c>
      <c r="J977">
        <v>77033.5</v>
      </c>
      <c r="K977">
        <v>373288</v>
      </c>
      <c r="L977">
        <v>36273</v>
      </c>
      <c r="M977">
        <v>45632.800000000003</v>
      </c>
      <c r="N977">
        <v>239124</v>
      </c>
      <c r="O977">
        <v>7604</v>
      </c>
      <c r="P977">
        <v>21291.4</v>
      </c>
      <c r="Q977">
        <v>134944</v>
      </c>
      <c r="R977">
        <v>1939</v>
      </c>
      <c r="S977">
        <v>0</v>
      </c>
      <c r="T977">
        <v>0</v>
      </c>
      <c r="U977">
        <v>0</v>
      </c>
      <c r="V977">
        <v>143957.70000000001</v>
      </c>
      <c r="W977">
        <v>747356</v>
      </c>
      <c r="X977">
        <v>45816</v>
      </c>
      <c r="Y977">
        <f t="shared" si="15"/>
        <v>747356</v>
      </c>
      <c r="Z977" t="str">
        <f>IF(ISNUMBER(SEARCH("Adjustment",$C977)),"excluded",IF($H977="Behind the Meter","excluded",IF(NOT(OR($E977="Bundled",$E977="Energy")),"excluded",IF(OR($H977="Retail Power Marketer",$H977="Community Choice Aggregator",$E977="Energy"),"procurement",IF(OR($H977="Municipal",$H977="Cooperative",$H977="Federal",$H977="State",$H977="Political Subdivision"),"cost_service",IF($H977="Investor Owned",IF(AND(COUNTIF(Parameters!$A$4:$A$33,$G977)&gt;0,COUNTIF(Parameters!$B$4:$B$33,$B977)=0),"procurement","cost_service"),"unclassified"))))))</f>
        <v>cost_service</v>
      </c>
    </row>
    <row r="978" spans="1:26" x14ac:dyDescent="0.25">
      <c r="A978">
        <v>2024</v>
      </c>
      <c r="B978">
        <v>14354</v>
      </c>
      <c r="C978" t="s">
        <v>973</v>
      </c>
      <c r="D978" t="s">
        <v>84</v>
      </c>
      <c r="E978" t="s">
        <v>85</v>
      </c>
      <c r="F978" t="s">
        <v>86</v>
      </c>
      <c r="G978" t="s">
        <v>490</v>
      </c>
      <c r="H978" t="s">
        <v>109</v>
      </c>
      <c r="I978" t="s">
        <v>246</v>
      </c>
      <c r="J978">
        <v>96864.6</v>
      </c>
      <c r="K978">
        <v>800174</v>
      </c>
      <c r="L978">
        <v>74170</v>
      </c>
      <c r="M978">
        <v>59303.1</v>
      </c>
      <c r="N978">
        <v>577677</v>
      </c>
      <c r="O978">
        <v>10728</v>
      </c>
      <c r="P978">
        <v>194829.4</v>
      </c>
      <c r="Q978">
        <v>2349648</v>
      </c>
      <c r="R978">
        <v>5818</v>
      </c>
      <c r="S978">
        <v>0</v>
      </c>
      <c r="T978">
        <v>0</v>
      </c>
      <c r="U978">
        <v>0</v>
      </c>
      <c r="V978">
        <v>350997.1</v>
      </c>
      <c r="W978">
        <v>3727499</v>
      </c>
      <c r="X978">
        <v>90716</v>
      </c>
      <c r="Y978">
        <f t="shared" si="15"/>
        <v>3727499</v>
      </c>
      <c r="Z978" t="str">
        <f>IF(ISNUMBER(SEARCH("Adjustment",$C978)),"excluded",IF($H978="Behind the Meter","excluded",IF(NOT(OR($E978="Bundled",$E978="Energy")),"excluded",IF(OR($H978="Retail Power Marketer",$H978="Community Choice Aggregator",$E978="Energy"),"procurement",IF(OR($H978="Municipal",$H978="Cooperative",$H978="Federal",$H978="State",$H978="Political Subdivision"),"cost_service",IF($H978="Investor Owned",IF(AND(COUNTIF(Parameters!$A$4:$A$33,$G978)&gt;0,COUNTIF(Parameters!$B$4:$B$33,$B978)=0),"procurement","cost_service"),"unclassified"))))))</f>
        <v>cost_service</v>
      </c>
    </row>
    <row r="979" spans="1:26" x14ac:dyDescent="0.25">
      <c r="A979">
        <v>2024</v>
      </c>
      <c r="B979">
        <v>14354</v>
      </c>
      <c r="C979" t="s">
        <v>973</v>
      </c>
      <c r="D979" t="s">
        <v>84</v>
      </c>
      <c r="E979" t="s">
        <v>85</v>
      </c>
      <c r="F979" t="s">
        <v>86</v>
      </c>
      <c r="G979" t="s">
        <v>219</v>
      </c>
      <c r="H979" t="s">
        <v>109</v>
      </c>
      <c r="I979" t="s">
        <v>972</v>
      </c>
      <c r="J979">
        <v>812639.6</v>
      </c>
      <c r="K979">
        <v>5796437</v>
      </c>
      <c r="L979">
        <v>547235</v>
      </c>
      <c r="M979">
        <v>699667</v>
      </c>
      <c r="N979">
        <v>6576188</v>
      </c>
      <c r="O979">
        <v>73270</v>
      </c>
      <c r="P979">
        <v>161511.20000000001</v>
      </c>
      <c r="Q979">
        <v>1606528</v>
      </c>
      <c r="R979">
        <v>8981</v>
      </c>
      <c r="S979">
        <v>1549</v>
      </c>
      <c r="T979">
        <v>11960</v>
      </c>
      <c r="U979">
        <v>1</v>
      </c>
      <c r="V979">
        <v>1675366.8</v>
      </c>
      <c r="W979">
        <v>13991113</v>
      </c>
      <c r="X979">
        <v>629487</v>
      </c>
      <c r="Y979">
        <f t="shared" si="15"/>
        <v>13991113</v>
      </c>
      <c r="Z979" t="str">
        <f>IF(ISNUMBER(SEARCH("Adjustment",$C979)),"excluded",IF($H979="Behind the Meter","excluded",IF(NOT(OR($E979="Bundled",$E979="Energy")),"excluded",IF(OR($H979="Retail Power Marketer",$H979="Community Choice Aggregator",$E979="Energy"),"procurement",IF(OR($H979="Municipal",$H979="Cooperative",$H979="Federal",$H979="State",$H979="Political Subdivision"),"cost_service",IF($H979="Investor Owned",IF(AND(COUNTIF(Parameters!$A$4:$A$33,$G979)&gt;0,COUNTIF(Parameters!$B$4:$B$33,$B979)=0),"procurement","cost_service"),"unclassified"))))))</f>
        <v>cost_service</v>
      </c>
    </row>
    <row r="980" spans="1:26" x14ac:dyDescent="0.25">
      <c r="A980">
        <v>2024</v>
      </c>
      <c r="B980">
        <v>14354</v>
      </c>
      <c r="C980" t="s">
        <v>973</v>
      </c>
      <c r="D980" t="s">
        <v>84</v>
      </c>
      <c r="E980" t="s">
        <v>85</v>
      </c>
      <c r="F980" t="s">
        <v>86</v>
      </c>
      <c r="G980" t="s">
        <v>245</v>
      </c>
      <c r="H980" t="s">
        <v>109</v>
      </c>
      <c r="I980" t="s">
        <v>246</v>
      </c>
      <c r="J980">
        <v>1078494.3999999999</v>
      </c>
      <c r="K980">
        <v>8613735</v>
      </c>
      <c r="L980">
        <v>947246</v>
      </c>
      <c r="M980">
        <v>1038345.8</v>
      </c>
      <c r="N980">
        <v>11252182</v>
      </c>
      <c r="O980">
        <v>100825</v>
      </c>
      <c r="P980">
        <v>566424</v>
      </c>
      <c r="Q980">
        <v>7219111</v>
      </c>
      <c r="R980">
        <v>7931</v>
      </c>
      <c r="S980">
        <v>6404.8</v>
      </c>
      <c r="T980">
        <v>53063</v>
      </c>
      <c r="U980">
        <v>1</v>
      </c>
      <c r="V980">
        <v>2689669</v>
      </c>
      <c r="W980">
        <v>27138091</v>
      </c>
      <c r="X980">
        <v>1056003</v>
      </c>
      <c r="Y980">
        <f t="shared" si="15"/>
        <v>27138091</v>
      </c>
      <c r="Z980" t="str">
        <f>IF(ISNUMBER(SEARCH("Adjustment",$C980)),"excluded",IF($H980="Behind the Meter","excluded",IF(NOT(OR($E980="Bundled",$E980="Energy")),"excluded",IF(OR($H980="Retail Power Marketer",$H980="Community Choice Aggregator",$E980="Energy"),"procurement",IF(OR($H980="Municipal",$H980="Cooperative",$H980="Federal",$H980="State",$H980="Political Subdivision"),"cost_service",IF($H980="Investor Owned",IF(AND(COUNTIF(Parameters!$A$4:$A$33,$G980)&gt;0,COUNTIF(Parameters!$B$4:$B$33,$B980)=0),"procurement","cost_service"),"unclassified"))))))</f>
        <v>cost_service</v>
      </c>
    </row>
    <row r="981" spans="1:26" x14ac:dyDescent="0.25">
      <c r="A981">
        <v>2024</v>
      </c>
      <c r="B981">
        <v>14354</v>
      </c>
      <c r="C981" t="s">
        <v>973</v>
      </c>
      <c r="D981" t="s">
        <v>84</v>
      </c>
      <c r="E981" t="s">
        <v>85</v>
      </c>
      <c r="F981" t="s">
        <v>86</v>
      </c>
      <c r="G981" t="s">
        <v>148</v>
      </c>
      <c r="H981" t="s">
        <v>109</v>
      </c>
      <c r="I981" t="s">
        <v>972</v>
      </c>
      <c r="J981">
        <v>179704.9</v>
      </c>
      <c r="K981">
        <v>1621664</v>
      </c>
      <c r="L981">
        <v>114453</v>
      </c>
      <c r="M981">
        <v>157279.4</v>
      </c>
      <c r="N981">
        <v>1558707</v>
      </c>
      <c r="O981">
        <v>17383</v>
      </c>
      <c r="P981">
        <v>77516.899999999994</v>
      </c>
      <c r="Q981">
        <v>931940</v>
      </c>
      <c r="R981">
        <v>5427</v>
      </c>
      <c r="S981">
        <v>0</v>
      </c>
      <c r="T981">
        <v>0</v>
      </c>
      <c r="U981">
        <v>0</v>
      </c>
      <c r="V981">
        <v>414501.2</v>
      </c>
      <c r="W981">
        <v>4112311</v>
      </c>
      <c r="X981">
        <v>137263</v>
      </c>
      <c r="Y981">
        <f t="shared" si="15"/>
        <v>4112311</v>
      </c>
      <c r="Z981" t="str">
        <f>IF(ISNUMBER(SEARCH("Adjustment",$C981)),"excluded",IF($H981="Behind the Meter","excluded",IF(NOT(OR($E981="Bundled",$E981="Energy")),"excluded",IF(OR($H981="Retail Power Marketer",$H981="Community Choice Aggregator",$E981="Energy"),"procurement",IF(OR($H981="Municipal",$H981="Cooperative",$H981="Federal",$H981="State",$H981="Political Subdivision"),"cost_service",IF($H981="Investor Owned",IF(AND(COUNTIF(Parameters!$A$4:$A$33,$G981)&gt;0,COUNTIF(Parameters!$B$4:$B$33,$B981)=0),"procurement","cost_service"),"unclassified"))))))</f>
        <v>cost_service</v>
      </c>
    </row>
    <row r="982" spans="1:26" x14ac:dyDescent="0.25">
      <c r="A982">
        <v>2024</v>
      </c>
      <c r="B982">
        <v>14354</v>
      </c>
      <c r="C982" t="s">
        <v>973</v>
      </c>
      <c r="D982" t="s">
        <v>84</v>
      </c>
      <c r="E982" t="s">
        <v>85</v>
      </c>
      <c r="F982" t="s">
        <v>86</v>
      </c>
      <c r="G982" t="s">
        <v>323</v>
      </c>
      <c r="H982" t="s">
        <v>109</v>
      </c>
      <c r="I982" t="s">
        <v>246</v>
      </c>
      <c r="J982">
        <v>140847.5</v>
      </c>
      <c r="K982">
        <v>1047681</v>
      </c>
      <c r="L982">
        <v>118130</v>
      </c>
      <c r="M982">
        <v>149710.29999999999</v>
      </c>
      <c r="N982">
        <v>1422012</v>
      </c>
      <c r="O982">
        <v>23947</v>
      </c>
      <c r="P982">
        <v>485288.9</v>
      </c>
      <c r="Q982">
        <v>6289091</v>
      </c>
      <c r="R982">
        <v>2688</v>
      </c>
      <c r="S982">
        <v>0</v>
      </c>
      <c r="T982">
        <v>0</v>
      </c>
      <c r="U982">
        <v>0</v>
      </c>
      <c r="V982">
        <v>775846.7</v>
      </c>
      <c r="W982">
        <v>8758784</v>
      </c>
      <c r="X982">
        <v>144765</v>
      </c>
      <c r="Y982">
        <f t="shared" si="15"/>
        <v>8758784</v>
      </c>
      <c r="Z982" t="str">
        <f>IF(ISNUMBER(SEARCH("Adjustment",$C982)),"excluded",IF($H982="Behind the Meter","excluded",IF(NOT(OR($E982="Bundled",$E982="Energy")),"excluded",IF(OR($H982="Retail Power Marketer",$H982="Community Choice Aggregator",$E982="Energy"),"procurement",IF(OR($H982="Municipal",$H982="Cooperative",$H982="Federal",$H982="State",$H982="Political Subdivision"),"cost_service",IF($H982="Investor Owned",IF(AND(COUNTIF(Parameters!$A$4:$A$33,$G982)&gt;0,COUNTIF(Parameters!$B$4:$B$33,$B982)=0),"procurement","cost_service"),"unclassified"))))))</f>
        <v>cost_service</v>
      </c>
    </row>
    <row r="983" spans="1:26" x14ac:dyDescent="0.25">
      <c r="A983">
        <v>2024</v>
      </c>
      <c r="B983">
        <v>14354</v>
      </c>
      <c r="C983" t="s">
        <v>973</v>
      </c>
      <c r="D983" t="s">
        <v>167</v>
      </c>
      <c r="E983" t="s">
        <v>168</v>
      </c>
      <c r="F983" t="s">
        <v>86</v>
      </c>
      <c r="G983" t="s">
        <v>219</v>
      </c>
      <c r="H983" t="s">
        <v>109</v>
      </c>
      <c r="I983" t="s">
        <v>972</v>
      </c>
      <c r="J983">
        <v>0</v>
      </c>
      <c r="K983">
        <v>0</v>
      </c>
      <c r="L983">
        <v>0</v>
      </c>
      <c r="M983">
        <v>6670.3</v>
      </c>
      <c r="N983">
        <v>368602</v>
      </c>
      <c r="O983">
        <v>39</v>
      </c>
      <c r="P983">
        <v>3330.8</v>
      </c>
      <c r="Q983">
        <v>86958</v>
      </c>
      <c r="R983">
        <v>3</v>
      </c>
      <c r="S983">
        <v>0</v>
      </c>
      <c r="T983">
        <v>0</v>
      </c>
      <c r="U983">
        <v>0</v>
      </c>
      <c r="V983">
        <v>10001.1</v>
      </c>
      <c r="W983">
        <v>455560</v>
      </c>
      <c r="X983">
        <v>42</v>
      </c>
      <c r="Y983">
        <f t="shared" si="15"/>
        <v>455560</v>
      </c>
      <c r="Z983" t="str">
        <f>IF(ISNUMBER(SEARCH("Adjustment",$C983)),"excluded",IF($H983="Behind the Meter","excluded",IF(NOT(OR($E983="Bundled",$E983="Energy")),"excluded",IF(OR($H983="Retail Power Marketer",$H983="Community Choice Aggregator",$E983="Energy"),"procurement",IF(OR($H983="Municipal",$H983="Cooperative",$H983="Federal",$H983="State",$H983="Political Subdivision"),"cost_service",IF($H983="Investor Owned",IF(AND(COUNTIF(Parameters!$A$4:$A$33,$G983)&gt;0,COUNTIF(Parameters!$B$4:$B$33,$B983)=0),"procurement","cost_service"),"unclassified"))))))</f>
        <v>excluded</v>
      </c>
    </row>
    <row r="984" spans="1:26" x14ac:dyDescent="0.25">
      <c r="A984">
        <v>2024</v>
      </c>
      <c r="B984">
        <v>14371</v>
      </c>
      <c r="C984" t="s">
        <v>974</v>
      </c>
      <c r="D984" t="s">
        <v>84</v>
      </c>
      <c r="E984" t="s">
        <v>85</v>
      </c>
      <c r="F984" t="s">
        <v>86</v>
      </c>
      <c r="G984" t="s">
        <v>209</v>
      </c>
      <c r="H984" t="s">
        <v>88</v>
      </c>
      <c r="I984" t="s">
        <v>89</v>
      </c>
      <c r="J984">
        <v>31394.9</v>
      </c>
      <c r="K984">
        <v>201834</v>
      </c>
      <c r="L984">
        <v>18863</v>
      </c>
      <c r="M984">
        <v>42123.199999999997</v>
      </c>
      <c r="N984">
        <v>295270</v>
      </c>
      <c r="O984">
        <v>3893</v>
      </c>
      <c r="P984">
        <v>3407.7</v>
      </c>
      <c r="Q984">
        <v>27805</v>
      </c>
      <c r="R984">
        <v>6</v>
      </c>
      <c r="S984" t="s">
        <v>97</v>
      </c>
      <c r="T984" t="s">
        <v>97</v>
      </c>
      <c r="U984" t="s">
        <v>97</v>
      </c>
      <c r="V984">
        <v>76925.8</v>
      </c>
      <c r="W984">
        <v>524909</v>
      </c>
      <c r="X984">
        <v>22762</v>
      </c>
      <c r="Y984">
        <f t="shared" si="15"/>
        <v>524909</v>
      </c>
      <c r="Z984" t="str">
        <f>IF(ISNUMBER(SEARCH("Adjustment",$C984)),"excluded",IF($H984="Behind the Meter","excluded",IF(NOT(OR($E984="Bundled",$E984="Energy")),"excluded",IF(OR($H984="Retail Power Marketer",$H984="Community Choice Aggregator",$E984="Energy"),"procurement",IF(OR($H984="Municipal",$H984="Cooperative",$H984="Federal",$H984="State",$H984="Political Subdivision"),"cost_service",IF($H984="Investor Owned",IF(AND(COUNTIF(Parameters!$A$4:$A$33,$G984)&gt;0,COUNTIF(Parameters!$B$4:$B$33,$B984)=0),"procurement","cost_service"),"unclassified"))))))</f>
        <v>cost_service</v>
      </c>
    </row>
    <row r="985" spans="1:26" x14ac:dyDescent="0.25">
      <c r="A985">
        <v>2024</v>
      </c>
      <c r="B985">
        <v>14381</v>
      </c>
      <c r="C985" t="s">
        <v>975</v>
      </c>
      <c r="D985" t="s">
        <v>84</v>
      </c>
      <c r="E985" t="s">
        <v>85</v>
      </c>
      <c r="F985" t="s">
        <v>86</v>
      </c>
      <c r="G985" t="s">
        <v>54</v>
      </c>
      <c r="H985" t="s">
        <v>88</v>
      </c>
      <c r="I985" t="s">
        <v>92</v>
      </c>
      <c r="J985">
        <v>10961</v>
      </c>
      <c r="K985">
        <v>85971</v>
      </c>
      <c r="L985">
        <v>10832</v>
      </c>
      <c r="M985">
        <v>10287</v>
      </c>
      <c r="N985">
        <v>86102</v>
      </c>
      <c r="O985">
        <v>1775</v>
      </c>
      <c r="P985">
        <v>3483</v>
      </c>
      <c r="Q985">
        <v>46456</v>
      </c>
      <c r="R985">
        <v>7</v>
      </c>
      <c r="S985">
        <v>0</v>
      </c>
      <c r="T985">
        <v>0</v>
      </c>
      <c r="U985">
        <v>0</v>
      </c>
      <c r="V985">
        <v>24731</v>
      </c>
      <c r="W985">
        <v>218529</v>
      </c>
      <c r="X985">
        <v>12614</v>
      </c>
      <c r="Y985">
        <f t="shared" si="15"/>
        <v>218529</v>
      </c>
      <c r="Z985" t="str">
        <f>IF(ISNUMBER(SEARCH("Adjustment",$C985)),"excluded",IF($H985="Behind the Meter","excluded",IF(NOT(OR($E985="Bundled",$E985="Energy")),"excluded",IF(OR($H985="Retail Power Marketer",$H985="Community Choice Aggregator",$E985="Energy"),"procurement",IF(OR($H985="Municipal",$H985="Cooperative",$H985="Federal",$H985="State",$H985="Political Subdivision"),"cost_service",IF($H985="Investor Owned",IF(AND(COUNTIF(Parameters!$A$4:$A$33,$G985)&gt;0,COUNTIF(Parameters!$B$4:$B$33,$B985)=0),"procurement","cost_service"),"unclassified"))))))</f>
        <v>cost_service</v>
      </c>
    </row>
    <row r="986" spans="1:26" x14ac:dyDescent="0.25">
      <c r="A986">
        <v>2024</v>
      </c>
      <c r="B986">
        <v>14398</v>
      </c>
      <c r="C986" t="s">
        <v>976</v>
      </c>
      <c r="D986" t="s">
        <v>84</v>
      </c>
      <c r="E986" t="s">
        <v>85</v>
      </c>
      <c r="F986" t="s">
        <v>86</v>
      </c>
      <c r="G986" t="s">
        <v>106</v>
      </c>
      <c r="H986" t="s">
        <v>91</v>
      </c>
      <c r="I986" t="s">
        <v>106</v>
      </c>
      <c r="J986">
        <v>126187.3</v>
      </c>
      <c r="K986">
        <v>986672</v>
      </c>
      <c r="L986">
        <v>68338</v>
      </c>
      <c r="M986">
        <v>56687.5</v>
      </c>
      <c r="N986">
        <v>471914</v>
      </c>
      <c r="O986">
        <v>11651</v>
      </c>
      <c r="P986">
        <v>8025.3</v>
      </c>
      <c r="Q986">
        <v>90949</v>
      </c>
      <c r="R986">
        <v>26</v>
      </c>
      <c r="S986" t="s">
        <v>97</v>
      </c>
      <c r="T986" t="s">
        <v>97</v>
      </c>
      <c r="U986" t="s">
        <v>97</v>
      </c>
      <c r="V986">
        <v>190900.1</v>
      </c>
      <c r="W986">
        <v>1549535</v>
      </c>
      <c r="X986">
        <v>80015</v>
      </c>
      <c r="Y986">
        <f t="shared" si="15"/>
        <v>1549535</v>
      </c>
      <c r="Z986" t="str">
        <f>IF(ISNUMBER(SEARCH("Adjustment",$C986)),"excluded",IF($H986="Behind the Meter","excluded",IF(NOT(OR($E986="Bundled",$E986="Energy")),"excluded",IF(OR($H986="Retail Power Marketer",$H986="Community Choice Aggregator",$E986="Energy"),"procurement",IF(OR($H986="Municipal",$H986="Cooperative",$H986="Federal",$H986="State",$H986="Political Subdivision"),"cost_service",IF($H986="Investor Owned",IF(AND(COUNTIF(Parameters!$A$4:$A$33,$G986)&gt;0,COUNTIF(Parameters!$B$4:$B$33,$B986)=0),"procurement","cost_service"),"unclassified"))))))</f>
        <v>cost_service</v>
      </c>
    </row>
    <row r="987" spans="1:26" x14ac:dyDescent="0.25">
      <c r="A987">
        <v>2024</v>
      </c>
      <c r="B987">
        <v>14401</v>
      </c>
      <c r="C987" t="s">
        <v>977</v>
      </c>
      <c r="D987" t="s">
        <v>84</v>
      </c>
      <c r="E987" t="s">
        <v>85</v>
      </c>
      <c r="F987" t="s">
        <v>86</v>
      </c>
      <c r="G987" t="s">
        <v>115</v>
      </c>
      <c r="H987" t="s">
        <v>88</v>
      </c>
      <c r="I987" t="s">
        <v>116</v>
      </c>
      <c r="J987">
        <v>32625</v>
      </c>
      <c r="K987">
        <v>157856</v>
      </c>
      <c r="L987">
        <v>26249</v>
      </c>
      <c r="M987">
        <v>105108</v>
      </c>
      <c r="N987">
        <v>619338</v>
      </c>
      <c r="O987">
        <v>3526</v>
      </c>
      <c r="P987">
        <v>21843</v>
      </c>
      <c r="Q987">
        <v>115063</v>
      </c>
      <c r="R987">
        <v>58</v>
      </c>
      <c r="S987" t="s">
        <v>97</v>
      </c>
      <c r="T987" t="s">
        <v>97</v>
      </c>
      <c r="U987" t="s">
        <v>97</v>
      </c>
      <c r="V987">
        <v>159576</v>
      </c>
      <c r="W987">
        <v>892257</v>
      </c>
      <c r="X987">
        <v>29833</v>
      </c>
      <c r="Y987">
        <f t="shared" si="15"/>
        <v>892257</v>
      </c>
      <c r="Z987" t="str">
        <f>IF(ISNUMBER(SEARCH("Adjustment",$C987)),"excluded",IF($H987="Behind the Meter","excluded",IF(NOT(OR($E987="Bundled",$E987="Energy")),"excluded",IF(OR($H987="Retail Power Marketer",$H987="Community Choice Aggregator",$E987="Energy"),"procurement",IF(OR($H987="Municipal",$H987="Cooperative",$H987="Federal",$H987="State",$H987="Political Subdivision"),"cost_service",IF($H987="Investor Owned",IF(AND(COUNTIF(Parameters!$A$4:$A$33,$G987)&gt;0,COUNTIF(Parameters!$B$4:$B$33,$B987)=0),"procurement","cost_service"),"unclassified"))))))</f>
        <v>cost_service</v>
      </c>
    </row>
    <row r="988" spans="1:26" x14ac:dyDescent="0.25">
      <c r="A988">
        <v>2024</v>
      </c>
      <c r="B988">
        <v>14424</v>
      </c>
      <c r="C988" t="s">
        <v>978</v>
      </c>
      <c r="D988" t="s">
        <v>84</v>
      </c>
      <c r="E988" t="s">
        <v>85</v>
      </c>
      <c r="F988" t="s">
        <v>86</v>
      </c>
      <c r="G988" t="s">
        <v>138</v>
      </c>
      <c r="H988" t="s">
        <v>91</v>
      </c>
      <c r="I988" t="s">
        <v>135</v>
      </c>
      <c r="J988">
        <v>11184.1</v>
      </c>
      <c r="K988">
        <v>126519</v>
      </c>
      <c r="L988">
        <v>8459</v>
      </c>
      <c r="M988">
        <v>2345.4</v>
      </c>
      <c r="N988">
        <v>25794</v>
      </c>
      <c r="O988">
        <v>926</v>
      </c>
      <c r="P988">
        <v>2016.5</v>
      </c>
      <c r="Q988">
        <v>26588</v>
      </c>
      <c r="R988">
        <v>7</v>
      </c>
      <c r="S988" t="s">
        <v>97</v>
      </c>
      <c r="T988" t="s">
        <v>97</v>
      </c>
      <c r="U988" t="s">
        <v>97</v>
      </c>
      <c r="V988">
        <v>15546</v>
      </c>
      <c r="W988">
        <v>178901</v>
      </c>
      <c r="X988">
        <v>9392</v>
      </c>
      <c r="Y988">
        <f t="shared" si="15"/>
        <v>178901</v>
      </c>
      <c r="Z988" t="str">
        <f>IF(ISNUMBER(SEARCH("Adjustment",$C988)),"excluded",IF($H988="Behind the Meter","excluded",IF(NOT(OR($E988="Bundled",$E988="Energy")),"excluded",IF(OR($H988="Retail Power Marketer",$H988="Community Choice Aggregator",$E988="Energy"),"procurement",IF(OR($H988="Municipal",$H988="Cooperative",$H988="Federal",$H988="State",$H988="Political Subdivision"),"cost_service",IF($H988="Investor Owned",IF(AND(COUNTIF(Parameters!$A$4:$A$33,$G988)&gt;0,COUNTIF(Parameters!$B$4:$B$33,$B988)=0),"procurement","cost_service"),"unclassified"))))))</f>
        <v>cost_service</v>
      </c>
    </row>
    <row r="989" spans="1:26" x14ac:dyDescent="0.25">
      <c r="A989">
        <v>2024</v>
      </c>
      <c r="B989">
        <v>14424</v>
      </c>
      <c r="C989" t="s">
        <v>978</v>
      </c>
      <c r="D989" t="s">
        <v>84</v>
      </c>
      <c r="E989" t="s">
        <v>85</v>
      </c>
      <c r="F989" t="s">
        <v>86</v>
      </c>
      <c r="G989" t="s">
        <v>57</v>
      </c>
      <c r="H989" t="s">
        <v>91</v>
      </c>
      <c r="I989" t="s">
        <v>135</v>
      </c>
      <c r="J989">
        <v>12111.7</v>
      </c>
      <c r="K989">
        <v>128717</v>
      </c>
      <c r="L989">
        <v>9394</v>
      </c>
      <c r="M989">
        <v>7007.6</v>
      </c>
      <c r="N989">
        <v>77863</v>
      </c>
      <c r="O989">
        <v>1917</v>
      </c>
      <c r="P989">
        <v>2265.5</v>
      </c>
      <c r="Q989">
        <v>29305</v>
      </c>
      <c r="R989">
        <v>8</v>
      </c>
      <c r="S989" t="s">
        <v>97</v>
      </c>
      <c r="T989" t="s">
        <v>97</v>
      </c>
      <c r="U989" t="s">
        <v>97</v>
      </c>
      <c r="V989">
        <v>21384.799999999999</v>
      </c>
      <c r="W989">
        <v>235885</v>
      </c>
      <c r="X989">
        <v>11319</v>
      </c>
      <c r="Y989">
        <f t="shared" si="15"/>
        <v>235885</v>
      </c>
      <c r="Z989" t="str">
        <f>IF(ISNUMBER(SEARCH("Adjustment",$C989)),"excluded",IF($H989="Behind the Meter","excluded",IF(NOT(OR($E989="Bundled",$E989="Energy")),"excluded",IF(OR($H989="Retail Power Marketer",$H989="Community Choice Aggregator",$E989="Energy"),"procurement",IF(OR($H989="Municipal",$H989="Cooperative",$H989="Federal",$H989="State",$H989="Political Subdivision"),"cost_service",IF($H989="Investor Owned",IF(AND(COUNTIF(Parameters!$A$4:$A$33,$G989)&gt;0,COUNTIF(Parameters!$B$4:$B$33,$B989)=0),"procurement","cost_service"),"unclassified"))))))</f>
        <v>cost_service</v>
      </c>
    </row>
    <row r="990" spans="1:26" x14ac:dyDescent="0.25">
      <c r="A990">
        <v>2024</v>
      </c>
      <c r="B990">
        <v>14446</v>
      </c>
      <c r="C990" t="s">
        <v>979</v>
      </c>
      <c r="D990" t="s">
        <v>84</v>
      </c>
      <c r="E990" t="s">
        <v>85</v>
      </c>
      <c r="F990" t="s">
        <v>86</v>
      </c>
      <c r="G990" t="s">
        <v>173</v>
      </c>
      <c r="H990" t="s">
        <v>88</v>
      </c>
      <c r="I990" t="s">
        <v>980</v>
      </c>
      <c r="J990">
        <v>18933</v>
      </c>
      <c r="K990">
        <v>199769</v>
      </c>
      <c r="L990">
        <v>12540</v>
      </c>
      <c r="M990">
        <v>8158</v>
      </c>
      <c r="N990">
        <v>87033</v>
      </c>
      <c r="O990">
        <v>1864</v>
      </c>
      <c r="P990">
        <v>20974</v>
      </c>
      <c r="Q990">
        <v>290890</v>
      </c>
      <c r="R990">
        <v>39</v>
      </c>
      <c r="S990" t="s">
        <v>97</v>
      </c>
      <c r="T990" t="s">
        <v>97</v>
      </c>
      <c r="U990" t="s">
        <v>97</v>
      </c>
      <c r="V990">
        <v>48065</v>
      </c>
      <c r="W990">
        <v>577692</v>
      </c>
      <c r="X990">
        <v>14443</v>
      </c>
      <c r="Y990">
        <f t="shared" si="15"/>
        <v>577692</v>
      </c>
      <c r="Z990" t="str">
        <f>IF(ISNUMBER(SEARCH("Adjustment",$C990)),"excluded",IF($H990="Behind the Meter","excluded",IF(NOT(OR($E990="Bundled",$E990="Energy")),"excluded",IF(OR($H990="Retail Power Marketer",$H990="Community Choice Aggregator",$E990="Energy"),"procurement",IF(OR($H990="Municipal",$H990="Cooperative",$H990="Federal",$H990="State",$H990="Political Subdivision"),"cost_service",IF($H990="Investor Owned",IF(AND(COUNTIF(Parameters!$A$4:$A$33,$G990)&gt;0,COUNTIF(Parameters!$B$4:$B$33,$B990)=0),"procurement","cost_service"),"unclassified"))))))</f>
        <v>cost_service</v>
      </c>
    </row>
    <row r="991" spans="1:26" x14ac:dyDescent="0.25">
      <c r="A991">
        <v>2024</v>
      </c>
      <c r="B991">
        <v>14455</v>
      </c>
      <c r="C991" t="s">
        <v>981</v>
      </c>
      <c r="D991" t="s">
        <v>84</v>
      </c>
      <c r="E991" t="s">
        <v>85</v>
      </c>
      <c r="F991" t="s">
        <v>86</v>
      </c>
      <c r="G991" t="s">
        <v>156</v>
      </c>
      <c r="H991" t="s">
        <v>88</v>
      </c>
      <c r="I991" t="s">
        <v>89</v>
      </c>
      <c r="J991">
        <v>25131</v>
      </c>
      <c r="K991">
        <v>217582</v>
      </c>
      <c r="L991">
        <v>16263</v>
      </c>
      <c r="M991">
        <v>22301</v>
      </c>
      <c r="N991">
        <v>185299</v>
      </c>
      <c r="O991">
        <v>6553</v>
      </c>
      <c r="P991">
        <v>8921</v>
      </c>
      <c r="Q991">
        <v>160316</v>
      </c>
      <c r="R991">
        <v>8</v>
      </c>
      <c r="S991">
        <v>0</v>
      </c>
      <c r="T991">
        <v>0</v>
      </c>
      <c r="U991">
        <v>0</v>
      </c>
      <c r="V991">
        <v>56353</v>
      </c>
      <c r="W991">
        <v>563197</v>
      </c>
      <c r="X991">
        <v>22824</v>
      </c>
      <c r="Y991">
        <f t="shared" si="15"/>
        <v>563197</v>
      </c>
      <c r="Z991" t="str">
        <f>IF(ISNUMBER(SEARCH("Adjustment",$C991)),"excluded",IF($H991="Behind the Meter","excluded",IF(NOT(OR($E991="Bundled",$E991="Energy")),"excluded",IF(OR($H991="Retail Power Marketer",$H991="Community Choice Aggregator",$E991="Energy"),"procurement",IF(OR($H991="Municipal",$H991="Cooperative",$H991="Federal",$H991="State",$H991="Political Subdivision"),"cost_service",IF($H991="Investor Owned",IF(AND(COUNTIF(Parameters!$A$4:$A$33,$G991)&gt;0,COUNTIF(Parameters!$B$4:$B$33,$B991)=0),"procurement","cost_service"),"unclassified"))))))</f>
        <v>cost_service</v>
      </c>
    </row>
    <row r="992" spans="1:26" x14ac:dyDescent="0.25">
      <c r="A992">
        <v>2024</v>
      </c>
      <c r="B992">
        <v>14468</v>
      </c>
      <c r="C992" t="s">
        <v>982</v>
      </c>
      <c r="D992" t="s">
        <v>84</v>
      </c>
      <c r="E992" t="s">
        <v>85</v>
      </c>
      <c r="F992" t="s">
        <v>86</v>
      </c>
      <c r="G992" t="s">
        <v>104</v>
      </c>
      <c r="H992" t="s">
        <v>91</v>
      </c>
      <c r="I992" t="s">
        <v>96</v>
      </c>
      <c r="J992">
        <v>37899</v>
      </c>
      <c r="K992">
        <v>226998</v>
      </c>
      <c r="L992">
        <v>21665</v>
      </c>
      <c r="M992">
        <v>11081.9</v>
      </c>
      <c r="N992">
        <v>79521</v>
      </c>
      <c r="O992">
        <v>2203</v>
      </c>
      <c r="P992">
        <v>5700.6</v>
      </c>
      <c r="Q992">
        <v>52974</v>
      </c>
      <c r="R992">
        <v>48</v>
      </c>
      <c r="S992">
        <v>0</v>
      </c>
      <c r="T992">
        <v>0</v>
      </c>
      <c r="U992">
        <v>0</v>
      </c>
      <c r="V992">
        <v>54681.5</v>
      </c>
      <c r="W992">
        <v>359493</v>
      </c>
      <c r="X992">
        <v>23916</v>
      </c>
      <c r="Y992">
        <f t="shared" si="15"/>
        <v>359493</v>
      </c>
      <c r="Z992" t="str">
        <f>IF(ISNUMBER(SEARCH("Adjustment",$C992)),"excluded",IF($H992="Behind the Meter","excluded",IF(NOT(OR($E992="Bundled",$E992="Energy")),"excluded",IF(OR($H992="Retail Power Marketer",$H992="Community Choice Aggregator",$E992="Energy"),"procurement",IF(OR($H992="Municipal",$H992="Cooperative",$H992="Federal",$H992="State",$H992="Political Subdivision"),"cost_service",IF($H992="Investor Owned",IF(AND(COUNTIF(Parameters!$A$4:$A$33,$G992)&gt;0,COUNTIF(Parameters!$B$4:$B$33,$B992)=0),"procurement","cost_service"),"unclassified"))))))</f>
        <v>cost_service</v>
      </c>
    </row>
    <row r="993" spans="1:26" x14ac:dyDescent="0.25">
      <c r="A993">
        <v>2024</v>
      </c>
      <c r="B993">
        <v>14534</v>
      </c>
      <c r="C993" t="s">
        <v>983</v>
      </c>
      <c r="D993" t="s">
        <v>84</v>
      </c>
      <c r="E993" t="s">
        <v>85</v>
      </c>
      <c r="F993" t="s">
        <v>86</v>
      </c>
      <c r="G993" t="s">
        <v>115</v>
      </c>
      <c r="H993" t="s">
        <v>88</v>
      </c>
      <c r="I993" t="s">
        <v>116</v>
      </c>
      <c r="J993">
        <v>86833</v>
      </c>
      <c r="K993">
        <v>334268</v>
      </c>
      <c r="L993">
        <v>58551</v>
      </c>
      <c r="M993">
        <v>156460.1</v>
      </c>
      <c r="N993">
        <v>667164</v>
      </c>
      <c r="O993">
        <v>8507</v>
      </c>
      <c r="P993">
        <v>0</v>
      </c>
      <c r="Q993">
        <v>0</v>
      </c>
      <c r="R993">
        <v>0</v>
      </c>
      <c r="S993">
        <v>1847.1</v>
      </c>
      <c r="T993">
        <v>8074</v>
      </c>
      <c r="U993">
        <v>1</v>
      </c>
      <c r="V993">
        <v>245140.2</v>
      </c>
      <c r="W993">
        <v>1009506</v>
      </c>
      <c r="X993">
        <v>67059</v>
      </c>
      <c r="Y993">
        <f t="shared" si="15"/>
        <v>1009506</v>
      </c>
      <c r="Z993" t="str">
        <f>IF(ISNUMBER(SEARCH("Adjustment",$C993)),"excluded",IF($H993="Behind the Meter","excluded",IF(NOT(OR($E993="Bundled",$E993="Energy")),"excluded",IF(OR($H993="Retail Power Marketer",$H993="Community Choice Aggregator",$E993="Energy"),"procurement",IF(OR($H993="Municipal",$H993="Cooperative",$H993="Federal",$H993="State",$H993="Political Subdivision"),"cost_service",IF($H993="Investor Owned",IF(AND(COUNTIF(Parameters!$A$4:$A$33,$G993)&gt;0,COUNTIF(Parameters!$B$4:$B$33,$B993)=0),"procurement","cost_service"),"unclassified"))))))</f>
        <v>cost_service</v>
      </c>
    </row>
    <row r="994" spans="1:26" x14ac:dyDescent="0.25">
      <c r="A994">
        <v>2024</v>
      </c>
      <c r="B994">
        <v>14537</v>
      </c>
      <c r="C994" t="s">
        <v>984</v>
      </c>
      <c r="D994" t="s">
        <v>84</v>
      </c>
      <c r="E994" t="s">
        <v>85</v>
      </c>
      <c r="F994" t="s">
        <v>86</v>
      </c>
      <c r="G994" t="s">
        <v>56</v>
      </c>
      <c r="H994" t="s">
        <v>88</v>
      </c>
      <c r="I994" t="s">
        <v>189</v>
      </c>
      <c r="J994">
        <v>5946</v>
      </c>
      <c r="K994">
        <v>35982</v>
      </c>
      <c r="L994">
        <v>4373</v>
      </c>
      <c r="M994">
        <v>721</v>
      </c>
      <c r="N994">
        <v>3697</v>
      </c>
      <c r="O994">
        <v>549</v>
      </c>
      <c r="P994">
        <v>2542</v>
      </c>
      <c r="Q994">
        <v>15422</v>
      </c>
      <c r="R994">
        <v>62</v>
      </c>
      <c r="S994">
        <v>0</v>
      </c>
      <c r="T994">
        <v>0</v>
      </c>
      <c r="U994">
        <v>0</v>
      </c>
      <c r="V994">
        <v>9209</v>
      </c>
      <c r="W994">
        <v>55101</v>
      </c>
      <c r="X994">
        <v>4984</v>
      </c>
      <c r="Y994">
        <f t="shared" si="15"/>
        <v>55101</v>
      </c>
      <c r="Z994" t="str">
        <f>IF(ISNUMBER(SEARCH("Adjustment",$C994)),"excluded",IF($H994="Behind the Meter","excluded",IF(NOT(OR($E994="Bundled",$E994="Energy")),"excluded",IF(OR($H994="Retail Power Marketer",$H994="Community Choice Aggregator",$E994="Energy"),"procurement",IF(OR($H994="Municipal",$H994="Cooperative",$H994="Federal",$H994="State",$H994="Political Subdivision"),"cost_service",IF($H994="Investor Owned",IF(AND(COUNTIF(Parameters!$A$4:$A$33,$G994)&gt;0,COUNTIF(Parameters!$B$4:$B$33,$B994)=0),"procurement","cost_service"),"unclassified"))))))</f>
        <v>cost_service</v>
      </c>
    </row>
    <row r="995" spans="1:26" x14ac:dyDescent="0.25">
      <c r="A995">
        <v>2024</v>
      </c>
      <c r="B995">
        <v>14563</v>
      </c>
      <c r="C995" t="s">
        <v>985</v>
      </c>
      <c r="D995" t="s">
        <v>84</v>
      </c>
      <c r="E995" t="s">
        <v>85</v>
      </c>
      <c r="F995" t="s">
        <v>86</v>
      </c>
      <c r="G995" t="s">
        <v>87</v>
      </c>
      <c r="H995" t="s">
        <v>91</v>
      </c>
      <c r="I995" t="s">
        <v>96</v>
      </c>
      <c r="J995">
        <v>106666.5</v>
      </c>
      <c r="K995">
        <v>748470</v>
      </c>
      <c r="L995">
        <v>52077</v>
      </c>
      <c r="M995">
        <v>24259.200000000001</v>
      </c>
      <c r="N995">
        <v>196709</v>
      </c>
      <c r="O995">
        <v>1852</v>
      </c>
      <c r="P995">
        <v>12376.1</v>
      </c>
      <c r="Q995">
        <v>123663</v>
      </c>
      <c r="R995">
        <v>29</v>
      </c>
      <c r="S995" t="s">
        <v>97</v>
      </c>
      <c r="T995" t="s">
        <v>97</v>
      </c>
      <c r="U995" t="s">
        <v>97</v>
      </c>
      <c r="V995">
        <v>143301.79999999999</v>
      </c>
      <c r="W995">
        <v>1068842</v>
      </c>
      <c r="X995">
        <v>53958</v>
      </c>
      <c r="Y995">
        <f t="shared" si="15"/>
        <v>1068842</v>
      </c>
      <c r="Z995" t="str">
        <f>IF(ISNUMBER(SEARCH("Adjustment",$C995)),"excluded",IF($H995="Behind the Meter","excluded",IF(NOT(OR($E995="Bundled",$E995="Energy")),"excluded",IF(OR($H995="Retail Power Marketer",$H995="Community Choice Aggregator",$E995="Energy"),"procurement",IF(OR($H995="Municipal",$H995="Cooperative",$H995="Federal",$H995="State",$H995="Political Subdivision"),"cost_service",IF($H995="Investor Owned",IF(AND(COUNTIF(Parameters!$A$4:$A$33,$G995)&gt;0,COUNTIF(Parameters!$B$4:$B$33,$B995)=0),"procurement","cost_service"),"unclassified"))))))</f>
        <v>cost_service</v>
      </c>
    </row>
    <row r="996" spans="1:26" x14ac:dyDescent="0.25">
      <c r="A996">
        <v>2024</v>
      </c>
      <c r="B996">
        <v>14599</v>
      </c>
      <c r="C996" t="s">
        <v>986</v>
      </c>
      <c r="D996" t="s">
        <v>84</v>
      </c>
      <c r="E996" t="s">
        <v>85</v>
      </c>
      <c r="F996" t="s">
        <v>86</v>
      </c>
      <c r="G996" t="s">
        <v>130</v>
      </c>
      <c r="H996" t="s">
        <v>91</v>
      </c>
      <c r="I996" t="s">
        <v>92</v>
      </c>
      <c r="J996">
        <v>7106.4</v>
      </c>
      <c r="K996">
        <v>50892</v>
      </c>
      <c r="L996">
        <v>3851</v>
      </c>
      <c r="M996">
        <v>1978.6</v>
      </c>
      <c r="N996">
        <v>22751</v>
      </c>
      <c r="O996">
        <v>203</v>
      </c>
      <c r="P996">
        <v>5312.1</v>
      </c>
      <c r="Q996">
        <v>32670</v>
      </c>
      <c r="R996">
        <v>7</v>
      </c>
      <c r="S996">
        <v>0</v>
      </c>
      <c r="T996">
        <v>0</v>
      </c>
      <c r="U996">
        <v>0</v>
      </c>
      <c r="V996">
        <v>14397.1</v>
      </c>
      <c r="W996">
        <v>106313</v>
      </c>
      <c r="X996">
        <v>4061</v>
      </c>
      <c r="Y996">
        <f t="shared" si="15"/>
        <v>106313</v>
      </c>
      <c r="Z996" t="str">
        <f>IF(ISNUMBER(SEARCH("Adjustment",$C996)),"excluded",IF($H996="Behind the Meter","excluded",IF(NOT(OR($E996="Bundled",$E996="Energy")),"excluded",IF(OR($H996="Retail Power Marketer",$H996="Community Choice Aggregator",$E996="Energy"),"procurement",IF(OR($H996="Municipal",$H996="Cooperative",$H996="Federal",$H996="State",$H996="Political Subdivision"),"cost_service",IF($H996="Investor Owned",IF(AND(COUNTIF(Parameters!$A$4:$A$33,$G996)&gt;0,COUNTIF(Parameters!$B$4:$B$33,$B996)=0),"procurement","cost_service"),"unclassified"))))))</f>
        <v>cost_service</v>
      </c>
    </row>
    <row r="997" spans="1:26" x14ac:dyDescent="0.25">
      <c r="A997">
        <v>2024</v>
      </c>
      <c r="B997">
        <v>14599</v>
      </c>
      <c r="C997" t="s">
        <v>986</v>
      </c>
      <c r="D997" t="s">
        <v>84</v>
      </c>
      <c r="E997" t="s">
        <v>85</v>
      </c>
      <c r="F997" t="s">
        <v>86</v>
      </c>
      <c r="G997" t="s">
        <v>54</v>
      </c>
      <c r="H997" t="s">
        <v>91</v>
      </c>
      <c r="I997" t="s">
        <v>92</v>
      </c>
      <c r="J997">
        <v>21037.1</v>
      </c>
      <c r="K997">
        <v>119032</v>
      </c>
      <c r="L997">
        <v>9176</v>
      </c>
      <c r="M997">
        <v>7771.1</v>
      </c>
      <c r="N997">
        <v>53212</v>
      </c>
      <c r="O997">
        <v>494</v>
      </c>
      <c r="P997">
        <v>6029.1</v>
      </c>
      <c r="Q997">
        <v>76412</v>
      </c>
      <c r="R997">
        <v>8</v>
      </c>
      <c r="S997">
        <v>0</v>
      </c>
      <c r="T997">
        <v>0</v>
      </c>
      <c r="U997">
        <v>0</v>
      </c>
      <c r="V997">
        <v>34837.300000000003</v>
      </c>
      <c r="W997">
        <v>248656</v>
      </c>
      <c r="X997">
        <v>9678</v>
      </c>
      <c r="Y997">
        <f t="shared" si="15"/>
        <v>248656</v>
      </c>
      <c r="Z997" t="str">
        <f>IF(ISNUMBER(SEARCH("Adjustment",$C997)),"excluded",IF($H997="Behind the Meter","excluded",IF(NOT(OR($E997="Bundled",$E997="Energy")),"excluded",IF(OR($H997="Retail Power Marketer",$H997="Community Choice Aggregator",$E997="Energy"),"procurement",IF(OR($H997="Municipal",$H997="Cooperative",$H997="Federal",$H997="State",$H997="Political Subdivision"),"cost_service",IF($H997="Investor Owned",IF(AND(COUNTIF(Parameters!$A$4:$A$33,$G997)&gt;0,COUNTIF(Parameters!$B$4:$B$33,$B997)=0),"procurement","cost_service"),"unclassified"))))))</f>
        <v>cost_service</v>
      </c>
    </row>
    <row r="998" spans="1:26" x14ac:dyDescent="0.25">
      <c r="A998">
        <v>2024</v>
      </c>
      <c r="B998">
        <v>14602</v>
      </c>
      <c r="C998" t="s">
        <v>987</v>
      </c>
      <c r="D998" t="s">
        <v>84</v>
      </c>
      <c r="E998" t="s">
        <v>85</v>
      </c>
      <c r="F998" t="s">
        <v>86</v>
      </c>
      <c r="G998" t="s">
        <v>112</v>
      </c>
      <c r="H998" t="s">
        <v>91</v>
      </c>
      <c r="I998" t="s">
        <v>113</v>
      </c>
      <c r="J998">
        <v>34400.800000000003</v>
      </c>
      <c r="K998">
        <v>205084</v>
      </c>
      <c r="L998">
        <v>14922</v>
      </c>
      <c r="M998">
        <v>16633.900000000001</v>
      </c>
      <c r="N998">
        <v>97901</v>
      </c>
      <c r="O998">
        <v>4835</v>
      </c>
      <c r="P998">
        <v>1775</v>
      </c>
      <c r="Q998">
        <v>20008</v>
      </c>
      <c r="R998">
        <v>2</v>
      </c>
      <c r="S998" t="s">
        <v>97</v>
      </c>
      <c r="T998" t="s">
        <v>97</v>
      </c>
      <c r="U998" t="s">
        <v>97</v>
      </c>
      <c r="V998">
        <v>52809.7</v>
      </c>
      <c r="W998">
        <v>322993</v>
      </c>
      <c r="X998">
        <v>19759</v>
      </c>
      <c r="Y998">
        <f t="shared" si="15"/>
        <v>322993</v>
      </c>
      <c r="Z998" t="str">
        <f>IF(ISNUMBER(SEARCH("Adjustment",$C998)),"excluded",IF($H998="Behind the Meter","excluded",IF(NOT(OR($E998="Bundled",$E998="Energy")),"excluded",IF(OR($H998="Retail Power Marketer",$H998="Community Choice Aggregator",$E998="Energy"),"procurement",IF(OR($H998="Municipal",$H998="Cooperative",$H998="Federal",$H998="State",$H998="Political Subdivision"),"cost_service",IF($H998="Investor Owned",IF(AND(COUNTIF(Parameters!$A$4:$A$33,$G998)&gt;0,COUNTIF(Parameters!$B$4:$B$33,$B998)=0),"procurement","cost_service"),"unclassified"))))))</f>
        <v>cost_service</v>
      </c>
    </row>
    <row r="999" spans="1:26" x14ac:dyDescent="0.25">
      <c r="A999">
        <v>2024</v>
      </c>
      <c r="B999">
        <v>14605</v>
      </c>
      <c r="C999" t="s">
        <v>988</v>
      </c>
      <c r="D999" t="s">
        <v>84</v>
      </c>
      <c r="E999" t="s">
        <v>85</v>
      </c>
      <c r="F999" t="s">
        <v>86</v>
      </c>
      <c r="G999" t="s">
        <v>48</v>
      </c>
      <c r="H999" t="s">
        <v>88</v>
      </c>
      <c r="I999" t="s">
        <v>189</v>
      </c>
      <c r="J999">
        <v>30371.200000000001</v>
      </c>
      <c r="K999">
        <v>193326</v>
      </c>
      <c r="L999">
        <v>22546</v>
      </c>
      <c r="M999">
        <v>5880.6</v>
      </c>
      <c r="N999">
        <v>31571</v>
      </c>
      <c r="O999">
        <v>2673</v>
      </c>
      <c r="P999">
        <v>39206.699999999997</v>
      </c>
      <c r="Q999">
        <v>244352</v>
      </c>
      <c r="R999">
        <v>1867</v>
      </c>
      <c r="S999">
        <v>0</v>
      </c>
      <c r="T999">
        <v>0</v>
      </c>
      <c r="U999">
        <v>0</v>
      </c>
      <c r="V999">
        <v>75458.5</v>
      </c>
      <c r="W999">
        <v>469249</v>
      </c>
      <c r="X999">
        <v>27086</v>
      </c>
      <c r="Y999">
        <f t="shared" si="15"/>
        <v>469249</v>
      </c>
      <c r="Z999" t="str">
        <f>IF(ISNUMBER(SEARCH("Adjustment",$C999)),"excluded",IF($H999="Behind the Meter","excluded",IF(NOT(OR($E999="Bundled",$E999="Energy")),"excluded",IF(OR($H999="Retail Power Marketer",$H999="Community Choice Aggregator",$E999="Energy"),"procurement",IF(OR($H999="Municipal",$H999="Cooperative",$H999="Federal",$H999="State",$H999="Political Subdivision"),"cost_service",IF($H999="Investor Owned",IF(AND(COUNTIF(Parameters!$A$4:$A$33,$G999)&gt;0,COUNTIF(Parameters!$B$4:$B$33,$B999)=0),"procurement","cost_service"),"unclassified"))))))</f>
        <v>cost_service</v>
      </c>
    </row>
    <row r="1000" spans="1:26" x14ac:dyDescent="0.25">
      <c r="A1000">
        <v>2024</v>
      </c>
      <c r="B1000">
        <v>14606</v>
      </c>
      <c r="C1000" t="s">
        <v>989</v>
      </c>
      <c r="D1000" t="s">
        <v>84</v>
      </c>
      <c r="E1000" t="s">
        <v>85</v>
      </c>
      <c r="F1000" t="s">
        <v>86</v>
      </c>
      <c r="G1000" t="s">
        <v>195</v>
      </c>
      <c r="H1000" t="s">
        <v>91</v>
      </c>
      <c r="I1000" t="s">
        <v>299</v>
      </c>
      <c r="J1000">
        <v>100621</v>
      </c>
      <c r="K1000">
        <v>814932</v>
      </c>
      <c r="L1000">
        <v>57589</v>
      </c>
      <c r="M1000">
        <v>38529</v>
      </c>
      <c r="N1000">
        <v>359883</v>
      </c>
      <c r="O1000">
        <v>8626</v>
      </c>
      <c r="P1000">
        <v>169</v>
      </c>
      <c r="Q1000">
        <v>738</v>
      </c>
      <c r="R1000">
        <v>18</v>
      </c>
      <c r="S1000">
        <v>0</v>
      </c>
      <c r="T1000">
        <v>0</v>
      </c>
      <c r="U1000">
        <v>0</v>
      </c>
      <c r="V1000">
        <v>139319</v>
      </c>
      <c r="W1000">
        <v>1175553</v>
      </c>
      <c r="X1000">
        <v>66233</v>
      </c>
      <c r="Y1000">
        <f t="shared" si="15"/>
        <v>1175553</v>
      </c>
      <c r="Z1000" t="str">
        <f>IF(ISNUMBER(SEARCH("Adjustment",$C1000)),"excluded",IF($H1000="Behind the Meter","excluded",IF(NOT(OR($E1000="Bundled",$E1000="Energy")),"excluded",IF(OR($H1000="Retail Power Marketer",$H1000="Community Choice Aggregator",$E1000="Energy"),"procurement",IF(OR($H1000="Municipal",$H1000="Cooperative",$H1000="Federal",$H1000="State",$H1000="Political Subdivision"),"cost_service",IF($H1000="Investor Owned",IF(AND(COUNTIF(Parameters!$A$4:$A$33,$G1000)&gt;0,COUNTIF(Parameters!$B$4:$B$33,$B1000)=0),"procurement","cost_service"),"unclassified"))))))</f>
        <v>cost_service</v>
      </c>
    </row>
    <row r="1001" spans="1:26" x14ac:dyDescent="0.25">
      <c r="A1001">
        <v>2024</v>
      </c>
      <c r="B1001">
        <v>14610</v>
      </c>
      <c r="C1001" t="s">
        <v>990</v>
      </c>
      <c r="D1001" t="s">
        <v>84</v>
      </c>
      <c r="E1001" t="s">
        <v>85</v>
      </c>
      <c r="F1001" t="s">
        <v>86</v>
      </c>
      <c r="G1001" t="s">
        <v>195</v>
      </c>
      <c r="H1001" t="s">
        <v>88</v>
      </c>
      <c r="I1001" t="s">
        <v>528</v>
      </c>
      <c r="J1001">
        <v>447347.4</v>
      </c>
      <c r="K1001">
        <v>2935918</v>
      </c>
      <c r="L1001">
        <v>248683</v>
      </c>
      <c r="M1001">
        <v>377196.1</v>
      </c>
      <c r="N1001">
        <v>4392622</v>
      </c>
      <c r="O1001">
        <v>33499</v>
      </c>
      <c r="P1001" t="s">
        <v>97</v>
      </c>
      <c r="Q1001" t="s">
        <v>97</v>
      </c>
      <c r="R1001" t="s">
        <v>97</v>
      </c>
      <c r="S1001" t="s">
        <v>97</v>
      </c>
      <c r="T1001" t="s">
        <v>97</v>
      </c>
      <c r="U1001" t="s">
        <v>97</v>
      </c>
      <c r="V1001">
        <v>824543.5</v>
      </c>
      <c r="W1001">
        <v>7328540</v>
      </c>
      <c r="X1001">
        <v>282182</v>
      </c>
      <c r="Y1001">
        <f t="shared" si="15"/>
        <v>7328540</v>
      </c>
      <c r="Z1001" t="str">
        <f>IF(ISNUMBER(SEARCH("Adjustment",$C1001)),"excluded",IF($H1001="Behind the Meter","excluded",IF(NOT(OR($E1001="Bundled",$E1001="Energy")),"excluded",IF(OR($H1001="Retail Power Marketer",$H1001="Community Choice Aggregator",$E1001="Energy"),"procurement",IF(OR($H1001="Municipal",$H1001="Cooperative",$H1001="Federal",$H1001="State",$H1001="Political Subdivision"),"cost_service",IF($H1001="Investor Owned",IF(AND(COUNTIF(Parameters!$A$4:$A$33,$G1001)&gt;0,COUNTIF(Parameters!$B$4:$B$33,$B1001)=0),"procurement","cost_service"),"unclassified"))))))</f>
        <v>cost_service</v>
      </c>
    </row>
    <row r="1002" spans="1:26" x14ac:dyDescent="0.25">
      <c r="A1002">
        <v>2024</v>
      </c>
      <c r="B1002">
        <v>14624</v>
      </c>
      <c r="C1002" t="s">
        <v>991</v>
      </c>
      <c r="D1002" t="s">
        <v>84</v>
      </c>
      <c r="E1002" t="s">
        <v>85</v>
      </c>
      <c r="F1002" t="s">
        <v>86</v>
      </c>
      <c r="G1002" t="s">
        <v>148</v>
      </c>
      <c r="H1002" t="s">
        <v>205</v>
      </c>
      <c r="I1002" t="s">
        <v>992</v>
      </c>
      <c r="J1002">
        <v>50832</v>
      </c>
      <c r="K1002">
        <v>845768</v>
      </c>
      <c r="L1002">
        <v>42485</v>
      </c>
      <c r="M1002">
        <v>157723.79999999999</v>
      </c>
      <c r="N1002">
        <v>3621318</v>
      </c>
      <c r="O1002">
        <v>8098</v>
      </c>
      <c r="P1002">
        <v>74887.3</v>
      </c>
      <c r="Q1002">
        <v>1881611</v>
      </c>
      <c r="R1002">
        <v>5360</v>
      </c>
      <c r="S1002" t="s">
        <v>97</v>
      </c>
      <c r="T1002" t="s">
        <v>97</v>
      </c>
      <c r="U1002" t="s">
        <v>97</v>
      </c>
      <c r="V1002">
        <v>283443.09999999998</v>
      </c>
      <c r="W1002">
        <v>6348697</v>
      </c>
      <c r="X1002">
        <v>55943</v>
      </c>
      <c r="Y1002">
        <f t="shared" si="15"/>
        <v>6348697</v>
      </c>
      <c r="Z1002" t="str">
        <f>IF(ISNUMBER(SEARCH("Adjustment",$C1002)),"excluded",IF($H1002="Behind the Meter","excluded",IF(NOT(OR($E1002="Bundled",$E1002="Energy")),"excluded",IF(OR($H1002="Retail Power Marketer",$H1002="Community Choice Aggregator",$E1002="Energy"),"procurement",IF(OR($H1002="Municipal",$H1002="Cooperative",$H1002="Federal",$H1002="State",$H1002="Political Subdivision"),"cost_service",IF($H1002="Investor Owned",IF(AND(COUNTIF(Parameters!$A$4:$A$33,$G1002)&gt;0,COUNTIF(Parameters!$B$4:$B$33,$B1002)=0),"procurement","cost_service"),"unclassified"))))))</f>
        <v>cost_service</v>
      </c>
    </row>
    <row r="1003" spans="1:26" x14ac:dyDescent="0.25">
      <c r="A1003">
        <v>2024</v>
      </c>
      <c r="B1003">
        <v>14626</v>
      </c>
      <c r="C1003" t="s">
        <v>993</v>
      </c>
      <c r="D1003" t="s">
        <v>84</v>
      </c>
      <c r="E1003" t="s">
        <v>85</v>
      </c>
      <c r="F1003" t="s">
        <v>86</v>
      </c>
      <c r="G1003" t="s">
        <v>57</v>
      </c>
      <c r="H1003" t="s">
        <v>91</v>
      </c>
      <c r="I1003" t="s">
        <v>151</v>
      </c>
      <c r="J1003">
        <v>708402.1</v>
      </c>
      <c r="K1003">
        <v>5797914</v>
      </c>
      <c r="L1003">
        <v>405587</v>
      </c>
      <c r="M1003">
        <v>224622.7</v>
      </c>
      <c r="N1003">
        <v>1760388</v>
      </c>
      <c r="O1003">
        <v>51822</v>
      </c>
      <c r="P1003">
        <v>23642.5</v>
      </c>
      <c r="Q1003">
        <v>370182</v>
      </c>
      <c r="R1003">
        <v>189</v>
      </c>
      <c r="S1003" t="s">
        <v>97</v>
      </c>
      <c r="T1003" t="s">
        <v>97</v>
      </c>
      <c r="U1003" t="s">
        <v>97</v>
      </c>
      <c r="V1003">
        <v>956667.3</v>
      </c>
      <c r="W1003">
        <v>7928484</v>
      </c>
      <c r="X1003">
        <v>457598</v>
      </c>
      <c r="Y1003">
        <f t="shared" si="15"/>
        <v>7928484</v>
      </c>
      <c r="Z1003" t="str">
        <f>IF(ISNUMBER(SEARCH("Adjustment",$C1003)),"excluded",IF($H1003="Behind the Meter","excluded",IF(NOT(OR($E1003="Bundled",$E1003="Energy")),"excluded",IF(OR($H1003="Retail Power Marketer",$H1003="Community Choice Aggregator",$E1003="Energy"),"procurement",IF(OR($H1003="Municipal",$H1003="Cooperative",$H1003="Federal",$H1003="State",$H1003="Political Subdivision"),"cost_service",IF($H1003="Investor Owned",IF(AND(COUNTIF(Parameters!$A$4:$A$33,$G1003)&gt;0,COUNTIF(Parameters!$B$4:$B$33,$B1003)=0),"procurement","cost_service"),"unclassified"))))))</f>
        <v>cost_service</v>
      </c>
    </row>
    <row r="1004" spans="1:26" x14ac:dyDescent="0.25">
      <c r="A1004">
        <v>2024</v>
      </c>
      <c r="B1004">
        <v>14649</v>
      </c>
      <c r="C1004" t="s">
        <v>994</v>
      </c>
      <c r="D1004" t="s">
        <v>84</v>
      </c>
      <c r="E1004" t="s">
        <v>85</v>
      </c>
      <c r="F1004" t="s">
        <v>86</v>
      </c>
      <c r="G1004" t="s">
        <v>123</v>
      </c>
      <c r="H1004" t="s">
        <v>91</v>
      </c>
      <c r="I1004" t="s">
        <v>113</v>
      </c>
      <c r="J1004">
        <v>32351</v>
      </c>
      <c r="K1004">
        <v>222583</v>
      </c>
      <c r="L1004">
        <v>16385</v>
      </c>
      <c r="M1004">
        <v>4438</v>
      </c>
      <c r="N1004">
        <v>36177</v>
      </c>
      <c r="O1004">
        <v>1097</v>
      </c>
      <c r="P1004">
        <v>3614</v>
      </c>
      <c r="Q1004">
        <v>23288</v>
      </c>
      <c r="R1004">
        <v>716</v>
      </c>
      <c r="S1004" t="s">
        <v>97</v>
      </c>
      <c r="T1004" t="s">
        <v>97</v>
      </c>
      <c r="U1004" t="s">
        <v>97</v>
      </c>
      <c r="V1004">
        <v>40403</v>
      </c>
      <c r="W1004">
        <v>282048</v>
      </c>
      <c r="X1004">
        <v>18198</v>
      </c>
      <c r="Y1004">
        <f t="shared" si="15"/>
        <v>282048</v>
      </c>
      <c r="Z1004" t="str">
        <f>IF(ISNUMBER(SEARCH("Adjustment",$C1004)),"excluded",IF($H1004="Behind the Meter","excluded",IF(NOT(OR($E1004="Bundled",$E1004="Energy")),"excluded",IF(OR($H1004="Retail Power Marketer",$H1004="Community Choice Aggregator",$E1004="Energy"),"procurement",IF(OR($H1004="Municipal",$H1004="Cooperative",$H1004="Federal",$H1004="State",$H1004="Political Subdivision"),"cost_service",IF($H1004="Investor Owned",IF(AND(COUNTIF(Parameters!$A$4:$A$33,$G1004)&gt;0,COUNTIF(Parameters!$B$4:$B$33,$B1004)=0),"procurement","cost_service"),"unclassified"))))))</f>
        <v>cost_service</v>
      </c>
    </row>
    <row r="1005" spans="1:26" x14ac:dyDescent="0.25">
      <c r="A1005">
        <v>2024</v>
      </c>
      <c r="B1005">
        <v>14653</v>
      </c>
      <c r="C1005" t="s">
        <v>995</v>
      </c>
      <c r="D1005" t="s">
        <v>84</v>
      </c>
      <c r="E1005" t="s">
        <v>85</v>
      </c>
      <c r="F1005" t="s">
        <v>86</v>
      </c>
      <c r="G1005" t="s">
        <v>148</v>
      </c>
      <c r="H1005" t="s">
        <v>205</v>
      </c>
      <c r="I1005" t="s">
        <v>707</v>
      </c>
      <c r="J1005">
        <v>13543</v>
      </c>
      <c r="K1005">
        <v>157751</v>
      </c>
      <c r="L1005">
        <v>9120</v>
      </c>
      <c r="M1005">
        <v>25804.2</v>
      </c>
      <c r="N1005">
        <v>448506</v>
      </c>
      <c r="O1005">
        <v>977</v>
      </c>
      <c r="P1005">
        <v>1696.9</v>
      </c>
      <c r="Q1005">
        <v>21874</v>
      </c>
      <c r="R1005">
        <v>4</v>
      </c>
      <c r="S1005" t="s">
        <v>97</v>
      </c>
      <c r="T1005" t="s">
        <v>97</v>
      </c>
      <c r="U1005" t="s">
        <v>97</v>
      </c>
      <c r="V1005">
        <v>41044.1</v>
      </c>
      <c r="W1005">
        <v>628131</v>
      </c>
      <c r="X1005">
        <v>10101</v>
      </c>
      <c r="Y1005">
        <f t="shared" si="15"/>
        <v>628131</v>
      </c>
      <c r="Z1005" t="str">
        <f>IF(ISNUMBER(SEARCH("Adjustment",$C1005)),"excluded",IF($H1005="Behind the Meter","excluded",IF(NOT(OR($E1005="Bundled",$E1005="Energy")),"excluded",IF(OR($H1005="Retail Power Marketer",$H1005="Community Choice Aggregator",$E1005="Energy"),"procurement",IF(OR($H1005="Municipal",$H1005="Cooperative",$H1005="Federal",$H1005="State",$H1005="Political Subdivision"),"cost_service",IF($H1005="Investor Owned",IF(AND(COUNTIF(Parameters!$A$4:$A$33,$G1005)&gt;0,COUNTIF(Parameters!$B$4:$B$33,$B1005)=0),"procurement","cost_service"),"unclassified"))))))</f>
        <v>cost_service</v>
      </c>
    </row>
    <row r="1006" spans="1:26" x14ac:dyDescent="0.25">
      <c r="A1006">
        <v>2024</v>
      </c>
      <c r="B1006">
        <v>14668</v>
      </c>
      <c r="C1006" t="s">
        <v>996</v>
      </c>
      <c r="D1006" t="s">
        <v>84</v>
      </c>
      <c r="E1006" t="s">
        <v>85</v>
      </c>
      <c r="F1006" t="s">
        <v>86</v>
      </c>
      <c r="G1006" t="s">
        <v>148</v>
      </c>
      <c r="H1006" t="s">
        <v>91</v>
      </c>
      <c r="I1006" t="s">
        <v>206</v>
      </c>
      <c r="J1006">
        <v>56522.5</v>
      </c>
      <c r="K1006">
        <v>538073</v>
      </c>
      <c r="L1006">
        <v>35478</v>
      </c>
      <c r="M1006">
        <v>6072.3</v>
      </c>
      <c r="N1006">
        <v>77296</v>
      </c>
      <c r="O1006">
        <v>138</v>
      </c>
      <c r="P1006" t="s">
        <v>97</v>
      </c>
      <c r="Q1006" t="s">
        <v>97</v>
      </c>
      <c r="R1006" t="s">
        <v>97</v>
      </c>
      <c r="S1006" t="s">
        <v>97</v>
      </c>
      <c r="T1006" t="s">
        <v>97</v>
      </c>
      <c r="U1006" t="s">
        <v>97</v>
      </c>
      <c r="V1006">
        <v>62594.8</v>
      </c>
      <c r="W1006">
        <v>615369</v>
      </c>
      <c r="X1006">
        <v>35616</v>
      </c>
      <c r="Y1006">
        <f t="shared" si="15"/>
        <v>615369</v>
      </c>
      <c r="Z1006" t="str">
        <f>IF(ISNUMBER(SEARCH("Adjustment",$C1006)),"excluded",IF($H1006="Behind the Meter","excluded",IF(NOT(OR($E1006="Bundled",$E1006="Energy")),"excluded",IF(OR($H1006="Retail Power Marketer",$H1006="Community Choice Aggregator",$E1006="Energy"),"procurement",IF(OR($H1006="Municipal",$H1006="Cooperative",$H1006="Federal",$H1006="State",$H1006="Political Subdivision"),"cost_service",IF($H1006="Investor Owned",IF(AND(COUNTIF(Parameters!$A$4:$A$33,$G1006)&gt;0,COUNTIF(Parameters!$B$4:$B$33,$B1006)=0),"procurement","cost_service"),"unclassified"))))))</f>
        <v>cost_service</v>
      </c>
    </row>
    <row r="1007" spans="1:26" x14ac:dyDescent="0.25">
      <c r="A1007">
        <v>2024</v>
      </c>
      <c r="B1007">
        <v>14715</v>
      </c>
      <c r="C1007" t="s">
        <v>997</v>
      </c>
      <c r="D1007" t="s">
        <v>84</v>
      </c>
      <c r="E1007" t="s">
        <v>85</v>
      </c>
      <c r="F1007" t="s">
        <v>86</v>
      </c>
      <c r="G1007" t="s">
        <v>55</v>
      </c>
      <c r="H1007" t="s">
        <v>109</v>
      </c>
      <c r="I1007" t="s">
        <v>92</v>
      </c>
      <c r="J1007">
        <v>1380991.7</v>
      </c>
      <c r="K1007">
        <v>8128207</v>
      </c>
      <c r="L1007">
        <v>797773</v>
      </c>
      <c r="M1007">
        <v>262203.90000000002</v>
      </c>
      <c r="N1007">
        <v>1886520</v>
      </c>
      <c r="O1007">
        <v>93479</v>
      </c>
      <c r="P1007">
        <v>16938.7</v>
      </c>
      <c r="Q1007">
        <v>154926</v>
      </c>
      <c r="R1007">
        <v>856</v>
      </c>
      <c r="S1007">
        <v>0</v>
      </c>
      <c r="T1007">
        <v>0</v>
      </c>
      <c r="U1007">
        <v>0</v>
      </c>
      <c r="V1007">
        <v>1660134.3</v>
      </c>
      <c r="W1007">
        <v>10169653</v>
      </c>
      <c r="X1007">
        <v>892108</v>
      </c>
      <c r="Y1007">
        <f t="shared" si="15"/>
        <v>10169653</v>
      </c>
      <c r="Z1007" t="str">
        <f>IF(ISNUMBER(SEARCH("Adjustment",$C1007)),"excluded",IF($H1007="Behind the Meter","excluded",IF(NOT(OR($E1007="Bundled",$E1007="Energy")),"excluded",IF(OR($H1007="Retail Power Marketer",$H1007="Community Choice Aggregator",$E1007="Energy"),"procurement",IF(OR($H1007="Municipal",$H1007="Cooperative",$H1007="Federal",$H1007="State",$H1007="Political Subdivision"),"cost_service",IF($H1007="Investor Owned",IF(AND(COUNTIF(Parameters!$A$4:$A$33,$G1007)&gt;0,COUNTIF(Parameters!$B$4:$B$33,$B1007)=0),"procurement","cost_service"),"unclassified"))))))</f>
        <v>procurement</v>
      </c>
    </row>
    <row r="1008" spans="1:26" x14ac:dyDescent="0.25">
      <c r="A1008">
        <v>2024</v>
      </c>
      <c r="B1008">
        <v>14715</v>
      </c>
      <c r="C1008" t="s">
        <v>997</v>
      </c>
      <c r="D1008" t="s">
        <v>167</v>
      </c>
      <c r="E1008" t="s">
        <v>168</v>
      </c>
      <c r="F1008" t="s">
        <v>86</v>
      </c>
      <c r="G1008" t="s">
        <v>55</v>
      </c>
      <c r="H1008" t="s">
        <v>109</v>
      </c>
      <c r="I1008" t="s">
        <v>92</v>
      </c>
      <c r="J1008">
        <v>374734.4</v>
      </c>
      <c r="K1008">
        <v>6098417</v>
      </c>
      <c r="L1008">
        <v>498110</v>
      </c>
      <c r="M1008">
        <v>193575.7</v>
      </c>
      <c r="N1008">
        <v>12010707</v>
      </c>
      <c r="O1008">
        <v>95036</v>
      </c>
      <c r="P1008">
        <v>36574</v>
      </c>
      <c r="Q1008">
        <v>8345169</v>
      </c>
      <c r="R1008">
        <v>2093</v>
      </c>
      <c r="S1008">
        <v>0</v>
      </c>
      <c r="T1008">
        <v>0</v>
      </c>
      <c r="U1008">
        <v>0</v>
      </c>
      <c r="V1008">
        <v>604884.1</v>
      </c>
      <c r="W1008">
        <v>26454293</v>
      </c>
      <c r="X1008">
        <v>595239</v>
      </c>
      <c r="Y1008">
        <f t="shared" si="15"/>
        <v>26454293</v>
      </c>
      <c r="Z1008" t="str">
        <f>IF(ISNUMBER(SEARCH("Adjustment",$C1008)),"excluded",IF($H1008="Behind the Meter","excluded",IF(NOT(OR($E1008="Bundled",$E1008="Energy")),"excluded",IF(OR($H1008="Retail Power Marketer",$H1008="Community Choice Aggregator",$E1008="Energy"),"procurement",IF(OR($H1008="Municipal",$H1008="Cooperative",$H1008="Federal",$H1008="State",$H1008="Political Subdivision"),"cost_service",IF($H1008="Investor Owned",IF(AND(COUNTIF(Parameters!$A$4:$A$33,$G1008)&gt;0,COUNTIF(Parameters!$B$4:$B$33,$B1008)=0),"procurement","cost_service"),"unclassified"))))))</f>
        <v>excluded</v>
      </c>
    </row>
    <row r="1009" spans="1:26" x14ac:dyDescent="0.25">
      <c r="A1009">
        <v>2024</v>
      </c>
      <c r="B1009">
        <v>14717</v>
      </c>
      <c r="C1009" t="s">
        <v>998</v>
      </c>
      <c r="D1009" t="s">
        <v>84</v>
      </c>
      <c r="E1009" t="s">
        <v>85</v>
      </c>
      <c r="F1009" t="s">
        <v>86</v>
      </c>
      <c r="G1009" t="s">
        <v>125</v>
      </c>
      <c r="H1009" t="s">
        <v>91</v>
      </c>
      <c r="I1009" t="s">
        <v>163</v>
      </c>
      <c r="J1009">
        <v>39343.5</v>
      </c>
      <c r="K1009">
        <v>266304</v>
      </c>
      <c r="L1009">
        <v>19396</v>
      </c>
      <c r="M1009">
        <v>13755.5</v>
      </c>
      <c r="N1009">
        <v>116144</v>
      </c>
      <c r="O1009">
        <v>2871</v>
      </c>
      <c r="P1009">
        <v>1205.3</v>
      </c>
      <c r="Q1009">
        <v>12731</v>
      </c>
      <c r="R1009">
        <v>5</v>
      </c>
      <c r="S1009" t="s">
        <v>97</v>
      </c>
      <c r="T1009" t="s">
        <v>97</v>
      </c>
      <c r="U1009" t="s">
        <v>97</v>
      </c>
      <c r="V1009">
        <v>54304.3</v>
      </c>
      <c r="W1009">
        <v>395179</v>
      </c>
      <c r="X1009">
        <v>22272</v>
      </c>
      <c r="Y1009">
        <f t="shared" si="15"/>
        <v>395179</v>
      </c>
      <c r="Z1009" t="str">
        <f>IF(ISNUMBER(SEARCH("Adjustment",$C1009)),"excluded",IF($H1009="Behind the Meter","excluded",IF(NOT(OR($E1009="Bundled",$E1009="Energy")),"excluded",IF(OR($H1009="Retail Power Marketer",$H1009="Community Choice Aggregator",$E1009="Energy"),"procurement",IF(OR($H1009="Municipal",$H1009="Cooperative",$H1009="Federal",$H1009="State",$H1009="Political Subdivision"),"cost_service",IF($H1009="Investor Owned",IF(AND(COUNTIF(Parameters!$A$4:$A$33,$G1009)&gt;0,COUNTIF(Parameters!$B$4:$B$33,$B1009)=0),"procurement","cost_service"),"unclassified"))))))</f>
        <v>cost_service</v>
      </c>
    </row>
    <row r="1010" spans="1:26" x14ac:dyDescent="0.25">
      <c r="A1010">
        <v>2024</v>
      </c>
      <c r="B1010">
        <v>14724</v>
      </c>
      <c r="C1010" t="s">
        <v>999</v>
      </c>
      <c r="D1010" t="s">
        <v>84</v>
      </c>
      <c r="E1010" t="s">
        <v>85</v>
      </c>
      <c r="F1010" t="s">
        <v>86</v>
      </c>
      <c r="G1010" t="s">
        <v>209</v>
      </c>
      <c r="H1010" t="s">
        <v>91</v>
      </c>
      <c r="I1010" t="s">
        <v>89</v>
      </c>
      <c r="J1010">
        <v>76104</v>
      </c>
      <c r="K1010">
        <v>578172</v>
      </c>
      <c r="L1010">
        <v>40645</v>
      </c>
      <c r="M1010">
        <v>43821</v>
      </c>
      <c r="N1010">
        <v>325262</v>
      </c>
      <c r="O1010">
        <v>6889</v>
      </c>
      <c r="P1010">
        <v>25287</v>
      </c>
      <c r="Q1010">
        <v>368318</v>
      </c>
      <c r="R1010">
        <v>26</v>
      </c>
      <c r="S1010">
        <v>0</v>
      </c>
      <c r="T1010">
        <v>0</v>
      </c>
      <c r="U1010">
        <v>0</v>
      </c>
      <c r="V1010">
        <v>145212</v>
      </c>
      <c r="W1010">
        <v>1271752</v>
      </c>
      <c r="X1010">
        <v>47560</v>
      </c>
      <c r="Y1010">
        <f t="shared" si="15"/>
        <v>1271752</v>
      </c>
      <c r="Z1010" t="str">
        <f>IF(ISNUMBER(SEARCH("Adjustment",$C1010)),"excluded",IF($H1010="Behind the Meter","excluded",IF(NOT(OR($E1010="Bundled",$E1010="Energy")),"excluded",IF(OR($H1010="Retail Power Marketer",$H1010="Community Choice Aggregator",$E1010="Energy"),"procurement",IF(OR($H1010="Municipal",$H1010="Cooperative",$H1010="Federal",$H1010="State",$H1010="Political Subdivision"),"cost_service",IF($H1010="Investor Owned",IF(AND(COUNTIF(Parameters!$A$4:$A$33,$G1010)&gt;0,COUNTIF(Parameters!$B$4:$B$33,$B1010)=0),"procurement","cost_service"),"unclassified"))))))</f>
        <v>cost_service</v>
      </c>
    </row>
    <row r="1011" spans="1:26" x14ac:dyDescent="0.25">
      <c r="A1011">
        <v>2024</v>
      </c>
      <c r="B1011">
        <v>14775</v>
      </c>
      <c r="C1011" t="s">
        <v>1000</v>
      </c>
      <c r="D1011" t="s">
        <v>84</v>
      </c>
      <c r="E1011" t="s">
        <v>85</v>
      </c>
      <c r="F1011" t="s">
        <v>86</v>
      </c>
      <c r="G1011" t="s">
        <v>136</v>
      </c>
      <c r="H1011" t="s">
        <v>91</v>
      </c>
      <c r="I1011" t="s">
        <v>135</v>
      </c>
      <c r="J1011">
        <v>29831.1</v>
      </c>
      <c r="K1011">
        <v>238100</v>
      </c>
      <c r="L1011">
        <v>14728</v>
      </c>
      <c r="M1011">
        <v>32231.200000000001</v>
      </c>
      <c r="N1011">
        <v>232824</v>
      </c>
      <c r="O1011">
        <v>8422</v>
      </c>
      <c r="P1011">
        <v>22483.1</v>
      </c>
      <c r="Q1011">
        <v>355260</v>
      </c>
      <c r="R1011">
        <v>26</v>
      </c>
      <c r="S1011">
        <v>0</v>
      </c>
      <c r="T1011">
        <v>0</v>
      </c>
      <c r="U1011">
        <v>0</v>
      </c>
      <c r="V1011">
        <v>84545.4</v>
      </c>
      <c r="W1011">
        <v>826184</v>
      </c>
      <c r="X1011">
        <v>23176</v>
      </c>
      <c r="Y1011">
        <f t="shared" si="15"/>
        <v>826184</v>
      </c>
      <c r="Z1011" t="str">
        <f>IF(ISNUMBER(SEARCH("Adjustment",$C1011)),"excluded",IF($H1011="Behind the Meter","excluded",IF(NOT(OR($E1011="Bundled",$E1011="Energy")),"excluded",IF(OR($H1011="Retail Power Marketer",$H1011="Community Choice Aggregator",$E1011="Energy"),"procurement",IF(OR($H1011="Municipal",$H1011="Cooperative",$H1011="Federal",$H1011="State",$H1011="Political Subdivision"),"cost_service",IF($H1011="Investor Owned",IF(AND(COUNTIF(Parameters!$A$4:$A$33,$G1011)&gt;0,COUNTIF(Parameters!$B$4:$B$33,$B1011)=0),"procurement","cost_service"),"unclassified"))))))</f>
        <v>cost_service</v>
      </c>
    </row>
    <row r="1012" spans="1:26" x14ac:dyDescent="0.25">
      <c r="A1012">
        <v>2024</v>
      </c>
      <c r="B1012">
        <v>14839</v>
      </c>
      <c r="C1012" t="s">
        <v>1001</v>
      </c>
      <c r="D1012" t="s">
        <v>84</v>
      </c>
      <c r="E1012" t="s">
        <v>85</v>
      </c>
      <c r="F1012" t="s">
        <v>86</v>
      </c>
      <c r="G1012" t="s">
        <v>130</v>
      </c>
      <c r="H1012" t="s">
        <v>88</v>
      </c>
      <c r="I1012" t="s">
        <v>96</v>
      </c>
      <c r="J1012">
        <v>12168</v>
      </c>
      <c r="K1012">
        <v>88532</v>
      </c>
      <c r="L1012">
        <v>9062</v>
      </c>
      <c r="M1012">
        <v>9498</v>
      </c>
      <c r="N1012">
        <v>73187</v>
      </c>
      <c r="O1012">
        <v>1517</v>
      </c>
      <c r="P1012">
        <v>7734</v>
      </c>
      <c r="Q1012">
        <v>68191</v>
      </c>
      <c r="R1012">
        <v>12</v>
      </c>
      <c r="S1012" t="s">
        <v>97</v>
      </c>
      <c r="T1012" t="s">
        <v>97</v>
      </c>
      <c r="U1012" t="s">
        <v>97</v>
      </c>
      <c r="V1012">
        <v>29400</v>
      </c>
      <c r="W1012">
        <v>229910</v>
      </c>
      <c r="X1012">
        <v>10591</v>
      </c>
      <c r="Y1012">
        <f t="shared" si="15"/>
        <v>229910</v>
      </c>
      <c r="Z1012" t="str">
        <f>IF(ISNUMBER(SEARCH("Adjustment",$C1012)),"excluded",IF($H1012="Behind the Meter","excluded",IF(NOT(OR($E1012="Bundled",$E1012="Energy")),"excluded",IF(OR($H1012="Retail Power Marketer",$H1012="Community Choice Aggregator",$E1012="Energy"),"procurement",IF(OR($H1012="Municipal",$H1012="Cooperative",$H1012="Federal",$H1012="State",$H1012="Political Subdivision"),"cost_service",IF($H1012="Investor Owned",IF(AND(COUNTIF(Parameters!$A$4:$A$33,$G1012)&gt;0,COUNTIF(Parameters!$B$4:$B$33,$B1012)=0),"procurement","cost_service"),"unclassified"))))))</f>
        <v>cost_service</v>
      </c>
    </row>
    <row r="1013" spans="1:26" x14ac:dyDescent="0.25">
      <c r="A1013">
        <v>2024</v>
      </c>
      <c r="B1013">
        <v>14840</v>
      </c>
      <c r="C1013" t="s">
        <v>1002</v>
      </c>
      <c r="D1013" t="s">
        <v>84</v>
      </c>
      <c r="E1013" t="s">
        <v>85</v>
      </c>
      <c r="F1013" t="s">
        <v>86</v>
      </c>
      <c r="G1013" t="s">
        <v>46</v>
      </c>
      <c r="H1013" t="s">
        <v>88</v>
      </c>
      <c r="I1013" t="s">
        <v>96</v>
      </c>
      <c r="J1013">
        <v>4491</v>
      </c>
      <c r="K1013">
        <v>37429</v>
      </c>
      <c r="L1013">
        <v>4993</v>
      </c>
      <c r="M1013">
        <v>10364</v>
      </c>
      <c r="N1013">
        <v>81610</v>
      </c>
      <c r="O1013">
        <v>1159</v>
      </c>
      <c r="P1013">
        <v>11246</v>
      </c>
      <c r="Q1013">
        <v>116965</v>
      </c>
      <c r="R1013">
        <v>9</v>
      </c>
      <c r="S1013" t="s">
        <v>97</v>
      </c>
      <c r="T1013" t="s">
        <v>97</v>
      </c>
      <c r="U1013" t="s">
        <v>97</v>
      </c>
      <c r="V1013">
        <v>26101</v>
      </c>
      <c r="W1013">
        <v>236004</v>
      </c>
      <c r="X1013">
        <v>6161</v>
      </c>
      <c r="Y1013">
        <f t="shared" si="15"/>
        <v>236004</v>
      </c>
      <c r="Z1013" t="str">
        <f>IF(ISNUMBER(SEARCH("Adjustment",$C1013)),"excluded",IF($H1013="Behind the Meter","excluded",IF(NOT(OR($E1013="Bundled",$E1013="Energy")),"excluded",IF(OR($H1013="Retail Power Marketer",$H1013="Community Choice Aggregator",$E1013="Energy"),"procurement",IF(OR($H1013="Municipal",$H1013="Cooperative",$H1013="Federal",$H1013="State",$H1013="Political Subdivision"),"cost_service",IF($H1013="Investor Owned",IF(AND(COUNTIF(Parameters!$A$4:$A$33,$G1013)&gt;0,COUNTIF(Parameters!$B$4:$B$33,$B1013)=0),"procurement","cost_service"),"unclassified"))))))</f>
        <v>cost_service</v>
      </c>
    </row>
    <row r="1014" spans="1:26" x14ac:dyDescent="0.25">
      <c r="A1014">
        <v>2024</v>
      </c>
      <c r="B1014">
        <v>14864</v>
      </c>
      <c r="C1014" t="s">
        <v>1003</v>
      </c>
      <c r="D1014" t="s">
        <v>84</v>
      </c>
      <c r="E1014" t="s">
        <v>85</v>
      </c>
      <c r="F1014" t="s">
        <v>86</v>
      </c>
      <c r="G1014" t="s">
        <v>173</v>
      </c>
      <c r="H1014" t="s">
        <v>91</v>
      </c>
      <c r="I1014" t="s">
        <v>96</v>
      </c>
      <c r="J1014">
        <v>33236</v>
      </c>
      <c r="K1014">
        <v>212826</v>
      </c>
      <c r="L1014">
        <v>18776</v>
      </c>
      <c r="M1014">
        <v>9656</v>
      </c>
      <c r="N1014">
        <v>68557</v>
      </c>
      <c r="O1014">
        <v>2131</v>
      </c>
      <c r="P1014">
        <v>2184</v>
      </c>
      <c r="Q1014">
        <v>15440</v>
      </c>
      <c r="R1014">
        <v>10</v>
      </c>
      <c r="S1014" t="s">
        <v>97</v>
      </c>
      <c r="T1014" t="s">
        <v>97</v>
      </c>
      <c r="U1014" t="s">
        <v>97</v>
      </c>
      <c r="V1014">
        <v>45076</v>
      </c>
      <c r="W1014">
        <v>296823</v>
      </c>
      <c r="X1014">
        <v>20917</v>
      </c>
      <c r="Y1014">
        <f t="shared" si="15"/>
        <v>296823</v>
      </c>
      <c r="Z1014" t="str">
        <f>IF(ISNUMBER(SEARCH("Adjustment",$C1014)),"excluded",IF($H1014="Behind the Meter","excluded",IF(NOT(OR($E1014="Bundled",$E1014="Energy")),"excluded",IF(OR($H1014="Retail Power Marketer",$H1014="Community Choice Aggregator",$E1014="Energy"),"procurement",IF(OR($H1014="Municipal",$H1014="Cooperative",$H1014="Federal",$H1014="State",$H1014="Political Subdivision"),"cost_service",IF($H1014="Investor Owned",IF(AND(COUNTIF(Parameters!$A$4:$A$33,$G1014)&gt;0,COUNTIF(Parameters!$B$4:$B$33,$B1014)=0),"procurement","cost_service"),"unclassified"))))))</f>
        <v>cost_service</v>
      </c>
    </row>
    <row r="1015" spans="1:26" x14ac:dyDescent="0.25">
      <c r="A1015">
        <v>2024</v>
      </c>
      <c r="B1015">
        <v>14940</v>
      </c>
      <c r="C1015" t="s">
        <v>1004</v>
      </c>
      <c r="D1015" t="s">
        <v>84</v>
      </c>
      <c r="E1015" t="s">
        <v>85</v>
      </c>
      <c r="F1015" t="s">
        <v>86</v>
      </c>
      <c r="G1015" t="s">
        <v>55</v>
      </c>
      <c r="H1015" t="s">
        <v>109</v>
      </c>
      <c r="I1015" t="s">
        <v>92</v>
      </c>
      <c r="J1015">
        <v>1752341</v>
      </c>
      <c r="K1015">
        <v>10840952</v>
      </c>
      <c r="L1015">
        <v>1205013</v>
      </c>
      <c r="M1015">
        <v>311773.5</v>
      </c>
      <c r="N1015">
        <v>2648121</v>
      </c>
      <c r="O1015">
        <v>99909</v>
      </c>
      <c r="P1015">
        <v>42395</v>
      </c>
      <c r="Q1015">
        <v>561116</v>
      </c>
      <c r="R1015">
        <v>394</v>
      </c>
      <c r="S1015">
        <v>0</v>
      </c>
      <c r="T1015">
        <v>0</v>
      </c>
      <c r="U1015">
        <v>0</v>
      </c>
      <c r="V1015">
        <v>2106509.5</v>
      </c>
      <c r="W1015">
        <v>14050189</v>
      </c>
      <c r="X1015">
        <v>1305316</v>
      </c>
      <c r="Y1015">
        <f t="shared" si="15"/>
        <v>14050189</v>
      </c>
      <c r="Z1015" t="str">
        <f>IF(ISNUMBER(SEARCH("Adjustment",$C1015)),"excluded",IF($H1015="Behind the Meter","excluded",IF(NOT(OR($E1015="Bundled",$E1015="Energy")),"excluded",IF(OR($H1015="Retail Power Marketer",$H1015="Community Choice Aggregator",$E1015="Energy"),"procurement",IF(OR($H1015="Municipal",$H1015="Cooperative",$H1015="Federal",$H1015="State",$H1015="Political Subdivision"),"cost_service",IF($H1015="Investor Owned",IF(AND(COUNTIF(Parameters!$A$4:$A$33,$G1015)&gt;0,COUNTIF(Parameters!$B$4:$B$33,$B1015)=0),"procurement","cost_service"),"unclassified"))))))</f>
        <v>procurement</v>
      </c>
    </row>
    <row r="1016" spans="1:26" x14ac:dyDescent="0.25">
      <c r="A1016">
        <v>2024</v>
      </c>
      <c r="B1016">
        <v>14940</v>
      </c>
      <c r="C1016" t="s">
        <v>1004</v>
      </c>
      <c r="D1016" t="s">
        <v>167</v>
      </c>
      <c r="E1016" t="s">
        <v>168</v>
      </c>
      <c r="F1016" t="s">
        <v>86</v>
      </c>
      <c r="G1016" t="s">
        <v>55</v>
      </c>
      <c r="H1016" t="s">
        <v>109</v>
      </c>
      <c r="I1016" t="s">
        <v>92</v>
      </c>
      <c r="J1016">
        <v>285785.8</v>
      </c>
      <c r="K1016">
        <v>2981893</v>
      </c>
      <c r="L1016">
        <v>330805</v>
      </c>
      <c r="M1016">
        <v>198915.20000000001</v>
      </c>
      <c r="N1016">
        <v>4945199</v>
      </c>
      <c r="O1016">
        <v>67420</v>
      </c>
      <c r="P1016">
        <v>187861.4</v>
      </c>
      <c r="Q1016">
        <v>12964540</v>
      </c>
      <c r="R1016">
        <v>2755</v>
      </c>
      <c r="S1016">
        <v>7078.3</v>
      </c>
      <c r="T1016">
        <v>469922</v>
      </c>
      <c r="U1016">
        <v>3</v>
      </c>
      <c r="V1016">
        <v>679640.7</v>
      </c>
      <c r="W1016">
        <v>21361554</v>
      </c>
      <c r="X1016">
        <v>400983</v>
      </c>
      <c r="Y1016">
        <f t="shared" si="15"/>
        <v>21361554</v>
      </c>
      <c r="Z1016" t="str">
        <f>IF(ISNUMBER(SEARCH("Adjustment",$C1016)),"excluded",IF($H1016="Behind the Meter","excluded",IF(NOT(OR($E1016="Bundled",$E1016="Energy")),"excluded",IF(OR($H1016="Retail Power Marketer",$H1016="Community Choice Aggregator",$E1016="Energy"),"procurement",IF(OR($H1016="Municipal",$H1016="Cooperative",$H1016="Federal",$H1016="State",$H1016="Political Subdivision"),"cost_service",IF($H1016="Investor Owned",IF(AND(COUNTIF(Parameters!$A$4:$A$33,$G1016)&gt;0,COUNTIF(Parameters!$B$4:$B$33,$B1016)=0),"procurement","cost_service"),"unclassified"))))))</f>
        <v>excluded</v>
      </c>
    </row>
    <row r="1017" spans="1:26" x14ac:dyDescent="0.25">
      <c r="A1017">
        <v>2024</v>
      </c>
      <c r="B1017">
        <v>14947</v>
      </c>
      <c r="C1017" t="s">
        <v>1005</v>
      </c>
      <c r="D1017" t="s">
        <v>84</v>
      </c>
      <c r="E1017" t="s">
        <v>85</v>
      </c>
      <c r="F1017" t="s">
        <v>86</v>
      </c>
      <c r="G1017" t="s">
        <v>87</v>
      </c>
      <c r="H1017" t="s">
        <v>88</v>
      </c>
      <c r="I1017" t="s">
        <v>89</v>
      </c>
      <c r="J1017">
        <v>4357</v>
      </c>
      <c r="K1017">
        <v>37115</v>
      </c>
      <c r="L1017">
        <v>2667</v>
      </c>
      <c r="M1017">
        <v>7483</v>
      </c>
      <c r="N1017">
        <v>63133</v>
      </c>
      <c r="O1017">
        <v>1171</v>
      </c>
      <c r="P1017">
        <v>548</v>
      </c>
      <c r="Q1017">
        <v>5372</v>
      </c>
      <c r="R1017">
        <v>1</v>
      </c>
      <c r="S1017">
        <v>0</v>
      </c>
      <c r="T1017">
        <v>0</v>
      </c>
      <c r="U1017">
        <v>0</v>
      </c>
      <c r="V1017">
        <v>12388</v>
      </c>
      <c r="W1017">
        <v>105620</v>
      </c>
      <c r="X1017">
        <v>3839</v>
      </c>
      <c r="Y1017">
        <f t="shared" si="15"/>
        <v>105620</v>
      </c>
      <c r="Z1017" t="str">
        <f>IF(ISNUMBER(SEARCH("Adjustment",$C1017)),"excluded",IF($H1017="Behind the Meter","excluded",IF(NOT(OR($E1017="Bundled",$E1017="Energy")),"excluded",IF(OR($H1017="Retail Power Marketer",$H1017="Community Choice Aggregator",$E1017="Energy"),"procurement",IF(OR($H1017="Municipal",$H1017="Cooperative",$H1017="Federal",$H1017="State",$H1017="Political Subdivision"),"cost_service",IF($H1017="Investor Owned",IF(AND(COUNTIF(Parameters!$A$4:$A$33,$G1017)&gt;0,COUNTIF(Parameters!$B$4:$B$33,$B1017)=0),"procurement","cost_service"),"unclassified"))))))</f>
        <v>cost_service</v>
      </c>
    </row>
    <row r="1018" spans="1:26" x14ac:dyDescent="0.25">
      <c r="A1018">
        <v>2024</v>
      </c>
      <c r="B1018">
        <v>14999</v>
      </c>
      <c r="C1018" t="s">
        <v>1006</v>
      </c>
      <c r="D1018" t="s">
        <v>99</v>
      </c>
      <c r="E1018" t="s">
        <v>100</v>
      </c>
      <c r="F1018" t="s">
        <v>86</v>
      </c>
      <c r="G1018" t="s">
        <v>115</v>
      </c>
      <c r="H1018" t="s">
        <v>101</v>
      </c>
      <c r="I1018" t="s">
        <v>116</v>
      </c>
      <c r="J1018">
        <v>4047</v>
      </c>
      <c r="K1018">
        <v>24530</v>
      </c>
      <c r="L1018">
        <v>3892</v>
      </c>
      <c r="M1018">
        <v>49060</v>
      </c>
      <c r="N1018">
        <v>470207</v>
      </c>
      <c r="O1018">
        <v>1529</v>
      </c>
      <c r="P1018">
        <v>58257</v>
      </c>
      <c r="Q1018">
        <v>620006</v>
      </c>
      <c r="R1018">
        <v>138</v>
      </c>
      <c r="S1018">
        <v>0</v>
      </c>
      <c r="T1018">
        <v>0</v>
      </c>
      <c r="U1018">
        <v>0</v>
      </c>
      <c r="V1018">
        <v>111364</v>
      </c>
      <c r="W1018">
        <v>1114743</v>
      </c>
      <c r="X1018">
        <v>5559</v>
      </c>
      <c r="Y1018">
        <f t="shared" si="15"/>
        <v>1114743</v>
      </c>
      <c r="Z1018" t="str">
        <f>IF(ISNUMBER(SEARCH("Adjustment",$C1018)),"excluded",IF($H1018="Behind the Meter","excluded",IF(NOT(OR($E1018="Bundled",$E1018="Energy")),"excluded",IF(OR($H1018="Retail Power Marketer",$H1018="Community Choice Aggregator",$E1018="Energy"),"procurement",IF(OR($H1018="Municipal",$H1018="Cooperative",$H1018="Federal",$H1018="State",$H1018="Political Subdivision"),"cost_service",IF($H1018="Investor Owned",IF(AND(COUNTIF(Parameters!$A$4:$A$33,$G1018)&gt;0,COUNTIF(Parameters!$B$4:$B$33,$B1018)=0),"procurement","cost_service"),"unclassified"))))))</f>
        <v>procurement</v>
      </c>
    </row>
    <row r="1019" spans="1:26" x14ac:dyDescent="0.25">
      <c r="A1019">
        <v>2024</v>
      </c>
      <c r="B1019">
        <v>15016</v>
      </c>
      <c r="C1019" t="s">
        <v>1007</v>
      </c>
      <c r="D1019" t="s">
        <v>84</v>
      </c>
      <c r="E1019" t="s">
        <v>85</v>
      </c>
      <c r="F1019" t="s">
        <v>86</v>
      </c>
      <c r="G1019" t="s">
        <v>156</v>
      </c>
      <c r="H1019" t="s">
        <v>91</v>
      </c>
      <c r="I1019" t="s">
        <v>89</v>
      </c>
      <c r="J1019">
        <v>30854</v>
      </c>
      <c r="K1019">
        <v>243526</v>
      </c>
      <c r="L1019">
        <v>16609</v>
      </c>
      <c r="M1019">
        <v>17312</v>
      </c>
      <c r="N1019">
        <v>120660</v>
      </c>
      <c r="O1019">
        <v>4889</v>
      </c>
      <c r="P1019">
        <v>1240</v>
      </c>
      <c r="Q1019">
        <v>13376</v>
      </c>
      <c r="R1019">
        <v>2</v>
      </c>
      <c r="S1019">
        <v>0</v>
      </c>
      <c r="T1019">
        <v>0</v>
      </c>
      <c r="U1019">
        <v>0</v>
      </c>
      <c r="V1019">
        <v>49406</v>
      </c>
      <c r="W1019">
        <v>377562</v>
      </c>
      <c r="X1019">
        <v>21500</v>
      </c>
      <c r="Y1019">
        <f t="shared" si="15"/>
        <v>377562</v>
      </c>
      <c r="Z1019" t="str">
        <f>IF(ISNUMBER(SEARCH("Adjustment",$C1019)),"excluded",IF($H1019="Behind the Meter","excluded",IF(NOT(OR($E1019="Bundled",$E1019="Energy")),"excluded",IF(OR($H1019="Retail Power Marketer",$H1019="Community Choice Aggregator",$E1019="Energy"),"procurement",IF(OR($H1019="Municipal",$H1019="Cooperative",$H1019="Federal",$H1019="State",$H1019="Political Subdivision"),"cost_service",IF($H1019="Investor Owned",IF(AND(COUNTIF(Parameters!$A$4:$A$33,$G1019)&gt;0,COUNTIF(Parameters!$B$4:$B$33,$B1019)=0),"procurement","cost_service"),"unclassified"))))))</f>
        <v>cost_service</v>
      </c>
    </row>
    <row r="1020" spans="1:26" x14ac:dyDescent="0.25">
      <c r="A1020">
        <v>2024</v>
      </c>
      <c r="B1020">
        <v>15023</v>
      </c>
      <c r="C1020" t="s">
        <v>1008</v>
      </c>
      <c r="D1020" t="s">
        <v>84</v>
      </c>
      <c r="E1020" t="s">
        <v>85</v>
      </c>
      <c r="F1020" t="s">
        <v>86</v>
      </c>
      <c r="G1020" t="s">
        <v>125</v>
      </c>
      <c r="H1020" t="s">
        <v>91</v>
      </c>
      <c r="I1020" t="s">
        <v>126</v>
      </c>
      <c r="J1020">
        <v>65034.5</v>
      </c>
      <c r="K1020">
        <v>416987</v>
      </c>
      <c r="L1020">
        <v>30334</v>
      </c>
      <c r="M1020">
        <v>10410.299999999999</v>
      </c>
      <c r="N1020">
        <v>72524</v>
      </c>
      <c r="O1020">
        <v>4111</v>
      </c>
      <c r="P1020">
        <v>2224.4</v>
      </c>
      <c r="Q1020">
        <v>23916</v>
      </c>
      <c r="R1020">
        <v>3</v>
      </c>
      <c r="S1020" t="s">
        <v>97</v>
      </c>
      <c r="T1020" t="s">
        <v>97</v>
      </c>
      <c r="U1020" t="s">
        <v>97</v>
      </c>
      <c r="V1020">
        <v>77669.2</v>
      </c>
      <c r="W1020">
        <v>513427</v>
      </c>
      <c r="X1020">
        <v>34448</v>
      </c>
      <c r="Y1020">
        <f t="shared" si="15"/>
        <v>513427</v>
      </c>
      <c r="Z1020" t="str">
        <f>IF(ISNUMBER(SEARCH("Adjustment",$C1020)),"excluded",IF($H1020="Behind the Meter","excluded",IF(NOT(OR($E1020="Bundled",$E1020="Energy")),"excluded",IF(OR($H1020="Retail Power Marketer",$H1020="Community Choice Aggregator",$E1020="Energy"),"procurement",IF(OR($H1020="Municipal",$H1020="Cooperative",$H1020="Federal",$H1020="State",$H1020="Political Subdivision"),"cost_service",IF($H1020="Investor Owned",IF(AND(COUNTIF(Parameters!$A$4:$A$33,$G1020)&gt;0,COUNTIF(Parameters!$B$4:$B$33,$B1020)=0),"procurement","cost_service"),"unclassified"))))))</f>
        <v>cost_service</v>
      </c>
    </row>
    <row r="1021" spans="1:26" x14ac:dyDescent="0.25">
      <c r="A1021">
        <v>2024</v>
      </c>
      <c r="B1021">
        <v>15040</v>
      </c>
      <c r="C1021" t="s">
        <v>1009</v>
      </c>
      <c r="D1021" t="s">
        <v>84</v>
      </c>
      <c r="E1021" t="s">
        <v>85</v>
      </c>
      <c r="F1021" t="s">
        <v>86</v>
      </c>
      <c r="G1021" t="s">
        <v>224</v>
      </c>
      <c r="H1021" t="s">
        <v>88</v>
      </c>
      <c r="I1021" t="s">
        <v>135</v>
      </c>
      <c r="J1021">
        <v>6899</v>
      </c>
      <c r="K1021">
        <v>64789</v>
      </c>
      <c r="L1021">
        <v>6126</v>
      </c>
      <c r="M1021">
        <v>2859.4</v>
      </c>
      <c r="N1021">
        <v>24901</v>
      </c>
      <c r="O1021">
        <v>1038</v>
      </c>
      <c r="P1021">
        <v>5115.6000000000004</v>
      </c>
      <c r="Q1021">
        <v>69568</v>
      </c>
      <c r="R1021">
        <v>163</v>
      </c>
      <c r="S1021">
        <v>0</v>
      </c>
      <c r="T1021">
        <v>0</v>
      </c>
      <c r="U1021">
        <v>0</v>
      </c>
      <c r="V1021">
        <v>14874</v>
      </c>
      <c r="W1021">
        <v>159258</v>
      </c>
      <c r="X1021">
        <v>7327</v>
      </c>
      <c r="Y1021">
        <f t="shared" si="15"/>
        <v>159258</v>
      </c>
      <c r="Z1021" t="str">
        <f>IF(ISNUMBER(SEARCH("Adjustment",$C1021)),"excluded",IF($H1021="Behind the Meter","excluded",IF(NOT(OR($E1021="Bundled",$E1021="Energy")),"excluded",IF(OR($H1021="Retail Power Marketer",$H1021="Community Choice Aggregator",$E1021="Energy"),"procurement",IF(OR($H1021="Municipal",$H1021="Cooperative",$H1021="Federal",$H1021="State",$H1021="Political Subdivision"),"cost_service",IF($H1021="Investor Owned",IF(AND(COUNTIF(Parameters!$A$4:$A$33,$G1021)&gt;0,COUNTIF(Parameters!$B$4:$B$33,$B1021)=0),"procurement","cost_service"),"unclassified"))))))</f>
        <v>cost_service</v>
      </c>
    </row>
    <row r="1022" spans="1:26" x14ac:dyDescent="0.25">
      <c r="A1022">
        <v>2024</v>
      </c>
      <c r="B1022">
        <v>15045</v>
      </c>
      <c r="C1022" t="s">
        <v>1010</v>
      </c>
      <c r="D1022" t="s">
        <v>84</v>
      </c>
      <c r="E1022" t="s">
        <v>85</v>
      </c>
      <c r="F1022" t="s">
        <v>86</v>
      </c>
      <c r="G1022" t="s">
        <v>55</v>
      </c>
      <c r="H1022" t="s">
        <v>109</v>
      </c>
      <c r="I1022" t="s">
        <v>102</v>
      </c>
      <c r="J1022">
        <v>5749.3</v>
      </c>
      <c r="K1022">
        <v>28824</v>
      </c>
      <c r="L1022">
        <v>3646</v>
      </c>
      <c r="M1022">
        <v>7035</v>
      </c>
      <c r="N1022">
        <v>40496</v>
      </c>
      <c r="O1022">
        <v>799</v>
      </c>
      <c r="P1022">
        <v>0</v>
      </c>
      <c r="Q1022">
        <v>0</v>
      </c>
      <c r="R1022">
        <v>0</v>
      </c>
      <c r="S1022">
        <v>0</v>
      </c>
      <c r="T1022">
        <v>0</v>
      </c>
      <c r="U1022">
        <v>0</v>
      </c>
      <c r="V1022">
        <v>12784.3</v>
      </c>
      <c r="W1022">
        <v>69320</v>
      </c>
      <c r="X1022">
        <v>4445</v>
      </c>
      <c r="Y1022">
        <f t="shared" si="15"/>
        <v>69320</v>
      </c>
      <c r="Z1022" t="str">
        <f>IF(ISNUMBER(SEARCH("Adjustment",$C1022)),"excluded",IF($H1022="Behind the Meter","excluded",IF(NOT(OR($E1022="Bundled",$E1022="Energy")),"excluded",IF(OR($H1022="Retail Power Marketer",$H1022="Community Choice Aggregator",$E1022="Energy"),"procurement",IF(OR($H1022="Municipal",$H1022="Cooperative",$H1022="Federal",$H1022="State",$H1022="Political Subdivision"),"cost_service",IF($H1022="Investor Owned",IF(AND(COUNTIF(Parameters!$A$4:$A$33,$G1022)&gt;0,COUNTIF(Parameters!$B$4:$B$33,$B1022)=0),"procurement","cost_service"),"unclassified"))))))</f>
        <v>procurement</v>
      </c>
    </row>
    <row r="1023" spans="1:26" x14ac:dyDescent="0.25">
      <c r="A1023">
        <v>2024</v>
      </c>
      <c r="B1023">
        <v>15045</v>
      </c>
      <c r="C1023" t="s">
        <v>1010</v>
      </c>
      <c r="D1023" t="s">
        <v>167</v>
      </c>
      <c r="E1023" t="s">
        <v>168</v>
      </c>
      <c r="F1023" t="s">
        <v>86</v>
      </c>
      <c r="G1023" t="s">
        <v>55</v>
      </c>
      <c r="H1023" t="s">
        <v>109</v>
      </c>
      <c r="I1023" t="s">
        <v>102</v>
      </c>
      <c r="J1023">
        <v>629.79999999999995</v>
      </c>
      <c r="K1023">
        <v>5368</v>
      </c>
      <c r="L1023">
        <v>701</v>
      </c>
      <c r="M1023">
        <v>714.6</v>
      </c>
      <c r="N1023">
        <v>6934</v>
      </c>
      <c r="O1023">
        <v>216</v>
      </c>
      <c r="P1023">
        <v>0</v>
      </c>
      <c r="Q1023">
        <v>0</v>
      </c>
      <c r="R1023">
        <v>0</v>
      </c>
      <c r="S1023">
        <v>0</v>
      </c>
      <c r="T1023">
        <v>0</v>
      </c>
      <c r="U1023">
        <v>0</v>
      </c>
      <c r="V1023">
        <v>1344.4</v>
      </c>
      <c r="W1023">
        <v>12302</v>
      </c>
      <c r="X1023">
        <v>917</v>
      </c>
      <c r="Y1023">
        <f t="shared" si="15"/>
        <v>12302</v>
      </c>
      <c r="Z1023" t="str">
        <f>IF(ISNUMBER(SEARCH("Adjustment",$C1023)),"excluded",IF($H1023="Behind the Meter","excluded",IF(NOT(OR($E1023="Bundled",$E1023="Energy")),"excluded",IF(OR($H1023="Retail Power Marketer",$H1023="Community Choice Aggregator",$E1023="Energy"),"procurement",IF(OR($H1023="Municipal",$H1023="Cooperative",$H1023="Federal",$H1023="State",$H1023="Political Subdivision"),"cost_service",IF($H1023="Investor Owned",IF(AND(COUNTIF(Parameters!$A$4:$A$33,$G1023)&gt;0,COUNTIF(Parameters!$B$4:$B$33,$B1023)=0),"procurement","cost_service"),"unclassified"))))))</f>
        <v>excluded</v>
      </c>
    </row>
    <row r="1024" spans="1:26" x14ac:dyDescent="0.25">
      <c r="A1024">
        <v>2024</v>
      </c>
      <c r="B1024">
        <v>15048</v>
      </c>
      <c r="C1024" t="s">
        <v>1011</v>
      </c>
      <c r="D1024" t="s">
        <v>84</v>
      </c>
      <c r="E1024" t="s">
        <v>85</v>
      </c>
      <c r="F1024" t="s">
        <v>86</v>
      </c>
      <c r="G1024" t="s">
        <v>108</v>
      </c>
      <c r="H1024" t="s">
        <v>205</v>
      </c>
      <c r="I1024" t="s">
        <v>243</v>
      </c>
      <c r="J1024">
        <v>8833</v>
      </c>
      <c r="K1024">
        <v>66589</v>
      </c>
      <c r="L1024">
        <v>5218</v>
      </c>
      <c r="M1024">
        <v>12446</v>
      </c>
      <c r="N1024">
        <v>147044</v>
      </c>
      <c r="O1024">
        <v>1014</v>
      </c>
      <c r="P1024">
        <v>6210</v>
      </c>
      <c r="Q1024">
        <v>61078</v>
      </c>
      <c r="R1024">
        <v>15</v>
      </c>
      <c r="S1024" t="s">
        <v>97</v>
      </c>
      <c r="T1024" t="s">
        <v>97</v>
      </c>
      <c r="U1024" t="s">
        <v>97</v>
      </c>
      <c r="V1024">
        <v>27489</v>
      </c>
      <c r="W1024">
        <v>274711</v>
      </c>
      <c r="X1024">
        <v>6247</v>
      </c>
      <c r="Y1024">
        <f t="shared" si="15"/>
        <v>274711</v>
      </c>
      <c r="Z1024" t="str">
        <f>IF(ISNUMBER(SEARCH("Adjustment",$C1024)),"excluded",IF($H1024="Behind the Meter","excluded",IF(NOT(OR($E1024="Bundled",$E1024="Energy")),"excluded",IF(OR($H1024="Retail Power Marketer",$H1024="Community Choice Aggregator",$E1024="Energy"),"procurement",IF(OR($H1024="Municipal",$H1024="Cooperative",$H1024="Federal",$H1024="State",$H1024="Political Subdivision"),"cost_service",IF($H1024="Investor Owned",IF(AND(COUNTIF(Parameters!$A$4:$A$33,$G1024)&gt;0,COUNTIF(Parameters!$B$4:$B$33,$B1024)=0),"procurement","cost_service"),"unclassified"))))))</f>
        <v>cost_service</v>
      </c>
    </row>
    <row r="1025" spans="1:26" x14ac:dyDescent="0.25">
      <c r="A1025">
        <v>2024</v>
      </c>
      <c r="B1025">
        <v>15054</v>
      </c>
      <c r="C1025" t="s">
        <v>1012</v>
      </c>
      <c r="D1025" t="s">
        <v>84</v>
      </c>
      <c r="E1025" t="s">
        <v>85</v>
      </c>
      <c r="F1025" t="s">
        <v>86</v>
      </c>
      <c r="G1025" t="s">
        <v>54</v>
      </c>
      <c r="H1025" t="s">
        <v>91</v>
      </c>
      <c r="I1025" t="s">
        <v>92</v>
      </c>
      <c r="J1025">
        <v>40654.199999999997</v>
      </c>
      <c r="K1025">
        <v>251232</v>
      </c>
      <c r="L1025">
        <v>16310</v>
      </c>
      <c r="M1025">
        <v>6818.5</v>
      </c>
      <c r="N1025">
        <v>43929</v>
      </c>
      <c r="O1025">
        <v>1080</v>
      </c>
      <c r="P1025">
        <v>33710.9</v>
      </c>
      <c r="Q1025">
        <v>381969</v>
      </c>
      <c r="R1025">
        <v>17</v>
      </c>
      <c r="S1025">
        <v>0</v>
      </c>
      <c r="T1025">
        <v>0</v>
      </c>
      <c r="U1025">
        <v>0</v>
      </c>
      <c r="V1025">
        <v>81183.600000000006</v>
      </c>
      <c r="W1025">
        <v>677130</v>
      </c>
      <c r="X1025">
        <v>17407</v>
      </c>
      <c r="Y1025">
        <f t="shared" si="15"/>
        <v>677130</v>
      </c>
      <c r="Z1025" t="str">
        <f>IF(ISNUMBER(SEARCH("Adjustment",$C1025)),"excluded",IF($H1025="Behind the Meter","excluded",IF(NOT(OR($E1025="Bundled",$E1025="Energy")),"excluded",IF(OR($H1025="Retail Power Marketer",$H1025="Community Choice Aggregator",$E1025="Energy"),"procurement",IF(OR($H1025="Municipal",$H1025="Cooperative",$H1025="Federal",$H1025="State",$H1025="Political Subdivision"),"cost_service",IF($H1025="Investor Owned",IF(AND(COUNTIF(Parameters!$A$4:$A$33,$G1025)&gt;0,COUNTIF(Parameters!$B$4:$B$33,$B1025)=0),"procurement","cost_service"),"unclassified"))))))</f>
        <v>cost_service</v>
      </c>
    </row>
    <row r="1026" spans="1:26" x14ac:dyDescent="0.25">
      <c r="A1026">
        <v>2024</v>
      </c>
      <c r="B1026">
        <v>15073</v>
      </c>
      <c r="C1026" t="s">
        <v>1013</v>
      </c>
      <c r="D1026" t="s">
        <v>84</v>
      </c>
      <c r="E1026" t="s">
        <v>85</v>
      </c>
      <c r="F1026" t="s">
        <v>86</v>
      </c>
      <c r="G1026" t="s">
        <v>134</v>
      </c>
      <c r="H1026" t="s">
        <v>91</v>
      </c>
      <c r="I1026" t="s">
        <v>135</v>
      </c>
      <c r="J1026">
        <v>6967</v>
      </c>
      <c r="K1026">
        <v>62283</v>
      </c>
      <c r="L1026">
        <v>5031</v>
      </c>
      <c r="M1026">
        <v>29398</v>
      </c>
      <c r="N1026">
        <v>328555</v>
      </c>
      <c r="O1026">
        <v>10694</v>
      </c>
      <c r="P1026">
        <v>34343</v>
      </c>
      <c r="Q1026">
        <v>577679</v>
      </c>
      <c r="R1026">
        <v>625</v>
      </c>
      <c r="S1026">
        <v>0</v>
      </c>
      <c r="T1026">
        <v>0</v>
      </c>
      <c r="U1026">
        <v>0</v>
      </c>
      <c r="V1026">
        <v>70708</v>
      </c>
      <c r="W1026">
        <v>968517</v>
      </c>
      <c r="X1026">
        <v>16350</v>
      </c>
      <c r="Y1026">
        <f t="shared" si="15"/>
        <v>968517</v>
      </c>
      <c r="Z1026" t="str">
        <f>IF(ISNUMBER(SEARCH("Adjustment",$C1026)),"excluded",IF($H1026="Behind the Meter","excluded",IF(NOT(OR($E1026="Bundled",$E1026="Energy")),"excluded",IF(OR($H1026="Retail Power Marketer",$H1026="Community Choice Aggregator",$E1026="Energy"),"procurement",IF(OR($H1026="Municipal",$H1026="Cooperative",$H1026="Federal",$H1026="State",$H1026="Political Subdivision"),"cost_service",IF($H1026="Investor Owned",IF(AND(COUNTIF(Parameters!$A$4:$A$33,$G1026)&gt;0,COUNTIF(Parameters!$B$4:$B$33,$B1026)=0),"procurement","cost_service"),"unclassified"))))))</f>
        <v>cost_service</v>
      </c>
    </row>
    <row r="1027" spans="1:26" x14ac:dyDescent="0.25">
      <c r="A1027">
        <v>2024</v>
      </c>
      <c r="B1027">
        <v>15086</v>
      </c>
      <c r="C1027" t="s">
        <v>1014</v>
      </c>
      <c r="D1027" t="s">
        <v>84</v>
      </c>
      <c r="E1027" t="s">
        <v>85</v>
      </c>
      <c r="F1027" t="s">
        <v>86</v>
      </c>
      <c r="G1027" t="s">
        <v>95</v>
      </c>
      <c r="H1027" t="s">
        <v>109</v>
      </c>
      <c r="I1027" t="s">
        <v>96</v>
      </c>
      <c r="J1027">
        <v>2402</v>
      </c>
      <c r="K1027">
        <v>14019</v>
      </c>
      <c r="L1027">
        <v>2021</v>
      </c>
      <c r="M1027">
        <v>768</v>
      </c>
      <c r="N1027">
        <v>4508</v>
      </c>
      <c r="O1027">
        <v>224</v>
      </c>
      <c r="P1027">
        <v>614</v>
      </c>
      <c r="Q1027">
        <v>5486</v>
      </c>
      <c r="R1027">
        <v>33</v>
      </c>
      <c r="S1027">
        <v>0</v>
      </c>
      <c r="T1027">
        <v>0</v>
      </c>
      <c r="U1027">
        <v>0</v>
      </c>
      <c r="V1027">
        <v>3784</v>
      </c>
      <c r="W1027">
        <v>24013</v>
      </c>
      <c r="X1027">
        <v>2278</v>
      </c>
      <c r="Y1027">
        <f t="shared" si="15"/>
        <v>24013</v>
      </c>
      <c r="Z1027" t="str">
        <f>IF(ISNUMBER(SEARCH("Adjustment",$C1027)),"excluded",IF($H1027="Behind the Meter","excluded",IF(NOT(OR($E1027="Bundled",$E1027="Energy")),"excluded",IF(OR($H1027="Retail Power Marketer",$H1027="Community Choice Aggregator",$E1027="Energy"),"procurement",IF(OR($H1027="Municipal",$H1027="Cooperative",$H1027="Federal",$H1027="State",$H1027="Political Subdivision"),"cost_service",IF($H1027="Investor Owned",IF(AND(COUNTIF(Parameters!$A$4:$A$33,$G1027)&gt;0,COUNTIF(Parameters!$B$4:$B$33,$B1027)=0),"procurement","cost_service"),"unclassified"))))))</f>
        <v>cost_service</v>
      </c>
    </row>
    <row r="1028" spans="1:26" x14ac:dyDescent="0.25">
      <c r="A1028">
        <v>2024</v>
      </c>
      <c r="B1028">
        <v>15095</v>
      </c>
      <c r="C1028" t="s">
        <v>1015</v>
      </c>
      <c r="D1028" t="s">
        <v>84</v>
      </c>
      <c r="E1028" t="s">
        <v>85</v>
      </c>
      <c r="F1028" t="s">
        <v>86</v>
      </c>
      <c r="G1028" t="s">
        <v>54</v>
      </c>
      <c r="H1028" t="s">
        <v>88</v>
      </c>
      <c r="I1028" t="s">
        <v>92</v>
      </c>
      <c r="J1028">
        <v>11281.1</v>
      </c>
      <c r="K1028">
        <v>87795</v>
      </c>
      <c r="L1028">
        <v>9829</v>
      </c>
      <c r="M1028">
        <v>9203</v>
      </c>
      <c r="N1028">
        <v>85197</v>
      </c>
      <c r="O1028">
        <v>1098</v>
      </c>
      <c r="P1028">
        <v>10497.8</v>
      </c>
      <c r="Q1028">
        <v>108649</v>
      </c>
      <c r="R1028">
        <v>16</v>
      </c>
      <c r="S1028" t="s">
        <v>97</v>
      </c>
      <c r="T1028" t="s">
        <v>97</v>
      </c>
      <c r="U1028" t="s">
        <v>97</v>
      </c>
      <c r="V1028">
        <v>30981.9</v>
      </c>
      <c r="W1028">
        <v>281641</v>
      </c>
      <c r="X1028">
        <v>10943</v>
      </c>
      <c r="Y1028">
        <f t="shared" ref="Y1028:Y1091" si="16">IF(ISNUMBER($W1028),$W1028,0)</f>
        <v>281641</v>
      </c>
      <c r="Z1028" t="str">
        <f>IF(ISNUMBER(SEARCH("Adjustment",$C1028)),"excluded",IF($H1028="Behind the Meter","excluded",IF(NOT(OR($E1028="Bundled",$E1028="Energy")),"excluded",IF(OR($H1028="Retail Power Marketer",$H1028="Community Choice Aggregator",$E1028="Energy"),"procurement",IF(OR($H1028="Municipal",$H1028="Cooperative",$H1028="Federal",$H1028="State",$H1028="Political Subdivision"),"cost_service",IF($H1028="Investor Owned",IF(AND(COUNTIF(Parameters!$A$4:$A$33,$G1028)&gt;0,COUNTIF(Parameters!$B$4:$B$33,$B1028)=0),"procurement","cost_service"),"unclassified"))))))</f>
        <v>cost_service</v>
      </c>
    </row>
    <row r="1029" spans="1:26" x14ac:dyDescent="0.25">
      <c r="A1029">
        <v>2024</v>
      </c>
      <c r="B1029">
        <v>15138</v>
      </c>
      <c r="C1029" t="s">
        <v>1016</v>
      </c>
      <c r="D1029" t="s">
        <v>84</v>
      </c>
      <c r="E1029" t="s">
        <v>85</v>
      </c>
      <c r="F1029" t="s">
        <v>86</v>
      </c>
      <c r="G1029" t="s">
        <v>226</v>
      </c>
      <c r="H1029" t="s">
        <v>91</v>
      </c>
      <c r="I1029" t="s">
        <v>227</v>
      </c>
      <c r="J1029">
        <v>44605</v>
      </c>
      <c r="K1029">
        <v>357865</v>
      </c>
      <c r="L1029">
        <v>23584</v>
      </c>
      <c r="M1029">
        <v>10896.5</v>
      </c>
      <c r="N1029">
        <v>122840</v>
      </c>
      <c r="O1029">
        <v>3405</v>
      </c>
      <c r="P1029">
        <v>6016.5</v>
      </c>
      <c r="Q1029">
        <v>44888</v>
      </c>
      <c r="R1029">
        <v>11</v>
      </c>
      <c r="S1029" t="s">
        <v>97</v>
      </c>
      <c r="T1029" t="s">
        <v>97</v>
      </c>
      <c r="U1029" t="s">
        <v>97</v>
      </c>
      <c r="V1029">
        <v>61518</v>
      </c>
      <c r="W1029">
        <v>525593</v>
      </c>
      <c r="X1029">
        <v>27000</v>
      </c>
      <c r="Y1029">
        <f t="shared" si="16"/>
        <v>525593</v>
      </c>
      <c r="Z1029" t="str">
        <f>IF(ISNUMBER(SEARCH("Adjustment",$C1029)),"excluded",IF($H1029="Behind the Meter","excluded",IF(NOT(OR($E1029="Bundled",$E1029="Energy")),"excluded",IF(OR($H1029="Retail Power Marketer",$H1029="Community Choice Aggregator",$E1029="Energy"),"procurement",IF(OR($H1029="Municipal",$H1029="Cooperative",$H1029="Federal",$H1029="State",$H1029="Political Subdivision"),"cost_service",IF($H1029="Investor Owned",IF(AND(COUNTIF(Parameters!$A$4:$A$33,$G1029)&gt;0,COUNTIF(Parameters!$B$4:$B$33,$B1029)=0),"procurement","cost_service"),"unclassified"))))))</f>
        <v>cost_service</v>
      </c>
    </row>
    <row r="1030" spans="1:26" x14ac:dyDescent="0.25">
      <c r="A1030">
        <v>2024</v>
      </c>
      <c r="B1030">
        <v>15141</v>
      </c>
      <c r="C1030" t="s">
        <v>1017</v>
      </c>
      <c r="D1030" t="s">
        <v>84</v>
      </c>
      <c r="E1030" t="s">
        <v>85</v>
      </c>
      <c r="F1030" t="s">
        <v>86</v>
      </c>
      <c r="G1030" t="s">
        <v>156</v>
      </c>
      <c r="H1030" t="s">
        <v>91</v>
      </c>
      <c r="I1030" t="s">
        <v>89</v>
      </c>
      <c r="J1030">
        <v>21576</v>
      </c>
      <c r="K1030">
        <v>163330</v>
      </c>
      <c r="L1030">
        <v>14331</v>
      </c>
      <c r="M1030">
        <v>17315</v>
      </c>
      <c r="N1030">
        <v>132109</v>
      </c>
      <c r="O1030">
        <v>3920</v>
      </c>
      <c r="P1030">
        <v>7218</v>
      </c>
      <c r="Q1030">
        <v>141216</v>
      </c>
      <c r="R1030">
        <v>3</v>
      </c>
      <c r="S1030">
        <v>0</v>
      </c>
      <c r="T1030">
        <v>0</v>
      </c>
      <c r="U1030">
        <v>0</v>
      </c>
      <c r="V1030">
        <v>46109</v>
      </c>
      <c r="W1030">
        <v>436655</v>
      </c>
      <c r="X1030">
        <v>18254</v>
      </c>
      <c r="Y1030">
        <f t="shared" si="16"/>
        <v>436655</v>
      </c>
      <c r="Z1030" t="str">
        <f>IF(ISNUMBER(SEARCH("Adjustment",$C1030)),"excluded",IF($H1030="Behind the Meter","excluded",IF(NOT(OR($E1030="Bundled",$E1030="Energy")),"excluded",IF(OR($H1030="Retail Power Marketer",$H1030="Community Choice Aggregator",$E1030="Energy"),"procurement",IF(OR($H1030="Municipal",$H1030="Cooperative",$H1030="Federal",$H1030="State",$H1030="Political Subdivision"),"cost_service",IF($H1030="Investor Owned",IF(AND(COUNTIF(Parameters!$A$4:$A$33,$G1030)&gt;0,COUNTIF(Parameters!$B$4:$B$33,$B1030)=0),"procurement","cost_service"),"unclassified"))))))</f>
        <v>cost_service</v>
      </c>
    </row>
    <row r="1031" spans="1:26" x14ac:dyDescent="0.25">
      <c r="A1031">
        <v>2024</v>
      </c>
      <c r="B1031">
        <v>15145</v>
      </c>
      <c r="C1031" t="s">
        <v>1018</v>
      </c>
      <c r="D1031" t="s">
        <v>84</v>
      </c>
      <c r="E1031" t="s">
        <v>85</v>
      </c>
      <c r="F1031" t="s">
        <v>86</v>
      </c>
      <c r="G1031" t="s">
        <v>53</v>
      </c>
      <c r="H1031" t="s">
        <v>88</v>
      </c>
      <c r="I1031" t="s">
        <v>102</v>
      </c>
      <c r="J1031">
        <v>7508.6</v>
      </c>
      <c r="K1031">
        <v>149707</v>
      </c>
      <c r="L1031">
        <v>8801</v>
      </c>
      <c r="M1031">
        <v>4756.6000000000004</v>
      </c>
      <c r="N1031">
        <v>97692</v>
      </c>
      <c r="O1031">
        <v>1364</v>
      </c>
      <c r="P1031">
        <v>9154.7999999999993</v>
      </c>
      <c r="Q1031">
        <v>270680</v>
      </c>
      <c r="R1031">
        <v>8</v>
      </c>
      <c r="S1031" t="s">
        <v>97</v>
      </c>
      <c r="T1031" t="s">
        <v>97</v>
      </c>
      <c r="U1031" t="s">
        <v>97</v>
      </c>
      <c r="V1031">
        <v>21420</v>
      </c>
      <c r="W1031">
        <v>518079</v>
      </c>
      <c r="X1031">
        <v>10173</v>
      </c>
      <c r="Y1031">
        <f t="shared" si="16"/>
        <v>518079</v>
      </c>
      <c r="Z1031" t="str">
        <f>IF(ISNUMBER(SEARCH("Adjustment",$C1031)),"excluded",IF($H1031="Behind the Meter","excluded",IF(NOT(OR($E1031="Bundled",$E1031="Energy")),"excluded",IF(OR($H1031="Retail Power Marketer",$H1031="Community Choice Aggregator",$E1031="Energy"),"procurement",IF(OR($H1031="Municipal",$H1031="Cooperative",$H1031="Federal",$H1031="State",$H1031="Political Subdivision"),"cost_service",IF($H1031="Investor Owned",IF(AND(COUNTIF(Parameters!$A$4:$A$33,$G1031)&gt;0,COUNTIF(Parameters!$B$4:$B$33,$B1031)=0),"procurement","cost_service"),"unclassified"))))))</f>
        <v>cost_service</v>
      </c>
    </row>
    <row r="1032" spans="1:26" x14ac:dyDescent="0.25">
      <c r="A1032">
        <v>2024</v>
      </c>
      <c r="B1032">
        <v>15159</v>
      </c>
      <c r="C1032" t="s">
        <v>1019</v>
      </c>
      <c r="D1032" t="s">
        <v>84</v>
      </c>
      <c r="E1032" t="s">
        <v>85</v>
      </c>
      <c r="F1032" t="s">
        <v>86</v>
      </c>
      <c r="G1032" t="s">
        <v>95</v>
      </c>
      <c r="H1032" t="s">
        <v>88</v>
      </c>
      <c r="I1032" t="s">
        <v>96</v>
      </c>
      <c r="J1032">
        <v>7273.7</v>
      </c>
      <c r="K1032">
        <v>61636</v>
      </c>
      <c r="L1032">
        <v>7358</v>
      </c>
      <c r="M1032">
        <v>9086.2999999999993</v>
      </c>
      <c r="N1032">
        <v>95261</v>
      </c>
      <c r="O1032">
        <v>1402</v>
      </c>
      <c r="P1032">
        <v>7987.9</v>
      </c>
      <c r="Q1032">
        <v>102174</v>
      </c>
      <c r="R1032">
        <v>8</v>
      </c>
      <c r="S1032">
        <v>0</v>
      </c>
      <c r="T1032">
        <v>0</v>
      </c>
      <c r="U1032">
        <v>0</v>
      </c>
      <c r="V1032">
        <v>24347.9</v>
      </c>
      <c r="W1032">
        <v>259071</v>
      </c>
      <c r="X1032">
        <v>8768</v>
      </c>
      <c r="Y1032">
        <f t="shared" si="16"/>
        <v>259071</v>
      </c>
      <c r="Z1032" t="str">
        <f>IF(ISNUMBER(SEARCH("Adjustment",$C1032)),"excluded",IF($H1032="Behind the Meter","excluded",IF(NOT(OR($E1032="Bundled",$E1032="Energy")),"excluded",IF(OR($H1032="Retail Power Marketer",$H1032="Community Choice Aggregator",$E1032="Energy"),"procurement",IF(OR($H1032="Municipal",$H1032="Cooperative",$H1032="Federal",$H1032="State",$H1032="Political Subdivision"),"cost_service",IF($H1032="Investor Owned",IF(AND(COUNTIF(Parameters!$A$4:$A$33,$G1032)&gt;0,COUNTIF(Parameters!$B$4:$B$33,$B1032)=0),"procurement","cost_service"),"unclassified"))))))</f>
        <v>cost_service</v>
      </c>
    </row>
    <row r="1033" spans="1:26" x14ac:dyDescent="0.25">
      <c r="A1033">
        <v>2024</v>
      </c>
      <c r="B1033">
        <v>15175</v>
      </c>
      <c r="C1033" t="s">
        <v>1020</v>
      </c>
      <c r="D1033" t="s">
        <v>84</v>
      </c>
      <c r="E1033" t="s">
        <v>85</v>
      </c>
      <c r="F1033" t="s">
        <v>86</v>
      </c>
      <c r="G1033" t="s">
        <v>138</v>
      </c>
      <c r="H1033" t="s">
        <v>91</v>
      </c>
      <c r="I1033" t="s">
        <v>96</v>
      </c>
      <c r="J1033">
        <v>15905</v>
      </c>
      <c r="K1033">
        <v>118482</v>
      </c>
      <c r="L1033">
        <v>8255</v>
      </c>
      <c r="M1033">
        <v>7374</v>
      </c>
      <c r="N1033">
        <v>50542</v>
      </c>
      <c r="O1033">
        <v>2411</v>
      </c>
      <c r="P1033">
        <v>4789</v>
      </c>
      <c r="Q1033">
        <v>42368</v>
      </c>
      <c r="R1033">
        <v>7</v>
      </c>
      <c r="S1033" t="s">
        <v>97</v>
      </c>
      <c r="T1033" t="s">
        <v>97</v>
      </c>
      <c r="U1033" t="s">
        <v>97</v>
      </c>
      <c r="V1033">
        <v>28068</v>
      </c>
      <c r="W1033">
        <v>211392</v>
      </c>
      <c r="X1033">
        <v>10673</v>
      </c>
      <c r="Y1033">
        <f t="shared" si="16"/>
        <v>211392</v>
      </c>
      <c r="Z1033" t="str">
        <f>IF(ISNUMBER(SEARCH("Adjustment",$C1033)),"excluded",IF($H1033="Behind the Meter","excluded",IF(NOT(OR($E1033="Bundled",$E1033="Energy")),"excluded",IF(OR($H1033="Retail Power Marketer",$H1033="Community Choice Aggregator",$E1033="Energy"),"procurement",IF(OR($H1033="Municipal",$H1033="Cooperative",$H1033="Federal",$H1033="State",$H1033="Political Subdivision"),"cost_service",IF($H1033="Investor Owned",IF(AND(COUNTIF(Parameters!$A$4:$A$33,$G1033)&gt;0,COUNTIF(Parameters!$B$4:$B$33,$B1033)=0),"procurement","cost_service"),"unclassified"))))))</f>
        <v>cost_service</v>
      </c>
    </row>
    <row r="1034" spans="1:26" x14ac:dyDescent="0.25">
      <c r="A1034">
        <v>2024</v>
      </c>
      <c r="B1034">
        <v>15202</v>
      </c>
      <c r="C1034" t="s">
        <v>1021</v>
      </c>
      <c r="D1034" t="s">
        <v>84</v>
      </c>
      <c r="E1034" t="s">
        <v>85</v>
      </c>
      <c r="F1034" t="s">
        <v>86</v>
      </c>
      <c r="G1034" t="s">
        <v>136</v>
      </c>
      <c r="H1034" t="s">
        <v>88</v>
      </c>
      <c r="I1034" t="s">
        <v>135</v>
      </c>
      <c r="J1034">
        <v>17853</v>
      </c>
      <c r="K1034">
        <v>149695</v>
      </c>
      <c r="L1034">
        <v>13790</v>
      </c>
      <c r="M1034">
        <v>12845</v>
      </c>
      <c r="N1034">
        <v>119862</v>
      </c>
      <c r="O1034">
        <v>2068</v>
      </c>
      <c r="P1034">
        <v>6593</v>
      </c>
      <c r="Q1034">
        <v>76420</v>
      </c>
      <c r="R1034">
        <v>18</v>
      </c>
      <c r="S1034" t="s">
        <v>97</v>
      </c>
      <c r="T1034" t="s">
        <v>97</v>
      </c>
      <c r="U1034" t="s">
        <v>97</v>
      </c>
      <c r="V1034">
        <v>37291</v>
      </c>
      <c r="W1034">
        <v>345977</v>
      </c>
      <c r="X1034">
        <v>15876</v>
      </c>
      <c r="Y1034">
        <f t="shared" si="16"/>
        <v>345977</v>
      </c>
      <c r="Z1034" t="str">
        <f>IF(ISNUMBER(SEARCH("Adjustment",$C1034)),"excluded",IF($H1034="Behind the Meter","excluded",IF(NOT(OR($E1034="Bundled",$E1034="Energy")),"excluded",IF(OR($H1034="Retail Power Marketer",$H1034="Community Choice Aggregator",$E1034="Energy"),"procurement",IF(OR($H1034="Municipal",$H1034="Cooperative",$H1034="Federal",$H1034="State",$H1034="Political Subdivision"),"cost_service",IF($H1034="Investor Owned",IF(AND(COUNTIF(Parameters!$A$4:$A$33,$G1034)&gt;0,COUNTIF(Parameters!$B$4:$B$33,$B1034)=0),"procurement","cost_service"),"unclassified"))))))</f>
        <v>cost_service</v>
      </c>
    </row>
    <row r="1035" spans="1:26" x14ac:dyDescent="0.25">
      <c r="A1035">
        <v>2024</v>
      </c>
      <c r="B1035">
        <v>15211</v>
      </c>
      <c r="C1035" t="s">
        <v>1022</v>
      </c>
      <c r="D1035" t="s">
        <v>84</v>
      </c>
      <c r="E1035" t="s">
        <v>85</v>
      </c>
      <c r="F1035" t="s">
        <v>86</v>
      </c>
      <c r="G1035" t="s">
        <v>87</v>
      </c>
      <c r="H1035" t="s">
        <v>91</v>
      </c>
      <c r="I1035" t="s">
        <v>89</v>
      </c>
      <c r="J1035">
        <v>31356</v>
      </c>
      <c r="K1035">
        <v>240818</v>
      </c>
      <c r="L1035">
        <v>16377</v>
      </c>
      <c r="M1035">
        <v>19543</v>
      </c>
      <c r="N1035">
        <v>140252</v>
      </c>
      <c r="O1035">
        <v>4314</v>
      </c>
      <c r="P1035">
        <v>3909</v>
      </c>
      <c r="Q1035">
        <v>52042</v>
      </c>
      <c r="R1035">
        <v>3</v>
      </c>
      <c r="S1035">
        <v>0</v>
      </c>
      <c r="T1035">
        <v>0</v>
      </c>
      <c r="U1035">
        <v>0</v>
      </c>
      <c r="V1035">
        <v>54808</v>
      </c>
      <c r="W1035">
        <v>433112</v>
      </c>
      <c r="X1035">
        <v>20694</v>
      </c>
      <c r="Y1035">
        <f t="shared" si="16"/>
        <v>433112</v>
      </c>
      <c r="Z1035" t="str">
        <f>IF(ISNUMBER(SEARCH("Adjustment",$C1035)),"excluded",IF($H1035="Behind the Meter","excluded",IF(NOT(OR($E1035="Bundled",$E1035="Energy")),"excluded",IF(OR($H1035="Retail Power Marketer",$H1035="Community Choice Aggregator",$E1035="Energy"),"procurement",IF(OR($H1035="Municipal",$H1035="Cooperative",$H1035="Federal",$H1035="State",$H1035="Political Subdivision"),"cost_service",IF($H1035="Investor Owned",IF(AND(COUNTIF(Parameters!$A$4:$A$33,$G1035)&gt;0,COUNTIF(Parameters!$B$4:$B$33,$B1035)=0),"procurement","cost_service"),"unclassified"))))))</f>
        <v>cost_service</v>
      </c>
    </row>
    <row r="1036" spans="1:26" x14ac:dyDescent="0.25">
      <c r="A1036">
        <v>2024</v>
      </c>
      <c r="B1036">
        <v>15229</v>
      </c>
      <c r="C1036" t="s">
        <v>1023</v>
      </c>
      <c r="D1036" t="s">
        <v>84</v>
      </c>
      <c r="E1036" t="s">
        <v>85</v>
      </c>
      <c r="F1036" t="s">
        <v>86</v>
      </c>
      <c r="G1036" t="s">
        <v>226</v>
      </c>
      <c r="H1036" t="s">
        <v>88</v>
      </c>
      <c r="I1036" t="s">
        <v>135</v>
      </c>
      <c r="J1036">
        <v>12815</v>
      </c>
      <c r="K1036">
        <v>114590</v>
      </c>
      <c r="L1036">
        <v>7715</v>
      </c>
      <c r="M1036">
        <v>17324.599999999999</v>
      </c>
      <c r="N1036">
        <v>156280</v>
      </c>
      <c r="O1036">
        <v>1882</v>
      </c>
      <c r="P1036">
        <v>3971</v>
      </c>
      <c r="Q1036">
        <v>56466</v>
      </c>
      <c r="R1036">
        <v>14</v>
      </c>
      <c r="S1036">
        <v>0</v>
      </c>
      <c r="T1036">
        <v>0</v>
      </c>
      <c r="U1036">
        <v>0</v>
      </c>
      <c r="V1036">
        <v>34110.6</v>
      </c>
      <c r="W1036">
        <v>327336</v>
      </c>
      <c r="X1036">
        <v>9611</v>
      </c>
      <c r="Y1036">
        <f t="shared" si="16"/>
        <v>327336</v>
      </c>
      <c r="Z1036" t="str">
        <f>IF(ISNUMBER(SEARCH("Adjustment",$C1036)),"excluded",IF($H1036="Behind the Meter","excluded",IF(NOT(OR($E1036="Bundled",$E1036="Energy")),"excluded",IF(OR($H1036="Retail Power Marketer",$H1036="Community Choice Aggregator",$E1036="Energy"),"procurement",IF(OR($H1036="Municipal",$H1036="Cooperative",$H1036="Federal",$H1036="State",$H1036="Political Subdivision"),"cost_service",IF($H1036="Investor Owned",IF(AND(COUNTIF(Parameters!$A$4:$A$33,$G1036)&gt;0,COUNTIF(Parameters!$B$4:$B$33,$B1036)=0),"procurement","cost_service"),"unclassified"))))))</f>
        <v>cost_service</v>
      </c>
    </row>
    <row r="1037" spans="1:26" x14ac:dyDescent="0.25">
      <c r="A1037">
        <v>2024</v>
      </c>
      <c r="B1037">
        <v>15231</v>
      </c>
      <c r="C1037" t="s">
        <v>1024</v>
      </c>
      <c r="D1037" t="s">
        <v>84</v>
      </c>
      <c r="E1037" t="s">
        <v>85</v>
      </c>
      <c r="F1037" t="s">
        <v>86</v>
      </c>
      <c r="G1037" t="s">
        <v>148</v>
      </c>
      <c r="H1037" t="s">
        <v>88</v>
      </c>
      <c r="I1037" t="s">
        <v>206</v>
      </c>
      <c r="J1037">
        <v>11300</v>
      </c>
      <c r="K1037">
        <v>123731</v>
      </c>
      <c r="L1037">
        <v>9321</v>
      </c>
      <c r="M1037">
        <v>7693</v>
      </c>
      <c r="N1037">
        <v>96981</v>
      </c>
      <c r="O1037">
        <v>1703</v>
      </c>
      <c r="P1037">
        <v>5914</v>
      </c>
      <c r="Q1037">
        <v>125070</v>
      </c>
      <c r="R1037">
        <v>4</v>
      </c>
      <c r="S1037" t="s">
        <v>97</v>
      </c>
      <c r="T1037" t="s">
        <v>97</v>
      </c>
      <c r="U1037" t="s">
        <v>97</v>
      </c>
      <c r="V1037">
        <v>24907</v>
      </c>
      <c r="W1037">
        <v>345782</v>
      </c>
      <c r="X1037">
        <v>11028</v>
      </c>
      <c r="Y1037">
        <f t="shared" si="16"/>
        <v>345782</v>
      </c>
      <c r="Z1037" t="str">
        <f>IF(ISNUMBER(SEARCH("Adjustment",$C1037)),"excluded",IF($H1037="Behind the Meter","excluded",IF(NOT(OR($E1037="Bundled",$E1037="Energy")),"excluded",IF(OR($H1037="Retail Power Marketer",$H1037="Community Choice Aggregator",$E1037="Energy"),"procurement",IF(OR($H1037="Municipal",$H1037="Cooperative",$H1037="Federal",$H1037="State",$H1037="Political Subdivision"),"cost_service",IF($H1037="Investor Owned",IF(AND(COUNTIF(Parameters!$A$4:$A$33,$G1037)&gt;0,COUNTIF(Parameters!$B$4:$B$33,$B1037)=0),"procurement","cost_service"),"unclassified"))))))</f>
        <v>cost_service</v>
      </c>
    </row>
    <row r="1038" spans="1:26" x14ac:dyDescent="0.25">
      <c r="A1038">
        <v>2024</v>
      </c>
      <c r="B1038">
        <v>15248</v>
      </c>
      <c r="C1038" t="s">
        <v>1025</v>
      </c>
      <c r="D1038" t="s">
        <v>84</v>
      </c>
      <c r="E1038" t="s">
        <v>85</v>
      </c>
      <c r="F1038" t="s">
        <v>86</v>
      </c>
      <c r="G1038" t="s">
        <v>219</v>
      </c>
      <c r="H1038" t="s">
        <v>109</v>
      </c>
      <c r="I1038" t="s">
        <v>396</v>
      </c>
      <c r="J1038">
        <v>1406371</v>
      </c>
      <c r="K1038">
        <v>7731594</v>
      </c>
      <c r="L1038">
        <v>828857</v>
      </c>
      <c r="M1038">
        <v>892382</v>
      </c>
      <c r="N1038">
        <v>6433391</v>
      </c>
      <c r="O1038">
        <v>109268</v>
      </c>
      <c r="P1038">
        <v>451099</v>
      </c>
      <c r="Q1038">
        <v>5097435</v>
      </c>
      <c r="R1038">
        <v>4257</v>
      </c>
      <c r="S1038">
        <v>1230</v>
      </c>
      <c r="T1038">
        <v>10202</v>
      </c>
      <c r="U1038">
        <v>1</v>
      </c>
      <c r="V1038">
        <v>2751082</v>
      </c>
      <c r="W1038">
        <v>19272622</v>
      </c>
      <c r="X1038">
        <v>942383</v>
      </c>
      <c r="Y1038">
        <f t="shared" si="16"/>
        <v>19272622</v>
      </c>
      <c r="Z1038" t="str">
        <f>IF(ISNUMBER(SEARCH("Adjustment",$C1038)),"excluded",IF($H1038="Behind the Meter","excluded",IF(NOT(OR($E1038="Bundled",$E1038="Energy")),"excluded",IF(OR($H1038="Retail Power Marketer",$H1038="Community Choice Aggregator",$E1038="Energy"),"procurement",IF(OR($H1038="Municipal",$H1038="Cooperative",$H1038="Federal",$H1038="State",$H1038="Political Subdivision"),"cost_service",IF($H1038="Investor Owned",IF(AND(COUNTIF(Parameters!$A$4:$A$33,$G1038)&gt;0,COUNTIF(Parameters!$B$4:$B$33,$B1038)=0),"procurement","cost_service"),"unclassified"))))))</f>
        <v>cost_service</v>
      </c>
    </row>
    <row r="1039" spans="1:26" x14ac:dyDescent="0.25">
      <c r="A1039">
        <v>2024</v>
      </c>
      <c r="B1039">
        <v>15248</v>
      </c>
      <c r="C1039" t="s">
        <v>1025</v>
      </c>
      <c r="D1039" t="s">
        <v>167</v>
      </c>
      <c r="E1039" t="s">
        <v>168</v>
      </c>
      <c r="F1039" t="s">
        <v>86</v>
      </c>
      <c r="G1039" t="s">
        <v>219</v>
      </c>
      <c r="H1039" t="s">
        <v>109</v>
      </c>
      <c r="I1039" t="s">
        <v>396</v>
      </c>
      <c r="J1039" t="s">
        <v>97</v>
      </c>
      <c r="K1039" t="s">
        <v>97</v>
      </c>
      <c r="L1039" t="s">
        <v>97</v>
      </c>
      <c r="M1039">
        <v>9557</v>
      </c>
      <c r="N1039">
        <v>514842</v>
      </c>
      <c r="O1039">
        <v>424</v>
      </c>
      <c r="P1039">
        <v>22390</v>
      </c>
      <c r="Q1039">
        <v>1909068</v>
      </c>
      <c r="R1039">
        <v>73</v>
      </c>
      <c r="S1039" t="s">
        <v>97</v>
      </c>
      <c r="T1039" t="s">
        <v>97</v>
      </c>
      <c r="U1039" t="s">
        <v>97</v>
      </c>
      <c r="V1039">
        <v>31947</v>
      </c>
      <c r="W1039">
        <v>2423910</v>
      </c>
      <c r="X1039">
        <v>497</v>
      </c>
      <c r="Y1039">
        <f t="shared" si="16"/>
        <v>2423910</v>
      </c>
      <c r="Z1039" t="str">
        <f>IF(ISNUMBER(SEARCH("Adjustment",$C1039)),"excluded",IF($H1039="Behind the Meter","excluded",IF(NOT(OR($E1039="Bundled",$E1039="Energy")),"excluded",IF(OR($H1039="Retail Power Marketer",$H1039="Community Choice Aggregator",$E1039="Energy"),"procurement",IF(OR($H1039="Municipal",$H1039="Cooperative",$H1039="Federal",$H1039="State",$H1039="Political Subdivision"),"cost_service",IF($H1039="Investor Owned",IF(AND(COUNTIF(Parameters!$A$4:$A$33,$G1039)&gt;0,COUNTIF(Parameters!$B$4:$B$33,$B1039)=0),"procurement","cost_service"),"unclassified"))))))</f>
        <v>excluded</v>
      </c>
    </row>
    <row r="1040" spans="1:26" x14ac:dyDescent="0.25">
      <c r="A1040">
        <v>2024</v>
      </c>
      <c r="B1040">
        <v>15257</v>
      </c>
      <c r="C1040" t="s">
        <v>1026</v>
      </c>
      <c r="D1040" t="s">
        <v>84</v>
      </c>
      <c r="E1040" t="s">
        <v>85</v>
      </c>
      <c r="F1040" t="s">
        <v>86</v>
      </c>
      <c r="G1040" t="s">
        <v>361</v>
      </c>
      <c r="H1040" t="s">
        <v>91</v>
      </c>
      <c r="I1040" t="s">
        <v>259</v>
      </c>
      <c r="J1040">
        <v>64284.2</v>
      </c>
      <c r="K1040">
        <v>526321</v>
      </c>
      <c r="L1040">
        <v>49587</v>
      </c>
      <c r="M1040">
        <v>47535.9</v>
      </c>
      <c r="N1040">
        <v>426421</v>
      </c>
      <c r="O1040">
        <v>5014</v>
      </c>
      <c r="P1040">
        <v>43397.9</v>
      </c>
      <c r="Q1040">
        <v>593532</v>
      </c>
      <c r="R1040">
        <v>743</v>
      </c>
      <c r="S1040" t="s">
        <v>97</v>
      </c>
      <c r="T1040" t="s">
        <v>97</v>
      </c>
      <c r="U1040" t="s">
        <v>97</v>
      </c>
      <c r="V1040">
        <v>155218</v>
      </c>
      <c r="W1040">
        <v>1546274</v>
      </c>
      <c r="X1040">
        <v>55344</v>
      </c>
      <c r="Y1040">
        <f t="shared" si="16"/>
        <v>1546274</v>
      </c>
      <c r="Z1040" t="str">
        <f>IF(ISNUMBER(SEARCH("Adjustment",$C1040)),"excluded",IF($H1040="Behind the Meter","excluded",IF(NOT(OR($E1040="Bundled",$E1040="Energy")),"excluded",IF(OR($H1040="Retail Power Marketer",$H1040="Community Choice Aggregator",$E1040="Energy"),"procurement",IF(OR($H1040="Municipal",$H1040="Cooperative",$H1040="Federal",$H1040="State",$H1040="Political Subdivision"),"cost_service",IF($H1040="Investor Owned",IF(AND(COUNTIF(Parameters!$A$4:$A$33,$G1040)&gt;0,COUNTIF(Parameters!$B$4:$B$33,$B1040)=0),"procurement","cost_service"),"unclassified"))))))</f>
        <v>cost_service</v>
      </c>
    </row>
    <row r="1041" spans="1:26" x14ac:dyDescent="0.25">
      <c r="A1041">
        <v>2024</v>
      </c>
      <c r="B1041">
        <v>15263</v>
      </c>
      <c r="C1041" t="s">
        <v>1027</v>
      </c>
      <c r="D1041" t="s">
        <v>84</v>
      </c>
      <c r="E1041" t="s">
        <v>85</v>
      </c>
      <c r="F1041" t="s">
        <v>86</v>
      </c>
      <c r="G1041" t="s">
        <v>49</v>
      </c>
      <c r="H1041" t="s">
        <v>109</v>
      </c>
      <c r="I1041" t="s">
        <v>92</v>
      </c>
      <c r="J1041">
        <v>433620</v>
      </c>
      <c r="K1041">
        <v>3135474</v>
      </c>
      <c r="L1041">
        <v>240570</v>
      </c>
      <c r="M1041">
        <v>77028.100000000006</v>
      </c>
      <c r="N1041">
        <v>568567</v>
      </c>
      <c r="O1041">
        <v>21663</v>
      </c>
      <c r="P1041">
        <v>9150.7000000000007</v>
      </c>
      <c r="Q1041">
        <v>70569</v>
      </c>
      <c r="R1041">
        <v>1107</v>
      </c>
      <c r="S1041">
        <v>0</v>
      </c>
      <c r="T1041">
        <v>0</v>
      </c>
      <c r="U1041">
        <v>0</v>
      </c>
      <c r="V1041">
        <v>519798.8</v>
      </c>
      <c r="W1041">
        <v>3774610</v>
      </c>
      <c r="X1041">
        <v>263340</v>
      </c>
      <c r="Y1041">
        <f t="shared" si="16"/>
        <v>3774610</v>
      </c>
      <c r="Z1041" t="str">
        <f>IF(ISNUMBER(SEARCH("Adjustment",$C1041)),"excluded",IF($H1041="Behind the Meter","excluded",IF(NOT(OR($E1041="Bundled",$E1041="Energy")),"excluded",IF(OR($H1041="Retail Power Marketer",$H1041="Community Choice Aggregator",$E1041="Energy"),"procurement",IF(OR($H1041="Municipal",$H1041="Cooperative",$H1041="Federal",$H1041="State",$H1041="Political Subdivision"),"cost_service",IF($H1041="Investor Owned",IF(AND(COUNTIF(Parameters!$A$4:$A$33,$G1041)&gt;0,COUNTIF(Parameters!$B$4:$B$33,$B1041)=0),"procurement","cost_service"),"unclassified"))))))</f>
        <v>procurement</v>
      </c>
    </row>
    <row r="1042" spans="1:26" x14ac:dyDescent="0.25">
      <c r="A1042">
        <v>2024</v>
      </c>
      <c r="B1042">
        <v>15263</v>
      </c>
      <c r="C1042" t="s">
        <v>1027</v>
      </c>
      <c r="D1042" t="s">
        <v>84</v>
      </c>
      <c r="E1042" t="s">
        <v>85</v>
      </c>
      <c r="F1042" t="s">
        <v>86</v>
      </c>
      <c r="G1042" t="s">
        <v>166</v>
      </c>
      <c r="H1042" t="s">
        <v>109</v>
      </c>
      <c r="I1042" t="s">
        <v>92</v>
      </c>
      <c r="J1042">
        <v>247917.1</v>
      </c>
      <c r="K1042">
        <v>1968719</v>
      </c>
      <c r="L1042">
        <v>135266</v>
      </c>
      <c r="M1042">
        <v>93349.4</v>
      </c>
      <c r="N1042">
        <v>835967</v>
      </c>
      <c r="O1042">
        <v>20170</v>
      </c>
      <c r="P1042">
        <v>73423.3</v>
      </c>
      <c r="Q1042">
        <v>986928</v>
      </c>
      <c r="R1042">
        <v>1806</v>
      </c>
      <c r="S1042">
        <v>0</v>
      </c>
      <c r="T1042">
        <v>0</v>
      </c>
      <c r="U1042">
        <v>0</v>
      </c>
      <c r="V1042">
        <v>414689.8</v>
      </c>
      <c r="W1042">
        <v>3791614</v>
      </c>
      <c r="X1042">
        <v>157242</v>
      </c>
      <c r="Y1042">
        <f t="shared" si="16"/>
        <v>3791614</v>
      </c>
      <c r="Z1042" t="str">
        <f>IF(ISNUMBER(SEARCH("Adjustment",$C1042)),"excluded",IF($H1042="Behind the Meter","excluded",IF(NOT(OR($E1042="Bundled",$E1042="Energy")),"excluded",IF(OR($H1042="Retail Power Marketer",$H1042="Community Choice Aggregator",$E1042="Energy"),"procurement",IF(OR($H1042="Municipal",$H1042="Cooperative",$H1042="Federal",$H1042="State",$H1042="Political Subdivision"),"cost_service",IF($H1042="Investor Owned",IF(AND(COUNTIF(Parameters!$A$4:$A$33,$G1042)&gt;0,COUNTIF(Parameters!$B$4:$B$33,$B1042)=0),"procurement","cost_service"),"unclassified"))))))</f>
        <v>cost_service</v>
      </c>
    </row>
    <row r="1043" spans="1:26" x14ac:dyDescent="0.25">
      <c r="A1043">
        <v>2024</v>
      </c>
      <c r="B1043">
        <v>15263</v>
      </c>
      <c r="C1043" t="s">
        <v>1027</v>
      </c>
      <c r="D1043" t="s">
        <v>167</v>
      </c>
      <c r="E1043" t="s">
        <v>168</v>
      </c>
      <c r="F1043" t="s">
        <v>86</v>
      </c>
      <c r="G1043" t="s">
        <v>49</v>
      </c>
      <c r="H1043" t="s">
        <v>109</v>
      </c>
      <c r="I1043" t="s">
        <v>92</v>
      </c>
      <c r="J1043">
        <v>8056.4</v>
      </c>
      <c r="K1043">
        <v>195495</v>
      </c>
      <c r="L1043">
        <v>15998</v>
      </c>
      <c r="M1043">
        <v>53795.199999999997</v>
      </c>
      <c r="N1043">
        <v>1520630</v>
      </c>
      <c r="O1043">
        <v>10488</v>
      </c>
      <c r="P1043">
        <v>28962.1</v>
      </c>
      <c r="Q1043">
        <v>1243964</v>
      </c>
      <c r="R1043">
        <v>1441</v>
      </c>
      <c r="S1043">
        <v>0</v>
      </c>
      <c r="T1043">
        <v>0</v>
      </c>
      <c r="U1043">
        <v>0</v>
      </c>
      <c r="V1043">
        <v>90813.7</v>
      </c>
      <c r="W1043">
        <v>2960089</v>
      </c>
      <c r="X1043">
        <v>27927</v>
      </c>
      <c r="Y1043">
        <f t="shared" si="16"/>
        <v>2960089</v>
      </c>
      <c r="Z1043" t="str">
        <f>IF(ISNUMBER(SEARCH("Adjustment",$C1043)),"excluded",IF($H1043="Behind the Meter","excluded",IF(NOT(OR($E1043="Bundled",$E1043="Energy")),"excluded",IF(OR($H1043="Retail Power Marketer",$H1043="Community Choice Aggregator",$E1043="Energy"),"procurement",IF(OR($H1043="Municipal",$H1043="Cooperative",$H1043="Federal",$H1043="State",$H1043="Political Subdivision"),"cost_service",IF($H1043="Investor Owned",IF(AND(COUNTIF(Parameters!$A$4:$A$33,$G1043)&gt;0,COUNTIF(Parameters!$B$4:$B$33,$B1043)=0),"procurement","cost_service"),"unclassified"))))))</f>
        <v>excluded</v>
      </c>
    </row>
    <row r="1044" spans="1:26" x14ac:dyDescent="0.25">
      <c r="A1044">
        <v>2024</v>
      </c>
      <c r="B1044">
        <v>15270</v>
      </c>
      <c r="C1044" t="s">
        <v>1028</v>
      </c>
      <c r="D1044" t="s">
        <v>84</v>
      </c>
      <c r="E1044" t="s">
        <v>85</v>
      </c>
      <c r="F1044" t="s">
        <v>86</v>
      </c>
      <c r="G1044" t="s">
        <v>42</v>
      </c>
      <c r="H1044" t="s">
        <v>109</v>
      </c>
      <c r="I1044" t="s">
        <v>92</v>
      </c>
      <c r="J1044">
        <v>336777.9</v>
      </c>
      <c r="K1044">
        <v>2031842</v>
      </c>
      <c r="L1044">
        <v>285878</v>
      </c>
      <c r="M1044">
        <v>235079.7</v>
      </c>
      <c r="N1044">
        <v>1176842</v>
      </c>
      <c r="O1044">
        <v>18544</v>
      </c>
      <c r="P1044">
        <v>0</v>
      </c>
      <c r="Q1044">
        <v>0</v>
      </c>
      <c r="R1044">
        <v>0</v>
      </c>
      <c r="S1044">
        <v>0</v>
      </c>
      <c r="T1044">
        <v>0</v>
      </c>
      <c r="U1044">
        <v>0</v>
      </c>
      <c r="V1044">
        <v>571857.6</v>
      </c>
      <c r="W1044">
        <v>3208684</v>
      </c>
      <c r="X1044">
        <v>304422</v>
      </c>
      <c r="Y1044">
        <f t="shared" si="16"/>
        <v>3208684</v>
      </c>
      <c r="Z1044" t="str">
        <f>IF(ISNUMBER(SEARCH("Adjustment",$C1044)),"excluded",IF($H1044="Behind the Meter","excluded",IF(NOT(OR($E1044="Bundled",$E1044="Energy")),"excluded",IF(OR($H1044="Retail Power Marketer",$H1044="Community Choice Aggregator",$E1044="Energy"),"procurement",IF(OR($H1044="Municipal",$H1044="Cooperative",$H1044="Federal",$H1044="State",$H1044="Political Subdivision"),"cost_service",IF($H1044="Investor Owned",IF(AND(COUNTIF(Parameters!$A$4:$A$33,$G1044)&gt;0,COUNTIF(Parameters!$B$4:$B$33,$B1044)=0),"procurement","cost_service"),"unclassified"))))))</f>
        <v>procurement</v>
      </c>
    </row>
    <row r="1045" spans="1:26" x14ac:dyDescent="0.25">
      <c r="A1045">
        <v>2024</v>
      </c>
      <c r="B1045">
        <v>15270</v>
      </c>
      <c r="C1045" t="s">
        <v>1028</v>
      </c>
      <c r="D1045" t="s">
        <v>84</v>
      </c>
      <c r="E1045" t="s">
        <v>85</v>
      </c>
      <c r="F1045" t="s">
        <v>86</v>
      </c>
      <c r="G1045" t="s">
        <v>49</v>
      </c>
      <c r="H1045" t="s">
        <v>109</v>
      </c>
      <c r="I1045" t="s">
        <v>92</v>
      </c>
      <c r="J1045">
        <v>970730.6</v>
      </c>
      <c r="K1045">
        <v>4834631</v>
      </c>
      <c r="L1045">
        <v>485483</v>
      </c>
      <c r="M1045">
        <v>210545.8</v>
      </c>
      <c r="N1045">
        <v>1425480</v>
      </c>
      <c r="O1045">
        <v>30896</v>
      </c>
      <c r="P1045">
        <v>60.6</v>
      </c>
      <c r="Q1045">
        <v>267</v>
      </c>
      <c r="R1045">
        <v>1</v>
      </c>
      <c r="S1045">
        <v>0</v>
      </c>
      <c r="T1045">
        <v>0</v>
      </c>
      <c r="U1045">
        <v>0</v>
      </c>
      <c r="V1045">
        <v>1181337</v>
      </c>
      <c r="W1045">
        <v>6260378</v>
      </c>
      <c r="X1045">
        <v>516380</v>
      </c>
      <c r="Y1045">
        <f t="shared" si="16"/>
        <v>6260378</v>
      </c>
      <c r="Z1045" t="str">
        <f>IF(ISNUMBER(SEARCH("Adjustment",$C1045)),"excluded",IF($H1045="Behind the Meter","excluded",IF(NOT(OR($E1045="Bundled",$E1045="Energy")),"excluded",IF(OR($H1045="Retail Power Marketer",$H1045="Community Choice Aggregator",$E1045="Energy"),"procurement",IF(OR($H1045="Municipal",$H1045="Cooperative",$H1045="Federal",$H1045="State",$H1045="Political Subdivision"),"cost_service",IF($H1045="Investor Owned",IF(AND(COUNTIF(Parameters!$A$4:$A$33,$G1045)&gt;0,COUNTIF(Parameters!$B$4:$B$33,$B1045)=0),"procurement","cost_service"),"unclassified"))))))</f>
        <v>procurement</v>
      </c>
    </row>
    <row r="1046" spans="1:26" x14ac:dyDescent="0.25">
      <c r="A1046">
        <v>2024</v>
      </c>
      <c r="B1046">
        <v>15270</v>
      </c>
      <c r="C1046" t="s">
        <v>1028</v>
      </c>
      <c r="D1046" t="s">
        <v>167</v>
      </c>
      <c r="E1046" t="s">
        <v>168</v>
      </c>
      <c r="F1046" t="s">
        <v>86</v>
      </c>
      <c r="G1046" t="s">
        <v>42</v>
      </c>
      <c r="H1046" t="s">
        <v>109</v>
      </c>
      <c r="I1046" t="s">
        <v>92</v>
      </c>
      <c r="J1046">
        <v>23282</v>
      </c>
      <c r="K1046">
        <v>411445</v>
      </c>
      <c r="L1046">
        <v>32902</v>
      </c>
      <c r="M1046">
        <v>424138.1</v>
      </c>
      <c r="N1046">
        <v>6005485</v>
      </c>
      <c r="O1046">
        <v>8975</v>
      </c>
      <c r="P1046">
        <v>3551</v>
      </c>
      <c r="Q1046">
        <v>187468</v>
      </c>
      <c r="R1046">
        <v>1</v>
      </c>
      <c r="S1046">
        <v>13628.4</v>
      </c>
      <c r="T1046">
        <v>316348</v>
      </c>
      <c r="U1046">
        <v>3</v>
      </c>
      <c r="V1046">
        <v>464599.5</v>
      </c>
      <c r="W1046">
        <v>6920746</v>
      </c>
      <c r="X1046">
        <v>41881</v>
      </c>
      <c r="Y1046">
        <f t="shared" si="16"/>
        <v>6920746</v>
      </c>
      <c r="Z1046" t="str">
        <f>IF(ISNUMBER(SEARCH("Adjustment",$C1046)),"excluded",IF($H1046="Behind the Meter","excluded",IF(NOT(OR($E1046="Bundled",$E1046="Energy")),"excluded",IF(OR($H1046="Retail Power Marketer",$H1046="Community Choice Aggregator",$E1046="Energy"),"procurement",IF(OR($H1046="Municipal",$H1046="Cooperative",$H1046="Federal",$H1046="State",$H1046="Political Subdivision"),"cost_service",IF($H1046="Investor Owned",IF(AND(COUNTIF(Parameters!$A$4:$A$33,$G1046)&gt;0,COUNTIF(Parameters!$B$4:$B$33,$B1046)=0),"procurement","cost_service"),"unclassified"))))))</f>
        <v>excluded</v>
      </c>
    </row>
    <row r="1047" spans="1:26" x14ac:dyDescent="0.25">
      <c r="A1047">
        <v>2024</v>
      </c>
      <c r="B1047">
        <v>15270</v>
      </c>
      <c r="C1047" t="s">
        <v>1028</v>
      </c>
      <c r="D1047" t="s">
        <v>167</v>
      </c>
      <c r="E1047" t="s">
        <v>168</v>
      </c>
      <c r="F1047" t="s">
        <v>86</v>
      </c>
      <c r="G1047" t="s">
        <v>49</v>
      </c>
      <c r="H1047" t="s">
        <v>109</v>
      </c>
      <c r="I1047" t="s">
        <v>92</v>
      </c>
      <c r="J1047">
        <v>59648.5</v>
      </c>
      <c r="K1047">
        <v>665072</v>
      </c>
      <c r="L1047">
        <v>68124</v>
      </c>
      <c r="M1047">
        <v>326692</v>
      </c>
      <c r="N1047">
        <v>5942334</v>
      </c>
      <c r="O1047">
        <v>18915</v>
      </c>
      <c r="P1047">
        <v>7210</v>
      </c>
      <c r="Q1047">
        <v>287719</v>
      </c>
      <c r="R1047">
        <v>8</v>
      </c>
      <c r="S1047">
        <v>7904.7</v>
      </c>
      <c r="T1047">
        <v>250293</v>
      </c>
      <c r="U1047">
        <v>2</v>
      </c>
      <c r="V1047">
        <v>401455.2</v>
      </c>
      <c r="W1047">
        <v>7145418</v>
      </c>
      <c r="X1047">
        <v>87049</v>
      </c>
      <c r="Y1047">
        <f t="shared" si="16"/>
        <v>7145418</v>
      </c>
      <c r="Z1047" t="str">
        <f>IF(ISNUMBER(SEARCH("Adjustment",$C1047)),"excluded",IF($H1047="Behind the Meter","excluded",IF(NOT(OR($E1047="Bundled",$E1047="Energy")),"excluded",IF(OR($H1047="Retail Power Marketer",$H1047="Community Choice Aggregator",$E1047="Energy"),"procurement",IF(OR($H1047="Municipal",$H1047="Cooperative",$H1047="Federal",$H1047="State",$H1047="Political Subdivision"),"cost_service",IF($H1047="Investor Owned",IF(AND(COUNTIF(Parameters!$A$4:$A$33,$G1047)&gt;0,COUNTIF(Parameters!$B$4:$B$33,$B1047)=0),"procurement","cost_service"),"unclassified"))))))</f>
        <v>excluded</v>
      </c>
    </row>
    <row r="1048" spans="1:26" x14ac:dyDescent="0.25">
      <c r="A1048">
        <v>2024</v>
      </c>
      <c r="B1048">
        <v>15291</v>
      </c>
      <c r="C1048" t="s">
        <v>1029</v>
      </c>
      <c r="D1048" t="s">
        <v>84</v>
      </c>
      <c r="E1048" t="s">
        <v>85</v>
      </c>
      <c r="F1048" t="s">
        <v>86</v>
      </c>
      <c r="G1048" t="s">
        <v>146</v>
      </c>
      <c r="H1048" t="s">
        <v>91</v>
      </c>
      <c r="I1048" t="s">
        <v>135</v>
      </c>
      <c r="J1048">
        <v>7568.9</v>
      </c>
      <c r="K1048">
        <v>52787</v>
      </c>
      <c r="L1048">
        <v>3440</v>
      </c>
      <c r="M1048">
        <v>15.1</v>
      </c>
      <c r="N1048">
        <v>124</v>
      </c>
      <c r="O1048">
        <v>89</v>
      </c>
      <c r="P1048">
        <v>23838.7</v>
      </c>
      <c r="Q1048">
        <v>275987</v>
      </c>
      <c r="R1048">
        <v>788</v>
      </c>
      <c r="S1048" t="s">
        <v>97</v>
      </c>
      <c r="T1048" t="s">
        <v>97</v>
      </c>
      <c r="U1048" t="s">
        <v>97</v>
      </c>
      <c r="V1048">
        <v>31422.7</v>
      </c>
      <c r="W1048">
        <v>328898</v>
      </c>
      <c r="X1048">
        <v>4317</v>
      </c>
      <c r="Y1048">
        <f t="shared" si="16"/>
        <v>328898</v>
      </c>
      <c r="Z1048" t="str">
        <f>IF(ISNUMBER(SEARCH("Adjustment",$C1048)),"excluded",IF($H1048="Behind the Meter","excluded",IF(NOT(OR($E1048="Bundled",$E1048="Energy")),"excluded",IF(OR($H1048="Retail Power Marketer",$H1048="Community Choice Aggregator",$E1048="Energy"),"procurement",IF(OR($H1048="Municipal",$H1048="Cooperative",$H1048="Federal",$H1048="State",$H1048="Political Subdivision"),"cost_service",IF($H1048="Investor Owned",IF(AND(COUNTIF(Parameters!$A$4:$A$33,$G1048)&gt;0,COUNTIF(Parameters!$B$4:$B$33,$B1048)=0),"procurement","cost_service"),"unclassified"))))))</f>
        <v>cost_service</v>
      </c>
    </row>
    <row r="1049" spans="1:26" x14ac:dyDescent="0.25">
      <c r="A1049">
        <v>2024</v>
      </c>
      <c r="B1049">
        <v>15293</v>
      </c>
      <c r="C1049" t="s">
        <v>1030</v>
      </c>
      <c r="D1049" t="s">
        <v>84</v>
      </c>
      <c r="E1049" t="s">
        <v>85</v>
      </c>
      <c r="F1049" t="s">
        <v>86</v>
      </c>
      <c r="G1049" t="s">
        <v>156</v>
      </c>
      <c r="H1049" t="s">
        <v>91</v>
      </c>
      <c r="I1049" t="s">
        <v>89</v>
      </c>
      <c r="J1049">
        <v>29862</v>
      </c>
      <c r="K1049">
        <v>259807</v>
      </c>
      <c r="L1049">
        <v>21147</v>
      </c>
      <c r="M1049">
        <v>15079</v>
      </c>
      <c r="N1049">
        <v>119103</v>
      </c>
      <c r="O1049">
        <v>5384</v>
      </c>
      <c r="P1049">
        <v>9158</v>
      </c>
      <c r="Q1049">
        <v>157209</v>
      </c>
      <c r="R1049">
        <v>5</v>
      </c>
      <c r="S1049">
        <v>0</v>
      </c>
      <c r="T1049">
        <v>0</v>
      </c>
      <c r="U1049">
        <v>0</v>
      </c>
      <c r="V1049">
        <v>54099</v>
      </c>
      <c r="W1049">
        <v>536119</v>
      </c>
      <c r="X1049">
        <v>26536</v>
      </c>
      <c r="Y1049">
        <f t="shared" si="16"/>
        <v>536119</v>
      </c>
      <c r="Z1049" t="str">
        <f>IF(ISNUMBER(SEARCH("Adjustment",$C1049)),"excluded",IF($H1049="Behind the Meter","excluded",IF(NOT(OR($E1049="Bundled",$E1049="Energy")),"excluded",IF(OR($H1049="Retail Power Marketer",$H1049="Community Choice Aggregator",$E1049="Energy"),"procurement",IF(OR($H1049="Municipal",$H1049="Cooperative",$H1049="Federal",$H1049="State",$H1049="Political Subdivision"),"cost_service",IF($H1049="Investor Owned",IF(AND(COUNTIF(Parameters!$A$4:$A$33,$G1049)&gt;0,COUNTIF(Parameters!$B$4:$B$33,$B1049)=0),"procurement","cost_service"),"unclassified"))))))</f>
        <v>cost_service</v>
      </c>
    </row>
    <row r="1050" spans="1:26" x14ac:dyDescent="0.25">
      <c r="A1050">
        <v>2024</v>
      </c>
      <c r="B1050">
        <v>15293</v>
      </c>
      <c r="C1050" t="s">
        <v>1030</v>
      </c>
      <c r="D1050" t="s">
        <v>84</v>
      </c>
      <c r="E1050" t="s">
        <v>85</v>
      </c>
      <c r="F1050" t="s">
        <v>86</v>
      </c>
      <c r="G1050" t="s">
        <v>93</v>
      </c>
      <c r="H1050" t="s">
        <v>91</v>
      </c>
      <c r="I1050" t="s">
        <v>89</v>
      </c>
      <c r="J1050">
        <v>9884</v>
      </c>
      <c r="K1050">
        <v>86575</v>
      </c>
      <c r="L1050">
        <v>6589</v>
      </c>
      <c r="M1050">
        <v>4236</v>
      </c>
      <c r="N1050">
        <v>33596</v>
      </c>
      <c r="O1050">
        <v>1817</v>
      </c>
      <c r="P1050">
        <v>1049</v>
      </c>
      <c r="Q1050">
        <v>14962</v>
      </c>
      <c r="R1050">
        <v>1</v>
      </c>
      <c r="S1050">
        <v>0</v>
      </c>
      <c r="T1050">
        <v>0</v>
      </c>
      <c r="U1050">
        <v>0</v>
      </c>
      <c r="V1050">
        <v>15169</v>
      </c>
      <c r="W1050">
        <v>135133</v>
      </c>
      <c r="X1050">
        <v>8407</v>
      </c>
      <c r="Y1050">
        <f t="shared" si="16"/>
        <v>135133</v>
      </c>
      <c r="Z1050" t="str">
        <f>IF(ISNUMBER(SEARCH("Adjustment",$C1050)),"excluded",IF($H1050="Behind the Meter","excluded",IF(NOT(OR($E1050="Bundled",$E1050="Energy")),"excluded",IF(OR($H1050="Retail Power Marketer",$H1050="Community Choice Aggregator",$E1050="Energy"),"procurement",IF(OR($H1050="Municipal",$H1050="Cooperative",$H1050="Federal",$H1050="State",$H1050="Political Subdivision"),"cost_service",IF($H1050="Investor Owned",IF(AND(COUNTIF(Parameters!$A$4:$A$33,$G1050)&gt;0,COUNTIF(Parameters!$B$4:$B$33,$B1050)=0),"procurement","cost_service"),"unclassified"))))))</f>
        <v>cost_service</v>
      </c>
    </row>
    <row r="1051" spans="1:26" x14ac:dyDescent="0.25">
      <c r="A1051">
        <v>2024</v>
      </c>
      <c r="B1051">
        <v>15296</v>
      </c>
      <c r="C1051" t="s">
        <v>1031</v>
      </c>
      <c r="D1051" t="s">
        <v>99</v>
      </c>
      <c r="E1051" t="s">
        <v>100</v>
      </c>
      <c r="F1051" t="s">
        <v>86</v>
      </c>
      <c r="G1051" t="s">
        <v>53</v>
      </c>
      <c r="H1051" t="s">
        <v>75</v>
      </c>
      <c r="I1051" t="s">
        <v>102</v>
      </c>
      <c r="J1051">
        <v>0</v>
      </c>
      <c r="K1051">
        <v>0</v>
      </c>
      <c r="L1051">
        <v>0</v>
      </c>
      <c r="M1051">
        <v>560527</v>
      </c>
      <c r="N1051">
        <v>7769397</v>
      </c>
      <c r="O1051">
        <v>361</v>
      </c>
      <c r="P1051">
        <v>285479</v>
      </c>
      <c r="Q1051">
        <v>7026856</v>
      </c>
      <c r="R1051">
        <v>543</v>
      </c>
      <c r="S1051">
        <v>234021</v>
      </c>
      <c r="T1051">
        <v>2697361</v>
      </c>
      <c r="U1051">
        <v>3</v>
      </c>
      <c r="V1051">
        <v>1080027</v>
      </c>
      <c r="W1051">
        <v>17493614</v>
      </c>
      <c r="X1051">
        <v>907</v>
      </c>
      <c r="Y1051">
        <f t="shared" si="16"/>
        <v>17493614</v>
      </c>
      <c r="Z1051" t="str">
        <f>IF(ISNUMBER(SEARCH("Adjustment",$C1051)),"excluded",IF($H1051="Behind the Meter","excluded",IF(NOT(OR($E1051="Bundled",$E1051="Energy")),"excluded",IF(OR($H1051="Retail Power Marketer",$H1051="Community Choice Aggregator",$E1051="Energy"),"procurement",IF(OR($H1051="Municipal",$H1051="Cooperative",$H1051="Federal",$H1051="State",$H1051="Political Subdivision"),"cost_service",IF($H1051="Investor Owned",IF(AND(COUNTIF(Parameters!$A$4:$A$33,$G1051)&gt;0,COUNTIF(Parameters!$B$4:$B$33,$B1051)=0),"procurement","cost_service"),"unclassified"))))))</f>
        <v>procurement</v>
      </c>
    </row>
    <row r="1052" spans="1:26" x14ac:dyDescent="0.25">
      <c r="A1052">
        <v>2024</v>
      </c>
      <c r="B1052">
        <v>15312</v>
      </c>
      <c r="C1052" t="s">
        <v>1032</v>
      </c>
      <c r="D1052" t="s">
        <v>84</v>
      </c>
      <c r="E1052" t="s">
        <v>85</v>
      </c>
      <c r="F1052" t="s">
        <v>86</v>
      </c>
      <c r="G1052" t="s">
        <v>95</v>
      </c>
      <c r="H1052" t="s">
        <v>88</v>
      </c>
      <c r="I1052" t="s">
        <v>96</v>
      </c>
      <c r="J1052">
        <v>1716.8</v>
      </c>
      <c r="K1052">
        <v>15161</v>
      </c>
      <c r="L1052">
        <v>1921</v>
      </c>
      <c r="M1052">
        <v>2414.9</v>
      </c>
      <c r="N1052">
        <v>23120</v>
      </c>
      <c r="O1052">
        <v>305</v>
      </c>
      <c r="P1052">
        <v>1187.5999999999999</v>
      </c>
      <c r="Q1052">
        <v>12052</v>
      </c>
      <c r="R1052">
        <v>1</v>
      </c>
      <c r="S1052">
        <v>0</v>
      </c>
      <c r="T1052">
        <v>0</v>
      </c>
      <c r="U1052">
        <v>0</v>
      </c>
      <c r="V1052">
        <v>5319.3</v>
      </c>
      <c r="W1052">
        <v>50333</v>
      </c>
      <c r="X1052">
        <v>2227</v>
      </c>
      <c r="Y1052">
        <f t="shared" si="16"/>
        <v>50333</v>
      </c>
      <c r="Z1052" t="str">
        <f>IF(ISNUMBER(SEARCH("Adjustment",$C1052)),"excluded",IF($H1052="Behind the Meter","excluded",IF(NOT(OR($E1052="Bundled",$E1052="Energy")),"excluded",IF(OR($H1052="Retail Power Marketer",$H1052="Community Choice Aggregator",$E1052="Energy"),"procurement",IF(OR($H1052="Municipal",$H1052="Cooperative",$H1052="Federal",$H1052="State",$H1052="Political Subdivision"),"cost_service",IF($H1052="Investor Owned",IF(AND(COUNTIF(Parameters!$A$4:$A$33,$G1052)&gt;0,COUNTIF(Parameters!$B$4:$B$33,$B1052)=0),"procurement","cost_service"),"unclassified"))))))</f>
        <v>cost_service</v>
      </c>
    </row>
    <row r="1053" spans="1:26" x14ac:dyDescent="0.25">
      <c r="A1053">
        <v>2024</v>
      </c>
      <c r="B1053">
        <v>15334</v>
      </c>
      <c r="C1053" t="s">
        <v>1033</v>
      </c>
      <c r="D1053" t="s">
        <v>84</v>
      </c>
      <c r="E1053" t="s">
        <v>85</v>
      </c>
      <c r="F1053" t="s">
        <v>86</v>
      </c>
      <c r="G1053" t="s">
        <v>87</v>
      </c>
      <c r="H1053" t="s">
        <v>91</v>
      </c>
      <c r="I1053" t="s">
        <v>89</v>
      </c>
      <c r="J1053">
        <v>16867</v>
      </c>
      <c r="K1053">
        <v>155357</v>
      </c>
      <c r="L1053">
        <v>10999</v>
      </c>
      <c r="M1053">
        <v>13074</v>
      </c>
      <c r="N1053">
        <v>109284</v>
      </c>
      <c r="O1053">
        <v>3166</v>
      </c>
      <c r="P1053">
        <v>6198</v>
      </c>
      <c r="Q1053">
        <v>70502</v>
      </c>
      <c r="R1053">
        <v>8</v>
      </c>
      <c r="S1053">
        <v>0</v>
      </c>
      <c r="T1053">
        <v>0</v>
      </c>
      <c r="U1053">
        <v>0</v>
      </c>
      <c r="V1053">
        <v>36139</v>
      </c>
      <c r="W1053">
        <v>335143</v>
      </c>
      <c r="X1053">
        <v>14173</v>
      </c>
      <c r="Y1053">
        <f t="shared" si="16"/>
        <v>335143</v>
      </c>
      <c r="Z1053" t="str">
        <f>IF(ISNUMBER(SEARCH("Adjustment",$C1053)),"excluded",IF($H1053="Behind the Meter","excluded",IF(NOT(OR($E1053="Bundled",$E1053="Energy")),"excluded",IF(OR($H1053="Retail Power Marketer",$H1053="Community Choice Aggregator",$E1053="Energy"),"procurement",IF(OR($H1053="Municipal",$H1053="Cooperative",$H1053="Federal",$H1053="State",$H1053="Political Subdivision"),"cost_service",IF($H1053="Investor Owned",IF(AND(COUNTIF(Parameters!$A$4:$A$33,$G1053)&gt;0,COUNTIF(Parameters!$B$4:$B$33,$B1053)=0),"procurement","cost_service"),"unclassified"))))))</f>
        <v>cost_service</v>
      </c>
    </row>
    <row r="1054" spans="1:26" x14ac:dyDescent="0.25">
      <c r="A1054">
        <v>2024</v>
      </c>
      <c r="B1054">
        <v>15340</v>
      </c>
      <c r="C1054" t="s">
        <v>1034</v>
      </c>
      <c r="D1054" t="s">
        <v>84</v>
      </c>
      <c r="E1054" t="s">
        <v>85</v>
      </c>
      <c r="F1054" t="s">
        <v>86</v>
      </c>
      <c r="G1054" t="s">
        <v>140</v>
      </c>
      <c r="H1054" t="s">
        <v>91</v>
      </c>
      <c r="I1054" t="s">
        <v>96</v>
      </c>
      <c r="J1054">
        <v>36570</v>
      </c>
      <c r="K1054">
        <v>174203</v>
      </c>
      <c r="L1054">
        <v>32446</v>
      </c>
      <c r="M1054">
        <v>5788</v>
      </c>
      <c r="N1054">
        <v>40183</v>
      </c>
      <c r="O1054">
        <v>2220</v>
      </c>
      <c r="P1054">
        <v>3995</v>
      </c>
      <c r="Q1054">
        <v>32156</v>
      </c>
      <c r="R1054">
        <v>573</v>
      </c>
      <c r="S1054" t="s">
        <v>97</v>
      </c>
      <c r="T1054" t="s">
        <v>97</v>
      </c>
      <c r="U1054" t="s">
        <v>97</v>
      </c>
      <c r="V1054">
        <v>46353</v>
      </c>
      <c r="W1054">
        <v>246542</v>
      </c>
      <c r="X1054">
        <v>35239</v>
      </c>
      <c r="Y1054">
        <f t="shared" si="16"/>
        <v>246542</v>
      </c>
      <c r="Z1054" t="str">
        <f>IF(ISNUMBER(SEARCH("Adjustment",$C1054)),"excluded",IF($H1054="Behind the Meter","excluded",IF(NOT(OR($E1054="Bundled",$E1054="Energy")),"excluded",IF(OR($H1054="Retail Power Marketer",$H1054="Community Choice Aggregator",$E1054="Energy"),"procurement",IF(OR($H1054="Municipal",$H1054="Cooperative",$H1054="Federal",$H1054="State",$H1054="Political Subdivision"),"cost_service",IF($H1054="Investor Owned",IF(AND(COUNTIF(Parameters!$A$4:$A$33,$G1054)&gt;0,COUNTIF(Parameters!$B$4:$B$33,$B1054)=0),"procurement","cost_service"),"unclassified"))))))</f>
        <v>cost_service</v>
      </c>
    </row>
    <row r="1055" spans="1:26" x14ac:dyDescent="0.25">
      <c r="A1055">
        <v>2024</v>
      </c>
      <c r="B1055">
        <v>15344</v>
      </c>
      <c r="C1055" t="s">
        <v>1035</v>
      </c>
      <c r="D1055" t="s">
        <v>84</v>
      </c>
      <c r="E1055" t="s">
        <v>85</v>
      </c>
      <c r="F1055" t="s">
        <v>86</v>
      </c>
      <c r="G1055" t="s">
        <v>95</v>
      </c>
      <c r="H1055" t="s">
        <v>91</v>
      </c>
      <c r="I1055" t="s">
        <v>96</v>
      </c>
      <c r="J1055">
        <v>29241</v>
      </c>
      <c r="K1055">
        <v>183871</v>
      </c>
      <c r="L1055">
        <v>20379</v>
      </c>
      <c r="M1055">
        <v>6301</v>
      </c>
      <c r="N1055">
        <v>53106</v>
      </c>
      <c r="O1055">
        <v>1760</v>
      </c>
      <c r="P1055">
        <v>26.1</v>
      </c>
      <c r="Q1055">
        <v>93</v>
      </c>
      <c r="R1055">
        <v>18</v>
      </c>
      <c r="S1055" t="s">
        <v>97</v>
      </c>
      <c r="T1055" t="s">
        <v>97</v>
      </c>
      <c r="U1055" t="s">
        <v>97</v>
      </c>
      <c r="V1055">
        <v>35568.1</v>
      </c>
      <c r="W1055">
        <v>237070</v>
      </c>
      <c r="X1055">
        <v>22157</v>
      </c>
      <c r="Y1055">
        <f t="shared" si="16"/>
        <v>237070</v>
      </c>
      <c r="Z1055" t="str">
        <f>IF(ISNUMBER(SEARCH("Adjustment",$C1055)),"excluded",IF($H1055="Behind the Meter","excluded",IF(NOT(OR($E1055="Bundled",$E1055="Energy")),"excluded",IF(OR($H1055="Retail Power Marketer",$H1055="Community Choice Aggregator",$E1055="Energy"),"procurement",IF(OR($H1055="Municipal",$H1055="Cooperative",$H1055="Federal",$H1055="State",$H1055="Political Subdivision"),"cost_service",IF($H1055="Investor Owned",IF(AND(COUNTIF(Parameters!$A$4:$A$33,$G1055)&gt;0,COUNTIF(Parameters!$B$4:$B$33,$B1055)=0),"procurement","cost_service"),"unclassified"))))))</f>
        <v>cost_service</v>
      </c>
    </row>
    <row r="1056" spans="1:26" x14ac:dyDescent="0.25">
      <c r="A1056">
        <v>2024</v>
      </c>
      <c r="B1056">
        <v>15349</v>
      </c>
      <c r="C1056" t="s">
        <v>1036</v>
      </c>
      <c r="D1056" t="s">
        <v>84</v>
      </c>
      <c r="E1056" t="s">
        <v>85</v>
      </c>
      <c r="F1056" t="s">
        <v>86</v>
      </c>
      <c r="G1056" t="s">
        <v>146</v>
      </c>
      <c r="H1056" t="s">
        <v>88</v>
      </c>
      <c r="I1056" t="s">
        <v>96</v>
      </c>
      <c r="J1056">
        <v>577.1</v>
      </c>
      <c r="K1056">
        <v>3749</v>
      </c>
      <c r="L1056">
        <v>521</v>
      </c>
      <c r="M1056">
        <v>393.3</v>
      </c>
      <c r="N1056">
        <v>3390</v>
      </c>
      <c r="O1056">
        <v>101</v>
      </c>
      <c r="P1056">
        <v>0</v>
      </c>
      <c r="Q1056">
        <v>0</v>
      </c>
      <c r="R1056">
        <v>0</v>
      </c>
      <c r="S1056">
        <v>0</v>
      </c>
      <c r="T1056">
        <v>0</v>
      </c>
      <c r="U1056">
        <v>0</v>
      </c>
      <c r="V1056">
        <v>970.4</v>
      </c>
      <c r="W1056">
        <v>7139</v>
      </c>
      <c r="X1056">
        <v>622</v>
      </c>
      <c r="Y1056">
        <f t="shared" si="16"/>
        <v>7139</v>
      </c>
      <c r="Z1056" t="str">
        <f>IF(ISNUMBER(SEARCH("Adjustment",$C1056)),"excluded",IF($H1056="Behind the Meter","excluded",IF(NOT(OR($E1056="Bundled",$E1056="Energy")),"excluded",IF(OR($H1056="Retail Power Marketer",$H1056="Community Choice Aggregator",$E1056="Energy"),"procurement",IF(OR($H1056="Municipal",$H1056="Cooperative",$H1056="Federal",$H1056="State",$H1056="Political Subdivision"),"cost_service",IF($H1056="Investor Owned",IF(AND(COUNTIF(Parameters!$A$4:$A$33,$G1056)&gt;0,COUNTIF(Parameters!$B$4:$B$33,$B1056)=0),"procurement","cost_service"),"unclassified"))))))</f>
        <v>cost_service</v>
      </c>
    </row>
    <row r="1057" spans="1:26" x14ac:dyDescent="0.25">
      <c r="A1057">
        <v>2024</v>
      </c>
      <c r="B1057">
        <v>15410</v>
      </c>
      <c r="C1057" t="s">
        <v>1037</v>
      </c>
      <c r="D1057" t="s">
        <v>84</v>
      </c>
      <c r="E1057" t="s">
        <v>85</v>
      </c>
      <c r="F1057" t="s">
        <v>86</v>
      </c>
      <c r="G1057" t="s">
        <v>93</v>
      </c>
      <c r="H1057" t="s">
        <v>91</v>
      </c>
      <c r="I1057" t="s">
        <v>92</v>
      </c>
      <c r="J1057">
        <v>22296</v>
      </c>
      <c r="K1057">
        <v>170875</v>
      </c>
      <c r="L1057">
        <v>10954</v>
      </c>
      <c r="M1057">
        <v>8579</v>
      </c>
      <c r="N1057">
        <v>73281</v>
      </c>
      <c r="O1057">
        <v>1511</v>
      </c>
      <c r="P1057">
        <v>11698</v>
      </c>
      <c r="Q1057">
        <v>117968</v>
      </c>
      <c r="R1057">
        <v>24</v>
      </c>
      <c r="S1057" t="s">
        <v>97</v>
      </c>
      <c r="T1057" t="s">
        <v>97</v>
      </c>
      <c r="U1057" t="s">
        <v>97</v>
      </c>
      <c r="V1057">
        <v>42573</v>
      </c>
      <c r="W1057">
        <v>362124</v>
      </c>
      <c r="X1057">
        <v>12489</v>
      </c>
      <c r="Y1057">
        <f t="shared" si="16"/>
        <v>362124</v>
      </c>
      <c r="Z1057" t="str">
        <f>IF(ISNUMBER(SEARCH("Adjustment",$C1057)),"excluded",IF($H1057="Behind the Meter","excluded",IF(NOT(OR($E1057="Bundled",$E1057="Energy")),"excluded",IF(OR($H1057="Retail Power Marketer",$H1057="Community Choice Aggregator",$E1057="Energy"),"procurement",IF(OR($H1057="Municipal",$H1057="Cooperative",$H1057="Federal",$H1057="State",$H1057="Political Subdivision"),"cost_service",IF($H1057="Investor Owned",IF(AND(COUNTIF(Parameters!$A$4:$A$33,$G1057)&gt;0,COUNTIF(Parameters!$B$4:$B$33,$B1057)=0),"procurement","cost_service"),"unclassified"))))))</f>
        <v>cost_service</v>
      </c>
    </row>
    <row r="1058" spans="1:26" x14ac:dyDescent="0.25">
      <c r="A1058">
        <v>2024</v>
      </c>
      <c r="B1058">
        <v>15419</v>
      </c>
      <c r="C1058" t="s">
        <v>1038</v>
      </c>
      <c r="D1058" t="s">
        <v>84</v>
      </c>
      <c r="E1058" t="s">
        <v>85</v>
      </c>
      <c r="F1058" t="s">
        <v>86</v>
      </c>
      <c r="G1058" t="s">
        <v>148</v>
      </c>
      <c r="H1058" t="s">
        <v>205</v>
      </c>
      <c r="I1058" t="s">
        <v>206</v>
      </c>
      <c r="J1058">
        <v>63717</v>
      </c>
      <c r="K1058">
        <v>461961</v>
      </c>
      <c r="L1058">
        <v>33975</v>
      </c>
      <c r="M1058">
        <v>18198</v>
      </c>
      <c r="N1058">
        <v>177258</v>
      </c>
      <c r="O1058">
        <v>2431</v>
      </c>
      <c r="P1058">
        <v>3302</v>
      </c>
      <c r="Q1058">
        <v>42754</v>
      </c>
      <c r="R1058">
        <v>1</v>
      </c>
      <c r="S1058">
        <v>0</v>
      </c>
      <c r="T1058">
        <v>0</v>
      </c>
      <c r="U1058">
        <v>0</v>
      </c>
      <c r="V1058">
        <v>85217</v>
      </c>
      <c r="W1058">
        <v>681973</v>
      </c>
      <c r="X1058">
        <v>36407</v>
      </c>
      <c r="Y1058">
        <f t="shared" si="16"/>
        <v>681973</v>
      </c>
      <c r="Z1058" t="str">
        <f>IF(ISNUMBER(SEARCH("Adjustment",$C1058)),"excluded",IF($H1058="Behind the Meter","excluded",IF(NOT(OR($E1058="Bundled",$E1058="Energy")),"excluded",IF(OR($H1058="Retail Power Marketer",$H1058="Community Choice Aggregator",$E1058="Energy"),"procurement",IF(OR($H1058="Municipal",$H1058="Cooperative",$H1058="Federal",$H1058="State",$H1058="Political Subdivision"),"cost_service",IF($H1058="Investor Owned",IF(AND(COUNTIF(Parameters!$A$4:$A$33,$G1058)&gt;0,COUNTIF(Parameters!$B$4:$B$33,$B1058)=0),"procurement","cost_service"),"unclassified"))))))</f>
        <v>cost_service</v>
      </c>
    </row>
    <row r="1059" spans="1:26" x14ac:dyDescent="0.25">
      <c r="A1059">
        <v>2024</v>
      </c>
      <c r="B1059">
        <v>15444</v>
      </c>
      <c r="C1059" t="s">
        <v>1039</v>
      </c>
      <c r="D1059" t="s">
        <v>84</v>
      </c>
      <c r="E1059" t="s">
        <v>85</v>
      </c>
      <c r="F1059" t="s">
        <v>86</v>
      </c>
      <c r="G1059" t="s">
        <v>245</v>
      </c>
      <c r="H1059" t="s">
        <v>88</v>
      </c>
      <c r="I1059" t="s">
        <v>246</v>
      </c>
      <c r="J1059">
        <v>29407.8</v>
      </c>
      <c r="K1059">
        <v>258209</v>
      </c>
      <c r="L1059">
        <v>35299</v>
      </c>
      <c r="M1059">
        <v>35845.5</v>
      </c>
      <c r="N1059">
        <v>384365</v>
      </c>
      <c r="O1059">
        <v>4757</v>
      </c>
      <c r="P1059">
        <v>8895.7000000000007</v>
      </c>
      <c r="Q1059">
        <v>132797</v>
      </c>
      <c r="R1059">
        <v>1</v>
      </c>
      <c r="S1059">
        <v>0</v>
      </c>
      <c r="T1059">
        <v>0</v>
      </c>
      <c r="U1059">
        <v>0</v>
      </c>
      <c r="V1059">
        <v>74149</v>
      </c>
      <c r="W1059">
        <v>775371</v>
      </c>
      <c r="X1059">
        <v>40057</v>
      </c>
      <c r="Y1059">
        <f t="shared" si="16"/>
        <v>775371</v>
      </c>
      <c r="Z1059" t="str">
        <f>IF(ISNUMBER(SEARCH("Adjustment",$C1059)),"excluded",IF($H1059="Behind the Meter","excluded",IF(NOT(OR($E1059="Bundled",$E1059="Energy")),"excluded",IF(OR($H1059="Retail Power Marketer",$H1059="Community Choice Aggregator",$E1059="Energy"),"procurement",IF(OR($H1059="Municipal",$H1059="Cooperative",$H1059="Federal",$H1059="State",$H1059="Political Subdivision"),"cost_service",IF($H1059="Investor Owned",IF(AND(COUNTIF(Parameters!$A$4:$A$33,$G1059)&gt;0,COUNTIF(Parameters!$B$4:$B$33,$B1059)=0),"procurement","cost_service"),"unclassified"))))))</f>
        <v>cost_service</v>
      </c>
    </row>
    <row r="1060" spans="1:26" x14ac:dyDescent="0.25">
      <c r="A1060">
        <v>2024</v>
      </c>
      <c r="B1060">
        <v>15466</v>
      </c>
      <c r="C1060" t="s">
        <v>1040</v>
      </c>
      <c r="D1060" t="s">
        <v>84</v>
      </c>
      <c r="E1060" t="s">
        <v>85</v>
      </c>
      <c r="F1060" t="s">
        <v>86</v>
      </c>
      <c r="G1060" t="s">
        <v>361</v>
      </c>
      <c r="H1060" t="s">
        <v>109</v>
      </c>
      <c r="I1060" t="s">
        <v>523</v>
      </c>
      <c r="J1060">
        <v>1478540.7</v>
      </c>
      <c r="K1060">
        <v>9826647</v>
      </c>
      <c r="L1060">
        <v>1365053</v>
      </c>
      <c r="M1060">
        <v>1498938.1</v>
      </c>
      <c r="N1060">
        <v>12655120</v>
      </c>
      <c r="O1060">
        <v>224348</v>
      </c>
      <c r="P1060">
        <v>451516.2</v>
      </c>
      <c r="Q1060">
        <v>5839189</v>
      </c>
      <c r="R1060">
        <v>308</v>
      </c>
      <c r="S1060">
        <v>8279.6</v>
      </c>
      <c r="T1060">
        <v>85688</v>
      </c>
      <c r="U1060">
        <v>1</v>
      </c>
      <c r="V1060">
        <v>3437274.6</v>
      </c>
      <c r="W1060">
        <v>28406644</v>
      </c>
      <c r="X1060">
        <v>1589710</v>
      </c>
      <c r="Y1060">
        <f t="shared" si="16"/>
        <v>28406644</v>
      </c>
      <c r="Z1060" t="str">
        <f>IF(ISNUMBER(SEARCH("Adjustment",$C1060)),"excluded",IF($H1060="Behind the Meter","excluded",IF(NOT(OR($E1060="Bundled",$E1060="Energy")),"excluded",IF(OR($H1060="Retail Power Marketer",$H1060="Community Choice Aggregator",$E1060="Energy"),"procurement",IF(OR($H1060="Municipal",$H1060="Cooperative",$H1060="Federal",$H1060="State",$H1060="Political Subdivision"),"cost_service",IF($H1060="Investor Owned",IF(AND(COUNTIF(Parameters!$A$4:$A$33,$G1060)&gt;0,COUNTIF(Parameters!$B$4:$B$33,$B1060)=0),"procurement","cost_service"),"unclassified"))))))</f>
        <v>cost_service</v>
      </c>
    </row>
    <row r="1061" spans="1:26" x14ac:dyDescent="0.25">
      <c r="A1061">
        <v>2024</v>
      </c>
      <c r="B1061">
        <v>15470</v>
      </c>
      <c r="C1061" t="s">
        <v>1041</v>
      </c>
      <c r="D1061" t="s">
        <v>84</v>
      </c>
      <c r="E1061" t="s">
        <v>85</v>
      </c>
      <c r="F1061" t="s">
        <v>86</v>
      </c>
      <c r="G1061" t="s">
        <v>130</v>
      </c>
      <c r="H1061" t="s">
        <v>109</v>
      </c>
      <c r="I1061" t="s">
        <v>96</v>
      </c>
      <c r="J1061">
        <v>1149061</v>
      </c>
      <c r="K1061">
        <v>9014130</v>
      </c>
      <c r="L1061">
        <v>796265</v>
      </c>
      <c r="M1061">
        <v>818253</v>
      </c>
      <c r="N1061">
        <v>8229148</v>
      </c>
      <c r="O1061">
        <v>110116</v>
      </c>
      <c r="P1061">
        <v>724778</v>
      </c>
      <c r="Q1061">
        <v>9197328</v>
      </c>
      <c r="R1061">
        <v>2630</v>
      </c>
      <c r="S1061">
        <v>0</v>
      </c>
      <c r="T1061">
        <v>0</v>
      </c>
      <c r="U1061">
        <v>0</v>
      </c>
      <c r="V1061">
        <v>2692092</v>
      </c>
      <c r="W1061">
        <v>26440606</v>
      </c>
      <c r="X1061">
        <v>909011</v>
      </c>
      <c r="Y1061">
        <f t="shared" si="16"/>
        <v>26440606</v>
      </c>
      <c r="Z1061" t="str">
        <f>IF(ISNUMBER(SEARCH("Adjustment",$C1061)),"excluded",IF($H1061="Behind the Meter","excluded",IF(NOT(OR($E1061="Bundled",$E1061="Energy")),"excluded",IF(OR($H1061="Retail Power Marketer",$H1061="Community Choice Aggregator",$E1061="Energy"),"procurement",IF(OR($H1061="Municipal",$H1061="Cooperative",$H1061="Federal",$H1061="State",$H1061="Political Subdivision"),"cost_service",IF($H1061="Investor Owned",IF(AND(COUNTIF(Parameters!$A$4:$A$33,$G1061)&gt;0,COUNTIF(Parameters!$B$4:$B$33,$B1061)=0),"procurement","cost_service"),"unclassified"))))))</f>
        <v>cost_service</v>
      </c>
    </row>
    <row r="1062" spans="1:26" x14ac:dyDescent="0.25">
      <c r="A1062">
        <v>2024</v>
      </c>
      <c r="B1062">
        <v>15472</v>
      </c>
      <c r="C1062" t="s">
        <v>1042</v>
      </c>
      <c r="D1062" t="s">
        <v>84</v>
      </c>
      <c r="E1062" t="s">
        <v>85</v>
      </c>
      <c r="F1062" t="s">
        <v>86</v>
      </c>
      <c r="G1062" t="s">
        <v>51</v>
      </c>
      <c r="H1062" t="s">
        <v>109</v>
      </c>
      <c r="I1062" t="s">
        <v>189</v>
      </c>
      <c r="J1062">
        <v>456046.9</v>
      </c>
      <c r="K1062">
        <v>2013245</v>
      </c>
      <c r="L1062">
        <v>279131</v>
      </c>
      <c r="M1062">
        <v>101708.7</v>
      </c>
      <c r="N1062">
        <v>515269</v>
      </c>
      <c r="O1062">
        <v>38098</v>
      </c>
      <c r="P1062">
        <v>10417.5</v>
      </c>
      <c r="Q1062">
        <v>53885</v>
      </c>
      <c r="R1062">
        <v>1080</v>
      </c>
      <c r="S1062" t="s">
        <v>97</v>
      </c>
      <c r="T1062" t="s">
        <v>97</v>
      </c>
      <c r="U1062" t="s">
        <v>97</v>
      </c>
      <c r="V1062">
        <v>568173.1</v>
      </c>
      <c r="W1062">
        <v>2582399</v>
      </c>
      <c r="X1062">
        <v>318309</v>
      </c>
      <c r="Y1062">
        <f t="shared" si="16"/>
        <v>2582399</v>
      </c>
      <c r="Z1062" t="str">
        <f>IF(ISNUMBER(SEARCH("Adjustment",$C1062)),"excluded",IF($H1062="Behind the Meter","excluded",IF(NOT(OR($E1062="Bundled",$E1062="Energy")),"excluded",IF(OR($H1062="Retail Power Marketer",$H1062="Community Choice Aggregator",$E1062="Energy"),"procurement",IF(OR($H1062="Municipal",$H1062="Cooperative",$H1062="Federal",$H1062="State",$H1062="Political Subdivision"),"cost_service",IF($H1062="Investor Owned",IF(AND(COUNTIF(Parameters!$A$4:$A$33,$G1062)&gt;0,COUNTIF(Parameters!$B$4:$B$33,$B1062)=0),"procurement","cost_service"),"unclassified"))))))</f>
        <v>procurement</v>
      </c>
    </row>
    <row r="1063" spans="1:26" x14ac:dyDescent="0.25">
      <c r="A1063">
        <v>2024</v>
      </c>
      <c r="B1063">
        <v>15472</v>
      </c>
      <c r="C1063" t="s">
        <v>1042</v>
      </c>
      <c r="D1063" t="s">
        <v>167</v>
      </c>
      <c r="E1063" t="s">
        <v>168</v>
      </c>
      <c r="F1063" t="s">
        <v>86</v>
      </c>
      <c r="G1063" t="s">
        <v>51</v>
      </c>
      <c r="H1063" t="s">
        <v>109</v>
      </c>
      <c r="I1063" t="s">
        <v>189</v>
      </c>
      <c r="J1063">
        <v>183260.79999999999</v>
      </c>
      <c r="K1063">
        <v>1397315</v>
      </c>
      <c r="L1063">
        <v>180776</v>
      </c>
      <c r="M1063">
        <v>241851.7</v>
      </c>
      <c r="N1063">
        <v>2511390</v>
      </c>
      <c r="O1063">
        <v>41369</v>
      </c>
      <c r="P1063">
        <v>96242.3</v>
      </c>
      <c r="Q1063">
        <v>1316152</v>
      </c>
      <c r="R1063">
        <v>1604</v>
      </c>
      <c r="S1063" t="s">
        <v>97</v>
      </c>
      <c r="T1063" t="s">
        <v>97</v>
      </c>
      <c r="U1063" t="s">
        <v>97</v>
      </c>
      <c r="V1063">
        <v>521354.8</v>
      </c>
      <c r="W1063">
        <v>5224857</v>
      </c>
      <c r="X1063">
        <v>223749</v>
      </c>
      <c r="Y1063">
        <f t="shared" si="16"/>
        <v>5224857</v>
      </c>
      <c r="Z1063" t="str">
        <f>IF(ISNUMBER(SEARCH("Adjustment",$C1063)),"excluded",IF($H1063="Behind the Meter","excluded",IF(NOT(OR($E1063="Bundled",$E1063="Energy")),"excluded",IF(OR($H1063="Retail Power Marketer",$H1063="Community Choice Aggregator",$E1063="Energy"),"procurement",IF(OR($H1063="Municipal",$H1063="Cooperative",$H1063="Federal",$H1063="State",$H1063="Political Subdivision"),"cost_service",IF($H1063="Investor Owned",IF(AND(COUNTIF(Parameters!$A$4:$A$33,$G1063)&gt;0,COUNTIF(Parameters!$B$4:$B$33,$B1063)=0),"procurement","cost_service"),"unclassified"))))))</f>
        <v>excluded</v>
      </c>
    </row>
    <row r="1064" spans="1:26" x14ac:dyDescent="0.25">
      <c r="A1064">
        <v>2024</v>
      </c>
      <c r="B1064">
        <v>15473</v>
      </c>
      <c r="C1064" t="s">
        <v>1043</v>
      </c>
      <c r="D1064" t="s">
        <v>84</v>
      </c>
      <c r="E1064" t="s">
        <v>85</v>
      </c>
      <c r="F1064" t="s">
        <v>86</v>
      </c>
      <c r="G1064" t="s">
        <v>308</v>
      </c>
      <c r="H1064" t="s">
        <v>109</v>
      </c>
      <c r="I1064" t="s">
        <v>309</v>
      </c>
      <c r="J1064">
        <v>528978.30000000005</v>
      </c>
      <c r="K1064">
        <v>3397273</v>
      </c>
      <c r="L1064">
        <v>492945</v>
      </c>
      <c r="M1064">
        <v>473827</v>
      </c>
      <c r="N1064">
        <v>3869779</v>
      </c>
      <c r="O1064">
        <v>59510</v>
      </c>
      <c r="P1064">
        <v>146685.6</v>
      </c>
      <c r="Q1064">
        <v>2607603</v>
      </c>
      <c r="R1064">
        <v>183</v>
      </c>
      <c r="S1064" t="s">
        <v>97</v>
      </c>
      <c r="T1064" t="s">
        <v>97</v>
      </c>
      <c r="U1064" t="s">
        <v>97</v>
      </c>
      <c r="V1064">
        <v>1149490.8999999999</v>
      </c>
      <c r="W1064">
        <v>9874655</v>
      </c>
      <c r="X1064">
        <v>552638</v>
      </c>
      <c r="Y1064">
        <f t="shared" si="16"/>
        <v>9874655</v>
      </c>
      <c r="Z1064" t="str">
        <f>IF(ISNUMBER(SEARCH("Adjustment",$C1064)),"excluded",IF($H1064="Behind the Meter","excluded",IF(NOT(OR($E1064="Bundled",$E1064="Energy")),"excluded",IF(OR($H1064="Retail Power Marketer",$H1064="Community Choice Aggregator",$E1064="Energy"),"procurement",IF(OR($H1064="Municipal",$H1064="Cooperative",$H1064="Federal",$H1064="State",$H1064="Political Subdivision"),"cost_service",IF($H1064="Investor Owned",IF(AND(COUNTIF(Parameters!$A$4:$A$33,$G1064)&gt;0,COUNTIF(Parameters!$B$4:$B$33,$B1064)=0),"procurement","cost_service"),"unclassified"))))))</f>
        <v>cost_service</v>
      </c>
    </row>
    <row r="1065" spans="1:26" x14ac:dyDescent="0.25">
      <c r="A1065">
        <v>2024</v>
      </c>
      <c r="B1065">
        <v>15474</v>
      </c>
      <c r="C1065" t="s">
        <v>1044</v>
      </c>
      <c r="D1065" t="s">
        <v>84</v>
      </c>
      <c r="E1065" t="s">
        <v>85</v>
      </c>
      <c r="F1065" t="s">
        <v>86</v>
      </c>
      <c r="G1065" t="s">
        <v>136</v>
      </c>
      <c r="H1065" t="s">
        <v>109</v>
      </c>
      <c r="I1065" t="s">
        <v>135</v>
      </c>
      <c r="J1065">
        <v>800878.2</v>
      </c>
      <c r="K1065">
        <v>6292790</v>
      </c>
      <c r="L1065">
        <v>501093</v>
      </c>
      <c r="M1065">
        <v>610771.9</v>
      </c>
      <c r="N1065">
        <v>6952135</v>
      </c>
      <c r="O1065">
        <v>67741</v>
      </c>
      <c r="P1065">
        <v>349700.7</v>
      </c>
      <c r="Q1065">
        <v>5882233</v>
      </c>
      <c r="R1065">
        <v>5925</v>
      </c>
      <c r="S1065" t="s">
        <v>97</v>
      </c>
      <c r="T1065" t="s">
        <v>97</v>
      </c>
      <c r="U1065" t="s">
        <v>97</v>
      </c>
      <c r="V1065">
        <v>1761350.8</v>
      </c>
      <c r="W1065">
        <v>19127158</v>
      </c>
      <c r="X1065">
        <v>574759</v>
      </c>
      <c r="Y1065">
        <f t="shared" si="16"/>
        <v>19127158</v>
      </c>
      <c r="Z1065" t="str">
        <f>IF(ISNUMBER(SEARCH("Adjustment",$C1065)),"excluded",IF($H1065="Behind the Meter","excluded",IF(NOT(OR($E1065="Bundled",$E1065="Energy")),"excluded",IF(OR($H1065="Retail Power Marketer",$H1065="Community Choice Aggregator",$E1065="Energy"),"procurement",IF(OR($H1065="Municipal",$H1065="Cooperative",$H1065="Federal",$H1065="State",$H1065="Political Subdivision"),"cost_service",IF($H1065="Investor Owned",IF(AND(COUNTIF(Parameters!$A$4:$A$33,$G1065)&gt;0,COUNTIF(Parameters!$B$4:$B$33,$B1065)=0),"procurement","cost_service"),"unclassified"))))))</f>
        <v>cost_service</v>
      </c>
    </row>
    <row r="1066" spans="1:26" x14ac:dyDescent="0.25">
      <c r="A1066">
        <v>2024</v>
      </c>
      <c r="B1066">
        <v>15477</v>
      </c>
      <c r="C1066" t="s">
        <v>1045</v>
      </c>
      <c r="D1066" t="s">
        <v>84</v>
      </c>
      <c r="E1066" t="s">
        <v>85</v>
      </c>
      <c r="F1066" t="s">
        <v>86</v>
      </c>
      <c r="G1066" t="s">
        <v>52</v>
      </c>
      <c r="H1066" t="s">
        <v>109</v>
      </c>
      <c r="I1066" t="s">
        <v>92</v>
      </c>
      <c r="J1066">
        <v>2725411.6</v>
      </c>
      <c r="K1066">
        <v>13348755</v>
      </c>
      <c r="L1066">
        <v>1966950</v>
      </c>
      <c r="M1066">
        <v>1504587.6</v>
      </c>
      <c r="N1066">
        <v>10245325</v>
      </c>
      <c r="O1066">
        <v>272523</v>
      </c>
      <c r="P1066">
        <v>105299.5</v>
      </c>
      <c r="Q1066">
        <v>1257792</v>
      </c>
      <c r="R1066">
        <v>6931</v>
      </c>
      <c r="S1066">
        <v>3222</v>
      </c>
      <c r="T1066">
        <v>29253</v>
      </c>
      <c r="U1066">
        <v>1</v>
      </c>
      <c r="V1066">
        <v>4338520.7</v>
      </c>
      <c r="W1066">
        <v>24881125</v>
      </c>
      <c r="X1066">
        <v>2246405</v>
      </c>
      <c r="Y1066">
        <f t="shared" si="16"/>
        <v>24881125</v>
      </c>
      <c r="Z1066" t="str">
        <f>IF(ISNUMBER(SEARCH("Adjustment",$C1066)),"excluded",IF($H1066="Behind the Meter","excluded",IF(NOT(OR($E1066="Bundled",$E1066="Energy")),"excluded",IF(OR($H1066="Retail Power Marketer",$H1066="Community Choice Aggregator",$E1066="Energy"),"procurement",IF(OR($H1066="Municipal",$H1066="Cooperative",$H1066="Federal",$H1066="State",$H1066="Political Subdivision"),"cost_service",IF($H1066="Investor Owned",IF(AND(COUNTIF(Parameters!$A$4:$A$33,$G1066)&gt;0,COUNTIF(Parameters!$B$4:$B$33,$B1066)=0),"procurement","cost_service"),"unclassified"))))))</f>
        <v>procurement</v>
      </c>
    </row>
    <row r="1067" spans="1:26" x14ac:dyDescent="0.25">
      <c r="A1067">
        <v>2024</v>
      </c>
      <c r="B1067">
        <v>15477</v>
      </c>
      <c r="C1067" t="s">
        <v>1045</v>
      </c>
      <c r="D1067" t="s">
        <v>167</v>
      </c>
      <c r="E1067" t="s">
        <v>168</v>
      </c>
      <c r="F1067" t="s">
        <v>86</v>
      </c>
      <c r="G1067" t="s">
        <v>52</v>
      </c>
      <c r="H1067" t="s">
        <v>109</v>
      </c>
      <c r="I1067" t="s">
        <v>92</v>
      </c>
      <c r="J1067">
        <v>29133.4</v>
      </c>
      <c r="K1067">
        <v>558389</v>
      </c>
      <c r="L1067">
        <v>89281</v>
      </c>
      <c r="M1067">
        <v>639287.6</v>
      </c>
      <c r="N1067">
        <v>12500054</v>
      </c>
      <c r="O1067">
        <v>52626</v>
      </c>
      <c r="P1067">
        <v>122436.6</v>
      </c>
      <c r="Q1067">
        <v>2431307</v>
      </c>
      <c r="R1067">
        <v>1448</v>
      </c>
      <c r="S1067">
        <v>6715.6</v>
      </c>
      <c r="T1067">
        <v>287832</v>
      </c>
      <c r="U1067">
        <v>5</v>
      </c>
      <c r="V1067">
        <v>797573.2</v>
      </c>
      <c r="W1067">
        <v>15777582</v>
      </c>
      <c r="X1067">
        <v>143360</v>
      </c>
      <c r="Y1067">
        <f t="shared" si="16"/>
        <v>15777582</v>
      </c>
      <c r="Z1067" t="str">
        <f>IF(ISNUMBER(SEARCH("Adjustment",$C1067)),"excluded",IF($H1067="Behind the Meter","excluded",IF(NOT(OR($E1067="Bundled",$E1067="Energy")),"excluded",IF(OR($H1067="Retail Power Marketer",$H1067="Community Choice Aggregator",$E1067="Energy"),"procurement",IF(OR($H1067="Municipal",$H1067="Cooperative",$H1067="Federal",$H1067="State",$H1067="Political Subdivision"),"cost_service",IF($H1067="Investor Owned",IF(AND(COUNTIF(Parameters!$A$4:$A$33,$G1067)&gt;0,COUNTIF(Parameters!$B$4:$B$33,$B1067)=0),"procurement","cost_service"),"unclassified"))))))</f>
        <v>excluded</v>
      </c>
    </row>
    <row r="1068" spans="1:26" x14ac:dyDescent="0.25">
      <c r="A1068">
        <v>2024</v>
      </c>
      <c r="B1068">
        <v>15500</v>
      </c>
      <c r="C1068" t="s">
        <v>1046</v>
      </c>
      <c r="D1068" t="s">
        <v>84</v>
      </c>
      <c r="E1068" t="s">
        <v>85</v>
      </c>
      <c r="F1068" t="s">
        <v>86</v>
      </c>
      <c r="G1068" t="s">
        <v>148</v>
      </c>
      <c r="H1068" t="s">
        <v>109</v>
      </c>
      <c r="I1068" t="s">
        <v>149</v>
      </c>
      <c r="J1068">
        <v>1677597.3</v>
      </c>
      <c r="K1068">
        <v>11462976</v>
      </c>
      <c r="L1068">
        <v>1091599</v>
      </c>
      <c r="M1068">
        <v>1180702.1000000001</v>
      </c>
      <c r="N1068">
        <v>8625073</v>
      </c>
      <c r="O1068">
        <v>143261</v>
      </c>
      <c r="P1068">
        <v>131869.1</v>
      </c>
      <c r="Q1068">
        <v>1057368</v>
      </c>
      <c r="R1068">
        <v>3175</v>
      </c>
      <c r="S1068">
        <v>2142</v>
      </c>
      <c r="T1068">
        <v>16188</v>
      </c>
      <c r="U1068">
        <v>1</v>
      </c>
      <c r="V1068">
        <v>2992310.5</v>
      </c>
      <c r="W1068">
        <v>21161605</v>
      </c>
      <c r="X1068">
        <v>1238036</v>
      </c>
      <c r="Y1068">
        <f t="shared" si="16"/>
        <v>21161605</v>
      </c>
      <c r="Z1068" t="str">
        <f>IF(ISNUMBER(SEARCH("Adjustment",$C1068)),"excluded",IF($H1068="Behind the Meter","excluded",IF(NOT(OR($E1068="Bundled",$E1068="Energy")),"excluded",IF(OR($H1068="Retail Power Marketer",$H1068="Community Choice Aggregator",$E1068="Energy"),"procurement",IF(OR($H1068="Municipal",$H1068="Cooperative",$H1068="Federal",$H1068="State",$H1068="Political Subdivision"),"cost_service",IF($H1068="Investor Owned",IF(AND(COUNTIF(Parameters!$A$4:$A$33,$G1068)&gt;0,COUNTIF(Parameters!$B$4:$B$33,$B1068)=0),"procurement","cost_service"),"unclassified"))))))</f>
        <v>cost_service</v>
      </c>
    </row>
    <row r="1069" spans="1:26" x14ac:dyDescent="0.25">
      <c r="A1069">
        <v>2024</v>
      </c>
      <c r="B1069">
        <v>15500</v>
      </c>
      <c r="C1069" t="s">
        <v>1046</v>
      </c>
      <c r="D1069" t="s">
        <v>167</v>
      </c>
      <c r="E1069" t="s">
        <v>168</v>
      </c>
      <c r="F1069" t="s">
        <v>86</v>
      </c>
      <c r="G1069" t="s">
        <v>148</v>
      </c>
      <c r="H1069" t="s">
        <v>109</v>
      </c>
      <c r="I1069" t="s">
        <v>149</v>
      </c>
      <c r="J1069">
        <v>0</v>
      </c>
      <c r="K1069">
        <v>0</v>
      </c>
      <c r="L1069">
        <v>0</v>
      </c>
      <c r="M1069">
        <v>7168.1</v>
      </c>
      <c r="N1069">
        <v>310949</v>
      </c>
      <c r="O1069">
        <v>102</v>
      </c>
      <c r="P1069">
        <v>11461.5</v>
      </c>
      <c r="Q1069">
        <v>1996863</v>
      </c>
      <c r="R1069">
        <v>13</v>
      </c>
      <c r="S1069">
        <v>0</v>
      </c>
      <c r="T1069">
        <v>0</v>
      </c>
      <c r="U1069">
        <v>0</v>
      </c>
      <c r="V1069">
        <v>18629.599999999999</v>
      </c>
      <c r="W1069">
        <v>2307812</v>
      </c>
      <c r="X1069">
        <v>115</v>
      </c>
      <c r="Y1069">
        <f t="shared" si="16"/>
        <v>2307812</v>
      </c>
      <c r="Z1069" t="str">
        <f>IF(ISNUMBER(SEARCH("Adjustment",$C1069)),"excluded",IF($H1069="Behind the Meter","excluded",IF(NOT(OR($E1069="Bundled",$E1069="Energy")),"excluded",IF(OR($H1069="Retail Power Marketer",$H1069="Community Choice Aggregator",$E1069="Energy"),"procurement",IF(OR($H1069="Municipal",$H1069="Cooperative",$H1069="Federal",$H1069="State",$H1069="Political Subdivision"),"cost_service",IF($H1069="Investor Owned",IF(AND(COUNTIF(Parameters!$A$4:$A$33,$G1069)&gt;0,COUNTIF(Parameters!$B$4:$B$33,$B1069)=0),"procurement","cost_service"),"unclassified"))))))</f>
        <v>excluded</v>
      </c>
    </row>
    <row r="1070" spans="1:26" x14ac:dyDescent="0.25">
      <c r="A1070">
        <v>2024</v>
      </c>
      <c r="B1070">
        <v>15507</v>
      </c>
      <c r="C1070" t="s">
        <v>1047</v>
      </c>
      <c r="D1070" t="s">
        <v>84</v>
      </c>
      <c r="E1070" t="s">
        <v>85</v>
      </c>
      <c r="F1070" t="s">
        <v>86</v>
      </c>
      <c r="G1070" t="s">
        <v>156</v>
      </c>
      <c r="H1070" t="s">
        <v>88</v>
      </c>
      <c r="I1070" t="s">
        <v>89</v>
      </c>
      <c r="J1070">
        <v>23437</v>
      </c>
      <c r="K1070">
        <v>176137</v>
      </c>
      <c r="L1070">
        <v>12432</v>
      </c>
      <c r="M1070">
        <v>14385</v>
      </c>
      <c r="N1070">
        <v>107211</v>
      </c>
      <c r="O1070">
        <v>2880</v>
      </c>
      <c r="P1070">
        <v>12937</v>
      </c>
      <c r="Q1070">
        <v>146930</v>
      </c>
      <c r="R1070">
        <v>11</v>
      </c>
      <c r="S1070">
        <v>0</v>
      </c>
      <c r="T1070">
        <v>0</v>
      </c>
      <c r="U1070">
        <v>0</v>
      </c>
      <c r="V1070">
        <v>50759</v>
      </c>
      <c r="W1070">
        <v>430278</v>
      </c>
      <c r="X1070">
        <v>15323</v>
      </c>
      <c r="Y1070">
        <f t="shared" si="16"/>
        <v>430278</v>
      </c>
      <c r="Z1070" t="str">
        <f>IF(ISNUMBER(SEARCH("Adjustment",$C1070)),"excluded",IF($H1070="Behind the Meter","excluded",IF(NOT(OR($E1070="Bundled",$E1070="Energy")),"excluded",IF(OR($H1070="Retail Power Marketer",$H1070="Community Choice Aggregator",$E1070="Energy"),"procurement",IF(OR($H1070="Municipal",$H1070="Cooperative",$H1070="Federal",$H1070="State",$H1070="Political Subdivision"),"cost_service",IF($H1070="Investor Owned",IF(AND(COUNTIF(Parameters!$A$4:$A$33,$G1070)&gt;0,COUNTIF(Parameters!$B$4:$B$33,$B1070)=0),"procurement","cost_service"),"unclassified"))))))</f>
        <v>cost_service</v>
      </c>
    </row>
    <row r="1071" spans="1:26" x14ac:dyDescent="0.25">
      <c r="A1071">
        <v>2024</v>
      </c>
      <c r="B1071">
        <v>15671</v>
      </c>
      <c r="C1071" t="s">
        <v>1048</v>
      </c>
      <c r="D1071" t="s">
        <v>84</v>
      </c>
      <c r="E1071" t="s">
        <v>85</v>
      </c>
      <c r="F1071" t="s">
        <v>86</v>
      </c>
      <c r="G1071" t="s">
        <v>125</v>
      </c>
      <c r="H1071" t="s">
        <v>91</v>
      </c>
      <c r="I1071" t="s">
        <v>163</v>
      </c>
      <c r="J1071">
        <v>60855.3</v>
      </c>
      <c r="K1071">
        <v>382556</v>
      </c>
      <c r="L1071">
        <v>31086</v>
      </c>
      <c r="M1071">
        <v>15114.2</v>
      </c>
      <c r="N1071">
        <v>121585</v>
      </c>
      <c r="O1071">
        <v>2722</v>
      </c>
      <c r="P1071">
        <v>1757.3</v>
      </c>
      <c r="Q1071">
        <v>18392</v>
      </c>
      <c r="R1071">
        <v>7</v>
      </c>
      <c r="S1071" t="s">
        <v>97</v>
      </c>
      <c r="T1071" t="s">
        <v>97</v>
      </c>
      <c r="U1071" t="s">
        <v>97</v>
      </c>
      <c r="V1071">
        <v>77726.8</v>
      </c>
      <c r="W1071">
        <v>522533</v>
      </c>
      <c r="X1071">
        <v>33815</v>
      </c>
      <c r="Y1071">
        <f t="shared" si="16"/>
        <v>522533</v>
      </c>
      <c r="Z1071" t="str">
        <f>IF(ISNUMBER(SEARCH("Adjustment",$C1071)),"excluded",IF($H1071="Behind the Meter","excluded",IF(NOT(OR($E1071="Bundled",$E1071="Energy")),"excluded",IF(OR($H1071="Retail Power Marketer",$H1071="Community Choice Aggregator",$E1071="Energy"),"procurement",IF(OR($H1071="Municipal",$H1071="Cooperative",$H1071="Federal",$H1071="State",$H1071="Political Subdivision"),"cost_service",IF($H1071="Investor Owned",IF(AND(COUNTIF(Parameters!$A$4:$A$33,$G1071)&gt;0,COUNTIF(Parameters!$B$4:$B$33,$B1071)=0),"procurement","cost_service"),"unclassified"))))))</f>
        <v>cost_service</v>
      </c>
    </row>
    <row r="1072" spans="1:26" x14ac:dyDescent="0.25">
      <c r="A1072">
        <v>2024</v>
      </c>
      <c r="B1072">
        <v>15700</v>
      </c>
      <c r="C1072" t="s">
        <v>1049</v>
      </c>
      <c r="D1072" t="s">
        <v>84</v>
      </c>
      <c r="E1072" t="s">
        <v>85</v>
      </c>
      <c r="F1072" t="s">
        <v>86</v>
      </c>
      <c r="G1072" t="s">
        <v>123</v>
      </c>
      <c r="H1072" t="s">
        <v>91</v>
      </c>
      <c r="I1072" t="s">
        <v>113</v>
      </c>
      <c r="J1072">
        <v>31555</v>
      </c>
      <c r="K1072">
        <v>218845</v>
      </c>
      <c r="L1072">
        <v>16369</v>
      </c>
      <c r="M1072">
        <v>9478</v>
      </c>
      <c r="N1072">
        <v>67313</v>
      </c>
      <c r="O1072">
        <v>3546</v>
      </c>
      <c r="P1072">
        <v>1050</v>
      </c>
      <c r="Q1072">
        <v>12989</v>
      </c>
      <c r="R1072">
        <v>4</v>
      </c>
      <c r="S1072" t="s">
        <v>97</v>
      </c>
      <c r="T1072" t="s">
        <v>97</v>
      </c>
      <c r="U1072" t="s">
        <v>97</v>
      </c>
      <c r="V1072">
        <v>42083</v>
      </c>
      <c r="W1072">
        <v>299147</v>
      </c>
      <c r="X1072">
        <v>19919</v>
      </c>
      <c r="Y1072">
        <f t="shared" si="16"/>
        <v>299147</v>
      </c>
      <c r="Z1072" t="str">
        <f>IF(ISNUMBER(SEARCH("Adjustment",$C1072)),"excluded",IF($H1072="Behind the Meter","excluded",IF(NOT(OR($E1072="Bundled",$E1072="Energy")),"excluded",IF(OR($H1072="Retail Power Marketer",$H1072="Community Choice Aggregator",$E1072="Energy"),"procurement",IF(OR($H1072="Municipal",$H1072="Cooperative",$H1072="Federal",$H1072="State",$H1072="Political Subdivision"),"cost_service",IF($H1072="Investor Owned",IF(AND(COUNTIF(Parameters!$A$4:$A$33,$G1072)&gt;0,COUNTIF(Parameters!$B$4:$B$33,$B1072)=0),"procurement","cost_service"),"unclassified"))))))</f>
        <v>cost_service</v>
      </c>
    </row>
    <row r="1073" spans="1:26" x14ac:dyDescent="0.25">
      <c r="A1073">
        <v>2024</v>
      </c>
      <c r="B1073">
        <v>15746</v>
      </c>
      <c r="C1073" t="s">
        <v>1050</v>
      </c>
      <c r="D1073" t="s">
        <v>84</v>
      </c>
      <c r="E1073" t="s">
        <v>85</v>
      </c>
      <c r="F1073" t="s">
        <v>86</v>
      </c>
      <c r="G1073" t="s">
        <v>136</v>
      </c>
      <c r="H1073" t="s">
        <v>91</v>
      </c>
      <c r="I1073" t="s">
        <v>135</v>
      </c>
      <c r="J1073">
        <v>23536</v>
      </c>
      <c r="K1073">
        <v>206750</v>
      </c>
      <c r="L1073">
        <v>15852</v>
      </c>
      <c r="M1073">
        <v>11258</v>
      </c>
      <c r="N1073">
        <v>97721</v>
      </c>
      <c r="O1073">
        <v>1910</v>
      </c>
      <c r="P1073">
        <v>10873</v>
      </c>
      <c r="Q1073">
        <v>174420</v>
      </c>
      <c r="R1073">
        <v>4</v>
      </c>
      <c r="S1073" t="s">
        <v>97</v>
      </c>
      <c r="T1073" t="s">
        <v>97</v>
      </c>
      <c r="U1073" t="s">
        <v>97</v>
      </c>
      <c r="V1073">
        <v>45667</v>
      </c>
      <c r="W1073">
        <v>478891</v>
      </c>
      <c r="X1073">
        <v>17766</v>
      </c>
      <c r="Y1073">
        <f t="shared" si="16"/>
        <v>478891</v>
      </c>
      <c r="Z1073" t="str">
        <f>IF(ISNUMBER(SEARCH("Adjustment",$C1073)),"excluded",IF($H1073="Behind the Meter","excluded",IF(NOT(OR($E1073="Bundled",$E1073="Energy")),"excluded",IF(OR($H1073="Retail Power Marketer",$H1073="Community Choice Aggregator",$E1073="Energy"),"procurement",IF(OR($H1073="Municipal",$H1073="Cooperative",$H1073="Federal",$H1073="State",$H1073="Political Subdivision"),"cost_service",IF($H1073="Investor Owned",IF(AND(COUNTIF(Parameters!$A$4:$A$33,$G1073)&gt;0,COUNTIF(Parameters!$B$4:$B$33,$B1073)=0),"procurement","cost_service"),"unclassified"))))))</f>
        <v>cost_service</v>
      </c>
    </row>
    <row r="1074" spans="1:26" x14ac:dyDescent="0.25">
      <c r="A1074">
        <v>2024</v>
      </c>
      <c r="B1074">
        <v>15748</v>
      </c>
      <c r="C1074" t="s">
        <v>1051</v>
      </c>
      <c r="D1074" t="s">
        <v>84</v>
      </c>
      <c r="E1074" t="s">
        <v>85</v>
      </c>
      <c r="F1074" t="s">
        <v>86</v>
      </c>
      <c r="G1074" t="s">
        <v>48</v>
      </c>
      <c r="H1074" t="s">
        <v>88</v>
      </c>
      <c r="I1074" t="s">
        <v>189</v>
      </c>
      <c r="J1074">
        <v>41138.6</v>
      </c>
      <c r="K1074">
        <v>259395</v>
      </c>
      <c r="L1074">
        <v>27405</v>
      </c>
      <c r="M1074">
        <v>49749.5</v>
      </c>
      <c r="N1074">
        <v>379553</v>
      </c>
      <c r="O1074">
        <v>3295</v>
      </c>
      <c r="P1074" t="s">
        <v>97</v>
      </c>
      <c r="Q1074" t="s">
        <v>97</v>
      </c>
      <c r="R1074" t="s">
        <v>97</v>
      </c>
      <c r="S1074" t="s">
        <v>97</v>
      </c>
      <c r="T1074" t="s">
        <v>97</v>
      </c>
      <c r="U1074" t="s">
        <v>97</v>
      </c>
      <c r="V1074">
        <v>90888.1</v>
      </c>
      <c r="W1074">
        <v>638948</v>
      </c>
      <c r="X1074">
        <v>30700</v>
      </c>
      <c r="Y1074">
        <f t="shared" si="16"/>
        <v>638948</v>
      </c>
      <c r="Z1074" t="str">
        <f>IF(ISNUMBER(SEARCH("Adjustment",$C1074)),"excluded",IF($H1074="Behind the Meter","excluded",IF(NOT(OR($E1074="Bundled",$E1074="Energy")),"excluded",IF(OR($H1074="Retail Power Marketer",$H1074="Community Choice Aggregator",$E1074="Energy"),"procurement",IF(OR($H1074="Municipal",$H1074="Cooperative",$H1074="Federal",$H1074="State",$H1074="Political Subdivision"),"cost_service",IF($H1074="Investor Owned",IF(AND(COUNTIF(Parameters!$A$4:$A$33,$G1074)&gt;0,COUNTIF(Parameters!$B$4:$B$33,$B1074)=0),"procurement","cost_service"),"unclassified"))))))</f>
        <v>cost_service</v>
      </c>
    </row>
    <row r="1075" spans="1:26" x14ac:dyDescent="0.25">
      <c r="A1075">
        <v>2024</v>
      </c>
      <c r="B1075">
        <v>15776</v>
      </c>
      <c r="C1075" t="s">
        <v>1052</v>
      </c>
      <c r="D1075" t="s">
        <v>84</v>
      </c>
      <c r="E1075" t="s">
        <v>85</v>
      </c>
      <c r="F1075" t="s">
        <v>86</v>
      </c>
      <c r="G1075" t="s">
        <v>195</v>
      </c>
      <c r="H1075" t="s">
        <v>88</v>
      </c>
      <c r="I1075" t="s">
        <v>196</v>
      </c>
      <c r="J1075">
        <v>14</v>
      </c>
      <c r="K1075">
        <v>122</v>
      </c>
      <c r="L1075">
        <v>9</v>
      </c>
      <c r="M1075">
        <v>109292</v>
      </c>
      <c r="N1075">
        <v>1163344</v>
      </c>
      <c r="O1075">
        <v>1554</v>
      </c>
      <c r="P1075" t="s">
        <v>97</v>
      </c>
      <c r="Q1075" t="s">
        <v>97</v>
      </c>
      <c r="R1075" t="s">
        <v>97</v>
      </c>
      <c r="S1075" t="s">
        <v>97</v>
      </c>
      <c r="T1075" t="s">
        <v>97</v>
      </c>
      <c r="U1075" t="s">
        <v>97</v>
      </c>
      <c r="V1075">
        <v>109306</v>
      </c>
      <c r="W1075">
        <v>1163466</v>
      </c>
      <c r="X1075">
        <v>1563</v>
      </c>
      <c r="Y1075">
        <f t="shared" si="16"/>
        <v>1163466</v>
      </c>
      <c r="Z1075" t="str">
        <f>IF(ISNUMBER(SEARCH("Adjustment",$C1075)),"excluded",IF($H1075="Behind the Meter","excluded",IF(NOT(OR($E1075="Bundled",$E1075="Energy")),"excluded",IF(OR($H1075="Retail Power Marketer",$H1075="Community Choice Aggregator",$E1075="Energy"),"procurement",IF(OR($H1075="Municipal",$H1075="Cooperative",$H1075="Federal",$H1075="State",$H1075="Political Subdivision"),"cost_service",IF($H1075="Investor Owned",IF(AND(COUNTIF(Parameters!$A$4:$A$33,$G1075)&gt;0,COUNTIF(Parameters!$B$4:$B$33,$B1075)=0),"procurement","cost_service"),"unclassified"))))))</f>
        <v>cost_service</v>
      </c>
    </row>
    <row r="1076" spans="1:26" x14ac:dyDescent="0.25">
      <c r="A1076">
        <v>2024</v>
      </c>
      <c r="B1076">
        <v>15783</v>
      </c>
      <c r="C1076" t="s">
        <v>1053</v>
      </c>
      <c r="D1076" t="s">
        <v>84</v>
      </c>
      <c r="E1076" t="s">
        <v>85</v>
      </c>
      <c r="F1076" t="s">
        <v>86</v>
      </c>
      <c r="G1076" t="s">
        <v>115</v>
      </c>
      <c r="H1076" t="s">
        <v>88</v>
      </c>
      <c r="I1076" t="s">
        <v>839</v>
      </c>
      <c r="J1076">
        <v>69425</v>
      </c>
      <c r="K1076">
        <v>388866</v>
      </c>
      <c r="L1076">
        <v>38170</v>
      </c>
      <c r="M1076">
        <v>64934</v>
      </c>
      <c r="N1076">
        <v>363092</v>
      </c>
      <c r="O1076">
        <v>5977</v>
      </c>
      <c r="P1076">
        <v>2531</v>
      </c>
      <c r="Q1076">
        <v>12638</v>
      </c>
      <c r="R1076">
        <v>318</v>
      </c>
      <c r="S1076" t="s">
        <v>97</v>
      </c>
      <c r="T1076" t="s">
        <v>97</v>
      </c>
      <c r="U1076" t="s">
        <v>97</v>
      </c>
      <c r="V1076">
        <v>136890</v>
      </c>
      <c r="W1076">
        <v>764596</v>
      </c>
      <c r="X1076">
        <v>44465</v>
      </c>
      <c r="Y1076">
        <f t="shared" si="16"/>
        <v>764596</v>
      </c>
      <c r="Z1076" t="str">
        <f>IF(ISNUMBER(SEARCH("Adjustment",$C1076)),"excluded",IF($H1076="Behind the Meter","excluded",IF(NOT(OR($E1076="Bundled",$E1076="Energy")),"excluded",IF(OR($H1076="Retail Power Marketer",$H1076="Community Choice Aggregator",$E1076="Energy"),"procurement",IF(OR($H1076="Municipal",$H1076="Cooperative",$H1076="Federal",$H1076="State",$H1076="Political Subdivision"),"cost_service",IF($H1076="Investor Owned",IF(AND(COUNTIF(Parameters!$A$4:$A$33,$G1076)&gt;0,COUNTIF(Parameters!$B$4:$B$33,$B1076)=0),"procurement","cost_service"),"unclassified"))))))</f>
        <v>cost_service</v>
      </c>
    </row>
    <row r="1077" spans="1:26" x14ac:dyDescent="0.25">
      <c r="A1077">
        <v>2024</v>
      </c>
      <c r="B1077">
        <v>15804</v>
      </c>
      <c r="C1077" t="s">
        <v>1054</v>
      </c>
      <c r="D1077" t="s">
        <v>84</v>
      </c>
      <c r="E1077" t="s">
        <v>85</v>
      </c>
      <c r="F1077" t="s">
        <v>86</v>
      </c>
      <c r="G1077" t="s">
        <v>95</v>
      </c>
      <c r="H1077" t="s">
        <v>88</v>
      </c>
      <c r="I1077" t="s">
        <v>96</v>
      </c>
      <c r="J1077">
        <v>4698.8999999999996</v>
      </c>
      <c r="K1077">
        <v>38885</v>
      </c>
      <c r="L1077">
        <v>4833</v>
      </c>
      <c r="M1077">
        <v>6953.2</v>
      </c>
      <c r="N1077">
        <v>67758</v>
      </c>
      <c r="O1077">
        <v>724</v>
      </c>
      <c r="P1077">
        <v>10679.8</v>
      </c>
      <c r="Q1077">
        <v>124437</v>
      </c>
      <c r="R1077">
        <v>7</v>
      </c>
      <c r="S1077">
        <v>0</v>
      </c>
      <c r="T1077">
        <v>0</v>
      </c>
      <c r="U1077">
        <v>0</v>
      </c>
      <c r="V1077">
        <v>22331.9</v>
      </c>
      <c r="W1077">
        <v>231080</v>
      </c>
      <c r="X1077">
        <v>5564</v>
      </c>
      <c r="Y1077">
        <f t="shared" si="16"/>
        <v>231080</v>
      </c>
      <c r="Z1077" t="str">
        <f>IF(ISNUMBER(SEARCH("Adjustment",$C1077)),"excluded",IF($H1077="Behind the Meter","excluded",IF(NOT(OR($E1077="Bundled",$E1077="Energy")),"excluded",IF(OR($H1077="Retail Power Marketer",$H1077="Community Choice Aggregator",$E1077="Energy"),"procurement",IF(OR($H1077="Municipal",$H1077="Cooperative",$H1077="Federal",$H1077="State",$H1077="Political Subdivision"),"cost_service",IF($H1077="Investor Owned",IF(AND(COUNTIF(Parameters!$A$4:$A$33,$G1077)&gt;0,COUNTIF(Parameters!$B$4:$B$33,$B1077)=0),"procurement","cost_service"),"unclassified"))))))</f>
        <v>cost_service</v>
      </c>
    </row>
    <row r="1078" spans="1:26" x14ac:dyDescent="0.25">
      <c r="A1078">
        <v>2024</v>
      </c>
      <c r="B1078">
        <v>15847</v>
      </c>
      <c r="C1078" t="s">
        <v>1055</v>
      </c>
      <c r="D1078" t="s">
        <v>150</v>
      </c>
      <c r="E1078" t="s">
        <v>85</v>
      </c>
      <c r="F1078" t="s">
        <v>86</v>
      </c>
      <c r="G1078" t="s">
        <v>57</v>
      </c>
      <c r="H1078" t="s">
        <v>101</v>
      </c>
      <c r="I1078" t="s">
        <v>151</v>
      </c>
      <c r="J1078">
        <v>3325842.4</v>
      </c>
      <c r="K1078">
        <v>19136371</v>
      </c>
      <c r="L1078">
        <v>1548250</v>
      </c>
      <c r="M1078">
        <v>662359.69999999995</v>
      </c>
      <c r="N1078">
        <v>4997940</v>
      </c>
      <c r="O1078">
        <v>107929</v>
      </c>
      <c r="P1078">
        <v>1440332.2</v>
      </c>
      <c r="Q1078">
        <v>21428482</v>
      </c>
      <c r="R1078">
        <v>1724</v>
      </c>
      <c r="S1078">
        <v>0</v>
      </c>
      <c r="T1078">
        <v>0</v>
      </c>
      <c r="U1078">
        <v>0</v>
      </c>
      <c r="V1078">
        <v>5428534.2999999998</v>
      </c>
      <c r="W1078">
        <v>45562793</v>
      </c>
      <c r="X1078">
        <v>1657903</v>
      </c>
      <c r="Y1078">
        <f t="shared" si="16"/>
        <v>45562793</v>
      </c>
      <c r="Z1078" t="str">
        <f>IF(ISNUMBER(SEARCH("Adjustment",$C1078)),"excluded",IF($H1078="Behind the Meter","excluded",IF(NOT(OR($E1078="Bundled",$E1078="Energy")),"excluded",IF(OR($H1078="Retail Power Marketer",$H1078="Community Choice Aggregator",$E1078="Energy"),"procurement",IF(OR($H1078="Municipal",$H1078="Cooperative",$H1078="Federal",$H1078="State",$H1078="Political Subdivision"),"cost_service",IF($H1078="Investor Owned",IF(AND(COUNTIF(Parameters!$A$4:$A$33,$G1078)&gt;0,COUNTIF(Parameters!$B$4:$B$33,$B1078)=0),"procurement","cost_service"),"unclassified"))))))</f>
        <v>procurement</v>
      </c>
    </row>
    <row r="1079" spans="1:26" x14ac:dyDescent="0.25">
      <c r="A1079">
        <v>2024</v>
      </c>
      <c r="B1079">
        <v>15978</v>
      </c>
      <c r="C1079" t="s">
        <v>1056</v>
      </c>
      <c r="D1079" t="s">
        <v>84</v>
      </c>
      <c r="E1079" t="s">
        <v>85</v>
      </c>
      <c r="F1079" t="s">
        <v>86</v>
      </c>
      <c r="G1079" t="s">
        <v>95</v>
      </c>
      <c r="H1079" t="s">
        <v>88</v>
      </c>
      <c r="I1079" t="s">
        <v>96</v>
      </c>
      <c r="J1079">
        <v>1954.3</v>
      </c>
      <c r="K1079">
        <v>16384</v>
      </c>
      <c r="L1079">
        <v>2434</v>
      </c>
      <c r="M1079">
        <v>3665.4</v>
      </c>
      <c r="N1079">
        <v>39754</v>
      </c>
      <c r="O1079">
        <v>501</v>
      </c>
      <c r="P1079">
        <v>4322.8999999999996</v>
      </c>
      <c r="Q1079">
        <v>51813</v>
      </c>
      <c r="R1079">
        <v>4</v>
      </c>
      <c r="S1079">
        <v>0</v>
      </c>
      <c r="T1079">
        <v>0</v>
      </c>
      <c r="U1079">
        <v>0</v>
      </c>
      <c r="V1079">
        <v>9942.6</v>
      </c>
      <c r="W1079">
        <v>107951</v>
      </c>
      <c r="X1079">
        <v>2939</v>
      </c>
      <c r="Y1079">
        <f t="shared" si="16"/>
        <v>107951</v>
      </c>
      <c r="Z1079" t="str">
        <f>IF(ISNUMBER(SEARCH("Adjustment",$C1079)),"excluded",IF($H1079="Behind the Meter","excluded",IF(NOT(OR($E1079="Bundled",$E1079="Energy")),"excluded",IF(OR($H1079="Retail Power Marketer",$H1079="Community Choice Aggregator",$E1079="Energy"),"procurement",IF(OR($H1079="Municipal",$H1079="Cooperative",$H1079="Federal",$H1079="State",$H1079="Political Subdivision"),"cost_service",IF($H1079="Investor Owned",IF(AND(COUNTIF(Parameters!$A$4:$A$33,$G1079)&gt;0,COUNTIF(Parameters!$B$4:$B$33,$B1079)=0),"procurement","cost_service"),"unclassified"))))))</f>
        <v>cost_service</v>
      </c>
    </row>
    <row r="1080" spans="1:26" x14ac:dyDescent="0.25">
      <c r="A1080">
        <v>2024</v>
      </c>
      <c r="B1080">
        <v>15979</v>
      </c>
      <c r="C1080" t="s">
        <v>1057</v>
      </c>
      <c r="D1080" t="s">
        <v>84</v>
      </c>
      <c r="E1080" t="s">
        <v>85</v>
      </c>
      <c r="F1080" t="s">
        <v>86</v>
      </c>
      <c r="G1080" t="s">
        <v>148</v>
      </c>
      <c r="H1080" t="s">
        <v>88</v>
      </c>
      <c r="I1080" t="s">
        <v>206</v>
      </c>
      <c r="J1080">
        <v>37671</v>
      </c>
      <c r="K1080">
        <v>383484</v>
      </c>
      <c r="L1080">
        <v>25687</v>
      </c>
      <c r="M1080">
        <v>27712</v>
      </c>
      <c r="N1080">
        <v>410500</v>
      </c>
      <c r="O1080">
        <v>1821</v>
      </c>
      <c r="P1080">
        <v>10031</v>
      </c>
      <c r="Q1080">
        <v>163887</v>
      </c>
      <c r="R1080">
        <v>55</v>
      </c>
      <c r="S1080" t="s">
        <v>97</v>
      </c>
      <c r="T1080" t="s">
        <v>97</v>
      </c>
      <c r="U1080" t="s">
        <v>97</v>
      </c>
      <c r="V1080">
        <v>75414</v>
      </c>
      <c r="W1080">
        <v>957871</v>
      </c>
      <c r="X1080">
        <v>27563</v>
      </c>
      <c r="Y1080">
        <f t="shared" si="16"/>
        <v>957871</v>
      </c>
      <c r="Z1080" t="str">
        <f>IF(ISNUMBER(SEARCH("Adjustment",$C1080)),"excluded",IF($H1080="Behind the Meter","excluded",IF(NOT(OR($E1080="Bundled",$E1080="Energy")),"excluded",IF(OR($H1080="Retail Power Marketer",$H1080="Community Choice Aggregator",$E1080="Energy"),"procurement",IF(OR($H1080="Municipal",$H1080="Cooperative",$H1080="Federal",$H1080="State",$H1080="Political Subdivision"),"cost_service",IF($H1080="Investor Owned",IF(AND(COUNTIF(Parameters!$A$4:$A$33,$G1080)&gt;0,COUNTIF(Parameters!$B$4:$B$33,$B1080)=0),"procurement","cost_service"),"unclassified"))))))</f>
        <v>cost_service</v>
      </c>
    </row>
    <row r="1081" spans="1:26" x14ac:dyDescent="0.25">
      <c r="A1081">
        <v>2024</v>
      </c>
      <c r="B1081">
        <v>15989</v>
      </c>
      <c r="C1081" t="s">
        <v>1058</v>
      </c>
      <c r="D1081" t="s">
        <v>84</v>
      </c>
      <c r="E1081" t="s">
        <v>85</v>
      </c>
      <c r="F1081" t="s">
        <v>86</v>
      </c>
      <c r="G1081" t="s">
        <v>130</v>
      </c>
      <c r="H1081" t="s">
        <v>88</v>
      </c>
      <c r="I1081" t="s">
        <v>92</v>
      </c>
      <c r="J1081">
        <v>23498.3</v>
      </c>
      <c r="K1081">
        <v>179056</v>
      </c>
      <c r="L1081">
        <v>16310</v>
      </c>
      <c r="M1081">
        <v>21886.400000000001</v>
      </c>
      <c r="N1081">
        <v>167969</v>
      </c>
      <c r="O1081">
        <v>4889</v>
      </c>
      <c r="P1081">
        <v>51493.3</v>
      </c>
      <c r="Q1081">
        <v>526028</v>
      </c>
      <c r="R1081">
        <v>129</v>
      </c>
      <c r="S1081" t="s">
        <v>97</v>
      </c>
      <c r="T1081" t="s">
        <v>97</v>
      </c>
      <c r="U1081" t="s">
        <v>97</v>
      </c>
      <c r="V1081">
        <v>96878</v>
      </c>
      <c r="W1081">
        <v>873053</v>
      </c>
      <c r="X1081">
        <v>21328</v>
      </c>
      <c r="Y1081">
        <f t="shared" si="16"/>
        <v>873053</v>
      </c>
      <c r="Z1081" t="str">
        <f>IF(ISNUMBER(SEARCH("Adjustment",$C1081)),"excluded",IF($H1081="Behind the Meter","excluded",IF(NOT(OR($E1081="Bundled",$E1081="Energy")),"excluded",IF(OR($H1081="Retail Power Marketer",$H1081="Community Choice Aggregator",$E1081="Energy"),"procurement",IF(OR($H1081="Municipal",$H1081="Cooperative",$H1081="Federal",$H1081="State",$H1081="Political Subdivision"),"cost_service",IF($H1081="Investor Owned",IF(AND(COUNTIF(Parameters!$A$4:$A$33,$G1081)&gt;0,COUNTIF(Parameters!$B$4:$B$33,$B1081)=0),"procurement","cost_service"),"unclassified"))))))</f>
        <v>cost_service</v>
      </c>
    </row>
    <row r="1082" spans="1:26" x14ac:dyDescent="0.25">
      <c r="A1082">
        <v>2024</v>
      </c>
      <c r="B1082">
        <v>16057</v>
      </c>
      <c r="C1082" t="s">
        <v>1059</v>
      </c>
      <c r="D1082" t="s">
        <v>84</v>
      </c>
      <c r="E1082" t="s">
        <v>85</v>
      </c>
      <c r="F1082" t="s">
        <v>86</v>
      </c>
      <c r="G1082" t="s">
        <v>308</v>
      </c>
      <c r="H1082" t="s">
        <v>91</v>
      </c>
      <c r="I1082" t="s">
        <v>468</v>
      </c>
      <c r="J1082">
        <v>326.60000000000002</v>
      </c>
      <c r="K1082">
        <v>1785</v>
      </c>
      <c r="L1082">
        <v>232</v>
      </c>
      <c r="M1082">
        <v>91.8</v>
      </c>
      <c r="N1082">
        <v>488</v>
      </c>
      <c r="O1082">
        <v>68</v>
      </c>
      <c r="P1082">
        <v>60</v>
      </c>
      <c r="Q1082">
        <v>419</v>
      </c>
      <c r="R1082">
        <v>16</v>
      </c>
      <c r="S1082">
        <v>0</v>
      </c>
      <c r="T1082">
        <v>0</v>
      </c>
      <c r="U1082">
        <v>0</v>
      </c>
      <c r="V1082">
        <v>478.4</v>
      </c>
      <c r="W1082">
        <v>2692</v>
      </c>
      <c r="X1082">
        <v>316</v>
      </c>
      <c r="Y1082">
        <f t="shared" si="16"/>
        <v>2692</v>
      </c>
      <c r="Z1082" t="str">
        <f>IF(ISNUMBER(SEARCH("Adjustment",$C1082)),"excluded",IF($H1082="Behind the Meter","excluded",IF(NOT(OR($E1082="Bundled",$E1082="Energy")),"excluded",IF(OR($H1082="Retail Power Marketer",$H1082="Community Choice Aggregator",$E1082="Energy"),"procurement",IF(OR($H1082="Municipal",$H1082="Cooperative",$H1082="Federal",$H1082="State",$H1082="Political Subdivision"),"cost_service",IF($H1082="Investor Owned",IF(AND(COUNTIF(Parameters!$A$4:$A$33,$G1082)&gt;0,COUNTIF(Parameters!$B$4:$B$33,$B1082)=0),"procurement","cost_service"),"unclassified"))))))</f>
        <v>cost_service</v>
      </c>
    </row>
    <row r="1083" spans="1:26" x14ac:dyDescent="0.25">
      <c r="A1083">
        <v>2024</v>
      </c>
      <c r="B1083">
        <v>16057</v>
      </c>
      <c r="C1083" t="s">
        <v>1059</v>
      </c>
      <c r="D1083" t="s">
        <v>84</v>
      </c>
      <c r="E1083" t="s">
        <v>85</v>
      </c>
      <c r="F1083" t="s">
        <v>86</v>
      </c>
      <c r="G1083" t="s">
        <v>57</v>
      </c>
      <c r="H1083" t="s">
        <v>91</v>
      </c>
      <c r="I1083" t="s">
        <v>151</v>
      </c>
      <c r="J1083">
        <v>19215.599999999999</v>
      </c>
      <c r="K1083">
        <v>103812</v>
      </c>
      <c r="L1083">
        <v>9298</v>
      </c>
      <c r="M1083">
        <v>18733</v>
      </c>
      <c r="N1083">
        <v>131929</v>
      </c>
      <c r="O1083">
        <v>4379</v>
      </c>
      <c r="P1083">
        <v>34971.699999999997</v>
      </c>
      <c r="Q1083">
        <v>342551</v>
      </c>
      <c r="R1083">
        <v>573</v>
      </c>
      <c r="S1083">
        <v>0</v>
      </c>
      <c r="T1083">
        <v>0</v>
      </c>
      <c r="U1083">
        <v>0</v>
      </c>
      <c r="V1083">
        <v>72920.3</v>
      </c>
      <c r="W1083">
        <v>578292</v>
      </c>
      <c r="X1083">
        <v>14250</v>
      </c>
      <c r="Y1083">
        <f t="shared" si="16"/>
        <v>578292</v>
      </c>
      <c r="Z1083" t="str">
        <f>IF(ISNUMBER(SEARCH("Adjustment",$C1083)),"excluded",IF($H1083="Behind the Meter","excluded",IF(NOT(OR($E1083="Bundled",$E1083="Energy")),"excluded",IF(OR($H1083="Retail Power Marketer",$H1083="Community Choice Aggregator",$E1083="Energy"),"procurement",IF(OR($H1083="Municipal",$H1083="Cooperative",$H1083="Federal",$H1083="State",$H1083="Political Subdivision"),"cost_service",IF($H1083="Investor Owned",IF(AND(COUNTIF(Parameters!$A$4:$A$33,$G1083)&gt;0,COUNTIF(Parameters!$B$4:$B$33,$B1083)=0),"procurement","cost_service"),"unclassified"))))))</f>
        <v>cost_service</v>
      </c>
    </row>
    <row r="1084" spans="1:26" x14ac:dyDescent="0.25">
      <c r="A1084">
        <v>2024</v>
      </c>
      <c r="B1084">
        <v>16060</v>
      </c>
      <c r="C1084" t="s">
        <v>1060</v>
      </c>
      <c r="D1084" t="s">
        <v>84</v>
      </c>
      <c r="E1084" t="s">
        <v>85</v>
      </c>
      <c r="F1084" t="s">
        <v>86</v>
      </c>
      <c r="G1084" t="s">
        <v>95</v>
      </c>
      <c r="H1084" t="s">
        <v>91</v>
      </c>
      <c r="I1084" t="s">
        <v>96</v>
      </c>
      <c r="J1084">
        <v>37302.300000000003</v>
      </c>
      <c r="K1084">
        <v>228807</v>
      </c>
      <c r="L1084">
        <v>18970</v>
      </c>
      <c r="M1084">
        <v>4803.3</v>
      </c>
      <c r="N1084">
        <v>36632</v>
      </c>
      <c r="O1084">
        <v>1077</v>
      </c>
      <c r="P1084">
        <v>1830.9</v>
      </c>
      <c r="Q1084">
        <v>18952</v>
      </c>
      <c r="R1084">
        <v>13</v>
      </c>
      <c r="S1084" t="s">
        <v>97</v>
      </c>
      <c r="T1084" t="s">
        <v>97</v>
      </c>
      <c r="U1084" t="s">
        <v>97</v>
      </c>
      <c r="V1084">
        <v>43936.5</v>
      </c>
      <c r="W1084">
        <v>284391</v>
      </c>
      <c r="X1084">
        <v>20060</v>
      </c>
      <c r="Y1084">
        <f t="shared" si="16"/>
        <v>284391</v>
      </c>
      <c r="Z1084" t="str">
        <f>IF(ISNUMBER(SEARCH("Adjustment",$C1084)),"excluded",IF($H1084="Behind the Meter","excluded",IF(NOT(OR($E1084="Bundled",$E1084="Energy")),"excluded",IF(OR($H1084="Retail Power Marketer",$H1084="Community Choice Aggregator",$E1084="Energy"),"procurement",IF(OR($H1084="Municipal",$H1084="Cooperative",$H1084="Federal",$H1084="State",$H1084="Political Subdivision"),"cost_service",IF($H1084="Investor Owned",IF(AND(COUNTIF(Parameters!$A$4:$A$33,$G1084)&gt;0,COUNTIF(Parameters!$B$4:$B$33,$B1084)=0),"procurement","cost_service"),"unclassified"))))))</f>
        <v>cost_service</v>
      </c>
    </row>
    <row r="1085" spans="1:26" x14ac:dyDescent="0.25">
      <c r="A1085">
        <v>2024</v>
      </c>
      <c r="B1085">
        <v>16063</v>
      </c>
      <c r="C1085" t="s">
        <v>1061</v>
      </c>
      <c r="D1085" t="s">
        <v>84</v>
      </c>
      <c r="E1085" t="s">
        <v>85</v>
      </c>
      <c r="F1085" t="s">
        <v>86</v>
      </c>
      <c r="G1085" t="s">
        <v>57</v>
      </c>
      <c r="H1085" t="s">
        <v>91</v>
      </c>
      <c r="I1085" t="s">
        <v>135</v>
      </c>
      <c r="J1085">
        <v>3142</v>
      </c>
      <c r="K1085">
        <v>37934</v>
      </c>
      <c r="L1085">
        <v>1255</v>
      </c>
      <c r="M1085">
        <v>56055</v>
      </c>
      <c r="N1085">
        <v>975488</v>
      </c>
      <c r="O1085">
        <v>532</v>
      </c>
      <c r="P1085" t="s">
        <v>97</v>
      </c>
      <c r="Q1085" t="s">
        <v>97</v>
      </c>
      <c r="R1085" t="s">
        <v>97</v>
      </c>
      <c r="S1085" t="s">
        <v>97</v>
      </c>
      <c r="T1085" t="s">
        <v>97</v>
      </c>
      <c r="U1085" t="s">
        <v>97</v>
      </c>
      <c r="V1085">
        <v>59197</v>
      </c>
      <c r="W1085">
        <v>1013422</v>
      </c>
      <c r="X1085">
        <v>1787</v>
      </c>
      <c r="Y1085">
        <f t="shared" si="16"/>
        <v>1013422</v>
      </c>
      <c r="Z1085" t="str">
        <f>IF(ISNUMBER(SEARCH("Adjustment",$C1085)),"excluded",IF($H1085="Behind the Meter","excluded",IF(NOT(OR($E1085="Bundled",$E1085="Energy")),"excluded",IF(OR($H1085="Retail Power Marketer",$H1085="Community Choice Aggregator",$E1085="Energy"),"procurement",IF(OR($H1085="Municipal",$H1085="Cooperative",$H1085="Federal",$H1085="State",$H1085="Political Subdivision"),"cost_service",IF($H1085="Investor Owned",IF(AND(COUNTIF(Parameters!$A$4:$A$33,$G1085)&gt;0,COUNTIF(Parameters!$B$4:$B$33,$B1085)=0),"procurement","cost_service"),"unclassified"))))))</f>
        <v>cost_service</v>
      </c>
    </row>
    <row r="1086" spans="1:26" x14ac:dyDescent="0.25">
      <c r="A1086">
        <v>2024</v>
      </c>
      <c r="B1086">
        <v>16082</v>
      </c>
      <c r="C1086" t="s">
        <v>1062</v>
      </c>
      <c r="D1086" t="s">
        <v>84</v>
      </c>
      <c r="E1086" t="s">
        <v>85</v>
      </c>
      <c r="F1086" t="s">
        <v>86</v>
      </c>
      <c r="G1086" t="s">
        <v>95</v>
      </c>
      <c r="H1086" t="s">
        <v>88</v>
      </c>
      <c r="I1086" t="s">
        <v>96</v>
      </c>
      <c r="J1086">
        <v>6800.4</v>
      </c>
      <c r="K1086">
        <v>51215</v>
      </c>
      <c r="L1086">
        <v>6709</v>
      </c>
      <c r="M1086">
        <v>7278.1</v>
      </c>
      <c r="N1086">
        <v>64077</v>
      </c>
      <c r="O1086">
        <v>792</v>
      </c>
      <c r="P1086">
        <v>1242.4000000000001</v>
      </c>
      <c r="Q1086">
        <v>12921</v>
      </c>
      <c r="R1086">
        <v>3</v>
      </c>
      <c r="S1086">
        <v>0</v>
      </c>
      <c r="T1086">
        <v>0</v>
      </c>
      <c r="U1086">
        <v>0</v>
      </c>
      <c r="V1086">
        <v>15320.9</v>
      </c>
      <c r="W1086">
        <v>128213</v>
      </c>
      <c r="X1086">
        <v>7504</v>
      </c>
      <c r="Y1086">
        <f t="shared" si="16"/>
        <v>128213</v>
      </c>
      <c r="Z1086" t="str">
        <f>IF(ISNUMBER(SEARCH("Adjustment",$C1086)),"excluded",IF($H1086="Behind the Meter","excluded",IF(NOT(OR($E1086="Bundled",$E1086="Energy")),"excluded",IF(OR($H1086="Retail Power Marketer",$H1086="Community Choice Aggregator",$E1086="Energy"),"procurement",IF(OR($H1086="Municipal",$H1086="Cooperative",$H1086="Federal",$H1086="State",$H1086="Political Subdivision"),"cost_service",IF($H1086="Investor Owned",IF(AND(COUNTIF(Parameters!$A$4:$A$33,$G1086)&gt;0,COUNTIF(Parameters!$B$4:$B$33,$B1086)=0),"procurement","cost_service"),"unclassified"))))))</f>
        <v>cost_service</v>
      </c>
    </row>
    <row r="1087" spans="1:26" x14ac:dyDescent="0.25">
      <c r="A1087">
        <v>2024</v>
      </c>
      <c r="B1087">
        <v>16088</v>
      </c>
      <c r="C1087" t="s">
        <v>1063</v>
      </c>
      <c r="D1087" t="s">
        <v>84</v>
      </c>
      <c r="E1087" t="s">
        <v>85</v>
      </c>
      <c r="F1087" t="s">
        <v>86</v>
      </c>
      <c r="G1087" t="s">
        <v>115</v>
      </c>
      <c r="H1087" t="s">
        <v>88</v>
      </c>
      <c r="I1087" t="s">
        <v>116</v>
      </c>
      <c r="J1087">
        <v>155114</v>
      </c>
      <c r="K1087">
        <v>767945</v>
      </c>
      <c r="L1087">
        <v>100450</v>
      </c>
      <c r="M1087">
        <v>85084</v>
      </c>
      <c r="N1087">
        <v>445358</v>
      </c>
      <c r="O1087">
        <v>12243</v>
      </c>
      <c r="P1087">
        <v>136098</v>
      </c>
      <c r="Q1087">
        <v>928560</v>
      </c>
      <c r="R1087">
        <v>680</v>
      </c>
      <c r="S1087" t="s">
        <v>97</v>
      </c>
      <c r="T1087" t="s">
        <v>97</v>
      </c>
      <c r="U1087" t="s">
        <v>97</v>
      </c>
      <c r="V1087">
        <v>376296</v>
      </c>
      <c r="W1087">
        <v>2141863</v>
      </c>
      <c r="X1087">
        <v>113373</v>
      </c>
      <c r="Y1087">
        <f t="shared" si="16"/>
        <v>2141863</v>
      </c>
      <c r="Z1087" t="str">
        <f>IF(ISNUMBER(SEARCH("Adjustment",$C1087)),"excluded",IF($H1087="Behind the Meter","excluded",IF(NOT(OR($E1087="Bundled",$E1087="Energy")),"excluded",IF(OR($H1087="Retail Power Marketer",$H1087="Community Choice Aggregator",$E1087="Energy"),"procurement",IF(OR($H1087="Municipal",$H1087="Cooperative",$H1087="Federal",$H1087="State",$H1087="Political Subdivision"),"cost_service",IF($H1087="Investor Owned",IF(AND(COUNTIF(Parameters!$A$4:$A$33,$G1087)&gt;0,COUNTIF(Parameters!$B$4:$B$33,$B1087)=0),"procurement","cost_service"),"unclassified"))))))</f>
        <v>cost_service</v>
      </c>
    </row>
    <row r="1088" spans="1:26" x14ac:dyDescent="0.25">
      <c r="A1088">
        <v>2024</v>
      </c>
      <c r="B1088">
        <v>16101</v>
      </c>
      <c r="C1088" t="s">
        <v>1064</v>
      </c>
      <c r="D1088" t="s">
        <v>84</v>
      </c>
      <c r="E1088" t="s">
        <v>85</v>
      </c>
      <c r="F1088" t="s">
        <v>86</v>
      </c>
      <c r="G1088" t="s">
        <v>125</v>
      </c>
      <c r="H1088" t="s">
        <v>91</v>
      </c>
      <c r="I1088" t="s">
        <v>92</v>
      </c>
      <c r="J1088">
        <v>34743</v>
      </c>
      <c r="K1088">
        <v>164384</v>
      </c>
      <c r="L1088">
        <v>12049</v>
      </c>
      <c r="M1088">
        <v>11535</v>
      </c>
      <c r="N1088">
        <v>63455</v>
      </c>
      <c r="O1088">
        <v>2059</v>
      </c>
      <c r="P1088">
        <v>3648</v>
      </c>
      <c r="Q1088">
        <v>33080</v>
      </c>
      <c r="R1088">
        <v>7</v>
      </c>
      <c r="S1088" t="s">
        <v>97</v>
      </c>
      <c r="T1088" t="s">
        <v>97</v>
      </c>
      <c r="U1088" t="s">
        <v>97</v>
      </c>
      <c r="V1088">
        <v>49926</v>
      </c>
      <c r="W1088">
        <v>260919</v>
      </c>
      <c r="X1088">
        <v>14115</v>
      </c>
      <c r="Y1088">
        <f t="shared" si="16"/>
        <v>260919</v>
      </c>
      <c r="Z1088" t="str">
        <f>IF(ISNUMBER(SEARCH("Adjustment",$C1088)),"excluded",IF($H1088="Behind the Meter","excluded",IF(NOT(OR($E1088="Bundled",$E1088="Energy")),"excluded",IF(OR($H1088="Retail Power Marketer",$H1088="Community Choice Aggregator",$E1088="Energy"),"procurement",IF(OR($H1088="Municipal",$H1088="Cooperative",$H1088="Federal",$H1088="State",$H1088="Political Subdivision"),"cost_service",IF($H1088="Investor Owned",IF(AND(COUNTIF(Parameters!$A$4:$A$33,$G1088)&gt;0,COUNTIF(Parameters!$B$4:$B$33,$B1088)=0),"procurement","cost_service"),"unclassified"))))))</f>
        <v>cost_service</v>
      </c>
    </row>
    <row r="1089" spans="1:26" x14ac:dyDescent="0.25">
      <c r="A1089">
        <v>2024</v>
      </c>
      <c r="B1089">
        <v>16146</v>
      </c>
      <c r="C1089" t="s">
        <v>1065</v>
      </c>
      <c r="D1089" t="s">
        <v>84</v>
      </c>
      <c r="E1089" t="s">
        <v>85</v>
      </c>
      <c r="F1089" t="s">
        <v>86</v>
      </c>
      <c r="G1089" t="s">
        <v>57</v>
      </c>
      <c r="H1089" t="s">
        <v>91</v>
      </c>
      <c r="I1089" t="s">
        <v>151</v>
      </c>
      <c r="J1089">
        <v>34992.1</v>
      </c>
      <c r="K1089">
        <v>222107</v>
      </c>
      <c r="L1089">
        <v>19672</v>
      </c>
      <c r="M1089">
        <v>13114.1</v>
      </c>
      <c r="N1089">
        <v>87007</v>
      </c>
      <c r="O1089">
        <v>1924</v>
      </c>
      <c r="P1089">
        <v>9248</v>
      </c>
      <c r="Q1089">
        <v>100392</v>
      </c>
      <c r="R1089">
        <v>19</v>
      </c>
      <c r="S1089" t="s">
        <v>97</v>
      </c>
      <c r="T1089" t="s">
        <v>97</v>
      </c>
      <c r="U1089" t="s">
        <v>97</v>
      </c>
      <c r="V1089">
        <v>57354.2</v>
      </c>
      <c r="W1089">
        <v>409506</v>
      </c>
      <c r="X1089">
        <v>21615</v>
      </c>
      <c r="Y1089">
        <f t="shared" si="16"/>
        <v>409506</v>
      </c>
      <c r="Z1089" t="str">
        <f>IF(ISNUMBER(SEARCH("Adjustment",$C1089)),"excluded",IF($H1089="Behind the Meter","excluded",IF(NOT(OR($E1089="Bundled",$E1089="Energy")),"excluded",IF(OR($H1089="Retail Power Marketer",$H1089="Community Choice Aggregator",$E1089="Energy"),"procurement",IF(OR($H1089="Municipal",$H1089="Cooperative",$H1089="Federal",$H1089="State",$H1089="Political Subdivision"),"cost_service",IF($H1089="Investor Owned",IF(AND(COUNTIF(Parameters!$A$4:$A$33,$G1089)&gt;0,COUNTIF(Parameters!$B$4:$B$33,$B1089)=0),"procurement","cost_service"),"unclassified"))))))</f>
        <v>cost_service</v>
      </c>
    </row>
    <row r="1090" spans="1:26" x14ac:dyDescent="0.25">
      <c r="A1090">
        <v>2024</v>
      </c>
      <c r="B1090">
        <v>16177</v>
      </c>
      <c r="C1090" t="s">
        <v>1066</v>
      </c>
      <c r="D1090" t="s">
        <v>99</v>
      </c>
      <c r="E1090" t="s">
        <v>100</v>
      </c>
      <c r="F1090" t="s">
        <v>86</v>
      </c>
      <c r="G1090" t="s">
        <v>53</v>
      </c>
      <c r="H1090" t="s">
        <v>101</v>
      </c>
      <c r="I1090" t="s">
        <v>102</v>
      </c>
      <c r="J1090">
        <v>4194.7</v>
      </c>
      <c r="K1090">
        <v>31081</v>
      </c>
      <c r="L1090">
        <v>1260</v>
      </c>
      <c r="M1090">
        <v>1261.5999999999999</v>
      </c>
      <c r="N1090">
        <v>11290</v>
      </c>
      <c r="O1090">
        <v>112</v>
      </c>
      <c r="P1090" t="s">
        <v>97</v>
      </c>
      <c r="Q1090" t="s">
        <v>97</v>
      </c>
      <c r="R1090" t="s">
        <v>97</v>
      </c>
      <c r="S1090" t="s">
        <v>97</v>
      </c>
      <c r="T1090" t="s">
        <v>97</v>
      </c>
      <c r="U1090" t="s">
        <v>97</v>
      </c>
      <c r="V1090">
        <v>5456.3</v>
      </c>
      <c r="W1090">
        <v>42371</v>
      </c>
      <c r="X1090">
        <v>1372</v>
      </c>
      <c r="Y1090">
        <f t="shared" si="16"/>
        <v>42371</v>
      </c>
      <c r="Z1090" t="str">
        <f>IF(ISNUMBER(SEARCH("Adjustment",$C1090)),"excluded",IF($H1090="Behind the Meter","excluded",IF(NOT(OR($E1090="Bundled",$E1090="Energy")),"excluded",IF(OR($H1090="Retail Power Marketer",$H1090="Community Choice Aggregator",$E1090="Energy"),"procurement",IF(OR($H1090="Municipal",$H1090="Cooperative",$H1090="Federal",$H1090="State",$H1090="Political Subdivision"),"cost_service",IF($H1090="Investor Owned",IF(AND(COUNTIF(Parameters!$A$4:$A$33,$G1090)&gt;0,COUNTIF(Parameters!$B$4:$B$33,$B1090)=0),"procurement","cost_service"),"unclassified"))))))</f>
        <v>procurement</v>
      </c>
    </row>
    <row r="1091" spans="1:26" x14ac:dyDescent="0.25">
      <c r="A1091">
        <v>2024</v>
      </c>
      <c r="B1091">
        <v>16179</v>
      </c>
      <c r="C1091" t="s">
        <v>1067</v>
      </c>
      <c r="D1091" t="s">
        <v>84</v>
      </c>
      <c r="E1091" t="s">
        <v>85</v>
      </c>
      <c r="F1091" t="s">
        <v>86</v>
      </c>
      <c r="G1091" t="s">
        <v>46</v>
      </c>
      <c r="H1091" t="s">
        <v>88</v>
      </c>
      <c r="I1091" t="s">
        <v>92</v>
      </c>
      <c r="J1091">
        <v>6160</v>
      </c>
      <c r="K1091">
        <v>46606</v>
      </c>
      <c r="L1091">
        <v>5854</v>
      </c>
      <c r="M1091">
        <v>5238</v>
      </c>
      <c r="N1091">
        <v>43525</v>
      </c>
      <c r="O1091">
        <v>1073</v>
      </c>
      <c r="P1091">
        <v>32758</v>
      </c>
      <c r="Q1091">
        <v>312532</v>
      </c>
      <c r="R1091">
        <v>82</v>
      </c>
      <c r="S1091" t="s">
        <v>97</v>
      </c>
      <c r="T1091" t="s">
        <v>97</v>
      </c>
      <c r="U1091" t="s">
        <v>97</v>
      </c>
      <c r="V1091">
        <v>44156</v>
      </c>
      <c r="W1091">
        <v>402663</v>
      </c>
      <c r="X1091">
        <v>7009</v>
      </c>
      <c r="Y1091">
        <f t="shared" si="16"/>
        <v>402663</v>
      </c>
      <c r="Z1091" t="str">
        <f>IF(ISNUMBER(SEARCH("Adjustment",$C1091)),"excluded",IF($H1091="Behind the Meter","excluded",IF(NOT(OR($E1091="Bundled",$E1091="Energy")),"excluded",IF(OR($H1091="Retail Power Marketer",$H1091="Community Choice Aggregator",$E1091="Energy"),"procurement",IF(OR($H1091="Municipal",$H1091="Cooperative",$H1091="Federal",$H1091="State",$H1091="Political Subdivision"),"cost_service",IF($H1091="Investor Owned",IF(AND(COUNTIF(Parameters!$A$4:$A$33,$G1091)&gt;0,COUNTIF(Parameters!$B$4:$B$33,$B1091)=0),"procurement","cost_service"),"unclassified"))))))</f>
        <v>cost_service</v>
      </c>
    </row>
    <row r="1092" spans="1:26" x14ac:dyDescent="0.25">
      <c r="A1092">
        <v>2024</v>
      </c>
      <c r="B1092">
        <v>16181</v>
      </c>
      <c r="C1092" t="s">
        <v>1068</v>
      </c>
      <c r="D1092" t="s">
        <v>84</v>
      </c>
      <c r="E1092" t="s">
        <v>85</v>
      </c>
      <c r="F1092" t="s">
        <v>86</v>
      </c>
      <c r="G1092" t="s">
        <v>104</v>
      </c>
      <c r="H1092" t="s">
        <v>88</v>
      </c>
      <c r="I1092" t="s">
        <v>96</v>
      </c>
      <c r="J1092">
        <v>66161.600000000006</v>
      </c>
      <c r="K1092">
        <v>369451</v>
      </c>
      <c r="L1092">
        <v>54943</v>
      </c>
      <c r="M1092">
        <v>91288.3</v>
      </c>
      <c r="N1092">
        <v>673014</v>
      </c>
      <c r="O1092">
        <v>5189</v>
      </c>
      <c r="P1092">
        <v>11687.2</v>
      </c>
      <c r="Q1092">
        <v>90802</v>
      </c>
      <c r="R1092">
        <v>1</v>
      </c>
      <c r="S1092" t="s">
        <v>97</v>
      </c>
      <c r="T1092" t="s">
        <v>97</v>
      </c>
      <c r="U1092" t="s">
        <v>97</v>
      </c>
      <c r="V1092">
        <v>169137.1</v>
      </c>
      <c r="W1092">
        <v>1133267</v>
      </c>
      <c r="X1092">
        <v>60133</v>
      </c>
      <c r="Y1092">
        <f t="shared" ref="Y1092:Y1155" si="17">IF(ISNUMBER($W1092),$W1092,0)</f>
        <v>1133267</v>
      </c>
      <c r="Z1092" t="str">
        <f>IF(ISNUMBER(SEARCH("Adjustment",$C1092)),"excluded",IF($H1092="Behind the Meter","excluded",IF(NOT(OR($E1092="Bundled",$E1092="Energy")),"excluded",IF(OR($H1092="Retail Power Marketer",$H1092="Community Choice Aggregator",$E1092="Energy"),"procurement",IF(OR($H1092="Municipal",$H1092="Cooperative",$H1092="Federal",$H1092="State",$H1092="Political Subdivision"),"cost_service",IF($H1092="Investor Owned",IF(AND(COUNTIF(Parameters!$A$4:$A$33,$G1092)&gt;0,COUNTIF(Parameters!$B$4:$B$33,$B1092)=0),"procurement","cost_service"),"unclassified"))))))</f>
        <v>cost_service</v>
      </c>
    </row>
    <row r="1093" spans="1:26" x14ac:dyDescent="0.25">
      <c r="A1093">
        <v>2024</v>
      </c>
      <c r="B1093">
        <v>16183</v>
      </c>
      <c r="C1093" t="s">
        <v>1069</v>
      </c>
      <c r="D1093" t="s">
        <v>84</v>
      </c>
      <c r="E1093" t="s">
        <v>85</v>
      </c>
      <c r="F1093" t="s">
        <v>86</v>
      </c>
      <c r="G1093" t="s">
        <v>53</v>
      </c>
      <c r="H1093" t="s">
        <v>109</v>
      </c>
      <c r="I1093" t="s">
        <v>102</v>
      </c>
      <c r="J1093">
        <v>449135.6</v>
      </c>
      <c r="K1093">
        <v>2393943</v>
      </c>
      <c r="L1093">
        <v>294053</v>
      </c>
      <c r="M1093">
        <v>103284.8</v>
      </c>
      <c r="N1093">
        <v>696117</v>
      </c>
      <c r="O1093">
        <v>21739</v>
      </c>
      <c r="P1093">
        <v>5731</v>
      </c>
      <c r="Q1093">
        <v>44137</v>
      </c>
      <c r="R1093">
        <v>227</v>
      </c>
      <c r="S1093" t="s">
        <v>97</v>
      </c>
      <c r="T1093" t="s">
        <v>97</v>
      </c>
      <c r="U1093" t="s">
        <v>97</v>
      </c>
      <c r="V1093">
        <v>558151.4</v>
      </c>
      <c r="W1093">
        <v>3134197</v>
      </c>
      <c r="X1093">
        <v>316019</v>
      </c>
      <c r="Y1093">
        <f t="shared" si="17"/>
        <v>3134197</v>
      </c>
      <c r="Z1093" t="str">
        <f>IF(ISNUMBER(SEARCH("Adjustment",$C1093)),"excluded",IF($H1093="Behind the Meter","excluded",IF(NOT(OR($E1093="Bundled",$E1093="Energy")),"excluded",IF(OR($H1093="Retail Power Marketer",$H1093="Community Choice Aggregator",$E1093="Energy"),"procurement",IF(OR($H1093="Municipal",$H1093="Cooperative",$H1093="Federal",$H1093="State",$H1093="Political Subdivision"),"cost_service",IF($H1093="Investor Owned",IF(AND(COUNTIF(Parameters!$A$4:$A$33,$G1093)&gt;0,COUNTIF(Parameters!$B$4:$B$33,$B1093)=0),"procurement","cost_service"),"unclassified"))))))</f>
        <v>procurement</v>
      </c>
    </row>
    <row r="1094" spans="1:26" x14ac:dyDescent="0.25">
      <c r="A1094">
        <v>2024</v>
      </c>
      <c r="B1094">
        <v>16183</v>
      </c>
      <c r="C1094" t="s">
        <v>1069</v>
      </c>
      <c r="D1094" t="s">
        <v>167</v>
      </c>
      <c r="E1094" t="s">
        <v>168</v>
      </c>
      <c r="F1094" t="s">
        <v>86</v>
      </c>
      <c r="G1094" t="s">
        <v>53</v>
      </c>
      <c r="H1094" t="s">
        <v>109</v>
      </c>
      <c r="I1094" t="s">
        <v>102</v>
      </c>
      <c r="J1094">
        <v>55563.9</v>
      </c>
      <c r="K1094">
        <v>448406</v>
      </c>
      <c r="L1094">
        <v>57428</v>
      </c>
      <c r="M1094">
        <v>155808.79999999999</v>
      </c>
      <c r="N1094">
        <v>2348289</v>
      </c>
      <c r="O1094">
        <v>18488</v>
      </c>
      <c r="P1094">
        <v>43354.7</v>
      </c>
      <c r="Q1094">
        <v>940824</v>
      </c>
      <c r="R1094">
        <v>407</v>
      </c>
      <c r="S1094" t="s">
        <v>97</v>
      </c>
      <c r="T1094" t="s">
        <v>97</v>
      </c>
      <c r="U1094" t="s">
        <v>97</v>
      </c>
      <c r="V1094">
        <v>254727.4</v>
      </c>
      <c r="W1094">
        <v>3737519</v>
      </c>
      <c r="X1094">
        <v>76323</v>
      </c>
      <c r="Y1094">
        <f t="shared" si="17"/>
        <v>3737519</v>
      </c>
      <c r="Z1094" t="str">
        <f>IF(ISNUMBER(SEARCH("Adjustment",$C1094)),"excluded",IF($H1094="Behind the Meter","excluded",IF(NOT(OR($E1094="Bundled",$E1094="Energy")),"excluded",IF(OR($H1094="Retail Power Marketer",$H1094="Community Choice Aggregator",$E1094="Energy"),"procurement",IF(OR($H1094="Municipal",$H1094="Cooperative",$H1094="Federal",$H1094="State",$H1094="Political Subdivision"),"cost_service",IF($H1094="Investor Owned",IF(AND(COUNTIF(Parameters!$A$4:$A$33,$G1094)&gt;0,COUNTIF(Parameters!$B$4:$B$33,$B1094)=0),"procurement","cost_service"),"unclassified"))))))</f>
        <v>excluded</v>
      </c>
    </row>
    <row r="1095" spans="1:26" x14ac:dyDescent="0.25">
      <c r="A1095">
        <v>2024</v>
      </c>
      <c r="B1095">
        <v>16195</v>
      </c>
      <c r="C1095" t="s">
        <v>1070</v>
      </c>
      <c r="D1095" t="s">
        <v>84</v>
      </c>
      <c r="E1095" t="s">
        <v>85</v>
      </c>
      <c r="F1095" t="s">
        <v>86</v>
      </c>
      <c r="G1095" t="s">
        <v>106</v>
      </c>
      <c r="H1095" t="s">
        <v>88</v>
      </c>
      <c r="I1095" t="s">
        <v>126</v>
      </c>
      <c r="J1095">
        <v>45256</v>
      </c>
      <c r="K1095">
        <v>360691</v>
      </c>
      <c r="L1095">
        <v>36492</v>
      </c>
      <c r="M1095">
        <v>51559</v>
      </c>
      <c r="N1095">
        <v>403075</v>
      </c>
      <c r="O1095">
        <v>3847</v>
      </c>
      <c r="P1095">
        <v>8767</v>
      </c>
      <c r="Q1095">
        <v>88057</v>
      </c>
      <c r="R1095">
        <v>40</v>
      </c>
      <c r="S1095" t="s">
        <v>97</v>
      </c>
      <c r="T1095" t="s">
        <v>97</v>
      </c>
      <c r="U1095" t="s">
        <v>97</v>
      </c>
      <c r="V1095">
        <v>105582</v>
      </c>
      <c r="W1095">
        <v>851823</v>
      </c>
      <c r="X1095">
        <v>40379</v>
      </c>
      <c r="Y1095">
        <f t="shared" si="17"/>
        <v>851823</v>
      </c>
      <c r="Z1095" t="str">
        <f>IF(ISNUMBER(SEARCH("Adjustment",$C1095)),"excluded",IF($H1095="Behind the Meter","excluded",IF(NOT(OR($E1095="Bundled",$E1095="Energy")),"excluded",IF(OR($H1095="Retail Power Marketer",$H1095="Community Choice Aggregator",$E1095="Energy"),"procurement",IF(OR($H1095="Municipal",$H1095="Cooperative",$H1095="Federal",$H1095="State",$H1095="Political Subdivision"),"cost_service",IF($H1095="Investor Owned",IF(AND(COUNTIF(Parameters!$A$4:$A$33,$G1095)&gt;0,COUNTIF(Parameters!$B$4:$B$33,$B1095)=0),"procurement","cost_service"),"unclassified"))))))</f>
        <v>cost_service</v>
      </c>
    </row>
    <row r="1096" spans="1:26" x14ac:dyDescent="0.25">
      <c r="A1096">
        <v>2024</v>
      </c>
      <c r="B1096">
        <v>16196</v>
      </c>
      <c r="C1096" t="s">
        <v>1071</v>
      </c>
      <c r="D1096" t="s">
        <v>84</v>
      </c>
      <c r="E1096" t="s">
        <v>85</v>
      </c>
      <c r="F1096" t="s">
        <v>86</v>
      </c>
      <c r="G1096" t="s">
        <v>46</v>
      </c>
      <c r="H1096" t="s">
        <v>91</v>
      </c>
      <c r="I1096" t="s">
        <v>96</v>
      </c>
      <c r="J1096">
        <v>12511</v>
      </c>
      <c r="K1096">
        <v>83600</v>
      </c>
      <c r="L1096">
        <v>9339</v>
      </c>
      <c r="M1096">
        <v>10163</v>
      </c>
      <c r="N1096">
        <v>85974</v>
      </c>
      <c r="O1096">
        <v>1018</v>
      </c>
      <c r="P1096">
        <v>5181</v>
      </c>
      <c r="Q1096">
        <v>48112</v>
      </c>
      <c r="R1096">
        <v>22</v>
      </c>
      <c r="S1096" t="s">
        <v>97</v>
      </c>
      <c r="T1096" t="s">
        <v>97</v>
      </c>
      <c r="U1096" t="s">
        <v>97</v>
      </c>
      <c r="V1096">
        <v>27855</v>
      </c>
      <c r="W1096">
        <v>217686</v>
      </c>
      <c r="X1096">
        <v>10379</v>
      </c>
      <c r="Y1096">
        <f t="shared" si="17"/>
        <v>217686</v>
      </c>
      <c r="Z1096" t="str">
        <f>IF(ISNUMBER(SEARCH("Adjustment",$C1096)),"excluded",IF($H1096="Behind the Meter","excluded",IF(NOT(OR($E1096="Bundled",$E1096="Energy")),"excluded",IF(OR($H1096="Retail Power Marketer",$H1096="Community Choice Aggregator",$E1096="Energy"),"procurement",IF(OR($H1096="Municipal",$H1096="Cooperative",$H1096="Federal",$H1096="State",$H1096="Political Subdivision"),"cost_service",IF($H1096="Investor Owned",IF(AND(COUNTIF(Parameters!$A$4:$A$33,$G1096)&gt;0,COUNTIF(Parameters!$B$4:$B$33,$B1096)=0),"procurement","cost_service"),"unclassified"))))))</f>
        <v>cost_service</v>
      </c>
    </row>
    <row r="1097" spans="1:26" x14ac:dyDescent="0.25">
      <c r="A1097">
        <v>2024</v>
      </c>
      <c r="B1097">
        <v>16196</v>
      </c>
      <c r="C1097" t="s">
        <v>1071</v>
      </c>
      <c r="D1097" t="s">
        <v>84</v>
      </c>
      <c r="E1097" t="s">
        <v>85</v>
      </c>
      <c r="F1097" t="s">
        <v>86</v>
      </c>
      <c r="G1097" t="s">
        <v>95</v>
      </c>
      <c r="H1097" t="s">
        <v>91</v>
      </c>
      <c r="I1097" t="s">
        <v>96</v>
      </c>
      <c r="J1097">
        <v>12105</v>
      </c>
      <c r="K1097">
        <v>83670</v>
      </c>
      <c r="L1097">
        <v>7310</v>
      </c>
      <c r="M1097">
        <v>5849</v>
      </c>
      <c r="N1097">
        <v>55445</v>
      </c>
      <c r="O1097">
        <v>404</v>
      </c>
      <c r="P1097">
        <v>9267</v>
      </c>
      <c r="Q1097">
        <v>167338</v>
      </c>
      <c r="R1097">
        <v>75</v>
      </c>
      <c r="S1097" t="s">
        <v>97</v>
      </c>
      <c r="T1097" t="s">
        <v>97</v>
      </c>
      <c r="U1097" t="s">
        <v>97</v>
      </c>
      <c r="V1097">
        <v>27221</v>
      </c>
      <c r="W1097">
        <v>306453</v>
      </c>
      <c r="X1097">
        <v>7789</v>
      </c>
      <c r="Y1097">
        <f t="shared" si="17"/>
        <v>306453</v>
      </c>
      <c r="Z1097" t="str">
        <f>IF(ISNUMBER(SEARCH("Adjustment",$C1097)),"excluded",IF($H1097="Behind the Meter","excluded",IF(NOT(OR($E1097="Bundled",$E1097="Energy")),"excluded",IF(OR($H1097="Retail Power Marketer",$H1097="Community Choice Aggregator",$E1097="Energy"),"procurement",IF(OR($H1097="Municipal",$H1097="Cooperative",$H1097="Federal",$H1097="State",$H1097="Political Subdivision"),"cost_service",IF($H1097="Investor Owned",IF(AND(COUNTIF(Parameters!$A$4:$A$33,$G1097)&gt;0,COUNTIF(Parameters!$B$4:$B$33,$B1097)=0),"procurement","cost_service"),"unclassified"))))))</f>
        <v>cost_service</v>
      </c>
    </row>
    <row r="1098" spans="1:26" x14ac:dyDescent="0.25">
      <c r="A1098">
        <v>2024</v>
      </c>
      <c r="B1098">
        <v>16213</v>
      </c>
      <c r="C1098" t="s">
        <v>1072</v>
      </c>
      <c r="D1098" t="s">
        <v>84</v>
      </c>
      <c r="E1098" t="s">
        <v>85</v>
      </c>
      <c r="F1098" t="s">
        <v>86</v>
      </c>
      <c r="G1098" t="s">
        <v>52</v>
      </c>
      <c r="H1098" t="s">
        <v>109</v>
      </c>
      <c r="I1098" t="s">
        <v>92</v>
      </c>
      <c r="J1098">
        <v>149165.1</v>
      </c>
      <c r="K1098">
        <v>708844</v>
      </c>
      <c r="L1098">
        <v>63679</v>
      </c>
      <c r="M1098">
        <v>64063.6</v>
      </c>
      <c r="N1098">
        <v>333254</v>
      </c>
      <c r="O1098">
        <v>8283</v>
      </c>
      <c r="P1098">
        <v>4295.7</v>
      </c>
      <c r="Q1098">
        <v>34662</v>
      </c>
      <c r="R1098">
        <v>13</v>
      </c>
      <c r="S1098">
        <v>0</v>
      </c>
      <c r="T1098">
        <v>0</v>
      </c>
      <c r="U1098">
        <v>0</v>
      </c>
      <c r="V1098">
        <v>217524.4</v>
      </c>
      <c r="W1098">
        <v>1076760</v>
      </c>
      <c r="X1098">
        <v>71975</v>
      </c>
      <c r="Y1098">
        <f t="shared" si="17"/>
        <v>1076760</v>
      </c>
      <c r="Z1098" t="str">
        <f>IF(ISNUMBER(SEARCH("Adjustment",$C1098)),"excluded",IF($H1098="Behind the Meter","excluded",IF(NOT(OR($E1098="Bundled",$E1098="Energy")),"excluded",IF(OR($H1098="Retail Power Marketer",$H1098="Community Choice Aggregator",$E1098="Energy"),"procurement",IF(OR($H1098="Municipal",$H1098="Cooperative",$H1098="Federal",$H1098="State",$H1098="Political Subdivision"),"cost_service",IF($H1098="Investor Owned",IF(AND(COUNTIF(Parameters!$A$4:$A$33,$G1098)&gt;0,COUNTIF(Parameters!$B$4:$B$33,$B1098)=0),"procurement","cost_service"),"unclassified"))))))</f>
        <v>procurement</v>
      </c>
    </row>
    <row r="1099" spans="1:26" x14ac:dyDescent="0.25">
      <c r="A1099">
        <v>2024</v>
      </c>
      <c r="B1099">
        <v>16213</v>
      </c>
      <c r="C1099" t="s">
        <v>1072</v>
      </c>
      <c r="D1099" t="s">
        <v>167</v>
      </c>
      <c r="E1099" t="s">
        <v>168</v>
      </c>
      <c r="F1099" t="s">
        <v>86</v>
      </c>
      <c r="G1099" t="s">
        <v>52</v>
      </c>
      <c r="H1099" t="s">
        <v>109</v>
      </c>
      <c r="I1099" t="s">
        <v>102</v>
      </c>
      <c r="J1099">
        <v>417.7</v>
      </c>
      <c r="K1099">
        <v>4426</v>
      </c>
      <c r="L1099">
        <v>471</v>
      </c>
      <c r="M1099">
        <v>1596.1</v>
      </c>
      <c r="N1099">
        <v>30851</v>
      </c>
      <c r="O1099">
        <v>142</v>
      </c>
      <c r="P1099">
        <v>295.8</v>
      </c>
      <c r="Q1099">
        <v>2759</v>
      </c>
      <c r="R1099">
        <v>3</v>
      </c>
      <c r="S1099">
        <v>0</v>
      </c>
      <c r="T1099">
        <v>0</v>
      </c>
      <c r="U1099">
        <v>0</v>
      </c>
      <c r="V1099">
        <v>2309.6</v>
      </c>
      <c r="W1099">
        <v>38036</v>
      </c>
      <c r="X1099">
        <v>616</v>
      </c>
      <c r="Y1099">
        <f t="shared" si="17"/>
        <v>38036</v>
      </c>
      <c r="Z1099" t="str">
        <f>IF(ISNUMBER(SEARCH("Adjustment",$C1099)),"excluded",IF($H1099="Behind the Meter","excluded",IF(NOT(OR($E1099="Bundled",$E1099="Energy")),"excluded",IF(OR($H1099="Retail Power Marketer",$H1099="Community Choice Aggregator",$E1099="Energy"),"procurement",IF(OR($H1099="Municipal",$H1099="Cooperative",$H1099="Federal",$H1099="State",$H1099="Political Subdivision"),"cost_service",IF($H1099="Investor Owned",IF(AND(COUNTIF(Parameters!$A$4:$A$33,$G1099)&gt;0,COUNTIF(Parameters!$B$4:$B$33,$B1099)=0),"procurement","cost_service"),"unclassified"))))))</f>
        <v>excluded</v>
      </c>
    </row>
    <row r="1100" spans="1:26" x14ac:dyDescent="0.25">
      <c r="A1100">
        <v>2024</v>
      </c>
      <c r="B1100">
        <v>16213</v>
      </c>
      <c r="C1100" t="s">
        <v>1072</v>
      </c>
      <c r="D1100" t="s">
        <v>167</v>
      </c>
      <c r="E1100" t="s">
        <v>168</v>
      </c>
      <c r="F1100" t="s">
        <v>86</v>
      </c>
      <c r="G1100" t="s">
        <v>52</v>
      </c>
      <c r="H1100" t="s">
        <v>109</v>
      </c>
      <c r="I1100" t="s">
        <v>92</v>
      </c>
      <c r="J1100">
        <v>2417.1999999999998</v>
      </c>
      <c r="K1100">
        <v>30737</v>
      </c>
      <c r="L1100">
        <v>2210</v>
      </c>
      <c r="M1100">
        <v>22578.799999999999</v>
      </c>
      <c r="N1100">
        <v>432285</v>
      </c>
      <c r="O1100">
        <v>1228</v>
      </c>
      <c r="P1100">
        <v>187.4</v>
      </c>
      <c r="Q1100">
        <v>3331</v>
      </c>
      <c r="R1100">
        <v>5</v>
      </c>
      <c r="S1100">
        <v>0</v>
      </c>
      <c r="T1100">
        <v>0</v>
      </c>
      <c r="U1100">
        <v>0</v>
      </c>
      <c r="V1100">
        <v>25183.4</v>
      </c>
      <c r="W1100">
        <v>466353</v>
      </c>
      <c r="X1100">
        <v>3443</v>
      </c>
      <c r="Y1100">
        <f t="shared" si="17"/>
        <v>466353</v>
      </c>
      <c r="Z1100" t="str">
        <f>IF(ISNUMBER(SEARCH("Adjustment",$C1100)),"excluded",IF($H1100="Behind the Meter","excluded",IF(NOT(OR($E1100="Bundled",$E1100="Energy")),"excluded",IF(OR($H1100="Retail Power Marketer",$H1100="Community Choice Aggregator",$E1100="Energy"),"procurement",IF(OR($H1100="Municipal",$H1100="Cooperative",$H1100="Federal",$H1100="State",$H1100="Political Subdivision"),"cost_service",IF($H1100="Investor Owned",IF(AND(COUNTIF(Parameters!$A$4:$A$33,$G1100)&gt;0,COUNTIF(Parameters!$B$4:$B$33,$B1100)=0),"procurement","cost_service"),"unclassified"))))))</f>
        <v>excluded</v>
      </c>
    </row>
    <row r="1101" spans="1:26" x14ac:dyDescent="0.25">
      <c r="A1101">
        <v>2024</v>
      </c>
      <c r="B1101">
        <v>16223</v>
      </c>
      <c r="C1101" t="s">
        <v>1073</v>
      </c>
      <c r="D1101" t="s">
        <v>84</v>
      </c>
      <c r="E1101" t="s">
        <v>85</v>
      </c>
      <c r="F1101" t="s">
        <v>86</v>
      </c>
      <c r="G1101" t="s">
        <v>156</v>
      </c>
      <c r="H1101" t="s">
        <v>88</v>
      </c>
      <c r="I1101" t="s">
        <v>89</v>
      </c>
      <c r="J1101">
        <v>21972</v>
      </c>
      <c r="K1101">
        <v>172855</v>
      </c>
      <c r="L1101">
        <v>12042</v>
      </c>
      <c r="M1101">
        <v>12356</v>
      </c>
      <c r="N1101">
        <v>88881</v>
      </c>
      <c r="O1101">
        <v>3388</v>
      </c>
      <c r="P1101">
        <v>2029</v>
      </c>
      <c r="Q1101">
        <v>26471</v>
      </c>
      <c r="R1101">
        <v>5</v>
      </c>
      <c r="S1101">
        <v>0</v>
      </c>
      <c r="T1101">
        <v>0</v>
      </c>
      <c r="U1101">
        <v>0</v>
      </c>
      <c r="V1101">
        <v>36357</v>
      </c>
      <c r="W1101">
        <v>288207</v>
      </c>
      <c r="X1101">
        <v>15435</v>
      </c>
      <c r="Y1101">
        <f t="shared" si="17"/>
        <v>288207</v>
      </c>
      <c r="Z1101" t="str">
        <f>IF(ISNUMBER(SEARCH("Adjustment",$C1101)),"excluded",IF($H1101="Behind the Meter","excluded",IF(NOT(OR($E1101="Bundled",$E1101="Energy")),"excluded",IF(OR($H1101="Retail Power Marketer",$H1101="Community Choice Aggregator",$E1101="Energy"),"procurement",IF(OR($H1101="Municipal",$H1101="Cooperative",$H1101="Federal",$H1101="State",$H1101="Political Subdivision"),"cost_service",IF($H1101="Investor Owned",IF(AND(COUNTIF(Parameters!$A$4:$A$33,$G1101)&gt;0,COUNTIF(Parameters!$B$4:$B$33,$B1101)=0),"procurement","cost_service"),"unclassified"))))))</f>
        <v>cost_service</v>
      </c>
    </row>
    <row r="1102" spans="1:26" x14ac:dyDescent="0.25">
      <c r="A1102">
        <v>2024</v>
      </c>
      <c r="B1102">
        <v>16226</v>
      </c>
      <c r="C1102" t="s">
        <v>1074</v>
      </c>
      <c r="D1102" t="s">
        <v>84</v>
      </c>
      <c r="E1102" t="s">
        <v>85</v>
      </c>
      <c r="F1102" t="s">
        <v>86</v>
      </c>
      <c r="G1102" t="s">
        <v>125</v>
      </c>
      <c r="H1102" t="s">
        <v>88</v>
      </c>
      <c r="I1102" t="s">
        <v>163</v>
      </c>
      <c r="J1102">
        <v>37085</v>
      </c>
      <c r="K1102">
        <v>304444</v>
      </c>
      <c r="L1102">
        <v>25407</v>
      </c>
      <c r="M1102">
        <v>28846</v>
      </c>
      <c r="N1102">
        <v>301437</v>
      </c>
      <c r="O1102">
        <v>3748</v>
      </c>
      <c r="P1102">
        <v>11255</v>
      </c>
      <c r="Q1102">
        <v>144105</v>
      </c>
      <c r="R1102">
        <v>33</v>
      </c>
      <c r="S1102" t="s">
        <v>97</v>
      </c>
      <c r="T1102" t="s">
        <v>97</v>
      </c>
      <c r="U1102" t="s">
        <v>97</v>
      </c>
      <c r="V1102">
        <v>77186</v>
      </c>
      <c r="W1102">
        <v>749986</v>
      </c>
      <c r="X1102">
        <v>29188</v>
      </c>
      <c r="Y1102">
        <f t="shared" si="17"/>
        <v>749986</v>
      </c>
      <c r="Z1102" t="str">
        <f>IF(ISNUMBER(SEARCH("Adjustment",$C1102)),"excluded",IF($H1102="Behind the Meter","excluded",IF(NOT(OR($E1102="Bundled",$E1102="Energy")),"excluded",IF(OR($H1102="Retail Power Marketer",$H1102="Community Choice Aggregator",$E1102="Energy"),"procurement",IF(OR($H1102="Municipal",$H1102="Cooperative",$H1102="Federal",$H1102="State",$H1102="Political Subdivision"),"cost_service",IF($H1102="Investor Owned",IF(AND(COUNTIF(Parameters!$A$4:$A$33,$G1102)&gt;0,COUNTIF(Parameters!$B$4:$B$33,$B1102)=0),"procurement","cost_service"),"unclassified"))))))</f>
        <v>cost_service</v>
      </c>
    </row>
    <row r="1103" spans="1:26" x14ac:dyDescent="0.25">
      <c r="A1103">
        <v>2024</v>
      </c>
      <c r="B1103">
        <v>16259</v>
      </c>
      <c r="C1103" t="s">
        <v>1075</v>
      </c>
      <c r="D1103" t="s">
        <v>84</v>
      </c>
      <c r="E1103" t="s">
        <v>85</v>
      </c>
      <c r="F1103" t="s">
        <v>86</v>
      </c>
      <c r="G1103" t="s">
        <v>226</v>
      </c>
      <c r="H1103" t="s">
        <v>88</v>
      </c>
      <c r="I1103" t="s">
        <v>96</v>
      </c>
      <c r="J1103">
        <v>10603</v>
      </c>
      <c r="K1103">
        <v>99848</v>
      </c>
      <c r="L1103">
        <v>8132</v>
      </c>
      <c r="M1103">
        <v>5112</v>
      </c>
      <c r="N1103">
        <v>55003</v>
      </c>
      <c r="O1103">
        <v>1393</v>
      </c>
      <c r="P1103">
        <v>11779</v>
      </c>
      <c r="Q1103">
        <v>145779</v>
      </c>
      <c r="R1103">
        <v>108</v>
      </c>
      <c r="S1103" t="s">
        <v>97</v>
      </c>
      <c r="T1103" t="s">
        <v>97</v>
      </c>
      <c r="U1103" t="s">
        <v>97</v>
      </c>
      <c r="V1103">
        <v>27494</v>
      </c>
      <c r="W1103">
        <v>300630</v>
      </c>
      <c r="X1103">
        <v>9633</v>
      </c>
      <c r="Y1103">
        <f t="shared" si="17"/>
        <v>300630</v>
      </c>
      <c r="Z1103" t="str">
        <f>IF(ISNUMBER(SEARCH("Adjustment",$C1103)),"excluded",IF($H1103="Behind the Meter","excluded",IF(NOT(OR($E1103="Bundled",$E1103="Energy")),"excluded",IF(OR($H1103="Retail Power Marketer",$H1103="Community Choice Aggregator",$E1103="Energy"),"procurement",IF(OR($H1103="Municipal",$H1103="Cooperative",$H1103="Federal",$H1103="State",$H1103="Political Subdivision"),"cost_service",IF($H1103="Investor Owned",IF(AND(COUNTIF(Parameters!$A$4:$A$33,$G1103)&gt;0,COUNTIF(Parameters!$B$4:$B$33,$B1103)=0),"procurement","cost_service"),"unclassified"))))))</f>
        <v>cost_service</v>
      </c>
    </row>
    <row r="1104" spans="1:26" x14ac:dyDescent="0.25">
      <c r="A1104">
        <v>2024</v>
      </c>
      <c r="B1104">
        <v>16286</v>
      </c>
      <c r="C1104" t="s">
        <v>1076</v>
      </c>
      <c r="D1104" t="s">
        <v>84</v>
      </c>
      <c r="E1104" t="s">
        <v>85</v>
      </c>
      <c r="F1104" t="s">
        <v>86</v>
      </c>
      <c r="G1104" t="s">
        <v>224</v>
      </c>
      <c r="H1104" t="s">
        <v>91</v>
      </c>
      <c r="I1104" t="s">
        <v>135</v>
      </c>
      <c r="J1104">
        <v>6767.4</v>
      </c>
      <c r="K1104">
        <v>63650</v>
      </c>
      <c r="L1104">
        <v>4856</v>
      </c>
      <c r="M1104">
        <v>2139.1</v>
      </c>
      <c r="N1104">
        <v>23349</v>
      </c>
      <c r="O1104">
        <v>760</v>
      </c>
      <c r="P1104">
        <v>77.599999999999994</v>
      </c>
      <c r="Q1104">
        <v>757</v>
      </c>
      <c r="R1104">
        <v>21</v>
      </c>
      <c r="S1104">
        <v>0</v>
      </c>
      <c r="T1104">
        <v>0</v>
      </c>
      <c r="U1104">
        <v>0</v>
      </c>
      <c r="V1104">
        <v>8984.1</v>
      </c>
      <c r="W1104">
        <v>87756</v>
      </c>
      <c r="X1104">
        <v>5637</v>
      </c>
      <c r="Y1104">
        <f t="shared" si="17"/>
        <v>87756</v>
      </c>
      <c r="Z1104" t="str">
        <f>IF(ISNUMBER(SEARCH("Adjustment",$C1104)),"excluded",IF($H1104="Behind the Meter","excluded",IF(NOT(OR($E1104="Bundled",$E1104="Energy")),"excluded",IF(OR($H1104="Retail Power Marketer",$H1104="Community Choice Aggregator",$E1104="Energy"),"procurement",IF(OR($H1104="Municipal",$H1104="Cooperative",$H1104="Federal",$H1104="State",$H1104="Political Subdivision"),"cost_service",IF($H1104="Investor Owned",IF(AND(COUNTIF(Parameters!$A$4:$A$33,$G1104)&gt;0,COUNTIF(Parameters!$B$4:$B$33,$B1104)=0),"procurement","cost_service"),"unclassified"))))))</f>
        <v>cost_service</v>
      </c>
    </row>
    <row r="1105" spans="1:26" x14ac:dyDescent="0.25">
      <c r="A1105">
        <v>2024</v>
      </c>
      <c r="B1105">
        <v>16295</v>
      </c>
      <c r="C1105" t="s">
        <v>1077</v>
      </c>
      <c r="D1105" t="s">
        <v>84</v>
      </c>
      <c r="E1105" t="s">
        <v>85</v>
      </c>
      <c r="F1105" t="s">
        <v>86</v>
      </c>
      <c r="G1105" t="s">
        <v>115</v>
      </c>
      <c r="H1105" t="s">
        <v>88</v>
      </c>
      <c r="I1105" t="s">
        <v>839</v>
      </c>
      <c r="J1105">
        <v>101628</v>
      </c>
      <c r="K1105">
        <v>544702</v>
      </c>
      <c r="L1105">
        <v>63052</v>
      </c>
      <c r="M1105">
        <v>74650.8</v>
      </c>
      <c r="N1105">
        <v>446943</v>
      </c>
      <c r="O1105">
        <v>7394</v>
      </c>
      <c r="P1105">
        <v>24554.799999999999</v>
      </c>
      <c r="Q1105">
        <v>190320</v>
      </c>
      <c r="R1105">
        <v>29</v>
      </c>
      <c r="S1105" t="s">
        <v>97</v>
      </c>
      <c r="T1105" t="s">
        <v>97</v>
      </c>
      <c r="U1105" t="s">
        <v>97</v>
      </c>
      <c r="V1105">
        <v>200833.6</v>
      </c>
      <c r="W1105">
        <v>1181965</v>
      </c>
      <c r="X1105">
        <v>70475</v>
      </c>
      <c r="Y1105">
        <f t="shared" si="17"/>
        <v>1181965</v>
      </c>
      <c r="Z1105" t="str">
        <f>IF(ISNUMBER(SEARCH("Adjustment",$C1105)),"excluded",IF($H1105="Behind the Meter","excluded",IF(NOT(OR($E1105="Bundled",$E1105="Energy")),"excluded",IF(OR($H1105="Retail Power Marketer",$H1105="Community Choice Aggregator",$E1105="Energy"),"procurement",IF(OR($H1105="Municipal",$H1105="Cooperative",$H1105="Federal",$H1105="State",$H1105="Political Subdivision"),"cost_service",IF($H1105="Investor Owned",IF(AND(COUNTIF(Parameters!$A$4:$A$33,$G1105)&gt;0,COUNTIF(Parameters!$B$4:$B$33,$B1105)=0),"procurement","cost_service"),"unclassified"))))))</f>
        <v>cost_service</v>
      </c>
    </row>
    <row r="1106" spans="1:26" x14ac:dyDescent="0.25">
      <c r="A1106">
        <v>2024</v>
      </c>
      <c r="B1106">
        <v>16368</v>
      </c>
      <c r="C1106" t="s">
        <v>1078</v>
      </c>
      <c r="D1106" t="s">
        <v>84</v>
      </c>
      <c r="E1106" t="s">
        <v>85</v>
      </c>
      <c r="F1106" t="s">
        <v>86</v>
      </c>
      <c r="G1106" t="s">
        <v>104</v>
      </c>
      <c r="H1106" t="s">
        <v>91</v>
      </c>
      <c r="I1106" t="s">
        <v>96</v>
      </c>
      <c r="J1106">
        <v>27624</v>
      </c>
      <c r="K1106">
        <v>192378</v>
      </c>
      <c r="L1106">
        <v>14282</v>
      </c>
      <c r="M1106">
        <v>2938</v>
      </c>
      <c r="N1106">
        <v>22261</v>
      </c>
      <c r="O1106">
        <v>818</v>
      </c>
      <c r="P1106">
        <v>1558</v>
      </c>
      <c r="Q1106">
        <v>14291</v>
      </c>
      <c r="R1106">
        <v>291</v>
      </c>
      <c r="S1106" t="s">
        <v>97</v>
      </c>
      <c r="T1106" t="s">
        <v>97</v>
      </c>
      <c r="U1106" t="s">
        <v>97</v>
      </c>
      <c r="V1106">
        <v>32120</v>
      </c>
      <c r="W1106">
        <v>228930</v>
      </c>
      <c r="X1106">
        <v>15391</v>
      </c>
      <c r="Y1106">
        <f t="shared" si="17"/>
        <v>228930</v>
      </c>
      <c r="Z1106" t="str">
        <f>IF(ISNUMBER(SEARCH("Adjustment",$C1106)),"excluded",IF($H1106="Behind the Meter","excluded",IF(NOT(OR($E1106="Bundled",$E1106="Energy")),"excluded",IF(OR($H1106="Retail Power Marketer",$H1106="Community Choice Aggregator",$E1106="Energy"),"procurement",IF(OR($H1106="Municipal",$H1106="Cooperative",$H1106="Federal",$H1106="State",$H1106="Political Subdivision"),"cost_service",IF($H1106="Investor Owned",IF(AND(COUNTIF(Parameters!$A$4:$A$33,$G1106)&gt;0,COUNTIF(Parameters!$B$4:$B$33,$B1106)=0),"procurement","cost_service"),"unclassified"))))))</f>
        <v>cost_service</v>
      </c>
    </row>
    <row r="1107" spans="1:26" x14ac:dyDescent="0.25">
      <c r="A1107">
        <v>2024</v>
      </c>
      <c r="B1107">
        <v>16382</v>
      </c>
      <c r="C1107" t="s">
        <v>1079</v>
      </c>
      <c r="D1107" t="s">
        <v>84</v>
      </c>
      <c r="E1107" t="s">
        <v>85</v>
      </c>
      <c r="F1107" t="s">
        <v>86</v>
      </c>
      <c r="G1107" t="s">
        <v>136</v>
      </c>
      <c r="H1107" t="s">
        <v>91</v>
      </c>
      <c r="I1107" t="s">
        <v>135</v>
      </c>
      <c r="J1107">
        <v>14260.4</v>
      </c>
      <c r="K1107">
        <v>125619</v>
      </c>
      <c r="L1107">
        <v>9047</v>
      </c>
      <c r="M1107">
        <v>31081</v>
      </c>
      <c r="N1107">
        <v>313625</v>
      </c>
      <c r="O1107">
        <v>3545</v>
      </c>
      <c r="P1107">
        <v>10765.7</v>
      </c>
      <c r="Q1107">
        <v>184254</v>
      </c>
      <c r="R1107">
        <v>13</v>
      </c>
      <c r="S1107" t="s">
        <v>97</v>
      </c>
      <c r="T1107" t="s">
        <v>97</v>
      </c>
      <c r="U1107" t="s">
        <v>97</v>
      </c>
      <c r="V1107">
        <v>56107.1</v>
      </c>
      <c r="W1107">
        <v>623498</v>
      </c>
      <c r="X1107">
        <v>12605</v>
      </c>
      <c r="Y1107">
        <f t="shared" si="17"/>
        <v>623498</v>
      </c>
      <c r="Z1107" t="str">
        <f>IF(ISNUMBER(SEARCH("Adjustment",$C1107)),"excluded",IF($H1107="Behind the Meter","excluded",IF(NOT(OR($E1107="Bundled",$E1107="Energy")),"excluded",IF(OR($H1107="Retail Power Marketer",$H1107="Community Choice Aggregator",$E1107="Energy"),"procurement",IF(OR($H1107="Municipal",$H1107="Cooperative",$H1107="Federal",$H1107="State",$H1107="Political Subdivision"),"cost_service",IF($H1107="Investor Owned",IF(AND(COUNTIF(Parameters!$A$4:$A$33,$G1107)&gt;0,COUNTIF(Parameters!$B$4:$B$33,$B1107)=0),"procurement","cost_service"),"unclassified"))))))</f>
        <v>cost_service</v>
      </c>
    </row>
    <row r="1108" spans="1:26" x14ac:dyDescent="0.25">
      <c r="A1108">
        <v>2024</v>
      </c>
      <c r="B1108">
        <v>16458</v>
      </c>
      <c r="C1108" t="s">
        <v>1080</v>
      </c>
      <c r="D1108" t="s">
        <v>84</v>
      </c>
      <c r="E1108" t="s">
        <v>85</v>
      </c>
      <c r="F1108" t="s">
        <v>86</v>
      </c>
      <c r="G1108" t="s">
        <v>112</v>
      </c>
      <c r="H1108" t="s">
        <v>88</v>
      </c>
      <c r="I1108" t="s">
        <v>89</v>
      </c>
      <c r="J1108">
        <v>6688</v>
      </c>
      <c r="K1108">
        <v>50459</v>
      </c>
      <c r="L1108">
        <v>3890</v>
      </c>
      <c r="M1108">
        <v>8390</v>
      </c>
      <c r="N1108">
        <v>61920</v>
      </c>
      <c r="O1108">
        <v>1204</v>
      </c>
      <c r="P1108">
        <v>1773</v>
      </c>
      <c r="Q1108">
        <v>26048</v>
      </c>
      <c r="R1108">
        <v>2</v>
      </c>
      <c r="S1108">
        <v>0</v>
      </c>
      <c r="T1108">
        <v>0</v>
      </c>
      <c r="U1108">
        <v>0</v>
      </c>
      <c r="V1108">
        <v>16851</v>
      </c>
      <c r="W1108">
        <v>138427</v>
      </c>
      <c r="X1108">
        <v>5096</v>
      </c>
      <c r="Y1108">
        <f t="shared" si="17"/>
        <v>138427</v>
      </c>
      <c r="Z1108" t="str">
        <f>IF(ISNUMBER(SEARCH("Adjustment",$C1108)),"excluded",IF($H1108="Behind the Meter","excluded",IF(NOT(OR($E1108="Bundled",$E1108="Energy")),"excluded",IF(OR($H1108="Retail Power Marketer",$H1108="Community Choice Aggregator",$E1108="Energy"),"procurement",IF(OR($H1108="Municipal",$H1108="Cooperative",$H1108="Federal",$H1108="State",$H1108="Political Subdivision"),"cost_service",IF($H1108="Investor Owned",IF(AND(COUNTIF(Parameters!$A$4:$A$33,$G1108)&gt;0,COUNTIF(Parameters!$B$4:$B$33,$B1108)=0),"procurement","cost_service"),"unclassified"))))))</f>
        <v>cost_service</v>
      </c>
    </row>
    <row r="1109" spans="1:26" x14ac:dyDescent="0.25">
      <c r="A1109">
        <v>2024</v>
      </c>
      <c r="B1109">
        <v>16459</v>
      </c>
      <c r="C1109" t="s">
        <v>1081</v>
      </c>
      <c r="D1109" t="s">
        <v>84</v>
      </c>
      <c r="E1109" t="s">
        <v>85</v>
      </c>
      <c r="F1109" t="s">
        <v>86</v>
      </c>
      <c r="G1109" t="s">
        <v>209</v>
      </c>
      <c r="H1109" t="s">
        <v>88</v>
      </c>
      <c r="I1109" t="s">
        <v>89</v>
      </c>
      <c r="J1109">
        <v>4465</v>
      </c>
      <c r="K1109">
        <v>37234</v>
      </c>
      <c r="L1109">
        <v>3092</v>
      </c>
      <c r="M1109">
        <v>5519</v>
      </c>
      <c r="N1109">
        <v>43620</v>
      </c>
      <c r="O1109">
        <v>1078</v>
      </c>
      <c r="P1109">
        <v>3216</v>
      </c>
      <c r="Q1109">
        <v>35725</v>
      </c>
      <c r="R1109">
        <v>4</v>
      </c>
      <c r="S1109">
        <v>0</v>
      </c>
      <c r="T1109">
        <v>0</v>
      </c>
      <c r="U1109">
        <v>0</v>
      </c>
      <c r="V1109">
        <v>13200</v>
      </c>
      <c r="W1109">
        <v>116579</v>
      </c>
      <c r="X1109">
        <v>4174</v>
      </c>
      <c r="Y1109">
        <f t="shared" si="17"/>
        <v>116579</v>
      </c>
      <c r="Z1109" t="str">
        <f>IF(ISNUMBER(SEARCH("Adjustment",$C1109)),"excluded",IF($H1109="Behind the Meter","excluded",IF(NOT(OR($E1109="Bundled",$E1109="Energy")),"excluded",IF(OR($H1109="Retail Power Marketer",$H1109="Community Choice Aggregator",$E1109="Energy"),"procurement",IF(OR($H1109="Municipal",$H1109="Cooperative",$H1109="Federal",$H1109="State",$H1109="Political Subdivision"),"cost_service",IF($H1109="Investor Owned",IF(AND(COUNTIF(Parameters!$A$4:$A$33,$G1109)&gt;0,COUNTIF(Parameters!$B$4:$B$33,$B1109)=0),"procurement","cost_service"),"unclassified"))))))</f>
        <v>cost_service</v>
      </c>
    </row>
    <row r="1110" spans="1:26" x14ac:dyDescent="0.25">
      <c r="A1110">
        <v>2024</v>
      </c>
      <c r="B1110">
        <v>16461</v>
      </c>
      <c r="C1110" t="s">
        <v>1082</v>
      </c>
      <c r="D1110" t="s">
        <v>84</v>
      </c>
      <c r="E1110" t="s">
        <v>85</v>
      </c>
      <c r="F1110" t="s">
        <v>86</v>
      </c>
      <c r="G1110" t="s">
        <v>57</v>
      </c>
      <c r="H1110" t="s">
        <v>91</v>
      </c>
      <c r="I1110" t="s">
        <v>135</v>
      </c>
      <c r="J1110">
        <v>36242.699999999997</v>
      </c>
      <c r="K1110">
        <v>281054</v>
      </c>
      <c r="L1110">
        <v>18152</v>
      </c>
      <c r="M1110">
        <v>13806.5</v>
      </c>
      <c r="N1110">
        <v>97638</v>
      </c>
      <c r="O1110">
        <v>5444</v>
      </c>
      <c r="P1110">
        <v>8985.2999999999993</v>
      </c>
      <c r="Q1110">
        <v>122467</v>
      </c>
      <c r="R1110">
        <v>24</v>
      </c>
      <c r="S1110" t="s">
        <v>97</v>
      </c>
      <c r="T1110" t="s">
        <v>97</v>
      </c>
      <c r="U1110" t="s">
        <v>97</v>
      </c>
      <c r="V1110">
        <v>59034.5</v>
      </c>
      <c r="W1110">
        <v>501159</v>
      </c>
      <c r="X1110">
        <v>23620</v>
      </c>
      <c r="Y1110">
        <f t="shared" si="17"/>
        <v>501159</v>
      </c>
      <c r="Z1110" t="str">
        <f>IF(ISNUMBER(SEARCH("Adjustment",$C1110)),"excluded",IF($H1110="Behind the Meter","excluded",IF(NOT(OR($E1110="Bundled",$E1110="Energy")),"excluded",IF(OR($H1110="Retail Power Marketer",$H1110="Community Choice Aggregator",$E1110="Energy"),"procurement",IF(OR($H1110="Municipal",$H1110="Cooperative",$H1110="Federal",$H1110="State",$H1110="Political Subdivision"),"cost_service",IF($H1110="Investor Owned",IF(AND(COUNTIF(Parameters!$A$4:$A$33,$G1110)&gt;0,COUNTIF(Parameters!$B$4:$B$33,$B1110)=0),"procurement","cost_service"),"unclassified"))))))</f>
        <v>cost_service</v>
      </c>
    </row>
    <row r="1111" spans="1:26" x14ac:dyDescent="0.25">
      <c r="A1111">
        <v>2024</v>
      </c>
      <c r="B1111">
        <v>16463</v>
      </c>
      <c r="C1111" t="s">
        <v>1083</v>
      </c>
      <c r="D1111" t="s">
        <v>84</v>
      </c>
      <c r="E1111" t="s">
        <v>85</v>
      </c>
      <c r="F1111" t="s">
        <v>86</v>
      </c>
      <c r="G1111" t="s">
        <v>138</v>
      </c>
      <c r="H1111" t="s">
        <v>88</v>
      </c>
      <c r="I1111" t="s">
        <v>96</v>
      </c>
      <c r="J1111">
        <v>6141</v>
      </c>
      <c r="K1111">
        <v>108531</v>
      </c>
      <c r="L1111">
        <v>9900</v>
      </c>
      <c r="M1111">
        <v>6892</v>
      </c>
      <c r="N1111">
        <v>163720</v>
      </c>
      <c r="O1111">
        <v>1941</v>
      </c>
      <c r="P1111">
        <v>1299</v>
      </c>
      <c r="Q1111">
        <v>25146</v>
      </c>
      <c r="R1111">
        <v>16</v>
      </c>
      <c r="S1111" t="s">
        <v>97</v>
      </c>
      <c r="T1111" t="s">
        <v>97</v>
      </c>
      <c r="U1111" t="s">
        <v>97</v>
      </c>
      <c r="V1111">
        <v>14332</v>
      </c>
      <c r="W1111">
        <v>297397</v>
      </c>
      <c r="X1111">
        <v>11857</v>
      </c>
      <c r="Y1111">
        <f t="shared" si="17"/>
        <v>297397</v>
      </c>
      <c r="Z1111" t="str">
        <f>IF(ISNUMBER(SEARCH("Adjustment",$C1111)),"excluded",IF($H1111="Behind the Meter","excluded",IF(NOT(OR($E1111="Bundled",$E1111="Energy")),"excluded",IF(OR($H1111="Retail Power Marketer",$H1111="Community Choice Aggregator",$E1111="Energy"),"procurement",IF(OR($H1111="Municipal",$H1111="Cooperative",$H1111="Federal",$H1111="State",$H1111="Political Subdivision"),"cost_service",IF($H1111="Investor Owned",IF(AND(COUNTIF(Parameters!$A$4:$A$33,$G1111)&gt;0,COUNTIF(Parameters!$B$4:$B$33,$B1111)=0),"procurement","cost_service"),"unclassified"))))))</f>
        <v>cost_service</v>
      </c>
    </row>
    <row r="1112" spans="1:26" x14ac:dyDescent="0.25">
      <c r="A1112">
        <v>2024</v>
      </c>
      <c r="B1112">
        <v>16496</v>
      </c>
      <c r="C1112" t="s">
        <v>1084</v>
      </c>
      <c r="D1112" t="s">
        <v>84</v>
      </c>
      <c r="E1112" t="s">
        <v>85</v>
      </c>
      <c r="F1112" t="s">
        <v>86</v>
      </c>
      <c r="G1112" t="s">
        <v>125</v>
      </c>
      <c r="H1112" t="s">
        <v>91</v>
      </c>
      <c r="I1112" t="s">
        <v>126</v>
      </c>
      <c r="J1112">
        <v>124293</v>
      </c>
      <c r="K1112">
        <v>946790</v>
      </c>
      <c r="L1112">
        <v>70743</v>
      </c>
      <c r="M1112">
        <v>22675</v>
      </c>
      <c r="N1112">
        <v>179707</v>
      </c>
      <c r="O1112">
        <v>5735</v>
      </c>
      <c r="P1112">
        <v>16403</v>
      </c>
      <c r="Q1112">
        <v>206080</v>
      </c>
      <c r="R1112">
        <v>36</v>
      </c>
      <c r="S1112">
        <v>0</v>
      </c>
      <c r="T1112">
        <v>0</v>
      </c>
      <c r="U1112">
        <v>0</v>
      </c>
      <c r="V1112">
        <v>163371</v>
      </c>
      <c r="W1112">
        <v>1332577</v>
      </c>
      <c r="X1112">
        <v>76514</v>
      </c>
      <c r="Y1112">
        <f t="shared" si="17"/>
        <v>1332577</v>
      </c>
      <c r="Z1112" t="str">
        <f>IF(ISNUMBER(SEARCH("Adjustment",$C1112)),"excluded",IF($H1112="Behind the Meter","excluded",IF(NOT(OR($E1112="Bundled",$E1112="Energy")),"excluded",IF(OR($H1112="Retail Power Marketer",$H1112="Community Choice Aggregator",$E1112="Energy"),"procurement",IF(OR($H1112="Municipal",$H1112="Cooperative",$H1112="Federal",$H1112="State",$H1112="Political Subdivision"),"cost_service",IF($H1112="Investor Owned",IF(AND(COUNTIF(Parameters!$A$4:$A$33,$G1112)&gt;0,COUNTIF(Parameters!$B$4:$B$33,$B1112)=0),"procurement","cost_service"),"unclassified"))))))</f>
        <v>cost_service</v>
      </c>
    </row>
    <row r="1113" spans="1:26" x14ac:dyDescent="0.25">
      <c r="A1113">
        <v>2024</v>
      </c>
      <c r="B1113">
        <v>16534</v>
      </c>
      <c r="C1113" t="s">
        <v>1085</v>
      </c>
      <c r="D1113" t="s">
        <v>84</v>
      </c>
      <c r="E1113" t="s">
        <v>85</v>
      </c>
      <c r="F1113" t="s">
        <v>86</v>
      </c>
      <c r="G1113" t="s">
        <v>115</v>
      </c>
      <c r="H1113" t="s">
        <v>205</v>
      </c>
      <c r="I1113" t="s">
        <v>839</v>
      </c>
      <c r="J1113">
        <v>892673.1</v>
      </c>
      <c r="K1113">
        <v>4995051</v>
      </c>
      <c r="L1113">
        <v>592557</v>
      </c>
      <c r="M1113">
        <v>676029.4</v>
      </c>
      <c r="N1113">
        <v>4150764</v>
      </c>
      <c r="O1113">
        <v>71160</v>
      </c>
      <c r="P1113">
        <v>208942.2</v>
      </c>
      <c r="Q1113">
        <v>1549024</v>
      </c>
      <c r="R1113">
        <v>2517</v>
      </c>
      <c r="S1113">
        <v>4080.8</v>
      </c>
      <c r="T1113">
        <v>26362</v>
      </c>
      <c r="U1113">
        <v>1</v>
      </c>
      <c r="V1113">
        <v>1781725.5</v>
      </c>
      <c r="W1113">
        <v>10721201</v>
      </c>
      <c r="X1113">
        <v>666235</v>
      </c>
      <c r="Y1113">
        <f t="shared" si="17"/>
        <v>10721201</v>
      </c>
      <c r="Z1113" t="str">
        <f>IF(ISNUMBER(SEARCH("Adjustment",$C1113)),"excluded",IF($H1113="Behind the Meter","excluded",IF(NOT(OR($E1113="Bundled",$E1113="Energy")),"excluded",IF(OR($H1113="Retail Power Marketer",$H1113="Community Choice Aggregator",$E1113="Energy"),"procurement",IF(OR($H1113="Municipal",$H1113="Cooperative",$H1113="Federal",$H1113="State",$H1113="Political Subdivision"),"cost_service",IF($H1113="Investor Owned",IF(AND(COUNTIF(Parameters!$A$4:$A$33,$G1113)&gt;0,COUNTIF(Parameters!$B$4:$B$33,$B1113)=0),"procurement","cost_service"),"unclassified"))))))</f>
        <v>cost_service</v>
      </c>
    </row>
    <row r="1114" spans="1:26" x14ac:dyDescent="0.25">
      <c r="A1114">
        <v>2024</v>
      </c>
      <c r="B1114">
        <v>16555</v>
      </c>
      <c r="C1114" t="s">
        <v>1086</v>
      </c>
      <c r="D1114" t="s">
        <v>84</v>
      </c>
      <c r="E1114" t="s">
        <v>85</v>
      </c>
      <c r="F1114" t="s">
        <v>86</v>
      </c>
      <c r="G1114" t="s">
        <v>219</v>
      </c>
      <c r="H1114" t="s">
        <v>91</v>
      </c>
      <c r="I1114" t="s">
        <v>206</v>
      </c>
      <c r="J1114">
        <v>21211</v>
      </c>
      <c r="K1114">
        <v>192449</v>
      </c>
      <c r="L1114">
        <v>18385</v>
      </c>
      <c r="M1114">
        <v>10492</v>
      </c>
      <c r="N1114">
        <v>106192</v>
      </c>
      <c r="O1114">
        <v>2453</v>
      </c>
      <c r="P1114">
        <v>1815</v>
      </c>
      <c r="Q1114">
        <v>19160</v>
      </c>
      <c r="R1114">
        <v>7</v>
      </c>
      <c r="S1114" t="s">
        <v>97</v>
      </c>
      <c r="T1114" t="s">
        <v>97</v>
      </c>
      <c r="U1114" t="s">
        <v>97</v>
      </c>
      <c r="V1114">
        <v>33518</v>
      </c>
      <c r="W1114">
        <v>317801</v>
      </c>
      <c r="X1114">
        <v>20845</v>
      </c>
      <c r="Y1114">
        <f t="shared" si="17"/>
        <v>317801</v>
      </c>
      <c r="Z1114" t="str">
        <f>IF(ISNUMBER(SEARCH("Adjustment",$C1114)),"excluded",IF($H1114="Behind the Meter","excluded",IF(NOT(OR($E1114="Bundled",$E1114="Energy")),"excluded",IF(OR($H1114="Retail Power Marketer",$H1114="Community Choice Aggregator",$E1114="Energy"),"procurement",IF(OR($H1114="Municipal",$H1114="Cooperative",$H1114="Federal",$H1114="State",$H1114="Political Subdivision"),"cost_service",IF($H1114="Investor Owned",IF(AND(COUNTIF(Parameters!$A$4:$A$33,$G1114)&gt;0,COUNTIF(Parameters!$B$4:$B$33,$B1114)=0),"procurement","cost_service"),"unclassified"))))))</f>
        <v>cost_service</v>
      </c>
    </row>
    <row r="1115" spans="1:26" x14ac:dyDescent="0.25">
      <c r="A1115">
        <v>2024</v>
      </c>
      <c r="B1115">
        <v>16558</v>
      </c>
      <c r="C1115" t="s">
        <v>1087</v>
      </c>
      <c r="D1115" t="s">
        <v>84</v>
      </c>
      <c r="E1115" t="s">
        <v>85</v>
      </c>
      <c r="F1115" t="s">
        <v>86</v>
      </c>
      <c r="G1115" t="s">
        <v>93</v>
      </c>
      <c r="H1115" t="s">
        <v>88</v>
      </c>
      <c r="I1115" t="s">
        <v>92</v>
      </c>
      <c r="J1115">
        <v>18847.5</v>
      </c>
      <c r="K1115">
        <v>124695</v>
      </c>
      <c r="L1115">
        <v>11298</v>
      </c>
      <c r="M1115">
        <v>14485.9</v>
      </c>
      <c r="N1115">
        <v>96855</v>
      </c>
      <c r="O1115">
        <v>2152</v>
      </c>
      <c r="P1115">
        <v>15670.4</v>
      </c>
      <c r="Q1115">
        <v>121361</v>
      </c>
      <c r="R1115">
        <v>69</v>
      </c>
      <c r="S1115">
        <v>0</v>
      </c>
      <c r="T1115">
        <v>0</v>
      </c>
      <c r="U1115">
        <v>0</v>
      </c>
      <c r="V1115">
        <v>49003.8</v>
      </c>
      <c r="W1115">
        <v>342911</v>
      </c>
      <c r="X1115">
        <v>13519</v>
      </c>
      <c r="Y1115">
        <f t="shared" si="17"/>
        <v>342911</v>
      </c>
      <c r="Z1115" t="str">
        <f>IF(ISNUMBER(SEARCH("Adjustment",$C1115)),"excluded",IF($H1115="Behind the Meter","excluded",IF(NOT(OR($E1115="Bundled",$E1115="Energy")),"excluded",IF(OR($H1115="Retail Power Marketer",$H1115="Community Choice Aggregator",$E1115="Energy"),"procurement",IF(OR($H1115="Municipal",$H1115="Cooperative",$H1115="Federal",$H1115="State",$H1115="Political Subdivision"),"cost_service",IF($H1115="Investor Owned",IF(AND(COUNTIF(Parameters!$A$4:$A$33,$G1115)&gt;0,COUNTIF(Parameters!$B$4:$B$33,$B1115)=0),"procurement","cost_service"),"unclassified"))))))</f>
        <v>cost_service</v>
      </c>
    </row>
    <row r="1116" spans="1:26" x14ac:dyDescent="0.25">
      <c r="A1116">
        <v>2024</v>
      </c>
      <c r="B1116">
        <v>16565</v>
      </c>
      <c r="C1116" t="s">
        <v>1088</v>
      </c>
      <c r="D1116" t="s">
        <v>84</v>
      </c>
      <c r="E1116" t="s">
        <v>85</v>
      </c>
      <c r="F1116" t="s">
        <v>86</v>
      </c>
      <c r="G1116" t="s">
        <v>490</v>
      </c>
      <c r="H1116" t="s">
        <v>91</v>
      </c>
      <c r="I1116" t="s">
        <v>640</v>
      </c>
      <c r="J1116">
        <v>3412</v>
      </c>
      <c r="K1116">
        <v>37927</v>
      </c>
      <c r="L1116">
        <v>2383</v>
      </c>
      <c r="M1116">
        <v>1630</v>
      </c>
      <c r="N1116">
        <v>21605</v>
      </c>
      <c r="O1116">
        <v>471</v>
      </c>
      <c r="P1116">
        <v>2485</v>
      </c>
      <c r="Q1116">
        <v>42779</v>
      </c>
      <c r="R1116">
        <v>128</v>
      </c>
      <c r="S1116">
        <v>0</v>
      </c>
      <c r="T1116">
        <v>0</v>
      </c>
      <c r="U1116">
        <v>0</v>
      </c>
      <c r="V1116">
        <v>7527</v>
      </c>
      <c r="W1116">
        <v>102311</v>
      </c>
      <c r="X1116">
        <v>2982</v>
      </c>
      <c r="Y1116">
        <f t="shared" si="17"/>
        <v>102311</v>
      </c>
      <c r="Z1116" t="str">
        <f>IF(ISNUMBER(SEARCH("Adjustment",$C1116)),"excluded",IF($H1116="Behind the Meter","excluded",IF(NOT(OR($E1116="Bundled",$E1116="Energy")),"excluded",IF(OR($H1116="Retail Power Marketer",$H1116="Community Choice Aggregator",$E1116="Energy"),"procurement",IF(OR($H1116="Municipal",$H1116="Cooperative",$H1116="Federal",$H1116="State",$H1116="Political Subdivision"),"cost_service",IF($H1116="Investor Owned",IF(AND(COUNTIF(Parameters!$A$4:$A$33,$G1116)&gt;0,COUNTIF(Parameters!$B$4:$B$33,$B1116)=0),"procurement","cost_service"),"unclassified"))))))</f>
        <v>cost_service</v>
      </c>
    </row>
    <row r="1117" spans="1:26" x14ac:dyDescent="0.25">
      <c r="A1117">
        <v>2024</v>
      </c>
      <c r="B1117">
        <v>16572</v>
      </c>
      <c r="C1117" t="s">
        <v>1089</v>
      </c>
      <c r="D1117" t="s">
        <v>84</v>
      </c>
      <c r="E1117" t="s">
        <v>85</v>
      </c>
      <c r="F1117" t="s">
        <v>86</v>
      </c>
      <c r="G1117" t="s">
        <v>108</v>
      </c>
      <c r="H1117" t="s">
        <v>205</v>
      </c>
      <c r="I1117" t="s">
        <v>1090</v>
      </c>
      <c r="J1117">
        <v>2060051</v>
      </c>
      <c r="K1117">
        <v>15307643</v>
      </c>
      <c r="L1117">
        <v>1053407</v>
      </c>
      <c r="M1117">
        <v>1481943</v>
      </c>
      <c r="N1117">
        <v>13767916</v>
      </c>
      <c r="O1117">
        <v>112637</v>
      </c>
      <c r="P1117">
        <v>346996</v>
      </c>
      <c r="Q1117">
        <v>4491678</v>
      </c>
      <c r="R1117">
        <v>49</v>
      </c>
      <c r="S1117">
        <v>1079</v>
      </c>
      <c r="T1117">
        <v>10037</v>
      </c>
      <c r="U1117">
        <v>1</v>
      </c>
      <c r="V1117">
        <v>3890069</v>
      </c>
      <c r="W1117">
        <v>33577274</v>
      </c>
      <c r="X1117">
        <v>1166094</v>
      </c>
      <c r="Y1117">
        <f t="shared" si="17"/>
        <v>33577274</v>
      </c>
      <c r="Z1117" t="str">
        <f>IF(ISNUMBER(SEARCH("Adjustment",$C1117)),"excluded",IF($H1117="Behind the Meter","excluded",IF(NOT(OR($E1117="Bundled",$E1117="Energy")),"excluded",IF(OR($H1117="Retail Power Marketer",$H1117="Community Choice Aggregator",$E1117="Energy"),"procurement",IF(OR($H1117="Municipal",$H1117="Cooperative",$H1117="Federal",$H1117="State",$H1117="Political Subdivision"),"cost_service",IF($H1117="Investor Owned",IF(AND(COUNTIF(Parameters!$A$4:$A$33,$G1117)&gt;0,COUNTIF(Parameters!$B$4:$B$33,$B1117)=0),"procurement","cost_service"),"unclassified"))))))</f>
        <v>cost_service</v>
      </c>
    </row>
    <row r="1118" spans="1:26" x14ac:dyDescent="0.25">
      <c r="A1118">
        <v>2024</v>
      </c>
      <c r="B1118">
        <v>16587</v>
      </c>
      <c r="C1118" t="s">
        <v>1091</v>
      </c>
      <c r="D1118" t="s">
        <v>84</v>
      </c>
      <c r="E1118" t="s">
        <v>85</v>
      </c>
      <c r="F1118" t="s">
        <v>86</v>
      </c>
      <c r="G1118" t="s">
        <v>209</v>
      </c>
      <c r="H1118" t="s">
        <v>91</v>
      </c>
      <c r="I1118" t="s">
        <v>92</v>
      </c>
      <c r="J1118">
        <v>83823.100000000006</v>
      </c>
      <c r="K1118">
        <v>770315</v>
      </c>
      <c r="L1118">
        <v>53479</v>
      </c>
      <c r="M1118">
        <v>31360.9</v>
      </c>
      <c r="N1118">
        <v>299184</v>
      </c>
      <c r="O1118">
        <v>3741</v>
      </c>
      <c r="P1118">
        <v>18662.099999999999</v>
      </c>
      <c r="Q1118">
        <v>223716</v>
      </c>
      <c r="R1118">
        <v>22</v>
      </c>
      <c r="S1118" t="s">
        <v>97</v>
      </c>
      <c r="T1118" t="s">
        <v>97</v>
      </c>
      <c r="U1118" t="s">
        <v>97</v>
      </c>
      <c r="V1118">
        <v>133846.1</v>
      </c>
      <c r="W1118">
        <v>1293215</v>
      </c>
      <c r="X1118">
        <v>57242</v>
      </c>
      <c r="Y1118">
        <f t="shared" si="17"/>
        <v>1293215</v>
      </c>
      <c r="Z1118" t="str">
        <f>IF(ISNUMBER(SEARCH("Adjustment",$C1118)),"excluded",IF($H1118="Behind the Meter","excluded",IF(NOT(OR($E1118="Bundled",$E1118="Energy")),"excluded",IF(OR($H1118="Retail Power Marketer",$H1118="Community Choice Aggregator",$E1118="Energy"),"procurement",IF(OR($H1118="Municipal",$H1118="Cooperative",$H1118="Federal",$H1118="State",$H1118="Political Subdivision"),"cost_service",IF($H1118="Investor Owned",IF(AND(COUNTIF(Parameters!$A$4:$A$33,$G1118)&gt;0,COUNTIF(Parameters!$B$4:$B$33,$B1118)=0),"procurement","cost_service"),"unclassified"))))))</f>
        <v>cost_service</v>
      </c>
    </row>
    <row r="1119" spans="1:26" x14ac:dyDescent="0.25">
      <c r="A1119">
        <v>2024</v>
      </c>
      <c r="B1119">
        <v>16603</v>
      </c>
      <c r="C1119" t="s">
        <v>1092</v>
      </c>
      <c r="D1119" t="s">
        <v>84</v>
      </c>
      <c r="E1119" t="s">
        <v>85</v>
      </c>
      <c r="F1119" t="s">
        <v>86</v>
      </c>
      <c r="G1119" t="s">
        <v>361</v>
      </c>
      <c r="H1119" t="s">
        <v>91</v>
      </c>
      <c r="I1119" t="s">
        <v>259</v>
      </c>
      <c r="J1119">
        <v>12986</v>
      </c>
      <c r="K1119">
        <v>70637</v>
      </c>
      <c r="L1119">
        <v>9115</v>
      </c>
      <c r="M1119">
        <v>7130</v>
      </c>
      <c r="N1119">
        <v>52066</v>
      </c>
      <c r="O1119">
        <v>1586</v>
      </c>
      <c r="P1119">
        <v>15813</v>
      </c>
      <c r="Q1119">
        <v>80709</v>
      </c>
      <c r="R1119">
        <v>2584</v>
      </c>
      <c r="S1119" t="s">
        <v>97</v>
      </c>
      <c r="T1119" t="s">
        <v>97</v>
      </c>
      <c r="U1119" t="s">
        <v>97</v>
      </c>
      <c r="V1119">
        <v>35929</v>
      </c>
      <c r="W1119">
        <v>203412</v>
      </c>
      <c r="X1119">
        <v>13285</v>
      </c>
      <c r="Y1119">
        <f t="shared" si="17"/>
        <v>203412</v>
      </c>
      <c r="Z1119" t="str">
        <f>IF(ISNUMBER(SEARCH("Adjustment",$C1119)),"excluded",IF($H1119="Behind the Meter","excluded",IF(NOT(OR($E1119="Bundled",$E1119="Energy")),"excluded",IF(OR($H1119="Retail Power Marketer",$H1119="Community Choice Aggregator",$E1119="Energy"),"procurement",IF(OR($H1119="Municipal",$H1119="Cooperative",$H1119="Federal",$H1119="State",$H1119="Political Subdivision"),"cost_service",IF($H1119="Investor Owned",IF(AND(COUNTIF(Parameters!$A$4:$A$33,$G1119)&gt;0,COUNTIF(Parameters!$B$4:$B$33,$B1119)=0),"procurement","cost_service"),"unclassified"))))))</f>
        <v>cost_service</v>
      </c>
    </row>
    <row r="1120" spans="1:26" x14ac:dyDescent="0.25">
      <c r="A1120">
        <v>2024</v>
      </c>
      <c r="B1120">
        <v>16604</v>
      </c>
      <c r="C1120" t="s">
        <v>1093</v>
      </c>
      <c r="D1120" t="s">
        <v>84</v>
      </c>
      <c r="E1120" t="s">
        <v>85</v>
      </c>
      <c r="F1120" t="s">
        <v>86</v>
      </c>
      <c r="G1120" t="s">
        <v>57</v>
      </c>
      <c r="H1120" t="s">
        <v>88</v>
      </c>
      <c r="I1120" t="s">
        <v>151</v>
      </c>
      <c r="J1120">
        <v>1382966.5</v>
      </c>
      <c r="K1120">
        <v>11123381</v>
      </c>
      <c r="L1120">
        <v>865914</v>
      </c>
      <c r="M1120">
        <v>1366184.6</v>
      </c>
      <c r="N1120">
        <v>13566138</v>
      </c>
      <c r="O1120">
        <v>96322</v>
      </c>
      <c r="P1120">
        <v>50030.9</v>
      </c>
      <c r="Q1120">
        <v>565237</v>
      </c>
      <c r="R1120">
        <v>36</v>
      </c>
      <c r="S1120" t="s">
        <v>97</v>
      </c>
      <c r="T1120" t="s">
        <v>97</v>
      </c>
      <c r="U1120" t="s">
        <v>97</v>
      </c>
      <c r="V1120">
        <v>2799182</v>
      </c>
      <c r="W1120">
        <v>25254756</v>
      </c>
      <c r="X1120">
        <v>962272</v>
      </c>
      <c r="Y1120">
        <f t="shared" si="17"/>
        <v>25254756</v>
      </c>
      <c r="Z1120" t="str">
        <f>IF(ISNUMBER(SEARCH("Adjustment",$C1120)),"excluded",IF($H1120="Behind the Meter","excluded",IF(NOT(OR($E1120="Bundled",$E1120="Energy")),"excluded",IF(OR($H1120="Retail Power Marketer",$H1120="Community Choice Aggregator",$E1120="Energy"),"procurement",IF(OR($H1120="Municipal",$H1120="Cooperative",$H1120="Federal",$H1120="State",$H1120="Political Subdivision"),"cost_service",IF($H1120="Investor Owned",IF(AND(COUNTIF(Parameters!$A$4:$A$33,$G1120)&gt;0,COUNTIF(Parameters!$B$4:$B$33,$B1120)=0),"procurement","cost_service"),"unclassified"))))))</f>
        <v>cost_service</v>
      </c>
    </row>
    <row r="1121" spans="1:26" x14ac:dyDescent="0.25">
      <c r="A1121">
        <v>2024</v>
      </c>
      <c r="B1121">
        <v>16606</v>
      </c>
      <c r="C1121" t="s">
        <v>1094</v>
      </c>
      <c r="D1121" t="s">
        <v>84</v>
      </c>
      <c r="E1121" t="s">
        <v>85</v>
      </c>
      <c r="F1121" t="s">
        <v>86</v>
      </c>
      <c r="G1121" t="s">
        <v>106</v>
      </c>
      <c r="H1121" t="s">
        <v>91</v>
      </c>
      <c r="I1121" t="s">
        <v>106</v>
      </c>
      <c r="J1121">
        <v>78003</v>
      </c>
      <c r="K1121">
        <v>529109</v>
      </c>
      <c r="L1121">
        <v>35235</v>
      </c>
      <c r="M1121">
        <v>20465.3</v>
      </c>
      <c r="N1121">
        <v>136962</v>
      </c>
      <c r="O1121">
        <v>9605</v>
      </c>
      <c r="P1121">
        <v>32902.1</v>
      </c>
      <c r="Q1121">
        <v>481918</v>
      </c>
      <c r="R1121">
        <v>15</v>
      </c>
      <c r="S1121" t="s">
        <v>97</v>
      </c>
      <c r="T1121" t="s">
        <v>97</v>
      </c>
      <c r="U1121" t="s">
        <v>97</v>
      </c>
      <c r="V1121">
        <v>131370.4</v>
      </c>
      <c r="W1121">
        <v>1147989</v>
      </c>
      <c r="X1121">
        <v>44855</v>
      </c>
      <c r="Y1121">
        <f t="shared" si="17"/>
        <v>1147989</v>
      </c>
      <c r="Z1121" t="str">
        <f>IF(ISNUMBER(SEARCH("Adjustment",$C1121)),"excluded",IF($H1121="Behind the Meter","excluded",IF(NOT(OR($E1121="Bundled",$E1121="Energy")),"excluded",IF(OR($H1121="Retail Power Marketer",$H1121="Community Choice Aggregator",$E1121="Energy"),"procurement",IF(OR($H1121="Municipal",$H1121="Cooperative",$H1121="Federal",$H1121="State",$H1121="Political Subdivision"),"cost_service",IF($H1121="Investor Owned",IF(AND(COUNTIF(Parameters!$A$4:$A$33,$G1121)&gt;0,COUNTIF(Parameters!$B$4:$B$33,$B1121)=0),"procurement","cost_service"),"unclassified"))))))</f>
        <v>cost_service</v>
      </c>
    </row>
    <row r="1122" spans="1:26" x14ac:dyDescent="0.25">
      <c r="A1122">
        <v>2024</v>
      </c>
      <c r="B1122">
        <v>16609</v>
      </c>
      <c r="C1122" t="s">
        <v>1095</v>
      </c>
      <c r="D1122" t="s">
        <v>84</v>
      </c>
      <c r="E1122" t="s">
        <v>85</v>
      </c>
      <c r="F1122" t="s">
        <v>86</v>
      </c>
      <c r="G1122" t="s">
        <v>115</v>
      </c>
      <c r="H1122" t="s">
        <v>109</v>
      </c>
      <c r="I1122" t="s">
        <v>116</v>
      </c>
      <c r="J1122">
        <v>588006.5</v>
      </c>
      <c r="K1122">
        <v>1347817</v>
      </c>
      <c r="L1122">
        <v>307982</v>
      </c>
      <c r="M1122">
        <v>439773.5</v>
      </c>
      <c r="N1122">
        <v>1237280</v>
      </c>
      <c r="O1122">
        <v>34342</v>
      </c>
      <c r="P1122">
        <v>143087.5</v>
      </c>
      <c r="Q1122">
        <v>545010</v>
      </c>
      <c r="R1122">
        <v>1110</v>
      </c>
      <c r="S1122">
        <v>15929</v>
      </c>
      <c r="T1122">
        <v>77013</v>
      </c>
      <c r="U1122">
        <v>5</v>
      </c>
      <c r="V1122">
        <v>1186796.5</v>
      </c>
      <c r="W1122">
        <v>3207120</v>
      </c>
      <c r="X1122">
        <v>343439</v>
      </c>
      <c r="Y1122">
        <f t="shared" si="17"/>
        <v>3207120</v>
      </c>
      <c r="Z1122" t="str">
        <f>IF(ISNUMBER(SEARCH("Adjustment",$C1122)),"excluded",IF($H1122="Behind the Meter","excluded",IF(NOT(OR($E1122="Bundled",$E1122="Energy")),"excluded",IF(OR($H1122="Retail Power Marketer",$H1122="Community Choice Aggregator",$E1122="Energy"),"procurement",IF(OR($H1122="Municipal",$H1122="Cooperative",$H1122="Federal",$H1122="State",$H1122="Political Subdivision"),"cost_service",IF($H1122="Investor Owned",IF(AND(COUNTIF(Parameters!$A$4:$A$33,$G1122)&gt;0,COUNTIF(Parameters!$B$4:$B$33,$B1122)=0),"procurement","cost_service"),"unclassified"))))))</f>
        <v>cost_service</v>
      </c>
    </row>
    <row r="1123" spans="1:26" x14ac:dyDescent="0.25">
      <c r="A1123">
        <v>2024</v>
      </c>
      <c r="B1123">
        <v>16609</v>
      </c>
      <c r="C1123" t="s">
        <v>1095</v>
      </c>
      <c r="D1123" t="s">
        <v>167</v>
      </c>
      <c r="E1123" t="s">
        <v>168</v>
      </c>
      <c r="F1123" t="s">
        <v>86</v>
      </c>
      <c r="G1123" t="s">
        <v>115</v>
      </c>
      <c r="H1123" t="s">
        <v>109</v>
      </c>
      <c r="I1123" t="s">
        <v>116</v>
      </c>
      <c r="J1123">
        <v>973689.1</v>
      </c>
      <c r="K1123">
        <v>3462171</v>
      </c>
      <c r="L1123">
        <v>1056379</v>
      </c>
      <c r="M1123">
        <v>1063442.7</v>
      </c>
      <c r="N1123">
        <v>6179866</v>
      </c>
      <c r="O1123">
        <v>122616</v>
      </c>
      <c r="P1123">
        <v>492823.6</v>
      </c>
      <c r="Q1123">
        <v>3842016</v>
      </c>
      <c r="R1123">
        <v>3534</v>
      </c>
      <c r="S1123">
        <v>0</v>
      </c>
      <c r="T1123">
        <v>0</v>
      </c>
      <c r="U1123">
        <v>0</v>
      </c>
      <c r="V1123">
        <v>2529955.4</v>
      </c>
      <c r="W1123">
        <v>13484053</v>
      </c>
      <c r="X1123">
        <v>1182529</v>
      </c>
      <c r="Y1123">
        <f t="shared" si="17"/>
        <v>13484053</v>
      </c>
      <c r="Z1123" t="str">
        <f>IF(ISNUMBER(SEARCH("Adjustment",$C1123)),"excluded",IF($H1123="Behind the Meter","excluded",IF(NOT(OR($E1123="Bundled",$E1123="Energy")),"excluded",IF(OR($H1123="Retail Power Marketer",$H1123="Community Choice Aggregator",$E1123="Energy"),"procurement",IF(OR($H1123="Municipal",$H1123="Cooperative",$H1123="Federal",$H1123="State",$H1123="Political Subdivision"),"cost_service",IF($H1123="Investor Owned",IF(AND(COUNTIF(Parameters!$A$4:$A$33,$G1123)&gt;0,COUNTIF(Parameters!$B$4:$B$33,$B1123)=0),"procurement","cost_service"),"unclassified"))))))</f>
        <v>excluded</v>
      </c>
    </row>
    <row r="1124" spans="1:26" x14ac:dyDescent="0.25">
      <c r="A1124">
        <v>2024</v>
      </c>
      <c r="B1124">
        <v>16611</v>
      </c>
      <c r="C1124" t="s">
        <v>1096</v>
      </c>
      <c r="D1124" t="s">
        <v>84</v>
      </c>
      <c r="E1124" t="s">
        <v>85</v>
      </c>
      <c r="F1124" t="s">
        <v>86</v>
      </c>
      <c r="G1124" t="s">
        <v>146</v>
      </c>
      <c r="H1124" t="s">
        <v>91</v>
      </c>
      <c r="I1124" t="s">
        <v>227</v>
      </c>
      <c r="J1124">
        <v>16832.599999999999</v>
      </c>
      <c r="K1124">
        <v>112566</v>
      </c>
      <c r="L1124">
        <v>8850</v>
      </c>
      <c r="M1124">
        <v>3279.8</v>
      </c>
      <c r="N1124">
        <v>26156</v>
      </c>
      <c r="O1124">
        <v>191</v>
      </c>
      <c r="P1124">
        <v>19476.3</v>
      </c>
      <c r="Q1124">
        <v>283550</v>
      </c>
      <c r="R1124">
        <v>26</v>
      </c>
      <c r="S1124">
        <v>0</v>
      </c>
      <c r="T1124">
        <v>0</v>
      </c>
      <c r="U1124">
        <v>0</v>
      </c>
      <c r="V1124">
        <v>39588.699999999997</v>
      </c>
      <c r="W1124">
        <v>422272</v>
      </c>
      <c r="X1124">
        <v>9067</v>
      </c>
      <c r="Y1124">
        <f t="shared" si="17"/>
        <v>422272</v>
      </c>
      <c r="Z1124" t="str">
        <f>IF(ISNUMBER(SEARCH("Adjustment",$C1124)),"excluded",IF($H1124="Behind the Meter","excluded",IF(NOT(OR($E1124="Bundled",$E1124="Energy")),"excluded",IF(OR($H1124="Retail Power Marketer",$H1124="Community Choice Aggregator",$E1124="Energy"),"procurement",IF(OR($H1124="Municipal",$H1124="Cooperative",$H1124="Federal",$H1124="State",$H1124="Political Subdivision"),"cost_service",IF($H1124="Investor Owned",IF(AND(COUNTIF(Parameters!$A$4:$A$33,$G1124)&gt;0,COUNTIF(Parameters!$B$4:$B$33,$B1124)=0),"procurement","cost_service"),"unclassified"))))))</f>
        <v>cost_service</v>
      </c>
    </row>
    <row r="1125" spans="1:26" x14ac:dyDescent="0.25">
      <c r="A1125">
        <v>2024</v>
      </c>
      <c r="B1125">
        <v>16612</v>
      </c>
      <c r="C1125" t="s">
        <v>1097</v>
      </c>
      <c r="D1125" t="s">
        <v>84</v>
      </c>
      <c r="E1125" t="s">
        <v>85</v>
      </c>
      <c r="F1125" t="s">
        <v>86</v>
      </c>
      <c r="G1125" t="s">
        <v>115</v>
      </c>
      <c r="H1125" t="s">
        <v>88</v>
      </c>
      <c r="I1125" t="s">
        <v>116</v>
      </c>
      <c r="J1125">
        <v>10213.6</v>
      </c>
      <c r="K1125">
        <v>42476</v>
      </c>
      <c r="L1125">
        <v>2618</v>
      </c>
      <c r="M1125">
        <v>137259.1</v>
      </c>
      <c r="N1125">
        <v>743836</v>
      </c>
      <c r="O1125">
        <v>291</v>
      </c>
      <c r="P1125">
        <v>16466.8</v>
      </c>
      <c r="Q1125">
        <v>69575</v>
      </c>
      <c r="R1125">
        <v>31</v>
      </c>
      <c r="S1125">
        <v>19069.099999999999</v>
      </c>
      <c r="T1125">
        <v>97793</v>
      </c>
      <c r="U1125">
        <v>1</v>
      </c>
      <c r="V1125">
        <v>183008.6</v>
      </c>
      <c r="W1125">
        <v>953680</v>
      </c>
      <c r="X1125">
        <v>2941</v>
      </c>
      <c r="Y1125">
        <f t="shared" si="17"/>
        <v>953680</v>
      </c>
      <c r="Z1125" t="str">
        <f>IF(ISNUMBER(SEARCH("Adjustment",$C1125)),"excluded",IF($H1125="Behind the Meter","excluded",IF(NOT(OR($E1125="Bundled",$E1125="Energy")),"excluded",IF(OR($H1125="Retail Power Marketer",$H1125="Community Choice Aggregator",$E1125="Energy"),"procurement",IF(OR($H1125="Municipal",$H1125="Cooperative",$H1125="Federal",$H1125="State",$H1125="Political Subdivision"),"cost_service",IF($H1125="Investor Owned",IF(AND(COUNTIF(Parameters!$A$4:$A$33,$G1125)&gt;0,COUNTIF(Parameters!$B$4:$B$33,$B1125)=0),"procurement","cost_service"),"unclassified"))))))</f>
        <v>cost_service</v>
      </c>
    </row>
    <row r="1126" spans="1:26" x14ac:dyDescent="0.25">
      <c r="A1126">
        <v>2024</v>
      </c>
      <c r="B1126">
        <v>16613</v>
      </c>
      <c r="C1126" t="s">
        <v>1098</v>
      </c>
      <c r="D1126" t="s">
        <v>84</v>
      </c>
      <c r="E1126" t="s">
        <v>85</v>
      </c>
      <c r="F1126" t="s">
        <v>86</v>
      </c>
      <c r="G1126" t="s">
        <v>57</v>
      </c>
      <c r="H1126" t="s">
        <v>91</v>
      </c>
      <c r="I1126" t="s">
        <v>96</v>
      </c>
      <c r="J1126">
        <v>148891</v>
      </c>
      <c r="K1126">
        <v>1179641</v>
      </c>
      <c r="L1126">
        <v>86118</v>
      </c>
      <c r="M1126">
        <v>20792</v>
      </c>
      <c r="N1126">
        <v>164368</v>
      </c>
      <c r="O1126">
        <v>7164</v>
      </c>
      <c r="P1126">
        <v>45377</v>
      </c>
      <c r="Q1126">
        <v>506185</v>
      </c>
      <c r="R1126">
        <v>204</v>
      </c>
      <c r="S1126" t="s">
        <v>97</v>
      </c>
      <c r="T1126" t="s">
        <v>97</v>
      </c>
      <c r="U1126" t="s">
        <v>97</v>
      </c>
      <c r="V1126">
        <v>215060</v>
      </c>
      <c r="W1126">
        <v>1850194</v>
      </c>
      <c r="X1126">
        <v>93486</v>
      </c>
      <c r="Y1126">
        <f t="shared" si="17"/>
        <v>1850194</v>
      </c>
      <c r="Z1126" t="str">
        <f>IF(ISNUMBER(SEARCH("Adjustment",$C1126)),"excluded",IF($H1126="Behind the Meter","excluded",IF(NOT(OR($E1126="Bundled",$E1126="Energy")),"excluded",IF(OR($H1126="Retail Power Marketer",$H1126="Community Choice Aggregator",$E1126="Energy"),"procurement",IF(OR($H1126="Municipal",$H1126="Cooperative",$H1126="Federal",$H1126="State",$H1126="Political Subdivision"),"cost_service",IF($H1126="Investor Owned",IF(AND(COUNTIF(Parameters!$A$4:$A$33,$G1126)&gt;0,COUNTIF(Parameters!$B$4:$B$33,$B1126)=0),"procurement","cost_service"),"unclassified"))))))</f>
        <v>cost_service</v>
      </c>
    </row>
    <row r="1127" spans="1:26" x14ac:dyDescent="0.25">
      <c r="A1127">
        <v>2024</v>
      </c>
      <c r="B1127">
        <v>16616</v>
      </c>
      <c r="C1127" t="s">
        <v>1099</v>
      </c>
      <c r="D1127" t="s">
        <v>84</v>
      </c>
      <c r="E1127" t="s">
        <v>85</v>
      </c>
      <c r="F1127" t="s">
        <v>86</v>
      </c>
      <c r="G1127" t="s">
        <v>361</v>
      </c>
      <c r="H1127" t="s">
        <v>91</v>
      </c>
      <c r="I1127" t="s">
        <v>259</v>
      </c>
      <c r="J1127">
        <v>32484.1</v>
      </c>
      <c r="K1127">
        <v>182662</v>
      </c>
      <c r="L1127">
        <v>23289</v>
      </c>
      <c r="M1127">
        <v>13809</v>
      </c>
      <c r="N1127">
        <v>85835</v>
      </c>
      <c r="O1127">
        <v>2745</v>
      </c>
      <c r="P1127">
        <v>10293</v>
      </c>
      <c r="Q1127">
        <v>142193</v>
      </c>
      <c r="R1127">
        <v>12</v>
      </c>
      <c r="S1127" t="s">
        <v>97</v>
      </c>
      <c r="T1127" t="s">
        <v>97</v>
      </c>
      <c r="U1127" t="s">
        <v>97</v>
      </c>
      <c r="V1127">
        <v>56586.1</v>
      </c>
      <c r="W1127">
        <v>410690</v>
      </c>
      <c r="X1127">
        <v>26046</v>
      </c>
      <c r="Y1127">
        <f t="shared" si="17"/>
        <v>410690</v>
      </c>
      <c r="Z1127" t="str">
        <f>IF(ISNUMBER(SEARCH("Adjustment",$C1127)),"excluded",IF($H1127="Behind the Meter","excluded",IF(NOT(OR($E1127="Bundled",$E1127="Energy")),"excluded",IF(OR($H1127="Retail Power Marketer",$H1127="Community Choice Aggregator",$E1127="Energy"),"procurement",IF(OR($H1127="Municipal",$H1127="Cooperative",$H1127="Federal",$H1127="State",$H1127="Political Subdivision"),"cost_service",IF($H1127="Investor Owned",IF(AND(COUNTIF(Parameters!$A$4:$A$33,$G1127)&gt;0,COUNTIF(Parameters!$B$4:$B$33,$B1127)=0),"procurement","cost_service"),"unclassified"))))))</f>
        <v>cost_service</v>
      </c>
    </row>
    <row r="1128" spans="1:26" x14ac:dyDescent="0.25">
      <c r="A1128">
        <v>2024</v>
      </c>
      <c r="B1128">
        <v>16622</v>
      </c>
      <c r="C1128" t="s">
        <v>1100</v>
      </c>
      <c r="D1128" t="s">
        <v>84</v>
      </c>
      <c r="E1128" t="s">
        <v>85</v>
      </c>
      <c r="F1128" t="s">
        <v>86</v>
      </c>
      <c r="G1128" t="s">
        <v>361</v>
      </c>
      <c r="H1128" t="s">
        <v>91</v>
      </c>
      <c r="I1128" t="s">
        <v>259</v>
      </c>
      <c r="J1128">
        <v>19263.8</v>
      </c>
      <c r="K1128">
        <v>118032</v>
      </c>
      <c r="L1128">
        <v>12154</v>
      </c>
      <c r="M1128">
        <v>12957</v>
      </c>
      <c r="N1128">
        <v>96510</v>
      </c>
      <c r="O1128">
        <v>2616</v>
      </c>
      <c r="P1128">
        <v>213</v>
      </c>
      <c r="Q1128">
        <v>1297</v>
      </c>
      <c r="R1128">
        <v>81</v>
      </c>
      <c r="S1128" t="s">
        <v>97</v>
      </c>
      <c r="T1128" t="s">
        <v>97</v>
      </c>
      <c r="U1128" t="s">
        <v>97</v>
      </c>
      <c r="V1128">
        <v>32433.8</v>
      </c>
      <c r="W1128">
        <v>215839</v>
      </c>
      <c r="X1128">
        <v>14851</v>
      </c>
      <c r="Y1128">
        <f t="shared" si="17"/>
        <v>215839</v>
      </c>
      <c r="Z1128" t="str">
        <f>IF(ISNUMBER(SEARCH("Adjustment",$C1128)),"excluded",IF($H1128="Behind the Meter","excluded",IF(NOT(OR($E1128="Bundled",$E1128="Energy")),"excluded",IF(OR($H1128="Retail Power Marketer",$H1128="Community Choice Aggregator",$E1128="Energy"),"procurement",IF(OR($H1128="Municipal",$H1128="Cooperative",$H1128="Federal",$H1128="State",$H1128="Political Subdivision"),"cost_service",IF($H1128="Investor Owned",IF(AND(COUNTIF(Parameters!$A$4:$A$33,$G1128)&gt;0,COUNTIF(Parameters!$B$4:$B$33,$B1128)=0),"procurement","cost_service"),"unclassified"))))))</f>
        <v>cost_service</v>
      </c>
    </row>
    <row r="1129" spans="1:26" x14ac:dyDescent="0.25">
      <c r="A1129">
        <v>2024</v>
      </c>
      <c r="B1129">
        <v>16627</v>
      </c>
      <c r="C1129" t="s">
        <v>1101</v>
      </c>
      <c r="D1129" t="s">
        <v>84</v>
      </c>
      <c r="E1129" t="s">
        <v>85</v>
      </c>
      <c r="F1129" t="s">
        <v>86</v>
      </c>
      <c r="G1129" t="s">
        <v>57</v>
      </c>
      <c r="H1129" t="s">
        <v>91</v>
      </c>
      <c r="I1129" t="s">
        <v>151</v>
      </c>
      <c r="J1129">
        <v>18710.5</v>
      </c>
      <c r="K1129">
        <v>133740</v>
      </c>
      <c r="L1129">
        <v>10007</v>
      </c>
      <c r="M1129">
        <v>5989.2</v>
      </c>
      <c r="N1129">
        <v>43298</v>
      </c>
      <c r="O1129">
        <v>2467</v>
      </c>
      <c r="P1129">
        <v>6581</v>
      </c>
      <c r="Q1129">
        <v>74369</v>
      </c>
      <c r="R1129">
        <v>48</v>
      </c>
      <c r="S1129" t="s">
        <v>97</v>
      </c>
      <c r="T1129" t="s">
        <v>97</v>
      </c>
      <c r="U1129" t="s">
        <v>97</v>
      </c>
      <c r="V1129">
        <v>31280.7</v>
      </c>
      <c r="W1129">
        <v>251407</v>
      </c>
      <c r="X1129">
        <v>12522</v>
      </c>
      <c r="Y1129">
        <f t="shared" si="17"/>
        <v>251407</v>
      </c>
      <c r="Z1129" t="str">
        <f>IF(ISNUMBER(SEARCH("Adjustment",$C1129)),"excluded",IF($H1129="Behind the Meter","excluded",IF(NOT(OR($E1129="Bundled",$E1129="Energy")),"excluded",IF(OR($H1129="Retail Power Marketer",$H1129="Community Choice Aggregator",$E1129="Energy"),"procurement",IF(OR($H1129="Municipal",$H1129="Cooperative",$H1129="Federal",$H1129="State",$H1129="Political Subdivision"),"cost_service",IF($H1129="Investor Owned",IF(AND(COUNTIF(Parameters!$A$4:$A$33,$G1129)&gt;0,COUNTIF(Parameters!$B$4:$B$33,$B1129)=0),"procurement","cost_service"),"unclassified"))))))</f>
        <v>cost_service</v>
      </c>
    </row>
    <row r="1130" spans="1:26" x14ac:dyDescent="0.25">
      <c r="A1130">
        <v>2024</v>
      </c>
      <c r="B1130">
        <v>16629</v>
      </c>
      <c r="C1130" t="s">
        <v>1102</v>
      </c>
      <c r="D1130" t="s">
        <v>84</v>
      </c>
      <c r="E1130" t="s">
        <v>85</v>
      </c>
      <c r="F1130" t="s">
        <v>86</v>
      </c>
      <c r="G1130" t="s">
        <v>112</v>
      </c>
      <c r="H1130" t="s">
        <v>91</v>
      </c>
      <c r="I1130" t="s">
        <v>89</v>
      </c>
      <c r="J1130">
        <v>48380</v>
      </c>
      <c r="K1130">
        <v>385353</v>
      </c>
      <c r="L1130">
        <v>27298</v>
      </c>
      <c r="M1130">
        <v>24381</v>
      </c>
      <c r="N1130">
        <v>179227</v>
      </c>
      <c r="O1130">
        <v>6299</v>
      </c>
      <c r="P1130">
        <v>5673</v>
      </c>
      <c r="Q1130">
        <v>67617</v>
      </c>
      <c r="R1130">
        <v>4</v>
      </c>
      <c r="S1130">
        <v>0</v>
      </c>
      <c r="T1130">
        <v>0</v>
      </c>
      <c r="U1130">
        <v>0</v>
      </c>
      <c r="V1130">
        <v>78434</v>
      </c>
      <c r="W1130">
        <v>632197</v>
      </c>
      <c r="X1130">
        <v>33601</v>
      </c>
      <c r="Y1130">
        <f t="shared" si="17"/>
        <v>632197</v>
      </c>
      <c r="Z1130" t="str">
        <f>IF(ISNUMBER(SEARCH("Adjustment",$C1130)),"excluded",IF($H1130="Behind the Meter","excluded",IF(NOT(OR($E1130="Bundled",$E1130="Energy")),"excluded",IF(OR($H1130="Retail Power Marketer",$H1130="Community Choice Aggregator",$E1130="Energy"),"procurement",IF(OR($H1130="Municipal",$H1130="Cooperative",$H1130="Federal",$H1130="State",$H1130="Political Subdivision"),"cost_service",IF($H1130="Investor Owned",IF(AND(COUNTIF(Parameters!$A$4:$A$33,$G1130)&gt;0,COUNTIF(Parameters!$B$4:$B$33,$B1130)=0),"procurement","cost_service"),"unclassified"))))))</f>
        <v>cost_service</v>
      </c>
    </row>
    <row r="1131" spans="1:26" x14ac:dyDescent="0.25">
      <c r="A1131">
        <v>2024</v>
      </c>
      <c r="B1131">
        <v>16637</v>
      </c>
      <c r="C1131" t="s">
        <v>1103</v>
      </c>
      <c r="D1131" t="s">
        <v>84</v>
      </c>
      <c r="E1131" t="s">
        <v>85</v>
      </c>
      <c r="F1131" t="s">
        <v>86</v>
      </c>
      <c r="G1131" t="s">
        <v>123</v>
      </c>
      <c r="H1131" t="s">
        <v>88</v>
      </c>
      <c r="I1131" t="s">
        <v>113</v>
      </c>
      <c r="J1131">
        <v>2929.7</v>
      </c>
      <c r="K1131">
        <v>26880</v>
      </c>
      <c r="L1131">
        <v>2234</v>
      </c>
      <c r="M1131">
        <v>66768.2</v>
      </c>
      <c r="N1131">
        <v>1489582</v>
      </c>
      <c r="O1131">
        <v>597</v>
      </c>
      <c r="P1131">
        <v>3554</v>
      </c>
      <c r="Q1131">
        <v>53538</v>
      </c>
      <c r="R1131">
        <v>4</v>
      </c>
      <c r="S1131" t="s">
        <v>97</v>
      </c>
      <c r="T1131" t="s">
        <v>97</v>
      </c>
      <c r="U1131" t="s">
        <v>97</v>
      </c>
      <c r="V1131">
        <v>73251.899999999994</v>
      </c>
      <c r="W1131">
        <v>1570000</v>
      </c>
      <c r="X1131">
        <v>2835</v>
      </c>
      <c r="Y1131">
        <f t="shared" si="17"/>
        <v>1570000</v>
      </c>
      <c r="Z1131" t="str">
        <f>IF(ISNUMBER(SEARCH("Adjustment",$C1131)),"excluded",IF($H1131="Behind the Meter","excluded",IF(NOT(OR($E1131="Bundled",$E1131="Energy")),"excluded",IF(OR($H1131="Retail Power Marketer",$H1131="Community Choice Aggregator",$E1131="Energy"),"procurement",IF(OR($H1131="Municipal",$H1131="Cooperative",$H1131="Federal",$H1131="State",$H1131="Political Subdivision"),"cost_service",IF($H1131="Investor Owned",IF(AND(COUNTIF(Parameters!$A$4:$A$33,$G1131)&gt;0,COUNTIF(Parameters!$B$4:$B$33,$B1131)=0),"procurement","cost_service"),"unclassified"))))))</f>
        <v>cost_service</v>
      </c>
    </row>
    <row r="1132" spans="1:26" x14ac:dyDescent="0.25">
      <c r="A1132">
        <v>2024</v>
      </c>
      <c r="B1132">
        <v>16638</v>
      </c>
      <c r="C1132" t="s">
        <v>1104</v>
      </c>
      <c r="D1132" t="s">
        <v>84</v>
      </c>
      <c r="E1132" t="s">
        <v>85</v>
      </c>
      <c r="F1132" t="s">
        <v>86</v>
      </c>
      <c r="G1132" t="s">
        <v>57</v>
      </c>
      <c r="H1132" t="s">
        <v>91</v>
      </c>
      <c r="I1132" t="s">
        <v>151</v>
      </c>
      <c r="J1132">
        <v>66066.2</v>
      </c>
      <c r="K1132">
        <v>466463</v>
      </c>
      <c r="L1132">
        <v>31774</v>
      </c>
      <c r="M1132">
        <v>12533.5</v>
      </c>
      <c r="N1132">
        <v>111002</v>
      </c>
      <c r="O1132">
        <v>1083</v>
      </c>
      <c r="P1132">
        <v>19728.7</v>
      </c>
      <c r="Q1132">
        <v>221040</v>
      </c>
      <c r="R1132">
        <v>6</v>
      </c>
      <c r="S1132" t="s">
        <v>97</v>
      </c>
      <c r="T1132" t="s">
        <v>97</v>
      </c>
      <c r="U1132" t="s">
        <v>97</v>
      </c>
      <c r="V1132">
        <v>98328.4</v>
      </c>
      <c r="W1132">
        <v>798505</v>
      </c>
      <c r="X1132">
        <v>32863</v>
      </c>
      <c r="Y1132">
        <f t="shared" si="17"/>
        <v>798505</v>
      </c>
      <c r="Z1132" t="str">
        <f>IF(ISNUMBER(SEARCH("Adjustment",$C1132)),"excluded",IF($H1132="Behind the Meter","excluded",IF(NOT(OR($E1132="Bundled",$E1132="Energy")),"excluded",IF(OR($H1132="Retail Power Marketer",$H1132="Community Choice Aggregator",$E1132="Energy"),"procurement",IF(OR($H1132="Municipal",$H1132="Cooperative",$H1132="Federal",$H1132="State",$H1132="Political Subdivision"),"cost_service",IF($H1132="Investor Owned",IF(AND(COUNTIF(Parameters!$A$4:$A$33,$G1132)&gt;0,COUNTIF(Parameters!$B$4:$B$33,$B1132)=0),"procurement","cost_service"),"unclassified"))))))</f>
        <v>cost_service</v>
      </c>
    </row>
    <row r="1133" spans="1:26" x14ac:dyDescent="0.25">
      <c r="A1133">
        <v>2024</v>
      </c>
      <c r="B1133">
        <v>16655</v>
      </c>
      <c r="C1133" t="s">
        <v>1105</v>
      </c>
      <c r="D1133" t="s">
        <v>84</v>
      </c>
      <c r="E1133" t="s">
        <v>85</v>
      </c>
      <c r="F1133" t="s">
        <v>86</v>
      </c>
      <c r="G1133" t="s">
        <v>115</v>
      </c>
      <c r="H1133" t="s">
        <v>88</v>
      </c>
      <c r="I1133" t="s">
        <v>116</v>
      </c>
      <c r="J1133">
        <v>43895.9</v>
      </c>
      <c r="K1133">
        <v>260068</v>
      </c>
      <c r="L1133">
        <v>50949</v>
      </c>
      <c r="M1133">
        <v>28715</v>
      </c>
      <c r="N1133">
        <v>130095</v>
      </c>
      <c r="O1133">
        <v>7153</v>
      </c>
      <c r="P1133">
        <v>651648.19999999995</v>
      </c>
      <c r="Q1133">
        <v>4309793</v>
      </c>
      <c r="R1133">
        <v>1286</v>
      </c>
      <c r="S1133">
        <v>218.1</v>
      </c>
      <c r="T1133">
        <v>828</v>
      </c>
      <c r="U1133">
        <v>1</v>
      </c>
      <c r="V1133">
        <v>724477.2</v>
      </c>
      <c r="W1133">
        <v>4700784</v>
      </c>
      <c r="X1133">
        <v>59389</v>
      </c>
      <c r="Y1133">
        <f t="shared" si="17"/>
        <v>4700784</v>
      </c>
      <c r="Z1133" t="str">
        <f>IF(ISNUMBER(SEARCH("Adjustment",$C1133)),"excluded",IF($H1133="Behind the Meter","excluded",IF(NOT(OR($E1133="Bundled",$E1133="Energy")),"excluded",IF(OR($H1133="Retail Power Marketer",$H1133="Community Choice Aggregator",$E1133="Energy"),"procurement",IF(OR($H1133="Municipal",$H1133="Cooperative",$H1133="Federal",$H1133="State",$H1133="Political Subdivision"),"cost_service",IF($H1133="Investor Owned",IF(AND(COUNTIF(Parameters!$A$4:$A$33,$G1133)&gt;0,COUNTIF(Parameters!$B$4:$B$33,$B1133)=0),"procurement","cost_service"),"unclassified"))))))</f>
        <v>cost_service</v>
      </c>
    </row>
    <row r="1134" spans="1:26" x14ac:dyDescent="0.25">
      <c r="A1134">
        <v>2024</v>
      </c>
      <c r="B1134">
        <v>16674</v>
      </c>
      <c r="C1134" t="s">
        <v>1106</v>
      </c>
      <c r="D1134" t="s">
        <v>84</v>
      </c>
      <c r="E1134" t="s">
        <v>85</v>
      </c>
      <c r="F1134" t="s">
        <v>86</v>
      </c>
      <c r="G1134" t="s">
        <v>123</v>
      </c>
      <c r="H1134" t="s">
        <v>91</v>
      </c>
      <c r="I1134" t="s">
        <v>113</v>
      </c>
      <c r="J1134">
        <v>104060.1</v>
      </c>
      <c r="K1134">
        <v>744068</v>
      </c>
      <c r="L1134">
        <v>54115</v>
      </c>
      <c r="M1134">
        <v>19974.099999999999</v>
      </c>
      <c r="N1134">
        <v>131221</v>
      </c>
      <c r="O1134">
        <v>5397</v>
      </c>
      <c r="P1134">
        <v>14410.3</v>
      </c>
      <c r="Q1134">
        <v>284208</v>
      </c>
      <c r="R1134">
        <v>37</v>
      </c>
      <c r="S1134" t="s">
        <v>97</v>
      </c>
      <c r="T1134" t="s">
        <v>97</v>
      </c>
      <c r="U1134" t="s">
        <v>97</v>
      </c>
      <c r="V1134">
        <v>138444.5</v>
      </c>
      <c r="W1134">
        <v>1159497</v>
      </c>
      <c r="X1134">
        <v>59549</v>
      </c>
      <c r="Y1134">
        <f t="shared" si="17"/>
        <v>1159497</v>
      </c>
      <c r="Z1134" t="str">
        <f>IF(ISNUMBER(SEARCH("Adjustment",$C1134)),"excluded",IF($H1134="Behind the Meter","excluded",IF(NOT(OR($E1134="Bundled",$E1134="Energy")),"excluded",IF(OR($H1134="Retail Power Marketer",$H1134="Community Choice Aggregator",$E1134="Energy"),"procurement",IF(OR($H1134="Municipal",$H1134="Cooperative",$H1134="Federal",$H1134="State",$H1134="Political Subdivision"),"cost_service",IF($H1134="Investor Owned",IF(AND(COUNTIF(Parameters!$A$4:$A$33,$G1134)&gt;0,COUNTIF(Parameters!$B$4:$B$33,$B1134)=0),"procurement","cost_service"),"unclassified"))))))</f>
        <v>cost_service</v>
      </c>
    </row>
    <row r="1135" spans="1:26" x14ac:dyDescent="0.25">
      <c r="A1135">
        <v>2024</v>
      </c>
      <c r="B1135">
        <v>16740</v>
      </c>
      <c r="C1135" t="s">
        <v>1107</v>
      </c>
      <c r="D1135" t="s">
        <v>84</v>
      </c>
      <c r="E1135" t="s">
        <v>85</v>
      </c>
      <c r="F1135" t="s">
        <v>86</v>
      </c>
      <c r="G1135" t="s">
        <v>46</v>
      </c>
      <c r="H1135" t="s">
        <v>91</v>
      </c>
      <c r="I1135" t="s">
        <v>96</v>
      </c>
      <c r="J1135">
        <v>18.5</v>
      </c>
      <c r="K1135">
        <v>139</v>
      </c>
      <c r="L1135">
        <v>12</v>
      </c>
      <c r="M1135" t="s">
        <v>97</v>
      </c>
      <c r="N1135" t="s">
        <v>97</v>
      </c>
      <c r="O1135" t="s">
        <v>97</v>
      </c>
      <c r="P1135" t="s">
        <v>97</v>
      </c>
      <c r="Q1135" t="s">
        <v>97</v>
      </c>
      <c r="R1135" t="s">
        <v>97</v>
      </c>
      <c r="S1135" t="s">
        <v>97</v>
      </c>
      <c r="T1135" t="s">
        <v>97</v>
      </c>
      <c r="U1135" t="s">
        <v>97</v>
      </c>
      <c r="V1135">
        <v>18.5</v>
      </c>
      <c r="W1135">
        <v>139</v>
      </c>
      <c r="X1135">
        <v>12</v>
      </c>
      <c r="Y1135">
        <f t="shared" si="17"/>
        <v>139</v>
      </c>
      <c r="Z1135" t="str">
        <f>IF(ISNUMBER(SEARCH("Adjustment",$C1135)),"excluded",IF($H1135="Behind the Meter","excluded",IF(NOT(OR($E1135="Bundled",$E1135="Energy")),"excluded",IF(OR($H1135="Retail Power Marketer",$H1135="Community Choice Aggregator",$E1135="Energy"),"procurement",IF(OR($H1135="Municipal",$H1135="Cooperative",$H1135="Federal",$H1135="State",$H1135="Political Subdivision"),"cost_service",IF($H1135="Investor Owned",IF(AND(COUNTIF(Parameters!$A$4:$A$33,$G1135)&gt;0,COUNTIF(Parameters!$B$4:$B$33,$B1135)=0),"procurement","cost_service"),"unclassified"))))))</f>
        <v>cost_service</v>
      </c>
    </row>
    <row r="1136" spans="1:26" x14ac:dyDescent="0.25">
      <c r="A1136">
        <v>2024</v>
      </c>
      <c r="B1136">
        <v>16740</v>
      </c>
      <c r="C1136" t="s">
        <v>1107</v>
      </c>
      <c r="D1136" t="s">
        <v>84</v>
      </c>
      <c r="E1136" t="s">
        <v>85</v>
      </c>
      <c r="F1136" t="s">
        <v>86</v>
      </c>
      <c r="G1136" t="s">
        <v>95</v>
      </c>
      <c r="H1136" t="s">
        <v>91</v>
      </c>
      <c r="I1136" t="s">
        <v>96</v>
      </c>
      <c r="J1136">
        <v>27778.1</v>
      </c>
      <c r="K1136">
        <v>182361</v>
      </c>
      <c r="L1136">
        <v>13597</v>
      </c>
      <c r="M1136">
        <v>223.3</v>
      </c>
      <c r="N1136">
        <v>1258</v>
      </c>
      <c r="O1136">
        <v>169</v>
      </c>
      <c r="P1136">
        <v>5155.3</v>
      </c>
      <c r="Q1136">
        <v>42479</v>
      </c>
      <c r="R1136">
        <v>843</v>
      </c>
      <c r="S1136" t="s">
        <v>97</v>
      </c>
      <c r="T1136" t="s">
        <v>97</v>
      </c>
      <c r="U1136" t="s">
        <v>97</v>
      </c>
      <c r="V1136">
        <v>33156.699999999997</v>
      </c>
      <c r="W1136">
        <v>226098</v>
      </c>
      <c r="X1136">
        <v>14609</v>
      </c>
      <c r="Y1136">
        <f t="shared" si="17"/>
        <v>226098</v>
      </c>
      <c r="Z1136" t="str">
        <f>IF(ISNUMBER(SEARCH("Adjustment",$C1136)),"excluded",IF($H1136="Behind the Meter","excluded",IF(NOT(OR($E1136="Bundled",$E1136="Energy")),"excluded",IF(OR($H1136="Retail Power Marketer",$H1136="Community Choice Aggregator",$E1136="Energy"),"procurement",IF(OR($H1136="Municipal",$H1136="Cooperative",$H1136="Federal",$H1136="State",$H1136="Political Subdivision"),"cost_service",IF($H1136="Investor Owned",IF(AND(COUNTIF(Parameters!$A$4:$A$33,$G1136)&gt;0,COUNTIF(Parameters!$B$4:$B$33,$B1136)=0),"procurement","cost_service"),"unclassified"))))))</f>
        <v>cost_service</v>
      </c>
    </row>
    <row r="1137" spans="1:26" x14ac:dyDescent="0.25">
      <c r="A1137">
        <v>2024</v>
      </c>
      <c r="B1137">
        <v>16751</v>
      </c>
      <c r="C1137" t="s">
        <v>1108</v>
      </c>
      <c r="D1137" t="s">
        <v>84</v>
      </c>
      <c r="E1137" t="s">
        <v>85</v>
      </c>
      <c r="F1137" t="s">
        <v>86</v>
      </c>
      <c r="G1137" t="s">
        <v>226</v>
      </c>
      <c r="H1137" t="s">
        <v>91</v>
      </c>
      <c r="I1137" t="s">
        <v>227</v>
      </c>
      <c r="J1137">
        <v>37775.1</v>
      </c>
      <c r="K1137">
        <v>302838</v>
      </c>
      <c r="L1137">
        <v>22561</v>
      </c>
      <c r="M1137">
        <v>7657.1</v>
      </c>
      <c r="N1137">
        <v>72380</v>
      </c>
      <c r="O1137">
        <v>1947</v>
      </c>
      <c r="P1137">
        <v>2560.5</v>
      </c>
      <c r="Q1137">
        <v>26377</v>
      </c>
      <c r="R1137">
        <v>13</v>
      </c>
      <c r="S1137" t="s">
        <v>97</v>
      </c>
      <c r="T1137" t="s">
        <v>97</v>
      </c>
      <c r="U1137" t="s">
        <v>97</v>
      </c>
      <c r="V1137">
        <v>47992.7</v>
      </c>
      <c r="W1137">
        <v>401595</v>
      </c>
      <c r="X1137">
        <v>24521</v>
      </c>
      <c r="Y1137">
        <f t="shared" si="17"/>
        <v>401595</v>
      </c>
      <c r="Z1137" t="str">
        <f>IF(ISNUMBER(SEARCH("Adjustment",$C1137)),"excluded",IF($H1137="Behind the Meter","excluded",IF(NOT(OR($E1137="Bundled",$E1137="Energy")),"excluded",IF(OR($H1137="Retail Power Marketer",$H1137="Community Choice Aggregator",$E1137="Energy"),"procurement",IF(OR($H1137="Municipal",$H1137="Cooperative",$H1137="Federal",$H1137="State",$H1137="Political Subdivision"),"cost_service",IF($H1137="Investor Owned",IF(AND(COUNTIF(Parameters!$A$4:$A$33,$G1137)&gt;0,COUNTIF(Parameters!$B$4:$B$33,$B1137)=0),"procurement","cost_service"),"unclassified"))))))</f>
        <v>cost_service</v>
      </c>
    </row>
    <row r="1138" spans="1:26" x14ac:dyDescent="0.25">
      <c r="A1138">
        <v>2024</v>
      </c>
      <c r="B1138">
        <v>16805</v>
      </c>
      <c r="C1138" t="s">
        <v>1109</v>
      </c>
      <c r="D1138" t="s">
        <v>84</v>
      </c>
      <c r="E1138" t="s">
        <v>85</v>
      </c>
      <c r="F1138" t="s">
        <v>86</v>
      </c>
      <c r="G1138" t="s">
        <v>226</v>
      </c>
      <c r="H1138" t="s">
        <v>91</v>
      </c>
      <c r="I1138" t="s">
        <v>227</v>
      </c>
      <c r="J1138">
        <v>22140.400000000001</v>
      </c>
      <c r="K1138">
        <v>173149</v>
      </c>
      <c r="L1138">
        <v>10783</v>
      </c>
      <c r="M1138">
        <v>15002.6</v>
      </c>
      <c r="N1138">
        <v>87105</v>
      </c>
      <c r="O1138">
        <v>5473</v>
      </c>
      <c r="P1138">
        <v>6726.9</v>
      </c>
      <c r="Q1138">
        <v>91488</v>
      </c>
      <c r="R1138">
        <v>10</v>
      </c>
      <c r="S1138" t="s">
        <v>97</v>
      </c>
      <c r="T1138" t="s">
        <v>97</v>
      </c>
      <c r="U1138" t="s">
        <v>97</v>
      </c>
      <c r="V1138">
        <v>43869.9</v>
      </c>
      <c r="W1138">
        <v>351742</v>
      </c>
      <c r="X1138">
        <v>16266</v>
      </c>
      <c r="Y1138">
        <f t="shared" si="17"/>
        <v>351742</v>
      </c>
      <c r="Z1138" t="str">
        <f>IF(ISNUMBER(SEARCH("Adjustment",$C1138)),"excluded",IF($H1138="Behind the Meter","excluded",IF(NOT(OR($E1138="Bundled",$E1138="Energy")),"excluded",IF(OR($H1138="Retail Power Marketer",$H1138="Community Choice Aggregator",$E1138="Energy"),"procurement",IF(OR($H1138="Municipal",$H1138="Cooperative",$H1138="Federal",$H1138="State",$H1138="Political Subdivision"),"cost_service",IF($H1138="Investor Owned",IF(AND(COUNTIF(Parameters!$A$4:$A$33,$G1138)&gt;0,COUNTIF(Parameters!$B$4:$B$33,$B1138)=0),"procurement","cost_service"),"unclassified"))))))</f>
        <v>cost_service</v>
      </c>
    </row>
    <row r="1139" spans="1:26" x14ac:dyDescent="0.25">
      <c r="A1139">
        <v>2024</v>
      </c>
      <c r="B1139">
        <v>16829</v>
      </c>
      <c r="C1139" t="s">
        <v>1110</v>
      </c>
      <c r="D1139" t="s">
        <v>84</v>
      </c>
      <c r="E1139" t="s">
        <v>85</v>
      </c>
      <c r="F1139" t="s">
        <v>86</v>
      </c>
      <c r="G1139" t="s">
        <v>112</v>
      </c>
      <c r="H1139" t="s">
        <v>88</v>
      </c>
      <c r="I1139" t="s">
        <v>89</v>
      </c>
      <c r="J1139">
        <v>12835</v>
      </c>
      <c r="K1139">
        <v>99747</v>
      </c>
      <c r="L1139">
        <v>7090</v>
      </c>
      <c r="M1139">
        <v>14370</v>
      </c>
      <c r="N1139">
        <v>120941</v>
      </c>
      <c r="O1139">
        <v>1639</v>
      </c>
      <c r="P1139">
        <v>6671</v>
      </c>
      <c r="Q1139">
        <v>96370</v>
      </c>
      <c r="R1139">
        <v>8</v>
      </c>
      <c r="S1139">
        <v>0</v>
      </c>
      <c r="T1139">
        <v>0</v>
      </c>
      <c r="U1139">
        <v>0</v>
      </c>
      <c r="V1139">
        <v>33876</v>
      </c>
      <c r="W1139">
        <v>317058</v>
      </c>
      <c r="X1139">
        <v>8737</v>
      </c>
      <c r="Y1139">
        <f t="shared" si="17"/>
        <v>317058</v>
      </c>
      <c r="Z1139" t="str">
        <f>IF(ISNUMBER(SEARCH("Adjustment",$C1139)),"excluded",IF($H1139="Behind the Meter","excluded",IF(NOT(OR($E1139="Bundled",$E1139="Energy")),"excluded",IF(OR($H1139="Retail Power Marketer",$H1139="Community Choice Aggregator",$E1139="Energy"),"procurement",IF(OR($H1139="Municipal",$H1139="Cooperative",$H1139="Federal",$H1139="State",$H1139="Political Subdivision"),"cost_service",IF($H1139="Investor Owned",IF(AND(COUNTIF(Parameters!$A$4:$A$33,$G1139)&gt;0,COUNTIF(Parameters!$B$4:$B$33,$B1139)=0),"procurement","cost_service"),"unclassified"))))))</f>
        <v>cost_service</v>
      </c>
    </row>
    <row r="1140" spans="1:26" x14ac:dyDescent="0.25">
      <c r="A1140">
        <v>2024</v>
      </c>
      <c r="B1140">
        <v>16840</v>
      </c>
      <c r="C1140" t="s">
        <v>1111</v>
      </c>
      <c r="D1140" t="s">
        <v>99</v>
      </c>
      <c r="E1140" t="s">
        <v>100</v>
      </c>
      <c r="F1140" t="s">
        <v>86</v>
      </c>
      <c r="G1140" t="s">
        <v>115</v>
      </c>
      <c r="H1140" t="s">
        <v>101</v>
      </c>
      <c r="I1140" t="s">
        <v>116</v>
      </c>
      <c r="J1140">
        <v>0</v>
      </c>
      <c r="K1140">
        <v>0</v>
      </c>
      <c r="L1140">
        <v>0</v>
      </c>
      <c r="M1140">
        <v>700426.7</v>
      </c>
      <c r="N1140">
        <v>6114896</v>
      </c>
      <c r="O1140">
        <v>155</v>
      </c>
      <c r="P1140">
        <v>124470.6</v>
      </c>
      <c r="Q1140">
        <v>1166918</v>
      </c>
      <c r="R1140">
        <v>26</v>
      </c>
      <c r="S1140">
        <v>0</v>
      </c>
      <c r="T1140">
        <v>0</v>
      </c>
      <c r="U1140">
        <v>0</v>
      </c>
      <c r="V1140">
        <v>824897.3</v>
      </c>
      <c r="W1140">
        <v>7281814</v>
      </c>
      <c r="X1140">
        <v>181</v>
      </c>
      <c r="Y1140">
        <f t="shared" si="17"/>
        <v>7281814</v>
      </c>
      <c r="Z1140" t="str">
        <f>IF(ISNUMBER(SEARCH("Adjustment",$C1140)),"excluded",IF($H1140="Behind the Meter","excluded",IF(NOT(OR($E1140="Bundled",$E1140="Energy")),"excluded",IF(OR($H1140="Retail Power Marketer",$H1140="Community Choice Aggregator",$E1140="Energy"),"procurement",IF(OR($H1140="Municipal",$H1140="Cooperative",$H1140="Federal",$H1140="State",$H1140="Political Subdivision"),"cost_service",IF($H1140="Investor Owned",IF(AND(COUNTIF(Parameters!$A$4:$A$33,$G1140)&gt;0,COUNTIF(Parameters!$B$4:$B$33,$B1140)=0),"procurement","cost_service"),"unclassified"))))))</f>
        <v>procurement</v>
      </c>
    </row>
    <row r="1141" spans="1:26" x14ac:dyDescent="0.25">
      <c r="A1141">
        <v>2024</v>
      </c>
      <c r="B1141">
        <v>16840</v>
      </c>
      <c r="C1141" t="s">
        <v>1111</v>
      </c>
      <c r="D1141" t="s">
        <v>99</v>
      </c>
      <c r="E1141" t="s">
        <v>100</v>
      </c>
      <c r="F1141" t="s">
        <v>86</v>
      </c>
      <c r="G1141" t="s">
        <v>40</v>
      </c>
      <c r="H1141" t="s">
        <v>101</v>
      </c>
      <c r="I1141" t="s">
        <v>189</v>
      </c>
      <c r="J1141">
        <v>0</v>
      </c>
      <c r="K1141">
        <v>0</v>
      </c>
      <c r="L1141">
        <v>0</v>
      </c>
      <c r="M1141">
        <v>55762.3</v>
      </c>
      <c r="N1141">
        <v>656135</v>
      </c>
      <c r="O1141">
        <v>31</v>
      </c>
      <c r="P1141">
        <v>7706.2</v>
      </c>
      <c r="Q1141">
        <v>118010</v>
      </c>
      <c r="R1141">
        <v>6</v>
      </c>
      <c r="S1141">
        <v>0</v>
      </c>
      <c r="T1141">
        <v>0</v>
      </c>
      <c r="U1141">
        <v>0</v>
      </c>
      <c r="V1141">
        <v>63468.5</v>
      </c>
      <c r="W1141">
        <v>774145</v>
      </c>
      <c r="X1141">
        <v>37</v>
      </c>
      <c r="Y1141">
        <f t="shared" si="17"/>
        <v>774145</v>
      </c>
      <c r="Z1141" t="str">
        <f>IF(ISNUMBER(SEARCH("Adjustment",$C1141)),"excluded",IF($H1141="Behind the Meter","excluded",IF(NOT(OR($E1141="Bundled",$E1141="Energy")),"excluded",IF(OR($H1141="Retail Power Marketer",$H1141="Community Choice Aggregator",$E1141="Energy"),"procurement",IF(OR($H1141="Municipal",$H1141="Cooperative",$H1141="Federal",$H1141="State",$H1141="Political Subdivision"),"cost_service",IF($H1141="Investor Owned",IF(AND(COUNTIF(Parameters!$A$4:$A$33,$G1141)&gt;0,COUNTIF(Parameters!$B$4:$B$33,$B1141)=0),"procurement","cost_service"),"unclassified"))))))</f>
        <v>procurement</v>
      </c>
    </row>
    <row r="1142" spans="1:26" x14ac:dyDescent="0.25">
      <c r="A1142">
        <v>2024</v>
      </c>
      <c r="B1142">
        <v>16840</v>
      </c>
      <c r="C1142" t="s">
        <v>1111</v>
      </c>
      <c r="D1142" t="s">
        <v>99</v>
      </c>
      <c r="E1142" t="s">
        <v>100</v>
      </c>
      <c r="F1142" t="s">
        <v>86</v>
      </c>
      <c r="G1142" t="s">
        <v>42</v>
      </c>
      <c r="H1142" t="s">
        <v>101</v>
      </c>
      <c r="I1142" t="s">
        <v>92</v>
      </c>
      <c r="J1142">
        <v>0</v>
      </c>
      <c r="K1142">
        <v>0</v>
      </c>
      <c r="L1142">
        <v>0</v>
      </c>
      <c r="M1142">
        <v>23819.200000000001</v>
      </c>
      <c r="N1142">
        <v>232066</v>
      </c>
      <c r="O1142">
        <v>46</v>
      </c>
      <c r="P1142">
        <v>61.4</v>
      </c>
      <c r="Q1142">
        <v>727</v>
      </c>
      <c r="R1142">
        <v>1</v>
      </c>
      <c r="S1142">
        <v>0</v>
      </c>
      <c r="T1142">
        <v>0</v>
      </c>
      <c r="U1142">
        <v>0</v>
      </c>
      <c r="V1142">
        <v>23880.6</v>
      </c>
      <c r="W1142">
        <v>232793</v>
      </c>
      <c r="X1142">
        <v>47</v>
      </c>
      <c r="Y1142">
        <f t="shared" si="17"/>
        <v>232793</v>
      </c>
      <c r="Z1142" t="str">
        <f>IF(ISNUMBER(SEARCH("Adjustment",$C1142)),"excluded",IF($H1142="Behind the Meter","excluded",IF(NOT(OR($E1142="Bundled",$E1142="Energy")),"excluded",IF(OR($H1142="Retail Power Marketer",$H1142="Community Choice Aggregator",$E1142="Energy"),"procurement",IF(OR($H1142="Municipal",$H1142="Cooperative",$H1142="Federal",$H1142="State",$H1142="Political Subdivision"),"cost_service",IF($H1142="Investor Owned",IF(AND(COUNTIF(Parameters!$A$4:$A$33,$G1142)&gt;0,COUNTIF(Parameters!$B$4:$B$33,$B1142)=0),"procurement","cost_service"),"unclassified"))))))</f>
        <v>procurement</v>
      </c>
    </row>
    <row r="1143" spans="1:26" x14ac:dyDescent="0.25">
      <c r="A1143">
        <v>2024</v>
      </c>
      <c r="B1143">
        <v>16840</v>
      </c>
      <c r="C1143" t="s">
        <v>1111</v>
      </c>
      <c r="D1143" t="s">
        <v>99</v>
      </c>
      <c r="E1143" t="s">
        <v>100</v>
      </c>
      <c r="F1143" t="s">
        <v>86</v>
      </c>
      <c r="G1143" t="s">
        <v>44</v>
      </c>
      <c r="H1143" t="s">
        <v>101</v>
      </c>
      <c r="I1143" t="s">
        <v>92</v>
      </c>
      <c r="J1143">
        <v>0</v>
      </c>
      <c r="K1143">
        <v>0</v>
      </c>
      <c r="L1143">
        <v>0</v>
      </c>
      <c r="M1143">
        <v>10643.4</v>
      </c>
      <c r="N1143">
        <v>157969</v>
      </c>
      <c r="O1143">
        <v>14</v>
      </c>
      <c r="P1143">
        <v>0</v>
      </c>
      <c r="Q1143">
        <v>0</v>
      </c>
      <c r="R1143">
        <v>0</v>
      </c>
      <c r="S1143">
        <v>0</v>
      </c>
      <c r="T1143">
        <v>0</v>
      </c>
      <c r="U1143">
        <v>0</v>
      </c>
      <c r="V1143">
        <v>10643.4</v>
      </c>
      <c r="W1143">
        <v>157969</v>
      </c>
      <c r="X1143">
        <v>14</v>
      </c>
      <c r="Y1143">
        <f t="shared" si="17"/>
        <v>157969</v>
      </c>
      <c r="Z1143" t="str">
        <f>IF(ISNUMBER(SEARCH("Adjustment",$C1143)),"excluded",IF($H1143="Behind the Meter","excluded",IF(NOT(OR($E1143="Bundled",$E1143="Energy")),"excluded",IF(OR($H1143="Retail Power Marketer",$H1143="Community Choice Aggregator",$E1143="Energy"),"procurement",IF(OR($H1143="Municipal",$H1143="Cooperative",$H1143="Federal",$H1143="State",$H1143="Political Subdivision"),"cost_service",IF($H1143="Investor Owned",IF(AND(COUNTIF(Parameters!$A$4:$A$33,$G1143)&gt;0,COUNTIF(Parameters!$B$4:$B$33,$B1143)=0),"procurement","cost_service"),"unclassified"))))))</f>
        <v>procurement</v>
      </c>
    </row>
    <row r="1144" spans="1:26" x14ac:dyDescent="0.25">
      <c r="A1144">
        <v>2024</v>
      </c>
      <c r="B1144">
        <v>16840</v>
      </c>
      <c r="C1144" t="s">
        <v>1111</v>
      </c>
      <c r="D1144" t="s">
        <v>99</v>
      </c>
      <c r="E1144" t="s">
        <v>100</v>
      </c>
      <c r="F1144" t="s">
        <v>86</v>
      </c>
      <c r="G1144" t="s">
        <v>46</v>
      </c>
      <c r="H1144" t="s">
        <v>101</v>
      </c>
      <c r="I1144" t="s">
        <v>96</v>
      </c>
      <c r="J1144">
        <v>0</v>
      </c>
      <c r="K1144">
        <v>0</v>
      </c>
      <c r="L1144">
        <v>0</v>
      </c>
      <c r="M1144">
        <v>300772.59999999998</v>
      </c>
      <c r="N1144">
        <v>6325920</v>
      </c>
      <c r="O1144">
        <v>123</v>
      </c>
      <c r="P1144">
        <v>13603</v>
      </c>
      <c r="Q1144">
        <v>285308</v>
      </c>
      <c r="R1144">
        <v>13</v>
      </c>
      <c r="S1144">
        <v>0</v>
      </c>
      <c r="T1144">
        <v>0</v>
      </c>
      <c r="U1144">
        <v>0</v>
      </c>
      <c r="V1144">
        <v>314375.59999999998</v>
      </c>
      <c r="W1144">
        <v>6611228</v>
      </c>
      <c r="X1144">
        <v>136</v>
      </c>
      <c r="Y1144">
        <f t="shared" si="17"/>
        <v>6611228</v>
      </c>
      <c r="Z1144" t="str">
        <f>IF(ISNUMBER(SEARCH("Adjustment",$C1144)),"excluded",IF($H1144="Behind the Meter","excluded",IF(NOT(OR($E1144="Bundled",$E1144="Energy")),"excluded",IF(OR($H1144="Retail Power Marketer",$H1144="Community Choice Aggregator",$E1144="Energy"),"procurement",IF(OR($H1144="Municipal",$H1144="Cooperative",$H1144="Federal",$H1144="State",$H1144="Political Subdivision"),"cost_service",IF($H1144="Investor Owned",IF(AND(COUNTIF(Parameters!$A$4:$A$33,$G1144)&gt;0,COUNTIF(Parameters!$B$4:$B$33,$B1144)=0),"procurement","cost_service"),"unclassified"))))))</f>
        <v>procurement</v>
      </c>
    </row>
    <row r="1145" spans="1:26" x14ac:dyDescent="0.25">
      <c r="A1145">
        <v>2024</v>
      </c>
      <c r="B1145">
        <v>16840</v>
      </c>
      <c r="C1145" t="s">
        <v>1111</v>
      </c>
      <c r="D1145" t="s">
        <v>99</v>
      </c>
      <c r="E1145" t="s">
        <v>100</v>
      </c>
      <c r="F1145" t="s">
        <v>86</v>
      </c>
      <c r="G1145" t="s">
        <v>48</v>
      </c>
      <c r="H1145" t="s">
        <v>101</v>
      </c>
      <c r="I1145" t="s">
        <v>189</v>
      </c>
      <c r="J1145">
        <v>0</v>
      </c>
      <c r="K1145">
        <v>0</v>
      </c>
      <c r="L1145">
        <v>0</v>
      </c>
      <c r="M1145">
        <v>123332.9</v>
      </c>
      <c r="N1145">
        <v>1237268</v>
      </c>
      <c r="O1145">
        <v>47</v>
      </c>
      <c r="P1145">
        <v>7524</v>
      </c>
      <c r="Q1145">
        <v>84532</v>
      </c>
      <c r="R1145">
        <v>7</v>
      </c>
      <c r="S1145">
        <v>0</v>
      </c>
      <c r="T1145">
        <v>0</v>
      </c>
      <c r="U1145">
        <v>0</v>
      </c>
      <c r="V1145">
        <v>130856.9</v>
      </c>
      <c r="W1145">
        <v>1321800</v>
      </c>
      <c r="X1145">
        <v>54</v>
      </c>
      <c r="Y1145">
        <f t="shared" si="17"/>
        <v>1321800</v>
      </c>
      <c r="Z1145" t="str">
        <f>IF(ISNUMBER(SEARCH("Adjustment",$C1145)),"excluded",IF($H1145="Behind the Meter","excluded",IF(NOT(OR($E1145="Bundled",$E1145="Energy")),"excluded",IF(OR($H1145="Retail Power Marketer",$H1145="Community Choice Aggregator",$E1145="Energy"),"procurement",IF(OR($H1145="Municipal",$H1145="Cooperative",$H1145="Federal",$H1145="State",$H1145="Political Subdivision"),"cost_service",IF($H1145="Investor Owned",IF(AND(COUNTIF(Parameters!$A$4:$A$33,$G1145)&gt;0,COUNTIF(Parameters!$B$4:$B$33,$B1145)=0),"procurement","cost_service"),"unclassified"))))))</f>
        <v>procurement</v>
      </c>
    </row>
    <row r="1146" spans="1:26" x14ac:dyDescent="0.25">
      <c r="A1146">
        <v>2024</v>
      </c>
      <c r="B1146">
        <v>16840</v>
      </c>
      <c r="C1146" t="s">
        <v>1111</v>
      </c>
      <c r="D1146" t="s">
        <v>99</v>
      </c>
      <c r="E1146" t="s">
        <v>100</v>
      </c>
      <c r="F1146" t="s">
        <v>86</v>
      </c>
      <c r="G1146" t="s">
        <v>49</v>
      </c>
      <c r="H1146" t="s">
        <v>101</v>
      </c>
      <c r="I1146" t="s">
        <v>92</v>
      </c>
      <c r="J1146">
        <v>0</v>
      </c>
      <c r="K1146">
        <v>0</v>
      </c>
      <c r="L1146">
        <v>0</v>
      </c>
      <c r="M1146">
        <v>55375.8</v>
      </c>
      <c r="N1146">
        <v>825079</v>
      </c>
      <c r="O1146">
        <v>41</v>
      </c>
      <c r="P1146">
        <v>534.20000000000005</v>
      </c>
      <c r="Q1146">
        <v>9013</v>
      </c>
      <c r="R1146">
        <v>2</v>
      </c>
      <c r="S1146">
        <v>0</v>
      </c>
      <c r="T1146">
        <v>0</v>
      </c>
      <c r="U1146">
        <v>0</v>
      </c>
      <c r="V1146">
        <v>55910</v>
      </c>
      <c r="W1146">
        <v>834092</v>
      </c>
      <c r="X1146">
        <v>43</v>
      </c>
      <c r="Y1146">
        <f t="shared" si="17"/>
        <v>834092</v>
      </c>
      <c r="Z1146" t="str">
        <f>IF(ISNUMBER(SEARCH("Adjustment",$C1146)),"excluded",IF($H1146="Behind the Meter","excluded",IF(NOT(OR($E1146="Bundled",$E1146="Energy")),"excluded",IF(OR($H1146="Retail Power Marketer",$H1146="Community Choice Aggregator",$E1146="Energy"),"procurement",IF(OR($H1146="Municipal",$H1146="Cooperative",$H1146="Federal",$H1146="State",$H1146="Political Subdivision"),"cost_service",IF($H1146="Investor Owned",IF(AND(COUNTIF(Parameters!$A$4:$A$33,$G1146)&gt;0,COUNTIF(Parameters!$B$4:$B$33,$B1146)=0),"procurement","cost_service"),"unclassified"))))))</f>
        <v>procurement</v>
      </c>
    </row>
    <row r="1147" spans="1:26" x14ac:dyDescent="0.25">
      <c r="A1147">
        <v>2024</v>
      </c>
      <c r="B1147">
        <v>16840</v>
      </c>
      <c r="C1147" t="s">
        <v>1111</v>
      </c>
      <c r="D1147" t="s">
        <v>99</v>
      </c>
      <c r="E1147" t="s">
        <v>100</v>
      </c>
      <c r="F1147" t="s">
        <v>86</v>
      </c>
      <c r="G1147" t="s">
        <v>50</v>
      </c>
      <c r="H1147" t="s">
        <v>101</v>
      </c>
      <c r="I1147" t="s">
        <v>189</v>
      </c>
      <c r="J1147">
        <v>0</v>
      </c>
      <c r="K1147">
        <v>0</v>
      </c>
      <c r="L1147">
        <v>0</v>
      </c>
      <c r="M1147">
        <v>15941.7</v>
      </c>
      <c r="N1147">
        <v>187152</v>
      </c>
      <c r="O1147">
        <v>12</v>
      </c>
      <c r="P1147">
        <v>8158.6</v>
      </c>
      <c r="Q1147">
        <v>143148</v>
      </c>
      <c r="R1147">
        <v>1</v>
      </c>
      <c r="S1147">
        <v>0</v>
      </c>
      <c r="T1147">
        <v>0</v>
      </c>
      <c r="U1147">
        <v>0</v>
      </c>
      <c r="V1147">
        <v>24100.3</v>
      </c>
      <c r="W1147">
        <v>330300</v>
      </c>
      <c r="X1147">
        <v>13</v>
      </c>
      <c r="Y1147">
        <f t="shared" si="17"/>
        <v>330300</v>
      </c>
      <c r="Z1147" t="str">
        <f>IF(ISNUMBER(SEARCH("Adjustment",$C1147)),"excluded",IF($H1147="Behind the Meter","excluded",IF(NOT(OR($E1147="Bundled",$E1147="Energy")),"excluded",IF(OR($H1147="Retail Power Marketer",$H1147="Community Choice Aggregator",$E1147="Energy"),"procurement",IF(OR($H1147="Municipal",$H1147="Cooperative",$H1147="Federal",$H1147="State",$H1147="Political Subdivision"),"cost_service",IF($H1147="Investor Owned",IF(AND(COUNTIF(Parameters!$A$4:$A$33,$G1147)&gt;0,COUNTIF(Parameters!$B$4:$B$33,$B1147)=0),"procurement","cost_service"),"unclassified"))))))</f>
        <v>procurement</v>
      </c>
    </row>
    <row r="1148" spans="1:26" x14ac:dyDescent="0.25">
      <c r="A1148">
        <v>2024</v>
      </c>
      <c r="B1148">
        <v>16840</v>
      </c>
      <c r="C1148" t="s">
        <v>1111</v>
      </c>
      <c r="D1148" t="s">
        <v>99</v>
      </c>
      <c r="E1148" t="s">
        <v>100</v>
      </c>
      <c r="F1148" t="s">
        <v>86</v>
      </c>
      <c r="G1148" t="s">
        <v>140</v>
      </c>
      <c r="H1148" t="s">
        <v>101</v>
      </c>
      <c r="I1148" t="s">
        <v>96</v>
      </c>
      <c r="J1148">
        <v>0</v>
      </c>
      <c r="K1148">
        <v>0</v>
      </c>
      <c r="L1148">
        <v>0</v>
      </c>
      <c r="M1148">
        <v>52715.9</v>
      </c>
      <c r="N1148">
        <v>797918</v>
      </c>
      <c r="O1148">
        <v>32</v>
      </c>
      <c r="P1148">
        <v>9075.6</v>
      </c>
      <c r="Q1148">
        <v>147644</v>
      </c>
      <c r="R1148">
        <v>8</v>
      </c>
      <c r="S1148">
        <v>0</v>
      </c>
      <c r="T1148">
        <v>0</v>
      </c>
      <c r="U1148">
        <v>0</v>
      </c>
      <c r="V1148">
        <v>61791.5</v>
      </c>
      <c r="W1148">
        <v>945562</v>
      </c>
      <c r="X1148">
        <v>40</v>
      </c>
      <c r="Y1148">
        <f t="shared" si="17"/>
        <v>945562</v>
      </c>
      <c r="Z1148" t="str">
        <f>IF(ISNUMBER(SEARCH("Adjustment",$C1148)),"excluded",IF($H1148="Behind the Meter","excluded",IF(NOT(OR($E1148="Bundled",$E1148="Energy")),"excluded",IF(OR($H1148="Retail Power Marketer",$H1148="Community Choice Aggregator",$E1148="Energy"),"procurement",IF(OR($H1148="Municipal",$H1148="Cooperative",$H1148="Federal",$H1148="State",$H1148="Political Subdivision"),"cost_service",IF($H1148="Investor Owned",IF(AND(COUNTIF(Parameters!$A$4:$A$33,$G1148)&gt;0,COUNTIF(Parameters!$B$4:$B$33,$B1148)=0),"procurement","cost_service"),"unclassified"))))))</f>
        <v>procurement</v>
      </c>
    </row>
    <row r="1149" spans="1:26" x14ac:dyDescent="0.25">
      <c r="A1149">
        <v>2024</v>
      </c>
      <c r="B1149">
        <v>16840</v>
      </c>
      <c r="C1149" t="s">
        <v>1111</v>
      </c>
      <c r="D1149" t="s">
        <v>99</v>
      </c>
      <c r="E1149" t="s">
        <v>100</v>
      </c>
      <c r="F1149" t="s">
        <v>86</v>
      </c>
      <c r="G1149" t="s">
        <v>51</v>
      </c>
      <c r="H1149" t="s">
        <v>101</v>
      </c>
      <c r="I1149" t="s">
        <v>189</v>
      </c>
      <c r="J1149">
        <v>0</v>
      </c>
      <c r="K1149">
        <v>0</v>
      </c>
      <c r="L1149">
        <v>0</v>
      </c>
      <c r="M1149">
        <v>15815.9</v>
      </c>
      <c r="N1149">
        <v>200554</v>
      </c>
      <c r="O1149">
        <v>21</v>
      </c>
      <c r="P1149">
        <v>5104.6000000000004</v>
      </c>
      <c r="Q1149">
        <v>68413</v>
      </c>
      <c r="R1149">
        <v>3</v>
      </c>
      <c r="S1149">
        <v>0</v>
      </c>
      <c r="T1149">
        <v>0</v>
      </c>
      <c r="U1149">
        <v>0</v>
      </c>
      <c r="V1149">
        <v>20920.5</v>
      </c>
      <c r="W1149">
        <v>268967</v>
      </c>
      <c r="X1149">
        <v>24</v>
      </c>
      <c r="Y1149">
        <f t="shared" si="17"/>
        <v>268967</v>
      </c>
      <c r="Z1149" t="str">
        <f>IF(ISNUMBER(SEARCH("Adjustment",$C1149)),"excluded",IF($H1149="Behind the Meter","excluded",IF(NOT(OR($E1149="Bundled",$E1149="Energy")),"excluded",IF(OR($H1149="Retail Power Marketer",$H1149="Community Choice Aggregator",$E1149="Energy"),"procurement",IF(OR($H1149="Municipal",$H1149="Cooperative",$H1149="Federal",$H1149="State",$H1149="Political Subdivision"),"cost_service",IF($H1149="Investor Owned",IF(AND(COUNTIF(Parameters!$A$4:$A$33,$G1149)&gt;0,COUNTIF(Parameters!$B$4:$B$33,$B1149)=0),"procurement","cost_service"),"unclassified"))))))</f>
        <v>procurement</v>
      </c>
    </row>
    <row r="1150" spans="1:26" x14ac:dyDescent="0.25">
      <c r="A1150">
        <v>2024</v>
      </c>
      <c r="B1150">
        <v>16840</v>
      </c>
      <c r="C1150" t="s">
        <v>1111</v>
      </c>
      <c r="D1150" t="s">
        <v>99</v>
      </c>
      <c r="E1150" t="s">
        <v>100</v>
      </c>
      <c r="F1150" t="s">
        <v>86</v>
      </c>
      <c r="G1150" t="s">
        <v>52</v>
      </c>
      <c r="H1150" t="s">
        <v>101</v>
      </c>
      <c r="I1150" t="s">
        <v>92</v>
      </c>
      <c r="J1150">
        <v>0</v>
      </c>
      <c r="K1150">
        <v>0</v>
      </c>
      <c r="L1150">
        <v>0</v>
      </c>
      <c r="M1150">
        <v>146455.5</v>
      </c>
      <c r="N1150">
        <v>1777257</v>
      </c>
      <c r="O1150">
        <v>42</v>
      </c>
      <c r="P1150">
        <v>9138.2999999999993</v>
      </c>
      <c r="Q1150">
        <v>106333</v>
      </c>
      <c r="R1150">
        <v>5</v>
      </c>
      <c r="S1150">
        <v>0</v>
      </c>
      <c r="T1150">
        <v>0</v>
      </c>
      <c r="U1150">
        <v>0</v>
      </c>
      <c r="V1150">
        <v>155593.79999999999</v>
      </c>
      <c r="W1150">
        <v>1883590</v>
      </c>
      <c r="X1150">
        <v>47</v>
      </c>
      <c r="Y1150">
        <f t="shared" si="17"/>
        <v>1883590</v>
      </c>
      <c r="Z1150" t="str">
        <f>IF(ISNUMBER(SEARCH("Adjustment",$C1150)),"excluded",IF($H1150="Behind the Meter","excluded",IF(NOT(OR($E1150="Bundled",$E1150="Energy")),"excluded",IF(OR($H1150="Retail Power Marketer",$H1150="Community Choice Aggregator",$E1150="Energy"),"procurement",IF(OR($H1150="Municipal",$H1150="Cooperative",$H1150="Federal",$H1150="State",$H1150="Political Subdivision"),"cost_service",IF($H1150="Investor Owned",IF(AND(COUNTIF(Parameters!$A$4:$A$33,$G1150)&gt;0,COUNTIF(Parameters!$B$4:$B$33,$B1150)=0),"procurement","cost_service"),"unclassified"))))))</f>
        <v>procurement</v>
      </c>
    </row>
    <row r="1151" spans="1:26" x14ac:dyDescent="0.25">
      <c r="A1151">
        <v>2024</v>
      </c>
      <c r="B1151">
        <v>16840</v>
      </c>
      <c r="C1151" t="s">
        <v>1111</v>
      </c>
      <c r="D1151" t="s">
        <v>99</v>
      </c>
      <c r="E1151" t="s">
        <v>100</v>
      </c>
      <c r="F1151" t="s">
        <v>86</v>
      </c>
      <c r="G1151" t="s">
        <v>53</v>
      </c>
      <c r="H1151" t="s">
        <v>101</v>
      </c>
      <c r="I1151" t="s">
        <v>102</v>
      </c>
      <c r="J1151">
        <v>0</v>
      </c>
      <c r="K1151">
        <v>0</v>
      </c>
      <c r="L1151">
        <v>0</v>
      </c>
      <c r="M1151">
        <v>173138.3</v>
      </c>
      <c r="N1151">
        <v>2168993</v>
      </c>
      <c r="O1151">
        <v>107</v>
      </c>
      <c r="P1151">
        <v>15706.1</v>
      </c>
      <c r="Q1151">
        <v>268218</v>
      </c>
      <c r="R1151">
        <v>5</v>
      </c>
      <c r="S1151">
        <v>0</v>
      </c>
      <c r="T1151">
        <v>0</v>
      </c>
      <c r="U1151">
        <v>0</v>
      </c>
      <c r="V1151">
        <v>188844.4</v>
      </c>
      <c r="W1151">
        <v>2437211</v>
      </c>
      <c r="X1151">
        <v>112</v>
      </c>
      <c r="Y1151">
        <f t="shared" si="17"/>
        <v>2437211</v>
      </c>
      <c r="Z1151" t="str">
        <f>IF(ISNUMBER(SEARCH("Adjustment",$C1151)),"excluded",IF($H1151="Behind the Meter","excluded",IF(NOT(OR($E1151="Bundled",$E1151="Energy")),"excluded",IF(OR($H1151="Retail Power Marketer",$H1151="Community Choice Aggregator",$E1151="Energy"),"procurement",IF(OR($H1151="Municipal",$H1151="Cooperative",$H1151="Federal",$H1151="State",$H1151="Political Subdivision"),"cost_service",IF($H1151="Investor Owned",IF(AND(COUNTIF(Parameters!$A$4:$A$33,$G1151)&gt;0,COUNTIF(Parameters!$B$4:$B$33,$B1151)=0),"procurement","cost_service"),"unclassified"))))))</f>
        <v>procurement</v>
      </c>
    </row>
    <row r="1152" spans="1:26" x14ac:dyDescent="0.25">
      <c r="A1152">
        <v>2024</v>
      </c>
      <c r="B1152">
        <v>16840</v>
      </c>
      <c r="C1152" t="s">
        <v>1111</v>
      </c>
      <c r="D1152" t="s">
        <v>99</v>
      </c>
      <c r="E1152" t="s">
        <v>100</v>
      </c>
      <c r="F1152" t="s">
        <v>86</v>
      </c>
      <c r="G1152" t="s">
        <v>54</v>
      </c>
      <c r="H1152" t="s">
        <v>101</v>
      </c>
      <c r="I1152" t="s">
        <v>92</v>
      </c>
      <c r="J1152">
        <v>0</v>
      </c>
      <c r="K1152">
        <v>0</v>
      </c>
      <c r="L1152">
        <v>0</v>
      </c>
      <c r="M1152">
        <v>180090.3</v>
      </c>
      <c r="N1152">
        <v>4106286</v>
      </c>
      <c r="O1152">
        <v>92</v>
      </c>
      <c r="P1152">
        <v>10801.2</v>
      </c>
      <c r="Q1152">
        <v>274106</v>
      </c>
      <c r="R1152">
        <v>7</v>
      </c>
      <c r="S1152">
        <v>0</v>
      </c>
      <c r="T1152">
        <v>0</v>
      </c>
      <c r="U1152">
        <v>0</v>
      </c>
      <c r="V1152">
        <v>190891.5</v>
      </c>
      <c r="W1152">
        <v>4380392</v>
      </c>
      <c r="X1152">
        <v>99</v>
      </c>
      <c r="Y1152">
        <f t="shared" si="17"/>
        <v>4380392</v>
      </c>
      <c r="Z1152" t="str">
        <f>IF(ISNUMBER(SEARCH("Adjustment",$C1152)),"excluded",IF($H1152="Behind the Meter","excluded",IF(NOT(OR($E1152="Bundled",$E1152="Energy")),"excluded",IF(OR($H1152="Retail Power Marketer",$H1152="Community Choice Aggregator",$E1152="Energy"),"procurement",IF(OR($H1152="Municipal",$H1152="Cooperative",$H1152="Federal",$H1152="State",$H1152="Political Subdivision"),"cost_service",IF($H1152="Investor Owned",IF(AND(COUNTIF(Parameters!$A$4:$A$33,$G1152)&gt;0,COUNTIF(Parameters!$B$4:$B$33,$B1152)=0),"procurement","cost_service"),"unclassified"))))))</f>
        <v>procurement</v>
      </c>
    </row>
    <row r="1153" spans="1:26" x14ac:dyDescent="0.25">
      <c r="A1153">
        <v>2024</v>
      </c>
      <c r="B1153">
        <v>16840</v>
      </c>
      <c r="C1153" t="s">
        <v>1111</v>
      </c>
      <c r="D1153" t="s">
        <v>99</v>
      </c>
      <c r="E1153" t="s">
        <v>100</v>
      </c>
      <c r="F1153" t="s">
        <v>86</v>
      </c>
      <c r="G1153" t="s">
        <v>219</v>
      </c>
      <c r="H1153" t="s">
        <v>101</v>
      </c>
      <c r="I1153" t="s">
        <v>972</v>
      </c>
      <c r="J1153">
        <v>0</v>
      </c>
      <c r="K1153">
        <v>0</v>
      </c>
      <c r="L1153">
        <v>0</v>
      </c>
      <c r="M1153">
        <v>12984.6</v>
      </c>
      <c r="N1153">
        <v>128896</v>
      </c>
      <c r="O1153">
        <v>4</v>
      </c>
      <c r="P1153">
        <v>0</v>
      </c>
      <c r="Q1153">
        <v>0</v>
      </c>
      <c r="R1153">
        <v>0</v>
      </c>
      <c r="S1153">
        <v>0</v>
      </c>
      <c r="T1153">
        <v>0</v>
      </c>
      <c r="U1153">
        <v>0</v>
      </c>
      <c r="V1153">
        <v>12984.6</v>
      </c>
      <c r="W1153">
        <v>128896</v>
      </c>
      <c r="X1153">
        <v>4</v>
      </c>
      <c r="Y1153">
        <f t="shared" si="17"/>
        <v>128896</v>
      </c>
      <c r="Z1153" t="str">
        <f>IF(ISNUMBER(SEARCH("Adjustment",$C1153)),"excluded",IF($H1153="Behind the Meter","excluded",IF(NOT(OR($E1153="Bundled",$E1153="Energy")),"excluded",IF(OR($H1153="Retail Power Marketer",$H1153="Community Choice Aggregator",$E1153="Energy"),"procurement",IF(OR($H1153="Municipal",$H1153="Cooperative",$H1153="Federal",$H1153="State",$H1153="Political Subdivision"),"cost_service",IF($H1153="Investor Owned",IF(AND(COUNTIF(Parameters!$A$4:$A$33,$G1153)&gt;0,COUNTIF(Parameters!$B$4:$B$33,$B1153)=0),"procurement","cost_service"),"unclassified"))))))</f>
        <v>procurement</v>
      </c>
    </row>
    <row r="1154" spans="1:26" x14ac:dyDescent="0.25">
      <c r="A1154">
        <v>2024</v>
      </c>
      <c r="B1154">
        <v>16840</v>
      </c>
      <c r="C1154" t="s">
        <v>1111</v>
      </c>
      <c r="D1154" t="s">
        <v>99</v>
      </c>
      <c r="E1154" t="s">
        <v>100</v>
      </c>
      <c r="F1154" t="s">
        <v>86</v>
      </c>
      <c r="G1154" t="s">
        <v>219</v>
      </c>
      <c r="H1154" t="s">
        <v>101</v>
      </c>
      <c r="I1154" t="s">
        <v>396</v>
      </c>
      <c r="J1154">
        <v>0</v>
      </c>
      <c r="K1154">
        <v>0</v>
      </c>
      <c r="L1154">
        <v>0</v>
      </c>
      <c r="M1154">
        <v>126248.3</v>
      </c>
      <c r="N1154">
        <v>1549337</v>
      </c>
      <c r="O1154">
        <v>23</v>
      </c>
      <c r="P1154">
        <v>17111</v>
      </c>
      <c r="Q1154">
        <v>252802</v>
      </c>
      <c r="R1154">
        <v>3</v>
      </c>
      <c r="S1154">
        <v>0</v>
      </c>
      <c r="T1154">
        <v>0</v>
      </c>
      <c r="U1154">
        <v>0</v>
      </c>
      <c r="V1154">
        <v>143359.29999999999</v>
      </c>
      <c r="W1154">
        <v>1802139</v>
      </c>
      <c r="X1154">
        <v>26</v>
      </c>
      <c r="Y1154">
        <f t="shared" si="17"/>
        <v>1802139</v>
      </c>
      <c r="Z1154" t="str">
        <f>IF(ISNUMBER(SEARCH("Adjustment",$C1154)),"excluded",IF($H1154="Behind the Meter","excluded",IF(NOT(OR($E1154="Bundled",$E1154="Energy")),"excluded",IF(OR($H1154="Retail Power Marketer",$H1154="Community Choice Aggregator",$E1154="Energy"),"procurement",IF(OR($H1154="Municipal",$H1154="Cooperative",$H1154="Federal",$H1154="State",$H1154="Political Subdivision"),"cost_service",IF($H1154="Investor Owned",IF(AND(COUNTIF(Parameters!$A$4:$A$33,$G1154)&gt;0,COUNTIF(Parameters!$B$4:$B$33,$B1154)=0),"procurement","cost_service"),"unclassified"))))))</f>
        <v>procurement</v>
      </c>
    </row>
    <row r="1155" spans="1:26" x14ac:dyDescent="0.25">
      <c r="A1155">
        <v>2024</v>
      </c>
      <c r="B1155">
        <v>16840</v>
      </c>
      <c r="C1155" t="s">
        <v>1111</v>
      </c>
      <c r="D1155" t="s">
        <v>99</v>
      </c>
      <c r="E1155" t="s">
        <v>100</v>
      </c>
      <c r="F1155" t="s">
        <v>86</v>
      </c>
      <c r="G1155" t="s">
        <v>55</v>
      </c>
      <c r="H1155" t="s">
        <v>101</v>
      </c>
      <c r="I1155" t="s">
        <v>92</v>
      </c>
      <c r="J1155">
        <v>0</v>
      </c>
      <c r="K1155">
        <v>0</v>
      </c>
      <c r="L1155">
        <v>0</v>
      </c>
      <c r="M1155">
        <v>241453.8</v>
      </c>
      <c r="N1155">
        <v>4459656</v>
      </c>
      <c r="O1155">
        <v>67</v>
      </c>
      <c r="P1155">
        <v>19502.900000000001</v>
      </c>
      <c r="Q1155">
        <v>347804</v>
      </c>
      <c r="R1155">
        <v>9</v>
      </c>
      <c r="S1155">
        <v>0</v>
      </c>
      <c r="T1155">
        <v>0</v>
      </c>
      <c r="U1155">
        <v>0</v>
      </c>
      <c r="V1155">
        <v>260956.7</v>
      </c>
      <c r="W1155">
        <v>4807460</v>
      </c>
      <c r="X1155">
        <v>76</v>
      </c>
      <c r="Y1155">
        <f t="shared" si="17"/>
        <v>4807460</v>
      </c>
      <c r="Z1155" t="str">
        <f>IF(ISNUMBER(SEARCH("Adjustment",$C1155)),"excluded",IF($H1155="Behind the Meter","excluded",IF(NOT(OR($E1155="Bundled",$E1155="Energy")),"excluded",IF(OR($H1155="Retail Power Marketer",$H1155="Community Choice Aggregator",$E1155="Energy"),"procurement",IF(OR($H1155="Municipal",$H1155="Cooperative",$H1155="Federal",$H1155="State",$H1155="Political Subdivision"),"cost_service",IF($H1155="Investor Owned",IF(AND(COUNTIF(Parameters!$A$4:$A$33,$G1155)&gt;0,COUNTIF(Parameters!$B$4:$B$33,$B1155)=0),"procurement","cost_service"),"unclassified"))))))</f>
        <v>procurement</v>
      </c>
    </row>
    <row r="1156" spans="1:26" x14ac:dyDescent="0.25">
      <c r="A1156">
        <v>2024</v>
      </c>
      <c r="B1156">
        <v>16840</v>
      </c>
      <c r="C1156" t="s">
        <v>1111</v>
      </c>
      <c r="D1156" t="s">
        <v>99</v>
      </c>
      <c r="E1156" t="s">
        <v>100</v>
      </c>
      <c r="F1156" t="s">
        <v>86</v>
      </c>
      <c r="G1156" t="s">
        <v>56</v>
      </c>
      <c r="H1156" t="s">
        <v>101</v>
      </c>
      <c r="I1156" t="s">
        <v>189</v>
      </c>
      <c r="J1156">
        <v>0</v>
      </c>
      <c r="K1156">
        <v>0</v>
      </c>
      <c r="L1156">
        <v>0</v>
      </c>
      <c r="M1156">
        <v>15899.9</v>
      </c>
      <c r="N1156">
        <v>186961</v>
      </c>
      <c r="O1156">
        <v>14</v>
      </c>
      <c r="P1156">
        <v>0</v>
      </c>
      <c r="Q1156">
        <v>0</v>
      </c>
      <c r="R1156">
        <v>0</v>
      </c>
      <c r="S1156">
        <v>0</v>
      </c>
      <c r="T1156">
        <v>0</v>
      </c>
      <c r="U1156">
        <v>0</v>
      </c>
      <c r="V1156">
        <v>15899.9</v>
      </c>
      <c r="W1156">
        <v>186961</v>
      </c>
      <c r="X1156">
        <v>14</v>
      </c>
      <c r="Y1156">
        <f t="shared" ref="Y1156:Y1219" si="18">IF(ISNUMBER($W1156),$W1156,0)</f>
        <v>186961</v>
      </c>
      <c r="Z1156" t="str">
        <f>IF(ISNUMBER(SEARCH("Adjustment",$C1156)),"excluded",IF($H1156="Behind the Meter","excluded",IF(NOT(OR($E1156="Bundled",$E1156="Energy")),"excluded",IF(OR($H1156="Retail Power Marketer",$H1156="Community Choice Aggregator",$E1156="Energy"),"procurement",IF(OR($H1156="Municipal",$H1156="Cooperative",$H1156="Federal",$H1156="State",$H1156="Political Subdivision"),"cost_service",IF($H1156="Investor Owned",IF(AND(COUNTIF(Parameters!$A$4:$A$33,$G1156)&gt;0,COUNTIF(Parameters!$B$4:$B$33,$B1156)=0),"procurement","cost_service"),"unclassified"))))))</f>
        <v>procurement</v>
      </c>
    </row>
    <row r="1157" spans="1:26" x14ac:dyDescent="0.25">
      <c r="A1157">
        <v>2024</v>
      </c>
      <c r="B1157">
        <v>16840</v>
      </c>
      <c r="C1157" t="s">
        <v>1111</v>
      </c>
      <c r="D1157" t="s">
        <v>99</v>
      </c>
      <c r="E1157" t="s">
        <v>100</v>
      </c>
      <c r="F1157" t="s">
        <v>86</v>
      </c>
      <c r="G1157" t="s">
        <v>93</v>
      </c>
      <c r="H1157" t="s">
        <v>101</v>
      </c>
      <c r="I1157" t="s">
        <v>92</v>
      </c>
      <c r="J1157">
        <v>0</v>
      </c>
      <c r="K1157">
        <v>0</v>
      </c>
      <c r="L1157">
        <v>0</v>
      </c>
      <c r="M1157">
        <v>121813</v>
      </c>
      <c r="N1157">
        <v>1866825</v>
      </c>
      <c r="O1157">
        <v>32</v>
      </c>
      <c r="P1157">
        <v>14071.8</v>
      </c>
      <c r="Q1157">
        <v>187634</v>
      </c>
      <c r="R1157">
        <v>3</v>
      </c>
      <c r="S1157">
        <v>0</v>
      </c>
      <c r="T1157">
        <v>0</v>
      </c>
      <c r="U1157">
        <v>0</v>
      </c>
      <c r="V1157">
        <v>135884.79999999999</v>
      </c>
      <c r="W1157">
        <v>2054459</v>
      </c>
      <c r="X1157">
        <v>35</v>
      </c>
      <c r="Y1157">
        <f t="shared" si="18"/>
        <v>2054459</v>
      </c>
      <c r="Z1157" t="str">
        <f>IF(ISNUMBER(SEARCH("Adjustment",$C1157)),"excluded",IF($H1157="Behind the Meter","excluded",IF(NOT(OR($E1157="Bundled",$E1157="Energy")),"excluded",IF(OR($H1157="Retail Power Marketer",$H1157="Community Choice Aggregator",$E1157="Energy"),"procurement",IF(OR($H1157="Municipal",$H1157="Cooperative",$H1157="Federal",$H1157="State",$H1157="Political Subdivision"),"cost_service",IF($H1157="Investor Owned",IF(AND(COUNTIF(Parameters!$A$4:$A$33,$G1157)&gt;0,COUNTIF(Parameters!$B$4:$B$33,$B1157)=0),"procurement","cost_service"),"unclassified"))))))</f>
        <v>procurement</v>
      </c>
    </row>
    <row r="1158" spans="1:26" x14ac:dyDescent="0.25">
      <c r="A1158">
        <v>2024</v>
      </c>
      <c r="B1158">
        <v>16840</v>
      </c>
      <c r="C1158" t="s">
        <v>1111</v>
      </c>
      <c r="D1158" t="s">
        <v>150</v>
      </c>
      <c r="E1158" t="s">
        <v>85</v>
      </c>
      <c r="F1158" t="s">
        <v>86</v>
      </c>
      <c r="G1158" t="s">
        <v>57</v>
      </c>
      <c r="H1158" t="s">
        <v>101</v>
      </c>
      <c r="I1158" t="s">
        <v>151</v>
      </c>
      <c r="J1158">
        <v>0</v>
      </c>
      <c r="K1158">
        <v>0</v>
      </c>
      <c r="L1158">
        <v>0</v>
      </c>
      <c r="M1158">
        <v>483070.5</v>
      </c>
      <c r="N1158">
        <v>8110991</v>
      </c>
      <c r="O1158">
        <v>105</v>
      </c>
      <c r="P1158">
        <v>23598.5</v>
      </c>
      <c r="Q1158">
        <v>361561</v>
      </c>
      <c r="R1158">
        <v>15</v>
      </c>
      <c r="S1158">
        <v>0</v>
      </c>
      <c r="T1158">
        <v>0</v>
      </c>
      <c r="U1158">
        <v>0</v>
      </c>
      <c r="V1158">
        <v>506669</v>
      </c>
      <c r="W1158">
        <v>8472552</v>
      </c>
      <c r="X1158">
        <v>120</v>
      </c>
      <c r="Y1158">
        <f t="shared" si="18"/>
        <v>8472552</v>
      </c>
      <c r="Z1158" t="str">
        <f>IF(ISNUMBER(SEARCH("Adjustment",$C1158)),"excluded",IF($H1158="Behind the Meter","excluded",IF(NOT(OR($E1158="Bundled",$E1158="Energy")),"excluded",IF(OR($H1158="Retail Power Marketer",$H1158="Community Choice Aggregator",$E1158="Energy"),"procurement",IF(OR($H1158="Municipal",$H1158="Cooperative",$H1158="Federal",$H1158="State",$H1158="Political Subdivision"),"cost_service",IF($H1158="Investor Owned",IF(AND(COUNTIF(Parameters!$A$4:$A$33,$G1158)&gt;0,COUNTIF(Parameters!$B$4:$B$33,$B1158)=0),"procurement","cost_service"),"unclassified"))))))</f>
        <v>procurement</v>
      </c>
    </row>
    <row r="1159" spans="1:26" x14ac:dyDescent="0.25">
      <c r="A1159">
        <v>2024</v>
      </c>
      <c r="B1159">
        <v>16865</v>
      </c>
      <c r="C1159" t="s">
        <v>1112</v>
      </c>
      <c r="D1159" t="s">
        <v>84</v>
      </c>
      <c r="E1159" t="s">
        <v>85</v>
      </c>
      <c r="F1159" t="s">
        <v>86</v>
      </c>
      <c r="G1159" t="s">
        <v>123</v>
      </c>
      <c r="H1159" t="s">
        <v>91</v>
      </c>
      <c r="I1159" t="s">
        <v>113</v>
      </c>
      <c r="J1159">
        <v>296924.7</v>
      </c>
      <c r="K1159">
        <v>2573235</v>
      </c>
      <c r="L1159">
        <v>181600</v>
      </c>
      <c r="M1159">
        <v>107528.6</v>
      </c>
      <c r="N1159">
        <v>993534</v>
      </c>
      <c r="O1159">
        <v>20437</v>
      </c>
      <c r="P1159">
        <v>16723.599999999999</v>
      </c>
      <c r="Q1159">
        <v>223443</v>
      </c>
      <c r="R1159">
        <v>107</v>
      </c>
      <c r="S1159">
        <v>0</v>
      </c>
      <c r="T1159">
        <v>0</v>
      </c>
      <c r="U1159">
        <v>0</v>
      </c>
      <c r="V1159">
        <v>421176.9</v>
      </c>
      <c r="W1159">
        <v>3790212</v>
      </c>
      <c r="X1159">
        <v>202144</v>
      </c>
      <c r="Y1159">
        <f t="shared" si="18"/>
        <v>3790212</v>
      </c>
      <c r="Z1159" t="str">
        <f>IF(ISNUMBER(SEARCH("Adjustment",$C1159)),"excluded",IF($H1159="Behind the Meter","excluded",IF(NOT(OR($E1159="Bundled",$E1159="Energy")),"excluded",IF(OR($H1159="Retail Power Marketer",$H1159="Community Choice Aggregator",$E1159="Energy"),"procurement",IF(OR($H1159="Municipal",$H1159="Cooperative",$H1159="Federal",$H1159="State",$H1159="Political Subdivision"),"cost_service",IF($H1159="Investor Owned",IF(AND(COUNTIF(Parameters!$A$4:$A$33,$G1159)&gt;0,COUNTIF(Parameters!$B$4:$B$33,$B1159)=0),"procurement","cost_service"),"unclassified"))))))</f>
        <v>cost_service</v>
      </c>
    </row>
    <row r="1160" spans="1:26" x14ac:dyDescent="0.25">
      <c r="A1160">
        <v>2024</v>
      </c>
      <c r="B1160">
        <v>16868</v>
      </c>
      <c r="C1160" t="s">
        <v>1113</v>
      </c>
      <c r="D1160" t="s">
        <v>84</v>
      </c>
      <c r="E1160" t="s">
        <v>85</v>
      </c>
      <c r="F1160" t="s">
        <v>86</v>
      </c>
      <c r="G1160" t="s">
        <v>148</v>
      </c>
      <c r="H1160" t="s">
        <v>88</v>
      </c>
      <c r="I1160" t="s">
        <v>1114</v>
      </c>
      <c r="J1160">
        <v>467404.3</v>
      </c>
      <c r="K1160">
        <v>3317659</v>
      </c>
      <c r="L1160">
        <v>459964</v>
      </c>
      <c r="M1160">
        <v>583327.9</v>
      </c>
      <c r="N1160">
        <v>4954390</v>
      </c>
      <c r="O1160">
        <v>52473</v>
      </c>
      <c r="P1160">
        <v>69995.600000000006</v>
      </c>
      <c r="Q1160">
        <v>693409</v>
      </c>
      <c r="R1160">
        <v>58</v>
      </c>
      <c r="S1160">
        <v>8705.2000000000007</v>
      </c>
      <c r="T1160">
        <v>76818</v>
      </c>
      <c r="U1160">
        <v>3</v>
      </c>
      <c r="V1160">
        <v>1129433</v>
      </c>
      <c r="W1160">
        <v>9042276</v>
      </c>
      <c r="X1160">
        <v>512498</v>
      </c>
      <c r="Y1160">
        <f t="shared" si="18"/>
        <v>9042276</v>
      </c>
      <c r="Z1160" t="str">
        <f>IF(ISNUMBER(SEARCH("Adjustment",$C1160)),"excluded",IF($H1160="Behind the Meter","excluded",IF(NOT(OR($E1160="Bundled",$E1160="Energy")),"excluded",IF(OR($H1160="Retail Power Marketer",$H1160="Community Choice Aggregator",$E1160="Energy"),"procurement",IF(OR($H1160="Municipal",$H1160="Cooperative",$H1160="Federal",$H1160="State",$H1160="Political Subdivision"),"cost_service",IF($H1160="Investor Owned",IF(AND(COUNTIF(Parameters!$A$4:$A$33,$G1160)&gt;0,COUNTIF(Parameters!$B$4:$B$33,$B1160)=0),"procurement","cost_service"),"unclassified"))))))</f>
        <v>cost_service</v>
      </c>
    </row>
    <row r="1161" spans="1:26" x14ac:dyDescent="0.25">
      <c r="A1161">
        <v>2024</v>
      </c>
      <c r="B1161">
        <v>16900</v>
      </c>
      <c r="C1161" t="s">
        <v>1115</v>
      </c>
      <c r="D1161" t="s">
        <v>84</v>
      </c>
      <c r="E1161" t="s">
        <v>85</v>
      </c>
      <c r="F1161" t="s">
        <v>86</v>
      </c>
      <c r="G1161" t="s">
        <v>57</v>
      </c>
      <c r="H1161" t="s">
        <v>88</v>
      </c>
      <c r="I1161" t="s">
        <v>151</v>
      </c>
      <c r="J1161">
        <v>11145</v>
      </c>
      <c r="K1161">
        <v>102375</v>
      </c>
      <c r="L1161">
        <v>8478</v>
      </c>
      <c r="M1161">
        <v>11618</v>
      </c>
      <c r="N1161">
        <v>111444</v>
      </c>
      <c r="O1161">
        <v>1477</v>
      </c>
      <c r="P1161">
        <v>10918</v>
      </c>
      <c r="Q1161">
        <v>139646</v>
      </c>
      <c r="R1161">
        <v>15</v>
      </c>
      <c r="S1161" t="s">
        <v>97</v>
      </c>
      <c r="T1161" t="s">
        <v>97</v>
      </c>
      <c r="U1161" t="s">
        <v>97</v>
      </c>
      <c r="V1161">
        <v>33681</v>
      </c>
      <c r="W1161">
        <v>353465</v>
      </c>
      <c r="X1161">
        <v>9970</v>
      </c>
      <c r="Y1161">
        <f t="shared" si="18"/>
        <v>353465</v>
      </c>
      <c r="Z1161" t="str">
        <f>IF(ISNUMBER(SEARCH("Adjustment",$C1161)),"excluded",IF($H1161="Behind the Meter","excluded",IF(NOT(OR($E1161="Bundled",$E1161="Energy")),"excluded",IF(OR($H1161="Retail Power Marketer",$H1161="Community Choice Aggregator",$E1161="Energy"),"procurement",IF(OR($H1161="Municipal",$H1161="Cooperative",$H1161="Federal",$H1161="State",$H1161="Political Subdivision"),"cost_service",IF($H1161="Investor Owned",IF(AND(COUNTIF(Parameters!$A$4:$A$33,$G1161)&gt;0,COUNTIF(Parameters!$B$4:$B$33,$B1161)=0),"procurement","cost_service"),"unclassified"))))))</f>
        <v>cost_service</v>
      </c>
    </row>
    <row r="1162" spans="1:26" x14ac:dyDescent="0.25">
      <c r="A1162">
        <v>2024</v>
      </c>
      <c r="B1162">
        <v>16930</v>
      </c>
      <c r="C1162" t="s">
        <v>1116</v>
      </c>
      <c r="D1162" t="s">
        <v>84</v>
      </c>
      <c r="E1162" t="s">
        <v>85</v>
      </c>
      <c r="F1162" t="s">
        <v>86</v>
      </c>
      <c r="G1162" t="s">
        <v>156</v>
      </c>
      <c r="H1162" t="s">
        <v>91</v>
      </c>
      <c r="I1162" t="s">
        <v>89</v>
      </c>
      <c r="J1162">
        <v>59074</v>
      </c>
      <c r="K1162">
        <v>455551</v>
      </c>
      <c r="L1162">
        <v>33206</v>
      </c>
      <c r="M1162">
        <v>33406</v>
      </c>
      <c r="N1162">
        <v>270051</v>
      </c>
      <c r="O1162">
        <v>6072</v>
      </c>
      <c r="P1162">
        <v>10848</v>
      </c>
      <c r="Q1162">
        <v>130459</v>
      </c>
      <c r="R1162">
        <v>6</v>
      </c>
      <c r="S1162">
        <v>0</v>
      </c>
      <c r="T1162">
        <v>0</v>
      </c>
      <c r="U1162">
        <v>0</v>
      </c>
      <c r="V1162">
        <v>103328</v>
      </c>
      <c r="W1162">
        <v>856061</v>
      </c>
      <c r="X1162">
        <v>39284</v>
      </c>
      <c r="Y1162">
        <f t="shared" si="18"/>
        <v>856061</v>
      </c>
      <c r="Z1162" t="str">
        <f>IF(ISNUMBER(SEARCH("Adjustment",$C1162)),"excluded",IF($H1162="Behind the Meter","excluded",IF(NOT(OR($E1162="Bundled",$E1162="Energy")),"excluded",IF(OR($H1162="Retail Power Marketer",$H1162="Community Choice Aggregator",$E1162="Energy"),"procurement",IF(OR($H1162="Municipal",$H1162="Cooperative",$H1162="Federal",$H1162="State",$H1162="Political Subdivision"),"cost_service",IF($H1162="Investor Owned",IF(AND(COUNTIF(Parameters!$A$4:$A$33,$G1162)&gt;0,COUNTIF(Parameters!$B$4:$B$33,$B1162)=0),"procurement","cost_service"),"unclassified"))))))</f>
        <v>cost_service</v>
      </c>
    </row>
    <row r="1163" spans="1:26" x14ac:dyDescent="0.25">
      <c r="A1163">
        <v>2024</v>
      </c>
      <c r="B1163">
        <v>16949</v>
      </c>
      <c r="C1163" t="s">
        <v>1117</v>
      </c>
      <c r="D1163" t="s">
        <v>84</v>
      </c>
      <c r="E1163" t="s">
        <v>85</v>
      </c>
      <c r="F1163" t="s">
        <v>86</v>
      </c>
      <c r="G1163" t="s">
        <v>156</v>
      </c>
      <c r="H1163" t="s">
        <v>88</v>
      </c>
      <c r="I1163" t="s">
        <v>89</v>
      </c>
      <c r="J1163">
        <v>54866</v>
      </c>
      <c r="K1163">
        <v>484327</v>
      </c>
      <c r="L1163">
        <v>35626</v>
      </c>
      <c r="M1163">
        <v>130336</v>
      </c>
      <c r="N1163">
        <v>1118298</v>
      </c>
      <c r="O1163">
        <v>27875</v>
      </c>
      <c r="P1163">
        <v>3624</v>
      </c>
      <c r="Q1163">
        <v>55201</v>
      </c>
      <c r="R1163">
        <v>5</v>
      </c>
      <c r="S1163">
        <v>0</v>
      </c>
      <c r="T1163">
        <v>0</v>
      </c>
      <c r="U1163">
        <v>0</v>
      </c>
      <c r="V1163">
        <v>188826</v>
      </c>
      <c r="W1163">
        <v>1657826</v>
      </c>
      <c r="X1163">
        <v>63506</v>
      </c>
      <c r="Y1163">
        <f t="shared" si="18"/>
        <v>1657826</v>
      </c>
      <c r="Z1163" t="str">
        <f>IF(ISNUMBER(SEARCH("Adjustment",$C1163)),"excluded",IF($H1163="Behind the Meter","excluded",IF(NOT(OR($E1163="Bundled",$E1163="Energy")),"excluded",IF(OR($H1163="Retail Power Marketer",$H1163="Community Choice Aggregator",$E1163="Energy"),"procurement",IF(OR($H1163="Municipal",$H1163="Cooperative",$H1163="Federal",$H1163="State",$H1163="Political Subdivision"),"cost_service",IF($H1163="Investor Owned",IF(AND(COUNTIF(Parameters!$A$4:$A$33,$G1163)&gt;0,COUNTIF(Parameters!$B$4:$B$33,$B1163)=0),"procurement","cost_service"),"unclassified"))))))</f>
        <v>cost_service</v>
      </c>
    </row>
    <row r="1164" spans="1:26" x14ac:dyDescent="0.25">
      <c r="A1164">
        <v>2024</v>
      </c>
      <c r="B1164">
        <v>16971</v>
      </c>
      <c r="C1164" t="s">
        <v>1118</v>
      </c>
      <c r="D1164" t="s">
        <v>84</v>
      </c>
      <c r="E1164" t="s">
        <v>85</v>
      </c>
      <c r="F1164" t="s">
        <v>86</v>
      </c>
      <c r="G1164" t="s">
        <v>104</v>
      </c>
      <c r="H1164" t="s">
        <v>88</v>
      </c>
      <c r="I1164" t="s">
        <v>96</v>
      </c>
      <c r="J1164">
        <v>21575</v>
      </c>
      <c r="K1164">
        <v>138811</v>
      </c>
      <c r="L1164">
        <v>18517</v>
      </c>
      <c r="M1164">
        <v>1852</v>
      </c>
      <c r="N1164">
        <v>14028</v>
      </c>
      <c r="O1164">
        <v>1428</v>
      </c>
      <c r="P1164">
        <v>34037</v>
      </c>
      <c r="Q1164">
        <v>273774</v>
      </c>
      <c r="R1164">
        <v>584</v>
      </c>
      <c r="S1164">
        <v>0</v>
      </c>
      <c r="T1164">
        <v>0</v>
      </c>
      <c r="U1164">
        <v>0</v>
      </c>
      <c r="V1164">
        <v>57464</v>
      </c>
      <c r="W1164">
        <v>426613</v>
      </c>
      <c r="X1164">
        <v>20529</v>
      </c>
      <c r="Y1164">
        <f t="shared" si="18"/>
        <v>426613</v>
      </c>
      <c r="Z1164" t="str">
        <f>IF(ISNUMBER(SEARCH("Adjustment",$C1164)),"excluded",IF($H1164="Behind the Meter","excluded",IF(NOT(OR($E1164="Bundled",$E1164="Energy")),"excluded",IF(OR($H1164="Retail Power Marketer",$H1164="Community Choice Aggregator",$E1164="Energy"),"procurement",IF(OR($H1164="Municipal",$H1164="Cooperative",$H1164="Federal",$H1164="State",$H1164="Political Subdivision"),"cost_service",IF($H1164="Investor Owned",IF(AND(COUNTIF(Parameters!$A$4:$A$33,$G1164)&gt;0,COUNTIF(Parameters!$B$4:$B$33,$B1164)=0),"procurement","cost_service"),"unclassified"))))))</f>
        <v>cost_service</v>
      </c>
    </row>
    <row r="1165" spans="1:26" x14ac:dyDescent="0.25">
      <c r="A1165">
        <v>2024</v>
      </c>
      <c r="B1165">
        <v>17011</v>
      </c>
      <c r="C1165" t="s">
        <v>1119</v>
      </c>
      <c r="D1165" t="s">
        <v>84</v>
      </c>
      <c r="E1165" t="s">
        <v>85</v>
      </c>
      <c r="F1165" t="s">
        <v>86</v>
      </c>
      <c r="G1165" t="s">
        <v>95</v>
      </c>
      <c r="H1165" t="s">
        <v>88</v>
      </c>
      <c r="I1165" t="s">
        <v>96</v>
      </c>
      <c r="J1165">
        <v>4285</v>
      </c>
      <c r="K1165">
        <v>33862</v>
      </c>
      <c r="L1165">
        <v>4932</v>
      </c>
      <c r="M1165">
        <v>1677.5</v>
      </c>
      <c r="N1165">
        <v>11443</v>
      </c>
      <c r="O1165">
        <v>1007</v>
      </c>
      <c r="P1165">
        <v>19329.8</v>
      </c>
      <c r="Q1165">
        <v>217743</v>
      </c>
      <c r="R1165">
        <v>165</v>
      </c>
      <c r="S1165" t="s">
        <v>97</v>
      </c>
      <c r="T1165" t="s">
        <v>97</v>
      </c>
      <c r="U1165" t="s">
        <v>97</v>
      </c>
      <c r="V1165">
        <v>25292.3</v>
      </c>
      <c r="W1165">
        <v>263048</v>
      </c>
      <c r="X1165">
        <v>6104</v>
      </c>
      <c r="Y1165">
        <f t="shared" si="18"/>
        <v>263048</v>
      </c>
      <c r="Z1165" t="str">
        <f>IF(ISNUMBER(SEARCH("Adjustment",$C1165)),"excluded",IF($H1165="Behind the Meter","excluded",IF(NOT(OR($E1165="Bundled",$E1165="Energy")),"excluded",IF(OR($H1165="Retail Power Marketer",$H1165="Community Choice Aggregator",$E1165="Energy"),"procurement",IF(OR($H1165="Municipal",$H1165="Cooperative",$H1165="Federal",$H1165="State",$H1165="Political Subdivision"),"cost_service",IF($H1165="Investor Owned",IF(AND(COUNTIF(Parameters!$A$4:$A$33,$G1165)&gt;0,COUNTIF(Parameters!$B$4:$B$33,$B1165)=0),"procurement","cost_service"),"unclassified"))))))</f>
        <v>cost_service</v>
      </c>
    </row>
    <row r="1166" spans="1:26" x14ac:dyDescent="0.25">
      <c r="A1166">
        <v>2024</v>
      </c>
      <c r="B1166">
        <v>17033</v>
      </c>
      <c r="C1166" t="s">
        <v>1120</v>
      </c>
      <c r="D1166" t="s">
        <v>84</v>
      </c>
      <c r="E1166" t="s">
        <v>85</v>
      </c>
      <c r="F1166" t="s">
        <v>86</v>
      </c>
      <c r="G1166" t="s">
        <v>112</v>
      </c>
      <c r="H1166" t="s">
        <v>88</v>
      </c>
      <c r="I1166" t="s">
        <v>89</v>
      </c>
      <c r="J1166">
        <v>28928</v>
      </c>
      <c r="K1166">
        <v>234217</v>
      </c>
      <c r="L1166">
        <v>15663</v>
      </c>
      <c r="M1166">
        <v>20201</v>
      </c>
      <c r="N1166">
        <v>142637</v>
      </c>
      <c r="O1166">
        <v>3895</v>
      </c>
      <c r="P1166">
        <v>17700</v>
      </c>
      <c r="Q1166">
        <v>319756</v>
      </c>
      <c r="R1166">
        <v>8</v>
      </c>
      <c r="S1166">
        <v>0</v>
      </c>
      <c r="T1166">
        <v>0</v>
      </c>
      <c r="U1166">
        <v>0</v>
      </c>
      <c r="V1166">
        <v>66829</v>
      </c>
      <c r="W1166">
        <v>696610</v>
      </c>
      <c r="X1166">
        <v>19566</v>
      </c>
      <c r="Y1166">
        <f t="shared" si="18"/>
        <v>696610</v>
      </c>
      <c r="Z1166" t="str">
        <f>IF(ISNUMBER(SEARCH("Adjustment",$C1166)),"excluded",IF($H1166="Behind the Meter","excluded",IF(NOT(OR($E1166="Bundled",$E1166="Energy")),"excluded",IF(OR($H1166="Retail Power Marketer",$H1166="Community Choice Aggregator",$E1166="Energy"),"procurement",IF(OR($H1166="Municipal",$H1166="Cooperative",$H1166="Federal",$H1166="State",$H1166="Political Subdivision"),"cost_service",IF($H1166="Investor Owned",IF(AND(COUNTIF(Parameters!$A$4:$A$33,$G1166)&gt;0,COUNTIF(Parameters!$B$4:$B$33,$B1166)=0),"procurement","cost_service"),"unclassified"))))))</f>
        <v>cost_service</v>
      </c>
    </row>
    <row r="1167" spans="1:26" x14ac:dyDescent="0.25">
      <c r="A1167">
        <v>2024</v>
      </c>
      <c r="B1167">
        <v>17038</v>
      </c>
      <c r="C1167" t="s">
        <v>1121</v>
      </c>
      <c r="D1167" t="s">
        <v>84</v>
      </c>
      <c r="E1167" t="s">
        <v>85</v>
      </c>
      <c r="F1167" t="s">
        <v>86</v>
      </c>
      <c r="G1167" t="s">
        <v>130</v>
      </c>
      <c r="H1167" t="s">
        <v>91</v>
      </c>
      <c r="I1167" t="s">
        <v>96</v>
      </c>
      <c r="J1167">
        <v>34432</v>
      </c>
      <c r="K1167">
        <v>203882</v>
      </c>
      <c r="L1167">
        <v>14761</v>
      </c>
      <c r="M1167">
        <v>6635</v>
      </c>
      <c r="N1167">
        <v>48631</v>
      </c>
      <c r="O1167">
        <v>267</v>
      </c>
      <c r="P1167">
        <v>15849</v>
      </c>
      <c r="Q1167">
        <v>185616</v>
      </c>
      <c r="R1167">
        <v>13</v>
      </c>
      <c r="S1167" t="s">
        <v>97</v>
      </c>
      <c r="T1167" t="s">
        <v>97</v>
      </c>
      <c r="U1167" t="s">
        <v>97</v>
      </c>
      <c r="V1167">
        <v>56916</v>
      </c>
      <c r="W1167">
        <v>438129</v>
      </c>
      <c r="X1167">
        <v>15041</v>
      </c>
      <c r="Y1167">
        <f t="shared" si="18"/>
        <v>438129</v>
      </c>
      <c r="Z1167" t="str">
        <f>IF(ISNUMBER(SEARCH("Adjustment",$C1167)),"excluded",IF($H1167="Behind the Meter","excluded",IF(NOT(OR($E1167="Bundled",$E1167="Energy")),"excluded",IF(OR($H1167="Retail Power Marketer",$H1167="Community Choice Aggregator",$E1167="Energy"),"procurement",IF(OR($H1167="Municipal",$H1167="Cooperative",$H1167="Federal",$H1167="State",$H1167="Political Subdivision"),"cost_service",IF($H1167="Investor Owned",IF(AND(COUNTIF(Parameters!$A$4:$A$33,$G1167)&gt;0,COUNTIF(Parameters!$B$4:$B$33,$B1167)=0),"procurement","cost_service"),"unclassified"))))))</f>
        <v>cost_service</v>
      </c>
    </row>
    <row r="1168" spans="1:26" x14ac:dyDescent="0.25">
      <c r="A1168">
        <v>2024</v>
      </c>
      <c r="B1168">
        <v>17040</v>
      </c>
      <c r="C1168" t="s">
        <v>1122</v>
      </c>
      <c r="D1168" t="s">
        <v>84</v>
      </c>
      <c r="E1168" t="s">
        <v>85</v>
      </c>
      <c r="F1168" t="s">
        <v>86</v>
      </c>
      <c r="G1168" t="s">
        <v>46</v>
      </c>
      <c r="H1168" t="s">
        <v>91</v>
      </c>
      <c r="I1168" t="s">
        <v>96</v>
      </c>
      <c r="J1168">
        <v>22822.400000000001</v>
      </c>
      <c r="K1168">
        <v>122528</v>
      </c>
      <c r="L1168">
        <v>9871</v>
      </c>
      <c r="M1168">
        <v>3541.1</v>
      </c>
      <c r="N1168">
        <v>26695</v>
      </c>
      <c r="O1168">
        <v>156</v>
      </c>
      <c r="P1168">
        <v>9406.4</v>
      </c>
      <c r="Q1168">
        <v>85641</v>
      </c>
      <c r="R1168">
        <v>27</v>
      </c>
      <c r="S1168" t="s">
        <v>97</v>
      </c>
      <c r="T1168" t="s">
        <v>97</v>
      </c>
      <c r="U1168" t="s">
        <v>97</v>
      </c>
      <c r="V1168">
        <v>35769.9</v>
      </c>
      <c r="W1168">
        <v>234864</v>
      </c>
      <c r="X1168">
        <v>10054</v>
      </c>
      <c r="Y1168">
        <f t="shared" si="18"/>
        <v>234864</v>
      </c>
      <c r="Z1168" t="str">
        <f>IF(ISNUMBER(SEARCH("Adjustment",$C1168)),"excluded",IF($H1168="Behind the Meter","excluded",IF(NOT(OR($E1168="Bundled",$E1168="Energy")),"excluded",IF(OR($H1168="Retail Power Marketer",$H1168="Community Choice Aggregator",$E1168="Energy"),"procurement",IF(OR($H1168="Municipal",$H1168="Cooperative",$H1168="Federal",$H1168="State",$H1168="Political Subdivision"),"cost_service",IF($H1168="Investor Owned",IF(AND(COUNTIF(Parameters!$A$4:$A$33,$G1168)&gt;0,COUNTIF(Parameters!$B$4:$B$33,$B1168)=0),"procurement","cost_service"),"unclassified"))))))</f>
        <v>cost_service</v>
      </c>
    </row>
    <row r="1169" spans="1:26" x14ac:dyDescent="0.25">
      <c r="A1169">
        <v>2024</v>
      </c>
      <c r="B1169">
        <v>17044</v>
      </c>
      <c r="C1169" t="s">
        <v>1123</v>
      </c>
      <c r="D1169" t="s">
        <v>84</v>
      </c>
      <c r="E1169" t="s">
        <v>85</v>
      </c>
      <c r="F1169" t="s">
        <v>86</v>
      </c>
      <c r="G1169" t="s">
        <v>209</v>
      </c>
      <c r="H1169" t="s">
        <v>91</v>
      </c>
      <c r="I1169" t="s">
        <v>92</v>
      </c>
      <c r="J1169">
        <v>32654</v>
      </c>
      <c r="K1169">
        <v>247143</v>
      </c>
      <c r="L1169">
        <v>17437</v>
      </c>
      <c r="M1169">
        <v>9240</v>
      </c>
      <c r="N1169">
        <v>87359</v>
      </c>
      <c r="O1169">
        <v>627</v>
      </c>
      <c r="P1169">
        <v>11488</v>
      </c>
      <c r="Q1169">
        <v>136815</v>
      </c>
      <c r="R1169">
        <v>12</v>
      </c>
      <c r="S1169" t="s">
        <v>97</v>
      </c>
      <c r="T1169" t="s">
        <v>97</v>
      </c>
      <c r="U1169" t="s">
        <v>97</v>
      </c>
      <c r="V1169">
        <v>53382</v>
      </c>
      <c r="W1169">
        <v>471317</v>
      </c>
      <c r="X1169">
        <v>18076</v>
      </c>
      <c r="Y1169">
        <f t="shared" si="18"/>
        <v>471317</v>
      </c>
      <c r="Z1169" t="str">
        <f>IF(ISNUMBER(SEARCH("Adjustment",$C1169)),"excluded",IF($H1169="Behind the Meter","excluded",IF(NOT(OR($E1169="Bundled",$E1169="Energy")),"excluded",IF(OR($H1169="Retail Power Marketer",$H1169="Community Choice Aggregator",$E1169="Energy"),"procurement",IF(OR($H1169="Municipal",$H1169="Cooperative",$H1169="Federal",$H1169="State",$H1169="Political Subdivision"),"cost_service",IF($H1169="Investor Owned",IF(AND(COUNTIF(Parameters!$A$4:$A$33,$G1169)&gt;0,COUNTIF(Parameters!$B$4:$B$33,$B1169)=0),"procurement","cost_service"),"unclassified"))))))</f>
        <v>cost_service</v>
      </c>
    </row>
    <row r="1170" spans="1:26" x14ac:dyDescent="0.25">
      <c r="A1170">
        <v>2024</v>
      </c>
      <c r="B1170">
        <v>17047</v>
      </c>
      <c r="C1170" t="s">
        <v>1124</v>
      </c>
      <c r="D1170" t="s">
        <v>84</v>
      </c>
      <c r="E1170" t="s">
        <v>85</v>
      </c>
      <c r="F1170" t="s">
        <v>86</v>
      </c>
      <c r="G1170" t="s">
        <v>156</v>
      </c>
      <c r="H1170" t="s">
        <v>88</v>
      </c>
      <c r="I1170" t="s">
        <v>89</v>
      </c>
      <c r="J1170">
        <v>14880</v>
      </c>
      <c r="K1170">
        <v>131389</v>
      </c>
      <c r="L1170">
        <v>9877</v>
      </c>
      <c r="M1170">
        <v>15390</v>
      </c>
      <c r="N1170">
        <v>133061</v>
      </c>
      <c r="O1170">
        <v>1863</v>
      </c>
      <c r="P1170">
        <v>6812</v>
      </c>
      <c r="Q1170">
        <v>94363</v>
      </c>
      <c r="R1170">
        <v>6</v>
      </c>
      <c r="S1170">
        <v>0</v>
      </c>
      <c r="T1170">
        <v>0</v>
      </c>
      <c r="U1170">
        <v>0</v>
      </c>
      <c r="V1170">
        <v>37082</v>
      </c>
      <c r="W1170">
        <v>358813</v>
      </c>
      <c r="X1170">
        <v>11746</v>
      </c>
      <c r="Y1170">
        <f t="shared" si="18"/>
        <v>358813</v>
      </c>
      <c r="Z1170" t="str">
        <f>IF(ISNUMBER(SEARCH("Adjustment",$C1170)),"excluded",IF($H1170="Behind the Meter","excluded",IF(NOT(OR($E1170="Bundled",$E1170="Energy")),"excluded",IF(OR($H1170="Retail Power Marketer",$H1170="Community Choice Aggregator",$E1170="Energy"),"procurement",IF(OR($H1170="Municipal",$H1170="Cooperative",$H1170="Federal",$H1170="State",$H1170="Political Subdivision"),"cost_service",IF($H1170="Investor Owned",IF(AND(COUNTIF(Parameters!$A$4:$A$33,$G1170)&gt;0,COUNTIF(Parameters!$B$4:$B$33,$B1170)=0),"procurement","cost_service"),"unclassified"))))))</f>
        <v>cost_service</v>
      </c>
    </row>
    <row r="1171" spans="1:26" x14ac:dyDescent="0.25">
      <c r="A1171">
        <v>2024</v>
      </c>
      <c r="B1171">
        <v>17066</v>
      </c>
      <c r="C1171" t="s">
        <v>1125</v>
      </c>
      <c r="D1171" t="s">
        <v>84</v>
      </c>
      <c r="E1171" t="s">
        <v>85</v>
      </c>
      <c r="F1171" t="s">
        <v>86</v>
      </c>
      <c r="G1171" t="s">
        <v>93</v>
      </c>
      <c r="H1171" t="s">
        <v>91</v>
      </c>
      <c r="I1171" t="s">
        <v>92</v>
      </c>
      <c r="J1171">
        <v>164727.5</v>
      </c>
      <c r="K1171">
        <v>1192869</v>
      </c>
      <c r="L1171">
        <v>85281</v>
      </c>
      <c r="M1171">
        <v>64563.7</v>
      </c>
      <c r="N1171">
        <v>525096</v>
      </c>
      <c r="O1171">
        <v>15465</v>
      </c>
      <c r="P1171">
        <v>61845.599999999999</v>
      </c>
      <c r="Q1171">
        <v>679294</v>
      </c>
      <c r="R1171">
        <v>81</v>
      </c>
      <c r="S1171">
        <v>0</v>
      </c>
      <c r="T1171">
        <v>0</v>
      </c>
      <c r="U1171">
        <v>0</v>
      </c>
      <c r="V1171">
        <v>291136.8</v>
      </c>
      <c r="W1171">
        <v>2397259</v>
      </c>
      <c r="X1171">
        <v>100827</v>
      </c>
      <c r="Y1171">
        <f t="shared" si="18"/>
        <v>2397259</v>
      </c>
      <c r="Z1171" t="str">
        <f>IF(ISNUMBER(SEARCH("Adjustment",$C1171)),"excluded",IF($H1171="Behind the Meter","excluded",IF(NOT(OR($E1171="Bundled",$E1171="Energy")),"excluded",IF(OR($H1171="Retail Power Marketer",$H1171="Community Choice Aggregator",$E1171="Energy"),"procurement",IF(OR($H1171="Municipal",$H1171="Cooperative",$H1171="Federal",$H1171="State",$H1171="Political Subdivision"),"cost_service",IF($H1171="Investor Owned",IF(AND(COUNTIF(Parameters!$A$4:$A$33,$G1171)&gt;0,COUNTIF(Parameters!$B$4:$B$33,$B1171)=0),"procurement","cost_service"),"unclassified"))))))</f>
        <v>cost_service</v>
      </c>
    </row>
    <row r="1172" spans="1:26" x14ac:dyDescent="0.25">
      <c r="A1172">
        <v>2024</v>
      </c>
      <c r="B1172">
        <v>17127</v>
      </c>
      <c r="C1172" t="s">
        <v>1126</v>
      </c>
      <c r="D1172" t="s">
        <v>84</v>
      </c>
      <c r="E1172" t="s">
        <v>85</v>
      </c>
      <c r="F1172" t="s">
        <v>86</v>
      </c>
      <c r="G1172" t="s">
        <v>48</v>
      </c>
      <c r="H1172" t="s">
        <v>88</v>
      </c>
      <c r="I1172" t="s">
        <v>189</v>
      </c>
      <c r="J1172">
        <v>19669</v>
      </c>
      <c r="K1172">
        <v>137811</v>
      </c>
      <c r="L1172">
        <v>15713</v>
      </c>
      <c r="M1172">
        <v>6535</v>
      </c>
      <c r="N1172">
        <v>44781</v>
      </c>
      <c r="O1172">
        <v>1171</v>
      </c>
      <c r="P1172">
        <v>11705</v>
      </c>
      <c r="Q1172">
        <v>96656</v>
      </c>
      <c r="R1172">
        <v>102</v>
      </c>
      <c r="S1172" t="s">
        <v>97</v>
      </c>
      <c r="T1172" t="s">
        <v>97</v>
      </c>
      <c r="U1172" t="s">
        <v>97</v>
      </c>
      <c r="V1172">
        <v>37909</v>
      </c>
      <c r="W1172">
        <v>279248</v>
      </c>
      <c r="X1172">
        <v>16986</v>
      </c>
      <c r="Y1172">
        <f t="shared" si="18"/>
        <v>279248</v>
      </c>
      <c r="Z1172" t="str">
        <f>IF(ISNUMBER(SEARCH("Adjustment",$C1172)),"excluded",IF($H1172="Behind the Meter","excluded",IF(NOT(OR($E1172="Bundled",$E1172="Energy")),"excluded",IF(OR($H1172="Retail Power Marketer",$H1172="Community Choice Aggregator",$E1172="Energy"),"procurement",IF(OR($H1172="Municipal",$H1172="Cooperative",$H1172="Federal",$H1172="State",$H1172="Political Subdivision"),"cost_service",IF($H1172="Investor Owned",IF(AND(COUNTIF(Parameters!$A$4:$A$33,$G1172)&gt;0,COUNTIF(Parameters!$B$4:$B$33,$B1172)=0),"procurement","cost_service"),"unclassified"))))))</f>
        <v>cost_service</v>
      </c>
    </row>
    <row r="1173" spans="1:26" x14ac:dyDescent="0.25">
      <c r="A1173">
        <v>2024</v>
      </c>
      <c r="B1173">
        <v>17166</v>
      </c>
      <c r="C1173" t="s">
        <v>1127</v>
      </c>
      <c r="D1173" t="s">
        <v>84</v>
      </c>
      <c r="E1173" t="s">
        <v>85</v>
      </c>
      <c r="F1173" t="s">
        <v>86</v>
      </c>
      <c r="G1173" t="s">
        <v>242</v>
      </c>
      <c r="H1173" t="s">
        <v>109</v>
      </c>
      <c r="I1173" t="s">
        <v>390</v>
      </c>
      <c r="J1173">
        <v>395796.6</v>
      </c>
      <c r="K1173">
        <v>2726243</v>
      </c>
      <c r="L1173">
        <v>330891</v>
      </c>
      <c r="M1173">
        <v>409562</v>
      </c>
      <c r="N1173">
        <v>3647749</v>
      </c>
      <c r="O1173">
        <v>49425</v>
      </c>
      <c r="P1173">
        <v>222328.5</v>
      </c>
      <c r="Q1173">
        <v>2280204</v>
      </c>
      <c r="R1173">
        <v>1532</v>
      </c>
      <c r="S1173">
        <v>0</v>
      </c>
      <c r="T1173">
        <v>0</v>
      </c>
      <c r="U1173">
        <v>0</v>
      </c>
      <c r="V1173">
        <v>1027687.1</v>
      </c>
      <c r="W1173">
        <v>8654196</v>
      </c>
      <c r="X1173">
        <v>381848</v>
      </c>
      <c r="Y1173">
        <f t="shared" si="18"/>
        <v>8654196</v>
      </c>
      <c r="Z1173" t="str">
        <f>IF(ISNUMBER(SEARCH("Adjustment",$C1173)),"excluded",IF($H1173="Behind the Meter","excluded",IF(NOT(OR($E1173="Bundled",$E1173="Energy")),"excluded",IF(OR($H1173="Retail Power Marketer",$H1173="Community Choice Aggregator",$E1173="Energy"),"procurement",IF(OR($H1173="Municipal",$H1173="Cooperative",$H1173="Federal",$H1173="State",$H1173="Political Subdivision"),"cost_service",IF($H1173="Investor Owned",IF(AND(COUNTIF(Parameters!$A$4:$A$33,$G1173)&gt;0,COUNTIF(Parameters!$B$4:$B$33,$B1173)=0),"procurement","cost_service"),"unclassified"))))))</f>
        <v>cost_service</v>
      </c>
    </row>
    <row r="1174" spans="1:26" x14ac:dyDescent="0.25">
      <c r="A1174">
        <v>2024</v>
      </c>
      <c r="B1174">
        <v>17166</v>
      </c>
      <c r="C1174" t="s">
        <v>1127</v>
      </c>
      <c r="D1174" t="s">
        <v>167</v>
      </c>
      <c r="E1174" t="s">
        <v>168</v>
      </c>
      <c r="F1174" t="s">
        <v>86</v>
      </c>
      <c r="G1174" t="s">
        <v>242</v>
      </c>
      <c r="H1174" t="s">
        <v>109</v>
      </c>
      <c r="I1174" t="s">
        <v>390</v>
      </c>
      <c r="J1174" t="s">
        <v>97</v>
      </c>
      <c r="K1174" t="s">
        <v>97</v>
      </c>
      <c r="L1174" t="s">
        <v>97</v>
      </c>
      <c r="M1174">
        <v>2309.9</v>
      </c>
      <c r="N1174">
        <v>522550</v>
      </c>
      <c r="O1174">
        <v>18</v>
      </c>
      <c r="P1174">
        <v>6793.9</v>
      </c>
      <c r="Q1174">
        <v>2441334</v>
      </c>
      <c r="R1174">
        <v>7</v>
      </c>
      <c r="S1174" t="s">
        <v>97</v>
      </c>
      <c r="T1174" t="s">
        <v>97</v>
      </c>
      <c r="U1174" t="s">
        <v>97</v>
      </c>
      <c r="V1174">
        <v>9103.7999999999993</v>
      </c>
      <c r="W1174">
        <v>2963884</v>
      </c>
      <c r="X1174">
        <v>25</v>
      </c>
      <c r="Y1174">
        <f t="shared" si="18"/>
        <v>2963884</v>
      </c>
      <c r="Z1174" t="str">
        <f>IF(ISNUMBER(SEARCH("Adjustment",$C1174)),"excluded",IF($H1174="Behind the Meter","excluded",IF(NOT(OR($E1174="Bundled",$E1174="Energy")),"excluded",IF(OR($H1174="Retail Power Marketer",$H1174="Community Choice Aggregator",$E1174="Energy"),"procurement",IF(OR($H1174="Municipal",$H1174="Cooperative",$H1174="Federal",$H1174="State",$H1174="Political Subdivision"),"cost_service",IF($H1174="Investor Owned",IF(AND(COUNTIF(Parameters!$A$4:$A$33,$G1174)&gt;0,COUNTIF(Parameters!$B$4:$B$33,$B1174)=0),"procurement","cost_service"),"unclassified"))))))</f>
        <v>excluded</v>
      </c>
    </row>
    <row r="1175" spans="1:26" x14ac:dyDescent="0.25">
      <c r="A1175">
        <v>2024</v>
      </c>
      <c r="B1175">
        <v>17177</v>
      </c>
      <c r="C1175" t="s">
        <v>1128</v>
      </c>
      <c r="D1175" t="s">
        <v>84</v>
      </c>
      <c r="E1175" t="s">
        <v>85</v>
      </c>
      <c r="F1175" t="s">
        <v>86</v>
      </c>
      <c r="G1175" t="s">
        <v>226</v>
      </c>
      <c r="H1175" t="s">
        <v>88</v>
      </c>
      <c r="I1175" t="s">
        <v>980</v>
      </c>
      <c r="J1175">
        <v>11219.3</v>
      </c>
      <c r="K1175">
        <v>113575</v>
      </c>
      <c r="L1175">
        <v>7058</v>
      </c>
      <c r="M1175">
        <v>12175.3</v>
      </c>
      <c r="N1175">
        <v>122501</v>
      </c>
      <c r="O1175">
        <v>1669</v>
      </c>
      <c r="P1175">
        <v>7237</v>
      </c>
      <c r="Q1175">
        <v>114137</v>
      </c>
      <c r="R1175">
        <v>22</v>
      </c>
      <c r="S1175" t="s">
        <v>97</v>
      </c>
      <c r="T1175" t="s">
        <v>97</v>
      </c>
      <c r="U1175" t="s">
        <v>97</v>
      </c>
      <c r="V1175">
        <v>30631.599999999999</v>
      </c>
      <c r="W1175">
        <v>350213</v>
      </c>
      <c r="X1175">
        <v>8749</v>
      </c>
      <c r="Y1175">
        <f t="shared" si="18"/>
        <v>350213</v>
      </c>
      <c r="Z1175" t="str">
        <f>IF(ISNUMBER(SEARCH("Adjustment",$C1175)),"excluded",IF($H1175="Behind the Meter","excluded",IF(NOT(OR($E1175="Bundled",$E1175="Energy")),"excluded",IF(OR($H1175="Retail Power Marketer",$H1175="Community Choice Aggregator",$E1175="Energy"),"procurement",IF(OR($H1175="Municipal",$H1175="Cooperative",$H1175="Federal",$H1175="State",$H1175="Political Subdivision"),"cost_service",IF($H1175="Investor Owned",IF(AND(COUNTIF(Parameters!$A$4:$A$33,$G1175)&gt;0,COUNTIF(Parameters!$B$4:$B$33,$B1175)=0),"procurement","cost_service"),"unclassified"))))))</f>
        <v>cost_service</v>
      </c>
    </row>
    <row r="1176" spans="1:26" x14ac:dyDescent="0.25">
      <c r="A1176">
        <v>2024</v>
      </c>
      <c r="B1176">
        <v>17184</v>
      </c>
      <c r="C1176" t="s">
        <v>1129</v>
      </c>
      <c r="D1176" t="s">
        <v>84</v>
      </c>
      <c r="E1176" t="s">
        <v>85</v>
      </c>
      <c r="F1176" t="s">
        <v>86</v>
      </c>
      <c r="G1176" t="s">
        <v>173</v>
      </c>
      <c r="H1176" t="s">
        <v>88</v>
      </c>
      <c r="I1176" t="s">
        <v>135</v>
      </c>
      <c r="J1176">
        <v>10344</v>
      </c>
      <c r="K1176">
        <v>88813</v>
      </c>
      <c r="L1176">
        <v>8590</v>
      </c>
      <c r="M1176">
        <v>2708</v>
      </c>
      <c r="N1176">
        <v>20916</v>
      </c>
      <c r="O1176">
        <v>954</v>
      </c>
      <c r="P1176">
        <v>15995</v>
      </c>
      <c r="Q1176">
        <v>196645</v>
      </c>
      <c r="R1176">
        <v>243</v>
      </c>
      <c r="S1176" t="s">
        <v>97</v>
      </c>
      <c r="T1176" t="s">
        <v>97</v>
      </c>
      <c r="U1176" t="s">
        <v>97</v>
      </c>
      <c r="V1176">
        <v>29047</v>
      </c>
      <c r="W1176">
        <v>306374</v>
      </c>
      <c r="X1176">
        <v>9787</v>
      </c>
      <c r="Y1176">
        <f t="shared" si="18"/>
        <v>306374</v>
      </c>
      <c r="Z1176" t="str">
        <f>IF(ISNUMBER(SEARCH("Adjustment",$C1176)),"excluded",IF($H1176="Behind the Meter","excluded",IF(NOT(OR($E1176="Bundled",$E1176="Energy")),"excluded",IF(OR($H1176="Retail Power Marketer",$H1176="Community Choice Aggregator",$E1176="Energy"),"procurement",IF(OR($H1176="Municipal",$H1176="Cooperative",$H1176="Federal",$H1176="State",$H1176="Political Subdivision"),"cost_service",IF($H1176="Investor Owned",IF(AND(COUNTIF(Parameters!$A$4:$A$33,$G1176)&gt;0,COUNTIF(Parameters!$B$4:$B$33,$B1176)=0),"procurement","cost_service"),"unclassified"))))))</f>
        <v>cost_service</v>
      </c>
    </row>
    <row r="1177" spans="1:26" x14ac:dyDescent="0.25">
      <c r="A1177">
        <v>2024</v>
      </c>
      <c r="B1177">
        <v>17252</v>
      </c>
      <c r="C1177" t="s">
        <v>1130</v>
      </c>
      <c r="D1177" t="s">
        <v>84</v>
      </c>
      <c r="E1177" t="s">
        <v>85</v>
      </c>
      <c r="F1177" t="s">
        <v>86</v>
      </c>
      <c r="G1177" t="s">
        <v>112</v>
      </c>
      <c r="H1177" t="s">
        <v>91</v>
      </c>
      <c r="I1177" t="s">
        <v>113</v>
      </c>
      <c r="J1177">
        <v>653.1</v>
      </c>
      <c r="K1177">
        <v>4897</v>
      </c>
      <c r="L1177">
        <v>336</v>
      </c>
      <c r="M1177">
        <v>78.900000000000006</v>
      </c>
      <c r="N1177">
        <v>640</v>
      </c>
      <c r="O1177">
        <v>16</v>
      </c>
      <c r="P1177" t="s">
        <v>97</v>
      </c>
      <c r="Q1177" t="s">
        <v>97</v>
      </c>
      <c r="R1177" t="s">
        <v>97</v>
      </c>
      <c r="S1177" t="s">
        <v>97</v>
      </c>
      <c r="T1177" t="s">
        <v>97</v>
      </c>
      <c r="U1177" t="s">
        <v>97</v>
      </c>
      <c r="V1177">
        <v>732</v>
      </c>
      <c r="W1177">
        <v>5537</v>
      </c>
      <c r="X1177">
        <v>352</v>
      </c>
      <c r="Y1177">
        <f t="shared" si="18"/>
        <v>5537</v>
      </c>
      <c r="Z1177" t="str">
        <f>IF(ISNUMBER(SEARCH("Adjustment",$C1177)),"excluded",IF($H1177="Behind the Meter","excluded",IF(NOT(OR($E1177="Bundled",$E1177="Energy")),"excluded",IF(OR($H1177="Retail Power Marketer",$H1177="Community Choice Aggregator",$E1177="Energy"),"procurement",IF(OR($H1177="Municipal",$H1177="Cooperative",$H1177="Federal",$H1177="State",$H1177="Political Subdivision"),"cost_service",IF($H1177="Investor Owned",IF(AND(COUNTIF(Parameters!$A$4:$A$33,$G1177)&gt;0,COUNTIF(Parameters!$B$4:$B$33,$B1177)=0),"procurement","cost_service"),"unclassified"))))))</f>
        <v>cost_service</v>
      </c>
    </row>
    <row r="1178" spans="1:26" x14ac:dyDescent="0.25">
      <c r="A1178">
        <v>2024</v>
      </c>
      <c r="B1178">
        <v>17252</v>
      </c>
      <c r="C1178" t="s">
        <v>1130</v>
      </c>
      <c r="D1178" t="s">
        <v>84</v>
      </c>
      <c r="E1178" t="s">
        <v>85</v>
      </c>
      <c r="F1178" t="s">
        <v>86</v>
      </c>
      <c r="G1178" t="s">
        <v>87</v>
      </c>
      <c r="H1178" t="s">
        <v>91</v>
      </c>
      <c r="I1178" t="s">
        <v>96</v>
      </c>
      <c r="J1178">
        <v>140826.6</v>
      </c>
      <c r="K1178">
        <v>1046069</v>
      </c>
      <c r="L1178">
        <v>72343</v>
      </c>
      <c r="M1178">
        <v>41270.699999999997</v>
      </c>
      <c r="N1178">
        <v>345789</v>
      </c>
      <c r="O1178">
        <v>7903</v>
      </c>
      <c r="P1178">
        <v>7570.8</v>
      </c>
      <c r="Q1178">
        <v>78433</v>
      </c>
      <c r="R1178">
        <v>15</v>
      </c>
      <c r="S1178">
        <v>0</v>
      </c>
      <c r="T1178">
        <v>0</v>
      </c>
      <c r="U1178">
        <v>0</v>
      </c>
      <c r="V1178">
        <v>189668.1</v>
      </c>
      <c r="W1178">
        <v>1470291</v>
      </c>
      <c r="X1178">
        <v>80261</v>
      </c>
      <c r="Y1178">
        <f t="shared" si="18"/>
        <v>1470291</v>
      </c>
      <c r="Z1178" t="str">
        <f>IF(ISNUMBER(SEARCH("Adjustment",$C1178)),"excluded",IF($H1178="Behind the Meter","excluded",IF(NOT(OR($E1178="Bundled",$E1178="Energy")),"excluded",IF(OR($H1178="Retail Power Marketer",$H1178="Community Choice Aggregator",$E1178="Energy"),"procurement",IF(OR($H1178="Municipal",$H1178="Cooperative",$H1178="Federal",$H1178="State",$H1178="Political Subdivision"),"cost_service",IF($H1178="Investor Owned",IF(AND(COUNTIF(Parameters!$A$4:$A$33,$G1178)&gt;0,COUNTIF(Parameters!$B$4:$B$33,$B1178)=0),"procurement","cost_service"),"unclassified"))))))</f>
        <v>cost_service</v>
      </c>
    </row>
    <row r="1179" spans="1:26" x14ac:dyDescent="0.25">
      <c r="A1179">
        <v>2024</v>
      </c>
      <c r="B1179">
        <v>17260</v>
      </c>
      <c r="C1179" t="s">
        <v>1131</v>
      </c>
      <c r="D1179" t="s">
        <v>84</v>
      </c>
      <c r="E1179" t="s">
        <v>85</v>
      </c>
      <c r="F1179" t="s">
        <v>86</v>
      </c>
      <c r="G1179" t="s">
        <v>146</v>
      </c>
      <c r="H1179" t="s">
        <v>91</v>
      </c>
      <c r="I1179" t="s">
        <v>135</v>
      </c>
      <c r="J1179">
        <v>22965.9</v>
      </c>
      <c r="K1179">
        <v>247896</v>
      </c>
      <c r="L1179">
        <v>9400</v>
      </c>
      <c r="M1179">
        <v>34250.6</v>
      </c>
      <c r="N1179">
        <v>503569</v>
      </c>
      <c r="O1179">
        <v>926</v>
      </c>
      <c r="P1179">
        <v>555.1</v>
      </c>
      <c r="Q1179">
        <v>6420</v>
      </c>
      <c r="R1179">
        <v>62</v>
      </c>
      <c r="S1179">
        <v>0</v>
      </c>
      <c r="T1179">
        <v>0</v>
      </c>
      <c r="U1179">
        <v>0</v>
      </c>
      <c r="V1179">
        <v>57771.6</v>
      </c>
      <c r="W1179">
        <v>757885</v>
      </c>
      <c r="X1179">
        <v>10388</v>
      </c>
      <c r="Y1179">
        <f t="shared" si="18"/>
        <v>757885</v>
      </c>
      <c r="Z1179" t="str">
        <f>IF(ISNUMBER(SEARCH("Adjustment",$C1179)),"excluded",IF($H1179="Behind the Meter","excluded",IF(NOT(OR($E1179="Bundled",$E1179="Energy")),"excluded",IF(OR($H1179="Retail Power Marketer",$H1179="Community Choice Aggregator",$E1179="Energy"),"procurement",IF(OR($H1179="Municipal",$H1179="Cooperative",$H1179="Federal",$H1179="State",$H1179="Political Subdivision"),"cost_service",IF($H1179="Investor Owned",IF(AND(COUNTIF(Parameters!$A$4:$A$33,$G1179)&gt;0,COUNTIF(Parameters!$B$4:$B$33,$B1179)=0),"procurement","cost_service"),"unclassified"))))))</f>
        <v>cost_service</v>
      </c>
    </row>
    <row r="1180" spans="1:26" x14ac:dyDescent="0.25">
      <c r="A1180">
        <v>2024</v>
      </c>
      <c r="B1180">
        <v>17261</v>
      </c>
      <c r="C1180" t="s">
        <v>1132</v>
      </c>
      <c r="D1180" t="s">
        <v>84</v>
      </c>
      <c r="E1180" t="s">
        <v>85</v>
      </c>
      <c r="F1180" t="s">
        <v>86</v>
      </c>
      <c r="G1180" t="s">
        <v>198</v>
      </c>
      <c r="H1180" t="s">
        <v>91</v>
      </c>
      <c r="I1180" t="s">
        <v>135</v>
      </c>
      <c r="J1180">
        <v>5981</v>
      </c>
      <c r="K1180">
        <v>43295</v>
      </c>
      <c r="L1180">
        <v>3204</v>
      </c>
      <c r="M1180">
        <v>2827</v>
      </c>
      <c r="N1180">
        <v>19770</v>
      </c>
      <c r="O1180">
        <v>590</v>
      </c>
      <c r="P1180">
        <v>10621</v>
      </c>
      <c r="Q1180">
        <v>141610</v>
      </c>
      <c r="R1180">
        <v>304</v>
      </c>
      <c r="S1180">
        <v>0</v>
      </c>
      <c r="T1180">
        <v>0</v>
      </c>
      <c r="U1180">
        <v>0</v>
      </c>
      <c r="V1180">
        <v>19429</v>
      </c>
      <c r="W1180">
        <v>204675</v>
      </c>
      <c r="X1180">
        <v>4098</v>
      </c>
      <c r="Y1180">
        <f t="shared" si="18"/>
        <v>204675</v>
      </c>
      <c r="Z1180" t="str">
        <f>IF(ISNUMBER(SEARCH("Adjustment",$C1180)),"excluded",IF($H1180="Behind the Meter","excluded",IF(NOT(OR($E1180="Bundled",$E1180="Energy")),"excluded",IF(OR($H1180="Retail Power Marketer",$H1180="Community Choice Aggregator",$E1180="Energy"),"procurement",IF(OR($H1180="Municipal",$H1180="Cooperative",$H1180="Federal",$H1180="State",$H1180="Political Subdivision"),"cost_service",IF($H1180="Investor Owned",IF(AND(COUNTIF(Parameters!$A$4:$A$33,$G1180)&gt;0,COUNTIF(Parameters!$B$4:$B$33,$B1180)=0),"procurement","cost_service"),"unclassified"))))))</f>
        <v>cost_service</v>
      </c>
    </row>
    <row r="1181" spans="1:26" x14ac:dyDescent="0.25">
      <c r="A1181">
        <v>2024</v>
      </c>
      <c r="B1181">
        <v>17267</v>
      </c>
      <c r="C1181" t="s">
        <v>1133</v>
      </c>
      <c r="D1181" t="s">
        <v>84</v>
      </c>
      <c r="E1181" t="s">
        <v>85</v>
      </c>
      <c r="F1181" t="s">
        <v>86</v>
      </c>
      <c r="G1181" t="s">
        <v>104</v>
      </c>
      <c r="H1181" t="s">
        <v>91</v>
      </c>
      <c r="I1181" t="s">
        <v>135</v>
      </c>
      <c r="J1181">
        <v>10165.799999999999</v>
      </c>
      <c r="K1181">
        <v>80620</v>
      </c>
      <c r="L1181">
        <v>3370</v>
      </c>
      <c r="M1181">
        <v>1064.3</v>
      </c>
      <c r="N1181">
        <v>6518</v>
      </c>
      <c r="O1181">
        <v>405</v>
      </c>
      <c r="P1181">
        <v>4778.8</v>
      </c>
      <c r="Q1181">
        <v>48973</v>
      </c>
      <c r="R1181">
        <v>122</v>
      </c>
      <c r="S1181" t="s">
        <v>97</v>
      </c>
      <c r="T1181" t="s">
        <v>97</v>
      </c>
      <c r="U1181" t="s">
        <v>97</v>
      </c>
      <c r="V1181">
        <v>16008.9</v>
      </c>
      <c r="W1181">
        <v>136111</v>
      </c>
      <c r="X1181">
        <v>3897</v>
      </c>
      <c r="Y1181">
        <f t="shared" si="18"/>
        <v>136111</v>
      </c>
      <c r="Z1181" t="str">
        <f>IF(ISNUMBER(SEARCH("Adjustment",$C1181)),"excluded",IF($H1181="Behind the Meter","excluded",IF(NOT(OR($E1181="Bundled",$E1181="Energy")),"excluded",IF(OR($H1181="Retail Power Marketer",$H1181="Community Choice Aggregator",$E1181="Energy"),"procurement",IF(OR($H1181="Municipal",$H1181="Cooperative",$H1181="Federal",$H1181="State",$H1181="Political Subdivision"),"cost_service",IF($H1181="Investor Owned",IF(AND(COUNTIF(Parameters!$A$4:$A$33,$G1181)&gt;0,COUNTIF(Parameters!$B$4:$B$33,$B1181)=0),"procurement","cost_service"),"unclassified"))))))</f>
        <v>cost_service</v>
      </c>
    </row>
    <row r="1182" spans="1:26" x14ac:dyDescent="0.25">
      <c r="A1182">
        <v>2024</v>
      </c>
      <c r="B1182">
        <v>17267</v>
      </c>
      <c r="C1182" t="s">
        <v>1133</v>
      </c>
      <c r="D1182" t="s">
        <v>84</v>
      </c>
      <c r="E1182" t="s">
        <v>85</v>
      </c>
      <c r="F1182" t="s">
        <v>86</v>
      </c>
      <c r="G1182" t="s">
        <v>224</v>
      </c>
      <c r="H1182" t="s">
        <v>91</v>
      </c>
      <c r="I1182" t="s">
        <v>135</v>
      </c>
      <c r="J1182">
        <v>42731.4</v>
      </c>
      <c r="K1182">
        <v>330339</v>
      </c>
      <c r="L1182">
        <v>22213</v>
      </c>
      <c r="M1182">
        <v>7691.5</v>
      </c>
      <c r="N1182">
        <v>49192</v>
      </c>
      <c r="O1182">
        <v>2530</v>
      </c>
      <c r="P1182">
        <v>35540.800000000003</v>
      </c>
      <c r="Q1182">
        <v>408323</v>
      </c>
      <c r="R1182">
        <v>546</v>
      </c>
      <c r="S1182" t="s">
        <v>97</v>
      </c>
      <c r="T1182" t="s">
        <v>97</v>
      </c>
      <c r="U1182" t="s">
        <v>97</v>
      </c>
      <c r="V1182">
        <v>85963.7</v>
      </c>
      <c r="W1182">
        <v>787854</v>
      </c>
      <c r="X1182">
        <v>25289</v>
      </c>
      <c r="Y1182">
        <f t="shared" si="18"/>
        <v>787854</v>
      </c>
      <c r="Z1182" t="str">
        <f>IF(ISNUMBER(SEARCH("Adjustment",$C1182)),"excluded",IF($H1182="Behind the Meter","excluded",IF(NOT(OR($E1182="Bundled",$E1182="Energy")),"excluded",IF(OR($H1182="Retail Power Marketer",$H1182="Community Choice Aggregator",$E1182="Energy"),"procurement",IF(OR($H1182="Municipal",$H1182="Cooperative",$H1182="Federal",$H1182="State",$H1182="Political Subdivision"),"cost_service",IF($H1182="Investor Owned",IF(AND(COUNTIF(Parameters!$A$4:$A$33,$G1182)&gt;0,COUNTIF(Parameters!$B$4:$B$33,$B1182)=0),"procurement","cost_service"),"unclassified"))))))</f>
        <v>cost_service</v>
      </c>
    </row>
    <row r="1183" spans="1:26" x14ac:dyDescent="0.25">
      <c r="A1183">
        <v>2024</v>
      </c>
      <c r="B1183">
        <v>17324</v>
      </c>
      <c r="C1183" t="s">
        <v>1134</v>
      </c>
      <c r="D1183" t="s">
        <v>84</v>
      </c>
      <c r="E1183" t="s">
        <v>85</v>
      </c>
      <c r="F1183" t="s">
        <v>86</v>
      </c>
      <c r="G1183" t="s">
        <v>95</v>
      </c>
      <c r="H1183" t="s">
        <v>88</v>
      </c>
      <c r="I1183" t="s">
        <v>96</v>
      </c>
      <c r="J1183">
        <v>2505.6</v>
      </c>
      <c r="K1183">
        <v>20765</v>
      </c>
      <c r="L1183">
        <v>2586</v>
      </c>
      <c r="M1183">
        <v>2472.4</v>
      </c>
      <c r="N1183">
        <v>21120</v>
      </c>
      <c r="O1183">
        <v>451</v>
      </c>
      <c r="P1183">
        <v>0</v>
      </c>
      <c r="Q1183">
        <v>0</v>
      </c>
      <c r="R1183">
        <v>0</v>
      </c>
      <c r="S1183">
        <v>0</v>
      </c>
      <c r="T1183">
        <v>0</v>
      </c>
      <c r="U1183">
        <v>0</v>
      </c>
      <c r="V1183">
        <v>4978</v>
      </c>
      <c r="W1183">
        <v>41885</v>
      </c>
      <c r="X1183">
        <v>3037</v>
      </c>
      <c r="Y1183">
        <f t="shared" si="18"/>
        <v>41885</v>
      </c>
      <c r="Z1183" t="str">
        <f>IF(ISNUMBER(SEARCH("Adjustment",$C1183)),"excluded",IF($H1183="Behind the Meter","excluded",IF(NOT(OR($E1183="Bundled",$E1183="Energy")),"excluded",IF(OR($H1183="Retail Power Marketer",$H1183="Community Choice Aggregator",$E1183="Energy"),"procurement",IF(OR($H1183="Municipal",$H1183="Cooperative",$H1183="Federal",$H1183="State",$H1183="Political Subdivision"),"cost_service",IF($H1183="Investor Owned",IF(AND(COUNTIF(Parameters!$A$4:$A$33,$G1183)&gt;0,COUNTIF(Parameters!$B$4:$B$33,$B1183)=0),"procurement","cost_service"),"unclassified"))))))</f>
        <v>cost_service</v>
      </c>
    </row>
    <row r="1184" spans="1:26" x14ac:dyDescent="0.25">
      <c r="A1184">
        <v>2024</v>
      </c>
      <c r="B1184">
        <v>17452</v>
      </c>
      <c r="C1184" t="s">
        <v>1135</v>
      </c>
      <c r="D1184" t="s">
        <v>84</v>
      </c>
      <c r="E1184" t="s">
        <v>85</v>
      </c>
      <c r="F1184" t="s">
        <v>86</v>
      </c>
      <c r="G1184" t="s">
        <v>156</v>
      </c>
      <c r="H1184" t="s">
        <v>88</v>
      </c>
      <c r="I1184" t="s">
        <v>89</v>
      </c>
      <c r="J1184">
        <v>3179</v>
      </c>
      <c r="K1184">
        <v>26250</v>
      </c>
      <c r="L1184">
        <v>2408</v>
      </c>
      <c r="M1184">
        <v>5534</v>
      </c>
      <c r="N1184">
        <v>44203</v>
      </c>
      <c r="O1184">
        <v>640</v>
      </c>
      <c r="P1184">
        <v>2528</v>
      </c>
      <c r="Q1184">
        <v>41750</v>
      </c>
      <c r="R1184">
        <v>3</v>
      </c>
      <c r="S1184">
        <v>0</v>
      </c>
      <c r="T1184">
        <v>0</v>
      </c>
      <c r="U1184">
        <v>0</v>
      </c>
      <c r="V1184">
        <v>11241</v>
      </c>
      <c r="W1184">
        <v>112203</v>
      </c>
      <c r="X1184">
        <v>3051</v>
      </c>
      <c r="Y1184">
        <f t="shared" si="18"/>
        <v>112203</v>
      </c>
      <c r="Z1184" t="str">
        <f>IF(ISNUMBER(SEARCH("Adjustment",$C1184)),"excluded",IF($H1184="Behind the Meter","excluded",IF(NOT(OR($E1184="Bundled",$E1184="Energy")),"excluded",IF(OR($H1184="Retail Power Marketer",$H1184="Community Choice Aggregator",$E1184="Energy"),"procurement",IF(OR($H1184="Municipal",$H1184="Cooperative",$H1184="Federal",$H1184="State",$H1184="Political Subdivision"),"cost_service",IF($H1184="Investor Owned",IF(AND(COUNTIF(Parameters!$A$4:$A$33,$G1184)&gt;0,COUNTIF(Parameters!$B$4:$B$33,$B1184)=0),"procurement","cost_service"),"unclassified"))))))</f>
        <v>cost_service</v>
      </c>
    </row>
    <row r="1185" spans="1:26" x14ac:dyDescent="0.25">
      <c r="A1185">
        <v>2024</v>
      </c>
      <c r="B1185">
        <v>17470</v>
      </c>
      <c r="C1185" t="s">
        <v>1136</v>
      </c>
      <c r="D1185" t="s">
        <v>84</v>
      </c>
      <c r="E1185" t="s">
        <v>85</v>
      </c>
      <c r="F1185" t="s">
        <v>86</v>
      </c>
      <c r="G1185" t="s">
        <v>148</v>
      </c>
      <c r="H1185" t="s">
        <v>205</v>
      </c>
      <c r="I1185" t="s">
        <v>206</v>
      </c>
      <c r="J1185">
        <v>452788</v>
      </c>
      <c r="K1185">
        <v>3933257</v>
      </c>
      <c r="L1185">
        <v>346532</v>
      </c>
      <c r="M1185">
        <v>229745</v>
      </c>
      <c r="N1185">
        <v>2431764</v>
      </c>
      <c r="O1185">
        <v>35453</v>
      </c>
      <c r="P1185">
        <v>33545</v>
      </c>
      <c r="Q1185">
        <v>440362</v>
      </c>
      <c r="R1185">
        <v>77</v>
      </c>
      <c r="S1185">
        <v>0</v>
      </c>
      <c r="T1185">
        <v>0</v>
      </c>
      <c r="U1185">
        <v>0</v>
      </c>
      <c r="V1185">
        <v>716078</v>
      </c>
      <c r="W1185">
        <v>6805383</v>
      </c>
      <c r="X1185">
        <v>382062</v>
      </c>
      <c r="Y1185">
        <f t="shared" si="18"/>
        <v>6805383</v>
      </c>
      <c r="Z1185" t="str">
        <f>IF(ISNUMBER(SEARCH("Adjustment",$C1185)),"excluded",IF($H1185="Behind the Meter","excluded",IF(NOT(OR($E1185="Bundled",$E1185="Energy")),"excluded",IF(OR($H1185="Retail Power Marketer",$H1185="Community Choice Aggregator",$E1185="Energy"),"procurement",IF(OR($H1185="Municipal",$H1185="Cooperative",$H1185="Federal",$H1185="State",$H1185="Political Subdivision"),"cost_service",IF($H1185="Investor Owned",IF(AND(COUNTIF(Parameters!$A$4:$A$33,$G1185)&gt;0,COUNTIF(Parameters!$B$4:$B$33,$B1185)=0),"procurement","cost_service"),"unclassified"))))))</f>
        <v>cost_service</v>
      </c>
    </row>
    <row r="1186" spans="1:26" x14ac:dyDescent="0.25">
      <c r="A1186">
        <v>2024</v>
      </c>
      <c r="B1186">
        <v>17512</v>
      </c>
      <c r="C1186" t="s">
        <v>1137</v>
      </c>
      <c r="D1186" t="s">
        <v>84</v>
      </c>
      <c r="E1186" t="s">
        <v>85</v>
      </c>
      <c r="F1186" t="s">
        <v>86</v>
      </c>
      <c r="G1186" t="s">
        <v>53</v>
      </c>
      <c r="H1186" t="s">
        <v>88</v>
      </c>
      <c r="I1186" t="s">
        <v>102</v>
      </c>
      <c r="J1186">
        <v>3769</v>
      </c>
      <c r="K1186">
        <v>58052</v>
      </c>
      <c r="L1186">
        <v>4680</v>
      </c>
      <c r="M1186">
        <v>1742</v>
      </c>
      <c r="N1186">
        <v>28889</v>
      </c>
      <c r="O1186">
        <v>476</v>
      </c>
      <c r="P1186">
        <v>23048</v>
      </c>
      <c r="Q1186">
        <v>449220</v>
      </c>
      <c r="R1186">
        <v>26</v>
      </c>
      <c r="S1186" t="s">
        <v>97</v>
      </c>
      <c r="T1186" t="s">
        <v>97</v>
      </c>
      <c r="U1186" t="s">
        <v>97</v>
      </c>
      <c r="V1186">
        <v>28559</v>
      </c>
      <c r="W1186">
        <v>536161</v>
      </c>
      <c r="X1186">
        <v>5182</v>
      </c>
      <c r="Y1186">
        <f t="shared" si="18"/>
        <v>536161</v>
      </c>
      <c r="Z1186" t="str">
        <f>IF(ISNUMBER(SEARCH("Adjustment",$C1186)),"excluded",IF($H1186="Behind the Meter","excluded",IF(NOT(OR($E1186="Bundled",$E1186="Energy")),"excluded",IF(OR($H1186="Retail Power Marketer",$H1186="Community Choice Aggregator",$E1186="Energy"),"procurement",IF(OR($H1186="Municipal",$H1186="Cooperative",$H1186="Federal",$H1186="State",$H1186="Political Subdivision"),"cost_service",IF($H1186="Investor Owned",IF(AND(COUNTIF(Parameters!$A$4:$A$33,$G1186)&gt;0,COUNTIF(Parameters!$B$4:$B$33,$B1186)=0),"procurement","cost_service"),"unclassified"))))))</f>
        <v>cost_service</v>
      </c>
    </row>
    <row r="1187" spans="1:26" x14ac:dyDescent="0.25">
      <c r="A1187">
        <v>2024</v>
      </c>
      <c r="B1187">
        <v>17534</v>
      </c>
      <c r="C1187" t="s">
        <v>1138</v>
      </c>
      <c r="D1187" t="s">
        <v>84</v>
      </c>
      <c r="E1187" t="s">
        <v>85</v>
      </c>
      <c r="F1187" t="s">
        <v>86</v>
      </c>
      <c r="G1187" t="s">
        <v>112</v>
      </c>
      <c r="H1187" t="s">
        <v>91</v>
      </c>
      <c r="I1187" t="s">
        <v>113</v>
      </c>
      <c r="J1187">
        <v>31775</v>
      </c>
      <c r="K1187">
        <v>205849</v>
      </c>
      <c r="L1187">
        <v>16801</v>
      </c>
      <c r="M1187">
        <v>7082</v>
      </c>
      <c r="N1187">
        <v>49152</v>
      </c>
      <c r="O1187">
        <v>901</v>
      </c>
      <c r="P1187">
        <v>17011</v>
      </c>
      <c r="Q1187">
        <v>153956</v>
      </c>
      <c r="R1187">
        <v>5</v>
      </c>
      <c r="S1187">
        <v>0</v>
      </c>
      <c r="T1187">
        <v>0</v>
      </c>
      <c r="U1187">
        <v>0</v>
      </c>
      <c r="V1187">
        <v>55868</v>
      </c>
      <c r="W1187">
        <v>408957</v>
      </c>
      <c r="X1187">
        <v>17707</v>
      </c>
      <c r="Y1187">
        <f t="shared" si="18"/>
        <v>408957</v>
      </c>
      <c r="Z1187" t="str">
        <f>IF(ISNUMBER(SEARCH("Adjustment",$C1187)),"excluded",IF($H1187="Behind the Meter","excluded",IF(NOT(OR($E1187="Bundled",$E1187="Energy")),"excluded",IF(OR($H1187="Retail Power Marketer",$H1187="Community Choice Aggregator",$E1187="Energy"),"procurement",IF(OR($H1187="Municipal",$H1187="Cooperative",$H1187="Federal",$H1187="State",$H1187="Political Subdivision"),"cost_service",IF($H1187="Investor Owned",IF(AND(COUNTIF(Parameters!$A$4:$A$33,$G1187)&gt;0,COUNTIF(Parameters!$B$4:$B$33,$B1187)=0),"procurement","cost_service"),"unclassified"))))))</f>
        <v>cost_service</v>
      </c>
    </row>
    <row r="1188" spans="1:26" x14ac:dyDescent="0.25">
      <c r="A1188">
        <v>2024</v>
      </c>
      <c r="B1188">
        <v>17539</v>
      </c>
      <c r="C1188" t="s">
        <v>1139</v>
      </c>
      <c r="D1188" t="s">
        <v>84</v>
      </c>
      <c r="E1188" t="s">
        <v>85</v>
      </c>
      <c r="F1188" t="s">
        <v>86</v>
      </c>
      <c r="G1188" t="s">
        <v>106</v>
      </c>
      <c r="H1188" t="s">
        <v>109</v>
      </c>
      <c r="I1188" t="s">
        <v>953</v>
      </c>
      <c r="J1188">
        <v>1258517.2</v>
      </c>
      <c r="K1188">
        <v>8626724</v>
      </c>
      <c r="L1188">
        <v>696385</v>
      </c>
      <c r="M1188">
        <v>919148.5</v>
      </c>
      <c r="N1188">
        <v>7842225</v>
      </c>
      <c r="O1188">
        <v>109264</v>
      </c>
      <c r="P1188">
        <v>388812</v>
      </c>
      <c r="Q1188">
        <v>5253133</v>
      </c>
      <c r="R1188">
        <v>785</v>
      </c>
      <c r="S1188">
        <v>0</v>
      </c>
      <c r="T1188">
        <v>0</v>
      </c>
      <c r="U1188">
        <v>0</v>
      </c>
      <c r="V1188">
        <v>2566477.7000000002</v>
      </c>
      <c r="W1188">
        <v>21722082</v>
      </c>
      <c r="X1188">
        <v>806434</v>
      </c>
      <c r="Y1188">
        <f t="shared" si="18"/>
        <v>21722082</v>
      </c>
      <c r="Z1188" t="str">
        <f>IF(ISNUMBER(SEARCH("Adjustment",$C1188)),"excluded",IF($H1188="Behind the Meter","excluded",IF(NOT(OR($E1188="Bundled",$E1188="Energy")),"excluded",IF(OR($H1188="Retail Power Marketer",$H1188="Community Choice Aggregator",$E1188="Energy"),"procurement",IF(OR($H1188="Municipal",$H1188="Cooperative",$H1188="Federal",$H1188="State",$H1188="Political Subdivision"),"cost_service",IF($H1188="Investor Owned",IF(AND(COUNTIF(Parameters!$A$4:$A$33,$G1188)&gt;0,COUNTIF(Parameters!$B$4:$B$33,$B1188)=0),"procurement","cost_service"),"unclassified"))))))</f>
        <v>cost_service</v>
      </c>
    </row>
    <row r="1189" spans="1:26" x14ac:dyDescent="0.25">
      <c r="A1189">
        <v>2024</v>
      </c>
      <c r="B1189">
        <v>17540</v>
      </c>
      <c r="C1189" t="s">
        <v>1140</v>
      </c>
      <c r="D1189" t="s">
        <v>84</v>
      </c>
      <c r="E1189" t="s">
        <v>85</v>
      </c>
      <c r="F1189" t="s">
        <v>86</v>
      </c>
      <c r="G1189" t="s">
        <v>173</v>
      </c>
      <c r="H1189" t="s">
        <v>91</v>
      </c>
      <c r="I1189" t="s">
        <v>96</v>
      </c>
      <c r="J1189">
        <v>16012</v>
      </c>
      <c r="K1189">
        <v>108938</v>
      </c>
      <c r="L1189">
        <v>9410</v>
      </c>
      <c r="M1189">
        <v>4672</v>
      </c>
      <c r="N1189">
        <v>31177</v>
      </c>
      <c r="O1189">
        <v>1247</v>
      </c>
      <c r="P1189">
        <v>8571</v>
      </c>
      <c r="Q1189">
        <v>109945</v>
      </c>
      <c r="R1189">
        <v>18</v>
      </c>
      <c r="S1189" t="s">
        <v>97</v>
      </c>
      <c r="T1189" t="s">
        <v>97</v>
      </c>
      <c r="U1189" t="s">
        <v>97</v>
      </c>
      <c r="V1189">
        <v>29255</v>
      </c>
      <c r="W1189">
        <v>250060</v>
      </c>
      <c r="X1189">
        <v>10675</v>
      </c>
      <c r="Y1189">
        <f t="shared" si="18"/>
        <v>250060</v>
      </c>
      <c r="Z1189" t="str">
        <f>IF(ISNUMBER(SEARCH("Adjustment",$C1189)),"excluded",IF($H1189="Behind the Meter","excluded",IF(NOT(OR($E1189="Bundled",$E1189="Energy")),"excluded",IF(OR($H1189="Retail Power Marketer",$H1189="Community Choice Aggregator",$E1189="Energy"),"procurement",IF(OR($H1189="Municipal",$H1189="Cooperative",$H1189="Federal",$H1189="State",$H1189="Political Subdivision"),"cost_service",IF($H1189="Investor Owned",IF(AND(COUNTIF(Parameters!$A$4:$A$33,$G1189)&gt;0,COUNTIF(Parameters!$B$4:$B$33,$B1189)=0),"procurement","cost_service"),"unclassified"))))))</f>
        <v>cost_service</v>
      </c>
    </row>
    <row r="1190" spans="1:26" x14ac:dyDescent="0.25">
      <c r="A1190">
        <v>2024</v>
      </c>
      <c r="B1190">
        <v>17543</v>
      </c>
      <c r="C1190" t="s">
        <v>1141</v>
      </c>
      <c r="D1190" t="s">
        <v>84</v>
      </c>
      <c r="E1190" t="s">
        <v>85</v>
      </c>
      <c r="F1190" t="s">
        <v>86</v>
      </c>
      <c r="G1190" t="s">
        <v>106</v>
      </c>
      <c r="H1190" t="s">
        <v>75</v>
      </c>
      <c r="I1190" t="s">
        <v>106</v>
      </c>
      <c r="J1190">
        <v>239381.3</v>
      </c>
      <c r="K1190">
        <v>2103044</v>
      </c>
      <c r="L1190">
        <v>185529</v>
      </c>
      <c r="M1190">
        <v>187643.1</v>
      </c>
      <c r="N1190">
        <v>1989136</v>
      </c>
      <c r="O1190">
        <v>30938</v>
      </c>
      <c r="P1190">
        <v>304621.7</v>
      </c>
      <c r="Q1190">
        <v>5994535</v>
      </c>
      <c r="R1190">
        <v>27</v>
      </c>
      <c r="S1190">
        <v>0</v>
      </c>
      <c r="T1190">
        <v>0</v>
      </c>
      <c r="U1190">
        <v>0</v>
      </c>
      <c r="V1190">
        <v>731646.1</v>
      </c>
      <c r="W1190">
        <v>10086715</v>
      </c>
      <c r="X1190">
        <v>216494</v>
      </c>
      <c r="Y1190">
        <f t="shared" si="18"/>
        <v>10086715</v>
      </c>
      <c r="Z1190" t="str">
        <f>IF(ISNUMBER(SEARCH("Adjustment",$C1190)),"excluded",IF($H1190="Behind the Meter","excluded",IF(NOT(OR($E1190="Bundled",$E1190="Energy")),"excluded",IF(OR($H1190="Retail Power Marketer",$H1190="Community Choice Aggregator",$E1190="Energy"),"procurement",IF(OR($H1190="Municipal",$H1190="Cooperative",$H1190="Federal",$H1190="State",$H1190="Political Subdivision"),"cost_service",IF($H1190="Investor Owned",IF(AND(COUNTIF(Parameters!$A$4:$A$33,$G1190)&gt;0,COUNTIF(Parameters!$B$4:$B$33,$B1190)=0),"procurement","cost_service"),"unclassified"))))))</f>
        <v>cost_service</v>
      </c>
    </row>
    <row r="1191" spans="1:26" x14ac:dyDescent="0.25">
      <c r="A1191">
        <v>2024</v>
      </c>
      <c r="B1191">
        <v>17548</v>
      </c>
      <c r="C1191" t="s">
        <v>1142</v>
      </c>
      <c r="D1191" t="s">
        <v>84</v>
      </c>
      <c r="E1191" t="s">
        <v>85</v>
      </c>
      <c r="F1191" t="s">
        <v>86</v>
      </c>
      <c r="G1191" t="s">
        <v>271</v>
      </c>
      <c r="H1191" t="s">
        <v>205</v>
      </c>
      <c r="I1191" t="s">
        <v>135</v>
      </c>
      <c r="J1191">
        <v>5910.6</v>
      </c>
      <c r="K1191">
        <v>61945</v>
      </c>
      <c r="L1191">
        <v>3777</v>
      </c>
      <c r="M1191">
        <v>10441</v>
      </c>
      <c r="N1191">
        <v>225222</v>
      </c>
      <c r="O1191">
        <v>1361</v>
      </c>
      <c r="P1191">
        <v>8984</v>
      </c>
      <c r="Q1191">
        <v>77683</v>
      </c>
      <c r="R1191">
        <v>3430</v>
      </c>
      <c r="S1191">
        <v>0</v>
      </c>
      <c r="T1191">
        <v>0</v>
      </c>
      <c r="U1191">
        <v>0</v>
      </c>
      <c r="V1191">
        <v>25335.599999999999</v>
      </c>
      <c r="W1191">
        <v>364850</v>
      </c>
      <c r="X1191">
        <v>8568</v>
      </c>
      <c r="Y1191">
        <f t="shared" si="18"/>
        <v>364850</v>
      </c>
      <c r="Z1191" t="str">
        <f>IF(ISNUMBER(SEARCH("Adjustment",$C1191)),"excluded",IF($H1191="Behind the Meter","excluded",IF(NOT(OR($E1191="Bundled",$E1191="Energy")),"excluded",IF(OR($H1191="Retail Power Marketer",$H1191="Community Choice Aggregator",$E1191="Energy"),"procurement",IF(OR($H1191="Municipal",$H1191="Cooperative",$H1191="Federal",$H1191="State",$H1191="Political Subdivision"),"cost_service",IF($H1191="Investor Owned",IF(AND(COUNTIF(Parameters!$A$4:$A$33,$G1191)&gt;0,COUNTIF(Parameters!$B$4:$B$33,$B1191)=0),"procurement","cost_service"),"unclassified"))))))</f>
        <v>cost_service</v>
      </c>
    </row>
    <row r="1192" spans="1:26" x14ac:dyDescent="0.25">
      <c r="A1192">
        <v>2024</v>
      </c>
      <c r="B1192">
        <v>17550</v>
      </c>
      <c r="C1192" t="s">
        <v>1143</v>
      </c>
      <c r="D1192" t="s">
        <v>84</v>
      </c>
      <c r="E1192" t="s">
        <v>85</v>
      </c>
      <c r="F1192" t="s">
        <v>86</v>
      </c>
      <c r="G1192" t="s">
        <v>104</v>
      </c>
      <c r="H1192" t="s">
        <v>91</v>
      </c>
      <c r="I1192" t="s">
        <v>96</v>
      </c>
      <c r="J1192">
        <v>11375</v>
      </c>
      <c r="K1192">
        <v>74853</v>
      </c>
      <c r="L1192">
        <v>4665</v>
      </c>
      <c r="M1192">
        <v>6926</v>
      </c>
      <c r="N1192">
        <v>52156</v>
      </c>
      <c r="O1192">
        <v>1266</v>
      </c>
      <c r="P1192">
        <v>6626</v>
      </c>
      <c r="Q1192">
        <v>100573</v>
      </c>
      <c r="R1192">
        <v>13</v>
      </c>
      <c r="S1192" t="s">
        <v>97</v>
      </c>
      <c r="T1192" t="s">
        <v>97</v>
      </c>
      <c r="U1192" t="s">
        <v>97</v>
      </c>
      <c r="V1192">
        <v>24927</v>
      </c>
      <c r="W1192">
        <v>227582</v>
      </c>
      <c r="X1192">
        <v>5944</v>
      </c>
      <c r="Y1192">
        <f t="shared" si="18"/>
        <v>227582</v>
      </c>
      <c r="Z1192" t="str">
        <f>IF(ISNUMBER(SEARCH("Adjustment",$C1192)),"excluded",IF($H1192="Behind the Meter","excluded",IF(NOT(OR($E1192="Bundled",$E1192="Energy")),"excluded",IF(OR($H1192="Retail Power Marketer",$H1192="Community Choice Aggregator",$E1192="Energy"),"procurement",IF(OR($H1192="Municipal",$H1192="Cooperative",$H1192="Federal",$H1192="State",$H1192="Political Subdivision"),"cost_service",IF($H1192="Investor Owned",IF(AND(COUNTIF(Parameters!$A$4:$A$33,$G1192)&gt;0,COUNTIF(Parameters!$B$4:$B$33,$B1192)=0),"procurement","cost_service"),"unclassified"))))))</f>
        <v>cost_service</v>
      </c>
    </row>
    <row r="1193" spans="1:26" x14ac:dyDescent="0.25">
      <c r="A1193">
        <v>2024</v>
      </c>
      <c r="B1193">
        <v>17561</v>
      </c>
      <c r="C1193" t="s">
        <v>1144</v>
      </c>
      <c r="D1193" t="s">
        <v>84</v>
      </c>
      <c r="E1193" t="s">
        <v>85</v>
      </c>
      <c r="F1193" t="s">
        <v>86</v>
      </c>
      <c r="G1193" t="s">
        <v>57</v>
      </c>
      <c r="H1193" t="s">
        <v>91</v>
      </c>
      <c r="I1193" t="s">
        <v>151</v>
      </c>
      <c r="J1193">
        <v>4416</v>
      </c>
      <c r="K1193">
        <v>34749</v>
      </c>
      <c r="L1193">
        <v>5472</v>
      </c>
      <c r="M1193">
        <v>8834.7999999999993</v>
      </c>
      <c r="N1193">
        <v>86102</v>
      </c>
      <c r="O1193">
        <v>2224</v>
      </c>
      <c r="P1193">
        <v>26566</v>
      </c>
      <c r="Q1193">
        <v>461154</v>
      </c>
      <c r="R1193">
        <v>465</v>
      </c>
      <c r="S1193" t="s">
        <v>97</v>
      </c>
      <c r="T1193" t="s">
        <v>97</v>
      </c>
      <c r="U1193" t="s">
        <v>97</v>
      </c>
      <c r="V1193">
        <v>39816.800000000003</v>
      </c>
      <c r="W1193">
        <v>582005</v>
      </c>
      <c r="X1193">
        <v>8161</v>
      </c>
      <c r="Y1193">
        <f t="shared" si="18"/>
        <v>582005</v>
      </c>
      <c r="Z1193" t="str">
        <f>IF(ISNUMBER(SEARCH("Adjustment",$C1193)),"excluded",IF($H1193="Behind the Meter","excluded",IF(NOT(OR($E1193="Bundled",$E1193="Energy")),"excluded",IF(OR($H1193="Retail Power Marketer",$H1193="Community Choice Aggregator",$E1193="Energy"),"procurement",IF(OR($H1193="Municipal",$H1193="Cooperative",$H1193="Federal",$H1193="State",$H1193="Political Subdivision"),"cost_service",IF($H1193="Investor Owned",IF(AND(COUNTIF(Parameters!$A$4:$A$33,$G1193)&gt;0,COUNTIF(Parameters!$B$4:$B$33,$B1193)=0),"procurement","cost_service"),"unclassified"))))))</f>
        <v>cost_service</v>
      </c>
    </row>
    <row r="1194" spans="1:26" x14ac:dyDescent="0.25">
      <c r="A1194">
        <v>2024</v>
      </c>
      <c r="B1194">
        <v>17561</v>
      </c>
      <c r="C1194" t="s">
        <v>1144</v>
      </c>
      <c r="D1194" t="s">
        <v>84</v>
      </c>
      <c r="E1194" t="s">
        <v>85</v>
      </c>
      <c r="F1194" t="s">
        <v>86</v>
      </c>
      <c r="G1194" t="s">
        <v>57</v>
      </c>
      <c r="H1194" t="s">
        <v>91</v>
      </c>
      <c r="I1194" t="s">
        <v>135</v>
      </c>
      <c r="J1194">
        <v>70234.399999999994</v>
      </c>
      <c r="K1194">
        <v>686621</v>
      </c>
      <c r="L1194">
        <v>50701</v>
      </c>
      <c r="M1194">
        <v>32415</v>
      </c>
      <c r="N1194">
        <v>309684</v>
      </c>
      <c r="O1194">
        <v>9082</v>
      </c>
      <c r="P1194">
        <v>22774.799999999999</v>
      </c>
      <c r="Q1194">
        <v>173208</v>
      </c>
      <c r="R1194">
        <v>7457</v>
      </c>
      <c r="S1194" t="s">
        <v>97</v>
      </c>
      <c r="T1194" t="s">
        <v>97</v>
      </c>
      <c r="U1194" t="s">
        <v>97</v>
      </c>
      <c r="V1194">
        <v>125424.2</v>
      </c>
      <c r="W1194">
        <v>1169513</v>
      </c>
      <c r="X1194">
        <v>67240</v>
      </c>
      <c r="Y1194">
        <f t="shared" si="18"/>
        <v>1169513</v>
      </c>
      <c r="Z1194" t="str">
        <f>IF(ISNUMBER(SEARCH("Adjustment",$C1194)),"excluded",IF($H1194="Behind the Meter","excluded",IF(NOT(OR($E1194="Bundled",$E1194="Energy")),"excluded",IF(OR($H1194="Retail Power Marketer",$H1194="Community Choice Aggregator",$E1194="Energy"),"procurement",IF(OR($H1194="Municipal",$H1194="Cooperative",$H1194="Federal",$H1194="State",$H1194="Political Subdivision"),"cost_service",IF($H1194="Investor Owned",IF(AND(COUNTIF(Parameters!$A$4:$A$33,$G1194)&gt;0,COUNTIF(Parameters!$B$4:$B$33,$B1194)=0),"procurement","cost_service"),"unclassified"))))))</f>
        <v>cost_service</v>
      </c>
    </row>
    <row r="1195" spans="1:26" x14ac:dyDescent="0.25">
      <c r="A1195">
        <v>2024</v>
      </c>
      <c r="B1195">
        <v>17564</v>
      </c>
      <c r="C1195" t="s">
        <v>1145</v>
      </c>
      <c r="D1195" t="s">
        <v>84</v>
      </c>
      <c r="E1195" t="s">
        <v>85</v>
      </c>
      <c r="F1195" t="s">
        <v>86</v>
      </c>
      <c r="G1195" t="s">
        <v>209</v>
      </c>
      <c r="H1195" t="s">
        <v>91</v>
      </c>
      <c r="I1195" t="s">
        <v>92</v>
      </c>
      <c r="J1195">
        <v>101187</v>
      </c>
      <c r="K1195">
        <v>783246</v>
      </c>
      <c r="L1195">
        <v>64877</v>
      </c>
      <c r="M1195">
        <v>13749</v>
      </c>
      <c r="N1195">
        <v>94108</v>
      </c>
      <c r="O1195">
        <v>6029</v>
      </c>
      <c r="P1195">
        <v>34780</v>
      </c>
      <c r="Q1195">
        <v>359034</v>
      </c>
      <c r="R1195">
        <v>477</v>
      </c>
      <c r="S1195">
        <v>0</v>
      </c>
      <c r="T1195">
        <v>0</v>
      </c>
      <c r="U1195">
        <v>0</v>
      </c>
      <c r="V1195">
        <v>149716</v>
      </c>
      <c r="W1195">
        <v>1236388</v>
      </c>
      <c r="X1195">
        <v>71383</v>
      </c>
      <c r="Y1195">
        <f t="shared" si="18"/>
        <v>1236388</v>
      </c>
      <c r="Z1195" t="str">
        <f>IF(ISNUMBER(SEARCH("Adjustment",$C1195)),"excluded",IF($H1195="Behind the Meter","excluded",IF(NOT(OR($E1195="Bundled",$E1195="Energy")),"excluded",IF(OR($H1195="Retail Power Marketer",$H1195="Community Choice Aggregator",$E1195="Energy"),"procurement",IF(OR($H1195="Municipal",$H1195="Cooperative",$H1195="Federal",$H1195="State",$H1195="Political Subdivision"),"cost_service",IF($H1195="Investor Owned",IF(AND(COUNTIF(Parameters!$A$4:$A$33,$G1195)&gt;0,COUNTIF(Parameters!$B$4:$B$33,$B1195)=0),"procurement","cost_service"),"unclassified"))))))</f>
        <v>cost_service</v>
      </c>
    </row>
    <row r="1196" spans="1:26" x14ac:dyDescent="0.25">
      <c r="A1196">
        <v>2024</v>
      </c>
      <c r="B1196">
        <v>17564</v>
      </c>
      <c r="C1196" t="s">
        <v>1145</v>
      </c>
      <c r="D1196" t="s">
        <v>84</v>
      </c>
      <c r="E1196" t="s">
        <v>85</v>
      </c>
      <c r="F1196" t="s">
        <v>86</v>
      </c>
      <c r="G1196" t="s">
        <v>156</v>
      </c>
      <c r="H1196" t="s">
        <v>91</v>
      </c>
      <c r="I1196" t="s">
        <v>92</v>
      </c>
      <c r="J1196">
        <v>193</v>
      </c>
      <c r="K1196">
        <v>1402</v>
      </c>
      <c r="L1196">
        <v>152</v>
      </c>
      <c r="M1196">
        <v>93</v>
      </c>
      <c r="N1196">
        <v>671</v>
      </c>
      <c r="O1196">
        <v>31</v>
      </c>
      <c r="P1196">
        <v>63</v>
      </c>
      <c r="Q1196">
        <v>383</v>
      </c>
      <c r="R1196">
        <v>2</v>
      </c>
      <c r="S1196">
        <v>0</v>
      </c>
      <c r="T1196">
        <v>0</v>
      </c>
      <c r="U1196">
        <v>0</v>
      </c>
      <c r="V1196">
        <v>349</v>
      </c>
      <c r="W1196">
        <v>2456</v>
      </c>
      <c r="X1196">
        <v>185</v>
      </c>
      <c r="Y1196">
        <f t="shared" si="18"/>
        <v>2456</v>
      </c>
      <c r="Z1196" t="str">
        <f>IF(ISNUMBER(SEARCH("Adjustment",$C1196)),"excluded",IF($H1196="Behind the Meter","excluded",IF(NOT(OR($E1196="Bundled",$E1196="Energy")),"excluded",IF(OR($H1196="Retail Power Marketer",$H1196="Community Choice Aggregator",$E1196="Energy"),"procurement",IF(OR($H1196="Municipal",$H1196="Cooperative",$H1196="Federal",$H1196="State",$H1196="Political Subdivision"),"cost_service",IF($H1196="Investor Owned",IF(AND(COUNTIF(Parameters!$A$4:$A$33,$G1196)&gt;0,COUNTIF(Parameters!$B$4:$B$33,$B1196)=0),"procurement","cost_service"),"unclassified"))))))</f>
        <v>cost_service</v>
      </c>
    </row>
    <row r="1197" spans="1:26" x14ac:dyDescent="0.25">
      <c r="A1197">
        <v>2024</v>
      </c>
      <c r="B1197">
        <v>17565</v>
      </c>
      <c r="C1197" t="s">
        <v>1146</v>
      </c>
      <c r="D1197" t="s">
        <v>84</v>
      </c>
      <c r="E1197" t="s">
        <v>85</v>
      </c>
      <c r="F1197" t="s">
        <v>86</v>
      </c>
      <c r="G1197" t="s">
        <v>138</v>
      </c>
      <c r="H1197" t="s">
        <v>91</v>
      </c>
      <c r="I1197" t="s">
        <v>96</v>
      </c>
      <c r="J1197">
        <v>34782</v>
      </c>
      <c r="K1197">
        <v>258112</v>
      </c>
      <c r="L1197">
        <v>16997</v>
      </c>
      <c r="M1197">
        <v>27438</v>
      </c>
      <c r="N1197">
        <v>191188</v>
      </c>
      <c r="O1197">
        <v>4305</v>
      </c>
      <c r="P1197">
        <v>6840</v>
      </c>
      <c r="Q1197">
        <v>52306</v>
      </c>
      <c r="R1197">
        <v>11</v>
      </c>
      <c r="S1197" t="s">
        <v>97</v>
      </c>
      <c r="T1197" t="s">
        <v>97</v>
      </c>
      <c r="U1197" t="s">
        <v>97</v>
      </c>
      <c r="V1197">
        <v>69060</v>
      </c>
      <c r="W1197">
        <v>501606</v>
      </c>
      <c r="X1197">
        <v>21313</v>
      </c>
      <c r="Y1197">
        <f t="shared" si="18"/>
        <v>501606</v>
      </c>
      <c r="Z1197" t="str">
        <f>IF(ISNUMBER(SEARCH("Adjustment",$C1197)),"excluded",IF($H1197="Behind the Meter","excluded",IF(NOT(OR($E1197="Bundled",$E1197="Energy")),"excluded",IF(OR($H1197="Retail Power Marketer",$H1197="Community Choice Aggregator",$E1197="Energy"),"procurement",IF(OR($H1197="Municipal",$H1197="Cooperative",$H1197="Federal",$H1197="State",$H1197="Political Subdivision"),"cost_service",IF($H1197="Investor Owned",IF(AND(COUNTIF(Parameters!$A$4:$A$33,$G1197)&gt;0,COUNTIF(Parameters!$B$4:$B$33,$B1197)=0),"procurement","cost_service"),"unclassified"))))))</f>
        <v>cost_service</v>
      </c>
    </row>
    <row r="1198" spans="1:26" x14ac:dyDescent="0.25">
      <c r="A1198">
        <v>2024</v>
      </c>
      <c r="B1198">
        <v>17572</v>
      </c>
      <c r="C1198" t="s">
        <v>1147</v>
      </c>
      <c r="D1198" t="s">
        <v>84</v>
      </c>
      <c r="E1198" t="s">
        <v>85</v>
      </c>
      <c r="F1198" t="s">
        <v>86</v>
      </c>
      <c r="G1198" t="s">
        <v>125</v>
      </c>
      <c r="H1198" t="s">
        <v>91</v>
      </c>
      <c r="I1198" t="s">
        <v>163</v>
      </c>
      <c r="J1198">
        <v>91755</v>
      </c>
      <c r="K1198">
        <v>689832</v>
      </c>
      <c r="L1198">
        <v>45730</v>
      </c>
      <c r="M1198">
        <v>14128</v>
      </c>
      <c r="N1198">
        <v>146124</v>
      </c>
      <c r="O1198">
        <v>2625</v>
      </c>
      <c r="P1198">
        <v>831</v>
      </c>
      <c r="Q1198">
        <v>10794</v>
      </c>
      <c r="R1198">
        <v>2</v>
      </c>
      <c r="S1198" t="s">
        <v>97</v>
      </c>
      <c r="T1198" t="s">
        <v>97</v>
      </c>
      <c r="U1198" t="s">
        <v>97</v>
      </c>
      <c r="V1198">
        <v>106714</v>
      </c>
      <c r="W1198">
        <v>846750</v>
      </c>
      <c r="X1198">
        <v>48357</v>
      </c>
      <c r="Y1198">
        <f t="shared" si="18"/>
        <v>846750</v>
      </c>
      <c r="Z1198" t="str">
        <f>IF(ISNUMBER(SEARCH("Adjustment",$C1198)),"excluded",IF($H1198="Behind the Meter","excluded",IF(NOT(OR($E1198="Bundled",$E1198="Energy")),"excluded",IF(OR($H1198="Retail Power Marketer",$H1198="Community Choice Aggregator",$E1198="Energy"),"procurement",IF(OR($H1198="Municipal",$H1198="Cooperative",$H1198="Federal",$H1198="State",$H1198="Political Subdivision"),"cost_service",IF($H1198="Investor Owned",IF(AND(COUNTIF(Parameters!$A$4:$A$33,$G1198)&gt;0,COUNTIF(Parameters!$B$4:$B$33,$B1198)=0),"procurement","cost_service"),"unclassified"))))))</f>
        <v>cost_service</v>
      </c>
    </row>
    <row r="1199" spans="1:26" x14ac:dyDescent="0.25">
      <c r="A1199">
        <v>2024</v>
      </c>
      <c r="B1199">
        <v>17577</v>
      </c>
      <c r="C1199" t="s">
        <v>1148</v>
      </c>
      <c r="D1199" t="s">
        <v>84</v>
      </c>
      <c r="E1199" t="s">
        <v>85</v>
      </c>
      <c r="F1199" t="s">
        <v>86</v>
      </c>
      <c r="G1199" t="s">
        <v>271</v>
      </c>
      <c r="H1199" t="s">
        <v>88</v>
      </c>
      <c r="I1199" t="s">
        <v>135</v>
      </c>
      <c r="J1199">
        <v>6289.4</v>
      </c>
      <c r="K1199">
        <v>48767</v>
      </c>
      <c r="L1199">
        <v>5217</v>
      </c>
      <c r="M1199">
        <v>14413.9</v>
      </c>
      <c r="N1199">
        <v>182924</v>
      </c>
      <c r="O1199">
        <v>1006</v>
      </c>
      <c r="P1199" t="s">
        <v>97</v>
      </c>
      <c r="Q1199" t="s">
        <v>97</v>
      </c>
      <c r="R1199" t="s">
        <v>97</v>
      </c>
      <c r="S1199" t="s">
        <v>97</v>
      </c>
      <c r="T1199" t="s">
        <v>97</v>
      </c>
      <c r="U1199" t="s">
        <v>97</v>
      </c>
      <c r="V1199">
        <v>20703.3</v>
      </c>
      <c r="W1199">
        <v>231691</v>
      </c>
      <c r="X1199">
        <v>6223</v>
      </c>
      <c r="Y1199">
        <f t="shared" si="18"/>
        <v>231691</v>
      </c>
      <c r="Z1199" t="str">
        <f>IF(ISNUMBER(SEARCH("Adjustment",$C1199)),"excluded",IF($H1199="Behind the Meter","excluded",IF(NOT(OR($E1199="Bundled",$E1199="Energy")),"excluded",IF(OR($H1199="Retail Power Marketer",$H1199="Community Choice Aggregator",$E1199="Energy"),"procurement",IF(OR($H1199="Municipal",$H1199="Cooperative",$H1199="Federal",$H1199="State",$H1199="Political Subdivision"),"cost_service",IF($H1199="Investor Owned",IF(AND(COUNTIF(Parameters!$A$4:$A$33,$G1199)&gt;0,COUNTIF(Parameters!$B$4:$B$33,$B1199)=0),"procurement","cost_service"),"unclassified"))))))</f>
        <v>cost_service</v>
      </c>
    </row>
    <row r="1200" spans="1:26" x14ac:dyDescent="0.25">
      <c r="A1200">
        <v>2024</v>
      </c>
      <c r="B1200">
        <v>17585</v>
      </c>
      <c r="C1200" t="s">
        <v>1149</v>
      </c>
      <c r="D1200" t="s">
        <v>84</v>
      </c>
      <c r="E1200" t="s">
        <v>85</v>
      </c>
      <c r="F1200" t="s">
        <v>86</v>
      </c>
      <c r="G1200" t="s">
        <v>46</v>
      </c>
      <c r="H1200" t="s">
        <v>91</v>
      </c>
      <c r="I1200" t="s">
        <v>96</v>
      </c>
      <c r="J1200">
        <v>45231</v>
      </c>
      <c r="K1200">
        <v>312673</v>
      </c>
      <c r="L1200">
        <v>22731</v>
      </c>
      <c r="M1200">
        <v>12731</v>
      </c>
      <c r="N1200">
        <v>88535</v>
      </c>
      <c r="O1200">
        <v>2429</v>
      </c>
      <c r="P1200">
        <v>34575</v>
      </c>
      <c r="Q1200">
        <v>332808</v>
      </c>
      <c r="R1200">
        <v>28</v>
      </c>
      <c r="S1200" t="s">
        <v>97</v>
      </c>
      <c r="T1200" t="s">
        <v>97</v>
      </c>
      <c r="U1200" t="s">
        <v>97</v>
      </c>
      <c r="V1200">
        <v>92537</v>
      </c>
      <c r="W1200">
        <v>734016</v>
      </c>
      <c r="X1200">
        <v>25188</v>
      </c>
      <c r="Y1200">
        <f t="shared" si="18"/>
        <v>734016</v>
      </c>
      <c r="Z1200" t="str">
        <f>IF(ISNUMBER(SEARCH("Adjustment",$C1200)),"excluded",IF($H1200="Behind the Meter","excluded",IF(NOT(OR($E1200="Bundled",$E1200="Energy")),"excluded",IF(OR($H1200="Retail Power Marketer",$H1200="Community Choice Aggregator",$E1200="Energy"),"procurement",IF(OR($H1200="Municipal",$H1200="Cooperative",$H1200="Federal",$H1200="State",$H1200="Political Subdivision"),"cost_service",IF($H1200="Investor Owned",IF(AND(COUNTIF(Parameters!$A$4:$A$33,$G1200)&gt;0,COUNTIF(Parameters!$B$4:$B$33,$B1200)=0),"procurement","cost_service"),"unclassified"))))))</f>
        <v>cost_service</v>
      </c>
    </row>
    <row r="1201" spans="1:26" x14ac:dyDescent="0.25">
      <c r="A1201">
        <v>2024</v>
      </c>
      <c r="B1201">
        <v>17592</v>
      </c>
      <c r="C1201" t="s">
        <v>1150</v>
      </c>
      <c r="D1201" t="s">
        <v>84</v>
      </c>
      <c r="E1201" t="s">
        <v>85</v>
      </c>
      <c r="F1201" t="s">
        <v>86</v>
      </c>
      <c r="G1201" t="s">
        <v>361</v>
      </c>
      <c r="H1201" t="s">
        <v>91</v>
      </c>
      <c r="I1201" t="s">
        <v>259</v>
      </c>
      <c r="J1201">
        <v>12390</v>
      </c>
      <c r="K1201">
        <v>71970</v>
      </c>
      <c r="L1201">
        <v>8148</v>
      </c>
      <c r="M1201">
        <v>17652</v>
      </c>
      <c r="N1201">
        <v>136010</v>
      </c>
      <c r="O1201">
        <v>2766</v>
      </c>
      <c r="P1201">
        <v>5467</v>
      </c>
      <c r="Q1201">
        <v>40269</v>
      </c>
      <c r="R1201">
        <v>11</v>
      </c>
      <c r="S1201" t="s">
        <v>97</v>
      </c>
      <c r="T1201" t="s">
        <v>97</v>
      </c>
      <c r="U1201" t="s">
        <v>97</v>
      </c>
      <c r="V1201">
        <v>35509</v>
      </c>
      <c r="W1201">
        <v>248249</v>
      </c>
      <c r="X1201">
        <v>10925</v>
      </c>
      <c r="Y1201">
        <f t="shared" si="18"/>
        <v>248249</v>
      </c>
      <c r="Z1201" t="str">
        <f>IF(ISNUMBER(SEARCH("Adjustment",$C1201)),"excluded",IF($H1201="Behind the Meter","excluded",IF(NOT(OR($E1201="Bundled",$E1201="Energy")),"excluded",IF(OR($H1201="Retail Power Marketer",$H1201="Community Choice Aggregator",$E1201="Energy"),"procurement",IF(OR($H1201="Municipal",$H1201="Cooperative",$H1201="Federal",$H1201="State",$H1201="Political Subdivision"),"cost_service",IF($H1201="Investor Owned",IF(AND(COUNTIF(Parameters!$A$4:$A$33,$G1201)&gt;0,COUNTIF(Parameters!$B$4:$B$33,$B1201)=0),"procurement","cost_service"),"unclassified"))))))</f>
        <v>cost_service</v>
      </c>
    </row>
    <row r="1202" spans="1:26" x14ac:dyDescent="0.25">
      <c r="A1202">
        <v>2024</v>
      </c>
      <c r="B1202">
        <v>17599</v>
      </c>
      <c r="C1202" t="s">
        <v>1151</v>
      </c>
      <c r="D1202" t="s">
        <v>84</v>
      </c>
      <c r="E1202" t="s">
        <v>85</v>
      </c>
      <c r="F1202" t="s">
        <v>86</v>
      </c>
      <c r="G1202" t="s">
        <v>130</v>
      </c>
      <c r="H1202" t="s">
        <v>91</v>
      </c>
      <c r="I1202" t="s">
        <v>96</v>
      </c>
      <c r="J1202">
        <v>54061.7</v>
      </c>
      <c r="K1202">
        <v>355150</v>
      </c>
      <c r="L1202">
        <v>26172</v>
      </c>
      <c r="M1202">
        <v>9962.4</v>
      </c>
      <c r="N1202">
        <v>71536</v>
      </c>
      <c r="O1202">
        <v>2343</v>
      </c>
      <c r="P1202">
        <v>7245.5</v>
      </c>
      <c r="Q1202">
        <v>84169</v>
      </c>
      <c r="R1202">
        <v>10</v>
      </c>
      <c r="S1202" t="s">
        <v>97</v>
      </c>
      <c r="T1202" t="s">
        <v>97</v>
      </c>
      <c r="U1202" t="s">
        <v>97</v>
      </c>
      <c r="V1202">
        <v>71269.600000000006</v>
      </c>
      <c r="W1202">
        <v>510855</v>
      </c>
      <c r="X1202">
        <v>28525</v>
      </c>
      <c r="Y1202">
        <f t="shared" si="18"/>
        <v>510855</v>
      </c>
      <c r="Z1202" t="str">
        <f>IF(ISNUMBER(SEARCH("Adjustment",$C1202)),"excluded",IF($H1202="Behind the Meter","excluded",IF(NOT(OR($E1202="Bundled",$E1202="Energy")),"excluded",IF(OR($H1202="Retail Power Marketer",$H1202="Community Choice Aggregator",$E1202="Energy"),"procurement",IF(OR($H1202="Municipal",$H1202="Cooperative",$H1202="Federal",$H1202="State",$H1202="Political Subdivision"),"cost_service",IF($H1202="Investor Owned",IF(AND(COUNTIF(Parameters!$A$4:$A$33,$G1202)&gt;0,COUNTIF(Parameters!$B$4:$B$33,$B1202)=0),"procurement","cost_service"),"unclassified"))))))</f>
        <v>cost_service</v>
      </c>
    </row>
    <row r="1203" spans="1:26" x14ac:dyDescent="0.25">
      <c r="A1203">
        <v>2024</v>
      </c>
      <c r="B1203">
        <v>17603</v>
      </c>
      <c r="C1203" t="s">
        <v>1152</v>
      </c>
      <c r="D1203" t="s">
        <v>84</v>
      </c>
      <c r="E1203" t="s">
        <v>85</v>
      </c>
      <c r="F1203" t="s">
        <v>86</v>
      </c>
      <c r="G1203" t="s">
        <v>136</v>
      </c>
      <c r="H1203" t="s">
        <v>91</v>
      </c>
      <c r="I1203" t="s">
        <v>135</v>
      </c>
      <c r="J1203">
        <v>20361</v>
      </c>
      <c r="K1203">
        <v>224018</v>
      </c>
      <c r="L1203">
        <v>15583</v>
      </c>
      <c r="M1203">
        <v>4913.3</v>
      </c>
      <c r="N1203">
        <v>40944</v>
      </c>
      <c r="O1203">
        <v>1625</v>
      </c>
      <c r="P1203">
        <v>10551</v>
      </c>
      <c r="Q1203">
        <v>189454</v>
      </c>
      <c r="R1203">
        <v>10</v>
      </c>
      <c r="S1203" t="s">
        <v>97</v>
      </c>
      <c r="T1203" t="s">
        <v>97</v>
      </c>
      <c r="U1203" t="s">
        <v>97</v>
      </c>
      <c r="V1203">
        <v>35825.300000000003</v>
      </c>
      <c r="W1203">
        <v>454416</v>
      </c>
      <c r="X1203">
        <v>17218</v>
      </c>
      <c r="Y1203">
        <f t="shared" si="18"/>
        <v>454416</v>
      </c>
      <c r="Z1203" t="str">
        <f>IF(ISNUMBER(SEARCH("Adjustment",$C1203)),"excluded",IF($H1203="Behind the Meter","excluded",IF(NOT(OR($E1203="Bundled",$E1203="Energy")),"excluded",IF(OR($H1203="Retail Power Marketer",$H1203="Community Choice Aggregator",$E1203="Energy"),"procurement",IF(OR($H1203="Municipal",$H1203="Cooperative",$H1203="Federal",$H1203="State",$H1203="Political Subdivision"),"cost_service",IF($H1203="Investor Owned",IF(AND(COUNTIF(Parameters!$A$4:$A$33,$G1203)&gt;0,COUNTIF(Parameters!$B$4:$B$33,$B1203)=0),"procurement","cost_service"),"unclassified"))))))</f>
        <v>cost_service</v>
      </c>
    </row>
    <row r="1204" spans="1:26" x14ac:dyDescent="0.25">
      <c r="A1204">
        <v>2024</v>
      </c>
      <c r="B1204">
        <v>17609</v>
      </c>
      <c r="C1204" t="s">
        <v>1153</v>
      </c>
      <c r="D1204" t="s">
        <v>84</v>
      </c>
      <c r="E1204" t="s">
        <v>85</v>
      </c>
      <c r="F1204" t="s">
        <v>86</v>
      </c>
      <c r="G1204" t="s">
        <v>115</v>
      </c>
      <c r="H1204" t="s">
        <v>109</v>
      </c>
      <c r="I1204" t="s">
        <v>116</v>
      </c>
      <c r="J1204">
        <v>6336639</v>
      </c>
      <c r="K1204">
        <v>19540551</v>
      </c>
      <c r="L1204">
        <v>3219520</v>
      </c>
      <c r="M1204">
        <v>6588907</v>
      </c>
      <c r="N1204">
        <v>28534149</v>
      </c>
      <c r="O1204">
        <v>449347</v>
      </c>
      <c r="P1204">
        <v>673107</v>
      </c>
      <c r="Q1204">
        <v>3271801</v>
      </c>
      <c r="R1204">
        <v>20138</v>
      </c>
      <c r="S1204" t="s">
        <v>97</v>
      </c>
      <c r="T1204" t="s">
        <v>97</v>
      </c>
      <c r="U1204" t="s">
        <v>97</v>
      </c>
      <c r="V1204">
        <v>13598653</v>
      </c>
      <c r="W1204">
        <v>51346501</v>
      </c>
      <c r="X1204">
        <v>3689005</v>
      </c>
      <c r="Y1204">
        <f t="shared" si="18"/>
        <v>51346501</v>
      </c>
      <c r="Z1204" t="str">
        <f>IF(ISNUMBER(SEARCH("Adjustment",$C1204)),"excluded",IF($H1204="Behind the Meter","excluded",IF(NOT(OR($E1204="Bundled",$E1204="Energy")),"excluded",IF(OR($H1204="Retail Power Marketer",$H1204="Community Choice Aggregator",$E1204="Energy"),"procurement",IF(OR($H1204="Municipal",$H1204="Cooperative",$H1204="Federal",$H1204="State",$H1204="Political Subdivision"),"cost_service",IF($H1204="Investor Owned",IF(AND(COUNTIF(Parameters!$A$4:$A$33,$G1204)&gt;0,COUNTIF(Parameters!$B$4:$B$33,$B1204)=0),"procurement","cost_service"),"unclassified"))))))</f>
        <v>cost_service</v>
      </c>
    </row>
    <row r="1205" spans="1:26" x14ac:dyDescent="0.25">
      <c r="A1205">
        <v>2024</v>
      </c>
      <c r="B1205">
        <v>17609</v>
      </c>
      <c r="C1205" t="s">
        <v>1153</v>
      </c>
      <c r="D1205" t="s">
        <v>167</v>
      </c>
      <c r="E1205" t="s">
        <v>168</v>
      </c>
      <c r="F1205" t="s">
        <v>86</v>
      </c>
      <c r="G1205" t="s">
        <v>115</v>
      </c>
      <c r="H1205" t="s">
        <v>109</v>
      </c>
      <c r="I1205" t="s">
        <v>116</v>
      </c>
      <c r="J1205">
        <v>1409134</v>
      </c>
      <c r="K1205">
        <v>7873761</v>
      </c>
      <c r="L1205">
        <v>1374895</v>
      </c>
      <c r="M1205">
        <v>2222852</v>
      </c>
      <c r="N1205">
        <v>19677545</v>
      </c>
      <c r="O1205">
        <v>230525</v>
      </c>
      <c r="P1205">
        <v>110691</v>
      </c>
      <c r="Q1205">
        <v>1512842</v>
      </c>
      <c r="R1205">
        <v>2936</v>
      </c>
      <c r="S1205" t="s">
        <v>97</v>
      </c>
      <c r="T1205" t="s">
        <v>97</v>
      </c>
      <c r="U1205" t="s">
        <v>97</v>
      </c>
      <c r="V1205">
        <v>3742677</v>
      </c>
      <c r="W1205">
        <v>29064148</v>
      </c>
      <c r="X1205">
        <v>1608356</v>
      </c>
      <c r="Y1205">
        <f t="shared" si="18"/>
        <v>29064148</v>
      </c>
      <c r="Z1205" t="str">
        <f>IF(ISNUMBER(SEARCH("Adjustment",$C1205)),"excluded",IF($H1205="Behind the Meter","excluded",IF(NOT(OR($E1205="Bundled",$E1205="Energy")),"excluded",IF(OR($H1205="Retail Power Marketer",$H1205="Community Choice Aggregator",$E1205="Energy"),"procurement",IF(OR($H1205="Municipal",$H1205="Cooperative",$H1205="Federal",$H1205="State",$H1205="Political Subdivision"),"cost_service",IF($H1205="Investor Owned",IF(AND(COUNTIF(Parameters!$A$4:$A$33,$G1205)&gt;0,COUNTIF(Parameters!$B$4:$B$33,$B1205)=0),"procurement","cost_service"),"unclassified"))))))</f>
        <v>excluded</v>
      </c>
    </row>
    <row r="1206" spans="1:26" x14ac:dyDescent="0.25">
      <c r="A1206">
        <v>2024</v>
      </c>
      <c r="B1206">
        <v>17612</v>
      </c>
      <c r="C1206" t="s">
        <v>1154</v>
      </c>
      <c r="D1206" t="s">
        <v>84</v>
      </c>
      <c r="E1206" t="s">
        <v>85</v>
      </c>
      <c r="F1206" t="s">
        <v>86</v>
      </c>
      <c r="G1206" t="s">
        <v>115</v>
      </c>
      <c r="H1206" t="s">
        <v>109</v>
      </c>
      <c r="I1206" t="s">
        <v>116</v>
      </c>
      <c r="J1206">
        <v>26596.1</v>
      </c>
      <c r="K1206">
        <v>86717</v>
      </c>
      <c r="L1206">
        <v>23327</v>
      </c>
      <c r="M1206">
        <v>9982</v>
      </c>
      <c r="N1206">
        <v>33935</v>
      </c>
      <c r="O1206">
        <v>1485</v>
      </c>
      <c r="P1206">
        <v>3689</v>
      </c>
      <c r="Q1206">
        <v>17623</v>
      </c>
      <c r="R1206">
        <v>7</v>
      </c>
      <c r="S1206">
        <v>0</v>
      </c>
      <c r="T1206">
        <v>0</v>
      </c>
      <c r="U1206">
        <v>0</v>
      </c>
      <c r="V1206">
        <v>40267.1</v>
      </c>
      <c r="W1206">
        <v>138275</v>
      </c>
      <c r="X1206">
        <v>24819</v>
      </c>
      <c r="Y1206">
        <f t="shared" si="18"/>
        <v>138275</v>
      </c>
      <c r="Z1206" t="str">
        <f>IF(ISNUMBER(SEARCH("Adjustment",$C1206)),"excluded",IF($H1206="Behind the Meter","excluded",IF(NOT(OR($E1206="Bundled",$E1206="Energy")),"excluded",IF(OR($H1206="Retail Power Marketer",$H1206="Community Choice Aggregator",$E1206="Energy"),"procurement",IF(OR($H1206="Municipal",$H1206="Cooperative",$H1206="Federal",$H1206="State",$H1206="Political Subdivision"),"cost_service",IF($H1206="Investor Owned",IF(AND(COUNTIF(Parameters!$A$4:$A$33,$G1206)&gt;0,COUNTIF(Parameters!$B$4:$B$33,$B1206)=0),"procurement","cost_service"),"unclassified"))))))</f>
        <v>cost_service</v>
      </c>
    </row>
    <row r="1207" spans="1:26" x14ac:dyDescent="0.25">
      <c r="A1207">
        <v>2024</v>
      </c>
      <c r="B1207">
        <v>17633</v>
      </c>
      <c r="C1207" t="s">
        <v>1155</v>
      </c>
      <c r="D1207" t="s">
        <v>84</v>
      </c>
      <c r="E1207" t="s">
        <v>85</v>
      </c>
      <c r="F1207" t="s">
        <v>86</v>
      </c>
      <c r="G1207" t="s">
        <v>130</v>
      </c>
      <c r="H1207" t="s">
        <v>109</v>
      </c>
      <c r="I1207" t="s">
        <v>96</v>
      </c>
      <c r="J1207">
        <v>249368.5</v>
      </c>
      <c r="K1207">
        <v>1423253</v>
      </c>
      <c r="L1207">
        <v>133795</v>
      </c>
      <c r="M1207">
        <v>182118.8</v>
      </c>
      <c r="N1207">
        <v>1161784</v>
      </c>
      <c r="O1207">
        <v>19466</v>
      </c>
      <c r="P1207">
        <v>191142</v>
      </c>
      <c r="Q1207">
        <v>2233775</v>
      </c>
      <c r="R1207">
        <v>110</v>
      </c>
      <c r="S1207" t="s">
        <v>97</v>
      </c>
      <c r="T1207" t="s">
        <v>97</v>
      </c>
      <c r="U1207" t="s">
        <v>97</v>
      </c>
      <c r="V1207">
        <v>622629.30000000005</v>
      </c>
      <c r="W1207">
        <v>4818812</v>
      </c>
      <c r="X1207">
        <v>153371</v>
      </c>
      <c r="Y1207">
        <f t="shared" si="18"/>
        <v>4818812</v>
      </c>
      <c r="Z1207" t="str">
        <f>IF(ISNUMBER(SEARCH("Adjustment",$C1207)),"excluded",IF($H1207="Behind the Meter","excluded",IF(NOT(OR($E1207="Bundled",$E1207="Energy")),"excluded",IF(OR($H1207="Retail Power Marketer",$H1207="Community Choice Aggregator",$E1207="Energy"),"procurement",IF(OR($H1207="Municipal",$H1207="Cooperative",$H1207="Federal",$H1207="State",$H1207="Political Subdivision"),"cost_service",IF($H1207="Investor Owned",IF(AND(COUNTIF(Parameters!$A$4:$A$33,$G1207)&gt;0,COUNTIF(Parameters!$B$4:$B$33,$B1207)=0),"procurement","cost_service"),"unclassified"))))))</f>
        <v>cost_service</v>
      </c>
    </row>
    <row r="1208" spans="1:26" x14ac:dyDescent="0.25">
      <c r="A1208">
        <v>2024</v>
      </c>
      <c r="B1208">
        <v>17637</v>
      </c>
      <c r="C1208" t="s">
        <v>1156</v>
      </c>
      <c r="D1208" t="s">
        <v>84</v>
      </c>
      <c r="E1208" t="s">
        <v>85</v>
      </c>
      <c r="F1208" t="s">
        <v>86</v>
      </c>
      <c r="G1208" t="s">
        <v>49</v>
      </c>
      <c r="H1208" t="s">
        <v>91</v>
      </c>
      <c r="I1208" t="s">
        <v>92</v>
      </c>
      <c r="J1208">
        <v>323231.59999999998</v>
      </c>
      <c r="K1208">
        <v>2178191</v>
      </c>
      <c r="L1208">
        <v>158375</v>
      </c>
      <c r="M1208">
        <v>151913.9</v>
      </c>
      <c r="N1208">
        <v>1205262</v>
      </c>
      <c r="O1208">
        <v>15928</v>
      </c>
      <c r="P1208">
        <v>0</v>
      </c>
      <c r="Q1208">
        <v>0</v>
      </c>
      <c r="R1208">
        <v>0</v>
      </c>
      <c r="S1208">
        <v>0</v>
      </c>
      <c r="T1208">
        <v>0</v>
      </c>
      <c r="U1208">
        <v>0</v>
      </c>
      <c r="V1208">
        <v>475145.5</v>
      </c>
      <c r="W1208">
        <v>3383453</v>
      </c>
      <c r="X1208">
        <v>174303</v>
      </c>
      <c r="Y1208">
        <f t="shared" si="18"/>
        <v>3383453</v>
      </c>
      <c r="Z1208" t="str">
        <f>IF(ISNUMBER(SEARCH("Adjustment",$C1208)),"excluded",IF($H1208="Behind the Meter","excluded",IF(NOT(OR($E1208="Bundled",$E1208="Energy")),"excluded",IF(OR($H1208="Retail Power Marketer",$H1208="Community Choice Aggregator",$E1208="Energy"),"procurement",IF(OR($H1208="Municipal",$H1208="Cooperative",$H1208="Federal",$H1208="State",$H1208="Political Subdivision"),"cost_service",IF($H1208="Investor Owned",IF(AND(COUNTIF(Parameters!$A$4:$A$33,$G1208)&gt;0,COUNTIF(Parameters!$B$4:$B$33,$B1208)=0),"procurement","cost_service"),"unclassified"))))))</f>
        <v>cost_service</v>
      </c>
    </row>
    <row r="1209" spans="1:26" x14ac:dyDescent="0.25">
      <c r="A1209">
        <v>2024</v>
      </c>
      <c r="B1209">
        <v>17637</v>
      </c>
      <c r="C1209" t="s">
        <v>1156</v>
      </c>
      <c r="D1209" t="s">
        <v>167</v>
      </c>
      <c r="E1209" t="s">
        <v>168</v>
      </c>
      <c r="F1209" t="s">
        <v>86</v>
      </c>
      <c r="G1209" t="s">
        <v>49</v>
      </c>
      <c r="H1209" t="s">
        <v>91</v>
      </c>
      <c r="I1209" t="s">
        <v>92</v>
      </c>
      <c r="J1209">
        <v>1440.1</v>
      </c>
      <c r="K1209">
        <v>25930</v>
      </c>
      <c r="L1209">
        <v>2507</v>
      </c>
      <c r="M1209">
        <v>1107.3</v>
      </c>
      <c r="N1209">
        <v>31871</v>
      </c>
      <c r="O1209">
        <v>345</v>
      </c>
      <c r="P1209">
        <v>0</v>
      </c>
      <c r="Q1209">
        <v>0</v>
      </c>
      <c r="R1209">
        <v>0</v>
      </c>
      <c r="S1209">
        <v>0</v>
      </c>
      <c r="T1209">
        <v>0</v>
      </c>
      <c r="U1209">
        <v>0</v>
      </c>
      <c r="V1209">
        <v>2547.4</v>
      </c>
      <c r="W1209">
        <v>57801</v>
      </c>
      <c r="X1209">
        <v>2852</v>
      </c>
      <c r="Y1209">
        <f t="shared" si="18"/>
        <v>57801</v>
      </c>
      <c r="Z1209" t="str">
        <f>IF(ISNUMBER(SEARCH("Adjustment",$C1209)),"excluded",IF($H1209="Behind the Meter","excluded",IF(NOT(OR($E1209="Bundled",$E1209="Energy")),"excluded",IF(OR($H1209="Retail Power Marketer",$H1209="Community Choice Aggregator",$E1209="Energy"),"procurement",IF(OR($H1209="Municipal",$H1209="Cooperative",$H1209="Federal",$H1209="State",$H1209="Political Subdivision"),"cost_service",IF($H1209="Investor Owned",IF(AND(COUNTIF(Parameters!$A$4:$A$33,$G1209)&gt;0,COUNTIF(Parameters!$B$4:$B$33,$B1209)=0),"procurement","cost_service"),"unclassified"))))))</f>
        <v>excluded</v>
      </c>
    </row>
    <row r="1210" spans="1:26" x14ac:dyDescent="0.25">
      <c r="A1210">
        <v>2024</v>
      </c>
      <c r="B1210">
        <v>17642</v>
      </c>
      <c r="C1210" t="s">
        <v>1157</v>
      </c>
      <c r="D1210" t="s">
        <v>84</v>
      </c>
      <c r="E1210" t="s">
        <v>85</v>
      </c>
      <c r="F1210" t="s">
        <v>86</v>
      </c>
      <c r="G1210" t="s">
        <v>271</v>
      </c>
      <c r="H1210" t="s">
        <v>205</v>
      </c>
      <c r="I1210" t="s">
        <v>135</v>
      </c>
      <c r="J1210">
        <v>21776.1</v>
      </c>
      <c r="K1210">
        <v>236324</v>
      </c>
      <c r="L1210">
        <v>15215</v>
      </c>
      <c r="M1210">
        <v>18459.3</v>
      </c>
      <c r="N1210">
        <v>365095</v>
      </c>
      <c r="O1210">
        <v>2852</v>
      </c>
      <c r="P1210">
        <v>49092.9</v>
      </c>
      <c r="Q1210">
        <v>770360</v>
      </c>
      <c r="R1210">
        <v>9968</v>
      </c>
      <c r="S1210">
        <v>0</v>
      </c>
      <c r="T1210">
        <v>0</v>
      </c>
      <c r="U1210">
        <v>0</v>
      </c>
      <c r="V1210">
        <v>89328.3</v>
      </c>
      <c r="W1210">
        <v>1371779</v>
      </c>
      <c r="X1210">
        <v>28035</v>
      </c>
      <c r="Y1210">
        <f t="shared" si="18"/>
        <v>1371779</v>
      </c>
      <c r="Z1210" t="str">
        <f>IF(ISNUMBER(SEARCH("Adjustment",$C1210)),"excluded",IF($H1210="Behind the Meter","excluded",IF(NOT(OR($E1210="Bundled",$E1210="Energy")),"excluded",IF(OR($H1210="Retail Power Marketer",$H1210="Community Choice Aggregator",$E1210="Energy"),"procurement",IF(OR($H1210="Municipal",$H1210="Cooperative",$H1210="Federal",$H1210="State",$H1210="Political Subdivision"),"cost_service",IF($H1210="Investor Owned",IF(AND(COUNTIF(Parameters!$A$4:$A$33,$G1210)&gt;0,COUNTIF(Parameters!$B$4:$B$33,$B1210)=0),"procurement","cost_service"),"unclassified"))))))</f>
        <v>cost_service</v>
      </c>
    </row>
    <row r="1211" spans="1:26" x14ac:dyDescent="0.25">
      <c r="A1211">
        <v>2024</v>
      </c>
      <c r="B1211">
        <v>17646</v>
      </c>
      <c r="C1211" t="s">
        <v>1158</v>
      </c>
      <c r="D1211" t="s">
        <v>84</v>
      </c>
      <c r="E1211" t="s">
        <v>85</v>
      </c>
      <c r="F1211" t="s">
        <v>86</v>
      </c>
      <c r="G1211" t="s">
        <v>112</v>
      </c>
      <c r="H1211" t="s">
        <v>91</v>
      </c>
      <c r="I1211" t="s">
        <v>113</v>
      </c>
      <c r="J1211">
        <v>36514</v>
      </c>
      <c r="K1211">
        <v>262752</v>
      </c>
      <c r="L1211">
        <v>20645</v>
      </c>
      <c r="M1211">
        <v>19768</v>
      </c>
      <c r="N1211">
        <v>174656</v>
      </c>
      <c r="O1211">
        <v>1994</v>
      </c>
      <c r="P1211">
        <v>4223</v>
      </c>
      <c r="Q1211">
        <v>40406</v>
      </c>
      <c r="R1211">
        <v>28</v>
      </c>
      <c r="S1211" t="s">
        <v>97</v>
      </c>
      <c r="T1211" t="s">
        <v>97</v>
      </c>
      <c r="U1211" t="s">
        <v>97</v>
      </c>
      <c r="V1211">
        <v>60505</v>
      </c>
      <c r="W1211">
        <v>477814</v>
      </c>
      <c r="X1211">
        <v>22667</v>
      </c>
      <c r="Y1211">
        <f t="shared" si="18"/>
        <v>477814</v>
      </c>
      <c r="Z1211" t="str">
        <f>IF(ISNUMBER(SEARCH("Adjustment",$C1211)),"excluded",IF($H1211="Behind the Meter","excluded",IF(NOT(OR($E1211="Bundled",$E1211="Energy")),"excluded",IF(OR($H1211="Retail Power Marketer",$H1211="Community Choice Aggregator",$E1211="Energy"),"procurement",IF(OR($H1211="Municipal",$H1211="Cooperative",$H1211="Federal",$H1211="State",$H1211="Political Subdivision"),"cost_service",IF($H1211="Investor Owned",IF(AND(COUNTIF(Parameters!$A$4:$A$33,$G1211)&gt;0,COUNTIF(Parameters!$B$4:$B$33,$B1211)=0),"procurement","cost_service"),"unclassified"))))))</f>
        <v>cost_service</v>
      </c>
    </row>
    <row r="1212" spans="1:26" x14ac:dyDescent="0.25">
      <c r="A1212">
        <v>2024</v>
      </c>
      <c r="B1212">
        <v>17647</v>
      </c>
      <c r="C1212" t="s">
        <v>1159</v>
      </c>
      <c r="D1212" t="s">
        <v>84</v>
      </c>
      <c r="E1212" t="s">
        <v>85</v>
      </c>
      <c r="F1212" t="s">
        <v>86</v>
      </c>
      <c r="G1212" t="s">
        <v>87</v>
      </c>
      <c r="H1212" t="s">
        <v>91</v>
      </c>
      <c r="I1212" t="s">
        <v>96</v>
      </c>
      <c r="J1212">
        <v>127681.9</v>
      </c>
      <c r="K1212">
        <v>911422</v>
      </c>
      <c r="L1212">
        <v>65176</v>
      </c>
      <c r="M1212">
        <v>42076</v>
      </c>
      <c r="N1212">
        <v>327403</v>
      </c>
      <c r="O1212">
        <v>5549</v>
      </c>
      <c r="P1212">
        <v>59628.6</v>
      </c>
      <c r="Q1212">
        <v>639465</v>
      </c>
      <c r="R1212">
        <v>46</v>
      </c>
      <c r="S1212" t="s">
        <v>97</v>
      </c>
      <c r="T1212" t="s">
        <v>97</v>
      </c>
      <c r="U1212" t="s">
        <v>97</v>
      </c>
      <c r="V1212">
        <v>229386.5</v>
      </c>
      <c r="W1212">
        <v>1878290</v>
      </c>
      <c r="X1212">
        <v>70771</v>
      </c>
      <c r="Y1212">
        <f t="shared" si="18"/>
        <v>1878290</v>
      </c>
      <c r="Z1212" t="str">
        <f>IF(ISNUMBER(SEARCH("Adjustment",$C1212)),"excluded",IF($H1212="Behind the Meter","excluded",IF(NOT(OR($E1212="Bundled",$E1212="Energy")),"excluded",IF(OR($H1212="Retail Power Marketer",$H1212="Community Choice Aggregator",$E1212="Energy"),"procurement",IF(OR($H1212="Municipal",$H1212="Cooperative",$H1212="Federal",$H1212="State",$H1212="Political Subdivision"),"cost_service",IF($H1212="Investor Owned",IF(AND(COUNTIF(Parameters!$A$4:$A$33,$G1212)&gt;0,COUNTIF(Parameters!$B$4:$B$33,$B1212)=0),"procurement","cost_service"),"unclassified"))))))</f>
        <v>cost_service</v>
      </c>
    </row>
    <row r="1213" spans="1:26" x14ac:dyDescent="0.25">
      <c r="A1213">
        <v>2024</v>
      </c>
      <c r="B1213">
        <v>17671</v>
      </c>
      <c r="C1213" t="s">
        <v>1160</v>
      </c>
      <c r="D1213" t="s">
        <v>84</v>
      </c>
      <c r="E1213" t="s">
        <v>85</v>
      </c>
      <c r="F1213" t="s">
        <v>86</v>
      </c>
      <c r="G1213" t="s">
        <v>173</v>
      </c>
      <c r="H1213" t="s">
        <v>91</v>
      </c>
      <c r="I1213" t="s">
        <v>96</v>
      </c>
      <c r="J1213">
        <v>47215.9</v>
      </c>
      <c r="K1213">
        <v>364269</v>
      </c>
      <c r="L1213">
        <v>24879</v>
      </c>
      <c r="M1213">
        <v>15641.4</v>
      </c>
      <c r="N1213">
        <v>139778</v>
      </c>
      <c r="O1213">
        <v>3012</v>
      </c>
      <c r="P1213">
        <v>13985</v>
      </c>
      <c r="Q1213">
        <v>186236</v>
      </c>
      <c r="R1213">
        <v>4</v>
      </c>
      <c r="S1213">
        <v>0</v>
      </c>
      <c r="T1213">
        <v>0</v>
      </c>
      <c r="U1213">
        <v>0</v>
      </c>
      <c r="V1213">
        <v>76842.3</v>
      </c>
      <c r="W1213">
        <v>690283</v>
      </c>
      <c r="X1213">
        <v>27895</v>
      </c>
      <c r="Y1213">
        <f t="shared" si="18"/>
        <v>690283</v>
      </c>
      <c r="Z1213" t="str">
        <f>IF(ISNUMBER(SEARCH("Adjustment",$C1213)),"excluded",IF($H1213="Behind the Meter","excluded",IF(NOT(OR($E1213="Bundled",$E1213="Energy")),"excluded",IF(OR($H1213="Retail Power Marketer",$H1213="Community Choice Aggregator",$E1213="Energy"),"procurement",IF(OR($H1213="Municipal",$H1213="Cooperative",$H1213="Federal",$H1213="State",$H1213="Political Subdivision"),"cost_service",IF($H1213="Investor Owned",IF(AND(COUNTIF(Parameters!$A$4:$A$33,$G1213)&gt;0,COUNTIF(Parameters!$B$4:$B$33,$B1213)=0),"procurement","cost_service"),"unclassified"))))))</f>
        <v>cost_service</v>
      </c>
    </row>
    <row r="1214" spans="1:26" x14ac:dyDescent="0.25">
      <c r="A1214">
        <v>2024</v>
      </c>
      <c r="B1214">
        <v>17671</v>
      </c>
      <c r="C1214" t="s">
        <v>1160</v>
      </c>
      <c r="D1214" t="s">
        <v>84</v>
      </c>
      <c r="E1214" t="s">
        <v>85</v>
      </c>
      <c r="F1214" t="s">
        <v>86</v>
      </c>
      <c r="G1214" t="s">
        <v>136</v>
      </c>
      <c r="H1214" t="s">
        <v>91</v>
      </c>
      <c r="I1214" t="s">
        <v>96</v>
      </c>
      <c r="J1214">
        <v>307.39999999999998</v>
      </c>
      <c r="K1214">
        <v>2512</v>
      </c>
      <c r="L1214">
        <v>220</v>
      </c>
      <c r="M1214">
        <v>58.6</v>
      </c>
      <c r="N1214">
        <v>543</v>
      </c>
      <c r="O1214">
        <v>17</v>
      </c>
      <c r="P1214">
        <v>0</v>
      </c>
      <c r="Q1214">
        <v>0</v>
      </c>
      <c r="R1214">
        <v>0</v>
      </c>
      <c r="S1214">
        <v>0</v>
      </c>
      <c r="T1214">
        <v>0</v>
      </c>
      <c r="U1214">
        <v>0</v>
      </c>
      <c r="V1214">
        <v>366</v>
      </c>
      <c r="W1214">
        <v>3055</v>
      </c>
      <c r="X1214">
        <v>237</v>
      </c>
      <c r="Y1214">
        <f t="shared" si="18"/>
        <v>3055</v>
      </c>
      <c r="Z1214" t="str">
        <f>IF(ISNUMBER(SEARCH("Adjustment",$C1214)),"excluded",IF($H1214="Behind the Meter","excluded",IF(NOT(OR($E1214="Bundled",$E1214="Energy")),"excluded",IF(OR($H1214="Retail Power Marketer",$H1214="Community Choice Aggregator",$E1214="Energy"),"procurement",IF(OR($H1214="Municipal",$H1214="Cooperative",$H1214="Federal",$H1214="State",$H1214="Political Subdivision"),"cost_service",IF($H1214="Investor Owned",IF(AND(COUNTIF(Parameters!$A$4:$A$33,$G1214)&gt;0,COUNTIF(Parameters!$B$4:$B$33,$B1214)=0),"procurement","cost_service"),"unclassified"))))))</f>
        <v>cost_service</v>
      </c>
    </row>
    <row r="1215" spans="1:26" x14ac:dyDescent="0.25">
      <c r="A1215">
        <v>2024</v>
      </c>
      <c r="B1215">
        <v>17671</v>
      </c>
      <c r="C1215" t="s">
        <v>1160</v>
      </c>
      <c r="D1215" t="s">
        <v>84</v>
      </c>
      <c r="E1215" t="s">
        <v>85</v>
      </c>
      <c r="F1215" t="s">
        <v>86</v>
      </c>
      <c r="G1215" t="s">
        <v>57</v>
      </c>
      <c r="H1215" t="s">
        <v>91</v>
      </c>
      <c r="I1215" t="s">
        <v>96</v>
      </c>
      <c r="J1215">
        <v>2528.6</v>
      </c>
      <c r="K1215">
        <v>20422</v>
      </c>
      <c r="L1215">
        <v>1087</v>
      </c>
      <c r="M1215">
        <v>183.7</v>
      </c>
      <c r="N1215">
        <v>1252</v>
      </c>
      <c r="O1215">
        <v>79</v>
      </c>
      <c r="P1215">
        <v>0</v>
      </c>
      <c r="Q1215">
        <v>0</v>
      </c>
      <c r="R1215">
        <v>0</v>
      </c>
      <c r="S1215">
        <v>0</v>
      </c>
      <c r="T1215">
        <v>0</v>
      </c>
      <c r="U1215">
        <v>0</v>
      </c>
      <c r="V1215">
        <v>2712.3</v>
      </c>
      <c r="W1215">
        <v>21674</v>
      </c>
      <c r="X1215">
        <v>1166</v>
      </c>
      <c r="Y1215">
        <f t="shared" si="18"/>
        <v>21674</v>
      </c>
      <c r="Z1215" t="str">
        <f>IF(ISNUMBER(SEARCH("Adjustment",$C1215)),"excluded",IF($H1215="Behind the Meter","excluded",IF(NOT(OR($E1215="Bundled",$E1215="Energy")),"excluded",IF(OR($H1215="Retail Power Marketer",$H1215="Community Choice Aggregator",$E1215="Energy"),"procurement",IF(OR($H1215="Municipal",$H1215="Cooperative",$H1215="Federal",$H1215="State",$H1215="Political Subdivision"),"cost_service",IF($H1215="Investor Owned",IF(AND(COUNTIF(Parameters!$A$4:$A$33,$G1215)&gt;0,COUNTIF(Parameters!$B$4:$B$33,$B1215)=0),"procurement","cost_service"),"unclassified"))))))</f>
        <v>cost_service</v>
      </c>
    </row>
    <row r="1216" spans="1:26" x14ac:dyDescent="0.25">
      <c r="A1216">
        <v>2024</v>
      </c>
      <c r="B1216">
        <v>17683</v>
      </c>
      <c r="C1216" t="s">
        <v>1161</v>
      </c>
      <c r="D1216" t="s">
        <v>84</v>
      </c>
      <c r="E1216" t="s">
        <v>85</v>
      </c>
      <c r="F1216" t="s">
        <v>86</v>
      </c>
      <c r="G1216" t="s">
        <v>87</v>
      </c>
      <c r="H1216" t="s">
        <v>91</v>
      </c>
      <c r="I1216" t="s">
        <v>96</v>
      </c>
      <c r="J1216">
        <v>40677.4</v>
      </c>
      <c r="K1216">
        <v>270673</v>
      </c>
      <c r="L1216">
        <v>23153</v>
      </c>
      <c r="M1216">
        <v>11065.5</v>
      </c>
      <c r="N1216">
        <v>81407</v>
      </c>
      <c r="O1216">
        <v>2247</v>
      </c>
      <c r="P1216">
        <v>10637</v>
      </c>
      <c r="Q1216">
        <v>110243</v>
      </c>
      <c r="R1216">
        <v>16</v>
      </c>
      <c r="S1216" t="s">
        <v>97</v>
      </c>
      <c r="T1216" t="s">
        <v>97</v>
      </c>
      <c r="U1216" t="s">
        <v>97</v>
      </c>
      <c r="V1216">
        <v>62379.9</v>
      </c>
      <c r="W1216">
        <v>462323</v>
      </c>
      <c r="X1216">
        <v>25416</v>
      </c>
      <c r="Y1216">
        <f t="shared" si="18"/>
        <v>462323</v>
      </c>
      <c r="Z1216" t="str">
        <f>IF(ISNUMBER(SEARCH("Adjustment",$C1216)),"excluded",IF($H1216="Behind the Meter","excluded",IF(NOT(OR($E1216="Bundled",$E1216="Energy")),"excluded",IF(OR($H1216="Retail Power Marketer",$H1216="Community Choice Aggregator",$E1216="Energy"),"procurement",IF(OR($H1216="Municipal",$H1216="Cooperative",$H1216="Federal",$H1216="State",$H1216="Political Subdivision"),"cost_service",IF($H1216="Investor Owned",IF(AND(COUNTIF(Parameters!$A$4:$A$33,$G1216)&gt;0,COUNTIF(Parameters!$B$4:$B$33,$B1216)=0),"procurement","cost_service"),"unclassified"))))))</f>
        <v>cost_service</v>
      </c>
    </row>
    <row r="1217" spans="1:26" x14ac:dyDescent="0.25">
      <c r="A1217">
        <v>2024</v>
      </c>
      <c r="B1217">
        <v>17684</v>
      </c>
      <c r="C1217" t="s">
        <v>1162</v>
      </c>
      <c r="D1217" t="s">
        <v>84</v>
      </c>
      <c r="E1217" t="s">
        <v>85</v>
      </c>
      <c r="F1217" t="s">
        <v>86</v>
      </c>
      <c r="G1217" t="s">
        <v>138</v>
      </c>
      <c r="H1217" t="s">
        <v>91</v>
      </c>
      <c r="I1217" t="s">
        <v>96</v>
      </c>
      <c r="J1217">
        <v>206788.1</v>
      </c>
      <c r="K1217">
        <v>1789693</v>
      </c>
      <c r="L1217">
        <v>108368</v>
      </c>
      <c r="M1217">
        <v>60015.1</v>
      </c>
      <c r="N1217">
        <v>483081</v>
      </c>
      <c r="O1217">
        <v>8953</v>
      </c>
      <c r="P1217">
        <v>24458.6</v>
      </c>
      <c r="Q1217">
        <v>253487</v>
      </c>
      <c r="R1217">
        <v>25</v>
      </c>
      <c r="S1217" t="s">
        <v>97</v>
      </c>
      <c r="T1217" t="s">
        <v>97</v>
      </c>
      <c r="U1217" t="s">
        <v>97</v>
      </c>
      <c r="V1217">
        <v>291261.8</v>
      </c>
      <c r="W1217">
        <v>2526261</v>
      </c>
      <c r="X1217">
        <v>117346</v>
      </c>
      <c r="Y1217">
        <f t="shared" si="18"/>
        <v>2526261</v>
      </c>
      <c r="Z1217" t="str">
        <f>IF(ISNUMBER(SEARCH("Adjustment",$C1217)),"excluded",IF($H1217="Behind the Meter","excluded",IF(NOT(OR($E1217="Bundled",$E1217="Energy")),"excluded",IF(OR($H1217="Retail Power Marketer",$H1217="Community Choice Aggregator",$E1217="Energy"),"procurement",IF(OR($H1217="Municipal",$H1217="Cooperative",$H1217="Federal",$H1217="State",$H1217="Political Subdivision"),"cost_service",IF($H1217="Investor Owned",IF(AND(COUNTIF(Parameters!$A$4:$A$33,$G1217)&gt;0,COUNTIF(Parameters!$B$4:$B$33,$B1217)=0),"procurement","cost_service"),"unclassified"))))))</f>
        <v>cost_service</v>
      </c>
    </row>
    <row r="1218" spans="1:26" x14ac:dyDescent="0.25">
      <c r="A1218">
        <v>2024</v>
      </c>
      <c r="B1218">
        <v>17692</v>
      </c>
      <c r="C1218" t="s">
        <v>1163</v>
      </c>
      <c r="D1218" t="s">
        <v>84</v>
      </c>
      <c r="E1218" t="s">
        <v>85</v>
      </c>
      <c r="F1218" t="s">
        <v>86</v>
      </c>
      <c r="G1218" t="s">
        <v>271</v>
      </c>
      <c r="H1218" t="s">
        <v>205</v>
      </c>
      <c r="I1218" t="s">
        <v>135</v>
      </c>
      <c r="J1218">
        <v>3486.3</v>
      </c>
      <c r="K1218">
        <v>34326</v>
      </c>
      <c r="L1218">
        <v>2186</v>
      </c>
      <c r="M1218">
        <v>5358.4</v>
      </c>
      <c r="N1218">
        <v>51136</v>
      </c>
      <c r="O1218">
        <v>2659</v>
      </c>
      <c r="P1218">
        <v>13469.2</v>
      </c>
      <c r="Q1218">
        <v>135157</v>
      </c>
      <c r="R1218">
        <v>1439</v>
      </c>
      <c r="S1218" t="s">
        <v>97</v>
      </c>
      <c r="T1218" t="s">
        <v>97</v>
      </c>
      <c r="U1218" t="s">
        <v>97</v>
      </c>
      <c r="V1218">
        <v>22313.9</v>
      </c>
      <c r="W1218">
        <v>220619</v>
      </c>
      <c r="X1218">
        <v>6284</v>
      </c>
      <c r="Y1218">
        <f t="shared" si="18"/>
        <v>220619</v>
      </c>
      <c r="Z1218" t="str">
        <f>IF(ISNUMBER(SEARCH("Adjustment",$C1218)),"excluded",IF($H1218="Behind the Meter","excluded",IF(NOT(OR($E1218="Bundled",$E1218="Energy")),"excluded",IF(OR($H1218="Retail Power Marketer",$H1218="Community Choice Aggregator",$E1218="Energy"),"procurement",IF(OR($H1218="Municipal",$H1218="Cooperative",$H1218="Federal",$H1218="State",$H1218="Political Subdivision"),"cost_service",IF($H1218="Investor Owned",IF(AND(COUNTIF(Parameters!$A$4:$A$33,$G1218)&gt;0,COUNTIF(Parameters!$B$4:$B$33,$B1218)=0),"procurement","cost_service"),"unclassified"))))))</f>
        <v>cost_service</v>
      </c>
    </row>
    <row r="1219" spans="1:26" x14ac:dyDescent="0.25">
      <c r="A1219">
        <v>2024</v>
      </c>
      <c r="B1219">
        <v>17693</v>
      </c>
      <c r="C1219" t="s">
        <v>1164</v>
      </c>
      <c r="D1219" t="s">
        <v>84</v>
      </c>
      <c r="E1219" t="s">
        <v>85</v>
      </c>
      <c r="F1219" t="s">
        <v>86</v>
      </c>
      <c r="G1219" t="s">
        <v>57</v>
      </c>
      <c r="H1219" t="s">
        <v>91</v>
      </c>
      <c r="I1219" t="s">
        <v>151</v>
      </c>
      <c r="J1219">
        <v>5329</v>
      </c>
      <c r="K1219">
        <v>39339</v>
      </c>
      <c r="L1219">
        <v>5886</v>
      </c>
      <c r="M1219">
        <v>4341</v>
      </c>
      <c r="N1219">
        <v>32219</v>
      </c>
      <c r="O1219">
        <v>3576</v>
      </c>
      <c r="P1219">
        <v>18415</v>
      </c>
      <c r="Q1219">
        <v>240181</v>
      </c>
      <c r="R1219">
        <v>442</v>
      </c>
      <c r="S1219" t="s">
        <v>97</v>
      </c>
      <c r="T1219" t="s">
        <v>97</v>
      </c>
      <c r="U1219" t="s">
        <v>97</v>
      </c>
      <c r="V1219">
        <v>28085</v>
      </c>
      <c r="W1219">
        <v>311739</v>
      </c>
      <c r="X1219">
        <v>9904</v>
      </c>
      <c r="Y1219">
        <f t="shared" si="18"/>
        <v>311739</v>
      </c>
      <c r="Z1219" t="str">
        <f>IF(ISNUMBER(SEARCH("Adjustment",$C1219)),"excluded",IF($H1219="Behind the Meter","excluded",IF(NOT(OR($E1219="Bundled",$E1219="Energy")),"excluded",IF(OR($H1219="Retail Power Marketer",$H1219="Community Choice Aggregator",$E1219="Energy"),"procurement",IF(OR($H1219="Municipal",$H1219="Cooperative",$H1219="Federal",$H1219="State",$H1219="Political Subdivision"),"cost_service",IF($H1219="Investor Owned",IF(AND(COUNTIF(Parameters!$A$4:$A$33,$G1219)&gt;0,COUNTIF(Parameters!$B$4:$B$33,$B1219)=0),"procurement","cost_service"),"unclassified"))))))</f>
        <v>cost_service</v>
      </c>
    </row>
    <row r="1220" spans="1:26" x14ac:dyDescent="0.25">
      <c r="A1220">
        <v>2024</v>
      </c>
      <c r="B1220">
        <v>17694</v>
      </c>
      <c r="C1220" t="s">
        <v>1165</v>
      </c>
      <c r="D1220" t="s">
        <v>84</v>
      </c>
      <c r="E1220" t="s">
        <v>85</v>
      </c>
      <c r="F1220" t="s">
        <v>86</v>
      </c>
      <c r="G1220" t="s">
        <v>156</v>
      </c>
      <c r="H1220" t="s">
        <v>91</v>
      </c>
      <c r="I1220" t="s">
        <v>89</v>
      </c>
      <c r="J1220">
        <v>87419</v>
      </c>
      <c r="K1220">
        <v>677417</v>
      </c>
      <c r="L1220">
        <v>43750</v>
      </c>
      <c r="M1220">
        <v>34189</v>
      </c>
      <c r="N1220">
        <v>238284</v>
      </c>
      <c r="O1220">
        <v>8602</v>
      </c>
      <c r="P1220">
        <v>1184</v>
      </c>
      <c r="Q1220">
        <v>17304</v>
      </c>
      <c r="R1220">
        <v>1</v>
      </c>
      <c r="S1220">
        <v>0</v>
      </c>
      <c r="T1220">
        <v>0</v>
      </c>
      <c r="U1220">
        <v>0</v>
      </c>
      <c r="V1220">
        <v>122792</v>
      </c>
      <c r="W1220">
        <v>933005</v>
      </c>
      <c r="X1220">
        <v>52353</v>
      </c>
      <c r="Y1220">
        <f t="shared" ref="Y1220:Y1283" si="19">IF(ISNUMBER($W1220),$W1220,0)</f>
        <v>933005</v>
      </c>
      <c r="Z1220" t="str">
        <f>IF(ISNUMBER(SEARCH("Adjustment",$C1220)),"excluded",IF($H1220="Behind the Meter","excluded",IF(NOT(OR($E1220="Bundled",$E1220="Energy")),"excluded",IF(OR($H1220="Retail Power Marketer",$H1220="Community Choice Aggregator",$E1220="Energy"),"procurement",IF(OR($H1220="Municipal",$H1220="Cooperative",$H1220="Federal",$H1220="State",$H1220="Political Subdivision"),"cost_service",IF($H1220="Investor Owned",IF(AND(COUNTIF(Parameters!$A$4:$A$33,$G1220)&gt;0,COUNTIF(Parameters!$B$4:$B$33,$B1220)=0),"procurement","cost_service"),"unclassified"))))))</f>
        <v>cost_service</v>
      </c>
    </row>
    <row r="1221" spans="1:26" x14ac:dyDescent="0.25">
      <c r="A1221">
        <v>2024</v>
      </c>
      <c r="B1221">
        <v>17697</v>
      </c>
      <c r="C1221" t="s">
        <v>1166</v>
      </c>
      <c r="D1221" t="s">
        <v>84</v>
      </c>
      <c r="E1221" t="s">
        <v>85</v>
      </c>
      <c r="F1221" t="s">
        <v>86</v>
      </c>
      <c r="G1221" t="s">
        <v>46</v>
      </c>
      <c r="H1221" t="s">
        <v>91</v>
      </c>
      <c r="I1221" t="s">
        <v>96</v>
      </c>
      <c r="J1221">
        <v>45817.599999999999</v>
      </c>
      <c r="K1221">
        <v>334854</v>
      </c>
      <c r="L1221">
        <v>24822</v>
      </c>
      <c r="M1221">
        <v>10688.4</v>
      </c>
      <c r="N1221">
        <v>81391</v>
      </c>
      <c r="O1221">
        <v>445</v>
      </c>
      <c r="P1221">
        <v>7811.3</v>
      </c>
      <c r="Q1221">
        <v>67331</v>
      </c>
      <c r="R1221">
        <v>17</v>
      </c>
      <c r="S1221" t="s">
        <v>97</v>
      </c>
      <c r="T1221" t="s">
        <v>97</v>
      </c>
      <c r="U1221" t="s">
        <v>97</v>
      </c>
      <c r="V1221">
        <v>64317.3</v>
      </c>
      <c r="W1221">
        <v>483576</v>
      </c>
      <c r="X1221">
        <v>25284</v>
      </c>
      <c r="Y1221">
        <f t="shared" si="19"/>
        <v>483576</v>
      </c>
      <c r="Z1221" t="str">
        <f>IF(ISNUMBER(SEARCH("Adjustment",$C1221)),"excluded",IF($H1221="Behind the Meter","excluded",IF(NOT(OR($E1221="Bundled",$E1221="Energy")),"excluded",IF(OR($H1221="Retail Power Marketer",$H1221="Community Choice Aggregator",$E1221="Energy"),"procurement",IF(OR($H1221="Municipal",$H1221="Cooperative",$H1221="Federal",$H1221="State",$H1221="Political Subdivision"),"cost_service",IF($H1221="Investor Owned",IF(AND(COUNTIF(Parameters!$A$4:$A$33,$G1221)&gt;0,COUNTIF(Parameters!$B$4:$B$33,$B1221)=0),"procurement","cost_service"),"unclassified"))))))</f>
        <v>cost_service</v>
      </c>
    </row>
    <row r="1222" spans="1:26" x14ac:dyDescent="0.25">
      <c r="A1222">
        <v>2024</v>
      </c>
      <c r="B1222">
        <v>17698</v>
      </c>
      <c r="C1222" t="s">
        <v>45</v>
      </c>
      <c r="D1222" t="s">
        <v>84</v>
      </c>
      <c r="E1222" t="s">
        <v>85</v>
      </c>
      <c r="F1222" t="s">
        <v>86</v>
      </c>
      <c r="G1222" t="s">
        <v>173</v>
      </c>
      <c r="H1222" t="s">
        <v>109</v>
      </c>
      <c r="I1222" t="s">
        <v>135</v>
      </c>
      <c r="J1222">
        <v>127222.3</v>
      </c>
      <c r="K1222">
        <v>1103186</v>
      </c>
      <c r="L1222">
        <v>108102</v>
      </c>
      <c r="M1222">
        <v>114933.6</v>
      </c>
      <c r="N1222">
        <v>1260239</v>
      </c>
      <c r="O1222">
        <v>18913</v>
      </c>
      <c r="P1222">
        <v>72490.3</v>
      </c>
      <c r="Q1222">
        <v>1075933</v>
      </c>
      <c r="R1222">
        <v>603</v>
      </c>
      <c r="S1222" t="s">
        <v>97</v>
      </c>
      <c r="T1222" t="s">
        <v>97</v>
      </c>
      <c r="U1222" t="s">
        <v>97</v>
      </c>
      <c r="V1222">
        <v>314646.2</v>
      </c>
      <c r="W1222">
        <v>3439358</v>
      </c>
      <c r="X1222">
        <v>127618</v>
      </c>
      <c r="Y1222">
        <f t="shared" si="19"/>
        <v>3439358</v>
      </c>
      <c r="Z1222" t="str">
        <f>IF(ISNUMBER(SEARCH("Adjustment",$C1222)),"excluded",IF($H1222="Behind the Meter","excluded",IF(NOT(OR($E1222="Bundled",$E1222="Energy")),"excluded",IF(OR($H1222="Retail Power Marketer",$H1222="Community Choice Aggregator",$E1222="Energy"),"procurement",IF(OR($H1222="Municipal",$H1222="Cooperative",$H1222="Federal",$H1222="State",$H1222="Political Subdivision"),"cost_service",IF($H1222="Investor Owned",IF(AND(COUNTIF(Parameters!$A$4:$A$33,$G1222)&gt;0,COUNTIF(Parameters!$B$4:$B$33,$B1222)=0),"procurement","cost_service"),"unclassified"))))))</f>
        <v>cost_service</v>
      </c>
    </row>
    <row r="1223" spans="1:26" x14ac:dyDescent="0.25">
      <c r="A1223">
        <v>2024</v>
      </c>
      <c r="B1223">
        <v>17698</v>
      </c>
      <c r="C1223" t="s">
        <v>45</v>
      </c>
      <c r="D1223" t="s">
        <v>84</v>
      </c>
      <c r="E1223" t="s">
        <v>85</v>
      </c>
      <c r="F1223" t="s">
        <v>86</v>
      </c>
      <c r="G1223" t="s">
        <v>138</v>
      </c>
      <c r="H1223" t="s">
        <v>109</v>
      </c>
      <c r="I1223" t="s">
        <v>135</v>
      </c>
      <c r="J1223">
        <v>360692.7</v>
      </c>
      <c r="K1223">
        <v>2679887</v>
      </c>
      <c r="L1223">
        <v>207011</v>
      </c>
      <c r="M1223">
        <v>254470.2</v>
      </c>
      <c r="N1223">
        <v>2202679</v>
      </c>
      <c r="O1223">
        <v>25760</v>
      </c>
      <c r="P1223">
        <v>98847.7</v>
      </c>
      <c r="Q1223">
        <v>1161708</v>
      </c>
      <c r="R1223">
        <v>1982</v>
      </c>
      <c r="S1223" t="s">
        <v>97</v>
      </c>
      <c r="T1223" t="s">
        <v>97</v>
      </c>
      <c r="U1223" t="s">
        <v>97</v>
      </c>
      <c r="V1223">
        <v>714010.6</v>
      </c>
      <c r="W1223">
        <v>6044274</v>
      </c>
      <c r="X1223">
        <v>234753</v>
      </c>
      <c r="Y1223">
        <f t="shared" si="19"/>
        <v>6044274</v>
      </c>
      <c r="Z1223" t="str">
        <f>IF(ISNUMBER(SEARCH("Adjustment",$C1223)),"excluded",IF($H1223="Behind the Meter","excluded",IF(NOT(OR($E1223="Bundled",$E1223="Energy")),"excluded",IF(OR($H1223="Retail Power Marketer",$H1223="Community Choice Aggregator",$E1223="Energy"),"procurement",IF(OR($H1223="Municipal",$H1223="Cooperative",$H1223="Federal",$H1223="State",$H1223="Political Subdivision"),"cost_service",IF($H1223="Investor Owned",IF(AND(COUNTIF(Parameters!$A$4:$A$33,$G1223)&gt;0,COUNTIF(Parameters!$B$4:$B$33,$B1223)=0),"procurement","cost_service"),"unclassified"))))))</f>
        <v>cost_service</v>
      </c>
    </row>
    <row r="1224" spans="1:26" x14ac:dyDescent="0.25">
      <c r="A1224">
        <v>2024</v>
      </c>
      <c r="B1224">
        <v>17698</v>
      </c>
      <c r="C1224" t="s">
        <v>45</v>
      </c>
      <c r="D1224" t="s">
        <v>84</v>
      </c>
      <c r="E1224" t="s">
        <v>85</v>
      </c>
      <c r="F1224" t="s">
        <v>86</v>
      </c>
      <c r="G1224" t="s">
        <v>57</v>
      </c>
      <c r="H1224" t="s">
        <v>109</v>
      </c>
      <c r="I1224" t="s">
        <v>135</v>
      </c>
      <c r="J1224">
        <v>238602</v>
      </c>
      <c r="K1224">
        <v>1984161</v>
      </c>
      <c r="L1224">
        <v>156271</v>
      </c>
      <c r="M1224">
        <v>205280.4</v>
      </c>
      <c r="N1224">
        <v>2072701</v>
      </c>
      <c r="O1224">
        <v>31450</v>
      </c>
      <c r="P1224">
        <v>177721.9</v>
      </c>
      <c r="Q1224">
        <v>2864010</v>
      </c>
      <c r="R1224">
        <v>4042</v>
      </c>
      <c r="S1224" t="s">
        <v>97</v>
      </c>
      <c r="T1224" t="s">
        <v>97</v>
      </c>
      <c r="U1224" t="s">
        <v>97</v>
      </c>
      <c r="V1224">
        <v>621604.30000000005</v>
      </c>
      <c r="W1224">
        <v>6920872</v>
      </c>
      <c r="X1224">
        <v>191763</v>
      </c>
      <c r="Y1224">
        <f t="shared" si="19"/>
        <v>6920872</v>
      </c>
      <c r="Z1224" t="str">
        <f>IF(ISNUMBER(SEARCH("Adjustment",$C1224)),"excluded",IF($H1224="Behind the Meter","excluded",IF(NOT(OR($E1224="Bundled",$E1224="Energy")),"excluded",IF(OR($H1224="Retail Power Marketer",$H1224="Community Choice Aggregator",$E1224="Energy"),"procurement",IF(OR($H1224="Municipal",$H1224="Cooperative",$H1224="Federal",$H1224="State",$H1224="Political Subdivision"),"cost_service",IF($H1224="Investor Owned",IF(AND(COUNTIF(Parameters!$A$4:$A$33,$G1224)&gt;0,COUNTIF(Parameters!$B$4:$B$33,$B1224)=0),"procurement","cost_service"),"unclassified"))))))</f>
        <v>cost_service</v>
      </c>
    </row>
    <row r="1225" spans="1:26" x14ac:dyDescent="0.25">
      <c r="A1225">
        <v>2024</v>
      </c>
      <c r="B1225">
        <v>17710</v>
      </c>
      <c r="C1225" t="s">
        <v>1167</v>
      </c>
      <c r="D1225" t="s">
        <v>99</v>
      </c>
      <c r="E1225" t="s">
        <v>100</v>
      </c>
      <c r="F1225" t="s">
        <v>86</v>
      </c>
      <c r="G1225" t="s">
        <v>44</v>
      </c>
      <c r="H1225" t="s">
        <v>101</v>
      </c>
      <c r="I1225" t="s">
        <v>92</v>
      </c>
      <c r="J1225">
        <v>975</v>
      </c>
      <c r="K1225">
        <v>7787</v>
      </c>
      <c r="L1225">
        <v>881</v>
      </c>
      <c r="M1225">
        <v>55</v>
      </c>
      <c r="N1225">
        <v>674</v>
      </c>
      <c r="O1225">
        <v>3</v>
      </c>
      <c r="P1225">
        <v>0</v>
      </c>
      <c r="Q1225">
        <v>0</v>
      </c>
      <c r="R1225">
        <v>0</v>
      </c>
      <c r="S1225">
        <v>0</v>
      </c>
      <c r="T1225">
        <v>0</v>
      </c>
      <c r="U1225">
        <v>0</v>
      </c>
      <c r="V1225">
        <v>1030</v>
      </c>
      <c r="W1225">
        <v>8461</v>
      </c>
      <c r="X1225">
        <v>884</v>
      </c>
      <c r="Y1225">
        <f t="shared" si="19"/>
        <v>8461</v>
      </c>
      <c r="Z1225" t="str">
        <f>IF(ISNUMBER(SEARCH("Adjustment",$C1225)),"excluded",IF($H1225="Behind the Meter","excluded",IF(NOT(OR($E1225="Bundled",$E1225="Energy")),"excluded",IF(OR($H1225="Retail Power Marketer",$H1225="Community Choice Aggregator",$E1225="Energy"),"procurement",IF(OR($H1225="Municipal",$H1225="Cooperative",$H1225="Federal",$H1225="State",$H1225="Political Subdivision"),"cost_service",IF($H1225="Investor Owned",IF(AND(COUNTIF(Parameters!$A$4:$A$33,$G1225)&gt;0,COUNTIF(Parameters!$B$4:$B$33,$B1225)=0),"procurement","cost_service"),"unclassified"))))))</f>
        <v>procurement</v>
      </c>
    </row>
    <row r="1226" spans="1:26" x14ac:dyDescent="0.25">
      <c r="A1226">
        <v>2024</v>
      </c>
      <c r="B1226">
        <v>17710</v>
      </c>
      <c r="C1226" t="s">
        <v>1167</v>
      </c>
      <c r="D1226" t="s">
        <v>99</v>
      </c>
      <c r="E1226" t="s">
        <v>100</v>
      </c>
      <c r="F1226" t="s">
        <v>86</v>
      </c>
      <c r="G1226" t="s">
        <v>46</v>
      </c>
      <c r="H1226" t="s">
        <v>101</v>
      </c>
      <c r="I1226" t="s">
        <v>96</v>
      </c>
      <c r="J1226">
        <v>18955</v>
      </c>
      <c r="K1226">
        <v>98716</v>
      </c>
      <c r="L1226">
        <v>15356</v>
      </c>
      <c r="M1226">
        <v>837</v>
      </c>
      <c r="N1226">
        <v>4516</v>
      </c>
      <c r="O1226">
        <v>483</v>
      </c>
      <c r="P1226">
        <v>0</v>
      </c>
      <c r="Q1226">
        <v>0</v>
      </c>
      <c r="R1226">
        <v>0</v>
      </c>
      <c r="S1226">
        <v>0</v>
      </c>
      <c r="T1226">
        <v>0</v>
      </c>
      <c r="U1226">
        <v>0</v>
      </c>
      <c r="V1226">
        <v>19792</v>
      </c>
      <c r="W1226">
        <v>103232</v>
      </c>
      <c r="X1226">
        <v>15839</v>
      </c>
      <c r="Y1226">
        <f t="shared" si="19"/>
        <v>103232</v>
      </c>
      <c r="Z1226" t="str">
        <f>IF(ISNUMBER(SEARCH("Adjustment",$C1226)),"excluded",IF($H1226="Behind the Meter","excluded",IF(NOT(OR($E1226="Bundled",$E1226="Energy")),"excluded",IF(OR($H1226="Retail Power Marketer",$H1226="Community Choice Aggregator",$E1226="Energy"),"procurement",IF(OR($H1226="Municipal",$H1226="Cooperative",$H1226="Federal",$H1226="State",$H1226="Political Subdivision"),"cost_service",IF($H1226="Investor Owned",IF(AND(COUNTIF(Parameters!$A$4:$A$33,$G1226)&gt;0,COUNTIF(Parameters!$B$4:$B$33,$B1226)=0),"procurement","cost_service"),"unclassified"))))))</f>
        <v>procurement</v>
      </c>
    </row>
    <row r="1227" spans="1:26" x14ac:dyDescent="0.25">
      <c r="A1227">
        <v>2024</v>
      </c>
      <c r="B1227">
        <v>17710</v>
      </c>
      <c r="C1227" t="s">
        <v>1167</v>
      </c>
      <c r="D1227" t="s">
        <v>99</v>
      </c>
      <c r="E1227" t="s">
        <v>100</v>
      </c>
      <c r="F1227" t="s">
        <v>86</v>
      </c>
      <c r="G1227" t="s">
        <v>49</v>
      </c>
      <c r="H1227" t="s">
        <v>101</v>
      </c>
      <c r="I1227" t="s">
        <v>92</v>
      </c>
      <c r="J1227">
        <v>2733</v>
      </c>
      <c r="K1227">
        <v>16732</v>
      </c>
      <c r="L1227">
        <v>1754</v>
      </c>
      <c r="M1227">
        <v>165</v>
      </c>
      <c r="N1227">
        <v>813</v>
      </c>
      <c r="O1227">
        <v>42</v>
      </c>
      <c r="P1227">
        <v>0</v>
      </c>
      <c r="Q1227">
        <v>0</v>
      </c>
      <c r="R1227">
        <v>0</v>
      </c>
      <c r="S1227">
        <v>0</v>
      </c>
      <c r="T1227">
        <v>0</v>
      </c>
      <c r="U1227">
        <v>0</v>
      </c>
      <c r="V1227">
        <v>2898</v>
      </c>
      <c r="W1227">
        <v>17545</v>
      </c>
      <c r="X1227">
        <v>1796</v>
      </c>
      <c r="Y1227">
        <f t="shared" si="19"/>
        <v>17545</v>
      </c>
      <c r="Z1227" t="str">
        <f>IF(ISNUMBER(SEARCH("Adjustment",$C1227)),"excluded",IF($H1227="Behind the Meter","excluded",IF(NOT(OR($E1227="Bundled",$E1227="Energy")),"excluded",IF(OR($H1227="Retail Power Marketer",$H1227="Community Choice Aggregator",$E1227="Energy"),"procurement",IF(OR($H1227="Municipal",$H1227="Cooperative",$H1227="Federal",$H1227="State",$H1227="Political Subdivision"),"cost_service",IF($H1227="Investor Owned",IF(AND(COUNTIF(Parameters!$A$4:$A$33,$G1227)&gt;0,COUNTIF(Parameters!$B$4:$B$33,$B1227)=0),"procurement","cost_service"),"unclassified"))))))</f>
        <v>procurement</v>
      </c>
    </row>
    <row r="1228" spans="1:26" x14ac:dyDescent="0.25">
      <c r="A1228">
        <v>2024</v>
      </c>
      <c r="B1228">
        <v>17710</v>
      </c>
      <c r="C1228" t="s">
        <v>1167</v>
      </c>
      <c r="D1228" t="s">
        <v>150</v>
      </c>
      <c r="E1228" t="s">
        <v>85</v>
      </c>
      <c r="F1228" t="s">
        <v>86</v>
      </c>
      <c r="G1228" t="s">
        <v>57</v>
      </c>
      <c r="H1228" t="s">
        <v>101</v>
      </c>
      <c r="I1228" t="s">
        <v>151</v>
      </c>
      <c r="J1228">
        <v>55263</v>
      </c>
      <c r="K1228">
        <v>338039</v>
      </c>
      <c r="L1228">
        <v>22689</v>
      </c>
      <c r="M1228">
        <v>3458</v>
      </c>
      <c r="N1228">
        <v>20371</v>
      </c>
      <c r="O1228">
        <v>720</v>
      </c>
      <c r="P1228">
        <v>0</v>
      </c>
      <c r="Q1228">
        <v>0</v>
      </c>
      <c r="R1228">
        <v>0</v>
      </c>
      <c r="S1228">
        <v>0</v>
      </c>
      <c r="T1228">
        <v>0</v>
      </c>
      <c r="U1228">
        <v>0</v>
      </c>
      <c r="V1228">
        <v>58721</v>
      </c>
      <c r="W1228">
        <v>358410</v>
      </c>
      <c r="X1228">
        <v>23409</v>
      </c>
      <c r="Y1228">
        <f t="shared" si="19"/>
        <v>358410</v>
      </c>
      <c r="Z1228" t="str">
        <f>IF(ISNUMBER(SEARCH("Adjustment",$C1228)),"excluded",IF($H1228="Behind the Meter","excluded",IF(NOT(OR($E1228="Bundled",$E1228="Energy")),"excluded",IF(OR($H1228="Retail Power Marketer",$H1228="Community Choice Aggregator",$E1228="Energy"),"procurement",IF(OR($H1228="Municipal",$H1228="Cooperative",$H1228="Federal",$H1228="State",$H1228="Political Subdivision"),"cost_service",IF($H1228="Investor Owned",IF(AND(COUNTIF(Parameters!$A$4:$A$33,$G1228)&gt;0,COUNTIF(Parameters!$B$4:$B$33,$B1228)=0),"procurement","cost_service"),"unclassified"))))))</f>
        <v>procurement</v>
      </c>
    </row>
    <row r="1229" spans="1:26" x14ac:dyDescent="0.25">
      <c r="A1229">
        <v>2024</v>
      </c>
      <c r="B1229">
        <v>17715</v>
      </c>
      <c r="C1229" t="s">
        <v>1168</v>
      </c>
      <c r="D1229" t="s">
        <v>84</v>
      </c>
      <c r="E1229" t="s">
        <v>85</v>
      </c>
      <c r="F1229" t="s">
        <v>86</v>
      </c>
      <c r="G1229" t="s">
        <v>361</v>
      </c>
      <c r="H1229" t="s">
        <v>91</v>
      </c>
      <c r="I1229" t="s">
        <v>309</v>
      </c>
      <c r="J1229">
        <v>20.100000000000001</v>
      </c>
      <c r="K1229">
        <v>101</v>
      </c>
      <c r="L1229">
        <v>5</v>
      </c>
      <c r="M1229">
        <v>5.0999999999999996</v>
      </c>
      <c r="N1229">
        <v>27</v>
      </c>
      <c r="O1229">
        <v>2</v>
      </c>
      <c r="P1229" t="s">
        <v>97</v>
      </c>
      <c r="Q1229" t="s">
        <v>97</v>
      </c>
      <c r="R1229" t="s">
        <v>97</v>
      </c>
      <c r="S1229" t="s">
        <v>97</v>
      </c>
      <c r="T1229" t="s">
        <v>97</v>
      </c>
      <c r="U1229" t="s">
        <v>97</v>
      </c>
      <c r="V1229">
        <v>25.2</v>
      </c>
      <c r="W1229">
        <v>128</v>
      </c>
      <c r="X1229">
        <v>7</v>
      </c>
      <c r="Y1229">
        <f t="shared" si="19"/>
        <v>128</v>
      </c>
      <c r="Z1229" t="str">
        <f>IF(ISNUMBER(SEARCH("Adjustment",$C1229)),"excluded",IF($H1229="Behind the Meter","excluded",IF(NOT(OR($E1229="Bundled",$E1229="Energy")),"excluded",IF(OR($H1229="Retail Power Marketer",$H1229="Community Choice Aggregator",$E1229="Energy"),"procurement",IF(OR($H1229="Municipal",$H1229="Cooperative",$H1229="Federal",$H1229="State",$H1229="Political Subdivision"),"cost_service",IF($H1229="Investor Owned",IF(AND(COUNTIF(Parameters!$A$4:$A$33,$G1229)&gt;0,COUNTIF(Parameters!$B$4:$B$33,$B1229)=0),"procurement","cost_service"),"unclassified"))))))</f>
        <v>cost_service</v>
      </c>
    </row>
    <row r="1230" spans="1:26" x14ac:dyDescent="0.25">
      <c r="A1230">
        <v>2024</v>
      </c>
      <c r="B1230">
        <v>17715</v>
      </c>
      <c r="C1230" t="s">
        <v>1168</v>
      </c>
      <c r="D1230" t="s">
        <v>84</v>
      </c>
      <c r="E1230" t="s">
        <v>85</v>
      </c>
      <c r="F1230" t="s">
        <v>86</v>
      </c>
      <c r="G1230" t="s">
        <v>308</v>
      </c>
      <c r="H1230" t="s">
        <v>91</v>
      </c>
      <c r="I1230" t="s">
        <v>309</v>
      </c>
      <c r="J1230">
        <v>2283.1</v>
      </c>
      <c r="K1230">
        <v>9478</v>
      </c>
      <c r="L1230">
        <v>1434</v>
      </c>
      <c r="M1230">
        <v>1587.9</v>
      </c>
      <c r="N1230">
        <v>9534</v>
      </c>
      <c r="O1230">
        <v>325</v>
      </c>
      <c r="P1230">
        <v>21005.200000000001</v>
      </c>
      <c r="Q1230">
        <v>267928</v>
      </c>
      <c r="R1230">
        <v>381</v>
      </c>
      <c r="S1230" t="s">
        <v>97</v>
      </c>
      <c r="T1230" t="s">
        <v>97</v>
      </c>
      <c r="U1230" t="s">
        <v>97</v>
      </c>
      <c r="V1230">
        <v>24876.2</v>
      </c>
      <c r="W1230">
        <v>286940</v>
      </c>
      <c r="X1230">
        <v>2140</v>
      </c>
      <c r="Y1230">
        <f t="shared" si="19"/>
        <v>286940</v>
      </c>
      <c r="Z1230" t="str">
        <f>IF(ISNUMBER(SEARCH("Adjustment",$C1230)),"excluded",IF($H1230="Behind the Meter","excluded",IF(NOT(OR($E1230="Bundled",$E1230="Energy")),"excluded",IF(OR($H1230="Retail Power Marketer",$H1230="Community Choice Aggregator",$E1230="Energy"),"procurement",IF(OR($H1230="Municipal",$H1230="Cooperative",$H1230="Federal",$H1230="State",$H1230="Political Subdivision"),"cost_service",IF($H1230="Investor Owned",IF(AND(COUNTIF(Parameters!$A$4:$A$33,$G1230)&gt;0,COUNTIF(Parameters!$B$4:$B$33,$B1230)=0),"procurement","cost_service"),"unclassified"))))))</f>
        <v>cost_service</v>
      </c>
    </row>
    <row r="1231" spans="1:26" x14ac:dyDescent="0.25">
      <c r="A1231">
        <v>2024</v>
      </c>
      <c r="B1231">
        <v>17715</v>
      </c>
      <c r="C1231" t="s">
        <v>1168</v>
      </c>
      <c r="D1231" t="s">
        <v>84</v>
      </c>
      <c r="E1231" t="s">
        <v>85</v>
      </c>
      <c r="F1231" t="s">
        <v>86</v>
      </c>
      <c r="G1231" t="s">
        <v>136</v>
      </c>
      <c r="H1231" t="s">
        <v>91</v>
      </c>
      <c r="I1231" t="s">
        <v>309</v>
      </c>
      <c r="J1231">
        <v>0</v>
      </c>
      <c r="K1231">
        <v>0</v>
      </c>
      <c r="L1231">
        <v>0</v>
      </c>
      <c r="M1231" t="s">
        <v>97</v>
      </c>
      <c r="N1231" t="s">
        <v>97</v>
      </c>
      <c r="O1231" t="s">
        <v>97</v>
      </c>
      <c r="P1231">
        <v>100.1</v>
      </c>
      <c r="Q1231">
        <v>750</v>
      </c>
      <c r="R1231">
        <v>7</v>
      </c>
      <c r="S1231" t="s">
        <v>97</v>
      </c>
      <c r="T1231" t="s">
        <v>97</v>
      </c>
      <c r="U1231" t="s">
        <v>97</v>
      </c>
      <c r="V1231">
        <v>100.1</v>
      </c>
      <c r="W1231">
        <v>750</v>
      </c>
      <c r="X1231">
        <v>7</v>
      </c>
      <c r="Y1231">
        <f t="shared" si="19"/>
        <v>750</v>
      </c>
      <c r="Z1231" t="str">
        <f>IF(ISNUMBER(SEARCH("Adjustment",$C1231)),"excluded",IF($H1231="Behind the Meter","excluded",IF(NOT(OR($E1231="Bundled",$E1231="Energy")),"excluded",IF(OR($H1231="Retail Power Marketer",$H1231="Community Choice Aggregator",$E1231="Energy"),"procurement",IF(OR($H1231="Municipal",$H1231="Cooperative",$H1231="Federal",$H1231="State",$H1231="Political Subdivision"),"cost_service",IF($H1231="Investor Owned",IF(AND(COUNTIF(Parameters!$A$4:$A$33,$G1231)&gt;0,COUNTIF(Parameters!$B$4:$B$33,$B1231)=0),"procurement","cost_service"),"unclassified"))))))</f>
        <v>cost_service</v>
      </c>
    </row>
    <row r="1232" spans="1:26" x14ac:dyDescent="0.25">
      <c r="A1232">
        <v>2024</v>
      </c>
      <c r="B1232">
        <v>17715</v>
      </c>
      <c r="C1232" t="s">
        <v>1168</v>
      </c>
      <c r="D1232" t="s">
        <v>84</v>
      </c>
      <c r="E1232" t="s">
        <v>85</v>
      </c>
      <c r="F1232" t="s">
        <v>86</v>
      </c>
      <c r="G1232" t="s">
        <v>57</v>
      </c>
      <c r="H1232" t="s">
        <v>91</v>
      </c>
      <c r="I1232" t="s">
        <v>309</v>
      </c>
      <c r="J1232">
        <v>18.899999999999999</v>
      </c>
      <c r="K1232">
        <v>81</v>
      </c>
      <c r="L1232">
        <v>10</v>
      </c>
      <c r="M1232" t="s">
        <v>97</v>
      </c>
      <c r="N1232" t="s">
        <v>97</v>
      </c>
      <c r="O1232" t="s">
        <v>97</v>
      </c>
      <c r="P1232">
        <v>36.1</v>
      </c>
      <c r="Q1232">
        <v>240</v>
      </c>
      <c r="R1232">
        <v>8</v>
      </c>
      <c r="S1232" t="s">
        <v>97</v>
      </c>
      <c r="T1232" t="s">
        <v>97</v>
      </c>
      <c r="U1232" t="s">
        <v>97</v>
      </c>
      <c r="V1232">
        <v>55</v>
      </c>
      <c r="W1232">
        <v>321</v>
      </c>
      <c r="X1232">
        <v>18</v>
      </c>
      <c r="Y1232">
        <f t="shared" si="19"/>
        <v>321</v>
      </c>
      <c r="Z1232" t="str">
        <f>IF(ISNUMBER(SEARCH("Adjustment",$C1232)),"excluded",IF($H1232="Behind the Meter","excluded",IF(NOT(OR($E1232="Bundled",$E1232="Energy")),"excluded",IF(OR($H1232="Retail Power Marketer",$H1232="Community Choice Aggregator",$E1232="Energy"),"procurement",IF(OR($H1232="Municipal",$H1232="Cooperative",$H1232="Federal",$H1232="State",$H1232="Political Subdivision"),"cost_service",IF($H1232="Investor Owned",IF(AND(COUNTIF(Parameters!$A$4:$A$33,$G1232)&gt;0,COUNTIF(Parameters!$B$4:$B$33,$B1232)=0),"procurement","cost_service"),"unclassified"))))))</f>
        <v>cost_service</v>
      </c>
    </row>
    <row r="1233" spans="1:26" x14ac:dyDescent="0.25">
      <c r="A1233">
        <v>2024</v>
      </c>
      <c r="B1233">
        <v>17718</v>
      </c>
      <c r="C1233" t="s">
        <v>43</v>
      </c>
      <c r="D1233" t="s">
        <v>84</v>
      </c>
      <c r="E1233" t="s">
        <v>85</v>
      </c>
      <c r="F1233" t="s">
        <v>86</v>
      </c>
      <c r="G1233" t="s">
        <v>308</v>
      </c>
      <c r="H1233" t="s">
        <v>109</v>
      </c>
      <c r="I1233" t="s">
        <v>135</v>
      </c>
      <c r="J1233">
        <v>143947.6</v>
      </c>
      <c r="K1233">
        <v>1201772</v>
      </c>
      <c r="L1233">
        <v>100540</v>
      </c>
      <c r="M1233">
        <v>216575.3</v>
      </c>
      <c r="N1233">
        <v>2748781</v>
      </c>
      <c r="O1233">
        <v>26934</v>
      </c>
      <c r="P1233">
        <v>342374</v>
      </c>
      <c r="Q1233">
        <v>7656710</v>
      </c>
      <c r="R1233">
        <v>198</v>
      </c>
      <c r="S1233">
        <v>0</v>
      </c>
      <c r="T1233">
        <v>0</v>
      </c>
      <c r="U1233">
        <v>0</v>
      </c>
      <c r="V1233">
        <v>702896.9</v>
      </c>
      <c r="W1233">
        <v>11607263</v>
      </c>
      <c r="X1233">
        <v>127672</v>
      </c>
      <c r="Y1233">
        <f t="shared" si="19"/>
        <v>11607263</v>
      </c>
      <c r="Z1233" t="str">
        <f>IF(ISNUMBER(SEARCH("Adjustment",$C1233)),"excluded",IF($H1233="Behind the Meter","excluded",IF(NOT(OR($E1233="Bundled",$E1233="Energy")),"excluded",IF(OR($H1233="Retail Power Marketer",$H1233="Community Choice Aggregator",$E1233="Energy"),"procurement",IF(OR($H1233="Municipal",$H1233="Cooperative",$H1233="Federal",$H1233="State",$H1233="Political Subdivision"),"cost_service",IF($H1233="Investor Owned",IF(AND(COUNTIF(Parameters!$A$4:$A$33,$G1233)&gt;0,COUNTIF(Parameters!$B$4:$B$33,$B1233)=0),"procurement","cost_service"),"unclassified"))))))</f>
        <v>cost_service</v>
      </c>
    </row>
    <row r="1234" spans="1:26" x14ac:dyDescent="0.25">
      <c r="A1234">
        <v>2024</v>
      </c>
      <c r="B1234">
        <v>17718</v>
      </c>
      <c r="C1234" t="s">
        <v>43</v>
      </c>
      <c r="D1234" t="s">
        <v>84</v>
      </c>
      <c r="E1234" t="s">
        <v>85</v>
      </c>
      <c r="F1234" t="s">
        <v>86</v>
      </c>
      <c r="G1234" t="s">
        <v>57</v>
      </c>
      <c r="H1234" t="s">
        <v>109</v>
      </c>
      <c r="I1234" t="s">
        <v>135</v>
      </c>
      <c r="J1234">
        <v>340763.3</v>
      </c>
      <c r="K1234">
        <v>2552082</v>
      </c>
      <c r="L1234">
        <v>222146</v>
      </c>
      <c r="M1234">
        <v>311550.8</v>
      </c>
      <c r="N1234">
        <v>3381322</v>
      </c>
      <c r="O1234">
        <v>58809</v>
      </c>
      <c r="P1234">
        <v>375808.4</v>
      </c>
      <c r="Q1234">
        <v>7714759</v>
      </c>
      <c r="R1234">
        <v>142</v>
      </c>
      <c r="S1234">
        <v>0</v>
      </c>
      <c r="T1234">
        <v>0</v>
      </c>
      <c r="U1234">
        <v>0</v>
      </c>
      <c r="V1234">
        <v>1028122.5</v>
      </c>
      <c r="W1234">
        <v>13648163</v>
      </c>
      <c r="X1234">
        <v>281097</v>
      </c>
      <c r="Y1234">
        <f t="shared" si="19"/>
        <v>13648163</v>
      </c>
      <c r="Z1234" t="str">
        <f>IF(ISNUMBER(SEARCH("Adjustment",$C1234)),"excluded",IF($H1234="Behind the Meter","excluded",IF(NOT(OR($E1234="Bundled",$E1234="Energy")),"excluded",IF(OR($H1234="Retail Power Marketer",$H1234="Community Choice Aggregator",$E1234="Energy"),"procurement",IF(OR($H1234="Municipal",$H1234="Cooperative",$H1234="Federal",$H1234="State",$H1234="Political Subdivision"),"cost_service",IF($H1234="Investor Owned",IF(AND(COUNTIF(Parameters!$A$4:$A$33,$G1234)&gt;0,COUNTIF(Parameters!$B$4:$B$33,$B1234)=0),"procurement","cost_service"),"unclassified"))))))</f>
        <v>cost_service</v>
      </c>
    </row>
    <row r="1235" spans="1:26" x14ac:dyDescent="0.25">
      <c r="A1235">
        <v>2024</v>
      </c>
      <c r="B1235">
        <v>17732</v>
      </c>
      <c r="C1235" t="s">
        <v>1169</v>
      </c>
      <c r="D1235" t="s">
        <v>84</v>
      </c>
      <c r="E1235" t="s">
        <v>85</v>
      </c>
      <c r="F1235" t="s">
        <v>86</v>
      </c>
      <c r="G1235" t="s">
        <v>245</v>
      </c>
      <c r="H1235" t="s">
        <v>88</v>
      </c>
      <c r="I1235" t="s">
        <v>246</v>
      </c>
      <c r="J1235">
        <v>13461</v>
      </c>
      <c r="K1235">
        <v>133336</v>
      </c>
      <c r="L1235">
        <v>13988</v>
      </c>
      <c r="M1235">
        <v>11025</v>
      </c>
      <c r="N1235">
        <v>117231</v>
      </c>
      <c r="O1235">
        <v>2143</v>
      </c>
      <c r="P1235">
        <v>3864</v>
      </c>
      <c r="Q1235">
        <v>57312</v>
      </c>
      <c r="R1235">
        <v>11</v>
      </c>
      <c r="S1235">
        <v>0</v>
      </c>
      <c r="T1235">
        <v>0</v>
      </c>
      <c r="U1235">
        <v>0</v>
      </c>
      <c r="V1235">
        <v>28350</v>
      </c>
      <c r="W1235">
        <v>307879</v>
      </c>
      <c r="X1235">
        <v>16142</v>
      </c>
      <c r="Y1235">
        <f t="shared" si="19"/>
        <v>307879</v>
      </c>
      <c r="Z1235" t="str">
        <f>IF(ISNUMBER(SEARCH("Adjustment",$C1235)),"excluded",IF($H1235="Behind the Meter","excluded",IF(NOT(OR($E1235="Bundled",$E1235="Energy")),"excluded",IF(OR($H1235="Retail Power Marketer",$H1235="Community Choice Aggregator",$E1235="Energy"),"procurement",IF(OR($H1235="Municipal",$H1235="Cooperative",$H1235="Federal",$H1235="State",$H1235="Political Subdivision"),"cost_service",IF($H1235="Investor Owned",IF(AND(COUNTIF(Parameters!$A$4:$A$33,$G1235)&gt;0,COUNTIF(Parameters!$B$4:$B$33,$B1235)=0),"procurement","cost_service"),"unclassified"))))))</f>
        <v>cost_service</v>
      </c>
    </row>
    <row r="1236" spans="1:26" x14ac:dyDescent="0.25">
      <c r="A1236">
        <v>2024</v>
      </c>
      <c r="B1236">
        <v>17740</v>
      </c>
      <c r="C1236" t="s">
        <v>1170</v>
      </c>
      <c r="D1236" t="s">
        <v>84</v>
      </c>
      <c r="E1236" t="s">
        <v>85</v>
      </c>
      <c r="F1236" t="s">
        <v>86</v>
      </c>
      <c r="G1236" t="s">
        <v>156</v>
      </c>
      <c r="H1236" t="s">
        <v>88</v>
      </c>
      <c r="I1236" t="s">
        <v>89</v>
      </c>
      <c r="J1236">
        <v>3066</v>
      </c>
      <c r="K1236">
        <v>25681</v>
      </c>
      <c r="L1236">
        <v>2258</v>
      </c>
      <c r="M1236">
        <v>5638</v>
      </c>
      <c r="N1236">
        <v>47364</v>
      </c>
      <c r="O1236">
        <v>830</v>
      </c>
      <c r="P1236">
        <v>4138</v>
      </c>
      <c r="Q1236">
        <v>50022</v>
      </c>
      <c r="R1236">
        <v>4</v>
      </c>
      <c r="S1236">
        <v>0</v>
      </c>
      <c r="T1236">
        <v>0</v>
      </c>
      <c r="U1236">
        <v>0</v>
      </c>
      <c r="V1236">
        <v>12842</v>
      </c>
      <c r="W1236">
        <v>123067</v>
      </c>
      <c r="X1236">
        <v>3092</v>
      </c>
      <c r="Y1236">
        <f t="shared" si="19"/>
        <v>123067</v>
      </c>
      <c r="Z1236" t="str">
        <f>IF(ISNUMBER(SEARCH("Adjustment",$C1236)),"excluded",IF($H1236="Behind the Meter","excluded",IF(NOT(OR($E1236="Bundled",$E1236="Energy")),"excluded",IF(OR($H1236="Retail Power Marketer",$H1236="Community Choice Aggregator",$E1236="Energy"),"procurement",IF(OR($H1236="Municipal",$H1236="Cooperative",$H1236="Federal",$H1236="State",$H1236="Political Subdivision"),"cost_service",IF($H1236="Investor Owned",IF(AND(COUNTIF(Parameters!$A$4:$A$33,$G1236)&gt;0,COUNTIF(Parameters!$B$4:$B$33,$B1236)=0),"procurement","cost_service"),"unclassified"))))))</f>
        <v>cost_service</v>
      </c>
    </row>
    <row r="1237" spans="1:26" x14ac:dyDescent="0.25">
      <c r="A1237">
        <v>2024</v>
      </c>
      <c r="B1237">
        <v>17826</v>
      </c>
      <c r="C1237" t="s">
        <v>1171</v>
      </c>
      <c r="D1237" t="s">
        <v>84</v>
      </c>
      <c r="E1237" t="s">
        <v>85</v>
      </c>
      <c r="F1237" t="s">
        <v>86</v>
      </c>
      <c r="G1237" t="s">
        <v>308</v>
      </c>
      <c r="H1237" t="s">
        <v>91</v>
      </c>
      <c r="I1237" t="s">
        <v>309</v>
      </c>
      <c r="J1237">
        <v>2854</v>
      </c>
      <c r="K1237">
        <v>15017</v>
      </c>
      <c r="L1237">
        <v>2453</v>
      </c>
      <c r="M1237">
        <v>3143</v>
      </c>
      <c r="N1237">
        <v>20908</v>
      </c>
      <c r="O1237">
        <v>626</v>
      </c>
      <c r="P1237">
        <v>11994</v>
      </c>
      <c r="Q1237">
        <v>163717</v>
      </c>
      <c r="R1237">
        <v>5</v>
      </c>
      <c r="S1237" t="s">
        <v>97</v>
      </c>
      <c r="T1237" t="s">
        <v>97</v>
      </c>
      <c r="U1237" t="s">
        <v>97</v>
      </c>
      <c r="V1237">
        <v>17991</v>
      </c>
      <c r="W1237">
        <v>199642</v>
      </c>
      <c r="X1237">
        <v>3084</v>
      </c>
      <c r="Y1237">
        <f t="shared" si="19"/>
        <v>199642</v>
      </c>
      <c r="Z1237" t="str">
        <f>IF(ISNUMBER(SEARCH("Adjustment",$C1237)),"excluded",IF($H1237="Behind the Meter","excluded",IF(NOT(OR($E1237="Bundled",$E1237="Energy")),"excluded",IF(OR($H1237="Retail Power Marketer",$H1237="Community Choice Aggregator",$E1237="Energy"),"procurement",IF(OR($H1237="Municipal",$H1237="Cooperative",$H1237="Federal",$H1237="State",$H1237="Political Subdivision"),"cost_service",IF($H1237="Investor Owned",IF(AND(COUNTIF(Parameters!$A$4:$A$33,$G1237)&gt;0,COUNTIF(Parameters!$B$4:$B$33,$B1237)=0),"procurement","cost_service"),"unclassified"))))))</f>
        <v>cost_service</v>
      </c>
    </row>
    <row r="1238" spans="1:26" x14ac:dyDescent="0.25">
      <c r="A1238">
        <v>2024</v>
      </c>
      <c r="B1238">
        <v>17828</v>
      </c>
      <c r="C1238" t="s">
        <v>1172</v>
      </c>
      <c r="D1238" t="s">
        <v>84</v>
      </c>
      <c r="E1238" t="s">
        <v>85</v>
      </c>
      <c r="F1238" t="s">
        <v>86</v>
      </c>
      <c r="G1238" t="s">
        <v>46</v>
      </c>
      <c r="H1238" t="s">
        <v>88</v>
      </c>
      <c r="I1238" t="s">
        <v>96</v>
      </c>
      <c r="J1238">
        <v>70964.800000000003</v>
      </c>
      <c r="K1238">
        <v>593685</v>
      </c>
      <c r="L1238">
        <v>59621</v>
      </c>
      <c r="M1238">
        <v>115980.9</v>
      </c>
      <c r="N1238">
        <v>874808</v>
      </c>
      <c r="O1238">
        <v>11558</v>
      </c>
      <c r="P1238" t="s">
        <v>97</v>
      </c>
      <c r="Q1238" t="s">
        <v>97</v>
      </c>
      <c r="R1238" t="s">
        <v>97</v>
      </c>
      <c r="S1238" t="s">
        <v>97</v>
      </c>
      <c r="T1238" t="s">
        <v>97</v>
      </c>
      <c r="U1238" t="s">
        <v>97</v>
      </c>
      <c r="V1238">
        <v>186945.7</v>
      </c>
      <c r="W1238">
        <v>1468493</v>
      </c>
      <c r="X1238">
        <v>71179</v>
      </c>
      <c r="Y1238">
        <f t="shared" si="19"/>
        <v>1468493</v>
      </c>
      <c r="Z1238" t="str">
        <f>IF(ISNUMBER(SEARCH("Adjustment",$C1238)),"excluded",IF($H1238="Behind the Meter","excluded",IF(NOT(OR($E1238="Bundled",$E1238="Energy")),"excluded",IF(OR($H1238="Retail Power Marketer",$H1238="Community Choice Aggregator",$E1238="Energy"),"procurement",IF(OR($H1238="Municipal",$H1238="Cooperative",$H1238="Federal",$H1238="State",$H1238="Political Subdivision"),"cost_service",IF($H1238="Investor Owned",IF(AND(COUNTIF(Parameters!$A$4:$A$33,$G1238)&gt;0,COUNTIF(Parameters!$B$4:$B$33,$B1238)=0),"procurement","cost_service"),"unclassified"))))))</f>
        <v>cost_service</v>
      </c>
    </row>
    <row r="1239" spans="1:26" x14ac:dyDescent="0.25">
      <c r="A1239">
        <v>2024</v>
      </c>
      <c r="B1239">
        <v>17829</v>
      </c>
      <c r="C1239" t="s">
        <v>1173</v>
      </c>
      <c r="D1239" t="s">
        <v>84</v>
      </c>
      <c r="E1239" t="s">
        <v>85</v>
      </c>
      <c r="F1239" t="s">
        <v>86</v>
      </c>
      <c r="G1239" t="s">
        <v>156</v>
      </c>
      <c r="H1239" t="s">
        <v>88</v>
      </c>
      <c r="I1239" t="s">
        <v>89</v>
      </c>
      <c r="J1239">
        <v>11338</v>
      </c>
      <c r="K1239">
        <v>98887</v>
      </c>
      <c r="L1239">
        <v>7675</v>
      </c>
      <c r="M1239">
        <v>11259</v>
      </c>
      <c r="N1239">
        <v>118479</v>
      </c>
      <c r="O1239">
        <v>1463</v>
      </c>
      <c r="P1239">
        <v>4212</v>
      </c>
      <c r="Q1239">
        <v>70841</v>
      </c>
      <c r="R1239">
        <v>6</v>
      </c>
      <c r="S1239">
        <v>0</v>
      </c>
      <c r="T1239">
        <v>0</v>
      </c>
      <c r="U1239">
        <v>0</v>
      </c>
      <c r="V1239">
        <v>26809</v>
      </c>
      <c r="W1239">
        <v>288207</v>
      </c>
      <c r="X1239">
        <v>9144</v>
      </c>
      <c r="Y1239">
        <f t="shared" si="19"/>
        <v>288207</v>
      </c>
      <c r="Z1239" t="str">
        <f>IF(ISNUMBER(SEARCH("Adjustment",$C1239)),"excluded",IF($H1239="Behind the Meter","excluded",IF(NOT(OR($E1239="Bundled",$E1239="Energy")),"excluded",IF(OR($H1239="Retail Power Marketer",$H1239="Community Choice Aggregator",$E1239="Energy"),"procurement",IF(OR($H1239="Municipal",$H1239="Cooperative",$H1239="Federal",$H1239="State",$H1239="Political Subdivision"),"cost_service",IF($H1239="Investor Owned",IF(AND(COUNTIF(Parameters!$A$4:$A$33,$G1239)&gt;0,COUNTIF(Parameters!$B$4:$B$33,$B1239)=0),"procurement","cost_service"),"unclassified"))))))</f>
        <v>cost_service</v>
      </c>
    </row>
    <row r="1240" spans="1:26" x14ac:dyDescent="0.25">
      <c r="A1240">
        <v>2024</v>
      </c>
      <c r="B1240">
        <v>17832</v>
      </c>
      <c r="C1240" t="s">
        <v>1174</v>
      </c>
      <c r="D1240" t="s">
        <v>84</v>
      </c>
      <c r="E1240" t="s">
        <v>85</v>
      </c>
      <c r="F1240" t="s">
        <v>86</v>
      </c>
      <c r="G1240" t="s">
        <v>123</v>
      </c>
      <c r="H1240" t="s">
        <v>91</v>
      </c>
      <c r="I1240" t="s">
        <v>113</v>
      </c>
      <c r="J1240">
        <v>201056</v>
      </c>
      <c r="K1240">
        <v>1625834</v>
      </c>
      <c r="L1240">
        <v>105253</v>
      </c>
      <c r="M1240">
        <v>30985</v>
      </c>
      <c r="N1240">
        <v>273019</v>
      </c>
      <c r="O1240">
        <v>4440</v>
      </c>
      <c r="P1240">
        <v>16211</v>
      </c>
      <c r="Q1240">
        <v>219312</v>
      </c>
      <c r="R1240">
        <v>49</v>
      </c>
      <c r="S1240" t="s">
        <v>97</v>
      </c>
      <c r="T1240" t="s">
        <v>97</v>
      </c>
      <c r="U1240" t="s">
        <v>97</v>
      </c>
      <c r="V1240">
        <v>248252</v>
      </c>
      <c r="W1240">
        <v>2118165</v>
      </c>
      <c r="X1240">
        <v>109742</v>
      </c>
      <c r="Y1240">
        <f t="shared" si="19"/>
        <v>2118165</v>
      </c>
      <c r="Z1240" t="str">
        <f>IF(ISNUMBER(SEARCH("Adjustment",$C1240)),"excluded",IF($H1240="Behind the Meter","excluded",IF(NOT(OR($E1240="Bundled",$E1240="Energy")),"excluded",IF(OR($H1240="Retail Power Marketer",$H1240="Community Choice Aggregator",$E1240="Energy"),"procurement",IF(OR($H1240="Municipal",$H1240="Cooperative",$H1240="Federal",$H1240="State",$H1240="Political Subdivision"),"cost_service",IF($H1240="Investor Owned",IF(AND(COUNTIF(Parameters!$A$4:$A$33,$G1240)&gt;0,COUNTIF(Parameters!$B$4:$B$33,$B1240)=0),"procurement","cost_service"),"unclassified"))))))</f>
        <v>cost_service</v>
      </c>
    </row>
    <row r="1241" spans="1:26" x14ac:dyDescent="0.25">
      <c r="A1241">
        <v>2024</v>
      </c>
      <c r="B1241">
        <v>17833</v>
      </c>
      <c r="C1241" t="s">
        <v>1175</v>
      </c>
      <c r="D1241" t="s">
        <v>84</v>
      </c>
      <c r="E1241" t="s">
        <v>85</v>
      </c>
      <c r="F1241" t="s">
        <v>86</v>
      </c>
      <c r="G1241" t="s">
        <v>226</v>
      </c>
      <c r="H1241" t="s">
        <v>88</v>
      </c>
      <c r="I1241" t="s">
        <v>135</v>
      </c>
      <c r="J1241">
        <v>120995.5</v>
      </c>
      <c r="K1241">
        <v>1055318</v>
      </c>
      <c r="L1241">
        <v>105029</v>
      </c>
      <c r="M1241">
        <v>147741.70000000001</v>
      </c>
      <c r="N1241">
        <v>1573861</v>
      </c>
      <c r="O1241">
        <v>16341</v>
      </c>
      <c r="P1241">
        <v>35592.800000000003</v>
      </c>
      <c r="Q1241">
        <v>447202</v>
      </c>
      <c r="R1241">
        <v>233</v>
      </c>
      <c r="S1241">
        <v>0</v>
      </c>
      <c r="T1241">
        <v>0</v>
      </c>
      <c r="U1241">
        <v>0</v>
      </c>
      <c r="V1241">
        <v>304330</v>
      </c>
      <c r="W1241">
        <v>3076381</v>
      </c>
      <c r="X1241">
        <v>121603</v>
      </c>
      <c r="Y1241">
        <f t="shared" si="19"/>
        <v>3076381</v>
      </c>
      <c r="Z1241" t="str">
        <f>IF(ISNUMBER(SEARCH("Adjustment",$C1241)),"excluded",IF($H1241="Behind the Meter","excluded",IF(NOT(OR($E1241="Bundled",$E1241="Energy")),"excluded",IF(OR($H1241="Retail Power Marketer",$H1241="Community Choice Aggregator",$E1241="Energy"),"procurement",IF(OR($H1241="Municipal",$H1241="Cooperative",$H1241="Federal",$H1241="State",$H1241="Political Subdivision"),"cost_service",IF($H1241="Investor Owned",IF(AND(COUNTIF(Parameters!$A$4:$A$33,$G1241)&gt;0,COUNTIF(Parameters!$B$4:$B$33,$B1241)=0),"procurement","cost_service"),"unclassified"))))))</f>
        <v>cost_service</v>
      </c>
    </row>
    <row r="1242" spans="1:26" x14ac:dyDescent="0.25">
      <c r="A1242">
        <v>2024</v>
      </c>
      <c r="B1242">
        <v>17839</v>
      </c>
      <c r="C1242" t="s">
        <v>1176</v>
      </c>
      <c r="D1242" t="s">
        <v>84</v>
      </c>
      <c r="E1242" t="s">
        <v>85</v>
      </c>
      <c r="F1242" t="s">
        <v>86</v>
      </c>
      <c r="G1242" t="s">
        <v>219</v>
      </c>
      <c r="H1242" t="s">
        <v>88</v>
      </c>
      <c r="I1242" t="s">
        <v>206</v>
      </c>
      <c r="J1242">
        <v>29315.7</v>
      </c>
      <c r="K1242">
        <v>361741</v>
      </c>
      <c r="L1242">
        <v>29882</v>
      </c>
      <c r="M1242">
        <v>18293.3</v>
      </c>
      <c r="N1242">
        <v>233897</v>
      </c>
      <c r="O1242">
        <v>3141</v>
      </c>
      <c r="P1242">
        <v>9215.9</v>
      </c>
      <c r="Q1242">
        <v>127870</v>
      </c>
      <c r="R1242">
        <v>124</v>
      </c>
      <c r="S1242" t="s">
        <v>97</v>
      </c>
      <c r="T1242" t="s">
        <v>97</v>
      </c>
      <c r="U1242" t="s">
        <v>97</v>
      </c>
      <c r="V1242">
        <v>56824.9</v>
      </c>
      <c r="W1242">
        <v>723508</v>
      </c>
      <c r="X1242">
        <v>33147</v>
      </c>
      <c r="Y1242">
        <f t="shared" si="19"/>
        <v>723508</v>
      </c>
      <c r="Z1242" t="str">
        <f>IF(ISNUMBER(SEARCH("Adjustment",$C1242)),"excluded",IF($H1242="Behind the Meter","excluded",IF(NOT(OR($E1242="Bundled",$E1242="Energy")),"excluded",IF(OR($H1242="Retail Power Marketer",$H1242="Community Choice Aggregator",$E1242="Energy"),"procurement",IF(OR($H1242="Municipal",$H1242="Cooperative",$H1242="Federal",$H1242="State",$H1242="Political Subdivision"),"cost_service",IF($H1242="Investor Owned",IF(AND(COUNTIF(Parameters!$A$4:$A$33,$G1242)&gt;0,COUNTIF(Parameters!$B$4:$B$33,$B1242)=0),"procurement","cost_service"),"unclassified"))))))</f>
        <v>cost_service</v>
      </c>
    </row>
    <row r="1243" spans="1:26" x14ac:dyDescent="0.25">
      <c r="A1243">
        <v>2024</v>
      </c>
      <c r="B1243">
        <v>17845</v>
      </c>
      <c r="C1243" t="s">
        <v>1177</v>
      </c>
      <c r="D1243" t="s">
        <v>84</v>
      </c>
      <c r="E1243" t="s">
        <v>85</v>
      </c>
      <c r="F1243" t="s">
        <v>86</v>
      </c>
      <c r="G1243" t="s">
        <v>245</v>
      </c>
      <c r="H1243" t="s">
        <v>88</v>
      </c>
      <c r="I1243" t="s">
        <v>246</v>
      </c>
      <c r="J1243">
        <v>13120.4</v>
      </c>
      <c r="K1243">
        <v>102925</v>
      </c>
      <c r="L1243">
        <v>10852</v>
      </c>
      <c r="M1243">
        <v>13221.1</v>
      </c>
      <c r="N1243">
        <v>113685</v>
      </c>
      <c r="O1243">
        <v>1512</v>
      </c>
      <c r="P1243">
        <v>6980.9</v>
      </c>
      <c r="Q1243">
        <v>77961</v>
      </c>
      <c r="R1243">
        <v>2</v>
      </c>
      <c r="S1243" t="s">
        <v>97</v>
      </c>
      <c r="T1243" t="s">
        <v>97</v>
      </c>
      <c r="U1243" t="s">
        <v>97</v>
      </c>
      <c r="V1243">
        <v>33322.400000000001</v>
      </c>
      <c r="W1243">
        <v>294571</v>
      </c>
      <c r="X1243">
        <v>12366</v>
      </c>
      <c r="Y1243">
        <f t="shared" si="19"/>
        <v>294571</v>
      </c>
      <c r="Z1243" t="str">
        <f>IF(ISNUMBER(SEARCH("Adjustment",$C1243)),"excluded",IF($H1243="Behind the Meter","excluded",IF(NOT(OR($E1243="Bundled",$E1243="Energy")),"excluded",IF(OR($H1243="Retail Power Marketer",$H1243="Community Choice Aggregator",$E1243="Energy"),"procurement",IF(OR($H1243="Municipal",$H1243="Cooperative",$H1243="Federal",$H1243="State",$H1243="Political Subdivision"),"cost_service",IF($H1243="Investor Owned",IF(AND(COUNTIF(Parameters!$A$4:$A$33,$G1243)&gt;0,COUNTIF(Parameters!$B$4:$B$33,$B1243)=0),"procurement","cost_service"),"unclassified"))))))</f>
        <v>cost_service</v>
      </c>
    </row>
    <row r="1244" spans="1:26" x14ac:dyDescent="0.25">
      <c r="A1244">
        <v>2024</v>
      </c>
      <c r="B1244">
        <v>17860</v>
      </c>
      <c r="C1244" t="s">
        <v>1178</v>
      </c>
      <c r="D1244" t="s">
        <v>84</v>
      </c>
      <c r="E1244" t="s">
        <v>85</v>
      </c>
      <c r="F1244" t="s">
        <v>86</v>
      </c>
      <c r="G1244" t="s">
        <v>46</v>
      </c>
      <c r="H1244" t="s">
        <v>88</v>
      </c>
      <c r="I1244" t="s">
        <v>92</v>
      </c>
      <c r="J1244">
        <v>17468</v>
      </c>
      <c r="K1244">
        <v>113684</v>
      </c>
      <c r="L1244">
        <v>14181</v>
      </c>
      <c r="M1244">
        <v>23492</v>
      </c>
      <c r="N1244">
        <v>170525</v>
      </c>
      <c r="O1244">
        <v>2239</v>
      </c>
      <c r="P1244">
        <v>19276</v>
      </c>
      <c r="Q1244">
        <v>189472</v>
      </c>
      <c r="R1244">
        <v>41</v>
      </c>
      <c r="S1244">
        <v>0</v>
      </c>
      <c r="T1244">
        <v>0</v>
      </c>
      <c r="U1244">
        <v>0</v>
      </c>
      <c r="V1244">
        <v>60236</v>
      </c>
      <c r="W1244">
        <v>473681</v>
      </c>
      <c r="X1244">
        <v>16461</v>
      </c>
      <c r="Y1244">
        <f t="shared" si="19"/>
        <v>473681</v>
      </c>
      <c r="Z1244" t="str">
        <f>IF(ISNUMBER(SEARCH("Adjustment",$C1244)),"excluded",IF($H1244="Behind the Meter","excluded",IF(NOT(OR($E1244="Bundled",$E1244="Energy")),"excluded",IF(OR($H1244="Retail Power Marketer",$H1244="Community Choice Aggregator",$E1244="Energy"),"procurement",IF(OR($H1244="Municipal",$H1244="Cooperative",$H1244="Federal",$H1244="State",$H1244="Political Subdivision"),"cost_service",IF($H1244="Investor Owned",IF(AND(COUNTIF(Parameters!$A$4:$A$33,$G1244)&gt;0,COUNTIF(Parameters!$B$4:$B$33,$B1244)=0),"procurement","cost_service"),"unclassified"))))))</f>
        <v>cost_service</v>
      </c>
    </row>
    <row r="1245" spans="1:26" x14ac:dyDescent="0.25">
      <c r="A1245">
        <v>2024</v>
      </c>
      <c r="B1245">
        <v>17874</v>
      </c>
      <c r="C1245" t="s">
        <v>1179</v>
      </c>
      <c r="D1245" t="s">
        <v>84</v>
      </c>
      <c r="E1245" t="s">
        <v>85</v>
      </c>
      <c r="F1245" t="s">
        <v>86</v>
      </c>
      <c r="G1245" t="s">
        <v>245</v>
      </c>
      <c r="H1245" t="s">
        <v>88</v>
      </c>
      <c r="I1245" t="s">
        <v>246</v>
      </c>
      <c r="J1245">
        <v>38198.400000000001</v>
      </c>
      <c r="K1245">
        <v>335123</v>
      </c>
      <c r="L1245">
        <v>28436</v>
      </c>
      <c r="M1245">
        <v>37972.1</v>
      </c>
      <c r="N1245">
        <v>381696</v>
      </c>
      <c r="O1245">
        <v>5097</v>
      </c>
      <c r="P1245">
        <v>0</v>
      </c>
      <c r="Q1245">
        <v>0</v>
      </c>
      <c r="R1245">
        <v>0</v>
      </c>
      <c r="S1245">
        <v>0</v>
      </c>
      <c r="T1245">
        <v>0</v>
      </c>
      <c r="U1245">
        <v>0</v>
      </c>
      <c r="V1245">
        <v>76170.5</v>
      </c>
      <c r="W1245">
        <v>716819</v>
      </c>
      <c r="X1245">
        <v>33533</v>
      </c>
      <c r="Y1245">
        <f t="shared" si="19"/>
        <v>716819</v>
      </c>
      <c r="Z1245" t="str">
        <f>IF(ISNUMBER(SEARCH("Adjustment",$C1245)),"excluded",IF($H1245="Behind the Meter","excluded",IF(NOT(OR($E1245="Bundled",$E1245="Energy")),"excluded",IF(OR($H1245="Retail Power Marketer",$H1245="Community Choice Aggregator",$E1245="Energy"),"procurement",IF(OR($H1245="Municipal",$H1245="Cooperative",$H1245="Federal",$H1245="State",$H1245="Political Subdivision"),"cost_service",IF($H1245="Investor Owned",IF(AND(COUNTIF(Parameters!$A$4:$A$33,$G1245)&gt;0,COUNTIF(Parameters!$B$4:$B$33,$B1245)=0),"procurement","cost_service"),"unclassified"))))))</f>
        <v>cost_service</v>
      </c>
    </row>
    <row r="1246" spans="1:26" x14ac:dyDescent="0.25">
      <c r="A1246">
        <v>2024</v>
      </c>
      <c r="B1246">
        <v>17896</v>
      </c>
      <c r="C1246" t="s">
        <v>1180</v>
      </c>
      <c r="D1246" t="s">
        <v>84</v>
      </c>
      <c r="E1246" t="s">
        <v>85</v>
      </c>
      <c r="F1246" t="s">
        <v>86</v>
      </c>
      <c r="G1246" t="s">
        <v>115</v>
      </c>
      <c r="H1246" t="s">
        <v>88</v>
      </c>
      <c r="I1246" t="s">
        <v>839</v>
      </c>
      <c r="J1246">
        <v>8193.7999999999993</v>
      </c>
      <c r="K1246">
        <v>42533</v>
      </c>
      <c r="L1246">
        <v>4268</v>
      </c>
      <c r="M1246">
        <v>2300</v>
      </c>
      <c r="N1246">
        <v>11756</v>
      </c>
      <c r="O1246">
        <v>315</v>
      </c>
      <c r="P1246">
        <v>23466.5</v>
      </c>
      <c r="Q1246">
        <v>140150</v>
      </c>
      <c r="R1246">
        <v>14</v>
      </c>
      <c r="S1246" t="s">
        <v>97</v>
      </c>
      <c r="T1246" t="s">
        <v>97</v>
      </c>
      <c r="U1246" t="s">
        <v>97</v>
      </c>
      <c r="V1246">
        <v>33960.300000000003</v>
      </c>
      <c r="W1246">
        <v>194439</v>
      </c>
      <c r="X1246">
        <v>4597</v>
      </c>
      <c r="Y1246">
        <f t="shared" si="19"/>
        <v>194439</v>
      </c>
      <c r="Z1246" t="str">
        <f>IF(ISNUMBER(SEARCH("Adjustment",$C1246)),"excluded",IF($H1246="Behind the Meter","excluded",IF(NOT(OR($E1246="Bundled",$E1246="Energy")),"excluded",IF(OR($H1246="Retail Power Marketer",$H1246="Community Choice Aggregator",$E1246="Energy"),"procurement",IF(OR($H1246="Municipal",$H1246="Cooperative",$H1246="Federal",$H1246="State",$H1246="Political Subdivision"),"cost_service",IF($H1246="Investor Owned",IF(AND(COUNTIF(Parameters!$A$4:$A$33,$G1246)&gt;0,COUNTIF(Parameters!$B$4:$B$33,$B1246)=0),"procurement","cost_service"),"unclassified"))))))</f>
        <v>cost_service</v>
      </c>
    </row>
    <row r="1247" spans="1:26" x14ac:dyDescent="0.25">
      <c r="A1247">
        <v>2024</v>
      </c>
      <c r="B1247">
        <v>18006</v>
      </c>
      <c r="C1247" t="s">
        <v>1181</v>
      </c>
      <c r="D1247" t="s">
        <v>84</v>
      </c>
      <c r="E1247" t="s">
        <v>85</v>
      </c>
      <c r="F1247" t="s">
        <v>86</v>
      </c>
      <c r="G1247" t="s">
        <v>87</v>
      </c>
      <c r="H1247" t="s">
        <v>88</v>
      </c>
      <c r="I1247" t="s">
        <v>89</v>
      </c>
      <c r="J1247">
        <v>15748</v>
      </c>
      <c r="K1247">
        <v>130418</v>
      </c>
      <c r="L1247">
        <v>12632</v>
      </c>
      <c r="M1247">
        <v>28859</v>
      </c>
      <c r="N1247">
        <v>279606</v>
      </c>
      <c r="O1247">
        <v>1761</v>
      </c>
      <c r="P1247">
        <v>1891</v>
      </c>
      <c r="Q1247">
        <v>25901</v>
      </c>
      <c r="R1247">
        <v>2</v>
      </c>
      <c r="S1247">
        <v>0</v>
      </c>
      <c r="T1247">
        <v>0</v>
      </c>
      <c r="U1247">
        <v>0</v>
      </c>
      <c r="V1247">
        <v>46498</v>
      </c>
      <c r="W1247">
        <v>435925</v>
      </c>
      <c r="X1247">
        <v>14395</v>
      </c>
      <c r="Y1247">
        <f t="shared" si="19"/>
        <v>435925</v>
      </c>
      <c r="Z1247" t="str">
        <f>IF(ISNUMBER(SEARCH("Adjustment",$C1247)),"excluded",IF($H1247="Behind the Meter","excluded",IF(NOT(OR($E1247="Bundled",$E1247="Energy")),"excluded",IF(OR($H1247="Retail Power Marketer",$H1247="Community Choice Aggregator",$E1247="Energy"),"procurement",IF(OR($H1247="Municipal",$H1247="Cooperative",$H1247="Federal",$H1247="State",$H1247="Political Subdivision"),"cost_service",IF($H1247="Investor Owned",IF(AND(COUNTIF(Parameters!$A$4:$A$33,$G1247)&gt;0,COUNTIF(Parameters!$B$4:$B$33,$B1247)=0),"procurement","cost_service"),"unclassified"))))))</f>
        <v>cost_service</v>
      </c>
    </row>
    <row r="1248" spans="1:26" x14ac:dyDescent="0.25">
      <c r="A1248">
        <v>2024</v>
      </c>
      <c r="B1248">
        <v>18019</v>
      </c>
      <c r="C1248" t="s">
        <v>1182</v>
      </c>
      <c r="D1248" t="s">
        <v>84</v>
      </c>
      <c r="E1248" t="s">
        <v>85</v>
      </c>
      <c r="F1248" t="s">
        <v>86</v>
      </c>
      <c r="G1248" t="s">
        <v>104</v>
      </c>
      <c r="H1248" t="s">
        <v>91</v>
      </c>
      <c r="I1248" t="s">
        <v>96</v>
      </c>
      <c r="J1248">
        <v>52381.8</v>
      </c>
      <c r="K1248">
        <v>377521</v>
      </c>
      <c r="L1248">
        <v>26138</v>
      </c>
      <c r="M1248">
        <v>11251.9</v>
      </c>
      <c r="N1248">
        <v>95867</v>
      </c>
      <c r="O1248">
        <v>1803</v>
      </c>
      <c r="P1248">
        <v>4983.8999999999996</v>
      </c>
      <c r="Q1248">
        <v>50919</v>
      </c>
      <c r="R1248">
        <v>617</v>
      </c>
      <c r="S1248" t="s">
        <v>97</v>
      </c>
      <c r="T1248" t="s">
        <v>97</v>
      </c>
      <c r="U1248" t="s">
        <v>97</v>
      </c>
      <c r="V1248">
        <v>68617.600000000006</v>
      </c>
      <c r="W1248">
        <v>524307</v>
      </c>
      <c r="X1248">
        <v>28558</v>
      </c>
      <c r="Y1248">
        <f t="shared" si="19"/>
        <v>524307</v>
      </c>
      <c r="Z1248" t="str">
        <f>IF(ISNUMBER(SEARCH("Adjustment",$C1248)),"excluded",IF($H1248="Behind the Meter","excluded",IF(NOT(OR($E1248="Bundled",$E1248="Energy")),"excluded",IF(OR($H1248="Retail Power Marketer",$H1248="Community Choice Aggregator",$E1248="Energy"),"procurement",IF(OR($H1248="Municipal",$H1248="Cooperative",$H1248="Federal",$H1248="State",$H1248="Political Subdivision"),"cost_service",IF($H1248="Investor Owned",IF(AND(COUNTIF(Parameters!$A$4:$A$33,$G1248)&gt;0,COUNTIF(Parameters!$B$4:$B$33,$B1248)=0),"procurement","cost_service"),"unclassified"))))))</f>
        <v>cost_service</v>
      </c>
    </row>
    <row r="1249" spans="1:26" x14ac:dyDescent="0.25">
      <c r="A1249">
        <v>2024</v>
      </c>
      <c r="B1249">
        <v>18022</v>
      </c>
      <c r="C1249" t="s">
        <v>1183</v>
      </c>
      <c r="D1249" t="s">
        <v>84</v>
      </c>
      <c r="E1249" t="s">
        <v>85</v>
      </c>
      <c r="F1249" t="s">
        <v>86</v>
      </c>
      <c r="G1249" t="s">
        <v>125</v>
      </c>
      <c r="H1249" t="s">
        <v>88</v>
      </c>
      <c r="I1249" t="s">
        <v>126</v>
      </c>
      <c r="J1249">
        <v>15148</v>
      </c>
      <c r="K1249">
        <v>129403</v>
      </c>
      <c r="L1249">
        <v>12120</v>
      </c>
      <c r="M1249">
        <v>19394</v>
      </c>
      <c r="N1249">
        <v>186929</v>
      </c>
      <c r="O1249">
        <v>2627</v>
      </c>
      <c r="P1249">
        <v>10782</v>
      </c>
      <c r="Q1249">
        <v>123599</v>
      </c>
      <c r="R1249">
        <v>58</v>
      </c>
      <c r="S1249" t="s">
        <v>97</v>
      </c>
      <c r="T1249" t="s">
        <v>97</v>
      </c>
      <c r="U1249" t="s">
        <v>97</v>
      </c>
      <c r="V1249">
        <v>45324</v>
      </c>
      <c r="W1249">
        <v>439931</v>
      </c>
      <c r="X1249">
        <v>14805</v>
      </c>
      <c r="Y1249">
        <f t="shared" si="19"/>
        <v>439931</v>
      </c>
      <c r="Z1249" t="str">
        <f>IF(ISNUMBER(SEARCH("Adjustment",$C1249)),"excluded",IF($H1249="Behind the Meter","excluded",IF(NOT(OR($E1249="Bundled",$E1249="Energy")),"excluded",IF(OR($H1249="Retail Power Marketer",$H1249="Community Choice Aggregator",$E1249="Energy"),"procurement",IF(OR($H1249="Municipal",$H1249="Cooperative",$H1249="Federal",$H1249="State",$H1249="Political Subdivision"),"cost_service",IF($H1249="Investor Owned",IF(AND(COUNTIF(Parameters!$A$4:$A$33,$G1249)&gt;0,COUNTIF(Parameters!$B$4:$B$33,$B1249)=0),"procurement","cost_service"),"unclassified"))))))</f>
        <v>cost_service</v>
      </c>
    </row>
    <row r="1250" spans="1:26" x14ac:dyDescent="0.25">
      <c r="A1250">
        <v>2024</v>
      </c>
      <c r="B1250">
        <v>18047</v>
      </c>
      <c r="C1250" t="s">
        <v>1184</v>
      </c>
      <c r="D1250" t="s">
        <v>84</v>
      </c>
      <c r="E1250" t="s">
        <v>85</v>
      </c>
      <c r="F1250" t="s">
        <v>86</v>
      </c>
      <c r="G1250" t="s">
        <v>104</v>
      </c>
      <c r="H1250" t="s">
        <v>91</v>
      </c>
      <c r="I1250" t="s">
        <v>96</v>
      </c>
      <c r="J1250">
        <v>18893.900000000001</v>
      </c>
      <c r="K1250">
        <v>120886</v>
      </c>
      <c r="L1250">
        <v>10725</v>
      </c>
      <c r="M1250">
        <v>9237.9</v>
      </c>
      <c r="N1250">
        <v>68578</v>
      </c>
      <c r="O1250">
        <v>1274</v>
      </c>
      <c r="P1250">
        <v>15331.9</v>
      </c>
      <c r="Q1250">
        <v>160761</v>
      </c>
      <c r="R1250">
        <v>47</v>
      </c>
      <c r="S1250" t="s">
        <v>97</v>
      </c>
      <c r="T1250" t="s">
        <v>97</v>
      </c>
      <c r="U1250" t="s">
        <v>97</v>
      </c>
      <c r="V1250">
        <v>43463.7</v>
      </c>
      <c r="W1250">
        <v>350225</v>
      </c>
      <c r="X1250">
        <v>12046</v>
      </c>
      <c r="Y1250">
        <f t="shared" si="19"/>
        <v>350225</v>
      </c>
      <c r="Z1250" t="str">
        <f>IF(ISNUMBER(SEARCH("Adjustment",$C1250)),"excluded",IF($H1250="Behind the Meter","excluded",IF(NOT(OR($E1250="Bundled",$E1250="Energy")),"excluded",IF(OR($H1250="Retail Power Marketer",$H1250="Community Choice Aggregator",$E1250="Energy"),"procurement",IF(OR($H1250="Municipal",$H1250="Cooperative",$H1250="Federal",$H1250="State",$H1250="Political Subdivision"),"cost_service",IF($H1250="Investor Owned",IF(AND(COUNTIF(Parameters!$A$4:$A$33,$G1250)&gt;0,COUNTIF(Parameters!$B$4:$B$33,$B1250)=0),"procurement","cost_service"),"unclassified"))))))</f>
        <v>cost_service</v>
      </c>
    </row>
    <row r="1251" spans="1:26" x14ac:dyDescent="0.25">
      <c r="A1251">
        <v>2024</v>
      </c>
      <c r="B1251">
        <v>18085</v>
      </c>
      <c r="C1251" t="s">
        <v>1185</v>
      </c>
      <c r="D1251" t="s">
        <v>84</v>
      </c>
      <c r="E1251" t="s">
        <v>85</v>
      </c>
      <c r="F1251" t="s">
        <v>86</v>
      </c>
      <c r="G1251" t="s">
        <v>54</v>
      </c>
      <c r="H1251" t="s">
        <v>91</v>
      </c>
      <c r="I1251" t="s">
        <v>92</v>
      </c>
      <c r="J1251">
        <v>225096</v>
      </c>
      <c r="K1251">
        <v>1514090</v>
      </c>
      <c r="L1251">
        <v>117469</v>
      </c>
      <c r="M1251">
        <v>50875.199999999997</v>
      </c>
      <c r="N1251">
        <v>374616</v>
      </c>
      <c r="O1251">
        <v>10093</v>
      </c>
      <c r="P1251">
        <v>85389</v>
      </c>
      <c r="Q1251">
        <v>793864</v>
      </c>
      <c r="R1251">
        <v>289</v>
      </c>
      <c r="S1251">
        <v>0</v>
      </c>
      <c r="T1251">
        <v>0</v>
      </c>
      <c r="U1251">
        <v>0</v>
      </c>
      <c r="V1251">
        <v>361360.2</v>
      </c>
      <c r="W1251">
        <v>2682570</v>
      </c>
      <c r="X1251">
        <v>127851</v>
      </c>
      <c r="Y1251">
        <f t="shared" si="19"/>
        <v>2682570</v>
      </c>
      <c r="Z1251" t="str">
        <f>IF(ISNUMBER(SEARCH("Adjustment",$C1251)),"excluded",IF($H1251="Behind the Meter","excluded",IF(NOT(OR($E1251="Bundled",$E1251="Energy")),"excluded",IF(OR($H1251="Retail Power Marketer",$H1251="Community Choice Aggregator",$E1251="Energy"),"procurement",IF(OR($H1251="Municipal",$H1251="Cooperative",$H1251="Federal",$H1251="State",$H1251="Political Subdivision"),"cost_service",IF($H1251="Investor Owned",IF(AND(COUNTIF(Parameters!$A$4:$A$33,$G1251)&gt;0,COUNTIF(Parameters!$B$4:$B$33,$B1251)=0),"procurement","cost_service"),"unclassified"))))))</f>
        <v>cost_service</v>
      </c>
    </row>
    <row r="1252" spans="1:26" x14ac:dyDescent="0.25">
      <c r="A1252">
        <v>2024</v>
      </c>
      <c r="B1252">
        <v>18125</v>
      </c>
      <c r="C1252" t="s">
        <v>1186</v>
      </c>
      <c r="D1252" t="s">
        <v>84</v>
      </c>
      <c r="E1252" t="s">
        <v>85</v>
      </c>
      <c r="F1252" t="s">
        <v>86</v>
      </c>
      <c r="G1252" t="s">
        <v>136</v>
      </c>
      <c r="H1252" t="s">
        <v>88</v>
      </c>
      <c r="I1252" t="s">
        <v>135</v>
      </c>
      <c r="J1252">
        <v>27913</v>
      </c>
      <c r="K1252">
        <v>210623</v>
      </c>
      <c r="L1252">
        <v>19640</v>
      </c>
      <c r="M1252">
        <v>21576</v>
      </c>
      <c r="N1252">
        <v>183115</v>
      </c>
      <c r="O1252">
        <v>2546</v>
      </c>
      <c r="P1252">
        <v>4075</v>
      </c>
      <c r="Q1252">
        <v>45813</v>
      </c>
      <c r="R1252">
        <v>5</v>
      </c>
      <c r="S1252" t="s">
        <v>97</v>
      </c>
      <c r="T1252" t="s">
        <v>97</v>
      </c>
      <c r="U1252" t="s">
        <v>97</v>
      </c>
      <c r="V1252">
        <v>53564</v>
      </c>
      <c r="W1252">
        <v>439551</v>
      </c>
      <c r="X1252">
        <v>22191</v>
      </c>
      <c r="Y1252">
        <f t="shared" si="19"/>
        <v>439551</v>
      </c>
      <c r="Z1252" t="str">
        <f>IF(ISNUMBER(SEARCH("Adjustment",$C1252)),"excluded",IF($H1252="Behind the Meter","excluded",IF(NOT(OR($E1252="Bundled",$E1252="Energy")),"excluded",IF(OR($H1252="Retail Power Marketer",$H1252="Community Choice Aggregator",$E1252="Energy"),"procurement",IF(OR($H1252="Municipal",$H1252="Cooperative",$H1252="Federal",$H1252="State",$H1252="Political Subdivision"),"cost_service",IF($H1252="Investor Owned",IF(AND(COUNTIF(Parameters!$A$4:$A$33,$G1252)&gt;0,COUNTIF(Parameters!$B$4:$B$33,$B1252)=0),"procurement","cost_service"),"unclassified"))))))</f>
        <v>cost_service</v>
      </c>
    </row>
    <row r="1253" spans="1:26" x14ac:dyDescent="0.25">
      <c r="A1253">
        <v>2024</v>
      </c>
      <c r="B1253">
        <v>18181</v>
      </c>
      <c r="C1253" t="s">
        <v>1187</v>
      </c>
      <c r="D1253" t="s">
        <v>84</v>
      </c>
      <c r="E1253" t="s">
        <v>85</v>
      </c>
      <c r="F1253" t="s">
        <v>86</v>
      </c>
      <c r="G1253" t="s">
        <v>95</v>
      </c>
      <c r="H1253" t="s">
        <v>88</v>
      </c>
      <c r="I1253" t="s">
        <v>96</v>
      </c>
      <c r="J1253">
        <v>8030.8</v>
      </c>
      <c r="K1253">
        <v>63755</v>
      </c>
      <c r="L1253">
        <v>8391</v>
      </c>
      <c r="M1253">
        <v>6068.2</v>
      </c>
      <c r="N1253">
        <v>57526</v>
      </c>
      <c r="O1253">
        <v>1049</v>
      </c>
      <c r="P1253">
        <v>1718.6</v>
      </c>
      <c r="Q1253">
        <v>18709</v>
      </c>
      <c r="R1253">
        <v>3</v>
      </c>
      <c r="S1253">
        <v>0</v>
      </c>
      <c r="T1253">
        <v>0</v>
      </c>
      <c r="U1253">
        <v>0</v>
      </c>
      <c r="V1253">
        <v>15817.6</v>
      </c>
      <c r="W1253">
        <v>139990</v>
      </c>
      <c r="X1253">
        <v>9443</v>
      </c>
      <c r="Y1253">
        <f t="shared" si="19"/>
        <v>139990</v>
      </c>
      <c r="Z1253" t="str">
        <f>IF(ISNUMBER(SEARCH("Adjustment",$C1253)),"excluded",IF($H1253="Behind the Meter","excluded",IF(NOT(OR($E1253="Bundled",$E1253="Energy")),"excluded",IF(OR($H1253="Retail Power Marketer",$H1253="Community Choice Aggregator",$E1253="Energy"),"procurement",IF(OR($H1253="Municipal",$H1253="Cooperative",$H1253="Federal",$H1253="State",$H1253="Political Subdivision"),"cost_service",IF($H1253="Investor Owned",IF(AND(COUNTIF(Parameters!$A$4:$A$33,$G1253)&gt;0,COUNTIF(Parameters!$B$4:$B$33,$B1253)=0),"procurement","cost_service"),"unclassified"))))))</f>
        <v>cost_service</v>
      </c>
    </row>
    <row r="1254" spans="1:26" x14ac:dyDescent="0.25">
      <c r="A1254">
        <v>2024</v>
      </c>
      <c r="B1254">
        <v>18193</v>
      </c>
      <c r="C1254" t="s">
        <v>1188</v>
      </c>
      <c r="D1254" t="s">
        <v>99</v>
      </c>
      <c r="E1254" t="s">
        <v>100</v>
      </c>
      <c r="F1254" t="s">
        <v>86</v>
      </c>
      <c r="G1254" t="s">
        <v>115</v>
      </c>
      <c r="H1254" t="s">
        <v>101</v>
      </c>
      <c r="I1254" t="s">
        <v>116</v>
      </c>
      <c r="J1254">
        <v>0</v>
      </c>
      <c r="K1254">
        <v>0</v>
      </c>
      <c r="L1254">
        <v>0</v>
      </c>
      <c r="M1254">
        <v>53564.2</v>
      </c>
      <c r="N1254">
        <v>472530</v>
      </c>
      <c r="O1254">
        <v>721</v>
      </c>
      <c r="P1254">
        <v>303710</v>
      </c>
      <c r="Q1254">
        <v>2451356</v>
      </c>
      <c r="R1254">
        <v>268</v>
      </c>
      <c r="S1254">
        <v>0</v>
      </c>
      <c r="T1254">
        <v>0</v>
      </c>
      <c r="U1254">
        <v>0</v>
      </c>
      <c r="V1254">
        <v>357274.2</v>
      </c>
      <c r="W1254">
        <v>2923886</v>
      </c>
      <c r="X1254">
        <v>989</v>
      </c>
      <c r="Y1254">
        <f t="shared" si="19"/>
        <v>2923886</v>
      </c>
      <c r="Z1254" t="str">
        <f>IF(ISNUMBER(SEARCH("Adjustment",$C1254)),"excluded",IF($H1254="Behind the Meter","excluded",IF(NOT(OR($E1254="Bundled",$E1254="Energy")),"excluded",IF(OR($H1254="Retail Power Marketer",$H1254="Community Choice Aggregator",$E1254="Energy"),"procurement",IF(OR($H1254="Municipal",$H1254="Cooperative",$H1254="Federal",$H1254="State",$H1254="Political Subdivision"),"cost_service",IF($H1254="Investor Owned",IF(AND(COUNTIF(Parameters!$A$4:$A$33,$G1254)&gt;0,COUNTIF(Parameters!$B$4:$B$33,$B1254)=0),"procurement","cost_service"),"unclassified"))))))</f>
        <v>procurement</v>
      </c>
    </row>
    <row r="1255" spans="1:26" x14ac:dyDescent="0.25">
      <c r="A1255">
        <v>2024</v>
      </c>
      <c r="B1255">
        <v>18193</v>
      </c>
      <c r="C1255" t="s">
        <v>1188</v>
      </c>
      <c r="D1255" t="s">
        <v>99</v>
      </c>
      <c r="E1255" t="s">
        <v>100</v>
      </c>
      <c r="F1255" t="s">
        <v>86</v>
      </c>
      <c r="G1255" t="s">
        <v>40</v>
      </c>
      <c r="H1255" t="s">
        <v>101</v>
      </c>
      <c r="I1255" t="s">
        <v>189</v>
      </c>
      <c r="J1255">
        <v>0</v>
      </c>
      <c r="K1255">
        <v>0</v>
      </c>
      <c r="L1255">
        <v>0</v>
      </c>
      <c r="M1255">
        <v>41008.400000000001</v>
      </c>
      <c r="N1255">
        <v>375653</v>
      </c>
      <c r="O1255">
        <v>1700</v>
      </c>
      <c r="P1255">
        <v>107930.2</v>
      </c>
      <c r="Q1255">
        <v>1179519</v>
      </c>
      <c r="R1255">
        <v>210</v>
      </c>
      <c r="S1255">
        <v>0</v>
      </c>
      <c r="T1255">
        <v>0</v>
      </c>
      <c r="U1255">
        <v>0</v>
      </c>
      <c r="V1255">
        <v>148938.6</v>
      </c>
      <c r="W1255">
        <v>1555172</v>
      </c>
      <c r="X1255">
        <v>1910</v>
      </c>
      <c r="Y1255">
        <f t="shared" si="19"/>
        <v>1555172</v>
      </c>
      <c r="Z1255" t="str">
        <f>IF(ISNUMBER(SEARCH("Adjustment",$C1255)),"excluded",IF($H1255="Behind the Meter","excluded",IF(NOT(OR($E1255="Bundled",$E1255="Energy")),"excluded",IF(OR($H1255="Retail Power Marketer",$H1255="Community Choice Aggregator",$E1255="Energy"),"procurement",IF(OR($H1255="Municipal",$H1255="Cooperative",$H1255="Federal",$H1255="State",$H1255="Political Subdivision"),"cost_service",IF($H1255="Investor Owned",IF(AND(COUNTIF(Parameters!$A$4:$A$33,$G1255)&gt;0,COUNTIF(Parameters!$B$4:$B$33,$B1255)=0),"procurement","cost_service"),"unclassified"))))))</f>
        <v>procurement</v>
      </c>
    </row>
    <row r="1256" spans="1:26" x14ac:dyDescent="0.25">
      <c r="A1256">
        <v>2024</v>
      </c>
      <c r="B1256">
        <v>18193</v>
      </c>
      <c r="C1256" t="s">
        <v>1188</v>
      </c>
      <c r="D1256" t="s">
        <v>99</v>
      </c>
      <c r="E1256" t="s">
        <v>100</v>
      </c>
      <c r="F1256" t="s">
        <v>86</v>
      </c>
      <c r="G1256" t="s">
        <v>42</v>
      </c>
      <c r="H1256" t="s">
        <v>101</v>
      </c>
      <c r="I1256" t="s">
        <v>92</v>
      </c>
      <c r="J1256">
        <v>0</v>
      </c>
      <c r="K1256">
        <v>0</v>
      </c>
      <c r="L1256">
        <v>0</v>
      </c>
      <c r="M1256">
        <v>18033.900000000001</v>
      </c>
      <c r="N1256">
        <v>173249</v>
      </c>
      <c r="O1256">
        <v>666</v>
      </c>
      <c r="P1256">
        <v>44678.3</v>
      </c>
      <c r="Q1256">
        <v>469285</v>
      </c>
      <c r="R1256">
        <v>49</v>
      </c>
      <c r="S1256">
        <v>0</v>
      </c>
      <c r="T1256">
        <v>0</v>
      </c>
      <c r="U1256">
        <v>0</v>
      </c>
      <c r="V1256">
        <v>62712.2</v>
      </c>
      <c r="W1256">
        <v>642534</v>
      </c>
      <c r="X1256">
        <v>715</v>
      </c>
      <c r="Y1256">
        <f t="shared" si="19"/>
        <v>642534</v>
      </c>
      <c r="Z1256" t="str">
        <f>IF(ISNUMBER(SEARCH("Adjustment",$C1256)),"excluded",IF($H1256="Behind the Meter","excluded",IF(NOT(OR($E1256="Bundled",$E1256="Energy")),"excluded",IF(OR($H1256="Retail Power Marketer",$H1256="Community Choice Aggregator",$E1256="Energy"),"procurement",IF(OR($H1256="Municipal",$H1256="Cooperative",$H1256="Federal",$H1256="State",$H1256="Political Subdivision"),"cost_service",IF($H1256="Investor Owned",IF(AND(COUNTIF(Parameters!$A$4:$A$33,$G1256)&gt;0,COUNTIF(Parameters!$B$4:$B$33,$B1256)=0),"procurement","cost_service"),"unclassified"))))))</f>
        <v>procurement</v>
      </c>
    </row>
    <row r="1257" spans="1:26" x14ac:dyDescent="0.25">
      <c r="A1257">
        <v>2024</v>
      </c>
      <c r="B1257">
        <v>18193</v>
      </c>
      <c r="C1257" t="s">
        <v>1188</v>
      </c>
      <c r="D1257" t="s">
        <v>99</v>
      </c>
      <c r="E1257" t="s">
        <v>100</v>
      </c>
      <c r="F1257" t="s">
        <v>86</v>
      </c>
      <c r="G1257" t="s">
        <v>44</v>
      </c>
      <c r="H1257" t="s">
        <v>101</v>
      </c>
      <c r="I1257" t="s">
        <v>92</v>
      </c>
      <c r="J1257">
        <v>0</v>
      </c>
      <c r="K1257">
        <v>0</v>
      </c>
      <c r="L1257">
        <v>0</v>
      </c>
      <c r="M1257">
        <v>4509.3</v>
      </c>
      <c r="N1257">
        <v>49401</v>
      </c>
      <c r="O1257">
        <v>165</v>
      </c>
      <c r="P1257">
        <v>30247.4</v>
      </c>
      <c r="Q1257">
        <v>389232</v>
      </c>
      <c r="R1257">
        <v>38</v>
      </c>
      <c r="S1257">
        <v>0</v>
      </c>
      <c r="T1257">
        <v>0</v>
      </c>
      <c r="U1257">
        <v>0</v>
      </c>
      <c r="V1257">
        <v>34756.699999999997</v>
      </c>
      <c r="W1257">
        <v>438633</v>
      </c>
      <c r="X1257">
        <v>203</v>
      </c>
      <c r="Y1257">
        <f t="shared" si="19"/>
        <v>438633</v>
      </c>
      <c r="Z1257" t="str">
        <f>IF(ISNUMBER(SEARCH("Adjustment",$C1257)),"excluded",IF($H1257="Behind the Meter","excluded",IF(NOT(OR($E1257="Bundled",$E1257="Energy")),"excluded",IF(OR($H1257="Retail Power Marketer",$H1257="Community Choice Aggregator",$E1257="Energy"),"procurement",IF(OR($H1257="Municipal",$H1257="Cooperative",$H1257="Federal",$H1257="State",$H1257="Political Subdivision"),"cost_service",IF($H1257="Investor Owned",IF(AND(COUNTIF(Parameters!$A$4:$A$33,$G1257)&gt;0,COUNTIF(Parameters!$B$4:$B$33,$B1257)=0),"procurement","cost_service"),"unclassified"))))))</f>
        <v>procurement</v>
      </c>
    </row>
    <row r="1258" spans="1:26" x14ac:dyDescent="0.25">
      <c r="A1258">
        <v>2024</v>
      </c>
      <c r="B1258">
        <v>18193</v>
      </c>
      <c r="C1258" t="s">
        <v>1188</v>
      </c>
      <c r="D1258" t="s">
        <v>99</v>
      </c>
      <c r="E1258" t="s">
        <v>100</v>
      </c>
      <c r="F1258" t="s">
        <v>86</v>
      </c>
      <c r="G1258" t="s">
        <v>46</v>
      </c>
      <c r="H1258" t="s">
        <v>101</v>
      </c>
      <c r="I1258" t="s">
        <v>96</v>
      </c>
      <c r="J1258">
        <v>0</v>
      </c>
      <c r="K1258">
        <v>0</v>
      </c>
      <c r="L1258">
        <v>0</v>
      </c>
      <c r="M1258">
        <v>191806.1</v>
      </c>
      <c r="N1258">
        <v>1921950</v>
      </c>
      <c r="O1258">
        <v>5481</v>
      </c>
      <c r="P1258">
        <v>421320.8</v>
      </c>
      <c r="Q1258">
        <v>4826406</v>
      </c>
      <c r="R1258">
        <v>619</v>
      </c>
      <c r="S1258">
        <v>0</v>
      </c>
      <c r="T1258">
        <v>0</v>
      </c>
      <c r="U1258">
        <v>0</v>
      </c>
      <c r="V1258">
        <v>613126.9</v>
      </c>
      <c r="W1258">
        <v>6748356</v>
      </c>
      <c r="X1258">
        <v>6100</v>
      </c>
      <c r="Y1258">
        <f t="shared" si="19"/>
        <v>6748356</v>
      </c>
      <c r="Z1258" t="str">
        <f>IF(ISNUMBER(SEARCH("Adjustment",$C1258)),"excluded",IF($H1258="Behind the Meter","excluded",IF(NOT(OR($E1258="Bundled",$E1258="Energy")),"excluded",IF(OR($H1258="Retail Power Marketer",$H1258="Community Choice Aggregator",$E1258="Energy"),"procurement",IF(OR($H1258="Municipal",$H1258="Cooperative",$H1258="Federal",$H1258="State",$H1258="Political Subdivision"),"cost_service",IF($H1258="Investor Owned",IF(AND(COUNTIF(Parameters!$A$4:$A$33,$G1258)&gt;0,COUNTIF(Parameters!$B$4:$B$33,$B1258)=0),"procurement","cost_service"),"unclassified"))))))</f>
        <v>procurement</v>
      </c>
    </row>
    <row r="1259" spans="1:26" x14ac:dyDescent="0.25">
      <c r="A1259">
        <v>2024</v>
      </c>
      <c r="B1259">
        <v>18193</v>
      </c>
      <c r="C1259" t="s">
        <v>1188</v>
      </c>
      <c r="D1259" t="s">
        <v>99</v>
      </c>
      <c r="E1259" t="s">
        <v>100</v>
      </c>
      <c r="F1259" t="s">
        <v>86</v>
      </c>
      <c r="G1259" t="s">
        <v>48</v>
      </c>
      <c r="H1259" t="s">
        <v>101</v>
      </c>
      <c r="I1259" t="s">
        <v>189</v>
      </c>
      <c r="J1259">
        <v>0</v>
      </c>
      <c r="K1259">
        <v>0</v>
      </c>
      <c r="L1259">
        <v>0</v>
      </c>
      <c r="M1259">
        <v>68609.600000000006</v>
      </c>
      <c r="N1259">
        <v>554451</v>
      </c>
      <c r="O1259">
        <v>2178</v>
      </c>
      <c r="P1259">
        <v>229490</v>
      </c>
      <c r="Q1259">
        <v>2069315</v>
      </c>
      <c r="R1259">
        <v>311</v>
      </c>
      <c r="S1259">
        <v>0</v>
      </c>
      <c r="T1259">
        <v>0</v>
      </c>
      <c r="U1259">
        <v>0</v>
      </c>
      <c r="V1259">
        <v>298099.59999999998</v>
      </c>
      <c r="W1259">
        <v>2623766</v>
      </c>
      <c r="X1259">
        <v>2489</v>
      </c>
      <c r="Y1259">
        <f t="shared" si="19"/>
        <v>2623766</v>
      </c>
      <c r="Z1259" t="str">
        <f>IF(ISNUMBER(SEARCH("Adjustment",$C1259)),"excluded",IF($H1259="Behind the Meter","excluded",IF(NOT(OR($E1259="Bundled",$E1259="Energy")),"excluded",IF(OR($H1259="Retail Power Marketer",$H1259="Community Choice Aggregator",$E1259="Energy"),"procurement",IF(OR($H1259="Municipal",$H1259="Cooperative",$H1259="Federal",$H1259="State",$H1259="Political Subdivision"),"cost_service",IF($H1259="Investor Owned",IF(AND(COUNTIF(Parameters!$A$4:$A$33,$G1259)&gt;0,COUNTIF(Parameters!$B$4:$B$33,$B1259)=0),"procurement","cost_service"),"unclassified"))))))</f>
        <v>procurement</v>
      </c>
    </row>
    <row r="1260" spans="1:26" x14ac:dyDescent="0.25">
      <c r="A1260">
        <v>2024</v>
      </c>
      <c r="B1260">
        <v>18193</v>
      </c>
      <c r="C1260" t="s">
        <v>1188</v>
      </c>
      <c r="D1260" t="s">
        <v>99</v>
      </c>
      <c r="E1260" t="s">
        <v>100</v>
      </c>
      <c r="F1260" t="s">
        <v>86</v>
      </c>
      <c r="G1260" t="s">
        <v>49</v>
      </c>
      <c r="H1260" t="s">
        <v>101</v>
      </c>
      <c r="I1260" t="s">
        <v>92</v>
      </c>
      <c r="J1260">
        <v>0</v>
      </c>
      <c r="K1260">
        <v>0</v>
      </c>
      <c r="L1260">
        <v>0</v>
      </c>
      <c r="M1260">
        <v>46874</v>
      </c>
      <c r="N1260">
        <v>529107</v>
      </c>
      <c r="O1260">
        <v>1774</v>
      </c>
      <c r="P1260">
        <v>172685.5</v>
      </c>
      <c r="Q1260">
        <v>2338117</v>
      </c>
      <c r="R1260">
        <v>232</v>
      </c>
      <c r="S1260">
        <v>0</v>
      </c>
      <c r="T1260">
        <v>0</v>
      </c>
      <c r="U1260">
        <v>0</v>
      </c>
      <c r="V1260">
        <v>219559.5</v>
      </c>
      <c r="W1260">
        <v>2867224</v>
      </c>
      <c r="X1260">
        <v>2006</v>
      </c>
      <c r="Y1260">
        <f t="shared" si="19"/>
        <v>2867224</v>
      </c>
      <c r="Z1260" t="str">
        <f>IF(ISNUMBER(SEARCH("Adjustment",$C1260)),"excluded",IF($H1260="Behind the Meter","excluded",IF(NOT(OR($E1260="Bundled",$E1260="Energy")),"excluded",IF(OR($H1260="Retail Power Marketer",$H1260="Community Choice Aggregator",$E1260="Energy"),"procurement",IF(OR($H1260="Municipal",$H1260="Cooperative",$H1260="Federal",$H1260="State",$H1260="Political Subdivision"),"cost_service",IF($H1260="Investor Owned",IF(AND(COUNTIF(Parameters!$A$4:$A$33,$G1260)&gt;0,COUNTIF(Parameters!$B$4:$B$33,$B1260)=0),"procurement","cost_service"),"unclassified"))))))</f>
        <v>procurement</v>
      </c>
    </row>
    <row r="1261" spans="1:26" x14ac:dyDescent="0.25">
      <c r="A1261">
        <v>2024</v>
      </c>
      <c r="B1261">
        <v>18193</v>
      </c>
      <c r="C1261" t="s">
        <v>1188</v>
      </c>
      <c r="D1261" t="s">
        <v>99</v>
      </c>
      <c r="E1261" t="s">
        <v>100</v>
      </c>
      <c r="F1261" t="s">
        <v>86</v>
      </c>
      <c r="G1261" t="s">
        <v>50</v>
      </c>
      <c r="H1261" t="s">
        <v>101</v>
      </c>
      <c r="I1261" t="s">
        <v>189</v>
      </c>
      <c r="J1261">
        <v>0</v>
      </c>
      <c r="K1261">
        <v>0</v>
      </c>
      <c r="L1261">
        <v>0</v>
      </c>
      <c r="M1261">
        <v>8174.8</v>
      </c>
      <c r="N1261">
        <v>94185</v>
      </c>
      <c r="O1261">
        <v>202</v>
      </c>
      <c r="P1261">
        <v>27569.8</v>
      </c>
      <c r="Q1261">
        <v>503796</v>
      </c>
      <c r="R1261">
        <v>39</v>
      </c>
      <c r="S1261">
        <v>0</v>
      </c>
      <c r="T1261">
        <v>0</v>
      </c>
      <c r="U1261">
        <v>0</v>
      </c>
      <c r="V1261">
        <v>35744.6</v>
      </c>
      <c r="W1261">
        <v>597981</v>
      </c>
      <c r="X1261">
        <v>241</v>
      </c>
      <c r="Y1261">
        <f t="shared" si="19"/>
        <v>597981</v>
      </c>
      <c r="Z1261" t="str">
        <f>IF(ISNUMBER(SEARCH("Adjustment",$C1261)),"excluded",IF($H1261="Behind the Meter","excluded",IF(NOT(OR($E1261="Bundled",$E1261="Energy")),"excluded",IF(OR($H1261="Retail Power Marketer",$H1261="Community Choice Aggregator",$E1261="Energy"),"procurement",IF(OR($H1261="Municipal",$H1261="Cooperative",$H1261="Federal",$H1261="State",$H1261="Political Subdivision"),"cost_service",IF($H1261="Investor Owned",IF(AND(COUNTIF(Parameters!$A$4:$A$33,$G1261)&gt;0,COUNTIF(Parameters!$B$4:$B$33,$B1261)=0),"procurement","cost_service"),"unclassified"))))))</f>
        <v>procurement</v>
      </c>
    </row>
    <row r="1262" spans="1:26" x14ac:dyDescent="0.25">
      <c r="A1262">
        <v>2024</v>
      </c>
      <c r="B1262">
        <v>18193</v>
      </c>
      <c r="C1262" t="s">
        <v>1188</v>
      </c>
      <c r="D1262" t="s">
        <v>99</v>
      </c>
      <c r="E1262" t="s">
        <v>100</v>
      </c>
      <c r="F1262" t="s">
        <v>86</v>
      </c>
      <c r="G1262" t="s">
        <v>140</v>
      </c>
      <c r="H1262" t="s">
        <v>101</v>
      </c>
      <c r="I1262" t="s">
        <v>96</v>
      </c>
      <c r="J1262">
        <v>0</v>
      </c>
      <c r="K1262">
        <v>0</v>
      </c>
      <c r="L1262">
        <v>0</v>
      </c>
      <c r="M1262">
        <v>11087.4</v>
      </c>
      <c r="N1262">
        <v>158987</v>
      </c>
      <c r="O1262">
        <v>155</v>
      </c>
      <c r="P1262">
        <v>42881.8</v>
      </c>
      <c r="Q1262">
        <v>638621</v>
      </c>
      <c r="R1262">
        <v>61</v>
      </c>
      <c r="S1262">
        <v>0</v>
      </c>
      <c r="T1262">
        <v>0</v>
      </c>
      <c r="U1262">
        <v>0</v>
      </c>
      <c r="V1262">
        <v>53969.2</v>
      </c>
      <c r="W1262">
        <v>797608</v>
      </c>
      <c r="X1262">
        <v>216</v>
      </c>
      <c r="Y1262">
        <f t="shared" si="19"/>
        <v>797608</v>
      </c>
      <c r="Z1262" t="str">
        <f>IF(ISNUMBER(SEARCH("Adjustment",$C1262)),"excluded",IF($H1262="Behind the Meter","excluded",IF(NOT(OR($E1262="Bundled",$E1262="Energy")),"excluded",IF(OR($H1262="Retail Power Marketer",$H1262="Community Choice Aggregator",$E1262="Energy"),"procurement",IF(OR($H1262="Municipal",$H1262="Cooperative",$H1262="Federal",$H1262="State",$H1262="Political Subdivision"),"cost_service",IF($H1262="Investor Owned",IF(AND(COUNTIF(Parameters!$A$4:$A$33,$G1262)&gt;0,COUNTIF(Parameters!$B$4:$B$33,$B1262)=0),"procurement","cost_service"),"unclassified"))))))</f>
        <v>procurement</v>
      </c>
    </row>
    <row r="1263" spans="1:26" x14ac:dyDescent="0.25">
      <c r="A1263">
        <v>2024</v>
      </c>
      <c r="B1263">
        <v>18193</v>
      </c>
      <c r="C1263" t="s">
        <v>1188</v>
      </c>
      <c r="D1263" t="s">
        <v>99</v>
      </c>
      <c r="E1263" t="s">
        <v>100</v>
      </c>
      <c r="F1263" t="s">
        <v>86</v>
      </c>
      <c r="G1263" t="s">
        <v>51</v>
      </c>
      <c r="H1263" t="s">
        <v>101</v>
      </c>
      <c r="I1263" t="s">
        <v>189</v>
      </c>
      <c r="J1263">
        <v>0</v>
      </c>
      <c r="K1263">
        <v>0</v>
      </c>
      <c r="L1263">
        <v>0</v>
      </c>
      <c r="M1263">
        <v>20723</v>
      </c>
      <c r="N1263">
        <v>184646</v>
      </c>
      <c r="O1263">
        <v>829</v>
      </c>
      <c r="P1263">
        <v>36830.400000000001</v>
      </c>
      <c r="Q1263">
        <v>420507</v>
      </c>
      <c r="R1263">
        <v>95</v>
      </c>
      <c r="S1263">
        <v>0</v>
      </c>
      <c r="T1263">
        <v>0</v>
      </c>
      <c r="U1263">
        <v>0</v>
      </c>
      <c r="V1263">
        <v>57553.4</v>
      </c>
      <c r="W1263">
        <v>605153</v>
      </c>
      <c r="X1263">
        <v>924</v>
      </c>
      <c r="Y1263">
        <f t="shared" si="19"/>
        <v>605153</v>
      </c>
      <c r="Z1263" t="str">
        <f>IF(ISNUMBER(SEARCH("Adjustment",$C1263)),"excluded",IF($H1263="Behind the Meter","excluded",IF(NOT(OR($E1263="Bundled",$E1263="Energy")),"excluded",IF(OR($H1263="Retail Power Marketer",$H1263="Community Choice Aggregator",$E1263="Energy"),"procurement",IF(OR($H1263="Municipal",$H1263="Cooperative",$H1263="Federal",$H1263="State",$H1263="Political Subdivision"),"cost_service",IF($H1263="Investor Owned",IF(AND(COUNTIF(Parameters!$A$4:$A$33,$G1263)&gt;0,COUNTIF(Parameters!$B$4:$B$33,$B1263)=0),"procurement","cost_service"),"unclassified"))))))</f>
        <v>procurement</v>
      </c>
    </row>
    <row r="1264" spans="1:26" x14ac:dyDescent="0.25">
      <c r="A1264">
        <v>2024</v>
      </c>
      <c r="B1264">
        <v>18193</v>
      </c>
      <c r="C1264" t="s">
        <v>1188</v>
      </c>
      <c r="D1264" t="s">
        <v>99</v>
      </c>
      <c r="E1264" t="s">
        <v>100</v>
      </c>
      <c r="F1264" t="s">
        <v>86</v>
      </c>
      <c r="G1264" t="s">
        <v>52</v>
      </c>
      <c r="H1264" t="s">
        <v>101</v>
      </c>
      <c r="I1264" t="s">
        <v>92</v>
      </c>
      <c r="J1264">
        <v>0</v>
      </c>
      <c r="K1264">
        <v>0</v>
      </c>
      <c r="L1264">
        <v>0</v>
      </c>
      <c r="M1264">
        <v>62973.8</v>
      </c>
      <c r="N1264">
        <v>655913</v>
      </c>
      <c r="O1264">
        <v>1851</v>
      </c>
      <c r="P1264">
        <v>317162.5</v>
      </c>
      <c r="Q1264">
        <v>3397394</v>
      </c>
      <c r="R1264">
        <v>372</v>
      </c>
      <c r="S1264">
        <v>11670</v>
      </c>
      <c r="T1264">
        <v>135827</v>
      </c>
      <c r="U1264">
        <v>1</v>
      </c>
      <c r="V1264">
        <v>391806.3</v>
      </c>
      <c r="W1264">
        <v>4189134</v>
      </c>
      <c r="X1264">
        <v>2224</v>
      </c>
      <c r="Y1264">
        <f t="shared" si="19"/>
        <v>4189134</v>
      </c>
      <c r="Z1264" t="str">
        <f>IF(ISNUMBER(SEARCH("Adjustment",$C1264)),"excluded",IF($H1264="Behind the Meter","excluded",IF(NOT(OR($E1264="Bundled",$E1264="Energy")),"excluded",IF(OR($H1264="Retail Power Marketer",$H1264="Community Choice Aggregator",$E1264="Energy"),"procurement",IF(OR($H1264="Municipal",$H1264="Cooperative",$H1264="Federal",$H1264="State",$H1264="Political Subdivision"),"cost_service",IF($H1264="Investor Owned",IF(AND(COUNTIF(Parameters!$A$4:$A$33,$G1264)&gt;0,COUNTIF(Parameters!$B$4:$B$33,$B1264)=0),"procurement","cost_service"),"unclassified"))))))</f>
        <v>procurement</v>
      </c>
    </row>
    <row r="1265" spans="1:26" x14ac:dyDescent="0.25">
      <c r="A1265">
        <v>2024</v>
      </c>
      <c r="B1265">
        <v>18193</v>
      </c>
      <c r="C1265" t="s">
        <v>1188</v>
      </c>
      <c r="D1265" t="s">
        <v>99</v>
      </c>
      <c r="E1265" t="s">
        <v>100</v>
      </c>
      <c r="F1265" t="s">
        <v>86</v>
      </c>
      <c r="G1265" t="s">
        <v>53</v>
      </c>
      <c r="H1265" t="s">
        <v>101</v>
      </c>
      <c r="I1265" t="s">
        <v>102</v>
      </c>
      <c r="J1265">
        <v>0</v>
      </c>
      <c r="K1265">
        <v>0</v>
      </c>
      <c r="L1265">
        <v>0</v>
      </c>
      <c r="M1265">
        <v>125124.9</v>
      </c>
      <c r="N1265">
        <v>1317083</v>
      </c>
      <c r="O1265">
        <v>2491</v>
      </c>
      <c r="P1265">
        <v>562865.5</v>
      </c>
      <c r="Q1265">
        <v>6360603</v>
      </c>
      <c r="R1265">
        <v>699</v>
      </c>
      <c r="S1265">
        <v>0</v>
      </c>
      <c r="T1265">
        <v>0</v>
      </c>
      <c r="U1265">
        <v>0</v>
      </c>
      <c r="V1265">
        <v>687990.4</v>
      </c>
      <c r="W1265">
        <v>7677686</v>
      </c>
      <c r="X1265">
        <v>3190</v>
      </c>
      <c r="Y1265">
        <f t="shared" si="19"/>
        <v>7677686</v>
      </c>
      <c r="Z1265" t="str">
        <f>IF(ISNUMBER(SEARCH("Adjustment",$C1265)),"excluded",IF($H1265="Behind the Meter","excluded",IF(NOT(OR($E1265="Bundled",$E1265="Energy")),"excluded",IF(OR($H1265="Retail Power Marketer",$H1265="Community Choice Aggregator",$E1265="Energy"),"procurement",IF(OR($H1265="Municipal",$H1265="Cooperative",$H1265="Federal",$H1265="State",$H1265="Political Subdivision"),"cost_service",IF($H1265="Investor Owned",IF(AND(COUNTIF(Parameters!$A$4:$A$33,$G1265)&gt;0,COUNTIF(Parameters!$B$4:$B$33,$B1265)=0),"procurement","cost_service"),"unclassified"))))))</f>
        <v>procurement</v>
      </c>
    </row>
    <row r="1266" spans="1:26" x14ac:dyDescent="0.25">
      <c r="A1266">
        <v>2024</v>
      </c>
      <c r="B1266">
        <v>18193</v>
      </c>
      <c r="C1266" t="s">
        <v>1188</v>
      </c>
      <c r="D1266" t="s">
        <v>99</v>
      </c>
      <c r="E1266" t="s">
        <v>100</v>
      </c>
      <c r="F1266" t="s">
        <v>86</v>
      </c>
      <c r="G1266" t="s">
        <v>54</v>
      </c>
      <c r="H1266" t="s">
        <v>101</v>
      </c>
      <c r="I1266" t="s">
        <v>92</v>
      </c>
      <c r="J1266">
        <v>0</v>
      </c>
      <c r="K1266">
        <v>0</v>
      </c>
      <c r="L1266">
        <v>0</v>
      </c>
      <c r="M1266">
        <v>60270.8</v>
      </c>
      <c r="N1266">
        <v>1098968</v>
      </c>
      <c r="O1266">
        <v>3656</v>
      </c>
      <c r="P1266">
        <v>299039.8</v>
      </c>
      <c r="Q1266">
        <v>6184956</v>
      </c>
      <c r="R1266">
        <v>944</v>
      </c>
      <c r="S1266">
        <v>11.4</v>
      </c>
      <c r="T1266">
        <v>181</v>
      </c>
      <c r="U1266">
        <v>1</v>
      </c>
      <c r="V1266">
        <v>359322</v>
      </c>
      <c r="W1266">
        <v>7284105</v>
      </c>
      <c r="X1266">
        <v>4601</v>
      </c>
      <c r="Y1266">
        <f t="shared" si="19"/>
        <v>7284105</v>
      </c>
      <c r="Z1266" t="str">
        <f>IF(ISNUMBER(SEARCH("Adjustment",$C1266)),"excluded",IF($H1266="Behind the Meter","excluded",IF(NOT(OR($E1266="Bundled",$E1266="Energy")),"excluded",IF(OR($H1266="Retail Power Marketer",$H1266="Community Choice Aggregator",$E1266="Energy"),"procurement",IF(OR($H1266="Municipal",$H1266="Cooperative",$H1266="Federal",$H1266="State",$H1266="Political Subdivision"),"cost_service",IF($H1266="Investor Owned",IF(AND(COUNTIF(Parameters!$A$4:$A$33,$G1266)&gt;0,COUNTIF(Parameters!$B$4:$B$33,$B1266)=0),"procurement","cost_service"),"unclassified"))))))</f>
        <v>procurement</v>
      </c>
    </row>
    <row r="1267" spans="1:26" x14ac:dyDescent="0.25">
      <c r="A1267">
        <v>2024</v>
      </c>
      <c r="B1267">
        <v>18193</v>
      </c>
      <c r="C1267" t="s">
        <v>1188</v>
      </c>
      <c r="D1267" t="s">
        <v>99</v>
      </c>
      <c r="E1267" t="s">
        <v>100</v>
      </c>
      <c r="F1267" t="s">
        <v>86</v>
      </c>
      <c r="G1267" t="s">
        <v>55</v>
      </c>
      <c r="H1267" t="s">
        <v>101</v>
      </c>
      <c r="I1267" t="s">
        <v>92</v>
      </c>
      <c r="J1267">
        <v>0</v>
      </c>
      <c r="K1267">
        <v>0</v>
      </c>
      <c r="L1267">
        <v>0</v>
      </c>
      <c r="M1267">
        <v>135657.5</v>
      </c>
      <c r="N1267">
        <v>1599928</v>
      </c>
      <c r="O1267">
        <v>6331</v>
      </c>
      <c r="P1267">
        <v>459153.2</v>
      </c>
      <c r="Q1267">
        <v>6409008</v>
      </c>
      <c r="R1267">
        <v>717</v>
      </c>
      <c r="S1267">
        <v>0</v>
      </c>
      <c r="T1267">
        <v>0</v>
      </c>
      <c r="U1267">
        <v>0</v>
      </c>
      <c r="V1267">
        <v>594810.69999999995</v>
      </c>
      <c r="W1267">
        <v>8008936</v>
      </c>
      <c r="X1267">
        <v>7048</v>
      </c>
      <c r="Y1267">
        <f t="shared" si="19"/>
        <v>8008936</v>
      </c>
      <c r="Z1267" t="str">
        <f>IF(ISNUMBER(SEARCH("Adjustment",$C1267)),"excluded",IF($H1267="Behind the Meter","excluded",IF(NOT(OR($E1267="Bundled",$E1267="Energy")),"excluded",IF(OR($H1267="Retail Power Marketer",$H1267="Community Choice Aggregator",$E1267="Energy"),"procurement",IF(OR($H1267="Municipal",$H1267="Cooperative",$H1267="Federal",$H1267="State",$H1267="Political Subdivision"),"cost_service",IF($H1267="Investor Owned",IF(AND(COUNTIF(Parameters!$A$4:$A$33,$G1267)&gt;0,COUNTIF(Parameters!$B$4:$B$33,$B1267)=0),"procurement","cost_service"),"unclassified"))))))</f>
        <v>procurement</v>
      </c>
    </row>
    <row r="1268" spans="1:26" x14ac:dyDescent="0.25">
      <c r="A1268">
        <v>2024</v>
      </c>
      <c r="B1268">
        <v>18193</v>
      </c>
      <c r="C1268" t="s">
        <v>1188</v>
      </c>
      <c r="D1268" t="s">
        <v>99</v>
      </c>
      <c r="E1268" t="s">
        <v>100</v>
      </c>
      <c r="F1268" t="s">
        <v>86</v>
      </c>
      <c r="G1268" t="s">
        <v>56</v>
      </c>
      <c r="H1268" t="s">
        <v>101</v>
      </c>
      <c r="I1268" t="s">
        <v>189</v>
      </c>
      <c r="J1268">
        <v>0</v>
      </c>
      <c r="K1268">
        <v>0</v>
      </c>
      <c r="L1268">
        <v>0</v>
      </c>
      <c r="M1268">
        <v>20858.5</v>
      </c>
      <c r="N1268">
        <v>192550</v>
      </c>
      <c r="O1268">
        <v>657</v>
      </c>
      <c r="P1268">
        <v>67559.600000000006</v>
      </c>
      <c r="Q1268">
        <v>749508</v>
      </c>
      <c r="R1268">
        <v>116</v>
      </c>
      <c r="S1268">
        <v>0</v>
      </c>
      <c r="T1268">
        <v>0</v>
      </c>
      <c r="U1268">
        <v>0</v>
      </c>
      <c r="V1268">
        <v>88418.1</v>
      </c>
      <c r="W1268">
        <v>942058</v>
      </c>
      <c r="X1268">
        <v>773</v>
      </c>
      <c r="Y1268">
        <f t="shared" si="19"/>
        <v>942058</v>
      </c>
      <c r="Z1268" t="str">
        <f>IF(ISNUMBER(SEARCH("Adjustment",$C1268)),"excluded",IF($H1268="Behind the Meter","excluded",IF(NOT(OR($E1268="Bundled",$E1268="Energy")),"excluded",IF(OR($H1268="Retail Power Marketer",$H1268="Community Choice Aggregator",$E1268="Energy"),"procurement",IF(OR($H1268="Municipal",$H1268="Cooperative",$H1268="Federal",$H1268="State",$H1268="Political Subdivision"),"cost_service",IF($H1268="Investor Owned",IF(AND(COUNTIF(Parameters!$A$4:$A$33,$G1268)&gt;0,COUNTIF(Parameters!$B$4:$B$33,$B1268)=0),"procurement","cost_service"),"unclassified"))))))</f>
        <v>procurement</v>
      </c>
    </row>
    <row r="1269" spans="1:26" x14ac:dyDescent="0.25">
      <c r="A1269">
        <v>2024</v>
      </c>
      <c r="B1269">
        <v>18193</v>
      </c>
      <c r="C1269" t="s">
        <v>1188</v>
      </c>
      <c r="D1269" t="s">
        <v>99</v>
      </c>
      <c r="E1269" t="s">
        <v>100</v>
      </c>
      <c r="F1269" t="s">
        <v>86</v>
      </c>
      <c r="G1269" t="s">
        <v>93</v>
      </c>
      <c r="H1269" t="s">
        <v>101</v>
      </c>
      <c r="I1269" t="s">
        <v>92</v>
      </c>
      <c r="J1269">
        <v>0</v>
      </c>
      <c r="K1269">
        <v>0</v>
      </c>
      <c r="L1269">
        <v>0</v>
      </c>
      <c r="M1269">
        <v>7971.2</v>
      </c>
      <c r="N1269">
        <v>107437</v>
      </c>
      <c r="O1269">
        <v>121</v>
      </c>
      <c r="P1269">
        <v>54785.3</v>
      </c>
      <c r="Q1269">
        <v>753290</v>
      </c>
      <c r="R1269">
        <v>58</v>
      </c>
      <c r="S1269">
        <v>0</v>
      </c>
      <c r="T1269">
        <v>0</v>
      </c>
      <c r="U1269">
        <v>0</v>
      </c>
      <c r="V1269">
        <v>62756.5</v>
      </c>
      <c r="W1269">
        <v>860727</v>
      </c>
      <c r="X1269">
        <v>179</v>
      </c>
      <c r="Y1269">
        <f t="shared" si="19"/>
        <v>860727</v>
      </c>
      <c r="Z1269" t="str">
        <f>IF(ISNUMBER(SEARCH("Adjustment",$C1269)),"excluded",IF($H1269="Behind the Meter","excluded",IF(NOT(OR($E1269="Bundled",$E1269="Energy")),"excluded",IF(OR($H1269="Retail Power Marketer",$H1269="Community Choice Aggregator",$E1269="Energy"),"procurement",IF(OR($H1269="Municipal",$H1269="Cooperative",$H1269="Federal",$H1269="State",$H1269="Political Subdivision"),"cost_service",IF($H1269="Investor Owned",IF(AND(COUNTIF(Parameters!$A$4:$A$33,$G1269)&gt;0,COUNTIF(Parameters!$B$4:$B$33,$B1269)=0),"procurement","cost_service"),"unclassified"))))))</f>
        <v>procurement</v>
      </c>
    </row>
    <row r="1270" spans="1:26" x14ac:dyDescent="0.25">
      <c r="A1270">
        <v>2024</v>
      </c>
      <c r="B1270">
        <v>18193</v>
      </c>
      <c r="C1270" t="s">
        <v>1188</v>
      </c>
      <c r="D1270" t="s">
        <v>150</v>
      </c>
      <c r="E1270" t="s">
        <v>85</v>
      </c>
      <c r="F1270" t="s">
        <v>86</v>
      </c>
      <c r="G1270" t="s">
        <v>57</v>
      </c>
      <c r="H1270" t="s">
        <v>101</v>
      </c>
      <c r="I1270" t="s">
        <v>151</v>
      </c>
      <c r="J1270">
        <v>0</v>
      </c>
      <c r="K1270">
        <v>0</v>
      </c>
      <c r="L1270">
        <v>0</v>
      </c>
      <c r="M1270">
        <v>580741.6</v>
      </c>
      <c r="N1270">
        <v>5827724</v>
      </c>
      <c r="O1270">
        <v>33159</v>
      </c>
      <c r="P1270">
        <v>663965.5</v>
      </c>
      <c r="Q1270">
        <v>7459231</v>
      </c>
      <c r="R1270">
        <v>1052</v>
      </c>
      <c r="S1270">
        <v>0</v>
      </c>
      <c r="T1270">
        <v>0</v>
      </c>
      <c r="U1270">
        <v>0</v>
      </c>
      <c r="V1270">
        <v>1244707.1000000001</v>
      </c>
      <c r="W1270">
        <v>13286955</v>
      </c>
      <c r="X1270">
        <v>34211</v>
      </c>
      <c r="Y1270">
        <f t="shared" si="19"/>
        <v>13286955</v>
      </c>
      <c r="Z1270" t="str">
        <f>IF(ISNUMBER(SEARCH("Adjustment",$C1270)),"excluded",IF($H1270="Behind the Meter","excluded",IF(NOT(OR($E1270="Bundled",$E1270="Energy")),"excluded",IF(OR($H1270="Retail Power Marketer",$H1270="Community Choice Aggregator",$E1270="Energy"),"procurement",IF(OR($H1270="Municipal",$H1270="Cooperative",$H1270="Federal",$H1270="State",$H1270="Political Subdivision"),"cost_service",IF($H1270="Investor Owned",IF(AND(COUNTIF(Parameters!$A$4:$A$33,$G1270)&gt;0,COUNTIF(Parameters!$B$4:$B$33,$B1270)=0),"procurement","cost_service"),"unclassified"))))))</f>
        <v>procurement</v>
      </c>
    </row>
    <row r="1271" spans="1:26" x14ac:dyDescent="0.25">
      <c r="A1271">
        <v>2024</v>
      </c>
      <c r="B1271">
        <v>18203</v>
      </c>
      <c r="C1271" t="s">
        <v>1189</v>
      </c>
      <c r="D1271" t="s">
        <v>84</v>
      </c>
      <c r="E1271" t="s">
        <v>85</v>
      </c>
      <c r="F1271" t="s">
        <v>86</v>
      </c>
      <c r="G1271" t="s">
        <v>112</v>
      </c>
      <c r="H1271" t="s">
        <v>91</v>
      </c>
      <c r="I1271" t="s">
        <v>113</v>
      </c>
      <c r="J1271">
        <v>59051</v>
      </c>
      <c r="K1271">
        <v>410431</v>
      </c>
      <c r="L1271">
        <v>29578</v>
      </c>
      <c r="M1271">
        <v>6810.5</v>
      </c>
      <c r="N1271">
        <v>52727</v>
      </c>
      <c r="O1271">
        <v>952</v>
      </c>
      <c r="P1271">
        <v>15139.5</v>
      </c>
      <c r="Q1271">
        <v>141563</v>
      </c>
      <c r="R1271">
        <v>12</v>
      </c>
      <c r="S1271" t="s">
        <v>97</v>
      </c>
      <c r="T1271" t="s">
        <v>97</v>
      </c>
      <c r="U1271" t="s">
        <v>97</v>
      </c>
      <c r="V1271">
        <v>81001</v>
      </c>
      <c r="W1271">
        <v>604721</v>
      </c>
      <c r="X1271">
        <v>30542</v>
      </c>
      <c r="Y1271">
        <f t="shared" si="19"/>
        <v>604721</v>
      </c>
      <c r="Z1271" t="str">
        <f>IF(ISNUMBER(SEARCH("Adjustment",$C1271)),"excluded",IF($H1271="Behind the Meter","excluded",IF(NOT(OR($E1271="Bundled",$E1271="Energy")),"excluded",IF(OR($H1271="Retail Power Marketer",$H1271="Community Choice Aggregator",$E1271="Energy"),"procurement",IF(OR($H1271="Municipal",$H1271="Cooperative",$H1271="Federal",$H1271="State",$H1271="Political Subdivision"),"cost_service",IF($H1271="Investor Owned",IF(AND(COUNTIF(Parameters!$A$4:$A$33,$G1271)&gt;0,COUNTIF(Parameters!$B$4:$B$33,$B1271)=0),"procurement","cost_service"),"unclassified"))))))</f>
        <v>cost_service</v>
      </c>
    </row>
    <row r="1272" spans="1:26" x14ac:dyDescent="0.25">
      <c r="A1272">
        <v>2024</v>
      </c>
      <c r="B1272">
        <v>18206</v>
      </c>
      <c r="C1272" t="s">
        <v>1190</v>
      </c>
      <c r="D1272" t="s">
        <v>84</v>
      </c>
      <c r="E1272" t="s">
        <v>85</v>
      </c>
      <c r="F1272" t="s">
        <v>86</v>
      </c>
      <c r="G1272" t="s">
        <v>245</v>
      </c>
      <c r="H1272" t="s">
        <v>205</v>
      </c>
      <c r="I1272" t="s">
        <v>246</v>
      </c>
      <c r="J1272">
        <v>7573.3</v>
      </c>
      <c r="K1272">
        <v>49963</v>
      </c>
      <c r="L1272">
        <v>3593</v>
      </c>
      <c r="M1272">
        <v>1674</v>
      </c>
      <c r="N1272">
        <v>10455</v>
      </c>
      <c r="O1272">
        <v>452</v>
      </c>
      <c r="P1272">
        <v>382.2</v>
      </c>
      <c r="Q1272">
        <v>2925</v>
      </c>
      <c r="R1272">
        <v>27</v>
      </c>
      <c r="S1272">
        <v>0</v>
      </c>
      <c r="T1272">
        <v>0</v>
      </c>
      <c r="U1272">
        <v>0</v>
      </c>
      <c r="V1272">
        <v>9629.5</v>
      </c>
      <c r="W1272">
        <v>63343</v>
      </c>
      <c r="X1272">
        <v>4072</v>
      </c>
      <c r="Y1272">
        <f t="shared" si="19"/>
        <v>63343</v>
      </c>
      <c r="Z1272" t="str">
        <f>IF(ISNUMBER(SEARCH("Adjustment",$C1272)),"excluded",IF($H1272="Behind the Meter","excluded",IF(NOT(OR($E1272="Bundled",$E1272="Energy")),"excluded",IF(OR($H1272="Retail Power Marketer",$H1272="Community Choice Aggregator",$E1272="Energy"),"procurement",IF(OR($H1272="Municipal",$H1272="Cooperative",$H1272="Federal",$H1272="State",$H1272="Political Subdivision"),"cost_service",IF($H1272="Investor Owned",IF(AND(COUNTIF(Parameters!$A$4:$A$33,$G1272)&gt;0,COUNTIF(Parameters!$B$4:$B$33,$B1272)=0),"procurement","cost_service"),"unclassified"))))))</f>
        <v>cost_service</v>
      </c>
    </row>
    <row r="1273" spans="1:26" x14ac:dyDescent="0.25">
      <c r="A1273">
        <v>2024</v>
      </c>
      <c r="B1273">
        <v>18249</v>
      </c>
      <c r="C1273" t="s">
        <v>1191</v>
      </c>
      <c r="D1273" t="s">
        <v>84</v>
      </c>
      <c r="E1273" t="s">
        <v>85</v>
      </c>
      <c r="F1273" t="s">
        <v>86</v>
      </c>
      <c r="G1273" t="s">
        <v>95</v>
      </c>
      <c r="H1273" t="s">
        <v>88</v>
      </c>
      <c r="I1273" t="s">
        <v>96</v>
      </c>
      <c r="J1273">
        <v>6673.8</v>
      </c>
      <c r="K1273">
        <v>53539</v>
      </c>
      <c r="L1273">
        <v>7786</v>
      </c>
      <c r="M1273">
        <v>8424.2000000000007</v>
      </c>
      <c r="N1273">
        <v>79748</v>
      </c>
      <c r="O1273">
        <v>1842</v>
      </c>
      <c r="P1273">
        <v>1155.8</v>
      </c>
      <c r="Q1273">
        <v>13903</v>
      </c>
      <c r="R1273">
        <v>1</v>
      </c>
      <c r="S1273">
        <v>0</v>
      </c>
      <c r="T1273">
        <v>0</v>
      </c>
      <c r="U1273">
        <v>0</v>
      </c>
      <c r="V1273">
        <v>16253.8</v>
      </c>
      <c r="W1273">
        <v>147190</v>
      </c>
      <c r="X1273">
        <v>9629</v>
      </c>
      <c r="Y1273">
        <f t="shared" si="19"/>
        <v>147190</v>
      </c>
      <c r="Z1273" t="str">
        <f>IF(ISNUMBER(SEARCH("Adjustment",$C1273)),"excluded",IF($H1273="Behind the Meter","excluded",IF(NOT(OR($E1273="Bundled",$E1273="Energy")),"excluded",IF(OR($H1273="Retail Power Marketer",$H1273="Community Choice Aggregator",$E1273="Energy"),"procurement",IF(OR($H1273="Municipal",$H1273="Cooperative",$H1273="Federal",$H1273="State",$H1273="Political Subdivision"),"cost_service",IF($H1273="Investor Owned",IF(AND(COUNTIF(Parameters!$A$4:$A$33,$G1273)&gt;0,COUNTIF(Parameters!$B$4:$B$33,$B1273)=0),"procurement","cost_service"),"unclassified"))))))</f>
        <v>cost_service</v>
      </c>
    </row>
    <row r="1274" spans="1:26" x14ac:dyDescent="0.25">
      <c r="A1274">
        <v>2024</v>
      </c>
      <c r="B1274">
        <v>18252</v>
      </c>
      <c r="C1274" t="s">
        <v>1192</v>
      </c>
      <c r="D1274" t="s">
        <v>84</v>
      </c>
      <c r="E1274" t="s">
        <v>85</v>
      </c>
      <c r="F1274" t="s">
        <v>86</v>
      </c>
      <c r="G1274" t="s">
        <v>140</v>
      </c>
      <c r="H1274" t="s">
        <v>88</v>
      </c>
      <c r="I1274" t="s">
        <v>92</v>
      </c>
      <c r="J1274">
        <v>7027.5</v>
      </c>
      <c r="K1274">
        <v>47785</v>
      </c>
      <c r="L1274">
        <v>6117</v>
      </c>
      <c r="M1274">
        <v>6416.7</v>
      </c>
      <c r="N1274">
        <v>37596</v>
      </c>
      <c r="O1274">
        <v>992</v>
      </c>
      <c r="P1274">
        <v>12594.8</v>
      </c>
      <c r="Q1274">
        <v>119701</v>
      </c>
      <c r="R1274">
        <v>64</v>
      </c>
      <c r="S1274" t="s">
        <v>97</v>
      </c>
      <c r="T1274" t="s">
        <v>97</v>
      </c>
      <c r="U1274" t="s">
        <v>97</v>
      </c>
      <c r="V1274">
        <v>26039</v>
      </c>
      <c r="W1274">
        <v>205082</v>
      </c>
      <c r="X1274">
        <v>7173</v>
      </c>
      <c r="Y1274">
        <f t="shared" si="19"/>
        <v>205082</v>
      </c>
      <c r="Z1274" t="str">
        <f>IF(ISNUMBER(SEARCH("Adjustment",$C1274)),"excluded",IF($H1274="Behind the Meter","excluded",IF(NOT(OR($E1274="Bundled",$E1274="Energy")),"excluded",IF(OR($H1274="Retail Power Marketer",$H1274="Community Choice Aggregator",$E1274="Energy"),"procurement",IF(OR($H1274="Municipal",$H1274="Cooperative",$H1274="Federal",$H1274="State",$H1274="Political Subdivision"),"cost_service",IF($H1274="Investor Owned",IF(AND(COUNTIF(Parameters!$A$4:$A$33,$G1274)&gt;0,COUNTIF(Parameters!$B$4:$B$33,$B1274)=0),"procurement","cost_service"),"unclassified"))))))</f>
        <v>cost_service</v>
      </c>
    </row>
    <row r="1275" spans="1:26" x14ac:dyDescent="0.25">
      <c r="A1275">
        <v>2024</v>
      </c>
      <c r="B1275">
        <v>18260</v>
      </c>
      <c r="C1275" t="s">
        <v>1193</v>
      </c>
      <c r="D1275" t="s">
        <v>84</v>
      </c>
      <c r="E1275" t="s">
        <v>85</v>
      </c>
      <c r="F1275" t="s">
        <v>86</v>
      </c>
      <c r="G1275" t="s">
        <v>115</v>
      </c>
      <c r="H1275" t="s">
        <v>91</v>
      </c>
      <c r="I1275" t="s">
        <v>972</v>
      </c>
      <c r="J1275">
        <v>4357.5</v>
      </c>
      <c r="K1275">
        <v>33171</v>
      </c>
      <c r="L1275">
        <v>2785</v>
      </c>
      <c r="M1275">
        <v>1406.3</v>
      </c>
      <c r="N1275">
        <v>10252</v>
      </c>
      <c r="O1275">
        <v>994</v>
      </c>
      <c r="P1275">
        <v>7136.2</v>
      </c>
      <c r="Q1275">
        <v>59888</v>
      </c>
      <c r="R1275">
        <v>948</v>
      </c>
      <c r="S1275">
        <v>0</v>
      </c>
      <c r="T1275">
        <v>0</v>
      </c>
      <c r="U1275">
        <v>0</v>
      </c>
      <c r="V1275">
        <v>12900</v>
      </c>
      <c r="W1275">
        <v>103311</v>
      </c>
      <c r="X1275">
        <v>4727</v>
      </c>
      <c r="Y1275">
        <f t="shared" si="19"/>
        <v>103311</v>
      </c>
      <c r="Z1275" t="str">
        <f>IF(ISNUMBER(SEARCH("Adjustment",$C1275)),"excluded",IF($H1275="Behind the Meter","excluded",IF(NOT(OR($E1275="Bundled",$E1275="Energy")),"excluded",IF(OR($H1275="Retail Power Marketer",$H1275="Community Choice Aggregator",$E1275="Energy"),"procurement",IF(OR($H1275="Municipal",$H1275="Cooperative",$H1275="Federal",$H1275="State",$H1275="Political Subdivision"),"cost_service",IF($H1275="Investor Owned",IF(AND(COUNTIF(Parameters!$A$4:$A$33,$G1275)&gt;0,COUNTIF(Parameters!$B$4:$B$33,$B1275)=0),"procurement","cost_service"),"unclassified"))))))</f>
        <v>cost_service</v>
      </c>
    </row>
    <row r="1276" spans="1:26" x14ac:dyDescent="0.25">
      <c r="A1276">
        <v>2024</v>
      </c>
      <c r="B1276">
        <v>18260</v>
      </c>
      <c r="C1276" t="s">
        <v>1193</v>
      </c>
      <c r="D1276" t="s">
        <v>84</v>
      </c>
      <c r="E1276" t="s">
        <v>85</v>
      </c>
      <c r="F1276" t="s">
        <v>86</v>
      </c>
      <c r="G1276" t="s">
        <v>242</v>
      </c>
      <c r="H1276" t="s">
        <v>91</v>
      </c>
      <c r="I1276" t="s">
        <v>972</v>
      </c>
      <c r="J1276">
        <v>7.6</v>
      </c>
      <c r="K1276">
        <v>55</v>
      </c>
      <c r="L1276">
        <v>6</v>
      </c>
      <c r="M1276">
        <v>8.5</v>
      </c>
      <c r="N1276">
        <v>61</v>
      </c>
      <c r="O1276">
        <v>7</v>
      </c>
      <c r="P1276">
        <v>5.8</v>
      </c>
      <c r="Q1276">
        <v>16</v>
      </c>
      <c r="R1276">
        <v>4</v>
      </c>
      <c r="S1276">
        <v>0</v>
      </c>
      <c r="T1276">
        <v>0</v>
      </c>
      <c r="U1276">
        <v>0</v>
      </c>
      <c r="V1276">
        <v>21.9</v>
      </c>
      <c r="W1276">
        <v>132</v>
      </c>
      <c r="X1276">
        <v>17</v>
      </c>
      <c r="Y1276">
        <f t="shared" si="19"/>
        <v>132</v>
      </c>
      <c r="Z1276" t="str">
        <f>IF(ISNUMBER(SEARCH("Adjustment",$C1276)),"excluded",IF($H1276="Behind the Meter","excluded",IF(NOT(OR($E1276="Bundled",$E1276="Energy")),"excluded",IF(OR($H1276="Retail Power Marketer",$H1276="Community Choice Aggregator",$E1276="Energy"),"procurement",IF(OR($H1276="Municipal",$H1276="Cooperative",$H1276="Federal",$H1276="State",$H1276="Political Subdivision"),"cost_service",IF($H1276="Investor Owned",IF(AND(COUNTIF(Parameters!$A$4:$A$33,$G1276)&gt;0,COUNTIF(Parameters!$B$4:$B$33,$B1276)=0),"procurement","cost_service"),"unclassified"))))))</f>
        <v>cost_service</v>
      </c>
    </row>
    <row r="1277" spans="1:26" x14ac:dyDescent="0.25">
      <c r="A1277">
        <v>2024</v>
      </c>
      <c r="B1277">
        <v>18260</v>
      </c>
      <c r="C1277" t="s">
        <v>1193</v>
      </c>
      <c r="D1277" t="s">
        <v>84</v>
      </c>
      <c r="E1277" t="s">
        <v>85</v>
      </c>
      <c r="F1277" t="s">
        <v>86</v>
      </c>
      <c r="G1277" t="s">
        <v>219</v>
      </c>
      <c r="H1277" t="s">
        <v>91</v>
      </c>
      <c r="I1277" t="s">
        <v>972</v>
      </c>
      <c r="J1277">
        <v>2153.6999999999998</v>
      </c>
      <c r="K1277">
        <v>16861</v>
      </c>
      <c r="L1277">
        <v>1211</v>
      </c>
      <c r="M1277">
        <v>729.3</v>
      </c>
      <c r="N1277">
        <v>5275</v>
      </c>
      <c r="O1277">
        <v>472</v>
      </c>
      <c r="P1277">
        <v>1991.1</v>
      </c>
      <c r="Q1277">
        <v>16700</v>
      </c>
      <c r="R1277">
        <v>285</v>
      </c>
      <c r="S1277">
        <v>0</v>
      </c>
      <c r="T1277">
        <v>0</v>
      </c>
      <c r="U1277">
        <v>0</v>
      </c>
      <c r="V1277">
        <v>4874.1000000000004</v>
      </c>
      <c r="W1277">
        <v>38836</v>
      </c>
      <c r="X1277">
        <v>1968</v>
      </c>
      <c r="Y1277">
        <f t="shared" si="19"/>
        <v>38836</v>
      </c>
      <c r="Z1277" t="str">
        <f>IF(ISNUMBER(SEARCH("Adjustment",$C1277)),"excluded",IF($H1277="Behind the Meter","excluded",IF(NOT(OR($E1277="Bundled",$E1277="Energy")),"excluded",IF(OR($H1277="Retail Power Marketer",$H1277="Community Choice Aggregator",$E1277="Energy"),"procurement",IF(OR($H1277="Municipal",$H1277="Cooperative",$H1277="Federal",$H1277="State",$H1277="Political Subdivision"),"cost_service",IF($H1277="Investor Owned",IF(AND(COUNTIF(Parameters!$A$4:$A$33,$G1277)&gt;0,COUNTIF(Parameters!$B$4:$B$33,$B1277)=0),"procurement","cost_service"),"unclassified"))))))</f>
        <v>cost_service</v>
      </c>
    </row>
    <row r="1278" spans="1:26" x14ac:dyDescent="0.25">
      <c r="A1278">
        <v>2024</v>
      </c>
      <c r="B1278">
        <v>18280</v>
      </c>
      <c r="C1278" t="s">
        <v>1194</v>
      </c>
      <c r="D1278" t="s">
        <v>84</v>
      </c>
      <c r="E1278" t="s">
        <v>85</v>
      </c>
      <c r="F1278" t="s">
        <v>86</v>
      </c>
      <c r="G1278" t="s">
        <v>108</v>
      </c>
      <c r="H1278" t="s">
        <v>91</v>
      </c>
      <c r="I1278" t="s">
        <v>243</v>
      </c>
      <c r="J1278">
        <v>55275.9</v>
      </c>
      <c r="K1278">
        <v>409660</v>
      </c>
      <c r="L1278">
        <v>46008</v>
      </c>
      <c r="M1278">
        <v>51295.199999999997</v>
      </c>
      <c r="N1278">
        <v>477743</v>
      </c>
      <c r="O1278">
        <v>8388</v>
      </c>
      <c r="P1278">
        <v>5737</v>
      </c>
      <c r="Q1278">
        <v>47879</v>
      </c>
      <c r="R1278">
        <v>6</v>
      </c>
      <c r="S1278">
        <v>0</v>
      </c>
      <c r="T1278" t="s">
        <v>97</v>
      </c>
      <c r="U1278" t="s">
        <v>97</v>
      </c>
      <c r="V1278">
        <v>112308.1</v>
      </c>
      <c r="W1278">
        <v>935282</v>
      </c>
      <c r="X1278">
        <v>54402</v>
      </c>
      <c r="Y1278">
        <f t="shared" si="19"/>
        <v>935282</v>
      </c>
      <c r="Z1278" t="str">
        <f>IF(ISNUMBER(SEARCH("Adjustment",$C1278)),"excluded",IF($H1278="Behind the Meter","excluded",IF(NOT(OR($E1278="Bundled",$E1278="Energy")),"excluded",IF(OR($H1278="Retail Power Marketer",$H1278="Community Choice Aggregator",$E1278="Energy"),"procurement",IF(OR($H1278="Municipal",$H1278="Cooperative",$H1278="Federal",$H1278="State",$H1278="Political Subdivision"),"cost_service",IF($H1278="Investor Owned",IF(AND(COUNTIF(Parameters!$A$4:$A$33,$G1278)&gt;0,COUNTIF(Parameters!$B$4:$B$33,$B1278)=0),"procurement","cost_service"),"unclassified"))))))</f>
        <v>cost_service</v>
      </c>
    </row>
    <row r="1279" spans="1:26" x14ac:dyDescent="0.25">
      <c r="A1279">
        <v>2024</v>
      </c>
      <c r="B1279">
        <v>18304</v>
      </c>
      <c r="C1279" t="s">
        <v>1195</v>
      </c>
      <c r="D1279" t="s">
        <v>84</v>
      </c>
      <c r="E1279" t="s">
        <v>85</v>
      </c>
      <c r="F1279" t="s">
        <v>86</v>
      </c>
      <c r="G1279" t="s">
        <v>195</v>
      </c>
      <c r="H1279" t="s">
        <v>91</v>
      </c>
      <c r="I1279" t="s">
        <v>299</v>
      </c>
      <c r="J1279">
        <v>367528.6</v>
      </c>
      <c r="K1279">
        <v>2808084</v>
      </c>
      <c r="L1279">
        <v>228855</v>
      </c>
      <c r="M1279">
        <v>44819.3</v>
      </c>
      <c r="N1279">
        <v>304004</v>
      </c>
      <c r="O1279">
        <v>22092</v>
      </c>
      <c r="P1279">
        <v>92054.8</v>
      </c>
      <c r="Q1279">
        <v>1033135</v>
      </c>
      <c r="R1279">
        <v>1420</v>
      </c>
      <c r="S1279" t="s">
        <v>97</v>
      </c>
      <c r="T1279" t="s">
        <v>97</v>
      </c>
      <c r="U1279" t="s">
        <v>97</v>
      </c>
      <c r="V1279">
        <v>504402.7</v>
      </c>
      <c r="W1279">
        <v>4145223</v>
      </c>
      <c r="X1279">
        <v>252367</v>
      </c>
      <c r="Y1279">
        <f t="shared" si="19"/>
        <v>4145223</v>
      </c>
      <c r="Z1279" t="str">
        <f>IF(ISNUMBER(SEARCH("Adjustment",$C1279)),"excluded",IF($H1279="Behind the Meter","excluded",IF(NOT(OR($E1279="Bundled",$E1279="Energy")),"excluded",IF(OR($H1279="Retail Power Marketer",$H1279="Community Choice Aggregator",$E1279="Energy"),"procurement",IF(OR($H1279="Municipal",$H1279="Cooperative",$H1279="Federal",$H1279="State",$H1279="Political Subdivision"),"cost_service",IF($H1279="Investor Owned",IF(AND(COUNTIF(Parameters!$A$4:$A$33,$G1279)&gt;0,COUNTIF(Parameters!$B$4:$B$33,$B1279)=0),"procurement","cost_service"),"unclassified"))))))</f>
        <v>cost_service</v>
      </c>
    </row>
    <row r="1280" spans="1:26" x14ac:dyDescent="0.25">
      <c r="A1280">
        <v>2024</v>
      </c>
      <c r="B1280">
        <v>18305</v>
      </c>
      <c r="C1280" t="s">
        <v>1196</v>
      </c>
      <c r="D1280" t="s">
        <v>84</v>
      </c>
      <c r="E1280" t="s">
        <v>85</v>
      </c>
      <c r="F1280" t="s">
        <v>86</v>
      </c>
      <c r="G1280" t="s">
        <v>123</v>
      </c>
      <c r="H1280" t="s">
        <v>91</v>
      </c>
      <c r="I1280" t="s">
        <v>113</v>
      </c>
      <c r="J1280">
        <v>33043.4</v>
      </c>
      <c r="K1280">
        <v>233692</v>
      </c>
      <c r="L1280">
        <v>15049</v>
      </c>
      <c r="M1280">
        <v>17745.8</v>
      </c>
      <c r="N1280">
        <v>108896</v>
      </c>
      <c r="O1280">
        <v>6255</v>
      </c>
      <c r="P1280">
        <v>3567.9</v>
      </c>
      <c r="Q1280">
        <v>31350</v>
      </c>
      <c r="R1280">
        <v>10</v>
      </c>
      <c r="S1280" t="s">
        <v>97</v>
      </c>
      <c r="T1280" t="s">
        <v>97</v>
      </c>
      <c r="U1280" t="s">
        <v>97</v>
      </c>
      <c r="V1280">
        <v>54357.1</v>
      </c>
      <c r="W1280">
        <v>373938</v>
      </c>
      <c r="X1280">
        <v>21314</v>
      </c>
      <c r="Y1280">
        <f t="shared" si="19"/>
        <v>373938</v>
      </c>
      <c r="Z1280" t="str">
        <f>IF(ISNUMBER(SEARCH("Adjustment",$C1280)),"excluded",IF($H1280="Behind the Meter","excluded",IF(NOT(OR($E1280="Bundled",$E1280="Energy")),"excluded",IF(OR($H1280="Retail Power Marketer",$H1280="Community Choice Aggregator",$E1280="Energy"),"procurement",IF(OR($H1280="Municipal",$H1280="Cooperative",$H1280="Federal",$H1280="State",$H1280="Political Subdivision"),"cost_service",IF($H1280="Investor Owned",IF(AND(COUNTIF(Parameters!$A$4:$A$33,$G1280)&gt;0,COUNTIF(Parameters!$B$4:$B$33,$B1280)=0),"procurement","cost_service"),"unclassified"))))))</f>
        <v>cost_service</v>
      </c>
    </row>
    <row r="1281" spans="1:26" x14ac:dyDescent="0.25">
      <c r="A1281">
        <v>2024</v>
      </c>
      <c r="B1281">
        <v>18312</v>
      </c>
      <c r="C1281" t="s">
        <v>1197</v>
      </c>
      <c r="D1281" t="s">
        <v>84</v>
      </c>
      <c r="E1281" t="s">
        <v>85</v>
      </c>
      <c r="F1281" t="s">
        <v>86</v>
      </c>
      <c r="G1281" t="s">
        <v>95</v>
      </c>
      <c r="H1281" t="s">
        <v>88</v>
      </c>
      <c r="I1281" t="s">
        <v>96</v>
      </c>
      <c r="J1281">
        <v>14259.6</v>
      </c>
      <c r="K1281">
        <v>117532</v>
      </c>
      <c r="L1281">
        <v>16647</v>
      </c>
      <c r="M1281">
        <v>14416.6</v>
      </c>
      <c r="N1281">
        <v>141336</v>
      </c>
      <c r="O1281">
        <v>1846</v>
      </c>
      <c r="P1281">
        <v>2579.9</v>
      </c>
      <c r="Q1281">
        <v>31300</v>
      </c>
      <c r="R1281">
        <v>5</v>
      </c>
      <c r="S1281">
        <v>0</v>
      </c>
      <c r="T1281">
        <v>0</v>
      </c>
      <c r="U1281">
        <v>0</v>
      </c>
      <c r="V1281">
        <v>31256.1</v>
      </c>
      <c r="W1281">
        <v>290168</v>
      </c>
      <c r="X1281">
        <v>18498</v>
      </c>
      <c r="Y1281">
        <f t="shared" si="19"/>
        <v>290168</v>
      </c>
      <c r="Z1281" t="str">
        <f>IF(ISNUMBER(SEARCH("Adjustment",$C1281)),"excluded",IF($H1281="Behind the Meter","excluded",IF(NOT(OR($E1281="Bundled",$E1281="Energy")),"excluded",IF(OR($H1281="Retail Power Marketer",$H1281="Community Choice Aggregator",$E1281="Energy"),"procurement",IF(OR($H1281="Municipal",$H1281="Cooperative",$H1281="Federal",$H1281="State",$H1281="Political Subdivision"),"cost_service",IF($H1281="Investor Owned",IF(AND(COUNTIF(Parameters!$A$4:$A$33,$G1281)&gt;0,COUNTIF(Parameters!$B$4:$B$33,$B1281)=0),"procurement","cost_service"),"unclassified"))))))</f>
        <v>cost_service</v>
      </c>
    </row>
    <row r="1282" spans="1:26" x14ac:dyDescent="0.25">
      <c r="A1282">
        <v>2024</v>
      </c>
      <c r="B1282">
        <v>18336</v>
      </c>
      <c r="C1282" t="s">
        <v>1198</v>
      </c>
      <c r="D1282" t="s">
        <v>84</v>
      </c>
      <c r="E1282" t="s">
        <v>85</v>
      </c>
      <c r="F1282" t="s">
        <v>86</v>
      </c>
      <c r="G1282" t="s">
        <v>95</v>
      </c>
      <c r="H1282" t="s">
        <v>109</v>
      </c>
      <c r="I1282" t="s">
        <v>96</v>
      </c>
      <c r="J1282">
        <v>13217.3</v>
      </c>
      <c r="K1282">
        <v>85631</v>
      </c>
      <c r="L1282">
        <v>13072</v>
      </c>
      <c r="M1282">
        <v>14069.1</v>
      </c>
      <c r="N1282">
        <v>119525</v>
      </c>
      <c r="O1282">
        <v>2507</v>
      </c>
      <c r="P1282">
        <v>67168.2</v>
      </c>
      <c r="Q1282">
        <v>818646</v>
      </c>
      <c r="R1282">
        <v>112</v>
      </c>
      <c r="S1282">
        <v>0</v>
      </c>
      <c r="T1282">
        <v>0</v>
      </c>
      <c r="U1282">
        <v>0</v>
      </c>
      <c r="V1282">
        <v>94454.6</v>
      </c>
      <c r="W1282">
        <v>1023802</v>
      </c>
      <c r="X1282">
        <v>15691</v>
      </c>
      <c r="Y1282">
        <f t="shared" si="19"/>
        <v>1023802</v>
      </c>
      <c r="Z1282" t="str">
        <f>IF(ISNUMBER(SEARCH("Adjustment",$C1282)),"excluded",IF($H1282="Behind the Meter","excluded",IF(NOT(OR($E1282="Bundled",$E1282="Energy")),"excluded",IF(OR($H1282="Retail Power Marketer",$H1282="Community Choice Aggregator",$E1282="Energy"),"procurement",IF(OR($H1282="Municipal",$H1282="Cooperative",$H1282="Federal",$H1282="State",$H1282="Political Subdivision"),"cost_service",IF($H1282="Investor Owned",IF(AND(COUNTIF(Parameters!$A$4:$A$33,$G1282)&gt;0,COUNTIF(Parameters!$B$4:$B$33,$B1282)=0),"procurement","cost_service"),"unclassified"))))))</f>
        <v>cost_service</v>
      </c>
    </row>
    <row r="1283" spans="1:26" x14ac:dyDescent="0.25">
      <c r="A1283">
        <v>2024</v>
      </c>
      <c r="B1283">
        <v>18339</v>
      </c>
      <c r="C1283" t="s">
        <v>1199</v>
      </c>
      <c r="D1283" t="s">
        <v>84</v>
      </c>
      <c r="E1283" t="s">
        <v>85</v>
      </c>
      <c r="F1283" t="s">
        <v>86</v>
      </c>
      <c r="G1283" t="s">
        <v>125</v>
      </c>
      <c r="H1283" t="s">
        <v>91</v>
      </c>
      <c r="I1283" t="s">
        <v>126</v>
      </c>
      <c r="J1283">
        <v>55836</v>
      </c>
      <c r="K1283">
        <v>347700</v>
      </c>
      <c r="L1283">
        <v>28080</v>
      </c>
      <c r="M1283">
        <v>2439.9</v>
      </c>
      <c r="N1283">
        <v>21594</v>
      </c>
      <c r="O1283">
        <v>297</v>
      </c>
      <c r="P1283">
        <v>380.6</v>
      </c>
      <c r="Q1283">
        <v>2697</v>
      </c>
      <c r="R1283">
        <v>2</v>
      </c>
      <c r="S1283">
        <v>0</v>
      </c>
      <c r="T1283">
        <v>0</v>
      </c>
      <c r="U1283">
        <v>0</v>
      </c>
      <c r="V1283">
        <v>58656.5</v>
      </c>
      <c r="W1283">
        <v>371991</v>
      </c>
      <c r="X1283">
        <v>28379</v>
      </c>
      <c r="Y1283">
        <f t="shared" si="19"/>
        <v>371991</v>
      </c>
      <c r="Z1283" t="str">
        <f>IF(ISNUMBER(SEARCH("Adjustment",$C1283)),"excluded",IF($H1283="Behind the Meter","excluded",IF(NOT(OR($E1283="Bundled",$E1283="Energy")),"excluded",IF(OR($H1283="Retail Power Marketer",$H1283="Community Choice Aggregator",$E1283="Energy"),"procurement",IF(OR($H1283="Municipal",$H1283="Cooperative",$H1283="Federal",$H1283="State",$H1283="Political Subdivision"),"cost_service",IF($H1283="Investor Owned",IF(AND(COUNTIF(Parameters!$A$4:$A$33,$G1283)&gt;0,COUNTIF(Parameters!$B$4:$B$33,$B1283)=0),"procurement","cost_service"),"unclassified"))))))</f>
        <v>cost_service</v>
      </c>
    </row>
    <row r="1284" spans="1:26" x14ac:dyDescent="0.25">
      <c r="A1284">
        <v>2024</v>
      </c>
      <c r="B1284">
        <v>18360</v>
      </c>
      <c r="C1284" t="s">
        <v>1200</v>
      </c>
      <c r="D1284" t="s">
        <v>84</v>
      </c>
      <c r="E1284" t="s">
        <v>85</v>
      </c>
      <c r="F1284" t="s">
        <v>86</v>
      </c>
      <c r="G1284" t="s">
        <v>195</v>
      </c>
      <c r="H1284" t="s">
        <v>91</v>
      </c>
      <c r="I1284" t="s">
        <v>299</v>
      </c>
      <c r="J1284">
        <v>51648</v>
      </c>
      <c r="K1284">
        <v>344357</v>
      </c>
      <c r="L1284">
        <v>25934</v>
      </c>
      <c r="M1284">
        <v>15403</v>
      </c>
      <c r="N1284">
        <v>116808</v>
      </c>
      <c r="O1284">
        <v>3450</v>
      </c>
      <c r="P1284">
        <v>7948</v>
      </c>
      <c r="Q1284">
        <v>102096</v>
      </c>
      <c r="R1284">
        <v>8</v>
      </c>
      <c r="S1284" t="s">
        <v>97</v>
      </c>
      <c r="T1284" t="s">
        <v>97</v>
      </c>
      <c r="U1284" t="s">
        <v>97</v>
      </c>
      <c r="V1284">
        <v>74999</v>
      </c>
      <c r="W1284">
        <v>563261</v>
      </c>
      <c r="X1284">
        <v>29392</v>
      </c>
      <c r="Y1284">
        <f t="shared" ref="Y1284:Y1347" si="20">IF(ISNUMBER($W1284),$W1284,0)</f>
        <v>563261</v>
      </c>
      <c r="Z1284" t="str">
        <f>IF(ISNUMBER(SEARCH("Adjustment",$C1284)),"excluded",IF($H1284="Behind the Meter","excluded",IF(NOT(OR($E1284="Bundled",$E1284="Energy")),"excluded",IF(OR($H1284="Retail Power Marketer",$H1284="Community Choice Aggregator",$E1284="Energy"),"procurement",IF(OR($H1284="Municipal",$H1284="Cooperative",$H1284="Federal",$H1284="State",$H1284="Political Subdivision"),"cost_service",IF($H1284="Investor Owned",IF(AND(COUNTIF(Parameters!$A$4:$A$33,$G1284)&gt;0,COUNTIF(Parameters!$B$4:$B$33,$B1284)=0),"procurement","cost_service"),"unclassified"))))))</f>
        <v>cost_service</v>
      </c>
    </row>
    <row r="1285" spans="1:26" x14ac:dyDescent="0.25">
      <c r="A1285">
        <v>2024</v>
      </c>
      <c r="B1285">
        <v>18384</v>
      </c>
      <c r="C1285" t="s">
        <v>1201</v>
      </c>
      <c r="D1285" t="s">
        <v>84</v>
      </c>
      <c r="E1285" t="s">
        <v>85</v>
      </c>
      <c r="F1285" t="s">
        <v>86</v>
      </c>
      <c r="G1285" t="s">
        <v>156</v>
      </c>
      <c r="H1285" t="s">
        <v>88</v>
      </c>
      <c r="I1285" t="s">
        <v>89</v>
      </c>
      <c r="J1285">
        <v>13451</v>
      </c>
      <c r="K1285">
        <v>115794</v>
      </c>
      <c r="L1285">
        <v>7534</v>
      </c>
      <c r="M1285">
        <v>9958</v>
      </c>
      <c r="N1285">
        <v>82018</v>
      </c>
      <c r="O1285">
        <v>2332</v>
      </c>
      <c r="P1285">
        <v>4612</v>
      </c>
      <c r="Q1285">
        <v>51510</v>
      </c>
      <c r="R1285">
        <v>4</v>
      </c>
      <c r="S1285">
        <v>0</v>
      </c>
      <c r="T1285">
        <v>0</v>
      </c>
      <c r="U1285">
        <v>0</v>
      </c>
      <c r="V1285">
        <v>28021</v>
      </c>
      <c r="W1285">
        <v>249322</v>
      </c>
      <c r="X1285">
        <v>9870</v>
      </c>
      <c r="Y1285">
        <f t="shared" si="20"/>
        <v>249322</v>
      </c>
      <c r="Z1285" t="str">
        <f>IF(ISNUMBER(SEARCH("Adjustment",$C1285)),"excluded",IF($H1285="Behind the Meter","excluded",IF(NOT(OR($E1285="Bundled",$E1285="Energy")),"excluded",IF(OR($H1285="Retail Power Marketer",$H1285="Community Choice Aggregator",$E1285="Energy"),"procurement",IF(OR($H1285="Municipal",$H1285="Cooperative",$H1285="Federal",$H1285="State",$H1285="Political Subdivision"),"cost_service",IF($H1285="Investor Owned",IF(AND(COUNTIF(Parameters!$A$4:$A$33,$G1285)&gt;0,COUNTIF(Parameters!$B$4:$B$33,$B1285)=0),"procurement","cost_service"),"unclassified"))))))</f>
        <v>cost_service</v>
      </c>
    </row>
    <row r="1286" spans="1:26" x14ac:dyDescent="0.25">
      <c r="A1286">
        <v>2024</v>
      </c>
      <c r="B1286">
        <v>18397</v>
      </c>
      <c r="C1286" t="s">
        <v>1202</v>
      </c>
      <c r="D1286" t="s">
        <v>84</v>
      </c>
      <c r="E1286" t="s">
        <v>85</v>
      </c>
      <c r="F1286" t="s">
        <v>86</v>
      </c>
      <c r="G1286" t="s">
        <v>123</v>
      </c>
      <c r="H1286" t="s">
        <v>88</v>
      </c>
      <c r="I1286" t="s">
        <v>113</v>
      </c>
      <c r="J1286">
        <v>2845.4</v>
      </c>
      <c r="K1286">
        <v>22086</v>
      </c>
      <c r="L1286">
        <v>1913</v>
      </c>
      <c r="M1286">
        <v>17968.400000000001</v>
      </c>
      <c r="N1286">
        <v>303638</v>
      </c>
      <c r="O1286">
        <v>461</v>
      </c>
      <c r="P1286">
        <v>16697.3</v>
      </c>
      <c r="Q1286">
        <v>497206</v>
      </c>
      <c r="R1286">
        <v>2</v>
      </c>
      <c r="S1286" t="s">
        <v>97</v>
      </c>
      <c r="T1286" t="s">
        <v>97</v>
      </c>
      <c r="U1286" t="s">
        <v>97</v>
      </c>
      <c r="V1286">
        <v>37511.1</v>
      </c>
      <c r="W1286">
        <v>822930</v>
      </c>
      <c r="X1286">
        <v>2376</v>
      </c>
      <c r="Y1286">
        <f t="shared" si="20"/>
        <v>822930</v>
      </c>
      <c r="Z1286" t="str">
        <f>IF(ISNUMBER(SEARCH("Adjustment",$C1286)),"excluded",IF($H1286="Behind the Meter","excluded",IF(NOT(OR($E1286="Bundled",$E1286="Energy")),"excluded",IF(OR($H1286="Retail Power Marketer",$H1286="Community Choice Aggregator",$E1286="Energy"),"procurement",IF(OR($H1286="Municipal",$H1286="Cooperative",$H1286="Federal",$H1286="State",$H1286="Political Subdivision"),"cost_service",IF($H1286="Investor Owned",IF(AND(COUNTIF(Parameters!$A$4:$A$33,$G1286)&gt;0,COUNTIF(Parameters!$B$4:$B$33,$B1286)=0),"procurement","cost_service"),"unclassified"))))))</f>
        <v>cost_service</v>
      </c>
    </row>
    <row r="1287" spans="1:26" x14ac:dyDescent="0.25">
      <c r="A1287">
        <v>2024</v>
      </c>
      <c r="B1287">
        <v>18429</v>
      </c>
      <c r="C1287" t="s">
        <v>1203</v>
      </c>
      <c r="D1287" t="s">
        <v>84</v>
      </c>
      <c r="E1287" t="s">
        <v>85</v>
      </c>
      <c r="F1287" t="s">
        <v>86</v>
      </c>
      <c r="G1287" t="s">
        <v>148</v>
      </c>
      <c r="H1287" t="s">
        <v>88</v>
      </c>
      <c r="I1287" t="s">
        <v>1204</v>
      </c>
      <c r="J1287">
        <v>212225.8</v>
      </c>
      <c r="K1287">
        <v>1962766</v>
      </c>
      <c r="L1287">
        <v>180357</v>
      </c>
      <c r="M1287">
        <v>32954.300000000003</v>
      </c>
      <c r="N1287">
        <v>319870</v>
      </c>
      <c r="O1287">
        <v>20032</v>
      </c>
      <c r="P1287">
        <v>160128.6</v>
      </c>
      <c r="Q1287">
        <v>2081037</v>
      </c>
      <c r="R1287">
        <v>2795</v>
      </c>
      <c r="S1287">
        <v>75.2</v>
      </c>
      <c r="T1287">
        <v>791</v>
      </c>
      <c r="U1287">
        <v>1</v>
      </c>
      <c r="V1287">
        <v>405383.9</v>
      </c>
      <c r="W1287">
        <v>4364464</v>
      </c>
      <c r="X1287">
        <v>203185</v>
      </c>
      <c r="Y1287">
        <f t="shared" si="20"/>
        <v>4364464</v>
      </c>
      <c r="Z1287" t="str">
        <f>IF(ISNUMBER(SEARCH("Adjustment",$C1287)),"excluded",IF($H1287="Behind the Meter","excluded",IF(NOT(OR($E1287="Bundled",$E1287="Energy")),"excluded",IF(OR($H1287="Retail Power Marketer",$H1287="Community Choice Aggregator",$E1287="Energy"),"procurement",IF(OR($H1287="Municipal",$H1287="Cooperative",$H1287="Federal",$H1287="State",$H1287="Political Subdivision"),"cost_service",IF($H1287="Investor Owned",IF(AND(COUNTIF(Parameters!$A$4:$A$33,$G1287)&gt;0,COUNTIF(Parameters!$B$4:$B$33,$B1287)=0),"procurement","cost_service"),"unclassified"))))))</f>
        <v>cost_service</v>
      </c>
    </row>
    <row r="1288" spans="1:26" x14ac:dyDescent="0.25">
      <c r="A1288">
        <v>2024</v>
      </c>
      <c r="B1288">
        <v>18445</v>
      </c>
      <c r="C1288" t="s">
        <v>1205</v>
      </c>
      <c r="D1288" t="s">
        <v>84</v>
      </c>
      <c r="E1288" t="s">
        <v>85</v>
      </c>
      <c r="F1288" t="s">
        <v>86</v>
      </c>
      <c r="G1288" t="s">
        <v>195</v>
      </c>
      <c r="H1288" t="s">
        <v>88</v>
      </c>
      <c r="I1288" t="s">
        <v>1206</v>
      </c>
      <c r="J1288">
        <v>161682.79999999999</v>
      </c>
      <c r="K1288">
        <v>1189213</v>
      </c>
      <c r="L1288">
        <v>106946</v>
      </c>
      <c r="M1288">
        <v>157399.29999999999</v>
      </c>
      <c r="N1288">
        <v>1596371</v>
      </c>
      <c r="O1288">
        <v>13274</v>
      </c>
      <c r="P1288" t="s">
        <v>97</v>
      </c>
      <c r="Q1288" t="s">
        <v>97</v>
      </c>
      <c r="R1288" t="s">
        <v>97</v>
      </c>
      <c r="S1288" t="s">
        <v>97</v>
      </c>
      <c r="T1288" t="s">
        <v>97</v>
      </c>
      <c r="U1288" t="s">
        <v>97</v>
      </c>
      <c r="V1288">
        <v>319082.09999999998</v>
      </c>
      <c r="W1288">
        <v>2785584</v>
      </c>
      <c r="X1288">
        <v>120220</v>
      </c>
      <c r="Y1288">
        <f t="shared" si="20"/>
        <v>2785584</v>
      </c>
      <c r="Z1288" t="str">
        <f>IF(ISNUMBER(SEARCH("Adjustment",$C1288)),"excluded",IF($H1288="Behind the Meter","excluded",IF(NOT(OR($E1288="Bundled",$E1288="Energy")),"excluded",IF(OR($H1288="Retail Power Marketer",$H1288="Community Choice Aggregator",$E1288="Energy"),"procurement",IF(OR($H1288="Municipal",$H1288="Cooperative",$H1288="Federal",$H1288="State",$H1288="Political Subdivision"),"cost_service",IF($H1288="Investor Owned",IF(AND(COUNTIF(Parameters!$A$4:$A$33,$G1288)&gt;0,COUNTIF(Parameters!$B$4:$B$33,$B1288)=0),"procurement","cost_service"),"unclassified"))))))</f>
        <v>cost_service</v>
      </c>
    </row>
    <row r="1289" spans="1:26" x14ac:dyDescent="0.25">
      <c r="A1289">
        <v>2024</v>
      </c>
      <c r="B1289">
        <v>18447</v>
      </c>
      <c r="C1289" t="s">
        <v>1207</v>
      </c>
      <c r="D1289" t="s">
        <v>84</v>
      </c>
      <c r="E1289" t="s">
        <v>85</v>
      </c>
      <c r="F1289" t="s">
        <v>86</v>
      </c>
      <c r="G1289" t="s">
        <v>87</v>
      </c>
      <c r="H1289" t="s">
        <v>91</v>
      </c>
      <c r="I1289" t="s">
        <v>89</v>
      </c>
      <c r="J1289">
        <v>35092</v>
      </c>
      <c r="K1289">
        <v>282764</v>
      </c>
      <c r="L1289">
        <v>21493</v>
      </c>
      <c r="M1289">
        <v>23453</v>
      </c>
      <c r="N1289">
        <v>160096</v>
      </c>
      <c r="O1289">
        <v>7052</v>
      </c>
      <c r="P1289">
        <v>5328</v>
      </c>
      <c r="Q1289">
        <v>59845</v>
      </c>
      <c r="R1289">
        <v>7</v>
      </c>
      <c r="S1289">
        <v>0</v>
      </c>
      <c r="T1289">
        <v>0</v>
      </c>
      <c r="U1289">
        <v>0</v>
      </c>
      <c r="V1289">
        <v>63873</v>
      </c>
      <c r="W1289">
        <v>502705</v>
      </c>
      <c r="X1289">
        <v>28552</v>
      </c>
      <c r="Y1289">
        <f t="shared" si="20"/>
        <v>502705</v>
      </c>
      <c r="Z1289" t="str">
        <f>IF(ISNUMBER(SEARCH("Adjustment",$C1289)),"excluded",IF($H1289="Behind the Meter","excluded",IF(NOT(OR($E1289="Bundled",$E1289="Energy")),"excluded",IF(OR($H1289="Retail Power Marketer",$H1289="Community Choice Aggregator",$E1289="Energy"),"procurement",IF(OR($H1289="Municipal",$H1289="Cooperative",$H1289="Federal",$H1289="State",$H1289="Political Subdivision"),"cost_service",IF($H1289="Investor Owned",IF(AND(COUNTIF(Parameters!$A$4:$A$33,$G1289)&gt;0,COUNTIF(Parameters!$B$4:$B$33,$B1289)=0),"procurement","cost_service"),"unclassified"))))))</f>
        <v>cost_service</v>
      </c>
    </row>
    <row r="1290" spans="1:26" x14ac:dyDescent="0.25">
      <c r="A1290">
        <v>2024</v>
      </c>
      <c r="B1290">
        <v>18449</v>
      </c>
      <c r="C1290" t="s">
        <v>1208</v>
      </c>
      <c r="D1290" t="s">
        <v>84</v>
      </c>
      <c r="E1290" t="s">
        <v>85</v>
      </c>
      <c r="F1290" t="s">
        <v>86</v>
      </c>
      <c r="G1290" t="s">
        <v>195</v>
      </c>
      <c r="H1290" t="s">
        <v>91</v>
      </c>
      <c r="I1290" t="s">
        <v>299</v>
      </c>
      <c r="J1290">
        <v>108056.2</v>
      </c>
      <c r="K1290">
        <v>727858</v>
      </c>
      <c r="L1290">
        <v>53881</v>
      </c>
      <c r="M1290">
        <v>20865.2</v>
      </c>
      <c r="N1290">
        <v>166373</v>
      </c>
      <c r="O1290">
        <v>3376</v>
      </c>
      <c r="P1290">
        <v>9758</v>
      </c>
      <c r="Q1290">
        <v>113188</v>
      </c>
      <c r="R1290">
        <v>4</v>
      </c>
      <c r="S1290" t="s">
        <v>97</v>
      </c>
      <c r="T1290" t="s">
        <v>97</v>
      </c>
      <c r="U1290" t="s">
        <v>97</v>
      </c>
      <c r="V1290">
        <v>138679.4</v>
      </c>
      <c r="W1290">
        <v>1007419</v>
      </c>
      <c r="X1290">
        <v>57261</v>
      </c>
      <c r="Y1290">
        <f t="shared" si="20"/>
        <v>1007419</v>
      </c>
      <c r="Z1290" t="str">
        <f>IF(ISNUMBER(SEARCH("Adjustment",$C1290)),"excluded",IF($H1290="Behind the Meter","excluded",IF(NOT(OR($E1290="Bundled",$E1290="Energy")),"excluded",IF(OR($H1290="Retail Power Marketer",$H1290="Community Choice Aggregator",$E1290="Energy"),"procurement",IF(OR($H1290="Municipal",$H1290="Cooperative",$H1290="Federal",$H1290="State",$H1290="Political Subdivision"),"cost_service",IF($H1290="Investor Owned",IF(AND(COUNTIF(Parameters!$A$4:$A$33,$G1290)&gt;0,COUNTIF(Parameters!$B$4:$B$33,$B1290)=0),"procurement","cost_service"),"unclassified"))))))</f>
        <v>cost_service</v>
      </c>
    </row>
    <row r="1291" spans="1:26" x14ac:dyDescent="0.25">
      <c r="A1291">
        <v>2024</v>
      </c>
      <c r="B1291">
        <v>18454</v>
      </c>
      <c r="C1291" t="s">
        <v>1209</v>
      </c>
      <c r="D1291" t="s">
        <v>84</v>
      </c>
      <c r="E1291" t="s">
        <v>85</v>
      </c>
      <c r="F1291" t="s">
        <v>86</v>
      </c>
      <c r="G1291" t="s">
        <v>195</v>
      </c>
      <c r="H1291" t="s">
        <v>109</v>
      </c>
      <c r="I1291" t="s">
        <v>1210</v>
      </c>
      <c r="J1291">
        <v>1506555.8</v>
      </c>
      <c r="K1291">
        <v>10269013</v>
      </c>
      <c r="L1291">
        <v>757280</v>
      </c>
      <c r="M1291">
        <v>901203.7</v>
      </c>
      <c r="N1291">
        <v>8413896</v>
      </c>
      <c r="O1291">
        <v>91286</v>
      </c>
      <c r="P1291">
        <v>162399.70000000001</v>
      </c>
      <c r="Q1291">
        <v>2018713</v>
      </c>
      <c r="R1291">
        <v>1310</v>
      </c>
      <c r="S1291">
        <v>0</v>
      </c>
      <c r="T1291">
        <v>0</v>
      </c>
      <c r="U1291">
        <v>0</v>
      </c>
      <c r="V1291">
        <v>2570159.2000000002</v>
      </c>
      <c r="W1291">
        <v>20701622</v>
      </c>
      <c r="X1291">
        <v>849876</v>
      </c>
      <c r="Y1291">
        <f t="shared" si="20"/>
        <v>20701622</v>
      </c>
      <c r="Z1291" t="str">
        <f>IF(ISNUMBER(SEARCH("Adjustment",$C1291)),"excluded",IF($H1291="Behind the Meter","excluded",IF(NOT(OR($E1291="Bundled",$E1291="Energy")),"excluded",IF(OR($H1291="Retail Power Marketer",$H1291="Community Choice Aggregator",$E1291="Energy"),"procurement",IF(OR($H1291="Municipal",$H1291="Cooperative",$H1291="Federal",$H1291="State",$H1291="Political Subdivision"),"cost_service",IF($H1291="Investor Owned",IF(AND(COUNTIF(Parameters!$A$4:$A$33,$G1291)&gt;0,COUNTIF(Parameters!$B$4:$B$33,$B1291)=0),"procurement","cost_service"),"unclassified"))))))</f>
        <v>cost_service</v>
      </c>
    </row>
    <row r="1292" spans="1:26" x14ac:dyDescent="0.25">
      <c r="A1292">
        <v>2024</v>
      </c>
      <c r="B1292">
        <v>18466</v>
      </c>
      <c r="C1292" t="s">
        <v>1211</v>
      </c>
      <c r="D1292" t="s">
        <v>84</v>
      </c>
      <c r="E1292" t="s">
        <v>85</v>
      </c>
      <c r="F1292" t="s">
        <v>86</v>
      </c>
      <c r="G1292" t="s">
        <v>125</v>
      </c>
      <c r="H1292" t="s">
        <v>88</v>
      </c>
      <c r="I1292" t="s">
        <v>163</v>
      </c>
      <c r="J1292">
        <v>8426</v>
      </c>
      <c r="K1292">
        <v>62151</v>
      </c>
      <c r="L1292">
        <v>5592</v>
      </c>
      <c r="M1292">
        <v>8083</v>
      </c>
      <c r="N1292">
        <v>66270</v>
      </c>
      <c r="O1292">
        <v>898</v>
      </c>
      <c r="P1292">
        <v>7748</v>
      </c>
      <c r="Q1292">
        <v>86278</v>
      </c>
      <c r="R1292">
        <v>13</v>
      </c>
      <c r="S1292" t="s">
        <v>97</v>
      </c>
      <c r="T1292" t="s">
        <v>97</v>
      </c>
      <c r="U1292" t="s">
        <v>97</v>
      </c>
      <c r="V1292">
        <v>24257</v>
      </c>
      <c r="W1292">
        <v>214699</v>
      </c>
      <c r="X1292">
        <v>6503</v>
      </c>
      <c r="Y1292">
        <f t="shared" si="20"/>
        <v>214699</v>
      </c>
      <c r="Z1292" t="str">
        <f>IF(ISNUMBER(SEARCH("Adjustment",$C1292)),"excluded",IF($H1292="Behind the Meter","excluded",IF(NOT(OR($E1292="Bundled",$E1292="Energy")),"excluded",IF(OR($H1292="Retail Power Marketer",$H1292="Community Choice Aggregator",$E1292="Energy"),"procurement",IF(OR($H1292="Municipal",$H1292="Cooperative",$H1292="Federal",$H1292="State",$H1292="Political Subdivision"),"cost_service",IF($H1292="Investor Owned",IF(AND(COUNTIF(Parameters!$A$4:$A$33,$G1292)&gt;0,COUNTIF(Parameters!$B$4:$B$33,$B1292)=0),"procurement","cost_service"),"unclassified"))))))</f>
        <v>cost_service</v>
      </c>
    </row>
    <row r="1293" spans="1:26" x14ac:dyDescent="0.25">
      <c r="A1293">
        <v>2024</v>
      </c>
      <c r="B1293">
        <v>18472</v>
      </c>
      <c r="C1293" t="s">
        <v>1212</v>
      </c>
      <c r="D1293" t="s">
        <v>84</v>
      </c>
      <c r="E1293" t="s">
        <v>85</v>
      </c>
      <c r="F1293" t="s">
        <v>86</v>
      </c>
      <c r="G1293" t="s">
        <v>112</v>
      </c>
      <c r="H1293" t="s">
        <v>88</v>
      </c>
      <c r="I1293" t="s">
        <v>89</v>
      </c>
      <c r="J1293">
        <v>3897</v>
      </c>
      <c r="K1293">
        <v>28980</v>
      </c>
      <c r="L1293">
        <v>2069</v>
      </c>
      <c r="M1293">
        <v>4044</v>
      </c>
      <c r="N1293">
        <v>28809</v>
      </c>
      <c r="O1293">
        <v>622</v>
      </c>
      <c r="P1293">
        <v>480</v>
      </c>
      <c r="Q1293">
        <v>6490</v>
      </c>
      <c r="R1293">
        <v>1</v>
      </c>
      <c r="S1293">
        <v>0</v>
      </c>
      <c r="T1293">
        <v>0</v>
      </c>
      <c r="U1293">
        <v>0</v>
      </c>
      <c r="V1293">
        <v>8421</v>
      </c>
      <c r="W1293">
        <v>64279</v>
      </c>
      <c r="X1293">
        <v>2692</v>
      </c>
      <c r="Y1293">
        <f t="shared" si="20"/>
        <v>64279</v>
      </c>
      <c r="Z1293" t="str">
        <f>IF(ISNUMBER(SEARCH("Adjustment",$C1293)),"excluded",IF($H1293="Behind the Meter","excluded",IF(NOT(OR($E1293="Bundled",$E1293="Energy")),"excluded",IF(OR($H1293="Retail Power Marketer",$H1293="Community Choice Aggregator",$E1293="Energy"),"procurement",IF(OR($H1293="Municipal",$H1293="Cooperative",$H1293="Federal",$H1293="State",$H1293="Political Subdivision"),"cost_service",IF($H1293="Investor Owned",IF(AND(COUNTIF(Parameters!$A$4:$A$33,$G1293)&gt;0,COUNTIF(Parameters!$B$4:$B$33,$B1293)=0),"procurement","cost_service"),"unclassified"))))))</f>
        <v>cost_service</v>
      </c>
    </row>
    <row r="1294" spans="1:26" x14ac:dyDescent="0.25">
      <c r="A1294">
        <v>2024</v>
      </c>
      <c r="B1294">
        <v>18476</v>
      </c>
      <c r="C1294" t="s">
        <v>1213</v>
      </c>
      <c r="D1294" t="s">
        <v>150</v>
      </c>
      <c r="E1294" t="s">
        <v>85</v>
      </c>
      <c r="F1294" t="s">
        <v>86</v>
      </c>
      <c r="G1294" t="s">
        <v>57</v>
      </c>
      <c r="H1294" t="s">
        <v>101</v>
      </c>
      <c r="I1294" t="s">
        <v>151</v>
      </c>
      <c r="J1294">
        <v>73061.3</v>
      </c>
      <c r="K1294">
        <v>461003</v>
      </c>
      <c r="L1294">
        <v>35103</v>
      </c>
      <c r="M1294">
        <v>83116.7</v>
      </c>
      <c r="N1294">
        <v>858428</v>
      </c>
      <c r="O1294">
        <v>10225</v>
      </c>
      <c r="P1294">
        <v>0</v>
      </c>
      <c r="Q1294">
        <v>0</v>
      </c>
      <c r="R1294">
        <v>0</v>
      </c>
      <c r="S1294">
        <v>0</v>
      </c>
      <c r="T1294">
        <v>0</v>
      </c>
      <c r="U1294">
        <v>0</v>
      </c>
      <c r="V1294">
        <v>156178</v>
      </c>
      <c r="W1294">
        <v>1319431</v>
      </c>
      <c r="X1294">
        <v>45328</v>
      </c>
      <c r="Y1294">
        <f t="shared" si="20"/>
        <v>1319431</v>
      </c>
      <c r="Z1294" t="str">
        <f>IF(ISNUMBER(SEARCH("Adjustment",$C1294)),"excluded",IF($H1294="Behind the Meter","excluded",IF(NOT(OR($E1294="Bundled",$E1294="Energy")),"excluded",IF(OR($H1294="Retail Power Marketer",$H1294="Community Choice Aggregator",$E1294="Energy"),"procurement",IF(OR($H1294="Municipal",$H1294="Cooperative",$H1294="Federal",$H1294="State",$H1294="Political Subdivision"),"cost_service",IF($H1294="Investor Owned",IF(AND(COUNTIF(Parameters!$A$4:$A$33,$G1294)&gt;0,COUNTIF(Parameters!$B$4:$B$33,$B1294)=0),"procurement","cost_service"),"unclassified"))))))</f>
        <v>procurement</v>
      </c>
    </row>
    <row r="1295" spans="1:26" x14ac:dyDescent="0.25">
      <c r="A1295">
        <v>2024</v>
      </c>
      <c r="B1295">
        <v>18488</v>
      </c>
      <c r="C1295" t="s">
        <v>1214</v>
      </c>
      <c r="D1295" t="s">
        <v>84</v>
      </c>
      <c r="E1295" t="s">
        <v>85</v>
      </c>
      <c r="F1295" t="s">
        <v>86</v>
      </c>
      <c r="G1295" t="s">
        <v>48</v>
      </c>
      <c r="H1295" t="s">
        <v>88</v>
      </c>
      <c r="I1295" t="s">
        <v>189</v>
      </c>
      <c r="J1295">
        <v>57189</v>
      </c>
      <c r="K1295">
        <v>266446</v>
      </c>
      <c r="L1295">
        <v>35684</v>
      </c>
      <c r="M1295">
        <v>31161</v>
      </c>
      <c r="N1295">
        <v>137732</v>
      </c>
      <c r="O1295">
        <v>4545</v>
      </c>
      <c r="P1295">
        <v>36670</v>
      </c>
      <c r="Q1295">
        <v>192022</v>
      </c>
      <c r="R1295">
        <v>461</v>
      </c>
      <c r="S1295" t="s">
        <v>97</v>
      </c>
      <c r="T1295" t="s">
        <v>97</v>
      </c>
      <c r="U1295" t="s">
        <v>97</v>
      </c>
      <c r="V1295">
        <v>125020</v>
      </c>
      <c r="W1295">
        <v>596200</v>
      </c>
      <c r="X1295">
        <v>40690</v>
      </c>
      <c r="Y1295">
        <f t="shared" si="20"/>
        <v>596200</v>
      </c>
      <c r="Z1295" t="str">
        <f>IF(ISNUMBER(SEARCH("Adjustment",$C1295)),"excluded",IF($H1295="Behind the Meter","excluded",IF(NOT(OR($E1295="Bundled",$E1295="Energy")),"excluded",IF(OR($H1295="Retail Power Marketer",$H1295="Community Choice Aggregator",$E1295="Energy"),"procurement",IF(OR($H1295="Municipal",$H1295="Cooperative",$H1295="Federal",$H1295="State",$H1295="Political Subdivision"),"cost_service",IF($H1295="Investor Owned",IF(AND(COUNTIF(Parameters!$A$4:$A$33,$G1295)&gt;0,COUNTIF(Parameters!$B$4:$B$33,$B1295)=0),"procurement","cost_service"),"unclassified"))))))</f>
        <v>cost_service</v>
      </c>
    </row>
    <row r="1296" spans="1:26" x14ac:dyDescent="0.25">
      <c r="A1296">
        <v>2024</v>
      </c>
      <c r="B1296">
        <v>18498</v>
      </c>
      <c r="C1296" t="s">
        <v>1215</v>
      </c>
      <c r="D1296" t="s">
        <v>84</v>
      </c>
      <c r="E1296" t="s">
        <v>85</v>
      </c>
      <c r="F1296" t="s">
        <v>86</v>
      </c>
      <c r="G1296" t="s">
        <v>209</v>
      </c>
      <c r="H1296" t="s">
        <v>91</v>
      </c>
      <c r="I1296" t="s">
        <v>92</v>
      </c>
      <c r="J1296">
        <v>40131</v>
      </c>
      <c r="K1296">
        <v>302324</v>
      </c>
      <c r="L1296">
        <v>24985</v>
      </c>
      <c r="M1296">
        <v>14787</v>
      </c>
      <c r="N1296">
        <v>131126</v>
      </c>
      <c r="O1296">
        <v>3287</v>
      </c>
      <c r="P1296">
        <v>6532</v>
      </c>
      <c r="Q1296">
        <v>118953</v>
      </c>
      <c r="R1296">
        <v>9</v>
      </c>
      <c r="S1296" t="s">
        <v>97</v>
      </c>
      <c r="T1296" t="s">
        <v>97</v>
      </c>
      <c r="U1296" t="s">
        <v>97</v>
      </c>
      <c r="V1296">
        <v>61450</v>
      </c>
      <c r="W1296">
        <v>552403</v>
      </c>
      <c r="X1296">
        <v>28281</v>
      </c>
      <c r="Y1296">
        <f t="shared" si="20"/>
        <v>552403</v>
      </c>
      <c r="Z1296" t="str">
        <f>IF(ISNUMBER(SEARCH("Adjustment",$C1296)),"excluded",IF($H1296="Behind the Meter","excluded",IF(NOT(OR($E1296="Bundled",$E1296="Energy")),"excluded",IF(OR($H1296="Retail Power Marketer",$H1296="Community Choice Aggregator",$E1296="Energy"),"procurement",IF(OR($H1296="Municipal",$H1296="Cooperative",$H1296="Federal",$H1296="State",$H1296="Political Subdivision"),"cost_service",IF($H1296="Investor Owned",IF(AND(COUNTIF(Parameters!$A$4:$A$33,$G1296)&gt;0,COUNTIF(Parameters!$B$4:$B$33,$B1296)=0),"procurement","cost_service"),"unclassified"))))))</f>
        <v>cost_service</v>
      </c>
    </row>
    <row r="1297" spans="1:26" x14ac:dyDescent="0.25">
      <c r="A1297">
        <v>2024</v>
      </c>
      <c r="B1297">
        <v>18499</v>
      </c>
      <c r="C1297" t="s">
        <v>1216</v>
      </c>
      <c r="D1297" t="s">
        <v>84</v>
      </c>
      <c r="E1297" t="s">
        <v>85</v>
      </c>
      <c r="F1297" t="s">
        <v>86</v>
      </c>
      <c r="G1297" t="s">
        <v>123</v>
      </c>
      <c r="H1297" t="s">
        <v>91</v>
      </c>
      <c r="I1297" t="s">
        <v>1217</v>
      </c>
      <c r="J1297">
        <v>25210.9</v>
      </c>
      <c r="K1297">
        <v>148849</v>
      </c>
      <c r="L1297">
        <v>13695</v>
      </c>
      <c r="M1297">
        <v>5758.8</v>
      </c>
      <c r="N1297">
        <v>32991</v>
      </c>
      <c r="O1297">
        <v>510</v>
      </c>
      <c r="P1297">
        <v>9561.5</v>
      </c>
      <c r="Q1297">
        <v>47313</v>
      </c>
      <c r="R1297">
        <v>1076</v>
      </c>
      <c r="S1297" t="s">
        <v>97</v>
      </c>
      <c r="T1297" t="s">
        <v>97</v>
      </c>
      <c r="U1297" t="s">
        <v>97</v>
      </c>
      <c r="V1297">
        <v>40531.199999999997</v>
      </c>
      <c r="W1297">
        <v>229153</v>
      </c>
      <c r="X1297">
        <v>15281</v>
      </c>
      <c r="Y1297">
        <f t="shared" si="20"/>
        <v>229153</v>
      </c>
      <c r="Z1297" t="str">
        <f>IF(ISNUMBER(SEARCH("Adjustment",$C1297)),"excluded",IF($H1297="Behind the Meter","excluded",IF(NOT(OR($E1297="Bundled",$E1297="Energy")),"excluded",IF(OR($H1297="Retail Power Marketer",$H1297="Community Choice Aggregator",$E1297="Energy"),"procurement",IF(OR($H1297="Municipal",$H1297="Cooperative",$H1297="Federal",$H1297="State",$H1297="Political Subdivision"),"cost_service",IF($H1297="Investor Owned",IF(AND(COUNTIF(Parameters!$A$4:$A$33,$G1297)&gt;0,COUNTIF(Parameters!$B$4:$B$33,$B1297)=0),"procurement","cost_service"),"unclassified"))))))</f>
        <v>cost_service</v>
      </c>
    </row>
    <row r="1298" spans="1:26" x14ac:dyDescent="0.25">
      <c r="A1298">
        <v>2024</v>
      </c>
      <c r="B1298">
        <v>18642</v>
      </c>
      <c r="C1298" t="s">
        <v>1218</v>
      </c>
      <c r="D1298" t="s">
        <v>84</v>
      </c>
      <c r="E1298" t="s">
        <v>85</v>
      </c>
      <c r="F1298" t="s">
        <v>86</v>
      </c>
      <c r="G1298" t="s">
        <v>112</v>
      </c>
      <c r="H1298" t="s">
        <v>220</v>
      </c>
      <c r="I1298" t="s">
        <v>89</v>
      </c>
      <c r="J1298">
        <v>0</v>
      </c>
      <c r="K1298">
        <v>0</v>
      </c>
      <c r="L1298">
        <v>0</v>
      </c>
      <c r="M1298">
        <v>30037.8</v>
      </c>
      <c r="N1298">
        <v>415329</v>
      </c>
      <c r="O1298">
        <v>1</v>
      </c>
      <c r="P1298">
        <v>247093.5</v>
      </c>
      <c r="Q1298">
        <v>5355914</v>
      </c>
      <c r="R1298">
        <v>11</v>
      </c>
      <c r="S1298">
        <v>0</v>
      </c>
      <c r="T1298">
        <v>0</v>
      </c>
      <c r="U1298">
        <v>0</v>
      </c>
      <c r="V1298">
        <v>277131.3</v>
      </c>
      <c r="W1298">
        <v>5771243</v>
      </c>
      <c r="X1298">
        <v>12</v>
      </c>
      <c r="Y1298">
        <f t="shared" si="20"/>
        <v>5771243</v>
      </c>
      <c r="Z1298" t="str">
        <f>IF(ISNUMBER(SEARCH("Adjustment",$C1298)),"excluded",IF($H1298="Behind the Meter","excluded",IF(NOT(OR($E1298="Bundled",$E1298="Energy")),"excluded",IF(OR($H1298="Retail Power Marketer",$H1298="Community Choice Aggregator",$E1298="Energy"),"procurement",IF(OR($H1298="Municipal",$H1298="Cooperative",$H1298="Federal",$H1298="State",$H1298="Political Subdivision"),"cost_service",IF($H1298="Investor Owned",IF(AND(COUNTIF(Parameters!$A$4:$A$33,$G1298)&gt;0,COUNTIF(Parameters!$B$4:$B$33,$B1298)=0),"procurement","cost_service"),"unclassified"))))))</f>
        <v>cost_service</v>
      </c>
    </row>
    <row r="1299" spans="1:26" x14ac:dyDescent="0.25">
      <c r="A1299">
        <v>2024</v>
      </c>
      <c r="B1299">
        <v>18642</v>
      </c>
      <c r="C1299" t="s">
        <v>1218</v>
      </c>
      <c r="D1299" t="s">
        <v>84</v>
      </c>
      <c r="E1299" t="s">
        <v>85</v>
      </c>
      <c r="F1299" t="s">
        <v>86</v>
      </c>
      <c r="G1299" t="s">
        <v>209</v>
      </c>
      <c r="H1299" t="s">
        <v>220</v>
      </c>
      <c r="I1299" t="s">
        <v>89</v>
      </c>
      <c r="J1299">
        <v>0</v>
      </c>
      <c r="K1299">
        <v>0</v>
      </c>
      <c r="L1299">
        <v>0</v>
      </c>
      <c r="M1299">
        <v>23544.3</v>
      </c>
      <c r="N1299">
        <v>286105</v>
      </c>
      <c r="O1299">
        <v>7</v>
      </c>
      <c r="P1299">
        <v>161223.70000000001</v>
      </c>
      <c r="Q1299">
        <v>3937347</v>
      </c>
      <c r="R1299">
        <v>9</v>
      </c>
      <c r="S1299">
        <v>0</v>
      </c>
      <c r="T1299">
        <v>0</v>
      </c>
      <c r="U1299">
        <v>0</v>
      </c>
      <c r="V1299">
        <v>184768</v>
      </c>
      <c r="W1299">
        <v>4223452</v>
      </c>
      <c r="X1299">
        <v>16</v>
      </c>
      <c r="Y1299">
        <f t="shared" si="20"/>
        <v>4223452</v>
      </c>
      <c r="Z1299" t="str">
        <f>IF(ISNUMBER(SEARCH("Adjustment",$C1299)),"excluded",IF($H1299="Behind the Meter","excluded",IF(NOT(OR($E1299="Bundled",$E1299="Energy")),"excluded",IF(OR($H1299="Retail Power Marketer",$H1299="Community Choice Aggregator",$E1299="Energy"),"procurement",IF(OR($H1299="Municipal",$H1299="Cooperative",$H1299="Federal",$H1299="State",$H1299="Political Subdivision"),"cost_service",IF($H1299="Investor Owned",IF(AND(COUNTIF(Parameters!$A$4:$A$33,$G1299)&gt;0,COUNTIF(Parameters!$B$4:$B$33,$B1299)=0),"procurement","cost_service"),"unclassified"))))))</f>
        <v>cost_service</v>
      </c>
    </row>
    <row r="1300" spans="1:26" x14ac:dyDescent="0.25">
      <c r="A1300">
        <v>2024</v>
      </c>
      <c r="B1300">
        <v>18642</v>
      </c>
      <c r="C1300" t="s">
        <v>1218</v>
      </c>
      <c r="D1300" t="s">
        <v>84</v>
      </c>
      <c r="E1300" t="s">
        <v>85</v>
      </c>
      <c r="F1300" t="s">
        <v>86</v>
      </c>
      <c r="G1300" t="s">
        <v>87</v>
      </c>
      <c r="H1300" t="s">
        <v>220</v>
      </c>
      <c r="I1300" t="s">
        <v>89</v>
      </c>
      <c r="J1300">
        <v>0</v>
      </c>
      <c r="K1300">
        <v>0</v>
      </c>
      <c r="L1300">
        <v>0</v>
      </c>
      <c r="M1300">
        <v>8775.2999999999993</v>
      </c>
      <c r="N1300">
        <v>110687</v>
      </c>
      <c r="O1300">
        <v>2</v>
      </c>
      <c r="P1300">
        <v>192528.3</v>
      </c>
      <c r="Q1300">
        <v>4390621</v>
      </c>
      <c r="R1300">
        <v>6</v>
      </c>
      <c r="S1300">
        <v>0</v>
      </c>
      <c r="T1300">
        <v>0</v>
      </c>
      <c r="U1300">
        <v>0</v>
      </c>
      <c r="V1300">
        <v>201303.6</v>
      </c>
      <c r="W1300">
        <v>4501308</v>
      </c>
      <c r="X1300">
        <v>8</v>
      </c>
      <c r="Y1300">
        <f t="shared" si="20"/>
        <v>4501308</v>
      </c>
      <c r="Z1300" t="str">
        <f>IF(ISNUMBER(SEARCH("Adjustment",$C1300)),"excluded",IF($H1300="Behind the Meter","excluded",IF(NOT(OR($E1300="Bundled",$E1300="Energy")),"excluded",IF(OR($H1300="Retail Power Marketer",$H1300="Community Choice Aggregator",$E1300="Energy"),"procurement",IF(OR($H1300="Municipal",$H1300="Cooperative",$H1300="Federal",$H1300="State",$H1300="Political Subdivision"),"cost_service",IF($H1300="Investor Owned",IF(AND(COUNTIF(Parameters!$A$4:$A$33,$G1300)&gt;0,COUNTIF(Parameters!$B$4:$B$33,$B1300)=0),"procurement","cost_service"),"unclassified"))))))</f>
        <v>cost_service</v>
      </c>
    </row>
    <row r="1301" spans="1:26" x14ac:dyDescent="0.25">
      <c r="A1301">
        <v>2024</v>
      </c>
      <c r="B1301">
        <v>18642</v>
      </c>
      <c r="C1301" t="s">
        <v>1218</v>
      </c>
      <c r="D1301" t="s">
        <v>84</v>
      </c>
      <c r="E1301" t="s">
        <v>85</v>
      </c>
      <c r="F1301" t="s">
        <v>86</v>
      </c>
      <c r="G1301" t="s">
        <v>125</v>
      </c>
      <c r="H1301" t="s">
        <v>220</v>
      </c>
      <c r="I1301" t="s">
        <v>89</v>
      </c>
      <c r="J1301">
        <v>0</v>
      </c>
      <c r="K1301">
        <v>0</v>
      </c>
      <c r="L1301">
        <v>0</v>
      </c>
      <c r="M1301">
        <v>492.8</v>
      </c>
      <c r="N1301">
        <v>4832</v>
      </c>
      <c r="O1301">
        <v>4</v>
      </c>
      <c r="P1301">
        <v>0</v>
      </c>
      <c r="Q1301">
        <v>0</v>
      </c>
      <c r="R1301">
        <v>0</v>
      </c>
      <c r="S1301">
        <v>0</v>
      </c>
      <c r="T1301">
        <v>0</v>
      </c>
      <c r="U1301">
        <v>0</v>
      </c>
      <c r="V1301">
        <v>492.8</v>
      </c>
      <c r="W1301">
        <v>4832</v>
      </c>
      <c r="X1301">
        <v>4</v>
      </c>
      <c r="Y1301">
        <f t="shared" si="20"/>
        <v>4832</v>
      </c>
      <c r="Z1301" t="str">
        <f>IF(ISNUMBER(SEARCH("Adjustment",$C1301)),"excluded",IF($H1301="Behind the Meter","excluded",IF(NOT(OR($E1301="Bundled",$E1301="Energy")),"excluded",IF(OR($H1301="Retail Power Marketer",$H1301="Community Choice Aggregator",$E1301="Energy"),"procurement",IF(OR($H1301="Municipal",$H1301="Cooperative",$H1301="Federal",$H1301="State",$H1301="Political Subdivision"),"cost_service",IF($H1301="Investor Owned",IF(AND(COUNTIF(Parameters!$A$4:$A$33,$G1301)&gt;0,COUNTIF(Parameters!$B$4:$B$33,$B1301)=0),"procurement","cost_service"),"unclassified"))))))</f>
        <v>cost_service</v>
      </c>
    </row>
    <row r="1302" spans="1:26" x14ac:dyDescent="0.25">
      <c r="A1302">
        <v>2024</v>
      </c>
      <c r="B1302">
        <v>18642</v>
      </c>
      <c r="C1302" t="s">
        <v>1218</v>
      </c>
      <c r="D1302" t="s">
        <v>84</v>
      </c>
      <c r="E1302" t="s">
        <v>85</v>
      </c>
      <c r="F1302" t="s">
        <v>86</v>
      </c>
      <c r="G1302" t="s">
        <v>156</v>
      </c>
      <c r="H1302" t="s">
        <v>220</v>
      </c>
      <c r="I1302" t="s">
        <v>89</v>
      </c>
      <c r="J1302">
        <v>0</v>
      </c>
      <c r="K1302">
        <v>0</v>
      </c>
      <c r="L1302">
        <v>0</v>
      </c>
      <c r="M1302">
        <v>26751.8</v>
      </c>
      <c r="N1302">
        <v>390077</v>
      </c>
      <c r="O1302">
        <v>4</v>
      </c>
      <c r="P1302">
        <v>323844.90000000002</v>
      </c>
      <c r="Q1302">
        <v>6613538</v>
      </c>
      <c r="R1302">
        <v>20</v>
      </c>
      <c r="S1302">
        <v>0</v>
      </c>
      <c r="T1302">
        <v>0</v>
      </c>
      <c r="U1302">
        <v>0</v>
      </c>
      <c r="V1302">
        <v>350596.7</v>
      </c>
      <c r="W1302">
        <v>7003615</v>
      </c>
      <c r="X1302">
        <v>24</v>
      </c>
      <c r="Y1302">
        <f t="shared" si="20"/>
        <v>7003615</v>
      </c>
      <c r="Z1302" t="str">
        <f>IF(ISNUMBER(SEARCH("Adjustment",$C1302)),"excluded",IF($H1302="Behind the Meter","excluded",IF(NOT(OR($E1302="Bundled",$E1302="Energy")),"excluded",IF(OR($H1302="Retail Power Marketer",$H1302="Community Choice Aggregator",$E1302="Energy"),"procurement",IF(OR($H1302="Municipal",$H1302="Cooperative",$H1302="Federal",$H1302="State",$H1302="Political Subdivision"),"cost_service",IF($H1302="Investor Owned",IF(AND(COUNTIF(Parameters!$A$4:$A$33,$G1302)&gt;0,COUNTIF(Parameters!$B$4:$B$33,$B1302)=0),"procurement","cost_service"),"unclassified"))))))</f>
        <v>cost_service</v>
      </c>
    </row>
    <row r="1303" spans="1:26" x14ac:dyDescent="0.25">
      <c r="A1303">
        <v>2024</v>
      </c>
      <c r="B1303">
        <v>18643</v>
      </c>
      <c r="C1303" t="s">
        <v>1219</v>
      </c>
      <c r="D1303" t="s">
        <v>84</v>
      </c>
      <c r="E1303" t="s">
        <v>85</v>
      </c>
      <c r="F1303" t="s">
        <v>86</v>
      </c>
      <c r="G1303" t="s">
        <v>156</v>
      </c>
      <c r="H1303" t="s">
        <v>91</v>
      </c>
      <c r="I1303" t="s">
        <v>89</v>
      </c>
      <c r="J1303">
        <v>27509</v>
      </c>
      <c r="K1303">
        <v>221627</v>
      </c>
      <c r="L1303">
        <v>16804</v>
      </c>
      <c r="M1303">
        <v>19336</v>
      </c>
      <c r="N1303">
        <v>152368</v>
      </c>
      <c r="O1303">
        <v>4119</v>
      </c>
      <c r="P1303">
        <v>729</v>
      </c>
      <c r="Q1303">
        <v>8689</v>
      </c>
      <c r="R1303">
        <v>1</v>
      </c>
      <c r="S1303">
        <v>0</v>
      </c>
      <c r="T1303">
        <v>0</v>
      </c>
      <c r="U1303">
        <v>0</v>
      </c>
      <c r="V1303">
        <v>47574</v>
      </c>
      <c r="W1303">
        <v>382684</v>
      </c>
      <c r="X1303">
        <v>20924</v>
      </c>
      <c r="Y1303">
        <f t="shared" si="20"/>
        <v>382684</v>
      </c>
      <c r="Z1303" t="str">
        <f>IF(ISNUMBER(SEARCH("Adjustment",$C1303)),"excluded",IF($H1303="Behind the Meter","excluded",IF(NOT(OR($E1303="Bundled",$E1303="Energy")),"excluded",IF(OR($H1303="Retail Power Marketer",$H1303="Community Choice Aggregator",$E1303="Energy"),"procurement",IF(OR($H1303="Municipal",$H1303="Cooperative",$H1303="Federal",$H1303="State",$H1303="Political Subdivision"),"cost_service",IF($H1303="Investor Owned",IF(AND(COUNTIF(Parameters!$A$4:$A$33,$G1303)&gt;0,COUNTIF(Parameters!$B$4:$B$33,$B1303)=0),"procurement","cost_service"),"unclassified"))))))</f>
        <v>cost_service</v>
      </c>
    </row>
    <row r="1304" spans="1:26" x14ac:dyDescent="0.25">
      <c r="A1304">
        <v>2024</v>
      </c>
      <c r="B1304">
        <v>18848</v>
      </c>
      <c r="C1304" t="s">
        <v>1220</v>
      </c>
      <c r="D1304" t="s">
        <v>84</v>
      </c>
      <c r="E1304" t="s">
        <v>85</v>
      </c>
      <c r="F1304" t="s">
        <v>86</v>
      </c>
      <c r="G1304" t="s">
        <v>123</v>
      </c>
      <c r="H1304" t="s">
        <v>88</v>
      </c>
      <c r="I1304" t="s">
        <v>113</v>
      </c>
      <c r="J1304">
        <v>26285.9</v>
      </c>
      <c r="K1304">
        <v>193931</v>
      </c>
      <c r="L1304">
        <v>14025</v>
      </c>
      <c r="M1304">
        <v>33370.5</v>
      </c>
      <c r="N1304">
        <v>302081</v>
      </c>
      <c r="O1304">
        <v>2557</v>
      </c>
      <c r="P1304" t="s">
        <v>97</v>
      </c>
      <c r="Q1304" t="s">
        <v>97</v>
      </c>
      <c r="R1304" t="s">
        <v>97</v>
      </c>
      <c r="S1304" t="s">
        <v>97</v>
      </c>
      <c r="T1304" t="s">
        <v>97</v>
      </c>
      <c r="U1304" t="s">
        <v>97</v>
      </c>
      <c r="V1304">
        <v>59656.4</v>
      </c>
      <c r="W1304">
        <v>496012</v>
      </c>
      <c r="X1304">
        <v>16582</v>
      </c>
      <c r="Y1304">
        <f t="shared" si="20"/>
        <v>496012</v>
      </c>
      <c r="Z1304" t="str">
        <f>IF(ISNUMBER(SEARCH("Adjustment",$C1304)),"excluded",IF($H1304="Behind the Meter","excluded",IF(NOT(OR($E1304="Bundled",$E1304="Energy")),"excluded",IF(OR($H1304="Retail Power Marketer",$H1304="Community Choice Aggregator",$E1304="Energy"),"procurement",IF(OR($H1304="Municipal",$H1304="Cooperative",$H1304="Federal",$H1304="State",$H1304="Political Subdivision"),"cost_service",IF($H1304="Investor Owned",IF(AND(COUNTIF(Parameters!$A$4:$A$33,$G1304)&gt;0,COUNTIF(Parameters!$B$4:$B$33,$B1304)=0),"procurement","cost_service"),"unclassified"))))))</f>
        <v>cost_service</v>
      </c>
    </row>
    <row r="1305" spans="1:26" x14ac:dyDescent="0.25">
      <c r="A1305">
        <v>2024</v>
      </c>
      <c r="B1305">
        <v>18917</v>
      </c>
      <c r="C1305" t="s">
        <v>1221</v>
      </c>
      <c r="D1305" t="s">
        <v>84</v>
      </c>
      <c r="E1305" t="s">
        <v>85</v>
      </c>
      <c r="F1305" t="s">
        <v>86</v>
      </c>
      <c r="G1305" t="s">
        <v>219</v>
      </c>
      <c r="H1305" t="s">
        <v>205</v>
      </c>
      <c r="I1305" t="s">
        <v>206</v>
      </c>
      <c r="J1305">
        <v>29567</v>
      </c>
      <c r="K1305">
        <v>250104</v>
      </c>
      <c r="L1305">
        <v>20133</v>
      </c>
      <c r="M1305">
        <v>10926</v>
      </c>
      <c r="N1305">
        <v>129604</v>
      </c>
      <c r="O1305">
        <v>2310</v>
      </c>
      <c r="P1305">
        <v>6342</v>
      </c>
      <c r="Q1305">
        <v>109865</v>
      </c>
      <c r="R1305">
        <v>6</v>
      </c>
      <c r="S1305" t="s">
        <v>97</v>
      </c>
      <c r="T1305" t="s">
        <v>97</v>
      </c>
      <c r="U1305" t="s">
        <v>97</v>
      </c>
      <c r="V1305">
        <v>46835</v>
      </c>
      <c r="W1305">
        <v>489573</v>
      </c>
      <c r="X1305">
        <v>22449</v>
      </c>
      <c r="Y1305">
        <f t="shared" si="20"/>
        <v>489573</v>
      </c>
      <c r="Z1305" t="str">
        <f>IF(ISNUMBER(SEARCH("Adjustment",$C1305)),"excluded",IF($H1305="Behind the Meter","excluded",IF(NOT(OR($E1305="Bundled",$E1305="Energy")),"excluded",IF(OR($H1305="Retail Power Marketer",$H1305="Community Choice Aggregator",$E1305="Energy"),"procurement",IF(OR($H1305="Municipal",$H1305="Cooperative",$H1305="Federal",$H1305="State",$H1305="Political Subdivision"),"cost_service",IF($H1305="Investor Owned",IF(AND(COUNTIF(Parameters!$A$4:$A$33,$G1305)&gt;0,COUNTIF(Parameters!$B$4:$B$33,$B1305)=0),"procurement","cost_service"),"unclassified"))))))</f>
        <v>cost_service</v>
      </c>
    </row>
    <row r="1306" spans="1:26" x14ac:dyDescent="0.25">
      <c r="A1306">
        <v>2024</v>
      </c>
      <c r="B1306">
        <v>18940</v>
      </c>
      <c r="C1306" t="s">
        <v>1222</v>
      </c>
      <c r="D1306" t="s">
        <v>84</v>
      </c>
      <c r="E1306" t="s">
        <v>85</v>
      </c>
      <c r="F1306" t="s">
        <v>86</v>
      </c>
      <c r="G1306" t="s">
        <v>130</v>
      </c>
      <c r="H1306" t="s">
        <v>91</v>
      </c>
      <c r="I1306" t="s">
        <v>96</v>
      </c>
      <c r="J1306">
        <v>53519.9</v>
      </c>
      <c r="K1306">
        <v>332963</v>
      </c>
      <c r="L1306">
        <v>28885</v>
      </c>
      <c r="M1306">
        <v>16471.400000000001</v>
      </c>
      <c r="N1306">
        <v>124149</v>
      </c>
      <c r="O1306">
        <v>1962</v>
      </c>
      <c r="P1306">
        <v>8789</v>
      </c>
      <c r="Q1306">
        <v>100771</v>
      </c>
      <c r="R1306">
        <v>5</v>
      </c>
      <c r="S1306" t="s">
        <v>97</v>
      </c>
      <c r="T1306" t="s">
        <v>97</v>
      </c>
      <c r="U1306" t="s">
        <v>97</v>
      </c>
      <c r="V1306">
        <v>78780.3</v>
      </c>
      <c r="W1306">
        <v>557883</v>
      </c>
      <c r="X1306">
        <v>30852</v>
      </c>
      <c r="Y1306">
        <f t="shared" si="20"/>
        <v>557883</v>
      </c>
      <c r="Z1306" t="str">
        <f>IF(ISNUMBER(SEARCH("Adjustment",$C1306)),"excluded",IF($H1306="Behind the Meter","excluded",IF(NOT(OR($E1306="Bundled",$E1306="Energy")),"excluded",IF(OR($H1306="Retail Power Marketer",$H1306="Community Choice Aggregator",$E1306="Energy"),"procurement",IF(OR($H1306="Municipal",$H1306="Cooperative",$H1306="Federal",$H1306="State",$H1306="Political Subdivision"),"cost_service",IF($H1306="Investor Owned",IF(AND(COUNTIF(Parameters!$A$4:$A$33,$G1306)&gt;0,COUNTIF(Parameters!$B$4:$B$33,$B1306)=0),"procurement","cost_service"),"unclassified"))))))</f>
        <v>cost_service</v>
      </c>
    </row>
    <row r="1307" spans="1:26" x14ac:dyDescent="0.25">
      <c r="A1307">
        <v>2024</v>
      </c>
      <c r="B1307">
        <v>18943</v>
      </c>
      <c r="C1307" t="s">
        <v>1223</v>
      </c>
      <c r="D1307" t="s">
        <v>84</v>
      </c>
      <c r="E1307" t="s">
        <v>85</v>
      </c>
      <c r="F1307" t="s">
        <v>86</v>
      </c>
      <c r="G1307" t="s">
        <v>87</v>
      </c>
      <c r="H1307" t="s">
        <v>91</v>
      </c>
      <c r="I1307" t="s">
        <v>89</v>
      </c>
      <c r="J1307">
        <v>16810</v>
      </c>
      <c r="K1307">
        <v>127767</v>
      </c>
      <c r="L1307">
        <v>10521</v>
      </c>
      <c r="M1307">
        <v>12247</v>
      </c>
      <c r="N1307">
        <v>89557</v>
      </c>
      <c r="O1307">
        <v>3768</v>
      </c>
      <c r="P1307">
        <v>7176</v>
      </c>
      <c r="Q1307">
        <v>79355</v>
      </c>
      <c r="R1307">
        <v>8</v>
      </c>
      <c r="S1307">
        <v>0</v>
      </c>
      <c r="T1307">
        <v>0</v>
      </c>
      <c r="U1307">
        <v>0</v>
      </c>
      <c r="V1307">
        <v>36233</v>
      </c>
      <c r="W1307">
        <v>296679</v>
      </c>
      <c r="X1307">
        <v>14297</v>
      </c>
      <c r="Y1307">
        <f t="shared" si="20"/>
        <v>296679</v>
      </c>
      <c r="Z1307" t="str">
        <f>IF(ISNUMBER(SEARCH("Adjustment",$C1307)),"excluded",IF($H1307="Behind the Meter","excluded",IF(NOT(OR($E1307="Bundled",$E1307="Energy")),"excluded",IF(OR($H1307="Retail Power Marketer",$H1307="Community Choice Aggregator",$E1307="Energy"),"procurement",IF(OR($H1307="Municipal",$H1307="Cooperative",$H1307="Federal",$H1307="State",$H1307="Political Subdivision"),"cost_service",IF($H1307="Investor Owned",IF(AND(COUNTIF(Parameters!$A$4:$A$33,$G1307)&gt;0,COUNTIF(Parameters!$B$4:$B$33,$B1307)=0),"procurement","cost_service"),"unclassified"))))))</f>
        <v>cost_service</v>
      </c>
    </row>
    <row r="1308" spans="1:26" x14ac:dyDescent="0.25">
      <c r="A1308">
        <v>2024</v>
      </c>
      <c r="B1308">
        <v>18951</v>
      </c>
      <c r="C1308" t="s">
        <v>1224</v>
      </c>
      <c r="D1308" t="s">
        <v>84</v>
      </c>
      <c r="E1308" t="s">
        <v>85</v>
      </c>
      <c r="F1308" t="s">
        <v>86</v>
      </c>
      <c r="G1308" t="s">
        <v>87</v>
      </c>
      <c r="H1308" t="s">
        <v>91</v>
      </c>
      <c r="I1308" t="s">
        <v>89</v>
      </c>
      <c r="J1308">
        <v>18677</v>
      </c>
      <c r="K1308">
        <v>146516</v>
      </c>
      <c r="L1308">
        <v>10943</v>
      </c>
      <c r="M1308">
        <v>13997</v>
      </c>
      <c r="N1308">
        <v>100077</v>
      </c>
      <c r="O1308">
        <v>2962</v>
      </c>
      <c r="P1308">
        <v>10039</v>
      </c>
      <c r="Q1308">
        <v>193632</v>
      </c>
      <c r="R1308">
        <v>6</v>
      </c>
      <c r="S1308">
        <v>0</v>
      </c>
      <c r="T1308">
        <v>0</v>
      </c>
      <c r="U1308">
        <v>0</v>
      </c>
      <c r="V1308">
        <v>42713</v>
      </c>
      <c r="W1308">
        <v>440225</v>
      </c>
      <c r="X1308">
        <v>13911</v>
      </c>
      <c r="Y1308">
        <f t="shared" si="20"/>
        <v>440225</v>
      </c>
      <c r="Z1308" t="str">
        <f>IF(ISNUMBER(SEARCH("Adjustment",$C1308)),"excluded",IF($H1308="Behind the Meter","excluded",IF(NOT(OR($E1308="Bundled",$E1308="Energy")),"excluded",IF(OR($H1308="Retail Power Marketer",$H1308="Community Choice Aggregator",$E1308="Energy"),"procurement",IF(OR($H1308="Municipal",$H1308="Cooperative",$H1308="Federal",$H1308="State",$H1308="Political Subdivision"),"cost_service",IF($H1308="Investor Owned",IF(AND(COUNTIF(Parameters!$A$4:$A$33,$G1308)&gt;0,COUNTIF(Parameters!$B$4:$B$33,$B1308)=0),"procurement","cost_service"),"unclassified"))))))</f>
        <v>cost_service</v>
      </c>
    </row>
    <row r="1309" spans="1:26" x14ac:dyDescent="0.25">
      <c r="A1309">
        <v>2024</v>
      </c>
      <c r="B1309">
        <v>18955</v>
      </c>
      <c r="C1309" t="s">
        <v>1225</v>
      </c>
      <c r="D1309" t="s">
        <v>84</v>
      </c>
      <c r="E1309" t="s">
        <v>85</v>
      </c>
      <c r="F1309" t="s">
        <v>86</v>
      </c>
      <c r="G1309" t="s">
        <v>46</v>
      </c>
      <c r="H1309" t="s">
        <v>91</v>
      </c>
      <c r="I1309" t="s">
        <v>96</v>
      </c>
      <c r="J1309">
        <v>36852.6</v>
      </c>
      <c r="K1309">
        <v>229718</v>
      </c>
      <c r="L1309">
        <v>16197</v>
      </c>
      <c r="M1309">
        <v>4418.8999999999996</v>
      </c>
      <c r="N1309">
        <v>32935</v>
      </c>
      <c r="O1309">
        <v>356</v>
      </c>
      <c r="P1309">
        <v>11058.2</v>
      </c>
      <c r="Q1309">
        <v>113794</v>
      </c>
      <c r="R1309">
        <v>51</v>
      </c>
      <c r="S1309" t="s">
        <v>97</v>
      </c>
      <c r="T1309" t="s">
        <v>97</v>
      </c>
      <c r="U1309" t="s">
        <v>97</v>
      </c>
      <c r="V1309">
        <v>52329.7</v>
      </c>
      <c r="W1309">
        <v>376447</v>
      </c>
      <c r="X1309">
        <v>16604</v>
      </c>
      <c r="Y1309">
        <f t="shared" si="20"/>
        <v>376447</v>
      </c>
      <c r="Z1309" t="str">
        <f>IF(ISNUMBER(SEARCH("Adjustment",$C1309)),"excluded",IF($H1309="Behind the Meter","excluded",IF(NOT(OR($E1309="Bundled",$E1309="Energy")),"excluded",IF(OR($H1309="Retail Power Marketer",$H1309="Community Choice Aggregator",$E1309="Energy"),"procurement",IF(OR($H1309="Municipal",$H1309="Cooperative",$H1309="Federal",$H1309="State",$H1309="Political Subdivision"),"cost_service",IF($H1309="Investor Owned",IF(AND(COUNTIF(Parameters!$A$4:$A$33,$G1309)&gt;0,COUNTIF(Parameters!$B$4:$B$33,$B1309)=0),"procurement","cost_service"),"unclassified"))))))</f>
        <v>cost_service</v>
      </c>
    </row>
    <row r="1310" spans="1:26" x14ac:dyDescent="0.25">
      <c r="A1310">
        <v>2024</v>
      </c>
      <c r="B1310">
        <v>18956</v>
      </c>
      <c r="C1310" t="s">
        <v>1226</v>
      </c>
      <c r="D1310" t="s">
        <v>84</v>
      </c>
      <c r="E1310" t="s">
        <v>85</v>
      </c>
      <c r="F1310" t="s">
        <v>86</v>
      </c>
      <c r="G1310" t="s">
        <v>123</v>
      </c>
      <c r="H1310" t="s">
        <v>91</v>
      </c>
      <c r="I1310" t="s">
        <v>113</v>
      </c>
      <c r="J1310">
        <v>44242</v>
      </c>
      <c r="K1310">
        <v>298324</v>
      </c>
      <c r="L1310">
        <v>21154</v>
      </c>
      <c r="M1310">
        <v>8642.6</v>
      </c>
      <c r="N1310">
        <v>59177</v>
      </c>
      <c r="O1310">
        <v>2203</v>
      </c>
      <c r="P1310">
        <v>3599.4</v>
      </c>
      <c r="Q1310">
        <v>52105</v>
      </c>
      <c r="R1310">
        <v>16</v>
      </c>
      <c r="S1310" t="s">
        <v>97</v>
      </c>
      <c r="T1310" t="s">
        <v>97</v>
      </c>
      <c r="U1310" t="s">
        <v>97</v>
      </c>
      <c r="V1310">
        <v>56484</v>
      </c>
      <c r="W1310">
        <v>409606</v>
      </c>
      <c r="X1310">
        <v>23373</v>
      </c>
      <c r="Y1310">
        <f t="shared" si="20"/>
        <v>409606</v>
      </c>
      <c r="Z1310" t="str">
        <f>IF(ISNUMBER(SEARCH("Adjustment",$C1310)),"excluded",IF($H1310="Behind the Meter","excluded",IF(NOT(OR($E1310="Bundled",$E1310="Energy")),"excluded",IF(OR($H1310="Retail Power Marketer",$H1310="Community Choice Aggregator",$E1310="Energy"),"procurement",IF(OR($H1310="Municipal",$H1310="Cooperative",$H1310="Federal",$H1310="State",$H1310="Political Subdivision"),"cost_service",IF($H1310="Investor Owned",IF(AND(COUNTIF(Parameters!$A$4:$A$33,$G1310)&gt;0,COUNTIF(Parameters!$B$4:$B$33,$B1310)=0),"procurement","cost_service"),"unclassified"))))))</f>
        <v>cost_service</v>
      </c>
    </row>
    <row r="1311" spans="1:26" x14ac:dyDescent="0.25">
      <c r="A1311">
        <v>2024</v>
      </c>
      <c r="B1311">
        <v>18957</v>
      </c>
      <c r="C1311" t="s">
        <v>1227</v>
      </c>
      <c r="D1311" t="s">
        <v>84</v>
      </c>
      <c r="E1311" t="s">
        <v>85</v>
      </c>
      <c r="F1311" t="s">
        <v>86</v>
      </c>
      <c r="G1311" t="s">
        <v>125</v>
      </c>
      <c r="H1311" t="s">
        <v>91</v>
      </c>
      <c r="I1311" t="s">
        <v>163</v>
      </c>
      <c r="J1311">
        <v>42799.5</v>
      </c>
      <c r="K1311">
        <v>335449</v>
      </c>
      <c r="L1311">
        <v>22523</v>
      </c>
      <c r="M1311">
        <v>14566.8</v>
      </c>
      <c r="N1311">
        <v>118220</v>
      </c>
      <c r="O1311">
        <v>4455</v>
      </c>
      <c r="P1311">
        <v>7452.2</v>
      </c>
      <c r="Q1311">
        <v>91015</v>
      </c>
      <c r="R1311">
        <v>3</v>
      </c>
      <c r="S1311" t="s">
        <v>97</v>
      </c>
      <c r="T1311" t="s">
        <v>97</v>
      </c>
      <c r="U1311" t="s">
        <v>97</v>
      </c>
      <c r="V1311">
        <v>64818.5</v>
      </c>
      <c r="W1311">
        <v>544684</v>
      </c>
      <c r="X1311">
        <v>26981</v>
      </c>
      <c r="Y1311">
        <f t="shared" si="20"/>
        <v>544684</v>
      </c>
      <c r="Z1311" t="str">
        <f>IF(ISNUMBER(SEARCH("Adjustment",$C1311)),"excluded",IF($H1311="Behind the Meter","excluded",IF(NOT(OR($E1311="Bundled",$E1311="Energy")),"excluded",IF(OR($H1311="Retail Power Marketer",$H1311="Community Choice Aggregator",$E1311="Energy"),"procurement",IF(OR($H1311="Municipal",$H1311="Cooperative",$H1311="Federal",$H1311="State",$H1311="Political Subdivision"),"cost_service",IF($H1311="Investor Owned",IF(AND(COUNTIF(Parameters!$A$4:$A$33,$G1311)&gt;0,COUNTIF(Parameters!$B$4:$B$33,$B1311)=0),"procurement","cost_service"),"unclassified"))))))</f>
        <v>cost_service</v>
      </c>
    </row>
    <row r="1312" spans="1:26" x14ac:dyDescent="0.25">
      <c r="A1312">
        <v>2024</v>
      </c>
      <c r="B1312">
        <v>18976</v>
      </c>
      <c r="C1312" t="s">
        <v>1228</v>
      </c>
      <c r="D1312" t="s">
        <v>84</v>
      </c>
      <c r="E1312" t="s">
        <v>85</v>
      </c>
      <c r="F1312" t="s">
        <v>86</v>
      </c>
      <c r="G1312" t="s">
        <v>57</v>
      </c>
      <c r="H1312" t="s">
        <v>91</v>
      </c>
      <c r="I1312" t="s">
        <v>151</v>
      </c>
      <c r="J1312">
        <v>136994.4</v>
      </c>
      <c r="K1312">
        <v>1216721</v>
      </c>
      <c r="L1312">
        <v>79954</v>
      </c>
      <c r="M1312">
        <v>23967.4</v>
      </c>
      <c r="N1312">
        <v>218539</v>
      </c>
      <c r="O1312">
        <v>8341</v>
      </c>
      <c r="P1312">
        <v>5869.7</v>
      </c>
      <c r="Q1312">
        <v>100539</v>
      </c>
      <c r="R1312">
        <v>10</v>
      </c>
      <c r="S1312" t="s">
        <v>97</v>
      </c>
      <c r="T1312" t="s">
        <v>97</v>
      </c>
      <c r="U1312" t="s">
        <v>97</v>
      </c>
      <c r="V1312">
        <v>166831.5</v>
      </c>
      <c r="W1312">
        <v>1535799</v>
      </c>
      <c r="X1312">
        <v>88305</v>
      </c>
      <c r="Y1312">
        <f t="shared" si="20"/>
        <v>1535799</v>
      </c>
      <c r="Z1312" t="str">
        <f>IF(ISNUMBER(SEARCH("Adjustment",$C1312)),"excluded",IF($H1312="Behind the Meter","excluded",IF(NOT(OR($E1312="Bundled",$E1312="Energy")),"excluded",IF(OR($H1312="Retail Power Marketer",$H1312="Community Choice Aggregator",$E1312="Energy"),"procurement",IF(OR($H1312="Municipal",$H1312="Cooperative",$H1312="Federal",$H1312="State",$H1312="Political Subdivision"),"cost_service",IF($H1312="Investor Owned",IF(AND(COUNTIF(Parameters!$A$4:$A$33,$G1312)&gt;0,COUNTIF(Parameters!$B$4:$B$33,$B1312)=0),"procurement","cost_service"),"unclassified"))))))</f>
        <v>cost_service</v>
      </c>
    </row>
    <row r="1313" spans="1:26" x14ac:dyDescent="0.25">
      <c r="A1313">
        <v>2024</v>
      </c>
      <c r="B1313">
        <v>18995</v>
      </c>
      <c r="C1313" t="s">
        <v>1229</v>
      </c>
      <c r="D1313" t="s">
        <v>99</v>
      </c>
      <c r="E1313" t="s">
        <v>100</v>
      </c>
      <c r="F1313" t="s">
        <v>86</v>
      </c>
      <c r="G1313" t="s">
        <v>242</v>
      </c>
      <c r="H1313" t="s">
        <v>101</v>
      </c>
      <c r="I1313" t="s">
        <v>390</v>
      </c>
      <c r="J1313">
        <v>0</v>
      </c>
      <c r="K1313">
        <v>0</v>
      </c>
      <c r="L1313">
        <v>0</v>
      </c>
      <c r="M1313">
        <v>229863.8</v>
      </c>
      <c r="N1313">
        <v>2962558</v>
      </c>
      <c r="O1313">
        <v>11</v>
      </c>
      <c r="P1313">
        <v>0</v>
      </c>
      <c r="Q1313">
        <v>0</v>
      </c>
      <c r="R1313">
        <v>0</v>
      </c>
      <c r="S1313">
        <v>0</v>
      </c>
      <c r="T1313">
        <v>0</v>
      </c>
      <c r="U1313">
        <v>0</v>
      </c>
      <c r="V1313">
        <v>229863.8</v>
      </c>
      <c r="W1313">
        <v>2962558</v>
      </c>
      <c r="X1313">
        <v>11</v>
      </c>
      <c r="Y1313">
        <f t="shared" si="20"/>
        <v>2962558</v>
      </c>
      <c r="Z1313" t="str">
        <f>IF(ISNUMBER(SEARCH("Adjustment",$C1313)),"excluded",IF($H1313="Behind the Meter","excluded",IF(NOT(OR($E1313="Bundled",$E1313="Energy")),"excluded",IF(OR($H1313="Retail Power Marketer",$H1313="Community Choice Aggregator",$E1313="Energy"),"procurement",IF(OR($H1313="Municipal",$H1313="Cooperative",$H1313="Federal",$H1313="State",$H1313="Political Subdivision"),"cost_service",IF($H1313="Investor Owned",IF(AND(COUNTIF(Parameters!$A$4:$A$33,$G1313)&gt;0,COUNTIF(Parameters!$B$4:$B$33,$B1313)=0),"procurement","cost_service"),"unclassified"))))))</f>
        <v>procurement</v>
      </c>
    </row>
    <row r="1314" spans="1:26" x14ac:dyDescent="0.25">
      <c r="A1314">
        <v>2024</v>
      </c>
      <c r="B1314">
        <v>18995</v>
      </c>
      <c r="C1314" t="s">
        <v>1229</v>
      </c>
      <c r="D1314" t="s">
        <v>150</v>
      </c>
      <c r="E1314" t="s">
        <v>85</v>
      </c>
      <c r="F1314" t="s">
        <v>86</v>
      </c>
      <c r="G1314" t="s">
        <v>57</v>
      </c>
      <c r="H1314" t="s">
        <v>101</v>
      </c>
      <c r="I1314" t="s">
        <v>151</v>
      </c>
      <c r="J1314">
        <v>0</v>
      </c>
      <c r="K1314">
        <v>0</v>
      </c>
      <c r="L1314">
        <v>0</v>
      </c>
      <c r="M1314">
        <v>15626.4</v>
      </c>
      <c r="N1314">
        <v>163704</v>
      </c>
      <c r="O1314">
        <v>9</v>
      </c>
      <c r="P1314">
        <v>322353.2</v>
      </c>
      <c r="Q1314">
        <v>8295451</v>
      </c>
      <c r="R1314">
        <v>184</v>
      </c>
      <c r="S1314">
        <v>0</v>
      </c>
      <c r="T1314">
        <v>0</v>
      </c>
      <c r="U1314">
        <v>0</v>
      </c>
      <c r="V1314">
        <v>337979.6</v>
      </c>
      <c r="W1314">
        <v>8459155</v>
      </c>
      <c r="X1314">
        <v>193</v>
      </c>
      <c r="Y1314">
        <f t="shared" si="20"/>
        <v>8459155</v>
      </c>
      <c r="Z1314" t="str">
        <f>IF(ISNUMBER(SEARCH("Adjustment",$C1314)),"excluded",IF($H1314="Behind the Meter","excluded",IF(NOT(OR($E1314="Bundled",$E1314="Energy")),"excluded",IF(OR($H1314="Retail Power Marketer",$H1314="Community Choice Aggregator",$E1314="Energy"),"procurement",IF(OR($H1314="Municipal",$H1314="Cooperative",$H1314="Federal",$H1314="State",$H1314="Political Subdivision"),"cost_service",IF($H1314="Investor Owned",IF(AND(COUNTIF(Parameters!$A$4:$A$33,$G1314)&gt;0,COUNTIF(Parameters!$B$4:$B$33,$B1314)=0),"procurement","cost_service"),"unclassified"))))))</f>
        <v>procurement</v>
      </c>
    </row>
    <row r="1315" spans="1:26" x14ac:dyDescent="0.25">
      <c r="A1315">
        <v>2024</v>
      </c>
      <c r="B1315">
        <v>18997</v>
      </c>
      <c r="C1315" t="s">
        <v>1230</v>
      </c>
      <c r="D1315" t="s">
        <v>84</v>
      </c>
      <c r="E1315" t="s">
        <v>85</v>
      </c>
      <c r="F1315" t="s">
        <v>86</v>
      </c>
      <c r="G1315" t="s">
        <v>54</v>
      </c>
      <c r="H1315" t="s">
        <v>109</v>
      </c>
      <c r="I1315" t="s">
        <v>92</v>
      </c>
      <c r="J1315">
        <v>116701</v>
      </c>
      <c r="K1315">
        <v>701355</v>
      </c>
      <c r="L1315">
        <v>79007</v>
      </c>
      <c r="M1315">
        <v>25999.7</v>
      </c>
      <c r="N1315">
        <v>139982</v>
      </c>
      <c r="O1315">
        <v>7098</v>
      </c>
      <c r="P1315">
        <v>6190.6</v>
      </c>
      <c r="Q1315">
        <v>46429</v>
      </c>
      <c r="R1315">
        <v>64</v>
      </c>
      <c r="S1315">
        <v>0</v>
      </c>
      <c r="T1315">
        <v>0</v>
      </c>
      <c r="U1315">
        <v>0</v>
      </c>
      <c r="V1315">
        <v>148891.29999999999</v>
      </c>
      <c r="W1315">
        <v>887766</v>
      </c>
      <c r="X1315">
        <v>86169</v>
      </c>
      <c r="Y1315">
        <f t="shared" si="20"/>
        <v>887766</v>
      </c>
      <c r="Z1315" t="str">
        <f>IF(ISNUMBER(SEARCH("Adjustment",$C1315)),"excluded",IF($H1315="Behind the Meter","excluded",IF(NOT(OR($E1315="Bundled",$E1315="Energy")),"excluded",IF(OR($H1315="Retail Power Marketer",$H1315="Community Choice Aggregator",$E1315="Energy"),"procurement",IF(OR($H1315="Municipal",$H1315="Cooperative",$H1315="Federal",$H1315="State",$H1315="Political Subdivision"),"cost_service",IF($H1315="Investor Owned",IF(AND(COUNTIF(Parameters!$A$4:$A$33,$G1315)&gt;0,COUNTIF(Parameters!$B$4:$B$33,$B1315)=0),"procurement","cost_service"),"unclassified"))))))</f>
        <v>procurement</v>
      </c>
    </row>
    <row r="1316" spans="1:26" x14ac:dyDescent="0.25">
      <c r="A1316">
        <v>2024</v>
      </c>
      <c r="B1316">
        <v>18997</v>
      </c>
      <c r="C1316" t="s">
        <v>1230</v>
      </c>
      <c r="D1316" t="s">
        <v>167</v>
      </c>
      <c r="E1316" t="s">
        <v>168</v>
      </c>
      <c r="F1316" t="s">
        <v>86</v>
      </c>
      <c r="G1316" t="s">
        <v>54</v>
      </c>
      <c r="H1316" t="s">
        <v>109</v>
      </c>
      <c r="I1316" t="s">
        <v>92</v>
      </c>
      <c r="J1316">
        <v>143722.29999999999</v>
      </c>
      <c r="K1316">
        <v>1841408</v>
      </c>
      <c r="L1316">
        <v>199807</v>
      </c>
      <c r="M1316">
        <v>102232.1</v>
      </c>
      <c r="N1316">
        <v>1605557</v>
      </c>
      <c r="O1316">
        <v>29565</v>
      </c>
      <c r="P1316">
        <v>50950.6</v>
      </c>
      <c r="Q1316">
        <v>7078140</v>
      </c>
      <c r="R1316">
        <v>546</v>
      </c>
      <c r="S1316">
        <v>0</v>
      </c>
      <c r="T1316">
        <v>0</v>
      </c>
      <c r="U1316">
        <v>0</v>
      </c>
      <c r="V1316">
        <v>296905</v>
      </c>
      <c r="W1316">
        <v>10525105</v>
      </c>
      <c r="X1316">
        <v>229918</v>
      </c>
      <c r="Y1316">
        <f t="shared" si="20"/>
        <v>10525105</v>
      </c>
      <c r="Z1316" t="str">
        <f>IF(ISNUMBER(SEARCH("Adjustment",$C1316)),"excluded",IF($H1316="Behind the Meter","excluded",IF(NOT(OR($E1316="Bundled",$E1316="Energy")),"excluded",IF(OR($H1316="Retail Power Marketer",$H1316="Community Choice Aggregator",$E1316="Energy"),"procurement",IF(OR($H1316="Municipal",$H1316="Cooperative",$H1316="Federal",$H1316="State",$H1316="Political Subdivision"),"cost_service",IF($H1316="Investor Owned",IF(AND(COUNTIF(Parameters!$A$4:$A$33,$G1316)&gt;0,COUNTIF(Parameters!$B$4:$B$33,$B1316)=0),"procurement","cost_service"),"unclassified"))))))</f>
        <v>excluded</v>
      </c>
    </row>
    <row r="1317" spans="1:26" x14ac:dyDescent="0.25">
      <c r="A1317">
        <v>2024</v>
      </c>
      <c r="B1317">
        <v>19007</v>
      </c>
      <c r="C1317" t="s">
        <v>1231</v>
      </c>
      <c r="D1317" t="s">
        <v>84</v>
      </c>
      <c r="E1317" t="s">
        <v>85</v>
      </c>
      <c r="F1317" t="s">
        <v>86</v>
      </c>
      <c r="G1317" t="s">
        <v>87</v>
      </c>
      <c r="H1317" t="s">
        <v>91</v>
      </c>
      <c r="I1317" t="s">
        <v>89</v>
      </c>
      <c r="J1317">
        <v>69551</v>
      </c>
      <c r="K1317">
        <v>568801</v>
      </c>
      <c r="L1317">
        <v>37296</v>
      </c>
      <c r="M1317">
        <v>43089</v>
      </c>
      <c r="N1317">
        <v>323181</v>
      </c>
      <c r="O1317">
        <v>8545</v>
      </c>
      <c r="P1317">
        <v>16673</v>
      </c>
      <c r="Q1317">
        <v>212246</v>
      </c>
      <c r="R1317">
        <v>18</v>
      </c>
      <c r="S1317">
        <v>0</v>
      </c>
      <c r="T1317">
        <v>0</v>
      </c>
      <c r="U1317">
        <v>0</v>
      </c>
      <c r="V1317">
        <v>129313</v>
      </c>
      <c r="W1317">
        <v>1104228</v>
      </c>
      <c r="X1317">
        <v>45859</v>
      </c>
      <c r="Y1317">
        <f t="shared" si="20"/>
        <v>1104228</v>
      </c>
      <c r="Z1317" t="str">
        <f>IF(ISNUMBER(SEARCH("Adjustment",$C1317)),"excluded",IF($H1317="Behind the Meter","excluded",IF(NOT(OR($E1317="Bundled",$E1317="Energy")),"excluded",IF(OR($H1317="Retail Power Marketer",$H1317="Community Choice Aggregator",$E1317="Energy"),"procurement",IF(OR($H1317="Municipal",$H1317="Cooperative",$H1317="Federal",$H1317="State",$H1317="Political Subdivision"),"cost_service",IF($H1317="Investor Owned",IF(AND(COUNTIF(Parameters!$A$4:$A$33,$G1317)&gt;0,COUNTIF(Parameters!$B$4:$B$33,$B1317)=0),"procurement","cost_service"),"unclassified"))))))</f>
        <v>cost_service</v>
      </c>
    </row>
    <row r="1318" spans="1:26" x14ac:dyDescent="0.25">
      <c r="A1318">
        <v>2024</v>
      </c>
      <c r="B1318">
        <v>19107</v>
      </c>
      <c r="C1318" t="s">
        <v>1232</v>
      </c>
      <c r="D1318" t="s">
        <v>99</v>
      </c>
      <c r="E1318" t="s">
        <v>100</v>
      </c>
      <c r="F1318" t="s">
        <v>86</v>
      </c>
      <c r="G1318" t="s">
        <v>40</v>
      </c>
      <c r="H1318" t="s">
        <v>101</v>
      </c>
      <c r="I1318" t="s">
        <v>189</v>
      </c>
      <c r="J1318">
        <v>0</v>
      </c>
      <c r="K1318">
        <v>0</v>
      </c>
      <c r="L1318">
        <v>0</v>
      </c>
      <c r="M1318">
        <v>130480.6</v>
      </c>
      <c r="N1318">
        <v>1265349</v>
      </c>
      <c r="O1318">
        <v>1518</v>
      </c>
      <c r="P1318">
        <v>6722.8</v>
      </c>
      <c r="Q1318">
        <v>65203</v>
      </c>
      <c r="R1318">
        <v>78</v>
      </c>
      <c r="S1318">
        <v>0</v>
      </c>
      <c r="T1318">
        <v>0</v>
      </c>
      <c r="U1318">
        <v>0</v>
      </c>
      <c r="V1318">
        <v>137203.4</v>
      </c>
      <c r="W1318">
        <v>1330552</v>
      </c>
      <c r="X1318">
        <v>1596</v>
      </c>
      <c r="Y1318">
        <f t="shared" si="20"/>
        <v>1330552</v>
      </c>
      <c r="Z1318" t="str">
        <f>IF(ISNUMBER(SEARCH("Adjustment",$C1318)),"excluded",IF($H1318="Behind the Meter","excluded",IF(NOT(OR($E1318="Bundled",$E1318="Energy")),"excluded",IF(OR($H1318="Retail Power Marketer",$H1318="Community Choice Aggregator",$E1318="Energy"),"procurement",IF(OR($H1318="Municipal",$H1318="Cooperative",$H1318="Federal",$H1318="State",$H1318="Political Subdivision"),"cost_service",IF($H1318="Investor Owned",IF(AND(COUNTIF(Parameters!$A$4:$A$33,$G1318)&gt;0,COUNTIF(Parameters!$B$4:$B$33,$B1318)=0),"procurement","cost_service"),"unclassified"))))))</f>
        <v>procurement</v>
      </c>
    </row>
    <row r="1319" spans="1:26" x14ac:dyDescent="0.25">
      <c r="A1319">
        <v>2024</v>
      </c>
      <c r="B1319">
        <v>19107</v>
      </c>
      <c r="C1319" t="s">
        <v>1232</v>
      </c>
      <c r="D1319" t="s">
        <v>99</v>
      </c>
      <c r="E1319" t="s">
        <v>100</v>
      </c>
      <c r="F1319" t="s">
        <v>86</v>
      </c>
      <c r="G1319" t="s">
        <v>42</v>
      </c>
      <c r="H1319" t="s">
        <v>101</v>
      </c>
      <c r="I1319" t="s">
        <v>92</v>
      </c>
      <c r="J1319">
        <v>0</v>
      </c>
      <c r="K1319">
        <v>0</v>
      </c>
      <c r="L1319">
        <v>0</v>
      </c>
      <c r="M1319">
        <v>97480.9</v>
      </c>
      <c r="N1319">
        <v>1240991</v>
      </c>
      <c r="O1319">
        <v>131</v>
      </c>
      <c r="P1319">
        <v>0</v>
      </c>
      <c r="Q1319">
        <v>0</v>
      </c>
      <c r="R1319">
        <v>0</v>
      </c>
      <c r="S1319">
        <v>16677.5</v>
      </c>
      <c r="T1319">
        <v>309313</v>
      </c>
      <c r="U1319">
        <v>1</v>
      </c>
      <c r="V1319">
        <v>114158.39999999999</v>
      </c>
      <c r="W1319">
        <v>1550304</v>
      </c>
      <c r="X1319">
        <v>132</v>
      </c>
      <c r="Y1319">
        <f t="shared" si="20"/>
        <v>1550304</v>
      </c>
      <c r="Z1319" t="str">
        <f>IF(ISNUMBER(SEARCH("Adjustment",$C1319)),"excluded",IF($H1319="Behind the Meter","excluded",IF(NOT(OR($E1319="Bundled",$E1319="Energy")),"excluded",IF(OR($H1319="Retail Power Marketer",$H1319="Community Choice Aggregator",$E1319="Energy"),"procurement",IF(OR($H1319="Municipal",$H1319="Cooperative",$H1319="Federal",$H1319="State",$H1319="Political Subdivision"),"cost_service",IF($H1319="Investor Owned",IF(AND(COUNTIF(Parameters!$A$4:$A$33,$G1319)&gt;0,COUNTIF(Parameters!$B$4:$B$33,$B1319)=0),"procurement","cost_service"),"unclassified"))))))</f>
        <v>procurement</v>
      </c>
    </row>
    <row r="1320" spans="1:26" x14ac:dyDescent="0.25">
      <c r="A1320">
        <v>2024</v>
      </c>
      <c r="B1320">
        <v>19107</v>
      </c>
      <c r="C1320" t="s">
        <v>1232</v>
      </c>
      <c r="D1320" t="s">
        <v>99</v>
      </c>
      <c r="E1320" t="s">
        <v>100</v>
      </c>
      <c r="F1320" t="s">
        <v>86</v>
      </c>
      <c r="G1320" t="s">
        <v>44</v>
      </c>
      <c r="H1320" t="s">
        <v>101</v>
      </c>
      <c r="I1320" t="s">
        <v>92</v>
      </c>
      <c r="J1320">
        <v>0</v>
      </c>
      <c r="K1320">
        <v>0</v>
      </c>
      <c r="L1320">
        <v>0</v>
      </c>
      <c r="M1320">
        <v>12767.4</v>
      </c>
      <c r="N1320">
        <v>164146</v>
      </c>
      <c r="O1320">
        <v>88</v>
      </c>
      <c r="P1320">
        <v>1626.5</v>
      </c>
      <c r="Q1320">
        <v>20911</v>
      </c>
      <c r="R1320">
        <v>11</v>
      </c>
      <c r="S1320">
        <v>0</v>
      </c>
      <c r="T1320">
        <v>0</v>
      </c>
      <c r="U1320">
        <v>0</v>
      </c>
      <c r="V1320">
        <v>14393.9</v>
      </c>
      <c r="W1320">
        <v>185057</v>
      </c>
      <c r="X1320">
        <v>99</v>
      </c>
      <c r="Y1320">
        <f t="shared" si="20"/>
        <v>185057</v>
      </c>
      <c r="Z1320" t="str">
        <f>IF(ISNUMBER(SEARCH("Adjustment",$C1320)),"excluded",IF($H1320="Behind the Meter","excluded",IF(NOT(OR($E1320="Bundled",$E1320="Energy")),"excluded",IF(OR($H1320="Retail Power Marketer",$H1320="Community Choice Aggregator",$E1320="Energy"),"procurement",IF(OR($H1320="Municipal",$H1320="Cooperative",$H1320="Federal",$H1320="State",$H1320="Political Subdivision"),"cost_service",IF($H1320="Investor Owned",IF(AND(COUNTIF(Parameters!$A$4:$A$33,$G1320)&gt;0,COUNTIF(Parameters!$B$4:$B$33,$B1320)=0),"procurement","cost_service"),"unclassified"))))))</f>
        <v>procurement</v>
      </c>
    </row>
    <row r="1321" spans="1:26" x14ac:dyDescent="0.25">
      <c r="A1321">
        <v>2024</v>
      </c>
      <c r="B1321">
        <v>19107</v>
      </c>
      <c r="C1321" t="s">
        <v>1232</v>
      </c>
      <c r="D1321" t="s">
        <v>99</v>
      </c>
      <c r="E1321" t="s">
        <v>100</v>
      </c>
      <c r="F1321" t="s">
        <v>86</v>
      </c>
      <c r="G1321" t="s">
        <v>46</v>
      </c>
      <c r="H1321" t="s">
        <v>101</v>
      </c>
      <c r="I1321" t="s">
        <v>96</v>
      </c>
      <c r="J1321">
        <v>0</v>
      </c>
      <c r="K1321">
        <v>0</v>
      </c>
      <c r="L1321">
        <v>0</v>
      </c>
      <c r="M1321">
        <v>243025.4</v>
      </c>
      <c r="N1321">
        <v>2353819</v>
      </c>
      <c r="O1321">
        <v>828</v>
      </c>
      <c r="P1321">
        <v>76744.899999999994</v>
      </c>
      <c r="Q1321">
        <v>743311</v>
      </c>
      <c r="R1321">
        <v>262</v>
      </c>
      <c r="S1321">
        <v>0</v>
      </c>
      <c r="T1321">
        <v>0</v>
      </c>
      <c r="U1321">
        <v>0</v>
      </c>
      <c r="V1321">
        <v>319770.3</v>
      </c>
      <c r="W1321">
        <v>3097130</v>
      </c>
      <c r="X1321">
        <v>1090</v>
      </c>
      <c r="Y1321">
        <f t="shared" si="20"/>
        <v>3097130</v>
      </c>
      <c r="Z1321" t="str">
        <f>IF(ISNUMBER(SEARCH("Adjustment",$C1321)),"excluded",IF($H1321="Behind the Meter","excluded",IF(NOT(OR($E1321="Bundled",$E1321="Energy")),"excluded",IF(OR($H1321="Retail Power Marketer",$H1321="Community Choice Aggregator",$E1321="Energy"),"procurement",IF(OR($H1321="Municipal",$H1321="Cooperative",$H1321="Federal",$H1321="State",$H1321="Political Subdivision"),"cost_service",IF($H1321="Investor Owned",IF(AND(COUNTIF(Parameters!$A$4:$A$33,$G1321)&gt;0,COUNTIF(Parameters!$B$4:$B$33,$B1321)=0),"procurement","cost_service"),"unclassified"))))))</f>
        <v>procurement</v>
      </c>
    </row>
    <row r="1322" spans="1:26" x14ac:dyDescent="0.25">
      <c r="A1322">
        <v>2024</v>
      </c>
      <c r="B1322">
        <v>19107</v>
      </c>
      <c r="C1322" t="s">
        <v>1232</v>
      </c>
      <c r="D1322" t="s">
        <v>99</v>
      </c>
      <c r="E1322" t="s">
        <v>100</v>
      </c>
      <c r="F1322" t="s">
        <v>86</v>
      </c>
      <c r="G1322" t="s">
        <v>48</v>
      </c>
      <c r="H1322" t="s">
        <v>101</v>
      </c>
      <c r="I1322" t="s">
        <v>189</v>
      </c>
      <c r="J1322">
        <v>0</v>
      </c>
      <c r="K1322">
        <v>0</v>
      </c>
      <c r="L1322">
        <v>0</v>
      </c>
      <c r="M1322">
        <v>154030.6</v>
      </c>
      <c r="N1322">
        <v>1312180</v>
      </c>
      <c r="O1322">
        <v>1281</v>
      </c>
      <c r="P1322">
        <v>23424</v>
      </c>
      <c r="Q1322">
        <v>199550</v>
      </c>
      <c r="R1322">
        <v>195</v>
      </c>
      <c r="S1322">
        <v>0</v>
      </c>
      <c r="T1322">
        <v>0</v>
      </c>
      <c r="U1322">
        <v>0</v>
      </c>
      <c r="V1322">
        <v>177454.6</v>
      </c>
      <c r="W1322">
        <v>1511730</v>
      </c>
      <c r="X1322">
        <v>1476</v>
      </c>
      <c r="Y1322">
        <f t="shared" si="20"/>
        <v>1511730</v>
      </c>
      <c r="Z1322" t="str">
        <f>IF(ISNUMBER(SEARCH("Adjustment",$C1322)),"excluded",IF($H1322="Behind the Meter","excluded",IF(NOT(OR($E1322="Bundled",$E1322="Energy")),"excluded",IF(OR($H1322="Retail Power Marketer",$H1322="Community Choice Aggregator",$E1322="Energy"),"procurement",IF(OR($H1322="Municipal",$H1322="Cooperative",$H1322="Federal",$H1322="State",$H1322="Political Subdivision"),"cost_service",IF($H1322="Investor Owned",IF(AND(COUNTIF(Parameters!$A$4:$A$33,$G1322)&gt;0,COUNTIF(Parameters!$B$4:$B$33,$B1322)=0),"procurement","cost_service"),"unclassified"))))))</f>
        <v>procurement</v>
      </c>
    </row>
    <row r="1323" spans="1:26" x14ac:dyDescent="0.25">
      <c r="A1323">
        <v>2024</v>
      </c>
      <c r="B1323">
        <v>19107</v>
      </c>
      <c r="C1323" t="s">
        <v>1232</v>
      </c>
      <c r="D1323" t="s">
        <v>99</v>
      </c>
      <c r="E1323" t="s">
        <v>100</v>
      </c>
      <c r="F1323" t="s">
        <v>86</v>
      </c>
      <c r="G1323" t="s">
        <v>49</v>
      </c>
      <c r="H1323" t="s">
        <v>101</v>
      </c>
      <c r="I1323" t="s">
        <v>92</v>
      </c>
      <c r="J1323">
        <v>0</v>
      </c>
      <c r="K1323">
        <v>0</v>
      </c>
      <c r="L1323">
        <v>0</v>
      </c>
      <c r="M1323">
        <v>137210.6</v>
      </c>
      <c r="N1323">
        <v>1771176</v>
      </c>
      <c r="O1323">
        <v>1013</v>
      </c>
      <c r="P1323">
        <v>9695.7000000000007</v>
      </c>
      <c r="Q1323">
        <v>125128</v>
      </c>
      <c r="R1323">
        <v>72</v>
      </c>
      <c r="S1323">
        <v>0</v>
      </c>
      <c r="T1323">
        <v>0</v>
      </c>
      <c r="U1323">
        <v>0</v>
      </c>
      <c r="V1323">
        <v>146906.29999999999</v>
      </c>
      <c r="W1323">
        <v>1896304</v>
      </c>
      <c r="X1323">
        <v>1085</v>
      </c>
      <c r="Y1323">
        <f t="shared" si="20"/>
        <v>1896304</v>
      </c>
      <c r="Z1323" t="str">
        <f>IF(ISNUMBER(SEARCH("Adjustment",$C1323)),"excluded",IF($H1323="Behind the Meter","excluded",IF(NOT(OR($E1323="Bundled",$E1323="Energy")),"excluded",IF(OR($H1323="Retail Power Marketer",$H1323="Community Choice Aggregator",$E1323="Energy"),"procurement",IF(OR($H1323="Municipal",$H1323="Cooperative",$H1323="Federal",$H1323="State",$H1323="Political Subdivision"),"cost_service",IF($H1323="Investor Owned",IF(AND(COUNTIF(Parameters!$A$4:$A$33,$G1323)&gt;0,COUNTIF(Parameters!$B$4:$B$33,$B1323)=0),"procurement","cost_service"),"unclassified"))))))</f>
        <v>procurement</v>
      </c>
    </row>
    <row r="1324" spans="1:26" x14ac:dyDescent="0.25">
      <c r="A1324">
        <v>2024</v>
      </c>
      <c r="B1324">
        <v>19107</v>
      </c>
      <c r="C1324" t="s">
        <v>1232</v>
      </c>
      <c r="D1324" t="s">
        <v>99</v>
      </c>
      <c r="E1324" t="s">
        <v>100</v>
      </c>
      <c r="F1324" t="s">
        <v>86</v>
      </c>
      <c r="G1324" t="s">
        <v>50</v>
      </c>
      <c r="H1324" t="s">
        <v>101</v>
      </c>
      <c r="I1324" t="s">
        <v>189</v>
      </c>
      <c r="J1324">
        <v>0</v>
      </c>
      <c r="K1324">
        <v>0</v>
      </c>
      <c r="L1324">
        <v>0</v>
      </c>
      <c r="M1324">
        <v>27354.400000000001</v>
      </c>
      <c r="N1324">
        <v>280119</v>
      </c>
      <c r="O1324">
        <v>460</v>
      </c>
      <c r="P1324">
        <v>9362.9</v>
      </c>
      <c r="Q1324">
        <v>95880</v>
      </c>
      <c r="R1324">
        <v>157</v>
      </c>
      <c r="S1324">
        <v>0</v>
      </c>
      <c r="T1324">
        <v>0</v>
      </c>
      <c r="U1324">
        <v>0</v>
      </c>
      <c r="V1324">
        <v>36717.300000000003</v>
      </c>
      <c r="W1324">
        <v>375999</v>
      </c>
      <c r="X1324">
        <v>617</v>
      </c>
      <c r="Y1324">
        <f t="shared" si="20"/>
        <v>375999</v>
      </c>
      <c r="Z1324" t="str">
        <f>IF(ISNUMBER(SEARCH("Adjustment",$C1324)),"excluded",IF($H1324="Behind the Meter","excluded",IF(NOT(OR($E1324="Bundled",$E1324="Energy")),"excluded",IF(OR($H1324="Retail Power Marketer",$H1324="Community Choice Aggregator",$E1324="Energy"),"procurement",IF(OR($H1324="Municipal",$H1324="Cooperative",$H1324="Federal",$H1324="State",$H1324="Political Subdivision"),"cost_service",IF($H1324="Investor Owned",IF(AND(COUNTIF(Parameters!$A$4:$A$33,$G1324)&gt;0,COUNTIF(Parameters!$B$4:$B$33,$B1324)=0),"procurement","cost_service"),"unclassified"))))))</f>
        <v>procurement</v>
      </c>
    </row>
    <row r="1325" spans="1:26" x14ac:dyDescent="0.25">
      <c r="A1325">
        <v>2024</v>
      </c>
      <c r="B1325">
        <v>19107</v>
      </c>
      <c r="C1325" t="s">
        <v>1232</v>
      </c>
      <c r="D1325" t="s">
        <v>99</v>
      </c>
      <c r="E1325" t="s">
        <v>100</v>
      </c>
      <c r="F1325" t="s">
        <v>86</v>
      </c>
      <c r="G1325" t="s">
        <v>51</v>
      </c>
      <c r="H1325" t="s">
        <v>101</v>
      </c>
      <c r="I1325" t="s">
        <v>189</v>
      </c>
      <c r="J1325">
        <v>0</v>
      </c>
      <c r="K1325">
        <v>0</v>
      </c>
      <c r="L1325">
        <v>0</v>
      </c>
      <c r="M1325">
        <v>32897.699999999997</v>
      </c>
      <c r="N1325">
        <v>308811</v>
      </c>
      <c r="O1325">
        <v>900</v>
      </c>
      <c r="P1325">
        <v>6738.1</v>
      </c>
      <c r="Q1325">
        <v>63251</v>
      </c>
      <c r="R1325">
        <v>185</v>
      </c>
      <c r="S1325">
        <v>0</v>
      </c>
      <c r="T1325">
        <v>0</v>
      </c>
      <c r="U1325">
        <v>0</v>
      </c>
      <c r="V1325">
        <v>39635.800000000003</v>
      </c>
      <c r="W1325">
        <v>372062</v>
      </c>
      <c r="X1325">
        <v>1085</v>
      </c>
      <c r="Y1325">
        <f t="shared" si="20"/>
        <v>372062</v>
      </c>
      <c r="Z1325" t="str">
        <f>IF(ISNUMBER(SEARCH("Adjustment",$C1325)),"excluded",IF($H1325="Behind the Meter","excluded",IF(NOT(OR($E1325="Bundled",$E1325="Energy")),"excluded",IF(OR($H1325="Retail Power Marketer",$H1325="Community Choice Aggregator",$E1325="Energy"),"procurement",IF(OR($H1325="Municipal",$H1325="Cooperative",$H1325="Federal",$H1325="State",$H1325="Political Subdivision"),"cost_service",IF($H1325="Investor Owned",IF(AND(COUNTIF(Parameters!$A$4:$A$33,$G1325)&gt;0,COUNTIF(Parameters!$B$4:$B$33,$B1325)=0),"procurement","cost_service"),"unclassified"))))))</f>
        <v>procurement</v>
      </c>
    </row>
    <row r="1326" spans="1:26" x14ac:dyDescent="0.25">
      <c r="A1326">
        <v>2024</v>
      </c>
      <c r="B1326">
        <v>19107</v>
      </c>
      <c r="C1326" t="s">
        <v>1232</v>
      </c>
      <c r="D1326" t="s">
        <v>99</v>
      </c>
      <c r="E1326" t="s">
        <v>100</v>
      </c>
      <c r="F1326" t="s">
        <v>86</v>
      </c>
      <c r="G1326" t="s">
        <v>52</v>
      </c>
      <c r="H1326" t="s">
        <v>101</v>
      </c>
      <c r="I1326" t="s">
        <v>92</v>
      </c>
      <c r="J1326">
        <v>0</v>
      </c>
      <c r="K1326">
        <v>0</v>
      </c>
      <c r="L1326">
        <v>0</v>
      </c>
      <c r="M1326">
        <v>150766.20000000001</v>
      </c>
      <c r="N1326">
        <v>1597787</v>
      </c>
      <c r="O1326">
        <v>654</v>
      </c>
      <c r="P1326">
        <v>9113.1</v>
      </c>
      <c r="Q1326">
        <v>96579</v>
      </c>
      <c r="R1326">
        <v>40</v>
      </c>
      <c r="S1326">
        <v>0</v>
      </c>
      <c r="T1326">
        <v>0</v>
      </c>
      <c r="U1326">
        <v>0</v>
      </c>
      <c r="V1326">
        <v>159879.29999999999</v>
      </c>
      <c r="W1326">
        <v>1694366</v>
      </c>
      <c r="X1326">
        <v>694</v>
      </c>
      <c r="Y1326">
        <f t="shared" si="20"/>
        <v>1694366</v>
      </c>
      <c r="Z1326" t="str">
        <f>IF(ISNUMBER(SEARCH("Adjustment",$C1326)),"excluded",IF($H1326="Behind the Meter","excluded",IF(NOT(OR($E1326="Bundled",$E1326="Energy")),"excluded",IF(OR($H1326="Retail Power Marketer",$H1326="Community Choice Aggregator",$E1326="Energy"),"procurement",IF(OR($H1326="Municipal",$H1326="Cooperative",$H1326="Federal",$H1326="State",$H1326="Political Subdivision"),"cost_service",IF($H1326="Investor Owned",IF(AND(COUNTIF(Parameters!$A$4:$A$33,$G1326)&gt;0,COUNTIF(Parameters!$B$4:$B$33,$B1326)=0),"procurement","cost_service"),"unclassified"))))))</f>
        <v>procurement</v>
      </c>
    </row>
    <row r="1327" spans="1:26" x14ac:dyDescent="0.25">
      <c r="A1327">
        <v>2024</v>
      </c>
      <c r="B1327">
        <v>19107</v>
      </c>
      <c r="C1327" t="s">
        <v>1232</v>
      </c>
      <c r="D1327" t="s">
        <v>99</v>
      </c>
      <c r="E1327" t="s">
        <v>100</v>
      </c>
      <c r="F1327" t="s">
        <v>86</v>
      </c>
      <c r="G1327" t="s">
        <v>53</v>
      </c>
      <c r="H1327" t="s">
        <v>101</v>
      </c>
      <c r="I1327" t="s">
        <v>102</v>
      </c>
      <c r="J1327">
        <v>0</v>
      </c>
      <c r="K1327">
        <v>0</v>
      </c>
      <c r="L1327">
        <v>0</v>
      </c>
      <c r="M1327">
        <v>287046.40000000002</v>
      </c>
      <c r="N1327">
        <v>3291848</v>
      </c>
      <c r="O1327">
        <v>1465</v>
      </c>
      <c r="P1327">
        <v>35840.400000000001</v>
      </c>
      <c r="Q1327">
        <v>411018</v>
      </c>
      <c r="R1327">
        <v>183</v>
      </c>
      <c r="S1327">
        <v>0</v>
      </c>
      <c r="T1327">
        <v>0</v>
      </c>
      <c r="U1327">
        <v>0</v>
      </c>
      <c r="V1327">
        <v>322886.8</v>
      </c>
      <c r="W1327">
        <v>3702866</v>
      </c>
      <c r="X1327">
        <v>1648</v>
      </c>
      <c r="Y1327">
        <f t="shared" si="20"/>
        <v>3702866</v>
      </c>
      <c r="Z1327" t="str">
        <f>IF(ISNUMBER(SEARCH("Adjustment",$C1327)),"excluded",IF($H1327="Behind the Meter","excluded",IF(NOT(OR($E1327="Bundled",$E1327="Energy")),"excluded",IF(OR($H1327="Retail Power Marketer",$H1327="Community Choice Aggregator",$E1327="Energy"),"procurement",IF(OR($H1327="Municipal",$H1327="Cooperative",$H1327="Federal",$H1327="State",$H1327="Political Subdivision"),"cost_service",IF($H1327="Investor Owned",IF(AND(COUNTIF(Parameters!$A$4:$A$33,$G1327)&gt;0,COUNTIF(Parameters!$B$4:$B$33,$B1327)=0),"procurement","cost_service"),"unclassified"))))))</f>
        <v>procurement</v>
      </c>
    </row>
    <row r="1328" spans="1:26" x14ac:dyDescent="0.25">
      <c r="A1328">
        <v>2024</v>
      </c>
      <c r="B1328">
        <v>19107</v>
      </c>
      <c r="C1328" t="s">
        <v>1232</v>
      </c>
      <c r="D1328" t="s">
        <v>99</v>
      </c>
      <c r="E1328" t="s">
        <v>100</v>
      </c>
      <c r="F1328" t="s">
        <v>86</v>
      </c>
      <c r="G1328" t="s">
        <v>54</v>
      </c>
      <c r="H1328" t="s">
        <v>101</v>
      </c>
      <c r="I1328" t="s">
        <v>92</v>
      </c>
      <c r="J1328">
        <v>0</v>
      </c>
      <c r="K1328">
        <v>0</v>
      </c>
      <c r="L1328">
        <v>0</v>
      </c>
      <c r="M1328">
        <v>194586.5</v>
      </c>
      <c r="N1328">
        <v>3719158</v>
      </c>
      <c r="O1328">
        <v>2524</v>
      </c>
      <c r="P1328">
        <v>66603.399999999994</v>
      </c>
      <c r="Q1328">
        <v>1273000</v>
      </c>
      <c r="R1328">
        <v>864</v>
      </c>
      <c r="S1328">
        <v>0</v>
      </c>
      <c r="T1328">
        <v>0</v>
      </c>
      <c r="U1328">
        <v>0</v>
      </c>
      <c r="V1328">
        <v>261189.9</v>
      </c>
      <c r="W1328">
        <v>4992158</v>
      </c>
      <c r="X1328">
        <v>3388</v>
      </c>
      <c r="Y1328">
        <f t="shared" si="20"/>
        <v>4992158</v>
      </c>
      <c r="Z1328" t="str">
        <f>IF(ISNUMBER(SEARCH("Adjustment",$C1328)),"excluded",IF($H1328="Behind the Meter","excluded",IF(NOT(OR($E1328="Bundled",$E1328="Energy")),"excluded",IF(OR($H1328="Retail Power Marketer",$H1328="Community Choice Aggregator",$E1328="Energy"),"procurement",IF(OR($H1328="Municipal",$H1328="Cooperative",$H1328="Federal",$H1328="State",$H1328="Political Subdivision"),"cost_service",IF($H1328="Investor Owned",IF(AND(COUNTIF(Parameters!$A$4:$A$33,$G1328)&gt;0,COUNTIF(Parameters!$B$4:$B$33,$B1328)=0),"procurement","cost_service"),"unclassified"))))))</f>
        <v>procurement</v>
      </c>
    </row>
    <row r="1329" spans="1:26" x14ac:dyDescent="0.25">
      <c r="A1329">
        <v>2024</v>
      </c>
      <c r="B1329">
        <v>19107</v>
      </c>
      <c r="C1329" t="s">
        <v>1232</v>
      </c>
      <c r="D1329" t="s">
        <v>99</v>
      </c>
      <c r="E1329" t="s">
        <v>100</v>
      </c>
      <c r="F1329" t="s">
        <v>86</v>
      </c>
      <c r="G1329" t="s">
        <v>55</v>
      </c>
      <c r="H1329" t="s">
        <v>101</v>
      </c>
      <c r="I1329" t="s">
        <v>92</v>
      </c>
      <c r="J1329">
        <v>0</v>
      </c>
      <c r="K1329">
        <v>0</v>
      </c>
      <c r="L1329">
        <v>0</v>
      </c>
      <c r="M1329">
        <v>280552.2</v>
      </c>
      <c r="N1329">
        <v>4137884</v>
      </c>
      <c r="O1329">
        <v>3424</v>
      </c>
      <c r="P1329">
        <v>28086.1</v>
      </c>
      <c r="Q1329">
        <v>414244</v>
      </c>
      <c r="R1329">
        <v>343</v>
      </c>
      <c r="S1329">
        <v>0</v>
      </c>
      <c r="T1329">
        <v>0</v>
      </c>
      <c r="U1329">
        <v>0</v>
      </c>
      <c r="V1329">
        <v>308638.3</v>
      </c>
      <c r="W1329">
        <v>4552128</v>
      </c>
      <c r="X1329">
        <v>3767</v>
      </c>
      <c r="Y1329">
        <f t="shared" si="20"/>
        <v>4552128</v>
      </c>
      <c r="Z1329" t="str">
        <f>IF(ISNUMBER(SEARCH("Adjustment",$C1329)),"excluded",IF($H1329="Behind the Meter","excluded",IF(NOT(OR($E1329="Bundled",$E1329="Energy")),"excluded",IF(OR($H1329="Retail Power Marketer",$H1329="Community Choice Aggregator",$E1329="Energy"),"procurement",IF(OR($H1329="Municipal",$H1329="Cooperative",$H1329="Federal",$H1329="State",$H1329="Political Subdivision"),"cost_service",IF($H1329="Investor Owned",IF(AND(COUNTIF(Parameters!$A$4:$A$33,$G1329)&gt;0,COUNTIF(Parameters!$B$4:$B$33,$B1329)=0),"procurement","cost_service"),"unclassified"))))))</f>
        <v>procurement</v>
      </c>
    </row>
    <row r="1330" spans="1:26" x14ac:dyDescent="0.25">
      <c r="A1330">
        <v>2024</v>
      </c>
      <c r="B1330">
        <v>19107</v>
      </c>
      <c r="C1330" t="s">
        <v>1232</v>
      </c>
      <c r="D1330" t="s">
        <v>99</v>
      </c>
      <c r="E1330" t="s">
        <v>100</v>
      </c>
      <c r="F1330" t="s">
        <v>86</v>
      </c>
      <c r="G1330" t="s">
        <v>56</v>
      </c>
      <c r="H1330" t="s">
        <v>101</v>
      </c>
      <c r="I1330" t="s">
        <v>189</v>
      </c>
      <c r="J1330">
        <v>0</v>
      </c>
      <c r="K1330">
        <v>0</v>
      </c>
      <c r="L1330">
        <v>0</v>
      </c>
      <c r="M1330">
        <v>14268.8</v>
      </c>
      <c r="N1330">
        <v>133651</v>
      </c>
      <c r="O1330">
        <v>354</v>
      </c>
      <c r="P1330">
        <v>1638.4</v>
      </c>
      <c r="Q1330">
        <v>15347</v>
      </c>
      <c r="R1330">
        <v>41</v>
      </c>
      <c r="S1330">
        <v>0</v>
      </c>
      <c r="T1330">
        <v>0</v>
      </c>
      <c r="U1330">
        <v>0</v>
      </c>
      <c r="V1330">
        <v>15907.2</v>
      </c>
      <c r="W1330">
        <v>148998</v>
      </c>
      <c r="X1330">
        <v>395</v>
      </c>
      <c r="Y1330">
        <f t="shared" si="20"/>
        <v>148998</v>
      </c>
      <c r="Z1330" t="str">
        <f>IF(ISNUMBER(SEARCH("Adjustment",$C1330)),"excluded",IF($H1330="Behind the Meter","excluded",IF(NOT(OR($E1330="Bundled",$E1330="Energy")),"excluded",IF(OR($H1330="Retail Power Marketer",$H1330="Community Choice Aggregator",$E1330="Energy"),"procurement",IF(OR($H1330="Municipal",$H1330="Cooperative",$H1330="Federal",$H1330="State",$H1330="Political Subdivision"),"cost_service",IF($H1330="Investor Owned",IF(AND(COUNTIF(Parameters!$A$4:$A$33,$G1330)&gt;0,COUNTIF(Parameters!$B$4:$B$33,$B1330)=0),"procurement","cost_service"),"unclassified"))))))</f>
        <v>procurement</v>
      </c>
    </row>
    <row r="1331" spans="1:26" x14ac:dyDescent="0.25">
      <c r="A1331">
        <v>2024</v>
      </c>
      <c r="B1331">
        <v>19107</v>
      </c>
      <c r="C1331" t="s">
        <v>1232</v>
      </c>
      <c r="D1331" t="s">
        <v>150</v>
      </c>
      <c r="E1331" t="s">
        <v>85</v>
      </c>
      <c r="F1331" t="s">
        <v>86</v>
      </c>
      <c r="G1331" t="s">
        <v>57</v>
      </c>
      <c r="H1331" t="s">
        <v>101</v>
      </c>
      <c r="I1331" t="s">
        <v>151</v>
      </c>
      <c r="J1331">
        <v>0</v>
      </c>
      <c r="K1331">
        <v>0</v>
      </c>
      <c r="L1331">
        <v>0</v>
      </c>
      <c r="M1331">
        <v>945456.5</v>
      </c>
      <c r="N1331">
        <v>11954704</v>
      </c>
      <c r="O1331">
        <v>14695</v>
      </c>
      <c r="P1331">
        <v>207620.3</v>
      </c>
      <c r="Q1331">
        <v>2626421</v>
      </c>
      <c r="R1331">
        <v>3226</v>
      </c>
      <c r="S1331">
        <v>369.2</v>
      </c>
      <c r="T1331">
        <v>10103</v>
      </c>
      <c r="U1331">
        <v>1</v>
      </c>
      <c r="V1331">
        <v>1153446</v>
      </c>
      <c r="W1331">
        <v>14591228</v>
      </c>
      <c r="X1331">
        <v>17922</v>
      </c>
      <c r="Y1331">
        <f t="shared" si="20"/>
        <v>14591228</v>
      </c>
      <c r="Z1331" t="str">
        <f>IF(ISNUMBER(SEARCH("Adjustment",$C1331)),"excluded",IF($H1331="Behind the Meter","excluded",IF(NOT(OR($E1331="Bundled",$E1331="Energy")),"excluded",IF(OR($H1331="Retail Power Marketer",$H1331="Community Choice Aggregator",$E1331="Energy"),"procurement",IF(OR($H1331="Municipal",$H1331="Cooperative",$H1331="Federal",$H1331="State",$H1331="Political Subdivision"),"cost_service",IF($H1331="Investor Owned",IF(AND(COUNTIF(Parameters!$A$4:$A$33,$G1331)&gt;0,COUNTIF(Parameters!$B$4:$B$33,$B1331)=0),"procurement","cost_service"),"unclassified"))))))</f>
        <v>procurement</v>
      </c>
    </row>
    <row r="1332" spans="1:26" x14ac:dyDescent="0.25">
      <c r="A1332">
        <v>2024</v>
      </c>
      <c r="B1332">
        <v>19108</v>
      </c>
      <c r="C1332" t="s">
        <v>1233</v>
      </c>
      <c r="D1332" t="s">
        <v>84</v>
      </c>
      <c r="E1332" t="s">
        <v>85</v>
      </c>
      <c r="F1332" t="s">
        <v>86</v>
      </c>
      <c r="G1332" t="s">
        <v>125</v>
      </c>
      <c r="H1332" t="s">
        <v>91</v>
      </c>
      <c r="I1332" t="s">
        <v>92</v>
      </c>
      <c r="J1332">
        <v>38901</v>
      </c>
      <c r="K1332">
        <v>240406</v>
      </c>
      <c r="L1332">
        <v>21551</v>
      </c>
      <c r="M1332">
        <v>11812</v>
      </c>
      <c r="N1332">
        <v>94341</v>
      </c>
      <c r="O1332">
        <v>2776</v>
      </c>
      <c r="P1332">
        <v>1891</v>
      </c>
      <c r="Q1332">
        <v>21145</v>
      </c>
      <c r="R1332">
        <v>10</v>
      </c>
      <c r="S1332">
        <v>0</v>
      </c>
      <c r="T1332">
        <v>0</v>
      </c>
      <c r="U1332">
        <v>0</v>
      </c>
      <c r="V1332">
        <v>52604</v>
      </c>
      <c r="W1332">
        <v>355892</v>
      </c>
      <c r="X1332">
        <v>24337</v>
      </c>
      <c r="Y1332">
        <f t="shared" si="20"/>
        <v>355892</v>
      </c>
      <c r="Z1332" t="str">
        <f>IF(ISNUMBER(SEARCH("Adjustment",$C1332)),"excluded",IF($H1332="Behind the Meter","excluded",IF(NOT(OR($E1332="Bundled",$E1332="Energy")),"excluded",IF(OR($H1332="Retail Power Marketer",$H1332="Community Choice Aggregator",$E1332="Energy"),"procurement",IF(OR($H1332="Municipal",$H1332="Cooperative",$H1332="Federal",$H1332="State",$H1332="Political Subdivision"),"cost_service",IF($H1332="Investor Owned",IF(AND(COUNTIF(Parameters!$A$4:$A$33,$G1332)&gt;0,COUNTIF(Parameters!$B$4:$B$33,$B1332)=0),"procurement","cost_service"),"unclassified"))))))</f>
        <v>cost_service</v>
      </c>
    </row>
    <row r="1333" spans="1:26" x14ac:dyDescent="0.25">
      <c r="A1333">
        <v>2024</v>
      </c>
      <c r="B1333">
        <v>19125</v>
      </c>
      <c r="C1333" t="s">
        <v>1234</v>
      </c>
      <c r="D1333" t="s">
        <v>84</v>
      </c>
      <c r="E1333" t="s">
        <v>85</v>
      </c>
      <c r="F1333" t="s">
        <v>86</v>
      </c>
      <c r="G1333" t="s">
        <v>140</v>
      </c>
      <c r="H1333" t="s">
        <v>88</v>
      </c>
      <c r="I1333" t="s">
        <v>96</v>
      </c>
      <c r="J1333">
        <v>7621</v>
      </c>
      <c r="K1333">
        <v>60013</v>
      </c>
      <c r="L1333">
        <v>9161</v>
      </c>
      <c r="M1333">
        <v>17577</v>
      </c>
      <c r="N1333">
        <v>144995</v>
      </c>
      <c r="O1333">
        <v>3945</v>
      </c>
      <c r="P1333">
        <v>10541</v>
      </c>
      <c r="Q1333">
        <v>131746</v>
      </c>
      <c r="R1333">
        <v>40</v>
      </c>
      <c r="S1333">
        <v>0</v>
      </c>
      <c r="T1333">
        <v>0</v>
      </c>
      <c r="U1333" t="s">
        <v>97</v>
      </c>
      <c r="V1333">
        <v>35739</v>
      </c>
      <c r="W1333">
        <v>336754</v>
      </c>
      <c r="X1333">
        <v>13146</v>
      </c>
      <c r="Y1333">
        <f t="shared" si="20"/>
        <v>336754</v>
      </c>
      <c r="Z1333" t="str">
        <f>IF(ISNUMBER(SEARCH("Adjustment",$C1333)),"excluded",IF($H1333="Behind the Meter","excluded",IF(NOT(OR($E1333="Bundled",$E1333="Energy")),"excluded",IF(OR($H1333="Retail Power Marketer",$H1333="Community Choice Aggregator",$E1333="Energy"),"procurement",IF(OR($H1333="Municipal",$H1333="Cooperative",$H1333="Federal",$H1333="State",$H1333="Political Subdivision"),"cost_service",IF($H1333="Investor Owned",IF(AND(COUNTIF(Parameters!$A$4:$A$33,$G1333)&gt;0,COUNTIF(Parameters!$B$4:$B$33,$B1333)=0),"procurement","cost_service"),"unclassified"))))))</f>
        <v>cost_service</v>
      </c>
    </row>
    <row r="1334" spans="1:26" x14ac:dyDescent="0.25">
      <c r="A1334">
        <v>2024</v>
      </c>
      <c r="B1334">
        <v>19126</v>
      </c>
      <c r="C1334" t="s">
        <v>1235</v>
      </c>
      <c r="D1334" t="s">
        <v>99</v>
      </c>
      <c r="E1334" t="s">
        <v>100</v>
      </c>
      <c r="F1334" t="s">
        <v>86</v>
      </c>
      <c r="G1334" t="s">
        <v>52</v>
      </c>
      <c r="H1334" t="s">
        <v>101</v>
      </c>
      <c r="I1334" t="s">
        <v>92</v>
      </c>
      <c r="J1334">
        <v>615.1</v>
      </c>
      <c r="K1334">
        <v>4316</v>
      </c>
      <c r="L1334">
        <v>342</v>
      </c>
      <c r="M1334">
        <v>1584.5</v>
      </c>
      <c r="N1334">
        <v>13905</v>
      </c>
      <c r="O1334">
        <v>169</v>
      </c>
      <c r="P1334">
        <v>0</v>
      </c>
      <c r="Q1334">
        <v>0</v>
      </c>
      <c r="R1334">
        <v>0</v>
      </c>
      <c r="S1334">
        <v>0</v>
      </c>
      <c r="T1334">
        <v>0</v>
      </c>
      <c r="U1334">
        <v>0</v>
      </c>
      <c r="V1334">
        <v>2199.6</v>
      </c>
      <c r="W1334">
        <v>18221</v>
      </c>
      <c r="X1334">
        <v>511</v>
      </c>
      <c r="Y1334">
        <f t="shared" si="20"/>
        <v>18221</v>
      </c>
      <c r="Z1334" t="str">
        <f>IF(ISNUMBER(SEARCH("Adjustment",$C1334)),"excluded",IF($H1334="Behind the Meter","excluded",IF(NOT(OR($E1334="Bundled",$E1334="Energy")),"excluded",IF(OR($H1334="Retail Power Marketer",$H1334="Community Choice Aggregator",$E1334="Energy"),"procurement",IF(OR($H1334="Municipal",$H1334="Cooperative",$H1334="Federal",$H1334="State",$H1334="Political Subdivision"),"cost_service",IF($H1334="Investor Owned",IF(AND(COUNTIF(Parameters!$A$4:$A$33,$G1334)&gt;0,COUNTIF(Parameters!$B$4:$B$33,$B1334)=0),"procurement","cost_service"),"unclassified"))))))</f>
        <v>procurement</v>
      </c>
    </row>
    <row r="1335" spans="1:26" x14ac:dyDescent="0.25">
      <c r="A1335">
        <v>2024</v>
      </c>
      <c r="B1335">
        <v>19126</v>
      </c>
      <c r="C1335" t="s">
        <v>1235</v>
      </c>
      <c r="D1335" t="s">
        <v>99</v>
      </c>
      <c r="E1335" t="s">
        <v>100</v>
      </c>
      <c r="F1335" t="s">
        <v>86</v>
      </c>
      <c r="G1335" t="s">
        <v>55</v>
      </c>
      <c r="H1335" t="s">
        <v>101</v>
      </c>
      <c r="I1335" t="s">
        <v>92</v>
      </c>
      <c r="J1335">
        <v>3533.6</v>
      </c>
      <c r="K1335">
        <v>26905</v>
      </c>
      <c r="L1335">
        <v>2801</v>
      </c>
      <c r="M1335">
        <v>803</v>
      </c>
      <c r="N1335">
        <v>7042</v>
      </c>
      <c r="O1335">
        <v>237</v>
      </c>
      <c r="P1335">
        <v>0</v>
      </c>
      <c r="Q1335">
        <v>0</v>
      </c>
      <c r="R1335">
        <v>0</v>
      </c>
      <c r="S1335">
        <v>0</v>
      </c>
      <c r="T1335">
        <v>0</v>
      </c>
      <c r="U1335">
        <v>0</v>
      </c>
      <c r="V1335">
        <v>4336.6000000000004</v>
      </c>
      <c r="W1335">
        <v>33947</v>
      </c>
      <c r="X1335">
        <v>3038</v>
      </c>
      <c r="Y1335">
        <f t="shared" si="20"/>
        <v>33947</v>
      </c>
      <c r="Z1335" t="str">
        <f>IF(ISNUMBER(SEARCH("Adjustment",$C1335)),"excluded",IF($H1335="Behind the Meter","excluded",IF(NOT(OR($E1335="Bundled",$E1335="Energy")),"excluded",IF(OR($H1335="Retail Power Marketer",$H1335="Community Choice Aggregator",$E1335="Energy"),"procurement",IF(OR($H1335="Municipal",$H1335="Cooperative",$H1335="Federal",$H1335="State",$H1335="Political Subdivision"),"cost_service",IF($H1335="Investor Owned",IF(AND(COUNTIF(Parameters!$A$4:$A$33,$G1335)&gt;0,COUNTIF(Parameters!$B$4:$B$33,$B1335)=0),"procurement","cost_service"),"unclassified"))))))</f>
        <v>procurement</v>
      </c>
    </row>
    <row r="1336" spans="1:26" x14ac:dyDescent="0.25">
      <c r="A1336">
        <v>2024</v>
      </c>
      <c r="B1336">
        <v>19126</v>
      </c>
      <c r="C1336" t="s">
        <v>1235</v>
      </c>
      <c r="D1336" t="s">
        <v>150</v>
      </c>
      <c r="E1336" t="s">
        <v>85</v>
      </c>
      <c r="F1336" t="s">
        <v>86</v>
      </c>
      <c r="G1336" t="s">
        <v>57</v>
      </c>
      <c r="H1336" t="s">
        <v>101</v>
      </c>
      <c r="I1336" t="s">
        <v>151</v>
      </c>
      <c r="J1336">
        <v>235495.6</v>
      </c>
      <c r="K1336">
        <v>1556150</v>
      </c>
      <c r="L1336">
        <v>107801</v>
      </c>
      <c r="M1336">
        <v>4988.3</v>
      </c>
      <c r="N1336">
        <v>41118</v>
      </c>
      <c r="O1336">
        <v>840</v>
      </c>
      <c r="P1336">
        <v>0</v>
      </c>
      <c r="Q1336">
        <v>0</v>
      </c>
      <c r="R1336">
        <v>0</v>
      </c>
      <c r="S1336">
        <v>0</v>
      </c>
      <c r="T1336">
        <v>0</v>
      </c>
      <c r="U1336">
        <v>0</v>
      </c>
      <c r="V1336">
        <v>240483.9</v>
      </c>
      <c r="W1336">
        <v>1597268</v>
      </c>
      <c r="X1336">
        <v>108641</v>
      </c>
      <c r="Y1336">
        <f t="shared" si="20"/>
        <v>1597268</v>
      </c>
      <c r="Z1336" t="str">
        <f>IF(ISNUMBER(SEARCH("Adjustment",$C1336)),"excluded",IF($H1336="Behind the Meter","excluded",IF(NOT(OR($E1336="Bundled",$E1336="Energy")),"excluded",IF(OR($H1336="Retail Power Marketer",$H1336="Community Choice Aggregator",$E1336="Energy"),"procurement",IF(OR($H1336="Municipal",$H1336="Cooperative",$H1336="Federal",$H1336="State",$H1336="Political Subdivision"),"cost_service",IF($H1336="Investor Owned",IF(AND(COUNTIF(Parameters!$A$4:$A$33,$G1336)&gt;0,COUNTIF(Parameters!$B$4:$B$33,$B1336)=0),"procurement","cost_service"),"unclassified"))))))</f>
        <v>procurement</v>
      </c>
    </row>
    <row r="1337" spans="1:26" x14ac:dyDescent="0.25">
      <c r="A1337">
        <v>2024</v>
      </c>
      <c r="B1337">
        <v>19149</v>
      </c>
      <c r="C1337" t="s">
        <v>1236</v>
      </c>
      <c r="D1337" t="s">
        <v>84</v>
      </c>
      <c r="E1337" t="s">
        <v>85</v>
      </c>
      <c r="F1337" t="s">
        <v>86</v>
      </c>
      <c r="G1337" t="s">
        <v>156</v>
      </c>
      <c r="H1337" t="s">
        <v>88</v>
      </c>
      <c r="I1337" t="s">
        <v>89</v>
      </c>
      <c r="J1337">
        <v>2961</v>
      </c>
      <c r="K1337">
        <v>22998</v>
      </c>
      <c r="L1337">
        <v>1956</v>
      </c>
      <c r="M1337">
        <v>3671</v>
      </c>
      <c r="N1337">
        <v>29503</v>
      </c>
      <c r="O1337">
        <v>506</v>
      </c>
      <c r="P1337">
        <v>686</v>
      </c>
      <c r="Q1337">
        <v>8595</v>
      </c>
      <c r="R1337">
        <v>1</v>
      </c>
      <c r="S1337">
        <v>0</v>
      </c>
      <c r="T1337">
        <v>0</v>
      </c>
      <c r="U1337">
        <v>0</v>
      </c>
      <c r="V1337">
        <v>7318</v>
      </c>
      <c r="W1337">
        <v>61096</v>
      </c>
      <c r="X1337">
        <v>2463</v>
      </c>
      <c r="Y1337">
        <f t="shared" si="20"/>
        <v>61096</v>
      </c>
      <c r="Z1337" t="str">
        <f>IF(ISNUMBER(SEARCH("Adjustment",$C1337)),"excluded",IF($H1337="Behind the Meter","excluded",IF(NOT(OR($E1337="Bundled",$E1337="Energy")),"excluded",IF(OR($H1337="Retail Power Marketer",$H1337="Community Choice Aggregator",$E1337="Energy"),"procurement",IF(OR($H1337="Municipal",$H1337="Cooperative",$H1337="Federal",$H1337="State",$H1337="Political Subdivision"),"cost_service",IF($H1337="Investor Owned",IF(AND(COUNTIF(Parameters!$A$4:$A$33,$G1337)&gt;0,COUNTIF(Parameters!$B$4:$B$33,$B1337)=0),"procurement","cost_service"),"unclassified"))))))</f>
        <v>cost_service</v>
      </c>
    </row>
    <row r="1338" spans="1:26" x14ac:dyDescent="0.25">
      <c r="A1338">
        <v>2024</v>
      </c>
      <c r="B1338">
        <v>19154</v>
      </c>
      <c r="C1338" t="s">
        <v>1237</v>
      </c>
      <c r="D1338" t="s">
        <v>84</v>
      </c>
      <c r="E1338" t="s">
        <v>85</v>
      </c>
      <c r="F1338" t="s">
        <v>86</v>
      </c>
      <c r="G1338" t="s">
        <v>123</v>
      </c>
      <c r="H1338" t="s">
        <v>91</v>
      </c>
      <c r="I1338" t="s">
        <v>89</v>
      </c>
      <c r="J1338">
        <v>22572</v>
      </c>
      <c r="K1338">
        <v>160930</v>
      </c>
      <c r="L1338">
        <v>13123</v>
      </c>
      <c r="M1338">
        <v>12999</v>
      </c>
      <c r="N1338">
        <v>89173</v>
      </c>
      <c r="O1338">
        <v>3286</v>
      </c>
      <c r="P1338">
        <v>0</v>
      </c>
      <c r="Q1338">
        <v>0</v>
      </c>
      <c r="R1338">
        <v>0</v>
      </c>
      <c r="S1338">
        <v>0</v>
      </c>
      <c r="T1338">
        <v>0</v>
      </c>
      <c r="U1338">
        <v>0</v>
      </c>
      <c r="V1338">
        <v>35571</v>
      </c>
      <c r="W1338">
        <v>250103</v>
      </c>
      <c r="X1338">
        <v>16409</v>
      </c>
      <c r="Y1338">
        <f t="shared" si="20"/>
        <v>250103</v>
      </c>
      <c r="Z1338" t="str">
        <f>IF(ISNUMBER(SEARCH("Adjustment",$C1338)),"excluded",IF($H1338="Behind the Meter","excluded",IF(NOT(OR($E1338="Bundled",$E1338="Energy")),"excluded",IF(OR($H1338="Retail Power Marketer",$H1338="Community Choice Aggregator",$E1338="Energy"),"procurement",IF(OR($H1338="Municipal",$H1338="Cooperative",$H1338="Federal",$H1338="State",$H1338="Political Subdivision"),"cost_service",IF($H1338="Investor Owned",IF(AND(COUNTIF(Parameters!$A$4:$A$33,$G1338)&gt;0,COUNTIF(Parameters!$B$4:$B$33,$B1338)=0),"procurement","cost_service"),"unclassified"))))))</f>
        <v>cost_service</v>
      </c>
    </row>
    <row r="1339" spans="1:26" x14ac:dyDescent="0.25">
      <c r="A1339">
        <v>2024</v>
      </c>
      <c r="B1339">
        <v>19154</v>
      </c>
      <c r="C1339" t="s">
        <v>1237</v>
      </c>
      <c r="D1339" t="s">
        <v>84</v>
      </c>
      <c r="E1339" t="s">
        <v>85</v>
      </c>
      <c r="F1339" t="s">
        <v>86</v>
      </c>
      <c r="G1339" t="s">
        <v>125</v>
      </c>
      <c r="H1339" t="s">
        <v>91</v>
      </c>
      <c r="I1339" t="s">
        <v>89</v>
      </c>
      <c r="J1339">
        <v>2255</v>
      </c>
      <c r="K1339">
        <v>15366</v>
      </c>
      <c r="L1339">
        <v>1571</v>
      </c>
      <c r="M1339">
        <v>215</v>
      </c>
      <c r="N1339">
        <v>1081</v>
      </c>
      <c r="O1339">
        <v>227</v>
      </c>
      <c r="P1339">
        <v>0</v>
      </c>
      <c r="Q1339">
        <v>0</v>
      </c>
      <c r="R1339">
        <v>0</v>
      </c>
      <c r="S1339">
        <v>0</v>
      </c>
      <c r="T1339">
        <v>0</v>
      </c>
      <c r="U1339">
        <v>0</v>
      </c>
      <c r="V1339">
        <v>2470</v>
      </c>
      <c r="W1339">
        <v>16447</v>
      </c>
      <c r="X1339">
        <v>1798</v>
      </c>
      <c r="Y1339">
        <f t="shared" si="20"/>
        <v>16447</v>
      </c>
      <c r="Z1339" t="str">
        <f>IF(ISNUMBER(SEARCH("Adjustment",$C1339)),"excluded",IF($H1339="Behind the Meter","excluded",IF(NOT(OR($E1339="Bundled",$E1339="Energy")),"excluded",IF(OR($H1339="Retail Power Marketer",$H1339="Community Choice Aggregator",$E1339="Energy"),"procurement",IF(OR($H1339="Municipal",$H1339="Cooperative",$H1339="Federal",$H1339="State",$H1339="Political Subdivision"),"cost_service",IF($H1339="Investor Owned",IF(AND(COUNTIF(Parameters!$A$4:$A$33,$G1339)&gt;0,COUNTIF(Parameters!$B$4:$B$33,$B1339)=0),"procurement","cost_service"),"unclassified"))))))</f>
        <v>cost_service</v>
      </c>
    </row>
    <row r="1340" spans="1:26" x14ac:dyDescent="0.25">
      <c r="A1340">
        <v>2024</v>
      </c>
      <c r="B1340">
        <v>19154</v>
      </c>
      <c r="C1340" t="s">
        <v>1237</v>
      </c>
      <c r="D1340" t="s">
        <v>84</v>
      </c>
      <c r="E1340" t="s">
        <v>85</v>
      </c>
      <c r="F1340" t="s">
        <v>86</v>
      </c>
      <c r="G1340" t="s">
        <v>156</v>
      </c>
      <c r="H1340" t="s">
        <v>91</v>
      </c>
      <c r="I1340" t="s">
        <v>89</v>
      </c>
      <c r="J1340">
        <v>4808</v>
      </c>
      <c r="K1340">
        <v>34265</v>
      </c>
      <c r="L1340">
        <v>2812</v>
      </c>
      <c r="M1340">
        <v>2178</v>
      </c>
      <c r="N1340">
        <v>14413</v>
      </c>
      <c r="O1340">
        <v>638</v>
      </c>
      <c r="P1340">
        <v>0</v>
      </c>
      <c r="Q1340">
        <v>0</v>
      </c>
      <c r="R1340">
        <v>0</v>
      </c>
      <c r="S1340">
        <v>0</v>
      </c>
      <c r="T1340">
        <v>0</v>
      </c>
      <c r="U1340">
        <v>0</v>
      </c>
      <c r="V1340">
        <v>6986</v>
      </c>
      <c r="W1340">
        <v>48678</v>
      </c>
      <c r="X1340">
        <v>3450</v>
      </c>
      <c r="Y1340">
        <f t="shared" si="20"/>
        <v>48678</v>
      </c>
      <c r="Z1340" t="str">
        <f>IF(ISNUMBER(SEARCH("Adjustment",$C1340)),"excluded",IF($H1340="Behind the Meter","excluded",IF(NOT(OR($E1340="Bundled",$E1340="Energy")),"excluded",IF(OR($H1340="Retail Power Marketer",$H1340="Community Choice Aggregator",$E1340="Energy"),"procurement",IF(OR($H1340="Municipal",$H1340="Cooperative",$H1340="Federal",$H1340="State",$H1340="Political Subdivision"),"cost_service",IF($H1340="Investor Owned",IF(AND(COUNTIF(Parameters!$A$4:$A$33,$G1340)&gt;0,COUNTIF(Parameters!$B$4:$B$33,$B1340)=0),"procurement","cost_service"),"unclassified"))))))</f>
        <v>cost_service</v>
      </c>
    </row>
    <row r="1341" spans="1:26" x14ac:dyDescent="0.25">
      <c r="A1341">
        <v>2024</v>
      </c>
      <c r="B1341">
        <v>19156</v>
      </c>
      <c r="C1341" t="s">
        <v>1238</v>
      </c>
      <c r="D1341" t="s">
        <v>84</v>
      </c>
      <c r="E1341" t="s">
        <v>85</v>
      </c>
      <c r="F1341" t="s">
        <v>86</v>
      </c>
      <c r="G1341" t="s">
        <v>491</v>
      </c>
      <c r="H1341" t="s">
        <v>91</v>
      </c>
      <c r="I1341" t="s">
        <v>259</v>
      </c>
      <c r="J1341">
        <v>66.599999999999994</v>
      </c>
      <c r="K1341">
        <v>525</v>
      </c>
      <c r="L1341">
        <v>52</v>
      </c>
      <c r="M1341">
        <v>20.100000000000001</v>
      </c>
      <c r="N1341">
        <v>115</v>
      </c>
      <c r="O1341">
        <v>20</v>
      </c>
      <c r="P1341">
        <v>4920.3</v>
      </c>
      <c r="Q1341">
        <v>71449</v>
      </c>
      <c r="R1341">
        <v>100</v>
      </c>
      <c r="S1341">
        <v>0</v>
      </c>
      <c r="T1341">
        <v>0</v>
      </c>
      <c r="U1341">
        <v>0</v>
      </c>
      <c r="V1341">
        <v>5007</v>
      </c>
      <c r="W1341">
        <v>72089</v>
      </c>
      <c r="X1341">
        <v>172</v>
      </c>
      <c r="Y1341">
        <f t="shared" si="20"/>
        <v>72089</v>
      </c>
      <c r="Z1341" t="str">
        <f>IF(ISNUMBER(SEARCH("Adjustment",$C1341)),"excluded",IF($H1341="Behind the Meter","excluded",IF(NOT(OR($E1341="Bundled",$E1341="Energy")),"excluded",IF(OR($H1341="Retail Power Marketer",$H1341="Community Choice Aggregator",$E1341="Energy"),"procurement",IF(OR($H1341="Municipal",$H1341="Cooperative",$H1341="Federal",$H1341="State",$H1341="Political Subdivision"),"cost_service",IF($H1341="Investor Owned",IF(AND(COUNTIF(Parameters!$A$4:$A$33,$G1341)&gt;0,COUNTIF(Parameters!$B$4:$B$33,$B1341)=0),"procurement","cost_service"),"unclassified"))))))</f>
        <v>cost_service</v>
      </c>
    </row>
    <row r="1342" spans="1:26" x14ac:dyDescent="0.25">
      <c r="A1342">
        <v>2024</v>
      </c>
      <c r="B1342">
        <v>19156</v>
      </c>
      <c r="C1342" t="s">
        <v>1238</v>
      </c>
      <c r="D1342" t="s">
        <v>84</v>
      </c>
      <c r="E1342" t="s">
        <v>85</v>
      </c>
      <c r="F1342" t="s">
        <v>86</v>
      </c>
      <c r="G1342" t="s">
        <v>323</v>
      </c>
      <c r="H1342" t="s">
        <v>91</v>
      </c>
      <c r="I1342" t="s">
        <v>259</v>
      </c>
      <c r="J1342">
        <v>24668.1</v>
      </c>
      <c r="K1342">
        <v>210375</v>
      </c>
      <c r="L1342">
        <v>15406</v>
      </c>
      <c r="M1342">
        <v>64110.9</v>
      </c>
      <c r="N1342">
        <v>716160</v>
      </c>
      <c r="O1342">
        <v>7365</v>
      </c>
      <c r="P1342">
        <v>68804.800000000003</v>
      </c>
      <c r="Q1342">
        <v>957873</v>
      </c>
      <c r="R1342">
        <v>3950</v>
      </c>
      <c r="S1342">
        <v>0</v>
      </c>
      <c r="T1342">
        <v>0</v>
      </c>
      <c r="U1342">
        <v>0</v>
      </c>
      <c r="V1342">
        <v>157583.79999999999</v>
      </c>
      <c r="W1342">
        <v>1884408</v>
      </c>
      <c r="X1342">
        <v>26721</v>
      </c>
      <c r="Y1342">
        <f t="shared" si="20"/>
        <v>1884408</v>
      </c>
      <c r="Z1342" t="str">
        <f>IF(ISNUMBER(SEARCH("Adjustment",$C1342)),"excluded",IF($H1342="Behind the Meter","excluded",IF(NOT(OR($E1342="Bundled",$E1342="Energy")),"excluded",IF(OR($H1342="Retail Power Marketer",$H1342="Community Choice Aggregator",$E1342="Energy"),"procurement",IF(OR($H1342="Municipal",$H1342="Cooperative",$H1342="Federal",$H1342="State",$H1342="Political Subdivision"),"cost_service",IF($H1342="Investor Owned",IF(AND(COUNTIF(Parameters!$A$4:$A$33,$G1342)&gt;0,COUNTIF(Parameters!$B$4:$B$33,$B1342)=0),"procurement","cost_service"),"unclassified"))))))</f>
        <v>cost_service</v>
      </c>
    </row>
    <row r="1343" spans="1:26" x14ac:dyDescent="0.25">
      <c r="A1343">
        <v>2024</v>
      </c>
      <c r="B1343">
        <v>19157</v>
      </c>
      <c r="C1343" t="s">
        <v>1239</v>
      </c>
      <c r="D1343" t="s">
        <v>84</v>
      </c>
      <c r="E1343" t="s">
        <v>85</v>
      </c>
      <c r="F1343" t="s">
        <v>86</v>
      </c>
      <c r="G1343" t="s">
        <v>146</v>
      </c>
      <c r="H1343" t="s">
        <v>91</v>
      </c>
      <c r="I1343" t="s">
        <v>96</v>
      </c>
      <c r="J1343">
        <v>11892.9</v>
      </c>
      <c r="K1343">
        <v>70345</v>
      </c>
      <c r="L1343">
        <v>6006</v>
      </c>
      <c r="M1343">
        <v>9803.2000000000007</v>
      </c>
      <c r="N1343">
        <v>84357</v>
      </c>
      <c r="O1343">
        <v>1249</v>
      </c>
      <c r="P1343">
        <v>7476</v>
      </c>
      <c r="Q1343">
        <v>93804</v>
      </c>
      <c r="R1343">
        <v>6</v>
      </c>
      <c r="S1343" t="s">
        <v>97</v>
      </c>
      <c r="T1343" t="s">
        <v>97</v>
      </c>
      <c r="U1343" t="s">
        <v>97</v>
      </c>
      <c r="V1343">
        <v>29172.1</v>
      </c>
      <c r="W1343">
        <v>248506</v>
      </c>
      <c r="X1343">
        <v>7261</v>
      </c>
      <c r="Y1343">
        <f t="shared" si="20"/>
        <v>248506</v>
      </c>
      <c r="Z1343" t="str">
        <f>IF(ISNUMBER(SEARCH("Adjustment",$C1343)),"excluded",IF($H1343="Behind the Meter","excluded",IF(NOT(OR($E1343="Bundled",$E1343="Energy")),"excluded",IF(OR($H1343="Retail Power Marketer",$H1343="Community Choice Aggregator",$E1343="Energy"),"procurement",IF(OR($H1343="Municipal",$H1343="Cooperative",$H1343="Federal",$H1343="State",$H1343="Political Subdivision"),"cost_service",IF($H1343="Investor Owned",IF(AND(COUNTIF(Parameters!$A$4:$A$33,$G1343)&gt;0,COUNTIF(Parameters!$B$4:$B$33,$B1343)=0),"procurement","cost_service"),"unclassified"))))))</f>
        <v>cost_service</v>
      </c>
    </row>
    <row r="1344" spans="1:26" x14ac:dyDescent="0.25">
      <c r="A1344">
        <v>2024</v>
      </c>
      <c r="B1344">
        <v>19157</v>
      </c>
      <c r="C1344" t="s">
        <v>1239</v>
      </c>
      <c r="D1344" t="s">
        <v>84</v>
      </c>
      <c r="E1344" t="s">
        <v>85</v>
      </c>
      <c r="F1344" t="s">
        <v>86</v>
      </c>
      <c r="G1344" t="s">
        <v>104</v>
      </c>
      <c r="H1344" t="s">
        <v>91</v>
      </c>
      <c r="I1344" t="s">
        <v>96</v>
      </c>
      <c r="J1344">
        <v>28174</v>
      </c>
      <c r="K1344">
        <v>170128</v>
      </c>
      <c r="L1344">
        <v>15224</v>
      </c>
      <c r="M1344">
        <v>8763.7999999999993</v>
      </c>
      <c r="N1344">
        <v>72224</v>
      </c>
      <c r="O1344">
        <v>1068</v>
      </c>
      <c r="P1344">
        <v>5430.2</v>
      </c>
      <c r="Q1344">
        <v>69687</v>
      </c>
      <c r="R1344">
        <v>15</v>
      </c>
      <c r="S1344" t="s">
        <v>97</v>
      </c>
      <c r="T1344" t="s">
        <v>97</v>
      </c>
      <c r="U1344" t="s">
        <v>97</v>
      </c>
      <c r="V1344">
        <v>42368</v>
      </c>
      <c r="W1344">
        <v>312039</v>
      </c>
      <c r="X1344">
        <v>16307</v>
      </c>
      <c r="Y1344">
        <f t="shared" si="20"/>
        <v>312039</v>
      </c>
      <c r="Z1344" t="str">
        <f>IF(ISNUMBER(SEARCH("Adjustment",$C1344)),"excluded",IF($H1344="Behind the Meter","excluded",IF(NOT(OR($E1344="Bundled",$E1344="Energy")),"excluded",IF(OR($H1344="Retail Power Marketer",$H1344="Community Choice Aggregator",$E1344="Energy"),"procurement",IF(OR($H1344="Municipal",$H1344="Cooperative",$H1344="Federal",$H1344="State",$H1344="Political Subdivision"),"cost_service",IF($H1344="Investor Owned",IF(AND(COUNTIF(Parameters!$A$4:$A$33,$G1344)&gt;0,COUNTIF(Parameters!$B$4:$B$33,$B1344)=0),"procurement","cost_service"),"unclassified"))))))</f>
        <v>cost_service</v>
      </c>
    </row>
    <row r="1345" spans="1:26" x14ac:dyDescent="0.25">
      <c r="A1345">
        <v>2024</v>
      </c>
      <c r="B1345">
        <v>19159</v>
      </c>
      <c r="C1345" t="s">
        <v>1240</v>
      </c>
      <c r="D1345" t="s">
        <v>84</v>
      </c>
      <c r="E1345" t="s">
        <v>85</v>
      </c>
      <c r="F1345" t="s">
        <v>86</v>
      </c>
      <c r="G1345" t="s">
        <v>57</v>
      </c>
      <c r="H1345" t="s">
        <v>91</v>
      </c>
      <c r="I1345" t="s">
        <v>151</v>
      </c>
      <c r="J1345">
        <v>266548.2</v>
      </c>
      <c r="K1345">
        <v>2106793</v>
      </c>
      <c r="L1345">
        <v>118075</v>
      </c>
      <c r="M1345">
        <v>128365.5</v>
      </c>
      <c r="N1345">
        <v>1153776</v>
      </c>
      <c r="O1345">
        <v>19947</v>
      </c>
      <c r="P1345">
        <v>1598.6</v>
      </c>
      <c r="Q1345">
        <v>11389</v>
      </c>
      <c r="R1345">
        <v>1294</v>
      </c>
      <c r="S1345">
        <v>0</v>
      </c>
      <c r="T1345">
        <v>0</v>
      </c>
      <c r="U1345">
        <v>0</v>
      </c>
      <c r="V1345">
        <v>396512.3</v>
      </c>
      <c r="W1345">
        <v>3271958</v>
      </c>
      <c r="X1345">
        <v>139316</v>
      </c>
      <c r="Y1345">
        <f t="shared" si="20"/>
        <v>3271958</v>
      </c>
      <c r="Z1345" t="str">
        <f>IF(ISNUMBER(SEARCH("Adjustment",$C1345)),"excluded",IF($H1345="Behind the Meter","excluded",IF(NOT(OR($E1345="Bundled",$E1345="Energy")),"excluded",IF(OR($H1345="Retail Power Marketer",$H1345="Community Choice Aggregator",$E1345="Energy"),"procurement",IF(OR($H1345="Municipal",$H1345="Cooperative",$H1345="Federal",$H1345="State",$H1345="Political Subdivision"),"cost_service",IF($H1345="Investor Owned",IF(AND(COUNTIF(Parameters!$A$4:$A$33,$G1345)&gt;0,COUNTIF(Parameters!$B$4:$B$33,$B1345)=0),"procurement","cost_service"),"unclassified"))))))</f>
        <v>cost_service</v>
      </c>
    </row>
    <row r="1346" spans="1:26" x14ac:dyDescent="0.25">
      <c r="A1346">
        <v>2024</v>
      </c>
      <c r="B1346">
        <v>19160</v>
      </c>
      <c r="C1346" t="s">
        <v>1241</v>
      </c>
      <c r="D1346" t="s">
        <v>84</v>
      </c>
      <c r="E1346" t="s">
        <v>85</v>
      </c>
      <c r="F1346" t="s">
        <v>86</v>
      </c>
      <c r="G1346" t="s">
        <v>361</v>
      </c>
      <c r="H1346" t="s">
        <v>91</v>
      </c>
      <c r="I1346" t="s">
        <v>135</v>
      </c>
      <c r="J1346">
        <v>11.7</v>
      </c>
      <c r="K1346">
        <v>73</v>
      </c>
      <c r="L1346">
        <v>9</v>
      </c>
      <c r="M1346">
        <v>27.6</v>
      </c>
      <c r="N1346">
        <v>147</v>
      </c>
      <c r="O1346">
        <v>46</v>
      </c>
      <c r="P1346">
        <v>0</v>
      </c>
      <c r="Q1346">
        <v>0</v>
      </c>
      <c r="R1346">
        <v>0</v>
      </c>
      <c r="S1346" t="s">
        <v>97</v>
      </c>
      <c r="T1346" t="s">
        <v>97</v>
      </c>
      <c r="U1346" t="s">
        <v>97</v>
      </c>
      <c r="V1346">
        <v>39.299999999999997</v>
      </c>
      <c r="W1346">
        <v>220</v>
      </c>
      <c r="X1346">
        <v>55</v>
      </c>
      <c r="Y1346">
        <f t="shared" si="20"/>
        <v>220</v>
      </c>
      <c r="Z1346" t="str">
        <f>IF(ISNUMBER(SEARCH("Adjustment",$C1346)),"excluded",IF($H1346="Behind the Meter","excluded",IF(NOT(OR($E1346="Bundled",$E1346="Energy")),"excluded",IF(OR($H1346="Retail Power Marketer",$H1346="Community Choice Aggregator",$E1346="Energy"),"procurement",IF(OR($H1346="Municipal",$H1346="Cooperative",$H1346="Federal",$H1346="State",$H1346="Political Subdivision"),"cost_service",IF($H1346="Investor Owned",IF(AND(COUNTIF(Parameters!$A$4:$A$33,$G1346)&gt;0,COUNTIF(Parameters!$B$4:$B$33,$B1346)=0),"procurement","cost_service"),"unclassified"))))))</f>
        <v>cost_service</v>
      </c>
    </row>
    <row r="1347" spans="1:26" x14ac:dyDescent="0.25">
      <c r="A1347">
        <v>2024</v>
      </c>
      <c r="B1347">
        <v>19160</v>
      </c>
      <c r="C1347" t="s">
        <v>1241</v>
      </c>
      <c r="D1347" t="s">
        <v>84</v>
      </c>
      <c r="E1347" t="s">
        <v>85</v>
      </c>
      <c r="F1347" t="s">
        <v>86</v>
      </c>
      <c r="G1347" t="s">
        <v>134</v>
      </c>
      <c r="H1347" t="s">
        <v>91</v>
      </c>
      <c r="I1347" t="s">
        <v>135</v>
      </c>
      <c r="J1347">
        <v>1354</v>
      </c>
      <c r="K1347">
        <v>8342</v>
      </c>
      <c r="L1347">
        <v>1079</v>
      </c>
      <c r="M1347">
        <v>1411</v>
      </c>
      <c r="N1347">
        <v>8539</v>
      </c>
      <c r="O1347">
        <v>496</v>
      </c>
      <c r="P1347">
        <v>68</v>
      </c>
      <c r="Q1347">
        <v>383</v>
      </c>
      <c r="R1347">
        <v>33</v>
      </c>
      <c r="S1347" t="s">
        <v>97</v>
      </c>
      <c r="T1347" t="s">
        <v>97</v>
      </c>
      <c r="U1347" t="s">
        <v>97</v>
      </c>
      <c r="V1347">
        <v>2833</v>
      </c>
      <c r="W1347">
        <v>17264</v>
      </c>
      <c r="X1347">
        <v>1608</v>
      </c>
      <c r="Y1347">
        <f t="shared" si="20"/>
        <v>17264</v>
      </c>
      <c r="Z1347" t="str">
        <f>IF(ISNUMBER(SEARCH("Adjustment",$C1347)),"excluded",IF($H1347="Behind the Meter","excluded",IF(NOT(OR($E1347="Bundled",$E1347="Energy")),"excluded",IF(OR($H1347="Retail Power Marketer",$H1347="Community Choice Aggregator",$E1347="Energy"),"procurement",IF(OR($H1347="Municipal",$H1347="Cooperative",$H1347="Federal",$H1347="State",$H1347="Political Subdivision"),"cost_service",IF($H1347="Investor Owned",IF(AND(COUNTIF(Parameters!$A$4:$A$33,$G1347)&gt;0,COUNTIF(Parameters!$B$4:$B$33,$B1347)=0),"procurement","cost_service"),"unclassified"))))))</f>
        <v>cost_service</v>
      </c>
    </row>
    <row r="1348" spans="1:26" x14ac:dyDescent="0.25">
      <c r="A1348">
        <v>2024</v>
      </c>
      <c r="B1348">
        <v>19160</v>
      </c>
      <c r="C1348" t="s">
        <v>1241</v>
      </c>
      <c r="D1348" t="s">
        <v>84</v>
      </c>
      <c r="E1348" t="s">
        <v>85</v>
      </c>
      <c r="F1348" t="s">
        <v>86</v>
      </c>
      <c r="G1348" t="s">
        <v>308</v>
      </c>
      <c r="H1348" t="s">
        <v>91</v>
      </c>
      <c r="I1348" t="s">
        <v>135</v>
      </c>
      <c r="J1348">
        <v>1.9</v>
      </c>
      <c r="K1348">
        <v>5</v>
      </c>
      <c r="L1348">
        <v>3</v>
      </c>
      <c r="M1348">
        <v>2.1</v>
      </c>
      <c r="N1348">
        <v>8</v>
      </c>
      <c r="O1348">
        <v>3</v>
      </c>
      <c r="P1348" t="s">
        <v>97</v>
      </c>
      <c r="Q1348" t="s">
        <v>97</v>
      </c>
      <c r="R1348" t="s">
        <v>97</v>
      </c>
      <c r="S1348" t="s">
        <v>97</v>
      </c>
      <c r="T1348" t="s">
        <v>97</v>
      </c>
      <c r="U1348" t="s">
        <v>97</v>
      </c>
      <c r="V1348">
        <v>4</v>
      </c>
      <c r="W1348">
        <v>13</v>
      </c>
      <c r="X1348">
        <v>6</v>
      </c>
      <c r="Y1348">
        <f t="shared" ref="Y1348:Y1411" si="21">IF(ISNUMBER($W1348),$W1348,0)</f>
        <v>13</v>
      </c>
      <c r="Z1348" t="str">
        <f>IF(ISNUMBER(SEARCH("Adjustment",$C1348)),"excluded",IF($H1348="Behind the Meter","excluded",IF(NOT(OR($E1348="Bundled",$E1348="Energy")),"excluded",IF(OR($H1348="Retail Power Marketer",$H1348="Community Choice Aggregator",$E1348="Energy"),"procurement",IF(OR($H1348="Municipal",$H1348="Cooperative",$H1348="Federal",$H1348="State",$H1348="Political Subdivision"),"cost_service",IF($H1348="Investor Owned",IF(AND(COUNTIF(Parameters!$A$4:$A$33,$G1348)&gt;0,COUNTIF(Parameters!$B$4:$B$33,$B1348)=0),"procurement","cost_service"),"unclassified"))))))</f>
        <v>cost_service</v>
      </c>
    </row>
    <row r="1349" spans="1:26" x14ac:dyDescent="0.25">
      <c r="A1349">
        <v>2024</v>
      </c>
      <c r="B1349">
        <v>19160</v>
      </c>
      <c r="C1349" t="s">
        <v>1241</v>
      </c>
      <c r="D1349" t="s">
        <v>84</v>
      </c>
      <c r="E1349" t="s">
        <v>85</v>
      </c>
      <c r="F1349" t="s">
        <v>86</v>
      </c>
      <c r="G1349" t="s">
        <v>136</v>
      </c>
      <c r="H1349" t="s">
        <v>91</v>
      </c>
      <c r="I1349" t="s">
        <v>135</v>
      </c>
      <c r="J1349">
        <v>20359</v>
      </c>
      <c r="K1349">
        <v>128293</v>
      </c>
      <c r="L1349">
        <v>14212</v>
      </c>
      <c r="M1349">
        <v>36305</v>
      </c>
      <c r="N1349">
        <v>250011</v>
      </c>
      <c r="O1349">
        <v>11151</v>
      </c>
      <c r="P1349">
        <v>36136</v>
      </c>
      <c r="Q1349">
        <v>399393</v>
      </c>
      <c r="R1349">
        <v>2629</v>
      </c>
      <c r="S1349" t="s">
        <v>97</v>
      </c>
      <c r="T1349" t="s">
        <v>97</v>
      </c>
      <c r="U1349" t="s">
        <v>97</v>
      </c>
      <c r="V1349">
        <v>92800</v>
      </c>
      <c r="W1349">
        <v>777697</v>
      </c>
      <c r="X1349">
        <v>27992</v>
      </c>
      <c r="Y1349">
        <f t="shared" si="21"/>
        <v>777697</v>
      </c>
      <c r="Z1349" t="str">
        <f>IF(ISNUMBER(SEARCH("Adjustment",$C1349)),"excluded",IF($H1349="Behind the Meter","excluded",IF(NOT(OR($E1349="Bundled",$E1349="Energy")),"excluded",IF(OR($H1349="Retail Power Marketer",$H1349="Community Choice Aggregator",$E1349="Energy"),"procurement",IF(OR($H1349="Municipal",$H1349="Cooperative",$H1349="Federal",$H1349="State",$H1349="Political Subdivision"),"cost_service",IF($H1349="Investor Owned",IF(AND(COUNTIF(Parameters!$A$4:$A$33,$G1349)&gt;0,COUNTIF(Parameters!$B$4:$B$33,$B1349)=0),"procurement","cost_service"),"unclassified"))))))</f>
        <v>cost_service</v>
      </c>
    </row>
    <row r="1350" spans="1:26" x14ac:dyDescent="0.25">
      <c r="A1350">
        <v>2024</v>
      </c>
      <c r="B1350">
        <v>19160</v>
      </c>
      <c r="C1350" t="s">
        <v>1241</v>
      </c>
      <c r="D1350" t="s">
        <v>84</v>
      </c>
      <c r="E1350" t="s">
        <v>85</v>
      </c>
      <c r="F1350" t="s">
        <v>86</v>
      </c>
      <c r="G1350" t="s">
        <v>57</v>
      </c>
      <c r="H1350" t="s">
        <v>91</v>
      </c>
      <c r="I1350" t="s">
        <v>135</v>
      </c>
      <c r="J1350">
        <v>335</v>
      </c>
      <c r="K1350">
        <v>2159</v>
      </c>
      <c r="L1350">
        <v>210</v>
      </c>
      <c r="M1350">
        <v>4314.8999999999996</v>
      </c>
      <c r="N1350">
        <v>73499</v>
      </c>
      <c r="O1350">
        <v>188</v>
      </c>
      <c r="P1350">
        <v>192.5</v>
      </c>
      <c r="Q1350">
        <v>1210</v>
      </c>
      <c r="R1350">
        <v>17</v>
      </c>
      <c r="S1350" t="s">
        <v>97</v>
      </c>
      <c r="T1350" t="s">
        <v>97</v>
      </c>
      <c r="U1350" t="s">
        <v>97</v>
      </c>
      <c r="V1350">
        <v>4842.3999999999996</v>
      </c>
      <c r="W1350">
        <v>76868</v>
      </c>
      <c r="X1350">
        <v>415</v>
      </c>
      <c r="Y1350">
        <f t="shared" si="21"/>
        <v>76868</v>
      </c>
      <c r="Z1350" t="str">
        <f>IF(ISNUMBER(SEARCH("Adjustment",$C1350)),"excluded",IF($H1350="Behind the Meter","excluded",IF(NOT(OR($E1350="Bundled",$E1350="Energy")),"excluded",IF(OR($H1350="Retail Power Marketer",$H1350="Community Choice Aggregator",$E1350="Energy"),"procurement",IF(OR($H1350="Municipal",$H1350="Cooperative",$H1350="Federal",$H1350="State",$H1350="Political Subdivision"),"cost_service",IF($H1350="Investor Owned",IF(AND(COUNTIF(Parameters!$A$4:$A$33,$G1350)&gt;0,COUNTIF(Parameters!$B$4:$B$33,$B1350)=0),"procurement","cost_service"),"unclassified"))))))</f>
        <v>cost_service</v>
      </c>
    </row>
    <row r="1351" spans="1:26" x14ac:dyDescent="0.25">
      <c r="A1351">
        <v>2024</v>
      </c>
      <c r="B1351">
        <v>19161</v>
      </c>
      <c r="C1351" t="s">
        <v>1242</v>
      </c>
      <c r="D1351" t="s">
        <v>84</v>
      </c>
      <c r="E1351" t="s">
        <v>85</v>
      </c>
      <c r="F1351" t="s">
        <v>86</v>
      </c>
      <c r="G1351" t="s">
        <v>195</v>
      </c>
      <c r="H1351" t="s">
        <v>91</v>
      </c>
      <c r="I1351" t="s">
        <v>299</v>
      </c>
      <c r="J1351">
        <v>33198.300000000003</v>
      </c>
      <c r="K1351">
        <v>188475</v>
      </c>
      <c r="L1351">
        <v>18028</v>
      </c>
      <c r="M1351">
        <v>9251.6</v>
      </c>
      <c r="N1351">
        <v>54985</v>
      </c>
      <c r="O1351">
        <v>1625</v>
      </c>
      <c r="P1351">
        <v>10381.700000000001</v>
      </c>
      <c r="Q1351">
        <v>139571</v>
      </c>
      <c r="R1351">
        <v>298</v>
      </c>
      <c r="S1351">
        <v>0</v>
      </c>
      <c r="T1351">
        <v>0</v>
      </c>
      <c r="U1351">
        <v>0</v>
      </c>
      <c r="V1351">
        <v>52831.6</v>
      </c>
      <c r="W1351">
        <v>383031</v>
      </c>
      <c r="X1351">
        <v>19951</v>
      </c>
      <c r="Y1351">
        <f t="shared" si="21"/>
        <v>383031</v>
      </c>
      <c r="Z1351" t="str">
        <f>IF(ISNUMBER(SEARCH("Adjustment",$C1351)),"excluded",IF($H1351="Behind the Meter","excluded",IF(NOT(OR($E1351="Bundled",$E1351="Energy")),"excluded",IF(OR($H1351="Retail Power Marketer",$H1351="Community Choice Aggregator",$E1351="Energy"),"procurement",IF(OR($H1351="Municipal",$H1351="Cooperative",$H1351="Federal",$H1351="State",$H1351="Political Subdivision"),"cost_service",IF($H1351="Investor Owned",IF(AND(COUNTIF(Parameters!$A$4:$A$33,$G1351)&gt;0,COUNTIF(Parameters!$B$4:$B$33,$B1351)=0),"procurement","cost_service"),"unclassified"))))))</f>
        <v>cost_service</v>
      </c>
    </row>
    <row r="1352" spans="1:26" x14ac:dyDescent="0.25">
      <c r="A1352">
        <v>2024</v>
      </c>
      <c r="B1352">
        <v>19162</v>
      </c>
      <c r="C1352" t="s">
        <v>1243</v>
      </c>
      <c r="D1352" t="s">
        <v>84</v>
      </c>
      <c r="E1352" t="s">
        <v>85</v>
      </c>
      <c r="F1352" t="s">
        <v>86</v>
      </c>
      <c r="G1352" t="s">
        <v>209</v>
      </c>
      <c r="H1352" t="s">
        <v>91</v>
      </c>
      <c r="I1352" t="s">
        <v>89</v>
      </c>
      <c r="J1352">
        <v>35384</v>
      </c>
      <c r="K1352">
        <v>282614</v>
      </c>
      <c r="L1352">
        <v>20529</v>
      </c>
      <c r="M1352">
        <v>33578</v>
      </c>
      <c r="N1352">
        <v>330550</v>
      </c>
      <c r="O1352">
        <v>5884</v>
      </c>
      <c r="P1352">
        <v>4673</v>
      </c>
      <c r="Q1352">
        <v>65125</v>
      </c>
      <c r="R1352">
        <v>4</v>
      </c>
      <c r="S1352">
        <v>0</v>
      </c>
      <c r="T1352">
        <v>0</v>
      </c>
      <c r="U1352">
        <v>0</v>
      </c>
      <c r="V1352">
        <v>73635</v>
      </c>
      <c r="W1352">
        <v>678289</v>
      </c>
      <c r="X1352">
        <v>26417</v>
      </c>
      <c r="Y1352">
        <f t="shared" si="21"/>
        <v>678289</v>
      </c>
      <c r="Z1352" t="str">
        <f>IF(ISNUMBER(SEARCH("Adjustment",$C1352)),"excluded",IF($H1352="Behind the Meter","excluded",IF(NOT(OR($E1352="Bundled",$E1352="Energy")),"excluded",IF(OR($H1352="Retail Power Marketer",$H1352="Community Choice Aggregator",$E1352="Energy"),"procurement",IF(OR($H1352="Municipal",$H1352="Cooperative",$H1352="Federal",$H1352="State",$H1352="Political Subdivision"),"cost_service",IF($H1352="Investor Owned",IF(AND(COUNTIF(Parameters!$A$4:$A$33,$G1352)&gt;0,COUNTIF(Parameters!$B$4:$B$33,$B1352)=0),"procurement","cost_service"),"unclassified"))))))</f>
        <v>cost_service</v>
      </c>
    </row>
    <row r="1353" spans="1:26" x14ac:dyDescent="0.25">
      <c r="A1353">
        <v>2024</v>
      </c>
      <c r="B1353">
        <v>19162</v>
      </c>
      <c r="C1353" t="s">
        <v>1243</v>
      </c>
      <c r="D1353" t="s">
        <v>84</v>
      </c>
      <c r="E1353" t="s">
        <v>85</v>
      </c>
      <c r="F1353" t="s">
        <v>86</v>
      </c>
      <c r="G1353" t="s">
        <v>156</v>
      </c>
      <c r="H1353" t="s">
        <v>91</v>
      </c>
      <c r="I1353" t="s">
        <v>89</v>
      </c>
      <c r="J1353">
        <v>45666</v>
      </c>
      <c r="K1353">
        <v>370247</v>
      </c>
      <c r="L1353">
        <v>24824</v>
      </c>
      <c r="M1353">
        <v>22321</v>
      </c>
      <c r="N1353">
        <v>172614</v>
      </c>
      <c r="O1353">
        <v>5681</v>
      </c>
      <c r="P1353">
        <v>771</v>
      </c>
      <c r="Q1353">
        <v>10809</v>
      </c>
      <c r="R1353">
        <v>2</v>
      </c>
      <c r="S1353">
        <v>0</v>
      </c>
      <c r="T1353">
        <v>0</v>
      </c>
      <c r="U1353">
        <v>0</v>
      </c>
      <c r="V1353">
        <v>68758</v>
      </c>
      <c r="W1353">
        <v>553670</v>
      </c>
      <c r="X1353">
        <v>30507</v>
      </c>
      <c r="Y1353">
        <f t="shared" si="21"/>
        <v>553670</v>
      </c>
      <c r="Z1353" t="str">
        <f>IF(ISNUMBER(SEARCH("Adjustment",$C1353)),"excluded",IF($H1353="Behind the Meter","excluded",IF(NOT(OR($E1353="Bundled",$E1353="Energy")),"excluded",IF(OR($H1353="Retail Power Marketer",$H1353="Community Choice Aggregator",$E1353="Energy"),"procurement",IF(OR($H1353="Municipal",$H1353="Cooperative",$H1353="Federal",$H1353="State",$H1353="Political Subdivision"),"cost_service",IF($H1353="Investor Owned",IF(AND(COUNTIF(Parameters!$A$4:$A$33,$G1353)&gt;0,COUNTIF(Parameters!$B$4:$B$33,$B1353)=0),"procurement","cost_service"),"unclassified"))))))</f>
        <v>cost_service</v>
      </c>
    </row>
    <row r="1354" spans="1:26" x14ac:dyDescent="0.25">
      <c r="A1354">
        <v>2024</v>
      </c>
      <c r="B1354">
        <v>19189</v>
      </c>
      <c r="C1354" t="s">
        <v>1244</v>
      </c>
      <c r="D1354" t="s">
        <v>84</v>
      </c>
      <c r="E1354" t="s">
        <v>85</v>
      </c>
      <c r="F1354" t="s">
        <v>86</v>
      </c>
      <c r="G1354" t="s">
        <v>108</v>
      </c>
      <c r="H1354" t="s">
        <v>91</v>
      </c>
      <c r="I1354" t="s">
        <v>243</v>
      </c>
      <c r="J1354">
        <v>84010.2</v>
      </c>
      <c r="K1354">
        <v>592945</v>
      </c>
      <c r="L1354">
        <v>52450</v>
      </c>
      <c r="M1354">
        <v>29248.799999999999</v>
      </c>
      <c r="N1354">
        <v>235687</v>
      </c>
      <c r="O1354">
        <v>2376</v>
      </c>
      <c r="P1354">
        <v>3933.7</v>
      </c>
      <c r="Q1354">
        <v>45234</v>
      </c>
      <c r="R1354">
        <v>34</v>
      </c>
      <c r="S1354">
        <v>0</v>
      </c>
      <c r="T1354">
        <v>0</v>
      </c>
      <c r="U1354">
        <v>0</v>
      </c>
      <c r="V1354">
        <v>117192.7</v>
      </c>
      <c r="W1354">
        <v>873866</v>
      </c>
      <c r="X1354">
        <v>54860</v>
      </c>
      <c r="Y1354">
        <f t="shared" si="21"/>
        <v>873866</v>
      </c>
      <c r="Z1354" t="str">
        <f>IF(ISNUMBER(SEARCH("Adjustment",$C1354)),"excluded",IF($H1354="Behind the Meter","excluded",IF(NOT(OR($E1354="Bundled",$E1354="Energy")),"excluded",IF(OR($H1354="Retail Power Marketer",$H1354="Community Choice Aggregator",$E1354="Energy"),"procurement",IF(OR($H1354="Municipal",$H1354="Cooperative",$H1354="Federal",$H1354="State",$H1354="Political Subdivision"),"cost_service",IF($H1354="Investor Owned",IF(AND(COUNTIF(Parameters!$A$4:$A$33,$G1354)&gt;0,COUNTIF(Parameters!$B$4:$B$33,$B1354)=0),"procurement","cost_service"),"unclassified"))))))</f>
        <v>cost_service</v>
      </c>
    </row>
    <row r="1355" spans="1:26" x14ac:dyDescent="0.25">
      <c r="A1355">
        <v>2024</v>
      </c>
      <c r="B1355">
        <v>19219</v>
      </c>
      <c r="C1355" t="s">
        <v>1245</v>
      </c>
      <c r="D1355" t="s">
        <v>84</v>
      </c>
      <c r="E1355" t="s">
        <v>85</v>
      </c>
      <c r="F1355" t="s">
        <v>86</v>
      </c>
      <c r="G1355" t="s">
        <v>112</v>
      </c>
      <c r="H1355" t="s">
        <v>91</v>
      </c>
      <c r="I1355" t="s">
        <v>113</v>
      </c>
      <c r="J1355">
        <v>1402.3</v>
      </c>
      <c r="K1355">
        <v>8118</v>
      </c>
      <c r="L1355">
        <v>589</v>
      </c>
      <c r="M1355">
        <v>220.2</v>
      </c>
      <c r="N1355">
        <v>1020</v>
      </c>
      <c r="O1355">
        <v>97</v>
      </c>
      <c r="P1355">
        <v>0</v>
      </c>
      <c r="Q1355">
        <v>0</v>
      </c>
      <c r="R1355">
        <v>0</v>
      </c>
      <c r="S1355">
        <v>0</v>
      </c>
      <c r="T1355">
        <v>0</v>
      </c>
      <c r="U1355">
        <v>0</v>
      </c>
      <c r="V1355">
        <v>1622.5</v>
      </c>
      <c r="W1355">
        <v>9138</v>
      </c>
      <c r="X1355">
        <v>686</v>
      </c>
      <c r="Y1355">
        <f t="shared" si="21"/>
        <v>9138</v>
      </c>
      <c r="Z1355" t="str">
        <f>IF(ISNUMBER(SEARCH("Adjustment",$C1355)),"excluded",IF($H1355="Behind the Meter","excluded",IF(NOT(OR($E1355="Bundled",$E1355="Energy")),"excluded",IF(OR($H1355="Retail Power Marketer",$H1355="Community Choice Aggregator",$E1355="Energy"),"procurement",IF(OR($H1355="Municipal",$H1355="Cooperative",$H1355="Federal",$H1355="State",$H1355="Political Subdivision"),"cost_service",IF($H1355="Investor Owned",IF(AND(COUNTIF(Parameters!$A$4:$A$33,$G1355)&gt;0,COUNTIF(Parameters!$B$4:$B$33,$B1355)=0),"procurement","cost_service"),"unclassified"))))))</f>
        <v>cost_service</v>
      </c>
    </row>
    <row r="1356" spans="1:26" x14ac:dyDescent="0.25">
      <c r="A1356">
        <v>2024</v>
      </c>
      <c r="B1356">
        <v>19219</v>
      </c>
      <c r="C1356" t="s">
        <v>1245</v>
      </c>
      <c r="D1356" t="s">
        <v>84</v>
      </c>
      <c r="E1356" t="s">
        <v>85</v>
      </c>
      <c r="F1356" t="s">
        <v>86</v>
      </c>
      <c r="G1356" t="s">
        <v>123</v>
      </c>
      <c r="H1356" t="s">
        <v>91</v>
      </c>
      <c r="I1356" t="s">
        <v>113</v>
      </c>
      <c r="J1356">
        <v>79573.7</v>
      </c>
      <c r="K1356">
        <v>474979</v>
      </c>
      <c r="L1356">
        <v>31998</v>
      </c>
      <c r="M1356">
        <v>23731.1</v>
      </c>
      <c r="N1356">
        <v>145620</v>
      </c>
      <c r="O1356">
        <v>5294</v>
      </c>
      <c r="P1356">
        <v>9381.1</v>
      </c>
      <c r="Q1356">
        <v>132718</v>
      </c>
      <c r="R1356">
        <v>29</v>
      </c>
      <c r="S1356">
        <v>0</v>
      </c>
      <c r="T1356">
        <v>0</v>
      </c>
      <c r="U1356">
        <v>0</v>
      </c>
      <c r="V1356">
        <v>112685.9</v>
      </c>
      <c r="W1356">
        <v>753317</v>
      </c>
      <c r="X1356">
        <v>37321</v>
      </c>
      <c r="Y1356">
        <f t="shared" si="21"/>
        <v>753317</v>
      </c>
      <c r="Z1356" t="str">
        <f>IF(ISNUMBER(SEARCH("Adjustment",$C1356)),"excluded",IF($H1356="Behind the Meter","excluded",IF(NOT(OR($E1356="Bundled",$E1356="Energy")),"excluded",IF(OR($H1356="Retail Power Marketer",$H1356="Community Choice Aggregator",$E1356="Energy"),"procurement",IF(OR($H1356="Municipal",$H1356="Cooperative",$H1356="Federal",$H1356="State",$H1356="Political Subdivision"),"cost_service",IF($H1356="Investor Owned",IF(AND(COUNTIF(Parameters!$A$4:$A$33,$G1356)&gt;0,COUNTIF(Parameters!$B$4:$B$33,$B1356)=0),"procurement","cost_service"),"unclassified"))))))</f>
        <v>cost_service</v>
      </c>
    </row>
    <row r="1357" spans="1:26" x14ac:dyDescent="0.25">
      <c r="A1357">
        <v>2024</v>
      </c>
      <c r="B1357">
        <v>19225</v>
      </c>
      <c r="C1357" t="s">
        <v>1246</v>
      </c>
      <c r="D1357" t="s">
        <v>84</v>
      </c>
      <c r="E1357" t="s">
        <v>85</v>
      </c>
      <c r="F1357" t="s">
        <v>86</v>
      </c>
      <c r="G1357" t="s">
        <v>112</v>
      </c>
      <c r="H1357" t="s">
        <v>88</v>
      </c>
      <c r="I1357" t="s">
        <v>113</v>
      </c>
      <c r="J1357">
        <v>9511.5</v>
      </c>
      <c r="K1357">
        <v>98455</v>
      </c>
      <c r="L1357">
        <v>7855</v>
      </c>
      <c r="M1357">
        <v>3779.4</v>
      </c>
      <c r="N1357">
        <v>41258</v>
      </c>
      <c r="O1357">
        <v>1476</v>
      </c>
      <c r="P1357">
        <v>20022</v>
      </c>
      <c r="Q1357">
        <v>317249</v>
      </c>
      <c r="R1357">
        <v>170</v>
      </c>
      <c r="S1357" t="s">
        <v>97</v>
      </c>
      <c r="T1357" t="s">
        <v>97</v>
      </c>
      <c r="U1357" t="s">
        <v>97</v>
      </c>
      <c r="V1357">
        <v>33312.9</v>
      </c>
      <c r="W1357">
        <v>456962</v>
      </c>
      <c r="X1357">
        <v>9501</v>
      </c>
      <c r="Y1357">
        <f t="shared" si="21"/>
        <v>456962</v>
      </c>
      <c r="Z1357" t="str">
        <f>IF(ISNUMBER(SEARCH("Adjustment",$C1357)),"excluded",IF($H1357="Behind the Meter","excluded",IF(NOT(OR($E1357="Bundled",$E1357="Energy")),"excluded",IF(OR($H1357="Retail Power Marketer",$H1357="Community Choice Aggregator",$E1357="Energy"),"procurement",IF(OR($H1357="Municipal",$H1357="Cooperative",$H1357="Federal",$H1357="State",$H1357="Political Subdivision"),"cost_service",IF($H1357="Investor Owned",IF(AND(COUNTIF(Parameters!$A$4:$A$33,$G1357)&gt;0,COUNTIF(Parameters!$B$4:$B$33,$B1357)=0),"procurement","cost_service"),"unclassified"))))))</f>
        <v>cost_service</v>
      </c>
    </row>
    <row r="1358" spans="1:26" x14ac:dyDescent="0.25">
      <c r="A1358">
        <v>2024</v>
      </c>
      <c r="B1358">
        <v>19266</v>
      </c>
      <c r="C1358" t="s">
        <v>1247</v>
      </c>
      <c r="D1358" t="s">
        <v>84</v>
      </c>
      <c r="E1358" t="s">
        <v>85</v>
      </c>
      <c r="F1358" t="s">
        <v>86</v>
      </c>
      <c r="G1358" t="s">
        <v>156</v>
      </c>
      <c r="H1358" t="s">
        <v>88</v>
      </c>
      <c r="I1358" t="s">
        <v>89</v>
      </c>
      <c r="J1358">
        <v>14248</v>
      </c>
      <c r="K1358">
        <v>127490</v>
      </c>
      <c r="L1358">
        <v>9278</v>
      </c>
      <c r="M1358">
        <v>15131</v>
      </c>
      <c r="N1358">
        <v>134176</v>
      </c>
      <c r="O1358">
        <v>2014</v>
      </c>
      <c r="P1358">
        <v>1571</v>
      </c>
      <c r="Q1358">
        <v>18146</v>
      </c>
      <c r="R1358">
        <v>3</v>
      </c>
      <c r="S1358">
        <v>0</v>
      </c>
      <c r="T1358">
        <v>0</v>
      </c>
      <c r="U1358">
        <v>0</v>
      </c>
      <c r="V1358">
        <v>30950</v>
      </c>
      <c r="W1358">
        <v>279812</v>
      </c>
      <c r="X1358">
        <v>11295</v>
      </c>
      <c r="Y1358">
        <f t="shared" si="21"/>
        <v>279812</v>
      </c>
      <c r="Z1358" t="str">
        <f>IF(ISNUMBER(SEARCH("Adjustment",$C1358)),"excluded",IF($H1358="Behind the Meter","excluded",IF(NOT(OR($E1358="Bundled",$E1358="Energy")),"excluded",IF(OR($H1358="Retail Power Marketer",$H1358="Community Choice Aggregator",$E1358="Energy"),"procurement",IF(OR($H1358="Municipal",$H1358="Cooperative",$H1358="Federal",$H1358="State",$H1358="Political Subdivision"),"cost_service",IF($H1358="Investor Owned",IF(AND(COUNTIF(Parameters!$A$4:$A$33,$G1358)&gt;0,COUNTIF(Parameters!$B$4:$B$33,$B1358)=0),"procurement","cost_service"),"unclassified"))))))</f>
        <v>cost_service</v>
      </c>
    </row>
    <row r="1359" spans="1:26" x14ac:dyDescent="0.25">
      <c r="A1359">
        <v>2024</v>
      </c>
      <c r="B1359">
        <v>19273</v>
      </c>
      <c r="C1359" t="s">
        <v>1248</v>
      </c>
      <c r="D1359" t="s">
        <v>84</v>
      </c>
      <c r="E1359" t="s">
        <v>85</v>
      </c>
      <c r="F1359" t="s">
        <v>86</v>
      </c>
      <c r="G1359" t="s">
        <v>87</v>
      </c>
      <c r="H1359" t="s">
        <v>88</v>
      </c>
      <c r="I1359" t="s">
        <v>89</v>
      </c>
      <c r="J1359">
        <v>15357</v>
      </c>
      <c r="K1359">
        <v>139489</v>
      </c>
      <c r="L1359">
        <v>10620</v>
      </c>
      <c r="M1359">
        <v>34724</v>
      </c>
      <c r="N1359">
        <v>316663</v>
      </c>
      <c r="O1359">
        <v>5022</v>
      </c>
      <c r="P1359">
        <v>7522</v>
      </c>
      <c r="Q1359">
        <v>126285</v>
      </c>
      <c r="R1359">
        <v>3</v>
      </c>
      <c r="S1359">
        <v>0</v>
      </c>
      <c r="T1359">
        <v>0</v>
      </c>
      <c r="U1359">
        <v>0</v>
      </c>
      <c r="V1359">
        <v>57603</v>
      </c>
      <c r="W1359">
        <v>582437</v>
      </c>
      <c r="X1359">
        <v>15645</v>
      </c>
      <c r="Y1359">
        <f t="shared" si="21"/>
        <v>582437</v>
      </c>
      <c r="Z1359" t="str">
        <f>IF(ISNUMBER(SEARCH("Adjustment",$C1359)),"excluded",IF($H1359="Behind the Meter","excluded",IF(NOT(OR($E1359="Bundled",$E1359="Energy")),"excluded",IF(OR($H1359="Retail Power Marketer",$H1359="Community Choice Aggregator",$E1359="Energy"),"procurement",IF(OR($H1359="Municipal",$H1359="Cooperative",$H1359="Federal",$H1359="State",$H1359="Political Subdivision"),"cost_service",IF($H1359="Investor Owned",IF(AND(COUNTIF(Parameters!$A$4:$A$33,$G1359)&gt;0,COUNTIF(Parameters!$B$4:$B$33,$B1359)=0),"procurement","cost_service"),"unclassified"))))))</f>
        <v>cost_service</v>
      </c>
    </row>
    <row r="1360" spans="1:26" x14ac:dyDescent="0.25">
      <c r="A1360">
        <v>2024</v>
      </c>
      <c r="B1360">
        <v>19277</v>
      </c>
      <c r="C1360" t="s">
        <v>1249</v>
      </c>
      <c r="D1360" t="s">
        <v>84</v>
      </c>
      <c r="E1360" t="s">
        <v>85</v>
      </c>
      <c r="F1360" t="s">
        <v>86</v>
      </c>
      <c r="G1360" t="s">
        <v>118</v>
      </c>
      <c r="H1360" t="s">
        <v>109</v>
      </c>
      <c r="I1360" t="s">
        <v>119</v>
      </c>
      <c r="J1360" t="s">
        <v>97</v>
      </c>
      <c r="K1360" t="s">
        <v>97</v>
      </c>
      <c r="L1360" t="s">
        <v>97</v>
      </c>
      <c r="M1360">
        <v>11825</v>
      </c>
      <c r="N1360">
        <v>47662</v>
      </c>
      <c r="O1360">
        <v>162</v>
      </c>
      <c r="P1360" t="s">
        <v>97</v>
      </c>
      <c r="Q1360" t="s">
        <v>97</v>
      </c>
      <c r="R1360" t="s">
        <v>97</v>
      </c>
      <c r="S1360" t="s">
        <v>97</v>
      </c>
      <c r="T1360" t="s">
        <v>97</v>
      </c>
      <c r="U1360" t="s">
        <v>97</v>
      </c>
      <c r="V1360">
        <v>11825</v>
      </c>
      <c r="W1360">
        <v>47662</v>
      </c>
      <c r="X1360">
        <v>162</v>
      </c>
      <c r="Y1360">
        <f t="shared" si="21"/>
        <v>47662</v>
      </c>
      <c r="Z1360" t="str">
        <f>IF(ISNUMBER(SEARCH("Adjustment",$C1360)),"excluded",IF($H1360="Behind the Meter","excluded",IF(NOT(OR($E1360="Bundled",$E1360="Energy")),"excluded",IF(OR($H1360="Retail Power Marketer",$H1360="Community Choice Aggregator",$E1360="Energy"),"procurement",IF(OR($H1360="Municipal",$H1360="Cooperative",$H1360="Federal",$H1360="State",$H1360="Political Subdivision"),"cost_service",IF($H1360="Investor Owned",IF(AND(COUNTIF(Parameters!$A$4:$A$33,$G1360)&gt;0,COUNTIF(Parameters!$B$4:$B$33,$B1360)=0),"procurement","cost_service"),"unclassified"))))))</f>
        <v>cost_service</v>
      </c>
    </row>
    <row r="1361" spans="1:26" x14ac:dyDescent="0.25">
      <c r="A1361">
        <v>2024</v>
      </c>
      <c r="B1361">
        <v>19281</v>
      </c>
      <c r="C1361" t="s">
        <v>1250</v>
      </c>
      <c r="D1361" t="s">
        <v>84</v>
      </c>
      <c r="E1361" t="s">
        <v>85</v>
      </c>
      <c r="F1361" t="s">
        <v>86</v>
      </c>
      <c r="G1361" t="s">
        <v>115</v>
      </c>
      <c r="H1361" t="s">
        <v>205</v>
      </c>
      <c r="I1361" t="s">
        <v>1251</v>
      </c>
      <c r="J1361">
        <v>136142</v>
      </c>
      <c r="K1361">
        <v>833392</v>
      </c>
      <c r="L1361">
        <v>80575</v>
      </c>
      <c r="M1361">
        <v>74285</v>
      </c>
      <c r="N1361">
        <v>547752</v>
      </c>
      <c r="O1361">
        <v>8945</v>
      </c>
      <c r="P1361">
        <v>109861</v>
      </c>
      <c r="Q1361">
        <v>863283</v>
      </c>
      <c r="R1361">
        <v>6226</v>
      </c>
      <c r="S1361" t="s">
        <v>97</v>
      </c>
      <c r="T1361" t="s">
        <v>97</v>
      </c>
      <c r="U1361" t="s">
        <v>97</v>
      </c>
      <c r="V1361">
        <v>320288</v>
      </c>
      <c r="W1361">
        <v>2244427</v>
      </c>
      <c r="X1361">
        <v>95746</v>
      </c>
      <c r="Y1361">
        <f t="shared" si="21"/>
        <v>2244427</v>
      </c>
      <c r="Z1361" t="str">
        <f>IF(ISNUMBER(SEARCH("Adjustment",$C1361)),"excluded",IF($H1361="Behind the Meter","excluded",IF(NOT(OR($E1361="Bundled",$E1361="Energy")),"excluded",IF(OR($H1361="Retail Power Marketer",$H1361="Community Choice Aggregator",$E1361="Energy"),"procurement",IF(OR($H1361="Municipal",$H1361="Cooperative",$H1361="Federal",$H1361="State",$H1361="Political Subdivision"),"cost_service",IF($H1361="Investor Owned",IF(AND(COUNTIF(Parameters!$A$4:$A$33,$G1361)&gt;0,COUNTIF(Parameters!$B$4:$B$33,$B1361)=0),"procurement","cost_service"),"unclassified"))))))</f>
        <v>cost_service</v>
      </c>
    </row>
    <row r="1362" spans="1:26" x14ac:dyDescent="0.25">
      <c r="A1362">
        <v>2024</v>
      </c>
      <c r="B1362">
        <v>19293</v>
      </c>
      <c r="C1362" t="s">
        <v>1252</v>
      </c>
      <c r="D1362" t="s">
        <v>84</v>
      </c>
      <c r="E1362" t="s">
        <v>85</v>
      </c>
      <c r="F1362" t="s">
        <v>86</v>
      </c>
      <c r="G1362" t="s">
        <v>224</v>
      </c>
      <c r="H1362" t="s">
        <v>91</v>
      </c>
      <c r="I1362" t="s">
        <v>135</v>
      </c>
      <c r="J1362">
        <v>33864.5</v>
      </c>
      <c r="K1362">
        <v>272917</v>
      </c>
      <c r="L1362">
        <v>20160</v>
      </c>
      <c r="M1362">
        <v>21187.7</v>
      </c>
      <c r="N1362">
        <v>207515</v>
      </c>
      <c r="O1362">
        <v>2996</v>
      </c>
      <c r="P1362">
        <v>26822.799999999999</v>
      </c>
      <c r="Q1362">
        <v>331265</v>
      </c>
      <c r="R1362">
        <v>280</v>
      </c>
      <c r="S1362">
        <v>0</v>
      </c>
      <c r="T1362">
        <v>0</v>
      </c>
      <c r="U1362">
        <v>0</v>
      </c>
      <c r="V1362">
        <v>81875</v>
      </c>
      <c r="W1362">
        <v>811697</v>
      </c>
      <c r="X1362">
        <v>23436</v>
      </c>
      <c r="Y1362">
        <f t="shared" si="21"/>
        <v>811697</v>
      </c>
      <c r="Z1362" t="str">
        <f>IF(ISNUMBER(SEARCH("Adjustment",$C1362)),"excluded",IF($H1362="Behind the Meter","excluded",IF(NOT(OR($E1362="Bundled",$E1362="Energy")),"excluded",IF(OR($H1362="Retail Power Marketer",$H1362="Community Choice Aggregator",$E1362="Energy"),"procurement",IF(OR($H1362="Municipal",$H1362="Cooperative",$H1362="Federal",$H1362="State",$H1362="Political Subdivision"),"cost_service",IF($H1362="Investor Owned",IF(AND(COUNTIF(Parameters!$A$4:$A$33,$G1362)&gt;0,COUNTIF(Parameters!$B$4:$B$33,$B1362)=0),"procurement","cost_service"),"unclassified"))))))</f>
        <v>cost_service</v>
      </c>
    </row>
    <row r="1363" spans="1:26" x14ac:dyDescent="0.25">
      <c r="A1363">
        <v>2024</v>
      </c>
      <c r="B1363">
        <v>19307</v>
      </c>
      <c r="C1363" t="s">
        <v>1253</v>
      </c>
      <c r="D1363" t="s">
        <v>84</v>
      </c>
      <c r="E1363" t="s">
        <v>85</v>
      </c>
      <c r="F1363" t="s">
        <v>86</v>
      </c>
      <c r="G1363" t="s">
        <v>112</v>
      </c>
      <c r="H1363" t="s">
        <v>88</v>
      </c>
      <c r="I1363" t="s">
        <v>89</v>
      </c>
      <c r="J1363">
        <v>6432</v>
      </c>
      <c r="K1363">
        <v>54455</v>
      </c>
      <c r="L1363">
        <v>4038</v>
      </c>
      <c r="M1363">
        <v>3736</v>
      </c>
      <c r="N1363">
        <v>28542</v>
      </c>
      <c r="O1363">
        <v>944</v>
      </c>
      <c r="P1363">
        <v>1465</v>
      </c>
      <c r="Q1363">
        <v>11731</v>
      </c>
      <c r="R1363">
        <v>2</v>
      </c>
      <c r="S1363">
        <v>0</v>
      </c>
      <c r="T1363">
        <v>0</v>
      </c>
      <c r="U1363">
        <v>0</v>
      </c>
      <c r="V1363">
        <v>11633</v>
      </c>
      <c r="W1363">
        <v>94728</v>
      </c>
      <c r="X1363">
        <v>4984</v>
      </c>
      <c r="Y1363">
        <f t="shared" si="21"/>
        <v>94728</v>
      </c>
      <c r="Z1363" t="str">
        <f>IF(ISNUMBER(SEARCH("Adjustment",$C1363)),"excluded",IF($H1363="Behind the Meter","excluded",IF(NOT(OR($E1363="Bundled",$E1363="Energy")),"excluded",IF(OR($H1363="Retail Power Marketer",$H1363="Community Choice Aggregator",$E1363="Energy"),"procurement",IF(OR($H1363="Municipal",$H1363="Cooperative",$H1363="Federal",$H1363="State",$H1363="Political Subdivision"),"cost_service",IF($H1363="Investor Owned",IF(AND(COUNTIF(Parameters!$A$4:$A$33,$G1363)&gt;0,COUNTIF(Parameters!$B$4:$B$33,$B1363)=0),"procurement","cost_service"),"unclassified"))))))</f>
        <v>cost_service</v>
      </c>
    </row>
    <row r="1364" spans="1:26" x14ac:dyDescent="0.25">
      <c r="A1364">
        <v>2024</v>
      </c>
      <c r="B1364">
        <v>19324</v>
      </c>
      <c r="C1364" t="s">
        <v>1254</v>
      </c>
      <c r="D1364" t="s">
        <v>84</v>
      </c>
      <c r="E1364" t="s">
        <v>85</v>
      </c>
      <c r="F1364" t="s">
        <v>86</v>
      </c>
      <c r="G1364" t="s">
        <v>95</v>
      </c>
      <c r="H1364" t="s">
        <v>88</v>
      </c>
      <c r="I1364" t="s">
        <v>96</v>
      </c>
      <c r="J1364">
        <v>4318.3</v>
      </c>
      <c r="K1364">
        <v>33983</v>
      </c>
      <c r="L1364">
        <v>5573</v>
      </c>
      <c r="M1364">
        <v>4389.8</v>
      </c>
      <c r="N1364">
        <v>41643</v>
      </c>
      <c r="O1364">
        <v>664</v>
      </c>
      <c r="P1364">
        <v>456</v>
      </c>
      <c r="Q1364">
        <v>4584</v>
      </c>
      <c r="R1364">
        <v>1</v>
      </c>
      <c r="S1364">
        <v>0</v>
      </c>
      <c r="T1364">
        <v>0</v>
      </c>
      <c r="U1364">
        <v>0</v>
      </c>
      <c r="V1364">
        <v>9164.1</v>
      </c>
      <c r="W1364">
        <v>80210</v>
      </c>
      <c r="X1364">
        <v>6238</v>
      </c>
      <c r="Y1364">
        <f t="shared" si="21"/>
        <v>80210</v>
      </c>
      <c r="Z1364" t="str">
        <f>IF(ISNUMBER(SEARCH("Adjustment",$C1364)),"excluded",IF($H1364="Behind the Meter","excluded",IF(NOT(OR($E1364="Bundled",$E1364="Energy")),"excluded",IF(OR($H1364="Retail Power Marketer",$H1364="Community Choice Aggregator",$E1364="Energy"),"procurement",IF(OR($H1364="Municipal",$H1364="Cooperative",$H1364="Federal",$H1364="State",$H1364="Political Subdivision"),"cost_service",IF($H1364="Investor Owned",IF(AND(COUNTIF(Parameters!$A$4:$A$33,$G1364)&gt;0,COUNTIF(Parameters!$B$4:$B$33,$B1364)=0),"procurement","cost_service"),"unclassified"))))))</f>
        <v>cost_service</v>
      </c>
    </row>
    <row r="1365" spans="1:26" x14ac:dyDescent="0.25">
      <c r="A1365">
        <v>2024</v>
      </c>
      <c r="B1365">
        <v>19325</v>
      </c>
      <c r="C1365" t="s">
        <v>1255</v>
      </c>
      <c r="D1365" t="s">
        <v>84</v>
      </c>
      <c r="E1365" t="s">
        <v>85</v>
      </c>
      <c r="F1365" t="s">
        <v>86</v>
      </c>
      <c r="G1365" t="s">
        <v>219</v>
      </c>
      <c r="H1365" t="s">
        <v>91</v>
      </c>
      <c r="I1365" t="s">
        <v>206</v>
      </c>
      <c r="J1365">
        <v>17894.8</v>
      </c>
      <c r="K1365">
        <v>181783</v>
      </c>
      <c r="L1365">
        <v>12620</v>
      </c>
      <c r="M1365">
        <v>518443.4</v>
      </c>
      <c r="N1365">
        <v>7507887</v>
      </c>
      <c r="O1365">
        <v>2472</v>
      </c>
      <c r="P1365">
        <v>44316.1</v>
      </c>
      <c r="Q1365">
        <v>742260</v>
      </c>
      <c r="R1365">
        <v>1554</v>
      </c>
      <c r="S1365" t="s">
        <v>97</v>
      </c>
      <c r="T1365" t="s">
        <v>97</v>
      </c>
      <c r="U1365" t="s">
        <v>97</v>
      </c>
      <c r="V1365">
        <v>580654.30000000005</v>
      </c>
      <c r="W1365">
        <v>8431930</v>
      </c>
      <c r="X1365">
        <v>16646</v>
      </c>
      <c r="Y1365">
        <f t="shared" si="21"/>
        <v>8431930</v>
      </c>
      <c r="Z1365" t="str">
        <f>IF(ISNUMBER(SEARCH("Adjustment",$C1365)),"excluded",IF($H1365="Behind the Meter","excluded",IF(NOT(OR($E1365="Bundled",$E1365="Energy")),"excluded",IF(OR($H1365="Retail Power Marketer",$H1365="Community Choice Aggregator",$E1365="Energy"),"procurement",IF(OR($H1365="Municipal",$H1365="Cooperative",$H1365="Federal",$H1365="State",$H1365="Political Subdivision"),"cost_service",IF($H1365="Investor Owned",IF(AND(COUNTIF(Parameters!$A$4:$A$33,$G1365)&gt;0,COUNTIF(Parameters!$B$4:$B$33,$B1365)=0),"procurement","cost_service"),"unclassified"))))))</f>
        <v>cost_service</v>
      </c>
    </row>
    <row r="1366" spans="1:26" x14ac:dyDescent="0.25">
      <c r="A1366">
        <v>2024</v>
      </c>
      <c r="B1366">
        <v>19327</v>
      </c>
      <c r="C1366" t="s">
        <v>1256</v>
      </c>
      <c r="D1366" t="s">
        <v>150</v>
      </c>
      <c r="E1366" t="s">
        <v>85</v>
      </c>
      <c r="F1366" t="s">
        <v>86</v>
      </c>
      <c r="G1366" t="s">
        <v>57</v>
      </c>
      <c r="H1366" t="s">
        <v>101</v>
      </c>
      <c r="I1366" t="s">
        <v>151</v>
      </c>
      <c r="J1366">
        <v>3494663</v>
      </c>
      <c r="K1366">
        <v>18685055</v>
      </c>
      <c r="L1366">
        <v>1446391</v>
      </c>
      <c r="M1366">
        <v>463093</v>
      </c>
      <c r="N1366">
        <v>2721232</v>
      </c>
      <c r="O1366">
        <v>108504</v>
      </c>
      <c r="P1366">
        <v>2949897</v>
      </c>
      <c r="Q1366">
        <v>43156902</v>
      </c>
      <c r="R1366">
        <v>284881</v>
      </c>
      <c r="S1366">
        <v>0</v>
      </c>
      <c r="T1366">
        <v>0</v>
      </c>
      <c r="U1366">
        <v>0</v>
      </c>
      <c r="V1366">
        <v>6907653</v>
      </c>
      <c r="W1366">
        <v>64563189</v>
      </c>
      <c r="X1366">
        <v>1839776</v>
      </c>
      <c r="Y1366">
        <f t="shared" si="21"/>
        <v>64563189</v>
      </c>
      <c r="Z1366" t="str">
        <f>IF(ISNUMBER(SEARCH("Adjustment",$C1366)),"excluded",IF($H1366="Behind the Meter","excluded",IF(NOT(OR($E1366="Bundled",$E1366="Energy")),"excluded",IF(OR($H1366="Retail Power Marketer",$H1366="Community Choice Aggregator",$E1366="Energy"),"procurement",IF(OR($H1366="Municipal",$H1366="Cooperative",$H1366="Federal",$H1366="State",$H1366="Political Subdivision"),"cost_service",IF($H1366="Investor Owned",IF(AND(COUNTIF(Parameters!$A$4:$A$33,$G1366)&gt;0,COUNTIF(Parameters!$B$4:$B$33,$B1366)=0),"procurement","cost_service"),"unclassified"))))))</f>
        <v>procurement</v>
      </c>
    </row>
    <row r="1367" spans="1:26" x14ac:dyDescent="0.25">
      <c r="A1367">
        <v>2024</v>
      </c>
      <c r="B1367">
        <v>19390</v>
      </c>
      <c r="C1367" t="s">
        <v>1257</v>
      </c>
      <c r="D1367" t="s">
        <v>84</v>
      </c>
      <c r="E1367" t="s">
        <v>85</v>
      </c>
      <c r="F1367" t="s">
        <v>86</v>
      </c>
      <c r="G1367" t="s">
        <v>55</v>
      </c>
      <c r="H1367" t="s">
        <v>109</v>
      </c>
      <c r="I1367" t="s">
        <v>92</v>
      </c>
      <c r="J1367">
        <v>103232.3</v>
      </c>
      <c r="K1367">
        <v>545375</v>
      </c>
      <c r="L1367">
        <v>54485</v>
      </c>
      <c r="M1367">
        <v>24574.9</v>
      </c>
      <c r="N1367">
        <v>185609</v>
      </c>
      <c r="O1367">
        <v>6933</v>
      </c>
      <c r="P1367">
        <v>2022</v>
      </c>
      <c r="Q1367">
        <v>23104</v>
      </c>
      <c r="R1367">
        <v>76</v>
      </c>
      <c r="S1367">
        <v>0</v>
      </c>
      <c r="T1367">
        <v>0</v>
      </c>
      <c r="U1367">
        <v>0</v>
      </c>
      <c r="V1367">
        <v>129829.2</v>
      </c>
      <c r="W1367">
        <v>754088</v>
      </c>
      <c r="X1367">
        <v>61494</v>
      </c>
      <c r="Y1367">
        <f t="shared" si="21"/>
        <v>754088</v>
      </c>
      <c r="Z1367" t="str">
        <f>IF(ISNUMBER(SEARCH("Adjustment",$C1367)),"excluded",IF($H1367="Behind the Meter","excluded",IF(NOT(OR($E1367="Bundled",$E1367="Energy")),"excluded",IF(OR($H1367="Retail Power Marketer",$H1367="Community Choice Aggregator",$E1367="Energy"),"procurement",IF(OR($H1367="Municipal",$H1367="Cooperative",$H1367="Federal",$H1367="State",$H1367="Political Subdivision"),"cost_service",IF($H1367="Investor Owned",IF(AND(COUNTIF(Parameters!$A$4:$A$33,$G1367)&gt;0,COUNTIF(Parameters!$B$4:$B$33,$B1367)=0),"procurement","cost_service"),"unclassified"))))))</f>
        <v>procurement</v>
      </c>
    </row>
    <row r="1368" spans="1:26" x14ac:dyDescent="0.25">
      <c r="A1368">
        <v>2024</v>
      </c>
      <c r="B1368">
        <v>19390</v>
      </c>
      <c r="C1368" t="s">
        <v>1257</v>
      </c>
      <c r="D1368" t="s">
        <v>167</v>
      </c>
      <c r="E1368" t="s">
        <v>168</v>
      </c>
      <c r="F1368" t="s">
        <v>86</v>
      </c>
      <c r="G1368" t="s">
        <v>55</v>
      </c>
      <c r="H1368" t="s">
        <v>109</v>
      </c>
      <c r="I1368" t="s">
        <v>92</v>
      </c>
      <c r="J1368">
        <v>488.9</v>
      </c>
      <c r="K1368">
        <v>5709</v>
      </c>
      <c r="L1368">
        <v>526</v>
      </c>
      <c r="M1368">
        <v>4572.8</v>
      </c>
      <c r="N1368">
        <v>142412</v>
      </c>
      <c r="O1368">
        <v>823</v>
      </c>
      <c r="P1368">
        <v>1900.6</v>
      </c>
      <c r="Q1368">
        <v>77753</v>
      </c>
      <c r="R1368">
        <v>77</v>
      </c>
      <c r="S1368">
        <v>0</v>
      </c>
      <c r="T1368">
        <v>0</v>
      </c>
      <c r="U1368">
        <v>0</v>
      </c>
      <c r="V1368">
        <v>6962.3</v>
      </c>
      <c r="W1368">
        <v>225874</v>
      </c>
      <c r="X1368">
        <v>1426</v>
      </c>
      <c r="Y1368">
        <f t="shared" si="21"/>
        <v>225874</v>
      </c>
      <c r="Z1368" t="str">
        <f>IF(ISNUMBER(SEARCH("Adjustment",$C1368)),"excluded",IF($H1368="Behind the Meter","excluded",IF(NOT(OR($E1368="Bundled",$E1368="Energy")),"excluded",IF(OR($H1368="Retail Power Marketer",$H1368="Community Choice Aggregator",$E1368="Energy"),"procurement",IF(OR($H1368="Municipal",$H1368="Cooperative",$H1368="Federal",$H1368="State",$H1368="Political Subdivision"),"cost_service",IF($H1368="Investor Owned",IF(AND(COUNTIF(Parameters!$A$4:$A$33,$G1368)&gt;0,COUNTIF(Parameters!$B$4:$B$33,$B1368)=0),"procurement","cost_service"),"unclassified"))))))</f>
        <v>excluded</v>
      </c>
    </row>
    <row r="1369" spans="1:26" x14ac:dyDescent="0.25">
      <c r="A1369">
        <v>2024</v>
      </c>
      <c r="B1369">
        <v>19396</v>
      </c>
      <c r="C1369" t="s">
        <v>1258</v>
      </c>
      <c r="D1369" t="s">
        <v>84</v>
      </c>
      <c r="E1369" t="s">
        <v>85</v>
      </c>
      <c r="F1369" t="s">
        <v>86</v>
      </c>
      <c r="G1369" t="s">
        <v>140</v>
      </c>
      <c r="H1369" t="s">
        <v>91</v>
      </c>
      <c r="I1369" t="s">
        <v>96</v>
      </c>
      <c r="J1369">
        <v>39547.800000000003</v>
      </c>
      <c r="K1369">
        <v>219213</v>
      </c>
      <c r="L1369">
        <v>23034</v>
      </c>
      <c r="M1369">
        <v>8650.7999999999993</v>
      </c>
      <c r="N1369">
        <v>47601</v>
      </c>
      <c r="O1369">
        <v>3903</v>
      </c>
      <c r="P1369">
        <v>10200.700000000001</v>
      </c>
      <c r="Q1369">
        <v>97385</v>
      </c>
      <c r="R1369">
        <v>205</v>
      </c>
      <c r="S1369">
        <v>0</v>
      </c>
      <c r="T1369">
        <v>0</v>
      </c>
      <c r="U1369">
        <v>0</v>
      </c>
      <c r="V1369">
        <v>58399.3</v>
      </c>
      <c r="W1369">
        <v>364199</v>
      </c>
      <c r="X1369">
        <v>27142</v>
      </c>
      <c r="Y1369">
        <f t="shared" si="21"/>
        <v>364199</v>
      </c>
      <c r="Z1369" t="str">
        <f>IF(ISNUMBER(SEARCH("Adjustment",$C1369)),"excluded",IF($H1369="Behind the Meter","excluded",IF(NOT(OR($E1369="Bundled",$E1369="Energy")),"excluded",IF(OR($H1369="Retail Power Marketer",$H1369="Community Choice Aggregator",$E1369="Energy"),"procurement",IF(OR($H1369="Municipal",$H1369="Cooperative",$H1369="Federal",$H1369="State",$H1369="Political Subdivision"),"cost_service",IF($H1369="Investor Owned",IF(AND(COUNTIF(Parameters!$A$4:$A$33,$G1369)&gt;0,COUNTIF(Parameters!$B$4:$B$33,$B1369)=0),"procurement","cost_service"),"unclassified"))))))</f>
        <v>cost_service</v>
      </c>
    </row>
    <row r="1370" spans="1:26" x14ac:dyDescent="0.25">
      <c r="A1370">
        <v>2024</v>
      </c>
      <c r="B1370">
        <v>19430</v>
      </c>
      <c r="C1370" t="s">
        <v>1259</v>
      </c>
      <c r="D1370" t="s">
        <v>84</v>
      </c>
      <c r="E1370" t="s">
        <v>85</v>
      </c>
      <c r="F1370" t="s">
        <v>86</v>
      </c>
      <c r="G1370" t="s">
        <v>156</v>
      </c>
      <c r="H1370" t="s">
        <v>88</v>
      </c>
      <c r="I1370" t="s">
        <v>89</v>
      </c>
      <c r="J1370">
        <v>7184</v>
      </c>
      <c r="K1370">
        <v>63511</v>
      </c>
      <c r="L1370">
        <v>5203</v>
      </c>
      <c r="M1370">
        <v>10290</v>
      </c>
      <c r="N1370">
        <v>86905</v>
      </c>
      <c r="O1370">
        <v>1275</v>
      </c>
      <c r="P1370">
        <v>11323</v>
      </c>
      <c r="Q1370">
        <v>159681</v>
      </c>
      <c r="R1370">
        <v>5</v>
      </c>
      <c r="S1370">
        <v>0</v>
      </c>
      <c r="T1370">
        <v>0</v>
      </c>
      <c r="U1370">
        <v>0</v>
      </c>
      <c r="V1370">
        <v>28797</v>
      </c>
      <c r="W1370">
        <v>310097</v>
      </c>
      <c r="X1370">
        <v>6483</v>
      </c>
      <c r="Y1370">
        <f t="shared" si="21"/>
        <v>310097</v>
      </c>
      <c r="Z1370" t="str">
        <f>IF(ISNUMBER(SEARCH("Adjustment",$C1370)),"excluded",IF($H1370="Behind the Meter","excluded",IF(NOT(OR($E1370="Bundled",$E1370="Energy")),"excluded",IF(OR($H1370="Retail Power Marketer",$H1370="Community Choice Aggregator",$E1370="Energy"),"procurement",IF(OR($H1370="Municipal",$H1370="Cooperative",$H1370="Federal",$H1370="State",$H1370="Political Subdivision"),"cost_service",IF($H1370="Investor Owned",IF(AND(COUNTIF(Parameters!$A$4:$A$33,$G1370)&gt;0,COUNTIF(Parameters!$B$4:$B$33,$B1370)=0),"procurement","cost_service"),"unclassified"))))))</f>
        <v>cost_service</v>
      </c>
    </row>
    <row r="1371" spans="1:26" x14ac:dyDescent="0.25">
      <c r="A1371">
        <v>2024</v>
      </c>
      <c r="B1371">
        <v>19435</v>
      </c>
      <c r="C1371" t="s">
        <v>1260</v>
      </c>
      <c r="D1371" t="s">
        <v>84</v>
      </c>
      <c r="E1371" t="s">
        <v>85</v>
      </c>
      <c r="F1371" t="s">
        <v>86</v>
      </c>
      <c r="G1371" t="s">
        <v>125</v>
      </c>
      <c r="H1371" t="s">
        <v>91</v>
      </c>
      <c r="I1371" t="s">
        <v>126</v>
      </c>
      <c r="J1371">
        <v>166989</v>
      </c>
      <c r="K1371">
        <v>1249017</v>
      </c>
      <c r="L1371">
        <v>84602</v>
      </c>
      <c r="M1371">
        <v>21396</v>
      </c>
      <c r="N1371">
        <v>197080</v>
      </c>
      <c r="O1371">
        <v>3148</v>
      </c>
      <c r="P1371">
        <v>9287</v>
      </c>
      <c r="Q1371">
        <v>168566</v>
      </c>
      <c r="R1371">
        <v>1</v>
      </c>
      <c r="S1371" t="s">
        <v>97</v>
      </c>
      <c r="T1371" t="s">
        <v>97</v>
      </c>
      <c r="U1371" t="s">
        <v>97</v>
      </c>
      <c r="V1371">
        <v>197672</v>
      </c>
      <c r="W1371">
        <v>1614663</v>
      </c>
      <c r="X1371">
        <v>87751</v>
      </c>
      <c r="Y1371">
        <f t="shared" si="21"/>
        <v>1614663</v>
      </c>
      <c r="Z1371" t="str">
        <f>IF(ISNUMBER(SEARCH("Adjustment",$C1371)),"excluded",IF($H1371="Behind the Meter","excluded",IF(NOT(OR($E1371="Bundled",$E1371="Energy")),"excluded",IF(OR($H1371="Retail Power Marketer",$H1371="Community Choice Aggregator",$E1371="Energy"),"procurement",IF(OR($H1371="Municipal",$H1371="Cooperative",$H1371="Federal",$H1371="State",$H1371="Political Subdivision"),"cost_service",IF($H1371="Investor Owned",IF(AND(COUNTIF(Parameters!$A$4:$A$33,$G1371)&gt;0,COUNTIF(Parameters!$B$4:$B$33,$B1371)=0),"procurement","cost_service"),"unclassified"))))))</f>
        <v>cost_service</v>
      </c>
    </row>
    <row r="1372" spans="1:26" x14ac:dyDescent="0.25">
      <c r="A1372">
        <v>2024</v>
      </c>
      <c r="B1372">
        <v>19436</v>
      </c>
      <c r="C1372" t="s">
        <v>1261</v>
      </c>
      <c r="D1372" t="s">
        <v>84</v>
      </c>
      <c r="E1372" t="s">
        <v>85</v>
      </c>
      <c r="F1372" t="s">
        <v>86</v>
      </c>
      <c r="G1372" t="s">
        <v>226</v>
      </c>
      <c r="H1372" t="s">
        <v>109</v>
      </c>
      <c r="I1372" t="s">
        <v>96</v>
      </c>
      <c r="J1372">
        <v>1633293.9</v>
      </c>
      <c r="K1372">
        <v>13001145</v>
      </c>
      <c r="L1372">
        <v>1095619</v>
      </c>
      <c r="M1372">
        <v>1327351</v>
      </c>
      <c r="N1372">
        <v>13645800</v>
      </c>
      <c r="O1372">
        <v>165295</v>
      </c>
      <c r="P1372">
        <v>311205.8</v>
      </c>
      <c r="Q1372">
        <v>4094258</v>
      </c>
      <c r="R1372">
        <v>3554</v>
      </c>
      <c r="S1372">
        <v>2234.6999999999998</v>
      </c>
      <c r="T1372">
        <v>23045</v>
      </c>
      <c r="U1372">
        <v>1</v>
      </c>
      <c r="V1372">
        <v>3274085.4</v>
      </c>
      <c r="W1372">
        <v>30764248</v>
      </c>
      <c r="X1372">
        <v>1264469</v>
      </c>
      <c r="Y1372">
        <f t="shared" si="21"/>
        <v>30764248</v>
      </c>
      <c r="Z1372" t="str">
        <f>IF(ISNUMBER(SEARCH("Adjustment",$C1372)),"excluded",IF($H1372="Behind the Meter","excluded",IF(NOT(OR($E1372="Bundled",$E1372="Energy")),"excluded",IF(OR($H1372="Retail Power Marketer",$H1372="Community Choice Aggregator",$E1372="Energy"),"procurement",IF(OR($H1372="Municipal",$H1372="Cooperative",$H1372="Federal",$H1372="State",$H1372="Political Subdivision"),"cost_service",IF($H1372="Investor Owned",IF(AND(COUNTIF(Parameters!$A$4:$A$33,$G1372)&gt;0,COUNTIF(Parameters!$B$4:$B$33,$B1372)=0),"procurement","cost_service"),"unclassified"))))))</f>
        <v>cost_service</v>
      </c>
    </row>
    <row r="1373" spans="1:26" x14ac:dyDescent="0.25">
      <c r="A1373">
        <v>2024</v>
      </c>
      <c r="B1373">
        <v>19445</v>
      </c>
      <c r="C1373" t="s">
        <v>1262</v>
      </c>
      <c r="D1373" t="s">
        <v>84</v>
      </c>
      <c r="E1373" t="s">
        <v>85</v>
      </c>
      <c r="F1373" t="s">
        <v>86</v>
      </c>
      <c r="G1373" t="s">
        <v>130</v>
      </c>
      <c r="H1373" t="s">
        <v>91</v>
      </c>
      <c r="I1373" t="s">
        <v>96</v>
      </c>
      <c r="J1373">
        <v>16381</v>
      </c>
      <c r="K1373">
        <v>104163</v>
      </c>
      <c r="L1373">
        <v>8936</v>
      </c>
      <c r="M1373">
        <v>4447</v>
      </c>
      <c r="N1373">
        <v>33782</v>
      </c>
      <c r="O1373">
        <v>622</v>
      </c>
      <c r="P1373">
        <v>22573</v>
      </c>
      <c r="Q1373">
        <v>290286</v>
      </c>
      <c r="R1373">
        <v>32</v>
      </c>
      <c r="S1373" t="s">
        <v>97</v>
      </c>
      <c r="T1373" t="s">
        <v>97</v>
      </c>
      <c r="U1373" t="s">
        <v>97</v>
      </c>
      <c r="V1373">
        <v>43401</v>
      </c>
      <c r="W1373">
        <v>428231</v>
      </c>
      <c r="X1373">
        <v>9590</v>
      </c>
      <c r="Y1373">
        <f t="shared" si="21"/>
        <v>428231</v>
      </c>
      <c r="Z1373" t="str">
        <f>IF(ISNUMBER(SEARCH("Adjustment",$C1373)),"excluded",IF($H1373="Behind the Meter","excluded",IF(NOT(OR($E1373="Bundled",$E1373="Energy")),"excluded",IF(OR($H1373="Retail Power Marketer",$H1373="Community Choice Aggregator",$E1373="Energy"),"procurement",IF(OR($H1373="Municipal",$H1373="Cooperative",$H1373="Federal",$H1373="State",$H1373="Political Subdivision"),"cost_service",IF($H1373="Investor Owned",IF(AND(COUNTIF(Parameters!$A$4:$A$33,$G1373)&gt;0,COUNTIF(Parameters!$B$4:$B$33,$B1373)=0),"procurement","cost_service"),"unclassified"))))))</f>
        <v>cost_service</v>
      </c>
    </row>
    <row r="1374" spans="1:26" x14ac:dyDescent="0.25">
      <c r="A1374">
        <v>2024</v>
      </c>
      <c r="B1374">
        <v>19446</v>
      </c>
      <c r="C1374" t="s">
        <v>1263</v>
      </c>
      <c r="D1374" t="s">
        <v>84</v>
      </c>
      <c r="E1374" t="s">
        <v>85</v>
      </c>
      <c r="F1374" t="s">
        <v>86</v>
      </c>
      <c r="G1374" t="s">
        <v>209</v>
      </c>
      <c r="H1374" t="s">
        <v>109</v>
      </c>
      <c r="I1374" t="s">
        <v>92</v>
      </c>
      <c r="J1374">
        <v>199940.5</v>
      </c>
      <c r="K1374">
        <v>1487303</v>
      </c>
      <c r="L1374">
        <v>139405</v>
      </c>
      <c r="M1374">
        <v>200525</v>
      </c>
      <c r="N1374">
        <v>1767187</v>
      </c>
      <c r="O1374">
        <v>14374</v>
      </c>
      <c r="P1374">
        <v>70765.3</v>
      </c>
      <c r="Q1374">
        <v>720270</v>
      </c>
      <c r="R1374">
        <v>294</v>
      </c>
      <c r="S1374" t="s">
        <v>97</v>
      </c>
      <c r="T1374" t="s">
        <v>97</v>
      </c>
      <c r="U1374" t="s">
        <v>97</v>
      </c>
      <c r="V1374">
        <v>471230.8</v>
      </c>
      <c r="W1374">
        <v>3974760</v>
      </c>
      <c r="X1374">
        <v>154073</v>
      </c>
      <c r="Y1374">
        <f t="shared" si="21"/>
        <v>3974760</v>
      </c>
      <c r="Z1374" t="str">
        <f>IF(ISNUMBER(SEARCH("Adjustment",$C1374)),"excluded",IF($H1374="Behind the Meter","excluded",IF(NOT(OR($E1374="Bundled",$E1374="Energy")),"excluded",IF(OR($H1374="Retail Power Marketer",$H1374="Community Choice Aggregator",$E1374="Energy"),"procurement",IF(OR($H1374="Municipal",$H1374="Cooperative",$H1374="Federal",$H1374="State",$H1374="Political Subdivision"),"cost_service",IF($H1374="Investor Owned",IF(AND(COUNTIF(Parameters!$A$4:$A$33,$G1374)&gt;0,COUNTIF(Parameters!$B$4:$B$33,$B1374)=0),"procurement","cost_service"),"unclassified"))))))</f>
        <v>cost_service</v>
      </c>
    </row>
    <row r="1375" spans="1:26" x14ac:dyDescent="0.25">
      <c r="A1375">
        <v>2024</v>
      </c>
      <c r="B1375">
        <v>19490</v>
      </c>
      <c r="C1375" t="s">
        <v>1264</v>
      </c>
      <c r="D1375" t="s">
        <v>84</v>
      </c>
      <c r="E1375" t="s">
        <v>85</v>
      </c>
      <c r="F1375" t="s">
        <v>86</v>
      </c>
      <c r="G1375" t="s">
        <v>57</v>
      </c>
      <c r="H1375" t="s">
        <v>91</v>
      </c>
      <c r="I1375" t="s">
        <v>151</v>
      </c>
      <c r="J1375">
        <v>178555</v>
      </c>
      <c r="K1375">
        <v>1373708</v>
      </c>
      <c r="L1375">
        <v>88324</v>
      </c>
      <c r="M1375">
        <v>67199</v>
      </c>
      <c r="N1375">
        <v>541512</v>
      </c>
      <c r="O1375">
        <v>17201</v>
      </c>
      <c r="P1375">
        <v>78779</v>
      </c>
      <c r="Q1375">
        <v>843789</v>
      </c>
      <c r="R1375">
        <v>106</v>
      </c>
      <c r="S1375" t="s">
        <v>97</v>
      </c>
      <c r="T1375" t="s">
        <v>97</v>
      </c>
      <c r="U1375" t="s">
        <v>97</v>
      </c>
      <c r="V1375">
        <v>324533</v>
      </c>
      <c r="W1375">
        <v>2759009</v>
      </c>
      <c r="X1375">
        <v>105631</v>
      </c>
      <c r="Y1375">
        <f t="shared" si="21"/>
        <v>2759009</v>
      </c>
      <c r="Z1375" t="str">
        <f>IF(ISNUMBER(SEARCH("Adjustment",$C1375)),"excluded",IF($H1375="Behind the Meter","excluded",IF(NOT(OR($E1375="Bundled",$E1375="Energy")),"excluded",IF(OR($H1375="Retail Power Marketer",$H1375="Community Choice Aggregator",$E1375="Energy"),"procurement",IF(OR($H1375="Municipal",$H1375="Cooperative",$H1375="Federal",$H1375="State",$H1375="Political Subdivision"),"cost_service",IF($H1375="Investor Owned",IF(AND(COUNTIF(Parameters!$A$4:$A$33,$G1375)&gt;0,COUNTIF(Parameters!$B$4:$B$33,$B1375)=0),"procurement","cost_service"),"unclassified"))))))</f>
        <v>cost_service</v>
      </c>
    </row>
    <row r="1376" spans="1:26" x14ac:dyDescent="0.25">
      <c r="A1376">
        <v>2024</v>
      </c>
      <c r="B1376">
        <v>19497</v>
      </c>
      <c r="C1376" t="s">
        <v>1265</v>
      </c>
      <c r="D1376" t="s">
        <v>84</v>
      </c>
      <c r="E1376" t="s">
        <v>85</v>
      </c>
      <c r="F1376" t="s">
        <v>86</v>
      </c>
      <c r="G1376" t="s">
        <v>40</v>
      </c>
      <c r="H1376" t="s">
        <v>109</v>
      </c>
      <c r="I1376" t="s">
        <v>189</v>
      </c>
      <c r="J1376">
        <v>568040.69999999995</v>
      </c>
      <c r="K1376">
        <v>1668612</v>
      </c>
      <c r="L1376">
        <v>256302</v>
      </c>
      <c r="M1376">
        <v>139232.5</v>
      </c>
      <c r="N1376">
        <v>573751</v>
      </c>
      <c r="O1376">
        <v>16864</v>
      </c>
      <c r="P1376">
        <v>6897</v>
      </c>
      <c r="Q1376">
        <v>39284</v>
      </c>
      <c r="R1376">
        <v>221</v>
      </c>
      <c r="S1376">
        <v>1080.2</v>
      </c>
      <c r="T1376">
        <v>13735</v>
      </c>
      <c r="U1376">
        <v>1</v>
      </c>
      <c r="V1376">
        <v>715250.4</v>
      </c>
      <c r="W1376">
        <v>2295382</v>
      </c>
      <c r="X1376">
        <v>273388</v>
      </c>
      <c r="Y1376">
        <f t="shared" si="21"/>
        <v>2295382</v>
      </c>
      <c r="Z1376" t="str">
        <f>IF(ISNUMBER(SEARCH("Adjustment",$C1376)),"excluded",IF($H1376="Behind the Meter","excluded",IF(NOT(OR($E1376="Bundled",$E1376="Energy")),"excluded",IF(OR($H1376="Retail Power Marketer",$H1376="Community Choice Aggregator",$E1376="Energy"),"procurement",IF(OR($H1376="Municipal",$H1376="Cooperative",$H1376="Federal",$H1376="State",$H1376="Political Subdivision"),"cost_service",IF($H1376="Investor Owned",IF(AND(COUNTIF(Parameters!$A$4:$A$33,$G1376)&gt;0,COUNTIF(Parameters!$B$4:$B$33,$B1376)=0),"procurement","cost_service"),"unclassified"))))))</f>
        <v>procurement</v>
      </c>
    </row>
    <row r="1377" spans="1:26" x14ac:dyDescent="0.25">
      <c r="A1377">
        <v>2024</v>
      </c>
      <c r="B1377">
        <v>19497</v>
      </c>
      <c r="C1377" t="s">
        <v>1265</v>
      </c>
      <c r="D1377" t="s">
        <v>167</v>
      </c>
      <c r="E1377" t="s">
        <v>168</v>
      </c>
      <c r="F1377" t="s">
        <v>86</v>
      </c>
      <c r="G1377" t="s">
        <v>40</v>
      </c>
      <c r="H1377" t="s">
        <v>109</v>
      </c>
      <c r="I1377" t="s">
        <v>189</v>
      </c>
      <c r="J1377">
        <v>84772.4</v>
      </c>
      <c r="K1377">
        <v>432843</v>
      </c>
      <c r="L1377">
        <v>55989</v>
      </c>
      <c r="M1377">
        <v>205913.8</v>
      </c>
      <c r="N1377">
        <v>1773720</v>
      </c>
      <c r="O1377">
        <v>15801</v>
      </c>
      <c r="P1377">
        <v>34942</v>
      </c>
      <c r="Q1377">
        <v>341050</v>
      </c>
      <c r="R1377">
        <v>699</v>
      </c>
      <c r="S1377">
        <v>0</v>
      </c>
      <c r="T1377">
        <v>0</v>
      </c>
      <c r="U1377">
        <v>0</v>
      </c>
      <c r="V1377">
        <v>325628.2</v>
      </c>
      <c r="W1377">
        <v>2547613</v>
      </c>
      <c r="X1377">
        <v>72489</v>
      </c>
      <c r="Y1377">
        <f t="shared" si="21"/>
        <v>2547613</v>
      </c>
      <c r="Z1377" t="str">
        <f>IF(ISNUMBER(SEARCH("Adjustment",$C1377)),"excluded",IF($H1377="Behind the Meter","excluded",IF(NOT(OR($E1377="Bundled",$E1377="Energy")),"excluded",IF(OR($H1377="Retail Power Marketer",$H1377="Community Choice Aggregator",$E1377="Energy"),"procurement",IF(OR($H1377="Municipal",$H1377="Cooperative",$H1377="Federal",$H1377="State",$H1377="Political Subdivision"),"cost_service",IF($H1377="Investor Owned",IF(AND(COUNTIF(Parameters!$A$4:$A$33,$G1377)&gt;0,COUNTIF(Parameters!$B$4:$B$33,$B1377)=0),"procurement","cost_service"),"unclassified"))))))</f>
        <v>excluded</v>
      </c>
    </row>
    <row r="1378" spans="1:26" x14ac:dyDescent="0.25">
      <c r="A1378">
        <v>2024</v>
      </c>
      <c r="B1378">
        <v>19499</v>
      </c>
      <c r="C1378" t="s">
        <v>1266</v>
      </c>
      <c r="D1378" t="s">
        <v>84</v>
      </c>
      <c r="E1378" t="s">
        <v>85</v>
      </c>
      <c r="F1378" t="s">
        <v>86</v>
      </c>
      <c r="G1378" t="s">
        <v>361</v>
      </c>
      <c r="H1378" t="s">
        <v>91</v>
      </c>
      <c r="I1378" t="s">
        <v>259</v>
      </c>
      <c r="J1378">
        <v>155543</v>
      </c>
      <c r="K1378">
        <v>987339</v>
      </c>
      <c r="L1378">
        <v>101502</v>
      </c>
      <c r="M1378">
        <v>82783</v>
      </c>
      <c r="N1378">
        <v>655929</v>
      </c>
      <c r="O1378">
        <v>11980</v>
      </c>
      <c r="P1378">
        <v>171766</v>
      </c>
      <c r="Q1378">
        <v>1811226</v>
      </c>
      <c r="R1378">
        <v>896</v>
      </c>
      <c r="S1378" t="s">
        <v>97</v>
      </c>
      <c r="T1378" t="s">
        <v>97</v>
      </c>
      <c r="U1378" t="s">
        <v>97</v>
      </c>
      <c r="V1378">
        <v>410092</v>
      </c>
      <c r="W1378">
        <v>3454494</v>
      </c>
      <c r="X1378">
        <v>114378</v>
      </c>
      <c r="Y1378">
        <f t="shared" si="21"/>
        <v>3454494</v>
      </c>
      <c r="Z1378" t="str">
        <f>IF(ISNUMBER(SEARCH("Adjustment",$C1378)),"excluded",IF($H1378="Behind the Meter","excluded",IF(NOT(OR($E1378="Bundled",$E1378="Energy")),"excluded",IF(OR($H1378="Retail Power Marketer",$H1378="Community Choice Aggregator",$E1378="Energy"),"procurement",IF(OR($H1378="Municipal",$H1378="Cooperative",$H1378="Federal",$H1378="State",$H1378="Political Subdivision"),"cost_service",IF($H1378="Investor Owned",IF(AND(COUNTIF(Parameters!$A$4:$A$33,$G1378)&gt;0,COUNTIF(Parameters!$B$4:$B$33,$B1378)=0),"procurement","cost_service"),"unclassified"))))))</f>
        <v>cost_service</v>
      </c>
    </row>
    <row r="1379" spans="1:26" x14ac:dyDescent="0.25">
      <c r="A1379">
        <v>2024</v>
      </c>
      <c r="B1379">
        <v>19501</v>
      </c>
      <c r="C1379" t="s">
        <v>1267</v>
      </c>
      <c r="D1379" t="s">
        <v>84</v>
      </c>
      <c r="E1379" t="s">
        <v>85</v>
      </c>
      <c r="F1379" t="s">
        <v>86</v>
      </c>
      <c r="G1379" t="s">
        <v>54</v>
      </c>
      <c r="H1379" t="s">
        <v>91</v>
      </c>
      <c r="I1379" t="s">
        <v>92</v>
      </c>
      <c r="J1379">
        <v>25881.599999999999</v>
      </c>
      <c r="K1379">
        <v>165126</v>
      </c>
      <c r="L1379">
        <v>11812</v>
      </c>
      <c r="M1379">
        <v>11177.2</v>
      </c>
      <c r="N1379">
        <v>87120</v>
      </c>
      <c r="O1379">
        <v>455</v>
      </c>
      <c r="P1379">
        <v>25289.8</v>
      </c>
      <c r="Q1379">
        <v>250752</v>
      </c>
      <c r="R1379">
        <v>8</v>
      </c>
      <c r="S1379" t="s">
        <v>97</v>
      </c>
      <c r="T1379" t="s">
        <v>97</v>
      </c>
      <c r="U1379" t="s">
        <v>97</v>
      </c>
      <c r="V1379">
        <v>62348.6</v>
      </c>
      <c r="W1379">
        <v>502998</v>
      </c>
      <c r="X1379">
        <v>12275</v>
      </c>
      <c r="Y1379">
        <f t="shared" si="21"/>
        <v>502998</v>
      </c>
      <c r="Z1379" t="str">
        <f>IF(ISNUMBER(SEARCH("Adjustment",$C1379)),"excluded",IF($H1379="Behind the Meter","excluded",IF(NOT(OR($E1379="Bundled",$E1379="Energy")),"excluded",IF(OR($H1379="Retail Power Marketer",$H1379="Community Choice Aggregator",$E1379="Energy"),"procurement",IF(OR($H1379="Municipal",$H1379="Cooperative",$H1379="Federal",$H1379="State",$H1379="Political Subdivision"),"cost_service",IF($H1379="Investor Owned",IF(AND(COUNTIF(Parameters!$A$4:$A$33,$G1379)&gt;0,COUNTIF(Parameters!$B$4:$B$33,$B1379)=0),"procurement","cost_service"),"unclassified"))))))</f>
        <v>cost_service</v>
      </c>
    </row>
    <row r="1380" spans="1:26" x14ac:dyDescent="0.25">
      <c r="A1380">
        <v>2024</v>
      </c>
      <c r="B1380">
        <v>19502</v>
      </c>
      <c r="C1380" t="s">
        <v>1268</v>
      </c>
      <c r="D1380" t="s">
        <v>84</v>
      </c>
      <c r="E1380" t="s">
        <v>85</v>
      </c>
      <c r="F1380" t="s">
        <v>86</v>
      </c>
      <c r="G1380" t="s">
        <v>490</v>
      </c>
      <c r="H1380" t="s">
        <v>91</v>
      </c>
      <c r="I1380" t="s">
        <v>206</v>
      </c>
      <c r="J1380">
        <v>7952.8</v>
      </c>
      <c r="K1380">
        <v>100760</v>
      </c>
      <c r="L1380">
        <v>5100</v>
      </c>
      <c r="M1380">
        <v>4889.6000000000004</v>
      </c>
      <c r="N1380">
        <v>72210</v>
      </c>
      <c r="O1380">
        <v>1234</v>
      </c>
      <c r="P1380">
        <v>10447</v>
      </c>
      <c r="Q1380">
        <v>190500</v>
      </c>
      <c r="R1380">
        <v>1256</v>
      </c>
      <c r="S1380" t="s">
        <v>97</v>
      </c>
      <c r="T1380" t="s">
        <v>97</v>
      </c>
      <c r="U1380" t="s">
        <v>97</v>
      </c>
      <c r="V1380">
        <v>23289.4</v>
      </c>
      <c r="W1380">
        <v>363470</v>
      </c>
      <c r="X1380">
        <v>7590</v>
      </c>
      <c r="Y1380">
        <f t="shared" si="21"/>
        <v>363470</v>
      </c>
      <c r="Z1380" t="str">
        <f>IF(ISNUMBER(SEARCH("Adjustment",$C1380)),"excluded",IF($H1380="Behind the Meter","excluded",IF(NOT(OR($E1380="Bundled",$E1380="Energy")),"excluded",IF(OR($H1380="Retail Power Marketer",$H1380="Community Choice Aggregator",$E1380="Energy"),"procurement",IF(OR($H1380="Municipal",$H1380="Cooperative",$H1380="Federal",$H1380="State",$H1380="Political Subdivision"),"cost_service",IF($H1380="Investor Owned",IF(AND(COUNTIF(Parameters!$A$4:$A$33,$G1380)&gt;0,COUNTIF(Parameters!$B$4:$B$33,$B1380)=0),"procurement","cost_service"),"unclassified"))))))</f>
        <v>cost_service</v>
      </c>
    </row>
    <row r="1381" spans="1:26" x14ac:dyDescent="0.25">
      <c r="A1381">
        <v>2024</v>
      </c>
      <c r="B1381">
        <v>19545</v>
      </c>
      <c r="C1381" t="s">
        <v>1269</v>
      </c>
      <c r="D1381" t="s">
        <v>84</v>
      </c>
      <c r="E1381" t="s">
        <v>85</v>
      </c>
      <c r="F1381" t="s">
        <v>86</v>
      </c>
      <c r="G1381" t="s">
        <v>491</v>
      </c>
      <c r="H1381" t="s">
        <v>109</v>
      </c>
      <c r="I1381" t="s">
        <v>259</v>
      </c>
      <c r="J1381">
        <v>8.6999999999999993</v>
      </c>
      <c r="K1381">
        <v>125</v>
      </c>
      <c r="L1381">
        <v>12</v>
      </c>
      <c r="M1381">
        <v>32.9</v>
      </c>
      <c r="N1381">
        <v>344</v>
      </c>
      <c r="O1381">
        <v>24</v>
      </c>
      <c r="P1381">
        <v>10185.9</v>
      </c>
      <c r="Q1381">
        <v>159470</v>
      </c>
      <c r="R1381">
        <v>7</v>
      </c>
      <c r="S1381">
        <v>0</v>
      </c>
      <c r="T1381">
        <v>0</v>
      </c>
      <c r="U1381">
        <v>0</v>
      </c>
      <c r="V1381">
        <v>10227.5</v>
      </c>
      <c r="W1381">
        <v>159939</v>
      </c>
      <c r="X1381">
        <v>43</v>
      </c>
      <c r="Y1381">
        <f t="shared" si="21"/>
        <v>159939</v>
      </c>
      <c r="Z1381" t="str">
        <f>IF(ISNUMBER(SEARCH("Adjustment",$C1381)),"excluded",IF($H1381="Behind the Meter","excluded",IF(NOT(OR($E1381="Bundled",$E1381="Energy")),"excluded",IF(OR($H1381="Retail Power Marketer",$H1381="Community Choice Aggregator",$E1381="Energy"),"procurement",IF(OR($H1381="Municipal",$H1381="Cooperative",$H1381="Federal",$H1381="State",$H1381="Political Subdivision"),"cost_service",IF($H1381="Investor Owned",IF(AND(COUNTIF(Parameters!$A$4:$A$33,$G1381)&gt;0,COUNTIF(Parameters!$B$4:$B$33,$B1381)=0),"procurement","cost_service"),"unclassified"))))))</f>
        <v>cost_service</v>
      </c>
    </row>
    <row r="1382" spans="1:26" x14ac:dyDescent="0.25">
      <c r="A1382">
        <v>2024</v>
      </c>
      <c r="B1382">
        <v>19545</v>
      </c>
      <c r="C1382" t="s">
        <v>1269</v>
      </c>
      <c r="D1382" t="s">
        <v>84</v>
      </c>
      <c r="E1382" t="s">
        <v>85</v>
      </c>
      <c r="F1382" t="s">
        <v>86</v>
      </c>
      <c r="G1382" t="s">
        <v>224</v>
      </c>
      <c r="H1382" t="s">
        <v>109</v>
      </c>
      <c r="I1382" t="s">
        <v>259</v>
      </c>
      <c r="J1382">
        <v>80614.8</v>
      </c>
      <c r="K1382">
        <v>560837</v>
      </c>
      <c r="L1382">
        <v>60951</v>
      </c>
      <c r="M1382">
        <v>102789.6</v>
      </c>
      <c r="N1382">
        <v>779797</v>
      </c>
      <c r="O1382">
        <v>13885</v>
      </c>
      <c r="P1382">
        <v>18098.8</v>
      </c>
      <c r="Q1382">
        <v>191926</v>
      </c>
      <c r="R1382">
        <v>6</v>
      </c>
      <c r="S1382">
        <v>0</v>
      </c>
      <c r="T1382">
        <v>0</v>
      </c>
      <c r="U1382">
        <v>0</v>
      </c>
      <c r="V1382">
        <v>201503.2</v>
      </c>
      <c r="W1382">
        <v>1532560</v>
      </c>
      <c r="X1382">
        <v>74842</v>
      </c>
      <c r="Y1382">
        <f t="shared" si="21"/>
        <v>1532560</v>
      </c>
      <c r="Z1382" t="str">
        <f>IF(ISNUMBER(SEARCH("Adjustment",$C1382)),"excluded",IF($H1382="Behind the Meter","excluded",IF(NOT(OR($E1382="Bundled",$E1382="Energy")),"excluded",IF(OR($H1382="Retail Power Marketer",$H1382="Community Choice Aggregator",$E1382="Energy"),"procurement",IF(OR($H1382="Municipal",$H1382="Cooperative",$H1382="Federal",$H1382="State",$H1382="Political Subdivision"),"cost_service",IF($H1382="Investor Owned",IF(AND(COUNTIF(Parameters!$A$4:$A$33,$G1382)&gt;0,COUNTIF(Parameters!$B$4:$B$33,$B1382)=0),"procurement","cost_service"),"unclassified"))))))</f>
        <v>cost_service</v>
      </c>
    </row>
    <row r="1383" spans="1:26" x14ac:dyDescent="0.25">
      <c r="A1383">
        <v>2024</v>
      </c>
      <c r="B1383">
        <v>19545</v>
      </c>
      <c r="C1383" t="s">
        <v>1269</v>
      </c>
      <c r="D1383" t="s">
        <v>84</v>
      </c>
      <c r="E1383" t="s">
        <v>85</v>
      </c>
      <c r="F1383" t="s">
        <v>86</v>
      </c>
      <c r="G1383" t="s">
        <v>323</v>
      </c>
      <c r="H1383" t="s">
        <v>109</v>
      </c>
      <c r="I1383" t="s">
        <v>259</v>
      </c>
      <c r="J1383">
        <v>2604.1999999999998</v>
      </c>
      <c r="K1383">
        <v>19839</v>
      </c>
      <c r="L1383">
        <v>2018</v>
      </c>
      <c r="M1383">
        <v>5222</v>
      </c>
      <c r="N1383">
        <v>42058</v>
      </c>
      <c r="O1383">
        <v>609</v>
      </c>
      <c r="P1383">
        <v>10528.1</v>
      </c>
      <c r="Q1383">
        <v>115609</v>
      </c>
      <c r="R1383">
        <v>10</v>
      </c>
      <c r="S1383">
        <v>0</v>
      </c>
      <c r="T1383">
        <v>0</v>
      </c>
      <c r="U1383">
        <v>0</v>
      </c>
      <c r="V1383">
        <v>18354.3</v>
      </c>
      <c r="W1383">
        <v>177506</v>
      </c>
      <c r="X1383">
        <v>2637</v>
      </c>
      <c r="Y1383">
        <f t="shared" si="21"/>
        <v>177506</v>
      </c>
      <c r="Z1383" t="str">
        <f>IF(ISNUMBER(SEARCH("Adjustment",$C1383)),"excluded",IF($H1383="Behind the Meter","excluded",IF(NOT(OR($E1383="Bundled",$E1383="Energy")),"excluded",IF(OR($H1383="Retail Power Marketer",$H1383="Community Choice Aggregator",$E1383="Energy"),"procurement",IF(OR($H1383="Municipal",$H1383="Cooperative",$H1383="Federal",$H1383="State",$H1383="Political Subdivision"),"cost_service",IF($H1383="Investor Owned",IF(AND(COUNTIF(Parameters!$A$4:$A$33,$G1383)&gt;0,COUNTIF(Parameters!$B$4:$B$33,$B1383)=0),"procurement","cost_service"),"unclassified"))))))</f>
        <v>cost_service</v>
      </c>
    </row>
    <row r="1384" spans="1:26" x14ac:dyDescent="0.25">
      <c r="A1384">
        <v>2024</v>
      </c>
      <c r="B1384">
        <v>19547</v>
      </c>
      <c r="C1384" t="s">
        <v>1270</v>
      </c>
      <c r="D1384" t="s">
        <v>84</v>
      </c>
      <c r="E1384" t="s">
        <v>85</v>
      </c>
      <c r="F1384" t="s">
        <v>86</v>
      </c>
      <c r="G1384" t="s">
        <v>605</v>
      </c>
      <c r="H1384" t="s">
        <v>109</v>
      </c>
      <c r="I1384" t="s">
        <v>1271</v>
      </c>
      <c r="J1384">
        <v>645375.5</v>
      </c>
      <c r="K1384">
        <v>1505403</v>
      </c>
      <c r="L1384">
        <v>276206</v>
      </c>
      <c r="M1384">
        <v>721234.3</v>
      </c>
      <c r="N1384">
        <v>1947937</v>
      </c>
      <c r="O1384">
        <v>33181</v>
      </c>
      <c r="P1384">
        <v>880036.4</v>
      </c>
      <c r="Q1384">
        <v>2681210</v>
      </c>
      <c r="R1384">
        <v>452</v>
      </c>
      <c r="S1384">
        <v>0</v>
      </c>
      <c r="T1384">
        <v>0</v>
      </c>
      <c r="U1384">
        <v>0</v>
      </c>
      <c r="V1384">
        <v>2246646.2000000002</v>
      </c>
      <c r="W1384">
        <v>6134550</v>
      </c>
      <c r="X1384">
        <v>309839</v>
      </c>
      <c r="Y1384">
        <f t="shared" si="21"/>
        <v>6134550</v>
      </c>
      <c r="Z1384" t="str">
        <f>IF(ISNUMBER(SEARCH("Adjustment",$C1384)),"excluded",IF($H1384="Behind the Meter","excluded",IF(NOT(OR($E1384="Bundled",$E1384="Energy")),"excluded",IF(OR($H1384="Retail Power Marketer",$H1384="Community Choice Aggregator",$E1384="Energy"),"procurement",IF(OR($H1384="Municipal",$H1384="Cooperative",$H1384="Federal",$H1384="State",$H1384="Political Subdivision"),"cost_service",IF($H1384="Investor Owned",IF(AND(COUNTIF(Parameters!$A$4:$A$33,$G1384)&gt;0,COUNTIF(Parameters!$B$4:$B$33,$B1384)=0),"procurement","cost_service"),"unclassified"))))))</f>
        <v>cost_service</v>
      </c>
    </row>
    <row r="1385" spans="1:26" x14ac:dyDescent="0.25">
      <c r="A1385">
        <v>2024</v>
      </c>
      <c r="B1385">
        <v>19558</v>
      </c>
      <c r="C1385" t="s">
        <v>1272</v>
      </c>
      <c r="D1385" t="s">
        <v>84</v>
      </c>
      <c r="E1385" t="s">
        <v>85</v>
      </c>
      <c r="F1385" t="s">
        <v>86</v>
      </c>
      <c r="G1385" t="s">
        <v>118</v>
      </c>
      <c r="H1385" t="s">
        <v>91</v>
      </c>
      <c r="I1385" t="s">
        <v>119</v>
      </c>
      <c r="J1385">
        <v>52771.3</v>
      </c>
      <c r="K1385">
        <v>177136</v>
      </c>
      <c r="L1385">
        <v>29721</v>
      </c>
      <c r="M1385">
        <v>42424.1</v>
      </c>
      <c r="N1385">
        <v>160774</v>
      </c>
      <c r="O1385">
        <v>4415</v>
      </c>
      <c r="P1385">
        <v>18653.400000000001</v>
      </c>
      <c r="Q1385">
        <v>150301</v>
      </c>
      <c r="R1385">
        <v>21</v>
      </c>
      <c r="S1385">
        <v>0</v>
      </c>
      <c r="T1385">
        <v>0</v>
      </c>
      <c r="U1385">
        <v>0</v>
      </c>
      <c r="V1385">
        <v>113848.8</v>
      </c>
      <c r="W1385">
        <v>488211</v>
      </c>
      <c r="X1385">
        <v>34157</v>
      </c>
      <c r="Y1385">
        <f t="shared" si="21"/>
        <v>488211</v>
      </c>
      <c r="Z1385" t="str">
        <f>IF(ISNUMBER(SEARCH("Adjustment",$C1385)),"excluded",IF($H1385="Behind the Meter","excluded",IF(NOT(OR($E1385="Bundled",$E1385="Energy")),"excluded",IF(OR($H1385="Retail Power Marketer",$H1385="Community Choice Aggregator",$E1385="Energy"),"procurement",IF(OR($H1385="Municipal",$H1385="Cooperative",$H1385="Federal",$H1385="State",$H1385="Political Subdivision"),"cost_service",IF($H1385="Investor Owned",IF(AND(COUNTIF(Parameters!$A$4:$A$33,$G1385)&gt;0,COUNTIF(Parameters!$B$4:$B$33,$B1385)=0),"procurement","cost_service"),"unclassified"))))))</f>
        <v>cost_service</v>
      </c>
    </row>
    <row r="1386" spans="1:26" x14ac:dyDescent="0.25">
      <c r="A1386">
        <v>2024</v>
      </c>
      <c r="B1386">
        <v>19574</v>
      </c>
      <c r="C1386" t="s">
        <v>1273</v>
      </c>
      <c r="D1386" t="s">
        <v>84</v>
      </c>
      <c r="E1386" t="s">
        <v>85</v>
      </c>
      <c r="F1386" t="s">
        <v>86</v>
      </c>
      <c r="G1386" t="s">
        <v>156</v>
      </c>
      <c r="H1386" t="s">
        <v>91</v>
      </c>
      <c r="I1386" t="s">
        <v>89</v>
      </c>
      <c r="J1386">
        <v>82319</v>
      </c>
      <c r="K1386">
        <v>644627</v>
      </c>
      <c r="L1386">
        <v>45560</v>
      </c>
      <c r="M1386">
        <v>37244</v>
      </c>
      <c r="N1386">
        <v>272359</v>
      </c>
      <c r="O1386">
        <v>8620</v>
      </c>
      <c r="P1386">
        <v>9913</v>
      </c>
      <c r="Q1386">
        <v>119988</v>
      </c>
      <c r="R1386">
        <v>10</v>
      </c>
      <c r="S1386">
        <v>0</v>
      </c>
      <c r="T1386">
        <v>0</v>
      </c>
      <c r="U1386">
        <v>0</v>
      </c>
      <c r="V1386">
        <v>129476</v>
      </c>
      <c r="W1386">
        <v>1036974</v>
      </c>
      <c r="X1386">
        <v>54190</v>
      </c>
      <c r="Y1386">
        <f t="shared" si="21"/>
        <v>1036974</v>
      </c>
      <c r="Z1386" t="str">
        <f>IF(ISNUMBER(SEARCH("Adjustment",$C1386)),"excluded",IF($H1386="Behind the Meter","excluded",IF(NOT(OR($E1386="Bundled",$E1386="Energy")),"excluded",IF(OR($H1386="Retail Power Marketer",$H1386="Community Choice Aggregator",$E1386="Energy"),"procurement",IF(OR($H1386="Municipal",$H1386="Cooperative",$H1386="Federal",$H1386="State",$H1386="Political Subdivision"),"cost_service",IF($H1386="Investor Owned",IF(AND(COUNTIF(Parameters!$A$4:$A$33,$G1386)&gt;0,COUNTIF(Parameters!$B$4:$B$33,$B1386)=0),"procurement","cost_service"),"unclassified"))))))</f>
        <v>cost_service</v>
      </c>
    </row>
    <row r="1387" spans="1:26" x14ac:dyDescent="0.25">
      <c r="A1387">
        <v>2024</v>
      </c>
      <c r="B1387">
        <v>19578</v>
      </c>
      <c r="C1387" t="s">
        <v>1274</v>
      </c>
      <c r="D1387" t="s">
        <v>84</v>
      </c>
      <c r="E1387" t="s">
        <v>85</v>
      </c>
      <c r="F1387" t="s">
        <v>86</v>
      </c>
      <c r="G1387" t="s">
        <v>140</v>
      </c>
      <c r="H1387" t="s">
        <v>109</v>
      </c>
      <c r="I1387" t="s">
        <v>96</v>
      </c>
      <c r="J1387">
        <v>67142</v>
      </c>
      <c r="K1387">
        <v>242922</v>
      </c>
      <c r="L1387">
        <v>47660</v>
      </c>
      <c r="M1387">
        <v>31624</v>
      </c>
      <c r="N1387">
        <v>134650</v>
      </c>
      <c r="O1387">
        <v>6139</v>
      </c>
      <c r="P1387">
        <v>25166</v>
      </c>
      <c r="Q1387">
        <v>277964</v>
      </c>
      <c r="R1387">
        <v>46</v>
      </c>
      <c r="S1387">
        <v>0</v>
      </c>
      <c r="T1387">
        <v>0</v>
      </c>
      <c r="U1387">
        <v>0</v>
      </c>
      <c r="V1387">
        <v>123932</v>
      </c>
      <c r="W1387">
        <v>655536</v>
      </c>
      <c r="X1387">
        <v>53845</v>
      </c>
      <c r="Y1387">
        <f t="shared" si="21"/>
        <v>655536</v>
      </c>
      <c r="Z1387" t="str">
        <f>IF(ISNUMBER(SEARCH("Adjustment",$C1387)),"excluded",IF($H1387="Behind the Meter","excluded",IF(NOT(OR($E1387="Bundled",$E1387="Energy")),"excluded",IF(OR($H1387="Retail Power Marketer",$H1387="Community Choice Aggregator",$E1387="Energy"),"procurement",IF(OR($H1387="Municipal",$H1387="Cooperative",$H1387="Federal",$H1387="State",$H1387="Political Subdivision"),"cost_service",IF($H1387="Investor Owned",IF(AND(COUNTIF(Parameters!$A$4:$A$33,$G1387)&gt;0,COUNTIF(Parameters!$B$4:$B$33,$B1387)=0),"procurement","cost_service"),"unclassified"))))))</f>
        <v>cost_service</v>
      </c>
    </row>
    <row r="1388" spans="1:26" x14ac:dyDescent="0.25">
      <c r="A1388">
        <v>2024</v>
      </c>
      <c r="B1388">
        <v>19578</v>
      </c>
      <c r="C1388" t="s">
        <v>1274</v>
      </c>
      <c r="D1388" t="s">
        <v>167</v>
      </c>
      <c r="E1388" t="s">
        <v>168</v>
      </c>
      <c r="F1388" t="s">
        <v>86</v>
      </c>
      <c r="G1388" t="s">
        <v>140</v>
      </c>
      <c r="H1388" t="s">
        <v>109</v>
      </c>
      <c r="I1388" t="s">
        <v>96</v>
      </c>
      <c r="J1388">
        <v>0</v>
      </c>
      <c r="K1388">
        <v>0</v>
      </c>
      <c r="L1388">
        <v>0</v>
      </c>
      <c r="M1388">
        <v>929</v>
      </c>
      <c r="N1388">
        <v>14164</v>
      </c>
      <c r="O1388">
        <v>53</v>
      </c>
      <c r="P1388">
        <v>1417</v>
      </c>
      <c r="Q1388">
        <v>70276</v>
      </c>
      <c r="R1388">
        <v>13</v>
      </c>
      <c r="S1388" t="s">
        <v>97</v>
      </c>
      <c r="T1388" t="s">
        <v>97</v>
      </c>
      <c r="U1388" t="s">
        <v>97</v>
      </c>
      <c r="V1388">
        <v>2346</v>
      </c>
      <c r="W1388">
        <v>84440</v>
      </c>
      <c r="X1388">
        <v>66</v>
      </c>
      <c r="Y1388">
        <f t="shared" si="21"/>
        <v>84440</v>
      </c>
      <c r="Z1388" t="str">
        <f>IF(ISNUMBER(SEARCH("Adjustment",$C1388)),"excluded",IF($H1388="Behind the Meter","excluded",IF(NOT(OR($E1388="Bundled",$E1388="Energy")),"excluded",IF(OR($H1388="Retail Power Marketer",$H1388="Community Choice Aggregator",$E1388="Energy"),"procurement",IF(OR($H1388="Municipal",$H1388="Cooperative",$H1388="Federal",$H1388="State",$H1388="Political Subdivision"),"cost_service",IF($H1388="Investor Owned",IF(AND(COUNTIF(Parameters!$A$4:$A$33,$G1388)&gt;0,COUNTIF(Parameters!$B$4:$B$33,$B1388)=0),"procurement","cost_service"),"unclassified"))))))</f>
        <v>excluded</v>
      </c>
    </row>
    <row r="1389" spans="1:26" x14ac:dyDescent="0.25">
      <c r="A1389">
        <v>2024</v>
      </c>
      <c r="B1389">
        <v>19579</v>
      </c>
      <c r="C1389" t="s">
        <v>1275</v>
      </c>
      <c r="D1389" t="s">
        <v>84</v>
      </c>
      <c r="E1389" t="s">
        <v>85</v>
      </c>
      <c r="F1389" t="s">
        <v>86</v>
      </c>
      <c r="G1389" t="s">
        <v>57</v>
      </c>
      <c r="H1389" t="s">
        <v>91</v>
      </c>
      <c r="I1389" t="s">
        <v>135</v>
      </c>
      <c r="J1389">
        <v>77807</v>
      </c>
      <c r="K1389">
        <v>627655</v>
      </c>
      <c r="L1389">
        <v>44415</v>
      </c>
      <c r="M1389">
        <v>20589</v>
      </c>
      <c r="N1389">
        <v>171085</v>
      </c>
      <c r="O1389">
        <v>6398</v>
      </c>
      <c r="P1389">
        <v>9490</v>
      </c>
      <c r="Q1389">
        <v>125844</v>
      </c>
      <c r="R1389">
        <v>23</v>
      </c>
      <c r="S1389" t="s">
        <v>97</v>
      </c>
      <c r="T1389" t="s">
        <v>97</v>
      </c>
      <c r="U1389" t="s">
        <v>97</v>
      </c>
      <c r="V1389">
        <v>107886</v>
      </c>
      <c r="W1389">
        <v>924584</v>
      </c>
      <c r="X1389">
        <v>50836</v>
      </c>
      <c r="Y1389">
        <f t="shared" si="21"/>
        <v>924584</v>
      </c>
      <c r="Z1389" t="str">
        <f>IF(ISNUMBER(SEARCH("Adjustment",$C1389)),"excluded",IF($H1389="Behind the Meter","excluded",IF(NOT(OR($E1389="Bundled",$E1389="Energy")),"excluded",IF(OR($H1389="Retail Power Marketer",$H1389="Community Choice Aggregator",$E1389="Energy"),"procurement",IF(OR($H1389="Municipal",$H1389="Cooperative",$H1389="Federal",$H1389="State",$H1389="Political Subdivision"),"cost_service",IF($H1389="Investor Owned",IF(AND(COUNTIF(Parameters!$A$4:$A$33,$G1389)&gt;0,COUNTIF(Parameters!$B$4:$B$33,$B1389)=0),"procurement","cost_service"),"unclassified"))))))</f>
        <v>cost_service</v>
      </c>
    </row>
    <row r="1390" spans="1:26" x14ac:dyDescent="0.25">
      <c r="A1390">
        <v>2024</v>
      </c>
      <c r="B1390">
        <v>19603</v>
      </c>
      <c r="C1390" t="s">
        <v>1276</v>
      </c>
      <c r="D1390" t="s">
        <v>84</v>
      </c>
      <c r="E1390" t="s">
        <v>85</v>
      </c>
      <c r="F1390" t="s">
        <v>86</v>
      </c>
      <c r="G1390" t="s">
        <v>491</v>
      </c>
      <c r="H1390" t="s">
        <v>220</v>
      </c>
      <c r="I1390" t="s">
        <v>844</v>
      </c>
      <c r="J1390">
        <v>22859</v>
      </c>
      <c r="K1390">
        <v>256616</v>
      </c>
      <c r="L1390">
        <v>16292</v>
      </c>
      <c r="M1390">
        <v>11321</v>
      </c>
      <c r="N1390">
        <v>135525</v>
      </c>
      <c r="O1390">
        <v>5726</v>
      </c>
      <c r="P1390">
        <v>1073</v>
      </c>
      <c r="Q1390">
        <v>15065</v>
      </c>
      <c r="R1390">
        <v>1106</v>
      </c>
      <c r="S1390">
        <v>0</v>
      </c>
      <c r="T1390">
        <v>0</v>
      </c>
      <c r="U1390">
        <v>0</v>
      </c>
      <c r="V1390">
        <v>35253</v>
      </c>
      <c r="W1390">
        <v>407206</v>
      </c>
      <c r="X1390">
        <v>23124</v>
      </c>
      <c r="Y1390">
        <f t="shared" si="21"/>
        <v>407206</v>
      </c>
      <c r="Z1390" t="str">
        <f>IF(ISNUMBER(SEARCH("Adjustment",$C1390)),"excluded",IF($H1390="Behind the Meter","excluded",IF(NOT(OR($E1390="Bundled",$E1390="Energy")),"excluded",IF(OR($H1390="Retail Power Marketer",$H1390="Community Choice Aggregator",$E1390="Energy"),"procurement",IF(OR($H1390="Municipal",$H1390="Cooperative",$H1390="Federal",$H1390="State",$H1390="Political Subdivision"),"cost_service",IF($H1390="Investor Owned",IF(AND(COUNTIF(Parameters!$A$4:$A$33,$G1390)&gt;0,COUNTIF(Parameters!$B$4:$B$33,$B1390)=0),"procurement","cost_service"),"unclassified"))))))</f>
        <v>cost_service</v>
      </c>
    </row>
    <row r="1391" spans="1:26" x14ac:dyDescent="0.25">
      <c r="A1391">
        <v>2024</v>
      </c>
      <c r="B1391">
        <v>19604</v>
      </c>
      <c r="C1391" t="s">
        <v>1277</v>
      </c>
      <c r="D1391" t="s">
        <v>84</v>
      </c>
      <c r="E1391" t="s">
        <v>85</v>
      </c>
      <c r="F1391" t="s">
        <v>86</v>
      </c>
      <c r="G1391" t="s">
        <v>108</v>
      </c>
      <c r="H1391" t="s">
        <v>220</v>
      </c>
      <c r="I1391" t="s">
        <v>243</v>
      </c>
      <c r="J1391">
        <v>24640</v>
      </c>
      <c r="K1391">
        <v>126426</v>
      </c>
      <c r="L1391">
        <v>11432</v>
      </c>
      <c r="M1391">
        <v>17526</v>
      </c>
      <c r="N1391">
        <v>97721</v>
      </c>
      <c r="O1391">
        <v>1907</v>
      </c>
      <c r="P1391">
        <v>1002</v>
      </c>
      <c r="Q1391">
        <v>6386</v>
      </c>
      <c r="R1391">
        <v>2</v>
      </c>
      <c r="S1391" t="s">
        <v>97</v>
      </c>
      <c r="T1391" t="s">
        <v>97</v>
      </c>
      <c r="U1391" t="s">
        <v>97</v>
      </c>
      <c r="V1391">
        <v>43168</v>
      </c>
      <c r="W1391">
        <v>230533</v>
      </c>
      <c r="X1391">
        <v>13341</v>
      </c>
      <c r="Y1391">
        <f t="shared" si="21"/>
        <v>230533</v>
      </c>
      <c r="Z1391" t="str">
        <f>IF(ISNUMBER(SEARCH("Adjustment",$C1391)),"excluded",IF($H1391="Behind the Meter","excluded",IF(NOT(OR($E1391="Bundled",$E1391="Energy")),"excluded",IF(OR($H1391="Retail Power Marketer",$H1391="Community Choice Aggregator",$E1391="Energy"),"procurement",IF(OR($H1391="Municipal",$H1391="Cooperative",$H1391="Federal",$H1391="State",$H1391="Political Subdivision"),"cost_service",IF($H1391="Investor Owned",IF(AND(COUNTIF(Parameters!$A$4:$A$33,$G1391)&gt;0,COUNTIF(Parameters!$B$4:$B$33,$B1391)=0),"procurement","cost_service"),"unclassified"))))))</f>
        <v>cost_service</v>
      </c>
    </row>
    <row r="1392" spans="1:26" x14ac:dyDescent="0.25">
      <c r="A1392">
        <v>2024</v>
      </c>
      <c r="B1392">
        <v>19667</v>
      </c>
      <c r="C1392" t="s">
        <v>1278</v>
      </c>
      <c r="D1392" t="s">
        <v>84</v>
      </c>
      <c r="E1392" t="s">
        <v>85</v>
      </c>
      <c r="F1392" t="s">
        <v>86</v>
      </c>
      <c r="G1392" t="s">
        <v>130</v>
      </c>
      <c r="H1392" t="s">
        <v>91</v>
      </c>
      <c r="I1392" t="s">
        <v>96</v>
      </c>
      <c r="J1392">
        <v>38859.300000000003</v>
      </c>
      <c r="K1392">
        <v>241346</v>
      </c>
      <c r="L1392">
        <v>18898</v>
      </c>
      <c r="M1392">
        <v>6186.9</v>
      </c>
      <c r="N1392">
        <v>42638</v>
      </c>
      <c r="O1392">
        <v>1062</v>
      </c>
      <c r="P1392">
        <v>4051.9</v>
      </c>
      <c r="Q1392">
        <v>40758</v>
      </c>
      <c r="R1392">
        <v>15</v>
      </c>
      <c r="S1392">
        <v>0</v>
      </c>
      <c r="T1392">
        <v>0</v>
      </c>
      <c r="U1392">
        <v>0</v>
      </c>
      <c r="V1392">
        <v>49098.1</v>
      </c>
      <c r="W1392">
        <v>324742</v>
      </c>
      <c r="X1392">
        <v>19975</v>
      </c>
      <c r="Y1392">
        <f t="shared" si="21"/>
        <v>324742</v>
      </c>
      <c r="Z1392" t="str">
        <f>IF(ISNUMBER(SEARCH("Adjustment",$C1392)),"excluded",IF($H1392="Behind the Meter","excluded",IF(NOT(OR($E1392="Bundled",$E1392="Energy")),"excluded",IF(OR($H1392="Retail Power Marketer",$H1392="Community Choice Aggregator",$E1392="Energy"),"procurement",IF(OR($H1392="Municipal",$H1392="Cooperative",$H1392="Federal",$H1392="State",$H1392="Political Subdivision"),"cost_service",IF($H1392="Investor Owned",IF(AND(COUNTIF(Parameters!$A$4:$A$33,$G1392)&gt;0,COUNTIF(Parameters!$B$4:$B$33,$B1392)=0),"procurement","cost_service"),"unclassified"))))))</f>
        <v>cost_service</v>
      </c>
    </row>
    <row r="1393" spans="1:26" x14ac:dyDescent="0.25">
      <c r="A1393">
        <v>2024</v>
      </c>
      <c r="B1393">
        <v>19728</v>
      </c>
      <c r="C1393" t="s">
        <v>1279</v>
      </c>
      <c r="D1393" t="s">
        <v>84</v>
      </c>
      <c r="E1393" t="s">
        <v>85</v>
      </c>
      <c r="F1393" t="s">
        <v>86</v>
      </c>
      <c r="G1393" t="s">
        <v>108</v>
      </c>
      <c r="H1393" t="s">
        <v>109</v>
      </c>
      <c r="I1393" t="s">
        <v>876</v>
      </c>
      <c r="J1393">
        <v>169013.1</v>
      </c>
      <c r="K1393">
        <v>1055159</v>
      </c>
      <c r="L1393">
        <v>95191</v>
      </c>
      <c r="M1393">
        <v>112101</v>
      </c>
      <c r="N1393">
        <v>736251</v>
      </c>
      <c r="O1393">
        <v>12287</v>
      </c>
      <c r="P1393">
        <v>13686.4</v>
      </c>
      <c r="Q1393">
        <v>114290</v>
      </c>
      <c r="R1393">
        <v>6</v>
      </c>
      <c r="S1393" t="s">
        <v>97</v>
      </c>
      <c r="T1393" t="s">
        <v>97</v>
      </c>
      <c r="U1393" t="s">
        <v>97</v>
      </c>
      <c r="V1393">
        <v>294800.5</v>
      </c>
      <c r="W1393">
        <v>1905700</v>
      </c>
      <c r="X1393">
        <v>107484</v>
      </c>
      <c r="Y1393">
        <f t="shared" si="21"/>
        <v>1905700</v>
      </c>
      <c r="Z1393" t="str">
        <f>IF(ISNUMBER(SEARCH("Adjustment",$C1393)),"excluded",IF($H1393="Behind the Meter","excluded",IF(NOT(OR($E1393="Bundled",$E1393="Energy")),"excluded",IF(OR($H1393="Retail Power Marketer",$H1393="Community Choice Aggregator",$E1393="Energy"),"procurement",IF(OR($H1393="Municipal",$H1393="Cooperative",$H1393="Federal",$H1393="State",$H1393="Political Subdivision"),"cost_service",IF($H1393="Investor Owned",IF(AND(COUNTIF(Parameters!$A$4:$A$33,$G1393)&gt;0,COUNTIF(Parameters!$B$4:$B$33,$B1393)=0),"procurement","cost_service"),"unclassified"))))))</f>
        <v>cost_service</v>
      </c>
    </row>
    <row r="1394" spans="1:26" x14ac:dyDescent="0.25">
      <c r="A1394">
        <v>2024</v>
      </c>
      <c r="B1394">
        <v>19784</v>
      </c>
      <c r="C1394" t="s">
        <v>1280</v>
      </c>
      <c r="D1394" t="s">
        <v>84</v>
      </c>
      <c r="E1394" t="s">
        <v>85</v>
      </c>
      <c r="F1394" t="s">
        <v>86</v>
      </c>
      <c r="G1394" t="s">
        <v>148</v>
      </c>
      <c r="H1394" t="s">
        <v>205</v>
      </c>
      <c r="I1394" t="s">
        <v>206</v>
      </c>
      <c r="J1394">
        <v>14678</v>
      </c>
      <c r="K1394">
        <v>159937</v>
      </c>
      <c r="L1394">
        <v>12171</v>
      </c>
      <c r="M1394">
        <v>6997</v>
      </c>
      <c r="N1394">
        <v>78080</v>
      </c>
      <c r="O1394">
        <v>1379</v>
      </c>
      <c r="P1394" t="s">
        <v>97</v>
      </c>
      <c r="Q1394" t="s">
        <v>97</v>
      </c>
      <c r="R1394" t="s">
        <v>97</v>
      </c>
      <c r="S1394" t="s">
        <v>97</v>
      </c>
      <c r="T1394" t="s">
        <v>97</v>
      </c>
      <c r="U1394" t="s">
        <v>97</v>
      </c>
      <c r="V1394">
        <v>21675</v>
      </c>
      <c r="W1394">
        <v>238017</v>
      </c>
      <c r="X1394">
        <v>13550</v>
      </c>
      <c r="Y1394">
        <f t="shared" si="21"/>
        <v>238017</v>
      </c>
      <c r="Z1394" t="str">
        <f>IF(ISNUMBER(SEARCH("Adjustment",$C1394)),"excluded",IF($H1394="Behind the Meter","excluded",IF(NOT(OR($E1394="Bundled",$E1394="Energy")),"excluded",IF(OR($H1394="Retail Power Marketer",$H1394="Community Choice Aggregator",$E1394="Energy"),"procurement",IF(OR($H1394="Municipal",$H1394="Cooperative",$H1394="Federal",$H1394="State",$H1394="Political Subdivision"),"cost_service",IF($H1394="Investor Owned",IF(AND(COUNTIF(Parameters!$A$4:$A$33,$G1394)&gt;0,COUNTIF(Parameters!$B$4:$B$33,$B1394)=0),"procurement","cost_service"),"unclassified"))))))</f>
        <v>cost_service</v>
      </c>
    </row>
    <row r="1395" spans="1:26" x14ac:dyDescent="0.25">
      <c r="A1395">
        <v>2024</v>
      </c>
      <c r="B1395">
        <v>19785</v>
      </c>
      <c r="C1395" t="s">
        <v>1281</v>
      </c>
      <c r="D1395" t="s">
        <v>84</v>
      </c>
      <c r="E1395" t="s">
        <v>85</v>
      </c>
      <c r="F1395" t="s">
        <v>86</v>
      </c>
      <c r="G1395" t="s">
        <v>136</v>
      </c>
      <c r="H1395" t="s">
        <v>91</v>
      </c>
      <c r="I1395" t="s">
        <v>227</v>
      </c>
      <c r="J1395">
        <v>70188.5</v>
      </c>
      <c r="K1395">
        <v>588211</v>
      </c>
      <c r="L1395">
        <v>35102</v>
      </c>
      <c r="M1395">
        <v>5896.8</v>
      </c>
      <c r="N1395">
        <v>47700</v>
      </c>
      <c r="O1395">
        <v>3264</v>
      </c>
      <c r="P1395">
        <v>10807.4</v>
      </c>
      <c r="Q1395">
        <v>106739</v>
      </c>
      <c r="R1395">
        <v>701</v>
      </c>
      <c r="S1395">
        <v>0</v>
      </c>
      <c r="T1395">
        <v>0</v>
      </c>
      <c r="U1395">
        <v>0</v>
      </c>
      <c r="V1395">
        <v>86892.7</v>
      </c>
      <c r="W1395">
        <v>742650</v>
      </c>
      <c r="X1395">
        <v>39067</v>
      </c>
      <c r="Y1395">
        <f t="shared" si="21"/>
        <v>742650</v>
      </c>
      <c r="Z1395" t="str">
        <f>IF(ISNUMBER(SEARCH("Adjustment",$C1395)),"excluded",IF($H1395="Behind the Meter","excluded",IF(NOT(OR($E1395="Bundled",$E1395="Energy")),"excluded",IF(OR($H1395="Retail Power Marketer",$H1395="Community Choice Aggregator",$E1395="Energy"),"procurement",IF(OR($H1395="Municipal",$H1395="Cooperative",$H1395="Federal",$H1395="State",$H1395="Political Subdivision"),"cost_service",IF($H1395="Investor Owned",IF(AND(COUNTIF(Parameters!$A$4:$A$33,$G1395)&gt;0,COUNTIF(Parameters!$B$4:$B$33,$B1395)=0),"procurement","cost_service"),"unclassified"))))))</f>
        <v>cost_service</v>
      </c>
    </row>
    <row r="1396" spans="1:26" x14ac:dyDescent="0.25">
      <c r="A1396">
        <v>2024</v>
      </c>
      <c r="B1396">
        <v>19790</v>
      </c>
      <c r="C1396" t="s">
        <v>1282</v>
      </c>
      <c r="D1396" t="s">
        <v>84</v>
      </c>
      <c r="E1396" t="s">
        <v>85</v>
      </c>
      <c r="F1396" t="s">
        <v>86</v>
      </c>
      <c r="G1396" t="s">
        <v>198</v>
      </c>
      <c r="H1396" t="s">
        <v>91</v>
      </c>
      <c r="I1396" t="s">
        <v>96</v>
      </c>
      <c r="J1396">
        <v>23590.2</v>
      </c>
      <c r="K1396">
        <v>220422</v>
      </c>
      <c r="L1396">
        <v>14336</v>
      </c>
      <c r="M1396">
        <v>14429.5</v>
      </c>
      <c r="N1396">
        <v>139671</v>
      </c>
      <c r="O1396">
        <v>2333</v>
      </c>
      <c r="P1396">
        <v>15000.6</v>
      </c>
      <c r="Q1396">
        <v>215519</v>
      </c>
      <c r="R1396">
        <v>70</v>
      </c>
      <c r="S1396">
        <v>0</v>
      </c>
      <c r="T1396">
        <v>0</v>
      </c>
      <c r="U1396">
        <v>0</v>
      </c>
      <c r="V1396">
        <v>53020.3</v>
      </c>
      <c r="W1396">
        <v>575612</v>
      </c>
      <c r="X1396">
        <v>16739</v>
      </c>
      <c r="Y1396">
        <f t="shared" si="21"/>
        <v>575612</v>
      </c>
      <c r="Z1396" t="str">
        <f>IF(ISNUMBER(SEARCH("Adjustment",$C1396)),"excluded",IF($H1396="Behind the Meter","excluded",IF(NOT(OR($E1396="Bundled",$E1396="Energy")),"excluded",IF(OR($H1396="Retail Power Marketer",$H1396="Community Choice Aggregator",$E1396="Energy"),"procurement",IF(OR($H1396="Municipal",$H1396="Cooperative",$H1396="Federal",$H1396="State",$H1396="Political Subdivision"),"cost_service",IF($H1396="Investor Owned",IF(AND(COUNTIF(Parameters!$A$4:$A$33,$G1396)&gt;0,COUNTIF(Parameters!$B$4:$B$33,$B1396)=0),"procurement","cost_service"),"unclassified"))))))</f>
        <v>cost_service</v>
      </c>
    </row>
    <row r="1397" spans="1:26" x14ac:dyDescent="0.25">
      <c r="A1397">
        <v>2024</v>
      </c>
      <c r="B1397">
        <v>19791</v>
      </c>
      <c r="C1397" t="s">
        <v>1283</v>
      </c>
      <c r="D1397" t="s">
        <v>84</v>
      </c>
      <c r="E1397" t="s">
        <v>85</v>
      </c>
      <c r="F1397" t="s">
        <v>86</v>
      </c>
      <c r="G1397" t="s">
        <v>269</v>
      </c>
      <c r="H1397" t="s">
        <v>91</v>
      </c>
      <c r="I1397" t="s">
        <v>189</v>
      </c>
      <c r="J1397">
        <v>56043.6</v>
      </c>
      <c r="K1397">
        <v>240929</v>
      </c>
      <c r="L1397">
        <v>35964</v>
      </c>
      <c r="M1397">
        <v>24544</v>
      </c>
      <c r="N1397">
        <v>133028</v>
      </c>
      <c r="O1397">
        <v>5139</v>
      </c>
      <c r="P1397">
        <v>12968.7</v>
      </c>
      <c r="Q1397">
        <v>100533</v>
      </c>
      <c r="R1397">
        <v>19</v>
      </c>
      <c r="S1397">
        <v>0</v>
      </c>
      <c r="T1397">
        <v>0</v>
      </c>
      <c r="U1397">
        <v>0</v>
      </c>
      <c r="V1397">
        <v>93556.3</v>
      </c>
      <c r="W1397">
        <v>474490</v>
      </c>
      <c r="X1397">
        <v>41122</v>
      </c>
      <c r="Y1397">
        <f t="shared" si="21"/>
        <v>474490</v>
      </c>
      <c r="Z1397" t="str">
        <f>IF(ISNUMBER(SEARCH("Adjustment",$C1397)),"excluded",IF($H1397="Behind the Meter","excluded",IF(NOT(OR($E1397="Bundled",$E1397="Energy")),"excluded",IF(OR($H1397="Retail Power Marketer",$H1397="Community Choice Aggregator",$E1397="Energy"),"procurement",IF(OR($H1397="Municipal",$H1397="Cooperative",$H1397="Federal",$H1397="State",$H1397="Political Subdivision"),"cost_service",IF($H1397="Investor Owned",IF(AND(COUNTIF(Parameters!$A$4:$A$33,$G1397)&gt;0,COUNTIF(Parameters!$B$4:$B$33,$B1397)=0),"procurement","cost_service"),"unclassified"))))))</f>
        <v>cost_service</v>
      </c>
    </row>
    <row r="1398" spans="1:26" x14ac:dyDescent="0.25">
      <c r="A1398">
        <v>2024</v>
      </c>
      <c r="B1398">
        <v>19798</v>
      </c>
      <c r="C1398" t="s">
        <v>1284</v>
      </c>
      <c r="D1398" t="s">
        <v>84</v>
      </c>
      <c r="E1398" t="s">
        <v>85</v>
      </c>
      <c r="F1398" t="s">
        <v>86</v>
      </c>
      <c r="G1398" t="s">
        <v>115</v>
      </c>
      <c r="H1398" t="s">
        <v>88</v>
      </c>
      <c r="I1398" t="s">
        <v>116</v>
      </c>
      <c r="J1398">
        <v>48.9</v>
      </c>
      <c r="K1398">
        <v>336</v>
      </c>
      <c r="L1398">
        <v>73</v>
      </c>
      <c r="M1398">
        <v>88339.7</v>
      </c>
      <c r="N1398">
        <v>395921</v>
      </c>
      <c r="O1398">
        <v>1222</v>
      </c>
      <c r="P1398">
        <v>105950.5</v>
      </c>
      <c r="Q1398">
        <v>638818</v>
      </c>
      <c r="R1398">
        <v>449</v>
      </c>
      <c r="S1398" t="s">
        <v>97</v>
      </c>
      <c r="T1398" t="s">
        <v>97</v>
      </c>
      <c r="U1398" t="s">
        <v>97</v>
      </c>
      <c r="V1398">
        <v>194339.1</v>
      </c>
      <c r="W1398">
        <v>1035075</v>
      </c>
      <c r="X1398">
        <v>1744</v>
      </c>
      <c r="Y1398">
        <f t="shared" si="21"/>
        <v>1035075</v>
      </c>
      <c r="Z1398" t="str">
        <f>IF(ISNUMBER(SEARCH("Adjustment",$C1398)),"excluded",IF($H1398="Behind the Meter","excluded",IF(NOT(OR($E1398="Bundled",$E1398="Energy")),"excluded",IF(OR($H1398="Retail Power Marketer",$H1398="Community Choice Aggregator",$E1398="Energy"),"procurement",IF(OR($H1398="Municipal",$H1398="Cooperative",$H1398="Federal",$H1398="State",$H1398="Political Subdivision"),"cost_service",IF($H1398="Investor Owned",IF(AND(COUNTIF(Parameters!$A$4:$A$33,$G1398)&gt;0,COUNTIF(Parameters!$B$4:$B$33,$B1398)=0),"procurement","cost_service"),"unclassified"))))))</f>
        <v>cost_service</v>
      </c>
    </row>
    <row r="1399" spans="1:26" x14ac:dyDescent="0.25">
      <c r="A1399">
        <v>2024</v>
      </c>
      <c r="B1399">
        <v>19806</v>
      </c>
      <c r="C1399" t="s">
        <v>1285</v>
      </c>
      <c r="D1399" t="s">
        <v>84</v>
      </c>
      <c r="E1399" t="s">
        <v>85</v>
      </c>
      <c r="F1399" t="s">
        <v>86</v>
      </c>
      <c r="G1399" t="s">
        <v>57</v>
      </c>
      <c r="H1399" t="s">
        <v>91</v>
      </c>
      <c r="I1399" t="s">
        <v>151</v>
      </c>
      <c r="J1399">
        <v>38976.5</v>
      </c>
      <c r="K1399">
        <v>321257</v>
      </c>
      <c r="L1399">
        <v>21500</v>
      </c>
      <c r="M1399">
        <v>6213</v>
      </c>
      <c r="N1399">
        <v>51033</v>
      </c>
      <c r="O1399">
        <v>3056</v>
      </c>
      <c r="P1399">
        <v>19627.3</v>
      </c>
      <c r="Q1399">
        <v>252604</v>
      </c>
      <c r="R1399">
        <v>380</v>
      </c>
      <c r="S1399">
        <v>0</v>
      </c>
      <c r="T1399">
        <v>0</v>
      </c>
      <c r="U1399">
        <v>0</v>
      </c>
      <c r="V1399">
        <v>64816.800000000003</v>
      </c>
      <c r="W1399">
        <v>624894</v>
      </c>
      <c r="X1399">
        <v>24936</v>
      </c>
      <c r="Y1399">
        <f t="shared" si="21"/>
        <v>624894</v>
      </c>
      <c r="Z1399" t="str">
        <f>IF(ISNUMBER(SEARCH("Adjustment",$C1399)),"excluded",IF($H1399="Behind the Meter","excluded",IF(NOT(OR($E1399="Bundled",$E1399="Energy")),"excluded",IF(OR($H1399="Retail Power Marketer",$H1399="Community Choice Aggregator",$E1399="Energy"),"procurement",IF(OR($H1399="Municipal",$H1399="Cooperative",$H1399="Federal",$H1399="State",$H1399="Political Subdivision"),"cost_service",IF($H1399="Investor Owned",IF(AND(COUNTIF(Parameters!$A$4:$A$33,$G1399)&gt;0,COUNTIF(Parameters!$B$4:$B$33,$B1399)=0),"procurement","cost_service"),"unclassified"))))))</f>
        <v>cost_service</v>
      </c>
    </row>
    <row r="1400" spans="1:26" x14ac:dyDescent="0.25">
      <c r="A1400">
        <v>2024</v>
      </c>
      <c r="B1400">
        <v>19820</v>
      </c>
      <c r="C1400" t="s">
        <v>1286</v>
      </c>
      <c r="D1400" t="s">
        <v>84</v>
      </c>
      <c r="E1400" t="s">
        <v>85</v>
      </c>
      <c r="F1400" t="s">
        <v>86</v>
      </c>
      <c r="G1400" t="s">
        <v>134</v>
      </c>
      <c r="H1400" t="s">
        <v>91</v>
      </c>
      <c r="I1400" t="s">
        <v>135</v>
      </c>
      <c r="J1400">
        <v>17211</v>
      </c>
      <c r="K1400">
        <v>145060</v>
      </c>
      <c r="L1400">
        <v>14243</v>
      </c>
      <c r="M1400">
        <v>21856</v>
      </c>
      <c r="N1400">
        <v>216669</v>
      </c>
      <c r="O1400">
        <v>3861</v>
      </c>
      <c r="P1400">
        <v>32183</v>
      </c>
      <c r="Q1400">
        <v>467106</v>
      </c>
      <c r="R1400">
        <v>2328</v>
      </c>
      <c r="S1400" t="s">
        <v>97</v>
      </c>
      <c r="T1400" t="s">
        <v>97</v>
      </c>
      <c r="U1400" t="s">
        <v>97</v>
      </c>
      <c r="V1400">
        <v>71250</v>
      </c>
      <c r="W1400">
        <v>828835</v>
      </c>
      <c r="X1400">
        <v>20432</v>
      </c>
      <c r="Y1400">
        <f t="shared" si="21"/>
        <v>828835</v>
      </c>
      <c r="Z1400" t="str">
        <f>IF(ISNUMBER(SEARCH("Adjustment",$C1400)),"excluded",IF($H1400="Behind the Meter","excluded",IF(NOT(OR($E1400="Bundled",$E1400="Energy")),"excluded",IF(OR($H1400="Retail Power Marketer",$H1400="Community Choice Aggregator",$E1400="Energy"),"procurement",IF(OR($H1400="Municipal",$H1400="Cooperative",$H1400="Federal",$H1400="State",$H1400="Political Subdivision"),"cost_service",IF($H1400="Investor Owned",IF(AND(COUNTIF(Parameters!$A$4:$A$33,$G1400)&gt;0,COUNTIF(Parameters!$B$4:$B$33,$B1400)=0),"procurement","cost_service"),"unclassified"))))))</f>
        <v>cost_service</v>
      </c>
    </row>
    <row r="1401" spans="1:26" x14ac:dyDescent="0.25">
      <c r="A1401">
        <v>2024</v>
      </c>
      <c r="B1401">
        <v>19840</v>
      </c>
      <c r="C1401" t="s">
        <v>1287</v>
      </c>
      <c r="D1401" t="s">
        <v>84</v>
      </c>
      <c r="E1401" t="s">
        <v>85</v>
      </c>
      <c r="F1401" t="s">
        <v>86</v>
      </c>
      <c r="G1401" t="s">
        <v>115</v>
      </c>
      <c r="H1401" t="s">
        <v>91</v>
      </c>
      <c r="I1401" t="s">
        <v>390</v>
      </c>
      <c r="J1401">
        <v>19.100000000000001</v>
      </c>
      <c r="K1401">
        <v>100</v>
      </c>
      <c r="L1401">
        <v>12</v>
      </c>
      <c r="M1401">
        <v>1.8</v>
      </c>
      <c r="N1401">
        <v>4</v>
      </c>
      <c r="O1401">
        <v>2</v>
      </c>
      <c r="P1401">
        <v>1053.7</v>
      </c>
      <c r="Q1401">
        <v>9010</v>
      </c>
      <c r="R1401">
        <v>30</v>
      </c>
      <c r="S1401">
        <v>0</v>
      </c>
      <c r="T1401">
        <v>0</v>
      </c>
      <c r="U1401">
        <v>0</v>
      </c>
      <c r="V1401">
        <v>1074.5999999999999</v>
      </c>
      <c r="W1401">
        <v>9114</v>
      </c>
      <c r="X1401">
        <v>44</v>
      </c>
      <c r="Y1401">
        <f t="shared" si="21"/>
        <v>9114</v>
      </c>
      <c r="Z1401" t="str">
        <f>IF(ISNUMBER(SEARCH("Adjustment",$C1401)),"excluded",IF($H1401="Behind the Meter","excluded",IF(NOT(OR($E1401="Bundled",$E1401="Energy")),"excluded",IF(OR($H1401="Retail Power Marketer",$H1401="Community Choice Aggregator",$E1401="Energy"),"procurement",IF(OR($H1401="Municipal",$H1401="Cooperative",$H1401="Federal",$H1401="State",$H1401="Political Subdivision"),"cost_service",IF($H1401="Investor Owned",IF(AND(COUNTIF(Parameters!$A$4:$A$33,$G1401)&gt;0,COUNTIF(Parameters!$B$4:$B$33,$B1401)=0),"procurement","cost_service"),"unclassified"))))))</f>
        <v>cost_service</v>
      </c>
    </row>
    <row r="1402" spans="1:26" x14ac:dyDescent="0.25">
      <c r="A1402">
        <v>2024</v>
      </c>
      <c r="B1402">
        <v>19840</v>
      </c>
      <c r="C1402" t="s">
        <v>1287</v>
      </c>
      <c r="D1402" t="s">
        <v>84</v>
      </c>
      <c r="E1402" t="s">
        <v>85</v>
      </c>
      <c r="F1402" t="s">
        <v>86</v>
      </c>
      <c r="G1402" t="s">
        <v>242</v>
      </c>
      <c r="H1402" t="s">
        <v>91</v>
      </c>
      <c r="I1402" t="s">
        <v>390</v>
      </c>
      <c r="J1402">
        <v>53734.400000000001</v>
      </c>
      <c r="K1402">
        <v>321264</v>
      </c>
      <c r="L1402">
        <v>22368</v>
      </c>
      <c r="M1402">
        <v>32599.8</v>
      </c>
      <c r="N1402">
        <v>233068</v>
      </c>
      <c r="O1402">
        <v>2462</v>
      </c>
      <c r="P1402">
        <v>3081.6</v>
      </c>
      <c r="Q1402">
        <v>27425</v>
      </c>
      <c r="R1402">
        <v>192</v>
      </c>
      <c r="S1402">
        <v>0</v>
      </c>
      <c r="T1402">
        <v>0</v>
      </c>
      <c r="U1402">
        <v>0</v>
      </c>
      <c r="V1402">
        <v>89415.8</v>
      </c>
      <c r="W1402">
        <v>581757</v>
      </c>
      <c r="X1402">
        <v>25022</v>
      </c>
      <c r="Y1402">
        <f t="shared" si="21"/>
        <v>581757</v>
      </c>
      <c r="Z1402" t="str">
        <f>IF(ISNUMBER(SEARCH("Adjustment",$C1402)),"excluded",IF($H1402="Behind the Meter","excluded",IF(NOT(OR($E1402="Bundled",$E1402="Energy")),"excluded",IF(OR($H1402="Retail Power Marketer",$H1402="Community Choice Aggregator",$E1402="Energy"),"procurement",IF(OR($H1402="Municipal",$H1402="Cooperative",$H1402="Federal",$H1402="State",$H1402="Political Subdivision"),"cost_service",IF($H1402="Investor Owned",IF(AND(COUNTIF(Parameters!$A$4:$A$33,$G1402)&gt;0,COUNTIF(Parameters!$B$4:$B$33,$B1402)=0),"procurement","cost_service"),"unclassified"))))))</f>
        <v>cost_service</v>
      </c>
    </row>
    <row r="1403" spans="1:26" x14ac:dyDescent="0.25">
      <c r="A1403">
        <v>2024</v>
      </c>
      <c r="B1403">
        <v>19856</v>
      </c>
      <c r="C1403" t="s">
        <v>1288</v>
      </c>
      <c r="D1403" t="s">
        <v>84</v>
      </c>
      <c r="E1403" t="s">
        <v>85</v>
      </c>
      <c r="F1403" t="s">
        <v>86</v>
      </c>
      <c r="G1403" t="s">
        <v>52</v>
      </c>
      <c r="H1403" t="s">
        <v>88</v>
      </c>
      <c r="I1403" t="s">
        <v>92</v>
      </c>
      <c r="J1403">
        <v>37399.4</v>
      </c>
      <c r="K1403">
        <v>209692</v>
      </c>
      <c r="L1403">
        <v>22774</v>
      </c>
      <c r="M1403">
        <v>46966</v>
      </c>
      <c r="N1403">
        <v>269223</v>
      </c>
      <c r="O1403">
        <v>3071</v>
      </c>
      <c r="P1403">
        <v>30946.3</v>
      </c>
      <c r="Q1403">
        <v>228824</v>
      </c>
      <c r="R1403">
        <v>60</v>
      </c>
      <c r="S1403">
        <v>0</v>
      </c>
      <c r="T1403">
        <v>0</v>
      </c>
      <c r="U1403">
        <v>0</v>
      </c>
      <c r="V1403">
        <v>115311.7</v>
      </c>
      <c r="W1403">
        <v>707739</v>
      </c>
      <c r="X1403">
        <v>25905</v>
      </c>
      <c r="Y1403">
        <f t="shared" si="21"/>
        <v>707739</v>
      </c>
      <c r="Z1403" t="str">
        <f>IF(ISNUMBER(SEARCH("Adjustment",$C1403)),"excluded",IF($H1403="Behind the Meter","excluded",IF(NOT(OR($E1403="Bundled",$E1403="Energy")),"excluded",IF(OR($H1403="Retail Power Marketer",$H1403="Community Choice Aggregator",$E1403="Energy"),"procurement",IF(OR($H1403="Municipal",$H1403="Cooperative",$H1403="Federal",$H1403="State",$H1403="Political Subdivision"),"cost_service",IF($H1403="Investor Owned",IF(AND(COUNTIF(Parameters!$A$4:$A$33,$G1403)&gt;0,COUNTIF(Parameters!$B$4:$B$33,$B1403)=0),"procurement","cost_service"),"unclassified"))))))</f>
        <v>cost_service</v>
      </c>
    </row>
    <row r="1404" spans="1:26" x14ac:dyDescent="0.25">
      <c r="A1404">
        <v>2024</v>
      </c>
      <c r="B1404">
        <v>19869</v>
      </c>
      <c r="C1404" t="s">
        <v>1289</v>
      </c>
      <c r="D1404" t="s">
        <v>84</v>
      </c>
      <c r="E1404" t="s">
        <v>85</v>
      </c>
      <c r="F1404" t="s">
        <v>86</v>
      </c>
      <c r="G1404" t="s">
        <v>138</v>
      </c>
      <c r="H1404" t="s">
        <v>205</v>
      </c>
      <c r="I1404" t="s">
        <v>96</v>
      </c>
      <c r="J1404" t="s">
        <v>97</v>
      </c>
      <c r="K1404" t="s">
        <v>97</v>
      </c>
      <c r="L1404" t="s">
        <v>97</v>
      </c>
      <c r="M1404" t="s">
        <v>97</v>
      </c>
      <c r="N1404" t="s">
        <v>97</v>
      </c>
      <c r="O1404" t="s">
        <v>97</v>
      </c>
      <c r="P1404">
        <v>24906</v>
      </c>
      <c r="Q1404">
        <v>442573</v>
      </c>
      <c r="R1404">
        <v>3</v>
      </c>
      <c r="S1404" t="s">
        <v>97</v>
      </c>
      <c r="T1404" t="s">
        <v>97</v>
      </c>
      <c r="U1404" t="s">
        <v>97</v>
      </c>
      <c r="V1404">
        <v>24906</v>
      </c>
      <c r="W1404">
        <v>442573</v>
      </c>
      <c r="X1404">
        <v>3</v>
      </c>
      <c r="Y1404">
        <f t="shared" si="21"/>
        <v>442573</v>
      </c>
      <c r="Z1404" t="str">
        <f>IF(ISNUMBER(SEARCH("Adjustment",$C1404)),"excluded",IF($H1404="Behind the Meter","excluded",IF(NOT(OR($E1404="Bundled",$E1404="Energy")),"excluded",IF(OR($H1404="Retail Power Marketer",$H1404="Community Choice Aggregator",$E1404="Energy"),"procurement",IF(OR($H1404="Municipal",$H1404="Cooperative",$H1404="Federal",$H1404="State",$H1404="Political Subdivision"),"cost_service",IF($H1404="Investor Owned",IF(AND(COUNTIF(Parameters!$A$4:$A$33,$G1404)&gt;0,COUNTIF(Parameters!$B$4:$B$33,$B1404)=0),"procurement","cost_service"),"unclassified"))))))</f>
        <v>cost_service</v>
      </c>
    </row>
    <row r="1405" spans="1:26" x14ac:dyDescent="0.25">
      <c r="A1405">
        <v>2024</v>
      </c>
      <c r="B1405">
        <v>19876</v>
      </c>
      <c r="C1405" t="s">
        <v>1290</v>
      </c>
      <c r="D1405" t="s">
        <v>84</v>
      </c>
      <c r="E1405" t="s">
        <v>85</v>
      </c>
      <c r="F1405" t="s">
        <v>86</v>
      </c>
      <c r="G1405" t="s">
        <v>125</v>
      </c>
      <c r="H1405" t="s">
        <v>109</v>
      </c>
      <c r="I1405" t="s">
        <v>92</v>
      </c>
      <c r="J1405">
        <v>218116.4</v>
      </c>
      <c r="K1405">
        <v>1565435</v>
      </c>
      <c r="L1405">
        <v>108656</v>
      </c>
      <c r="M1405">
        <v>108456.4</v>
      </c>
      <c r="N1405">
        <v>922594</v>
      </c>
      <c r="O1405">
        <v>19413</v>
      </c>
      <c r="P1405">
        <v>116003.1</v>
      </c>
      <c r="Q1405">
        <v>1426457</v>
      </c>
      <c r="R1405">
        <v>58</v>
      </c>
      <c r="S1405">
        <v>0</v>
      </c>
      <c r="T1405">
        <v>0</v>
      </c>
      <c r="U1405">
        <v>0</v>
      </c>
      <c r="V1405">
        <v>442575.9</v>
      </c>
      <c r="W1405">
        <v>3914486</v>
      </c>
      <c r="X1405">
        <v>128127</v>
      </c>
      <c r="Y1405">
        <f t="shared" si="21"/>
        <v>3914486</v>
      </c>
      <c r="Z1405" t="str">
        <f>IF(ISNUMBER(SEARCH("Adjustment",$C1405)),"excluded",IF($H1405="Behind the Meter","excluded",IF(NOT(OR($E1405="Bundled",$E1405="Energy")),"excluded",IF(OR($H1405="Retail Power Marketer",$H1405="Community Choice Aggregator",$E1405="Energy"),"procurement",IF(OR($H1405="Municipal",$H1405="Cooperative",$H1405="Federal",$H1405="State",$H1405="Political Subdivision"),"cost_service",IF($H1405="Investor Owned",IF(AND(COUNTIF(Parameters!$A$4:$A$33,$G1405)&gt;0,COUNTIF(Parameters!$B$4:$B$33,$B1405)=0),"procurement","cost_service"),"unclassified"))))))</f>
        <v>cost_service</v>
      </c>
    </row>
    <row r="1406" spans="1:26" x14ac:dyDescent="0.25">
      <c r="A1406">
        <v>2024</v>
      </c>
      <c r="B1406">
        <v>19876</v>
      </c>
      <c r="C1406" t="s">
        <v>1290</v>
      </c>
      <c r="D1406" t="s">
        <v>84</v>
      </c>
      <c r="E1406" t="s">
        <v>85</v>
      </c>
      <c r="F1406" t="s">
        <v>86</v>
      </c>
      <c r="G1406" t="s">
        <v>93</v>
      </c>
      <c r="H1406" t="s">
        <v>109</v>
      </c>
      <c r="I1406" t="s">
        <v>92</v>
      </c>
      <c r="J1406">
        <v>4051030.4</v>
      </c>
      <c r="K1406">
        <v>28742267</v>
      </c>
      <c r="L1406">
        <v>2383548</v>
      </c>
      <c r="M1406">
        <v>4956829.9000000004</v>
      </c>
      <c r="N1406">
        <v>55935962</v>
      </c>
      <c r="O1406">
        <v>270530</v>
      </c>
      <c r="P1406">
        <v>323174.2</v>
      </c>
      <c r="Q1406">
        <v>4073194</v>
      </c>
      <c r="R1406">
        <v>796</v>
      </c>
      <c r="S1406">
        <v>26443.3</v>
      </c>
      <c r="T1406">
        <v>285755</v>
      </c>
      <c r="U1406">
        <v>1</v>
      </c>
      <c r="V1406">
        <v>9357477.8000000007</v>
      </c>
      <c r="W1406">
        <v>89037178</v>
      </c>
      <c r="X1406">
        <v>2654875</v>
      </c>
      <c r="Y1406">
        <f t="shared" si="21"/>
        <v>89037178</v>
      </c>
      <c r="Z1406" t="str">
        <f>IF(ISNUMBER(SEARCH("Adjustment",$C1406)),"excluded",IF($H1406="Behind the Meter","excluded",IF(NOT(OR($E1406="Bundled",$E1406="Energy")),"excluded",IF(OR($H1406="Retail Power Marketer",$H1406="Community Choice Aggregator",$E1406="Energy"),"procurement",IF(OR($H1406="Municipal",$H1406="Cooperative",$H1406="Federal",$H1406="State",$H1406="Political Subdivision"),"cost_service",IF($H1406="Investor Owned",IF(AND(COUNTIF(Parameters!$A$4:$A$33,$G1406)&gt;0,COUNTIF(Parameters!$B$4:$B$33,$B1406)=0),"procurement","cost_service"),"unclassified"))))))</f>
        <v>cost_service</v>
      </c>
    </row>
    <row r="1407" spans="1:26" x14ac:dyDescent="0.25">
      <c r="A1407">
        <v>2024</v>
      </c>
      <c r="B1407">
        <v>19876</v>
      </c>
      <c r="C1407" t="s">
        <v>1290</v>
      </c>
      <c r="D1407" t="s">
        <v>167</v>
      </c>
      <c r="E1407" t="s">
        <v>168</v>
      </c>
      <c r="F1407" t="s">
        <v>86</v>
      </c>
      <c r="G1407" t="s">
        <v>93</v>
      </c>
      <c r="H1407" t="s">
        <v>109</v>
      </c>
      <c r="I1407" t="s">
        <v>92</v>
      </c>
      <c r="J1407">
        <v>0</v>
      </c>
      <c r="K1407">
        <v>0</v>
      </c>
      <c r="L1407">
        <v>0</v>
      </c>
      <c r="M1407">
        <v>32465.1</v>
      </c>
      <c r="N1407">
        <v>4262220</v>
      </c>
      <c r="O1407">
        <v>234</v>
      </c>
      <c r="P1407">
        <v>6280.7</v>
      </c>
      <c r="Q1407">
        <v>1423954</v>
      </c>
      <c r="R1407">
        <v>21</v>
      </c>
      <c r="S1407">
        <v>0</v>
      </c>
      <c r="T1407">
        <v>0</v>
      </c>
      <c r="U1407">
        <v>0</v>
      </c>
      <c r="V1407">
        <v>38745.800000000003</v>
      </c>
      <c r="W1407">
        <v>5686174</v>
      </c>
      <c r="X1407">
        <v>255</v>
      </c>
      <c r="Y1407">
        <f t="shared" si="21"/>
        <v>5686174</v>
      </c>
      <c r="Z1407" t="str">
        <f>IF(ISNUMBER(SEARCH("Adjustment",$C1407)),"excluded",IF($H1407="Behind the Meter","excluded",IF(NOT(OR($E1407="Bundled",$E1407="Energy")),"excluded",IF(OR($H1407="Retail Power Marketer",$H1407="Community Choice Aggregator",$E1407="Energy"),"procurement",IF(OR($H1407="Municipal",$H1407="Cooperative",$H1407="Federal",$H1407="State",$H1407="Political Subdivision"),"cost_service",IF($H1407="Investor Owned",IF(AND(COUNTIF(Parameters!$A$4:$A$33,$G1407)&gt;0,COUNTIF(Parameters!$B$4:$B$33,$B1407)=0),"procurement","cost_service"),"unclassified"))))))</f>
        <v>excluded</v>
      </c>
    </row>
    <row r="1408" spans="1:26" x14ac:dyDescent="0.25">
      <c r="A1408">
        <v>2024</v>
      </c>
      <c r="B1408">
        <v>19882</v>
      </c>
      <c r="C1408" t="s">
        <v>1291</v>
      </c>
      <c r="D1408" t="s">
        <v>84</v>
      </c>
      <c r="E1408" t="s">
        <v>85</v>
      </c>
      <c r="F1408" t="s">
        <v>86</v>
      </c>
      <c r="G1408" t="s">
        <v>93</v>
      </c>
      <c r="H1408" t="s">
        <v>75</v>
      </c>
      <c r="I1408" t="s">
        <v>92</v>
      </c>
      <c r="J1408">
        <v>9177.6</v>
      </c>
      <c r="K1408">
        <v>53434</v>
      </c>
      <c r="L1408">
        <v>5660</v>
      </c>
      <c r="M1408">
        <v>37413.4</v>
      </c>
      <c r="N1408">
        <v>266131</v>
      </c>
      <c r="O1408">
        <v>1182</v>
      </c>
      <c r="P1408">
        <v>1096</v>
      </c>
      <c r="Q1408">
        <v>9460</v>
      </c>
      <c r="R1408">
        <v>7</v>
      </c>
      <c r="S1408">
        <v>0</v>
      </c>
      <c r="T1408">
        <v>0</v>
      </c>
      <c r="U1408">
        <v>0</v>
      </c>
      <c r="V1408">
        <v>47687</v>
      </c>
      <c r="W1408">
        <v>329025</v>
      </c>
      <c r="X1408">
        <v>6849</v>
      </c>
      <c r="Y1408">
        <f t="shared" si="21"/>
        <v>329025</v>
      </c>
      <c r="Z1408" t="str">
        <f>IF(ISNUMBER(SEARCH("Adjustment",$C1408)),"excluded",IF($H1408="Behind the Meter","excluded",IF(NOT(OR($E1408="Bundled",$E1408="Energy")),"excluded",IF(OR($H1408="Retail Power Marketer",$H1408="Community Choice Aggregator",$E1408="Energy"),"procurement",IF(OR($H1408="Municipal",$H1408="Cooperative",$H1408="Federal",$H1408="State",$H1408="Political Subdivision"),"cost_service",IF($H1408="Investor Owned",IF(AND(COUNTIF(Parameters!$A$4:$A$33,$G1408)&gt;0,COUNTIF(Parameters!$B$4:$B$33,$B1408)=0),"procurement","cost_service"),"unclassified"))))))</f>
        <v>cost_service</v>
      </c>
    </row>
    <row r="1409" spans="1:26" x14ac:dyDescent="0.25">
      <c r="A1409">
        <v>2024</v>
      </c>
      <c r="B1409">
        <v>19896</v>
      </c>
      <c r="C1409" t="s">
        <v>1292</v>
      </c>
      <c r="D1409" t="s">
        <v>84</v>
      </c>
      <c r="E1409" t="s">
        <v>85</v>
      </c>
      <c r="F1409" t="s">
        <v>86</v>
      </c>
      <c r="G1409" t="s">
        <v>224</v>
      </c>
      <c r="H1409" t="s">
        <v>88</v>
      </c>
      <c r="I1409" t="s">
        <v>135</v>
      </c>
      <c r="J1409">
        <v>1483.9</v>
      </c>
      <c r="K1409">
        <v>11591</v>
      </c>
      <c r="L1409">
        <v>1075</v>
      </c>
      <c r="M1409">
        <v>216.8</v>
      </c>
      <c r="N1409">
        <v>1700</v>
      </c>
      <c r="O1409">
        <v>148</v>
      </c>
      <c r="P1409">
        <v>4283.8999999999996</v>
      </c>
      <c r="Q1409">
        <v>51558</v>
      </c>
      <c r="R1409">
        <v>43</v>
      </c>
      <c r="S1409">
        <v>0</v>
      </c>
      <c r="T1409">
        <v>0</v>
      </c>
      <c r="U1409">
        <v>0</v>
      </c>
      <c r="V1409">
        <v>5984.6</v>
      </c>
      <c r="W1409">
        <v>64849</v>
      </c>
      <c r="X1409">
        <v>1266</v>
      </c>
      <c r="Y1409">
        <f t="shared" si="21"/>
        <v>64849</v>
      </c>
      <c r="Z1409" t="str">
        <f>IF(ISNUMBER(SEARCH("Adjustment",$C1409)),"excluded",IF($H1409="Behind the Meter","excluded",IF(NOT(OR($E1409="Bundled",$E1409="Energy")),"excluded",IF(OR($H1409="Retail Power Marketer",$H1409="Community Choice Aggregator",$E1409="Energy"),"procurement",IF(OR($H1409="Municipal",$H1409="Cooperative",$H1409="Federal",$H1409="State",$H1409="Political Subdivision"),"cost_service",IF($H1409="Investor Owned",IF(AND(COUNTIF(Parameters!$A$4:$A$33,$G1409)&gt;0,COUNTIF(Parameters!$B$4:$B$33,$B1409)=0),"procurement","cost_service"),"unclassified"))))))</f>
        <v>cost_service</v>
      </c>
    </row>
    <row r="1410" spans="1:26" x14ac:dyDescent="0.25">
      <c r="A1410">
        <v>2024</v>
      </c>
      <c r="B1410">
        <v>19898</v>
      </c>
      <c r="C1410" t="s">
        <v>1293</v>
      </c>
      <c r="D1410" t="s">
        <v>84</v>
      </c>
      <c r="E1410" t="s">
        <v>85</v>
      </c>
      <c r="F1410" t="s">
        <v>86</v>
      </c>
      <c r="G1410" t="s">
        <v>156</v>
      </c>
      <c r="H1410" t="s">
        <v>91</v>
      </c>
      <c r="I1410" t="s">
        <v>89</v>
      </c>
      <c r="J1410">
        <v>180630</v>
      </c>
      <c r="K1410">
        <v>1481331</v>
      </c>
      <c r="L1410">
        <v>104387</v>
      </c>
      <c r="M1410">
        <v>79529</v>
      </c>
      <c r="N1410">
        <v>628824</v>
      </c>
      <c r="O1410">
        <v>24098</v>
      </c>
      <c r="P1410">
        <v>27334</v>
      </c>
      <c r="Q1410">
        <v>456245</v>
      </c>
      <c r="R1410">
        <v>17</v>
      </c>
      <c r="S1410">
        <v>0</v>
      </c>
      <c r="T1410">
        <v>0</v>
      </c>
      <c r="U1410">
        <v>0</v>
      </c>
      <c r="V1410">
        <v>287493</v>
      </c>
      <c r="W1410">
        <v>2566400</v>
      </c>
      <c r="X1410">
        <v>128502</v>
      </c>
      <c r="Y1410">
        <f t="shared" si="21"/>
        <v>2566400</v>
      </c>
      <c r="Z1410" t="str">
        <f>IF(ISNUMBER(SEARCH("Adjustment",$C1410)),"excluded",IF($H1410="Behind the Meter","excluded",IF(NOT(OR($E1410="Bundled",$E1410="Energy")),"excluded",IF(OR($H1410="Retail Power Marketer",$H1410="Community Choice Aggregator",$E1410="Energy"),"procurement",IF(OR($H1410="Municipal",$H1410="Cooperative",$H1410="Federal",$H1410="State",$H1410="Political Subdivision"),"cost_service",IF($H1410="Investor Owned",IF(AND(COUNTIF(Parameters!$A$4:$A$33,$G1410)&gt;0,COUNTIF(Parameters!$B$4:$B$33,$B1410)=0),"procurement","cost_service"),"unclassified"))))))</f>
        <v>cost_service</v>
      </c>
    </row>
    <row r="1411" spans="1:26" x14ac:dyDescent="0.25">
      <c r="A1411">
        <v>2024</v>
      </c>
      <c r="B1411">
        <v>19951</v>
      </c>
      <c r="C1411" t="s">
        <v>1294</v>
      </c>
      <c r="D1411" t="s">
        <v>84</v>
      </c>
      <c r="E1411" t="s">
        <v>85</v>
      </c>
      <c r="F1411" t="s">
        <v>86</v>
      </c>
      <c r="G1411" t="s">
        <v>54</v>
      </c>
      <c r="H1411" t="s">
        <v>88</v>
      </c>
      <c r="I1411" t="s">
        <v>92</v>
      </c>
      <c r="J1411">
        <v>13596</v>
      </c>
      <c r="K1411">
        <v>113414</v>
      </c>
      <c r="L1411">
        <v>12180</v>
      </c>
      <c r="M1411">
        <v>8431</v>
      </c>
      <c r="N1411">
        <v>86195</v>
      </c>
      <c r="O1411">
        <v>1492</v>
      </c>
      <c r="P1411">
        <v>6559</v>
      </c>
      <c r="Q1411">
        <v>74040</v>
      </c>
      <c r="R1411">
        <v>141</v>
      </c>
      <c r="S1411" t="s">
        <v>97</v>
      </c>
      <c r="T1411" t="s">
        <v>97</v>
      </c>
      <c r="U1411" t="s">
        <v>97</v>
      </c>
      <c r="V1411">
        <v>28586</v>
      </c>
      <c r="W1411">
        <v>273649</v>
      </c>
      <c r="X1411">
        <v>13813</v>
      </c>
      <c r="Y1411">
        <f t="shared" si="21"/>
        <v>273649</v>
      </c>
      <c r="Z1411" t="str">
        <f>IF(ISNUMBER(SEARCH("Adjustment",$C1411)),"excluded",IF($H1411="Behind the Meter","excluded",IF(NOT(OR($E1411="Bundled",$E1411="Energy")),"excluded",IF(OR($H1411="Retail Power Marketer",$H1411="Community Choice Aggregator",$E1411="Energy"),"procurement",IF(OR($H1411="Municipal",$H1411="Cooperative",$H1411="Federal",$H1411="State",$H1411="Political Subdivision"),"cost_service",IF($H1411="Investor Owned",IF(AND(COUNTIF(Parameters!$A$4:$A$33,$G1411)&gt;0,COUNTIF(Parameters!$B$4:$B$33,$B1411)=0),"procurement","cost_service"),"unclassified"))))))</f>
        <v>cost_service</v>
      </c>
    </row>
    <row r="1412" spans="1:26" x14ac:dyDescent="0.25">
      <c r="A1412">
        <v>2024</v>
      </c>
      <c r="B1412">
        <v>19981</v>
      </c>
      <c r="C1412" t="s">
        <v>1295</v>
      </c>
      <c r="D1412" t="s">
        <v>84</v>
      </c>
      <c r="E1412" t="s">
        <v>85</v>
      </c>
      <c r="F1412" t="s">
        <v>86</v>
      </c>
      <c r="G1412" t="s">
        <v>125</v>
      </c>
      <c r="H1412" t="s">
        <v>91</v>
      </c>
      <c r="I1412" t="s">
        <v>163</v>
      </c>
      <c r="J1412">
        <v>95341.2</v>
      </c>
      <c r="K1412">
        <v>710186</v>
      </c>
      <c r="L1412">
        <v>53268</v>
      </c>
      <c r="M1412">
        <v>13930.2</v>
      </c>
      <c r="N1412">
        <v>125070</v>
      </c>
      <c r="O1412">
        <v>2792</v>
      </c>
      <c r="P1412">
        <v>2326.1</v>
      </c>
      <c r="Q1412">
        <v>49165</v>
      </c>
      <c r="R1412">
        <v>2</v>
      </c>
      <c r="S1412" t="s">
        <v>97</v>
      </c>
      <c r="T1412" t="s">
        <v>97</v>
      </c>
      <c r="U1412" t="s">
        <v>97</v>
      </c>
      <c r="V1412">
        <v>111597.5</v>
      </c>
      <c r="W1412">
        <v>884421</v>
      </c>
      <c r="X1412">
        <v>56062</v>
      </c>
      <c r="Y1412">
        <f t="shared" ref="Y1412:Y1475" si="22">IF(ISNUMBER($W1412),$W1412,0)</f>
        <v>884421</v>
      </c>
      <c r="Z1412" t="str">
        <f>IF(ISNUMBER(SEARCH("Adjustment",$C1412)),"excluded",IF($H1412="Behind the Meter","excluded",IF(NOT(OR($E1412="Bundled",$E1412="Energy")),"excluded",IF(OR($H1412="Retail Power Marketer",$H1412="Community Choice Aggregator",$E1412="Energy"),"procurement",IF(OR($H1412="Municipal",$H1412="Cooperative",$H1412="Federal",$H1412="State",$H1412="Political Subdivision"),"cost_service",IF($H1412="Investor Owned",IF(AND(COUNTIF(Parameters!$A$4:$A$33,$G1412)&gt;0,COUNTIF(Parameters!$B$4:$B$33,$B1412)=0),"procurement","cost_service"),"unclassified"))))))</f>
        <v>cost_service</v>
      </c>
    </row>
    <row r="1413" spans="1:26" x14ac:dyDescent="0.25">
      <c r="A1413">
        <v>2024</v>
      </c>
      <c r="B1413">
        <v>20038</v>
      </c>
      <c r="C1413" t="s">
        <v>1296</v>
      </c>
      <c r="D1413" t="s">
        <v>84</v>
      </c>
      <c r="E1413" t="s">
        <v>85</v>
      </c>
      <c r="F1413" t="s">
        <v>86</v>
      </c>
      <c r="G1413" t="s">
        <v>40</v>
      </c>
      <c r="H1413" t="s">
        <v>88</v>
      </c>
      <c r="I1413" t="s">
        <v>189</v>
      </c>
      <c r="J1413">
        <v>33299.9</v>
      </c>
      <c r="K1413">
        <v>212760</v>
      </c>
      <c r="L1413">
        <v>21405</v>
      </c>
      <c r="M1413">
        <v>27797</v>
      </c>
      <c r="N1413">
        <v>216797</v>
      </c>
      <c r="O1413">
        <v>3670</v>
      </c>
      <c r="P1413">
        <v>12610.1</v>
      </c>
      <c r="Q1413">
        <v>114529</v>
      </c>
      <c r="R1413">
        <v>25</v>
      </c>
      <c r="S1413">
        <v>0</v>
      </c>
      <c r="T1413">
        <v>0</v>
      </c>
      <c r="U1413">
        <v>0</v>
      </c>
      <c r="V1413">
        <v>73707</v>
      </c>
      <c r="W1413">
        <v>544086</v>
      </c>
      <c r="X1413">
        <v>25100</v>
      </c>
      <c r="Y1413">
        <f t="shared" si="22"/>
        <v>544086</v>
      </c>
      <c r="Z1413" t="str">
        <f>IF(ISNUMBER(SEARCH("Adjustment",$C1413)),"excluded",IF($H1413="Behind the Meter","excluded",IF(NOT(OR($E1413="Bundled",$E1413="Energy")),"excluded",IF(OR($H1413="Retail Power Marketer",$H1413="Community Choice Aggregator",$E1413="Energy"),"procurement",IF(OR($H1413="Municipal",$H1413="Cooperative",$H1413="Federal",$H1413="State",$H1413="Political Subdivision"),"cost_service",IF($H1413="Investor Owned",IF(AND(COUNTIF(Parameters!$A$4:$A$33,$G1413)&gt;0,COUNTIF(Parameters!$B$4:$B$33,$B1413)=0),"procurement","cost_service"),"unclassified"))))))</f>
        <v>cost_service</v>
      </c>
    </row>
    <row r="1414" spans="1:26" x14ac:dyDescent="0.25">
      <c r="A1414">
        <v>2024</v>
      </c>
      <c r="B1414">
        <v>20065</v>
      </c>
      <c r="C1414" t="s">
        <v>1297</v>
      </c>
      <c r="D1414" t="s">
        <v>84</v>
      </c>
      <c r="E1414" t="s">
        <v>85</v>
      </c>
      <c r="F1414" t="s">
        <v>86</v>
      </c>
      <c r="G1414" t="s">
        <v>123</v>
      </c>
      <c r="H1414" t="s">
        <v>91</v>
      </c>
      <c r="I1414" t="s">
        <v>113</v>
      </c>
      <c r="J1414">
        <v>255174.7</v>
      </c>
      <c r="K1414">
        <v>1964784</v>
      </c>
      <c r="L1414">
        <v>131915</v>
      </c>
      <c r="M1414">
        <v>132147</v>
      </c>
      <c r="N1414">
        <v>1904768</v>
      </c>
      <c r="O1414">
        <v>10990</v>
      </c>
      <c r="P1414">
        <v>9448.5</v>
      </c>
      <c r="Q1414">
        <v>145055</v>
      </c>
      <c r="R1414">
        <v>18</v>
      </c>
      <c r="S1414">
        <v>0</v>
      </c>
      <c r="T1414">
        <v>0</v>
      </c>
      <c r="U1414">
        <v>0</v>
      </c>
      <c r="V1414">
        <v>396770.2</v>
      </c>
      <c r="W1414">
        <v>4014607</v>
      </c>
      <c r="X1414">
        <v>142923</v>
      </c>
      <c r="Y1414">
        <f t="shared" si="22"/>
        <v>4014607</v>
      </c>
      <c r="Z1414" t="str">
        <f>IF(ISNUMBER(SEARCH("Adjustment",$C1414)),"excluded",IF($H1414="Behind the Meter","excluded",IF(NOT(OR($E1414="Bundled",$E1414="Energy")),"excluded",IF(OR($H1414="Retail Power Marketer",$H1414="Community Choice Aggregator",$E1414="Energy"),"procurement",IF(OR($H1414="Municipal",$H1414="Cooperative",$H1414="Federal",$H1414="State",$H1414="Political Subdivision"),"cost_service",IF($H1414="Investor Owned",IF(AND(COUNTIF(Parameters!$A$4:$A$33,$G1414)&gt;0,COUNTIF(Parameters!$B$4:$B$33,$B1414)=0),"procurement","cost_service"),"unclassified"))))))</f>
        <v>cost_service</v>
      </c>
    </row>
    <row r="1415" spans="1:26" x14ac:dyDescent="0.25">
      <c r="A1415">
        <v>2024</v>
      </c>
      <c r="B1415">
        <v>20130</v>
      </c>
      <c r="C1415" t="s">
        <v>1298</v>
      </c>
      <c r="D1415" t="s">
        <v>84</v>
      </c>
      <c r="E1415" t="s">
        <v>85</v>
      </c>
      <c r="F1415" t="s">
        <v>86</v>
      </c>
      <c r="G1415" t="s">
        <v>209</v>
      </c>
      <c r="H1415" t="s">
        <v>91</v>
      </c>
      <c r="I1415" t="s">
        <v>89</v>
      </c>
      <c r="J1415">
        <v>110154</v>
      </c>
      <c r="K1415">
        <v>919314</v>
      </c>
      <c r="L1415">
        <v>60701</v>
      </c>
      <c r="M1415">
        <v>59302</v>
      </c>
      <c r="N1415">
        <v>455823</v>
      </c>
      <c r="O1415">
        <v>15688</v>
      </c>
      <c r="P1415">
        <v>64725</v>
      </c>
      <c r="Q1415">
        <v>918438</v>
      </c>
      <c r="R1415">
        <v>45</v>
      </c>
      <c r="S1415">
        <v>0</v>
      </c>
      <c r="T1415">
        <v>0</v>
      </c>
      <c r="U1415">
        <v>0</v>
      </c>
      <c r="V1415">
        <v>234181</v>
      </c>
      <c r="W1415">
        <v>2293575</v>
      </c>
      <c r="X1415">
        <v>76434</v>
      </c>
      <c r="Y1415">
        <f t="shared" si="22"/>
        <v>2293575</v>
      </c>
      <c r="Z1415" t="str">
        <f>IF(ISNUMBER(SEARCH("Adjustment",$C1415)),"excluded",IF($H1415="Behind the Meter","excluded",IF(NOT(OR($E1415="Bundled",$E1415="Energy")),"excluded",IF(OR($H1415="Retail Power Marketer",$H1415="Community Choice Aggregator",$E1415="Energy"),"procurement",IF(OR($H1415="Municipal",$H1415="Cooperative",$H1415="Federal",$H1415="State",$H1415="Political Subdivision"),"cost_service",IF($H1415="Investor Owned",IF(AND(COUNTIF(Parameters!$A$4:$A$33,$G1415)&gt;0,COUNTIF(Parameters!$B$4:$B$33,$B1415)=0),"procurement","cost_service"),"unclassified"))))))</f>
        <v>cost_service</v>
      </c>
    </row>
    <row r="1416" spans="1:26" x14ac:dyDescent="0.25">
      <c r="A1416">
        <v>2024</v>
      </c>
      <c r="B1416">
        <v>20140</v>
      </c>
      <c r="C1416" t="s">
        <v>1299</v>
      </c>
      <c r="D1416" t="s">
        <v>84</v>
      </c>
      <c r="E1416" t="s">
        <v>85</v>
      </c>
      <c r="F1416" t="s">
        <v>86</v>
      </c>
      <c r="G1416" t="s">
        <v>123</v>
      </c>
      <c r="H1416" t="s">
        <v>88</v>
      </c>
      <c r="I1416" t="s">
        <v>113</v>
      </c>
      <c r="J1416">
        <v>3110.7</v>
      </c>
      <c r="K1416">
        <v>19312</v>
      </c>
      <c r="L1416">
        <v>1856</v>
      </c>
      <c r="M1416">
        <v>33771.699999999997</v>
      </c>
      <c r="N1416">
        <v>711664</v>
      </c>
      <c r="O1416">
        <v>372</v>
      </c>
      <c r="P1416">
        <v>2854.8</v>
      </c>
      <c r="Q1416">
        <v>35228</v>
      </c>
      <c r="R1416">
        <v>2</v>
      </c>
      <c r="S1416" t="s">
        <v>97</v>
      </c>
      <c r="T1416" t="s">
        <v>97</v>
      </c>
      <c r="U1416" t="s">
        <v>97</v>
      </c>
      <c r="V1416">
        <v>39737.199999999997</v>
      </c>
      <c r="W1416">
        <v>766204</v>
      </c>
      <c r="X1416">
        <v>2230</v>
      </c>
      <c r="Y1416">
        <f t="shared" si="22"/>
        <v>766204</v>
      </c>
      <c r="Z1416" t="str">
        <f>IF(ISNUMBER(SEARCH("Adjustment",$C1416)),"excluded",IF($H1416="Behind the Meter","excluded",IF(NOT(OR($E1416="Bundled",$E1416="Energy")),"excluded",IF(OR($H1416="Retail Power Marketer",$H1416="Community Choice Aggregator",$E1416="Energy"),"procurement",IF(OR($H1416="Municipal",$H1416="Cooperative",$H1416="Federal",$H1416="State",$H1416="Political Subdivision"),"cost_service",IF($H1416="Investor Owned",IF(AND(COUNTIF(Parameters!$A$4:$A$33,$G1416)&gt;0,COUNTIF(Parameters!$B$4:$B$33,$B1416)=0),"procurement","cost_service"),"unclassified"))))))</f>
        <v>cost_service</v>
      </c>
    </row>
    <row r="1417" spans="1:26" x14ac:dyDescent="0.25">
      <c r="A1417">
        <v>2024</v>
      </c>
      <c r="B1417">
        <v>20142</v>
      </c>
      <c r="C1417" t="s">
        <v>1300</v>
      </c>
      <c r="D1417" t="s">
        <v>84</v>
      </c>
      <c r="E1417" t="s">
        <v>85</v>
      </c>
      <c r="F1417" t="s">
        <v>86</v>
      </c>
      <c r="G1417" t="s">
        <v>125</v>
      </c>
      <c r="H1417" t="s">
        <v>88</v>
      </c>
      <c r="I1417" t="s">
        <v>163</v>
      </c>
      <c r="J1417">
        <v>17933.7</v>
      </c>
      <c r="K1417">
        <v>137861</v>
      </c>
      <c r="L1417">
        <v>11547</v>
      </c>
      <c r="M1417">
        <v>13469.9</v>
      </c>
      <c r="N1417">
        <v>104206</v>
      </c>
      <c r="O1417">
        <v>2730</v>
      </c>
      <c r="P1417">
        <v>2203.8000000000002</v>
      </c>
      <c r="Q1417">
        <v>20440</v>
      </c>
      <c r="R1417">
        <v>5</v>
      </c>
      <c r="S1417" t="s">
        <v>97</v>
      </c>
      <c r="T1417" t="s">
        <v>97</v>
      </c>
      <c r="U1417" t="s">
        <v>97</v>
      </c>
      <c r="V1417">
        <v>33607.4</v>
      </c>
      <c r="W1417">
        <v>262507</v>
      </c>
      <c r="X1417">
        <v>14282</v>
      </c>
      <c r="Y1417">
        <f t="shared" si="22"/>
        <v>262507</v>
      </c>
      <c r="Z1417" t="str">
        <f>IF(ISNUMBER(SEARCH("Adjustment",$C1417)),"excluded",IF($H1417="Behind the Meter","excluded",IF(NOT(OR($E1417="Bundled",$E1417="Energy")),"excluded",IF(OR($H1417="Retail Power Marketer",$H1417="Community Choice Aggregator",$E1417="Energy"),"procurement",IF(OR($H1417="Municipal",$H1417="Cooperative",$H1417="Federal",$H1417="State",$H1417="Political Subdivision"),"cost_service",IF($H1417="Investor Owned",IF(AND(COUNTIF(Parameters!$A$4:$A$33,$G1417)&gt;0,COUNTIF(Parameters!$B$4:$B$33,$B1417)=0),"procurement","cost_service"),"unclassified"))))))</f>
        <v>cost_service</v>
      </c>
    </row>
    <row r="1418" spans="1:26" x14ac:dyDescent="0.25">
      <c r="A1418">
        <v>2024</v>
      </c>
      <c r="B1418">
        <v>20146</v>
      </c>
      <c r="C1418" t="s">
        <v>1301</v>
      </c>
      <c r="D1418" t="s">
        <v>84</v>
      </c>
      <c r="E1418" t="s">
        <v>85</v>
      </c>
      <c r="F1418" t="s">
        <v>86</v>
      </c>
      <c r="G1418" t="s">
        <v>123</v>
      </c>
      <c r="H1418" t="s">
        <v>91</v>
      </c>
      <c r="I1418" t="s">
        <v>113</v>
      </c>
      <c r="J1418">
        <v>28160.400000000001</v>
      </c>
      <c r="K1418">
        <v>191835</v>
      </c>
      <c r="L1418">
        <v>15200</v>
      </c>
      <c r="M1418">
        <v>8287.4</v>
      </c>
      <c r="N1418">
        <v>68369</v>
      </c>
      <c r="O1418">
        <v>1129</v>
      </c>
      <c r="P1418">
        <v>12588.1</v>
      </c>
      <c r="Q1418">
        <v>186394</v>
      </c>
      <c r="R1418">
        <v>8</v>
      </c>
      <c r="S1418" t="s">
        <v>97</v>
      </c>
      <c r="T1418" t="s">
        <v>97</v>
      </c>
      <c r="U1418" t="s">
        <v>97</v>
      </c>
      <c r="V1418">
        <v>49035.9</v>
      </c>
      <c r="W1418">
        <v>446598</v>
      </c>
      <c r="X1418">
        <v>16337</v>
      </c>
      <c r="Y1418">
        <f t="shared" si="22"/>
        <v>446598</v>
      </c>
      <c r="Z1418" t="str">
        <f>IF(ISNUMBER(SEARCH("Adjustment",$C1418)),"excluded",IF($H1418="Behind the Meter","excluded",IF(NOT(OR($E1418="Bundled",$E1418="Energy")),"excluded",IF(OR($H1418="Retail Power Marketer",$H1418="Community Choice Aggregator",$E1418="Energy"),"procurement",IF(OR($H1418="Municipal",$H1418="Cooperative",$H1418="Federal",$H1418="State",$H1418="Political Subdivision"),"cost_service",IF($H1418="Investor Owned",IF(AND(COUNTIF(Parameters!$A$4:$A$33,$G1418)&gt;0,COUNTIF(Parameters!$B$4:$B$33,$B1418)=0),"procurement","cost_service"),"unclassified"))))))</f>
        <v>cost_service</v>
      </c>
    </row>
    <row r="1419" spans="1:26" x14ac:dyDescent="0.25">
      <c r="A1419">
        <v>2024</v>
      </c>
      <c r="B1419">
        <v>20169</v>
      </c>
      <c r="C1419" t="s">
        <v>1302</v>
      </c>
      <c r="D1419" t="s">
        <v>84</v>
      </c>
      <c r="E1419" t="s">
        <v>85</v>
      </c>
      <c r="F1419" t="s">
        <v>86</v>
      </c>
      <c r="G1419" t="s">
        <v>490</v>
      </c>
      <c r="H1419" t="s">
        <v>109</v>
      </c>
      <c r="I1419" t="s">
        <v>707</v>
      </c>
      <c r="J1419">
        <v>157650</v>
      </c>
      <c r="K1419">
        <v>1356359</v>
      </c>
      <c r="L1419">
        <v>128226</v>
      </c>
      <c r="M1419">
        <v>104867</v>
      </c>
      <c r="N1419">
        <v>1046807</v>
      </c>
      <c r="O1419">
        <v>19440</v>
      </c>
      <c r="P1419">
        <v>62626</v>
      </c>
      <c r="Q1419">
        <v>1127955</v>
      </c>
      <c r="R1419">
        <v>353</v>
      </c>
      <c r="S1419">
        <v>0</v>
      </c>
      <c r="T1419">
        <v>0</v>
      </c>
      <c r="U1419">
        <v>0</v>
      </c>
      <c r="V1419">
        <v>325143</v>
      </c>
      <c r="W1419">
        <v>3531121</v>
      </c>
      <c r="X1419">
        <v>148019</v>
      </c>
      <c r="Y1419">
        <f t="shared" si="22"/>
        <v>3531121</v>
      </c>
      <c r="Z1419" t="str">
        <f>IF(ISNUMBER(SEARCH("Adjustment",$C1419)),"excluded",IF($H1419="Behind the Meter","excluded",IF(NOT(OR($E1419="Bundled",$E1419="Energy")),"excluded",IF(OR($H1419="Retail Power Marketer",$H1419="Community Choice Aggregator",$E1419="Energy"),"procurement",IF(OR($H1419="Municipal",$H1419="Cooperative",$H1419="Federal",$H1419="State",$H1419="Political Subdivision"),"cost_service",IF($H1419="Investor Owned",IF(AND(COUNTIF(Parameters!$A$4:$A$33,$G1419)&gt;0,COUNTIF(Parameters!$B$4:$B$33,$B1419)=0),"procurement","cost_service"),"unclassified"))))))</f>
        <v>cost_service</v>
      </c>
    </row>
    <row r="1420" spans="1:26" x14ac:dyDescent="0.25">
      <c r="A1420">
        <v>2024</v>
      </c>
      <c r="B1420">
        <v>20169</v>
      </c>
      <c r="C1420" t="s">
        <v>1302</v>
      </c>
      <c r="D1420" t="s">
        <v>84</v>
      </c>
      <c r="E1420" t="s">
        <v>85</v>
      </c>
      <c r="F1420" t="s">
        <v>86</v>
      </c>
      <c r="G1420" t="s">
        <v>491</v>
      </c>
      <c r="H1420" t="s">
        <v>109</v>
      </c>
      <c r="I1420" t="s">
        <v>707</v>
      </c>
      <c r="J1420">
        <v>17</v>
      </c>
      <c r="K1420">
        <v>200</v>
      </c>
      <c r="L1420">
        <v>9</v>
      </c>
      <c r="M1420">
        <v>86</v>
      </c>
      <c r="N1420">
        <v>851</v>
      </c>
      <c r="O1420">
        <v>24</v>
      </c>
      <c r="P1420">
        <v>0</v>
      </c>
      <c r="Q1420">
        <v>0</v>
      </c>
      <c r="R1420">
        <v>0</v>
      </c>
      <c r="S1420">
        <v>0</v>
      </c>
      <c r="T1420">
        <v>0</v>
      </c>
      <c r="U1420">
        <v>0</v>
      </c>
      <c r="V1420">
        <v>103</v>
      </c>
      <c r="W1420">
        <v>1051</v>
      </c>
      <c r="X1420">
        <v>33</v>
      </c>
      <c r="Y1420">
        <f t="shared" si="22"/>
        <v>1051</v>
      </c>
      <c r="Z1420" t="str">
        <f>IF(ISNUMBER(SEARCH("Adjustment",$C1420)),"excluded",IF($H1420="Behind the Meter","excluded",IF(NOT(OR($E1420="Bundled",$E1420="Energy")),"excluded",IF(OR($H1420="Retail Power Marketer",$H1420="Community Choice Aggregator",$E1420="Energy"),"procurement",IF(OR($H1420="Municipal",$H1420="Cooperative",$H1420="Federal",$H1420="State",$H1420="Political Subdivision"),"cost_service",IF($H1420="Investor Owned",IF(AND(COUNTIF(Parameters!$A$4:$A$33,$G1420)&gt;0,COUNTIF(Parameters!$B$4:$B$33,$B1420)=0),"procurement","cost_service"),"unclassified"))))))</f>
        <v>cost_service</v>
      </c>
    </row>
    <row r="1421" spans="1:26" x14ac:dyDescent="0.25">
      <c r="A1421">
        <v>2024</v>
      </c>
      <c r="B1421">
        <v>20169</v>
      </c>
      <c r="C1421" t="s">
        <v>1302</v>
      </c>
      <c r="D1421" t="s">
        <v>84</v>
      </c>
      <c r="E1421" t="s">
        <v>85</v>
      </c>
      <c r="F1421" t="s">
        <v>86</v>
      </c>
      <c r="G1421" t="s">
        <v>148</v>
      </c>
      <c r="H1421" t="s">
        <v>109</v>
      </c>
      <c r="I1421" t="s">
        <v>707</v>
      </c>
      <c r="J1421">
        <v>315779</v>
      </c>
      <c r="K1421">
        <v>2661059</v>
      </c>
      <c r="L1421">
        <v>246055</v>
      </c>
      <c r="M1421">
        <v>274894</v>
      </c>
      <c r="N1421">
        <v>2152148</v>
      </c>
      <c r="O1421">
        <v>27249</v>
      </c>
      <c r="P1421">
        <v>83254</v>
      </c>
      <c r="Q1421">
        <v>1067474</v>
      </c>
      <c r="R1421">
        <v>811</v>
      </c>
      <c r="S1421" t="s">
        <v>97</v>
      </c>
      <c r="T1421" t="s">
        <v>97</v>
      </c>
      <c r="U1421" t="s">
        <v>97</v>
      </c>
      <c r="V1421">
        <v>673927</v>
      </c>
      <c r="W1421">
        <v>5880681</v>
      </c>
      <c r="X1421">
        <v>274115</v>
      </c>
      <c r="Y1421">
        <f t="shared" si="22"/>
        <v>5880681</v>
      </c>
      <c r="Z1421" t="str">
        <f>IF(ISNUMBER(SEARCH("Adjustment",$C1421)),"excluded",IF($H1421="Behind the Meter","excluded",IF(NOT(OR($E1421="Bundled",$E1421="Energy")),"excluded",IF(OR($H1421="Retail Power Marketer",$H1421="Community Choice Aggregator",$E1421="Energy"),"procurement",IF(OR($H1421="Municipal",$H1421="Cooperative",$H1421="Federal",$H1421="State",$H1421="Political Subdivision"),"cost_service",IF($H1421="Investor Owned",IF(AND(COUNTIF(Parameters!$A$4:$A$33,$G1421)&gt;0,COUNTIF(Parameters!$B$4:$B$33,$B1421)=0),"procurement","cost_service"),"unclassified"))))))</f>
        <v>cost_service</v>
      </c>
    </row>
    <row r="1422" spans="1:26" x14ac:dyDescent="0.25">
      <c r="A1422">
        <v>2024</v>
      </c>
      <c r="B1422">
        <v>20176</v>
      </c>
      <c r="C1422" t="s">
        <v>1303</v>
      </c>
      <c r="D1422" t="s">
        <v>84</v>
      </c>
      <c r="E1422" t="s">
        <v>85</v>
      </c>
      <c r="F1422" t="s">
        <v>86</v>
      </c>
      <c r="G1422" t="s">
        <v>87</v>
      </c>
      <c r="H1422" t="s">
        <v>88</v>
      </c>
      <c r="I1422" t="s">
        <v>89</v>
      </c>
      <c r="J1422">
        <v>2489</v>
      </c>
      <c r="K1422">
        <v>19682</v>
      </c>
      <c r="L1422">
        <v>1522</v>
      </c>
      <c r="M1422">
        <v>1996</v>
      </c>
      <c r="N1422">
        <v>15321</v>
      </c>
      <c r="O1422">
        <v>556</v>
      </c>
      <c r="P1422">
        <v>1844</v>
      </c>
      <c r="Q1422">
        <v>28137</v>
      </c>
      <c r="R1422">
        <v>1</v>
      </c>
      <c r="S1422">
        <v>0</v>
      </c>
      <c r="T1422">
        <v>0</v>
      </c>
      <c r="U1422">
        <v>0</v>
      </c>
      <c r="V1422">
        <v>6329</v>
      </c>
      <c r="W1422">
        <v>63140</v>
      </c>
      <c r="X1422">
        <v>2079</v>
      </c>
      <c r="Y1422">
        <f t="shared" si="22"/>
        <v>63140</v>
      </c>
      <c r="Z1422" t="str">
        <f>IF(ISNUMBER(SEARCH("Adjustment",$C1422)),"excluded",IF($H1422="Behind the Meter","excluded",IF(NOT(OR($E1422="Bundled",$E1422="Energy")),"excluded",IF(OR($H1422="Retail Power Marketer",$H1422="Community Choice Aggregator",$E1422="Energy"),"procurement",IF(OR($H1422="Municipal",$H1422="Cooperative",$H1422="Federal",$H1422="State",$H1422="Political Subdivision"),"cost_service",IF($H1422="Investor Owned",IF(AND(COUNTIF(Parameters!$A$4:$A$33,$G1422)&gt;0,COUNTIF(Parameters!$B$4:$B$33,$B1422)=0),"procurement","cost_service"),"unclassified"))))))</f>
        <v>cost_service</v>
      </c>
    </row>
    <row r="1423" spans="1:26" x14ac:dyDescent="0.25">
      <c r="A1423">
        <v>2024</v>
      </c>
      <c r="B1423">
        <v>20182</v>
      </c>
      <c r="C1423" t="s">
        <v>1304</v>
      </c>
      <c r="D1423" t="s">
        <v>84</v>
      </c>
      <c r="E1423" t="s">
        <v>85</v>
      </c>
      <c r="F1423" t="s">
        <v>86</v>
      </c>
      <c r="G1423" t="s">
        <v>95</v>
      </c>
      <c r="H1423" t="s">
        <v>88</v>
      </c>
      <c r="I1423" t="s">
        <v>96</v>
      </c>
      <c r="J1423">
        <v>1742.3</v>
      </c>
      <c r="K1423">
        <v>12515</v>
      </c>
      <c r="L1423">
        <v>1626</v>
      </c>
      <c r="M1423">
        <v>2567.4</v>
      </c>
      <c r="N1423">
        <v>19824</v>
      </c>
      <c r="O1423">
        <v>300</v>
      </c>
      <c r="P1423">
        <v>0</v>
      </c>
      <c r="Q1423">
        <v>0</v>
      </c>
      <c r="R1423">
        <v>0</v>
      </c>
      <c r="S1423">
        <v>0</v>
      </c>
      <c r="T1423">
        <v>0</v>
      </c>
      <c r="U1423">
        <v>0</v>
      </c>
      <c r="V1423">
        <v>4309.7</v>
      </c>
      <c r="W1423">
        <v>32339</v>
      </c>
      <c r="X1423">
        <v>1926</v>
      </c>
      <c r="Y1423">
        <f t="shared" si="22"/>
        <v>32339</v>
      </c>
      <c r="Z1423" t="str">
        <f>IF(ISNUMBER(SEARCH("Adjustment",$C1423)),"excluded",IF($H1423="Behind the Meter","excluded",IF(NOT(OR($E1423="Bundled",$E1423="Energy")),"excluded",IF(OR($H1423="Retail Power Marketer",$H1423="Community Choice Aggregator",$E1423="Energy"),"procurement",IF(OR($H1423="Municipal",$H1423="Cooperative",$H1423="Federal",$H1423="State",$H1423="Political Subdivision"),"cost_service",IF($H1423="Investor Owned",IF(AND(COUNTIF(Parameters!$A$4:$A$33,$G1423)&gt;0,COUNTIF(Parameters!$B$4:$B$33,$B1423)=0),"procurement","cost_service"),"unclassified"))))))</f>
        <v>cost_service</v>
      </c>
    </row>
    <row r="1424" spans="1:26" x14ac:dyDescent="0.25">
      <c r="A1424">
        <v>2024</v>
      </c>
      <c r="B1424">
        <v>20187</v>
      </c>
      <c r="C1424" t="s">
        <v>1305</v>
      </c>
      <c r="D1424" t="s">
        <v>84</v>
      </c>
      <c r="E1424" t="s">
        <v>85</v>
      </c>
      <c r="F1424" t="s">
        <v>86</v>
      </c>
      <c r="G1424" t="s">
        <v>224</v>
      </c>
      <c r="H1424" t="s">
        <v>88</v>
      </c>
      <c r="I1424" t="s">
        <v>135</v>
      </c>
      <c r="J1424">
        <v>11115</v>
      </c>
      <c r="K1424">
        <v>119500</v>
      </c>
      <c r="L1424">
        <v>11633</v>
      </c>
      <c r="M1424">
        <v>11065</v>
      </c>
      <c r="N1424">
        <v>128940</v>
      </c>
      <c r="O1424">
        <v>2579</v>
      </c>
      <c r="P1424">
        <v>10216</v>
      </c>
      <c r="Q1424">
        <v>141558</v>
      </c>
      <c r="R1424">
        <v>96</v>
      </c>
      <c r="S1424">
        <v>0</v>
      </c>
      <c r="T1424">
        <v>0</v>
      </c>
      <c r="U1424">
        <v>0</v>
      </c>
      <c r="V1424">
        <v>32396</v>
      </c>
      <c r="W1424">
        <v>389998</v>
      </c>
      <c r="X1424">
        <v>14308</v>
      </c>
      <c r="Y1424">
        <f t="shared" si="22"/>
        <v>389998</v>
      </c>
      <c r="Z1424" t="str">
        <f>IF(ISNUMBER(SEARCH("Adjustment",$C1424)),"excluded",IF($H1424="Behind the Meter","excluded",IF(NOT(OR($E1424="Bundled",$E1424="Energy")),"excluded",IF(OR($H1424="Retail Power Marketer",$H1424="Community Choice Aggregator",$E1424="Energy"),"procurement",IF(OR($H1424="Municipal",$H1424="Cooperative",$H1424="Federal",$H1424="State",$H1424="Political Subdivision"),"cost_service",IF($H1424="Investor Owned",IF(AND(COUNTIF(Parameters!$A$4:$A$33,$G1424)&gt;0,COUNTIF(Parameters!$B$4:$B$33,$B1424)=0),"procurement","cost_service"),"unclassified"))))))</f>
        <v>cost_service</v>
      </c>
    </row>
    <row r="1425" spans="1:26" x14ac:dyDescent="0.25">
      <c r="A1425">
        <v>2024</v>
      </c>
      <c r="B1425">
        <v>20211</v>
      </c>
      <c r="C1425" t="s">
        <v>1306</v>
      </c>
      <c r="D1425" t="s">
        <v>84</v>
      </c>
      <c r="E1425" t="s">
        <v>85</v>
      </c>
      <c r="F1425" t="s">
        <v>86</v>
      </c>
      <c r="G1425" t="s">
        <v>95</v>
      </c>
      <c r="H1425" t="s">
        <v>88</v>
      </c>
      <c r="I1425" t="s">
        <v>96</v>
      </c>
      <c r="J1425">
        <v>6678.1</v>
      </c>
      <c r="K1425">
        <v>57071</v>
      </c>
      <c r="L1425">
        <v>6677</v>
      </c>
      <c r="M1425">
        <v>5981.9</v>
      </c>
      <c r="N1425">
        <v>55542</v>
      </c>
      <c r="O1425">
        <v>855</v>
      </c>
      <c r="P1425">
        <v>2019.1</v>
      </c>
      <c r="Q1425">
        <v>23980</v>
      </c>
      <c r="R1425">
        <v>4</v>
      </c>
      <c r="S1425">
        <v>0</v>
      </c>
      <c r="T1425">
        <v>0</v>
      </c>
      <c r="U1425">
        <v>0</v>
      </c>
      <c r="V1425">
        <v>14679.1</v>
      </c>
      <c r="W1425">
        <v>136593</v>
      </c>
      <c r="X1425">
        <v>7536</v>
      </c>
      <c r="Y1425">
        <f t="shared" si="22"/>
        <v>136593</v>
      </c>
      <c r="Z1425" t="str">
        <f>IF(ISNUMBER(SEARCH("Adjustment",$C1425)),"excluded",IF($H1425="Behind the Meter","excluded",IF(NOT(OR($E1425="Bundled",$E1425="Energy")),"excluded",IF(OR($H1425="Retail Power Marketer",$H1425="Community Choice Aggregator",$E1425="Energy"),"procurement",IF(OR($H1425="Municipal",$H1425="Cooperative",$H1425="Federal",$H1425="State",$H1425="Political Subdivision"),"cost_service",IF($H1425="Investor Owned",IF(AND(COUNTIF(Parameters!$A$4:$A$33,$G1425)&gt;0,COUNTIF(Parameters!$B$4:$B$33,$B1425)=0),"procurement","cost_service"),"unclassified"))))))</f>
        <v>cost_service</v>
      </c>
    </row>
    <row r="1426" spans="1:26" x14ac:dyDescent="0.25">
      <c r="A1426">
        <v>2024</v>
      </c>
      <c r="B1426">
        <v>20213</v>
      </c>
      <c r="C1426" t="s">
        <v>1307</v>
      </c>
      <c r="D1426" t="s">
        <v>84</v>
      </c>
      <c r="E1426" t="s">
        <v>85</v>
      </c>
      <c r="F1426" t="s">
        <v>86</v>
      </c>
      <c r="G1426" t="s">
        <v>95</v>
      </c>
      <c r="H1426" t="s">
        <v>88</v>
      </c>
      <c r="I1426" t="s">
        <v>96</v>
      </c>
      <c r="J1426">
        <v>3800</v>
      </c>
      <c r="K1426">
        <v>32084</v>
      </c>
      <c r="L1426">
        <v>3950</v>
      </c>
      <c r="M1426">
        <v>4105.3</v>
      </c>
      <c r="N1426">
        <v>39280</v>
      </c>
      <c r="O1426">
        <v>591</v>
      </c>
      <c r="P1426">
        <v>2704.5</v>
      </c>
      <c r="Q1426">
        <v>36154</v>
      </c>
      <c r="R1426">
        <v>2</v>
      </c>
      <c r="S1426">
        <v>0</v>
      </c>
      <c r="T1426">
        <v>0</v>
      </c>
      <c r="U1426">
        <v>0</v>
      </c>
      <c r="V1426">
        <v>10609.8</v>
      </c>
      <c r="W1426">
        <v>107518</v>
      </c>
      <c r="X1426">
        <v>4543</v>
      </c>
      <c r="Y1426">
        <f t="shared" si="22"/>
        <v>107518</v>
      </c>
      <c r="Z1426" t="str">
        <f>IF(ISNUMBER(SEARCH("Adjustment",$C1426)),"excluded",IF($H1426="Behind the Meter","excluded",IF(NOT(OR($E1426="Bundled",$E1426="Energy")),"excluded",IF(OR($H1426="Retail Power Marketer",$H1426="Community Choice Aggregator",$E1426="Energy"),"procurement",IF(OR($H1426="Municipal",$H1426="Cooperative",$H1426="Federal",$H1426="State",$H1426="Political Subdivision"),"cost_service",IF($H1426="Investor Owned",IF(AND(COUNTIF(Parameters!$A$4:$A$33,$G1426)&gt;0,COUNTIF(Parameters!$B$4:$B$33,$B1426)=0),"procurement","cost_service"),"unclassified"))))))</f>
        <v>cost_service</v>
      </c>
    </row>
    <row r="1427" spans="1:26" x14ac:dyDescent="0.25">
      <c r="A1427">
        <v>2024</v>
      </c>
      <c r="B1427">
        <v>20216</v>
      </c>
      <c r="C1427" t="s">
        <v>1308</v>
      </c>
      <c r="D1427" t="s">
        <v>84</v>
      </c>
      <c r="E1427" t="s">
        <v>85</v>
      </c>
      <c r="F1427" t="s">
        <v>86</v>
      </c>
      <c r="G1427" t="s">
        <v>130</v>
      </c>
      <c r="H1427" t="s">
        <v>91</v>
      </c>
      <c r="I1427" t="s">
        <v>96</v>
      </c>
      <c r="J1427">
        <v>25598</v>
      </c>
      <c r="K1427">
        <v>161691</v>
      </c>
      <c r="L1427">
        <v>11998</v>
      </c>
      <c r="M1427">
        <v>4774</v>
      </c>
      <c r="N1427">
        <v>37094</v>
      </c>
      <c r="O1427">
        <v>193</v>
      </c>
      <c r="P1427">
        <v>4286</v>
      </c>
      <c r="Q1427">
        <v>49751</v>
      </c>
      <c r="R1427">
        <v>8</v>
      </c>
      <c r="S1427">
        <v>0</v>
      </c>
      <c r="T1427">
        <v>0</v>
      </c>
      <c r="U1427">
        <v>0</v>
      </c>
      <c r="V1427">
        <v>34658</v>
      </c>
      <c r="W1427">
        <v>248536</v>
      </c>
      <c r="X1427">
        <v>12199</v>
      </c>
      <c r="Y1427">
        <f t="shared" si="22"/>
        <v>248536</v>
      </c>
      <c r="Z1427" t="str">
        <f>IF(ISNUMBER(SEARCH("Adjustment",$C1427)),"excluded",IF($H1427="Behind the Meter","excluded",IF(NOT(OR($E1427="Bundled",$E1427="Energy")),"excluded",IF(OR($H1427="Retail Power Marketer",$H1427="Community Choice Aggregator",$E1427="Energy"),"procurement",IF(OR($H1427="Municipal",$H1427="Cooperative",$H1427="Federal",$H1427="State",$H1427="Political Subdivision"),"cost_service",IF($H1427="Investor Owned",IF(AND(COUNTIF(Parameters!$A$4:$A$33,$G1427)&gt;0,COUNTIF(Parameters!$B$4:$B$33,$B1427)=0),"procurement","cost_service"),"unclassified"))))))</f>
        <v>cost_service</v>
      </c>
    </row>
    <row r="1428" spans="1:26" x14ac:dyDescent="0.25">
      <c r="A1428">
        <v>2024</v>
      </c>
      <c r="B1428">
        <v>20222</v>
      </c>
      <c r="C1428" t="s">
        <v>1309</v>
      </c>
      <c r="D1428" t="s">
        <v>84</v>
      </c>
      <c r="E1428" t="s">
        <v>85</v>
      </c>
      <c r="F1428" t="s">
        <v>86</v>
      </c>
      <c r="G1428" t="s">
        <v>46</v>
      </c>
      <c r="H1428" t="s">
        <v>91</v>
      </c>
      <c r="I1428" t="s">
        <v>96</v>
      </c>
      <c r="J1428">
        <v>24960.2</v>
      </c>
      <c r="K1428">
        <v>150579</v>
      </c>
      <c r="L1428">
        <v>11957</v>
      </c>
      <c r="M1428">
        <v>9950.1</v>
      </c>
      <c r="N1428">
        <v>81523</v>
      </c>
      <c r="O1428">
        <v>1518</v>
      </c>
      <c r="P1428">
        <v>14442.1</v>
      </c>
      <c r="Q1428">
        <v>161705</v>
      </c>
      <c r="R1428">
        <v>179</v>
      </c>
      <c r="S1428">
        <v>0</v>
      </c>
      <c r="T1428">
        <v>0</v>
      </c>
      <c r="U1428">
        <v>0</v>
      </c>
      <c r="V1428">
        <v>49352.4</v>
      </c>
      <c r="W1428">
        <v>393807</v>
      </c>
      <c r="X1428">
        <v>13654</v>
      </c>
      <c r="Y1428">
        <f t="shared" si="22"/>
        <v>393807</v>
      </c>
      <c r="Z1428" t="str">
        <f>IF(ISNUMBER(SEARCH("Adjustment",$C1428)),"excluded",IF($H1428="Behind the Meter","excluded",IF(NOT(OR($E1428="Bundled",$E1428="Energy")),"excluded",IF(OR($H1428="Retail Power Marketer",$H1428="Community Choice Aggregator",$E1428="Energy"),"procurement",IF(OR($H1428="Municipal",$H1428="Cooperative",$H1428="Federal",$H1428="State",$H1428="Political Subdivision"),"cost_service",IF($H1428="Investor Owned",IF(AND(COUNTIF(Parameters!$A$4:$A$33,$G1428)&gt;0,COUNTIF(Parameters!$B$4:$B$33,$B1428)=0),"procurement","cost_service"),"unclassified"))))))</f>
        <v>cost_service</v>
      </c>
    </row>
    <row r="1429" spans="1:26" x14ac:dyDescent="0.25">
      <c r="A1429">
        <v>2024</v>
      </c>
      <c r="B1429">
        <v>20228</v>
      </c>
      <c r="C1429" t="s">
        <v>1310</v>
      </c>
      <c r="D1429" t="s">
        <v>84</v>
      </c>
      <c r="E1429" t="s">
        <v>85</v>
      </c>
      <c r="F1429" t="s">
        <v>86</v>
      </c>
      <c r="G1429" t="s">
        <v>156</v>
      </c>
      <c r="H1429" t="s">
        <v>88</v>
      </c>
      <c r="I1429" t="s">
        <v>89</v>
      </c>
      <c r="J1429">
        <v>26706</v>
      </c>
      <c r="K1429">
        <v>236469</v>
      </c>
      <c r="L1429">
        <v>15315</v>
      </c>
      <c r="M1429">
        <v>22158</v>
      </c>
      <c r="N1429">
        <v>188404</v>
      </c>
      <c r="O1429">
        <v>5573</v>
      </c>
      <c r="P1429">
        <v>3062</v>
      </c>
      <c r="Q1429">
        <v>32733</v>
      </c>
      <c r="R1429">
        <v>5</v>
      </c>
      <c r="S1429">
        <v>0</v>
      </c>
      <c r="T1429">
        <v>0</v>
      </c>
      <c r="U1429">
        <v>0</v>
      </c>
      <c r="V1429">
        <v>51926</v>
      </c>
      <c r="W1429">
        <v>457606</v>
      </c>
      <c r="X1429">
        <v>20893</v>
      </c>
      <c r="Y1429">
        <f t="shared" si="22"/>
        <v>457606</v>
      </c>
      <c r="Z1429" t="str">
        <f>IF(ISNUMBER(SEARCH("Adjustment",$C1429)),"excluded",IF($H1429="Behind the Meter","excluded",IF(NOT(OR($E1429="Bundled",$E1429="Energy")),"excluded",IF(OR($H1429="Retail Power Marketer",$H1429="Community Choice Aggregator",$E1429="Energy"),"procurement",IF(OR($H1429="Municipal",$H1429="Cooperative",$H1429="Federal",$H1429="State",$H1429="Political Subdivision"),"cost_service",IF($H1429="Investor Owned",IF(AND(COUNTIF(Parameters!$A$4:$A$33,$G1429)&gt;0,COUNTIF(Parameters!$B$4:$B$33,$B1429)=0),"procurement","cost_service"),"unclassified"))))))</f>
        <v>cost_service</v>
      </c>
    </row>
    <row r="1430" spans="1:26" x14ac:dyDescent="0.25">
      <c r="A1430">
        <v>2024</v>
      </c>
      <c r="B1430">
        <v>20230</v>
      </c>
      <c r="C1430" t="s">
        <v>1311</v>
      </c>
      <c r="D1430" t="s">
        <v>84</v>
      </c>
      <c r="E1430" t="s">
        <v>85</v>
      </c>
      <c r="F1430" t="s">
        <v>86</v>
      </c>
      <c r="G1430" t="s">
        <v>57</v>
      </c>
      <c r="H1430" t="s">
        <v>88</v>
      </c>
      <c r="I1430" t="s">
        <v>151</v>
      </c>
      <c r="J1430">
        <v>25849</v>
      </c>
      <c r="K1430">
        <v>203739</v>
      </c>
      <c r="L1430">
        <v>14466</v>
      </c>
      <c r="M1430">
        <v>21502</v>
      </c>
      <c r="N1430">
        <v>192779</v>
      </c>
      <c r="O1430">
        <v>2497</v>
      </c>
      <c r="P1430">
        <v>3227</v>
      </c>
      <c r="Q1430">
        <v>29370</v>
      </c>
      <c r="R1430">
        <v>4</v>
      </c>
      <c r="S1430" t="s">
        <v>97</v>
      </c>
      <c r="T1430" t="s">
        <v>97</v>
      </c>
      <c r="U1430" t="s">
        <v>97</v>
      </c>
      <c r="V1430">
        <v>50578</v>
      </c>
      <c r="W1430">
        <v>425888</v>
      </c>
      <c r="X1430">
        <v>16967</v>
      </c>
      <c r="Y1430">
        <f t="shared" si="22"/>
        <v>425888</v>
      </c>
      <c r="Z1430" t="str">
        <f>IF(ISNUMBER(SEARCH("Adjustment",$C1430)),"excluded",IF($H1430="Behind the Meter","excluded",IF(NOT(OR($E1430="Bundled",$E1430="Energy")),"excluded",IF(OR($H1430="Retail Power Marketer",$H1430="Community Choice Aggregator",$E1430="Energy"),"procurement",IF(OR($H1430="Municipal",$H1430="Cooperative",$H1430="Federal",$H1430="State",$H1430="Political Subdivision"),"cost_service",IF($H1430="Investor Owned",IF(AND(COUNTIF(Parameters!$A$4:$A$33,$G1430)&gt;0,COUNTIF(Parameters!$B$4:$B$33,$B1430)=0),"procurement","cost_service"),"unclassified"))))))</f>
        <v>cost_service</v>
      </c>
    </row>
    <row r="1431" spans="1:26" x14ac:dyDescent="0.25">
      <c r="A1431">
        <v>2024</v>
      </c>
      <c r="B1431">
        <v>20310</v>
      </c>
      <c r="C1431" t="s">
        <v>1312</v>
      </c>
      <c r="D1431" t="s">
        <v>84</v>
      </c>
      <c r="E1431" t="s">
        <v>85</v>
      </c>
      <c r="F1431" t="s">
        <v>86</v>
      </c>
      <c r="G1431" t="s">
        <v>48</v>
      </c>
      <c r="H1431" t="s">
        <v>88</v>
      </c>
      <c r="I1431" t="s">
        <v>189</v>
      </c>
      <c r="J1431">
        <v>17933.099999999999</v>
      </c>
      <c r="K1431">
        <v>110693</v>
      </c>
      <c r="L1431">
        <v>9437</v>
      </c>
      <c r="M1431">
        <v>13981.5</v>
      </c>
      <c r="N1431">
        <v>91679</v>
      </c>
      <c r="O1431">
        <v>1219</v>
      </c>
      <c r="P1431">
        <v>6148.4</v>
      </c>
      <c r="Q1431">
        <v>42493</v>
      </c>
      <c r="R1431">
        <v>5</v>
      </c>
      <c r="S1431">
        <v>0</v>
      </c>
      <c r="T1431">
        <v>0</v>
      </c>
      <c r="U1431">
        <v>0</v>
      </c>
      <c r="V1431">
        <v>38063</v>
      </c>
      <c r="W1431">
        <v>244865</v>
      </c>
      <c r="X1431">
        <v>10661</v>
      </c>
      <c r="Y1431">
        <f t="shared" si="22"/>
        <v>244865</v>
      </c>
      <c r="Z1431" t="str">
        <f>IF(ISNUMBER(SEARCH("Adjustment",$C1431)),"excluded",IF($H1431="Behind the Meter","excluded",IF(NOT(OR($E1431="Bundled",$E1431="Energy")),"excluded",IF(OR($H1431="Retail Power Marketer",$H1431="Community Choice Aggregator",$E1431="Energy"),"procurement",IF(OR($H1431="Municipal",$H1431="Cooperative",$H1431="Federal",$H1431="State",$H1431="Political Subdivision"),"cost_service",IF($H1431="Investor Owned",IF(AND(COUNTIF(Parameters!$A$4:$A$33,$G1431)&gt;0,COUNTIF(Parameters!$B$4:$B$33,$B1431)=0),"procurement","cost_service"),"unclassified"))))))</f>
        <v>cost_service</v>
      </c>
    </row>
    <row r="1432" spans="1:26" x14ac:dyDescent="0.25">
      <c r="A1432">
        <v>2024</v>
      </c>
      <c r="B1432">
        <v>20310</v>
      </c>
      <c r="C1432" t="s">
        <v>1312</v>
      </c>
      <c r="D1432" t="s">
        <v>167</v>
      </c>
      <c r="E1432" t="s">
        <v>168</v>
      </c>
      <c r="F1432" t="s">
        <v>86</v>
      </c>
      <c r="G1432" t="s">
        <v>48</v>
      </c>
      <c r="H1432" t="s">
        <v>88</v>
      </c>
      <c r="I1432" t="s">
        <v>189</v>
      </c>
      <c r="J1432">
        <v>0</v>
      </c>
      <c r="K1432">
        <v>0</v>
      </c>
      <c r="L1432">
        <v>0</v>
      </c>
      <c r="M1432">
        <v>13.8</v>
      </c>
      <c r="N1432">
        <v>458</v>
      </c>
      <c r="O1432">
        <v>1</v>
      </c>
      <c r="P1432">
        <v>0</v>
      </c>
      <c r="Q1432">
        <v>0</v>
      </c>
      <c r="R1432">
        <v>0</v>
      </c>
      <c r="S1432">
        <v>0</v>
      </c>
      <c r="T1432">
        <v>0</v>
      </c>
      <c r="U1432">
        <v>0</v>
      </c>
      <c r="V1432">
        <v>13.8</v>
      </c>
      <c r="W1432">
        <v>458</v>
      </c>
      <c r="X1432">
        <v>1</v>
      </c>
      <c r="Y1432">
        <f t="shared" si="22"/>
        <v>458</v>
      </c>
      <c r="Z1432" t="str">
        <f>IF(ISNUMBER(SEARCH("Adjustment",$C1432)),"excluded",IF($H1432="Behind the Meter","excluded",IF(NOT(OR($E1432="Bundled",$E1432="Energy")),"excluded",IF(OR($H1432="Retail Power Marketer",$H1432="Community Choice Aggregator",$E1432="Energy"),"procurement",IF(OR($H1432="Municipal",$H1432="Cooperative",$H1432="Federal",$H1432="State",$H1432="Political Subdivision"),"cost_service",IF($H1432="Investor Owned",IF(AND(COUNTIF(Parameters!$A$4:$A$33,$G1432)&gt;0,COUNTIF(Parameters!$B$4:$B$33,$B1432)=0),"procurement","cost_service"),"unclassified"))))))</f>
        <v>excluded</v>
      </c>
    </row>
    <row r="1433" spans="1:26" x14ac:dyDescent="0.25">
      <c r="A1433">
        <v>2024</v>
      </c>
      <c r="B1433">
        <v>20318</v>
      </c>
      <c r="C1433" t="s">
        <v>1313</v>
      </c>
      <c r="D1433" t="s">
        <v>84</v>
      </c>
      <c r="E1433" t="s">
        <v>85</v>
      </c>
      <c r="F1433" t="s">
        <v>86</v>
      </c>
      <c r="G1433" t="s">
        <v>226</v>
      </c>
      <c r="H1433" t="s">
        <v>91</v>
      </c>
      <c r="I1433" t="s">
        <v>227</v>
      </c>
      <c r="J1433">
        <v>31031.9</v>
      </c>
      <c r="K1433">
        <v>304392</v>
      </c>
      <c r="L1433">
        <v>18820</v>
      </c>
      <c r="M1433">
        <v>8965</v>
      </c>
      <c r="N1433">
        <v>105660</v>
      </c>
      <c r="O1433">
        <v>865</v>
      </c>
      <c r="P1433" t="s">
        <v>97</v>
      </c>
      <c r="Q1433" t="s">
        <v>97</v>
      </c>
      <c r="R1433" t="s">
        <v>97</v>
      </c>
      <c r="S1433" t="s">
        <v>97</v>
      </c>
      <c r="T1433" t="s">
        <v>97</v>
      </c>
      <c r="U1433" t="s">
        <v>97</v>
      </c>
      <c r="V1433">
        <v>39996.9</v>
      </c>
      <c r="W1433">
        <v>410052</v>
      </c>
      <c r="X1433">
        <v>19685</v>
      </c>
      <c r="Y1433">
        <f t="shared" si="22"/>
        <v>410052</v>
      </c>
      <c r="Z1433" t="str">
        <f>IF(ISNUMBER(SEARCH("Adjustment",$C1433)),"excluded",IF($H1433="Behind the Meter","excluded",IF(NOT(OR($E1433="Bundled",$E1433="Energy")),"excluded",IF(OR($H1433="Retail Power Marketer",$H1433="Community Choice Aggregator",$E1433="Energy"),"procurement",IF(OR($H1433="Municipal",$H1433="Cooperative",$H1433="Federal",$H1433="State",$H1433="Political Subdivision"),"cost_service",IF($H1433="Investor Owned",IF(AND(COUNTIF(Parameters!$A$4:$A$33,$G1433)&gt;0,COUNTIF(Parameters!$B$4:$B$33,$B1433)=0),"procurement","cost_service"),"unclassified"))))))</f>
        <v>cost_service</v>
      </c>
    </row>
    <row r="1434" spans="1:26" x14ac:dyDescent="0.25">
      <c r="A1434">
        <v>2024</v>
      </c>
      <c r="B1434">
        <v>20332</v>
      </c>
      <c r="C1434" t="s">
        <v>1314</v>
      </c>
      <c r="D1434" t="s">
        <v>84</v>
      </c>
      <c r="E1434" t="s">
        <v>85</v>
      </c>
      <c r="F1434" t="s">
        <v>86</v>
      </c>
      <c r="G1434" t="s">
        <v>242</v>
      </c>
      <c r="H1434" t="s">
        <v>91</v>
      </c>
      <c r="I1434" t="s">
        <v>390</v>
      </c>
      <c r="J1434">
        <v>5946.1</v>
      </c>
      <c r="K1434">
        <v>59139</v>
      </c>
      <c r="L1434">
        <v>4621</v>
      </c>
      <c r="M1434">
        <v>4579.8</v>
      </c>
      <c r="N1434">
        <v>49388</v>
      </c>
      <c r="O1434">
        <v>957</v>
      </c>
      <c r="P1434">
        <v>26489.1</v>
      </c>
      <c r="Q1434">
        <v>510277</v>
      </c>
      <c r="R1434">
        <v>171</v>
      </c>
      <c r="S1434" t="s">
        <v>97</v>
      </c>
      <c r="T1434" t="s">
        <v>97</v>
      </c>
      <c r="U1434" t="s">
        <v>97</v>
      </c>
      <c r="V1434">
        <v>37015</v>
      </c>
      <c r="W1434">
        <v>618804</v>
      </c>
      <c r="X1434">
        <v>5749</v>
      </c>
      <c r="Y1434">
        <f t="shared" si="22"/>
        <v>618804</v>
      </c>
      <c r="Z1434" t="str">
        <f>IF(ISNUMBER(SEARCH("Adjustment",$C1434)),"excluded",IF($H1434="Behind the Meter","excluded",IF(NOT(OR($E1434="Bundled",$E1434="Energy")),"excluded",IF(OR($H1434="Retail Power Marketer",$H1434="Community Choice Aggregator",$E1434="Energy"),"procurement",IF(OR($H1434="Municipal",$H1434="Cooperative",$H1434="Federal",$H1434="State",$H1434="Political Subdivision"),"cost_service",IF($H1434="Investor Owned",IF(AND(COUNTIF(Parameters!$A$4:$A$33,$G1434)&gt;0,COUNTIF(Parameters!$B$4:$B$33,$B1434)=0),"procurement","cost_service"),"unclassified"))))))</f>
        <v>cost_service</v>
      </c>
    </row>
    <row r="1435" spans="1:26" x14ac:dyDescent="0.25">
      <c r="A1435">
        <v>2024</v>
      </c>
      <c r="B1435">
        <v>20332</v>
      </c>
      <c r="C1435" t="s">
        <v>1314</v>
      </c>
      <c r="D1435" t="s">
        <v>84</v>
      </c>
      <c r="E1435" t="s">
        <v>85</v>
      </c>
      <c r="F1435" t="s">
        <v>86</v>
      </c>
      <c r="G1435" t="s">
        <v>245</v>
      </c>
      <c r="H1435" t="s">
        <v>91</v>
      </c>
      <c r="I1435" t="s">
        <v>390</v>
      </c>
      <c r="J1435">
        <v>584.70000000000005</v>
      </c>
      <c r="K1435">
        <v>5536</v>
      </c>
      <c r="L1435">
        <v>510</v>
      </c>
      <c r="M1435">
        <v>1054.7</v>
      </c>
      <c r="N1435">
        <v>11084</v>
      </c>
      <c r="O1435">
        <v>204</v>
      </c>
      <c r="P1435">
        <v>1159</v>
      </c>
      <c r="Q1435">
        <v>18542</v>
      </c>
      <c r="R1435">
        <v>4</v>
      </c>
      <c r="S1435" t="s">
        <v>97</v>
      </c>
      <c r="T1435" t="s">
        <v>97</v>
      </c>
      <c r="U1435" t="s">
        <v>97</v>
      </c>
      <c r="V1435">
        <v>2798.4</v>
      </c>
      <c r="W1435">
        <v>35162</v>
      </c>
      <c r="X1435">
        <v>718</v>
      </c>
      <c r="Y1435">
        <f t="shared" si="22"/>
        <v>35162</v>
      </c>
      <c r="Z1435" t="str">
        <f>IF(ISNUMBER(SEARCH("Adjustment",$C1435)),"excluded",IF($H1435="Behind the Meter","excluded",IF(NOT(OR($E1435="Bundled",$E1435="Energy")),"excluded",IF(OR($H1435="Retail Power Marketer",$H1435="Community Choice Aggregator",$E1435="Energy"),"procurement",IF(OR($H1435="Municipal",$H1435="Cooperative",$H1435="Federal",$H1435="State",$H1435="Political Subdivision"),"cost_service",IF($H1435="Investor Owned",IF(AND(COUNTIF(Parameters!$A$4:$A$33,$G1435)&gt;0,COUNTIF(Parameters!$B$4:$B$33,$B1435)=0),"procurement","cost_service"),"unclassified"))))))</f>
        <v>cost_service</v>
      </c>
    </row>
    <row r="1436" spans="1:26" x14ac:dyDescent="0.25">
      <c r="A1436">
        <v>2024</v>
      </c>
      <c r="B1436">
        <v>20334</v>
      </c>
      <c r="C1436" t="s">
        <v>1315</v>
      </c>
      <c r="D1436" t="s">
        <v>84</v>
      </c>
      <c r="E1436" t="s">
        <v>85</v>
      </c>
      <c r="F1436" t="s">
        <v>86</v>
      </c>
      <c r="G1436" t="s">
        <v>55</v>
      </c>
      <c r="H1436" t="s">
        <v>109</v>
      </c>
      <c r="I1436" t="s">
        <v>92</v>
      </c>
      <c r="J1436">
        <v>6903.4</v>
      </c>
      <c r="K1436">
        <v>41970</v>
      </c>
      <c r="L1436">
        <v>5158</v>
      </c>
      <c r="M1436">
        <v>3594</v>
      </c>
      <c r="N1436">
        <v>23459</v>
      </c>
      <c r="O1436">
        <v>1253</v>
      </c>
      <c r="P1436">
        <v>1346</v>
      </c>
      <c r="Q1436">
        <v>13270</v>
      </c>
      <c r="R1436">
        <v>7</v>
      </c>
      <c r="S1436">
        <v>0</v>
      </c>
      <c r="T1436">
        <v>0</v>
      </c>
      <c r="U1436">
        <v>0</v>
      </c>
      <c r="V1436">
        <v>11843.4</v>
      </c>
      <c r="W1436">
        <v>78699</v>
      </c>
      <c r="X1436">
        <v>6418</v>
      </c>
      <c r="Y1436">
        <f t="shared" si="22"/>
        <v>78699</v>
      </c>
      <c r="Z1436" t="str">
        <f>IF(ISNUMBER(SEARCH("Adjustment",$C1436)),"excluded",IF($H1436="Behind the Meter","excluded",IF(NOT(OR($E1436="Bundled",$E1436="Energy")),"excluded",IF(OR($H1436="Retail Power Marketer",$H1436="Community Choice Aggregator",$E1436="Energy"),"procurement",IF(OR($H1436="Municipal",$H1436="Cooperative",$H1436="Federal",$H1436="State",$H1436="Political Subdivision"),"cost_service",IF($H1436="Investor Owned",IF(AND(COUNTIF(Parameters!$A$4:$A$33,$G1436)&gt;0,COUNTIF(Parameters!$B$4:$B$33,$B1436)=0),"procurement","cost_service"),"unclassified"))))))</f>
        <v>procurement</v>
      </c>
    </row>
    <row r="1437" spans="1:26" x14ac:dyDescent="0.25">
      <c r="A1437">
        <v>2024</v>
      </c>
      <c r="B1437">
        <v>20334</v>
      </c>
      <c r="C1437" t="s">
        <v>1315</v>
      </c>
      <c r="D1437" t="s">
        <v>167</v>
      </c>
      <c r="E1437" t="s">
        <v>168</v>
      </c>
      <c r="F1437" t="s">
        <v>86</v>
      </c>
      <c r="G1437" t="s">
        <v>55</v>
      </c>
      <c r="H1437" t="s">
        <v>109</v>
      </c>
      <c r="I1437" t="s">
        <v>92</v>
      </c>
      <c r="J1437">
        <v>0</v>
      </c>
      <c r="K1437">
        <v>0</v>
      </c>
      <c r="L1437">
        <v>0</v>
      </c>
      <c r="M1437">
        <v>318.89999999999998</v>
      </c>
      <c r="N1437">
        <v>6877</v>
      </c>
      <c r="O1437">
        <v>45</v>
      </c>
      <c r="P1437">
        <v>425.7</v>
      </c>
      <c r="Q1437">
        <v>11340</v>
      </c>
      <c r="R1437">
        <v>6</v>
      </c>
      <c r="S1437">
        <v>0</v>
      </c>
      <c r="T1437">
        <v>0</v>
      </c>
      <c r="U1437">
        <v>0</v>
      </c>
      <c r="V1437">
        <v>744.6</v>
      </c>
      <c r="W1437">
        <v>18217</v>
      </c>
      <c r="X1437">
        <v>51</v>
      </c>
      <c r="Y1437">
        <f t="shared" si="22"/>
        <v>18217</v>
      </c>
      <c r="Z1437" t="str">
        <f>IF(ISNUMBER(SEARCH("Adjustment",$C1437)),"excluded",IF($H1437="Behind the Meter","excluded",IF(NOT(OR($E1437="Bundled",$E1437="Energy")),"excluded",IF(OR($H1437="Retail Power Marketer",$H1437="Community Choice Aggregator",$E1437="Energy"),"procurement",IF(OR($H1437="Municipal",$H1437="Cooperative",$H1437="Federal",$H1437="State",$H1437="Political Subdivision"),"cost_service",IF($H1437="Investor Owned",IF(AND(COUNTIF(Parameters!$A$4:$A$33,$G1437)&gt;0,COUNTIF(Parameters!$B$4:$B$33,$B1437)=0),"procurement","cost_service"),"unclassified"))))))</f>
        <v>excluded</v>
      </c>
    </row>
    <row r="1438" spans="1:26" x14ac:dyDescent="0.25">
      <c r="A1438">
        <v>2024</v>
      </c>
      <c r="B1438">
        <v>20363</v>
      </c>
      <c r="C1438" t="s">
        <v>1316</v>
      </c>
      <c r="D1438" t="s">
        <v>84</v>
      </c>
      <c r="E1438" t="s">
        <v>85</v>
      </c>
      <c r="F1438" t="s">
        <v>86</v>
      </c>
      <c r="G1438" t="s">
        <v>226</v>
      </c>
      <c r="H1438" t="s">
        <v>91</v>
      </c>
      <c r="I1438" t="s">
        <v>227</v>
      </c>
      <c r="J1438">
        <v>31922.3</v>
      </c>
      <c r="K1438">
        <v>259946</v>
      </c>
      <c r="L1438">
        <v>15280</v>
      </c>
      <c r="M1438">
        <v>5079.2</v>
      </c>
      <c r="N1438">
        <v>72448</v>
      </c>
      <c r="O1438">
        <v>166</v>
      </c>
      <c r="P1438" t="s">
        <v>97</v>
      </c>
      <c r="Q1438" t="s">
        <v>97</v>
      </c>
      <c r="R1438" t="s">
        <v>97</v>
      </c>
      <c r="S1438" t="s">
        <v>97</v>
      </c>
      <c r="T1438" t="s">
        <v>97</v>
      </c>
      <c r="U1438" t="s">
        <v>97</v>
      </c>
      <c r="V1438">
        <v>37001.5</v>
      </c>
      <c r="W1438">
        <v>332394</v>
      </c>
      <c r="X1438">
        <v>15446</v>
      </c>
      <c r="Y1438">
        <f t="shared" si="22"/>
        <v>332394</v>
      </c>
      <c r="Z1438" t="str">
        <f>IF(ISNUMBER(SEARCH("Adjustment",$C1438)),"excluded",IF($H1438="Behind the Meter","excluded",IF(NOT(OR($E1438="Bundled",$E1438="Energy")),"excluded",IF(OR($H1438="Retail Power Marketer",$H1438="Community Choice Aggregator",$E1438="Energy"),"procurement",IF(OR($H1438="Municipal",$H1438="Cooperative",$H1438="Federal",$H1438="State",$H1438="Political Subdivision"),"cost_service",IF($H1438="Investor Owned",IF(AND(COUNTIF(Parameters!$A$4:$A$33,$G1438)&gt;0,COUNTIF(Parameters!$B$4:$B$33,$B1438)=0),"procurement","cost_service"),"unclassified"))))))</f>
        <v>cost_service</v>
      </c>
    </row>
    <row r="1439" spans="1:26" x14ac:dyDescent="0.25">
      <c r="A1439">
        <v>2024</v>
      </c>
      <c r="B1439">
        <v>20371</v>
      </c>
      <c r="C1439" t="s">
        <v>1317</v>
      </c>
      <c r="D1439" t="s">
        <v>84</v>
      </c>
      <c r="E1439" t="s">
        <v>85</v>
      </c>
      <c r="F1439" t="s">
        <v>86</v>
      </c>
      <c r="G1439" t="s">
        <v>195</v>
      </c>
      <c r="H1439" t="s">
        <v>91</v>
      </c>
      <c r="I1439" t="s">
        <v>113</v>
      </c>
      <c r="J1439">
        <v>55465</v>
      </c>
      <c r="K1439">
        <v>339027</v>
      </c>
      <c r="L1439">
        <v>26357</v>
      </c>
      <c r="M1439">
        <v>10479</v>
      </c>
      <c r="N1439">
        <v>71363</v>
      </c>
      <c r="O1439">
        <v>3325</v>
      </c>
      <c r="P1439">
        <v>8701</v>
      </c>
      <c r="Q1439">
        <v>119487</v>
      </c>
      <c r="R1439">
        <v>202</v>
      </c>
      <c r="S1439" t="s">
        <v>97</v>
      </c>
      <c r="T1439" t="s">
        <v>97</v>
      </c>
      <c r="U1439" t="s">
        <v>97</v>
      </c>
      <c r="V1439">
        <v>74645</v>
      </c>
      <c r="W1439">
        <v>529877</v>
      </c>
      <c r="X1439">
        <v>29884</v>
      </c>
      <c r="Y1439">
        <f t="shared" si="22"/>
        <v>529877</v>
      </c>
      <c r="Z1439" t="str">
        <f>IF(ISNUMBER(SEARCH("Adjustment",$C1439)),"excluded",IF($H1439="Behind the Meter","excluded",IF(NOT(OR($E1439="Bundled",$E1439="Energy")),"excluded",IF(OR($H1439="Retail Power Marketer",$H1439="Community Choice Aggregator",$E1439="Energy"),"procurement",IF(OR($H1439="Municipal",$H1439="Cooperative",$H1439="Federal",$H1439="State",$H1439="Political Subdivision"),"cost_service",IF($H1439="Investor Owned",IF(AND(COUNTIF(Parameters!$A$4:$A$33,$G1439)&gt;0,COUNTIF(Parameters!$B$4:$B$33,$B1439)=0),"procurement","cost_service"),"unclassified"))))))</f>
        <v>cost_service</v>
      </c>
    </row>
    <row r="1440" spans="1:26" x14ac:dyDescent="0.25">
      <c r="A1440">
        <v>2024</v>
      </c>
      <c r="B1440">
        <v>20377</v>
      </c>
      <c r="C1440" t="s">
        <v>1318</v>
      </c>
      <c r="D1440" t="s">
        <v>84</v>
      </c>
      <c r="E1440" t="s">
        <v>85</v>
      </c>
      <c r="F1440" t="s">
        <v>86</v>
      </c>
      <c r="G1440" t="s">
        <v>209</v>
      </c>
      <c r="H1440" t="s">
        <v>91</v>
      </c>
      <c r="I1440" t="s">
        <v>89</v>
      </c>
      <c r="J1440">
        <v>59888</v>
      </c>
      <c r="K1440">
        <v>445087</v>
      </c>
      <c r="L1440">
        <v>32062</v>
      </c>
      <c r="M1440">
        <v>27680</v>
      </c>
      <c r="N1440">
        <v>192566</v>
      </c>
      <c r="O1440">
        <v>7034</v>
      </c>
      <c r="P1440">
        <v>9810</v>
      </c>
      <c r="Q1440">
        <v>248852</v>
      </c>
      <c r="R1440">
        <v>5</v>
      </c>
      <c r="S1440">
        <v>0</v>
      </c>
      <c r="T1440">
        <v>0</v>
      </c>
      <c r="U1440">
        <v>0</v>
      </c>
      <c r="V1440">
        <v>97378</v>
      </c>
      <c r="W1440">
        <v>886505</v>
      </c>
      <c r="X1440">
        <v>39101</v>
      </c>
      <c r="Y1440">
        <f t="shared" si="22"/>
        <v>886505</v>
      </c>
      <c r="Z1440" t="str">
        <f>IF(ISNUMBER(SEARCH("Adjustment",$C1440)),"excluded",IF($H1440="Behind the Meter","excluded",IF(NOT(OR($E1440="Bundled",$E1440="Energy")),"excluded",IF(OR($H1440="Retail Power Marketer",$H1440="Community Choice Aggregator",$E1440="Energy"),"procurement",IF(OR($H1440="Municipal",$H1440="Cooperative",$H1440="Federal",$H1440="State",$H1440="Political Subdivision"),"cost_service",IF($H1440="Investor Owned",IF(AND(COUNTIF(Parameters!$A$4:$A$33,$G1440)&gt;0,COUNTIF(Parameters!$B$4:$B$33,$B1440)=0),"procurement","cost_service"),"unclassified"))))))</f>
        <v>cost_service</v>
      </c>
    </row>
    <row r="1441" spans="1:26" x14ac:dyDescent="0.25">
      <c r="A1441">
        <v>2024</v>
      </c>
      <c r="B1441">
        <v>20382</v>
      </c>
      <c r="C1441" t="s">
        <v>1319</v>
      </c>
      <c r="D1441" t="s">
        <v>84</v>
      </c>
      <c r="E1441" t="s">
        <v>85</v>
      </c>
      <c r="F1441" t="s">
        <v>86</v>
      </c>
      <c r="G1441" t="s">
        <v>173</v>
      </c>
      <c r="H1441" t="s">
        <v>88</v>
      </c>
      <c r="I1441" t="s">
        <v>227</v>
      </c>
      <c r="J1441">
        <v>11281</v>
      </c>
      <c r="K1441">
        <v>139667</v>
      </c>
      <c r="L1441">
        <v>10199</v>
      </c>
      <c r="M1441">
        <v>8557</v>
      </c>
      <c r="N1441">
        <v>99222</v>
      </c>
      <c r="O1441">
        <v>1509</v>
      </c>
      <c r="P1441">
        <v>15705</v>
      </c>
      <c r="Q1441">
        <v>125626</v>
      </c>
      <c r="R1441">
        <v>192</v>
      </c>
      <c r="S1441" t="s">
        <v>97</v>
      </c>
      <c r="T1441" t="s">
        <v>97</v>
      </c>
      <c r="U1441" t="s">
        <v>97</v>
      </c>
      <c r="V1441">
        <v>35543</v>
      </c>
      <c r="W1441">
        <v>364515</v>
      </c>
      <c r="X1441">
        <v>11900</v>
      </c>
      <c r="Y1441">
        <f t="shared" si="22"/>
        <v>364515</v>
      </c>
      <c r="Z1441" t="str">
        <f>IF(ISNUMBER(SEARCH("Adjustment",$C1441)),"excluded",IF($H1441="Behind the Meter","excluded",IF(NOT(OR($E1441="Bundled",$E1441="Energy")),"excluded",IF(OR($H1441="Retail Power Marketer",$H1441="Community Choice Aggregator",$E1441="Energy"),"procurement",IF(OR($H1441="Municipal",$H1441="Cooperative",$H1441="Federal",$H1441="State",$H1441="Political Subdivision"),"cost_service",IF($H1441="Investor Owned",IF(AND(COUNTIF(Parameters!$A$4:$A$33,$G1441)&gt;0,COUNTIF(Parameters!$B$4:$B$33,$B1441)=0),"procurement","cost_service"),"unclassified"))))))</f>
        <v>cost_service</v>
      </c>
    </row>
    <row r="1442" spans="1:26" x14ac:dyDescent="0.25">
      <c r="A1442">
        <v>2024</v>
      </c>
      <c r="B1442">
        <v>20394</v>
      </c>
      <c r="C1442" t="s">
        <v>1320</v>
      </c>
      <c r="D1442" t="s">
        <v>84</v>
      </c>
      <c r="E1442" t="s">
        <v>85</v>
      </c>
      <c r="F1442" t="s">
        <v>86</v>
      </c>
      <c r="G1442" t="s">
        <v>87</v>
      </c>
      <c r="H1442" t="s">
        <v>88</v>
      </c>
      <c r="I1442" t="s">
        <v>89</v>
      </c>
      <c r="J1442">
        <v>4220</v>
      </c>
      <c r="K1442">
        <v>34496</v>
      </c>
      <c r="L1442">
        <v>2978</v>
      </c>
      <c r="M1442">
        <v>5369</v>
      </c>
      <c r="N1442">
        <v>39562</v>
      </c>
      <c r="O1442">
        <v>860</v>
      </c>
      <c r="P1442">
        <v>3006</v>
      </c>
      <c r="Q1442">
        <v>39697</v>
      </c>
      <c r="R1442">
        <v>2</v>
      </c>
      <c r="S1442">
        <v>0</v>
      </c>
      <c r="T1442">
        <v>0</v>
      </c>
      <c r="U1442">
        <v>0</v>
      </c>
      <c r="V1442">
        <v>12595</v>
      </c>
      <c r="W1442">
        <v>113755</v>
      </c>
      <c r="X1442">
        <v>3840</v>
      </c>
      <c r="Y1442">
        <f t="shared" si="22"/>
        <v>113755</v>
      </c>
      <c r="Z1442" t="str">
        <f>IF(ISNUMBER(SEARCH("Adjustment",$C1442)),"excluded",IF($H1442="Behind the Meter","excluded",IF(NOT(OR($E1442="Bundled",$E1442="Energy")),"excluded",IF(OR($H1442="Retail Power Marketer",$H1442="Community Choice Aggregator",$E1442="Energy"),"procurement",IF(OR($H1442="Municipal",$H1442="Cooperative",$H1442="Federal",$H1442="State",$H1442="Political Subdivision"),"cost_service",IF($H1442="Investor Owned",IF(AND(COUNTIF(Parameters!$A$4:$A$33,$G1442)&gt;0,COUNTIF(Parameters!$B$4:$B$33,$B1442)=0),"procurement","cost_service"),"unclassified"))))))</f>
        <v>cost_service</v>
      </c>
    </row>
    <row r="1443" spans="1:26" x14ac:dyDescent="0.25">
      <c r="A1443">
        <v>2024</v>
      </c>
      <c r="B1443">
        <v>20401</v>
      </c>
      <c r="C1443" t="s">
        <v>1321</v>
      </c>
      <c r="D1443" t="s">
        <v>84</v>
      </c>
      <c r="E1443" t="s">
        <v>85</v>
      </c>
      <c r="F1443" t="s">
        <v>86</v>
      </c>
      <c r="G1443" t="s">
        <v>224</v>
      </c>
      <c r="H1443" t="s">
        <v>91</v>
      </c>
      <c r="I1443" t="s">
        <v>135</v>
      </c>
      <c r="J1443">
        <v>28264</v>
      </c>
      <c r="K1443">
        <v>198316</v>
      </c>
      <c r="L1443">
        <v>18423</v>
      </c>
      <c r="M1443">
        <v>13356</v>
      </c>
      <c r="N1443">
        <v>102611</v>
      </c>
      <c r="O1443">
        <v>2228</v>
      </c>
      <c r="P1443">
        <v>3797</v>
      </c>
      <c r="Q1443">
        <v>36394</v>
      </c>
      <c r="R1443">
        <v>23</v>
      </c>
      <c r="S1443">
        <v>0</v>
      </c>
      <c r="T1443">
        <v>0</v>
      </c>
      <c r="U1443">
        <v>0</v>
      </c>
      <c r="V1443">
        <v>45417</v>
      </c>
      <c r="W1443">
        <v>337321</v>
      </c>
      <c r="X1443">
        <v>20674</v>
      </c>
      <c r="Y1443">
        <f t="shared" si="22"/>
        <v>337321</v>
      </c>
      <c r="Z1443" t="str">
        <f>IF(ISNUMBER(SEARCH("Adjustment",$C1443)),"excluded",IF($H1443="Behind the Meter","excluded",IF(NOT(OR($E1443="Bundled",$E1443="Energy")),"excluded",IF(OR($H1443="Retail Power Marketer",$H1443="Community Choice Aggregator",$E1443="Energy"),"procurement",IF(OR($H1443="Municipal",$H1443="Cooperative",$H1443="Federal",$H1443="State",$H1443="Political Subdivision"),"cost_service",IF($H1443="Investor Owned",IF(AND(COUNTIF(Parameters!$A$4:$A$33,$G1443)&gt;0,COUNTIF(Parameters!$B$4:$B$33,$B1443)=0),"procurement","cost_service"),"unclassified"))))))</f>
        <v>cost_service</v>
      </c>
    </row>
    <row r="1444" spans="1:26" x14ac:dyDescent="0.25">
      <c r="A1444">
        <v>2024</v>
      </c>
      <c r="B1444">
        <v>20413</v>
      </c>
      <c r="C1444" t="s">
        <v>1322</v>
      </c>
      <c r="D1444" t="s">
        <v>84</v>
      </c>
      <c r="E1444" t="s">
        <v>85</v>
      </c>
      <c r="F1444" t="s">
        <v>86</v>
      </c>
      <c r="G1444" t="s">
        <v>198</v>
      </c>
      <c r="H1444" t="s">
        <v>91</v>
      </c>
      <c r="I1444" t="s">
        <v>135</v>
      </c>
      <c r="J1444">
        <v>14090.4</v>
      </c>
      <c r="K1444">
        <v>194599</v>
      </c>
      <c r="L1444">
        <v>11405</v>
      </c>
      <c r="M1444">
        <v>85895.8</v>
      </c>
      <c r="N1444">
        <v>1632610</v>
      </c>
      <c r="O1444">
        <v>2651</v>
      </c>
      <c r="P1444">
        <v>346441.4</v>
      </c>
      <c r="Q1444">
        <v>4471060</v>
      </c>
      <c r="R1444">
        <v>4987</v>
      </c>
      <c r="S1444" t="s">
        <v>97</v>
      </c>
      <c r="T1444" t="s">
        <v>97</v>
      </c>
      <c r="U1444" t="s">
        <v>97</v>
      </c>
      <c r="V1444">
        <v>446427.6</v>
      </c>
      <c r="W1444">
        <v>6298269</v>
      </c>
      <c r="X1444">
        <v>19043</v>
      </c>
      <c r="Y1444">
        <f t="shared" si="22"/>
        <v>6298269</v>
      </c>
      <c r="Z1444" t="str">
        <f>IF(ISNUMBER(SEARCH("Adjustment",$C1444)),"excluded",IF($H1444="Behind the Meter","excluded",IF(NOT(OR($E1444="Bundled",$E1444="Energy")),"excluded",IF(OR($H1444="Retail Power Marketer",$H1444="Community Choice Aggregator",$E1444="Energy"),"procurement",IF(OR($H1444="Municipal",$H1444="Cooperative",$H1444="Federal",$H1444="State",$H1444="Political Subdivision"),"cost_service",IF($H1444="Investor Owned",IF(AND(COUNTIF(Parameters!$A$4:$A$33,$G1444)&gt;0,COUNTIF(Parameters!$B$4:$B$33,$B1444)=0),"procurement","cost_service"),"unclassified"))))))</f>
        <v>cost_service</v>
      </c>
    </row>
    <row r="1445" spans="1:26" x14ac:dyDescent="0.25">
      <c r="A1445">
        <v>2024</v>
      </c>
      <c r="B1445">
        <v>20434</v>
      </c>
      <c r="C1445" t="s">
        <v>1323</v>
      </c>
      <c r="D1445" t="s">
        <v>84</v>
      </c>
      <c r="E1445" t="s">
        <v>85</v>
      </c>
      <c r="F1445" t="s">
        <v>86</v>
      </c>
      <c r="G1445" t="s">
        <v>95</v>
      </c>
      <c r="H1445" t="s">
        <v>88</v>
      </c>
      <c r="I1445" t="s">
        <v>96</v>
      </c>
      <c r="J1445">
        <v>964.4</v>
      </c>
      <c r="K1445">
        <v>8376</v>
      </c>
      <c r="L1445">
        <v>1054</v>
      </c>
      <c r="M1445">
        <v>1693.4</v>
      </c>
      <c r="N1445">
        <v>16145</v>
      </c>
      <c r="O1445">
        <v>221</v>
      </c>
      <c r="P1445">
        <v>0</v>
      </c>
      <c r="Q1445">
        <v>0</v>
      </c>
      <c r="R1445">
        <v>0</v>
      </c>
      <c r="S1445">
        <v>0</v>
      </c>
      <c r="T1445">
        <v>0</v>
      </c>
      <c r="U1445">
        <v>0</v>
      </c>
      <c r="V1445">
        <v>2657.8</v>
      </c>
      <c r="W1445">
        <v>24521</v>
      </c>
      <c r="X1445">
        <v>1275</v>
      </c>
      <c r="Y1445">
        <f t="shared" si="22"/>
        <v>24521</v>
      </c>
      <c r="Z1445" t="str">
        <f>IF(ISNUMBER(SEARCH("Adjustment",$C1445)),"excluded",IF($H1445="Behind the Meter","excluded",IF(NOT(OR($E1445="Bundled",$E1445="Energy")),"excluded",IF(OR($H1445="Retail Power Marketer",$H1445="Community Choice Aggregator",$E1445="Energy"),"procurement",IF(OR($H1445="Municipal",$H1445="Cooperative",$H1445="Federal",$H1445="State",$H1445="Political Subdivision"),"cost_service",IF($H1445="Investor Owned",IF(AND(COUNTIF(Parameters!$A$4:$A$33,$G1445)&gt;0,COUNTIF(Parameters!$B$4:$B$33,$B1445)=0),"procurement","cost_service"),"unclassified"))))))</f>
        <v>cost_service</v>
      </c>
    </row>
    <row r="1446" spans="1:26" x14ac:dyDescent="0.25">
      <c r="A1446">
        <v>2024</v>
      </c>
      <c r="B1446">
        <v>20472</v>
      </c>
      <c r="C1446" t="s">
        <v>1324</v>
      </c>
      <c r="D1446" t="s">
        <v>84</v>
      </c>
      <c r="E1446" t="s">
        <v>85</v>
      </c>
      <c r="F1446" t="s">
        <v>86</v>
      </c>
      <c r="G1446" t="s">
        <v>57</v>
      </c>
      <c r="H1446" t="s">
        <v>91</v>
      </c>
      <c r="I1446" t="s">
        <v>151</v>
      </c>
      <c r="J1446">
        <v>9899</v>
      </c>
      <c r="K1446">
        <v>74044</v>
      </c>
      <c r="L1446">
        <v>5548</v>
      </c>
      <c r="M1446">
        <v>7168</v>
      </c>
      <c r="N1446">
        <v>60493</v>
      </c>
      <c r="O1446">
        <v>1108</v>
      </c>
      <c r="P1446">
        <v>9270</v>
      </c>
      <c r="Q1446">
        <v>112212</v>
      </c>
      <c r="R1446">
        <v>17</v>
      </c>
      <c r="S1446" t="s">
        <v>97</v>
      </c>
      <c r="T1446" t="s">
        <v>97</v>
      </c>
      <c r="U1446" t="s">
        <v>97</v>
      </c>
      <c r="V1446">
        <v>26337</v>
      </c>
      <c r="W1446">
        <v>246749</v>
      </c>
      <c r="X1446">
        <v>6673</v>
      </c>
      <c r="Y1446">
        <f t="shared" si="22"/>
        <v>246749</v>
      </c>
      <c r="Z1446" t="str">
        <f>IF(ISNUMBER(SEARCH("Adjustment",$C1446)),"excluded",IF($H1446="Behind the Meter","excluded",IF(NOT(OR($E1446="Bundled",$E1446="Energy")),"excluded",IF(OR($H1446="Retail Power Marketer",$H1446="Community Choice Aggregator",$E1446="Energy"),"procurement",IF(OR($H1446="Municipal",$H1446="Cooperative",$H1446="Federal",$H1446="State",$H1446="Political Subdivision"),"cost_service",IF($H1446="Investor Owned",IF(AND(COUNTIF(Parameters!$A$4:$A$33,$G1446)&gt;0,COUNTIF(Parameters!$B$4:$B$33,$B1446)=0),"procurement","cost_service"),"unclassified"))))))</f>
        <v>cost_service</v>
      </c>
    </row>
    <row r="1447" spans="1:26" x14ac:dyDescent="0.25">
      <c r="A1447">
        <v>2024</v>
      </c>
      <c r="B1447">
        <v>20476</v>
      </c>
      <c r="C1447" t="s">
        <v>1325</v>
      </c>
      <c r="D1447" t="s">
        <v>84</v>
      </c>
      <c r="E1447" t="s">
        <v>85</v>
      </c>
      <c r="F1447" t="s">
        <v>86</v>
      </c>
      <c r="G1447" t="s">
        <v>134</v>
      </c>
      <c r="H1447" t="s">
        <v>91</v>
      </c>
      <c r="I1447" t="s">
        <v>135</v>
      </c>
      <c r="J1447">
        <v>8498.2999999999993</v>
      </c>
      <c r="K1447">
        <v>59961</v>
      </c>
      <c r="L1447">
        <v>5799</v>
      </c>
      <c r="M1447">
        <v>24777.1</v>
      </c>
      <c r="N1447">
        <v>269367</v>
      </c>
      <c r="O1447">
        <v>5797</v>
      </c>
      <c r="P1447">
        <v>1541</v>
      </c>
      <c r="Q1447">
        <v>11558</v>
      </c>
      <c r="R1447">
        <v>480</v>
      </c>
      <c r="S1447" t="s">
        <v>97</v>
      </c>
      <c r="T1447" t="s">
        <v>97</v>
      </c>
      <c r="U1447" t="s">
        <v>97</v>
      </c>
      <c r="V1447">
        <v>34816.400000000001</v>
      </c>
      <c r="W1447">
        <v>340886</v>
      </c>
      <c r="X1447">
        <v>12076</v>
      </c>
      <c r="Y1447">
        <f t="shared" si="22"/>
        <v>340886</v>
      </c>
      <c r="Z1447" t="str">
        <f>IF(ISNUMBER(SEARCH("Adjustment",$C1447)),"excluded",IF($H1447="Behind the Meter","excluded",IF(NOT(OR($E1447="Bundled",$E1447="Energy")),"excluded",IF(OR($H1447="Retail Power Marketer",$H1447="Community Choice Aggregator",$E1447="Energy"),"procurement",IF(OR($H1447="Municipal",$H1447="Cooperative",$H1447="Federal",$H1447="State",$H1447="Political Subdivision"),"cost_service",IF($H1447="Investor Owned",IF(AND(COUNTIF(Parameters!$A$4:$A$33,$G1447)&gt;0,COUNTIF(Parameters!$B$4:$B$33,$B1447)=0),"procurement","cost_service"),"unclassified"))))))</f>
        <v>cost_service</v>
      </c>
    </row>
    <row r="1448" spans="1:26" x14ac:dyDescent="0.25">
      <c r="A1448">
        <v>2024</v>
      </c>
      <c r="B1448">
        <v>20477</v>
      </c>
      <c r="C1448" t="s">
        <v>1326</v>
      </c>
      <c r="D1448" t="s">
        <v>84</v>
      </c>
      <c r="E1448" t="s">
        <v>85</v>
      </c>
      <c r="F1448" t="s">
        <v>86</v>
      </c>
      <c r="G1448" t="s">
        <v>54</v>
      </c>
      <c r="H1448" t="s">
        <v>88</v>
      </c>
      <c r="I1448" t="s">
        <v>92</v>
      </c>
      <c r="J1448">
        <v>22950</v>
      </c>
      <c r="K1448">
        <v>173993</v>
      </c>
      <c r="L1448">
        <v>15713</v>
      </c>
      <c r="M1448">
        <v>31186</v>
      </c>
      <c r="N1448">
        <v>260296</v>
      </c>
      <c r="O1448">
        <v>2252</v>
      </c>
      <c r="P1448">
        <v>1507</v>
      </c>
      <c r="Q1448">
        <v>15754</v>
      </c>
      <c r="R1448">
        <v>1</v>
      </c>
      <c r="S1448" t="s">
        <v>97</v>
      </c>
      <c r="T1448" t="s">
        <v>97</v>
      </c>
      <c r="U1448" t="s">
        <v>97</v>
      </c>
      <c r="V1448">
        <v>55643</v>
      </c>
      <c r="W1448">
        <v>450043</v>
      </c>
      <c r="X1448">
        <v>17966</v>
      </c>
      <c r="Y1448">
        <f t="shared" si="22"/>
        <v>450043</v>
      </c>
      <c r="Z1448" t="str">
        <f>IF(ISNUMBER(SEARCH("Adjustment",$C1448)),"excluded",IF($H1448="Behind the Meter","excluded",IF(NOT(OR($E1448="Bundled",$E1448="Energy")),"excluded",IF(OR($H1448="Retail Power Marketer",$H1448="Community Choice Aggregator",$E1448="Energy"),"procurement",IF(OR($H1448="Municipal",$H1448="Cooperative",$H1448="Federal",$H1448="State",$H1448="Political Subdivision"),"cost_service",IF($H1448="Investor Owned",IF(AND(COUNTIF(Parameters!$A$4:$A$33,$G1448)&gt;0,COUNTIF(Parameters!$B$4:$B$33,$B1448)=0),"procurement","cost_service"),"unclassified"))))))</f>
        <v>cost_service</v>
      </c>
    </row>
    <row r="1449" spans="1:26" x14ac:dyDescent="0.25">
      <c r="A1449">
        <v>2024</v>
      </c>
      <c r="B1449">
        <v>20481</v>
      </c>
      <c r="C1449" t="s">
        <v>1327</v>
      </c>
      <c r="D1449" t="s">
        <v>84</v>
      </c>
      <c r="E1449" t="s">
        <v>85</v>
      </c>
      <c r="F1449" t="s">
        <v>86</v>
      </c>
      <c r="G1449" t="s">
        <v>48</v>
      </c>
      <c r="H1449" t="s">
        <v>88</v>
      </c>
      <c r="I1449" t="s">
        <v>189</v>
      </c>
      <c r="J1449">
        <v>22857</v>
      </c>
      <c r="K1449">
        <v>129962</v>
      </c>
      <c r="L1449">
        <v>16200</v>
      </c>
      <c r="M1449">
        <v>20379</v>
      </c>
      <c r="N1449">
        <v>100674</v>
      </c>
      <c r="O1449">
        <v>2078</v>
      </c>
      <c r="P1449">
        <v>21601</v>
      </c>
      <c r="Q1449">
        <v>121574</v>
      </c>
      <c r="R1449">
        <v>66</v>
      </c>
      <c r="S1449" t="s">
        <v>97</v>
      </c>
      <c r="T1449" t="s">
        <v>97</v>
      </c>
      <c r="U1449" t="s">
        <v>97</v>
      </c>
      <c r="V1449">
        <v>64837</v>
      </c>
      <c r="W1449">
        <v>352210</v>
      </c>
      <c r="X1449">
        <v>18344</v>
      </c>
      <c r="Y1449">
        <f t="shared" si="22"/>
        <v>352210</v>
      </c>
      <c r="Z1449" t="str">
        <f>IF(ISNUMBER(SEARCH("Adjustment",$C1449)),"excluded",IF($H1449="Behind the Meter","excluded",IF(NOT(OR($E1449="Bundled",$E1449="Energy")),"excluded",IF(OR($H1449="Retail Power Marketer",$H1449="Community Choice Aggregator",$E1449="Energy"),"procurement",IF(OR($H1449="Municipal",$H1449="Cooperative",$H1449="Federal",$H1449="State",$H1449="Political Subdivision"),"cost_service",IF($H1449="Investor Owned",IF(AND(COUNTIF(Parameters!$A$4:$A$33,$G1449)&gt;0,COUNTIF(Parameters!$B$4:$B$33,$B1449)=0),"procurement","cost_service"),"unclassified"))))))</f>
        <v>cost_service</v>
      </c>
    </row>
    <row r="1450" spans="1:26" x14ac:dyDescent="0.25">
      <c r="A1450">
        <v>2024</v>
      </c>
      <c r="B1450">
        <v>20510</v>
      </c>
      <c r="C1450" t="s">
        <v>1328</v>
      </c>
      <c r="D1450" t="s">
        <v>84</v>
      </c>
      <c r="E1450" t="s">
        <v>85</v>
      </c>
      <c r="F1450" t="s">
        <v>86</v>
      </c>
      <c r="G1450" t="s">
        <v>361</v>
      </c>
      <c r="H1450" t="s">
        <v>91</v>
      </c>
      <c r="I1450" t="s">
        <v>135</v>
      </c>
      <c r="J1450">
        <v>27</v>
      </c>
      <c r="K1450">
        <v>147</v>
      </c>
      <c r="L1450">
        <v>31</v>
      </c>
      <c r="M1450">
        <v>116</v>
      </c>
      <c r="N1450">
        <v>675</v>
      </c>
      <c r="O1450">
        <v>28</v>
      </c>
      <c r="P1450" t="s">
        <v>97</v>
      </c>
      <c r="Q1450" t="s">
        <v>97</v>
      </c>
      <c r="R1450" t="s">
        <v>97</v>
      </c>
      <c r="S1450" t="s">
        <v>97</v>
      </c>
      <c r="T1450" t="s">
        <v>97</v>
      </c>
      <c r="U1450" t="s">
        <v>97</v>
      </c>
      <c r="V1450">
        <v>143</v>
      </c>
      <c r="W1450">
        <v>822</v>
      </c>
      <c r="X1450">
        <v>59</v>
      </c>
      <c r="Y1450">
        <f t="shared" si="22"/>
        <v>822</v>
      </c>
      <c r="Z1450" t="str">
        <f>IF(ISNUMBER(SEARCH("Adjustment",$C1450)),"excluded",IF($H1450="Behind the Meter","excluded",IF(NOT(OR($E1450="Bundled",$E1450="Energy")),"excluded",IF(OR($H1450="Retail Power Marketer",$H1450="Community Choice Aggregator",$E1450="Energy"),"procurement",IF(OR($H1450="Municipal",$H1450="Cooperative",$H1450="Federal",$H1450="State",$H1450="Political Subdivision"),"cost_service",IF($H1450="Investor Owned",IF(AND(COUNTIF(Parameters!$A$4:$A$33,$G1450)&gt;0,COUNTIF(Parameters!$B$4:$B$33,$B1450)=0),"procurement","cost_service"),"unclassified"))))))</f>
        <v>cost_service</v>
      </c>
    </row>
    <row r="1451" spans="1:26" x14ac:dyDescent="0.25">
      <c r="A1451">
        <v>2024</v>
      </c>
      <c r="B1451">
        <v>20510</v>
      </c>
      <c r="C1451" t="s">
        <v>1328</v>
      </c>
      <c r="D1451" t="s">
        <v>84</v>
      </c>
      <c r="E1451" t="s">
        <v>85</v>
      </c>
      <c r="F1451" t="s">
        <v>86</v>
      </c>
      <c r="G1451" t="s">
        <v>134</v>
      </c>
      <c r="H1451" t="s">
        <v>91</v>
      </c>
      <c r="I1451" t="s">
        <v>135</v>
      </c>
      <c r="J1451">
        <v>29574</v>
      </c>
      <c r="K1451">
        <v>211767</v>
      </c>
      <c r="L1451">
        <v>20118</v>
      </c>
      <c r="M1451">
        <v>54215</v>
      </c>
      <c r="N1451">
        <v>495614</v>
      </c>
      <c r="O1451">
        <v>10900</v>
      </c>
      <c r="P1451">
        <v>8667</v>
      </c>
      <c r="Q1451">
        <v>80382</v>
      </c>
      <c r="R1451">
        <v>1291</v>
      </c>
      <c r="S1451" t="s">
        <v>97</v>
      </c>
      <c r="T1451" t="s">
        <v>97</v>
      </c>
      <c r="U1451" t="s">
        <v>97</v>
      </c>
      <c r="V1451">
        <v>92456</v>
      </c>
      <c r="W1451">
        <v>787763</v>
      </c>
      <c r="X1451">
        <v>32309</v>
      </c>
      <c r="Y1451">
        <f t="shared" si="22"/>
        <v>787763</v>
      </c>
      <c r="Z1451" t="str">
        <f>IF(ISNUMBER(SEARCH("Adjustment",$C1451)),"excluded",IF($H1451="Behind the Meter","excluded",IF(NOT(OR($E1451="Bundled",$E1451="Energy")),"excluded",IF(OR($H1451="Retail Power Marketer",$H1451="Community Choice Aggregator",$E1451="Energy"),"procurement",IF(OR($H1451="Municipal",$H1451="Cooperative",$H1451="Federal",$H1451="State",$H1451="Political Subdivision"),"cost_service",IF($H1451="Investor Owned",IF(AND(COUNTIF(Parameters!$A$4:$A$33,$G1451)&gt;0,COUNTIF(Parameters!$B$4:$B$33,$B1451)=0),"procurement","cost_service"),"unclassified"))))))</f>
        <v>cost_service</v>
      </c>
    </row>
    <row r="1452" spans="1:26" x14ac:dyDescent="0.25">
      <c r="A1452">
        <v>2024</v>
      </c>
      <c r="B1452">
        <v>20521</v>
      </c>
      <c r="C1452" t="s">
        <v>1329</v>
      </c>
      <c r="D1452" t="s">
        <v>84</v>
      </c>
      <c r="E1452" t="s">
        <v>85</v>
      </c>
      <c r="F1452" t="s">
        <v>86</v>
      </c>
      <c r="G1452" t="s">
        <v>166</v>
      </c>
      <c r="H1452" t="s">
        <v>109</v>
      </c>
      <c r="I1452" t="s">
        <v>92</v>
      </c>
      <c r="J1452">
        <v>64787</v>
      </c>
      <c r="K1452">
        <v>372163</v>
      </c>
      <c r="L1452">
        <v>34392</v>
      </c>
      <c r="M1452">
        <v>46831</v>
      </c>
      <c r="N1452">
        <v>377859</v>
      </c>
      <c r="O1452">
        <v>6411</v>
      </c>
      <c r="P1452">
        <v>301447</v>
      </c>
      <c r="Q1452">
        <v>4213488</v>
      </c>
      <c r="R1452">
        <v>437</v>
      </c>
      <c r="S1452" t="s">
        <v>97</v>
      </c>
      <c r="T1452" t="s">
        <v>97</v>
      </c>
      <c r="U1452" t="s">
        <v>97</v>
      </c>
      <c r="V1452">
        <v>413065</v>
      </c>
      <c r="W1452">
        <v>4963510</v>
      </c>
      <c r="X1452">
        <v>41240</v>
      </c>
      <c r="Y1452">
        <f t="shared" si="22"/>
        <v>4963510</v>
      </c>
      <c r="Z1452" t="str">
        <f>IF(ISNUMBER(SEARCH("Adjustment",$C1452)),"excluded",IF($H1452="Behind the Meter","excluded",IF(NOT(OR($E1452="Bundled",$E1452="Energy")),"excluded",IF(OR($H1452="Retail Power Marketer",$H1452="Community Choice Aggregator",$E1452="Energy"),"procurement",IF(OR($H1452="Municipal",$H1452="Cooperative",$H1452="Federal",$H1452="State",$H1452="Political Subdivision"),"cost_service",IF($H1452="Investor Owned",IF(AND(COUNTIF(Parameters!$A$4:$A$33,$G1452)&gt;0,COUNTIF(Parameters!$B$4:$B$33,$B1452)=0),"procurement","cost_service"),"unclassified"))))))</f>
        <v>cost_service</v>
      </c>
    </row>
    <row r="1453" spans="1:26" x14ac:dyDescent="0.25">
      <c r="A1453">
        <v>2024</v>
      </c>
      <c r="B1453">
        <v>20574</v>
      </c>
      <c r="C1453" t="s">
        <v>1330</v>
      </c>
      <c r="D1453" t="s">
        <v>84</v>
      </c>
      <c r="E1453" t="s">
        <v>85</v>
      </c>
      <c r="F1453" t="s">
        <v>86</v>
      </c>
      <c r="G1453" t="s">
        <v>226</v>
      </c>
      <c r="H1453" t="s">
        <v>91</v>
      </c>
      <c r="I1453" t="s">
        <v>227</v>
      </c>
      <c r="J1453">
        <v>69622</v>
      </c>
      <c r="K1453">
        <v>486769</v>
      </c>
      <c r="L1453">
        <v>39216</v>
      </c>
      <c r="M1453">
        <v>30996</v>
      </c>
      <c r="N1453">
        <v>246665</v>
      </c>
      <c r="O1453">
        <v>8863</v>
      </c>
      <c r="P1453">
        <v>5391</v>
      </c>
      <c r="Q1453">
        <v>56878</v>
      </c>
      <c r="R1453">
        <v>10</v>
      </c>
      <c r="S1453" t="s">
        <v>97</v>
      </c>
      <c r="T1453" t="s">
        <v>97</v>
      </c>
      <c r="U1453" t="s">
        <v>97</v>
      </c>
      <c r="V1453">
        <v>106009</v>
      </c>
      <c r="W1453">
        <v>790312</v>
      </c>
      <c r="X1453">
        <v>48089</v>
      </c>
      <c r="Y1453">
        <f t="shared" si="22"/>
        <v>790312</v>
      </c>
      <c r="Z1453" t="str">
        <f>IF(ISNUMBER(SEARCH("Adjustment",$C1453)),"excluded",IF($H1453="Behind the Meter","excluded",IF(NOT(OR($E1453="Bundled",$E1453="Energy")),"excluded",IF(OR($H1453="Retail Power Marketer",$H1453="Community Choice Aggregator",$E1453="Energy"),"procurement",IF(OR($H1453="Municipal",$H1453="Cooperative",$H1453="Federal",$H1453="State",$H1453="Political Subdivision"),"cost_service",IF($H1453="Investor Owned",IF(AND(COUNTIF(Parameters!$A$4:$A$33,$G1453)&gt;0,COUNTIF(Parameters!$B$4:$B$33,$B1453)=0),"procurement","cost_service"),"unclassified"))))))</f>
        <v>cost_service</v>
      </c>
    </row>
    <row r="1454" spans="1:26" x14ac:dyDescent="0.25">
      <c r="A1454">
        <v>2024</v>
      </c>
      <c r="B1454">
        <v>20576</v>
      </c>
      <c r="C1454" t="s">
        <v>1331</v>
      </c>
      <c r="D1454" t="s">
        <v>84</v>
      </c>
      <c r="E1454" t="s">
        <v>85</v>
      </c>
      <c r="F1454" t="s">
        <v>86</v>
      </c>
      <c r="G1454" t="s">
        <v>361</v>
      </c>
      <c r="H1454" t="s">
        <v>91</v>
      </c>
      <c r="I1454" t="s">
        <v>259</v>
      </c>
      <c r="J1454">
        <v>3047.8</v>
      </c>
      <c r="K1454">
        <v>22111</v>
      </c>
      <c r="L1454">
        <v>2633</v>
      </c>
      <c r="M1454">
        <v>3339.7</v>
      </c>
      <c r="N1454">
        <v>27891</v>
      </c>
      <c r="O1454">
        <v>759</v>
      </c>
      <c r="P1454">
        <v>40223.300000000003</v>
      </c>
      <c r="Q1454">
        <v>481136</v>
      </c>
      <c r="R1454">
        <v>93</v>
      </c>
      <c r="S1454" t="s">
        <v>97</v>
      </c>
      <c r="T1454" t="s">
        <v>97</v>
      </c>
      <c r="U1454" t="s">
        <v>97</v>
      </c>
      <c r="V1454">
        <v>46610.8</v>
      </c>
      <c r="W1454">
        <v>531138</v>
      </c>
      <c r="X1454">
        <v>3485</v>
      </c>
      <c r="Y1454">
        <f t="shared" si="22"/>
        <v>531138</v>
      </c>
      <c r="Z1454" t="str">
        <f>IF(ISNUMBER(SEARCH("Adjustment",$C1454)),"excluded",IF($H1454="Behind the Meter","excluded",IF(NOT(OR($E1454="Bundled",$E1454="Energy")),"excluded",IF(OR($H1454="Retail Power Marketer",$H1454="Community Choice Aggregator",$E1454="Energy"),"procurement",IF(OR($H1454="Municipal",$H1454="Cooperative",$H1454="Federal",$H1454="State",$H1454="Political Subdivision"),"cost_service",IF($H1454="Investor Owned",IF(AND(COUNTIF(Parameters!$A$4:$A$33,$G1454)&gt;0,COUNTIF(Parameters!$B$4:$B$33,$B1454)=0),"procurement","cost_service"),"unclassified"))))))</f>
        <v>cost_service</v>
      </c>
    </row>
    <row r="1455" spans="1:26" x14ac:dyDescent="0.25">
      <c r="A1455">
        <v>2024</v>
      </c>
      <c r="B1455">
        <v>20583</v>
      </c>
      <c r="C1455" t="s">
        <v>1332</v>
      </c>
      <c r="D1455" t="s">
        <v>84</v>
      </c>
      <c r="E1455" t="s">
        <v>85</v>
      </c>
      <c r="F1455" t="s">
        <v>86</v>
      </c>
      <c r="G1455" t="s">
        <v>95</v>
      </c>
      <c r="H1455" t="s">
        <v>88</v>
      </c>
      <c r="I1455" t="s">
        <v>96</v>
      </c>
      <c r="J1455">
        <v>756.9</v>
      </c>
      <c r="K1455">
        <v>6156</v>
      </c>
      <c r="L1455">
        <v>778</v>
      </c>
      <c r="M1455">
        <v>1943.2</v>
      </c>
      <c r="N1455">
        <v>20094</v>
      </c>
      <c r="O1455">
        <v>184</v>
      </c>
      <c r="P1455">
        <v>518.4</v>
      </c>
      <c r="Q1455">
        <v>5988</v>
      </c>
      <c r="R1455">
        <v>1</v>
      </c>
      <c r="S1455">
        <v>0</v>
      </c>
      <c r="T1455">
        <v>0</v>
      </c>
      <c r="U1455">
        <v>0</v>
      </c>
      <c r="V1455">
        <v>3218.5</v>
      </c>
      <c r="W1455">
        <v>32238</v>
      </c>
      <c r="X1455">
        <v>963</v>
      </c>
      <c r="Y1455">
        <f t="shared" si="22"/>
        <v>32238</v>
      </c>
      <c r="Z1455" t="str">
        <f>IF(ISNUMBER(SEARCH("Adjustment",$C1455)),"excluded",IF($H1455="Behind the Meter","excluded",IF(NOT(OR($E1455="Bundled",$E1455="Energy")),"excluded",IF(OR($H1455="Retail Power Marketer",$H1455="Community Choice Aggregator",$E1455="Energy"),"procurement",IF(OR($H1455="Municipal",$H1455="Cooperative",$H1455="Federal",$H1455="State",$H1455="Political Subdivision"),"cost_service",IF($H1455="Investor Owned",IF(AND(COUNTIF(Parameters!$A$4:$A$33,$G1455)&gt;0,COUNTIF(Parameters!$B$4:$B$33,$B1455)=0),"procurement","cost_service"),"unclassified"))))))</f>
        <v>cost_service</v>
      </c>
    </row>
    <row r="1456" spans="1:26" x14ac:dyDescent="0.25">
      <c r="A1456">
        <v>2024</v>
      </c>
      <c r="B1456">
        <v>20603</v>
      </c>
      <c r="C1456" t="s">
        <v>1333</v>
      </c>
      <c r="D1456" t="s">
        <v>84</v>
      </c>
      <c r="E1456" t="s">
        <v>85</v>
      </c>
      <c r="F1456" t="s">
        <v>86</v>
      </c>
      <c r="G1456" t="s">
        <v>130</v>
      </c>
      <c r="H1456" t="s">
        <v>91</v>
      </c>
      <c r="I1456" t="s">
        <v>92</v>
      </c>
      <c r="J1456">
        <v>54890</v>
      </c>
      <c r="K1456">
        <v>366913</v>
      </c>
      <c r="L1456">
        <v>30610</v>
      </c>
      <c r="M1456">
        <v>23599</v>
      </c>
      <c r="N1456">
        <v>185453</v>
      </c>
      <c r="O1456">
        <v>2096</v>
      </c>
      <c r="P1456">
        <v>52811</v>
      </c>
      <c r="Q1456">
        <v>1160541</v>
      </c>
      <c r="R1456">
        <v>7</v>
      </c>
      <c r="S1456" t="s">
        <v>97</v>
      </c>
      <c r="T1456" t="s">
        <v>97</v>
      </c>
      <c r="U1456" t="s">
        <v>97</v>
      </c>
      <c r="V1456">
        <v>131300</v>
      </c>
      <c r="W1456">
        <v>1712907</v>
      </c>
      <c r="X1456">
        <v>32713</v>
      </c>
      <c r="Y1456">
        <f t="shared" si="22"/>
        <v>1712907</v>
      </c>
      <c r="Z1456" t="str">
        <f>IF(ISNUMBER(SEARCH("Adjustment",$C1456)),"excluded",IF($H1456="Behind the Meter","excluded",IF(NOT(OR($E1456="Bundled",$E1456="Energy")),"excluded",IF(OR($H1456="Retail Power Marketer",$H1456="Community Choice Aggregator",$E1456="Energy"),"procurement",IF(OR($H1456="Municipal",$H1456="Cooperative",$H1456="Federal",$H1456="State",$H1456="Political Subdivision"),"cost_service",IF($H1456="Investor Owned",IF(AND(COUNTIF(Parameters!$A$4:$A$33,$G1456)&gt;0,COUNTIF(Parameters!$B$4:$B$33,$B1456)=0),"procurement","cost_service"),"unclassified"))))))</f>
        <v>cost_service</v>
      </c>
    </row>
    <row r="1457" spans="1:26" x14ac:dyDescent="0.25">
      <c r="A1457">
        <v>2024</v>
      </c>
      <c r="B1457">
        <v>20639</v>
      </c>
      <c r="C1457" t="s">
        <v>1334</v>
      </c>
      <c r="D1457" t="s">
        <v>84</v>
      </c>
      <c r="E1457" t="s">
        <v>85</v>
      </c>
      <c r="F1457" t="s">
        <v>86</v>
      </c>
      <c r="G1457" t="s">
        <v>104</v>
      </c>
      <c r="H1457" t="s">
        <v>91</v>
      </c>
      <c r="I1457" t="s">
        <v>96</v>
      </c>
      <c r="J1457">
        <v>28119</v>
      </c>
      <c r="K1457">
        <v>196012</v>
      </c>
      <c r="L1457">
        <v>13948</v>
      </c>
      <c r="M1457">
        <v>6036.6</v>
      </c>
      <c r="N1457">
        <v>52376</v>
      </c>
      <c r="O1457">
        <v>849</v>
      </c>
      <c r="P1457">
        <v>987.7</v>
      </c>
      <c r="Q1457">
        <v>10833</v>
      </c>
      <c r="R1457">
        <v>4</v>
      </c>
      <c r="S1457" t="s">
        <v>97</v>
      </c>
      <c r="T1457" t="s">
        <v>97</v>
      </c>
      <c r="U1457" t="s">
        <v>97</v>
      </c>
      <c r="V1457">
        <v>35143.300000000003</v>
      </c>
      <c r="W1457">
        <v>259221</v>
      </c>
      <c r="X1457">
        <v>14801</v>
      </c>
      <c r="Y1457">
        <f t="shared" si="22"/>
        <v>259221</v>
      </c>
      <c r="Z1457" t="str">
        <f>IF(ISNUMBER(SEARCH("Adjustment",$C1457)),"excluded",IF($H1457="Behind the Meter","excluded",IF(NOT(OR($E1457="Bundled",$E1457="Energy")),"excluded",IF(OR($H1457="Retail Power Marketer",$H1457="Community Choice Aggregator",$E1457="Energy"),"procurement",IF(OR($H1457="Municipal",$H1457="Cooperative",$H1457="Federal",$H1457="State",$H1457="Political Subdivision"),"cost_service",IF($H1457="Investor Owned",IF(AND(COUNTIF(Parameters!$A$4:$A$33,$G1457)&gt;0,COUNTIF(Parameters!$B$4:$B$33,$B1457)=0),"procurement","cost_service"),"unclassified"))))))</f>
        <v>cost_service</v>
      </c>
    </row>
    <row r="1458" spans="1:26" x14ac:dyDescent="0.25">
      <c r="A1458">
        <v>2024</v>
      </c>
      <c r="B1458">
        <v>20659</v>
      </c>
      <c r="C1458" t="s">
        <v>1335</v>
      </c>
      <c r="D1458" t="s">
        <v>99</v>
      </c>
      <c r="E1458" t="s">
        <v>100</v>
      </c>
      <c r="F1458" t="s">
        <v>86</v>
      </c>
      <c r="G1458" t="s">
        <v>42</v>
      </c>
      <c r="H1458" t="s">
        <v>101</v>
      </c>
      <c r="I1458" t="s">
        <v>92</v>
      </c>
      <c r="J1458">
        <v>3127</v>
      </c>
      <c r="K1458">
        <v>24091</v>
      </c>
      <c r="L1458">
        <v>3222</v>
      </c>
      <c r="M1458">
        <v>107474</v>
      </c>
      <c r="N1458">
        <v>1154459</v>
      </c>
      <c r="O1458">
        <v>2419</v>
      </c>
      <c r="P1458">
        <v>0</v>
      </c>
      <c r="Q1458">
        <v>0</v>
      </c>
      <c r="R1458">
        <v>0</v>
      </c>
      <c r="S1458">
        <v>0</v>
      </c>
      <c r="T1458">
        <v>0</v>
      </c>
      <c r="U1458">
        <v>0</v>
      </c>
      <c r="V1458">
        <v>110601</v>
      </c>
      <c r="W1458">
        <v>1178550</v>
      </c>
      <c r="X1458">
        <v>5641</v>
      </c>
      <c r="Y1458">
        <f t="shared" si="22"/>
        <v>1178550</v>
      </c>
      <c r="Z1458" t="str">
        <f>IF(ISNUMBER(SEARCH("Adjustment",$C1458)),"excluded",IF($H1458="Behind the Meter","excluded",IF(NOT(OR($E1458="Bundled",$E1458="Energy")),"excluded",IF(OR($H1458="Retail Power Marketer",$H1458="Community Choice Aggregator",$E1458="Energy"),"procurement",IF(OR($H1458="Municipal",$H1458="Cooperative",$H1458="Federal",$H1458="State",$H1458="Political Subdivision"),"cost_service",IF($H1458="Investor Owned",IF(AND(COUNTIF(Parameters!$A$4:$A$33,$G1458)&gt;0,COUNTIF(Parameters!$B$4:$B$33,$B1458)=0),"procurement","cost_service"),"unclassified"))))))</f>
        <v>procurement</v>
      </c>
    </row>
    <row r="1459" spans="1:26" x14ac:dyDescent="0.25">
      <c r="A1459">
        <v>2024</v>
      </c>
      <c r="B1459">
        <v>20659</v>
      </c>
      <c r="C1459" t="s">
        <v>1335</v>
      </c>
      <c r="D1459" t="s">
        <v>99</v>
      </c>
      <c r="E1459" t="s">
        <v>100</v>
      </c>
      <c r="F1459" t="s">
        <v>86</v>
      </c>
      <c r="G1459" t="s">
        <v>44</v>
      </c>
      <c r="H1459" t="s">
        <v>101</v>
      </c>
      <c r="I1459" t="s">
        <v>92</v>
      </c>
      <c r="J1459">
        <v>1855</v>
      </c>
      <c r="K1459">
        <v>17907</v>
      </c>
      <c r="L1459">
        <v>1995</v>
      </c>
      <c r="M1459">
        <v>45654</v>
      </c>
      <c r="N1459">
        <v>549418</v>
      </c>
      <c r="O1459">
        <v>3599</v>
      </c>
      <c r="P1459">
        <v>0</v>
      </c>
      <c r="Q1459">
        <v>0</v>
      </c>
      <c r="R1459">
        <v>0</v>
      </c>
      <c r="S1459">
        <v>0</v>
      </c>
      <c r="T1459">
        <v>0</v>
      </c>
      <c r="U1459">
        <v>0</v>
      </c>
      <c r="V1459">
        <v>47509</v>
      </c>
      <c r="W1459">
        <v>567325</v>
      </c>
      <c r="X1459">
        <v>5594</v>
      </c>
      <c r="Y1459">
        <f t="shared" si="22"/>
        <v>567325</v>
      </c>
      <c r="Z1459" t="str">
        <f>IF(ISNUMBER(SEARCH("Adjustment",$C1459)),"excluded",IF($H1459="Behind the Meter","excluded",IF(NOT(OR($E1459="Bundled",$E1459="Energy")),"excluded",IF(OR($H1459="Retail Power Marketer",$H1459="Community Choice Aggregator",$E1459="Energy"),"procurement",IF(OR($H1459="Municipal",$H1459="Cooperative",$H1459="Federal",$H1459="State",$H1459="Political Subdivision"),"cost_service",IF($H1459="Investor Owned",IF(AND(COUNTIF(Parameters!$A$4:$A$33,$G1459)&gt;0,COUNTIF(Parameters!$B$4:$B$33,$B1459)=0),"procurement","cost_service"),"unclassified"))))))</f>
        <v>procurement</v>
      </c>
    </row>
    <row r="1460" spans="1:26" x14ac:dyDescent="0.25">
      <c r="A1460">
        <v>2024</v>
      </c>
      <c r="B1460">
        <v>20659</v>
      </c>
      <c r="C1460" t="s">
        <v>1335</v>
      </c>
      <c r="D1460" t="s">
        <v>99</v>
      </c>
      <c r="E1460" t="s">
        <v>100</v>
      </c>
      <c r="F1460" t="s">
        <v>86</v>
      </c>
      <c r="G1460" t="s">
        <v>49</v>
      </c>
      <c r="H1460" t="s">
        <v>101</v>
      </c>
      <c r="I1460" t="s">
        <v>92</v>
      </c>
      <c r="J1460">
        <v>28848</v>
      </c>
      <c r="K1460">
        <v>260066</v>
      </c>
      <c r="L1460">
        <v>27043</v>
      </c>
      <c r="M1460">
        <v>404466</v>
      </c>
      <c r="N1460">
        <v>5357204</v>
      </c>
      <c r="O1460">
        <v>16191</v>
      </c>
      <c r="P1460">
        <v>0</v>
      </c>
      <c r="Q1460">
        <v>0</v>
      </c>
      <c r="R1460">
        <v>0</v>
      </c>
      <c r="S1460">
        <v>18642</v>
      </c>
      <c r="T1460">
        <v>225104</v>
      </c>
      <c r="U1460">
        <v>2</v>
      </c>
      <c r="V1460">
        <v>451956</v>
      </c>
      <c r="W1460">
        <v>5842374</v>
      </c>
      <c r="X1460">
        <v>43236</v>
      </c>
      <c r="Y1460">
        <f t="shared" si="22"/>
        <v>5842374</v>
      </c>
      <c r="Z1460" t="str">
        <f>IF(ISNUMBER(SEARCH("Adjustment",$C1460)),"excluded",IF($H1460="Behind the Meter","excluded",IF(NOT(OR($E1460="Bundled",$E1460="Energy")),"excluded",IF(OR($H1460="Retail Power Marketer",$H1460="Community Choice Aggregator",$E1460="Energy"),"procurement",IF(OR($H1460="Municipal",$H1460="Cooperative",$H1460="Federal",$H1460="State",$H1460="Political Subdivision"),"cost_service",IF($H1460="Investor Owned",IF(AND(COUNTIF(Parameters!$A$4:$A$33,$G1460)&gt;0,COUNTIF(Parameters!$B$4:$B$33,$B1460)=0),"procurement","cost_service"),"unclassified"))))))</f>
        <v>procurement</v>
      </c>
    </row>
    <row r="1461" spans="1:26" x14ac:dyDescent="0.25">
      <c r="A1461">
        <v>2024</v>
      </c>
      <c r="B1461">
        <v>20659</v>
      </c>
      <c r="C1461" t="s">
        <v>1335</v>
      </c>
      <c r="D1461" t="s">
        <v>99</v>
      </c>
      <c r="E1461" t="s">
        <v>100</v>
      </c>
      <c r="F1461" t="s">
        <v>86</v>
      </c>
      <c r="G1461" t="s">
        <v>54</v>
      </c>
      <c r="H1461" t="s">
        <v>101</v>
      </c>
      <c r="I1461" t="s">
        <v>92</v>
      </c>
      <c r="J1461">
        <v>0</v>
      </c>
      <c r="K1461">
        <v>0</v>
      </c>
      <c r="L1461">
        <v>0</v>
      </c>
      <c r="M1461">
        <v>34356</v>
      </c>
      <c r="N1461">
        <v>620450</v>
      </c>
      <c r="O1461">
        <v>2865</v>
      </c>
      <c r="P1461">
        <v>0</v>
      </c>
      <c r="Q1461">
        <v>0</v>
      </c>
      <c r="R1461">
        <v>0</v>
      </c>
      <c r="S1461">
        <v>0</v>
      </c>
      <c r="T1461">
        <v>0</v>
      </c>
      <c r="U1461">
        <v>0</v>
      </c>
      <c r="V1461">
        <v>34356</v>
      </c>
      <c r="W1461">
        <v>620450</v>
      </c>
      <c r="X1461">
        <v>2865</v>
      </c>
      <c r="Y1461">
        <f t="shared" si="22"/>
        <v>620450</v>
      </c>
      <c r="Z1461" t="str">
        <f>IF(ISNUMBER(SEARCH("Adjustment",$C1461)),"excluded",IF($H1461="Behind the Meter","excluded",IF(NOT(OR($E1461="Bundled",$E1461="Energy")),"excluded",IF(OR($H1461="Retail Power Marketer",$H1461="Community Choice Aggregator",$E1461="Energy"),"procurement",IF(OR($H1461="Municipal",$H1461="Cooperative",$H1461="Federal",$H1461="State",$H1461="Political Subdivision"),"cost_service",IF($H1461="Investor Owned",IF(AND(COUNTIF(Parameters!$A$4:$A$33,$G1461)&gt;0,COUNTIF(Parameters!$B$4:$B$33,$B1461)=0),"procurement","cost_service"),"unclassified"))))))</f>
        <v>procurement</v>
      </c>
    </row>
    <row r="1462" spans="1:26" x14ac:dyDescent="0.25">
      <c r="A1462">
        <v>2024</v>
      </c>
      <c r="B1462">
        <v>20659</v>
      </c>
      <c r="C1462" t="s">
        <v>1335</v>
      </c>
      <c r="D1462" t="s">
        <v>99</v>
      </c>
      <c r="E1462" t="s">
        <v>100</v>
      </c>
      <c r="F1462" t="s">
        <v>86</v>
      </c>
      <c r="G1462" t="s">
        <v>55</v>
      </c>
      <c r="H1462" t="s">
        <v>101</v>
      </c>
      <c r="I1462" t="s">
        <v>92</v>
      </c>
      <c r="J1462">
        <v>6386</v>
      </c>
      <c r="K1462">
        <v>98555</v>
      </c>
      <c r="L1462">
        <v>11403</v>
      </c>
      <c r="M1462">
        <v>313159</v>
      </c>
      <c r="N1462">
        <v>4489731</v>
      </c>
      <c r="O1462">
        <v>21575</v>
      </c>
      <c r="P1462">
        <v>0</v>
      </c>
      <c r="Q1462">
        <v>0</v>
      </c>
      <c r="R1462">
        <v>0</v>
      </c>
      <c r="S1462">
        <v>0</v>
      </c>
      <c r="T1462">
        <v>0</v>
      </c>
      <c r="U1462">
        <v>0</v>
      </c>
      <c r="V1462">
        <v>319545</v>
      </c>
      <c r="W1462">
        <v>4588286</v>
      </c>
      <c r="X1462">
        <v>32978</v>
      </c>
      <c r="Y1462">
        <f t="shared" si="22"/>
        <v>4588286</v>
      </c>
      <c r="Z1462" t="str">
        <f>IF(ISNUMBER(SEARCH("Adjustment",$C1462)),"excluded",IF($H1462="Behind the Meter","excluded",IF(NOT(OR($E1462="Bundled",$E1462="Energy")),"excluded",IF(OR($H1462="Retail Power Marketer",$H1462="Community Choice Aggregator",$E1462="Energy"),"procurement",IF(OR($H1462="Municipal",$H1462="Cooperative",$H1462="Federal",$H1462="State",$H1462="Political Subdivision"),"cost_service",IF($H1462="Investor Owned",IF(AND(COUNTIF(Parameters!$A$4:$A$33,$G1462)&gt;0,COUNTIF(Parameters!$B$4:$B$33,$B1462)=0),"procurement","cost_service"),"unclassified"))))))</f>
        <v>procurement</v>
      </c>
    </row>
    <row r="1463" spans="1:26" x14ac:dyDescent="0.25">
      <c r="A1463">
        <v>2024</v>
      </c>
      <c r="B1463">
        <v>20737</v>
      </c>
      <c r="C1463" t="s">
        <v>1336</v>
      </c>
      <c r="D1463" t="s">
        <v>84</v>
      </c>
      <c r="E1463" t="s">
        <v>85</v>
      </c>
      <c r="F1463" t="s">
        <v>86</v>
      </c>
      <c r="G1463" t="s">
        <v>104</v>
      </c>
      <c r="H1463" t="s">
        <v>88</v>
      </c>
      <c r="I1463" t="s">
        <v>96</v>
      </c>
      <c r="J1463">
        <v>8341</v>
      </c>
      <c r="K1463">
        <v>68300</v>
      </c>
      <c r="L1463">
        <v>8662</v>
      </c>
      <c r="M1463">
        <v>11309</v>
      </c>
      <c r="N1463">
        <v>102569</v>
      </c>
      <c r="O1463">
        <v>1492</v>
      </c>
      <c r="P1463">
        <v>8620</v>
      </c>
      <c r="Q1463">
        <v>94111</v>
      </c>
      <c r="R1463">
        <v>17</v>
      </c>
      <c r="S1463" t="s">
        <v>97</v>
      </c>
      <c r="T1463" t="s">
        <v>97</v>
      </c>
      <c r="U1463" t="s">
        <v>97</v>
      </c>
      <c r="V1463">
        <v>28270</v>
      </c>
      <c r="W1463">
        <v>264980</v>
      </c>
      <c r="X1463">
        <v>10171</v>
      </c>
      <c r="Y1463">
        <f t="shared" si="22"/>
        <v>264980</v>
      </c>
      <c r="Z1463" t="str">
        <f>IF(ISNUMBER(SEARCH("Adjustment",$C1463)),"excluded",IF($H1463="Behind the Meter","excluded",IF(NOT(OR($E1463="Bundled",$E1463="Energy")),"excluded",IF(OR($H1463="Retail Power Marketer",$H1463="Community Choice Aggregator",$E1463="Energy"),"procurement",IF(OR($H1463="Municipal",$H1463="Cooperative",$H1463="Federal",$H1463="State",$H1463="Political Subdivision"),"cost_service",IF($H1463="Investor Owned",IF(AND(COUNTIF(Parameters!$A$4:$A$33,$G1463)&gt;0,COUNTIF(Parameters!$B$4:$B$33,$B1463)=0),"procurement","cost_service"),"unclassified"))))))</f>
        <v>cost_service</v>
      </c>
    </row>
    <row r="1464" spans="1:26" x14ac:dyDescent="0.25">
      <c r="A1464">
        <v>2024</v>
      </c>
      <c r="B1464">
        <v>20785</v>
      </c>
      <c r="C1464" t="s">
        <v>1337</v>
      </c>
      <c r="D1464" t="s">
        <v>84</v>
      </c>
      <c r="E1464" t="s">
        <v>85</v>
      </c>
      <c r="F1464" t="s">
        <v>86</v>
      </c>
      <c r="G1464" t="s">
        <v>125</v>
      </c>
      <c r="H1464" t="s">
        <v>88</v>
      </c>
      <c r="I1464" t="s">
        <v>163</v>
      </c>
      <c r="J1464">
        <v>50589.3</v>
      </c>
      <c r="K1464">
        <v>416897</v>
      </c>
      <c r="L1464">
        <v>32078</v>
      </c>
      <c r="M1464">
        <v>37217.800000000003</v>
      </c>
      <c r="N1464">
        <v>314449</v>
      </c>
      <c r="O1464">
        <v>4628</v>
      </c>
      <c r="P1464">
        <v>32470</v>
      </c>
      <c r="Q1464">
        <v>390176</v>
      </c>
      <c r="R1464">
        <v>45</v>
      </c>
      <c r="S1464" t="s">
        <v>97</v>
      </c>
      <c r="T1464" t="s">
        <v>97</v>
      </c>
      <c r="U1464" t="s">
        <v>97</v>
      </c>
      <c r="V1464">
        <v>120277.1</v>
      </c>
      <c r="W1464">
        <v>1121522</v>
      </c>
      <c r="X1464">
        <v>36751</v>
      </c>
      <c r="Y1464">
        <f t="shared" si="22"/>
        <v>1121522</v>
      </c>
      <c r="Z1464" t="str">
        <f>IF(ISNUMBER(SEARCH("Adjustment",$C1464)),"excluded",IF($H1464="Behind the Meter","excluded",IF(NOT(OR($E1464="Bundled",$E1464="Energy")),"excluded",IF(OR($H1464="Retail Power Marketer",$H1464="Community Choice Aggregator",$E1464="Energy"),"procurement",IF(OR($H1464="Municipal",$H1464="Cooperative",$H1464="Federal",$H1464="State",$H1464="Political Subdivision"),"cost_service",IF($H1464="Investor Owned",IF(AND(COUNTIF(Parameters!$A$4:$A$33,$G1464)&gt;0,COUNTIF(Parameters!$B$4:$B$33,$B1464)=0),"procurement","cost_service"),"unclassified"))))))</f>
        <v>cost_service</v>
      </c>
    </row>
    <row r="1465" spans="1:26" x14ac:dyDescent="0.25">
      <c r="A1465">
        <v>2024</v>
      </c>
      <c r="B1465">
        <v>20793</v>
      </c>
      <c r="C1465" t="s">
        <v>1338</v>
      </c>
      <c r="D1465" t="s">
        <v>84</v>
      </c>
      <c r="E1465" t="s">
        <v>85</v>
      </c>
      <c r="F1465" t="s">
        <v>86</v>
      </c>
      <c r="G1465" t="s">
        <v>156</v>
      </c>
      <c r="H1465" t="s">
        <v>88</v>
      </c>
      <c r="I1465" t="s">
        <v>89</v>
      </c>
      <c r="J1465">
        <v>8272</v>
      </c>
      <c r="K1465">
        <v>70034</v>
      </c>
      <c r="L1465">
        <v>5292</v>
      </c>
      <c r="M1465">
        <v>8749</v>
      </c>
      <c r="N1465">
        <v>72813</v>
      </c>
      <c r="O1465">
        <v>1539</v>
      </c>
      <c r="P1465">
        <v>2756</v>
      </c>
      <c r="Q1465">
        <v>28330</v>
      </c>
      <c r="R1465">
        <v>4</v>
      </c>
      <c r="S1465">
        <v>0</v>
      </c>
      <c r="T1465">
        <v>0</v>
      </c>
      <c r="U1465">
        <v>0</v>
      </c>
      <c r="V1465">
        <v>19777</v>
      </c>
      <c r="W1465">
        <v>171177</v>
      </c>
      <c r="X1465">
        <v>6835</v>
      </c>
      <c r="Y1465">
        <f t="shared" si="22"/>
        <v>171177</v>
      </c>
      <c r="Z1465" t="str">
        <f>IF(ISNUMBER(SEARCH("Adjustment",$C1465)),"excluded",IF($H1465="Behind the Meter","excluded",IF(NOT(OR($E1465="Bundled",$E1465="Energy")),"excluded",IF(OR($H1465="Retail Power Marketer",$H1465="Community Choice Aggregator",$E1465="Energy"),"procurement",IF(OR($H1465="Municipal",$H1465="Cooperative",$H1465="Federal",$H1465="State",$H1465="Political Subdivision"),"cost_service",IF($H1465="Investor Owned",IF(AND(COUNTIF(Parameters!$A$4:$A$33,$G1465)&gt;0,COUNTIF(Parameters!$B$4:$B$33,$B1465)=0),"procurement","cost_service"),"unclassified"))))))</f>
        <v>cost_service</v>
      </c>
    </row>
    <row r="1466" spans="1:26" x14ac:dyDescent="0.25">
      <c r="A1466">
        <v>2024</v>
      </c>
      <c r="B1466">
        <v>20813</v>
      </c>
      <c r="C1466" t="s">
        <v>1339</v>
      </c>
      <c r="D1466" t="s">
        <v>84</v>
      </c>
      <c r="E1466" t="s">
        <v>85</v>
      </c>
      <c r="F1466" t="s">
        <v>86</v>
      </c>
      <c r="G1466" t="s">
        <v>134</v>
      </c>
      <c r="H1466" t="s">
        <v>88</v>
      </c>
      <c r="I1466" t="s">
        <v>135</v>
      </c>
      <c r="J1466">
        <v>8510</v>
      </c>
      <c r="K1466">
        <v>61557</v>
      </c>
      <c r="L1466">
        <v>6284</v>
      </c>
      <c r="M1466">
        <v>8152</v>
      </c>
      <c r="N1466">
        <v>70540</v>
      </c>
      <c r="O1466">
        <v>1244</v>
      </c>
      <c r="P1466">
        <v>6348</v>
      </c>
      <c r="Q1466">
        <v>86312</v>
      </c>
      <c r="R1466">
        <v>23</v>
      </c>
      <c r="S1466" t="s">
        <v>97</v>
      </c>
      <c r="T1466" t="s">
        <v>97</v>
      </c>
      <c r="U1466" t="s">
        <v>97</v>
      </c>
      <c r="V1466">
        <v>23010</v>
      </c>
      <c r="W1466">
        <v>218409</v>
      </c>
      <c r="X1466">
        <v>7551</v>
      </c>
      <c r="Y1466">
        <f t="shared" si="22"/>
        <v>218409</v>
      </c>
      <c r="Z1466" t="str">
        <f>IF(ISNUMBER(SEARCH("Adjustment",$C1466)),"excluded",IF($H1466="Behind the Meter","excluded",IF(NOT(OR($E1466="Bundled",$E1466="Energy")),"excluded",IF(OR($H1466="Retail Power Marketer",$H1466="Community Choice Aggregator",$E1466="Energy"),"procurement",IF(OR($H1466="Municipal",$H1466="Cooperative",$H1466="Federal",$H1466="State",$H1466="Political Subdivision"),"cost_service",IF($H1466="Investor Owned",IF(AND(COUNTIF(Parameters!$A$4:$A$33,$G1466)&gt;0,COUNTIF(Parameters!$B$4:$B$33,$B1466)=0),"procurement","cost_service"),"unclassified"))))))</f>
        <v>cost_service</v>
      </c>
    </row>
    <row r="1467" spans="1:26" x14ac:dyDescent="0.25">
      <c r="A1467">
        <v>2024</v>
      </c>
      <c r="B1467">
        <v>20841</v>
      </c>
      <c r="C1467" t="s">
        <v>1340</v>
      </c>
      <c r="D1467" t="s">
        <v>84</v>
      </c>
      <c r="E1467" t="s">
        <v>85</v>
      </c>
      <c r="F1467" t="s">
        <v>86</v>
      </c>
      <c r="G1467" t="s">
        <v>112</v>
      </c>
      <c r="H1467" t="s">
        <v>91</v>
      </c>
      <c r="I1467" t="s">
        <v>113</v>
      </c>
      <c r="J1467">
        <v>50742</v>
      </c>
      <c r="K1467">
        <v>328360</v>
      </c>
      <c r="L1467">
        <v>22401</v>
      </c>
      <c r="M1467">
        <v>11978</v>
      </c>
      <c r="N1467">
        <v>80675</v>
      </c>
      <c r="O1467">
        <v>4697</v>
      </c>
      <c r="P1467" t="s">
        <v>97</v>
      </c>
      <c r="Q1467" t="s">
        <v>97</v>
      </c>
      <c r="R1467" t="s">
        <v>97</v>
      </c>
      <c r="S1467" t="s">
        <v>97</v>
      </c>
      <c r="T1467" t="s">
        <v>97</v>
      </c>
      <c r="U1467" t="s">
        <v>97</v>
      </c>
      <c r="V1467">
        <v>62720</v>
      </c>
      <c r="W1467">
        <v>409035</v>
      </c>
      <c r="X1467">
        <v>27098</v>
      </c>
      <c r="Y1467">
        <f t="shared" si="22"/>
        <v>409035</v>
      </c>
      <c r="Z1467" t="str">
        <f>IF(ISNUMBER(SEARCH("Adjustment",$C1467)),"excluded",IF($H1467="Behind the Meter","excluded",IF(NOT(OR($E1467="Bundled",$E1467="Energy")),"excluded",IF(OR($H1467="Retail Power Marketer",$H1467="Community Choice Aggregator",$E1467="Energy"),"procurement",IF(OR($H1467="Municipal",$H1467="Cooperative",$H1467="Federal",$H1467="State",$H1467="Political Subdivision"),"cost_service",IF($H1467="Investor Owned",IF(AND(COUNTIF(Parameters!$A$4:$A$33,$G1467)&gt;0,COUNTIF(Parameters!$B$4:$B$33,$B1467)=0),"procurement","cost_service"),"unclassified"))))))</f>
        <v>cost_service</v>
      </c>
    </row>
    <row r="1468" spans="1:26" x14ac:dyDescent="0.25">
      <c r="A1468">
        <v>2024</v>
      </c>
      <c r="B1468">
        <v>20845</v>
      </c>
      <c r="C1468" t="s">
        <v>1341</v>
      </c>
      <c r="D1468" t="s">
        <v>99</v>
      </c>
      <c r="E1468" t="s">
        <v>100</v>
      </c>
      <c r="F1468" t="s">
        <v>86</v>
      </c>
      <c r="G1468" t="s">
        <v>140</v>
      </c>
      <c r="H1468" t="s">
        <v>91</v>
      </c>
      <c r="I1468" t="s">
        <v>96</v>
      </c>
      <c r="J1468">
        <v>0</v>
      </c>
      <c r="K1468">
        <v>0</v>
      </c>
      <c r="L1468">
        <v>0</v>
      </c>
      <c r="M1468">
        <v>13277.4</v>
      </c>
      <c r="N1468">
        <v>182433</v>
      </c>
      <c r="O1468">
        <v>7</v>
      </c>
      <c r="P1468">
        <v>77642.399999999994</v>
      </c>
      <c r="Q1468">
        <v>1234916</v>
      </c>
      <c r="R1468">
        <v>14</v>
      </c>
      <c r="S1468">
        <v>0</v>
      </c>
      <c r="T1468">
        <v>0</v>
      </c>
      <c r="U1468">
        <v>0</v>
      </c>
      <c r="V1468">
        <v>90919.8</v>
      </c>
      <c r="W1468">
        <v>1417349</v>
      </c>
      <c r="X1468">
        <v>21</v>
      </c>
      <c r="Y1468">
        <f t="shared" si="22"/>
        <v>1417349</v>
      </c>
      <c r="Z1468" t="str">
        <f>IF(ISNUMBER(SEARCH("Adjustment",$C1468)),"excluded",IF($H1468="Behind the Meter","excluded",IF(NOT(OR($E1468="Bundled",$E1468="Energy")),"excluded",IF(OR($H1468="Retail Power Marketer",$H1468="Community Choice Aggregator",$E1468="Energy"),"procurement",IF(OR($H1468="Municipal",$H1468="Cooperative",$H1468="Federal",$H1468="State",$H1468="Political Subdivision"),"cost_service",IF($H1468="Investor Owned",IF(AND(COUNTIF(Parameters!$A$4:$A$33,$G1468)&gt;0,COUNTIF(Parameters!$B$4:$B$33,$B1468)=0),"procurement","cost_service"),"unclassified"))))))</f>
        <v>procurement</v>
      </c>
    </row>
    <row r="1469" spans="1:26" x14ac:dyDescent="0.25">
      <c r="A1469">
        <v>2024</v>
      </c>
      <c r="B1469">
        <v>20847</v>
      </c>
      <c r="C1469" t="s">
        <v>1342</v>
      </c>
      <c r="D1469" t="s">
        <v>84</v>
      </c>
      <c r="E1469" t="s">
        <v>85</v>
      </c>
      <c r="F1469" t="s">
        <v>86</v>
      </c>
      <c r="G1469" t="s">
        <v>95</v>
      </c>
      <c r="H1469" t="s">
        <v>109</v>
      </c>
      <c r="I1469" t="s">
        <v>96</v>
      </c>
      <c r="J1469">
        <v>1512017.5</v>
      </c>
      <c r="K1469">
        <v>7861068</v>
      </c>
      <c r="L1469">
        <v>1048148</v>
      </c>
      <c r="M1469">
        <v>1209999.3999999999</v>
      </c>
      <c r="N1469">
        <v>8752660</v>
      </c>
      <c r="O1469">
        <v>121553</v>
      </c>
      <c r="P1469">
        <v>604938</v>
      </c>
      <c r="Q1469">
        <v>6497522</v>
      </c>
      <c r="R1469">
        <v>615</v>
      </c>
      <c r="S1469">
        <v>239.9</v>
      </c>
      <c r="T1469">
        <v>1307</v>
      </c>
      <c r="U1469">
        <v>2</v>
      </c>
      <c r="V1469">
        <v>3327194.8</v>
      </c>
      <c r="W1469">
        <v>23112557</v>
      </c>
      <c r="X1469">
        <v>1170318</v>
      </c>
      <c r="Y1469">
        <f t="shared" si="22"/>
        <v>23112557</v>
      </c>
      <c r="Z1469" t="str">
        <f>IF(ISNUMBER(SEARCH("Adjustment",$C1469)),"excluded",IF($H1469="Behind the Meter","excluded",IF(NOT(OR($E1469="Bundled",$E1469="Energy")),"excluded",IF(OR($H1469="Retail Power Marketer",$H1469="Community Choice Aggregator",$E1469="Energy"),"procurement",IF(OR($H1469="Municipal",$H1469="Cooperative",$H1469="Federal",$H1469="State",$H1469="Political Subdivision"),"cost_service",IF($H1469="Investor Owned",IF(AND(COUNTIF(Parameters!$A$4:$A$33,$G1469)&gt;0,COUNTIF(Parameters!$B$4:$B$33,$B1469)=0),"procurement","cost_service"),"unclassified"))))))</f>
        <v>cost_service</v>
      </c>
    </row>
    <row r="1470" spans="1:26" x14ac:dyDescent="0.25">
      <c r="A1470">
        <v>2024</v>
      </c>
      <c r="B1470">
        <v>20856</v>
      </c>
      <c r="C1470" t="s">
        <v>1343</v>
      </c>
      <c r="D1470" t="s">
        <v>84</v>
      </c>
      <c r="E1470" t="s">
        <v>85</v>
      </c>
      <c r="F1470" t="s">
        <v>86</v>
      </c>
      <c r="G1470" t="s">
        <v>95</v>
      </c>
      <c r="H1470" t="s">
        <v>109</v>
      </c>
      <c r="I1470" t="s">
        <v>96</v>
      </c>
      <c r="J1470">
        <v>596530</v>
      </c>
      <c r="K1470">
        <v>3530976</v>
      </c>
      <c r="L1470">
        <v>437211</v>
      </c>
      <c r="M1470">
        <v>302132</v>
      </c>
      <c r="N1470">
        <v>2354882</v>
      </c>
      <c r="O1470">
        <v>63281</v>
      </c>
      <c r="P1470">
        <v>455118</v>
      </c>
      <c r="Q1470">
        <v>5088387</v>
      </c>
      <c r="R1470">
        <v>1152</v>
      </c>
      <c r="S1470">
        <v>0</v>
      </c>
      <c r="T1470">
        <v>0</v>
      </c>
      <c r="U1470">
        <v>0</v>
      </c>
      <c r="V1470">
        <v>1353780</v>
      </c>
      <c r="W1470">
        <v>10974245</v>
      </c>
      <c r="X1470">
        <v>501644</v>
      </c>
      <c r="Y1470">
        <f t="shared" si="22"/>
        <v>10974245</v>
      </c>
      <c r="Z1470" t="str">
        <f>IF(ISNUMBER(SEARCH("Adjustment",$C1470)),"excluded",IF($H1470="Behind the Meter","excluded",IF(NOT(OR($E1470="Bundled",$E1470="Energy")),"excluded",IF(OR($H1470="Retail Power Marketer",$H1470="Community Choice Aggregator",$E1470="Energy"),"procurement",IF(OR($H1470="Municipal",$H1470="Cooperative",$H1470="Federal",$H1470="State",$H1470="Political Subdivision"),"cost_service",IF($H1470="Investor Owned",IF(AND(COUNTIF(Parameters!$A$4:$A$33,$G1470)&gt;0,COUNTIF(Parameters!$B$4:$B$33,$B1470)=0),"procurement","cost_service"),"unclassified"))))))</f>
        <v>cost_service</v>
      </c>
    </row>
    <row r="1471" spans="1:26" x14ac:dyDescent="0.25">
      <c r="A1471">
        <v>2024</v>
      </c>
      <c r="B1471">
        <v>20860</v>
      </c>
      <c r="C1471" t="s">
        <v>1344</v>
      </c>
      <c r="D1471" t="s">
        <v>84</v>
      </c>
      <c r="E1471" t="s">
        <v>85</v>
      </c>
      <c r="F1471" t="s">
        <v>86</v>
      </c>
      <c r="G1471" t="s">
        <v>95</v>
      </c>
      <c r="H1471" t="s">
        <v>109</v>
      </c>
      <c r="I1471" t="s">
        <v>96</v>
      </c>
      <c r="J1471">
        <v>477309.8</v>
      </c>
      <c r="K1471">
        <v>2940351</v>
      </c>
      <c r="L1471">
        <v>411775</v>
      </c>
      <c r="M1471">
        <v>453690.9</v>
      </c>
      <c r="N1471">
        <v>4051564</v>
      </c>
      <c r="O1471">
        <v>55942</v>
      </c>
      <c r="P1471">
        <v>274041</v>
      </c>
      <c r="Q1471">
        <v>3810867</v>
      </c>
      <c r="R1471">
        <v>193</v>
      </c>
      <c r="S1471">
        <v>0</v>
      </c>
      <c r="T1471">
        <v>0</v>
      </c>
      <c r="U1471">
        <v>0</v>
      </c>
      <c r="V1471">
        <v>1205041.7</v>
      </c>
      <c r="W1471">
        <v>10802782</v>
      </c>
      <c r="X1471">
        <v>467910</v>
      </c>
      <c r="Y1471">
        <f t="shared" si="22"/>
        <v>10802782</v>
      </c>
      <c r="Z1471" t="str">
        <f>IF(ISNUMBER(SEARCH("Adjustment",$C1471)),"excluded",IF($H1471="Behind the Meter","excluded",IF(NOT(OR($E1471="Bundled",$E1471="Energy")),"excluded",IF(OR($H1471="Retail Power Marketer",$H1471="Community Choice Aggregator",$E1471="Energy"),"procurement",IF(OR($H1471="Municipal",$H1471="Cooperative",$H1471="Federal",$H1471="State",$H1471="Political Subdivision"),"cost_service",IF($H1471="Investor Owned",IF(AND(COUNTIF(Parameters!$A$4:$A$33,$G1471)&gt;0,COUNTIF(Parameters!$B$4:$B$33,$B1471)=0),"procurement","cost_service"),"unclassified"))))))</f>
        <v>cost_service</v>
      </c>
    </row>
    <row r="1472" spans="1:26" x14ac:dyDescent="0.25">
      <c r="A1472">
        <v>2024</v>
      </c>
      <c r="B1472">
        <v>20862</v>
      </c>
      <c r="C1472" t="s">
        <v>1345</v>
      </c>
      <c r="D1472" t="s">
        <v>84</v>
      </c>
      <c r="E1472" t="s">
        <v>85</v>
      </c>
      <c r="F1472" t="s">
        <v>86</v>
      </c>
      <c r="G1472" t="s">
        <v>95</v>
      </c>
      <c r="H1472" t="s">
        <v>88</v>
      </c>
      <c r="I1472" t="s">
        <v>96</v>
      </c>
      <c r="J1472">
        <v>12602</v>
      </c>
      <c r="K1472">
        <v>94221</v>
      </c>
      <c r="L1472">
        <v>12395</v>
      </c>
      <c r="M1472">
        <v>13716</v>
      </c>
      <c r="N1472">
        <v>111031</v>
      </c>
      <c r="O1472">
        <v>2167</v>
      </c>
      <c r="P1472">
        <v>4324</v>
      </c>
      <c r="Q1472">
        <v>48336</v>
      </c>
      <c r="R1472">
        <v>6</v>
      </c>
      <c r="S1472" t="s">
        <v>97</v>
      </c>
      <c r="T1472" t="s">
        <v>97</v>
      </c>
      <c r="U1472" t="s">
        <v>97</v>
      </c>
      <c r="V1472">
        <v>30642</v>
      </c>
      <c r="W1472">
        <v>253588</v>
      </c>
      <c r="X1472">
        <v>14568</v>
      </c>
      <c r="Y1472">
        <f t="shared" si="22"/>
        <v>253588</v>
      </c>
      <c r="Z1472" t="str">
        <f>IF(ISNUMBER(SEARCH("Adjustment",$C1472)),"excluded",IF($H1472="Behind the Meter","excluded",IF(NOT(OR($E1472="Bundled",$E1472="Energy")),"excluded",IF(OR($H1472="Retail Power Marketer",$H1472="Community Choice Aggregator",$E1472="Energy"),"procurement",IF(OR($H1472="Municipal",$H1472="Cooperative",$H1472="Federal",$H1472="State",$H1472="Political Subdivision"),"cost_service",IF($H1472="Investor Owned",IF(AND(COUNTIF(Parameters!$A$4:$A$33,$G1472)&gt;0,COUNTIF(Parameters!$B$4:$B$33,$B1472)=0),"procurement","cost_service"),"unclassified"))))))</f>
        <v>cost_service</v>
      </c>
    </row>
    <row r="1473" spans="1:26" x14ac:dyDescent="0.25">
      <c r="A1473">
        <v>2024</v>
      </c>
      <c r="B1473">
        <v>20885</v>
      </c>
      <c r="C1473" t="s">
        <v>1346</v>
      </c>
      <c r="D1473" t="s">
        <v>84</v>
      </c>
      <c r="E1473" t="s">
        <v>85</v>
      </c>
      <c r="F1473" t="s">
        <v>86</v>
      </c>
      <c r="G1473" t="s">
        <v>195</v>
      </c>
      <c r="H1473" t="s">
        <v>91</v>
      </c>
      <c r="I1473" t="s">
        <v>299</v>
      </c>
      <c r="J1473">
        <v>416094.5</v>
      </c>
      <c r="K1473">
        <v>3369193</v>
      </c>
      <c r="L1473">
        <v>229375</v>
      </c>
      <c r="M1473">
        <v>117991.2</v>
      </c>
      <c r="N1473">
        <v>1083177</v>
      </c>
      <c r="O1473">
        <v>28558</v>
      </c>
      <c r="P1473">
        <v>16810.599999999999</v>
      </c>
      <c r="Q1473">
        <v>309972</v>
      </c>
      <c r="R1473">
        <v>1706</v>
      </c>
      <c r="S1473" t="s">
        <v>97</v>
      </c>
      <c r="T1473" t="s">
        <v>97</v>
      </c>
      <c r="U1473" t="s">
        <v>97</v>
      </c>
      <c r="V1473">
        <v>550896.30000000005</v>
      </c>
      <c r="W1473">
        <v>4762342</v>
      </c>
      <c r="X1473">
        <v>259639</v>
      </c>
      <c r="Y1473">
        <f t="shared" si="22"/>
        <v>4762342</v>
      </c>
      <c r="Z1473" t="str">
        <f>IF(ISNUMBER(SEARCH("Adjustment",$C1473)),"excluded",IF($H1473="Behind the Meter","excluded",IF(NOT(OR($E1473="Bundled",$E1473="Energy")),"excluded",IF(OR($H1473="Retail Power Marketer",$H1473="Community Choice Aggregator",$E1473="Energy"),"procurement",IF(OR($H1473="Municipal",$H1473="Cooperative",$H1473="Federal",$H1473="State",$H1473="Political Subdivision"),"cost_service",IF($H1473="Investor Owned",IF(AND(COUNTIF(Parameters!$A$4:$A$33,$G1473)&gt;0,COUNTIF(Parameters!$B$4:$B$33,$B1473)=0),"procurement","cost_service"),"unclassified"))))))</f>
        <v>cost_service</v>
      </c>
    </row>
    <row r="1474" spans="1:26" x14ac:dyDescent="0.25">
      <c r="A1474">
        <v>2024</v>
      </c>
      <c r="B1474">
        <v>20927</v>
      </c>
      <c r="C1474" t="s">
        <v>1347</v>
      </c>
      <c r="D1474" t="s">
        <v>84</v>
      </c>
      <c r="E1474" t="s">
        <v>85</v>
      </c>
      <c r="F1474" t="s">
        <v>86</v>
      </c>
      <c r="G1474" t="s">
        <v>57</v>
      </c>
      <c r="H1474" t="s">
        <v>91</v>
      </c>
      <c r="I1474" t="s">
        <v>135</v>
      </c>
      <c r="J1474">
        <v>59180</v>
      </c>
      <c r="K1474">
        <v>461399</v>
      </c>
      <c r="L1474">
        <v>35793</v>
      </c>
      <c r="M1474">
        <v>26341</v>
      </c>
      <c r="N1474">
        <v>294249</v>
      </c>
      <c r="O1474">
        <v>5736</v>
      </c>
      <c r="P1474" t="s">
        <v>97</v>
      </c>
      <c r="Q1474" t="s">
        <v>97</v>
      </c>
      <c r="R1474" t="s">
        <v>97</v>
      </c>
      <c r="S1474" t="s">
        <v>97</v>
      </c>
      <c r="T1474" t="s">
        <v>97</v>
      </c>
      <c r="U1474" t="s">
        <v>97</v>
      </c>
      <c r="V1474">
        <v>85521</v>
      </c>
      <c r="W1474">
        <v>755648</v>
      </c>
      <c r="X1474">
        <v>41529</v>
      </c>
      <c r="Y1474">
        <f t="shared" si="22"/>
        <v>755648</v>
      </c>
      <c r="Z1474" t="str">
        <f>IF(ISNUMBER(SEARCH("Adjustment",$C1474)),"excluded",IF($H1474="Behind the Meter","excluded",IF(NOT(OR($E1474="Bundled",$E1474="Energy")),"excluded",IF(OR($H1474="Retail Power Marketer",$H1474="Community Choice Aggregator",$E1474="Energy"),"procurement",IF(OR($H1474="Municipal",$H1474="Cooperative",$H1474="Federal",$H1474="State",$H1474="Political Subdivision"),"cost_service",IF($H1474="Investor Owned",IF(AND(COUNTIF(Parameters!$A$4:$A$33,$G1474)&gt;0,COUNTIF(Parameters!$B$4:$B$33,$B1474)=0),"procurement","cost_service"),"unclassified"))))))</f>
        <v>cost_service</v>
      </c>
    </row>
    <row r="1475" spans="1:26" x14ac:dyDescent="0.25">
      <c r="A1475">
        <v>2024</v>
      </c>
      <c r="B1475">
        <v>20948</v>
      </c>
      <c r="C1475" t="s">
        <v>1348</v>
      </c>
      <c r="D1475" t="s">
        <v>84</v>
      </c>
      <c r="E1475" t="s">
        <v>85</v>
      </c>
      <c r="F1475" t="s">
        <v>86</v>
      </c>
      <c r="G1475" t="s">
        <v>57</v>
      </c>
      <c r="H1475" t="s">
        <v>91</v>
      </c>
      <c r="I1475" t="s">
        <v>151</v>
      </c>
      <c r="J1475">
        <v>54686</v>
      </c>
      <c r="K1475">
        <v>351373</v>
      </c>
      <c r="L1475">
        <v>20137</v>
      </c>
      <c r="M1475">
        <v>45026</v>
      </c>
      <c r="N1475">
        <v>403269</v>
      </c>
      <c r="O1475">
        <v>6597</v>
      </c>
      <c r="P1475" t="s">
        <v>97</v>
      </c>
      <c r="Q1475" t="s">
        <v>97</v>
      </c>
      <c r="R1475" t="s">
        <v>97</v>
      </c>
      <c r="S1475" t="s">
        <v>97</v>
      </c>
      <c r="T1475" t="s">
        <v>97</v>
      </c>
      <c r="U1475" t="s">
        <v>97</v>
      </c>
      <c r="V1475">
        <v>99712</v>
      </c>
      <c r="W1475">
        <v>754642</v>
      </c>
      <c r="X1475">
        <v>26734</v>
      </c>
      <c r="Y1475">
        <f t="shared" si="22"/>
        <v>754642</v>
      </c>
      <c r="Z1475" t="str">
        <f>IF(ISNUMBER(SEARCH("Adjustment",$C1475)),"excluded",IF($H1475="Behind the Meter","excluded",IF(NOT(OR($E1475="Bundled",$E1475="Energy")),"excluded",IF(OR($H1475="Retail Power Marketer",$H1475="Community Choice Aggregator",$E1475="Energy"),"procurement",IF(OR($H1475="Municipal",$H1475="Cooperative",$H1475="Federal",$H1475="State",$H1475="Political Subdivision"),"cost_service",IF($H1475="Investor Owned",IF(AND(COUNTIF(Parameters!$A$4:$A$33,$G1475)&gt;0,COUNTIF(Parameters!$B$4:$B$33,$B1475)=0),"procurement","cost_service"),"unclassified"))))))</f>
        <v>cost_service</v>
      </c>
    </row>
    <row r="1476" spans="1:26" x14ac:dyDescent="0.25">
      <c r="A1476">
        <v>2024</v>
      </c>
      <c r="B1476">
        <v>20963</v>
      </c>
      <c r="C1476" t="s">
        <v>1349</v>
      </c>
      <c r="D1476" t="s">
        <v>84</v>
      </c>
      <c r="E1476" t="s">
        <v>85</v>
      </c>
      <c r="F1476" t="s">
        <v>86</v>
      </c>
      <c r="G1476" t="s">
        <v>173</v>
      </c>
      <c r="H1476" t="s">
        <v>91</v>
      </c>
      <c r="I1476" t="s">
        <v>96</v>
      </c>
      <c r="J1476">
        <v>19123.2</v>
      </c>
      <c r="K1476">
        <v>167759</v>
      </c>
      <c r="L1476">
        <v>12125</v>
      </c>
      <c r="M1476">
        <v>13508.7</v>
      </c>
      <c r="N1476">
        <v>137507</v>
      </c>
      <c r="O1476">
        <v>1533</v>
      </c>
      <c r="P1476">
        <v>22703.8</v>
      </c>
      <c r="Q1476">
        <v>104725</v>
      </c>
      <c r="R1476">
        <v>6366</v>
      </c>
      <c r="S1476" t="s">
        <v>97</v>
      </c>
      <c r="T1476" t="s">
        <v>97</v>
      </c>
      <c r="U1476" t="s">
        <v>97</v>
      </c>
      <c r="V1476">
        <v>55335.7</v>
      </c>
      <c r="W1476">
        <v>409991</v>
      </c>
      <c r="X1476">
        <v>20024</v>
      </c>
      <c r="Y1476">
        <f t="shared" ref="Y1476:Y1539" si="23">IF(ISNUMBER($W1476),$W1476,0)</f>
        <v>409991</v>
      </c>
      <c r="Z1476" t="str">
        <f>IF(ISNUMBER(SEARCH("Adjustment",$C1476)),"excluded",IF($H1476="Behind the Meter","excluded",IF(NOT(OR($E1476="Bundled",$E1476="Energy")),"excluded",IF(OR($H1476="Retail Power Marketer",$H1476="Community Choice Aggregator",$E1476="Energy"),"procurement",IF(OR($H1476="Municipal",$H1476="Cooperative",$H1476="Federal",$H1476="State",$H1476="Political Subdivision"),"cost_service",IF($H1476="Investor Owned",IF(AND(COUNTIF(Parameters!$A$4:$A$33,$G1476)&gt;0,COUNTIF(Parameters!$B$4:$B$33,$B1476)=0),"procurement","cost_service"),"unclassified"))))))</f>
        <v>cost_service</v>
      </c>
    </row>
    <row r="1477" spans="1:26" x14ac:dyDescent="0.25">
      <c r="A1477">
        <v>2024</v>
      </c>
      <c r="B1477">
        <v>20996</v>
      </c>
      <c r="C1477" t="s">
        <v>1350</v>
      </c>
      <c r="D1477" t="s">
        <v>84</v>
      </c>
      <c r="E1477" t="s">
        <v>85</v>
      </c>
      <c r="F1477" t="s">
        <v>86</v>
      </c>
      <c r="G1477" t="s">
        <v>104</v>
      </c>
      <c r="H1477" t="s">
        <v>91</v>
      </c>
      <c r="I1477" t="s">
        <v>96</v>
      </c>
      <c r="J1477">
        <v>84339.7</v>
      </c>
      <c r="K1477">
        <v>578061</v>
      </c>
      <c r="L1477">
        <v>53714</v>
      </c>
      <c r="M1477">
        <v>31457.8</v>
      </c>
      <c r="N1477">
        <v>272150</v>
      </c>
      <c r="O1477">
        <v>2455</v>
      </c>
      <c r="P1477">
        <v>4828.1000000000004</v>
      </c>
      <c r="Q1477">
        <v>47318</v>
      </c>
      <c r="R1477">
        <v>110</v>
      </c>
      <c r="S1477">
        <v>0</v>
      </c>
      <c r="T1477">
        <v>0</v>
      </c>
      <c r="U1477">
        <v>0</v>
      </c>
      <c r="V1477">
        <v>120625.60000000001</v>
      </c>
      <c r="W1477">
        <v>897529</v>
      </c>
      <c r="X1477">
        <v>56279</v>
      </c>
      <c r="Y1477">
        <f t="shared" si="23"/>
        <v>897529</v>
      </c>
      <c r="Z1477" t="str">
        <f>IF(ISNUMBER(SEARCH("Adjustment",$C1477)),"excluded",IF($H1477="Behind the Meter","excluded",IF(NOT(OR($E1477="Bundled",$E1477="Energy")),"excluded",IF(OR($H1477="Retail Power Marketer",$H1477="Community Choice Aggregator",$E1477="Energy"),"procurement",IF(OR($H1477="Municipal",$H1477="Cooperative",$H1477="Federal",$H1477="State",$H1477="Political Subdivision"),"cost_service",IF($H1477="Investor Owned",IF(AND(COUNTIF(Parameters!$A$4:$A$33,$G1477)&gt;0,COUNTIF(Parameters!$B$4:$B$33,$B1477)=0),"procurement","cost_service"),"unclassified"))))))</f>
        <v>cost_service</v>
      </c>
    </row>
    <row r="1478" spans="1:26" x14ac:dyDescent="0.25">
      <c r="A1478">
        <v>2024</v>
      </c>
      <c r="B1478">
        <v>20997</v>
      </c>
      <c r="C1478" t="s">
        <v>1351</v>
      </c>
      <c r="D1478" t="s">
        <v>84</v>
      </c>
      <c r="E1478" t="s">
        <v>85</v>
      </c>
      <c r="F1478" t="s">
        <v>86</v>
      </c>
      <c r="G1478" t="s">
        <v>491</v>
      </c>
      <c r="H1478" t="s">
        <v>91</v>
      </c>
      <c r="I1478" t="s">
        <v>559</v>
      </c>
      <c r="J1478">
        <v>30655</v>
      </c>
      <c r="K1478">
        <v>229678</v>
      </c>
      <c r="L1478">
        <v>21182</v>
      </c>
      <c r="M1478">
        <v>9466</v>
      </c>
      <c r="N1478">
        <v>73279</v>
      </c>
      <c r="O1478">
        <v>1859</v>
      </c>
      <c r="P1478">
        <v>1170</v>
      </c>
      <c r="Q1478">
        <v>9497</v>
      </c>
      <c r="R1478">
        <v>255</v>
      </c>
      <c r="S1478" t="s">
        <v>97</v>
      </c>
      <c r="T1478" t="s">
        <v>97</v>
      </c>
      <c r="U1478" t="s">
        <v>97</v>
      </c>
      <c r="V1478">
        <v>41291</v>
      </c>
      <c r="W1478">
        <v>312454</v>
      </c>
      <c r="X1478">
        <v>23296</v>
      </c>
      <c r="Y1478">
        <f t="shared" si="23"/>
        <v>312454</v>
      </c>
      <c r="Z1478" t="str">
        <f>IF(ISNUMBER(SEARCH("Adjustment",$C1478)),"excluded",IF($H1478="Behind the Meter","excluded",IF(NOT(OR($E1478="Bundled",$E1478="Energy")),"excluded",IF(OR($H1478="Retail Power Marketer",$H1478="Community Choice Aggregator",$E1478="Energy"),"procurement",IF(OR($H1478="Municipal",$H1478="Cooperative",$H1478="Federal",$H1478="State",$H1478="Political Subdivision"),"cost_service",IF($H1478="Investor Owned",IF(AND(COUNTIF(Parameters!$A$4:$A$33,$G1478)&gt;0,COUNTIF(Parameters!$B$4:$B$33,$B1478)=0),"procurement","cost_service"),"unclassified"))))))</f>
        <v>cost_service</v>
      </c>
    </row>
    <row r="1479" spans="1:26" x14ac:dyDescent="0.25">
      <c r="A1479">
        <v>2024</v>
      </c>
      <c r="B1479">
        <v>21002</v>
      </c>
      <c r="C1479" t="s">
        <v>1352</v>
      </c>
      <c r="D1479" t="s">
        <v>84</v>
      </c>
      <c r="E1479" t="s">
        <v>85</v>
      </c>
      <c r="F1479" t="s">
        <v>86</v>
      </c>
      <c r="G1479" t="s">
        <v>125</v>
      </c>
      <c r="H1479" t="s">
        <v>91</v>
      </c>
      <c r="I1479" t="s">
        <v>126</v>
      </c>
      <c r="J1479">
        <v>31</v>
      </c>
      <c r="K1479">
        <v>251</v>
      </c>
      <c r="L1479">
        <v>15</v>
      </c>
      <c r="M1479">
        <v>15</v>
      </c>
      <c r="N1479">
        <v>126</v>
      </c>
      <c r="O1479">
        <v>2</v>
      </c>
      <c r="P1479" t="s">
        <v>97</v>
      </c>
      <c r="Q1479" t="s">
        <v>97</v>
      </c>
      <c r="R1479" t="s">
        <v>97</v>
      </c>
      <c r="S1479" t="s">
        <v>97</v>
      </c>
      <c r="T1479" t="s">
        <v>97</v>
      </c>
      <c r="U1479" t="s">
        <v>97</v>
      </c>
      <c r="V1479">
        <v>46</v>
      </c>
      <c r="W1479">
        <v>377</v>
      </c>
      <c r="X1479">
        <v>17</v>
      </c>
      <c r="Y1479">
        <f t="shared" si="23"/>
        <v>377</v>
      </c>
      <c r="Z1479" t="str">
        <f>IF(ISNUMBER(SEARCH("Adjustment",$C1479)),"excluded",IF($H1479="Behind the Meter","excluded",IF(NOT(OR($E1479="Bundled",$E1479="Energy")),"excluded",IF(OR($H1479="Retail Power Marketer",$H1479="Community Choice Aggregator",$E1479="Energy"),"procurement",IF(OR($H1479="Municipal",$H1479="Cooperative",$H1479="Federal",$H1479="State",$H1479="Political Subdivision"),"cost_service",IF($H1479="Investor Owned",IF(AND(COUNTIF(Parameters!$A$4:$A$33,$G1479)&gt;0,COUNTIF(Parameters!$B$4:$B$33,$B1479)=0),"procurement","cost_service"),"unclassified"))))))</f>
        <v>cost_service</v>
      </c>
    </row>
    <row r="1480" spans="1:26" x14ac:dyDescent="0.25">
      <c r="A1480">
        <v>2024</v>
      </c>
      <c r="B1480">
        <v>21002</v>
      </c>
      <c r="C1480" t="s">
        <v>1352</v>
      </c>
      <c r="D1480" t="s">
        <v>84</v>
      </c>
      <c r="E1480" t="s">
        <v>85</v>
      </c>
      <c r="F1480" t="s">
        <v>86</v>
      </c>
      <c r="G1480" t="s">
        <v>106</v>
      </c>
      <c r="H1480" t="s">
        <v>91</v>
      </c>
      <c r="I1480" t="s">
        <v>126</v>
      </c>
      <c r="J1480">
        <v>106977</v>
      </c>
      <c r="K1480">
        <v>845442</v>
      </c>
      <c r="L1480">
        <v>65244</v>
      </c>
      <c r="M1480">
        <v>30976</v>
      </c>
      <c r="N1480">
        <v>257703</v>
      </c>
      <c r="O1480">
        <v>5041</v>
      </c>
      <c r="P1480">
        <v>7443</v>
      </c>
      <c r="Q1480">
        <v>74091</v>
      </c>
      <c r="R1480">
        <v>28</v>
      </c>
      <c r="S1480" t="s">
        <v>97</v>
      </c>
      <c r="T1480" t="s">
        <v>97</v>
      </c>
      <c r="U1480" t="s">
        <v>97</v>
      </c>
      <c r="V1480">
        <v>145396</v>
      </c>
      <c r="W1480">
        <v>1177236</v>
      </c>
      <c r="X1480">
        <v>70313</v>
      </c>
      <c r="Y1480">
        <f t="shared" si="23"/>
        <v>1177236</v>
      </c>
      <c r="Z1480" t="str">
        <f>IF(ISNUMBER(SEARCH("Adjustment",$C1480)),"excluded",IF($H1480="Behind the Meter","excluded",IF(NOT(OR($E1480="Bundled",$E1480="Energy")),"excluded",IF(OR($H1480="Retail Power Marketer",$H1480="Community Choice Aggregator",$E1480="Energy"),"procurement",IF(OR($H1480="Municipal",$H1480="Cooperative",$H1480="Federal",$H1480="State",$H1480="Political Subdivision"),"cost_service",IF($H1480="Investor Owned",IF(AND(COUNTIF(Parameters!$A$4:$A$33,$G1480)&gt;0,COUNTIF(Parameters!$B$4:$B$33,$B1480)=0),"procurement","cost_service"),"unclassified"))))))</f>
        <v>cost_service</v>
      </c>
    </row>
    <row r="1481" spans="1:26" x14ac:dyDescent="0.25">
      <c r="A1481">
        <v>2024</v>
      </c>
      <c r="B1481">
        <v>21013</v>
      </c>
      <c r="C1481" t="s">
        <v>1353</v>
      </c>
      <c r="D1481" t="s">
        <v>84</v>
      </c>
      <c r="E1481" t="s">
        <v>85</v>
      </c>
      <c r="F1481" t="s">
        <v>86</v>
      </c>
      <c r="G1481" t="s">
        <v>104</v>
      </c>
      <c r="H1481" t="s">
        <v>88</v>
      </c>
      <c r="I1481" t="s">
        <v>96</v>
      </c>
      <c r="J1481">
        <v>4230.2</v>
      </c>
      <c r="K1481">
        <v>35013</v>
      </c>
      <c r="L1481">
        <v>4662</v>
      </c>
      <c r="M1481">
        <v>8401</v>
      </c>
      <c r="N1481">
        <v>84335</v>
      </c>
      <c r="O1481">
        <v>878</v>
      </c>
      <c r="P1481">
        <v>8579.6</v>
      </c>
      <c r="Q1481">
        <v>110098</v>
      </c>
      <c r="R1481">
        <v>1</v>
      </c>
      <c r="S1481" t="s">
        <v>97</v>
      </c>
      <c r="T1481" t="s">
        <v>97</v>
      </c>
      <c r="U1481" t="s">
        <v>97</v>
      </c>
      <c r="V1481">
        <v>21210.799999999999</v>
      </c>
      <c r="W1481">
        <v>229446</v>
      </c>
      <c r="X1481">
        <v>5541</v>
      </c>
      <c r="Y1481">
        <f t="shared" si="23"/>
        <v>229446</v>
      </c>
      <c r="Z1481" t="str">
        <f>IF(ISNUMBER(SEARCH("Adjustment",$C1481)),"excluded",IF($H1481="Behind the Meter","excluded",IF(NOT(OR($E1481="Bundled",$E1481="Energy")),"excluded",IF(OR($H1481="Retail Power Marketer",$H1481="Community Choice Aggregator",$E1481="Energy"),"procurement",IF(OR($H1481="Municipal",$H1481="Cooperative",$H1481="Federal",$H1481="State",$H1481="Political Subdivision"),"cost_service",IF($H1481="Investor Owned",IF(AND(COUNTIF(Parameters!$A$4:$A$33,$G1481)&gt;0,COUNTIF(Parameters!$B$4:$B$33,$B1481)=0),"procurement","cost_service"),"unclassified"))))))</f>
        <v>cost_service</v>
      </c>
    </row>
    <row r="1482" spans="1:26" x14ac:dyDescent="0.25">
      <c r="A1482">
        <v>2024</v>
      </c>
      <c r="B1482">
        <v>21048</v>
      </c>
      <c r="C1482" t="s">
        <v>1354</v>
      </c>
      <c r="D1482" t="s">
        <v>84</v>
      </c>
      <c r="E1482" t="s">
        <v>85</v>
      </c>
      <c r="F1482" t="s">
        <v>86</v>
      </c>
      <c r="G1482" t="s">
        <v>140</v>
      </c>
      <c r="H1482" t="s">
        <v>88</v>
      </c>
      <c r="I1482" t="s">
        <v>96</v>
      </c>
      <c r="J1482">
        <v>12576.1</v>
      </c>
      <c r="K1482">
        <v>77238</v>
      </c>
      <c r="L1482">
        <v>11730</v>
      </c>
      <c r="M1482">
        <v>8768.2000000000007</v>
      </c>
      <c r="N1482">
        <v>67781</v>
      </c>
      <c r="O1482">
        <v>1124</v>
      </c>
      <c r="P1482">
        <v>10296.299999999999</v>
      </c>
      <c r="Q1482">
        <v>122927</v>
      </c>
      <c r="R1482">
        <v>2</v>
      </c>
      <c r="S1482" t="s">
        <v>97</v>
      </c>
      <c r="T1482" t="s">
        <v>97</v>
      </c>
      <c r="U1482" t="s">
        <v>97</v>
      </c>
      <c r="V1482">
        <v>31640.6</v>
      </c>
      <c r="W1482">
        <v>267946</v>
      </c>
      <c r="X1482">
        <v>12856</v>
      </c>
      <c r="Y1482">
        <f t="shared" si="23"/>
        <v>267946</v>
      </c>
      <c r="Z1482" t="str">
        <f>IF(ISNUMBER(SEARCH("Adjustment",$C1482)),"excluded",IF($H1482="Behind the Meter","excluded",IF(NOT(OR($E1482="Bundled",$E1482="Energy")),"excluded",IF(OR($H1482="Retail Power Marketer",$H1482="Community Choice Aggregator",$E1482="Energy"),"procurement",IF(OR($H1482="Municipal",$H1482="Cooperative",$H1482="Federal",$H1482="State",$H1482="Political Subdivision"),"cost_service",IF($H1482="Investor Owned",IF(AND(COUNTIF(Parameters!$A$4:$A$33,$G1482)&gt;0,COUNTIF(Parameters!$B$4:$B$33,$B1482)=0),"procurement","cost_service"),"unclassified"))))))</f>
        <v>cost_service</v>
      </c>
    </row>
    <row r="1483" spans="1:26" x14ac:dyDescent="0.25">
      <c r="A1483">
        <v>2024</v>
      </c>
      <c r="B1483">
        <v>21075</v>
      </c>
      <c r="C1483" t="s">
        <v>1355</v>
      </c>
      <c r="D1483" t="s">
        <v>84</v>
      </c>
      <c r="E1483" t="s">
        <v>85</v>
      </c>
      <c r="F1483" t="s">
        <v>86</v>
      </c>
      <c r="G1483" t="s">
        <v>361</v>
      </c>
      <c r="H1483" t="s">
        <v>91</v>
      </c>
      <c r="I1483" t="s">
        <v>259</v>
      </c>
      <c r="J1483">
        <v>7130</v>
      </c>
      <c r="K1483">
        <v>45595</v>
      </c>
      <c r="L1483">
        <v>4876</v>
      </c>
      <c r="M1483">
        <v>16812</v>
      </c>
      <c r="N1483">
        <v>164892</v>
      </c>
      <c r="O1483">
        <v>2277</v>
      </c>
      <c r="P1483">
        <v>24790</v>
      </c>
      <c r="Q1483">
        <v>186281</v>
      </c>
      <c r="R1483">
        <v>1678</v>
      </c>
      <c r="S1483" t="s">
        <v>97</v>
      </c>
      <c r="T1483" t="s">
        <v>97</v>
      </c>
      <c r="U1483" t="s">
        <v>97</v>
      </c>
      <c r="V1483">
        <v>48732</v>
      </c>
      <c r="W1483">
        <v>396768</v>
      </c>
      <c r="X1483">
        <v>8831</v>
      </c>
      <c r="Y1483">
        <f t="shared" si="23"/>
        <v>396768</v>
      </c>
      <c r="Z1483" t="str">
        <f>IF(ISNUMBER(SEARCH("Adjustment",$C1483)),"excluded",IF($H1483="Behind the Meter","excluded",IF(NOT(OR($E1483="Bundled",$E1483="Energy")),"excluded",IF(OR($H1483="Retail Power Marketer",$H1483="Community Choice Aggregator",$E1483="Energy"),"procurement",IF(OR($H1483="Municipal",$H1483="Cooperative",$H1483="Federal",$H1483="State",$H1483="Political Subdivision"),"cost_service",IF($H1483="Investor Owned",IF(AND(COUNTIF(Parameters!$A$4:$A$33,$G1483)&gt;0,COUNTIF(Parameters!$B$4:$B$33,$B1483)=0),"procurement","cost_service"),"unclassified"))))))</f>
        <v>cost_service</v>
      </c>
    </row>
    <row r="1484" spans="1:26" x14ac:dyDescent="0.25">
      <c r="A1484">
        <v>2024</v>
      </c>
      <c r="B1484">
        <v>21075</v>
      </c>
      <c r="C1484" t="s">
        <v>1355</v>
      </c>
      <c r="D1484" t="s">
        <v>84</v>
      </c>
      <c r="E1484" t="s">
        <v>85</v>
      </c>
      <c r="F1484" t="s">
        <v>86</v>
      </c>
      <c r="G1484" t="s">
        <v>271</v>
      </c>
      <c r="H1484" t="s">
        <v>91</v>
      </c>
      <c r="I1484" t="s">
        <v>259</v>
      </c>
      <c r="J1484" t="s">
        <v>97</v>
      </c>
      <c r="K1484" t="s">
        <v>97</v>
      </c>
      <c r="L1484" t="s">
        <v>97</v>
      </c>
      <c r="M1484" t="s">
        <v>97</v>
      </c>
      <c r="N1484" t="s">
        <v>97</v>
      </c>
      <c r="O1484" t="s">
        <v>97</v>
      </c>
      <c r="P1484">
        <v>868</v>
      </c>
      <c r="Q1484">
        <v>5030</v>
      </c>
      <c r="R1484">
        <v>72</v>
      </c>
      <c r="S1484" t="s">
        <v>97</v>
      </c>
      <c r="T1484" t="s">
        <v>97</v>
      </c>
      <c r="U1484" t="s">
        <v>97</v>
      </c>
      <c r="V1484">
        <v>868</v>
      </c>
      <c r="W1484">
        <v>5030</v>
      </c>
      <c r="X1484">
        <v>72</v>
      </c>
      <c r="Y1484">
        <f t="shared" si="23"/>
        <v>5030</v>
      </c>
      <c r="Z1484" t="str">
        <f>IF(ISNUMBER(SEARCH("Adjustment",$C1484)),"excluded",IF($H1484="Behind the Meter","excluded",IF(NOT(OR($E1484="Bundled",$E1484="Energy")),"excluded",IF(OR($H1484="Retail Power Marketer",$H1484="Community Choice Aggregator",$E1484="Energy"),"procurement",IF(OR($H1484="Municipal",$H1484="Cooperative",$H1484="Federal",$H1484="State",$H1484="Political Subdivision"),"cost_service",IF($H1484="Investor Owned",IF(AND(COUNTIF(Parameters!$A$4:$A$33,$G1484)&gt;0,COUNTIF(Parameters!$B$4:$B$33,$B1484)=0),"procurement","cost_service"),"unclassified"))))))</f>
        <v>cost_service</v>
      </c>
    </row>
    <row r="1485" spans="1:26" x14ac:dyDescent="0.25">
      <c r="A1485">
        <v>2024</v>
      </c>
      <c r="B1485">
        <v>21081</v>
      </c>
      <c r="C1485" t="s">
        <v>1356</v>
      </c>
      <c r="D1485" t="s">
        <v>84</v>
      </c>
      <c r="E1485" t="s">
        <v>85</v>
      </c>
      <c r="F1485" t="s">
        <v>86</v>
      </c>
      <c r="G1485" t="s">
        <v>361</v>
      </c>
      <c r="H1485" t="s">
        <v>91</v>
      </c>
      <c r="I1485" t="s">
        <v>523</v>
      </c>
      <c r="J1485">
        <v>40452.400000000001</v>
      </c>
      <c r="K1485">
        <v>241331</v>
      </c>
      <c r="L1485">
        <v>23253</v>
      </c>
      <c r="M1485">
        <v>16839.2</v>
      </c>
      <c r="N1485">
        <v>127827</v>
      </c>
      <c r="O1485">
        <v>4518</v>
      </c>
      <c r="P1485">
        <v>13975.7</v>
      </c>
      <c r="Q1485">
        <v>175991</v>
      </c>
      <c r="R1485">
        <v>112</v>
      </c>
      <c r="S1485">
        <v>0</v>
      </c>
      <c r="T1485">
        <v>0</v>
      </c>
      <c r="U1485">
        <v>0</v>
      </c>
      <c r="V1485">
        <v>71267.3</v>
      </c>
      <c r="W1485">
        <v>545149</v>
      </c>
      <c r="X1485">
        <v>27883</v>
      </c>
      <c r="Y1485">
        <f t="shared" si="23"/>
        <v>545149</v>
      </c>
      <c r="Z1485" t="str">
        <f>IF(ISNUMBER(SEARCH("Adjustment",$C1485)),"excluded",IF($H1485="Behind the Meter","excluded",IF(NOT(OR($E1485="Bundled",$E1485="Energy")),"excluded",IF(OR($H1485="Retail Power Marketer",$H1485="Community Choice Aggregator",$E1485="Energy"),"procurement",IF(OR($H1485="Municipal",$H1485="Cooperative",$H1485="Federal",$H1485="State",$H1485="Political Subdivision"),"cost_service",IF($H1485="Investor Owned",IF(AND(COUNTIF(Parameters!$A$4:$A$33,$G1485)&gt;0,COUNTIF(Parameters!$B$4:$B$33,$B1485)=0),"procurement","cost_service"),"unclassified"))))))</f>
        <v>cost_service</v>
      </c>
    </row>
    <row r="1486" spans="1:26" x14ac:dyDescent="0.25">
      <c r="A1486">
        <v>2024</v>
      </c>
      <c r="B1486">
        <v>21081</v>
      </c>
      <c r="C1486" t="s">
        <v>1356</v>
      </c>
      <c r="D1486" t="s">
        <v>84</v>
      </c>
      <c r="E1486" t="s">
        <v>85</v>
      </c>
      <c r="F1486" t="s">
        <v>86</v>
      </c>
      <c r="G1486" t="s">
        <v>323</v>
      </c>
      <c r="H1486" t="s">
        <v>91</v>
      </c>
      <c r="I1486" t="s">
        <v>523</v>
      </c>
      <c r="J1486">
        <v>968.4</v>
      </c>
      <c r="K1486">
        <v>5534</v>
      </c>
      <c r="L1486">
        <v>569</v>
      </c>
      <c r="M1486">
        <v>578.9</v>
      </c>
      <c r="N1486">
        <v>4138</v>
      </c>
      <c r="O1486">
        <v>189</v>
      </c>
      <c r="P1486">
        <v>0</v>
      </c>
      <c r="Q1486">
        <v>0</v>
      </c>
      <c r="R1486">
        <v>0</v>
      </c>
      <c r="S1486">
        <v>0</v>
      </c>
      <c r="T1486">
        <v>0</v>
      </c>
      <c r="U1486">
        <v>0</v>
      </c>
      <c r="V1486">
        <v>1547.3</v>
      </c>
      <c r="W1486">
        <v>9672</v>
      </c>
      <c r="X1486">
        <v>758</v>
      </c>
      <c r="Y1486">
        <f t="shared" si="23"/>
        <v>9672</v>
      </c>
      <c r="Z1486" t="str">
        <f>IF(ISNUMBER(SEARCH("Adjustment",$C1486)),"excluded",IF($H1486="Behind the Meter","excluded",IF(NOT(OR($E1486="Bundled",$E1486="Energy")),"excluded",IF(OR($H1486="Retail Power Marketer",$H1486="Community Choice Aggregator",$E1486="Energy"),"procurement",IF(OR($H1486="Municipal",$H1486="Cooperative",$H1486="Federal",$H1486="State",$H1486="Political Subdivision"),"cost_service",IF($H1486="Investor Owned",IF(AND(COUNTIF(Parameters!$A$4:$A$33,$G1486)&gt;0,COUNTIF(Parameters!$B$4:$B$33,$B1486)=0),"procurement","cost_service"),"unclassified"))))))</f>
        <v>cost_service</v>
      </c>
    </row>
    <row r="1487" spans="1:26" x14ac:dyDescent="0.25">
      <c r="A1487">
        <v>2024</v>
      </c>
      <c r="B1487">
        <v>21093</v>
      </c>
      <c r="C1487" t="s">
        <v>1357</v>
      </c>
      <c r="D1487" t="s">
        <v>99</v>
      </c>
      <c r="E1487" t="s">
        <v>100</v>
      </c>
      <c r="F1487" t="s">
        <v>86</v>
      </c>
      <c r="G1487" t="s">
        <v>115</v>
      </c>
      <c r="H1487" t="s">
        <v>101</v>
      </c>
      <c r="I1487" t="s">
        <v>116</v>
      </c>
      <c r="J1487">
        <v>45</v>
      </c>
      <c r="K1487">
        <v>335</v>
      </c>
      <c r="L1487">
        <v>55</v>
      </c>
      <c r="M1487">
        <v>22174</v>
      </c>
      <c r="N1487">
        <v>447497</v>
      </c>
      <c r="O1487">
        <v>517</v>
      </c>
      <c r="P1487">
        <v>2674</v>
      </c>
      <c r="Q1487">
        <v>50831</v>
      </c>
      <c r="R1487">
        <v>50</v>
      </c>
      <c r="S1487">
        <v>0</v>
      </c>
      <c r="T1487">
        <v>0</v>
      </c>
      <c r="U1487">
        <v>0</v>
      </c>
      <c r="V1487">
        <v>24893</v>
      </c>
      <c r="W1487">
        <v>498663</v>
      </c>
      <c r="X1487">
        <v>622</v>
      </c>
      <c r="Y1487">
        <f t="shared" si="23"/>
        <v>498663</v>
      </c>
      <c r="Z1487" t="str">
        <f>IF(ISNUMBER(SEARCH("Adjustment",$C1487)),"excluded",IF($H1487="Behind the Meter","excluded",IF(NOT(OR($E1487="Bundled",$E1487="Energy")),"excluded",IF(OR($H1487="Retail Power Marketer",$H1487="Community Choice Aggregator",$E1487="Energy"),"procurement",IF(OR($H1487="Municipal",$H1487="Cooperative",$H1487="Federal",$H1487="State",$H1487="Political Subdivision"),"cost_service",IF($H1487="Investor Owned",IF(AND(COUNTIF(Parameters!$A$4:$A$33,$G1487)&gt;0,COUNTIF(Parameters!$B$4:$B$33,$B1487)=0),"procurement","cost_service"),"unclassified"))))))</f>
        <v>procurement</v>
      </c>
    </row>
    <row r="1488" spans="1:26" x14ac:dyDescent="0.25">
      <c r="A1488">
        <v>2024</v>
      </c>
      <c r="B1488">
        <v>21111</v>
      </c>
      <c r="C1488" t="s">
        <v>1358</v>
      </c>
      <c r="D1488" t="s">
        <v>84</v>
      </c>
      <c r="E1488" t="s">
        <v>85</v>
      </c>
      <c r="F1488" t="s">
        <v>86</v>
      </c>
      <c r="G1488" t="s">
        <v>271</v>
      </c>
      <c r="H1488" t="s">
        <v>205</v>
      </c>
      <c r="I1488" t="s">
        <v>135</v>
      </c>
      <c r="J1488">
        <v>7342.7</v>
      </c>
      <c r="K1488">
        <v>75351</v>
      </c>
      <c r="L1488">
        <v>4142</v>
      </c>
      <c r="M1488">
        <v>1992.8</v>
      </c>
      <c r="N1488">
        <v>13100</v>
      </c>
      <c r="O1488">
        <v>1056</v>
      </c>
      <c r="P1488">
        <v>20456.2</v>
      </c>
      <c r="Q1488">
        <v>269584</v>
      </c>
      <c r="R1488">
        <v>2549</v>
      </c>
      <c r="S1488" t="s">
        <v>97</v>
      </c>
      <c r="T1488" t="s">
        <v>97</v>
      </c>
      <c r="U1488" t="s">
        <v>97</v>
      </c>
      <c r="V1488">
        <v>29791.7</v>
      </c>
      <c r="W1488">
        <v>358035</v>
      </c>
      <c r="X1488">
        <v>7747</v>
      </c>
      <c r="Y1488">
        <f t="shared" si="23"/>
        <v>358035</v>
      </c>
      <c r="Z1488" t="str">
        <f>IF(ISNUMBER(SEARCH("Adjustment",$C1488)),"excluded",IF($H1488="Behind the Meter","excluded",IF(NOT(OR($E1488="Bundled",$E1488="Energy")),"excluded",IF(OR($H1488="Retail Power Marketer",$H1488="Community Choice Aggregator",$E1488="Energy"),"procurement",IF(OR($H1488="Municipal",$H1488="Cooperative",$H1488="Federal",$H1488="State",$H1488="Political Subdivision"),"cost_service",IF($H1488="Investor Owned",IF(AND(COUNTIF(Parameters!$A$4:$A$33,$G1488)&gt;0,COUNTIF(Parameters!$B$4:$B$33,$B1488)=0),"procurement","cost_service"),"unclassified"))))))</f>
        <v>cost_service</v>
      </c>
    </row>
    <row r="1489" spans="1:26" x14ac:dyDescent="0.25">
      <c r="A1489">
        <v>2024</v>
      </c>
      <c r="B1489">
        <v>21114</v>
      </c>
      <c r="C1489" t="s">
        <v>1359</v>
      </c>
      <c r="D1489" t="s">
        <v>84</v>
      </c>
      <c r="E1489" t="s">
        <v>85</v>
      </c>
      <c r="F1489" t="s">
        <v>86</v>
      </c>
      <c r="G1489" t="s">
        <v>87</v>
      </c>
      <c r="H1489" t="s">
        <v>91</v>
      </c>
      <c r="I1489" t="s">
        <v>96</v>
      </c>
      <c r="J1489">
        <v>19666.8</v>
      </c>
      <c r="K1489">
        <v>120429</v>
      </c>
      <c r="L1489">
        <v>9488</v>
      </c>
      <c r="M1489">
        <v>6352.7</v>
      </c>
      <c r="N1489">
        <v>36944</v>
      </c>
      <c r="O1489">
        <v>997</v>
      </c>
      <c r="P1489">
        <v>27942.400000000001</v>
      </c>
      <c r="Q1489">
        <v>403996</v>
      </c>
      <c r="R1489">
        <v>8</v>
      </c>
      <c r="S1489" t="s">
        <v>97</v>
      </c>
      <c r="T1489" t="s">
        <v>97</v>
      </c>
      <c r="U1489" t="s">
        <v>97</v>
      </c>
      <c r="V1489">
        <v>53961.9</v>
      </c>
      <c r="W1489">
        <v>561369</v>
      </c>
      <c r="X1489">
        <v>10493</v>
      </c>
      <c r="Y1489">
        <f t="shared" si="23"/>
        <v>561369</v>
      </c>
      <c r="Z1489" t="str">
        <f>IF(ISNUMBER(SEARCH("Adjustment",$C1489)),"excluded",IF($H1489="Behind the Meter","excluded",IF(NOT(OR($E1489="Bundled",$E1489="Energy")),"excluded",IF(OR($H1489="Retail Power Marketer",$H1489="Community Choice Aggregator",$E1489="Energy"),"procurement",IF(OR($H1489="Municipal",$H1489="Cooperative",$H1489="Federal",$H1489="State",$H1489="Political Subdivision"),"cost_service",IF($H1489="Investor Owned",IF(AND(COUNTIF(Parameters!$A$4:$A$33,$G1489)&gt;0,COUNTIF(Parameters!$B$4:$B$33,$B1489)=0),"procurement","cost_service"),"unclassified"))))))</f>
        <v>cost_service</v>
      </c>
    </row>
    <row r="1490" spans="1:26" x14ac:dyDescent="0.25">
      <c r="A1490">
        <v>2024</v>
      </c>
      <c r="B1490">
        <v>21158</v>
      </c>
      <c r="C1490" t="s">
        <v>1360</v>
      </c>
      <c r="D1490" t="s">
        <v>84</v>
      </c>
      <c r="E1490" t="s">
        <v>85</v>
      </c>
      <c r="F1490" t="s">
        <v>86</v>
      </c>
      <c r="G1490" t="s">
        <v>140</v>
      </c>
      <c r="H1490" t="s">
        <v>88</v>
      </c>
      <c r="I1490" t="s">
        <v>96</v>
      </c>
      <c r="J1490">
        <v>4856.8</v>
      </c>
      <c r="K1490">
        <v>47975</v>
      </c>
      <c r="L1490">
        <v>6037</v>
      </c>
      <c r="M1490">
        <v>5200.3999999999996</v>
      </c>
      <c r="N1490">
        <v>54045</v>
      </c>
      <c r="O1490">
        <v>885</v>
      </c>
      <c r="P1490">
        <v>26869.5</v>
      </c>
      <c r="Q1490">
        <v>337768</v>
      </c>
      <c r="R1490">
        <v>119</v>
      </c>
      <c r="S1490" t="s">
        <v>97</v>
      </c>
      <c r="T1490" t="s">
        <v>97</v>
      </c>
      <c r="U1490" t="s">
        <v>97</v>
      </c>
      <c r="V1490">
        <v>36926.699999999997</v>
      </c>
      <c r="W1490">
        <v>439788</v>
      </c>
      <c r="X1490">
        <v>7041</v>
      </c>
      <c r="Y1490">
        <f t="shared" si="23"/>
        <v>439788</v>
      </c>
      <c r="Z1490" t="str">
        <f>IF(ISNUMBER(SEARCH("Adjustment",$C1490)),"excluded",IF($H1490="Behind the Meter","excluded",IF(NOT(OR($E1490="Bundled",$E1490="Energy")),"excluded",IF(OR($H1490="Retail Power Marketer",$H1490="Community Choice Aggregator",$E1490="Energy"),"procurement",IF(OR($H1490="Municipal",$H1490="Cooperative",$H1490="Federal",$H1490="State",$H1490="Political Subdivision"),"cost_service",IF($H1490="Investor Owned",IF(AND(COUNTIF(Parameters!$A$4:$A$33,$G1490)&gt;0,COUNTIF(Parameters!$B$4:$B$33,$B1490)=0),"procurement","cost_service"),"unclassified"))))))</f>
        <v>cost_service</v>
      </c>
    </row>
    <row r="1491" spans="1:26" x14ac:dyDescent="0.25">
      <c r="A1491">
        <v>2024</v>
      </c>
      <c r="B1491">
        <v>21244</v>
      </c>
      <c r="C1491" t="s">
        <v>1361</v>
      </c>
      <c r="D1491" t="s">
        <v>84</v>
      </c>
      <c r="E1491" t="s">
        <v>85</v>
      </c>
      <c r="F1491" t="s">
        <v>86</v>
      </c>
      <c r="G1491" t="s">
        <v>93</v>
      </c>
      <c r="H1491" t="s">
        <v>91</v>
      </c>
      <c r="I1491" t="s">
        <v>92</v>
      </c>
      <c r="J1491">
        <v>116956.9</v>
      </c>
      <c r="K1491">
        <v>755643</v>
      </c>
      <c r="L1491">
        <v>56846</v>
      </c>
      <c r="M1491">
        <v>13896.9</v>
      </c>
      <c r="N1491">
        <v>115000</v>
      </c>
      <c r="O1491">
        <v>2473</v>
      </c>
      <c r="P1491">
        <v>6351.9</v>
      </c>
      <c r="Q1491">
        <v>69237</v>
      </c>
      <c r="R1491">
        <v>19</v>
      </c>
      <c r="S1491" t="s">
        <v>97</v>
      </c>
      <c r="T1491" t="s">
        <v>97</v>
      </c>
      <c r="U1491" t="s">
        <v>97</v>
      </c>
      <c r="V1491">
        <v>137205.70000000001</v>
      </c>
      <c r="W1491">
        <v>939880</v>
      </c>
      <c r="X1491">
        <v>59338</v>
      </c>
      <c r="Y1491">
        <f t="shared" si="23"/>
        <v>939880</v>
      </c>
      <c r="Z1491" t="str">
        <f>IF(ISNUMBER(SEARCH("Adjustment",$C1491)),"excluded",IF($H1491="Behind the Meter","excluded",IF(NOT(OR($E1491="Bundled",$E1491="Energy")),"excluded",IF(OR($H1491="Retail Power Marketer",$H1491="Community Choice Aggregator",$E1491="Energy"),"procurement",IF(OR($H1491="Municipal",$H1491="Cooperative",$H1491="Federal",$H1491="State",$H1491="Political Subdivision"),"cost_service",IF($H1491="Investor Owned",IF(AND(COUNTIF(Parameters!$A$4:$A$33,$G1491)&gt;0,COUNTIF(Parameters!$B$4:$B$33,$B1491)=0),"procurement","cost_service"),"unclassified"))))))</f>
        <v>cost_service</v>
      </c>
    </row>
    <row r="1492" spans="1:26" x14ac:dyDescent="0.25">
      <c r="A1492">
        <v>2024</v>
      </c>
      <c r="B1492">
        <v>21513</v>
      </c>
      <c r="C1492" t="s">
        <v>1362</v>
      </c>
      <c r="D1492" t="s">
        <v>84</v>
      </c>
      <c r="E1492" t="s">
        <v>85</v>
      </c>
      <c r="F1492" t="s">
        <v>86</v>
      </c>
      <c r="G1492" t="s">
        <v>491</v>
      </c>
      <c r="H1492" t="s">
        <v>91</v>
      </c>
      <c r="I1492" t="s">
        <v>559</v>
      </c>
      <c r="J1492">
        <v>9967</v>
      </c>
      <c r="K1492">
        <v>64241</v>
      </c>
      <c r="L1492">
        <v>6682</v>
      </c>
      <c r="M1492">
        <v>17286</v>
      </c>
      <c r="N1492">
        <v>192382</v>
      </c>
      <c r="O1492">
        <v>144</v>
      </c>
      <c r="P1492">
        <v>616</v>
      </c>
      <c r="Q1492">
        <v>4227</v>
      </c>
      <c r="R1492">
        <v>173</v>
      </c>
      <c r="S1492" t="s">
        <v>97</v>
      </c>
      <c r="T1492" t="s">
        <v>97</v>
      </c>
      <c r="U1492" t="s">
        <v>97</v>
      </c>
      <c r="V1492">
        <v>27869</v>
      </c>
      <c r="W1492">
        <v>260850</v>
      </c>
      <c r="X1492">
        <v>6999</v>
      </c>
      <c r="Y1492">
        <f t="shared" si="23"/>
        <v>260850</v>
      </c>
      <c r="Z1492" t="str">
        <f>IF(ISNUMBER(SEARCH("Adjustment",$C1492)),"excluded",IF($H1492="Behind the Meter","excluded",IF(NOT(OR($E1492="Bundled",$E1492="Energy")),"excluded",IF(OR($H1492="Retail Power Marketer",$H1492="Community Choice Aggregator",$E1492="Energy"),"procurement",IF(OR($H1492="Municipal",$H1492="Cooperative",$H1492="Federal",$H1492="State",$H1492="Political Subdivision"),"cost_service",IF($H1492="Investor Owned",IF(AND(COUNTIF(Parameters!$A$4:$A$33,$G1492)&gt;0,COUNTIF(Parameters!$B$4:$B$33,$B1492)=0),"procurement","cost_service"),"unclassified"))))))</f>
        <v>cost_service</v>
      </c>
    </row>
    <row r="1493" spans="1:26" x14ac:dyDescent="0.25">
      <c r="A1493">
        <v>2024</v>
      </c>
      <c r="B1493">
        <v>21538</v>
      </c>
      <c r="C1493" t="s">
        <v>1363</v>
      </c>
      <c r="D1493" t="s">
        <v>84</v>
      </c>
      <c r="E1493" t="s">
        <v>85</v>
      </c>
      <c r="F1493" t="s">
        <v>86</v>
      </c>
      <c r="G1493" t="s">
        <v>108</v>
      </c>
      <c r="H1493" t="s">
        <v>91</v>
      </c>
      <c r="I1493" t="s">
        <v>243</v>
      </c>
      <c r="J1493">
        <v>54352.3</v>
      </c>
      <c r="K1493">
        <v>485505</v>
      </c>
      <c r="L1493">
        <v>41009</v>
      </c>
      <c r="M1493">
        <v>24201.4</v>
      </c>
      <c r="N1493">
        <v>225019</v>
      </c>
      <c r="O1493">
        <v>4502</v>
      </c>
      <c r="P1493">
        <v>8203.2999999999993</v>
      </c>
      <c r="Q1493">
        <v>91312</v>
      </c>
      <c r="R1493">
        <v>24</v>
      </c>
      <c r="S1493" t="s">
        <v>97</v>
      </c>
      <c r="T1493" t="s">
        <v>97</v>
      </c>
      <c r="U1493" t="s">
        <v>97</v>
      </c>
      <c r="V1493">
        <v>86757</v>
      </c>
      <c r="W1493">
        <v>801836</v>
      </c>
      <c r="X1493">
        <v>45535</v>
      </c>
      <c r="Y1493">
        <f t="shared" si="23"/>
        <v>801836</v>
      </c>
      <c r="Z1493" t="str">
        <f>IF(ISNUMBER(SEARCH("Adjustment",$C1493)),"excluded",IF($H1493="Behind the Meter","excluded",IF(NOT(OR($E1493="Bundled",$E1493="Energy")),"excluded",IF(OR($H1493="Retail Power Marketer",$H1493="Community Choice Aggregator",$E1493="Energy"),"procurement",IF(OR($H1493="Municipal",$H1493="Cooperative",$H1493="Federal",$H1493="State",$H1493="Political Subdivision"),"cost_service",IF($H1493="Investor Owned",IF(AND(COUNTIF(Parameters!$A$4:$A$33,$G1493)&gt;0,COUNTIF(Parameters!$B$4:$B$33,$B1493)=0),"procurement","cost_service"),"unclassified"))))))</f>
        <v>cost_service</v>
      </c>
    </row>
    <row r="1494" spans="1:26" x14ac:dyDescent="0.25">
      <c r="A1494">
        <v>2024</v>
      </c>
      <c r="B1494">
        <v>21567</v>
      </c>
      <c r="C1494" t="s">
        <v>1364</v>
      </c>
      <c r="D1494" t="s">
        <v>84</v>
      </c>
      <c r="E1494" t="s">
        <v>85</v>
      </c>
      <c r="F1494" t="s">
        <v>86</v>
      </c>
      <c r="G1494" t="s">
        <v>138</v>
      </c>
      <c r="H1494" t="s">
        <v>91</v>
      </c>
      <c r="I1494" t="s">
        <v>96</v>
      </c>
      <c r="J1494">
        <v>93583</v>
      </c>
      <c r="K1494">
        <v>789798</v>
      </c>
      <c r="L1494">
        <v>50901</v>
      </c>
      <c r="M1494">
        <v>24747.5</v>
      </c>
      <c r="N1494">
        <v>216186</v>
      </c>
      <c r="O1494">
        <v>4697</v>
      </c>
      <c r="P1494">
        <v>297.89999999999998</v>
      </c>
      <c r="Q1494">
        <v>1949</v>
      </c>
      <c r="R1494">
        <v>1</v>
      </c>
      <c r="S1494" t="s">
        <v>97</v>
      </c>
      <c r="T1494" t="s">
        <v>97</v>
      </c>
      <c r="U1494" t="s">
        <v>97</v>
      </c>
      <c r="V1494">
        <v>118628.4</v>
      </c>
      <c r="W1494">
        <v>1007933</v>
      </c>
      <c r="X1494">
        <v>55599</v>
      </c>
      <c r="Y1494">
        <f t="shared" si="23"/>
        <v>1007933</v>
      </c>
      <c r="Z1494" t="str">
        <f>IF(ISNUMBER(SEARCH("Adjustment",$C1494)),"excluded",IF($H1494="Behind the Meter","excluded",IF(NOT(OR($E1494="Bundled",$E1494="Energy")),"excluded",IF(OR($H1494="Retail Power Marketer",$H1494="Community Choice Aggregator",$E1494="Energy"),"procurement",IF(OR($H1494="Municipal",$H1494="Cooperative",$H1494="Federal",$H1494="State",$H1494="Political Subdivision"),"cost_service",IF($H1494="Investor Owned",IF(AND(COUNTIF(Parameters!$A$4:$A$33,$G1494)&gt;0,COUNTIF(Parameters!$B$4:$B$33,$B1494)=0),"procurement","cost_service"),"unclassified"))))))</f>
        <v>cost_service</v>
      </c>
    </row>
    <row r="1495" spans="1:26" x14ac:dyDescent="0.25">
      <c r="A1495">
        <v>2024</v>
      </c>
      <c r="B1495">
        <v>21632</v>
      </c>
      <c r="C1495" t="s">
        <v>1365</v>
      </c>
      <c r="D1495" t="s">
        <v>84</v>
      </c>
      <c r="E1495" t="s">
        <v>85</v>
      </c>
      <c r="F1495" t="s">
        <v>86</v>
      </c>
      <c r="G1495" t="s">
        <v>125</v>
      </c>
      <c r="H1495" t="s">
        <v>91</v>
      </c>
      <c r="I1495" t="s">
        <v>126</v>
      </c>
      <c r="J1495">
        <v>200670</v>
      </c>
      <c r="K1495">
        <v>1739084</v>
      </c>
      <c r="L1495">
        <v>121995</v>
      </c>
      <c r="M1495">
        <v>62613</v>
      </c>
      <c r="N1495">
        <v>639488</v>
      </c>
      <c r="O1495">
        <v>20172</v>
      </c>
      <c r="P1495">
        <v>24199</v>
      </c>
      <c r="Q1495">
        <v>415022</v>
      </c>
      <c r="R1495">
        <v>34</v>
      </c>
      <c r="S1495" t="s">
        <v>97</v>
      </c>
      <c r="T1495" t="s">
        <v>97</v>
      </c>
      <c r="U1495" t="s">
        <v>97</v>
      </c>
      <c r="V1495">
        <v>287482</v>
      </c>
      <c r="W1495">
        <v>2793594</v>
      </c>
      <c r="X1495">
        <v>142201</v>
      </c>
      <c r="Y1495">
        <f t="shared" si="23"/>
        <v>2793594</v>
      </c>
      <c r="Z1495" t="str">
        <f>IF(ISNUMBER(SEARCH("Adjustment",$C1495)),"excluded",IF($H1495="Behind the Meter","excluded",IF(NOT(OR($E1495="Bundled",$E1495="Energy")),"excluded",IF(OR($H1495="Retail Power Marketer",$H1495="Community Choice Aggregator",$E1495="Energy"),"procurement",IF(OR($H1495="Municipal",$H1495="Cooperative",$H1495="Federal",$H1495="State",$H1495="Political Subdivision"),"cost_service",IF($H1495="Investor Owned",IF(AND(COUNTIF(Parameters!$A$4:$A$33,$G1495)&gt;0,COUNTIF(Parameters!$B$4:$B$33,$B1495)=0),"procurement","cost_service"),"unclassified"))))))</f>
        <v>cost_service</v>
      </c>
    </row>
    <row r="1496" spans="1:26" x14ac:dyDescent="0.25">
      <c r="A1496">
        <v>2024</v>
      </c>
      <c r="B1496">
        <v>22053</v>
      </c>
      <c r="C1496" t="s">
        <v>1366</v>
      </c>
      <c r="D1496" t="s">
        <v>84</v>
      </c>
      <c r="E1496" t="s">
        <v>85</v>
      </c>
      <c r="F1496" t="s">
        <v>86</v>
      </c>
      <c r="G1496" t="s">
        <v>209</v>
      </c>
      <c r="H1496" t="s">
        <v>109</v>
      </c>
      <c r="I1496" t="s">
        <v>92</v>
      </c>
      <c r="J1496">
        <v>279998</v>
      </c>
      <c r="K1496">
        <v>1858160</v>
      </c>
      <c r="L1496">
        <v>130852</v>
      </c>
      <c r="M1496">
        <v>193074</v>
      </c>
      <c r="N1496">
        <v>1446978</v>
      </c>
      <c r="O1496">
        <v>30697</v>
      </c>
      <c r="P1496">
        <v>167645</v>
      </c>
      <c r="Q1496">
        <v>2016139</v>
      </c>
      <c r="R1496">
        <v>958</v>
      </c>
      <c r="S1496">
        <v>0</v>
      </c>
      <c r="T1496">
        <v>0</v>
      </c>
      <c r="U1496">
        <v>0</v>
      </c>
      <c r="V1496">
        <v>640717</v>
      </c>
      <c r="W1496">
        <v>5321277</v>
      </c>
      <c r="X1496">
        <v>162507</v>
      </c>
      <c r="Y1496">
        <f t="shared" si="23"/>
        <v>5321277</v>
      </c>
      <c r="Z1496" t="str">
        <f>IF(ISNUMBER(SEARCH("Adjustment",$C1496)),"excluded",IF($H1496="Behind the Meter","excluded",IF(NOT(OR($E1496="Bundled",$E1496="Energy")),"excluded",IF(OR($H1496="Retail Power Marketer",$H1496="Community Choice Aggregator",$E1496="Energy"),"procurement",IF(OR($H1496="Municipal",$H1496="Cooperative",$H1496="Federal",$H1496="State",$H1496="Political Subdivision"),"cost_service",IF($H1496="Investor Owned",IF(AND(COUNTIF(Parameters!$A$4:$A$33,$G1496)&gt;0,COUNTIF(Parameters!$B$4:$B$33,$B1496)=0),"procurement","cost_service"),"unclassified"))))))</f>
        <v>cost_service</v>
      </c>
    </row>
    <row r="1497" spans="1:26" x14ac:dyDescent="0.25">
      <c r="A1497">
        <v>2024</v>
      </c>
      <c r="B1497">
        <v>22500</v>
      </c>
      <c r="C1497" t="s">
        <v>1367</v>
      </c>
      <c r="D1497" t="s">
        <v>84</v>
      </c>
      <c r="E1497" t="s">
        <v>85</v>
      </c>
      <c r="F1497" t="s">
        <v>86</v>
      </c>
      <c r="G1497" t="s">
        <v>134</v>
      </c>
      <c r="H1497" t="s">
        <v>109</v>
      </c>
      <c r="I1497" t="s">
        <v>135</v>
      </c>
      <c r="J1497">
        <v>495679</v>
      </c>
      <c r="K1497">
        <v>3468990</v>
      </c>
      <c r="L1497">
        <v>341806</v>
      </c>
      <c r="M1497">
        <v>470946.5</v>
      </c>
      <c r="N1497">
        <v>4275484</v>
      </c>
      <c r="O1497">
        <v>54306</v>
      </c>
      <c r="P1497">
        <v>170020.9</v>
      </c>
      <c r="Q1497">
        <v>1869300</v>
      </c>
      <c r="R1497">
        <v>1114</v>
      </c>
      <c r="S1497" t="s">
        <v>97</v>
      </c>
      <c r="T1497" t="s">
        <v>97</v>
      </c>
      <c r="U1497" t="s">
        <v>97</v>
      </c>
      <c r="V1497">
        <v>1136646.3999999999</v>
      </c>
      <c r="W1497">
        <v>9613774</v>
      </c>
      <c r="X1497">
        <v>397226</v>
      </c>
      <c r="Y1497">
        <f t="shared" si="23"/>
        <v>9613774</v>
      </c>
      <c r="Z1497" t="str">
        <f>IF(ISNUMBER(SEARCH("Adjustment",$C1497)),"excluded",IF($H1497="Behind the Meter","excluded",IF(NOT(OR($E1497="Bundled",$E1497="Energy")),"excluded",IF(OR($H1497="Retail Power Marketer",$H1497="Community Choice Aggregator",$E1497="Energy"),"procurement",IF(OR($H1497="Municipal",$H1497="Cooperative",$H1497="Federal",$H1497="State",$H1497="Political Subdivision"),"cost_service",IF($H1497="Investor Owned",IF(AND(COUNTIF(Parameters!$A$4:$A$33,$G1497)&gt;0,COUNTIF(Parameters!$B$4:$B$33,$B1497)=0),"procurement","cost_service"),"unclassified"))))))</f>
        <v>cost_service</v>
      </c>
    </row>
    <row r="1498" spans="1:26" x14ac:dyDescent="0.25">
      <c r="A1498">
        <v>2024</v>
      </c>
      <c r="B1498">
        <v>22690</v>
      </c>
      <c r="C1498" t="s">
        <v>1368</v>
      </c>
      <c r="D1498" t="s">
        <v>84</v>
      </c>
      <c r="E1498" t="s">
        <v>85</v>
      </c>
      <c r="F1498" t="s">
        <v>86</v>
      </c>
      <c r="G1498" t="s">
        <v>308</v>
      </c>
      <c r="H1498" t="s">
        <v>91</v>
      </c>
      <c r="I1498" t="s">
        <v>135</v>
      </c>
      <c r="J1498">
        <v>5916</v>
      </c>
      <c r="K1498">
        <v>49024</v>
      </c>
      <c r="L1498">
        <v>3918</v>
      </c>
      <c r="M1498">
        <v>1223</v>
      </c>
      <c r="N1498">
        <v>7515</v>
      </c>
      <c r="O1498">
        <v>616</v>
      </c>
      <c r="P1498">
        <v>11146</v>
      </c>
      <c r="Q1498">
        <v>91058</v>
      </c>
      <c r="R1498">
        <v>1545</v>
      </c>
      <c r="S1498">
        <v>0</v>
      </c>
      <c r="T1498">
        <v>0</v>
      </c>
      <c r="U1498">
        <v>0</v>
      </c>
      <c r="V1498">
        <v>18285</v>
      </c>
      <c r="W1498">
        <v>147597</v>
      </c>
      <c r="X1498">
        <v>6079</v>
      </c>
      <c r="Y1498">
        <f t="shared" si="23"/>
        <v>147597</v>
      </c>
      <c r="Z1498" t="str">
        <f>IF(ISNUMBER(SEARCH("Adjustment",$C1498)),"excluded",IF($H1498="Behind the Meter","excluded",IF(NOT(OR($E1498="Bundled",$E1498="Energy")),"excluded",IF(OR($H1498="Retail Power Marketer",$H1498="Community Choice Aggregator",$E1498="Energy"),"procurement",IF(OR($H1498="Municipal",$H1498="Cooperative",$H1498="Federal",$H1498="State",$H1498="Political Subdivision"),"cost_service",IF($H1498="Investor Owned",IF(AND(COUNTIF(Parameters!$A$4:$A$33,$G1498)&gt;0,COUNTIF(Parameters!$B$4:$B$33,$B1498)=0),"procurement","cost_service"),"unclassified"))))))</f>
        <v>cost_service</v>
      </c>
    </row>
    <row r="1499" spans="1:26" x14ac:dyDescent="0.25">
      <c r="A1499">
        <v>2024</v>
      </c>
      <c r="B1499">
        <v>22814</v>
      </c>
      <c r="C1499" t="s">
        <v>1369</v>
      </c>
      <c r="D1499" t="s">
        <v>84</v>
      </c>
      <c r="E1499" t="s">
        <v>85</v>
      </c>
      <c r="F1499" t="s">
        <v>86</v>
      </c>
      <c r="G1499" t="s">
        <v>490</v>
      </c>
      <c r="H1499" t="s">
        <v>91</v>
      </c>
      <c r="I1499" t="s">
        <v>206</v>
      </c>
      <c r="J1499">
        <v>2288</v>
      </c>
      <c r="K1499">
        <v>24920</v>
      </c>
      <c r="L1499">
        <v>1391</v>
      </c>
      <c r="M1499">
        <v>4060</v>
      </c>
      <c r="N1499">
        <v>75894</v>
      </c>
      <c r="O1499">
        <v>412</v>
      </c>
      <c r="P1499">
        <v>7971</v>
      </c>
      <c r="Q1499">
        <v>151702</v>
      </c>
      <c r="R1499">
        <v>956</v>
      </c>
      <c r="S1499">
        <v>0</v>
      </c>
      <c r="T1499">
        <v>0</v>
      </c>
      <c r="U1499">
        <v>0</v>
      </c>
      <c r="V1499">
        <v>14319</v>
      </c>
      <c r="W1499">
        <v>252516</v>
      </c>
      <c r="X1499">
        <v>2759</v>
      </c>
      <c r="Y1499">
        <f t="shared" si="23"/>
        <v>252516</v>
      </c>
      <c r="Z1499" t="str">
        <f>IF(ISNUMBER(SEARCH("Adjustment",$C1499)),"excluded",IF($H1499="Behind the Meter","excluded",IF(NOT(OR($E1499="Bundled",$E1499="Energy")),"excluded",IF(OR($H1499="Retail Power Marketer",$H1499="Community Choice Aggregator",$E1499="Energy"),"procurement",IF(OR($H1499="Municipal",$H1499="Cooperative",$H1499="Federal",$H1499="State",$H1499="Political Subdivision"),"cost_service",IF($H1499="Investor Owned",IF(AND(COUNTIF(Parameters!$A$4:$A$33,$G1499)&gt;0,COUNTIF(Parameters!$B$4:$B$33,$B1499)=0),"procurement","cost_service"),"unclassified"))))))</f>
        <v>cost_service</v>
      </c>
    </row>
    <row r="1500" spans="1:26" x14ac:dyDescent="0.25">
      <c r="A1500">
        <v>2024</v>
      </c>
      <c r="B1500">
        <v>22814</v>
      </c>
      <c r="C1500" t="s">
        <v>1369</v>
      </c>
      <c r="D1500" t="s">
        <v>84</v>
      </c>
      <c r="E1500" t="s">
        <v>85</v>
      </c>
      <c r="F1500" t="s">
        <v>86</v>
      </c>
      <c r="G1500" t="s">
        <v>242</v>
      </c>
      <c r="H1500" t="s">
        <v>91</v>
      </c>
      <c r="I1500" t="s">
        <v>206</v>
      </c>
      <c r="J1500">
        <v>1701</v>
      </c>
      <c r="K1500">
        <v>16609</v>
      </c>
      <c r="L1500">
        <v>1564</v>
      </c>
      <c r="M1500">
        <v>1935</v>
      </c>
      <c r="N1500">
        <v>29292</v>
      </c>
      <c r="O1500">
        <v>268</v>
      </c>
      <c r="P1500">
        <v>238</v>
      </c>
      <c r="Q1500">
        <v>4630</v>
      </c>
      <c r="R1500">
        <v>51</v>
      </c>
      <c r="S1500">
        <v>0</v>
      </c>
      <c r="T1500">
        <v>0</v>
      </c>
      <c r="U1500">
        <v>0</v>
      </c>
      <c r="V1500">
        <v>3874</v>
      </c>
      <c r="W1500">
        <v>50531</v>
      </c>
      <c r="X1500">
        <v>1883</v>
      </c>
      <c r="Y1500">
        <f t="shared" si="23"/>
        <v>50531</v>
      </c>
      <c r="Z1500" t="str">
        <f>IF(ISNUMBER(SEARCH("Adjustment",$C1500)),"excluded",IF($H1500="Behind the Meter","excluded",IF(NOT(OR($E1500="Bundled",$E1500="Energy")),"excluded",IF(OR($H1500="Retail Power Marketer",$H1500="Community Choice Aggregator",$E1500="Energy"),"procurement",IF(OR($H1500="Municipal",$H1500="Cooperative",$H1500="Federal",$H1500="State",$H1500="Political Subdivision"),"cost_service",IF($H1500="Investor Owned",IF(AND(COUNTIF(Parameters!$A$4:$A$33,$G1500)&gt;0,COUNTIF(Parameters!$B$4:$B$33,$B1500)=0),"procurement","cost_service"),"unclassified"))))))</f>
        <v>cost_service</v>
      </c>
    </row>
    <row r="1501" spans="1:26" x14ac:dyDescent="0.25">
      <c r="A1501">
        <v>2024</v>
      </c>
      <c r="B1501">
        <v>22814</v>
      </c>
      <c r="C1501" t="s">
        <v>1369</v>
      </c>
      <c r="D1501" t="s">
        <v>84</v>
      </c>
      <c r="E1501" t="s">
        <v>85</v>
      </c>
      <c r="F1501" t="s">
        <v>86</v>
      </c>
      <c r="G1501" t="s">
        <v>245</v>
      </c>
      <c r="H1501" t="s">
        <v>91</v>
      </c>
      <c r="I1501" t="s">
        <v>206</v>
      </c>
      <c r="J1501">
        <v>503</v>
      </c>
      <c r="K1501">
        <v>5005</v>
      </c>
      <c r="L1501">
        <v>381</v>
      </c>
      <c r="M1501">
        <v>193</v>
      </c>
      <c r="N1501">
        <v>2714</v>
      </c>
      <c r="O1501">
        <v>69</v>
      </c>
      <c r="P1501">
        <v>1525</v>
      </c>
      <c r="Q1501">
        <v>29752</v>
      </c>
      <c r="R1501">
        <v>299</v>
      </c>
      <c r="S1501">
        <v>0</v>
      </c>
      <c r="T1501">
        <v>0</v>
      </c>
      <c r="U1501">
        <v>0</v>
      </c>
      <c r="V1501">
        <v>2221</v>
      </c>
      <c r="W1501">
        <v>37471</v>
      </c>
      <c r="X1501">
        <v>749</v>
      </c>
      <c r="Y1501">
        <f t="shared" si="23"/>
        <v>37471</v>
      </c>
      <c r="Z1501" t="str">
        <f>IF(ISNUMBER(SEARCH("Adjustment",$C1501)),"excluded",IF($H1501="Behind the Meter","excluded",IF(NOT(OR($E1501="Bundled",$E1501="Energy")),"excluded",IF(OR($H1501="Retail Power Marketer",$H1501="Community Choice Aggregator",$E1501="Energy"),"procurement",IF(OR($H1501="Municipal",$H1501="Cooperative",$H1501="Federal",$H1501="State",$H1501="Political Subdivision"),"cost_service",IF($H1501="Investor Owned",IF(AND(COUNTIF(Parameters!$A$4:$A$33,$G1501)&gt;0,COUNTIF(Parameters!$B$4:$B$33,$B1501)=0),"procurement","cost_service"),"unclassified"))))))</f>
        <v>cost_service</v>
      </c>
    </row>
    <row r="1502" spans="1:26" x14ac:dyDescent="0.25">
      <c r="A1502">
        <v>2024</v>
      </c>
      <c r="B1502">
        <v>22815</v>
      </c>
      <c r="C1502" t="s">
        <v>1370</v>
      </c>
      <c r="D1502" t="s">
        <v>84</v>
      </c>
      <c r="E1502" t="s">
        <v>85</v>
      </c>
      <c r="F1502" t="s">
        <v>86</v>
      </c>
      <c r="G1502" t="s">
        <v>87</v>
      </c>
      <c r="H1502" t="s">
        <v>91</v>
      </c>
      <c r="I1502" t="s">
        <v>96</v>
      </c>
      <c r="J1502">
        <v>33712.1</v>
      </c>
      <c r="K1502">
        <v>245090</v>
      </c>
      <c r="L1502">
        <v>20460</v>
      </c>
      <c r="M1502">
        <v>6914.4</v>
      </c>
      <c r="N1502">
        <v>43652</v>
      </c>
      <c r="O1502">
        <v>3384</v>
      </c>
      <c r="P1502">
        <v>36156.699999999997</v>
      </c>
      <c r="Q1502">
        <v>261741</v>
      </c>
      <c r="R1502">
        <v>5900</v>
      </c>
      <c r="S1502">
        <v>0</v>
      </c>
      <c r="T1502">
        <v>0</v>
      </c>
      <c r="U1502">
        <v>0</v>
      </c>
      <c r="V1502">
        <v>76783.199999999997</v>
      </c>
      <c r="W1502">
        <v>550483</v>
      </c>
      <c r="X1502">
        <v>29744</v>
      </c>
      <c r="Y1502">
        <f t="shared" si="23"/>
        <v>550483</v>
      </c>
      <c r="Z1502" t="str">
        <f>IF(ISNUMBER(SEARCH("Adjustment",$C1502)),"excluded",IF($H1502="Behind the Meter","excluded",IF(NOT(OR($E1502="Bundled",$E1502="Energy")),"excluded",IF(OR($H1502="Retail Power Marketer",$H1502="Community Choice Aggregator",$E1502="Energy"),"procurement",IF(OR($H1502="Municipal",$H1502="Cooperative",$H1502="Federal",$H1502="State",$H1502="Political Subdivision"),"cost_service",IF($H1502="Investor Owned",IF(AND(COUNTIF(Parameters!$A$4:$A$33,$G1502)&gt;0,COUNTIF(Parameters!$B$4:$B$33,$B1502)=0),"procurement","cost_service"),"unclassified"))))))</f>
        <v>cost_service</v>
      </c>
    </row>
    <row r="1503" spans="1:26" x14ac:dyDescent="0.25">
      <c r="A1503">
        <v>2024</v>
      </c>
      <c r="B1503">
        <v>22822</v>
      </c>
      <c r="C1503" t="s">
        <v>1371</v>
      </c>
      <c r="D1503" t="s">
        <v>84</v>
      </c>
      <c r="E1503" t="s">
        <v>85</v>
      </c>
      <c r="F1503" t="s">
        <v>86</v>
      </c>
      <c r="G1503" t="s">
        <v>130</v>
      </c>
      <c r="H1503" t="s">
        <v>91</v>
      </c>
      <c r="I1503" t="s">
        <v>96</v>
      </c>
      <c r="J1503">
        <v>57146.400000000001</v>
      </c>
      <c r="K1503">
        <v>390573</v>
      </c>
      <c r="L1503">
        <v>27103</v>
      </c>
      <c r="M1503">
        <v>8526.4</v>
      </c>
      <c r="N1503">
        <v>71124</v>
      </c>
      <c r="O1503">
        <v>1348</v>
      </c>
      <c r="P1503">
        <v>5546</v>
      </c>
      <c r="Q1503">
        <v>50276</v>
      </c>
      <c r="R1503">
        <v>134</v>
      </c>
      <c r="S1503" t="s">
        <v>97</v>
      </c>
      <c r="T1503" t="s">
        <v>97</v>
      </c>
      <c r="U1503" t="s">
        <v>97</v>
      </c>
      <c r="V1503">
        <v>71218.8</v>
      </c>
      <c r="W1503">
        <v>511973</v>
      </c>
      <c r="X1503">
        <v>28585</v>
      </c>
      <c r="Y1503">
        <f t="shared" si="23"/>
        <v>511973</v>
      </c>
      <c r="Z1503" t="str">
        <f>IF(ISNUMBER(SEARCH("Adjustment",$C1503)),"excluded",IF($H1503="Behind the Meter","excluded",IF(NOT(OR($E1503="Bundled",$E1503="Energy")),"excluded",IF(OR($H1503="Retail Power Marketer",$H1503="Community Choice Aggregator",$E1503="Energy"),"procurement",IF(OR($H1503="Municipal",$H1503="Cooperative",$H1503="Federal",$H1503="State",$H1503="Political Subdivision"),"cost_service",IF($H1503="Investor Owned",IF(AND(COUNTIF(Parameters!$A$4:$A$33,$G1503)&gt;0,COUNTIF(Parameters!$B$4:$B$33,$B1503)=0),"procurement","cost_service"),"unclassified"))))))</f>
        <v>cost_service</v>
      </c>
    </row>
    <row r="1504" spans="1:26" x14ac:dyDescent="0.25">
      <c r="A1504">
        <v>2024</v>
      </c>
      <c r="B1504">
        <v>24211</v>
      </c>
      <c r="C1504" t="s">
        <v>1372</v>
      </c>
      <c r="D1504" t="s">
        <v>84</v>
      </c>
      <c r="E1504" t="s">
        <v>85</v>
      </c>
      <c r="F1504" t="s">
        <v>86</v>
      </c>
      <c r="G1504" t="s">
        <v>108</v>
      </c>
      <c r="H1504" t="s">
        <v>109</v>
      </c>
      <c r="I1504" t="s">
        <v>876</v>
      </c>
      <c r="J1504">
        <v>619593.9</v>
      </c>
      <c r="K1504">
        <v>3964038</v>
      </c>
      <c r="L1504">
        <v>412747</v>
      </c>
      <c r="M1504">
        <v>306959</v>
      </c>
      <c r="N1504">
        <v>1970104</v>
      </c>
      <c r="O1504">
        <v>41903</v>
      </c>
      <c r="P1504">
        <v>302414</v>
      </c>
      <c r="Q1504">
        <v>3029758</v>
      </c>
      <c r="R1504">
        <v>558</v>
      </c>
      <c r="S1504">
        <v>51.1</v>
      </c>
      <c r="T1504">
        <v>284</v>
      </c>
      <c r="U1504">
        <v>1</v>
      </c>
      <c r="V1504">
        <v>1229018</v>
      </c>
      <c r="W1504">
        <v>8964184</v>
      </c>
      <c r="X1504">
        <v>455209</v>
      </c>
      <c r="Y1504">
        <f t="shared" si="23"/>
        <v>8964184</v>
      </c>
      <c r="Z1504" t="str">
        <f>IF(ISNUMBER(SEARCH("Adjustment",$C1504)),"excluded",IF($H1504="Behind the Meter","excluded",IF(NOT(OR($E1504="Bundled",$E1504="Energy")),"excluded",IF(OR($H1504="Retail Power Marketer",$H1504="Community Choice Aggregator",$E1504="Energy"),"procurement",IF(OR($H1504="Municipal",$H1504="Cooperative",$H1504="Federal",$H1504="State",$H1504="Political Subdivision"),"cost_service",IF($H1504="Investor Owned",IF(AND(COUNTIF(Parameters!$A$4:$A$33,$G1504)&gt;0,COUNTIF(Parameters!$B$4:$B$33,$B1504)=0),"procurement","cost_service"),"unclassified"))))))</f>
        <v>cost_service</v>
      </c>
    </row>
    <row r="1505" spans="1:26" x14ac:dyDescent="0.25">
      <c r="A1505">
        <v>2024</v>
      </c>
      <c r="B1505">
        <v>24590</v>
      </c>
      <c r="C1505" t="s">
        <v>1373</v>
      </c>
      <c r="D1505" t="s">
        <v>84</v>
      </c>
      <c r="E1505" t="s">
        <v>85</v>
      </c>
      <c r="F1505" t="s">
        <v>86</v>
      </c>
      <c r="G1505" t="s">
        <v>51</v>
      </c>
      <c r="H1505" t="s">
        <v>109</v>
      </c>
      <c r="I1505" t="s">
        <v>189</v>
      </c>
      <c r="J1505">
        <v>68319.399999999994</v>
      </c>
      <c r="K1505">
        <v>292866</v>
      </c>
      <c r="L1505">
        <v>39656</v>
      </c>
      <c r="M1505">
        <v>23531.4</v>
      </c>
      <c r="N1505">
        <v>99972</v>
      </c>
      <c r="O1505">
        <v>5988</v>
      </c>
      <c r="P1505">
        <v>2889.1</v>
      </c>
      <c r="Q1505">
        <v>14779</v>
      </c>
      <c r="R1505">
        <v>19</v>
      </c>
      <c r="S1505" t="s">
        <v>97</v>
      </c>
      <c r="T1505" t="s">
        <v>97</v>
      </c>
      <c r="U1505" t="s">
        <v>97</v>
      </c>
      <c r="V1505">
        <v>94739.9</v>
      </c>
      <c r="W1505">
        <v>407617</v>
      </c>
      <c r="X1505">
        <v>45663</v>
      </c>
      <c r="Y1505">
        <f t="shared" si="23"/>
        <v>407617</v>
      </c>
      <c r="Z1505" t="str">
        <f>IF(ISNUMBER(SEARCH("Adjustment",$C1505)),"excluded",IF($H1505="Behind the Meter","excluded",IF(NOT(OR($E1505="Bundled",$E1505="Energy")),"excluded",IF(OR($H1505="Retail Power Marketer",$H1505="Community Choice Aggregator",$E1505="Energy"),"procurement",IF(OR($H1505="Municipal",$H1505="Cooperative",$H1505="Federal",$H1505="State",$H1505="Political Subdivision"),"cost_service",IF($H1505="Investor Owned",IF(AND(COUNTIF(Parameters!$A$4:$A$33,$G1505)&gt;0,COUNTIF(Parameters!$B$4:$B$33,$B1505)=0),"procurement","cost_service"),"unclassified"))))))</f>
        <v>procurement</v>
      </c>
    </row>
    <row r="1506" spans="1:26" x14ac:dyDescent="0.25">
      <c r="A1506">
        <v>2024</v>
      </c>
      <c r="B1506">
        <v>24590</v>
      </c>
      <c r="C1506" t="s">
        <v>1373</v>
      </c>
      <c r="D1506" t="s">
        <v>167</v>
      </c>
      <c r="E1506" t="s">
        <v>168</v>
      </c>
      <c r="F1506" t="s">
        <v>86</v>
      </c>
      <c r="G1506" t="s">
        <v>51</v>
      </c>
      <c r="H1506" t="s">
        <v>109</v>
      </c>
      <c r="I1506" t="s">
        <v>189</v>
      </c>
      <c r="J1506">
        <v>23395</v>
      </c>
      <c r="K1506">
        <v>202655</v>
      </c>
      <c r="L1506">
        <v>28946</v>
      </c>
      <c r="M1506">
        <v>23203</v>
      </c>
      <c r="N1506">
        <v>232211</v>
      </c>
      <c r="O1506">
        <v>6699</v>
      </c>
      <c r="P1506">
        <v>21774.5</v>
      </c>
      <c r="Q1506">
        <v>305751</v>
      </c>
      <c r="R1506">
        <v>144</v>
      </c>
      <c r="S1506" t="s">
        <v>97</v>
      </c>
      <c r="T1506" t="s">
        <v>97</v>
      </c>
      <c r="U1506" t="s">
        <v>97</v>
      </c>
      <c r="V1506">
        <v>68372.5</v>
      </c>
      <c r="W1506">
        <v>740617</v>
      </c>
      <c r="X1506">
        <v>35789</v>
      </c>
      <c r="Y1506">
        <f t="shared" si="23"/>
        <v>740617</v>
      </c>
      <c r="Z1506" t="str">
        <f>IF(ISNUMBER(SEARCH("Adjustment",$C1506)),"excluded",IF($H1506="Behind the Meter","excluded",IF(NOT(OR($E1506="Bundled",$E1506="Energy")),"excluded",IF(OR($H1506="Retail Power Marketer",$H1506="Community Choice Aggregator",$E1506="Energy"),"procurement",IF(OR($H1506="Municipal",$H1506="Cooperative",$H1506="Federal",$H1506="State",$H1506="Political Subdivision"),"cost_service",IF($H1506="Investor Owned",IF(AND(COUNTIF(Parameters!$A$4:$A$33,$G1506)&gt;0,COUNTIF(Parameters!$B$4:$B$33,$B1506)=0),"procurement","cost_service"),"unclassified"))))))</f>
        <v>excluded</v>
      </c>
    </row>
    <row r="1507" spans="1:26" x14ac:dyDescent="0.25">
      <c r="A1507">
        <v>2024</v>
      </c>
      <c r="B1507">
        <v>24753</v>
      </c>
      <c r="C1507" t="s">
        <v>1374</v>
      </c>
      <c r="D1507" t="s">
        <v>84</v>
      </c>
      <c r="E1507" t="s">
        <v>85</v>
      </c>
      <c r="F1507" t="s">
        <v>86</v>
      </c>
      <c r="G1507" t="s">
        <v>130</v>
      </c>
      <c r="H1507" t="s">
        <v>91</v>
      </c>
      <c r="I1507" t="s">
        <v>96</v>
      </c>
      <c r="J1507">
        <v>43497</v>
      </c>
      <c r="K1507">
        <v>263418</v>
      </c>
      <c r="L1507">
        <v>18371</v>
      </c>
      <c r="M1507">
        <v>28779</v>
      </c>
      <c r="N1507">
        <v>241117</v>
      </c>
      <c r="O1507">
        <v>672</v>
      </c>
      <c r="P1507" t="s">
        <v>97</v>
      </c>
      <c r="Q1507" t="s">
        <v>97</v>
      </c>
      <c r="R1507" t="s">
        <v>97</v>
      </c>
      <c r="S1507" t="s">
        <v>97</v>
      </c>
      <c r="T1507" t="s">
        <v>97</v>
      </c>
      <c r="U1507" t="s">
        <v>97</v>
      </c>
      <c r="V1507">
        <v>72276</v>
      </c>
      <c r="W1507">
        <v>504535</v>
      </c>
      <c r="X1507">
        <v>19043</v>
      </c>
      <c r="Y1507">
        <f t="shared" si="23"/>
        <v>504535</v>
      </c>
      <c r="Z1507" t="str">
        <f>IF(ISNUMBER(SEARCH("Adjustment",$C1507)),"excluded",IF($H1507="Behind the Meter","excluded",IF(NOT(OR($E1507="Bundled",$E1507="Energy")),"excluded",IF(OR($H1507="Retail Power Marketer",$H1507="Community Choice Aggregator",$E1507="Energy"),"procurement",IF(OR($H1507="Municipal",$H1507="Cooperative",$H1507="Federal",$H1507="State",$H1507="Political Subdivision"),"cost_service",IF($H1507="Investor Owned",IF(AND(COUNTIF(Parameters!$A$4:$A$33,$G1507)&gt;0,COUNTIF(Parameters!$B$4:$B$33,$B1507)=0),"procurement","cost_service"),"unclassified"))))))</f>
        <v>cost_service</v>
      </c>
    </row>
    <row r="1508" spans="1:26" x14ac:dyDescent="0.25">
      <c r="A1508">
        <v>2024</v>
      </c>
      <c r="B1508">
        <v>24889</v>
      </c>
      <c r="C1508" t="s">
        <v>1375</v>
      </c>
      <c r="D1508" t="s">
        <v>84</v>
      </c>
      <c r="E1508" t="s">
        <v>85</v>
      </c>
      <c r="F1508" t="s">
        <v>86</v>
      </c>
      <c r="G1508" t="s">
        <v>125</v>
      </c>
      <c r="H1508" t="s">
        <v>91</v>
      </c>
      <c r="I1508" t="s">
        <v>163</v>
      </c>
      <c r="J1508">
        <v>165648</v>
      </c>
      <c r="K1508">
        <v>1212351</v>
      </c>
      <c r="L1508">
        <v>105562</v>
      </c>
      <c r="M1508">
        <v>48265</v>
      </c>
      <c r="N1508">
        <v>404082</v>
      </c>
      <c r="O1508">
        <v>11777</v>
      </c>
      <c r="P1508" t="s">
        <v>97</v>
      </c>
      <c r="Q1508" t="s">
        <v>97</v>
      </c>
      <c r="R1508" t="s">
        <v>97</v>
      </c>
      <c r="S1508" t="s">
        <v>97</v>
      </c>
      <c r="T1508" t="s">
        <v>97</v>
      </c>
      <c r="U1508" t="s">
        <v>97</v>
      </c>
      <c r="V1508">
        <v>213913</v>
      </c>
      <c r="W1508">
        <v>1616433</v>
      </c>
      <c r="X1508">
        <v>117339</v>
      </c>
      <c r="Y1508">
        <f t="shared" si="23"/>
        <v>1616433</v>
      </c>
      <c r="Z1508" t="str">
        <f>IF(ISNUMBER(SEARCH("Adjustment",$C1508)),"excluded",IF($H1508="Behind the Meter","excluded",IF(NOT(OR($E1508="Bundled",$E1508="Energy")),"excluded",IF(OR($H1508="Retail Power Marketer",$H1508="Community Choice Aggregator",$E1508="Energy"),"procurement",IF(OR($H1508="Municipal",$H1508="Cooperative",$H1508="Federal",$H1508="State",$H1508="Political Subdivision"),"cost_service",IF($H1508="Investor Owned",IF(AND(COUNTIF(Parameters!$A$4:$A$33,$G1508)&gt;0,COUNTIF(Parameters!$B$4:$B$33,$B1508)=0),"procurement","cost_service"),"unclassified"))))))</f>
        <v>cost_service</v>
      </c>
    </row>
    <row r="1509" spans="1:26" x14ac:dyDescent="0.25">
      <c r="A1509">
        <v>2024</v>
      </c>
      <c r="B1509">
        <v>24949</v>
      </c>
      <c r="C1509" t="s">
        <v>1376</v>
      </c>
      <c r="D1509" t="s">
        <v>84</v>
      </c>
      <c r="E1509" t="s">
        <v>85</v>
      </c>
      <c r="F1509" t="s">
        <v>86</v>
      </c>
      <c r="G1509" t="s">
        <v>198</v>
      </c>
      <c r="H1509" t="s">
        <v>91</v>
      </c>
      <c r="I1509" t="s">
        <v>96</v>
      </c>
      <c r="J1509">
        <v>76658</v>
      </c>
      <c r="K1509">
        <v>615863</v>
      </c>
      <c r="L1509">
        <v>51968</v>
      </c>
      <c r="M1509">
        <v>51691</v>
      </c>
      <c r="N1509">
        <v>478106</v>
      </c>
      <c r="O1509">
        <v>7117</v>
      </c>
      <c r="P1509">
        <v>27523</v>
      </c>
      <c r="Q1509">
        <v>264216</v>
      </c>
      <c r="R1509">
        <v>602</v>
      </c>
      <c r="S1509" t="s">
        <v>97</v>
      </c>
      <c r="T1509" t="s">
        <v>97</v>
      </c>
      <c r="U1509" t="s">
        <v>97</v>
      </c>
      <c r="V1509">
        <v>155872</v>
      </c>
      <c r="W1509">
        <v>1358185</v>
      </c>
      <c r="X1509">
        <v>59687</v>
      </c>
      <c r="Y1509">
        <f t="shared" si="23"/>
        <v>1358185</v>
      </c>
      <c r="Z1509" t="str">
        <f>IF(ISNUMBER(SEARCH("Adjustment",$C1509)),"excluded",IF($H1509="Behind the Meter","excluded",IF(NOT(OR($E1509="Bundled",$E1509="Energy")),"excluded",IF(OR($H1509="Retail Power Marketer",$H1509="Community Choice Aggregator",$E1509="Energy"),"procurement",IF(OR($H1509="Municipal",$H1509="Cooperative",$H1509="Federal",$H1509="State",$H1509="Political Subdivision"),"cost_service",IF($H1509="Investor Owned",IF(AND(COUNTIF(Parameters!$A$4:$A$33,$G1509)&gt;0,COUNTIF(Parameters!$B$4:$B$33,$B1509)=0),"procurement","cost_service"),"unclassified"))))))</f>
        <v>cost_service</v>
      </c>
    </row>
    <row r="1510" spans="1:26" x14ac:dyDescent="0.25">
      <c r="A1510">
        <v>2024</v>
      </c>
      <c r="B1510">
        <v>25177</v>
      </c>
      <c r="C1510" t="s">
        <v>1377</v>
      </c>
      <c r="D1510" t="s">
        <v>84</v>
      </c>
      <c r="E1510" t="s">
        <v>85</v>
      </c>
      <c r="F1510" t="s">
        <v>86</v>
      </c>
      <c r="G1510" t="s">
        <v>104</v>
      </c>
      <c r="H1510" t="s">
        <v>91</v>
      </c>
      <c r="I1510" t="s">
        <v>96</v>
      </c>
      <c r="J1510">
        <v>130042</v>
      </c>
      <c r="K1510">
        <v>929091</v>
      </c>
      <c r="L1510">
        <v>108097</v>
      </c>
      <c r="M1510">
        <v>87149</v>
      </c>
      <c r="N1510">
        <v>886201</v>
      </c>
      <c r="O1510">
        <v>8313</v>
      </c>
      <c r="P1510">
        <v>911</v>
      </c>
      <c r="Q1510">
        <v>5853</v>
      </c>
      <c r="R1510">
        <v>404</v>
      </c>
      <c r="S1510" t="s">
        <v>97</v>
      </c>
      <c r="T1510" t="s">
        <v>97</v>
      </c>
      <c r="U1510" t="s">
        <v>97</v>
      </c>
      <c r="V1510">
        <v>218102</v>
      </c>
      <c r="W1510">
        <v>1821145</v>
      </c>
      <c r="X1510">
        <v>116814</v>
      </c>
      <c r="Y1510">
        <f t="shared" si="23"/>
        <v>1821145</v>
      </c>
      <c r="Z1510" t="str">
        <f>IF(ISNUMBER(SEARCH("Adjustment",$C1510)),"excluded",IF($H1510="Behind the Meter","excluded",IF(NOT(OR($E1510="Bundled",$E1510="Energy")),"excluded",IF(OR($H1510="Retail Power Marketer",$H1510="Community Choice Aggregator",$E1510="Energy"),"procurement",IF(OR($H1510="Municipal",$H1510="Cooperative",$H1510="Federal",$H1510="State",$H1510="Political Subdivision"),"cost_service",IF($H1510="Investor Owned",IF(AND(COUNTIF(Parameters!$A$4:$A$33,$G1510)&gt;0,COUNTIF(Parameters!$B$4:$B$33,$B1510)=0),"procurement","cost_service"),"unclassified"))))))</f>
        <v>cost_service</v>
      </c>
    </row>
    <row r="1511" spans="1:26" x14ac:dyDescent="0.25">
      <c r="A1511">
        <v>2024</v>
      </c>
      <c r="B1511">
        <v>25295</v>
      </c>
      <c r="C1511" t="s">
        <v>1378</v>
      </c>
      <c r="D1511" t="s">
        <v>84</v>
      </c>
      <c r="E1511" t="s">
        <v>85</v>
      </c>
      <c r="F1511" t="s">
        <v>86</v>
      </c>
      <c r="G1511" t="s">
        <v>130</v>
      </c>
      <c r="H1511" t="s">
        <v>91</v>
      </c>
      <c r="I1511" t="s">
        <v>96</v>
      </c>
      <c r="J1511">
        <v>30415.4</v>
      </c>
      <c r="K1511">
        <v>211398</v>
      </c>
      <c r="L1511">
        <v>15017</v>
      </c>
      <c r="M1511">
        <v>15235.9</v>
      </c>
      <c r="N1511">
        <v>116997</v>
      </c>
      <c r="O1511">
        <v>2381</v>
      </c>
      <c r="P1511">
        <v>28797.200000000001</v>
      </c>
      <c r="Q1511">
        <v>277437</v>
      </c>
      <c r="R1511">
        <v>41</v>
      </c>
      <c r="S1511" t="s">
        <v>97</v>
      </c>
      <c r="T1511" t="s">
        <v>97</v>
      </c>
      <c r="U1511" t="s">
        <v>97</v>
      </c>
      <c r="V1511">
        <v>74448.5</v>
      </c>
      <c r="W1511">
        <v>605832</v>
      </c>
      <c r="X1511">
        <v>17439</v>
      </c>
      <c r="Y1511">
        <f t="shared" si="23"/>
        <v>605832</v>
      </c>
      <c r="Z1511" t="str">
        <f>IF(ISNUMBER(SEARCH("Adjustment",$C1511)),"excluded",IF($H1511="Behind the Meter","excluded",IF(NOT(OR($E1511="Bundled",$E1511="Energy")),"excluded",IF(OR($H1511="Retail Power Marketer",$H1511="Community Choice Aggregator",$E1511="Energy"),"procurement",IF(OR($H1511="Municipal",$H1511="Cooperative",$H1511="Federal",$H1511="State",$H1511="Political Subdivision"),"cost_service",IF($H1511="Investor Owned",IF(AND(COUNTIF(Parameters!$A$4:$A$33,$G1511)&gt;0,COUNTIF(Parameters!$B$4:$B$33,$B1511)=0),"procurement","cost_service"),"unclassified"))))))</f>
        <v>cost_service</v>
      </c>
    </row>
    <row r="1512" spans="1:26" x14ac:dyDescent="0.25">
      <c r="A1512">
        <v>2024</v>
      </c>
      <c r="B1512">
        <v>25866</v>
      </c>
      <c r="C1512" t="s">
        <v>1379</v>
      </c>
      <c r="D1512" t="s">
        <v>84</v>
      </c>
      <c r="E1512" t="s">
        <v>85</v>
      </c>
      <c r="F1512" t="s">
        <v>86</v>
      </c>
      <c r="G1512" t="s">
        <v>108</v>
      </c>
      <c r="H1512" t="s">
        <v>75</v>
      </c>
      <c r="I1512" t="s">
        <v>110</v>
      </c>
      <c r="J1512">
        <v>649.5</v>
      </c>
      <c r="K1512">
        <v>5016</v>
      </c>
      <c r="L1512">
        <v>319</v>
      </c>
      <c r="M1512">
        <v>3110.7</v>
      </c>
      <c r="N1512">
        <v>35199</v>
      </c>
      <c r="O1512">
        <v>116</v>
      </c>
      <c r="P1512">
        <v>155.4</v>
      </c>
      <c r="Q1512">
        <v>1127</v>
      </c>
      <c r="R1512">
        <v>31</v>
      </c>
      <c r="S1512">
        <v>0</v>
      </c>
      <c r="T1512">
        <v>0</v>
      </c>
      <c r="U1512">
        <v>0</v>
      </c>
      <c r="V1512">
        <v>3915.6</v>
      </c>
      <c r="W1512">
        <v>41342</v>
      </c>
      <c r="X1512">
        <v>466</v>
      </c>
      <c r="Y1512">
        <f t="shared" si="23"/>
        <v>41342</v>
      </c>
      <c r="Z1512" t="str">
        <f>IF(ISNUMBER(SEARCH("Adjustment",$C1512)),"excluded",IF($H1512="Behind the Meter","excluded",IF(NOT(OR($E1512="Bundled",$E1512="Energy")),"excluded",IF(OR($H1512="Retail Power Marketer",$H1512="Community Choice Aggregator",$E1512="Energy"),"procurement",IF(OR($H1512="Municipal",$H1512="Cooperative",$H1512="Federal",$H1512="State",$H1512="Political Subdivision"),"cost_service",IF($H1512="Investor Owned",IF(AND(COUNTIF(Parameters!$A$4:$A$33,$G1512)&gt;0,COUNTIF(Parameters!$B$4:$B$33,$B1512)=0),"procurement","cost_service"),"unclassified"))))))</f>
        <v>cost_service</v>
      </c>
    </row>
    <row r="1513" spans="1:26" x14ac:dyDescent="0.25">
      <c r="A1513">
        <v>2024</v>
      </c>
      <c r="B1513">
        <v>26510</v>
      </c>
      <c r="C1513" t="s">
        <v>1380</v>
      </c>
      <c r="D1513" t="s">
        <v>84</v>
      </c>
      <c r="E1513" t="s">
        <v>85</v>
      </c>
      <c r="F1513" t="s">
        <v>86</v>
      </c>
      <c r="G1513" t="s">
        <v>51</v>
      </c>
      <c r="H1513" t="s">
        <v>109</v>
      </c>
      <c r="I1513" t="s">
        <v>189</v>
      </c>
      <c r="J1513">
        <v>44331</v>
      </c>
      <c r="K1513">
        <v>193863</v>
      </c>
      <c r="L1513">
        <v>24689</v>
      </c>
      <c r="M1513">
        <v>17890</v>
      </c>
      <c r="N1513">
        <v>98541</v>
      </c>
      <c r="O1513">
        <v>3312</v>
      </c>
      <c r="P1513">
        <v>1398</v>
      </c>
      <c r="Q1513">
        <v>7911</v>
      </c>
      <c r="R1513">
        <v>62</v>
      </c>
      <c r="S1513">
        <v>0</v>
      </c>
      <c r="T1513">
        <v>0</v>
      </c>
      <c r="U1513">
        <v>0</v>
      </c>
      <c r="V1513">
        <v>63619</v>
      </c>
      <c r="W1513">
        <v>300315</v>
      </c>
      <c r="X1513">
        <v>28063</v>
      </c>
      <c r="Y1513">
        <f t="shared" si="23"/>
        <v>300315</v>
      </c>
      <c r="Z1513" t="str">
        <f>IF(ISNUMBER(SEARCH("Adjustment",$C1513)),"excluded",IF($H1513="Behind the Meter","excluded",IF(NOT(OR($E1513="Bundled",$E1513="Energy")),"excluded",IF(OR($H1513="Retail Power Marketer",$H1513="Community Choice Aggregator",$E1513="Energy"),"procurement",IF(OR($H1513="Municipal",$H1513="Cooperative",$H1513="Federal",$H1513="State",$H1513="Political Subdivision"),"cost_service",IF($H1513="Investor Owned",IF(AND(COUNTIF(Parameters!$A$4:$A$33,$G1513)&gt;0,COUNTIF(Parameters!$B$4:$B$33,$B1513)=0),"procurement","cost_service"),"unclassified"))))))</f>
        <v>procurement</v>
      </c>
    </row>
    <row r="1514" spans="1:26" x14ac:dyDescent="0.25">
      <c r="A1514">
        <v>2024</v>
      </c>
      <c r="B1514">
        <v>26510</v>
      </c>
      <c r="C1514" t="s">
        <v>1380</v>
      </c>
      <c r="D1514" t="s">
        <v>167</v>
      </c>
      <c r="E1514" t="s">
        <v>168</v>
      </c>
      <c r="F1514" t="s">
        <v>86</v>
      </c>
      <c r="G1514" t="s">
        <v>51</v>
      </c>
      <c r="H1514" t="s">
        <v>109</v>
      </c>
      <c r="I1514" t="s">
        <v>189</v>
      </c>
      <c r="J1514">
        <v>13816</v>
      </c>
      <c r="K1514">
        <v>110864</v>
      </c>
      <c r="L1514">
        <v>14978</v>
      </c>
      <c r="M1514">
        <v>25773</v>
      </c>
      <c r="N1514">
        <v>384812</v>
      </c>
      <c r="O1514">
        <v>3645</v>
      </c>
      <c r="P1514">
        <v>7726</v>
      </c>
      <c r="Q1514">
        <v>116999</v>
      </c>
      <c r="R1514">
        <v>111</v>
      </c>
      <c r="S1514">
        <v>0</v>
      </c>
      <c r="T1514">
        <v>0</v>
      </c>
      <c r="U1514">
        <v>0</v>
      </c>
      <c r="V1514">
        <v>47315</v>
      </c>
      <c r="W1514">
        <v>612675</v>
      </c>
      <c r="X1514">
        <v>18734</v>
      </c>
      <c r="Y1514">
        <f t="shared" si="23"/>
        <v>612675</v>
      </c>
      <c r="Z1514" t="str">
        <f>IF(ISNUMBER(SEARCH("Adjustment",$C1514)),"excluded",IF($H1514="Behind the Meter","excluded",IF(NOT(OR($E1514="Bundled",$E1514="Energy")),"excluded",IF(OR($H1514="Retail Power Marketer",$H1514="Community Choice Aggregator",$E1514="Energy"),"procurement",IF(OR($H1514="Municipal",$H1514="Cooperative",$H1514="Federal",$H1514="State",$H1514="Political Subdivision"),"cost_service",IF($H1514="Investor Owned",IF(AND(COUNTIF(Parameters!$A$4:$A$33,$G1514)&gt;0,COUNTIF(Parameters!$B$4:$B$33,$B1514)=0),"procurement","cost_service"),"unclassified"))))))</f>
        <v>excluded</v>
      </c>
    </row>
    <row r="1515" spans="1:26" x14ac:dyDescent="0.25">
      <c r="A1515">
        <v>2024</v>
      </c>
      <c r="B1515">
        <v>27000</v>
      </c>
      <c r="C1515" t="s">
        <v>1381</v>
      </c>
      <c r="D1515" t="s">
        <v>84</v>
      </c>
      <c r="E1515" t="s">
        <v>85</v>
      </c>
      <c r="F1515" t="s">
        <v>86</v>
      </c>
      <c r="G1515" t="s">
        <v>108</v>
      </c>
      <c r="H1515" t="s">
        <v>220</v>
      </c>
      <c r="I1515" t="s">
        <v>243</v>
      </c>
      <c r="J1515">
        <v>0</v>
      </c>
      <c r="K1515">
        <v>0</v>
      </c>
      <c r="L1515">
        <v>0</v>
      </c>
      <c r="M1515">
        <v>2149.9</v>
      </c>
      <c r="N1515">
        <v>81254</v>
      </c>
      <c r="O1515">
        <v>15</v>
      </c>
      <c r="P1515">
        <v>4193.5</v>
      </c>
      <c r="Q1515">
        <v>216819</v>
      </c>
      <c r="R1515">
        <v>5</v>
      </c>
      <c r="S1515">
        <v>0</v>
      </c>
      <c r="T1515">
        <v>0</v>
      </c>
      <c r="U1515">
        <v>0</v>
      </c>
      <c r="V1515">
        <v>6343.4</v>
      </c>
      <c r="W1515">
        <v>298073</v>
      </c>
      <c r="X1515">
        <v>20</v>
      </c>
      <c r="Y1515">
        <f t="shared" si="23"/>
        <v>298073</v>
      </c>
      <c r="Z1515" t="str">
        <f>IF(ISNUMBER(SEARCH("Adjustment",$C1515)),"excluded",IF($H1515="Behind the Meter","excluded",IF(NOT(OR($E1515="Bundled",$E1515="Energy")),"excluded",IF(OR($H1515="Retail Power Marketer",$H1515="Community Choice Aggregator",$E1515="Energy"),"procurement",IF(OR($H1515="Municipal",$H1515="Cooperative",$H1515="Federal",$H1515="State",$H1515="Political Subdivision"),"cost_service",IF($H1515="Investor Owned",IF(AND(COUNTIF(Parameters!$A$4:$A$33,$G1515)&gt;0,COUNTIF(Parameters!$B$4:$B$33,$B1515)=0),"procurement","cost_service"),"unclassified"))))))</f>
        <v>cost_service</v>
      </c>
    </row>
    <row r="1516" spans="1:26" x14ac:dyDescent="0.25">
      <c r="A1516">
        <v>2024</v>
      </c>
      <c r="B1516">
        <v>27000</v>
      </c>
      <c r="C1516" t="s">
        <v>1381</v>
      </c>
      <c r="D1516" t="s">
        <v>84</v>
      </c>
      <c r="E1516" t="s">
        <v>85</v>
      </c>
      <c r="F1516" t="s">
        <v>86</v>
      </c>
      <c r="G1516" t="s">
        <v>115</v>
      </c>
      <c r="H1516" t="s">
        <v>220</v>
      </c>
      <c r="I1516" t="s">
        <v>243</v>
      </c>
      <c r="J1516">
        <v>0</v>
      </c>
      <c r="K1516">
        <v>0</v>
      </c>
      <c r="L1516">
        <v>0</v>
      </c>
      <c r="M1516">
        <v>81481.5</v>
      </c>
      <c r="N1516">
        <v>1767561</v>
      </c>
      <c r="O1516">
        <v>46</v>
      </c>
      <c r="P1516">
        <v>53847.7</v>
      </c>
      <c r="Q1516">
        <v>1856379</v>
      </c>
      <c r="R1516">
        <v>48</v>
      </c>
      <c r="S1516">
        <v>259</v>
      </c>
      <c r="T1516">
        <v>23926</v>
      </c>
      <c r="U1516">
        <v>1</v>
      </c>
      <c r="V1516">
        <v>135588.20000000001</v>
      </c>
      <c r="W1516">
        <v>3647866</v>
      </c>
      <c r="X1516">
        <v>95</v>
      </c>
      <c r="Y1516">
        <f t="shared" si="23"/>
        <v>3647866</v>
      </c>
      <c r="Z1516" t="str">
        <f>IF(ISNUMBER(SEARCH("Adjustment",$C1516)),"excluded",IF($H1516="Behind the Meter","excluded",IF(NOT(OR($E1516="Bundled",$E1516="Energy")),"excluded",IF(OR($H1516="Retail Power Marketer",$H1516="Community Choice Aggregator",$E1516="Energy"),"procurement",IF(OR($H1516="Municipal",$H1516="Cooperative",$H1516="Federal",$H1516="State",$H1516="Political Subdivision"),"cost_service",IF($H1516="Investor Owned",IF(AND(COUNTIF(Parameters!$A$4:$A$33,$G1516)&gt;0,COUNTIF(Parameters!$B$4:$B$33,$B1516)=0),"procurement","cost_service"),"unclassified"))))))</f>
        <v>cost_service</v>
      </c>
    </row>
    <row r="1517" spans="1:26" x14ac:dyDescent="0.25">
      <c r="A1517">
        <v>2024</v>
      </c>
      <c r="B1517">
        <v>27000</v>
      </c>
      <c r="C1517" t="s">
        <v>1381</v>
      </c>
      <c r="D1517" t="s">
        <v>84</v>
      </c>
      <c r="E1517" t="s">
        <v>85</v>
      </c>
      <c r="F1517" t="s">
        <v>86</v>
      </c>
      <c r="G1517" t="s">
        <v>361</v>
      </c>
      <c r="H1517" t="s">
        <v>220</v>
      </c>
      <c r="I1517" t="s">
        <v>259</v>
      </c>
      <c r="J1517">
        <v>0</v>
      </c>
      <c r="K1517">
        <v>0</v>
      </c>
      <c r="L1517">
        <v>0</v>
      </c>
      <c r="M1517">
        <v>1508.5</v>
      </c>
      <c r="N1517">
        <v>51074</v>
      </c>
      <c r="O1517">
        <v>6</v>
      </c>
      <c r="P1517">
        <v>527.4</v>
      </c>
      <c r="Q1517">
        <v>20285</v>
      </c>
      <c r="R1517">
        <v>6</v>
      </c>
      <c r="S1517">
        <v>0</v>
      </c>
      <c r="T1517">
        <v>0</v>
      </c>
      <c r="U1517">
        <v>0</v>
      </c>
      <c r="V1517">
        <v>2035.9</v>
      </c>
      <c r="W1517">
        <v>71359</v>
      </c>
      <c r="X1517">
        <v>12</v>
      </c>
      <c r="Y1517">
        <f t="shared" si="23"/>
        <v>71359</v>
      </c>
      <c r="Z1517" t="str">
        <f>IF(ISNUMBER(SEARCH("Adjustment",$C1517)),"excluded",IF($H1517="Behind the Meter","excluded",IF(NOT(OR($E1517="Bundled",$E1517="Energy")),"excluded",IF(OR($H1517="Retail Power Marketer",$H1517="Community Choice Aggregator",$E1517="Energy"),"procurement",IF(OR($H1517="Municipal",$H1517="Cooperative",$H1517="Federal",$H1517="State",$H1517="Political Subdivision"),"cost_service",IF($H1517="Investor Owned",IF(AND(COUNTIF(Parameters!$A$4:$A$33,$G1517)&gt;0,COUNTIF(Parameters!$B$4:$B$33,$B1517)=0),"procurement","cost_service"),"unclassified"))))))</f>
        <v>cost_service</v>
      </c>
    </row>
    <row r="1518" spans="1:26" x14ac:dyDescent="0.25">
      <c r="A1518">
        <v>2024</v>
      </c>
      <c r="B1518">
        <v>27000</v>
      </c>
      <c r="C1518" t="s">
        <v>1381</v>
      </c>
      <c r="D1518" t="s">
        <v>84</v>
      </c>
      <c r="E1518" t="s">
        <v>85</v>
      </c>
      <c r="F1518" t="s">
        <v>86</v>
      </c>
      <c r="G1518" t="s">
        <v>134</v>
      </c>
      <c r="H1518" t="s">
        <v>220</v>
      </c>
      <c r="I1518" t="s">
        <v>259</v>
      </c>
      <c r="J1518">
        <v>0</v>
      </c>
      <c r="K1518">
        <v>0</v>
      </c>
      <c r="L1518">
        <v>0</v>
      </c>
      <c r="M1518">
        <v>0</v>
      </c>
      <c r="N1518">
        <v>0</v>
      </c>
      <c r="O1518">
        <v>0</v>
      </c>
      <c r="P1518">
        <v>1.1000000000000001</v>
      </c>
      <c r="Q1518">
        <v>430</v>
      </c>
      <c r="R1518">
        <v>1</v>
      </c>
      <c r="S1518">
        <v>0</v>
      </c>
      <c r="T1518">
        <v>0</v>
      </c>
      <c r="U1518">
        <v>0</v>
      </c>
      <c r="V1518">
        <v>1.1000000000000001</v>
      </c>
      <c r="W1518">
        <v>430</v>
      </c>
      <c r="X1518">
        <v>1</v>
      </c>
      <c r="Y1518">
        <f t="shared" si="23"/>
        <v>430</v>
      </c>
      <c r="Z1518" t="str">
        <f>IF(ISNUMBER(SEARCH("Adjustment",$C1518)),"excluded",IF($H1518="Behind the Meter","excluded",IF(NOT(OR($E1518="Bundled",$E1518="Energy")),"excluded",IF(OR($H1518="Retail Power Marketer",$H1518="Community Choice Aggregator",$E1518="Energy"),"procurement",IF(OR($H1518="Municipal",$H1518="Cooperative",$H1518="Federal",$H1518="State",$H1518="Political Subdivision"),"cost_service",IF($H1518="Investor Owned",IF(AND(COUNTIF(Parameters!$A$4:$A$33,$G1518)&gt;0,COUNTIF(Parameters!$B$4:$B$33,$B1518)=0),"procurement","cost_service"),"unclassified"))))))</f>
        <v>cost_service</v>
      </c>
    </row>
    <row r="1519" spans="1:26" x14ac:dyDescent="0.25">
      <c r="A1519">
        <v>2024</v>
      </c>
      <c r="B1519">
        <v>27000</v>
      </c>
      <c r="C1519" t="s">
        <v>1381</v>
      </c>
      <c r="D1519" t="s">
        <v>84</v>
      </c>
      <c r="E1519" t="s">
        <v>85</v>
      </c>
      <c r="F1519" t="s">
        <v>86</v>
      </c>
      <c r="G1519" t="s">
        <v>104</v>
      </c>
      <c r="H1519" t="s">
        <v>220</v>
      </c>
      <c r="I1519" t="s">
        <v>135</v>
      </c>
      <c r="J1519">
        <v>0</v>
      </c>
      <c r="K1519">
        <v>0</v>
      </c>
      <c r="L1519">
        <v>0</v>
      </c>
      <c r="M1519">
        <v>1461.3</v>
      </c>
      <c r="N1519">
        <v>53422</v>
      </c>
      <c r="O1519">
        <v>4</v>
      </c>
      <c r="P1519">
        <v>0</v>
      </c>
      <c r="Q1519">
        <v>0</v>
      </c>
      <c r="R1519">
        <v>0</v>
      </c>
      <c r="S1519">
        <v>0</v>
      </c>
      <c r="T1519">
        <v>0</v>
      </c>
      <c r="U1519">
        <v>0</v>
      </c>
      <c r="V1519">
        <v>1461.3</v>
      </c>
      <c r="W1519">
        <v>53422</v>
      </c>
      <c r="X1519">
        <v>4</v>
      </c>
      <c r="Y1519">
        <f t="shared" si="23"/>
        <v>53422</v>
      </c>
      <c r="Z1519" t="str">
        <f>IF(ISNUMBER(SEARCH("Adjustment",$C1519)),"excluded",IF($H1519="Behind the Meter","excluded",IF(NOT(OR($E1519="Bundled",$E1519="Energy")),"excluded",IF(OR($H1519="Retail Power Marketer",$H1519="Community Choice Aggregator",$E1519="Energy"),"procurement",IF(OR($H1519="Municipal",$H1519="Cooperative",$H1519="Federal",$H1519="State",$H1519="Political Subdivision"),"cost_service",IF($H1519="Investor Owned",IF(AND(COUNTIF(Parameters!$A$4:$A$33,$G1519)&gt;0,COUNTIF(Parameters!$B$4:$B$33,$B1519)=0),"procurement","cost_service"),"unclassified"))))))</f>
        <v>cost_service</v>
      </c>
    </row>
    <row r="1520" spans="1:26" x14ac:dyDescent="0.25">
      <c r="A1520">
        <v>2024</v>
      </c>
      <c r="B1520">
        <v>27000</v>
      </c>
      <c r="C1520" t="s">
        <v>1381</v>
      </c>
      <c r="D1520" t="s">
        <v>84</v>
      </c>
      <c r="E1520" t="s">
        <v>85</v>
      </c>
      <c r="F1520" t="s">
        <v>86</v>
      </c>
      <c r="G1520" t="s">
        <v>491</v>
      </c>
      <c r="H1520" t="s">
        <v>220</v>
      </c>
      <c r="I1520" t="s">
        <v>135</v>
      </c>
      <c r="J1520">
        <v>0</v>
      </c>
      <c r="K1520">
        <v>0</v>
      </c>
      <c r="L1520">
        <v>0</v>
      </c>
      <c r="M1520">
        <v>3436.9</v>
      </c>
      <c r="N1520">
        <v>126069</v>
      </c>
      <c r="O1520">
        <v>8</v>
      </c>
      <c r="P1520">
        <v>186.2</v>
      </c>
      <c r="Q1520">
        <v>32930</v>
      </c>
      <c r="R1520">
        <v>8</v>
      </c>
      <c r="S1520">
        <v>0</v>
      </c>
      <c r="T1520">
        <v>0</v>
      </c>
      <c r="U1520">
        <v>0</v>
      </c>
      <c r="V1520">
        <v>3623.1</v>
      </c>
      <c r="W1520">
        <v>158999</v>
      </c>
      <c r="X1520">
        <v>16</v>
      </c>
      <c r="Y1520">
        <f t="shared" si="23"/>
        <v>158999</v>
      </c>
      <c r="Z1520" t="str">
        <f>IF(ISNUMBER(SEARCH("Adjustment",$C1520)),"excluded",IF($H1520="Behind the Meter","excluded",IF(NOT(OR($E1520="Bundled",$E1520="Energy")),"excluded",IF(OR($H1520="Retail Power Marketer",$H1520="Community Choice Aggregator",$E1520="Energy"),"procurement",IF(OR($H1520="Municipal",$H1520="Cooperative",$H1520="Federal",$H1520="State",$H1520="Political Subdivision"),"cost_service",IF($H1520="Investor Owned",IF(AND(COUNTIF(Parameters!$A$4:$A$33,$G1520)&gt;0,COUNTIF(Parameters!$B$4:$B$33,$B1520)=0),"procurement","cost_service"),"unclassified"))))))</f>
        <v>cost_service</v>
      </c>
    </row>
    <row r="1521" spans="1:26" x14ac:dyDescent="0.25">
      <c r="A1521">
        <v>2024</v>
      </c>
      <c r="B1521">
        <v>27000</v>
      </c>
      <c r="C1521" t="s">
        <v>1381</v>
      </c>
      <c r="D1521" t="s">
        <v>84</v>
      </c>
      <c r="E1521" t="s">
        <v>85</v>
      </c>
      <c r="F1521" t="s">
        <v>86</v>
      </c>
      <c r="G1521" t="s">
        <v>198</v>
      </c>
      <c r="H1521" t="s">
        <v>220</v>
      </c>
      <c r="I1521" t="s">
        <v>135</v>
      </c>
      <c r="J1521">
        <v>0</v>
      </c>
      <c r="K1521">
        <v>0</v>
      </c>
      <c r="L1521">
        <v>0</v>
      </c>
      <c r="M1521">
        <v>5458.9</v>
      </c>
      <c r="N1521">
        <v>194517</v>
      </c>
      <c r="O1521">
        <v>15</v>
      </c>
      <c r="P1521">
        <v>64.7</v>
      </c>
      <c r="Q1521">
        <v>5710</v>
      </c>
      <c r="R1521">
        <v>6</v>
      </c>
      <c r="S1521">
        <v>0</v>
      </c>
      <c r="T1521">
        <v>0</v>
      </c>
      <c r="U1521">
        <v>0</v>
      </c>
      <c r="V1521">
        <v>5523.6</v>
      </c>
      <c r="W1521">
        <v>200227</v>
      </c>
      <c r="X1521">
        <v>21</v>
      </c>
      <c r="Y1521">
        <f t="shared" si="23"/>
        <v>200227</v>
      </c>
      <c r="Z1521" t="str">
        <f>IF(ISNUMBER(SEARCH("Adjustment",$C1521)),"excluded",IF($H1521="Behind the Meter","excluded",IF(NOT(OR($E1521="Bundled",$E1521="Energy")),"excluded",IF(OR($H1521="Retail Power Marketer",$H1521="Community Choice Aggregator",$E1521="Energy"),"procurement",IF(OR($H1521="Municipal",$H1521="Cooperative",$H1521="Federal",$H1521="State",$H1521="Political Subdivision"),"cost_service",IF($H1521="Investor Owned",IF(AND(COUNTIF(Parameters!$A$4:$A$33,$G1521)&gt;0,COUNTIF(Parameters!$B$4:$B$33,$B1521)=0),"procurement","cost_service"),"unclassified"))))))</f>
        <v>cost_service</v>
      </c>
    </row>
    <row r="1522" spans="1:26" x14ac:dyDescent="0.25">
      <c r="A1522">
        <v>2024</v>
      </c>
      <c r="B1522">
        <v>27000</v>
      </c>
      <c r="C1522" t="s">
        <v>1381</v>
      </c>
      <c r="D1522" t="s">
        <v>84</v>
      </c>
      <c r="E1522" t="s">
        <v>85</v>
      </c>
      <c r="F1522" t="s">
        <v>86</v>
      </c>
      <c r="G1522" t="s">
        <v>271</v>
      </c>
      <c r="H1522" t="s">
        <v>220</v>
      </c>
      <c r="I1522" t="s">
        <v>259</v>
      </c>
      <c r="J1522">
        <v>0</v>
      </c>
      <c r="K1522">
        <v>0</v>
      </c>
      <c r="L1522">
        <v>0</v>
      </c>
      <c r="M1522">
        <v>4206</v>
      </c>
      <c r="N1522">
        <v>153647</v>
      </c>
      <c r="O1522">
        <v>12</v>
      </c>
      <c r="P1522">
        <v>24.8</v>
      </c>
      <c r="Q1522">
        <v>3300</v>
      </c>
      <c r="R1522">
        <v>2</v>
      </c>
      <c r="S1522">
        <v>0</v>
      </c>
      <c r="T1522">
        <v>0</v>
      </c>
      <c r="U1522">
        <v>0</v>
      </c>
      <c r="V1522">
        <v>4230.8</v>
      </c>
      <c r="W1522">
        <v>156947</v>
      </c>
      <c r="X1522">
        <v>14</v>
      </c>
      <c r="Y1522">
        <f t="shared" si="23"/>
        <v>156947</v>
      </c>
      <c r="Z1522" t="str">
        <f>IF(ISNUMBER(SEARCH("Adjustment",$C1522)),"excluded",IF($H1522="Behind the Meter","excluded",IF(NOT(OR($E1522="Bundled",$E1522="Energy")),"excluded",IF(OR($H1522="Retail Power Marketer",$H1522="Community Choice Aggregator",$E1522="Energy"),"procurement",IF(OR($H1522="Municipal",$H1522="Cooperative",$H1522="Federal",$H1522="State",$H1522="Political Subdivision"),"cost_service",IF($H1522="Investor Owned",IF(AND(COUNTIF(Parameters!$A$4:$A$33,$G1522)&gt;0,COUNTIF(Parameters!$B$4:$B$33,$B1522)=0),"procurement","cost_service"),"unclassified"))))))</f>
        <v>cost_service</v>
      </c>
    </row>
    <row r="1523" spans="1:26" x14ac:dyDescent="0.25">
      <c r="A1523">
        <v>2024</v>
      </c>
      <c r="B1523">
        <v>27000</v>
      </c>
      <c r="C1523" t="s">
        <v>1381</v>
      </c>
      <c r="D1523" t="s">
        <v>84</v>
      </c>
      <c r="E1523" t="s">
        <v>85</v>
      </c>
      <c r="F1523" t="s">
        <v>86</v>
      </c>
      <c r="G1523" t="s">
        <v>308</v>
      </c>
      <c r="H1523" t="s">
        <v>220</v>
      </c>
      <c r="I1523" t="s">
        <v>243</v>
      </c>
      <c r="J1523">
        <v>0</v>
      </c>
      <c r="K1523">
        <v>0</v>
      </c>
      <c r="L1523">
        <v>0</v>
      </c>
      <c r="M1523">
        <v>2642.3</v>
      </c>
      <c r="N1523">
        <v>77095</v>
      </c>
      <c r="O1523">
        <v>3</v>
      </c>
      <c r="P1523">
        <v>1832.9</v>
      </c>
      <c r="Q1523">
        <v>70263</v>
      </c>
      <c r="R1523">
        <v>1</v>
      </c>
      <c r="S1523">
        <v>0</v>
      </c>
      <c r="T1523">
        <v>0</v>
      </c>
      <c r="U1523">
        <v>0</v>
      </c>
      <c r="V1523">
        <v>4475.2</v>
      </c>
      <c r="W1523">
        <v>147358</v>
      </c>
      <c r="X1523">
        <v>4</v>
      </c>
      <c r="Y1523">
        <f t="shared" si="23"/>
        <v>147358</v>
      </c>
      <c r="Z1523" t="str">
        <f>IF(ISNUMBER(SEARCH("Adjustment",$C1523)),"excluded",IF($H1523="Behind the Meter","excluded",IF(NOT(OR($E1523="Bundled",$E1523="Energy")),"excluded",IF(OR($H1523="Retail Power Marketer",$H1523="Community Choice Aggregator",$E1523="Energy"),"procurement",IF(OR($H1523="Municipal",$H1523="Cooperative",$H1523="Federal",$H1523="State",$H1523="Political Subdivision"),"cost_service",IF($H1523="Investor Owned",IF(AND(COUNTIF(Parameters!$A$4:$A$33,$G1523)&gt;0,COUNTIF(Parameters!$B$4:$B$33,$B1523)=0),"procurement","cost_service"),"unclassified"))))))</f>
        <v>cost_service</v>
      </c>
    </row>
    <row r="1524" spans="1:26" x14ac:dyDescent="0.25">
      <c r="A1524">
        <v>2024</v>
      </c>
      <c r="B1524">
        <v>27000</v>
      </c>
      <c r="C1524" t="s">
        <v>1381</v>
      </c>
      <c r="D1524" t="s">
        <v>84</v>
      </c>
      <c r="E1524" t="s">
        <v>85</v>
      </c>
      <c r="F1524" t="s">
        <v>86</v>
      </c>
      <c r="G1524" t="s">
        <v>242</v>
      </c>
      <c r="H1524" t="s">
        <v>220</v>
      </c>
      <c r="I1524" t="s">
        <v>243</v>
      </c>
      <c r="J1524">
        <v>0</v>
      </c>
      <c r="K1524">
        <v>0</v>
      </c>
      <c r="L1524">
        <v>0</v>
      </c>
      <c r="M1524">
        <v>668</v>
      </c>
      <c r="N1524">
        <v>26692</v>
      </c>
      <c r="O1524">
        <v>3</v>
      </c>
      <c r="P1524">
        <v>0</v>
      </c>
      <c r="Q1524">
        <v>0</v>
      </c>
      <c r="R1524">
        <v>0</v>
      </c>
      <c r="S1524">
        <v>0</v>
      </c>
      <c r="T1524">
        <v>0</v>
      </c>
      <c r="U1524">
        <v>0</v>
      </c>
      <c r="V1524">
        <v>668</v>
      </c>
      <c r="W1524">
        <v>26692</v>
      </c>
      <c r="X1524">
        <v>3</v>
      </c>
      <c r="Y1524">
        <f t="shared" si="23"/>
        <v>26692</v>
      </c>
      <c r="Z1524" t="str">
        <f>IF(ISNUMBER(SEARCH("Adjustment",$C1524)),"excluded",IF($H1524="Behind the Meter","excluded",IF(NOT(OR($E1524="Bundled",$E1524="Energy")),"excluded",IF(OR($H1524="Retail Power Marketer",$H1524="Community Choice Aggregator",$E1524="Energy"),"procurement",IF(OR($H1524="Municipal",$H1524="Cooperative",$H1524="Federal",$H1524="State",$H1524="Political Subdivision"),"cost_service",IF($H1524="Investor Owned",IF(AND(COUNTIF(Parameters!$A$4:$A$33,$G1524)&gt;0,COUNTIF(Parameters!$B$4:$B$33,$B1524)=0),"procurement","cost_service"),"unclassified"))))))</f>
        <v>cost_service</v>
      </c>
    </row>
    <row r="1525" spans="1:26" x14ac:dyDescent="0.25">
      <c r="A1525">
        <v>2024</v>
      </c>
      <c r="B1525">
        <v>27000</v>
      </c>
      <c r="C1525" t="s">
        <v>1381</v>
      </c>
      <c r="D1525" t="s">
        <v>84</v>
      </c>
      <c r="E1525" t="s">
        <v>85</v>
      </c>
      <c r="F1525" t="s">
        <v>86</v>
      </c>
      <c r="G1525" t="s">
        <v>224</v>
      </c>
      <c r="H1525" t="s">
        <v>220</v>
      </c>
      <c r="I1525" t="s">
        <v>259</v>
      </c>
      <c r="J1525">
        <v>0</v>
      </c>
      <c r="K1525">
        <v>0</v>
      </c>
      <c r="L1525">
        <v>0</v>
      </c>
      <c r="M1525">
        <v>9483.6</v>
      </c>
      <c r="N1525">
        <v>341375</v>
      </c>
      <c r="O1525">
        <v>19</v>
      </c>
      <c r="P1525">
        <v>55.4</v>
      </c>
      <c r="Q1525">
        <v>2987</v>
      </c>
      <c r="R1525">
        <v>3</v>
      </c>
      <c r="S1525">
        <v>0</v>
      </c>
      <c r="T1525">
        <v>0</v>
      </c>
      <c r="U1525">
        <v>0</v>
      </c>
      <c r="V1525">
        <v>9539</v>
      </c>
      <c r="W1525">
        <v>344362</v>
      </c>
      <c r="X1525">
        <v>22</v>
      </c>
      <c r="Y1525">
        <f t="shared" si="23"/>
        <v>344362</v>
      </c>
      <c r="Z1525" t="str">
        <f>IF(ISNUMBER(SEARCH("Adjustment",$C1525)),"excluded",IF($H1525="Behind the Meter","excluded",IF(NOT(OR($E1525="Bundled",$E1525="Energy")),"excluded",IF(OR($H1525="Retail Power Marketer",$H1525="Community Choice Aggregator",$E1525="Energy"),"procurement",IF(OR($H1525="Municipal",$H1525="Cooperative",$H1525="Federal",$H1525="State",$H1525="Political Subdivision"),"cost_service",IF($H1525="Investor Owned",IF(AND(COUNTIF(Parameters!$A$4:$A$33,$G1525)&gt;0,COUNTIF(Parameters!$B$4:$B$33,$B1525)=0),"procurement","cost_service"),"unclassified"))))))</f>
        <v>cost_service</v>
      </c>
    </row>
    <row r="1526" spans="1:26" x14ac:dyDescent="0.25">
      <c r="A1526">
        <v>2024</v>
      </c>
      <c r="B1526">
        <v>27000</v>
      </c>
      <c r="C1526" t="s">
        <v>1381</v>
      </c>
      <c r="D1526" t="s">
        <v>84</v>
      </c>
      <c r="E1526" t="s">
        <v>85</v>
      </c>
      <c r="F1526" t="s">
        <v>86</v>
      </c>
      <c r="G1526" t="s">
        <v>245</v>
      </c>
      <c r="H1526" t="s">
        <v>220</v>
      </c>
      <c r="I1526" t="s">
        <v>243</v>
      </c>
      <c r="J1526">
        <v>0</v>
      </c>
      <c r="K1526">
        <v>0</v>
      </c>
      <c r="L1526">
        <v>0</v>
      </c>
      <c r="M1526">
        <v>1154</v>
      </c>
      <c r="N1526">
        <v>34308</v>
      </c>
      <c r="O1526">
        <v>5</v>
      </c>
      <c r="P1526">
        <v>72.7</v>
      </c>
      <c r="Q1526">
        <v>2376</v>
      </c>
      <c r="R1526">
        <v>1</v>
      </c>
      <c r="S1526">
        <v>0</v>
      </c>
      <c r="T1526">
        <v>0</v>
      </c>
      <c r="U1526">
        <v>0</v>
      </c>
      <c r="V1526">
        <v>1226.7</v>
      </c>
      <c r="W1526">
        <v>36684</v>
      </c>
      <c r="X1526">
        <v>6</v>
      </c>
      <c r="Y1526">
        <f t="shared" si="23"/>
        <v>36684</v>
      </c>
      <c r="Z1526" t="str">
        <f>IF(ISNUMBER(SEARCH("Adjustment",$C1526)),"excluded",IF($H1526="Behind the Meter","excluded",IF(NOT(OR($E1526="Bundled",$E1526="Energy")),"excluded",IF(OR($H1526="Retail Power Marketer",$H1526="Community Choice Aggregator",$E1526="Energy"),"procurement",IF(OR($H1526="Municipal",$H1526="Cooperative",$H1526="Federal",$H1526="State",$H1526="Political Subdivision"),"cost_service",IF($H1526="Investor Owned",IF(AND(COUNTIF(Parameters!$A$4:$A$33,$G1526)&gt;0,COUNTIF(Parameters!$B$4:$B$33,$B1526)=0),"procurement","cost_service"),"unclassified"))))))</f>
        <v>cost_service</v>
      </c>
    </row>
    <row r="1527" spans="1:26" x14ac:dyDescent="0.25">
      <c r="A1527">
        <v>2024</v>
      </c>
      <c r="B1527">
        <v>27000</v>
      </c>
      <c r="C1527" t="s">
        <v>1381</v>
      </c>
      <c r="D1527" t="s">
        <v>84</v>
      </c>
      <c r="E1527" t="s">
        <v>85</v>
      </c>
      <c r="F1527" t="s">
        <v>86</v>
      </c>
      <c r="G1527" t="s">
        <v>323</v>
      </c>
      <c r="H1527" t="s">
        <v>220</v>
      </c>
      <c r="I1527" t="s">
        <v>259</v>
      </c>
      <c r="J1527">
        <v>0</v>
      </c>
      <c r="K1527">
        <v>0</v>
      </c>
      <c r="L1527">
        <v>0</v>
      </c>
      <c r="M1527">
        <v>1220.7</v>
      </c>
      <c r="N1527">
        <v>32721</v>
      </c>
      <c r="O1527">
        <v>2</v>
      </c>
      <c r="P1527">
        <v>29.6</v>
      </c>
      <c r="Q1527">
        <v>9671</v>
      </c>
      <c r="R1527">
        <v>3</v>
      </c>
      <c r="S1527">
        <v>0</v>
      </c>
      <c r="T1527">
        <v>0</v>
      </c>
      <c r="U1527">
        <v>0</v>
      </c>
      <c r="V1527">
        <v>1250.3</v>
      </c>
      <c r="W1527">
        <v>42392</v>
      </c>
      <c r="X1527">
        <v>5</v>
      </c>
      <c r="Y1527">
        <f t="shared" si="23"/>
        <v>42392</v>
      </c>
      <c r="Z1527" t="str">
        <f>IF(ISNUMBER(SEARCH("Adjustment",$C1527)),"excluded",IF($H1527="Behind the Meter","excluded",IF(NOT(OR($E1527="Bundled",$E1527="Energy")),"excluded",IF(OR($H1527="Retail Power Marketer",$H1527="Community Choice Aggregator",$E1527="Energy"),"procurement",IF(OR($H1527="Municipal",$H1527="Cooperative",$H1527="Federal",$H1527="State",$H1527="Political Subdivision"),"cost_service",IF($H1527="Investor Owned",IF(AND(COUNTIF(Parameters!$A$4:$A$33,$G1527)&gt;0,COUNTIF(Parameters!$B$4:$B$33,$B1527)=0),"procurement","cost_service"),"unclassified"))))))</f>
        <v>cost_service</v>
      </c>
    </row>
    <row r="1528" spans="1:26" x14ac:dyDescent="0.25">
      <c r="A1528">
        <v>2024</v>
      </c>
      <c r="B1528">
        <v>27058</v>
      </c>
      <c r="C1528" t="s">
        <v>1382</v>
      </c>
      <c r="D1528" t="s">
        <v>84</v>
      </c>
      <c r="E1528" t="s">
        <v>85</v>
      </c>
      <c r="F1528" t="s">
        <v>86</v>
      </c>
      <c r="G1528" t="s">
        <v>361</v>
      </c>
      <c r="H1528" t="s">
        <v>91</v>
      </c>
      <c r="I1528" t="s">
        <v>259</v>
      </c>
      <c r="J1528">
        <v>1002.1</v>
      </c>
      <c r="K1528">
        <v>6615</v>
      </c>
      <c r="L1528">
        <v>670</v>
      </c>
      <c r="M1528">
        <v>362.8</v>
      </c>
      <c r="N1528">
        <v>3235</v>
      </c>
      <c r="O1528">
        <v>19</v>
      </c>
      <c r="P1528">
        <v>17191.400000000001</v>
      </c>
      <c r="Q1528">
        <v>161661</v>
      </c>
      <c r="R1528">
        <v>367</v>
      </c>
      <c r="S1528">
        <v>0</v>
      </c>
      <c r="T1528">
        <v>0</v>
      </c>
      <c r="U1528">
        <v>0</v>
      </c>
      <c r="V1528">
        <v>18556.3</v>
      </c>
      <c r="W1528">
        <v>171511</v>
      </c>
      <c r="X1528">
        <v>1056</v>
      </c>
      <c r="Y1528">
        <f t="shared" si="23"/>
        <v>171511</v>
      </c>
      <c r="Z1528" t="str">
        <f>IF(ISNUMBER(SEARCH("Adjustment",$C1528)),"excluded",IF($H1528="Behind the Meter","excluded",IF(NOT(OR($E1528="Bundled",$E1528="Energy")),"excluded",IF(OR($H1528="Retail Power Marketer",$H1528="Community Choice Aggregator",$E1528="Energy"),"procurement",IF(OR($H1528="Municipal",$H1528="Cooperative",$H1528="Federal",$H1528="State",$H1528="Political Subdivision"),"cost_service",IF($H1528="Investor Owned",IF(AND(COUNTIF(Parameters!$A$4:$A$33,$G1528)&gt;0,COUNTIF(Parameters!$B$4:$B$33,$B1528)=0),"procurement","cost_service"),"unclassified"))))))</f>
        <v>cost_service</v>
      </c>
    </row>
    <row r="1529" spans="1:26" x14ac:dyDescent="0.25">
      <c r="A1529">
        <v>2024</v>
      </c>
      <c r="B1529">
        <v>27058</v>
      </c>
      <c r="C1529" t="s">
        <v>1382</v>
      </c>
      <c r="D1529" t="s">
        <v>84</v>
      </c>
      <c r="E1529" t="s">
        <v>85</v>
      </c>
      <c r="F1529" t="s">
        <v>86</v>
      </c>
      <c r="G1529" t="s">
        <v>271</v>
      </c>
      <c r="H1529" t="s">
        <v>91</v>
      </c>
      <c r="I1529" t="s">
        <v>259</v>
      </c>
      <c r="J1529">
        <v>2687.5</v>
      </c>
      <c r="K1529">
        <v>18309</v>
      </c>
      <c r="L1529">
        <v>1752</v>
      </c>
      <c r="M1529">
        <v>989.5</v>
      </c>
      <c r="N1529">
        <v>8712</v>
      </c>
      <c r="O1529">
        <v>61</v>
      </c>
      <c r="P1529">
        <v>10736.6</v>
      </c>
      <c r="Q1529">
        <v>91909</v>
      </c>
      <c r="R1529">
        <v>1154</v>
      </c>
      <c r="S1529">
        <v>0</v>
      </c>
      <c r="T1529">
        <v>0</v>
      </c>
      <c r="U1529">
        <v>0</v>
      </c>
      <c r="V1529">
        <v>14413.6</v>
      </c>
      <c r="W1529">
        <v>118930</v>
      </c>
      <c r="X1529">
        <v>2967</v>
      </c>
      <c r="Y1529">
        <f t="shared" si="23"/>
        <v>118930</v>
      </c>
      <c r="Z1529" t="str">
        <f>IF(ISNUMBER(SEARCH("Adjustment",$C1529)),"excluded",IF($H1529="Behind the Meter","excluded",IF(NOT(OR($E1529="Bundled",$E1529="Energy")),"excluded",IF(OR($H1529="Retail Power Marketer",$H1529="Community Choice Aggregator",$E1529="Energy"),"procurement",IF(OR($H1529="Municipal",$H1529="Cooperative",$H1529="Federal",$H1529="State",$H1529="Political Subdivision"),"cost_service",IF($H1529="Investor Owned",IF(AND(COUNTIF(Parameters!$A$4:$A$33,$G1529)&gt;0,COUNTIF(Parameters!$B$4:$B$33,$B1529)=0),"procurement","cost_service"),"unclassified"))))))</f>
        <v>cost_service</v>
      </c>
    </row>
    <row r="1530" spans="1:26" x14ac:dyDescent="0.25">
      <c r="A1530">
        <v>2024</v>
      </c>
      <c r="B1530">
        <v>27058</v>
      </c>
      <c r="C1530" t="s">
        <v>1382</v>
      </c>
      <c r="D1530" t="s">
        <v>84</v>
      </c>
      <c r="E1530" t="s">
        <v>85</v>
      </c>
      <c r="F1530" t="s">
        <v>86</v>
      </c>
      <c r="G1530" t="s">
        <v>323</v>
      </c>
      <c r="H1530" t="s">
        <v>91</v>
      </c>
      <c r="I1530" t="s">
        <v>259</v>
      </c>
      <c r="J1530">
        <v>9781.7000000000007</v>
      </c>
      <c r="K1530">
        <v>68049</v>
      </c>
      <c r="L1530">
        <v>5579</v>
      </c>
      <c r="M1530">
        <v>16004.7</v>
      </c>
      <c r="N1530">
        <v>327640</v>
      </c>
      <c r="O1530">
        <v>22</v>
      </c>
      <c r="P1530">
        <v>20705.2</v>
      </c>
      <c r="Q1530">
        <v>197290</v>
      </c>
      <c r="R1530">
        <v>1357</v>
      </c>
      <c r="S1530">
        <v>0</v>
      </c>
      <c r="T1530">
        <v>0</v>
      </c>
      <c r="U1530">
        <v>0</v>
      </c>
      <c r="V1530">
        <v>46491.6</v>
      </c>
      <c r="W1530">
        <v>592979</v>
      </c>
      <c r="X1530">
        <v>6958</v>
      </c>
      <c r="Y1530">
        <f t="shared" si="23"/>
        <v>592979</v>
      </c>
      <c r="Z1530" t="str">
        <f>IF(ISNUMBER(SEARCH("Adjustment",$C1530)),"excluded",IF($H1530="Behind the Meter","excluded",IF(NOT(OR($E1530="Bundled",$E1530="Energy")),"excluded",IF(OR($H1530="Retail Power Marketer",$H1530="Community Choice Aggregator",$E1530="Energy"),"procurement",IF(OR($H1530="Municipal",$H1530="Cooperative",$H1530="Federal",$H1530="State",$H1530="Political Subdivision"),"cost_service",IF($H1530="Investor Owned",IF(AND(COUNTIF(Parameters!$A$4:$A$33,$G1530)&gt;0,COUNTIF(Parameters!$B$4:$B$33,$B1530)=0),"procurement","cost_service"),"unclassified"))))))</f>
        <v>cost_service</v>
      </c>
    </row>
    <row r="1531" spans="1:26" x14ac:dyDescent="0.25">
      <c r="A1531">
        <v>2024</v>
      </c>
      <c r="B1531">
        <v>27222</v>
      </c>
      <c r="C1531" t="s">
        <v>1383</v>
      </c>
      <c r="D1531" t="s">
        <v>84</v>
      </c>
      <c r="E1531" t="s">
        <v>85</v>
      </c>
      <c r="F1531" t="s">
        <v>86</v>
      </c>
      <c r="G1531" t="s">
        <v>156</v>
      </c>
      <c r="H1531" t="s">
        <v>88</v>
      </c>
      <c r="I1531" t="s">
        <v>89</v>
      </c>
      <c r="J1531">
        <v>8167</v>
      </c>
      <c r="K1531">
        <v>66145</v>
      </c>
      <c r="L1531">
        <v>5106</v>
      </c>
      <c r="M1531">
        <v>8516</v>
      </c>
      <c r="N1531">
        <v>64821</v>
      </c>
      <c r="O1531">
        <v>1555</v>
      </c>
      <c r="P1531">
        <v>1982</v>
      </c>
      <c r="Q1531">
        <v>23360</v>
      </c>
      <c r="R1531">
        <v>2</v>
      </c>
      <c r="S1531">
        <v>0</v>
      </c>
      <c r="T1531">
        <v>0</v>
      </c>
      <c r="U1531">
        <v>0</v>
      </c>
      <c r="V1531">
        <v>18665</v>
      </c>
      <c r="W1531">
        <v>154326</v>
      </c>
      <c r="X1531">
        <v>6663</v>
      </c>
      <c r="Y1531">
        <f t="shared" si="23"/>
        <v>154326</v>
      </c>
      <c r="Z1531" t="str">
        <f>IF(ISNUMBER(SEARCH("Adjustment",$C1531)),"excluded",IF($H1531="Behind the Meter","excluded",IF(NOT(OR($E1531="Bundled",$E1531="Energy")),"excluded",IF(OR($H1531="Retail Power Marketer",$H1531="Community Choice Aggregator",$E1531="Energy"),"procurement",IF(OR($H1531="Municipal",$H1531="Cooperative",$H1531="Federal",$H1531="State",$H1531="Political Subdivision"),"cost_service",IF($H1531="Investor Owned",IF(AND(COUNTIF(Parameters!$A$4:$A$33,$G1531)&gt;0,COUNTIF(Parameters!$B$4:$B$33,$B1531)=0),"procurement","cost_service"),"unclassified"))))))</f>
        <v>cost_service</v>
      </c>
    </row>
    <row r="1532" spans="1:26" x14ac:dyDescent="0.25">
      <c r="A1532">
        <v>2024</v>
      </c>
      <c r="B1532">
        <v>27238</v>
      </c>
      <c r="C1532" t="s">
        <v>1384</v>
      </c>
      <c r="D1532" t="s">
        <v>84</v>
      </c>
      <c r="E1532" t="s">
        <v>85</v>
      </c>
      <c r="F1532" t="s">
        <v>86</v>
      </c>
      <c r="G1532" t="s">
        <v>226</v>
      </c>
      <c r="H1532" t="s">
        <v>91</v>
      </c>
      <c r="I1532" t="s">
        <v>227</v>
      </c>
      <c r="J1532">
        <v>61699</v>
      </c>
      <c r="K1532">
        <v>514552</v>
      </c>
      <c r="L1532">
        <v>41386</v>
      </c>
      <c r="M1532">
        <v>10676</v>
      </c>
      <c r="N1532">
        <v>97451</v>
      </c>
      <c r="O1532">
        <v>3308</v>
      </c>
      <c r="P1532" t="s">
        <v>97</v>
      </c>
      <c r="Q1532" t="s">
        <v>97</v>
      </c>
      <c r="R1532" t="s">
        <v>97</v>
      </c>
      <c r="S1532" t="s">
        <v>97</v>
      </c>
      <c r="T1532" t="s">
        <v>97</v>
      </c>
      <c r="U1532" t="s">
        <v>97</v>
      </c>
      <c r="V1532">
        <v>72375</v>
      </c>
      <c r="W1532">
        <v>612003</v>
      </c>
      <c r="X1532">
        <v>44694</v>
      </c>
      <c r="Y1532">
        <f t="shared" si="23"/>
        <v>612003</v>
      </c>
      <c r="Z1532" t="str">
        <f>IF(ISNUMBER(SEARCH("Adjustment",$C1532)),"excluded",IF($H1532="Behind the Meter","excluded",IF(NOT(OR($E1532="Bundled",$E1532="Energy")),"excluded",IF(OR($H1532="Retail Power Marketer",$H1532="Community Choice Aggregator",$E1532="Energy"),"procurement",IF(OR($H1532="Municipal",$H1532="Cooperative",$H1532="Federal",$H1532="State",$H1532="Political Subdivision"),"cost_service",IF($H1532="Investor Owned",IF(AND(COUNTIF(Parameters!$A$4:$A$33,$G1532)&gt;0,COUNTIF(Parameters!$B$4:$B$33,$B1532)=0),"procurement","cost_service"),"unclassified"))))))</f>
        <v>cost_service</v>
      </c>
    </row>
    <row r="1533" spans="1:26" x14ac:dyDescent="0.25">
      <c r="A1533">
        <v>2024</v>
      </c>
      <c r="B1533">
        <v>27369</v>
      </c>
      <c r="C1533" t="s">
        <v>1385</v>
      </c>
      <c r="D1533" t="s">
        <v>84</v>
      </c>
      <c r="E1533" t="s">
        <v>85</v>
      </c>
      <c r="F1533" t="s">
        <v>86</v>
      </c>
      <c r="G1533" t="s">
        <v>57</v>
      </c>
      <c r="H1533" t="s">
        <v>91</v>
      </c>
      <c r="I1533" t="s">
        <v>151</v>
      </c>
      <c r="J1533">
        <v>36659</v>
      </c>
      <c r="K1533">
        <v>238436</v>
      </c>
      <c r="L1533">
        <v>18722</v>
      </c>
      <c r="M1533">
        <v>10970.9</v>
      </c>
      <c r="N1533">
        <v>79117</v>
      </c>
      <c r="O1533">
        <v>2740</v>
      </c>
      <c r="P1533">
        <v>13843.9</v>
      </c>
      <c r="Q1533">
        <v>257744</v>
      </c>
      <c r="R1533">
        <v>16</v>
      </c>
      <c r="S1533" t="s">
        <v>97</v>
      </c>
      <c r="T1533" t="s">
        <v>97</v>
      </c>
      <c r="U1533" t="s">
        <v>97</v>
      </c>
      <c r="V1533">
        <v>61473.8</v>
      </c>
      <c r="W1533">
        <v>575297</v>
      </c>
      <c r="X1533">
        <v>21478</v>
      </c>
      <c r="Y1533">
        <f t="shared" si="23"/>
        <v>575297</v>
      </c>
      <c r="Z1533" t="str">
        <f>IF(ISNUMBER(SEARCH("Adjustment",$C1533)),"excluded",IF($H1533="Behind the Meter","excluded",IF(NOT(OR($E1533="Bundled",$E1533="Energy")),"excluded",IF(OR($H1533="Retail Power Marketer",$H1533="Community Choice Aggregator",$E1533="Energy"),"procurement",IF(OR($H1533="Municipal",$H1533="Cooperative",$H1533="Federal",$H1533="State",$H1533="Political Subdivision"),"cost_service",IF($H1533="Investor Owned",IF(AND(COUNTIF(Parameters!$A$4:$A$33,$G1533)&gt;0,COUNTIF(Parameters!$B$4:$B$33,$B1533)=0),"procurement","cost_service"),"unclassified"))))))</f>
        <v>cost_service</v>
      </c>
    </row>
    <row r="1534" spans="1:26" x14ac:dyDescent="0.25">
      <c r="A1534">
        <v>2024</v>
      </c>
      <c r="B1534">
        <v>27599</v>
      </c>
      <c r="C1534" t="s">
        <v>1386</v>
      </c>
      <c r="D1534" t="s">
        <v>84</v>
      </c>
      <c r="E1534" t="s">
        <v>85</v>
      </c>
      <c r="F1534" t="s">
        <v>86</v>
      </c>
      <c r="G1534" t="s">
        <v>130</v>
      </c>
      <c r="H1534" t="s">
        <v>91</v>
      </c>
      <c r="I1534" t="s">
        <v>96</v>
      </c>
      <c r="J1534">
        <v>28268</v>
      </c>
      <c r="K1534">
        <v>189289</v>
      </c>
      <c r="L1534">
        <v>14807</v>
      </c>
      <c r="M1534">
        <v>13359</v>
      </c>
      <c r="N1534">
        <v>115768</v>
      </c>
      <c r="O1534">
        <v>340</v>
      </c>
      <c r="P1534">
        <v>9743</v>
      </c>
      <c r="Q1534">
        <v>113424</v>
      </c>
      <c r="R1534">
        <v>2</v>
      </c>
      <c r="S1534" t="s">
        <v>97</v>
      </c>
      <c r="T1534" t="s">
        <v>97</v>
      </c>
      <c r="U1534" t="s">
        <v>97</v>
      </c>
      <c r="V1534">
        <v>51370</v>
      </c>
      <c r="W1534">
        <v>418481</v>
      </c>
      <c r="X1534">
        <v>15149</v>
      </c>
      <c r="Y1534">
        <f t="shared" si="23"/>
        <v>418481</v>
      </c>
      <c r="Z1534" t="str">
        <f>IF(ISNUMBER(SEARCH("Adjustment",$C1534)),"excluded",IF($H1534="Behind the Meter","excluded",IF(NOT(OR($E1534="Bundled",$E1534="Energy")),"excluded",IF(OR($H1534="Retail Power Marketer",$H1534="Community Choice Aggregator",$E1534="Energy"),"procurement",IF(OR($H1534="Municipal",$H1534="Cooperative",$H1534="Federal",$H1534="State",$H1534="Political Subdivision"),"cost_service",IF($H1534="Investor Owned",IF(AND(COUNTIF(Parameters!$A$4:$A$33,$G1534)&gt;0,COUNTIF(Parameters!$B$4:$B$33,$B1534)=0),"procurement","cost_service"),"unclassified"))))))</f>
        <v>cost_service</v>
      </c>
    </row>
    <row r="1535" spans="1:26" x14ac:dyDescent="0.25">
      <c r="A1535">
        <v>2024</v>
      </c>
      <c r="B1535">
        <v>28541</v>
      </c>
      <c r="C1535" t="s">
        <v>1387</v>
      </c>
      <c r="D1535" t="s">
        <v>84</v>
      </c>
      <c r="E1535" t="s">
        <v>85</v>
      </c>
      <c r="F1535" t="s">
        <v>86</v>
      </c>
      <c r="G1535" t="s">
        <v>219</v>
      </c>
      <c r="H1535" t="s">
        <v>205</v>
      </c>
      <c r="I1535" t="s">
        <v>206</v>
      </c>
      <c r="J1535">
        <v>5274.8</v>
      </c>
      <c r="K1535">
        <v>69492</v>
      </c>
      <c r="L1535">
        <v>3761</v>
      </c>
      <c r="M1535">
        <v>1517.9</v>
      </c>
      <c r="N1535">
        <v>21775</v>
      </c>
      <c r="O1535">
        <v>545</v>
      </c>
      <c r="P1535">
        <v>50372.3</v>
      </c>
      <c r="Q1535">
        <v>871556</v>
      </c>
      <c r="R1535">
        <v>6</v>
      </c>
      <c r="S1535">
        <v>0</v>
      </c>
      <c r="T1535">
        <v>0</v>
      </c>
      <c r="U1535">
        <v>0</v>
      </c>
      <c r="V1535">
        <v>57165</v>
      </c>
      <c r="W1535">
        <v>962823</v>
      </c>
      <c r="X1535">
        <v>4312</v>
      </c>
      <c r="Y1535">
        <f t="shared" si="23"/>
        <v>962823</v>
      </c>
      <c r="Z1535" t="str">
        <f>IF(ISNUMBER(SEARCH("Adjustment",$C1535)),"excluded",IF($H1535="Behind the Meter","excluded",IF(NOT(OR($E1535="Bundled",$E1535="Energy")),"excluded",IF(OR($H1535="Retail Power Marketer",$H1535="Community Choice Aggregator",$E1535="Energy"),"procurement",IF(OR($H1535="Municipal",$H1535="Cooperative",$H1535="Federal",$H1535="State",$H1535="Political Subdivision"),"cost_service",IF($H1535="Investor Owned",IF(AND(COUNTIF(Parameters!$A$4:$A$33,$G1535)&gt;0,COUNTIF(Parameters!$B$4:$B$33,$B1535)=0),"procurement","cost_service"),"unclassified"))))))</f>
        <v>cost_service</v>
      </c>
    </row>
    <row r="1536" spans="1:26" x14ac:dyDescent="0.25">
      <c r="A1536">
        <v>2024</v>
      </c>
      <c r="B1536">
        <v>28604</v>
      </c>
      <c r="C1536" t="s">
        <v>1388</v>
      </c>
      <c r="D1536" t="s">
        <v>84</v>
      </c>
      <c r="E1536" t="s">
        <v>85</v>
      </c>
      <c r="F1536" t="s">
        <v>86</v>
      </c>
      <c r="G1536" t="s">
        <v>57</v>
      </c>
      <c r="H1536" t="s">
        <v>88</v>
      </c>
      <c r="I1536" t="s">
        <v>151</v>
      </c>
      <c r="J1536">
        <v>24903.200000000001</v>
      </c>
      <c r="K1536">
        <v>285925</v>
      </c>
      <c r="L1536">
        <v>20278</v>
      </c>
      <c r="M1536">
        <v>18341.099999999999</v>
      </c>
      <c r="N1536">
        <v>222391</v>
      </c>
      <c r="O1536">
        <v>4109</v>
      </c>
      <c r="P1536" t="s">
        <v>97</v>
      </c>
      <c r="Q1536" t="s">
        <v>97</v>
      </c>
      <c r="R1536" t="s">
        <v>97</v>
      </c>
      <c r="S1536" t="s">
        <v>97</v>
      </c>
      <c r="T1536" t="s">
        <v>97</v>
      </c>
      <c r="U1536" t="s">
        <v>97</v>
      </c>
      <c r="V1536">
        <v>43244.3</v>
      </c>
      <c r="W1536">
        <v>508316</v>
      </c>
      <c r="X1536">
        <v>24387</v>
      </c>
      <c r="Y1536">
        <f t="shared" si="23"/>
        <v>508316</v>
      </c>
      <c r="Z1536" t="str">
        <f>IF(ISNUMBER(SEARCH("Adjustment",$C1536)),"excluded",IF($H1536="Behind the Meter","excluded",IF(NOT(OR($E1536="Bundled",$E1536="Energy")),"excluded",IF(OR($H1536="Retail Power Marketer",$H1536="Community Choice Aggregator",$E1536="Energy"),"procurement",IF(OR($H1536="Municipal",$H1536="Cooperative",$H1536="Federal",$H1536="State",$H1536="Political Subdivision"),"cost_service",IF($H1536="Investor Owned",IF(AND(COUNTIF(Parameters!$A$4:$A$33,$G1536)&gt;0,COUNTIF(Parameters!$B$4:$B$33,$B1536)=0),"procurement","cost_service"),"unclassified"))))))</f>
        <v>cost_service</v>
      </c>
    </row>
    <row r="1537" spans="1:26" x14ac:dyDescent="0.25">
      <c r="A1537">
        <v>2024</v>
      </c>
      <c r="B1537">
        <v>28802</v>
      </c>
      <c r="C1537" t="s">
        <v>1389</v>
      </c>
      <c r="D1537" t="s">
        <v>99</v>
      </c>
      <c r="E1537" t="s">
        <v>100</v>
      </c>
      <c r="F1537" t="s">
        <v>86</v>
      </c>
      <c r="G1537" t="s">
        <v>49</v>
      </c>
      <c r="H1537" t="s">
        <v>101</v>
      </c>
      <c r="I1537" t="s">
        <v>92</v>
      </c>
      <c r="J1537" t="s">
        <v>97</v>
      </c>
      <c r="K1537" t="s">
        <v>97</v>
      </c>
      <c r="L1537" t="s">
        <v>97</v>
      </c>
      <c r="M1537" t="s">
        <v>97</v>
      </c>
      <c r="N1537" t="s">
        <v>97</v>
      </c>
      <c r="O1537" t="s">
        <v>97</v>
      </c>
      <c r="P1537">
        <v>71</v>
      </c>
      <c r="Q1537">
        <v>1149</v>
      </c>
      <c r="R1537">
        <v>1</v>
      </c>
      <c r="S1537" t="s">
        <v>97</v>
      </c>
      <c r="T1537" t="s">
        <v>97</v>
      </c>
      <c r="U1537" t="s">
        <v>97</v>
      </c>
      <c r="V1537">
        <v>71</v>
      </c>
      <c r="W1537">
        <v>1149</v>
      </c>
      <c r="X1537">
        <v>1</v>
      </c>
      <c r="Y1537">
        <f t="shared" si="23"/>
        <v>1149</v>
      </c>
      <c r="Z1537" t="str">
        <f>IF(ISNUMBER(SEARCH("Adjustment",$C1537)),"excluded",IF($H1537="Behind the Meter","excluded",IF(NOT(OR($E1537="Bundled",$E1537="Energy")),"excluded",IF(OR($H1537="Retail Power Marketer",$H1537="Community Choice Aggregator",$E1537="Energy"),"procurement",IF(OR($H1537="Municipal",$H1537="Cooperative",$H1537="Federal",$H1537="State",$H1537="Political Subdivision"),"cost_service",IF($H1537="Investor Owned",IF(AND(COUNTIF(Parameters!$A$4:$A$33,$G1537)&gt;0,COUNTIF(Parameters!$B$4:$B$33,$B1537)=0),"procurement","cost_service"),"unclassified"))))))</f>
        <v>procurement</v>
      </c>
    </row>
    <row r="1538" spans="1:26" x14ac:dyDescent="0.25">
      <c r="A1538">
        <v>2024</v>
      </c>
      <c r="B1538">
        <v>28802</v>
      </c>
      <c r="C1538" t="s">
        <v>1389</v>
      </c>
      <c r="D1538" t="s">
        <v>99</v>
      </c>
      <c r="E1538" t="s">
        <v>100</v>
      </c>
      <c r="F1538" t="s">
        <v>86</v>
      </c>
      <c r="G1538" t="s">
        <v>491</v>
      </c>
      <c r="H1538" t="s">
        <v>101</v>
      </c>
      <c r="I1538" t="s">
        <v>844</v>
      </c>
      <c r="J1538" t="s">
        <v>97</v>
      </c>
      <c r="K1538" t="s">
        <v>97</v>
      </c>
      <c r="L1538" t="s">
        <v>97</v>
      </c>
      <c r="M1538">
        <v>1553</v>
      </c>
      <c r="N1538">
        <v>17518</v>
      </c>
      <c r="O1538">
        <v>1</v>
      </c>
      <c r="P1538">
        <v>19047</v>
      </c>
      <c r="Q1538">
        <v>236714</v>
      </c>
      <c r="R1538">
        <v>4</v>
      </c>
      <c r="S1538" t="s">
        <v>97</v>
      </c>
      <c r="T1538" t="s">
        <v>97</v>
      </c>
      <c r="U1538" t="s">
        <v>97</v>
      </c>
      <c r="V1538">
        <v>20600</v>
      </c>
      <c r="W1538">
        <v>254232</v>
      </c>
      <c r="X1538">
        <v>5</v>
      </c>
      <c r="Y1538">
        <f t="shared" si="23"/>
        <v>254232</v>
      </c>
      <c r="Z1538" t="str">
        <f>IF(ISNUMBER(SEARCH("Adjustment",$C1538)),"excluded",IF($H1538="Behind the Meter","excluded",IF(NOT(OR($E1538="Bundled",$E1538="Energy")),"excluded",IF(OR($H1538="Retail Power Marketer",$H1538="Community Choice Aggregator",$E1538="Energy"),"procurement",IF(OR($H1538="Municipal",$H1538="Cooperative",$H1538="Federal",$H1538="State",$H1538="Political Subdivision"),"cost_service",IF($H1538="Investor Owned",IF(AND(COUNTIF(Parameters!$A$4:$A$33,$G1538)&gt;0,COUNTIF(Parameters!$B$4:$B$33,$B1538)=0),"procurement","cost_service"),"unclassified"))))))</f>
        <v>procurement</v>
      </c>
    </row>
    <row r="1539" spans="1:26" x14ac:dyDescent="0.25">
      <c r="A1539">
        <v>2024</v>
      </c>
      <c r="B1539">
        <v>28802</v>
      </c>
      <c r="C1539" t="s">
        <v>1389</v>
      </c>
      <c r="D1539" t="s">
        <v>99</v>
      </c>
      <c r="E1539" t="s">
        <v>100</v>
      </c>
      <c r="F1539" t="s">
        <v>86</v>
      </c>
      <c r="G1539" t="s">
        <v>52</v>
      </c>
      <c r="H1539" t="s">
        <v>101</v>
      </c>
      <c r="I1539" t="s">
        <v>92</v>
      </c>
      <c r="J1539" t="s">
        <v>97</v>
      </c>
      <c r="K1539" t="s">
        <v>97</v>
      </c>
      <c r="L1539" t="s">
        <v>97</v>
      </c>
      <c r="M1539" t="s">
        <v>97</v>
      </c>
      <c r="N1539" t="s">
        <v>97</v>
      </c>
      <c r="O1539" t="s">
        <v>97</v>
      </c>
      <c r="P1539">
        <v>36</v>
      </c>
      <c r="Q1539">
        <v>928</v>
      </c>
      <c r="R1539">
        <v>1</v>
      </c>
      <c r="S1539" t="s">
        <v>97</v>
      </c>
      <c r="T1539" t="s">
        <v>97</v>
      </c>
      <c r="U1539" t="s">
        <v>97</v>
      </c>
      <c r="V1539">
        <v>36</v>
      </c>
      <c r="W1539">
        <v>928</v>
      </c>
      <c r="X1539">
        <v>1</v>
      </c>
      <c r="Y1539">
        <f t="shared" si="23"/>
        <v>928</v>
      </c>
      <c r="Z1539" t="str">
        <f>IF(ISNUMBER(SEARCH("Adjustment",$C1539)),"excluded",IF($H1539="Behind the Meter","excluded",IF(NOT(OR($E1539="Bundled",$E1539="Energy")),"excluded",IF(OR($H1539="Retail Power Marketer",$H1539="Community Choice Aggregator",$E1539="Energy"),"procurement",IF(OR($H1539="Municipal",$H1539="Cooperative",$H1539="Federal",$H1539="State",$H1539="Political Subdivision"),"cost_service",IF($H1539="Investor Owned",IF(AND(COUNTIF(Parameters!$A$4:$A$33,$G1539)&gt;0,COUNTIF(Parameters!$B$4:$B$33,$B1539)=0),"procurement","cost_service"),"unclassified"))))))</f>
        <v>procurement</v>
      </c>
    </row>
    <row r="1540" spans="1:26" x14ac:dyDescent="0.25">
      <c r="A1540">
        <v>2024</v>
      </c>
      <c r="B1540">
        <v>28802</v>
      </c>
      <c r="C1540" t="s">
        <v>1389</v>
      </c>
      <c r="D1540" t="s">
        <v>99</v>
      </c>
      <c r="E1540" t="s">
        <v>100</v>
      </c>
      <c r="F1540" t="s">
        <v>86</v>
      </c>
      <c r="G1540" t="s">
        <v>55</v>
      </c>
      <c r="H1540" t="s">
        <v>101</v>
      </c>
      <c r="I1540" t="s">
        <v>92</v>
      </c>
      <c r="J1540" t="s">
        <v>97</v>
      </c>
      <c r="K1540" t="s">
        <v>97</v>
      </c>
      <c r="L1540" t="s">
        <v>97</v>
      </c>
      <c r="M1540" t="s">
        <v>97</v>
      </c>
      <c r="N1540" t="s">
        <v>97</v>
      </c>
      <c r="O1540" t="s">
        <v>97</v>
      </c>
      <c r="P1540">
        <v>1429</v>
      </c>
      <c r="Q1540">
        <v>34777</v>
      </c>
      <c r="R1540">
        <v>4</v>
      </c>
      <c r="S1540" t="s">
        <v>97</v>
      </c>
      <c r="T1540" t="s">
        <v>97</v>
      </c>
      <c r="U1540" t="s">
        <v>97</v>
      </c>
      <c r="V1540">
        <v>1429</v>
      </c>
      <c r="W1540">
        <v>34777</v>
      </c>
      <c r="X1540">
        <v>4</v>
      </c>
      <c r="Y1540">
        <f t="shared" ref="Y1540:Y1603" si="24">IF(ISNUMBER($W1540),$W1540,0)</f>
        <v>34777</v>
      </c>
      <c r="Z1540" t="str">
        <f>IF(ISNUMBER(SEARCH("Adjustment",$C1540)),"excluded",IF($H1540="Behind the Meter","excluded",IF(NOT(OR($E1540="Bundled",$E1540="Energy")),"excluded",IF(OR($H1540="Retail Power Marketer",$H1540="Community Choice Aggregator",$E1540="Energy"),"procurement",IF(OR($H1540="Municipal",$H1540="Cooperative",$H1540="Federal",$H1540="State",$H1540="Political Subdivision"),"cost_service",IF($H1540="Investor Owned",IF(AND(COUNTIF(Parameters!$A$4:$A$33,$G1540)&gt;0,COUNTIF(Parameters!$B$4:$B$33,$B1540)=0),"procurement","cost_service"),"unclassified"))))))</f>
        <v>procurement</v>
      </c>
    </row>
    <row r="1541" spans="1:26" x14ac:dyDescent="0.25">
      <c r="A1541">
        <v>2024</v>
      </c>
      <c r="B1541">
        <v>28802</v>
      </c>
      <c r="C1541" t="s">
        <v>1389</v>
      </c>
      <c r="D1541" t="s">
        <v>150</v>
      </c>
      <c r="E1541" t="s">
        <v>85</v>
      </c>
      <c r="F1541" t="s">
        <v>86</v>
      </c>
      <c r="G1541" t="s">
        <v>57</v>
      </c>
      <c r="H1541" t="s">
        <v>101</v>
      </c>
      <c r="I1541" t="s">
        <v>151</v>
      </c>
      <c r="J1541" t="s">
        <v>97</v>
      </c>
      <c r="K1541" t="s">
        <v>97</v>
      </c>
      <c r="L1541" t="s">
        <v>97</v>
      </c>
      <c r="M1541" t="s">
        <v>97</v>
      </c>
      <c r="N1541" t="s">
        <v>97</v>
      </c>
      <c r="O1541" t="s">
        <v>97</v>
      </c>
      <c r="P1541">
        <v>322</v>
      </c>
      <c r="Q1541">
        <v>16648</v>
      </c>
      <c r="R1541">
        <v>3</v>
      </c>
      <c r="S1541" t="s">
        <v>97</v>
      </c>
      <c r="T1541" t="s">
        <v>97</v>
      </c>
      <c r="U1541" t="s">
        <v>97</v>
      </c>
      <c r="V1541">
        <v>322</v>
      </c>
      <c r="W1541">
        <v>16648</v>
      </c>
      <c r="X1541">
        <v>3</v>
      </c>
      <c r="Y1541">
        <f t="shared" si="24"/>
        <v>16648</v>
      </c>
      <c r="Z1541" t="str">
        <f>IF(ISNUMBER(SEARCH("Adjustment",$C1541)),"excluded",IF($H1541="Behind the Meter","excluded",IF(NOT(OR($E1541="Bundled",$E1541="Energy")),"excluded",IF(OR($H1541="Retail Power Marketer",$H1541="Community Choice Aggregator",$E1541="Energy"),"procurement",IF(OR($H1541="Municipal",$H1541="Cooperative",$H1541="Federal",$H1541="State",$H1541="Political Subdivision"),"cost_service",IF($H1541="Investor Owned",IF(AND(COUNTIF(Parameters!$A$4:$A$33,$G1541)&gt;0,COUNTIF(Parameters!$B$4:$B$33,$B1541)=0),"procurement","cost_service"),"unclassified"))))))</f>
        <v>procurement</v>
      </c>
    </row>
    <row r="1542" spans="1:26" x14ac:dyDescent="0.25">
      <c r="A1542">
        <v>2024</v>
      </c>
      <c r="B1542">
        <v>28978</v>
      </c>
      <c r="C1542" t="s">
        <v>1390</v>
      </c>
      <c r="D1542" t="s">
        <v>84</v>
      </c>
      <c r="E1542" t="s">
        <v>85</v>
      </c>
      <c r="F1542" t="s">
        <v>86</v>
      </c>
      <c r="G1542" t="s">
        <v>57</v>
      </c>
      <c r="H1542" t="s">
        <v>88</v>
      </c>
      <c r="I1542" t="s">
        <v>151</v>
      </c>
      <c r="J1542">
        <v>29281</v>
      </c>
      <c r="K1542">
        <v>243423</v>
      </c>
      <c r="L1542">
        <v>22261</v>
      </c>
      <c r="M1542">
        <v>41801</v>
      </c>
      <c r="N1542">
        <v>399413</v>
      </c>
      <c r="O1542">
        <v>3761</v>
      </c>
      <c r="P1542">
        <v>240</v>
      </c>
      <c r="Q1542">
        <v>2422</v>
      </c>
      <c r="R1542">
        <v>2</v>
      </c>
      <c r="S1542" t="s">
        <v>97</v>
      </c>
      <c r="T1542" t="s">
        <v>97</v>
      </c>
      <c r="U1542" t="s">
        <v>97</v>
      </c>
      <c r="V1542">
        <v>71322</v>
      </c>
      <c r="W1542">
        <v>645258</v>
      </c>
      <c r="X1542">
        <v>26024</v>
      </c>
      <c r="Y1542">
        <f t="shared" si="24"/>
        <v>645258</v>
      </c>
      <c r="Z1542" t="str">
        <f>IF(ISNUMBER(SEARCH("Adjustment",$C1542)),"excluded",IF($H1542="Behind the Meter","excluded",IF(NOT(OR($E1542="Bundled",$E1542="Energy")),"excluded",IF(OR($H1542="Retail Power Marketer",$H1542="Community Choice Aggregator",$E1542="Energy"),"procurement",IF(OR($H1542="Municipal",$H1542="Cooperative",$H1542="Federal",$H1542="State",$H1542="Political Subdivision"),"cost_service",IF($H1542="Investor Owned",IF(AND(COUNTIF(Parameters!$A$4:$A$33,$G1542)&gt;0,COUNTIF(Parameters!$B$4:$B$33,$B1542)=0),"procurement","cost_service"),"unclassified"))))))</f>
        <v>cost_service</v>
      </c>
    </row>
    <row r="1543" spans="1:26" x14ac:dyDescent="0.25">
      <c r="A1543">
        <v>2024</v>
      </c>
      <c r="B1543">
        <v>30518</v>
      </c>
      <c r="C1543" t="s">
        <v>1391</v>
      </c>
      <c r="D1543" t="s">
        <v>84</v>
      </c>
      <c r="E1543" t="s">
        <v>85</v>
      </c>
      <c r="F1543" t="s">
        <v>86</v>
      </c>
      <c r="G1543" t="s">
        <v>108</v>
      </c>
      <c r="H1543" t="s">
        <v>205</v>
      </c>
      <c r="I1543" t="s">
        <v>110</v>
      </c>
      <c r="J1543">
        <v>63271.5</v>
      </c>
      <c r="K1543">
        <v>454173</v>
      </c>
      <c r="L1543">
        <v>32009</v>
      </c>
      <c r="M1543">
        <v>24108.7</v>
      </c>
      <c r="N1543">
        <v>192543</v>
      </c>
      <c r="O1543">
        <v>2106</v>
      </c>
      <c r="P1543">
        <v>11621.2</v>
      </c>
      <c r="Q1543">
        <v>222524</v>
      </c>
      <c r="R1543">
        <v>411</v>
      </c>
      <c r="S1543" t="s">
        <v>97</v>
      </c>
      <c r="T1543" t="s">
        <v>97</v>
      </c>
      <c r="U1543" t="s">
        <v>97</v>
      </c>
      <c r="V1543">
        <v>99001.4</v>
      </c>
      <c r="W1543">
        <v>869240</v>
      </c>
      <c r="X1543">
        <v>34526</v>
      </c>
      <c r="Y1543">
        <f t="shared" si="24"/>
        <v>869240</v>
      </c>
      <c r="Z1543" t="str">
        <f>IF(ISNUMBER(SEARCH("Adjustment",$C1543)),"excluded",IF($H1543="Behind the Meter","excluded",IF(NOT(OR($E1543="Bundled",$E1543="Energy")),"excluded",IF(OR($H1543="Retail Power Marketer",$H1543="Community Choice Aggregator",$E1543="Energy"),"procurement",IF(OR($H1543="Municipal",$H1543="Cooperative",$H1543="Federal",$H1543="State",$H1543="Political Subdivision"),"cost_service",IF($H1543="Investor Owned",IF(AND(COUNTIF(Parameters!$A$4:$A$33,$G1543)&gt;0,COUNTIF(Parameters!$B$4:$B$33,$B1543)=0),"procurement","cost_service"),"unclassified"))))))</f>
        <v>cost_service</v>
      </c>
    </row>
    <row r="1544" spans="1:26" x14ac:dyDescent="0.25">
      <c r="A1544">
        <v>2024</v>
      </c>
      <c r="B1544">
        <v>31833</v>
      </c>
      <c r="C1544" t="s">
        <v>1392</v>
      </c>
      <c r="D1544" t="s">
        <v>84</v>
      </c>
      <c r="E1544" t="s">
        <v>85</v>
      </c>
      <c r="F1544" t="s">
        <v>86</v>
      </c>
      <c r="G1544" t="s">
        <v>195</v>
      </c>
      <c r="H1544" t="s">
        <v>91</v>
      </c>
      <c r="I1544" t="s">
        <v>113</v>
      </c>
      <c r="J1544">
        <v>23803.599999999999</v>
      </c>
      <c r="K1544">
        <v>170669</v>
      </c>
      <c r="L1544">
        <v>11088</v>
      </c>
      <c r="M1544">
        <v>2116.1</v>
      </c>
      <c r="N1544">
        <v>15583</v>
      </c>
      <c r="O1544">
        <v>591</v>
      </c>
      <c r="P1544">
        <v>0</v>
      </c>
      <c r="Q1544">
        <v>0</v>
      </c>
      <c r="R1544">
        <v>0</v>
      </c>
      <c r="S1544" t="s">
        <v>97</v>
      </c>
      <c r="T1544" t="s">
        <v>97</v>
      </c>
      <c r="U1544" t="s">
        <v>97</v>
      </c>
      <c r="V1544">
        <v>25919.7</v>
      </c>
      <c r="W1544">
        <v>186252</v>
      </c>
      <c r="X1544">
        <v>11679</v>
      </c>
      <c r="Y1544">
        <f t="shared" si="24"/>
        <v>186252</v>
      </c>
      <c r="Z1544" t="str">
        <f>IF(ISNUMBER(SEARCH("Adjustment",$C1544)),"excluded",IF($H1544="Behind the Meter","excluded",IF(NOT(OR($E1544="Bundled",$E1544="Energy")),"excluded",IF(OR($H1544="Retail Power Marketer",$H1544="Community Choice Aggregator",$E1544="Energy"),"procurement",IF(OR($H1544="Municipal",$H1544="Cooperative",$H1544="Federal",$H1544="State",$H1544="Political Subdivision"),"cost_service",IF($H1544="Investor Owned",IF(AND(COUNTIF(Parameters!$A$4:$A$33,$G1544)&gt;0,COUNTIF(Parameters!$B$4:$B$33,$B1544)=0),"procurement","cost_service"),"unclassified"))))))</f>
        <v>cost_service</v>
      </c>
    </row>
    <row r="1545" spans="1:26" x14ac:dyDescent="0.25">
      <c r="A1545">
        <v>2024</v>
      </c>
      <c r="B1545">
        <v>31833</v>
      </c>
      <c r="C1545" t="s">
        <v>1392</v>
      </c>
      <c r="D1545" t="s">
        <v>84</v>
      </c>
      <c r="E1545" t="s">
        <v>85</v>
      </c>
      <c r="F1545" t="s">
        <v>86</v>
      </c>
      <c r="G1545" t="s">
        <v>123</v>
      </c>
      <c r="H1545" t="s">
        <v>91</v>
      </c>
      <c r="I1545" t="s">
        <v>113</v>
      </c>
      <c r="J1545">
        <v>54544.3</v>
      </c>
      <c r="K1545">
        <v>383096</v>
      </c>
      <c r="L1545">
        <v>27736</v>
      </c>
      <c r="M1545">
        <v>8077.3</v>
      </c>
      <c r="N1545">
        <v>61784</v>
      </c>
      <c r="O1545">
        <v>2236</v>
      </c>
      <c r="P1545">
        <v>8384.7000000000007</v>
      </c>
      <c r="Q1545">
        <v>227268</v>
      </c>
      <c r="R1545">
        <v>3</v>
      </c>
      <c r="S1545" t="s">
        <v>97</v>
      </c>
      <c r="T1545" t="s">
        <v>97</v>
      </c>
      <c r="U1545" t="s">
        <v>97</v>
      </c>
      <c r="V1545">
        <v>71006.3</v>
      </c>
      <c r="W1545">
        <v>672148</v>
      </c>
      <c r="X1545">
        <v>29975</v>
      </c>
      <c r="Y1545">
        <f t="shared" si="24"/>
        <v>672148</v>
      </c>
      <c r="Z1545" t="str">
        <f>IF(ISNUMBER(SEARCH("Adjustment",$C1545)),"excluded",IF($H1545="Behind the Meter","excluded",IF(NOT(OR($E1545="Bundled",$E1545="Energy")),"excluded",IF(OR($H1545="Retail Power Marketer",$H1545="Community Choice Aggregator",$E1545="Energy"),"procurement",IF(OR($H1545="Municipal",$H1545="Cooperative",$H1545="Federal",$H1545="State",$H1545="Political Subdivision"),"cost_service",IF($H1545="Investor Owned",IF(AND(COUNTIF(Parameters!$A$4:$A$33,$G1545)&gt;0,COUNTIF(Parameters!$B$4:$B$33,$B1545)=0),"procurement","cost_service"),"unclassified"))))))</f>
        <v>cost_service</v>
      </c>
    </row>
    <row r="1546" spans="1:26" x14ac:dyDescent="0.25">
      <c r="A1546">
        <v>2024</v>
      </c>
      <c r="B1546">
        <v>38084</v>
      </c>
      <c r="C1546" t="s">
        <v>1393</v>
      </c>
      <c r="D1546" t="s">
        <v>84</v>
      </c>
      <c r="E1546" t="s">
        <v>85</v>
      </c>
      <c r="F1546" t="s">
        <v>86</v>
      </c>
      <c r="G1546" t="s">
        <v>140</v>
      </c>
      <c r="H1546" t="s">
        <v>91</v>
      </c>
      <c r="I1546" t="s">
        <v>96</v>
      </c>
      <c r="J1546">
        <v>169510.9</v>
      </c>
      <c r="K1546">
        <v>884220</v>
      </c>
      <c r="L1546">
        <v>120645</v>
      </c>
      <c r="M1546">
        <v>30329.7</v>
      </c>
      <c r="N1546">
        <v>184901</v>
      </c>
      <c r="O1546">
        <v>11315</v>
      </c>
      <c r="P1546">
        <v>50799.4</v>
      </c>
      <c r="Q1546">
        <v>528391</v>
      </c>
      <c r="R1546">
        <v>292</v>
      </c>
      <c r="S1546" t="s">
        <v>97</v>
      </c>
      <c r="T1546" t="s">
        <v>97</v>
      </c>
      <c r="U1546" t="s">
        <v>97</v>
      </c>
      <c r="V1546">
        <v>250640</v>
      </c>
      <c r="W1546">
        <v>1597512</v>
      </c>
      <c r="X1546">
        <v>132252</v>
      </c>
      <c r="Y1546">
        <f t="shared" si="24"/>
        <v>1597512</v>
      </c>
      <c r="Z1546" t="str">
        <f>IF(ISNUMBER(SEARCH("Adjustment",$C1546)),"excluded",IF($H1546="Behind the Meter","excluded",IF(NOT(OR($E1546="Bundled",$E1546="Energy")),"excluded",IF(OR($H1546="Retail Power Marketer",$H1546="Community Choice Aggregator",$E1546="Energy"),"procurement",IF(OR($H1546="Municipal",$H1546="Cooperative",$H1546="Federal",$H1546="State",$H1546="Political Subdivision"),"cost_service",IF($H1546="Investor Owned",IF(AND(COUNTIF(Parameters!$A$4:$A$33,$G1546)&gt;0,COUNTIF(Parameters!$B$4:$B$33,$B1546)=0),"procurement","cost_service"),"unclassified"))))))</f>
        <v>cost_service</v>
      </c>
    </row>
    <row r="1547" spans="1:26" x14ac:dyDescent="0.25">
      <c r="A1547">
        <v>2024</v>
      </c>
      <c r="B1547">
        <v>40036</v>
      </c>
      <c r="C1547" t="s">
        <v>1394</v>
      </c>
      <c r="D1547" t="s">
        <v>84</v>
      </c>
      <c r="E1547" t="s">
        <v>85</v>
      </c>
      <c r="F1547" t="s">
        <v>86</v>
      </c>
      <c r="G1547" t="s">
        <v>95</v>
      </c>
      <c r="H1547" t="s">
        <v>109</v>
      </c>
      <c r="I1547" t="s">
        <v>96</v>
      </c>
      <c r="J1547">
        <v>758</v>
      </c>
      <c r="K1547">
        <v>4226</v>
      </c>
      <c r="L1547">
        <v>622</v>
      </c>
      <c r="M1547">
        <v>770</v>
      </c>
      <c r="N1547">
        <v>4538</v>
      </c>
      <c r="O1547">
        <v>143</v>
      </c>
      <c r="P1547">
        <v>782</v>
      </c>
      <c r="Q1547">
        <v>4526</v>
      </c>
      <c r="R1547">
        <v>30</v>
      </c>
      <c r="S1547">
        <v>0</v>
      </c>
      <c r="T1547">
        <v>0</v>
      </c>
      <c r="U1547">
        <v>0</v>
      </c>
      <c r="V1547">
        <v>2310</v>
      </c>
      <c r="W1547">
        <v>13290</v>
      </c>
      <c r="X1547">
        <v>795</v>
      </c>
      <c r="Y1547">
        <f t="shared" si="24"/>
        <v>13290</v>
      </c>
      <c r="Z1547" t="str">
        <f>IF(ISNUMBER(SEARCH("Adjustment",$C1547)),"excluded",IF($H1547="Behind the Meter","excluded",IF(NOT(OR($E1547="Bundled",$E1547="Energy")),"excluded",IF(OR($H1547="Retail Power Marketer",$H1547="Community Choice Aggregator",$E1547="Energy"),"procurement",IF(OR($H1547="Municipal",$H1547="Cooperative",$H1547="Federal",$H1547="State",$H1547="Political Subdivision"),"cost_service",IF($H1547="Investor Owned",IF(AND(COUNTIF(Parameters!$A$4:$A$33,$G1547)&gt;0,COUNTIF(Parameters!$B$4:$B$33,$B1547)=0),"procurement","cost_service"),"unclassified"))))))</f>
        <v>cost_service</v>
      </c>
    </row>
    <row r="1548" spans="1:26" x14ac:dyDescent="0.25">
      <c r="A1548">
        <v>2024</v>
      </c>
      <c r="B1548">
        <v>40127</v>
      </c>
      <c r="C1548" t="s">
        <v>1395</v>
      </c>
      <c r="D1548" t="s">
        <v>84</v>
      </c>
      <c r="E1548" t="s">
        <v>85</v>
      </c>
      <c r="F1548" t="s">
        <v>86</v>
      </c>
      <c r="G1548" t="s">
        <v>112</v>
      </c>
      <c r="H1548" t="s">
        <v>91</v>
      </c>
      <c r="I1548" t="s">
        <v>113</v>
      </c>
      <c r="J1548">
        <v>34811</v>
      </c>
      <c r="K1548">
        <v>220870</v>
      </c>
      <c r="L1548">
        <v>18708</v>
      </c>
      <c r="M1548">
        <v>5615</v>
      </c>
      <c r="N1548">
        <v>38074</v>
      </c>
      <c r="O1548">
        <v>1793</v>
      </c>
      <c r="P1548">
        <v>2631</v>
      </c>
      <c r="Q1548">
        <v>21231</v>
      </c>
      <c r="R1548">
        <v>61</v>
      </c>
      <c r="S1548" t="s">
        <v>97</v>
      </c>
      <c r="T1548" t="s">
        <v>97</v>
      </c>
      <c r="U1548" t="s">
        <v>97</v>
      </c>
      <c r="V1548">
        <v>43057</v>
      </c>
      <c r="W1548">
        <v>280175</v>
      </c>
      <c r="X1548">
        <v>20562</v>
      </c>
      <c r="Y1548">
        <f t="shared" si="24"/>
        <v>280175</v>
      </c>
      <c r="Z1548" t="str">
        <f>IF(ISNUMBER(SEARCH("Adjustment",$C1548)),"excluded",IF($H1548="Behind the Meter","excluded",IF(NOT(OR($E1548="Bundled",$E1548="Energy")),"excluded",IF(OR($H1548="Retail Power Marketer",$H1548="Community Choice Aggregator",$E1548="Energy"),"procurement",IF(OR($H1548="Municipal",$H1548="Cooperative",$H1548="Federal",$H1548="State",$H1548="Political Subdivision"),"cost_service",IF($H1548="Investor Owned",IF(AND(COUNTIF(Parameters!$A$4:$A$33,$G1548)&gt;0,COUNTIF(Parameters!$B$4:$B$33,$B1548)=0),"procurement","cost_service"),"unclassified"))))))</f>
        <v>cost_service</v>
      </c>
    </row>
    <row r="1549" spans="1:26" x14ac:dyDescent="0.25">
      <c r="A1549">
        <v>2024</v>
      </c>
      <c r="B1549">
        <v>40165</v>
      </c>
      <c r="C1549" t="s">
        <v>1396</v>
      </c>
      <c r="D1549" t="s">
        <v>84</v>
      </c>
      <c r="E1549" t="s">
        <v>85</v>
      </c>
      <c r="F1549" t="s">
        <v>86</v>
      </c>
      <c r="G1549" t="s">
        <v>108</v>
      </c>
      <c r="H1549" t="s">
        <v>91</v>
      </c>
      <c r="I1549" t="s">
        <v>246</v>
      </c>
      <c r="J1549">
        <v>3464.1</v>
      </c>
      <c r="K1549">
        <v>36073</v>
      </c>
      <c r="L1549">
        <v>2790</v>
      </c>
      <c r="M1549">
        <v>1233.0999999999999</v>
      </c>
      <c r="N1549">
        <v>13744</v>
      </c>
      <c r="O1549">
        <v>355</v>
      </c>
      <c r="P1549" t="s">
        <v>97</v>
      </c>
      <c r="Q1549" t="s">
        <v>97</v>
      </c>
      <c r="R1549" t="s">
        <v>97</v>
      </c>
      <c r="S1549" t="s">
        <v>97</v>
      </c>
      <c r="T1549" t="s">
        <v>97</v>
      </c>
      <c r="U1549" t="s">
        <v>97</v>
      </c>
      <c r="V1549">
        <v>4697.2</v>
      </c>
      <c r="W1549">
        <v>49817</v>
      </c>
      <c r="X1549">
        <v>3145</v>
      </c>
      <c r="Y1549">
        <f t="shared" si="24"/>
        <v>49817</v>
      </c>
      <c r="Z1549" t="str">
        <f>IF(ISNUMBER(SEARCH("Adjustment",$C1549)),"excluded",IF($H1549="Behind the Meter","excluded",IF(NOT(OR($E1549="Bundled",$E1549="Energy")),"excluded",IF(OR($H1549="Retail Power Marketer",$H1549="Community Choice Aggregator",$E1549="Energy"),"procurement",IF(OR($H1549="Municipal",$H1549="Cooperative",$H1549="Federal",$H1549="State",$H1549="Political Subdivision"),"cost_service",IF($H1549="Investor Owned",IF(AND(COUNTIF(Parameters!$A$4:$A$33,$G1549)&gt;0,COUNTIF(Parameters!$B$4:$B$33,$B1549)=0),"procurement","cost_service"),"unclassified"))))))</f>
        <v>cost_service</v>
      </c>
    </row>
    <row r="1550" spans="1:26" x14ac:dyDescent="0.25">
      <c r="A1550">
        <v>2024</v>
      </c>
      <c r="B1550">
        <v>40165</v>
      </c>
      <c r="C1550" t="s">
        <v>1396</v>
      </c>
      <c r="D1550" t="s">
        <v>84</v>
      </c>
      <c r="E1550" t="s">
        <v>85</v>
      </c>
      <c r="F1550" t="s">
        <v>86</v>
      </c>
      <c r="G1550" t="s">
        <v>245</v>
      </c>
      <c r="H1550" t="s">
        <v>91</v>
      </c>
      <c r="I1550" t="s">
        <v>246</v>
      </c>
      <c r="J1550">
        <v>40247.300000000003</v>
      </c>
      <c r="K1550">
        <v>451026</v>
      </c>
      <c r="L1550">
        <v>26906</v>
      </c>
      <c r="M1550">
        <v>16633.3</v>
      </c>
      <c r="N1550">
        <v>231816</v>
      </c>
      <c r="O1550">
        <v>3032</v>
      </c>
      <c r="P1550">
        <v>1595.1</v>
      </c>
      <c r="Q1550">
        <v>22953</v>
      </c>
      <c r="R1550">
        <v>1</v>
      </c>
      <c r="S1550" t="s">
        <v>97</v>
      </c>
      <c r="T1550" t="s">
        <v>97</v>
      </c>
      <c r="U1550" t="s">
        <v>97</v>
      </c>
      <c r="V1550">
        <v>58475.7</v>
      </c>
      <c r="W1550">
        <v>705795</v>
      </c>
      <c r="X1550">
        <v>29939</v>
      </c>
      <c r="Y1550">
        <f t="shared" si="24"/>
        <v>705795</v>
      </c>
      <c r="Z1550" t="str">
        <f>IF(ISNUMBER(SEARCH("Adjustment",$C1550)),"excluded",IF($H1550="Behind the Meter","excluded",IF(NOT(OR($E1550="Bundled",$E1550="Energy")),"excluded",IF(OR($H1550="Retail Power Marketer",$H1550="Community Choice Aggregator",$E1550="Energy"),"procurement",IF(OR($H1550="Municipal",$H1550="Cooperative",$H1550="Federal",$H1550="State",$H1550="Political Subdivision"),"cost_service",IF($H1550="Investor Owned",IF(AND(COUNTIF(Parameters!$A$4:$A$33,$G1550)&gt;0,COUNTIF(Parameters!$B$4:$B$33,$B1550)=0),"procurement","cost_service"),"unclassified"))))))</f>
        <v>cost_service</v>
      </c>
    </row>
    <row r="1551" spans="1:26" x14ac:dyDescent="0.25">
      <c r="A1551">
        <v>2024</v>
      </c>
      <c r="B1551">
        <v>40166</v>
      </c>
      <c r="C1551" t="s">
        <v>1397</v>
      </c>
      <c r="D1551" t="s">
        <v>84</v>
      </c>
      <c r="E1551" t="s">
        <v>85</v>
      </c>
      <c r="F1551" t="s">
        <v>86</v>
      </c>
      <c r="G1551" t="s">
        <v>156</v>
      </c>
      <c r="H1551" t="s">
        <v>91</v>
      </c>
      <c r="I1551" t="s">
        <v>89</v>
      </c>
      <c r="J1551">
        <v>35972</v>
      </c>
      <c r="K1551">
        <v>326957</v>
      </c>
      <c r="L1551">
        <v>19576</v>
      </c>
      <c r="M1551">
        <v>20326</v>
      </c>
      <c r="N1551">
        <v>180362</v>
      </c>
      <c r="O1551">
        <v>3527</v>
      </c>
      <c r="P1551">
        <v>1736</v>
      </c>
      <c r="Q1551">
        <v>29927</v>
      </c>
      <c r="R1551">
        <v>3</v>
      </c>
      <c r="S1551">
        <v>0</v>
      </c>
      <c r="T1551">
        <v>0</v>
      </c>
      <c r="U1551">
        <v>0</v>
      </c>
      <c r="V1551">
        <v>58034</v>
      </c>
      <c r="W1551">
        <v>537246</v>
      </c>
      <c r="X1551">
        <v>23106</v>
      </c>
      <c r="Y1551">
        <f t="shared" si="24"/>
        <v>537246</v>
      </c>
      <c r="Z1551" t="str">
        <f>IF(ISNUMBER(SEARCH("Adjustment",$C1551)),"excluded",IF($H1551="Behind the Meter","excluded",IF(NOT(OR($E1551="Bundled",$E1551="Energy")),"excluded",IF(OR($H1551="Retail Power Marketer",$H1551="Community Choice Aggregator",$E1551="Energy"),"procurement",IF(OR($H1551="Municipal",$H1551="Cooperative",$H1551="Federal",$H1551="State",$H1551="Political Subdivision"),"cost_service",IF($H1551="Investor Owned",IF(AND(COUNTIF(Parameters!$A$4:$A$33,$G1551)&gt;0,COUNTIF(Parameters!$B$4:$B$33,$B1551)=0),"procurement","cost_service"),"unclassified"))))))</f>
        <v>cost_service</v>
      </c>
    </row>
    <row r="1552" spans="1:26" x14ac:dyDescent="0.25">
      <c r="A1552">
        <v>2024</v>
      </c>
      <c r="B1552">
        <v>40167</v>
      </c>
      <c r="C1552" t="s">
        <v>1398</v>
      </c>
      <c r="D1552" t="s">
        <v>84</v>
      </c>
      <c r="E1552" t="s">
        <v>85</v>
      </c>
      <c r="F1552" t="s">
        <v>86</v>
      </c>
      <c r="G1552" t="s">
        <v>55</v>
      </c>
      <c r="H1552" t="s">
        <v>91</v>
      </c>
      <c r="I1552" t="s">
        <v>92</v>
      </c>
      <c r="J1552">
        <v>17484</v>
      </c>
      <c r="K1552">
        <v>125202</v>
      </c>
      <c r="L1552">
        <v>12322</v>
      </c>
      <c r="M1552">
        <v>6517</v>
      </c>
      <c r="N1552">
        <v>52872</v>
      </c>
      <c r="O1552">
        <v>1578</v>
      </c>
      <c r="P1552">
        <v>1695</v>
      </c>
      <c r="Q1552">
        <v>17226</v>
      </c>
      <c r="R1552">
        <v>3</v>
      </c>
      <c r="S1552" t="s">
        <v>97</v>
      </c>
      <c r="T1552" t="s">
        <v>97</v>
      </c>
      <c r="U1552" t="s">
        <v>97</v>
      </c>
      <c r="V1552">
        <v>25696</v>
      </c>
      <c r="W1552">
        <v>195300</v>
      </c>
      <c r="X1552">
        <v>13903</v>
      </c>
      <c r="Y1552">
        <f t="shared" si="24"/>
        <v>195300</v>
      </c>
      <c r="Z1552" t="str">
        <f>IF(ISNUMBER(SEARCH("Adjustment",$C1552)),"excluded",IF($H1552="Behind the Meter","excluded",IF(NOT(OR($E1552="Bundled",$E1552="Energy")),"excluded",IF(OR($H1552="Retail Power Marketer",$H1552="Community Choice Aggregator",$E1552="Energy"),"procurement",IF(OR($H1552="Municipal",$H1552="Cooperative",$H1552="Federal",$H1552="State",$H1552="Political Subdivision"),"cost_service",IF($H1552="Investor Owned",IF(AND(COUNTIF(Parameters!$A$4:$A$33,$G1552)&gt;0,COUNTIF(Parameters!$B$4:$B$33,$B1552)=0),"procurement","cost_service"),"unclassified"))))))</f>
        <v>cost_service</v>
      </c>
    </row>
    <row r="1553" spans="1:26" x14ac:dyDescent="0.25">
      <c r="A1553">
        <v>2024</v>
      </c>
      <c r="B1553">
        <v>40212</v>
      </c>
      <c r="C1553" t="s">
        <v>1399</v>
      </c>
      <c r="D1553" t="s">
        <v>84</v>
      </c>
      <c r="E1553" t="s">
        <v>85</v>
      </c>
      <c r="F1553" t="s">
        <v>86</v>
      </c>
      <c r="G1553" t="s">
        <v>123</v>
      </c>
      <c r="H1553" t="s">
        <v>91</v>
      </c>
      <c r="I1553" t="s">
        <v>113</v>
      </c>
      <c r="J1553">
        <v>120594.7</v>
      </c>
      <c r="K1553">
        <v>913680</v>
      </c>
      <c r="L1553">
        <v>65743</v>
      </c>
      <c r="M1553">
        <v>10036.799999999999</v>
      </c>
      <c r="N1553">
        <v>72698</v>
      </c>
      <c r="O1553">
        <v>3788</v>
      </c>
      <c r="P1553">
        <v>34323.9</v>
      </c>
      <c r="Q1553">
        <v>318604</v>
      </c>
      <c r="R1553">
        <v>3447</v>
      </c>
      <c r="S1553" t="s">
        <v>97</v>
      </c>
      <c r="T1553" t="s">
        <v>97</v>
      </c>
      <c r="U1553" t="s">
        <v>97</v>
      </c>
      <c r="V1553">
        <v>164955.4</v>
      </c>
      <c r="W1553">
        <v>1304982</v>
      </c>
      <c r="X1553">
        <v>72978</v>
      </c>
      <c r="Y1553">
        <f t="shared" si="24"/>
        <v>1304982</v>
      </c>
      <c r="Z1553" t="str">
        <f>IF(ISNUMBER(SEARCH("Adjustment",$C1553)),"excluded",IF($H1553="Behind the Meter","excluded",IF(NOT(OR($E1553="Bundled",$E1553="Energy")),"excluded",IF(OR($H1553="Retail Power Marketer",$H1553="Community Choice Aggregator",$E1553="Energy"),"procurement",IF(OR($H1553="Municipal",$H1553="Cooperative",$H1553="Federal",$H1553="State",$H1553="Political Subdivision"),"cost_service",IF($H1553="Investor Owned",IF(AND(COUNTIF(Parameters!$A$4:$A$33,$G1553)&gt;0,COUNTIF(Parameters!$B$4:$B$33,$B1553)=0),"procurement","cost_service"),"unclassified"))))))</f>
        <v>cost_service</v>
      </c>
    </row>
    <row r="1554" spans="1:26" x14ac:dyDescent="0.25">
      <c r="A1554">
        <v>2024</v>
      </c>
      <c r="B1554">
        <v>40220</v>
      </c>
      <c r="C1554" t="s">
        <v>1400</v>
      </c>
      <c r="D1554" t="s">
        <v>84</v>
      </c>
      <c r="E1554" t="s">
        <v>85</v>
      </c>
      <c r="F1554" t="s">
        <v>86</v>
      </c>
      <c r="G1554" t="s">
        <v>55</v>
      </c>
      <c r="H1554" t="s">
        <v>91</v>
      </c>
      <c r="I1554" t="s">
        <v>92</v>
      </c>
      <c r="J1554">
        <v>64263</v>
      </c>
      <c r="K1554">
        <v>445525</v>
      </c>
      <c r="L1554">
        <v>32231</v>
      </c>
      <c r="M1554">
        <v>11393</v>
      </c>
      <c r="N1554">
        <v>86441</v>
      </c>
      <c r="O1554">
        <v>2289</v>
      </c>
      <c r="P1554">
        <v>4368</v>
      </c>
      <c r="Q1554">
        <v>42873</v>
      </c>
      <c r="R1554">
        <v>14</v>
      </c>
      <c r="S1554" t="s">
        <v>97</v>
      </c>
      <c r="T1554" t="s">
        <v>97</v>
      </c>
      <c r="U1554" t="s">
        <v>97</v>
      </c>
      <c r="V1554">
        <v>80024</v>
      </c>
      <c r="W1554">
        <v>574839</v>
      </c>
      <c r="X1554">
        <v>34534</v>
      </c>
      <c r="Y1554">
        <f t="shared" si="24"/>
        <v>574839</v>
      </c>
      <c r="Z1554" t="str">
        <f>IF(ISNUMBER(SEARCH("Adjustment",$C1554)),"excluded",IF($H1554="Behind the Meter","excluded",IF(NOT(OR($E1554="Bundled",$E1554="Energy")),"excluded",IF(OR($H1554="Retail Power Marketer",$H1554="Community Choice Aggregator",$E1554="Energy"),"procurement",IF(OR($H1554="Municipal",$H1554="Cooperative",$H1554="Federal",$H1554="State",$H1554="Political Subdivision"),"cost_service",IF($H1554="Investor Owned",IF(AND(COUNTIF(Parameters!$A$4:$A$33,$G1554)&gt;0,COUNTIF(Parameters!$B$4:$B$33,$B1554)=0),"procurement","cost_service"),"unclassified"))))))</f>
        <v>cost_service</v>
      </c>
    </row>
    <row r="1555" spans="1:26" x14ac:dyDescent="0.25">
      <c r="A1555">
        <v>2024</v>
      </c>
      <c r="B1555">
        <v>40221</v>
      </c>
      <c r="C1555" t="s">
        <v>1401</v>
      </c>
      <c r="D1555" t="s">
        <v>84</v>
      </c>
      <c r="E1555" t="s">
        <v>85</v>
      </c>
      <c r="F1555" t="s">
        <v>86</v>
      </c>
      <c r="G1555" t="s">
        <v>55</v>
      </c>
      <c r="H1555" t="s">
        <v>91</v>
      </c>
      <c r="I1555" t="s">
        <v>92</v>
      </c>
      <c r="J1555">
        <v>14457</v>
      </c>
      <c r="K1555">
        <v>99379</v>
      </c>
      <c r="L1555">
        <v>8837</v>
      </c>
      <c r="M1555">
        <v>3947</v>
      </c>
      <c r="N1555">
        <v>31218</v>
      </c>
      <c r="O1555">
        <v>743</v>
      </c>
      <c r="P1555">
        <v>10568</v>
      </c>
      <c r="Q1555">
        <v>100908</v>
      </c>
      <c r="R1555">
        <v>2</v>
      </c>
      <c r="S1555" t="s">
        <v>97</v>
      </c>
      <c r="T1555" t="s">
        <v>97</v>
      </c>
      <c r="U1555" t="s">
        <v>97</v>
      </c>
      <c r="V1555">
        <v>28972</v>
      </c>
      <c r="W1555">
        <v>231505</v>
      </c>
      <c r="X1555">
        <v>9582</v>
      </c>
      <c r="Y1555">
        <f t="shared" si="24"/>
        <v>231505</v>
      </c>
      <c r="Z1555" t="str">
        <f>IF(ISNUMBER(SEARCH("Adjustment",$C1555)),"excluded",IF($H1555="Behind the Meter","excluded",IF(NOT(OR($E1555="Bundled",$E1555="Energy")),"excluded",IF(OR($H1555="Retail Power Marketer",$H1555="Community Choice Aggregator",$E1555="Energy"),"procurement",IF(OR($H1555="Municipal",$H1555="Cooperative",$H1555="Federal",$H1555="State",$H1555="Political Subdivision"),"cost_service",IF($H1555="Investor Owned",IF(AND(COUNTIF(Parameters!$A$4:$A$33,$G1555)&gt;0,COUNTIF(Parameters!$B$4:$B$33,$B1555)=0),"procurement","cost_service"),"unclassified"))))))</f>
        <v>cost_service</v>
      </c>
    </row>
    <row r="1556" spans="1:26" x14ac:dyDescent="0.25">
      <c r="A1556">
        <v>2024</v>
      </c>
      <c r="B1556">
        <v>40222</v>
      </c>
      <c r="C1556" t="s">
        <v>1402</v>
      </c>
      <c r="D1556" t="s">
        <v>84</v>
      </c>
      <c r="E1556" t="s">
        <v>85</v>
      </c>
      <c r="F1556" t="s">
        <v>86</v>
      </c>
      <c r="G1556" t="s">
        <v>55</v>
      </c>
      <c r="H1556" t="s">
        <v>91</v>
      </c>
      <c r="I1556" t="s">
        <v>92</v>
      </c>
      <c r="J1556">
        <v>30509</v>
      </c>
      <c r="K1556">
        <v>205157</v>
      </c>
      <c r="L1556">
        <v>18180</v>
      </c>
      <c r="M1556">
        <v>10919</v>
      </c>
      <c r="N1556">
        <v>76843</v>
      </c>
      <c r="O1556">
        <v>4403</v>
      </c>
      <c r="P1556">
        <v>489</v>
      </c>
      <c r="Q1556">
        <v>3955</v>
      </c>
      <c r="R1556">
        <v>2</v>
      </c>
      <c r="S1556" t="s">
        <v>97</v>
      </c>
      <c r="T1556" t="s">
        <v>97</v>
      </c>
      <c r="U1556" t="s">
        <v>97</v>
      </c>
      <c r="V1556">
        <v>41917</v>
      </c>
      <c r="W1556">
        <v>285955</v>
      </c>
      <c r="X1556">
        <v>22585</v>
      </c>
      <c r="Y1556">
        <f t="shared" si="24"/>
        <v>285955</v>
      </c>
      <c r="Z1556" t="str">
        <f>IF(ISNUMBER(SEARCH("Adjustment",$C1556)),"excluded",IF($H1556="Behind the Meter","excluded",IF(NOT(OR($E1556="Bundled",$E1556="Energy")),"excluded",IF(OR($H1556="Retail Power Marketer",$H1556="Community Choice Aggregator",$E1556="Energy"),"procurement",IF(OR($H1556="Municipal",$H1556="Cooperative",$H1556="Federal",$H1556="State",$H1556="Political Subdivision"),"cost_service",IF($H1556="Investor Owned",IF(AND(COUNTIF(Parameters!$A$4:$A$33,$G1556)&gt;0,COUNTIF(Parameters!$B$4:$B$33,$B1556)=0),"procurement","cost_service"),"unclassified"))))))</f>
        <v>cost_service</v>
      </c>
    </row>
    <row r="1557" spans="1:26" x14ac:dyDescent="0.25">
      <c r="A1557">
        <v>2024</v>
      </c>
      <c r="B1557">
        <v>40224</v>
      </c>
      <c r="C1557" t="s">
        <v>1403</v>
      </c>
      <c r="D1557" t="s">
        <v>84</v>
      </c>
      <c r="E1557" t="s">
        <v>85</v>
      </c>
      <c r="F1557" t="s">
        <v>86</v>
      </c>
      <c r="G1557" t="s">
        <v>55</v>
      </c>
      <c r="H1557" t="s">
        <v>91</v>
      </c>
      <c r="I1557" t="s">
        <v>92</v>
      </c>
      <c r="J1557">
        <v>36790</v>
      </c>
      <c r="K1557">
        <v>216051</v>
      </c>
      <c r="L1557">
        <v>23629</v>
      </c>
      <c r="M1557">
        <v>9073</v>
      </c>
      <c r="N1557">
        <v>65626</v>
      </c>
      <c r="O1557">
        <v>1966</v>
      </c>
      <c r="P1557">
        <v>2451</v>
      </c>
      <c r="Q1557">
        <v>21309</v>
      </c>
      <c r="R1557">
        <v>9</v>
      </c>
      <c r="S1557" t="s">
        <v>97</v>
      </c>
      <c r="T1557" t="s">
        <v>97</v>
      </c>
      <c r="U1557" t="s">
        <v>97</v>
      </c>
      <c r="V1557">
        <v>48314</v>
      </c>
      <c r="W1557">
        <v>302986</v>
      </c>
      <c r="X1557">
        <v>25604</v>
      </c>
      <c r="Y1557">
        <f t="shared" si="24"/>
        <v>302986</v>
      </c>
      <c r="Z1557" t="str">
        <f>IF(ISNUMBER(SEARCH("Adjustment",$C1557)),"excluded",IF($H1557="Behind the Meter","excluded",IF(NOT(OR($E1557="Bundled",$E1557="Energy")),"excluded",IF(OR($H1557="Retail Power Marketer",$H1557="Community Choice Aggregator",$E1557="Energy"),"procurement",IF(OR($H1557="Municipal",$H1557="Cooperative",$H1557="Federal",$H1557="State",$H1557="Political Subdivision"),"cost_service",IF($H1557="Investor Owned",IF(AND(COUNTIF(Parameters!$A$4:$A$33,$G1557)&gt;0,COUNTIF(Parameters!$B$4:$B$33,$B1557)=0),"procurement","cost_service"),"unclassified"))))))</f>
        <v>cost_service</v>
      </c>
    </row>
    <row r="1558" spans="1:26" x14ac:dyDescent="0.25">
      <c r="A1558">
        <v>2024</v>
      </c>
      <c r="B1558">
        <v>40228</v>
      </c>
      <c r="C1558" t="s">
        <v>1404</v>
      </c>
      <c r="D1558" t="s">
        <v>84</v>
      </c>
      <c r="E1558" t="s">
        <v>85</v>
      </c>
      <c r="F1558" t="s">
        <v>86</v>
      </c>
      <c r="G1558" t="s">
        <v>93</v>
      </c>
      <c r="H1558" t="s">
        <v>91</v>
      </c>
      <c r="I1558" t="s">
        <v>92</v>
      </c>
      <c r="J1558">
        <v>346690</v>
      </c>
      <c r="K1558">
        <v>2328716</v>
      </c>
      <c r="L1558">
        <v>169489</v>
      </c>
      <c r="M1558">
        <v>54652</v>
      </c>
      <c r="N1558">
        <v>453437</v>
      </c>
      <c r="O1558">
        <v>10884</v>
      </c>
      <c r="P1558">
        <v>112782</v>
      </c>
      <c r="Q1558">
        <v>1287079</v>
      </c>
      <c r="R1558">
        <v>589</v>
      </c>
      <c r="S1558" t="s">
        <v>97</v>
      </c>
      <c r="T1558" t="s">
        <v>97</v>
      </c>
      <c r="U1558" t="s">
        <v>97</v>
      </c>
      <c r="V1558">
        <v>514124</v>
      </c>
      <c r="W1558">
        <v>4069232</v>
      </c>
      <c r="X1558">
        <v>180962</v>
      </c>
      <c r="Y1558">
        <f t="shared" si="24"/>
        <v>4069232</v>
      </c>
      <c r="Z1558" t="str">
        <f>IF(ISNUMBER(SEARCH("Adjustment",$C1558)),"excluded",IF($H1558="Behind the Meter","excluded",IF(NOT(OR($E1558="Bundled",$E1558="Energy")),"excluded",IF(OR($H1558="Retail Power Marketer",$H1558="Community Choice Aggregator",$E1558="Energy"),"procurement",IF(OR($H1558="Municipal",$H1558="Cooperative",$H1558="Federal",$H1558="State",$H1558="Political Subdivision"),"cost_service",IF($H1558="Investor Owned",IF(AND(COUNTIF(Parameters!$A$4:$A$33,$G1558)&gt;0,COUNTIF(Parameters!$B$4:$B$33,$B1558)=0),"procurement","cost_service"),"unclassified"))))))</f>
        <v>cost_service</v>
      </c>
    </row>
    <row r="1559" spans="1:26" x14ac:dyDescent="0.25">
      <c r="A1559">
        <v>2024</v>
      </c>
      <c r="B1559">
        <v>40236</v>
      </c>
      <c r="C1559" t="s">
        <v>1405</v>
      </c>
      <c r="D1559" t="s">
        <v>84</v>
      </c>
      <c r="E1559" t="s">
        <v>85</v>
      </c>
      <c r="F1559" t="s">
        <v>86</v>
      </c>
      <c r="G1559" t="s">
        <v>156</v>
      </c>
      <c r="H1559" t="s">
        <v>91</v>
      </c>
      <c r="I1559" t="s">
        <v>89</v>
      </c>
      <c r="J1559">
        <v>18878</v>
      </c>
      <c r="K1559">
        <v>131721</v>
      </c>
      <c r="L1559">
        <v>8345</v>
      </c>
      <c r="M1559">
        <v>4982</v>
      </c>
      <c r="N1559">
        <v>25347</v>
      </c>
      <c r="O1559">
        <v>1797</v>
      </c>
      <c r="P1559">
        <v>0</v>
      </c>
      <c r="Q1559">
        <v>0</v>
      </c>
      <c r="R1559">
        <v>0</v>
      </c>
      <c r="S1559">
        <v>0</v>
      </c>
      <c r="T1559">
        <v>0</v>
      </c>
      <c r="U1559">
        <v>0</v>
      </c>
      <c r="V1559">
        <v>23860</v>
      </c>
      <c r="W1559">
        <v>157068</v>
      </c>
      <c r="X1559">
        <v>10142</v>
      </c>
      <c r="Y1559">
        <f t="shared" si="24"/>
        <v>157068</v>
      </c>
      <c r="Z1559" t="str">
        <f>IF(ISNUMBER(SEARCH("Adjustment",$C1559)),"excluded",IF($H1559="Behind the Meter","excluded",IF(NOT(OR($E1559="Bundled",$E1559="Energy")),"excluded",IF(OR($H1559="Retail Power Marketer",$H1559="Community Choice Aggregator",$E1559="Energy"),"procurement",IF(OR($H1559="Municipal",$H1559="Cooperative",$H1559="Federal",$H1559="State",$H1559="Political Subdivision"),"cost_service",IF($H1559="Investor Owned",IF(AND(COUNTIF(Parameters!$A$4:$A$33,$G1559)&gt;0,COUNTIF(Parameters!$B$4:$B$33,$B1559)=0),"procurement","cost_service"),"unclassified"))))))</f>
        <v>cost_service</v>
      </c>
    </row>
    <row r="1560" spans="1:26" x14ac:dyDescent="0.25">
      <c r="A1560">
        <v>2024</v>
      </c>
      <c r="B1560">
        <v>40289</v>
      </c>
      <c r="C1560" t="s">
        <v>1406</v>
      </c>
      <c r="D1560" t="s">
        <v>84</v>
      </c>
      <c r="E1560" t="s">
        <v>85</v>
      </c>
      <c r="F1560" t="s">
        <v>86</v>
      </c>
      <c r="G1560" t="s">
        <v>55</v>
      </c>
      <c r="H1560" t="s">
        <v>91</v>
      </c>
      <c r="I1560" t="s">
        <v>92</v>
      </c>
      <c r="J1560">
        <v>30449</v>
      </c>
      <c r="K1560">
        <v>166838</v>
      </c>
      <c r="L1560">
        <v>16742</v>
      </c>
      <c r="M1560">
        <v>9650</v>
      </c>
      <c r="N1560">
        <v>70184</v>
      </c>
      <c r="O1560">
        <v>2365</v>
      </c>
      <c r="P1560">
        <v>7024</v>
      </c>
      <c r="Q1560">
        <v>77359</v>
      </c>
      <c r="R1560">
        <v>4</v>
      </c>
      <c r="S1560" t="s">
        <v>97</v>
      </c>
      <c r="T1560" t="s">
        <v>97</v>
      </c>
      <c r="U1560" t="s">
        <v>97</v>
      </c>
      <c r="V1560">
        <v>47123</v>
      </c>
      <c r="W1560">
        <v>314381</v>
      </c>
      <c r="X1560">
        <v>19111</v>
      </c>
      <c r="Y1560">
        <f t="shared" si="24"/>
        <v>314381</v>
      </c>
      <c r="Z1560" t="str">
        <f>IF(ISNUMBER(SEARCH("Adjustment",$C1560)),"excluded",IF($H1560="Behind the Meter","excluded",IF(NOT(OR($E1560="Bundled",$E1560="Energy")),"excluded",IF(OR($H1560="Retail Power Marketer",$H1560="Community Choice Aggregator",$E1560="Energy"),"procurement",IF(OR($H1560="Municipal",$H1560="Cooperative",$H1560="Federal",$H1560="State",$H1560="Political Subdivision"),"cost_service",IF($H1560="Investor Owned",IF(AND(COUNTIF(Parameters!$A$4:$A$33,$G1560)&gt;0,COUNTIF(Parameters!$B$4:$B$33,$B1560)=0),"procurement","cost_service"),"unclassified"))))))</f>
        <v>cost_service</v>
      </c>
    </row>
    <row r="1561" spans="1:26" x14ac:dyDescent="0.25">
      <c r="A1561">
        <v>2024</v>
      </c>
      <c r="B1561">
        <v>40290</v>
      </c>
      <c r="C1561" t="s">
        <v>1407</v>
      </c>
      <c r="D1561" t="s">
        <v>84</v>
      </c>
      <c r="E1561" t="s">
        <v>85</v>
      </c>
      <c r="F1561" t="s">
        <v>86</v>
      </c>
      <c r="G1561" t="s">
        <v>55</v>
      </c>
      <c r="H1561" t="s">
        <v>91</v>
      </c>
      <c r="I1561" t="s">
        <v>92</v>
      </c>
      <c r="J1561">
        <v>24934</v>
      </c>
      <c r="K1561">
        <v>124161</v>
      </c>
      <c r="L1561">
        <v>18206</v>
      </c>
      <c r="M1561">
        <v>7686</v>
      </c>
      <c r="N1561">
        <v>59371</v>
      </c>
      <c r="O1561">
        <v>1352</v>
      </c>
      <c r="P1561">
        <v>3121</v>
      </c>
      <c r="Q1561">
        <v>33664</v>
      </c>
      <c r="R1561">
        <v>4</v>
      </c>
      <c r="S1561" t="s">
        <v>97</v>
      </c>
      <c r="T1561" t="s">
        <v>97</v>
      </c>
      <c r="U1561" t="s">
        <v>97</v>
      </c>
      <c r="V1561">
        <v>35741</v>
      </c>
      <c r="W1561">
        <v>217196</v>
      </c>
      <c r="X1561">
        <v>19562</v>
      </c>
      <c r="Y1561">
        <f t="shared" si="24"/>
        <v>217196</v>
      </c>
      <c r="Z1561" t="str">
        <f>IF(ISNUMBER(SEARCH("Adjustment",$C1561)),"excluded",IF($H1561="Behind the Meter","excluded",IF(NOT(OR($E1561="Bundled",$E1561="Energy")),"excluded",IF(OR($H1561="Retail Power Marketer",$H1561="Community Choice Aggregator",$E1561="Energy"),"procurement",IF(OR($H1561="Municipal",$H1561="Cooperative",$H1561="Federal",$H1561="State",$H1561="Political Subdivision"),"cost_service",IF($H1561="Investor Owned",IF(AND(COUNTIF(Parameters!$A$4:$A$33,$G1561)&gt;0,COUNTIF(Parameters!$B$4:$B$33,$B1561)=0),"procurement","cost_service"),"unclassified"))))))</f>
        <v>cost_service</v>
      </c>
    </row>
    <row r="1562" spans="1:26" x14ac:dyDescent="0.25">
      <c r="A1562">
        <v>2024</v>
      </c>
      <c r="B1562">
        <v>40292</v>
      </c>
      <c r="C1562" t="s">
        <v>1408</v>
      </c>
      <c r="D1562" t="s">
        <v>84</v>
      </c>
      <c r="E1562" t="s">
        <v>85</v>
      </c>
      <c r="F1562" t="s">
        <v>86</v>
      </c>
      <c r="G1562" t="s">
        <v>55</v>
      </c>
      <c r="H1562" t="s">
        <v>91</v>
      </c>
      <c r="I1562" t="s">
        <v>92</v>
      </c>
      <c r="J1562">
        <v>33963</v>
      </c>
      <c r="K1562">
        <v>233726</v>
      </c>
      <c r="L1562">
        <v>20932</v>
      </c>
      <c r="M1562">
        <v>8050</v>
      </c>
      <c r="N1562">
        <v>64486</v>
      </c>
      <c r="O1562">
        <v>1891</v>
      </c>
      <c r="P1562">
        <v>9275</v>
      </c>
      <c r="Q1562">
        <v>81845</v>
      </c>
      <c r="R1562">
        <v>13</v>
      </c>
      <c r="S1562" t="s">
        <v>97</v>
      </c>
      <c r="T1562" t="s">
        <v>97</v>
      </c>
      <c r="U1562" t="s">
        <v>97</v>
      </c>
      <c r="V1562">
        <v>51288</v>
      </c>
      <c r="W1562">
        <v>380057</v>
      </c>
      <c r="X1562">
        <v>22836</v>
      </c>
      <c r="Y1562">
        <f t="shared" si="24"/>
        <v>380057</v>
      </c>
      <c r="Z1562" t="str">
        <f>IF(ISNUMBER(SEARCH("Adjustment",$C1562)),"excluded",IF($H1562="Behind the Meter","excluded",IF(NOT(OR($E1562="Bundled",$E1562="Energy")),"excluded",IF(OR($H1562="Retail Power Marketer",$H1562="Community Choice Aggregator",$E1562="Energy"),"procurement",IF(OR($H1562="Municipal",$H1562="Cooperative",$H1562="Federal",$H1562="State",$H1562="Political Subdivision"),"cost_service",IF($H1562="Investor Owned",IF(AND(COUNTIF(Parameters!$A$4:$A$33,$G1562)&gt;0,COUNTIF(Parameters!$B$4:$B$33,$B1562)=0),"procurement","cost_service"),"unclassified"))))))</f>
        <v>cost_service</v>
      </c>
    </row>
    <row r="1563" spans="1:26" x14ac:dyDescent="0.25">
      <c r="A1563">
        <v>2024</v>
      </c>
      <c r="B1563">
        <v>40293</v>
      </c>
      <c r="C1563" t="s">
        <v>1409</v>
      </c>
      <c r="D1563" t="s">
        <v>84</v>
      </c>
      <c r="E1563" t="s">
        <v>85</v>
      </c>
      <c r="F1563" t="s">
        <v>86</v>
      </c>
      <c r="G1563" t="s">
        <v>55</v>
      </c>
      <c r="H1563" t="s">
        <v>91</v>
      </c>
      <c r="I1563" t="s">
        <v>92</v>
      </c>
      <c r="J1563">
        <v>30333</v>
      </c>
      <c r="K1563">
        <v>194697</v>
      </c>
      <c r="L1563">
        <v>18190</v>
      </c>
      <c r="M1563">
        <v>6260</v>
      </c>
      <c r="N1563">
        <v>43111</v>
      </c>
      <c r="O1563">
        <v>1428</v>
      </c>
      <c r="P1563">
        <v>1099</v>
      </c>
      <c r="Q1563">
        <v>10760</v>
      </c>
      <c r="R1563">
        <v>3</v>
      </c>
      <c r="S1563" t="s">
        <v>97</v>
      </c>
      <c r="T1563" t="s">
        <v>97</v>
      </c>
      <c r="U1563" t="s">
        <v>97</v>
      </c>
      <c r="V1563">
        <v>37692</v>
      </c>
      <c r="W1563">
        <v>248568</v>
      </c>
      <c r="X1563">
        <v>19621</v>
      </c>
      <c r="Y1563">
        <f t="shared" si="24"/>
        <v>248568</v>
      </c>
      <c r="Z1563" t="str">
        <f>IF(ISNUMBER(SEARCH("Adjustment",$C1563)),"excluded",IF($H1563="Behind the Meter","excluded",IF(NOT(OR($E1563="Bundled",$E1563="Energy")),"excluded",IF(OR($H1563="Retail Power Marketer",$H1563="Community Choice Aggregator",$E1563="Energy"),"procurement",IF(OR($H1563="Municipal",$H1563="Cooperative",$H1563="Federal",$H1563="State",$H1563="Political Subdivision"),"cost_service",IF($H1563="Investor Owned",IF(AND(COUNTIF(Parameters!$A$4:$A$33,$G1563)&gt;0,COUNTIF(Parameters!$B$4:$B$33,$B1563)=0),"procurement","cost_service"),"unclassified"))))))</f>
        <v>cost_service</v>
      </c>
    </row>
    <row r="1564" spans="1:26" x14ac:dyDescent="0.25">
      <c r="A1564">
        <v>2024</v>
      </c>
      <c r="B1564">
        <v>40302</v>
      </c>
      <c r="C1564" t="s">
        <v>1410</v>
      </c>
      <c r="D1564" t="s">
        <v>84</v>
      </c>
      <c r="E1564" t="s">
        <v>85</v>
      </c>
      <c r="F1564" t="s">
        <v>86</v>
      </c>
      <c r="G1564" t="s">
        <v>87</v>
      </c>
      <c r="H1564" t="s">
        <v>91</v>
      </c>
      <c r="I1564" t="s">
        <v>89</v>
      </c>
      <c r="J1564">
        <v>43475</v>
      </c>
      <c r="K1564">
        <v>324599</v>
      </c>
      <c r="L1564">
        <v>26142</v>
      </c>
      <c r="M1564">
        <v>25772</v>
      </c>
      <c r="N1564">
        <v>246558</v>
      </c>
      <c r="O1564">
        <v>3518</v>
      </c>
      <c r="P1564">
        <v>4679</v>
      </c>
      <c r="Q1564">
        <v>59614</v>
      </c>
      <c r="R1564">
        <v>4</v>
      </c>
      <c r="S1564">
        <v>0</v>
      </c>
      <c r="T1564">
        <v>0</v>
      </c>
      <c r="U1564">
        <v>0</v>
      </c>
      <c r="V1564">
        <v>73926</v>
      </c>
      <c r="W1564">
        <v>630771</v>
      </c>
      <c r="X1564">
        <v>29664</v>
      </c>
      <c r="Y1564">
        <f t="shared" si="24"/>
        <v>630771</v>
      </c>
      <c r="Z1564" t="str">
        <f>IF(ISNUMBER(SEARCH("Adjustment",$C1564)),"excluded",IF($H1564="Behind the Meter","excluded",IF(NOT(OR($E1564="Bundled",$E1564="Energy")),"excluded",IF(OR($H1564="Retail Power Marketer",$H1564="Community Choice Aggregator",$E1564="Energy"),"procurement",IF(OR($H1564="Municipal",$H1564="Cooperative",$H1564="Federal",$H1564="State",$H1564="Political Subdivision"),"cost_service",IF($H1564="Investor Owned",IF(AND(COUNTIF(Parameters!$A$4:$A$33,$G1564)&gt;0,COUNTIF(Parameters!$B$4:$B$33,$B1564)=0),"procurement","cost_service"),"unclassified"))))))</f>
        <v>cost_service</v>
      </c>
    </row>
    <row r="1565" spans="1:26" x14ac:dyDescent="0.25">
      <c r="A1565">
        <v>2024</v>
      </c>
      <c r="B1565">
        <v>40303</v>
      </c>
      <c r="C1565" t="s">
        <v>1411</v>
      </c>
      <c r="D1565" t="s">
        <v>84</v>
      </c>
      <c r="E1565" t="s">
        <v>85</v>
      </c>
      <c r="F1565" t="s">
        <v>86</v>
      </c>
      <c r="G1565" t="s">
        <v>87</v>
      </c>
      <c r="H1565" t="s">
        <v>91</v>
      </c>
      <c r="I1565" t="s">
        <v>89</v>
      </c>
      <c r="J1565">
        <v>20739</v>
      </c>
      <c r="K1565">
        <v>165572</v>
      </c>
      <c r="L1565">
        <v>10170</v>
      </c>
      <c r="M1565">
        <v>6592</v>
      </c>
      <c r="N1565">
        <v>45272</v>
      </c>
      <c r="O1565">
        <v>1650</v>
      </c>
      <c r="P1565">
        <v>0</v>
      </c>
      <c r="Q1565">
        <v>0</v>
      </c>
      <c r="R1565">
        <v>0</v>
      </c>
      <c r="S1565">
        <v>0</v>
      </c>
      <c r="T1565">
        <v>0</v>
      </c>
      <c r="U1565">
        <v>0</v>
      </c>
      <c r="V1565">
        <v>27331</v>
      </c>
      <c r="W1565">
        <v>210844</v>
      </c>
      <c r="X1565">
        <v>11820</v>
      </c>
      <c r="Y1565">
        <f t="shared" si="24"/>
        <v>210844</v>
      </c>
      <c r="Z1565" t="str">
        <f>IF(ISNUMBER(SEARCH("Adjustment",$C1565)),"excluded",IF($H1565="Behind the Meter","excluded",IF(NOT(OR($E1565="Bundled",$E1565="Energy")),"excluded",IF(OR($H1565="Retail Power Marketer",$H1565="Community Choice Aggregator",$E1565="Energy"),"procurement",IF(OR($H1565="Municipal",$H1565="Cooperative",$H1565="Federal",$H1565="State",$H1565="Political Subdivision"),"cost_service",IF($H1565="Investor Owned",IF(AND(COUNTIF(Parameters!$A$4:$A$33,$G1565)&gt;0,COUNTIF(Parameters!$B$4:$B$33,$B1565)=0),"procurement","cost_service"),"unclassified"))))))</f>
        <v>cost_service</v>
      </c>
    </row>
    <row r="1566" spans="1:26" x14ac:dyDescent="0.25">
      <c r="A1566">
        <v>2024</v>
      </c>
      <c r="B1566">
        <v>40304</v>
      </c>
      <c r="C1566" t="s">
        <v>1412</v>
      </c>
      <c r="D1566" t="s">
        <v>84</v>
      </c>
      <c r="E1566" t="s">
        <v>85</v>
      </c>
      <c r="F1566" t="s">
        <v>86</v>
      </c>
      <c r="G1566" t="s">
        <v>104</v>
      </c>
      <c r="H1566" t="s">
        <v>91</v>
      </c>
      <c r="I1566" t="s">
        <v>96</v>
      </c>
      <c r="J1566">
        <v>14738.4</v>
      </c>
      <c r="K1566">
        <v>120612</v>
      </c>
      <c r="L1566">
        <v>4931</v>
      </c>
      <c r="M1566">
        <v>2229.8000000000002</v>
      </c>
      <c r="N1566">
        <v>18418</v>
      </c>
      <c r="O1566">
        <v>338</v>
      </c>
      <c r="P1566">
        <v>6461.8</v>
      </c>
      <c r="Q1566">
        <v>79080</v>
      </c>
      <c r="R1566">
        <v>41</v>
      </c>
      <c r="S1566" t="s">
        <v>97</v>
      </c>
      <c r="T1566" t="s">
        <v>97</v>
      </c>
      <c r="U1566" t="s">
        <v>97</v>
      </c>
      <c r="V1566">
        <v>23430</v>
      </c>
      <c r="W1566">
        <v>218110</v>
      </c>
      <c r="X1566">
        <v>5310</v>
      </c>
      <c r="Y1566">
        <f t="shared" si="24"/>
        <v>218110</v>
      </c>
      <c r="Z1566" t="str">
        <f>IF(ISNUMBER(SEARCH("Adjustment",$C1566)),"excluded",IF($H1566="Behind the Meter","excluded",IF(NOT(OR($E1566="Bundled",$E1566="Energy")),"excluded",IF(OR($H1566="Retail Power Marketer",$H1566="Community Choice Aggregator",$E1566="Energy"),"procurement",IF(OR($H1566="Municipal",$H1566="Cooperative",$H1566="Federal",$H1566="State",$H1566="Political Subdivision"),"cost_service",IF($H1566="Investor Owned",IF(AND(COUNTIF(Parameters!$A$4:$A$33,$G1566)&gt;0,COUNTIF(Parameters!$B$4:$B$33,$B1566)=0),"procurement","cost_service"),"unclassified"))))))</f>
        <v>cost_service</v>
      </c>
    </row>
    <row r="1567" spans="1:26" x14ac:dyDescent="0.25">
      <c r="A1567">
        <v>2024</v>
      </c>
      <c r="B1567">
        <v>40364</v>
      </c>
      <c r="C1567" t="s">
        <v>1413</v>
      </c>
      <c r="D1567" t="s">
        <v>84</v>
      </c>
      <c r="E1567" t="s">
        <v>85</v>
      </c>
      <c r="F1567" t="s">
        <v>86</v>
      </c>
      <c r="G1567" t="s">
        <v>112</v>
      </c>
      <c r="H1567" t="s">
        <v>88</v>
      </c>
      <c r="I1567" t="s">
        <v>89</v>
      </c>
      <c r="J1567">
        <v>901</v>
      </c>
      <c r="K1567">
        <v>7566</v>
      </c>
      <c r="L1567">
        <v>551</v>
      </c>
      <c r="M1567">
        <v>2193</v>
      </c>
      <c r="N1567">
        <v>21214</v>
      </c>
      <c r="O1567">
        <v>212</v>
      </c>
      <c r="P1567">
        <v>0</v>
      </c>
      <c r="Q1567">
        <v>0</v>
      </c>
      <c r="R1567">
        <v>0</v>
      </c>
      <c r="S1567">
        <v>0</v>
      </c>
      <c r="T1567">
        <v>0</v>
      </c>
      <c r="U1567">
        <v>0</v>
      </c>
      <c r="V1567">
        <v>3094</v>
      </c>
      <c r="W1567">
        <v>28780</v>
      </c>
      <c r="X1567">
        <v>763</v>
      </c>
      <c r="Y1567">
        <f t="shared" si="24"/>
        <v>28780</v>
      </c>
      <c r="Z1567" t="str">
        <f>IF(ISNUMBER(SEARCH("Adjustment",$C1567)),"excluded",IF($H1567="Behind the Meter","excluded",IF(NOT(OR($E1567="Bundled",$E1567="Energy")),"excluded",IF(OR($H1567="Retail Power Marketer",$H1567="Community Choice Aggregator",$E1567="Energy"),"procurement",IF(OR($H1567="Municipal",$H1567="Cooperative",$H1567="Federal",$H1567="State",$H1567="Political Subdivision"),"cost_service",IF($H1567="Investor Owned",IF(AND(COUNTIF(Parameters!$A$4:$A$33,$G1567)&gt;0,COUNTIF(Parameters!$B$4:$B$33,$B1567)=0),"procurement","cost_service"),"unclassified"))))))</f>
        <v>cost_service</v>
      </c>
    </row>
    <row r="1568" spans="1:26" x14ac:dyDescent="0.25">
      <c r="A1568">
        <v>2024</v>
      </c>
      <c r="B1568">
        <v>40437</v>
      </c>
      <c r="C1568" t="s">
        <v>1414</v>
      </c>
      <c r="D1568" t="s">
        <v>84</v>
      </c>
      <c r="E1568" t="s">
        <v>85</v>
      </c>
      <c r="F1568" t="s">
        <v>86</v>
      </c>
      <c r="G1568" t="s">
        <v>219</v>
      </c>
      <c r="H1568" t="s">
        <v>205</v>
      </c>
      <c r="I1568" t="s">
        <v>972</v>
      </c>
      <c r="J1568">
        <v>32181.599999999999</v>
      </c>
      <c r="K1568">
        <v>291288</v>
      </c>
      <c r="L1568">
        <v>19968</v>
      </c>
      <c r="M1568">
        <v>11900</v>
      </c>
      <c r="N1568">
        <v>112866</v>
      </c>
      <c r="O1568">
        <v>2360</v>
      </c>
      <c r="P1568">
        <v>5810.7</v>
      </c>
      <c r="Q1568">
        <v>71710</v>
      </c>
      <c r="R1568">
        <v>749</v>
      </c>
      <c r="S1568" t="s">
        <v>97</v>
      </c>
      <c r="T1568" t="s">
        <v>97</v>
      </c>
      <c r="U1568" t="s">
        <v>97</v>
      </c>
      <c r="V1568">
        <v>49892.3</v>
      </c>
      <c r="W1568">
        <v>475864</v>
      </c>
      <c r="X1568">
        <v>23077</v>
      </c>
      <c r="Y1568">
        <f t="shared" si="24"/>
        <v>475864</v>
      </c>
      <c r="Z1568" t="str">
        <f>IF(ISNUMBER(SEARCH("Adjustment",$C1568)),"excluded",IF($H1568="Behind the Meter","excluded",IF(NOT(OR($E1568="Bundled",$E1568="Energy")),"excluded",IF(OR($H1568="Retail Power Marketer",$H1568="Community Choice Aggregator",$E1568="Energy"),"procurement",IF(OR($H1568="Municipal",$H1568="Cooperative",$H1568="Federal",$H1568="State",$H1568="Political Subdivision"),"cost_service",IF($H1568="Investor Owned",IF(AND(COUNTIF(Parameters!$A$4:$A$33,$G1568)&gt;0,COUNTIF(Parameters!$B$4:$B$33,$B1568)=0),"procurement","cost_service"),"unclassified"))))))</f>
        <v>cost_service</v>
      </c>
    </row>
    <row r="1569" spans="1:26" x14ac:dyDescent="0.25">
      <c r="A1569">
        <v>2024</v>
      </c>
      <c r="B1569">
        <v>40437</v>
      </c>
      <c r="C1569" t="s">
        <v>1414</v>
      </c>
      <c r="D1569" t="s">
        <v>167</v>
      </c>
      <c r="E1569" t="s">
        <v>168</v>
      </c>
      <c r="F1569" t="s">
        <v>86</v>
      </c>
      <c r="G1569" t="s">
        <v>219</v>
      </c>
      <c r="H1569" t="s">
        <v>205</v>
      </c>
      <c r="I1569" t="s">
        <v>972</v>
      </c>
      <c r="J1569" t="s">
        <v>97</v>
      </c>
      <c r="K1569" t="s">
        <v>97</v>
      </c>
      <c r="L1569" t="s">
        <v>97</v>
      </c>
      <c r="M1569" t="s">
        <v>97</v>
      </c>
      <c r="N1569" t="s">
        <v>97</v>
      </c>
      <c r="O1569" t="s">
        <v>97</v>
      </c>
      <c r="P1569">
        <v>1855.6</v>
      </c>
      <c r="Q1569">
        <v>316404</v>
      </c>
      <c r="R1569">
        <v>2</v>
      </c>
      <c r="S1569" t="s">
        <v>97</v>
      </c>
      <c r="T1569" t="s">
        <v>97</v>
      </c>
      <c r="U1569" t="s">
        <v>97</v>
      </c>
      <c r="V1569">
        <v>1855.6</v>
      </c>
      <c r="W1569">
        <v>316404</v>
      </c>
      <c r="X1569">
        <v>2</v>
      </c>
      <c r="Y1569">
        <f t="shared" si="24"/>
        <v>316404</v>
      </c>
      <c r="Z1569" t="str">
        <f>IF(ISNUMBER(SEARCH("Adjustment",$C1569)),"excluded",IF($H1569="Behind the Meter","excluded",IF(NOT(OR($E1569="Bundled",$E1569="Energy")),"excluded",IF(OR($H1569="Retail Power Marketer",$H1569="Community Choice Aggregator",$E1569="Energy"),"procurement",IF(OR($H1569="Municipal",$H1569="Cooperative",$H1569="Federal",$H1569="State",$H1569="Political Subdivision"),"cost_service",IF($H1569="Investor Owned",IF(AND(COUNTIF(Parameters!$A$4:$A$33,$G1569)&gt;0,COUNTIF(Parameters!$B$4:$B$33,$B1569)=0),"procurement","cost_service"),"unclassified"))))))</f>
        <v>excluded</v>
      </c>
    </row>
    <row r="1570" spans="1:26" x14ac:dyDescent="0.25">
      <c r="A1570">
        <v>2024</v>
      </c>
      <c r="B1570">
        <v>40438</v>
      </c>
      <c r="C1570" t="s">
        <v>1415</v>
      </c>
      <c r="D1570" t="s">
        <v>84</v>
      </c>
      <c r="E1570" t="s">
        <v>85</v>
      </c>
      <c r="F1570" t="s">
        <v>86</v>
      </c>
      <c r="G1570" t="s">
        <v>219</v>
      </c>
      <c r="H1570" t="s">
        <v>205</v>
      </c>
      <c r="I1570" t="s">
        <v>206</v>
      </c>
      <c r="J1570">
        <v>21464.400000000001</v>
      </c>
      <c r="K1570">
        <v>231555</v>
      </c>
      <c r="L1570">
        <v>16378</v>
      </c>
      <c r="M1570">
        <v>8563.9</v>
      </c>
      <c r="N1570">
        <v>94610</v>
      </c>
      <c r="O1570">
        <v>1092</v>
      </c>
      <c r="P1570">
        <v>8090.8</v>
      </c>
      <c r="Q1570">
        <v>148966</v>
      </c>
      <c r="R1570">
        <v>26</v>
      </c>
      <c r="S1570">
        <v>0</v>
      </c>
      <c r="T1570">
        <v>0</v>
      </c>
      <c r="U1570">
        <v>0</v>
      </c>
      <c r="V1570">
        <v>38119.1</v>
      </c>
      <c r="W1570">
        <v>475131</v>
      </c>
      <c r="X1570">
        <v>17496</v>
      </c>
      <c r="Y1570">
        <f t="shared" si="24"/>
        <v>475131</v>
      </c>
      <c r="Z1570" t="str">
        <f>IF(ISNUMBER(SEARCH("Adjustment",$C1570)),"excluded",IF($H1570="Behind the Meter","excluded",IF(NOT(OR($E1570="Bundled",$E1570="Energy")),"excluded",IF(OR($H1570="Retail Power Marketer",$H1570="Community Choice Aggregator",$E1570="Energy"),"procurement",IF(OR($H1570="Municipal",$H1570="Cooperative",$H1570="Federal",$H1570="State",$H1570="Political Subdivision"),"cost_service",IF($H1570="Investor Owned",IF(AND(COUNTIF(Parameters!$A$4:$A$33,$G1570)&gt;0,COUNTIF(Parameters!$B$4:$B$33,$B1570)=0),"procurement","cost_service"),"unclassified"))))))</f>
        <v>cost_service</v>
      </c>
    </row>
    <row r="1571" spans="1:26" x14ac:dyDescent="0.25">
      <c r="A1571">
        <v>2024</v>
      </c>
      <c r="B1571">
        <v>40441</v>
      </c>
      <c r="C1571" t="s">
        <v>1416</v>
      </c>
      <c r="D1571" t="s">
        <v>84</v>
      </c>
      <c r="E1571" t="s">
        <v>85</v>
      </c>
      <c r="F1571" t="s">
        <v>86</v>
      </c>
      <c r="G1571" t="s">
        <v>125</v>
      </c>
      <c r="H1571" t="s">
        <v>88</v>
      </c>
      <c r="I1571" t="s">
        <v>89</v>
      </c>
      <c r="J1571">
        <v>6149</v>
      </c>
      <c r="K1571">
        <v>47863</v>
      </c>
      <c r="L1571">
        <v>3685</v>
      </c>
      <c r="M1571">
        <v>9974</v>
      </c>
      <c r="N1571">
        <v>79747</v>
      </c>
      <c r="O1571">
        <v>1724</v>
      </c>
      <c r="P1571">
        <v>13294</v>
      </c>
      <c r="Q1571">
        <v>265579</v>
      </c>
      <c r="R1571">
        <v>4</v>
      </c>
      <c r="S1571">
        <v>0</v>
      </c>
      <c r="T1571">
        <v>0</v>
      </c>
      <c r="U1571">
        <v>0</v>
      </c>
      <c r="V1571">
        <v>29417</v>
      </c>
      <c r="W1571">
        <v>393189</v>
      </c>
      <c r="X1571">
        <v>5413</v>
      </c>
      <c r="Y1571">
        <f t="shared" si="24"/>
        <v>393189</v>
      </c>
      <c r="Z1571" t="str">
        <f>IF(ISNUMBER(SEARCH("Adjustment",$C1571)),"excluded",IF($H1571="Behind the Meter","excluded",IF(NOT(OR($E1571="Bundled",$E1571="Energy")),"excluded",IF(OR($H1571="Retail Power Marketer",$H1571="Community Choice Aggregator",$E1571="Energy"),"procurement",IF(OR($H1571="Municipal",$H1571="Cooperative",$H1571="Federal",$H1571="State",$H1571="Political Subdivision"),"cost_service",IF($H1571="Investor Owned",IF(AND(COUNTIF(Parameters!$A$4:$A$33,$G1571)&gt;0,COUNTIF(Parameters!$B$4:$B$33,$B1571)=0),"procurement","cost_service"),"unclassified"))))))</f>
        <v>cost_service</v>
      </c>
    </row>
    <row r="1572" spans="1:26" x14ac:dyDescent="0.25">
      <c r="A1572">
        <v>2024</v>
      </c>
      <c r="B1572">
        <v>40456</v>
      </c>
      <c r="C1572" t="s">
        <v>1417</v>
      </c>
      <c r="D1572" t="s">
        <v>84</v>
      </c>
      <c r="E1572" t="s">
        <v>85</v>
      </c>
      <c r="F1572" t="s">
        <v>86</v>
      </c>
      <c r="G1572" t="s">
        <v>148</v>
      </c>
      <c r="H1572" t="s">
        <v>205</v>
      </c>
      <c r="I1572" t="s">
        <v>206</v>
      </c>
      <c r="J1572" t="s">
        <v>97</v>
      </c>
      <c r="K1572" t="s">
        <v>97</v>
      </c>
      <c r="L1572" t="s">
        <v>97</v>
      </c>
      <c r="M1572" t="s">
        <v>97</v>
      </c>
      <c r="N1572" t="s">
        <v>97</v>
      </c>
      <c r="O1572" t="s">
        <v>97</v>
      </c>
      <c r="P1572">
        <v>10702</v>
      </c>
      <c r="Q1572">
        <v>228736</v>
      </c>
      <c r="R1572">
        <v>1</v>
      </c>
      <c r="S1572" t="s">
        <v>97</v>
      </c>
      <c r="T1572" t="s">
        <v>97</v>
      </c>
      <c r="U1572" t="s">
        <v>97</v>
      </c>
      <c r="V1572">
        <v>10702</v>
      </c>
      <c r="W1572">
        <v>228736</v>
      </c>
      <c r="X1572">
        <v>1</v>
      </c>
      <c r="Y1572">
        <f t="shared" si="24"/>
        <v>228736</v>
      </c>
      <c r="Z1572" t="str">
        <f>IF(ISNUMBER(SEARCH("Adjustment",$C1572)),"excluded",IF($H1572="Behind the Meter","excluded",IF(NOT(OR($E1572="Bundled",$E1572="Energy")),"excluded",IF(OR($H1572="Retail Power Marketer",$H1572="Community Choice Aggregator",$E1572="Energy"),"procurement",IF(OR($H1572="Municipal",$H1572="Cooperative",$H1572="Federal",$H1572="State",$H1572="Political Subdivision"),"cost_service",IF($H1572="Investor Owned",IF(AND(COUNTIF(Parameters!$A$4:$A$33,$G1572)&gt;0,COUNTIF(Parameters!$B$4:$B$33,$B1572)=0),"procurement","cost_service"),"unclassified"))))))</f>
        <v>cost_service</v>
      </c>
    </row>
    <row r="1573" spans="1:26" x14ac:dyDescent="0.25">
      <c r="A1573">
        <v>2024</v>
      </c>
      <c r="B1573">
        <v>40606</v>
      </c>
      <c r="C1573" t="s">
        <v>1418</v>
      </c>
      <c r="D1573" t="s">
        <v>84</v>
      </c>
      <c r="E1573" t="s">
        <v>85</v>
      </c>
      <c r="F1573" t="s">
        <v>86</v>
      </c>
      <c r="G1573" t="s">
        <v>271</v>
      </c>
      <c r="H1573" t="s">
        <v>88</v>
      </c>
      <c r="I1573" t="s">
        <v>135</v>
      </c>
      <c r="J1573">
        <v>23868</v>
      </c>
      <c r="K1573">
        <v>218313</v>
      </c>
      <c r="L1573">
        <v>22799</v>
      </c>
      <c r="M1573">
        <v>22058</v>
      </c>
      <c r="N1573">
        <v>209903</v>
      </c>
      <c r="O1573">
        <v>4532</v>
      </c>
      <c r="P1573">
        <v>24301</v>
      </c>
      <c r="Q1573">
        <v>290405</v>
      </c>
      <c r="R1573">
        <v>94</v>
      </c>
      <c r="S1573" t="s">
        <v>97</v>
      </c>
      <c r="T1573" t="s">
        <v>97</v>
      </c>
      <c r="U1573" t="s">
        <v>97</v>
      </c>
      <c r="V1573">
        <v>70227</v>
      </c>
      <c r="W1573">
        <v>718621</v>
      </c>
      <c r="X1573">
        <v>27425</v>
      </c>
      <c r="Y1573">
        <f t="shared" si="24"/>
        <v>718621</v>
      </c>
      <c r="Z1573" t="str">
        <f>IF(ISNUMBER(SEARCH("Adjustment",$C1573)),"excluded",IF($H1573="Behind the Meter","excluded",IF(NOT(OR($E1573="Bundled",$E1573="Energy")),"excluded",IF(OR($H1573="Retail Power Marketer",$H1573="Community Choice Aggregator",$E1573="Energy"),"procurement",IF(OR($H1573="Municipal",$H1573="Cooperative",$H1573="Federal",$H1573="State",$H1573="Political Subdivision"),"cost_service",IF($H1573="Investor Owned",IF(AND(COUNTIF(Parameters!$A$4:$A$33,$G1573)&gt;0,COUNTIF(Parameters!$B$4:$B$33,$B1573)=0),"procurement","cost_service"),"unclassified"))))))</f>
        <v>cost_service</v>
      </c>
    </row>
    <row r="1574" spans="1:26" x14ac:dyDescent="0.25">
      <c r="A1574">
        <v>2024</v>
      </c>
      <c r="B1574">
        <v>40613</v>
      </c>
      <c r="C1574" t="s">
        <v>1419</v>
      </c>
      <c r="D1574" t="s">
        <v>99</v>
      </c>
      <c r="E1574" t="s">
        <v>100</v>
      </c>
      <c r="F1574" t="s">
        <v>86</v>
      </c>
      <c r="G1574" t="s">
        <v>115</v>
      </c>
      <c r="H1574" t="s">
        <v>205</v>
      </c>
      <c r="I1574" t="s">
        <v>116</v>
      </c>
      <c r="J1574">
        <v>0</v>
      </c>
      <c r="K1574">
        <v>0</v>
      </c>
      <c r="L1574">
        <v>0</v>
      </c>
      <c r="M1574">
        <v>0</v>
      </c>
      <c r="N1574">
        <v>0</v>
      </c>
      <c r="O1574">
        <v>0</v>
      </c>
      <c r="P1574">
        <v>0</v>
      </c>
      <c r="Q1574">
        <v>0</v>
      </c>
      <c r="R1574">
        <v>0</v>
      </c>
      <c r="S1574">
        <v>36126</v>
      </c>
      <c r="T1574">
        <v>360898</v>
      </c>
      <c r="U1574">
        <v>1</v>
      </c>
      <c r="V1574">
        <v>36126</v>
      </c>
      <c r="W1574">
        <v>360898</v>
      </c>
      <c r="X1574">
        <v>1</v>
      </c>
      <c r="Y1574">
        <f t="shared" si="24"/>
        <v>360898</v>
      </c>
      <c r="Z1574" t="str">
        <f>IF(ISNUMBER(SEARCH("Adjustment",$C1574)),"excluded",IF($H1574="Behind the Meter","excluded",IF(NOT(OR($E1574="Bundled",$E1574="Energy")),"excluded",IF(OR($H1574="Retail Power Marketer",$H1574="Community Choice Aggregator",$E1574="Energy"),"procurement",IF(OR($H1574="Municipal",$H1574="Cooperative",$H1574="Federal",$H1574="State",$H1574="Political Subdivision"),"cost_service",IF($H1574="Investor Owned",IF(AND(COUNTIF(Parameters!$A$4:$A$33,$G1574)&gt;0,COUNTIF(Parameters!$B$4:$B$33,$B1574)=0),"procurement","cost_service"),"unclassified"))))))</f>
        <v>procurement</v>
      </c>
    </row>
    <row r="1575" spans="1:26" x14ac:dyDescent="0.25">
      <c r="A1575">
        <v>2024</v>
      </c>
      <c r="B1575">
        <v>49730</v>
      </c>
      <c r="C1575" t="s">
        <v>1420</v>
      </c>
      <c r="D1575" t="s">
        <v>99</v>
      </c>
      <c r="E1575" t="s">
        <v>100</v>
      </c>
      <c r="F1575" t="s">
        <v>86</v>
      </c>
      <c r="G1575" t="s">
        <v>46</v>
      </c>
      <c r="H1575" t="s">
        <v>101</v>
      </c>
      <c r="I1575" t="s">
        <v>92</v>
      </c>
      <c r="J1575">
        <v>0</v>
      </c>
      <c r="K1575">
        <v>0</v>
      </c>
      <c r="L1575">
        <v>0</v>
      </c>
      <c r="M1575">
        <v>19344.8</v>
      </c>
      <c r="N1575">
        <v>408525</v>
      </c>
      <c r="O1575">
        <v>4</v>
      </c>
      <c r="P1575">
        <v>0</v>
      </c>
      <c r="Q1575">
        <v>0</v>
      </c>
      <c r="R1575">
        <v>0</v>
      </c>
      <c r="S1575">
        <v>0</v>
      </c>
      <c r="T1575">
        <v>0</v>
      </c>
      <c r="U1575">
        <v>0</v>
      </c>
      <c r="V1575">
        <v>19344.8</v>
      </c>
      <c r="W1575">
        <v>408525</v>
      </c>
      <c r="X1575">
        <v>4</v>
      </c>
      <c r="Y1575">
        <f t="shared" si="24"/>
        <v>408525</v>
      </c>
      <c r="Z1575" t="str">
        <f>IF(ISNUMBER(SEARCH("Adjustment",$C1575)),"excluded",IF($H1575="Behind the Meter","excluded",IF(NOT(OR($E1575="Bundled",$E1575="Energy")),"excluded",IF(OR($H1575="Retail Power Marketer",$H1575="Community Choice Aggregator",$E1575="Energy"),"procurement",IF(OR($H1575="Municipal",$H1575="Cooperative",$H1575="Federal",$H1575="State",$H1575="Political Subdivision"),"cost_service",IF($H1575="Investor Owned",IF(AND(COUNTIF(Parameters!$A$4:$A$33,$G1575)&gt;0,COUNTIF(Parameters!$B$4:$B$33,$B1575)=0),"procurement","cost_service"),"unclassified"))))))</f>
        <v>procurement</v>
      </c>
    </row>
    <row r="1576" spans="1:26" x14ac:dyDescent="0.25">
      <c r="A1576">
        <v>2024</v>
      </c>
      <c r="B1576">
        <v>49730</v>
      </c>
      <c r="C1576" t="s">
        <v>1420</v>
      </c>
      <c r="D1576" t="s">
        <v>99</v>
      </c>
      <c r="E1576" t="s">
        <v>100</v>
      </c>
      <c r="F1576" t="s">
        <v>86</v>
      </c>
      <c r="G1576" t="s">
        <v>49</v>
      </c>
      <c r="H1576" t="s">
        <v>101</v>
      </c>
      <c r="I1576" t="s">
        <v>92</v>
      </c>
      <c r="J1576">
        <v>0</v>
      </c>
      <c r="K1576">
        <v>0</v>
      </c>
      <c r="L1576">
        <v>0</v>
      </c>
      <c r="M1576">
        <v>0</v>
      </c>
      <c r="N1576">
        <v>0</v>
      </c>
      <c r="O1576">
        <v>0</v>
      </c>
      <c r="P1576">
        <v>2986.6</v>
      </c>
      <c r="Q1576">
        <v>67424</v>
      </c>
      <c r="R1576">
        <v>1</v>
      </c>
      <c r="S1576">
        <v>0</v>
      </c>
      <c r="T1576">
        <v>0</v>
      </c>
      <c r="U1576">
        <v>0</v>
      </c>
      <c r="V1576">
        <v>2986.6</v>
      </c>
      <c r="W1576">
        <v>67424</v>
      </c>
      <c r="X1576">
        <v>1</v>
      </c>
      <c r="Y1576">
        <f t="shared" si="24"/>
        <v>67424</v>
      </c>
      <c r="Z1576" t="str">
        <f>IF(ISNUMBER(SEARCH("Adjustment",$C1576)),"excluded",IF($H1576="Behind the Meter","excluded",IF(NOT(OR($E1576="Bundled",$E1576="Energy")),"excluded",IF(OR($H1576="Retail Power Marketer",$H1576="Community Choice Aggregator",$E1576="Energy"),"procurement",IF(OR($H1576="Municipal",$H1576="Cooperative",$H1576="Federal",$H1576="State",$H1576="Political Subdivision"),"cost_service",IF($H1576="Investor Owned",IF(AND(COUNTIF(Parameters!$A$4:$A$33,$G1576)&gt;0,COUNTIF(Parameters!$B$4:$B$33,$B1576)=0),"procurement","cost_service"),"unclassified"))))))</f>
        <v>procurement</v>
      </c>
    </row>
    <row r="1577" spans="1:26" x14ac:dyDescent="0.25">
      <c r="A1577">
        <v>2024</v>
      </c>
      <c r="B1577">
        <v>49730</v>
      </c>
      <c r="C1577" t="s">
        <v>1420</v>
      </c>
      <c r="D1577" t="s">
        <v>99</v>
      </c>
      <c r="E1577" t="s">
        <v>100</v>
      </c>
      <c r="F1577" t="s">
        <v>86</v>
      </c>
      <c r="G1577" t="s">
        <v>50</v>
      </c>
      <c r="H1577" t="s">
        <v>101</v>
      </c>
      <c r="I1577" t="s">
        <v>189</v>
      </c>
      <c r="J1577">
        <v>0</v>
      </c>
      <c r="K1577">
        <v>0</v>
      </c>
      <c r="L1577">
        <v>0</v>
      </c>
      <c r="M1577">
        <v>0</v>
      </c>
      <c r="N1577">
        <v>0</v>
      </c>
      <c r="O1577">
        <v>0</v>
      </c>
      <c r="P1577">
        <v>3812.9</v>
      </c>
      <c r="Q1577">
        <v>92328</v>
      </c>
      <c r="R1577">
        <v>2</v>
      </c>
      <c r="S1577">
        <v>0</v>
      </c>
      <c r="T1577">
        <v>0</v>
      </c>
      <c r="U1577">
        <v>0</v>
      </c>
      <c r="V1577">
        <v>3812.9</v>
      </c>
      <c r="W1577">
        <v>92328</v>
      </c>
      <c r="X1577">
        <v>2</v>
      </c>
      <c r="Y1577">
        <f t="shared" si="24"/>
        <v>92328</v>
      </c>
      <c r="Z1577" t="str">
        <f>IF(ISNUMBER(SEARCH("Adjustment",$C1577)),"excluded",IF($H1577="Behind the Meter","excluded",IF(NOT(OR($E1577="Bundled",$E1577="Energy")),"excluded",IF(OR($H1577="Retail Power Marketer",$H1577="Community Choice Aggregator",$E1577="Energy"),"procurement",IF(OR($H1577="Municipal",$H1577="Cooperative",$H1577="Federal",$H1577="State",$H1577="Political Subdivision"),"cost_service",IF($H1577="Investor Owned",IF(AND(COUNTIF(Parameters!$A$4:$A$33,$G1577)&gt;0,COUNTIF(Parameters!$B$4:$B$33,$B1577)=0),"procurement","cost_service"),"unclassified"))))))</f>
        <v>procurement</v>
      </c>
    </row>
    <row r="1578" spans="1:26" x14ac:dyDescent="0.25">
      <c r="A1578">
        <v>2024</v>
      </c>
      <c r="B1578">
        <v>49730</v>
      </c>
      <c r="C1578" t="s">
        <v>1420</v>
      </c>
      <c r="D1578" t="s">
        <v>99</v>
      </c>
      <c r="E1578" t="s">
        <v>100</v>
      </c>
      <c r="F1578" t="s">
        <v>86</v>
      </c>
      <c r="G1578" t="s">
        <v>54</v>
      </c>
      <c r="H1578" t="s">
        <v>101</v>
      </c>
      <c r="I1578" t="s">
        <v>92</v>
      </c>
      <c r="J1578">
        <v>0</v>
      </c>
      <c r="K1578">
        <v>0</v>
      </c>
      <c r="L1578">
        <v>0</v>
      </c>
      <c r="M1578">
        <v>0</v>
      </c>
      <c r="N1578">
        <v>0</v>
      </c>
      <c r="O1578">
        <v>0</v>
      </c>
      <c r="P1578">
        <v>12839.1</v>
      </c>
      <c r="Q1578">
        <v>262703</v>
      </c>
      <c r="R1578">
        <v>5</v>
      </c>
      <c r="S1578">
        <v>0</v>
      </c>
      <c r="T1578">
        <v>0</v>
      </c>
      <c r="U1578">
        <v>0</v>
      </c>
      <c r="V1578">
        <v>12839.1</v>
      </c>
      <c r="W1578">
        <v>262703</v>
      </c>
      <c r="X1578">
        <v>5</v>
      </c>
      <c r="Y1578">
        <f t="shared" si="24"/>
        <v>262703</v>
      </c>
      <c r="Z1578" t="str">
        <f>IF(ISNUMBER(SEARCH("Adjustment",$C1578)),"excluded",IF($H1578="Behind the Meter","excluded",IF(NOT(OR($E1578="Bundled",$E1578="Energy")),"excluded",IF(OR($H1578="Retail Power Marketer",$H1578="Community Choice Aggregator",$E1578="Energy"),"procurement",IF(OR($H1578="Municipal",$H1578="Cooperative",$H1578="Federal",$H1578="State",$H1578="Political Subdivision"),"cost_service",IF($H1578="Investor Owned",IF(AND(COUNTIF(Parameters!$A$4:$A$33,$G1578)&gt;0,COUNTIF(Parameters!$B$4:$B$33,$B1578)=0),"procurement","cost_service"),"unclassified"))))))</f>
        <v>procurement</v>
      </c>
    </row>
    <row r="1579" spans="1:26" x14ac:dyDescent="0.25">
      <c r="A1579">
        <v>2024</v>
      </c>
      <c r="B1579">
        <v>49730</v>
      </c>
      <c r="C1579" t="s">
        <v>1420</v>
      </c>
      <c r="D1579" t="s">
        <v>99</v>
      </c>
      <c r="E1579" t="s">
        <v>100</v>
      </c>
      <c r="F1579" t="s">
        <v>86</v>
      </c>
      <c r="G1579" t="s">
        <v>55</v>
      </c>
      <c r="H1579" t="s">
        <v>101</v>
      </c>
      <c r="I1579" t="s">
        <v>92</v>
      </c>
      <c r="J1579">
        <v>0</v>
      </c>
      <c r="K1579">
        <v>0</v>
      </c>
      <c r="L1579">
        <v>0</v>
      </c>
      <c r="M1579">
        <v>26552.7</v>
      </c>
      <c r="N1579">
        <v>442499</v>
      </c>
      <c r="O1579">
        <v>14</v>
      </c>
      <c r="P1579">
        <v>14050.6</v>
      </c>
      <c r="Q1579">
        <v>224081</v>
      </c>
      <c r="R1579">
        <v>6</v>
      </c>
      <c r="S1579">
        <v>0</v>
      </c>
      <c r="T1579">
        <v>0</v>
      </c>
      <c r="U1579">
        <v>0</v>
      </c>
      <c r="V1579">
        <v>40603.300000000003</v>
      </c>
      <c r="W1579">
        <v>666580</v>
      </c>
      <c r="X1579">
        <v>20</v>
      </c>
      <c r="Y1579">
        <f t="shared" si="24"/>
        <v>666580</v>
      </c>
      <c r="Z1579" t="str">
        <f>IF(ISNUMBER(SEARCH("Adjustment",$C1579)),"excluded",IF($H1579="Behind the Meter","excluded",IF(NOT(OR($E1579="Bundled",$E1579="Energy")),"excluded",IF(OR($H1579="Retail Power Marketer",$H1579="Community Choice Aggregator",$E1579="Energy"),"procurement",IF(OR($H1579="Municipal",$H1579="Cooperative",$H1579="Federal",$H1579="State",$H1579="Political Subdivision"),"cost_service",IF($H1579="Investor Owned",IF(AND(COUNTIF(Parameters!$A$4:$A$33,$G1579)&gt;0,COUNTIF(Parameters!$B$4:$B$33,$B1579)=0),"procurement","cost_service"),"unclassified"))))))</f>
        <v>procurement</v>
      </c>
    </row>
    <row r="1580" spans="1:26" x14ac:dyDescent="0.25">
      <c r="A1580">
        <v>2024</v>
      </c>
      <c r="B1580">
        <v>49730</v>
      </c>
      <c r="C1580" t="s">
        <v>1420</v>
      </c>
      <c r="D1580" t="s">
        <v>150</v>
      </c>
      <c r="E1580" t="s">
        <v>85</v>
      </c>
      <c r="F1580" t="s">
        <v>86</v>
      </c>
      <c r="G1580" t="s">
        <v>57</v>
      </c>
      <c r="H1580" t="s">
        <v>101</v>
      </c>
      <c r="I1580" t="s">
        <v>151</v>
      </c>
      <c r="J1580">
        <v>0</v>
      </c>
      <c r="K1580">
        <v>0</v>
      </c>
      <c r="L1580">
        <v>0</v>
      </c>
      <c r="M1580">
        <v>0</v>
      </c>
      <c r="N1580">
        <v>0</v>
      </c>
      <c r="O1580">
        <v>0</v>
      </c>
      <c r="P1580">
        <v>12995.4</v>
      </c>
      <c r="Q1580">
        <v>171602</v>
      </c>
      <c r="R1580">
        <v>2</v>
      </c>
      <c r="S1580">
        <v>0</v>
      </c>
      <c r="T1580">
        <v>0</v>
      </c>
      <c r="U1580">
        <v>0</v>
      </c>
      <c r="V1580">
        <v>12995.4</v>
      </c>
      <c r="W1580">
        <v>171602</v>
      </c>
      <c r="X1580">
        <v>2</v>
      </c>
      <c r="Y1580">
        <f t="shared" si="24"/>
        <v>171602</v>
      </c>
      <c r="Z1580" t="str">
        <f>IF(ISNUMBER(SEARCH("Adjustment",$C1580)),"excluded",IF($H1580="Behind the Meter","excluded",IF(NOT(OR($E1580="Bundled",$E1580="Energy")),"excluded",IF(OR($H1580="Retail Power Marketer",$H1580="Community Choice Aggregator",$E1580="Energy"),"procurement",IF(OR($H1580="Municipal",$H1580="Cooperative",$H1580="Federal",$H1580="State",$H1580="Political Subdivision"),"cost_service",IF($H1580="Investor Owned",IF(AND(COUNTIF(Parameters!$A$4:$A$33,$G1580)&gt;0,COUNTIF(Parameters!$B$4:$B$33,$B1580)=0),"procurement","cost_service"),"unclassified"))))))</f>
        <v>procurement</v>
      </c>
    </row>
    <row r="1581" spans="1:26" x14ac:dyDescent="0.25">
      <c r="A1581">
        <v>2024</v>
      </c>
      <c r="B1581">
        <v>49746</v>
      </c>
      <c r="C1581" t="s">
        <v>1421</v>
      </c>
      <c r="D1581" t="s">
        <v>99</v>
      </c>
      <c r="E1581" t="s">
        <v>100</v>
      </c>
      <c r="F1581" t="s">
        <v>86</v>
      </c>
      <c r="G1581" t="s">
        <v>55</v>
      </c>
      <c r="H1581" t="s">
        <v>91</v>
      </c>
      <c r="I1581" t="s">
        <v>92</v>
      </c>
      <c r="J1581">
        <v>2594.4</v>
      </c>
      <c r="K1581">
        <v>18866</v>
      </c>
      <c r="L1581">
        <v>2515</v>
      </c>
      <c r="M1581">
        <v>240.7</v>
      </c>
      <c r="N1581">
        <v>1794</v>
      </c>
      <c r="O1581">
        <v>144</v>
      </c>
      <c r="P1581">
        <v>0</v>
      </c>
      <c r="Q1581">
        <v>0</v>
      </c>
      <c r="R1581">
        <v>0</v>
      </c>
      <c r="S1581">
        <v>0</v>
      </c>
      <c r="T1581">
        <v>0</v>
      </c>
      <c r="U1581">
        <v>0</v>
      </c>
      <c r="V1581">
        <v>2835.1</v>
      </c>
      <c r="W1581">
        <v>20660</v>
      </c>
      <c r="X1581">
        <v>2659</v>
      </c>
      <c r="Y1581">
        <f t="shared" si="24"/>
        <v>20660</v>
      </c>
      <c r="Z1581" t="str">
        <f>IF(ISNUMBER(SEARCH("Adjustment",$C1581)),"excluded",IF($H1581="Behind the Meter","excluded",IF(NOT(OR($E1581="Bundled",$E1581="Energy")),"excluded",IF(OR($H1581="Retail Power Marketer",$H1581="Community Choice Aggregator",$E1581="Energy"),"procurement",IF(OR($H1581="Municipal",$H1581="Cooperative",$H1581="Federal",$H1581="State",$H1581="Political Subdivision"),"cost_service",IF($H1581="Investor Owned",IF(AND(COUNTIF(Parameters!$A$4:$A$33,$G1581)&gt;0,COUNTIF(Parameters!$B$4:$B$33,$B1581)=0),"procurement","cost_service"),"unclassified"))))))</f>
        <v>procurement</v>
      </c>
    </row>
    <row r="1582" spans="1:26" x14ac:dyDescent="0.25">
      <c r="A1582">
        <v>2024</v>
      </c>
      <c r="B1582">
        <v>49818</v>
      </c>
      <c r="C1582" t="s">
        <v>1422</v>
      </c>
      <c r="D1582" t="s">
        <v>150</v>
      </c>
      <c r="E1582" t="s">
        <v>85</v>
      </c>
      <c r="F1582" t="s">
        <v>86</v>
      </c>
      <c r="G1582" t="s">
        <v>57</v>
      </c>
      <c r="H1582" t="s">
        <v>101</v>
      </c>
      <c r="I1582" t="s">
        <v>151</v>
      </c>
      <c r="J1582">
        <v>8355.7999999999993</v>
      </c>
      <c r="K1582">
        <v>79547</v>
      </c>
      <c r="L1582">
        <v>5272</v>
      </c>
      <c r="M1582">
        <v>9131.5</v>
      </c>
      <c r="N1582">
        <v>128107</v>
      </c>
      <c r="O1582">
        <v>2986</v>
      </c>
      <c r="P1582">
        <v>0</v>
      </c>
      <c r="Q1582">
        <v>0</v>
      </c>
      <c r="R1582">
        <v>0</v>
      </c>
      <c r="S1582">
        <v>0</v>
      </c>
      <c r="T1582">
        <v>0</v>
      </c>
      <c r="U1582">
        <v>0</v>
      </c>
      <c r="V1582">
        <v>17487.3</v>
      </c>
      <c r="W1582">
        <v>207654</v>
      </c>
      <c r="X1582">
        <v>8258</v>
      </c>
      <c r="Y1582">
        <f t="shared" si="24"/>
        <v>207654</v>
      </c>
      <c r="Z1582" t="str">
        <f>IF(ISNUMBER(SEARCH("Adjustment",$C1582)),"excluded",IF($H1582="Behind the Meter","excluded",IF(NOT(OR($E1582="Bundled",$E1582="Energy")),"excluded",IF(OR($H1582="Retail Power Marketer",$H1582="Community Choice Aggregator",$E1582="Energy"),"procurement",IF(OR($H1582="Municipal",$H1582="Cooperative",$H1582="Federal",$H1582="State",$H1582="Political Subdivision"),"cost_service",IF($H1582="Investor Owned",IF(AND(COUNTIF(Parameters!$A$4:$A$33,$G1582)&gt;0,COUNTIF(Parameters!$B$4:$B$33,$B1582)=0),"procurement","cost_service"),"unclassified"))))))</f>
        <v>procurement</v>
      </c>
    </row>
    <row r="1583" spans="1:26" x14ac:dyDescent="0.25">
      <c r="A1583">
        <v>2024</v>
      </c>
      <c r="B1583">
        <v>49848</v>
      </c>
      <c r="C1583" t="s">
        <v>1423</v>
      </c>
      <c r="D1583" t="s">
        <v>99</v>
      </c>
      <c r="E1583" t="s">
        <v>100</v>
      </c>
      <c r="F1583" t="s">
        <v>86</v>
      </c>
      <c r="G1583" t="s">
        <v>48</v>
      </c>
      <c r="H1583" t="s">
        <v>205</v>
      </c>
      <c r="I1583" t="s">
        <v>189</v>
      </c>
      <c r="J1583">
        <v>0</v>
      </c>
      <c r="K1583">
        <v>0</v>
      </c>
      <c r="L1583">
        <v>0</v>
      </c>
      <c r="M1583">
        <v>767.9</v>
      </c>
      <c r="N1583">
        <v>2753</v>
      </c>
      <c r="O1583">
        <v>66</v>
      </c>
      <c r="P1583">
        <v>0</v>
      </c>
      <c r="Q1583">
        <v>0</v>
      </c>
      <c r="R1583">
        <v>0</v>
      </c>
      <c r="S1583">
        <v>4155.3</v>
      </c>
      <c r="T1583">
        <v>33840</v>
      </c>
      <c r="U1583">
        <v>2</v>
      </c>
      <c r="V1583">
        <v>4923.2</v>
      </c>
      <c r="W1583">
        <v>36593</v>
      </c>
      <c r="X1583">
        <v>68</v>
      </c>
      <c r="Y1583">
        <f t="shared" si="24"/>
        <v>36593</v>
      </c>
      <c r="Z1583" t="str">
        <f>IF(ISNUMBER(SEARCH("Adjustment",$C1583)),"excluded",IF($H1583="Behind the Meter","excluded",IF(NOT(OR($E1583="Bundled",$E1583="Energy")),"excluded",IF(OR($H1583="Retail Power Marketer",$H1583="Community Choice Aggregator",$E1583="Energy"),"procurement",IF(OR($H1583="Municipal",$H1583="Cooperative",$H1583="Federal",$H1583="State",$H1583="Political Subdivision"),"cost_service",IF($H1583="Investor Owned",IF(AND(COUNTIF(Parameters!$A$4:$A$33,$G1583)&gt;0,COUNTIF(Parameters!$B$4:$B$33,$B1583)=0),"procurement","cost_service"),"unclassified"))))))</f>
        <v>procurement</v>
      </c>
    </row>
    <row r="1584" spans="1:26" x14ac:dyDescent="0.25">
      <c r="A1584">
        <v>2024</v>
      </c>
      <c r="B1584">
        <v>49853</v>
      </c>
      <c r="C1584" t="s">
        <v>1424</v>
      </c>
      <c r="D1584" t="s">
        <v>150</v>
      </c>
      <c r="E1584" t="s">
        <v>85</v>
      </c>
      <c r="F1584" t="s">
        <v>86</v>
      </c>
      <c r="G1584" t="s">
        <v>57</v>
      </c>
      <c r="H1584" t="s">
        <v>101</v>
      </c>
      <c r="I1584" t="s">
        <v>151</v>
      </c>
      <c r="J1584">
        <v>307336.09999999998</v>
      </c>
      <c r="K1584">
        <v>1898234</v>
      </c>
      <c r="L1584">
        <v>146495</v>
      </c>
      <c r="M1584">
        <v>26932.3</v>
      </c>
      <c r="N1584">
        <v>239304</v>
      </c>
      <c r="O1584">
        <v>5754</v>
      </c>
      <c r="P1584">
        <v>0</v>
      </c>
      <c r="Q1584">
        <v>0</v>
      </c>
      <c r="R1584">
        <v>0</v>
      </c>
      <c r="S1584">
        <v>0</v>
      </c>
      <c r="T1584">
        <v>0</v>
      </c>
      <c r="U1584">
        <v>0</v>
      </c>
      <c r="V1584">
        <v>334268.40000000002</v>
      </c>
      <c r="W1584">
        <v>2137538</v>
      </c>
      <c r="X1584">
        <v>152249</v>
      </c>
      <c r="Y1584">
        <f t="shared" si="24"/>
        <v>2137538</v>
      </c>
      <c r="Z1584" t="str">
        <f>IF(ISNUMBER(SEARCH("Adjustment",$C1584)),"excluded",IF($H1584="Behind the Meter","excluded",IF(NOT(OR($E1584="Bundled",$E1584="Energy")),"excluded",IF(OR($H1584="Retail Power Marketer",$H1584="Community Choice Aggregator",$E1584="Energy"),"procurement",IF(OR($H1584="Municipal",$H1584="Cooperative",$H1584="Federal",$H1584="State",$H1584="Political Subdivision"),"cost_service",IF($H1584="Investor Owned",IF(AND(COUNTIF(Parameters!$A$4:$A$33,$G1584)&gt;0,COUNTIF(Parameters!$B$4:$B$33,$B1584)=0),"procurement","cost_service"),"unclassified"))))))</f>
        <v>procurement</v>
      </c>
    </row>
    <row r="1585" spans="1:26" x14ac:dyDescent="0.25">
      <c r="A1585">
        <v>2024</v>
      </c>
      <c r="B1585">
        <v>49922</v>
      </c>
      <c r="C1585" t="s">
        <v>1425</v>
      </c>
      <c r="D1585" t="s">
        <v>99</v>
      </c>
      <c r="E1585" t="s">
        <v>100</v>
      </c>
      <c r="F1585" t="s">
        <v>86</v>
      </c>
      <c r="G1585" t="s">
        <v>53</v>
      </c>
      <c r="H1585" t="s">
        <v>101</v>
      </c>
      <c r="I1585" t="s">
        <v>102</v>
      </c>
      <c r="J1585">
        <v>645.29999999999995</v>
      </c>
      <c r="K1585">
        <v>5120</v>
      </c>
      <c r="L1585">
        <v>633</v>
      </c>
      <c r="M1585">
        <v>28910.7</v>
      </c>
      <c r="N1585">
        <v>250038</v>
      </c>
      <c r="O1585">
        <v>3925</v>
      </c>
      <c r="P1585" t="s">
        <v>97</v>
      </c>
      <c r="Q1585" t="s">
        <v>97</v>
      </c>
      <c r="R1585" t="s">
        <v>97</v>
      </c>
      <c r="S1585" t="s">
        <v>97</v>
      </c>
      <c r="T1585" t="s">
        <v>97</v>
      </c>
      <c r="U1585" t="s">
        <v>97</v>
      </c>
      <c r="V1585">
        <v>29556</v>
      </c>
      <c r="W1585">
        <v>255158</v>
      </c>
      <c r="X1585">
        <v>4558</v>
      </c>
      <c r="Y1585">
        <f t="shared" si="24"/>
        <v>255158</v>
      </c>
      <c r="Z1585" t="str">
        <f>IF(ISNUMBER(SEARCH("Adjustment",$C1585)),"excluded",IF($H1585="Behind the Meter","excluded",IF(NOT(OR($E1585="Bundled",$E1585="Energy")),"excluded",IF(OR($H1585="Retail Power Marketer",$H1585="Community Choice Aggregator",$E1585="Energy"),"procurement",IF(OR($H1585="Municipal",$H1585="Cooperative",$H1585="Federal",$H1585="State",$H1585="Political Subdivision"),"cost_service",IF($H1585="Investor Owned",IF(AND(COUNTIF(Parameters!$A$4:$A$33,$G1585)&gt;0,COUNTIF(Parameters!$B$4:$B$33,$B1585)=0),"procurement","cost_service"),"unclassified"))))))</f>
        <v>procurement</v>
      </c>
    </row>
    <row r="1586" spans="1:26" x14ac:dyDescent="0.25">
      <c r="A1586">
        <v>2024</v>
      </c>
      <c r="B1586">
        <v>49952</v>
      </c>
      <c r="C1586" t="s">
        <v>1426</v>
      </c>
      <c r="D1586" t="s">
        <v>150</v>
      </c>
      <c r="E1586" t="s">
        <v>85</v>
      </c>
      <c r="F1586" t="s">
        <v>86</v>
      </c>
      <c r="G1586" t="s">
        <v>57</v>
      </c>
      <c r="H1586" t="s">
        <v>101</v>
      </c>
      <c r="I1586" t="s">
        <v>151</v>
      </c>
      <c r="J1586">
        <v>3123.7</v>
      </c>
      <c r="K1586">
        <v>25859</v>
      </c>
      <c r="L1586">
        <v>1416</v>
      </c>
      <c r="M1586">
        <v>799.3</v>
      </c>
      <c r="N1586">
        <v>9214</v>
      </c>
      <c r="O1586">
        <v>119</v>
      </c>
      <c r="P1586">
        <v>0</v>
      </c>
      <c r="Q1586">
        <v>0</v>
      </c>
      <c r="R1586">
        <v>0</v>
      </c>
      <c r="S1586">
        <v>0</v>
      </c>
      <c r="T1586">
        <v>0</v>
      </c>
      <c r="U1586">
        <v>0</v>
      </c>
      <c r="V1586">
        <v>3923</v>
      </c>
      <c r="W1586">
        <v>35073</v>
      </c>
      <c r="X1586">
        <v>1535</v>
      </c>
      <c r="Y1586">
        <f t="shared" si="24"/>
        <v>35073</v>
      </c>
      <c r="Z1586" t="str">
        <f>IF(ISNUMBER(SEARCH("Adjustment",$C1586)),"excluded",IF($H1586="Behind the Meter","excluded",IF(NOT(OR($E1586="Bundled",$E1586="Energy")),"excluded",IF(OR($H1586="Retail Power Marketer",$H1586="Community Choice Aggregator",$E1586="Energy"),"procurement",IF(OR($H1586="Municipal",$H1586="Cooperative",$H1586="Federal",$H1586="State",$H1586="Political Subdivision"),"cost_service",IF($H1586="Investor Owned",IF(AND(COUNTIF(Parameters!$A$4:$A$33,$G1586)&gt;0,COUNTIF(Parameters!$B$4:$B$33,$B1586)=0),"procurement","cost_service"),"unclassified"))))))</f>
        <v>procurement</v>
      </c>
    </row>
    <row r="1587" spans="1:26" x14ac:dyDescent="0.25">
      <c r="A1587">
        <v>2024</v>
      </c>
      <c r="B1587">
        <v>49987</v>
      </c>
      <c r="C1587" t="s">
        <v>1427</v>
      </c>
      <c r="D1587" t="s">
        <v>99</v>
      </c>
      <c r="E1587" t="s">
        <v>100</v>
      </c>
      <c r="F1587" t="s">
        <v>86</v>
      </c>
      <c r="G1587" t="s">
        <v>48</v>
      </c>
      <c r="H1587" t="s">
        <v>101</v>
      </c>
      <c r="I1587" t="s">
        <v>189</v>
      </c>
      <c r="J1587">
        <v>0</v>
      </c>
      <c r="K1587">
        <v>0</v>
      </c>
      <c r="L1587">
        <v>0</v>
      </c>
      <c r="M1587">
        <v>9419.5</v>
      </c>
      <c r="N1587">
        <v>142288</v>
      </c>
      <c r="O1587">
        <v>1</v>
      </c>
      <c r="P1587">
        <v>0</v>
      </c>
      <c r="Q1587">
        <v>0</v>
      </c>
      <c r="R1587">
        <v>0</v>
      </c>
      <c r="S1587">
        <v>0</v>
      </c>
      <c r="T1587">
        <v>0</v>
      </c>
      <c r="U1587">
        <v>0</v>
      </c>
      <c r="V1587">
        <v>9419.5</v>
      </c>
      <c r="W1587">
        <v>142288</v>
      </c>
      <c r="X1587">
        <v>1</v>
      </c>
      <c r="Y1587">
        <f t="shared" si="24"/>
        <v>142288</v>
      </c>
      <c r="Z1587" t="str">
        <f>IF(ISNUMBER(SEARCH("Adjustment",$C1587)),"excluded",IF($H1587="Behind the Meter","excluded",IF(NOT(OR($E1587="Bundled",$E1587="Energy")),"excluded",IF(OR($H1587="Retail Power Marketer",$H1587="Community Choice Aggregator",$E1587="Energy"),"procurement",IF(OR($H1587="Municipal",$H1587="Cooperative",$H1587="Federal",$H1587="State",$H1587="Political Subdivision"),"cost_service",IF($H1587="Investor Owned",IF(AND(COUNTIF(Parameters!$A$4:$A$33,$G1587)&gt;0,COUNTIF(Parameters!$B$4:$B$33,$B1587)=0),"procurement","cost_service"),"unclassified"))))))</f>
        <v>procurement</v>
      </c>
    </row>
    <row r="1588" spans="1:26" x14ac:dyDescent="0.25">
      <c r="A1588">
        <v>2024</v>
      </c>
      <c r="B1588">
        <v>49998</v>
      </c>
      <c r="C1588" t="s">
        <v>1428</v>
      </c>
      <c r="D1588" t="s">
        <v>84</v>
      </c>
      <c r="E1588" t="s">
        <v>85</v>
      </c>
      <c r="F1588" t="s">
        <v>86</v>
      </c>
      <c r="G1588" t="s">
        <v>209</v>
      </c>
      <c r="H1588" t="s">
        <v>88</v>
      </c>
      <c r="I1588" t="s">
        <v>534</v>
      </c>
      <c r="J1588">
        <v>5205.5</v>
      </c>
      <c r="K1588">
        <v>57571</v>
      </c>
      <c r="L1588">
        <v>4722</v>
      </c>
      <c r="M1588">
        <v>1913.8</v>
      </c>
      <c r="N1588">
        <v>22227</v>
      </c>
      <c r="O1588">
        <v>579</v>
      </c>
      <c r="P1588">
        <v>3034.8</v>
      </c>
      <c r="Q1588">
        <v>42680</v>
      </c>
      <c r="R1588">
        <v>58</v>
      </c>
      <c r="S1588">
        <v>0</v>
      </c>
      <c r="T1588">
        <v>0</v>
      </c>
      <c r="U1588">
        <v>0</v>
      </c>
      <c r="V1588">
        <v>10154.1</v>
      </c>
      <c r="W1588">
        <v>122478</v>
      </c>
      <c r="X1588">
        <v>5359</v>
      </c>
      <c r="Y1588">
        <f t="shared" si="24"/>
        <v>122478</v>
      </c>
      <c r="Z1588" t="str">
        <f>IF(ISNUMBER(SEARCH("Adjustment",$C1588)),"excluded",IF($H1588="Behind the Meter","excluded",IF(NOT(OR($E1588="Bundled",$E1588="Energy")),"excluded",IF(OR($H1588="Retail Power Marketer",$H1588="Community Choice Aggregator",$E1588="Energy"),"procurement",IF(OR($H1588="Municipal",$H1588="Cooperative",$H1588="Federal",$H1588="State",$H1588="Political Subdivision"),"cost_service",IF($H1588="Investor Owned",IF(AND(COUNTIF(Parameters!$A$4:$A$33,$G1588)&gt;0,COUNTIF(Parameters!$B$4:$B$33,$B1588)=0),"procurement","cost_service"),"unclassified"))))))</f>
        <v>cost_service</v>
      </c>
    </row>
    <row r="1589" spans="1:26" x14ac:dyDescent="0.25">
      <c r="A1589">
        <v>2024</v>
      </c>
      <c r="B1589">
        <v>50041</v>
      </c>
      <c r="C1589" t="s">
        <v>1429</v>
      </c>
      <c r="D1589" t="s">
        <v>150</v>
      </c>
      <c r="E1589" t="s">
        <v>85</v>
      </c>
      <c r="F1589" t="s">
        <v>86</v>
      </c>
      <c r="G1589" t="s">
        <v>57</v>
      </c>
      <c r="H1589" t="s">
        <v>101</v>
      </c>
      <c r="I1589" t="s">
        <v>151</v>
      </c>
      <c r="J1589">
        <v>377745.5</v>
      </c>
      <c r="K1589">
        <v>2276109</v>
      </c>
      <c r="L1589">
        <v>158854</v>
      </c>
      <c r="M1589">
        <v>42879.7</v>
      </c>
      <c r="N1589">
        <v>230935</v>
      </c>
      <c r="O1589">
        <v>14308</v>
      </c>
      <c r="P1589">
        <v>0</v>
      </c>
      <c r="Q1589">
        <v>0</v>
      </c>
      <c r="R1589">
        <v>0</v>
      </c>
      <c r="S1589">
        <v>0</v>
      </c>
      <c r="T1589">
        <v>0</v>
      </c>
      <c r="U1589">
        <v>0</v>
      </c>
      <c r="V1589">
        <v>420625.2</v>
      </c>
      <c r="W1589">
        <v>2507044</v>
      </c>
      <c r="X1589">
        <v>173162</v>
      </c>
      <c r="Y1589">
        <f t="shared" si="24"/>
        <v>2507044</v>
      </c>
      <c r="Z1589" t="str">
        <f>IF(ISNUMBER(SEARCH("Adjustment",$C1589)),"excluded",IF($H1589="Behind the Meter","excluded",IF(NOT(OR($E1589="Bundled",$E1589="Energy")),"excluded",IF(OR($H1589="Retail Power Marketer",$H1589="Community Choice Aggregator",$E1589="Energy"),"procurement",IF(OR($H1589="Municipal",$H1589="Cooperative",$H1589="Federal",$H1589="State",$H1589="Political Subdivision"),"cost_service",IF($H1589="Investor Owned",IF(AND(COUNTIF(Parameters!$A$4:$A$33,$G1589)&gt;0,COUNTIF(Parameters!$B$4:$B$33,$B1589)=0),"procurement","cost_service"),"unclassified"))))))</f>
        <v>procurement</v>
      </c>
    </row>
    <row r="1590" spans="1:26" x14ac:dyDescent="0.25">
      <c r="A1590">
        <v>2024</v>
      </c>
      <c r="B1590">
        <v>50046</v>
      </c>
      <c r="C1590" t="s">
        <v>1430</v>
      </c>
      <c r="D1590" t="s">
        <v>99</v>
      </c>
      <c r="E1590" t="s">
        <v>100</v>
      </c>
      <c r="F1590" t="s">
        <v>86</v>
      </c>
      <c r="G1590" t="s">
        <v>40</v>
      </c>
      <c r="H1590" t="s">
        <v>101</v>
      </c>
      <c r="I1590" t="s">
        <v>189</v>
      </c>
      <c r="J1590">
        <v>0</v>
      </c>
      <c r="K1590">
        <v>0</v>
      </c>
      <c r="L1590">
        <v>0</v>
      </c>
      <c r="M1590">
        <v>4446.5</v>
      </c>
      <c r="N1590">
        <v>49026</v>
      </c>
      <c r="O1590">
        <v>47</v>
      </c>
      <c r="P1590">
        <v>0</v>
      </c>
      <c r="Q1590">
        <v>0</v>
      </c>
      <c r="R1590">
        <v>0</v>
      </c>
      <c r="S1590">
        <v>0</v>
      </c>
      <c r="T1590">
        <v>0</v>
      </c>
      <c r="U1590">
        <v>0</v>
      </c>
      <c r="V1590">
        <v>4446.5</v>
      </c>
      <c r="W1590">
        <v>49026</v>
      </c>
      <c r="X1590">
        <v>47</v>
      </c>
      <c r="Y1590">
        <f t="shared" si="24"/>
        <v>49026</v>
      </c>
      <c r="Z1590" t="str">
        <f>IF(ISNUMBER(SEARCH("Adjustment",$C1590)),"excluded",IF($H1590="Behind the Meter","excluded",IF(NOT(OR($E1590="Bundled",$E1590="Energy")),"excluded",IF(OR($H1590="Retail Power Marketer",$H1590="Community Choice Aggregator",$E1590="Energy"),"procurement",IF(OR($H1590="Municipal",$H1590="Cooperative",$H1590="Federal",$H1590="State",$H1590="Political Subdivision"),"cost_service",IF($H1590="Investor Owned",IF(AND(COUNTIF(Parameters!$A$4:$A$33,$G1590)&gt;0,COUNTIF(Parameters!$B$4:$B$33,$B1590)=0),"procurement","cost_service"),"unclassified"))))))</f>
        <v>procurement</v>
      </c>
    </row>
    <row r="1591" spans="1:26" x14ac:dyDescent="0.25">
      <c r="A1591">
        <v>2024</v>
      </c>
      <c r="B1591">
        <v>50046</v>
      </c>
      <c r="C1591" t="s">
        <v>1430</v>
      </c>
      <c r="D1591" t="s">
        <v>99</v>
      </c>
      <c r="E1591" t="s">
        <v>100</v>
      </c>
      <c r="F1591" t="s">
        <v>86</v>
      </c>
      <c r="G1591" t="s">
        <v>46</v>
      </c>
      <c r="H1591" t="s">
        <v>101</v>
      </c>
      <c r="I1591" t="s">
        <v>92</v>
      </c>
      <c r="J1591">
        <v>0</v>
      </c>
      <c r="K1591">
        <v>0</v>
      </c>
      <c r="L1591">
        <v>0</v>
      </c>
      <c r="M1591">
        <v>16837.400000000001</v>
      </c>
      <c r="N1591">
        <v>317286</v>
      </c>
      <c r="O1591">
        <v>109</v>
      </c>
      <c r="P1591">
        <v>0</v>
      </c>
      <c r="Q1591">
        <v>0</v>
      </c>
      <c r="R1591">
        <v>0</v>
      </c>
      <c r="S1591">
        <v>0</v>
      </c>
      <c r="T1591">
        <v>0</v>
      </c>
      <c r="U1591">
        <v>0</v>
      </c>
      <c r="V1591">
        <v>16837.400000000001</v>
      </c>
      <c r="W1591">
        <v>317286</v>
      </c>
      <c r="X1591">
        <v>109</v>
      </c>
      <c r="Y1591">
        <f t="shared" si="24"/>
        <v>317286</v>
      </c>
      <c r="Z1591" t="str">
        <f>IF(ISNUMBER(SEARCH("Adjustment",$C1591)),"excluded",IF($H1591="Behind the Meter","excluded",IF(NOT(OR($E1591="Bundled",$E1591="Energy")),"excluded",IF(OR($H1591="Retail Power Marketer",$H1591="Community Choice Aggregator",$E1591="Energy"),"procurement",IF(OR($H1591="Municipal",$H1591="Cooperative",$H1591="Federal",$H1591="State",$H1591="Political Subdivision"),"cost_service",IF($H1591="Investor Owned",IF(AND(COUNTIF(Parameters!$A$4:$A$33,$G1591)&gt;0,COUNTIF(Parameters!$B$4:$B$33,$B1591)=0),"procurement","cost_service"),"unclassified"))))))</f>
        <v>procurement</v>
      </c>
    </row>
    <row r="1592" spans="1:26" x14ac:dyDescent="0.25">
      <c r="A1592">
        <v>2024</v>
      </c>
      <c r="B1592">
        <v>50046</v>
      </c>
      <c r="C1592" t="s">
        <v>1430</v>
      </c>
      <c r="D1592" t="s">
        <v>99</v>
      </c>
      <c r="E1592" t="s">
        <v>100</v>
      </c>
      <c r="F1592" t="s">
        <v>86</v>
      </c>
      <c r="G1592" t="s">
        <v>46</v>
      </c>
      <c r="H1592" t="s">
        <v>101</v>
      </c>
      <c r="I1592" t="s">
        <v>96</v>
      </c>
      <c r="J1592">
        <v>0</v>
      </c>
      <c r="K1592">
        <v>0</v>
      </c>
      <c r="L1592">
        <v>0</v>
      </c>
      <c r="M1592">
        <v>10125.700000000001</v>
      </c>
      <c r="N1592">
        <v>213183</v>
      </c>
      <c r="O1592">
        <v>79</v>
      </c>
      <c r="P1592">
        <v>0</v>
      </c>
      <c r="Q1592">
        <v>0</v>
      </c>
      <c r="R1592">
        <v>0</v>
      </c>
      <c r="S1592">
        <v>0</v>
      </c>
      <c r="T1592">
        <v>0</v>
      </c>
      <c r="U1592">
        <v>0</v>
      </c>
      <c r="V1592">
        <v>10125.700000000001</v>
      </c>
      <c r="W1592">
        <v>213183</v>
      </c>
      <c r="X1592">
        <v>79</v>
      </c>
      <c r="Y1592">
        <f t="shared" si="24"/>
        <v>213183</v>
      </c>
      <c r="Z1592" t="str">
        <f>IF(ISNUMBER(SEARCH("Adjustment",$C1592)),"excluded",IF($H1592="Behind the Meter","excluded",IF(NOT(OR($E1592="Bundled",$E1592="Energy")),"excluded",IF(OR($H1592="Retail Power Marketer",$H1592="Community Choice Aggregator",$E1592="Energy"),"procurement",IF(OR($H1592="Municipal",$H1592="Cooperative",$H1592="Federal",$H1592="State",$H1592="Political Subdivision"),"cost_service",IF($H1592="Investor Owned",IF(AND(COUNTIF(Parameters!$A$4:$A$33,$G1592)&gt;0,COUNTIF(Parameters!$B$4:$B$33,$B1592)=0),"procurement","cost_service"),"unclassified"))))))</f>
        <v>procurement</v>
      </c>
    </row>
    <row r="1593" spans="1:26" x14ac:dyDescent="0.25">
      <c r="A1593">
        <v>2024</v>
      </c>
      <c r="B1593">
        <v>50046</v>
      </c>
      <c r="C1593" t="s">
        <v>1430</v>
      </c>
      <c r="D1593" t="s">
        <v>99</v>
      </c>
      <c r="E1593" t="s">
        <v>100</v>
      </c>
      <c r="F1593" t="s">
        <v>86</v>
      </c>
      <c r="G1593" t="s">
        <v>48</v>
      </c>
      <c r="H1593" t="s">
        <v>101</v>
      </c>
      <c r="I1593" t="s">
        <v>189</v>
      </c>
      <c r="J1593">
        <v>0</v>
      </c>
      <c r="K1593">
        <v>0</v>
      </c>
      <c r="L1593">
        <v>0</v>
      </c>
      <c r="M1593">
        <v>10843.5</v>
      </c>
      <c r="N1593">
        <v>81954</v>
      </c>
      <c r="O1593">
        <v>47</v>
      </c>
      <c r="P1593">
        <v>0</v>
      </c>
      <c r="Q1593">
        <v>0</v>
      </c>
      <c r="R1593">
        <v>0</v>
      </c>
      <c r="S1593">
        <v>0</v>
      </c>
      <c r="T1593">
        <v>0</v>
      </c>
      <c r="U1593">
        <v>0</v>
      </c>
      <c r="V1593">
        <v>10843.5</v>
      </c>
      <c r="W1593">
        <v>81954</v>
      </c>
      <c r="X1593">
        <v>47</v>
      </c>
      <c r="Y1593">
        <f t="shared" si="24"/>
        <v>81954</v>
      </c>
      <c r="Z1593" t="str">
        <f>IF(ISNUMBER(SEARCH("Adjustment",$C1593)),"excluded",IF($H1593="Behind the Meter","excluded",IF(NOT(OR($E1593="Bundled",$E1593="Energy")),"excluded",IF(OR($H1593="Retail Power Marketer",$H1593="Community Choice Aggregator",$E1593="Energy"),"procurement",IF(OR($H1593="Municipal",$H1593="Cooperative",$H1593="Federal",$H1593="State",$H1593="Political Subdivision"),"cost_service",IF($H1593="Investor Owned",IF(AND(COUNTIF(Parameters!$A$4:$A$33,$G1593)&gt;0,COUNTIF(Parameters!$B$4:$B$33,$B1593)=0),"procurement","cost_service"),"unclassified"))))))</f>
        <v>procurement</v>
      </c>
    </row>
    <row r="1594" spans="1:26" x14ac:dyDescent="0.25">
      <c r="A1594">
        <v>2024</v>
      </c>
      <c r="B1594">
        <v>50046</v>
      </c>
      <c r="C1594" t="s">
        <v>1430</v>
      </c>
      <c r="D1594" t="s">
        <v>99</v>
      </c>
      <c r="E1594" t="s">
        <v>100</v>
      </c>
      <c r="F1594" t="s">
        <v>86</v>
      </c>
      <c r="G1594" t="s">
        <v>49</v>
      </c>
      <c r="H1594" t="s">
        <v>101</v>
      </c>
      <c r="I1594" t="s">
        <v>92</v>
      </c>
      <c r="J1594">
        <v>0</v>
      </c>
      <c r="K1594">
        <v>0</v>
      </c>
      <c r="L1594">
        <v>0</v>
      </c>
      <c r="M1594">
        <v>12789.6</v>
      </c>
      <c r="N1594">
        <v>151268</v>
      </c>
      <c r="O1594">
        <v>74</v>
      </c>
      <c r="P1594">
        <v>0</v>
      </c>
      <c r="Q1594">
        <v>0</v>
      </c>
      <c r="R1594">
        <v>0</v>
      </c>
      <c r="S1594">
        <v>0</v>
      </c>
      <c r="T1594">
        <v>0</v>
      </c>
      <c r="U1594">
        <v>0</v>
      </c>
      <c r="V1594">
        <v>12789.6</v>
      </c>
      <c r="W1594">
        <v>151268</v>
      </c>
      <c r="X1594">
        <v>74</v>
      </c>
      <c r="Y1594">
        <f t="shared" si="24"/>
        <v>151268</v>
      </c>
      <c r="Z1594" t="str">
        <f>IF(ISNUMBER(SEARCH("Adjustment",$C1594)),"excluded",IF($H1594="Behind the Meter","excluded",IF(NOT(OR($E1594="Bundled",$E1594="Energy")),"excluded",IF(OR($H1594="Retail Power Marketer",$H1594="Community Choice Aggregator",$E1594="Energy"),"procurement",IF(OR($H1594="Municipal",$H1594="Cooperative",$H1594="Federal",$H1594="State",$H1594="Political Subdivision"),"cost_service",IF($H1594="Investor Owned",IF(AND(COUNTIF(Parameters!$A$4:$A$33,$G1594)&gt;0,COUNTIF(Parameters!$B$4:$B$33,$B1594)=0),"procurement","cost_service"),"unclassified"))))))</f>
        <v>procurement</v>
      </c>
    </row>
    <row r="1595" spans="1:26" x14ac:dyDescent="0.25">
      <c r="A1595">
        <v>2024</v>
      </c>
      <c r="B1595">
        <v>50046</v>
      </c>
      <c r="C1595" t="s">
        <v>1430</v>
      </c>
      <c r="D1595" t="s">
        <v>99</v>
      </c>
      <c r="E1595" t="s">
        <v>100</v>
      </c>
      <c r="F1595" t="s">
        <v>86</v>
      </c>
      <c r="G1595" t="s">
        <v>50</v>
      </c>
      <c r="H1595" t="s">
        <v>101</v>
      </c>
      <c r="I1595" t="s">
        <v>189</v>
      </c>
      <c r="J1595">
        <v>0</v>
      </c>
      <c r="K1595">
        <v>0</v>
      </c>
      <c r="L1595">
        <v>0</v>
      </c>
      <c r="M1595">
        <v>7537.8</v>
      </c>
      <c r="N1595">
        <v>81066</v>
      </c>
      <c r="O1595">
        <v>32</v>
      </c>
      <c r="P1595">
        <v>0</v>
      </c>
      <c r="Q1595">
        <v>0</v>
      </c>
      <c r="R1595">
        <v>0</v>
      </c>
      <c r="S1595">
        <v>0</v>
      </c>
      <c r="T1595">
        <v>0</v>
      </c>
      <c r="U1595">
        <v>0</v>
      </c>
      <c r="V1595">
        <v>7537.8</v>
      </c>
      <c r="W1595">
        <v>81066</v>
      </c>
      <c r="X1595">
        <v>32</v>
      </c>
      <c r="Y1595">
        <f t="shared" si="24"/>
        <v>81066</v>
      </c>
      <c r="Z1595" t="str">
        <f>IF(ISNUMBER(SEARCH("Adjustment",$C1595)),"excluded",IF($H1595="Behind the Meter","excluded",IF(NOT(OR($E1595="Bundled",$E1595="Energy")),"excluded",IF(OR($H1595="Retail Power Marketer",$H1595="Community Choice Aggregator",$E1595="Energy"),"procurement",IF(OR($H1595="Municipal",$H1595="Cooperative",$H1595="Federal",$H1595="State",$H1595="Political Subdivision"),"cost_service",IF($H1595="Investor Owned",IF(AND(COUNTIF(Parameters!$A$4:$A$33,$G1595)&gt;0,COUNTIF(Parameters!$B$4:$B$33,$B1595)=0),"procurement","cost_service"),"unclassified"))))))</f>
        <v>procurement</v>
      </c>
    </row>
    <row r="1596" spans="1:26" x14ac:dyDescent="0.25">
      <c r="A1596">
        <v>2024</v>
      </c>
      <c r="B1596">
        <v>50046</v>
      </c>
      <c r="C1596" t="s">
        <v>1430</v>
      </c>
      <c r="D1596" t="s">
        <v>99</v>
      </c>
      <c r="E1596" t="s">
        <v>100</v>
      </c>
      <c r="F1596" t="s">
        <v>86</v>
      </c>
      <c r="G1596" t="s">
        <v>51</v>
      </c>
      <c r="H1596" t="s">
        <v>101</v>
      </c>
      <c r="I1596" t="s">
        <v>189</v>
      </c>
      <c r="J1596">
        <v>0</v>
      </c>
      <c r="K1596">
        <v>0</v>
      </c>
      <c r="L1596">
        <v>0</v>
      </c>
      <c r="M1596">
        <v>6487.9</v>
      </c>
      <c r="N1596">
        <v>78368</v>
      </c>
      <c r="O1596">
        <v>45</v>
      </c>
      <c r="P1596">
        <v>0</v>
      </c>
      <c r="Q1596">
        <v>0</v>
      </c>
      <c r="R1596">
        <v>0</v>
      </c>
      <c r="S1596">
        <v>0</v>
      </c>
      <c r="T1596">
        <v>0</v>
      </c>
      <c r="U1596">
        <v>0</v>
      </c>
      <c r="V1596">
        <v>6487.9</v>
      </c>
      <c r="W1596">
        <v>78368</v>
      </c>
      <c r="X1596">
        <v>45</v>
      </c>
      <c r="Y1596">
        <f t="shared" si="24"/>
        <v>78368</v>
      </c>
      <c r="Z1596" t="str">
        <f>IF(ISNUMBER(SEARCH("Adjustment",$C1596)),"excluded",IF($H1596="Behind the Meter","excluded",IF(NOT(OR($E1596="Bundled",$E1596="Energy")),"excluded",IF(OR($H1596="Retail Power Marketer",$H1596="Community Choice Aggregator",$E1596="Energy"),"procurement",IF(OR($H1596="Municipal",$H1596="Cooperative",$H1596="Federal",$H1596="State",$H1596="Political Subdivision"),"cost_service",IF($H1596="Investor Owned",IF(AND(COUNTIF(Parameters!$A$4:$A$33,$G1596)&gt;0,COUNTIF(Parameters!$B$4:$B$33,$B1596)=0),"procurement","cost_service"),"unclassified"))))))</f>
        <v>procurement</v>
      </c>
    </row>
    <row r="1597" spans="1:26" x14ac:dyDescent="0.25">
      <c r="A1597">
        <v>2024</v>
      </c>
      <c r="B1597">
        <v>50046</v>
      </c>
      <c r="C1597" t="s">
        <v>1430</v>
      </c>
      <c r="D1597" t="s">
        <v>99</v>
      </c>
      <c r="E1597" t="s">
        <v>100</v>
      </c>
      <c r="F1597" t="s">
        <v>86</v>
      </c>
      <c r="G1597" t="s">
        <v>52</v>
      </c>
      <c r="H1597" t="s">
        <v>101</v>
      </c>
      <c r="I1597" t="s">
        <v>92</v>
      </c>
      <c r="J1597">
        <v>0</v>
      </c>
      <c r="K1597">
        <v>0</v>
      </c>
      <c r="L1597">
        <v>0</v>
      </c>
      <c r="M1597">
        <v>14672.3</v>
      </c>
      <c r="N1597">
        <v>182046</v>
      </c>
      <c r="O1597">
        <v>91</v>
      </c>
      <c r="P1597">
        <v>0</v>
      </c>
      <c r="Q1597">
        <v>0</v>
      </c>
      <c r="R1597">
        <v>0</v>
      </c>
      <c r="S1597">
        <v>0</v>
      </c>
      <c r="T1597">
        <v>0</v>
      </c>
      <c r="U1597">
        <v>0</v>
      </c>
      <c r="V1597">
        <v>14672.3</v>
      </c>
      <c r="W1597">
        <v>182046</v>
      </c>
      <c r="X1597">
        <v>91</v>
      </c>
      <c r="Y1597">
        <f t="shared" si="24"/>
        <v>182046</v>
      </c>
      <c r="Z1597" t="str">
        <f>IF(ISNUMBER(SEARCH("Adjustment",$C1597)),"excluded",IF($H1597="Behind the Meter","excluded",IF(NOT(OR($E1597="Bundled",$E1597="Energy")),"excluded",IF(OR($H1597="Retail Power Marketer",$H1597="Community Choice Aggregator",$E1597="Energy"),"procurement",IF(OR($H1597="Municipal",$H1597="Cooperative",$H1597="Federal",$H1597="State",$H1597="Political Subdivision"),"cost_service",IF($H1597="Investor Owned",IF(AND(COUNTIF(Parameters!$A$4:$A$33,$G1597)&gt;0,COUNTIF(Parameters!$B$4:$B$33,$B1597)=0),"procurement","cost_service"),"unclassified"))))))</f>
        <v>procurement</v>
      </c>
    </row>
    <row r="1598" spans="1:26" x14ac:dyDescent="0.25">
      <c r="A1598">
        <v>2024</v>
      </c>
      <c r="B1598">
        <v>50046</v>
      </c>
      <c r="C1598" t="s">
        <v>1430</v>
      </c>
      <c r="D1598" t="s">
        <v>99</v>
      </c>
      <c r="E1598" t="s">
        <v>100</v>
      </c>
      <c r="F1598" t="s">
        <v>86</v>
      </c>
      <c r="G1598" t="s">
        <v>53</v>
      </c>
      <c r="H1598" t="s">
        <v>101</v>
      </c>
      <c r="I1598" t="s">
        <v>102</v>
      </c>
      <c r="J1598">
        <v>0</v>
      </c>
      <c r="K1598">
        <v>0</v>
      </c>
      <c r="L1598">
        <v>0</v>
      </c>
      <c r="M1598">
        <v>25060.799999999999</v>
      </c>
      <c r="N1598">
        <v>323846</v>
      </c>
      <c r="O1598">
        <v>138</v>
      </c>
      <c r="P1598">
        <v>0</v>
      </c>
      <c r="Q1598">
        <v>0</v>
      </c>
      <c r="R1598">
        <v>0</v>
      </c>
      <c r="S1598">
        <v>0</v>
      </c>
      <c r="T1598">
        <v>0</v>
      </c>
      <c r="U1598">
        <v>0</v>
      </c>
      <c r="V1598">
        <v>25060.799999999999</v>
      </c>
      <c r="W1598">
        <v>323846</v>
      </c>
      <c r="X1598">
        <v>138</v>
      </c>
      <c r="Y1598">
        <f t="shared" si="24"/>
        <v>323846</v>
      </c>
      <c r="Z1598" t="str">
        <f>IF(ISNUMBER(SEARCH("Adjustment",$C1598)),"excluded",IF($H1598="Behind the Meter","excluded",IF(NOT(OR($E1598="Bundled",$E1598="Energy")),"excluded",IF(OR($H1598="Retail Power Marketer",$H1598="Community Choice Aggregator",$E1598="Energy"),"procurement",IF(OR($H1598="Municipal",$H1598="Cooperative",$H1598="Federal",$H1598="State",$H1598="Political Subdivision"),"cost_service",IF($H1598="Investor Owned",IF(AND(COUNTIF(Parameters!$A$4:$A$33,$G1598)&gt;0,COUNTIF(Parameters!$B$4:$B$33,$B1598)=0),"procurement","cost_service"),"unclassified"))))))</f>
        <v>procurement</v>
      </c>
    </row>
    <row r="1599" spans="1:26" x14ac:dyDescent="0.25">
      <c r="A1599">
        <v>2024</v>
      </c>
      <c r="B1599">
        <v>50046</v>
      </c>
      <c r="C1599" t="s">
        <v>1430</v>
      </c>
      <c r="D1599" t="s">
        <v>99</v>
      </c>
      <c r="E1599" t="s">
        <v>100</v>
      </c>
      <c r="F1599" t="s">
        <v>86</v>
      </c>
      <c r="G1599" t="s">
        <v>54</v>
      </c>
      <c r="H1599" t="s">
        <v>101</v>
      </c>
      <c r="I1599" t="s">
        <v>92</v>
      </c>
      <c r="J1599">
        <v>0</v>
      </c>
      <c r="K1599">
        <v>0</v>
      </c>
      <c r="L1599">
        <v>0</v>
      </c>
      <c r="M1599">
        <v>30441.8</v>
      </c>
      <c r="N1599">
        <v>564590</v>
      </c>
      <c r="O1599">
        <v>212</v>
      </c>
      <c r="P1599">
        <v>0</v>
      </c>
      <c r="Q1599">
        <v>0</v>
      </c>
      <c r="R1599">
        <v>0</v>
      </c>
      <c r="S1599">
        <v>0</v>
      </c>
      <c r="T1599">
        <v>0</v>
      </c>
      <c r="U1599">
        <v>0</v>
      </c>
      <c r="V1599">
        <v>30441.8</v>
      </c>
      <c r="W1599">
        <v>564590</v>
      </c>
      <c r="X1599">
        <v>212</v>
      </c>
      <c r="Y1599">
        <f t="shared" si="24"/>
        <v>564590</v>
      </c>
      <c r="Z1599" t="str">
        <f>IF(ISNUMBER(SEARCH("Adjustment",$C1599)),"excluded",IF($H1599="Behind the Meter","excluded",IF(NOT(OR($E1599="Bundled",$E1599="Energy")),"excluded",IF(OR($H1599="Retail Power Marketer",$H1599="Community Choice Aggregator",$E1599="Energy"),"procurement",IF(OR($H1599="Municipal",$H1599="Cooperative",$H1599="Federal",$H1599="State",$H1599="Political Subdivision"),"cost_service",IF($H1599="Investor Owned",IF(AND(COUNTIF(Parameters!$A$4:$A$33,$G1599)&gt;0,COUNTIF(Parameters!$B$4:$B$33,$B1599)=0),"procurement","cost_service"),"unclassified"))))))</f>
        <v>procurement</v>
      </c>
    </row>
    <row r="1600" spans="1:26" x14ac:dyDescent="0.25">
      <c r="A1600">
        <v>2024</v>
      </c>
      <c r="B1600">
        <v>50046</v>
      </c>
      <c r="C1600" t="s">
        <v>1430</v>
      </c>
      <c r="D1600" t="s">
        <v>99</v>
      </c>
      <c r="E1600" t="s">
        <v>100</v>
      </c>
      <c r="F1600" t="s">
        <v>86</v>
      </c>
      <c r="G1600" t="s">
        <v>55</v>
      </c>
      <c r="H1600" t="s">
        <v>101</v>
      </c>
      <c r="I1600" t="s">
        <v>92</v>
      </c>
      <c r="J1600">
        <v>0</v>
      </c>
      <c r="K1600">
        <v>0</v>
      </c>
      <c r="L1600">
        <v>0</v>
      </c>
      <c r="M1600">
        <v>39085.199999999997</v>
      </c>
      <c r="N1600">
        <v>552152</v>
      </c>
      <c r="O1600">
        <v>217</v>
      </c>
      <c r="P1600">
        <v>0</v>
      </c>
      <c r="Q1600">
        <v>0</v>
      </c>
      <c r="R1600">
        <v>0</v>
      </c>
      <c r="S1600">
        <v>0</v>
      </c>
      <c r="T1600">
        <v>0</v>
      </c>
      <c r="U1600">
        <v>0</v>
      </c>
      <c r="V1600">
        <v>39085.199999999997</v>
      </c>
      <c r="W1600">
        <v>552152</v>
      </c>
      <c r="X1600">
        <v>217</v>
      </c>
      <c r="Y1600">
        <f t="shared" si="24"/>
        <v>552152</v>
      </c>
      <c r="Z1600" t="str">
        <f>IF(ISNUMBER(SEARCH("Adjustment",$C1600)),"excluded",IF($H1600="Behind the Meter","excluded",IF(NOT(OR($E1600="Bundled",$E1600="Energy")),"excluded",IF(OR($H1600="Retail Power Marketer",$H1600="Community Choice Aggregator",$E1600="Energy"),"procurement",IF(OR($H1600="Municipal",$H1600="Cooperative",$H1600="Federal",$H1600="State",$H1600="Political Subdivision"),"cost_service",IF($H1600="Investor Owned",IF(AND(COUNTIF(Parameters!$A$4:$A$33,$G1600)&gt;0,COUNTIF(Parameters!$B$4:$B$33,$B1600)=0),"procurement","cost_service"),"unclassified"))))))</f>
        <v>procurement</v>
      </c>
    </row>
    <row r="1601" spans="1:26" x14ac:dyDescent="0.25">
      <c r="A1601">
        <v>2024</v>
      </c>
      <c r="B1601">
        <v>50046</v>
      </c>
      <c r="C1601" t="s">
        <v>1430</v>
      </c>
      <c r="D1601" t="s">
        <v>99</v>
      </c>
      <c r="E1601" t="s">
        <v>100</v>
      </c>
      <c r="F1601" t="s">
        <v>86</v>
      </c>
      <c r="G1601" t="s">
        <v>93</v>
      </c>
      <c r="H1601" t="s">
        <v>101</v>
      </c>
      <c r="I1601" t="s">
        <v>92</v>
      </c>
      <c r="J1601">
        <v>0</v>
      </c>
      <c r="K1601">
        <v>0</v>
      </c>
      <c r="L1601">
        <v>0</v>
      </c>
      <c r="M1601">
        <v>19409.099999999999</v>
      </c>
      <c r="N1601">
        <v>299234</v>
      </c>
      <c r="O1601">
        <v>107</v>
      </c>
      <c r="P1601">
        <v>0</v>
      </c>
      <c r="Q1601">
        <v>0</v>
      </c>
      <c r="R1601">
        <v>0</v>
      </c>
      <c r="S1601">
        <v>0</v>
      </c>
      <c r="T1601">
        <v>0</v>
      </c>
      <c r="U1601">
        <v>0</v>
      </c>
      <c r="V1601">
        <v>19409.099999999999</v>
      </c>
      <c r="W1601">
        <v>299234</v>
      </c>
      <c r="X1601">
        <v>107</v>
      </c>
      <c r="Y1601">
        <f t="shared" si="24"/>
        <v>299234</v>
      </c>
      <c r="Z1601" t="str">
        <f>IF(ISNUMBER(SEARCH("Adjustment",$C1601)),"excluded",IF($H1601="Behind the Meter","excluded",IF(NOT(OR($E1601="Bundled",$E1601="Energy")),"excluded",IF(OR($H1601="Retail Power Marketer",$H1601="Community Choice Aggregator",$E1601="Energy"),"procurement",IF(OR($H1601="Municipal",$H1601="Cooperative",$H1601="Federal",$H1601="State",$H1601="Political Subdivision"),"cost_service",IF($H1601="Investor Owned",IF(AND(COUNTIF(Parameters!$A$4:$A$33,$G1601)&gt;0,COUNTIF(Parameters!$B$4:$B$33,$B1601)=0),"procurement","cost_service"),"unclassified"))))))</f>
        <v>procurement</v>
      </c>
    </row>
    <row r="1602" spans="1:26" x14ac:dyDescent="0.25">
      <c r="A1602">
        <v>2024</v>
      </c>
      <c r="B1602">
        <v>50046</v>
      </c>
      <c r="C1602" t="s">
        <v>1430</v>
      </c>
      <c r="D1602" t="s">
        <v>150</v>
      </c>
      <c r="E1602" t="s">
        <v>85</v>
      </c>
      <c r="F1602" t="s">
        <v>86</v>
      </c>
      <c r="G1602" t="s">
        <v>57</v>
      </c>
      <c r="H1602" t="s">
        <v>101</v>
      </c>
      <c r="I1602" t="s">
        <v>151</v>
      </c>
      <c r="J1602">
        <v>0</v>
      </c>
      <c r="K1602">
        <v>0</v>
      </c>
      <c r="L1602">
        <v>0</v>
      </c>
      <c r="M1602">
        <v>138798.5</v>
      </c>
      <c r="N1602">
        <v>1684185</v>
      </c>
      <c r="O1602">
        <v>603</v>
      </c>
      <c r="P1602">
        <v>0</v>
      </c>
      <c r="Q1602">
        <v>0</v>
      </c>
      <c r="R1602">
        <v>0</v>
      </c>
      <c r="S1602">
        <v>0</v>
      </c>
      <c r="T1602">
        <v>0</v>
      </c>
      <c r="U1602">
        <v>0</v>
      </c>
      <c r="V1602">
        <v>138798.5</v>
      </c>
      <c r="W1602">
        <v>1684185</v>
      </c>
      <c r="X1602">
        <v>603</v>
      </c>
      <c r="Y1602">
        <f t="shared" si="24"/>
        <v>1684185</v>
      </c>
      <c r="Z1602" t="str">
        <f>IF(ISNUMBER(SEARCH("Adjustment",$C1602)),"excluded",IF($H1602="Behind the Meter","excluded",IF(NOT(OR($E1602="Bundled",$E1602="Energy")),"excluded",IF(OR($H1602="Retail Power Marketer",$H1602="Community Choice Aggregator",$E1602="Energy"),"procurement",IF(OR($H1602="Municipal",$H1602="Cooperative",$H1602="Federal",$H1602="State",$H1602="Political Subdivision"),"cost_service",IF($H1602="Investor Owned",IF(AND(COUNTIF(Parameters!$A$4:$A$33,$G1602)&gt;0,COUNTIF(Parameters!$B$4:$B$33,$B1602)=0),"procurement","cost_service"),"unclassified"))))))</f>
        <v>procurement</v>
      </c>
    </row>
    <row r="1603" spans="1:26" x14ac:dyDescent="0.25">
      <c r="A1603">
        <v>2024</v>
      </c>
      <c r="B1603">
        <v>50153</v>
      </c>
      <c r="C1603" t="s">
        <v>1431</v>
      </c>
      <c r="D1603" t="s">
        <v>99</v>
      </c>
      <c r="E1603" t="s">
        <v>100</v>
      </c>
      <c r="F1603" t="s">
        <v>86</v>
      </c>
      <c r="G1603" t="s">
        <v>54</v>
      </c>
      <c r="H1603" t="s">
        <v>101</v>
      </c>
      <c r="I1603" t="s">
        <v>92</v>
      </c>
      <c r="J1603">
        <v>0</v>
      </c>
      <c r="K1603">
        <v>0</v>
      </c>
      <c r="L1603">
        <v>0</v>
      </c>
      <c r="M1603">
        <v>0</v>
      </c>
      <c r="N1603">
        <v>0</v>
      </c>
      <c r="O1603">
        <v>0</v>
      </c>
      <c r="P1603">
        <v>5316.9</v>
      </c>
      <c r="Q1603">
        <v>152290</v>
      </c>
      <c r="R1603">
        <v>7</v>
      </c>
      <c r="S1603">
        <v>0</v>
      </c>
      <c r="T1603">
        <v>0</v>
      </c>
      <c r="U1603">
        <v>0</v>
      </c>
      <c r="V1603">
        <v>5316.9</v>
      </c>
      <c r="W1603">
        <v>152290</v>
      </c>
      <c r="X1603">
        <v>7</v>
      </c>
      <c r="Y1603">
        <f t="shared" si="24"/>
        <v>152290</v>
      </c>
      <c r="Z1603" t="str">
        <f>IF(ISNUMBER(SEARCH("Adjustment",$C1603)),"excluded",IF($H1603="Behind the Meter","excluded",IF(NOT(OR($E1603="Bundled",$E1603="Energy")),"excluded",IF(OR($H1603="Retail Power Marketer",$H1603="Community Choice Aggregator",$E1603="Energy"),"procurement",IF(OR($H1603="Municipal",$H1603="Cooperative",$H1603="Federal",$H1603="State",$H1603="Political Subdivision"),"cost_service",IF($H1603="Investor Owned",IF(AND(COUNTIF(Parameters!$A$4:$A$33,$G1603)&gt;0,COUNTIF(Parameters!$B$4:$B$33,$B1603)=0),"procurement","cost_service"),"unclassified"))))))</f>
        <v>procurement</v>
      </c>
    </row>
    <row r="1604" spans="1:26" x14ac:dyDescent="0.25">
      <c r="A1604">
        <v>2024</v>
      </c>
      <c r="B1604">
        <v>50153</v>
      </c>
      <c r="C1604" t="s">
        <v>1431</v>
      </c>
      <c r="D1604" t="s">
        <v>99</v>
      </c>
      <c r="E1604" t="s">
        <v>100</v>
      </c>
      <c r="F1604" t="s">
        <v>86</v>
      </c>
      <c r="G1604" t="s">
        <v>55</v>
      </c>
      <c r="H1604" t="s">
        <v>101</v>
      </c>
      <c r="I1604" t="s">
        <v>92</v>
      </c>
      <c r="J1604">
        <v>0</v>
      </c>
      <c r="K1604">
        <v>0</v>
      </c>
      <c r="L1604">
        <v>0</v>
      </c>
      <c r="M1604">
        <v>0</v>
      </c>
      <c r="N1604">
        <v>0</v>
      </c>
      <c r="O1604">
        <v>0</v>
      </c>
      <c r="P1604">
        <v>2036.7</v>
      </c>
      <c r="Q1604">
        <v>41301</v>
      </c>
      <c r="R1604">
        <v>3</v>
      </c>
      <c r="S1604">
        <v>0</v>
      </c>
      <c r="T1604">
        <v>0</v>
      </c>
      <c r="U1604">
        <v>0</v>
      </c>
      <c r="V1604">
        <v>2036.7</v>
      </c>
      <c r="W1604">
        <v>41301</v>
      </c>
      <c r="X1604">
        <v>3</v>
      </c>
      <c r="Y1604">
        <f t="shared" ref="Y1604:Y1667" si="25">IF(ISNUMBER($W1604),$W1604,0)</f>
        <v>41301</v>
      </c>
      <c r="Z1604" t="str">
        <f>IF(ISNUMBER(SEARCH("Adjustment",$C1604)),"excluded",IF($H1604="Behind the Meter","excluded",IF(NOT(OR($E1604="Bundled",$E1604="Energy")),"excluded",IF(OR($H1604="Retail Power Marketer",$H1604="Community Choice Aggregator",$E1604="Energy"),"procurement",IF(OR($H1604="Municipal",$H1604="Cooperative",$H1604="Federal",$H1604="State",$H1604="Political Subdivision"),"cost_service",IF($H1604="Investor Owned",IF(AND(COUNTIF(Parameters!$A$4:$A$33,$G1604)&gt;0,COUNTIF(Parameters!$B$4:$B$33,$B1604)=0),"procurement","cost_service"),"unclassified"))))))</f>
        <v>procurement</v>
      </c>
    </row>
    <row r="1605" spans="1:26" x14ac:dyDescent="0.25">
      <c r="A1605">
        <v>2024</v>
      </c>
      <c r="B1605">
        <v>54728</v>
      </c>
      <c r="C1605" t="s">
        <v>1432</v>
      </c>
      <c r="D1605" t="s">
        <v>150</v>
      </c>
      <c r="E1605" t="s">
        <v>85</v>
      </c>
      <c r="F1605" t="s">
        <v>86</v>
      </c>
      <c r="G1605" t="s">
        <v>57</v>
      </c>
      <c r="H1605" t="s">
        <v>101</v>
      </c>
      <c r="I1605" t="s">
        <v>151</v>
      </c>
      <c r="J1605">
        <v>0</v>
      </c>
      <c r="K1605">
        <v>0</v>
      </c>
      <c r="L1605">
        <v>0</v>
      </c>
      <c r="M1605">
        <v>11989</v>
      </c>
      <c r="N1605">
        <v>179847</v>
      </c>
      <c r="O1605">
        <v>259</v>
      </c>
      <c r="P1605">
        <v>0</v>
      </c>
      <c r="Q1605">
        <v>0</v>
      </c>
      <c r="R1605">
        <v>0</v>
      </c>
      <c r="S1605">
        <v>132.5</v>
      </c>
      <c r="T1605">
        <v>1428</v>
      </c>
      <c r="U1605">
        <v>2</v>
      </c>
      <c r="V1605">
        <v>12121.5</v>
      </c>
      <c r="W1605">
        <v>181275</v>
      </c>
      <c r="X1605">
        <v>261</v>
      </c>
      <c r="Y1605">
        <f t="shared" si="25"/>
        <v>181275</v>
      </c>
      <c r="Z1605" t="str">
        <f>IF(ISNUMBER(SEARCH("Adjustment",$C1605)),"excluded",IF($H1605="Behind the Meter","excluded",IF(NOT(OR($E1605="Bundled",$E1605="Energy")),"excluded",IF(OR($H1605="Retail Power Marketer",$H1605="Community Choice Aggregator",$E1605="Energy"),"procurement",IF(OR($H1605="Municipal",$H1605="Cooperative",$H1605="Federal",$H1605="State",$H1605="Political Subdivision"),"cost_service",IF($H1605="Investor Owned",IF(AND(COUNTIF(Parameters!$A$4:$A$33,$G1605)&gt;0,COUNTIF(Parameters!$B$4:$B$33,$B1605)=0),"procurement","cost_service"),"unclassified"))))))</f>
        <v>procurement</v>
      </c>
    </row>
    <row r="1606" spans="1:26" x14ac:dyDescent="0.25">
      <c r="A1606">
        <v>2024</v>
      </c>
      <c r="B1606">
        <v>54820</v>
      </c>
      <c r="C1606" t="s">
        <v>1433</v>
      </c>
      <c r="D1606" t="s">
        <v>99</v>
      </c>
      <c r="E1606" t="s">
        <v>100</v>
      </c>
      <c r="F1606" t="s">
        <v>86</v>
      </c>
      <c r="G1606" t="s">
        <v>40</v>
      </c>
      <c r="H1606" t="s">
        <v>101</v>
      </c>
      <c r="I1606" t="s">
        <v>189</v>
      </c>
      <c r="J1606">
        <v>74061.5</v>
      </c>
      <c r="K1606">
        <v>578488</v>
      </c>
      <c r="L1606">
        <v>51430</v>
      </c>
      <c r="M1606">
        <v>11911.2</v>
      </c>
      <c r="N1606">
        <v>95556</v>
      </c>
      <c r="O1606">
        <v>4486</v>
      </c>
      <c r="P1606">
        <v>0</v>
      </c>
      <c r="Q1606">
        <v>0</v>
      </c>
      <c r="R1606">
        <v>0</v>
      </c>
      <c r="S1606">
        <v>0</v>
      </c>
      <c r="T1606">
        <v>0</v>
      </c>
      <c r="U1606">
        <v>0</v>
      </c>
      <c r="V1606">
        <v>85972.7</v>
      </c>
      <c r="W1606">
        <v>674044</v>
      </c>
      <c r="X1606">
        <v>55916</v>
      </c>
      <c r="Y1606">
        <f t="shared" si="25"/>
        <v>674044</v>
      </c>
      <c r="Z1606" t="str">
        <f>IF(ISNUMBER(SEARCH("Adjustment",$C1606)),"excluded",IF($H1606="Behind the Meter","excluded",IF(NOT(OR($E1606="Bundled",$E1606="Energy")),"excluded",IF(OR($H1606="Retail Power Marketer",$H1606="Community Choice Aggregator",$E1606="Energy"),"procurement",IF(OR($H1606="Municipal",$H1606="Cooperative",$H1606="Federal",$H1606="State",$H1606="Political Subdivision"),"cost_service",IF($H1606="Investor Owned",IF(AND(COUNTIF(Parameters!$A$4:$A$33,$G1606)&gt;0,COUNTIF(Parameters!$B$4:$B$33,$B1606)=0),"procurement","cost_service"),"unclassified"))))))</f>
        <v>procurement</v>
      </c>
    </row>
    <row r="1607" spans="1:26" x14ac:dyDescent="0.25">
      <c r="A1607">
        <v>2024</v>
      </c>
      <c r="B1607">
        <v>54820</v>
      </c>
      <c r="C1607" t="s">
        <v>1433</v>
      </c>
      <c r="D1607" t="s">
        <v>99</v>
      </c>
      <c r="E1607" t="s">
        <v>100</v>
      </c>
      <c r="F1607" t="s">
        <v>86</v>
      </c>
      <c r="G1607" t="s">
        <v>42</v>
      </c>
      <c r="H1607" t="s">
        <v>101</v>
      </c>
      <c r="I1607" t="s">
        <v>92</v>
      </c>
      <c r="J1607">
        <v>845.5</v>
      </c>
      <c r="K1607">
        <v>6219</v>
      </c>
      <c r="L1607">
        <v>495</v>
      </c>
      <c r="M1607">
        <v>20.100000000000001</v>
      </c>
      <c r="N1607">
        <v>153</v>
      </c>
      <c r="O1607">
        <v>143</v>
      </c>
      <c r="P1607">
        <v>0</v>
      </c>
      <c r="Q1607">
        <v>0</v>
      </c>
      <c r="R1607">
        <v>0</v>
      </c>
      <c r="S1607">
        <v>0</v>
      </c>
      <c r="T1607">
        <v>0</v>
      </c>
      <c r="U1607">
        <v>0</v>
      </c>
      <c r="V1607">
        <v>865.6</v>
      </c>
      <c r="W1607">
        <v>6372</v>
      </c>
      <c r="X1607">
        <v>638</v>
      </c>
      <c r="Y1607">
        <f t="shared" si="25"/>
        <v>6372</v>
      </c>
      <c r="Z1607" t="str">
        <f>IF(ISNUMBER(SEARCH("Adjustment",$C1607)),"excluded",IF($H1607="Behind the Meter","excluded",IF(NOT(OR($E1607="Bundled",$E1607="Energy")),"excluded",IF(OR($H1607="Retail Power Marketer",$H1607="Community Choice Aggregator",$E1607="Energy"),"procurement",IF(OR($H1607="Municipal",$H1607="Cooperative",$H1607="Federal",$H1607="State",$H1607="Political Subdivision"),"cost_service",IF($H1607="Investor Owned",IF(AND(COUNTIF(Parameters!$A$4:$A$33,$G1607)&gt;0,COUNTIF(Parameters!$B$4:$B$33,$B1607)=0),"procurement","cost_service"),"unclassified"))))))</f>
        <v>procurement</v>
      </c>
    </row>
    <row r="1608" spans="1:26" x14ac:dyDescent="0.25">
      <c r="A1608">
        <v>2024</v>
      </c>
      <c r="B1608">
        <v>54820</v>
      </c>
      <c r="C1608" t="s">
        <v>1433</v>
      </c>
      <c r="D1608" t="s">
        <v>99</v>
      </c>
      <c r="E1608" t="s">
        <v>100</v>
      </c>
      <c r="F1608" t="s">
        <v>86</v>
      </c>
      <c r="G1608" t="s">
        <v>44</v>
      </c>
      <c r="H1608" t="s">
        <v>101</v>
      </c>
      <c r="I1608" t="s">
        <v>92</v>
      </c>
      <c r="J1608">
        <v>4139.8999999999996</v>
      </c>
      <c r="K1608">
        <v>33737</v>
      </c>
      <c r="L1608">
        <v>3201</v>
      </c>
      <c r="M1608">
        <v>667.9</v>
      </c>
      <c r="N1608">
        <v>6516</v>
      </c>
      <c r="O1608">
        <v>329</v>
      </c>
      <c r="P1608">
        <v>0</v>
      </c>
      <c r="Q1608">
        <v>0</v>
      </c>
      <c r="R1608">
        <v>0</v>
      </c>
      <c r="S1608">
        <v>0</v>
      </c>
      <c r="T1608">
        <v>0</v>
      </c>
      <c r="U1608">
        <v>0</v>
      </c>
      <c r="V1608">
        <v>4807.8</v>
      </c>
      <c r="W1608">
        <v>40253</v>
      </c>
      <c r="X1608">
        <v>3530</v>
      </c>
      <c r="Y1608">
        <f t="shared" si="25"/>
        <v>40253</v>
      </c>
      <c r="Z1608" t="str">
        <f>IF(ISNUMBER(SEARCH("Adjustment",$C1608)),"excluded",IF($H1608="Behind the Meter","excluded",IF(NOT(OR($E1608="Bundled",$E1608="Energy")),"excluded",IF(OR($H1608="Retail Power Marketer",$H1608="Community Choice Aggregator",$E1608="Energy"),"procurement",IF(OR($H1608="Municipal",$H1608="Cooperative",$H1608="Federal",$H1608="State",$H1608="Political Subdivision"),"cost_service",IF($H1608="Investor Owned",IF(AND(COUNTIF(Parameters!$A$4:$A$33,$G1608)&gt;0,COUNTIF(Parameters!$B$4:$B$33,$B1608)=0),"procurement","cost_service"),"unclassified"))))))</f>
        <v>procurement</v>
      </c>
    </row>
    <row r="1609" spans="1:26" x14ac:dyDescent="0.25">
      <c r="A1609">
        <v>2024</v>
      </c>
      <c r="B1609">
        <v>54820</v>
      </c>
      <c r="C1609" t="s">
        <v>1433</v>
      </c>
      <c r="D1609" t="s">
        <v>99</v>
      </c>
      <c r="E1609" t="s">
        <v>100</v>
      </c>
      <c r="F1609" t="s">
        <v>86</v>
      </c>
      <c r="G1609" t="s">
        <v>46</v>
      </c>
      <c r="H1609" t="s">
        <v>101</v>
      </c>
      <c r="I1609" t="s">
        <v>96</v>
      </c>
      <c r="J1609">
        <v>32403</v>
      </c>
      <c r="K1609">
        <v>272756</v>
      </c>
      <c r="L1609">
        <v>35775</v>
      </c>
      <c r="M1609">
        <v>8329</v>
      </c>
      <c r="N1609">
        <v>95039</v>
      </c>
      <c r="O1609">
        <v>6707</v>
      </c>
      <c r="P1609">
        <v>0</v>
      </c>
      <c r="Q1609">
        <v>0</v>
      </c>
      <c r="R1609">
        <v>0</v>
      </c>
      <c r="S1609">
        <v>0</v>
      </c>
      <c r="T1609">
        <v>0</v>
      </c>
      <c r="U1609">
        <v>0</v>
      </c>
      <c r="V1609">
        <v>40732</v>
      </c>
      <c r="W1609">
        <v>367795</v>
      </c>
      <c r="X1609">
        <v>42482</v>
      </c>
      <c r="Y1609">
        <f t="shared" si="25"/>
        <v>367795</v>
      </c>
      <c r="Z1609" t="str">
        <f>IF(ISNUMBER(SEARCH("Adjustment",$C1609)),"excluded",IF($H1609="Behind the Meter","excluded",IF(NOT(OR($E1609="Bundled",$E1609="Energy")),"excluded",IF(OR($H1609="Retail Power Marketer",$H1609="Community Choice Aggregator",$E1609="Energy"),"procurement",IF(OR($H1609="Municipal",$H1609="Cooperative",$H1609="Federal",$H1609="State",$H1609="Political Subdivision"),"cost_service",IF($H1609="Investor Owned",IF(AND(COUNTIF(Parameters!$A$4:$A$33,$G1609)&gt;0,COUNTIF(Parameters!$B$4:$B$33,$B1609)=0),"procurement","cost_service"),"unclassified"))))))</f>
        <v>procurement</v>
      </c>
    </row>
    <row r="1610" spans="1:26" x14ac:dyDescent="0.25">
      <c r="A1610">
        <v>2024</v>
      </c>
      <c r="B1610">
        <v>54820</v>
      </c>
      <c r="C1610" t="s">
        <v>1433</v>
      </c>
      <c r="D1610" t="s">
        <v>99</v>
      </c>
      <c r="E1610" t="s">
        <v>100</v>
      </c>
      <c r="F1610" t="s">
        <v>86</v>
      </c>
      <c r="G1610" t="s">
        <v>48</v>
      </c>
      <c r="H1610" t="s">
        <v>101</v>
      </c>
      <c r="I1610" t="s">
        <v>189</v>
      </c>
      <c r="J1610">
        <v>571935.9</v>
      </c>
      <c r="K1610">
        <v>3776829</v>
      </c>
      <c r="L1610">
        <v>498718</v>
      </c>
      <c r="M1610">
        <v>6793</v>
      </c>
      <c r="N1610">
        <v>49202</v>
      </c>
      <c r="O1610">
        <v>3247</v>
      </c>
      <c r="P1610">
        <v>0</v>
      </c>
      <c r="Q1610">
        <v>0</v>
      </c>
      <c r="R1610">
        <v>0</v>
      </c>
      <c r="S1610">
        <v>0</v>
      </c>
      <c r="T1610">
        <v>0</v>
      </c>
      <c r="U1610">
        <v>0</v>
      </c>
      <c r="V1610">
        <v>578728.9</v>
      </c>
      <c r="W1610">
        <v>3826031</v>
      </c>
      <c r="X1610">
        <v>501965</v>
      </c>
      <c r="Y1610">
        <f t="shared" si="25"/>
        <v>3826031</v>
      </c>
      <c r="Z1610" t="str">
        <f>IF(ISNUMBER(SEARCH("Adjustment",$C1610)),"excluded",IF($H1610="Behind the Meter","excluded",IF(NOT(OR($E1610="Bundled",$E1610="Energy")),"excluded",IF(OR($H1610="Retail Power Marketer",$H1610="Community Choice Aggregator",$E1610="Energy"),"procurement",IF(OR($H1610="Municipal",$H1610="Cooperative",$H1610="Federal",$H1610="State",$H1610="Political Subdivision"),"cost_service",IF($H1610="Investor Owned",IF(AND(COUNTIF(Parameters!$A$4:$A$33,$G1610)&gt;0,COUNTIF(Parameters!$B$4:$B$33,$B1610)=0),"procurement","cost_service"),"unclassified"))))))</f>
        <v>procurement</v>
      </c>
    </row>
    <row r="1611" spans="1:26" x14ac:dyDescent="0.25">
      <c r="A1611">
        <v>2024</v>
      </c>
      <c r="B1611">
        <v>54820</v>
      </c>
      <c r="C1611" t="s">
        <v>1433</v>
      </c>
      <c r="D1611" t="s">
        <v>99</v>
      </c>
      <c r="E1611" t="s">
        <v>100</v>
      </c>
      <c r="F1611" t="s">
        <v>86</v>
      </c>
      <c r="G1611" t="s">
        <v>49</v>
      </c>
      <c r="H1611" t="s">
        <v>101</v>
      </c>
      <c r="I1611" t="s">
        <v>92</v>
      </c>
      <c r="J1611">
        <v>27536.6</v>
      </c>
      <c r="K1611">
        <v>220015</v>
      </c>
      <c r="L1611">
        <v>19359</v>
      </c>
      <c r="M1611">
        <v>6402.5</v>
      </c>
      <c r="N1611">
        <v>61107</v>
      </c>
      <c r="O1611">
        <v>3165</v>
      </c>
      <c r="P1611">
        <v>0</v>
      </c>
      <c r="Q1611">
        <v>0</v>
      </c>
      <c r="R1611">
        <v>0</v>
      </c>
      <c r="S1611">
        <v>0</v>
      </c>
      <c r="T1611">
        <v>0</v>
      </c>
      <c r="U1611">
        <v>0</v>
      </c>
      <c r="V1611">
        <v>33939.1</v>
      </c>
      <c r="W1611">
        <v>281122</v>
      </c>
      <c r="X1611">
        <v>22524</v>
      </c>
      <c r="Y1611">
        <f t="shared" si="25"/>
        <v>281122</v>
      </c>
      <c r="Z1611" t="str">
        <f>IF(ISNUMBER(SEARCH("Adjustment",$C1611)),"excluded",IF($H1611="Behind the Meter","excluded",IF(NOT(OR($E1611="Bundled",$E1611="Energy")),"excluded",IF(OR($H1611="Retail Power Marketer",$H1611="Community Choice Aggregator",$E1611="Energy"),"procurement",IF(OR($H1611="Municipal",$H1611="Cooperative",$H1611="Federal",$H1611="State",$H1611="Political Subdivision"),"cost_service",IF($H1611="Investor Owned",IF(AND(COUNTIF(Parameters!$A$4:$A$33,$G1611)&gt;0,COUNTIF(Parameters!$B$4:$B$33,$B1611)=0),"procurement","cost_service"),"unclassified"))))))</f>
        <v>procurement</v>
      </c>
    </row>
    <row r="1612" spans="1:26" x14ac:dyDescent="0.25">
      <c r="A1612">
        <v>2024</v>
      </c>
      <c r="B1612">
        <v>54820</v>
      </c>
      <c r="C1612" t="s">
        <v>1433</v>
      </c>
      <c r="D1612" t="s">
        <v>99</v>
      </c>
      <c r="E1612" t="s">
        <v>100</v>
      </c>
      <c r="F1612" t="s">
        <v>86</v>
      </c>
      <c r="G1612" t="s">
        <v>51</v>
      </c>
      <c r="H1612" t="s">
        <v>101</v>
      </c>
      <c r="I1612" t="s">
        <v>189</v>
      </c>
      <c r="J1612">
        <v>68173.600000000006</v>
      </c>
      <c r="K1612">
        <v>524817</v>
      </c>
      <c r="L1612">
        <v>60246</v>
      </c>
      <c r="M1612">
        <v>4325.5</v>
      </c>
      <c r="N1612">
        <v>35835</v>
      </c>
      <c r="O1612">
        <v>2216</v>
      </c>
      <c r="P1612">
        <v>0</v>
      </c>
      <c r="Q1612">
        <v>0</v>
      </c>
      <c r="R1612">
        <v>0</v>
      </c>
      <c r="S1612">
        <v>0</v>
      </c>
      <c r="T1612">
        <v>0</v>
      </c>
      <c r="U1612">
        <v>0</v>
      </c>
      <c r="V1612">
        <v>72499.100000000006</v>
      </c>
      <c r="W1612">
        <v>560652</v>
      </c>
      <c r="X1612">
        <v>62462</v>
      </c>
      <c r="Y1612">
        <f t="shared" si="25"/>
        <v>560652</v>
      </c>
      <c r="Z1612" t="str">
        <f>IF(ISNUMBER(SEARCH("Adjustment",$C1612)),"excluded",IF($H1612="Behind the Meter","excluded",IF(NOT(OR($E1612="Bundled",$E1612="Energy")),"excluded",IF(OR($H1612="Retail Power Marketer",$H1612="Community Choice Aggregator",$E1612="Energy"),"procurement",IF(OR($H1612="Municipal",$H1612="Cooperative",$H1612="Federal",$H1612="State",$H1612="Political Subdivision"),"cost_service",IF($H1612="Investor Owned",IF(AND(COUNTIF(Parameters!$A$4:$A$33,$G1612)&gt;0,COUNTIF(Parameters!$B$4:$B$33,$B1612)=0),"procurement","cost_service"),"unclassified"))))))</f>
        <v>procurement</v>
      </c>
    </row>
    <row r="1613" spans="1:26" x14ac:dyDescent="0.25">
      <c r="A1613">
        <v>2024</v>
      </c>
      <c r="B1613">
        <v>54820</v>
      </c>
      <c r="C1613" t="s">
        <v>1433</v>
      </c>
      <c r="D1613" t="s">
        <v>99</v>
      </c>
      <c r="E1613" t="s">
        <v>100</v>
      </c>
      <c r="F1613" t="s">
        <v>86</v>
      </c>
      <c r="G1613" t="s">
        <v>52</v>
      </c>
      <c r="H1613" t="s">
        <v>101</v>
      </c>
      <c r="I1613" t="s">
        <v>92</v>
      </c>
      <c r="J1613">
        <v>18770.900000000001</v>
      </c>
      <c r="K1613">
        <v>130025</v>
      </c>
      <c r="L1613">
        <v>18448</v>
      </c>
      <c r="M1613">
        <v>11816.3</v>
      </c>
      <c r="N1613">
        <v>88778</v>
      </c>
      <c r="O1613">
        <v>5772</v>
      </c>
      <c r="P1613">
        <v>0</v>
      </c>
      <c r="Q1613">
        <v>0</v>
      </c>
      <c r="R1613">
        <v>0</v>
      </c>
      <c r="S1613">
        <v>0</v>
      </c>
      <c r="T1613">
        <v>0</v>
      </c>
      <c r="U1613">
        <v>0</v>
      </c>
      <c r="V1613">
        <v>30587.200000000001</v>
      </c>
      <c r="W1613">
        <v>218803</v>
      </c>
      <c r="X1613">
        <v>24220</v>
      </c>
      <c r="Y1613">
        <f t="shared" si="25"/>
        <v>218803</v>
      </c>
      <c r="Z1613" t="str">
        <f>IF(ISNUMBER(SEARCH("Adjustment",$C1613)),"excluded",IF($H1613="Behind the Meter","excluded",IF(NOT(OR($E1613="Bundled",$E1613="Energy")),"excluded",IF(OR($H1613="Retail Power Marketer",$H1613="Community Choice Aggregator",$E1613="Energy"),"procurement",IF(OR($H1613="Municipal",$H1613="Cooperative",$H1613="Federal",$H1613="State",$H1613="Political Subdivision"),"cost_service",IF($H1613="Investor Owned",IF(AND(COUNTIF(Parameters!$A$4:$A$33,$G1613)&gt;0,COUNTIF(Parameters!$B$4:$B$33,$B1613)=0),"procurement","cost_service"),"unclassified"))))))</f>
        <v>procurement</v>
      </c>
    </row>
    <row r="1614" spans="1:26" x14ac:dyDescent="0.25">
      <c r="A1614">
        <v>2024</v>
      </c>
      <c r="B1614">
        <v>54820</v>
      </c>
      <c r="C1614" t="s">
        <v>1433</v>
      </c>
      <c r="D1614" t="s">
        <v>99</v>
      </c>
      <c r="E1614" t="s">
        <v>100</v>
      </c>
      <c r="F1614" t="s">
        <v>86</v>
      </c>
      <c r="G1614" t="s">
        <v>53</v>
      </c>
      <c r="H1614" t="s">
        <v>101</v>
      </c>
      <c r="I1614" t="s">
        <v>102</v>
      </c>
      <c r="J1614">
        <v>111118.3</v>
      </c>
      <c r="K1614">
        <v>846209</v>
      </c>
      <c r="L1614">
        <v>112786</v>
      </c>
      <c r="M1614">
        <v>14783.3</v>
      </c>
      <c r="N1614">
        <v>122518</v>
      </c>
      <c r="O1614">
        <v>8761</v>
      </c>
      <c r="P1614">
        <v>0</v>
      </c>
      <c r="Q1614">
        <v>0</v>
      </c>
      <c r="R1614">
        <v>0</v>
      </c>
      <c r="S1614">
        <v>0</v>
      </c>
      <c r="T1614">
        <v>0</v>
      </c>
      <c r="U1614">
        <v>0</v>
      </c>
      <c r="V1614">
        <v>125901.6</v>
      </c>
      <c r="W1614">
        <v>968727</v>
      </c>
      <c r="X1614">
        <v>121547</v>
      </c>
      <c r="Y1614">
        <f t="shared" si="25"/>
        <v>968727</v>
      </c>
      <c r="Z1614" t="str">
        <f>IF(ISNUMBER(SEARCH("Adjustment",$C1614)),"excluded",IF($H1614="Behind the Meter","excluded",IF(NOT(OR($E1614="Bundled",$E1614="Energy")),"excluded",IF(OR($H1614="Retail Power Marketer",$H1614="Community Choice Aggregator",$E1614="Energy"),"procurement",IF(OR($H1614="Municipal",$H1614="Cooperative",$H1614="Federal",$H1614="State",$H1614="Political Subdivision"),"cost_service",IF($H1614="Investor Owned",IF(AND(COUNTIF(Parameters!$A$4:$A$33,$G1614)&gt;0,COUNTIF(Parameters!$B$4:$B$33,$B1614)=0),"procurement","cost_service"),"unclassified"))))))</f>
        <v>procurement</v>
      </c>
    </row>
    <row r="1615" spans="1:26" x14ac:dyDescent="0.25">
      <c r="A1615">
        <v>2024</v>
      </c>
      <c r="B1615">
        <v>54820</v>
      </c>
      <c r="C1615" t="s">
        <v>1433</v>
      </c>
      <c r="D1615" t="s">
        <v>99</v>
      </c>
      <c r="E1615" t="s">
        <v>100</v>
      </c>
      <c r="F1615" t="s">
        <v>86</v>
      </c>
      <c r="G1615" t="s">
        <v>54</v>
      </c>
      <c r="H1615" t="s">
        <v>101</v>
      </c>
      <c r="I1615" t="s">
        <v>92</v>
      </c>
      <c r="J1615">
        <v>62335.4</v>
      </c>
      <c r="K1615">
        <v>772417</v>
      </c>
      <c r="L1615">
        <v>81905</v>
      </c>
      <c r="M1615">
        <v>6174.8</v>
      </c>
      <c r="N1615">
        <v>81140</v>
      </c>
      <c r="O1615">
        <v>4562</v>
      </c>
      <c r="P1615">
        <v>0</v>
      </c>
      <c r="Q1615">
        <v>0</v>
      </c>
      <c r="R1615">
        <v>0</v>
      </c>
      <c r="S1615">
        <v>0</v>
      </c>
      <c r="T1615">
        <v>0</v>
      </c>
      <c r="U1615">
        <v>0</v>
      </c>
      <c r="V1615">
        <v>68510.2</v>
      </c>
      <c r="W1615">
        <v>853557</v>
      </c>
      <c r="X1615">
        <v>86467</v>
      </c>
      <c r="Y1615">
        <f t="shared" si="25"/>
        <v>853557</v>
      </c>
      <c r="Z1615" t="str">
        <f>IF(ISNUMBER(SEARCH("Adjustment",$C1615)),"excluded",IF($H1615="Behind the Meter","excluded",IF(NOT(OR($E1615="Bundled",$E1615="Energy")),"excluded",IF(OR($H1615="Retail Power Marketer",$H1615="Community Choice Aggregator",$E1615="Energy"),"procurement",IF(OR($H1615="Municipal",$H1615="Cooperative",$H1615="Federal",$H1615="State",$H1615="Political Subdivision"),"cost_service",IF($H1615="Investor Owned",IF(AND(COUNTIF(Parameters!$A$4:$A$33,$G1615)&gt;0,COUNTIF(Parameters!$B$4:$B$33,$B1615)=0),"procurement","cost_service"),"unclassified"))))))</f>
        <v>procurement</v>
      </c>
    </row>
    <row r="1616" spans="1:26" x14ac:dyDescent="0.25">
      <c r="A1616">
        <v>2024</v>
      </c>
      <c r="B1616">
        <v>54820</v>
      </c>
      <c r="C1616" t="s">
        <v>1433</v>
      </c>
      <c r="D1616" t="s">
        <v>99</v>
      </c>
      <c r="E1616" t="s">
        <v>100</v>
      </c>
      <c r="F1616" t="s">
        <v>86</v>
      </c>
      <c r="G1616" t="s">
        <v>55</v>
      </c>
      <c r="H1616" t="s">
        <v>101</v>
      </c>
      <c r="I1616" t="s">
        <v>102</v>
      </c>
      <c r="J1616">
        <v>667.8</v>
      </c>
      <c r="K1616">
        <v>5283</v>
      </c>
      <c r="L1616">
        <v>717</v>
      </c>
      <c r="M1616">
        <v>691.8</v>
      </c>
      <c r="N1616">
        <v>7049</v>
      </c>
      <c r="O1616">
        <v>113</v>
      </c>
      <c r="P1616">
        <v>0</v>
      </c>
      <c r="Q1616">
        <v>0</v>
      </c>
      <c r="R1616">
        <v>0</v>
      </c>
      <c r="S1616">
        <v>0</v>
      </c>
      <c r="T1616">
        <v>0</v>
      </c>
      <c r="U1616">
        <v>0</v>
      </c>
      <c r="V1616">
        <v>1359.6</v>
      </c>
      <c r="W1616">
        <v>12332</v>
      </c>
      <c r="X1616">
        <v>830</v>
      </c>
      <c r="Y1616">
        <f t="shared" si="25"/>
        <v>12332</v>
      </c>
      <c r="Z1616" t="str">
        <f>IF(ISNUMBER(SEARCH("Adjustment",$C1616)),"excluded",IF($H1616="Behind the Meter","excluded",IF(NOT(OR($E1616="Bundled",$E1616="Energy")),"excluded",IF(OR($H1616="Retail Power Marketer",$H1616="Community Choice Aggregator",$E1616="Energy"),"procurement",IF(OR($H1616="Municipal",$H1616="Cooperative",$H1616="Federal",$H1616="State",$H1616="Political Subdivision"),"cost_service",IF($H1616="Investor Owned",IF(AND(COUNTIF(Parameters!$A$4:$A$33,$G1616)&gt;0,COUNTIF(Parameters!$B$4:$B$33,$B1616)=0),"procurement","cost_service"),"unclassified"))))))</f>
        <v>procurement</v>
      </c>
    </row>
    <row r="1617" spans="1:26" x14ac:dyDescent="0.25">
      <c r="A1617">
        <v>2024</v>
      </c>
      <c r="B1617">
        <v>54820</v>
      </c>
      <c r="C1617" t="s">
        <v>1433</v>
      </c>
      <c r="D1617" t="s">
        <v>99</v>
      </c>
      <c r="E1617" t="s">
        <v>100</v>
      </c>
      <c r="F1617" t="s">
        <v>86</v>
      </c>
      <c r="G1617" t="s">
        <v>55</v>
      </c>
      <c r="H1617" t="s">
        <v>101</v>
      </c>
      <c r="I1617" t="s">
        <v>92</v>
      </c>
      <c r="J1617">
        <v>89536.5</v>
      </c>
      <c r="K1617">
        <v>888673</v>
      </c>
      <c r="L1617">
        <v>77715</v>
      </c>
      <c r="M1617">
        <v>7912.1</v>
      </c>
      <c r="N1617">
        <v>81644</v>
      </c>
      <c r="O1617">
        <v>5677</v>
      </c>
      <c r="P1617">
        <v>0</v>
      </c>
      <c r="Q1617">
        <v>0</v>
      </c>
      <c r="R1617">
        <v>0</v>
      </c>
      <c r="S1617">
        <v>0</v>
      </c>
      <c r="T1617">
        <v>0</v>
      </c>
      <c r="U1617">
        <v>0</v>
      </c>
      <c r="V1617">
        <v>97448.6</v>
      </c>
      <c r="W1617">
        <v>970317</v>
      </c>
      <c r="X1617">
        <v>83392</v>
      </c>
      <c r="Y1617">
        <f t="shared" si="25"/>
        <v>970317</v>
      </c>
      <c r="Z1617" t="str">
        <f>IF(ISNUMBER(SEARCH("Adjustment",$C1617)),"excluded",IF($H1617="Behind the Meter","excluded",IF(NOT(OR($E1617="Bundled",$E1617="Energy")),"excluded",IF(OR($H1617="Retail Power Marketer",$H1617="Community Choice Aggregator",$E1617="Energy"),"procurement",IF(OR($H1617="Municipal",$H1617="Cooperative",$H1617="Federal",$H1617="State",$H1617="Political Subdivision"),"cost_service",IF($H1617="Investor Owned",IF(AND(COUNTIF(Parameters!$A$4:$A$33,$G1617)&gt;0,COUNTIF(Parameters!$B$4:$B$33,$B1617)=0),"procurement","cost_service"),"unclassified"))))))</f>
        <v>procurement</v>
      </c>
    </row>
    <row r="1618" spans="1:26" x14ac:dyDescent="0.25">
      <c r="A1618">
        <v>2024</v>
      </c>
      <c r="B1618">
        <v>54820</v>
      </c>
      <c r="C1618" t="s">
        <v>1433</v>
      </c>
      <c r="D1618" t="s">
        <v>99</v>
      </c>
      <c r="E1618" t="s">
        <v>100</v>
      </c>
      <c r="F1618" t="s">
        <v>86</v>
      </c>
      <c r="G1618" t="s">
        <v>56</v>
      </c>
      <c r="H1618" t="s">
        <v>101</v>
      </c>
      <c r="I1618" t="s">
        <v>189</v>
      </c>
      <c r="J1618">
        <v>1605.5</v>
      </c>
      <c r="K1618">
        <v>11562</v>
      </c>
      <c r="L1618">
        <v>1730</v>
      </c>
      <c r="M1618">
        <v>215.7</v>
      </c>
      <c r="N1618">
        <v>1805</v>
      </c>
      <c r="O1618">
        <v>155</v>
      </c>
      <c r="P1618">
        <v>0</v>
      </c>
      <c r="Q1618">
        <v>0</v>
      </c>
      <c r="R1618">
        <v>0</v>
      </c>
      <c r="S1618">
        <v>0</v>
      </c>
      <c r="T1618">
        <v>0</v>
      </c>
      <c r="U1618">
        <v>0</v>
      </c>
      <c r="V1618">
        <v>1821.2</v>
      </c>
      <c r="W1618">
        <v>13367</v>
      </c>
      <c r="X1618">
        <v>1885</v>
      </c>
      <c r="Y1618">
        <f t="shared" si="25"/>
        <v>13367</v>
      </c>
      <c r="Z1618" t="str">
        <f>IF(ISNUMBER(SEARCH("Adjustment",$C1618)),"excluded",IF($H1618="Behind the Meter","excluded",IF(NOT(OR($E1618="Bundled",$E1618="Energy")),"excluded",IF(OR($H1618="Retail Power Marketer",$H1618="Community Choice Aggregator",$E1618="Energy"),"procurement",IF(OR($H1618="Municipal",$H1618="Cooperative",$H1618="Federal",$H1618="State",$H1618="Political Subdivision"),"cost_service",IF($H1618="Investor Owned",IF(AND(COUNTIF(Parameters!$A$4:$A$33,$G1618)&gt;0,COUNTIF(Parameters!$B$4:$B$33,$B1618)=0),"procurement","cost_service"),"unclassified"))))))</f>
        <v>procurement</v>
      </c>
    </row>
    <row r="1619" spans="1:26" x14ac:dyDescent="0.25">
      <c r="A1619">
        <v>2024</v>
      </c>
      <c r="B1619">
        <v>54820</v>
      </c>
      <c r="C1619" t="s">
        <v>1433</v>
      </c>
      <c r="D1619" t="s">
        <v>150</v>
      </c>
      <c r="E1619" t="s">
        <v>85</v>
      </c>
      <c r="F1619" t="s">
        <v>86</v>
      </c>
      <c r="G1619" t="s">
        <v>57</v>
      </c>
      <c r="H1619" t="s">
        <v>101</v>
      </c>
      <c r="I1619" t="s">
        <v>151</v>
      </c>
      <c r="J1619">
        <v>581569.5</v>
      </c>
      <c r="K1619">
        <v>3552186</v>
      </c>
      <c r="L1619">
        <v>266249</v>
      </c>
      <c r="M1619">
        <v>36703.300000000003</v>
      </c>
      <c r="N1619">
        <v>224240</v>
      </c>
      <c r="O1619">
        <v>17209</v>
      </c>
      <c r="P1619">
        <v>0</v>
      </c>
      <c r="Q1619">
        <v>0</v>
      </c>
      <c r="R1619">
        <v>0</v>
      </c>
      <c r="S1619">
        <v>0</v>
      </c>
      <c r="T1619">
        <v>0</v>
      </c>
      <c r="U1619">
        <v>0</v>
      </c>
      <c r="V1619">
        <v>618272.80000000005</v>
      </c>
      <c r="W1619">
        <v>3776426</v>
      </c>
      <c r="X1619">
        <v>283458</v>
      </c>
      <c r="Y1619">
        <f t="shared" si="25"/>
        <v>3776426</v>
      </c>
      <c r="Z1619" t="str">
        <f>IF(ISNUMBER(SEARCH("Adjustment",$C1619)),"excluded",IF($H1619="Behind the Meter","excluded",IF(NOT(OR($E1619="Bundled",$E1619="Energy")),"excluded",IF(OR($H1619="Retail Power Marketer",$H1619="Community Choice Aggregator",$E1619="Energy"),"procurement",IF(OR($H1619="Municipal",$H1619="Cooperative",$H1619="Federal",$H1619="State",$H1619="Political Subdivision"),"cost_service",IF($H1619="Investor Owned",IF(AND(COUNTIF(Parameters!$A$4:$A$33,$G1619)&gt;0,COUNTIF(Parameters!$B$4:$B$33,$B1619)=0),"procurement","cost_service"),"unclassified"))))))</f>
        <v>procurement</v>
      </c>
    </row>
    <row r="1620" spans="1:26" x14ac:dyDescent="0.25">
      <c r="A1620">
        <v>2024</v>
      </c>
      <c r="B1620">
        <v>54862</v>
      </c>
      <c r="C1620" t="s">
        <v>1434</v>
      </c>
      <c r="D1620" t="s">
        <v>99</v>
      </c>
      <c r="E1620" t="s">
        <v>100</v>
      </c>
      <c r="F1620" t="s">
        <v>86</v>
      </c>
      <c r="G1620" t="s">
        <v>40</v>
      </c>
      <c r="H1620" t="s">
        <v>101</v>
      </c>
      <c r="I1620" t="s">
        <v>189</v>
      </c>
      <c r="J1620">
        <v>0</v>
      </c>
      <c r="K1620">
        <v>0</v>
      </c>
      <c r="L1620">
        <v>0</v>
      </c>
      <c r="M1620">
        <v>7497.5</v>
      </c>
      <c r="N1620">
        <v>81064</v>
      </c>
      <c r="O1620">
        <v>72</v>
      </c>
      <c r="P1620">
        <v>0</v>
      </c>
      <c r="Q1620">
        <v>0</v>
      </c>
      <c r="R1620">
        <v>0</v>
      </c>
      <c r="S1620">
        <v>0</v>
      </c>
      <c r="T1620">
        <v>0</v>
      </c>
      <c r="U1620">
        <v>0</v>
      </c>
      <c r="V1620">
        <v>7497.5</v>
      </c>
      <c r="W1620">
        <v>81064</v>
      </c>
      <c r="X1620">
        <v>72</v>
      </c>
      <c r="Y1620">
        <f t="shared" si="25"/>
        <v>81064</v>
      </c>
      <c r="Z1620" t="str">
        <f>IF(ISNUMBER(SEARCH("Adjustment",$C1620)),"excluded",IF($H1620="Behind the Meter","excluded",IF(NOT(OR($E1620="Bundled",$E1620="Energy")),"excluded",IF(OR($H1620="Retail Power Marketer",$H1620="Community Choice Aggregator",$E1620="Energy"),"procurement",IF(OR($H1620="Municipal",$H1620="Cooperative",$H1620="Federal",$H1620="State",$H1620="Political Subdivision"),"cost_service",IF($H1620="Investor Owned",IF(AND(COUNTIF(Parameters!$A$4:$A$33,$G1620)&gt;0,COUNTIF(Parameters!$B$4:$B$33,$B1620)=0),"procurement","cost_service"),"unclassified"))))))</f>
        <v>procurement</v>
      </c>
    </row>
    <row r="1621" spans="1:26" x14ac:dyDescent="0.25">
      <c r="A1621">
        <v>2024</v>
      </c>
      <c r="B1621">
        <v>54862</v>
      </c>
      <c r="C1621" t="s">
        <v>1434</v>
      </c>
      <c r="D1621" t="s">
        <v>99</v>
      </c>
      <c r="E1621" t="s">
        <v>100</v>
      </c>
      <c r="F1621" t="s">
        <v>86</v>
      </c>
      <c r="G1621" t="s">
        <v>42</v>
      </c>
      <c r="H1621" t="s">
        <v>101</v>
      </c>
      <c r="I1621" t="s">
        <v>92</v>
      </c>
      <c r="J1621">
        <v>0</v>
      </c>
      <c r="K1621">
        <v>0</v>
      </c>
      <c r="L1621">
        <v>0</v>
      </c>
      <c r="M1621">
        <v>1704.4</v>
      </c>
      <c r="N1621">
        <v>16024</v>
      </c>
      <c r="O1621">
        <v>13</v>
      </c>
      <c r="P1621">
        <v>0</v>
      </c>
      <c r="Q1621">
        <v>0</v>
      </c>
      <c r="R1621">
        <v>0</v>
      </c>
      <c r="S1621">
        <v>0</v>
      </c>
      <c r="T1621">
        <v>0</v>
      </c>
      <c r="U1621">
        <v>0</v>
      </c>
      <c r="V1621">
        <v>1704.4</v>
      </c>
      <c r="W1621">
        <v>16024</v>
      </c>
      <c r="X1621">
        <v>13</v>
      </c>
      <c r="Y1621">
        <f t="shared" si="25"/>
        <v>16024</v>
      </c>
      <c r="Z1621" t="str">
        <f>IF(ISNUMBER(SEARCH("Adjustment",$C1621)),"excluded",IF($H1621="Behind the Meter","excluded",IF(NOT(OR($E1621="Bundled",$E1621="Energy")),"excluded",IF(OR($H1621="Retail Power Marketer",$H1621="Community Choice Aggregator",$E1621="Energy"),"procurement",IF(OR($H1621="Municipal",$H1621="Cooperative",$H1621="Federal",$H1621="State",$H1621="Political Subdivision"),"cost_service",IF($H1621="Investor Owned",IF(AND(COUNTIF(Parameters!$A$4:$A$33,$G1621)&gt;0,COUNTIF(Parameters!$B$4:$B$33,$B1621)=0),"procurement","cost_service"),"unclassified"))))))</f>
        <v>procurement</v>
      </c>
    </row>
    <row r="1622" spans="1:26" x14ac:dyDescent="0.25">
      <c r="A1622">
        <v>2024</v>
      </c>
      <c r="B1622">
        <v>54862</v>
      </c>
      <c r="C1622" t="s">
        <v>1434</v>
      </c>
      <c r="D1622" t="s">
        <v>99</v>
      </c>
      <c r="E1622" t="s">
        <v>100</v>
      </c>
      <c r="F1622" t="s">
        <v>86</v>
      </c>
      <c r="G1622" t="s">
        <v>44</v>
      </c>
      <c r="H1622" t="s">
        <v>101</v>
      </c>
      <c r="I1622" t="s">
        <v>92</v>
      </c>
      <c r="J1622">
        <v>0</v>
      </c>
      <c r="K1622">
        <v>0</v>
      </c>
      <c r="L1622">
        <v>0</v>
      </c>
      <c r="M1622">
        <v>1560.5</v>
      </c>
      <c r="N1622">
        <v>24972</v>
      </c>
      <c r="O1622">
        <v>10</v>
      </c>
      <c r="P1622">
        <v>0</v>
      </c>
      <c r="Q1622">
        <v>0</v>
      </c>
      <c r="R1622">
        <v>0</v>
      </c>
      <c r="S1622">
        <v>0</v>
      </c>
      <c r="T1622">
        <v>0</v>
      </c>
      <c r="U1622">
        <v>0</v>
      </c>
      <c r="V1622">
        <v>1560.5</v>
      </c>
      <c r="W1622">
        <v>24972</v>
      </c>
      <c r="X1622">
        <v>10</v>
      </c>
      <c r="Y1622">
        <f t="shared" si="25"/>
        <v>24972</v>
      </c>
      <c r="Z1622" t="str">
        <f>IF(ISNUMBER(SEARCH("Adjustment",$C1622)),"excluded",IF($H1622="Behind the Meter","excluded",IF(NOT(OR($E1622="Bundled",$E1622="Energy")),"excluded",IF(OR($H1622="Retail Power Marketer",$H1622="Community Choice Aggregator",$E1622="Energy"),"procurement",IF(OR($H1622="Municipal",$H1622="Cooperative",$H1622="Federal",$H1622="State",$H1622="Political Subdivision"),"cost_service",IF($H1622="Investor Owned",IF(AND(COUNTIF(Parameters!$A$4:$A$33,$G1622)&gt;0,COUNTIF(Parameters!$B$4:$B$33,$B1622)=0),"procurement","cost_service"),"unclassified"))))))</f>
        <v>procurement</v>
      </c>
    </row>
    <row r="1623" spans="1:26" x14ac:dyDescent="0.25">
      <c r="A1623">
        <v>2024</v>
      </c>
      <c r="B1623">
        <v>54862</v>
      </c>
      <c r="C1623" t="s">
        <v>1434</v>
      </c>
      <c r="D1623" t="s">
        <v>99</v>
      </c>
      <c r="E1623" t="s">
        <v>100</v>
      </c>
      <c r="F1623" t="s">
        <v>86</v>
      </c>
      <c r="G1623" t="s">
        <v>46</v>
      </c>
      <c r="H1623" t="s">
        <v>101</v>
      </c>
      <c r="I1623" t="s">
        <v>96</v>
      </c>
      <c r="J1623">
        <v>0</v>
      </c>
      <c r="K1623">
        <v>0</v>
      </c>
      <c r="L1623">
        <v>0</v>
      </c>
      <c r="M1623">
        <v>18788.3</v>
      </c>
      <c r="N1623">
        <v>397609</v>
      </c>
      <c r="O1623">
        <v>289</v>
      </c>
      <c r="P1623">
        <v>0</v>
      </c>
      <c r="Q1623">
        <v>0</v>
      </c>
      <c r="R1623">
        <v>0</v>
      </c>
      <c r="S1623">
        <v>0</v>
      </c>
      <c r="T1623">
        <v>0</v>
      </c>
      <c r="U1623">
        <v>0</v>
      </c>
      <c r="V1623">
        <v>18788.3</v>
      </c>
      <c r="W1623">
        <v>397609</v>
      </c>
      <c r="X1623">
        <v>289</v>
      </c>
      <c r="Y1623">
        <f t="shared" si="25"/>
        <v>397609</v>
      </c>
      <c r="Z1623" t="str">
        <f>IF(ISNUMBER(SEARCH("Adjustment",$C1623)),"excluded",IF($H1623="Behind the Meter","excluded",IF(NOT(OR($E1623="Bundled",$E1623="Energy")),"excluded",IF(OR($H1623="Retail Power Marketer",$H1623="Community Choice Aggregator",$E1623="Energy"),"procurement",IF(OR($H1623="Municipal",$H1623="Cooperative",$H1623="Federal",$H1623="State",$H1623="Political Subdivision"),"cost_service",IF($H1623="Investor Owned",IF(AND(COUNTIF(Parameters!$A$4:$A$33,$G1623)&gt;0,COUNTIF(Parameters!$B$4:$B$33,$B1623)=0),"procurement","cost_service"),"unclassified"))))))</f>
        <v>procurement</v>
      </c>
    </row>
    <row r="1624" spans="1:26" x14ac:dyDescent="0.25">
      <c r="A1624">
        <v>2024</v>
      </c>
      <c r="B1624">
        <v>54862</v>
      </c>
      <c r="C1624" t="s">
        <v>1434</v>
      </c>
      <c r="D1624" t="s">
        <v>99</v>
      </c>
      <c r="E1624" t="s">
        <v>100</v>
      </c>
      <c r="F1624" t="s">
        <v>86</v>
      </c>
      <c r="G1624" t="s">
        <v>48</v>
      </c>
      <c r="H1624" t="s">
        <v>101</v>
      </c>
      <c r="I1624" t="s">
        <v>189</v>
      </c>
      <c r="J1624">
        <v>0</v>
      </c>
      <c r="K1624">
        <v>0</v>
      </c>
      <c r="L1624">
        <v>0</v>
      </c>
      <c r="M1624">
        <v>20397</v>
      </c>
      <c r="N1624">
        <v>195198</v>
      </c>
      <c r="O1624">
        <v>563</v>
      </c>
      <c r="P1624">
        <v>0</v>
      </c>
      <c r="Q1624">
        <v>0</v>
      </c>
      <c r="R1624">
        <v>0</v>
      </c>
      <c r="S1624">
        <v>0</v>
      </c>
      <c r="T1624">
        <v>0</v>
      </c>
      <c r="U1624">
        <v>0</v>
      </c>
      <c r="V1624">
        <v>20397</v>
      </c>
      <c r="W1624">
        <v>195198</v>
      </c>
      <c r="X1624">
        <v>563</v>
      </c>
      <c r="Y1624">
        <f t="shared" si="25"/>
        <v>195198</v>
      </c>
      <c r="Z1624" t="str">
        <f>IF(ISNUMBER(SEARCH("Adjustment",$C1624)),"excluded",IF($H1624="Behind the Meter","excluded",IF(NOT(OR($E1624="Bundled",$E1624="Energy")),"excluded",IF(OR($H1624="Retail Power Marketer",$H1624="Community Choice Aggregator",$E1624="Energy"),"procurement",IF(OR($H1624="Municipal",$H1624="Cooperative",$H1624="Federal",$H1624="State",$H1624="Political Subdivision"),"cost_service",IF($H1624="Investor Owned",IF(AND(COUNTIF(Parameters!$A$4:$A$33,$G1624)&gt;0,COUNTIF(Parameters!$B$4:$B$33,$B1624)=0),"procurement","cost_service"),"unclassified"))))))</f>
        <v>procurement</v>
      </c>
    </row>
    <row r="1625" spans="1:26" x14ac:dyDescent="0.25">
      <c r="A1625">
        <v>2024</v>
      </c>
      <c r="B1625">
        <v>54862</v>
      </c>
      <c r="C1625" t="s">
        <v>1434</v>
      </c>
      <c r="D1625" t="s">
        <v>99</v>
      </c>
      <c r="E1625" t="s">
        <v>100</v>
      </c>
      <c r="F1625" t="s">
        <v>86</v>
      </c>
      <c r="G1625" t="s">
        <v>49</v>
      </c>
      <c r="H1625" t="s">
        <v>101</v>
      </c>
      <c r="I1625" t="s">
        <v>92</v>
      </c>
      <c r="J1625">
        <v>0</v>
      </c>
      <c r="K1625">
        <v>0</v>
      </c>
      <c r="L1625">
        <v>0</v>
      </c>
      <c r="M1625">
        <v>10590.6</v>
      </c>
      <c r="N1625">
        <v>138542</v>
      </c>
      <c r="O1625">
        <v>1316</v>
      </c>
      <c r="P1625">
        <v>0</v>
      </c>
      <c r="Q1625">
        <v>0</v>
      </c>
      <c r="R1625">
        <v>0</v>
      </c>
      <c r="S1625">
        <v>0</v>
      </c>
      <c r="T1625">
        <v>0</v>
      </c>
      <c r="U1625">
        <v>0</v>
      </c>
      <c r="V1625">
        <v>10590.6</v>
      </c>
      <c r="W1625">
        <v>138542</v>
      </c>
      <c r="X1625">
        <v>1316</v>
      </c>
      <c r="Y1625">
        <f t="shared" si="25"/>
        <v>138542</v>
      </c>
      <c r="Z1625" t="str">
        <f>IF(ISNUMBER(SEARCH("Adjustment",$C1625)),"excluded",IF($H1625="Behind the Meter","excluded",IF(NOT(OR($E1625="Bundled",$E1625="Energy")),"excluded",IF(OR($H1625="Retail Power Marketer",$H1625="Community Choice Aggregator",$E1625="Energy"),"procurement",IF(OR($H1625="Municipal",$H1625="Cooperative",$H1625="Federal",$H1625="State",$H1625="Political Subdivision"),"cost_service",IF($H1625="Investor Owned",IF(AND(COUNTIF(Parameters!$A$4:$A$33,$G1625)&gt;0,COUNTIF(Parameters!$B$4:$B$33,$B1625)=0),"procurement","cost_service"),"unclassified"))))))</f>
        <v>procurement</v>
      </c>
    </row>
    <row r="1626" spans="1:26" x14ac:dyDescent="0.25">
      <c r="A1626">
        <v>2024</v>
      </c>
      <c r="B1626">
        <v>54862</v>
      </c>
      <c r="C1626" t="s">
        <v>1434</v>
      </c>
      <c r="D1626" t="s">
        <v>99</v>
      </c>
      <c r="E1626" t="s">
        <v>100</v>
      </c>
      <c r="F1626" t="s">
        <v>86</v>
      </c>
      <c r="G1626" t="s">
        <v>50</v>
      </c>
      <c r="H1626" t="s">
        <v>101</v>
      </c>
      <c r="I1626" t="s">
        <v>189</v>
      </c>
      <c r="J1626">
        <v>0</v>
      </c>
      <c r="K1626">
        <v>0</v>
      </c>
      <c r="L1626">
        <v>0</v>
      </c>
      <c r="M1626">
        <v>5092.1000000000004</v>
      </c>
      <c r="N1626">
        <v>53367</v>
      </c>
      <c r="O1626">
        <v>223</v>
      </c>
      <c r="P1626">
        <v>0</v>
      </c>
      <c r="Q1626">
        <v>0</v>
      </c>
      <c r="R1626">
        <v>0</v>
      </c>
      <c r="S1626">
        <v>0</v>
      </c>
      <c r="T1626">
        <v>0</v>
      </c>
      <c r="U1626">
        <v>0</v>
      </c>
      <c r="V1626">
        <v>5092.1000000000004</v>
      </c>
      <c r="W1626">
        <v>53367</v>
      </c>
      <c r="X1626">
        <v>223</v>
      </c>
      <c r="Y1626">
        <f t="shared" si="25"/>
        <v>53367</v>
      </c>
      <c r="Z1626" t="str">
        <f>IF(ISNUMBER(SEARCH("Adjustment",$C1626)),"excluded",IF($H1626="Behind the Meter","excluded",IF(NOT(OR($E1626="Bundled",$E1626="Energy")),"excluded",IF(OR($H1626="Retail Power Marketer",$H1626="Community Choice Aggregator",$E1626="Energy"),"procurement",IF(OR($H1626="Municipal",$H1626="Cooperative",$H1626="Federal",$H1626="State",$H1626="Political Subdivision"),"cost_service",IF($H1626="Investor Owned",IF(AND(COUNTIF(Parameters!$A$4:$A$33,$G1626)&gt;0,COUNTIF(Parameters!$B$4:$B$33,$B1626)=0),"procurement","cost_service"),"unclassified"))))))</f>
        <v>procurement</v>
      </c>
    </row>
    <row r="1627" spans="1:26" x14ac:dyDescent="0.25">
      <c r="A1627">
        <v>2024</v>
      </c>
      <c r="B1627">
        <v>54862</v>
      </c>
      <c r="C1627" t="s">
        <v>1434</v>
      </c>
      <c r="D1627" t="s">
        <v>99</v>
      </c>
      <c r="E1627" t="s">
        <v>100</v>
      </c>
      <c r="F1627" t="s">
        <v>86</v>
      </c>
      <c r="G1627" t="s">
        <v>51</v>
      </c>
      <c r="H1627" t="s">
        <v>101</v>
      </c>
      <c r="I1627" t="s">
        <v>189</v>
      </c>
      <c r="J1627">
        <v>0</v>
      </c>
      <c r="K1627">
        <v>0</v>
      </c>
      <c r="L1627">
        <v>0</v>
      </c>
      <c r="M1627">
        <v>3494</v>
      </c>
      <c r="N1627">
        <v>33988</v>
      </c>
      <c r="O1627">
        <v>225</v>
      </c>
      <c r="P1627">
        <v>0</v>
      </c>
      <c r="Q1627">
        <v>0</v>
      </c>
      <c r="R1627">
        <v>0</v>
      </c>
      <c r="S1627">
        <v>0</v>
      </c>
      <c r="T1627">
        <v>0</v>
      </c>
      <c r="U1627">
        <v>0</v>
      </c>
      <c r="V1627">
        <v>3494</v>
      </c>
      <c r="W1627">
        <v>33988</v>
      </c>
      <c r="X1627">
        <v>225</v>
      </c>
      <c r="Y1627">
        <f t="shared" si="25"/>
        <v>33988</v>
      </c>
      <c r="Z1627" t="str">
        <f>IF(ISNUMBER(SEARCH("Adjustment",$C1627)),"excluded",IF($H1627="Behind the Meter","excluded",IF(NOT(OR($E1627="Bundled",$E1627="Energy")),"excluded",IF(OR($H1627="Retail Power Marketer",$H1627="Community Choice Aggregator",$E1627="Energy"),"procurement",IF(OR($H1627="Municipal",$H1627="Cooperative",$H1627="Federal",$H1627="State",$H1627="Political Subdivision"),"cost_service",IF($H1627="Investor Owned",IF(AND(COUNTIF(Parameters!$A$4:$A$33,$G1627)&gt;0,COUNTIF(Parameters!$B$4:$B$33,$B1627)=0),"procurement","cost_service"),"unclassified"))))))</f>
        <v>procurement</v>
      </c>
    </row>
    <row r="1628" spans="1:26" x14ac:dyDescent="0.25">
      <c r="A1628">
        <v>2024</v>
      </c>
      <c r="B1628">
        <v>54862</v>
      </c>
      <c r="C1628" t="s">
        <v>1434</v>
      </c>
      <c r="D1628" t="s">
        <v>99</v>
      </c>
      <c r="E1628" t="s">
        <v>100</v>
      </c>
      <c r="F1628" t="s">
        <v>86</v>
      </c>
      <c r="G1628" t="s">
        <v>52</v>
      </c>
      <c r="H1628" t="s">
        <v>101</v>
      </c>
      <c r="I1628" t="s">
        <v>92</v>
      </c>
      <c r="J1628">
        <v>0</v>
      </c>
      <c r="K1628">
        <v>0</v>
      </c>
      <c r="L1628">
        <v>0</v>
      </c>
      <c r="M1628">
        <v>37604.699999999997</v>
      </c>
      <c r="N1628">
        <v>459853</v>
      </c>
      <c r="O1628">
        <v>1445</v>
      </c>
      <c r="P1628">
        <v>0</v>
      </c>
      <c r="Q1628">
        <v>0</v>
      </c>
      <c r="R1628">
        <v>0</v>
      </c>
      <c r="S1628">
        <v>0</v>
      </c>
      <c r="T1628">
        <v>0</v>
      </c>
      <c r="U1628">
        <v>0</v>
      </c>
      <c r="V1628">
        <v>37604.699999999997</v>
      </c>
      <c r="W1628">
        <v>459853</v>
      </c>
      <c r="X1628">
        <v>1445</v>
      </c>
      <c r="Y1628">
        <f t="shared" si="25"/>
        <v>459853</v>
      </c>
      <c r="Z1628" t="str">
        <f>IF(ISNUMBER(SEARCH("Adjustment",$C1628)),"excluded",IF($H1628="Behind the Meter","excluded",IF(NOT(OR($E1628="Bundled",$E1628="Energy")),"excluded",IF(OR($H1628="Retail Power Marketer",$H1628="Community Choice Aggregator",$E1628="Energy"),"procurement",IF(OR($H1628="Municipal",$H1628="Cooperative",$H1628="Federal",$H1628="State",$H1628="Political Subdivision"),"cost_service",IF($H1628="Investor Owned",IF(AND(COUNTIF(Parameters!$A$4:$A$33,$G1628)&gt;0,COUNTIF(Parameters!$B$4:$B$33,$B1628)=0),"procurement","cost_service"),"unclassified"))))))</f>
        <v>procurement</v>
      </c>
    </row>
    <row r="1629" spans="1:26" x14ac:dyDescent="0.25">
      <c r="A1629">
        <v>2024</v>
      </c>
      <c r="B1629">
        <v>54862</v>
      </c>
      <c r="C1629" t="s">
        <v>1434</v>
      </c>
      <c r="D1629" t="s">
        <v>99</v>
      </c>
      <c r="E1629" t="s">
        <v>100</v>
      </c>
      <c r="F1629" t="s">
        <v>86</v>
      </c>
      <c r="G1629" t="s">
        <v>53</v>
      </c>
      <c r="H1629" t="s">
        <v>101</v>
      </c>
      <c r="I1629" t="s">
        <v>102</v>
      </c>
      <c r="J1629">
        <v>0</v>
      </c>
      <c r="K1629">
        <v>0</v>
      </c>
      <c r="L1629">
        <v>0</v>
      </c>
      <c r="M1629">
        <v>44811.6</v>
      </c>
      <c r="N1629">
        <v>638521</v>
      </c>
      <c r="O1629">
        <v>304</v>
      </c>
      <c r="P1629">
        <v>0</v>
      </c>
      <c r="Q1629">
        <v>0</v>
      </c>
      <c r="R1629">
        <v>0</v>
      </c>
      <c r="S1629">
        <v>0</v>
      </c>
      <c r="T1629">
        <v>0</v>
      </c>
      <c r="U1629">
        <v>0</v>
      </c>
      <c r="V1629">
        <v>44811.6</v>
      </c>
      <c r="W1629">
        <v>638521</v>
      </c>
      <c r="X1629">
        <v>304</v>
      </c>
      <c r="Y1629">
        <f t="shared" si="25"/>
        <v>638521</v>
      </c>
      <c r="Z1629" t="str">
        <f>IF(ISNUMBER(SEARCH("Adjustment",$C1629)),"excluded",IF($H1629="Behind the Meter","excluded",IF(NOT(OR($E1629="Bundled",$E1629="Energy")),"excluded",IF(OR($H1629="Retail Power Marketer",$H1629="Community Choice Aggregator",$E1629="Energy"),"procurement",IF(OR($H1629="Municipal",$H1629="Cooperative",$H1629="Federal",$H1629="State",$H1629="Political Subdivision"),"cost_service",IF($H1629="Investor Owned",IF(AND(COUNTIF(Parameters!$A$4:$A$33,$G1629)&gt;0,COUNTIF(Parameters!$B$4:$B$33,$B1629)=0),"procurement","cost_service"),"unclassified"))))))</f>
        <v>procurement</v>
      </c>
    </row>
    <row r="1630" spans="1:26" x14ac:dyDescent="0.25">
      <c r="A1630">
        <v>2024</v>
      </c>
      <c r="B1630">
        <v>54862</v>
      </c>
      <c r="C1630" t="s">
        <v>1434</v>
      </c>
      <c r="D1630" t="s">
        <v>99</v>
      </c>
      <c r="E1630" t="s">
        <v>100</v>
      </c>
      <c r="F1630" t="s">
        <v>86</v>
      </c>
      <c r="G1630" t="s">
        <v>54</v>
      </c>
      <c r="H1630" t="s">
        <v>101</v>
      </c>
      <c r="I1630" t="s">
        <v>92</v>
      </c>
      <c r="J1630">
        <v>0</v>
      </c>
      <c r="K1630">
        <v>0</v>
      </c>
      <c r="L1630">
        <v>0</v>
      </c>
      <c r="M1630">
        <v>38432</v>
      </c>
      <c r="N1630">
        <v>730934</v>
      </c>
      <c r="O1630">
        <v>2901</v>
      </c>
      <c r="P1630">
        <v>0</v>
      </c>
      <c r="Q1630">
        <v>0</v>
      </c>
      <c r="R1630">
        <v>0</v>
      </c>
      <c r="S1630">
        <v>0</v>
      </c>
      <c r="T1630">
        <v>0</v>
      </c>
      <c r="U1630">
        <v>0</v>
      </c>
      <c r="V1630">
        <v>38432</v>
      </c>
      <c r="W1630">
        <v>730934</v>
      </c>
      <c r="X1630">
        <v>2901</v>
      </c>
      <c r="Y1630">
        <f t="shared" si="25"/>
        <v>730934</v>
      </c>
      <c r="Z1630" t="str">
        <f>IF(ISNUMBER(SEARCH("Adjustment",$C1630)),"excluded",IF($H1630="Behind the Meter","excluded",IF(NOT(OR($E1630="Bundled",$E1630="Energy")),"excluded",IF(OR($H1630="Retail Power Marketer",$H1630="Community Choice Aggregator",$E1630="Energy"),"procurement",IF(OR($H1630="Municipal",$H1630="Cooperative",$H1630="Federal",$H1630="State",$H1630="Political Subdivision"),"cost_service",IF($H1630="Investor Owned",IF(AND(COUNTIF(Parameters!$A$4:$A$33,$G1630)&gt;0,COUNTIF(Parameters!$B$4:$B$33,$B1630)=0),"procurement","cost_service"),"unclassified"))))))</f>
        <v>procurement</v>
      </c>
    </row>
    <row r="1631" spans="1:26" x14ac:dyDescent="0.25">
      <c r="A1631">
        <v>2024</v>
      </c>
      <c r="B1631">
        <v>54862</v>
      </c>
      <c r="C1631" t="s">
        <v>1434</v>
      </c>
      <c r="D1631" t="s">
        <v>99</v>
      </c>
      <c r="E1631" t="s">
        <v>100</v>
      </c>
      <c r="F1631" t="s">
        <v>86</v>
      </c>
      <c r="G1631" t="s">
        <v>55</v>
      </c>
      <c r="H1631" t="s">
        <v>101</v>
      </c>
      <c r="I1631" t="s">
        <v>92</v>
      </c>
      <c r="J1631">
        <v>0</v>
      </c>
      <c r="K1631">
        <v>0</v>
      </c>
      <c r="L1631">
        <v>0</v>
      </c>
      <c r="M1631">
        <v>55114.9</v>
      </c>
      <c r="N1631">
        <v>1142452</v>
      </c>
      <c r="O1631">
        <v>2705</v>
      </c>
      <c r="P1631">
        <v>0</v>
      </c>
      <c r="Q1631">
        <v>0</v>
      </c>
      <c r="R1631">
        <v>0</v>
      </c>
      <c r="S1631">
        <v>0</v>
      </c>
      <c r="T1631">
        <v>0</v>
      </c>
      <c r="U1631">
        <v>0</v>
      </c>
      <c r="V1631">
        <v>55114.9</v>
      </c>
      <c r="W1631">
        <v>1142452</v>
      </c>
      <c r="X1631">
        <v>2705</v>
      </c>
      <c r="Y1631">
        <f t="shared" si="25"/>
        <v>1142452</v>
      </c>
      <c r="Z1631" t="str">
        <f>IF(ISNUMBER(SEARCH("Adjustment",$C1631)),"excluded",IF($H1631="Behind the Meter","excluded",IF(NOT(OR($E1631="Bundled",$E1631="Energy")),"excluded",IF(OR($H1631="Retail Power Marketer",$H1631="Community Choice Aggregator",$E1631="Energy"),"procurement",IF(OR($H1631="Municipal",$H1631="Cooperative",$H1631="Federal",$H1631="State",$H1631="Political Subdivision"),"cost_service",IF($H1631="Investor Owned",IF(AND(COUNTIF(Parameters!$A$4:$A$33,$G1631)&gt;0,COUNTIF(Parameters!$B$4:$B$33,$B1631)=0),"procurement","cost_service"),"unclassified"))))))</f>
        <v>procurement</v>
      </c>
    </row>
    <row r="1632" spans="1:26" x14ac:dyDescent="0.25">
      <c r="A1632">
        <v>2024</v>
      </c>
      <c r="B1632">
        <v>54862</v>
      </c>
      <c r="C1632" t="s">
        <v>1434</v>
      </c>
      <c r="D1632" t="s">
        <v>99</v>
      </c>
      <c r="E1632" t="s">
        <v>100</v>
      </c>
      <c r="F1632" t="s">
        <v>86</v>
      </c>
      <c r="G1632" t="s">
        <v>56</v>
      </c>
      <c r="H1632" t="s">
        <v>101</v>
      </c>
      <c r="I1632" t="s">
        <v>189</v>
      </c>
      <c r="J1632">
        <v>0</v>
      </c>
      <c r="K1632">
        <v>0</v>
      </c>
      <c r="L1632">
        <v>0</v>
      </c>
      <c r="M1632">
        <v>2173.6</v>
      </c>
      <c r="N1632">
        <v>27514</v>
      </c>
      <c r="O1632">
        <v>30</v>
      </c>
      <c r="P1632">
        <v>0</v>
      </c>
      <c r="Q1632">
        <v>0</v>
      </c>
      <c r="R1632">
        <v>0</v>
      </c>
      <c r="S1632">
        <v>0</v>
      </c>
      <c r="T1632">
        <v>0</v>
      </c>
      <c r="U1632">
        <v>0</v>
      </c>
      <c r="V1632">
        <v>2173.6</v>
      </c>
      <c r="W1632">
        <v>27514</v>
      </c>
      <c r="X1632">
        <v>30</v>
      </c>
      <c r="Y1632">
        <f t="shared" si="25"/>
        <v>27514</v>
      </c>
      <c r="Z1632" t="str">
        <f>IF(ISNUMBER(SEARCH("Adjustment",$C1632)),"excluded",IF($H1632="Behind the Meter","excluded",IF(NOT(OR($E1632="Bundled",$E1632="Energy")),"excluded",IF(OR($H1632="Retail Power Marketer",$H1632="Community Choice Aggregator",$E1632="Energy"),"procurement",IF(OR($H1632="Municipal",$H1632="Cooperative",$H1632="Federal",$H1632="State",$H1632="Political Subdivision"),"cost_service",IF($H1632="Investor Owned",IF(AND(COUNTIF(Parameters!$A$4:$A$33,$G1632)&gt;0,COUNTIF(Parameters!$B$4:$B$33,$B1632)=0),"procurement","cost_service"),"unclassified"))))))</f>
        <v>procurement</v>
      </c>
    </row>
    <row r="1633" spans="1:26" x14ac:dyDescent="0.25">
      <c r="A1633">
        <v>2024</v>
      </c>
      <c r="B1633">
        <v>54862</v>
      </c>
      <c r="C1633" t="s">
        <v>1434</v>
      </c>
      <c r="D1633" t="s">
        <v>150</v>
      </c>
      <c r="E1633" t="s">
        <v>85</v>
      </c>
      <c r="F1633" t="s">
        <v>86</v>
      </c>
      <c r="G1633" t="s">
        <v>57</v>
      </c>
      <c r="H1633" t="s">
        <v>101</v>
      </c>
      <c r="I1633" t="s">
        <v>151</v>
      </c>
      <c r="J1633">
        <v>257329.8</v>
      </c>
      <c r="K1633">
        <v>2579074</v>
      </c>
      <c r="L1633">
        <v>225587</v>
      </c>
      <c r="M1633">
        <v>17664.2</v>
      </c>
      <c r="N1633">
        <v>333586</v>
      </c>
      <c r="O1633">
        <v>4187</v>
      </c>
      <c r="P1633">
        <v>0</v>
      </c>
      <c r="Q1633">
        <v>0</v>
      </c>
      <c r="R1633">
        <v>0</v>
      </c>
      <c r="S1633">
        <v>0</v>
      </c>
      <c r="T1633">
        <v>0</v>
      </c>
      <c r="U1633">
        <v>0</v>
      </c>
      <c r="V1633">
        <v>274994</v>
      </c>
      <c r="W1633">
        <v>2912660</v>
      </c>
      <c r="X1633">
        <v>229774</v>
      </c>
      <c r="Y1633">
        <f t="shared" si="25"/>
        <v>2912660</v>
      </c>
      <c r="Z1633" t="str">
        <f>IF(ISNUMBER(SEARCH("Adjustment",$C1633)),"excluded",IF($H1633="Behind the Meter","excluded",IF(NOT(OR($E1633="Bundled",$E1633="Energy")),"excluded",IF(OR($H1633="Retail Power Marketer",$H1633="Community Choice Aggregator",$E1633="Energy"),"procurement",IF(OR($H1633="Municipal",$H1633="Cooperative",$H1633="Federal",$H1633="State",$H1633="Political Subdivision"),"cost_service",IF($H1633="Investor Owned",IF(AND(COUNTIF(Parameters!$A$4:$A$33,$G1633)&gt;0,COUNTIF(Parameters!$B$4:$B$33,$B1633)=0),"procurement","cost_service"),"unclassified"))))))</f>
        <v>procurement</v>
      </c>
    </row>
    <row r="1634" spans="1:26" x14ac:dyDescent="0.25">
      <c r="A1634">
        <v>2024</v>
      </c>
      <c r="B1634">
        <v>54872</v>
      </c>
      <c r="C1634" t="s">
        <v>1435</v>
      </c>
      <c r="D1634" t="s">
        <v>150</v>
      </c>
      <c r="E1634" t="s">
        <v>85</v>
      </c>
      <c r="F1634" t="s">
        <v>86</v>
      </c>
      <c r="G1634" t="s">
        <v>57</v>
      </c>
      <c r="H1634" t="s">
        <v>101</v>
      </c>
      <c r="I1634" t="s">
        <v>151</v>
      </c>
      <c r="J1634">
        <v>7471</v>
      </c>
      <c r="K1634">
        <v>42624</v>
      </c>
      <c r="L1634">
        <v>3135</v>
      </c>
      <c r="M1634">
        <v>2521</v>
      </c>
      <c r="N1634">
        <v>18300</v>
      </c>
      <c r="O1634">
        <v>501</v>
      </c>
      <c r="P1634" t="s">
        <v>97</v>
      </c>
      <c r="Q1634" t="s">
        <v>97</v>
      </c>
      <c r="R1634" t="s">
        <v>97</v>
      </c>
      <c r="S1634" t="s">
        <v>97</v>
      </c>
      <c r="T1634" t="s">
        <v>97</v>
      </c>
      <c r="U1634" t="s">
        <v>97</v>
      </c>
      <c r="V1634">
        <v>9992</v>
      </c>
      <c r="W1634">
        <v>60924</v>
      </c>
      <c r="X1634">
        <v>3636</v>
      </c>
      <c r="Y1634">
        <f t="shared" si="25"/>
        <v>60924</v>
      </c>
      <c r="Z1634" t="str">
        <f>IF(ISNUMBER(SEARCH("Adjustment",$C1634)),"excluded",IF($H1634="Behind the Meter","excluded",IF(NOT(OR($E1634="Bundled",$E1634="Energy")),"excluded",IF(OR($H1634="Retail Power Marketer",$H1634="Community Choice Aggregator",$E1634="Energy"),"procurement",IF(OR($H1634="Municipal",$H1634="Cooperative",$H1634="Federal",$H1634="State",$H1634="Political Subdivision"),"cost_service",IF($H1634="Investor Owned",IF(AND(COUNTIF(Parameters!$A$4:$A$33,$G1634)&gt;0,COUNTIF(Parameters!$B$4:$B$33,$B1634)=0),"procurement","cost_service"),"unclassified"))))))</f>
        <v>procurement</v>
      </c>
    </row>
    <row r="1635" spans="1:26" x14ac:dyDescent="0.25">
      <c r="A1635">
        <v>2024</v>
      </c>
      <c r="B1635">
        <v>54873</v>
      </c>
      <c r="C1635" t="s">
        <v>1436</v>
      </c>
      <c r="D1635" t="s">
        <v>99</v>
      </c>
      <c r="E1635" t="s">
        <v>100</v>
      </c>
      <c r="F1635" t="s">
        <v>86</v>
      </c>
      <c r="G1635" t="s">
        <v>50</v>
      </c>
      <c r="H1635" t="s">
        <v>101</v>
      </c>
      <c r="I1635" t="s">
        <v>189</v>
      </c>
      <c r="J1635">
        <v>0</v>
      </c>
      <c r="K1635">
        <v>0</v>
      </c>
      <c r="L1635">
        <v>0</v>
      </c>
      <c r="M1635">
        <v>0</v>
      </c>
      <c r="N1635">
        <v>0</v>
      </c>
      <c r="O1635">
        <v>0</v>
      </c>
      <c r="P1635">
        <v>711</v>
      </c>
      <c r="Q1635">
        <v>16723</v>
      </c>
      <c r="R1635">
        <v>4</v>
      </c>
      <c r="S1635">
        <v>0</v>
      </c>
      <c r="T1635">
        <v>0</v>
      </c>
      <c r="U1635">
        <v>0</v>
      </c>
      <c r="V1635">
        <v>711</v>
      </c>
      <c r="W1635">
        <v>16723</v>
      </c>
      <c r="X1635">
        <v>4</v>
      </c>
      <c r="Y1635">
        <f t="shared" si="25"/>
        <v>16723</v>
      </c>
      <c r="Z1635" t="str">
        <f>IF(ISNUMBER(SEARCH("Adjustment",$C1635)),"excluded",IF($H1635="Behind the Meter","excluded",IF(NOT(OR($E1635="Bundled",$E1635="Energy")),"excluded",IF(OR($H1635="Retail Power Marketer",$H1635="Community Choice Aggregator",$E1635="Energy"),"procurement",IF(OR($H1635="Municipal",$H1635="Cooperative",$H1635="Federal",$H1635="State",$H1635="Political Subdivision"),"cost_service",IF($H1635="Investor Owned",IF(AND(COUNTIF(Parameters!$A$4:$A$33,$G1635)&gt;0,COUNTIF(Parameters!$B$4:$B$33,$B1635)=0),"procurement","cost_service"),"unclassified"))))))</f>
        <v>procurement</v>
      </c>
    </row>
    <row r="1636" spans="1:26" x14ac:dyDescent="0.25">
      <c r="A1636">
        <v>2024</v>
      </c>
      <c r="B1636">
        <v>54873</v>
      </c>
      <c r="C1636" t="s">
        <v>1436</v>
      </c>
      <c r="D1636" t="s">
        <v>99</v>
      </c>
      <c r="E1636" t="s">
        <v>100</v>
      </c>
      <c r="F1636" t="s">
        <v>86</v>
      </c>
      <c r="G1636" t="s">
        <v>51</v>
      </c>
      <c r="H1636" t="s">
        <v>101</v>
      </c>
      <c r="I1636" t="s">
        <v>189</v>
      </c>
      <c r="J1636">
        <v>0</v>
      </c>
      <c r="K1636">
        <v>0</v>
      </c>
      <c r="L1636">
        <v>0</v>
      </c>
      <c r="M1636">
        <v>0</v>
      </c>
      <c r="N1636">
        <v>0</v>
      </c>
      <c r="O1636">
        <v>0</v>
      </c>
      <c r="P1636">
        <v>3040</v>
      </c>
      <c r="Q1636">
        <v>69344</v>
      </c>
      <c r="R1636">
        <v>6</v>
      </c>
      <c r="S1636">
        <v>0</v>
      </c>
      <c r="T1636">
        <v>0</v>
      </c>
      <c r="U1636">
        <v>0</v>
      </c>
      <c r="V1636">
        <v>3040</v>
      </c>
      <c r="W1636">
        <v>69344</v>
      </c>
      <c r="X1636">
        <v>6</v>
      </c>
      <c r="Y1636">
        <f t="shared" si="25"/>
        <v>69344</v>
      </c>
      <c r="Z1636" t="str">
        <f>IF(ISNUMBER(SEARCH("Adjustment",$C1636)),"excluded",IF($H1636="Behind the Meter","excluded",IF(NOT(OR($E1636="Bundled",$E1636="Energy")),"excluded",IF(OR($H1636="Retail Power Marketer",$H1636="Community Choice Aggregator",$E1636="Energy"),"procurement",IF(OR($H1636="Municipal",$H1636="Cooperative",$H1636="Federal",$H1636="State",$H1636="Political Subdivision"),"cost_service",IF($H1636="Investor Owned",IF(AND(COUNTIF(Parameters!$A$4:$A$33,$G1636)&gt;0,COUNTIF(Parameters!$B$4:$B$33,$B1636)=0),"procurement","cost_service"),"unclassified"))))))</f>
        <v>procurement</v>
      </c>
    </row>
    <row r="1637" spans="1:26" x14ac:dyDescent="0.25">
      <c r="A1637">
        <v>2024</v>
      </c>
      <c r="B1637">
        <v>54893</v>
      </c>
      <c r="C1637" t="s">
        <v>1437</v>
      </c>
      <c r="D1637" t="s">
        <v>99</v>
      </c>
      <c r="E1637" t="s">
        <v>100</v>
      </c>
      <c r="F1637" t="s">
        <v>86</v>
      </c>
      <c r="G1637" t="s">
        <v>53</v>
      </c>
      <c r="H1637" t="s">
        <v>101</v>
      </c>
      <c r="I1637" t="s">
        <v>102</v>
      </c>
      <c r="J1637">
        <v>6097.9</v>
      </c>
      <c r="K1637">
        <v>86569</v>
      </c>
      <c r="L1637">
        <v>6619</v>
      </c>
      <c r="M1637">
        <v>40958</v>
      </c>
      <c r="N1637">
        <v>547290</v>
      </c>
      <c r="O1637">
        <v>6344</v>
      </c>
      <c r="P1637">
        <v>0</v>
      </c>
      <c r="Q1637">
        <v>0</v>
      </c>
      <c r="R1637">
        <v>0</v>
      </c>
      <c r="S1637">
        <v>0</v>
      </c>
      <c r="T1637">
        <v>0</v>
      </c>
      <c r="U1637">
        <v>0</v>
      </c>
      <c r="V1637">
        <v>47055.9</v>
      </c>
      <c r="W1637">
        <v>633859</v>
      </c>
      <c r="X1637">
        <v>12963</v>
      </c>
      <c r="Y1637">
        <f t="shared" si="25"/>
        <v>633859</v>
      </c>
      <c r="Z1637" t="str">
        <f>IF(ISNUMBER(SEARCH("Adjustment",$C1637)),"excluded",IF($H1637="Behind the Meter","excluded",IF(NOT(OR($E1637="Bundled",$E1637="Energy")),"excluded",IF(OR($H1637="Retail Power Marketer",$H1637="Community Choice Aggregator",$E1637="Energy"),"procurement",IF(OR($H1637="Municipal",$H1637="Cooperative",$H1637="Federal",$H1637="State",$H1637="Political Subdivision"),"cost_service",IF($H1637="Investor Owned",IF(AND(COUNTIF(Parameters!$A$4:$A$33,$G1637)&gt;0,COUNTIF(Parameters!$B$4:$B$33,$B1637)=0),"procurement","cost_service"),"unclassified"))))))</f>
        <v>procurement</v>
      </c>
    </row>
    <row r="1638" spans="1:26" x14ac:dyDescent="0.25">
      <c r="A1638">
        <v>2024</v>
      </c>
      <c r="B1638">
        <v>54913</v>
      </c>
      <c r="C1638" t="s">
        <v>1438</v>
      </c>
      <c r="D1638" t="s">
        <v>84</v>
      </c>
      <c r="E1638" t="s">
        <v>85</v>
      </c>
      <c r="F1638" t="s">
        <v>86</v>
      </c>
      <c r="G1638" t="s">
        <v>48</v>
      </c>
      <c r="H1638" t="s">
        <v>109</v>
      </c>
      <c r="I1638" t="s">
        <v>189</v>
      </c>
      <c r="J1638">
        <v>630364</v>
      </c>
      <c r="K1638">
        <v>2107270</v>
      </c>
      <c r="L1638">
        <v>383373</v>
      </c>
      <c r="M1638">
        <v>221516</v>
      </c>
      <c r="N1638">
        <v>820406</v>
      </c>
      <c r="O1638">
        <v>45206</v>
      </c>
      <c r="P1638">
        <v>15711</v>
      </c>
      <c r="Q1638">
        <v>61989</v>
      </c>
      <c r="R1638">
        <v>540</v>
      </c>
      <c r="S1638">
        <v>0</v>
      </c>
      <c r="T1638">
        <v>0</v>
      </c>
      <c r="U1638">
        <v>0</v>
      </c>
      <c r="V1638">
        <v>867591</v>
      </c>
      <c r="W1638">
        <v>2989665</v>
      </c>
      <c r="X1638">
        <v>429119</v>
      </c>
      <c r="Y1638">
        <f t="shared" si="25"/>
        <v>2989665</v>
      </c>
      <c r="Z1638" t="str">
        <f>IF(ISNUMBER(SEARCH("Adjustment",$C1638)),"excluded",IF($H1638="Behind the Meter","excluded",IF(NOT(OR($E1638="Bundled",$E1638="Energy")),"excluded",IF(OR($H1638="Retail Power Marketer",$H1638="Community Choice Aggregator",$E1638="Energy"),"procurement",IF(OR($H1638="Municipal",$H1638="Cooperative",$H1638="Federal",$H1638="State",$H1638="Political Subdivision"),"cost_service",IF($H1638="Investor Owned",IF(AND(COUNTIF(Parameters!$A$4:$A$33,$G1638)&gt;0,COUNTIF(Parameters!$B$4:$B$33,$B1638)=0),"procurement","cost_service"),"unclassified"))))))</f>
        <v>procurement</v>
      </c>
    </row>
    <row r="1639" spans="1:26" x14ac:dyDescent="0.25">
      <c r="A1639">
        <v>2024</v>
      </c>
      <c r="B1639">
        <v>54913</v>
      </c>
      <c r="C1639" t="s">
        <v>1438</v>
      </c>
      <c r="D1639" t="s">
        <v>167</v>
      </c>
      <c r="E1639" t="s">
        <v>168</v>
      </c>
      <c r="F1639" t="s">
        <v>86</v>
      </c>
      <c r="G1639" t="s">
        <v>48</v>
      </c>
      <c r="H1639" t="s">
        <v>109</v>
      </c>
      <c r="I1639" t="s">
        <v>189</v>
      </c>
      <c r="J1639">
        <v>938245</v>
      </c>
      <c r="K1639">
        <v>5766515</v>
      </c>
      <c r="L1639">
        <v>919703</v>
      </c>
      <c r="M1639">
        <v>961244</v>
      </c>
      <c r="N1639">
        <v>11267460</v>
      </c>
      <c r="O1639">
        <v>176142</v>
      </c>
      <c r="P1639">
        <v>85703</v>
      </c>
      <c r="Q1639">
        <v>1039520</v>
      </c>
      <c r="R1639">
        <v>1593</v>
      </c>
      <c r="S1639">
        <v>3662</v>
      </c>
      <c r="T1639">
        <v>290560</v>
      </c>
      <c r="U1639">
        <v>1</v>
      </c>
      <c r="V1639">
        <v>1988854</v>
      </c>
      <c r="W1639">
        <v>18364055</v>
      </c>
      <c r="X1639">
        <v>1097439</v>
      </c>
      <c r="Y1639">
        <f t="shared" si="25"/>
        <v>18364055</v>
      </c>
      <c r="Z1639" t="str">
        <f>IF(ISNUMBER(SEARCH("Adjustment",$C1639)),"excluded",IF($H1639="Behind the Meter","excluded",IF(NOT(OR($E1639="Bundled",$E1639="Energy")),"excluded",IF(OR($H1639="Retail Power Marketer",$H1639="Community Choice Aggregator",$E1639="Energy"),"procurement",IF(OR($H1639="Municipal",$H1639="Cooperative",$H1639="Federal",$H1639="State",$H1639="Political Subdivision"),"cost_service",IF($H1639="Investor Owned",IF(AND(COUNTIF(Parameters!$A$4:$A$33,$G1639)&gt;0,COUNTIF(Parameters!$B$4:$B$33,$B1639)=0),"procurement","cost_service"),"unclassified"))))))</f>
        <v>excluded</v>
      </c>
    </row>
    <row r="1640" spans="1:26" x14ac:dyDescent="0.25">
      <c r="A1640">
        <v>2024</v>
      </c>
      <c r="B1640">
        <v>55722</v>
      </c>
      <c r="C1640" t="s">
        <v>1439</v>
      </c>
      <c r="D1640" t="s">
        <v>99</v>
      </c>
      <c r="E1640" t="s">
        <v>100</v>
      </c>
      <c r="F1640" t="s">
        <v>86</v>
      </c>
      <c r="G1640" t="s">
        <v>42</v>
      </c>
      <c r="H1640" t="s">
        <v>101</v>
      </c>
      <c r="I1640" t="s">
        <v>92</v>
      </c>
      <c r="J1640">
        <v>0</v>
      </c>
      <c r="K1640">
        <v>0</v>
      </c>
      <c r="L1640">
        <v>0</v>
      </c>
      <c r="M1640">
        <v>6019.1</v>
      </c>
      <c r="N1640">
        <v>73005</v>
      </c>
      <c r="O1640">
        <v>132</v>
      </c>
      <c r="P1640">
        <v>0</v>
      </c>
      <c r="Q1640">
        <v>0</v>
      </c>
      <c r="R1640">
        <v>0</v>
      </c>
      <c r="S1640">
        <v>0</v>
      </c>
      <c r="T1640">
        <v>0</v>
      </c>
      <c r="U1640">
        <v>0</v>
      </c>
      <c r="V1640">
        <v>6019.1</v>
      </c>
      <c r="W1640">
        <v>73005</v>
      </c>
      <c r="X1640">
        <v>132</v>
      </c>
      <c r="Y1640">
        <f t="shared" si="25"/>
        <v>73005</v>
      </c>
      <c r="Z1640" t="str">
        <f>IF(ISNUMBER(SEARCH("Adjustment",$C1640)),"excluded",IF($H1640="Behind the Meter","excluded",IF(NOT(OR($E1640="Bundled",$E1640="Energy")),"excluded",IF(OR($H1640="Retail Power Marketer",$H1640="Community Choice Aggregator",$E1640="Energy"),"procurement",IF(OR($H1640="Municipal",$H1640="Cooperative",$H1640="Federal",$H1640="State",$H1640="Political Subdivision"),"cost_service",IF($H1640="Investor Owned",IF(AND(COUNTIF(Parameters!$A$4:$A$33,$G1640)&gt;0,COUNTIF(Parameters!$B$4:$B$33,$B1640)=0),"procurement","cost_service"),"unclassified"))))))</f>
        <v>procurement</v>
      </c>
    </row>
    <row r="1641" spans="1:26" x14ac:dyDescent="0.25">
      <c r="A1641">
        <v>2024</v>
      </c>
      <c r="B1641">
        <v>55722</v>
      </c>
      <c r="C1641" t="s">
        <v>1439</v>
      </c>
      <c r="D1641" t="s">
        <v>99</v>
      </c>
      <c r="E1641" t="s">
        <v>100</v>
      </c>
      <c r="F1641" t="s">
        <v>86</v>
      </c>
      <c r="G1641" t="s">
        <v>44</v>
      </c>
      <c r="H1641" t="s">
        <v>101</v>
      </c>
      <c r="I1641" t="s">
        <v>92</v>
      </c>
      <c r="J1641">
        <v>0</v>
      </c>
      <c r="K1641">
        <v>0</v>
      </c>
      <c r="L1641">
        <v>0</v>
      </c>
      <c r="M1641">
        <v>3063.7</v>
      </c>
      <c r="N1641">
        <v>40055</v>
      </c>
      <c r="O1641">
        <v>263</v>
      </c>
      <c r="P1641">
        <v>0</v>
      </c>
      <c r="Q1641">
        <v>0</v>
      </c>
      <c r="R1641">
        <v>0</v>
      </c>
      <c r="S1641">
        <v>0</v>
      </c>
      <c r="T1641">
        <v>0</v>
      </c>
      <c r="U1641">
        <v>0</v>
      </c>
      <c r="V1641">
        <v>3063.7</v>
      </c>
      <c r="W1641">
        <v>40055</v>
      </c>
      <c r="X1641">
        <v>263</v>
      </c>
      <c r="Y1641">
        <f t="shared" si="25"/>
        <v>40055</v>
      </c>
      <c r="Z1641" t="str">
        <f>IF(ISNUMBER(SEARCH("Adjustment",$C1641)),"excluded",IF($H1641="Behind the Meter","excluded",IF(NOT(OR($E1641="Bundled",$E1641="Energy")),"excluded",IF(OR($H1641="Retail Power Marketer",$H1641="Community Choice Aggregator",$E1641="Energy"),"procurement",IF(OR($H1641="Municipal",$H1641="Cooperative",$H1641="Federal",$H1641="State",$H1641="Political Subdivision"),"cost_service",IF($H1641="Investor Owned",IF(AND(COUNTIF(Parameters!$A$4:$A$33,$G1641)&gt;0,COUNTIF(Parameters!$B$4:$B$33,$B1641)=0),"procurement","cost_service"),"unclassified"))))))</f>
        <v>procurement</v>
      </c>
    </row>
    <row r="1642" spans="1:26" x14ac:dyDescent="0.25">
      <c r="A1642">
        <v>2024</v>
      </c>
      <c r="B1642">
        <v>55722</v>
      </c>
      <c r="C1642" t="s">
        <v>1439</v>
      </c>
      <c r="D1642" t="s">
        <v>99</v>
      </c>
      <c r="E1642" t="s">
        <v>100</v>
      </c>
      <c r="F1642" t="s">
        <v>86</v>
      </c>
      <c r="G1642" t="s">
        <v>46</v>
      </c>
      <c r="H1642" t="s">
        <v>101</v>
      </c>
      <c r="I1642" t="s">
        <v>92</v>
      </c>
      <c r="J1642">
        <v>3519.3</v>
      </c>
      <c r="K1642">
        <v>51097</v>
      </c>
      <c r="L1642">
        <v>5632</v>
      </c>
      <c r="M1642">
        <v>321450.5</v>
      </c>
      <c r="N1642">
        <v>3349355</v>
      </c>
      <c r="O1642">
        <v>16684</v>
      </c>
      <c r="P1642">
        <v>0</v>
      </c>
      <c r="Q1642">
        <v>0</v>
      </c>
      <c r="R1642">
        <v>0</v>
      </c>
      <c r="S1642">
        <v>0</v>
      </c>
      <c r="T1642">
        <v>0</v>
      </c>
      <c r="U1642">
        <v>0</v>
      </c>
      <c r="V1642">
        <v>324969.8</v>
      </c>
      <c r="W1642">
        <v>3400452</v>
      </c>
      <c r="X1642">
        <v>22316</v>
      </c>
      <c r="Y1642">
        <f t="shared" si="25"/>
        <v>3400452</v>
      </c>
      <c r="Z1642" t="str">
        <f>IF(ISNUMBER(SEARCH("Adjustment",$C1642)),"excluded",IF($H1642="Behind the Meter","excluded",IF(NOT(OR($E1642="Bundled",$E1642="Energy")),"excluded",IF(OR($H1642="Retail Power Marketer",$H1642="Community Choice Aggregator",$E1642="Energy"),"procurement",IF(OR($H1642="Municipal",$H1642="Cooperative",$H1642="Federal",$H1642="State",$H1642="Political Subdivision"),"cost_service",IF($H1642="Investor Owned",IF(AND(COUNTIF(Parameters!$A$4:$A$33,$G1642)&gt;0,COUNTIF(Parameters!$B$4:$B$33,$B1642)=0),"procurement","cost_service"),"unclassified"))))))</f>
        <v>procurement</v>
      </c>
    </row>
    <row r="1643" spans="1:26" x14ac:dyDescent="0.25">
      <c r="A1643">
        <v>2024</v>
      </c>
      <c r="B1643">
        <v>55722</v>
      </c>
      <c r="C1643" t="s">
        <v>1439</v>
      </c>
      <c r="D1643" t="s">
        <v>99</v>
      </c>
      <c r="E1643" t="s">
        <v>100</v>
      </c>
      <c r="F1643" t="s">
        <v>86</v>
      </c>
      <c r="G1643" t="s">
        <v>49</v>
      </c>
      <c r="H1643" t="s">
        <v>101</v>
      </c>
      <c r="I1643" t="s">
        <v>92</v>
      </c>
      <c r="J1643">
        <v>4236.2</v>
      </c>
      <c r="K1643">
        <v>41168</v>
      </c>
      <c r="L1643">
        <v>2781</v>
      </c>
      <c r="M1643">
        <v>64188.2</v>
      </c>
      <c r="N1643">
        <v>823452</v>
      </c>
      <c r="O1643">
        <v>1471</v>
      </c>
      <c r="P1643">
        <v>0</v>
      </c>
      <c r="Q1643">
        <v>0</v>
      </c>
      <c r="R1643">
        <v>0</v>
      </c>
      <c r="S1643">
        <v>0</v>
      </c>
      <c r="T1643">
        <v>0</v>
      </c>
      <c r="U1643">
        <v>0</v>
      </c>
      <c r="V1643">
        <v>68424.399999999994</v>
      </c>
      <c r="W1643">
        <v>864620</v>
      </c>
      <c r="X1643">
        <v>4252</v>
      </c>
      <c r="Y1643">
        <f t="shared" si="25"/>
        <v>864620</v>
      </c>
      <c r="Z1643" t="str">
        <f>IF(ISNUMBER(SEARCH("Adjustment",$C1643)),"excluded",IF($H1643="Behind the Meter","excluded",IF(NOT(OR($E1643="Bundled",$E1643="Energy")),"excluded",IF(OR($H1643="Retail Power Marketer",$H1643="Community Choice Aggregator",$E1643="Energy"),"procurement",IF(OR($H1643="Municipal",$H1643="Cooperative",$H1643="Federal",$H1643="State",$H1643="Political Subdivision"),"cost_service",IF($H1643="Investor Owned",IF(AND(COUNTIF(Parameters!$A$4:$A$33,$G1643)&gt;0,COUNTIF(Parameters!$B$4:$B$33,$B1643)=0),"procurement","cost_service"),"unclassified"))))))</f>
        <v>procurement</v>
      </c>
    </row>
    <row r="1644" spans="1:26" x14ac:dyDescent="0.25">
      <c r="A1644">
        <v>2024</v>
      </c>
      <c r="B1644">
        <v>55722</v>
      </c>
      <c r="C1644" t="s">
        <v>1439</v>
      </c>
      <c r="D1644" t="s">
        <v>99</v>
      </c>
      <c r="E1644" t="s">
        <v>100</v>
      </c>
      <c r="F1644" t="s">
        <v>86</v>
      </c>
      <c r="G1644" t="s">
        <v>52</v>
      </c>
      <c r="H1644" t="s">
        <v>101</v>
      </c>
      <c r="I1644" t="s">
        <v>92</v>
      </c>
      <c r="J1644">
        <v>42.2</v>
      </c>
      <c r="K1644">
        <v>339</v>
      </c>
      <c r="L1644">
        <v>18</v>
      </c>
      <c r="M1644">
        <v>59415.8</v>
      </c>
      <c r="N1644">
        <v>632768</v>
      </c>
      <c r="O1644">
        <v>2077</v>
      </c>
      <c r="P1644">
        <v>0</v>
      </c>
      <c r="Q1644">
        <v>0</v>
      </c>
      <c r="R1644">
        <v>0</v>
      </c>
      <c r="S1644">
        <v>0</v>
      </c>
      <c r="T1644">
        <v>0</v>
      </c>
      <c r="U1644">
        <v>0</v>
      </c>
      <c r="V1644">
        <v>59458</v>
      </c>
      <c r="W1644">
        <v>633107</v>
      </c>
      <c r="X1644">
        <v>2095</v>
      </c>
      <c r="Y1644">
        <f t="shared" si="25"/>
        <v>633107</v>
      </c>
      <c r="Z1644" t="str">
        <f>IF(ISNUMBER(SEARCH("Adjustment",$C1644)),"excluded",IF($H1644="Behind the Meter","excluded",IF(NOT(OR($E1644="Bundled",$E1644="Energy")),"excluded",IF(OR($H1644="Retail Power Marketer",$H1644="Community Choice Aggregator",$E1644="Energy"),"procurement",IF(OR($H1644="Municipal",$H1644="Cooperative",$H1644="Federal",$H1644="State",$H1644="Political Subdivision"),"cost_service",IF($H1644="Investor Owned",IF(AND(COUNTIF(Parameters!$A$4:$A$33,$G1644)&gt;0,COUNTIF(Parameters!$B$4:$B$33,$B1644)=0),"procurement","cost_service"),"unclassified"))))))</f>
        <v>procurement</v>
      </c>
    </row>
    <row r="1645" spans="1:26" x14ac:dyDescent="0.25">
      <c r="A1645">
        <v>2024</v>
      </c>
      <c r="B1645">
        <v>55722</v>
      </c>
      <c r="C1645" t="s">
        <v>1439</v>
      </c>
      <c r="D1645" t="s">
        <v>99</v>
      </c>
      <c r="E1645" t="s">
        <v>100</v>
      </c>
      <c r="F1645" t="s">
        <v>86</v>
      </c>
      <c r="G1645" t="s">
        <v>54</v>
      </c>
      <c r="H1645" t="s">
        <v>101</v>
      </c>
      <c r="I1645" t="s">
        <v>92</v>
      </c>
      <c r="J1645">
        <v>313524.3</v>
      </c>
      <c r="K1645">
        <v>4135467</v>
      </c>
      <c r="L1645">
        <v>446968</v>
      </c>
      <c r="M1645">
        <v>592540.9</v>
      </c>
      <c r="N1645">
        <v>12386872</v>
      </c>
      <c r="O1645">
        <v>60795</v>
      </c>
      <c r="P1645">
        <v>0</v>
      </c>
      <c r="Q1645">
        <v>0</v>
      </c>
      <c r="R1645">
        <v>0</v>
      </c>
      <c r="S1645">
        <v>0</v>
      </c>
      <c r="T1645">
        <v>0</v>
      </c>
      <c r="U1645">
        <v>0</v>
      </c>
      <c r="V1645">
        <v>906065.2</v>
      </c>
      <c r="W1645">
        <v>16522339</v>
      </c>
      <c r="X1645">
        <v>507763</v>
      </c>
      <c r="Y1645">
        <f t="shared" si="25"/>
        <v>16522339</v>
      </c>
      <c r="Z1645" t="str">
        <f>IF(ISNUMBER(SEARCH("Adjustment",$C1645)),"excluded",IF($H1645="Behind the Meter","excluded",IF(NOT(OR($E1645="Bundled",$E1645="Energy")),"excluded",IF(OR($H1645="Retail Power Marketer",$H1645="Community Choice Aggregator",$E1645="Energy"),"procurement",IF(OR($H1645="Municipal",$H1645="Cooperative",$H1645="Federal",$H1645="State",$H1645="Political Subdivision"),"cost_service",IF($H1645="Investor Owned",IF(AND(COUNTIF(Parameters!$A$4:$A$33,$G1645)&gt;0,COUNTIF(Parameters!$B$4:$B$33,$B1645)=0),"procurement","cost_service"),"unclassified"))))))</f>
        <v>procurement</v>
      </c>
    </row>
    <row r="1646" spans="1:26" x14ac:dyDescent="0.25">
      <c r="A1646">
        <v>2024</v>
      </c>
      <c r="B1646">
        <v>55722</v>
      </c>
      <c r="C1646" t="s">
        <v>1439</v>
      </c>
      <c r="D1646" t="s">
        <v>99</v>
      </c>
      <c r="E1646" t="s">
        <v>100</v>
      </c>
      <c r="F1646" t="s">
        <v>86</v>
      </c>
      <c r="G1646" t="s">
        <v>55</v>
      </c>
      <c r="H1646" t="s">
        <v>101</v>
      </c>
      <c r="I1646" t="s">
        <v>92</v>
      </c>
      <c r="J1646">
        <v>104263.6</v>
      </c>
      <c r="K1646">
        <v>1122832</v>
      </c>
      <c r="L1646">
        <v>89725</v>
      </c>
      <c r="M1646">
        <v>167973.3</v>
      </c>
      <c r="N1646">
        <v>2661455</v>
      </c>
      <c r="O1646">
        <v>8263</v>
      </c>
      <c r="P1646">
        <v>0</v>
      </c>
      <c r="Q1646">
        <v>0</v>
      </c>
      <c r="R1646">
        <v>0</v>
      </c>
      <c r="S1646">
        <v>0</v>
      </c>
      <c r="T1646">
        <v>0</v>
      </c>
      <c r="U1646">
        <v>0</v>
      </c>
      <c r="V1646">
        <v>272236.90000000002</v>
      </c>
      <c r="W1646">
        <v>3784287</v>
      </c>
      <c r="X1646">
        <v>97988</v>
      </c>
      <c r="Y1646">
        <f t="shared" si="25"/>
        <v>3784287</v>
      </c>
      <c r="Z1646" t="str">
        <f>IF(ISNUMBER(SEARCH("Adjustment",$C1646)),"excluded",IF($H1646="Behind the Meter","excluded",IF(NOT(OR($E1646="Bundled",$E1646="Energy")),"excluded",IF(OR($H1646="Retail Power Marketer",$H1646="Community Choice Aggregator",$E1646="Energy"),"procurement",IF(OR($H1646="Municipal",$H1646="Cooperative",$H1646="Federal",$H1646="State",$H1646="Political Subdivision"),"cost_service",IF($H1646="Investor Owned",IF(AND(COUNTIF(Parameters!$A$4:$A$33,$G1646)&gt;0,COUNTIF(Parameters!$B$4:$B$33,$B1646)=0),"procurement","cost_service"),"unclassified"))))))</f>
        <v>procurement</v>
      </c>
    </row>
    <row r="1647" spans="1:26" x14ac:dyDescent="0.25">
      <c r="A1647">
        <v>2024</v>
      </c>
      <c r="B1647">
        <v>55787</v>
      </c>
      <c r="C1647" t="s">
        <v>1440</v>
      </c>
      <c r="D1647" t="s">
        <v>84</v>
      </c>
      <c r="E1647" t="s">
        <v>85</v>
      </c>
      <c r="F1647" t="s">
        <v>86</v>
      </c>
      <c r="G1647" t="s">
        <v>115</v>
      </c>
      <c r="H1647" t="s">
        <v>88</v>
      </c>
      <c r="I1647" t="s">
        <v>116</v>
      </c>
      <c r="J1647">
        <v>18450</v>
      </c>
      <c r="K1647">
        <v>46278</v>
      </c>
      <c r="L1647">
        <v>7936</v>
      </c>
      <c r="M1647">
        <v>41508</v>
      </c>
      <c r="N1647">
        <v>164012</v>
      </c>
      <c r="O1647">
        <v>998</v>
      </c>
      <c r="P1647">
        <v>3621</v>
      </c>
      <c r="Q1647">
        <v>15208</v>
      </c>
      <c r="R1647">
        <v>10</v>
      </c>
      <c r="S1647">
        <v>0</v>
      </c>
      <c r="T1647" t="s">
        <v>97</v>
      </c>
      <c r="U1647" t="s">
        <v>97</v>
      </c>
      <c r="V1647">
        <v>63579</v>
      </c>
      <c r="W1647">
        <v>225498</v>
      </c>
      <c r="X1647">
        <v>8944</v>
      </c>
      <c r="Y1647">
        <f t="shared" si="25"/>
        <v>225498</v>
      </c>
      <c r="Z1647" t="str">
        <f>IF(ISNUMBER(SEARCH("Adjustment",$C1647)),"excluded",IF($H1647="Behind the Meter","excluded",IF(NOT(OR($E1647="Bundled",$E1647="Energy")),"excluded",IF(OR($H1647="Retail Power Marketer",$H1647="Community Choice Aggregator",$E1647="Energy"),"procurement",IF(OR($H1647="Municipal",$H1647="Cooperative",$H1647="Federal",$H1647="State",$H1647="Political Subdivision"),"cost_service",IF($H1647="Investor Owned",IF(AND(COUNTIF(Parameters!$A$4:$A$33,$G1647)&gt;0,COUNTIF(Parameters!$B$4:$B$33,$B1647)=0),"procurement","cost_service"),"unclassified"))))))</f>
        <v>cost_service</v>
      </c>
    </row>
    <row r="1648" spans="1:26" x14ac:dyDescent="0.25">
      <c r="A1648">
        <v>2024</v>
      </c>
      <c r="B1648">
        <v>55815</v>
      </c>
      <c r="C1648" t="s">
        <v>1441</v>
      </c>
      <c r="D1648" t="s">
        <v>99</v>
      </c>
      <c r="E1648" t="s">
        <v>100</v>
      </c>
      <c r="F1648" t="s">
        <v>86</v>
      </c>
      <c r="G1648" t="s">
        <v>42</v>
      </c>
      <c r="H1648" t="s">
        <v>101</v>
      </c>
      <c r="I1648" t="s">
        <v>92</v>
      </c>
      <c r="J1648">
        <v>911.5</v>
      </c>
      <c r="K1648">
        <v>5644</v>
      </c>
      <c r="L1648">
        <v>749</v>
      </c>
      <c r="M1648">
        <v>387.3</v>
      </c>
      <c r="N1648">
        <v>2876</v>
      </c>
      <c r="O1648">
        <v>52</v>
      </c>
      <c r="P1648">
        <v>0</v>
      </c>
      <c r="Q1648">
        <v>0</v>
      </c>
      <c r="R1648">
        <v>0</v>
      </c>
      <c r="S1648">
        <v>0</v>
      </c>
      <c r="T1648">
        <v>0</v>
      </c>
      <c r="U1648">
        <v>0</v>
      </c>
      <c r="V1648">
        <v>1298.8</v>
      </c>
      <c r="W1648">
        <v>8520</v>
      </c>
      <c r="X1648">
        <v>801</v>
      </c>
      <c r="Y1648">
        <f t="shared" si="25"/>
        <v>8520</v>
      </c>
      <c r="Z1648" t="str">
        <f>IF(ISNUMBER(SEARCH("Adjustment",$C1648)),"excluded",IF($H1648="Behind the Meter","excluded",IF(NOT(OR($E1648="Bundled",$E1648="Energy")),"excluded",IF(OR($H1648="Retail Power Marketer",$H1648="Community Choice Aggregator",$E1648="Energy"),"procurement",IF(OR($H1648="Municipal",$H1648="Cooperative",$H1648="Federal",$H1648="State",$H1648="Political Subdivision"),"cost_service",IF($H1648="Investor Owned",IF(AND(COUNTIF(Parameters!$A$4:$A$33,$G1648)&gt;0,COUNTIF(Parameters!$B$4:$B$33,$B1648)=0),"procurement","cost_service"),"unclassified"))))))</f>
        <v>procurement</v>
      </c>
    </row>
    <row r="1649" spans="1:26" x14ac:dyDescent="0.25">
      <c r="A1649">
        <v>2024</v>
      </c>
      <c r="B1649">
        <v>55815</v>
      </c>
      <c r="C1649" t="s">
        <v>1441</v>
      </c>
      <c r="D1649" t="s">
        <v>99</v>
      </c>
      <c r="E1649" t="s">
        <v>100</v>
      </c>
      <c r="F1649" t="s">
        <v>86</v>
      </c>
      <c r="G1649" t="s">
        <v>46</v>
      </c>
      <c r="H1649" t="s">
        <v>101</v>
      </c>
      <c r="I1649" t="s">
        <v>92</v>
      </c>
      <c r="J1649">
        <v>10190.9</v>
      </c>
      <c r="K1649">
        <v>82468</v>
      </c>
      <c r="L1649">
        <v>13193</v>
      </c>
      <c r="M1649">
        <v>805.4</v>
      </c>
      <c r="N1649">
        <v>6630</v>
      </c>
      <c r="O1649">
        <v>239</v>
      </c>
      <c r="P1649">
        <v>0</v>
      </c>
      <c r="Q1649">
        <v>0</v>
      </c>
      <c r="R1649">
        <v>0</v>
      </c>
      <c r="S1649">
        <v>0</v>
      </c>
      <c r="T1649">
        <v>0</v>
      </c>
      <c r="U1649">
        <v>0</v>
      </c>
      <c r="V1649">
        <v>10996.3</v>
      </c>
      <c r="W1649">
        <v>89098</v>
      </c>
      <c r="X1649">
        <v>13432</v>
      </c>
      <c r="Y1649">
        <f t="shared" si="25"/>
        <v>89098</v>
      </c>
      <c r="Z1649" t="str">
        <f>IF(ISNUMBER(SEARCH("Adjustment",$C1649)),"excluded",IF($H1649="Behind the Meter","excluded",IF(NOT(OR($E1649="Bundled",$E1649="Energy")),"excluded",IF(OR($H1649="Retail Power Marketer",$H1649="Community Choice Aggregator",$E1649="Energy"),"procurement",IF(OR($H1649="Municipal",$H1649="Cooperative",$H1649="Federal",$H1649="State",$H1649="Political Subdivision"),"cost_service",IF($H1649="Investor Owned",IF(AND(COUNTIF(Parameters!$A$4:$A$33,$G1649)&gt;0,COUNTIF(Parameters!$B$4:$B$33,$B1649)=0),"procurement","cost_service"),"unclassified"))))))</f>
        <v>procurement</v>
      </c>
    </row>
    <row r="1650" spans="1:26" x14ac:dyDescent="0.25">
      <c r="A1650">
        <v>2024</v>
      </c>
      <c r="B1650">
        <v>55815</v>
      </c>
      <c r="C1650" t="s">
        <v>1441</v>
      </c>
      <c r="D1650" t="s">
        <v>99</v>
      </c>
      <c r="E1650" t="s">
        <v>100</v>
      </c>
      <c r="F1650" t="s">
        <v>86</v>
      </c>
      <c r="G1650" t="s">
        <v>49</v>
      </c>
      <c r="H1650" t="s">
        <v>101</v>
      </c>
      <c r="I1650" t="s">
        <v>92</v>
      </c>
      <c r="J1650">
        <v>10044.799999999999</v>
      </c>
      <c r="K1650">
        <v>57771</v>
      </c>
      <c r="L1650">
        <v>8215</v>
      </c>
      <c r="M1650">
        <v>629.79999999999995</v>
      </c>
      <c r="N1650">
        <v>4596</v>
      </c>
      <c r="O1650">
        <v>126</v>
      </c>
      <c r="P1650">
        <v>0</v>
      </c>
      <c r="Q1650">
        <v>0</v>
      </c>
      <c r="R1650">
        <v>0</v>
      </c>
      <c r="S1650">
        <v>0</v>
      </c>
      <c r="T1650">
        <v>0</v>
      </c>
      <c r="U1650">
        <v>0</v>
      </c>
      <c r="V1650">
        <v>10674.6</v>
      </c>
      <c r="W1650">
        <v>62367</v>
      </c>
      <c r="X1650">
        <v>8341</v>
      </c>
      <c r="Y1650">
        <f t="shared" si="25"/>
        <v>62367</v>
      </c>
      <c r="Z1650" t="str">
        <f>IF(ISNUMBER(SEARCH("Adjustment",$C1650)),"excluded",IF($H1650="Behind the Meter","excluded",IF(NOT(OR($E1650="Bundled",$E1650="Energy")),"excluded",IF(OR($H1650="Retail Power Marketer",$H1650="Community Choice Aggregator",$E1650="Energy"),"procurement",IF(OR($H1650="Municipal",$H1650="Cooperative",$H1650="Federal",$H1650="State",$H1650="Political Subdivision"),"cost_service",IF($H1650="Investor Owned",IF(AND(COUNTIF(Parameters!$A$4:$A$33,$G1650)&gt;0,COUNTIF(Parameters!$B$4:$B$33,$B1650)=0),"procurement","cost_service"),"unclassified"))))))</f>
        <v>procurement</v>
      </c>
    </row>
    <row r="1651" spans="1:26" x14ac:dyDescent="0.25">
      <c r="A1651">
        <v>2024</v>
      </c>
      <c r="B1651">
        <v>55815</v>
      </c>
      <c r="C1651" t="s">
        <v>1441</v>
      </c>
      <c r="D1651" t="s">
        <v>99</v>
      </c>
      <c r="E1651" t="s">
        <v>100</v>
      </c>
      <c r="F1651" t="s">
        <v>86</v>
      </c>
      <c r="G1651" t="s">
        <v>52</v>
      </c>
      <c r="H1651" t="s">
        <v>101</v>
      </c>
      <c r="I1651" t="s">
        <v>92</v>
      </c>
      <c r="J1651">
        <v>12423</v>
      </c>
      <c r="K1651">
        <v>104463</v>
      </c>
      <c r="L1651">
        <v>11278</v>
      </c>
      <c r="M1651">
        <v>1486.2</v>
      </c>
      <c r="N1651">
        <v>10953</v>
      </c>
      <c r="O1651">
        <v>196</v>
      </c>
      <c r="P1651">
        <v>0</v>
      </c>
      <c r="Q1651">
        <v>0</v>
      </c>
      <c r="R1651">
        <v>0</v>
      </c>
      <c r="S1651">
        <v>0</v>
      </c>
      <c r="T1651">
        <v>0</v>
      </c>
      <c r="U1651">
        <v>0</v>
      </c>
      <c r="V1651">
        <v>13909.2</v>
      </c>
      <c r="W1651">
        <v>115416</v>
      </c>
      <c r="X1651">
        <v>11474</v>
      </c>
      <c r="Y1651">
        <f t="shared" si="25"/>
        <v>115416</v>
      </c>
      <c r="Z1651" t="str">
        <f>IF(ISNUMBER(SEARCH("Adjustment",$C1651)),"excluded",IF($H1651="Behind the Meter","excluded",IF(NOT(OR($E1651="Bundled",$E1651="Energy")),"excluded",IF(OR($H1651="Retail Power Marketer",$H1651="Community Choice Aggregator",$E1651="Energy"),"procurement",IF(OR($H1651="Municipal",$H1651="Cooperative",$H1651="Federal",$H1651="State",$H1651="Political Subdivision"),"cost_service",IF($H1651="Investor Owned",IF(AND(COUNTIF(Parameters!$A$4:$A$33,$G1651)&gt;0,COUNTIF(Parameters!$B$4:$B$33,$B1651)=0),"procurement","cost_service"),"unclassified"))))))</f>
        <v>procurement</v>
      </c>
    </row>
    <row r="1652" spans="1:26" x14ac:dyDescent="0.25">
      <c r="A1652">
        <v>2024</v>
      </c>
      <c r="B1652">
        <v>55815</v>
      </c>
      <c r="C1652" t="s">
        <v>1441</v>
      </c>
      <c r="D1652" t="s">
        <v>99</v>
      </c>
      <c r="E1652" t="s">
        <v>100</v>
      </c>
      <c r="F1652" t="s">
        <v>86</v>
      </c>
      <c r="G1652" t="s">
        <v>53</v>
      </c>
      <c r="H1652" t="s">
        <v>101</v>
      </c>
      <c r="I1652" t="s">
        <v>102</v>
      </c>
      <c r="J1652">
        <v>16606.400000000001</v>
      </c>
      <c r="K1652">
        <v>93698</v>
      </c>
      <c r="L1652">
        <v>18898</v>
      </c>
      <c r="M1652">
        <v>24507</v>
      </c>
      <c r="N1652">
        <v>165263</v>
      </c>
      <c r="O1652">
        <v>3178</v>
      </c>
      <c r="P1652">
        <v>0</v>
      </c>
      <c r="Q1652">
        <v>0</v>
      </c>
      <c r="R1652">
        <v>0</v>
      </c>
      <c r="S1652">
        <v>0</v>
      </c>
      <c r="T1652">
        <v>0</v>
      </c>
      <c r="U1652">
        <v>0</v>
      </c>
      <c r="V1652">
        <v>41113.4</v>
      </c>
      <c r="W1652">
        <v>258961</v>
      </c>
      <c r="X1652">
        <v>22076</v>
      </c>
      <c r="Y1652">
        <f t="shared" si="25"/>
        <v>258961</v>
      </c>
      <c r="Z1652" t="str">
        <f>IF(ISNUMBER(SEARCH("Adjustment",$C1652)),"excluded",IF($H1652="Behind the Meter","excluded",IF(NOT(OR($E1652="Bundled",$E1652="Energy")),"excluded",IF(OR($H1652="Retail Power Marketer",$H1652="Community Choice Aggregator",$E1652="Energy"),"procurement",IF(OR($H1652="Municipal",$H1652="Cooperative",$H1652="Federal",$H1652="State",$H1652="Political Subdivision"),"cost_service",IF($H1652="Investor Owned",IF(AND(COUNTIF(Parameters!$A$4:$A$33,$G1652)&gt;0,COUNTIF(Parameters!$B$4:$B$33,$B1652)=0),"procurement","cost_service"),"unclassified"))))))</f>
        <v>procurement</v>
      </c>
    </row>
    <row r="1653" spans="1:26" x14ac:dyDescent="0.25">
      <c r="A1653">
        <v>2024</v>
      </c>
      <c r="B1653">
        <v>55815</v>
      </c>
      <c r="C1653" t="s">
        <v>1441</v>
      </c>
      <c r="D1653" t="s">
        <v>99</v>
      </c>
      <c r="E1653" t="s">
        <v>100</v>
      </c>
      <c r="F1653" t="s">
        <v>86</v>
      </c>
      <c r="G1653" t="s">
        <v>54</v>
      </c>
      <c r="H1653" t="s">
        <v>101</v>
      </c>
      <c r="I1653" t="s">
        <v>92</v>
      </c>
      <c r="J1653">
        <v>3322.1</v>
      </c>
      <c r="K1653">
        <v>24128</v>
      </c>
      <c r="L1653">
        <v>3269</v>
      </c>
      <c r="M1653">
        <v>40.9</v>
      </c>
      <c r="N1653">
        <v>301</v>
      </c>
      <c r="O1653">
        <v>24</v>
      </c>
      <c r="P1653">
        <v>0</v>
      </c>
      <c r="Q1653">
        <v>0</v>
      </c>
      <c r="R1653">
        <v>0</v>
      </c>
      <c r="S1653">
        <v>0</v>
      </c>
      <c r="T1653">
        <v>0</v>
      </c>
      <c r="U1653">
        <v>0</v>
      </c>
      <c r="V1653">
        <v>3363</v>
      </c>
      <c r="W1653">
        <v>24429</v>
      </c>
      <c r="X1653">
        <v>3293</v>
      </c>
      <c r="Y1653">
        <f t="shared" si="25"/>
        <v>24429</v>
      </c>
      <c r="Z1653" t="str">
        <f>IF(ISNUMBER(SEARCH("Adjustment",$C1653)),"excluded",IF($H1653="Behind the Meter","excluded",IF(NOT(OR($E1653="Bundled",$E1653="Energy")),"excluded",IF(OR($H1653="Retail Power Marketer",$H1653="Community Choice Aggregator",$E1653="Energy"),"procurement",IF(OR($H1653="Municipal",$H1653="Cooperative",$H1653="Federal",$H1653="State",$H1653="Political Subdivision"),"cost_service",IF($H1653="Investor Owned",IF(AND(COUNTIF(Parameters!$A$4:$A$33,$G1653)&gt;0,COUNTIF(Parameters!$B$4:$B$33,$B1653)=0),"procurement","cost_service"),"unclassified"))))))</f>
        <v>procurement</v>
      </c>
    </row>
    <row r="1654" spans="1:26" x14ac:dyDescent="0.25">
      <c r="A1654">
        <v>2024</v>
      </c>
      <c r="B1654">
        <v>55815</v>
      </c>
      <c r="C1654" t="s">
        <v>1441</v>
      </c>
      <c r="D1654" t="s">
        <v>99</v>
      </c>
      <c r="E1654" t="s">
        <v>100</v>
      </c>
      <c r="F1654" t="s">
        <v>86</v>
      </c>
      <c r="G1654" t="s">
        <v>55</v>
      </c>
      <c r="H1654" t="s">
        <v>101</v>
      </c>
      <c r="I1654" t="s">
        <v>92</v>
      </c>
      <c r="J1654">
        <v>9697.7999999999993</v>
      </c>
      <c r="K1654">
        <v>62215</v>
      </c>
      <c r="L1654">
        <v>8055</v>
      </c>
      <c r="M1654">
        <v>1217.7</v>
      </c>
      <c r="N1654">
        <v>9006</v>
      </c>
      <c r="O1654">
        <v>583</v>
      </c>
      <c r="P1654">
        <v>0</v>
      </c>
      <c r="Q1654">
        <v>0</v>
      </c>
      <c r="R1654">
        <v>0</v>
      </c>
      <c r="S1654">
        <v>0</v>
      </c>
      <c r="T1654">
        <v>0</v>
      </c>
      <c r="U1654">
        <v>0</v>
      </c>
      <c r="V1654">
        <v>10915.5</v>
      </c>
      <c r="W1654">
        <v>71221</v>
      </c>
      <c r="X1654">
        <v>8638</v>
      </c>
      <c r="Y1654">
        <f t="shared" si="25"/>
        <v>71221</v>
      </c>
      <c r="Z1654" t="str">
        <f>IF(ISNUMBER(SEARCH("Adjustment",$C1654)),"excluded",IF($H1654="Behind the Meter","excluded",IF(NOT(OR($E1654="Bundled",$E1654="Energy")),"excluded",IF(OR($H1654="Retail Power Marketer",$H1654="Community Choice Aggregator",$E1654="Energy"),"procurement",IF(OR($H1654="Municipal",$H1654="Cooperative",$H1654="Federal",$H1654="State",$H1654="Political Subdivision"),"cost_service",IF($H1654="Investor Owned",IF(AND(COUNTIF(Parameters!$A$4:$A$33,$G1654)&gt;0,COUNTIF(Parameters!$B$4:$B$33,$B1654)=0),"procurement","cost_service"),"unclassified"))))))</f>
        <v>procurement</v>
      </c>
    </row>
    <row r="1655" spans="1:26" x14ac:dyDescent="0.25">
      <c r="A1655">
        <v>2024</v>
      </c>
      <c r="B1655">
        <v>55874</v>
      </c>
      <c r="C1655" t="s">
        <v>1442</v>
      </c>
      <c r="D1655" t="s">
        <v>99</v>
      </c>
      <c r="E1655" t="s">
        <v>100</v>
      </c>
      <c r="F1655" t="s">
        <v>86</v>
      </c>
      <c r="G1655" t="s">
        <v>46</v>
      </c>
      <c r="H1655" t="s">
        <v>101</v>
      </c>
      <c r="I1655" t="s">
        <v>96</v>
      </c>
      <c r="J1655">
        <v>30574</v>
      </c>
      <c r="K1655">
        <v>224440</v>
      </c>
      <c r="L1655">
        <v>30192</v>
      </c>
      <c r="M1655">
        <v>1424.7</v>
      </c>
      <c r="N1655">
        <v>11659</v>
      </c>
      <c r="O1655">
        <v>391</v>
      </c>
      <c r="P1655">
        <v>0</v>
      </c>
      <c r="Q1655">
        <v>0</v>
      </c>
      <c r="R1655">
        <v>0</v>
      </c>
      <c r="S1655">
        <v>0</v>
      </c>
      <c r="T1655">
        <v>0</v>
      </c>
      <c r="U1655">
        <v>0</v>
      </c>
      <c r="V1655">
        <v>31998.7</v>
      </c>
      <c r="W1655">
        <v>236099</v>
      </c>
      <c r="X1655">
        <v>30583</v>
      </c>
      <c r="Y1655">
        <f t="shared" si="25"/>
        <v>236099</v>
      </c>
      <c r="Z1655" t="str">
        <f>IF(ISNUMBER(SEARCH("Adjustment",$C1655)),"excluded",IF($H1655="Behind the Meter","excluded",IF(NOT(OR($E1655="Bundled",$E1655="Energy")),"excluded",IF(OR($H1655="Retail Power Marketer",$H1655="Community Choice Aggregator",$E1655="Energy"),"procurement",IF(OR($H1655="Municipal",$H1655="Cooperative",$H1655="Federal",$H1655="State",$H1655="Political Subdivision"),"cost_service",IF($H1655="Investor Owned",IF(AND(COUNTIF(Parameters!$A$4:$A$33,$G1655)&gt;0,COUNTIF(Parameters!$B$4:$B$33,$B1655)=0),"procurement","cost_service"),"unclassified"))))))</f>
        <v>procurement</v>
      </c>
    </row>
    <row r="1656" spans="1:26" x14ac:dyDescent="0.25">
      <c r="A1656">
        <v>2024</v>
      </c>
      <c r="B1656">
        <v>55874</v>
      </c>
      <c r="C1656" t="s">
        <v>1442</v>
      </c>
      <c r="D1656" t="s">
        <v>99</v>
      </c>
      <c r="E1656" t="s">
        <v>100</v>
      </c>
      <c r="F1656" t="s">
        <v>86</v>
      </c>
      <c r="G1656" t="s">
        <v>48</v>
      </c>
      <c r="H1656" t="s">
        <v>101</v>
      </c>
      <c r="I1656" t="s">
        <v>189</v>
      </c>
      <c r="J1656">
        <v>5090.8999999999996</v>
      </c>
      <c r="K1656">
        <v>24744</v>
      </c>
      <c r="L1656">
        <v>4129</v>
      </c>
      <c r="M1656">
        <v>4249.6000000000004</v>
      </c>
      <c r="N1656">
        <v>18640</v>
      </c>
      <c r="O1656">
        <v>1412</v>
      </c>
      <c r="P1656">
        <v>0</v>
      </c>
      <c r="Q1656">
        <v>0</v>
      </c>
      <c r="R1656">
        <v>0</v>
      </c>
      <c r="S1656">
        <v>0</v>
      </c>
      <c r="T1656">
        <v>0</v>
      </c>
      <c r="U1656">
        <v>0</v>
      </c>
      <c r="V1656">
        <v>9340.5</v>
      </c>
      <c r="W1656">
        <v>43384</v>
      </c>
      <c r="X1656">
        <v>5541</v>
      </c>
      <c r="Y1656">
        <f t="shared" si="25"/>
        <v>43384</v>
      </c>
      <c r="Z1656" t="str">
        <f>IF(ISNUMBER(SEARCH("Adjustment",$C1656)),"excluded",IF($H1656="Behind the Meter","excluded",IF(NOT(OR($E1656="Bundled",$E1656="Energy")),"excluded",IF(OR($H1656="Retail Power Marketer",$H1656="Community Choice Aggregator",$E1656="Energy"),"procurement",IF(OR($H1656="Municipal",$H1656="Cooperative",$H1656="Federal",$H1656="State",$H1656="Political Subdivision"),"cost_service",IF($H1656="Investor Owned",IF(AND(COUNTIF(Parameters!$A$4:$A$33,$G1656)&gt;0,COUNTIF(Parameters!$B$4:$B$33,$B1656)=0),"procurement","cost_service"),"unclassified"))))))</f>
        <v>procurement</v>
      </c>
    </row>
    <row r="1657" spans="1:26" x14ac:dyDescent="0.25">
      <c r="A1657">
        <v>2024</v>
      </c>
      <c r="B1657">
        <v>55874</v>
      </c>
      <c r="C1657" t="s">
        <v>1442</v>
      </c>
      <c r="D1657" t="s">
        <v>99</v>
      </c>
      <c r="E1657" t="s">
        <v>100</v>
      </c>
      <c r="F1657" t="s">
        <v>86</v>
      </c>
      <c r="G1657" t="s">
        <v>49</v>
      </c>
      <c r="H1657" t="s">
        <v>101</v>
      </c>
      <c r="I1657" t="s">
        <v>92</v>
      </c>
      <c r="J1657">
        <v>7726.7</v>
      </c>
      <c r="K1657">
        <v>48435</v>
      </c>
      <c r="L1657">
        <v>5083</v>
      </c>
      <c r="M1657">
        <v>1415.6</v>
      </c>
      <c r="N1657">
        <v>10479</v>
      </c>
      <c r="O1657">
        <v>276</v>
      </c>
      <c r="P1657">
        <v>0</v>
      </c>
      <c r="Q1657">
        <v>0</v>
      </c>
      <c r="R1657">
        <v>0</v>
      </c>
      <c r="S1657">
        <v>0</v>
      </c>
      <c r="T1657">
        <v>0</v>
      </c>
      <c r="U1657">
        <v>0</v>
      </c>
      <c r="V1657">
        <v>9142.2999999999993</v>
      </c>
      <c r="W1657">
        <v>58914</v>
      </c>
      <c r="X1657">
        <v>5359</v>
      </c>
      <c r="Y1657">
        <f t="shared" si="25"/>
        <v>58914</v>
      </c>
      <c r="Z1657" t="str">
        <f>IF(ISNUMBER(SEARCH("Adjustment",$C1657)),"excluded",IF($H1657="Behind the Meter","excluded",IF(NOT(OR($E1657="Bundled",$E1657="Energy")),"excluded",IF(OR($H1657="Retail Power Marketer",$H1657="Community Choice Aggregator",$E1657="Energy"),"procurement",IF(OR($H1657="Municipal",$H1657="Cooperative",$H1657="Federal",$H1657="State",$H1657="Political Subdivision"),"cost_service",IF($H1657="Investor Owned",IF(AND(COUNTIF(Parameters!$A$4:$A$33,$G1657)&gt;0,COUNTIF(Parameters!$B$4:$B$33,$B1657)=0),"procurement","cost_service"),"unclassified"))))))</f>
        <v>procurement</v>
      </c>
    </row>
    <row r="1658" spans="1:26" x14ac:dyDescent="0.25">
      <c r="A1658">
        <v>2024</v>
      </c>
      <c r="B1658">
        <v>55874</v>
      </c>
      <c r="C1658" t="s">
        <v>1442</v>
      </c>
      <c r="D1658" t="s">
        <v>99</v>
      </c>
      <c r="E1658" t="s">
        <v>100</v>
      </c>
      <c r="F1658" t="s">
        <v>86</v>
      </c>
      <c r="G1658" t="s">
        <v>52</v>
      </c>
      <c r="H1658" t="s">
        <v>101</v>
      </c>
      <c r="I1658" t="s">
        <v>92</v>
      </c>
      <c r="J1658">
        <v>2537.6</v>
      </c>
      <c r="K1658">
        <v>14920</v>
      </c>
      <c r="L1658">
        <v>2904</v>
      </c>
      <c r="M1658">
        <v>4590.3</v>
      </c>
      <c r="N1658">
        <v>38053</v>
      </c>
      <c r="O1658">
        <v>623</v>
      </c>
      <c r="P1658">
        <v>0</v>
      </c>
      <c r="Q1658">
        <v>0</v>
      </c>
      <c r="R1658">
        <v>0</v>
      </c>
      <c r="S1658">
        <v>0</v>
      </c>
      <c r="T1658">
        <v>0</v>
      </c>
      <c r="U1658">
        <v>0</v>
      </c>
      <c r="V1658">
        <v>7127.9</v>
      </c>
      <c r="W1658">
        <v>52973</v>
      </c>
      <c r="X1658">
        <v>3527</v>
      </c>
      <c r="Y1658">
        <f t="shared" si="25"/>
        <v>52973</v>
      </c>
      <c r="Z1658" t="str">
        <f>IF(ISNUMBER(SEARCH("Adjustment",$C1658)),"excluded",IF($H1658="Behind the Meter","excluded",IF(NOT(OR($E1658="Bundled",$E1658="Energy")),"excluded",IF(OR($H1658="Retail Power Marketer",$H1658="Community Choice Aggregator",$E1658="Energy"),"procurement",IF(OR($H1658="Municipal",$H1658="Cooperative",$H1658="Federal",$H1658="State",$H1658="Political Subdivision"),"cost_service",IF($H1658="Investor Owned",IF(AND(COUNTIF(Parameters!$A$4:$A$33,$G1658)&gt;0,COUNTIF(Parameters!$B$4:$B$33,$B1658)=0),"procurement","cost_service"),"unclassified"))))))</f>
        <v>procurement</v>
      </c>
    </row>
    <row r="1659" spans="1:26" x14ac:dyDescent="0.25">
      <c r="A1659">
        <v>2024</v>
      </c>
      <c r="B1659">
        <v>55874</v>
      </c>
      <c r="C1659" t="s">
        <v>1442</v>
      </c>
      <c r="D1659" t="s">
        <v>99</v>
      </c>
      <c r="E1659" t="s">
        <v>100</v>
      </c>
      <c r="F1659" t="s">
        <v>86</v>
      </c>
      <c r="G1659" t="s">
        <v>53</v>
      </c>
      <c r="H1659" t="s">
        <v>101</v>
      </c>
      <c r="I1659" t="s">
        <v>102</v>
      </c>
      <c r="J1659">
        <v>9485.7000000000007</v>
      </c>
      <c r="K1659">
        <v>64048</v>
      </c>
      <c r="L1659">
        <v>9425</v>
      </c>
      <c r="M1659">
        <v>7454.9</v>
      </c>
      <c r="N1659">
        <v>48871</v>
      </c>
      <c r="O1659">
        <v>2311</v>
      </c>
      <c r="P1659">
        <v>0</v>
      </c>
      <c r="Q1659">
        <v>0</v>
      </c>
      <c r="R1659">
        <v>0</v>
      </c>
      <c r="S1659">
        <v>0</v>
      </c>
      <c r="T1659">
        <v>0</v>
      </c>
      <c r="U1659">
        <v>0</v>
      </c>
      <c r="V1659">
        <v>16940.599999999999</v>
      </c>
      <c r="W1659">
        <v>112919</v>
      </c>
      <c r="X1659">
        <v>11736</v>
      </c>
      <c r="Y1659">
        <f t="shared" si="25"/>
        <v>112919</v>
      </c>
      <c r="Z1659" t="str">
        <f>IF(ISNUMBER(SEARCH("Adjustment",$C1659)),"excluded",IF($H1659="Behind the Meter","excluded",IF(NOT(OR($E1659="Bundled",$E1659="Energy")),"excluded",IF(OR($H1659="Retail Power Marketer",$H1659="Community Choice Aggregator",$E1659="Energy"),"procurement",IF(OR($H1659="Municipal",$H1659="Cooperative",$H1659="Federal",$H1659="State",$H1659="Political Subdivision"),"cost_service",IF($H1659="Investor Owned",IF(AND(COUNTIF(Parameters!$A$4:$A$33,$G1659)&gt;0,COUNTIF(Parameters!$B$4:$B$33,$B1659)=0),"procurement","cost_service"),"unclassified"))))))</f>
        <v>procurement</v>
      </c>
    </row>
    <row r="1660" spans="1:26" x14ac:dyDescent="0.25">
      <c r="A1660">
        <v>2024</v>
      </c>
      <c r="B1660">
        <v>55874</v>
      </c>
      <c r="C1660" t="s">
        <v>1442</v>
      </c>
      <c r="D1660" t="s">
        <v>99</v>
      </c>
      <c r="E1660" t="s">
        <v>100</v>
      </c>
      <c r="F1660" t="s">
        <v>86</v>
      </c>
      <c r="G1660" t="s">
        <v>54</v>
      </c>
      <c r="H1660" t="s">
        <v>101</v>
      </c>
      <c r="I1660" t="s">
        <v>92</v>
      </c>
      <c r="J1660">
        <v>16733.8</v>
      </c>
      <c r="K1660">
        <v>163269</v>
      </c>
      <c r="L1660">
        <v>15009</v>
      </c>
      <c r="M1660">
        <v>490.9</v>
      </c>
      <c r="N1660">
        <v>5301</v>
      </c>
      <c r="O1660">
        <v>126</v>
      </c>
      <c r="P1660">
        <v>0</v>
      </c>
      <c r="Q1660">
        <v>0</v>
      </c>
      <c r="R1660">
        <v>0</v>
      </c>
      <c r="S1660">
        <v>0</v>
      </c>
      <c r="T1660">
        <v>0</v>
      </c>
      <c r="U1660">
        <v>0</v>
      </c>
      <c r="V1660">
        <v>17224.7</v>
      </c>
      <c r="W1660">
        <v>168570</v>
      </c>
      <c r="X1660">
        <v>15135</v>
      </c>
      <c r="Y1660">
        <f t="shared" si="25"/>
        <v>168570</v>
      </c>
      <c r="Z1660" t="str">
        <f>IF(ISNUMBER(SEARCH("Adjustment",$C1660)),"excluded",IF($H1660="Behind the Meter","excluded",IF(NOT(OR($E1660="Bundled",$E1660="Energy")),"excluded",IF(OR($H1660="Retail Power Marketer",$H1660="Community Choice Aggregator",$E1660="Energy"),"procurement",IF(OR($H1660="Municipal",$H1660="Cooperative",$H1660="Federal",$H1660="State",$H1660="Political Subdivision"),"cost_service",IF($H1660="Investor Owned",IF(AND(COUNTIF(Parameters!$A$4:$A$33,$G1660)&gt;0,COUNTIF(Parameters!$B$4:$B$33,$B1660)=0),"procurement","cost_service"),"unclassified"))))))</f>
        <v>procurement</v>
      </c>
    </row>
    <row r="1661" spans="1:26" x14ac:dyDescent="0.25">
      <c r="A1661">
        <v>2024</v>
      </c>
      <c r="B1661">
        <v>55874</v>
      </c>
      <c r="C1661" t="s">
        <v>1442</v>
      </c>
      <c r="D1661" t="s">
        <v>99</v>
      </c>
      <c r="E1661" t="s">
        <v>100</v>
      </c>
      <c r="F1661" t="s">
        <v>86</v>
      </c>
      <c r="G1661" t="s">
        <v>55</v>
      </c>
      <c r="H1661" t="s">
        <v>101</v>
      </c>
      <c r="I1661" t="s">
        <v>92</v>
      </c>
      <c r="J1661">
        <v>22360.9</v>
      </c>
      <c r="K1661">
        <v>180759</v>
      </c>
      <c r="L1661">
        <v>18092</v>
      </c>
      <c r="M1661">
        <v>3126.3</v>
      </c>
      <c r="N1661">
        <v>24798</v>
      </c>
      <c r="O1661">
        <v>1166</v>
      </c>
      <c r="P1661">
        <v>0</v>
      </c>
      <c r="Q1661">
        <v>0</v>
      </c>
      <c r="R1661">
        <v>0</v>
      </c>
      <c r="S1661">
        <v>0</v>
      </c>
      <c r="T1661">
        <v>0</v>
      </c>
      <c r="U1661">
        <v>0</v>
      </c>
      <c r="V1661">
        <v>25487.200000000001</v>
      </c>
      <c r="W1661">
        <v>205557</v>
      </c>
      <c r="X1661">
        <v>19258</v>
      </c>
      <c r="Y1661">
        <f t="shared" si="25"/>
        <v>205557</v>
      </c>
      <c r="Z1661" t="str">
        <f>IF(ISNUMBER(SEARCH("Adjustment",$C1661)),"excluded",IF($H1661="Behind the Meter","excluded",IF(NOT(OR($E1661="Bundled",$E1661="Energy")),"excluded",IF(OR($H1661="Retail Power Marketer",$H1661="Community Choice Aggregator",$E1661="Energy"),"procurement",IF(OR($H1661="Municipal",$H1661="Cooperative",$H1661="Federal",$H1661="State",$H1661="Political Subdivision"),"cost_service",IF($H1661="Investor Owned",IF(AND(COUNTIF(Parameters!$A$4:$A$33,$G1661)&gt;0,COUNTIF(Parameters!$B$4:$B$33,$B1661)=0),"procurement","cost_service"),"unclassified"))))))</f>
        <v>procurement</v>
      </c>
    </row>
    <row r="1662" spans="1:26" x14ac:dyDescent="0.25">
      <c r="A1662">
        <v>2024</v>
      </c>
      <c r="B1662">
        <v>55878</v>
      </c>
      <c r="C1662" t="s">
        <v>1443</v>
      </c>
      <c r="D1662" t="s">
        <v>99</v>
      </c>
      <c r="E1662" t="s">
        <v>100</v>
      </c>
      <c r="F1662" t="s">
        <v>86</v>
      </c>
      <c r="G1662" t="s">
        <v>46</v>
      </c>
      <c r="H1662" t="s">
        <v>101</v>
      </c>
      <c r="I1662" t="s">
        <v>92</v>
      </c>
      <c r="J1662">
        <v>0</v>
      </c>
      <c r="K1662">
        <v>0</v>
      </c>
      <c r="L1662">
        <v>0</v>
      </c>
      <c r="M1662">
        <v>34301.300000000003</v>
      </c>
      <c r="N1662">
        <v>482178</v>
      </c>
      <c r="O1662">
        <v>3049</v>
      </c>
      <c r="P1662">
        <v>0</v>
      </c>
      <c r="Q1662">
        <v>0</v>
      </c>
      <c r="R1662">
        <v>0</v>
      </c>
      <c r="S1662">
        <v>0</v>
      </c>
      <c r="T1662">
        <v>0</v>
      </c>
      <c r="U1662">
        <v>0</v>
      </c>
      <c r="V1662">
        <v>34301.300000000003</v>
      </c>
      <c r="W1662">
        <v>482178</v>
      </c>
      <c r="X1662">
        <v>3049</v>
      </c>
      <c r="Y1662">
        <f t="shared" si="25"/>
        <v>482178</v>
      </c>
      <c r="Z1662" t="str">
        <f>IF(ISNUMBER(SEARCH("Adjustment",$C1662)),"excluded",IF($H1662="Behind the Meter","excluded",IF(NOT(OR($E1662="Bundled",$E1662="Energy")),"excluded",IF(OR($H1662="Retail Power Marketer",$H1662="Community Choice Aggregator",$E1662="Energy"),"procurement",IF(OR($H1662="Municipal",$H1662="Cooperative",$H1662="Federal",$H1662="State",$H1662="Political Subdivision"),"cost_service",IF($H1662="Investor Owned",IF(AND(COUNTIF(Parameters!$A$4:$A$33,$G1662)&gt;0,COUNTIF(Parameters!$B$4:$B$33,$B1662)=0),"procurement","cost_service"),"unclassified"))))))</f>
        <v>procurement</v>
      </c>
    </row>
    <row r="1663" spans="1:26" x14ac:dyDescent="0.25">
      <c r="A1663">
        <v>2024</v>
      </c>
      <c r="B1663">
        <v>55878</v>
      </c>
      <c r="C1663" t="s">
        <v>1443</v>
      </c>
      <c r="D1663" t="s">
        <v>99</v>
      </c>
      <c r="E1663" t="s">
        <v>100</v>
      </c>
      <c r="F1663" t="s">
        <v>86</v>
      </c>
      <c r="G1663" t="s">
        <v>46</v>
      </c>
      <c r="H1663" t="s">
        <v>101</v>
      </c>
      <c r="I1663" t="s">
        <v>96</v>
      </c>
      <c r="J1663">
        <v>0</v>
      </c>
      <c r="K1663">
        <v>0</v>
      </c>
      <c r="L1663">
        <v>0</v>
      </c>
      <c r="M1663">
        <v>1160.0999999999999</v>
      </c>
      <c r="N1663">
        <v>17275</v>
      </c>
      <c r="O1663">
        <v>284</v>
      </c>
      <c r="P1663">
        <v>0</v>
      </c>
      <c r="Q1663">
        <v>0</v>
      </c>
      <c r="R1663">
        <v>0</v>
      </c>
      <c r="S1663">
        <v>0</v>
      </c>
      <c r="T1663">
        <v>0</v>
      </c>
      <c r="U1663">
        <v>0</v>
      </c>
      <c r="V1663">
        <v>1160.0999999999999</v>
      </c>
      <c r="W1663">
        <v>17275</v>
      </c>
      <c r="X1663">
        <v>284</v>
      </c>
      <c r="Y1663">
        <f t="shared" si="25"/>
        <v>17275</v>
      </c>
      <c r="Z1663" t="str">
        <f>IF(ISNUMBER(SEARCH("Adjustment",$C1663)),"excluded",IF($H1663="Behind the Meter","excluded",IF(NOT(OR($E1663="Bundled",$E1663="Energy")),"excluded",IF(OR($H1663="Retail Power Marketer",$H1663="Community Choice Aggregator",$E1663="Energy"),"procurement",IF(OR($H1663="Municipal",$H1663="Cooperative",$H1663="Federal",$H1663="State",$H1663="Political Subdivision"),"cost_service",IF($H1663="Investor Owned",IF(AND(COUNTIF(Parameters!$A$4:$A$33,$G1663)&gt;0,COUNTIF(Parameters!$B$4:$B$33,$B1663)=0),"procurement","cost_service"),"unclassified"))))))</f>
        <v>procurement</v>
      </c>
    </row>
    <row r="1664" spans="1:26" x14ac:dyDescent="0.25">
      <c r="A1664">
        <v>2024</v>
      </c>
      <c r="B1664">
        <v>55878</v>
      </c>
      <c r="C1664" t="s">
        <v>1443</v>
      </c>
      <c r="D1664" t="s">
        <v>99</v>
      </c>
      <c r="E1664" t="s">
        <v>100</v>
      </c>
      <c r="F1664" t="s">
        <v>86</v>
      </c>
      <c r="G1664" t="s">
        <v>48</v>
      </c>
      <c r="H1664" t="s">
        <v>101</v>
      </c>
      <c r="I1664" t="s">
        <v>189</v>
      </c>
      <c r="J1664">
        <v>0</v>
      </c>
      <c r="K1664">
        <v>0</v>
      </c>
      <c r="L1664">
        <v>0</v>
      </c>
      <c r="M1664">
        <v>83673.600000000006</v>
      </c>
      <c r="N1664">
        <v>630883</v>
      </c>
      <c r="O1664">
        <v>8076</v>
      </c>
      <c r="P1664">
        <v>0</v>
      </c>
      <c r="Q1664">
        <v>0</v>
      </c>
      <c r="R1664">
        <v>0</v>
      </c>
      <c r="S1664">
        <v>0</v>
      </c>
      <c r="T1664">
        <v>0</v>
      </c>
      <c r="U1664">
        <v>0</v>
      </c>
      <c r="V1664">
        <v>83673.600000000006</v>
      </c>
      <c r="W1664">
        <v>630883</v>
      </c>
      <c r="X1664">
        <v>8076</v>
      </c>
      <c r="Y1664">
        <f t="shared" si="25"/>
        <v>630883</v>
      </c>
      <c r="Z1664" t="str">
        <f>IF(ISNUMBER(SEARCH("Adjustment",$C1664)),"excluded",IF($H1664="Behind the Meter","excluded",IF(NOT(OR($E1664="Bundled",$E1664="Energy")),"excluded",IF(OR($H1664="Retail Power Marketer",$H1664="Community Choice Aggregator",$E1664="Energy"),"procurement",IF(OR($H1664="Municipal",$H1664="Cooperative",$H1664="Federal",$H1664="State",$H1664="Political Subdivision"),"cost_service",IF($H1664="Investor Owned",IF(AND(COUNTIF(Parameters!$A$4:$A$33,$G1664)&gt;0,COUNTIF(Parameters!$B$4:$B$33,$B1664)=0),"procurement","cost_service"),"unclassified"))))))</f>
        <v>procurement</v>
      </c>
    </row>
    <row r="1665" spans="1:26" x14ac:dyDescent="0.25">
      <c r="A1665">
        <v>2024</v>
      </c>
      <c r="B1665">
        <v>55878</v>
      </c>
      <c r="C1665" t="s">
        <v>1443</v>
      </c>
      <c r="D1665" t="s">
        <v>99</v>
      </c>
      <c r="E1665" t="s">
        <v>100</v>
      </c>
      <c r="F1665" t="s">
        <v>86</v>
      </c>
      <c r="G1665" t="s">
        <v>49</v>
      </c>
      <c r="H1665" t="s">
        <v>101</v>
      </c>
      <c r="I1665" t="s">
        <v>92</v>
      </c>
      <c r="J1665">
        <v>0</v>
      </c>
      <c r="K1665">
        <v>0</v>
      </c>
      <c r="L1665">
        <v>0</v>
      </c>
      <c r="M1665">
        <v>13897.6</v>
      </c>
      <c r="N1665">
        <v>147678</v>
      </c>
      <c r="O1665">
        <v>1761</v>
      </c>
      <c r="P1665">
        <v>0</v>
      </c>
      <c r="Q1665">
        <v>0</v>
      </c>
      <c r="R1665">
        <v>0</v>
      </c>
      <c r="S1665">
        <v>0</v>
      </c>
      <c r="T1665">
        <v>0</v>
      </c>
      <c r="U1665">
        <v>0</v>
      </c>
      <c r="V1665">
        <v>13897.6</v>
      </c>
      <c r="W1665">
        <v>147678</v>
      </c>
      <c r="X1665">
        <v>1761</v>
      </c>
      <c r="Y1665">
        <f t="shared" si="25"/>
        <v>147678</v>
      </c>
      <c r="Z1665" t="str">
        <f>IF(ISNUMBER(SEARCH("Adjustment",$C1665)),"excluded",IF($H1665="Behind the Meter","excluded",IF(NOT(OR($E1665="Bundled",$E1665="Energy")),"excluded",IF(OR($H1665="Retail Power Marketer",$H1665="Community Choice Aggregator",$E1665="Energy"),"procurement",IF(OR($H1665="Municipal",$H1665="Cooperative",$H1665="Federal",$H1665="State",$H1665="Political Subdivision"),"cost_service",IF($H1665="Investor Owned",IF(AND(COUNTIF(Parameters!$A$4:$A$33,$G1665)&gt;0,COUNTIF(Parameters!$B$4:$B$33,$B1665)=0),"procurement","cost_service"),"unclassified"))))))</f>
        <v>procurement</v>
      </c>
    </row>
    <row r="1666" spans="1:26" x14ac:dyDescent="0.25">
      <c r="A1666">
        <v>2024</v>
      </c>
      <c r="B1666">
        <v>55878</v>
      </c>
      <c r="C1666" t="s">
        <v>1443</v>
      </c>
      <c r="D1666" t="s">
        <v>99</v>
      </c>
      <c r="E1666" t="s">
        <v>100</v>
      </c>
      <c r="F1666" t="s">
        <v>86</v>
      </c>
      <c r="G1666" t="s">
        <v>52</v>
      </c>
      <c r="H1666" t="s">
        <v>101</v>
      </c>
      <c r="I1666" t="s">
        <v>92</v>
      </c>
      <c r="J1666">
        <v>0</v>
      </c>
      <c r="K1666">
        <v>0</v>
      </c>
      <c r="L1666">
        <v>0</v>
      </c>
      <c r="M1666">
        <v>47992.800000000003</v>
      </c>
      <c r="N1666">
        <v>465687</v>
      </c>
      <c r="O1666">
        <v>4520</v>
      </c>
      <c r="P1666">
        <v>0</v>
      </c>
      <c r="Q1666">
        <v>0</v>
      </c>
      <c r="R1666">
        <v>0</v>
      </c>
      <c r="S1666">
        <v>0</v>
      </c>
      <c r="T1666">
        <v>0</v>
      </c>
      <c r="U1666">
        <v>0</v>
      </c>
      <c r="V1666">
        <v>47992.800000000003</v>
      </c>
      <c r="W1666">
        <v>465687</v>
      </c>
      <c r="X1666">
        <v>4520</v>
      </c>
      <c r="Y1666">
        <f t="shared" si="25"/>
        <v>465687</v>
      </c>
      <c r="Z1666" t="str">
        <f>IF(ISNUMBER(SEARCH("Adjustment",$C1666)),"excluded",IF($H1666="Behind the Meter","excluded",IF(NOT(OR($E1666="Bundled",$E1666="Energy")),"excluded",IF(OR($H1666="Retail Power Marketer",$H1666="Community Choice Aggregator",$E1666="Energy"),"procurement",IF(OR($H1666="Municipal",$H1666="Cooperative",$H1666="Federal",$H1666="State",$H1666="Political Subdivision"),"cost_service",IF($H1666="Investor Owned",IF(AND(COUNTIF(Parameters!$A$4:$A$33,$G1666)&gt;0,COUNTIF(Parameters!$B$4:$B$33,$B1666)=0),"procurement","cost_service"),"unclassified"))))))</f>
        <v>procurement</v>
      </c>
    </row>
    <row r="1667" spans="1:26" x14ac:dyDescent="0.25">
      <c r="A1667">
        <v>2024</v>
      </c>
      <c r="B1667">
        <v>55878</v>
      </c>
      <c r="C1667" t="s">
        <v>1443</v>
      </c>
      <c r="D1667" t="s">
        <v>99</v>
      </c>
      <c r="E1667" t="s">
        <v>100</v>
      </c>
      <c r="F1667" t="s">
        <v>86</v>
      </c>
      <c r="G1667" t="s">
        <v>53</v>
      </c>
      <c r="H1667" t="s">
        <v>101</v>
      </c>
      <c r="I1667" t="s">
        <v>102</v>
      </c>
      <c r="J1667">
        <v>50.7</v>
      </c>
      <c r="K1667">
        <v>348</v>
      </c>
      <c r="L1667">
        <v>38</v>
      </c>
      <c r="M1667">
        <v>57949.9</v>
      </c>
      <c r="N1667">
        <v>493257</v>
      </c>
      <c r="O1667">
        <v>5085</v>
      </c>
      <c r="P1667">
        <v>0</v>
      </c>
      <c r="Q1667">
        <v>0</v>
      </c>
      <c r="R1667">
        <v>0</v>
      </c>
      <c r="S1667">
        <v>0</v>
      </c>
      <c r="T1667">
        <v>0</v>
      </c>
      <c r="U1667">
        <v>0</v>
      </c>
      <c r="V1667">
        <v>58000.6</v>
      </c>
      <c r="W1667">
        <v>493605</v>
      </c>
      <c r="X1667">
        <v>5123</v>
      </c>
      <c r="Y1667">
        <f t="shared" si="25"/>
        <v>493605</v>
      </c>
      <c r="Z1667" t="str">
        <f>IF(ISNUMBER(SEARCH("Adjustment",$C1667)),"excluded",IF($H1667="Behind the Meter","excluded",IF(NOT(OR($E1667="Bundled",$E1667="Energy")),"excluded",IF(OR($H1667="Retail Power Marketer",$H1667="Community Choice Aggregator",$E1667="Energy"),"procurement",IF(OR($H1667="Municipal",$H1667="Cooperative",$H1667="Federal",$H1667="State",$H1667="Political Subdivision"),"cost_service",IF($H1667="Investor Owned",IF(AND(COUNTIF(Parameters!$A$4:$A$33,$G1667)&gt;0,COUNTIF(Parameters!$B$4:$B$33,$B1667)=0),"procurement","cost_service"),"unclassified"))))))</f>
        <v>procurement</v>
      </c>
    </row>
    <row r="1668" spans="1:26" x14ac:dyDescent="0.25">
      <c r="A1668">
        <v>2024</v>
      </c>
      <c r="B1668">
        <v>55878</v>
      </c>
      <c r="C1668" t="s">
        <v>1443</v>
      </c>
      <c r="D1668" t="s">
        <v>99</v>
      </c>
      <c r="E1668" t="s">
        <v>100</v>
      </c>
      <c r="F1668" t="s">
        <v>86</v>
      </c>
      <c r="G1668" t="s">
        <v>54</v>
      </c>
      <c r="H1668" t="s">
        <v>101</v>
      </c>
      <c r="I1668" t="s">
        <v>92</v>
      </c>
      <c r="J1668">
        <v>0</v>
      </c>
      <c r="K1668">
        <v>0</v>
      </c>
      <c r="L1668">
        <v>0</v>
      </c>
      <c r="M1668">
        <v>25823.7</v>
      </c>
      <c r="N1668">
        <v>380012</v>
      </c>
      <c r="O1668">
        <v>4863</v>
      </c>
      <c r="P1668">
        <v>0</v>
      </c>
      <c r="Q1668">
        <v>0</v>
      </c>
      <c r="R1668">
        <v>0</v>
      </c>
      <c r="S1668">
        <v>0</v>
      </c>
      <c r="T1668">
        <v>0</v>
      </c>
      <c r="U1668">
        <v>0</v>
      </c>
      <c r="V1668">
        <v>25823.7</v>
      </c>
      <c r="W1668">
        <v>380012</v>
      </c>
      <c r="X1668">
        <v>4863</v>
      </c>
      <c r="Y1668">
        <f t="shared" ref="Y1668:Y1731" si="26">IF(ISNUMBER($W1668),$W1668,0)</f>
        <v>380012</v>
      </c>
      <c r="Z1668" t="str">
        <f>IF(ISNUMBER(SEARCH("Adjustment",$C1668)),"excluded",IF($H1668="Behind the Meter","excluded",IF(NOT(OR($E1668="Bundled",$E1668="Energy")),"excluded",IF(OR($H1668="Retail Power Marketer",$H1668="Community Choice Aggregator",$E1668="Energy"),"procurement",IF(OR($H1668="Municipal",$H1668="Cooperative",$H1668="Federal",$H1668="State",$H1668="Political Subdivision"),"cost_service",IF($H1668="Investor Owned",IF(AND(COUNTIF(Parameters!$A$4:$A$33,$G1668)&gt;0,COUNTIF(Parameters!$B$4:$B$33,$B1668)=0),"procurement","cost_service"),"unclassified"))))))</f>
        <v>procurement</v>
      </c>
    </row>
    <row r="1669" spans="1:26" x14ac:dyDescent="0.25">
      <c r="A1669">
        <v>2024</v>
      </c>
      <c r="B1669">
        <v>55878</v>
      </c>
      <c r="C1669" t="s">
        <v>1443</v>
      </c>
      <c r="D1669" t="s">
        <v>99</v>
      </c>
      <c r="E1669" t="s">
        <v>100</v>
      </c>
      <c r="F1669" t="s">
        <v>86</v>
      </c>
      <c r="G1669" t="s">
        <v>55</v>
      </c>
      <c r="H1669" t="s">
        <v>101</v>
      </c>
      <c r="I1669" t="s">
        <v>92</v>
      </c>
      <c r="J1669">
        <v>0</v>
      </c>
      <c r="K1669">
        <v>0</v>
      </c>
      <c r="L1669">
        <v>0</v>
      </c>
      <c r="M1669">
        <v>30912.5</v>
      </c>
      <c r="N1669">
        <v>375183</v>
      </c>
      <c r="O1669">
        <v>4710</v>
      </c>
      <c r="P1669">
        <v>0</v>
      </c>
      <c r="Q1669">
        <v>0</v>
      </c>
      <c r="R1669">
        <v>0</v>
      </c>
      <c r="S1669">
        <v>0</v>
      </c>
      <c r="T1669">
        <v>0</v>
      </c>
      <c r="U1669">
        <v>0</v>
      </c>
      <c r="V1669">
        <v>30912.5</v>
      </c>
      <c r="W1669">
        <v>375183</v>
      </c>
      <c r="X1669">
        <v>4710</v>
      </c>
      <c r="Y1669">
        <f t="shared" si="26"/>
        <v>375183</v>
      </c>
      <c r="Z1669" t="str">
        <f>IF(ISNUMBER(SEARCH("Adjustment",$C1669)),"excluded",IF($H1669="Behind the Meter","excluded",IF(NOT(OR($E1669="Bundled",$E1669="Energy")),"excluded",IF(OR($H1669="Retail Power Marketer",$H1669="Community Choice Aggregator",$E1669="Energy"),"procurement",IF(OR($H1669="Municipal",$H1669="Cooperative",$H1669="Federal",$H1669="State",$H1669="Political Subdivision"),"cost_service",IF($H1669="Investor Owned",IF(AND(COUNTIF(Parameters!$A$4:$A$33,$G1669)&gt;0,COUNTIF(Parameters!$B$4:$B$33,$B1669)=0),"procurement","cost_service"),"unclassified"))))))</f>
        <v>procurement</v>
      </c>
    </row>
    <row r="1670" spans="1:26" x14ac:dyDescent="0.25">
      <c r="A1670">
        <v>2024</v>
      </c>
      <c r="B1670">
        <v>55878</v>
      </c>
      <c r="C1670" t="s">
        <v>1443</v>
      </c>
      <c r="D1670" t="s">
        <v>150</v>
      </c>
      <c r="E1670" t="s">
        <v>85</v>
      </c>
      <c r="F1670" t="s">
        <v>86</v>
      </c>
      <c r="G1670" t="s">
        <v>57</v>
      </c>
      <c r="H1670" t="s">
        <v>101</v>
      </c>
      <c r="I1670" t="s">
        <v>151</v>
      </c>
      <c r="J1670">
        <v>7734.3</v>
      </c>
      <c r="K1670">
        <v>63484</v>
      </c>
      <c r="L1670">
        <v>4294</v>
      </c>
      <c r="M1670">
        <v>322534.7</v>
      </c>
      <c r="N1670">
        <v>3113514</v>
      </c>
      <c r="O1670">
        <v>41322</v>
      </c>
      <c r="P1670">
        <v>0</v>
      </c>
      <c r="Q1670">
        <v>0</v>
      </c>
      <c r="R1670">
        <v>0</v>
      </c>
      <c r="S1670">
        <v>0</v>
      </c>
      <c r="T1670">
        <v>0</v>
      </c>
      <c r="U1670">
        <v>0</v>
      </c>
      <c r="V1670">
        <v>330269</v>
      </c>
      <c r="W1670">
        <v>3176998</v>
      </c>
      <c r="X1670">
        <v>45616</v>
      </c>
      <c r="Y1670">
        <f t="shared" si="26"/>
        <v>3176998</v>
      </c>
      <c r="Z1670" t="str">
        <f>IF(ISNUMBER(SEARCH("Adjustment",$C1670)),"excluded",IF($H1670="Behind the Meter","excluded",IF(NOT(OR($E1670="Bundled",$E1670="Energy")),"excluded",IF(OR($H1670="Retail Power Marketer",$H1670="Community Choice Aggregator",$E1670="Energy"),"procurement",IF(OR($H1670="Municipal",$H1670="Cooperative",$H1670="Federal",$H1670="State",$H1670="Political Subdivision"),"cost_service",IF($H1670="Investor Owned",IF(AND(COUNTIF(Parameters!$A$4:$A$33,$G1670)&gt;0,COUNTIF(Parameters!$B$4:$B$33,$B1670)=0),"procurement","cost_service"),"unclassified"))))))</f>
        <v>procurement</v>
      </c>
    </row>
    <row r="1671" spans="1:26" x14ac:dyDescent="0.25">
      <c r="A1671">
        <v>2024</v>
      </c>
      <c r="B1671">
        <v>55937</v>
      </c>
      <c r="C1671" t="s">
        <v>41</v>
      </c>
      <c r="D1671" t="s">
        <v>84</v>
      </c>
      <c r="E1671" t="s">
        <v>85</v>
      </c>
      <c r="F1671" t="s">
        <v>86</v>
      </c>
      <c r="G1671" t="s">
        <v>57</v>
      </c>
      <c r="H1671" t="s">
        <v>109</v>
      </c>
      <c r="I1671" t="s">
        <v>96</v>
      </c>
      <c r="J1671">
        <v>907326.8</v>
      </c>
      <c r="K1671">
        <v>6639981</v>
      </c>
      <c r="L1671">
        <v>457369</v>
      </c>
      <c r="M1671">
        <v>493772.9</v>
      </c>
      <c r="N1671">
        <v>5140970</v>
      </c>
      <c r="O1671">
        <v>55766</v>
      </c>
      <c r="P1671">
        <v>557027.6</v>
      </c>
      <c r="Q1671">
        <v>9488792</v>
      </c>
      <c r="R1671">
        <v>6081</v>
      </c>
      <c r="S1671" t="s">
        <v>97</v>
      </c>
      <c r="T1671" t="s">
        <v>97</v>
      </c>
      <c r="U1671" t="s">
        <v>97</v>
      </c>
      <c r="V1671">
        <v>1958127.3</v>
      </c>
      <c r="W1671">
        <v>21269743</v>
      </c>
      <c r="X1671">
        <v>519216</v>
      </c>
      <c r="Y1671">
        <f t="shared" si="26"/>
        <v>21269743</v>
      </c>
      <c r="Z1671" t="str">
        <f>IF(ISNUMBER(SEARCH("Adjustment",$C1671)),"excluded",IF($H1671="Behind the Meter","excluded",IF(NOT(OR($E1671="Bundled",$E1671="Energy")),"excluded",IF(OR($H1671="Retail Power Marketer",$H1671="Community Choice Aggregator",$E1671="Energy"),"procurement",IF(OR($H1671="Municipal",$H1671="Cooperative",$H1671="Federal",$H1671="State",$H1671="Political Subdivision"),"cost_service",IF($H1671="Investor Owned",IF(AND(COUNTIF(Parameters!$A$4:$A$33,$G1671)&gt;0,COUNTIF(Parameters!$B$4:$B$33,$B1671)=0),"procurement","cost_service"),"unclassified"))))))</f>
        <v>cost_service</v>
      </c>
    </row>
    <row r="1672" spans="1:26" x14ac:dyDescent="0.25">
      <c r="A1672">
        <v>2024</v>
      </c>
      <c r="B1672">
        <v>55959</v>
      </c>
      <c r="C1672" t="s">
        <v>1444</v>
      </c>
      <c r="D1672" t="s">
        <v>84</v>
      </c>
      <c r="E1672" t="s">
        <v>85</v>
      </c>
      <c r="F1672" t="s">
        <v>86</v>
      </c>
      <c r="G1672" t="s">
        <v>198</v>
      </c>
      <c r="H1672" t="s">
        <v>91</v>
      </c>
      <c r="I1672" t="s">
        <v>135</v>
      </c>
      <c r="J1672">
        <v>16734</v>
      </c>
      <c r="K1672">
        <v>163427</v>
      </c>
      <c r="L1672">
        <v>11183</v>
      </c>
      <c r="M1672">
        <v>37904</v>
      </c>
      <c r="N1672">
        <v>328186</v>
      </c>
      <c r="O1672">
        <v>3927</v>
      </c>
      <c r="P1672">
        <v>23006</v>
      </c>
      <c r="Q1672">
        <v>271288</v>
      </c>
      <c r="R1672">
        <v>77</v>
      </c>
      <c r="S1672">
        <v>0</v>
      </c>
      <c r="T1672">
        <v>0</v>
      </c>
      <c r="U1672">
        <v>0</v>
      </c>
      <c r="V1672">
        <v>77644</v>
      </c>
      <c r="W1672">
        <v>762901</v>
      </c>
      <c r="X1672">
        <v>15187</v>
      </c>
      <c r="Y1672">
        <f t="shared" si="26"/>
        <v>762901</v>
      </c>
      <c r="Z1672" t="str">
        <f>IF(ISNUMBER(SEARCH("Adjustment",$C1672)),"excluded",IF($H1672="Behind the Meter","excluded",IF(NOT(OR($E1672="Bundled",$E1672="Energy")),"excluded",IF(OR($H1672="Retail Power Marketer",$H1672="Community Choice Aggregator",$E1672="Energy"),"procurement",IF(OR($H1672="Municipal",$H1672="Cooperative",$H1672="Federal",$H1672="State",$H1672="Political Subdivision"),"cost_service",IF($H1672="Investor Owned",IF(AND(COUNTIF(Parameters!$A$4:$A$33,$G1672)&gt;0,COUNTIF(Parameters!$B$4:$B$33,$B1672)=0),"procurement","cost_service"),"unclassified"))))))</f>
        <v>cost_service</v>
      </c>
    </row>
    <row r="1673" spans="1:26" x14ac:dyDescent="0.25">
      <c r="A1673">
        <v>2024</v>
      </c>
      <c r="B1673">
        <v>55982</v>
      </c>
      <c r="C1673" t="s">
        <v>1445</v>
      </c>
      <c r="D1673" t="s">
        <v>84</v>
      </c>
      <c r="E1673" t="s">
        <v>85</v>
      </c>
      <c r="F1673" t="s">
        <v>86</v>
      </c>
      <c r="G1673" t="s">
        <v>57</v>
      </c>
      <c r="H1673" t="s">
        <v>91</v>
      </c>
      <c r="I1673" t="s">
        <v>151</v>
      </c>
      <c r="J1673">
        <v>43220</v>
      </c>
      <c r="K1673">
        <v>342370</v>
      </c>
      <c r="L1673">
        <v>18722</v>
      </c>
      <c r="M1673">
        <v>11987</v>
      </c>
      <c r="N1673">
        <v>86604</v>
      </c>
      <c r="O1673">
        <v>5928</v>
      </c>
      <c r="P1673">
        <v>11559</v>
      </c>
      <c r="Q1673">
        <v>207001</v>
      </c>
      <c r="R1673">
        <v>90</v>
      </c>
      <c r="S1673" t="s">
        <v>97</v>
      </c>
      <c r="T1673" t="s">
        <v>97</v>
      </c>
      <c r="U1673" t="s">
        <v>97</v>
      </c>
      <c r="V1673">
        <v>66766</v>
      </c>
      <c r="W1673">
        <v>635975</v>
      </c>
      <c r="X1673">
        <v>24740</v>
      </c>
      <c r="Y1673">
        <f t="shared" si="26"/>
        <v>635975</v>
      </c>
      <c r="Z1673" t="str">
        <f>IF(ISNUMBER(SEARCH("Adjustment",$C1673)),"excluded",IF($H1673="Behind the Meter","excluded",IF(NOT(OR($E1673="Bundled",$E1673="Energy")),"excluded",IF(OR($H1673="Retail Power Marketer",$H1673="Community Choice Aggregator",$E1673="Energy"),"procurement",IF(OR($H1673="Municipal",$H1673="Cooperative",$H1673="Federal",$H1673="State",$H1673="Political Subdivision"),"cost_service",IF($H1673="Investor Owned",IF(AND(COUNTIF(Parameters!$A$4:$A$33,$G1673)&gt;0,COUNTIF(Parameters!$B$4:$B$33,$B1673)=0),"procurement","cost_service"),"unclassified"))))))</f>
        <v>cost_service</v>
      </c>
    </row>
    <row r="1674" spans="1:26" x14ac:dyDescent="0.25">
      <c r="A1674">
        <v>2024</v>
      </c>
      <c r="B1674">
        <v>56146</v>
      </c>
      <c r="C1674" t="s">
        <v>1446</v>
      </c>
      <c r="D1674" t="s">
        <v>84</v>
      </c>
      <c r="E1674" t="s">
        <v>85</v>
      </c>
      <c r="F1674" t="s">
        <v>86</v>
      </c>
      <c r="G1674" t="s">
        <v>361</v>
      </c>
      <c r="H1674" t="s">
        <v>109</v>
      </c>
      <c r="I1674" t="s">
        <v>523</v>
      </c>
      <c r="J1674">
        <v>104284</v>
      </c>
      <c r="K1674">
        <v>611784</v>
      </c>
      <c r="L1674">
        <v>89252</v>
      </c>
      <c r="M1674">
        <v>103298</v>
      </c>
      <c r="N1674">
        <v>857046</v>
      </c>
      <c r="O1674">
        <v>12411</v>
      </c>
      <c r="P1674">
        <v>34814</v>
      </c>
      <c r="Q1674">
        <v>351971</v>
      </c>
      <c r="R1674">
        <v>55</v>
      </c>
      <c r="S1674">
        <v>0</v>
      </c>
      <c r="T1674">
        <v>0</v>
      </c>
      <c r="U1674">
        <v>0</v>
      </c>
      <c r="V1674">
        <v>242396</v>
      </c>
      <c r="W1674">
        <v>1820801</v>
      </c>
      <c r="X1674">
        <v>101718</v>
      </c>
      <c r="Y1674">
        <f t="shared" si="26"/>
        <v>1820801</v>
      </c>
      <c r="Z1674" t="str">
        <f>IF(ISNUMBER(SEARCH("Adjustment",$C1674)),"excluded",IF($H1674="Behind the Meter","excluded",IF(NOT(OR($E1674="Bundled",$E1674="Energy")),"excluded",IF(OR($H1674="Retail Power Marketer",$H1674="Community Choice Aggregator",$E1674="Energy"),"procurement",IF(OR($H1674="Municipal",$H1674="Cooperative",$H1674="Federal",$H1674="State",$H1674="Political Subdivision"),"cost_service",IF($H1674="Investor Owned",IF(AND(COUNTIF(Parameters!$A$4:$A$33,$G1674)&gt;0,COUNTIF(Parameters!$B$4:$B$33,$B1674)=0),"procurement","cost_service"),"unclassified"))))))</f>
        <v>cost_service</v>
      </c>
    </row>
    <row r="1675" spans="1:26" x14ac:dyDescent="0.25">
      <c r="A1675">
        <v>2024</v>
      </c>
      <c r="B1675">
        <v>56196</v>
      </c>
      <c r="C1675" t="s">
        <v>1447</v>
      </c>
      <c r="D1675" t="s">
        <v>99</v>
      </c>
      <c r="E1675" t="s">
        <v>100</v>
      </c>
      <c r="F1675" t="s">
        <v>86</v>
      </c>
      <c r="G1675" t="s">
        <v>53</v>
      </c>
      <c r="H1675" t="s">
        <v>101</v>
      </c>
      <c r="I1675" t="s">
        <v>102</v>
      </c>
      <c r="J1675">
        <v>4911.8</v>
      </c>
      <c r="K1675">
        <v>43938</v>
      </c>
      <c r="L1675">
        <v>6558</v>
      </c>
      <c r="M1675">
        <v>84.8</v>
      </c>
      <c r="N1675">
        <v>755</v>
      </c>
      <c r="O1675">
        <v>89</v>
      </c>
      <c r="P1675">
        <v>0</v>
      </c>
      <c r="Q1675">
        <v>0</v>
      </c>
      <c r="R1675">
        <v>0</v>
      </c>
      <c r="S1675">
        <v>0</v>
      </c>
      <c r="T1675">
        <v>0</v>
      </c>
      <c r="U1675">
        <v>0</v>
      </c>
      <c r="V1675">
        <v>4996.6000000000004</v>
      </c>
      <c r="W1675">
        <v>44693</v>
      </c>
      <c r="X1675">
        <v>6647</v>
      </c>
      <c r="Y1675">
        <f t="shared" si="26"/>
        <v>44693</v>
      </c>
      <c r="Z1675" t="str">
        <f>IF(ISNUMBER(SEARCH("Adjustment",$C1675)),"excluded",IF($H1675="Behind the Meter","excluded",IF(NOT(OR($E1675="Bundled",$E1675="Energy")),"excluded",IF(OR($H1675="Retail Power Marketer",$H1675="Community Choice Aggregator",$E1675="Energy"),"procurement",IF(OR($H1675="Municipal",$H1675="Cooperative",$H1675="Federal",$H1675="State",$H1675="Political Subdivision"),"cost_service",IF($H1675="Investor Owned",IF(AND(COUNTIF(Parameters!$A$4:$A$33,$G1675)&gt;0,COUNTIF(Parameters!$B$4:$B$33,$B1675)=0),"procurement","cost_service"),"unclassified"))))))</f>
        <v>procurement</v>
      </c>
    </row>
    <row r="1676" spans="1:26" x14ac:dyDescent="0.25">
      <c r="A1676">
        <v>2024</v>
      </c>
      <c r="B1676">
        <v>56212</v>
      </c>
      <c r="C1676" t="s">
        <v>1448</v>
      </c>
      <c r="D1676" t="s">
        <v>99</v>
      </c>
      <c r="E1676" t="s">
        <v>100</v>
      </c>
      <c r="F1676" t="s">
        <v>86</v>
      </c>
      <c r="G1676" t="s">
        <v>42</v>
      </c>
      <c r="H1676" t="s">
        <v>101</v>
      </c>
      <c r="I1676" t="s">
        <v>92</v>
      </c>
      <c r="J1676">
        <v>272.7</v>
      </c>
      <c r="K1676">
        <v>1877</v>
      </c>
      <c r="L1676">
        <v>247</v>
      </c>
      <c r="M1676">
        <v>246.8</v>
      </c>
      <c r="N1676">
        <v>1646</v>
      </c>
      <c r="O1676">
        <v>35</v>
      </c>
      <c r="P1676">
        <v>0</v>
      </c>
      <c r="Q1676">
        <v>0</v>
      </c>
      <c r="R1676">
        <v>0</v>
      </c>
      <c r="S1676">
        <v>0</v>
      </c>
      <c r="T1676">
        <v>0</v>
      </c>
      <c r="U1676">
        <v>0</v>
      </c>
      <c r="V1676">
        <v>519.5</v>
      </c>
      <c r="W1676">
        <v>3523</v>
      </c>
      <c r="X1676">
        <v>282</v>
      </c>
      <c r="Y1676">
        <f t="shared" si="26"/>
        <v>3523</v>
      </c>
      <c r="Z1676" t="str">
        <f>IF(ISNUMBER(SEARCH("Adjustment",$C1676)),"excluded",IF($H1676="Behind the Meter","excluded",IF(NOT(OR($E1676="Bundled",$E1676="Energy")),"excluded",IF(OR($H1676="Retail Power Marketer",$H1676="Community Choice Aggregator",$E1676="Energy"),"procurement",IF(OR($H1676="Municipal",$H1676="Cooperative",$H1676="Federal",$H1676="State",$H1676="Political Subdivision"),"cost_service",IF($H1676="Investor Owned",IF(AND(COUNTIF(Parameters!$A$4:$A$33,$G1676)&gt;0,COUNTIF(Parameters!$B$4:$B$33,$B1676)=0),"procurement","cost_service"),"unclassified"))))))</f>
        <v>procurement</v>
      </c>
    </row>
    <row r="1677" spans="1:26" x14ac:dyDescent="0.25">
      <c r="A1677">
        <v>2024</v>
      </c>
      <c r="B1677">
        <v>56212</v>
      </c>
      <c r="C1677" t="s">
        <v>1448</v>
      </c>
      <c r="D1677" t="s">
        <v>99</v>
      </c>
      <c r="E1677" t="s">
        <v>100</v>
      </c>
      <c r="F1677" t="s">
        <v>86</v>
      </c>
      <c r="G1677" t="s">
        <v>44</v>
      </c>
      <c r="H1677" t="s">
        <v>101</v>
      </c>
      <c r="I1677" t="s">
        <v>92</v>
      </c>
      <c r="J1677">
        <v>447.2</v>
      </c>
      <c r="K1677">
        <v>3281</v>
      </c>
      <c r="L1677">
        <v>292</v>
      </c>
      <c r="M1677">
        <v>65.400000000000006</v>
      </c>
      <c r="N1677">
        <v>550</v>
      </c>
      <c r="O1677">
        <v>30</v>
      </c>
      <c r="P1677">
        <v>0</v>
      </c>
      <c r="Q1677">
        <v>0</v>
      </c>
      <c r="R1677">
        <v>0</v>
      </c>
      <c r="S1677">
        <v>0</v>
      </c>
      <c r="T1677">
        <v>0</v>
      </c>
      <c r="U1677">
        <v>0</v>
      </c>
      <c r="V1677">
        <v>512.6</v>
      </c>
      <c r="W1677">
        <v>3831</v>
      </c>
      <c r="X1677">
        <v>322</v>
      </c>
      <c r="Y1677">
        <f t="shared" si="26"/>
        <v>3831</v>
      </c>
      <c r="Z1677" t="str">
        <f>IF(ISNUMBER(SEARCH("Adjustment",$C1677)),"excluded",IF($H1677="Behind the Meter","excluded",IF(NOT(OR($E1677="Bundled",$E1677="Energy")),"excluded",IF(OR($H1677="Retail Power Marketer",$H1677="Community Choice Aggregator",$E1677="Energy"),"procurement",IF(OR($H1677="Municipal",$H1677="Cooperative",$H1677="Federal",$H1677="State",$H1677="Political Subdivision"),"cost_service",IF($H1677="Investor Owned",IF(AND(COUNTIF(Parameters!$A$4:$A$33,$G1677)&gt;0,COUNTIF(Parameters!$B$4:$B$33,$B1677)=0),"procurement","cost_service"),"unclassified"))))))</f>
        <v>procurement</v>
      </c>
    </row>
    <row r="1678" spans="1:26" x14ac:dyDescent="0.25">
      <c r="A1678">
        <v>2024</v>
      </c>
      <c r="B1678">
        <v>56212</v>
      </c>
      <c r="C1678" t="s">
        <v>1448</v>
      </c>
      <c r="D1678" t="s">
        <v>99</v>
      </c>
      <c r="E1678" t="s">
        <v>100</v>
      </c>
      <c r="F1678" t="s">
        <v>86</v>
      </c>
      <c r="G1678" t="s">
        <v>46</v>
      </c>
      <c r="H1678" t="s">
        <v>101</v>
      </c>
      <c r="I1678" t="s">
        <v>96</v>
      </c>
      <c r="J1678">
        <v>22458.7</v>
      </c>
      <c r="K1678">
        <v>201116</v>
      </c>
      <c r="L1678">
        <v>24490</v>
      </c>
      <c r="M1678">
        <v>11326.6</v>
      </c>
      <c r="N1678">
        <v>89529</v>
      </c>
      <c r="O1678">
        <v>4949</v>
      </c>
      <c r="P1678">
        <v>0</v>
      </c>
      <c r="Q1678">
        <v>0</v>
      </c>
      <c r="R1678">
        <v>0</v>
      </c>
      <c r="S1678">
        <v>0</v>
      </c>
      <c r="T1678">
        <v>0</v>
      </c>
      <c r="U1678">
        <v>0</v>
      </c>
      <c r="V1678">
        <v>33785.300000000003</v>
      </c>
      <c r="W1678">
        <v>290645</v>
      </c>
      <c r="X1678">
        <v>29439</v>
      </c>
      <c r="Y1678">
        <f t="shared" si="26"/>
        <v>290645</v>
      </c>
      <c r="Z1678" t="str">
        <f>IF(ISNUMBER(SEARCH("Adjustment",$C1678)),"excluded",IF($H1678="Behind the Meter","excluded",IF(NOT(OR($E1678="Bundled",$E1678="Energy")),"excluded",IF(OR($H1678="Retail Power Marketer",$H1678="Community Choice Aggregator",$E1678="Energy"),"procurement",IF(OR($H1678="Municipal",$H1678="Cooperative",$H1678="Federal",$H1678="State",$H1678="Political Subdivision"),"cost_service",IF($H1678="Investor Owned",IF(AND(COUNTIF(Parameters!$A$4:$A$33,$G1678)&gt;0,COUNTIF(Parameters!$B$4:$B$33,$B1678)=0),"procurement","cost_service"),"unclassified"))))))</f>
        <v>procurement</v>
      </c>
    </row>
    <row r="1679" spans="1:26" x14ac:dyDescent="0.25">
      <c r="A1679">
        <v>2024</v>
      </c>
      <c r="B1679">
        <v>56212</v>
      </c>
      <c r="C1679" t="s">
        <v>1448</v>
      </c>
      <c r="D1679" t="s">
        <v>99</v>
      </c>
      <c r="E1679" t="s">
        <v>100</v>
      </c>
      <c r="F1679" t="s">
        <v>86</v>
      </c>
      <c r="G1679" t="s">
        <v>48</v>
      </c>
      <c r="H1679" t="s">
        <v>101</v>
      </c>
      <c r="I1679" t="s">
        <v>189</v>
      </c>
      <c r="J1679">
        <v>8236</v>
      </c>
      <c r="K1679">
        <v>41276</v>
      </c>
      <c r="L1679">
        <v>6282</v>
      </c>
      <c r="M1679">
        <v>4333.6000000000004</v>
      </c>
      <c r="N1679">
        <v>22380</v>
      </c>
      <c r="O1679">
        <v>1143</v>
      </c>
      <c r="P1679">
        <v>0</v>
      </c>
      <c r="Q1679">
        <v>0</v>
      </c>
      <c r="R1679">
        <v>0</v>
      </c>
      <c r="S1679">
        <v>0</v>
      </c>
      <c r="T1679">
        <v>0</v>
      </c>
      <c r="U1679">
        <v>0</v>
      </c>
      <c r="V1679">
        <v>12569.6</v>
      </c>
      <c r="W1679">
        <v>63656</v>
      </c>
      <c r="X1679">
        <v>7425</v>
      </c>
      <c r="Y1679">
        <f t="shared" si="26"/>
        <v>63656</v>
      </c>
      <c r="Z1679" t="str">
        <f>IF(ISNUMBER(SEARCH("Adjustment",$C1679)),"excluded",IF($H1679="Behind the Meter","excluded",IF(NOT(OR($E1679="Bundled",$E1679="Energy")),"excluded",IF(OR($H1679="Retail Power Marketer",$H1679="Community Choice Aggregator",$E1679="Energy"),"procurement",IF(OR($H1679="Municipal",$H1679="Cooperative",$H1679="Federal",$H1679="State",$H1679="Political Subdivision"),"cost_service",IF($H1679="Investor Owned",IF(AND(COUNTIF(Parameters!$A$4:$A$33,$G1679)&gt;0,COUNTIF(Parameters!$B$4:$B$33,$B1679)=0),"procurement","cost_service"),"unclassified"))))))</f>
        <v>procurement</v>
      </c>
    </row>
    <row r="1680" spans="1:26" x14ac:dyDescent="0.25">
      <c r="A1680">
        <v>2024</v>
      </c>
      <c r="B1680">
        <v>56212</v>
      </c>
      <c r="C1680" t="s">
        <v>1448</v>
      </c>
      <c r="D1680" t="s">
        <v>99</v>
      </c>
      <c r="E1680" t="s">
        <v>100</v>
      </c>
      <c r="F1680" t="s">
        <v>86</v>
      </c>
      <c r="G1680" t="s">
        <v>49</v>
      </c>
      <c r="H1680" t="s">
        <v>101</v>
      </c>
      <c r="I1680" t="s">
        <v>92</v>
      </c>
      <c r="J1680">
        <v>8930.5</v>
      </c>
      <c r="K1680">
        <v>59634</v>
      </c>
      <c r="L1680">
        <v>5298</v>
      </c>
      <c r="M1680">
        <v>1637.3</v>
      </c>
      <c r="N1680">
        <v>12657</v>
      </c>
      <c r="O1680">
        <v>498</v>
      </c>
      <c r="P1680">
        <v>0</v>
      </c>
      <c r="Q1680">
        <v>0</v>
      </c>
      <c r="R1680">
        <v>0</v>
      </c>
      <c r="S1680">
        <v>0</v>
      </c>
      <c r="T1680">
        <v>0</v>
      </c>
      <c r="U1680">
        <v>0</v>
      </c>
      <c r="V1680">
        <v>10567.8</v>
      </c>
      <c r="W1680">
        <v>72291</v>
      </c>
      <c r="X1680">
        <v>5796</v>
      </c>
      <c r="Y1680">
        <f t="shared" si="26"/>
        <v>72291</v>
      </c>
      <c r="Z1680" t="str">
        <f>IF(ISNUMBER(SEARCH("Adjustment",$C1680)),"excluded",IF($H1680="Behind the Meter","excluded",IF(NOT(OR($E1680="Bundled",$E1680="Energy")),"excluded",IF(OR($H1680="Retail Power Marketer",$H1680="Community Choice Aggregator",$E1680="Energy"),"procurement",IF(OR($H1680="Municipal",$H1680="Cooperative",$H1680="Federal",$H1680="State",$H1680="Political Subdivision"),"cost_service",IF($H1680="Investor Owned",IF(AND(COUNTIF(Parameters!$A$4:$A$33,$G1680)&gt;0,COUNTIF(Parameters!$B$4:$B$33,$B1680)=0),"procurement","cost_service"),"unclassified"))))))</f>
        <v>procurement</v>
      </c>
    </row>
    <row r="1681" spans="1:26" x14ac:dyDescent="0.25">
      <c r="A1681">
        <v>2024</v>
      </c>
      <c r="B1681">
        <v>56212</v>
      </c>
      <c r="C1681" t="s">
        <v>1448</v>
      </c>
      <c r="D1681" t="s">
        <v>99</v>
      </c>
      <c r="E1681" t="s">
        <v>100</v>
      </c>
      <c r="F1681" t="s">
        <v>86</v>
      </c>
      <c r="G1681" t="s">
        <v>50</v>
      </c>
      <c r="H1681" t="s">
        <v>101</v>
      </c>
      <c r="I1681" t="s">
        <v>189</v>
      </c>
      <c r="J1681">
        <v>3178.1</v>
      </c>
      <c r="K1681">
        <v>20312</v>
      </c>
      <c r="L1681">
        <v>3044</v>
      </c>
      <c r="M1681">
        <v>773.5</v>
      </c>
      <c r="N1681">
        <v>4972</v>
      </c>
      <c r="O1681">
        <v>320</v>
      </c>
      <c r="P1681">
        <v>0</v>
      </c>
      <c r="Q1681">
        <v>0</v>
      </c>
      <c r="R1681">
        <v>0</v>
      </c>
      <c r="S1681">
        <v>0</v>
      </c>
      <c r="T1681">
        <v>0</v>
      </c>
      <c r="U1681">
        <v>0</v>
      </c>
      <c r="V1681">
        <v>3951.6</v>
      </c>
      <c r="W1681">
        <v>25284</v>
      </c>
      <c r="X1681">
        <v>3364</v>
      </c>
      <c r="Y1681">
        <f t="shared" si="26"/>
        <v>25284</v>
      </c>
      <c r="Z1681" t="str">
        <f>IF(ISNUMBER(SEARCH("Adjustment",$C1681)),"excluded",IF($H1681="Behind the Meter","excluded",IF(NOT(OR($E1681="Bundled",$E1681="Energy")),"excluded",IF(OR($H1681="Retail Power Marketer",$H1681="Community Choice Aggregator",$E1681="Energy"),"procurement",IF(OR($H1681="Municipal",$H1681="Cooperative",$H1681="Federal",$H1681="State",$H1681="Political Subdivision"),"cost_service",IF($H1681="Investor Owned",IF(AND(COUNTIF(Parameters!$A$4:$A$33,$G1681)&gt;0,COUNTIF(Parameters!$B$4:$B$33,$B1681)=0),"procurement","cost_service"),"unclassified"))))))</f>
        <v>procurement</v>
      </c>
    </row>
    <row r="1682" spans="1:26" x14ac:dyDescent="0.25">
      <c r="A1682">
        <v>2024</v>
      </c>
      <c r="B1682">
        <v>56212</v>
      </c>
      <c r="C1682" t="s">
        <v>1448</v>
      </c>
      <c r="D1682" t="s">
        <v>99</v>
      </c>
      <c r="E1682" t="s">
        <v>100</v>
      </c>
      <c r="F1682" t="s">
        <v>86</v>
      </c>
      <c r="G1682" t="s">
        <v>51</v>
      </c>
      <c r="H1682" t="s">
        <v>101</v>
      </c>
      <c r="I1682" t="s">
        <v>189</v>
      </c>
      <c r="J1682">
        <v>1582.5</v>
      </c>
      <c r="K1682">
        <v>10356</v>
      </c>
      <c r="L1682">
        <v>1423</v>
      </c>
      <c r="M1682">
        <v>975.3</v>
      </c>
      <c r="N1682">
        <v>7105</v>
      </c>
      <c r="O1682">
        <v>388</v>
      </c>
      <c r="P1682">
        <v>0</v>
      </c>
      <c r="Q1682">
        <v>0</v>
      </c>
      <c r="R1682">
        <v>0</v>
      </c>
      <c r="S1682">
        <v>0</v>
      </c>
      <c r="T1682">
        <v>0</v>
      </c>
      <c r="U1682">
        <v>0</v>
      </c>
      <c r="V1682">
        <v>2557.8000000000002</v>
      </c>
      <c r="W1682">
        <v>17461</v>
      </c>
      <c r="X1682">
        <v>1811</v>
      </c>
      <c r="Y1682">
        <f t="shared" si="26"/>
        <v>17461</v>
      </c>
      <c r="Z1682" t="str">
        <f>IF(ISNUMBER(SEARCH("Adjustment",$C1682)),"excluded",IF($H1682="Behind the Meter","excluded",IF(NOT(OR($E1682="Bundled",$E1682="Energy")),"excluded",IF(OR($H1682="Retail Power Marketer",$H1682="Community Choice Aggregator",$E1682="Energy"),"procurement",IF(OR($H1682="Municipal",$H1682="Cooperative",$H1682="Federal",$H1682="State",$H1682="Political Subdivision"),"cost_service",IF($H1682="Investor Owned",IF(AND(COUNTIF(Parameters!$A$4:$A$33,$G1682)&gt;0,COUNTIF(Parameters!$B$4:$B$33,$B1682)=0),"procurement","cost_service"),"unclassified"))))))</f>
        <v>procurement</v>
      </c>
    </row>
    <row r="1683" spans="1:26" x14ac:dyDescent="0.25">
      <c r="A1683">
        <v>2024</v>
      </c>
      <c r="B1683">
        <v>56212</v>
      </c>
      <c r="C1683" t="s">
        <v>1448</v>
      </c>
      <c r="D1683" t="s">
        <v>99</v>
      </c>
      <c r="E1683" t="s">
        <v>100</v>
      </c>
      <c r="F1683" t="s">
        <v>86</v>
      </c>
      <c r="G1683" t="s">
        <v>52</v>
      </c>
      <c r="H1683" t="s">
        <v>101</v>
      </c>
      <c r="I1683" t="s">
        <v>92</v>
      </c>
      <c r="J1683">
        <v>8882</v>
      </c>
      <c r="K1683">
        <v>57920</v>
      </c>
      <c r="L1683">
        <v>5962</v>
      </c>
      <c r="M1683">
        <v>3805</v>
      </c>
      <c r="N1683">
        <v>28655</v>
      </c>
      <c r="O1683">
        <v>1228</v>
      </c>
      <c r="P1683">
        <v>0</v>
      </c>
      <c r="Q1683">
        <v>0</v>
      </c>
      <c r="R1683">
        <v>0</v>
      </c>
      <c r="S1683">
        <v>0</v>
      </c>
      <c r="T1683">
        <v>0</v>
      </c>
      <c r="U1683">
        <v>0</v>
      </c>
      <c r="V1683">
        <v>12687</v>
      </c>
      <c r="W1683">
        <v>86575</v>
      </c>
      <c r="X1683">
        <v>7190</v>
      </c>
      <c r="Y1683">
        <f t="shared" si="26"/>
        <v>86575</v>
      </c>
      <c r="Z1683" t="str">
        <f>IF(ISNUMBER(SEARCH("Adjustment",$C1683)),"excluded",IF($H1683="Behind the Meter","excluded",IF(NOT(OR($E1683="Bundled",$E1683="Energy")),"excluded",IF(OR($H1683="Retail Power Marketer",$H1683="Community Choice Aggregator",$E1683="Energy"),"procurement",IF(OR($H1683="Municipal",$H1683="Cooperative",$H1683="Federal",$H1683="State",$H1683="Political Subdivision"),"cost_service",IF($H1683="Investor Owned",IF(AND(COUNTIF(Parameters!$A$4:$A$33,$G1683)&gt;0,COUNTIF(Parameters!$B$4:$B$33,$B1683)=0),"procurement","cost_service"),"unclassified"))))))</f>
        <v>procurement</v>
      </c>
    </row>
    <row r="1684" spans="1:26" x14ac:dyDescent="0.25">
      <c r="A1684">
        <v>2024</v>
      </c>
      <c r="B1684">
        <v>56212</v>
      </c>
      <c r="C1684" t="s">
        <v>1448</v>
      </c>
      <c r="D1684" t="s">
        <v>99</v>
      </c>
      <c r="E1684" t="s">
        <v>100</v>
      </c>
      <c r="F1684" t="s">
        <v>86</v>
      </c>
      <c r="G1684" t="s">
        <v>54</v>
      </c>
      <c r="H1684" t="s">
        <v>101</v>
      </c>
      <c r="I1684" t="s">
        <v>92</v>
      </c>
      <c r="J1684">
        <v>1744.9</v>
      </c>
      <c r="K1684">
        <v>14954</v>
      </c>
      <c r="L1684">
        <v>1534</v>
      </c>
      <c r="M1684">
        <v>469.4</v>
      </c>
      <c r="N1684">
        <v>5028</v>
      </c>
      <c r="O1684">
        <v>252</v>
      </c>
      <c r="P1684">
        <v>0</v>
      </c>
      <c r="Q1684">
        <v>0</v>
      </c>
      <c r="R1684">
        <v>0</v>
      </c>
      <c r="S1684">
        <v>0</v>
      </c>
      <c r="T1684">
        <v>0</v>
      </c>
      <c r="U1684">
        <v>0</v>
      </c>
      <c r="V1684">
        <v>2214.3000000000002</v>
      </c>
      <c r="W1684">
        <v>19982</v>
      </c>
      <c r="X1684">
        <v>1786</v>
      </c>
      <c r="Y1684">
        <f t="shared" si="26"/>
        <v>19982</v>
      </c>
      <c r="Z1684" t="str">
        <f>IF(ISNUMBER(SEARCH("Adjustment",$C1684)),"excluded",IF($H1684="Behind the Meter","excluded",IF(NOT(OR($E1684="Bundled",$E1684="Energy")),"excluded",IF(OR($H1684="Retail Power Marketer",$H1684="Community Choice Aggregator",$E1684="Energy"),"procurement",IF(OR($H1684="Municipal",$H1684="Cooperative",$H1684="Federal",$H1684="State",$H1684="Political Subdivision"),"cost_service",IF($H1684="Investor Owned",IF(AND(COUNTIF(Parameters!$A$4:$A$33,$G1684)&gt;0,COUNTIF(Parameters!$B$4:$B$33,$B1684)=0),"procurement","cost_service"),"unclassified"))))))</f>
        <v>procurement</v>
      </c>
    </row>
    <row r="1685" spans="1:26" x14ac:dyDescent="0.25">
      <c r="A1685">
        <v>2024</v>
      </c>
      <c r="B1685">
        <v>56212</v>
      </c>
      <c r="C1685" t="s">
        <v>1448</v>
      </c>
      <c r="D1685" t="s">
        <v>99</v>
      </c>
      <c r="E1685" t="s">
        <v>100</v>
      </c>
      <c r="F1685" t="s">
        <v>86</v>
      </c>
      <c r="G1685" t="s">
        <v>55</v>
      </c>
      <c r="H1685" t="s">
        <v>101</v>
      </c>
      <c r="I1685" t="s">
        <v>92</v>
      </c>
      <c r="J1685">
        <v>24300.5</v>
      </c>
      <c r="K1685">
        <v>182135</v>
      </c>
      <c r="L1685">
        <v>17027</v>
      </c>
      <c r="M1685">
        <v>6435.2</v>
      </c>
      <c r="N1685">
        <v>66402</v>
      </c>
      <c r="O1685">
        <v>3323</v>
      </c>
      <c r="P1685">
        <v>0</v>
      </c>
      <c r="Q1685">
        <v>0</v>
      </c>
      <c r="R1685">
        <v>0</v>
      </c>
      <c r="S1685">
        <v>0</v>
      </c>
      <c r="T1685">
        <v>0</v>
      </c>
      <c r="U1685">
        <v>0</v>
      </c>
      <c r="V1685">
        <v>30735.7</v>
      </c>
      <c r="W1685">
        <v>248537</v>
      </c>
      <c r="X1685">
        <v>20350</v>
      </c>
      <c r="Y1685">
        <f t="shared" si="26"/>
        <v>248537</v>
      </c>
      <c r="Z1685" t="str">
        <f>IF(ISNUMBER(SEARCH("Adjustment",$C1685)),"excluded",IF($H1685="Behind the Meter","excluded",IF(NOT(OR($E1685="Bundled",$E1685="Energy")),"excluded",IF(OR($H1685="Retail Power Marketer",$H1685="Community Choice Aggregator",$E1685="Energy"),"procurement",IF(OR($H1685="Municipal",$H1685="Cooperative",$H1685="Federal",$H1685="State",$H1685="Political Subdivision"),"cost_service",IF($H1685="Investor Owned",IF(AND(COUNTIF(Parameters!$A$4:$A$33,$G1685)&gt;0,COUNTIF(Parameters!$B$4:$B$33,$B1685)=0),"procurement","cost_service"),"unclassified"))))))</f>
        <v>procurement</v>
      </c>
    </row>
    <row r="1686" spans="1:26" x14ac:dyDescent="0.25">
      <c r="A1686">
        <v>2024</v>
      </c>
      <c r="B1686">
        <v>56212</v>
      </c>
      <c r="C1686" t="s">
        <v>1448</v>
      </c>
      <c r="D1686" t="s">
        <v>99</v>
      </c>
      <c r="E1686" t="s">
        <v>100</v>
      </c>
      <c r="F1686" t="s">
        <v>86</v>
      </c>
      <c r="G1686" t="s">
        <v>56</v>
      </c>
      <c r="H1686" t="s">
        <v>101</v>
      </c>
      <c r="I1686" t="s">
        <v>189</v>
      </c>
      <c r="J1686">
        <v>842.6</v>
      </c>
      <c r="K1686">
        <v>5453</v>
      </c>
      <c r="L1686">
        <v>803</v>
      </c>
      <c r="M1686">
        <v>456.2</v>
      </c>
      <c r="N1686">
        <v>2818</v>
      </c>
      <c r="O1686">
        <v>180</v>
      </c>
      <c r="P1686">
        <v>0</v>
      </c>
      <c r="Q1686">
        <v>0</v>
      </c>
      <c r="R1686">
        <v>0</v>
      </c>
      <c r="S1686">
        <v>0</v>
      </c>
      <c r="T1686">
        <v>0</v>
      </c>
      <c r="U1686">
        <v>0</v>
      </c>
      <c r="V1686">
        <v>1298.8</v>
      </c>
      <c r="W1686">
        <v>8271</v>
      </c>
      <c r="X1686">
        <v>983</v>
      </c>
      <c r="Y1686">
        <f t="shared" si="26"/>
        <v>8271</v>
      </c>
      <c r="Z1686" t="str">
        <f>IF(ISNUMBER(SEARCH("Adjustment",$C1686)),"excluded",IF($H1686="Behind the Meter","excluded",IF(NOT(OR($E1686="Bundled",$E1686="Energy")),"excluded",IF(OR($H1686="Retail Power Marketer",$H1686="Community Choice Aggregator",$E1686="Energy"),"procurement",IF(OR($H1686="Municipal",$H1686="Cooperative",$H1686="Federal",$H1686="State",$H1686="Political Subdivision"),"cost_service",IF($H1686="Investor Owned",IF(AND(COUNTIF(Parameters!$A$4:$A$33,$G1686)&gt;0,COUNTIF(Parameters!$B$4:$B$33,$B1686)=0),"procurement","cost_service"),"unclassified"))))))</f>
        <v>procurement</v>
      </c>
    </row>
    <row r="1687" spans="1:26" x14ac:dyDescent="0.25">
      <c r="A1687">
        <v>2024</v>
      </c>
      <c r="B1687">
        <v>56212</v>
      </c>
      <c r="C1687" t="s">
        <v>1448</v>
      </c>
      <c r="D1687" t="s">
        <v>150</v>
      </c>
      <c r="E1687" t="s">
        <v>85</v>
      </c>
      <c r="F1687" t="s">
        <v>86</v>
      </c>
      <c r="G1687" t="s">
        <v>57</v>
      </c>
      <c r="H1687" t="s">
        <v>101</v>
      </c>
      <c r="I1687" t="s">
        <v>151</v>
      </c>
      <c r="J1687">
        <v>771243.6</v>
      </c>
      <c r="K1687">
        <v>4107956</v>
      </c>
      <c r="L1687">
        <v>360476</v>
      </c>
      <c r="M1687">
        <v>82828.899999999994</v>
      </c>
      <c r="N1687">
        <v>441432</v>
      </c>
      <c r="O1687">
        <v>23186</v>
      </c>
      <c r="P1687">
        <v>0</v>
      </c>
      <c r="Q1687">
        <v>0</v>
      </c>
      <c r="R1687">
        <v>0</v>
      </c>
      <c r="S1687">
        <v>0</v>
      </c>
      <c r="T1687">
        <v>0</v>
      </c>
      <c r="U1687">
        <v>0</v>
      </c>
      <c r="V1687">
        <v>854072.5</v>
      </c>
      <c r="W1687">
        <v>4549388</v>
      </c>
      <c r="X1687">
        <v>383662</v>
      </c>
      <c r="Y1687">
        <f t="shared" si="26"/>
        <v>4549388</v>
      </c>
      <c r="Z1687" t="str">
        <f>IF(ISNUMBER(SEARCH("Adjustment",$C1687)),"excluded",IF($H1687="Behind the Meter","excluded",IF(NOT(OR($E1687="Bundled",$E1687="Energy")),"excluded",IF(OR($H1687="Retail Power Marketer",$H1687="Community Choice Aggregator",$E1687="Energy"),"procurement",IF(OR($H1687="Municipal",$H1687="Cooperative",$H1687="Federal",$H1687="State",$H1687="Political Subdivision"),"cost_service",IF($H1687="Investor Owned",IF(AND(COUNTIF(Parameters!$A$4:$A$33,$G1687)&gt;0,COUNTIF(Parameters!$B$4:$B$33,$B1687)=0),"procurement","cost_service"),"unclassified"))))))</f>
        <v>procurement</v>
      </c>
    </row>
    <row r="1688" spans="1:26" x14ac:dyDescent="0.25">
      <c r="A1688">
        <v>2024</v>
      </c>
      <c r="B1688">
        <v>56220</v>
      </c>
      <c r="C1688" t="s">
        <v>1449</v>
      </c>
      <c r="D1688" t="s">
        <v>99</v>
      </c>
      <c r="E1688" t="s">
        <v>100</v>
      </c>
      <c r="F1688" t="s">
        <v>86</v>
      </c>
      <c r="G1688" t="s">
        <v>55</v>
      </c>
      <c r="H1688" t="s">
        <v>101</v>
      </c>
      <c r="I1688" t="s">
        <v>92</v>
      </c>
      <c r="J1688">
        <v>737</v>
      </c>
      <c r="K1688">
        <v>8230</v>
      </c>
      <c r="L1688">
        <v>697</v>
      </c>
      <c r="M1688">
        <v>16822.8</v>
      </c>
      <c r="N1688">
        <v>227822</v>
      </c>
      <c r="O1688">
        <v>245</v>
      </c>
      <c r="P1688">
        <v>0</v>
      </c>
      <c r="Q1688">
        <v>0</v>
      </c>
      <c r="R1688">
        <v>0</v>
      </c>
      <c r="S1688">
        <v>0</v>
      </c>
      <c r="T1688">
        <v>0</v>
      </c>
      <c r="U1688">
        <v>0</v>
      </c>
      <c r="V1688">
        <v>17559.8</v>
      </c>
      <c r="W1688">
        <v>236052</v>
      </c>
      <c r="X1688">
        <v>942</v>
      </c>
      <c r="Y1688">
        <f t="shared" si="26"/>
        <v>236052</v>
      </c>
      <c r="Z1688" t="str">
        <f>IF(ISNUMBER(SEARCH("Adjustment",$C1688)),"excluded",IF($H1688="Behind the Meter","excluded",IF(NOT(OR($E1688="Bundled",$E1688="Energy")),"excluded",IF(OR($H1688="Retail Power Marketer",$H1688="Community Choice Aggregator",$E1688="Energy"),"procurement",IF(OR($H1688="Municipal",$H1688="Cooperative",$H1688="Federal",$H1688="State",$H1688="Political Subdivision"),"cost_service",IF($H1688="Investor Owned",IF(AND(COUNTIF(Parameters!$A$4:$A$33,$G1688)&gt;0,COUNTIF(Parameters!$B$4:$B$33,$B1688)=0),"procurement","cost_service"),"unclassified"))))))</f>
        <v>procurement</v>
      </c>
    </row>
    <row r="1689" spans="1:26" x14ac:dyDescent="0.25">
      <c r="A1689">
        <v>2024</v>
      </c>
      <c r="B1689">
        <v>56223</v>
      </c>
      <c r="C1689" t="s">
        <v>1450</v>
      </c>
      <c r="D1689" t="s">
        <v>99</v>
      </c>
      <c r="E1689" t="s">
        <v>100</v>
      </c>
      <c r="F1689" t="s">
        <v>86</v>
      </c>
      <c r="G1689" t="s">
        <v>242</v>
      </c>
      <c r="H1689" t="s">
        <v>101</v>
      </c>
      <c r="I1689" t="s">
        <v>390</v>
      </c>
      <c r="J1689">
        <v>0</v>
      </c>
      <c r="K1689">
        <v>0</v>
      </c>
      <c r="L1689">
        <v>0</v>
      </c>
      <c r="M1689">
        <v>689.3</v>
      </c>
      <c r="N1689">
        <v>12765</v>
      </c>
      <c r="O1689">
        <v>1</v>
      </c>
      <c r="P1689">
        <v>0</v>
      </c>
      <c r="Q1689">
        <v>0</v>
      </c>
      <c r="R1689">
        <v>0</v>
      </c>
      <c r="S1689">
        <v>0</v>
      </c>
      <c r="T1689">
        <v>0</v>
      </c>
      <c r="U1689">
        <v>0</v>
      </c>
      <c r="V1689">
        <v>689.3</v>
      </c>
      <c r="W1689">
        <v>12765</v>
      </c>
      <c r="X1689">
        <v>1</v>
      </c>
      <c r="Y1689">
        <f t="shared" si="26"/>
        <v>12765</v>
      </c>
      <c r="Z1689" t="str">
        <f>IF(ISNUMBER(SEARCH("Adjustment",$C1689)),"excluded",IF($H1689="Behind the Meter","excluded",IF(NOT(OR($E1689="Bundled",$E1689="Energy")),"excluded",IF(OR($H1689="Retail Power Marketer",$H1689="Community Choice Aggregator",$E1689="Energy"),"procurement",IF(OR($H1689="Municipal",$H1689="Cooperative",$H1689="Federal",$H1689="State",$H1689="Political Subdivision"),"cost_service",IF($H1689="Investor Owned",IF(AND(COUNTIF(Parameters!$A$4:$A$33,$G1689)&gt;0,COUNTIF(Parameters!$B$4:$B$33,$B1689)=0),"procurement","cost_service"),"unclassified"))))))</f>
        <v>procurement</v>
      </c>
    </row>
    <row r="1690" spans="1:26" x14ac:dyDescent="0.25">
      <c r="A1690">
        <v>2024</v>
      </c>
      <c r="B1690">
        <v>56248</v>
      </c>
      <c r="C1690" t="s">
        <v>1451</v>
      </c>
      <c r="D1690" t="s">
        <v>150</v>
      </c>
      <c r="E1690" t="s">
        <v>85</v>
      </c>
      <c r="F1690" t="s">
        <v>86</v>
      </c>
      <c r="G1690" t="s">
        <v>57</v>
      </c>
      <c r="H1690" t="s">
        <v>101</v>
      </c>
      <c r="I1690" t="s">
        <v>151</v>
      </c>
      <c r="J1690">
        <v>119805</v>
      </c>
      <c r="K1690">
        <v>616988</v>
      </c>
      <c r="L1690">
        <v>53002</v>
      </c>
      <c r="M1690">
        <v>0</v>
      </c>
      <c r="N1690">
        <v>0</v>
      </c>
      <c r="O1690">
        <v>0</v>
      </c>
      <c r="P1690">
        <v>0</v>
      </c>
      <c r="Q1690">
        <v>0</v>
      </c>
      <c r="R1690">
        <v>0</v>
      </c>
      <c r="S1690">
        <v>0</v>
      </c>
      <c r="T1690">
        <v>0</v>
      </c>
      <c r="U1690">
        <v>0</v>
      </c>
      <c r="V1690">
        <v>119805</v>
      </c>
      <c r="W1690">
        <v>616988</v>
      </c>
      <c r="X1690">
        <v>53002</v>
      </c>
      <c r="Y1690">
        <f t="shared" si="26"/>
        <v>616988</v>
      </c>
      <c r="Z1690" t="str">
        <f>IF(ISNUMBER(SEARCH("Adjustment",$C1690)),"excluded",IF($H1690="Behind the Meter","excluded",IF(NOT(OR($E1690="Bundled",$E1690="Energy")),"excluded",IF(OR($H1690="Retail Power Marketer",$H1690="Community Choice Aggregator",$E1690="Energy"),"procurement",IF(OR($H1690="Municipal",$H1690="Cooperative",$H1690="Federal",$H1690="State",$H1690="Political Subdivision"),"cost_service",IF($H1690="Investor Owned",IF(AND(COUNTIF(Parameters!$A$4:$A$33,$G1690)&gt;0,COUNTIF(Parameters!$B$4:$B$33,$B1690)=0),"procurement","cost_service"),"unclassified"))))))</f>
        <v>procurement</v>
      </c>
    </row>
    <row r="1691" spans="1:26" x14ac:dyDescent="0.25">
      <c r="A1691">
        <v>2024</v>
      </c>
      <c r="B1691">
        <v>56265</v>
      </c>
      <c r="C1691" t="s">
        <v>1452</v>
      </c>
      <c r="D1691" t="s">
        <v>99</v>
      </c>
      <c r="E1691" t="s">
        <v>100</v>
      </c>
      <c r="F1691" t="s">
        <v>86</v>
      </c>
      <c r="G1691" t="s">
        <v>40</v>
      </c>
      <c r="H1691" t="s">
        <v>101</v>
      </c>
      <c r="I1691" t="s">
        <v>189</v>
      </c>
      <c r="J1691">
        <v>28.5</v>
      </c>
      <c r="K1691">
        <v>357</v>
      </c>
      <c r="L1691">
        <v>30</v>
      </c>
      <c r="M1691">
        <v>68.7</v>
      </c>
      <c r="N1691">
        <v>862</v>
      </c>
      <c r="O1691">
        <v>35</v>
      </c>
      <c r="P1691">
        <v>0</v>
      </c>
      <c r="Q1691">
        <v>0</v>
      </c>
      <c r="R1691">
        <v>0</v>
      </c>
      <c r="S1691">
        <v>0</v>
      </c>
      <c r="T1691">
        <v>0</v>
      </c>
      <c r="U1691">
        <v>0</v>
      </c>
      <c r="V1691">
        <v>97.2</v>
      </c>
      <c r="W1691">
        <v>1219</v>
      </c>
      <c r="X1691">
        <v>65</v>
      </c>
      <c r="Y1691">
        <f t="shared" si="26"/>
        <v>1219</v>
      </c>
      <c r="Z1691" t="str">
        <f>IF(ISNUMBER(SEARCH("Adjustment",$C1691)),"excluded",IF($H1691="Behind the Meter","excluded",IF(NOT(OR($E1691="Bundled",$E1691="Energy")),"excluded",IF(OR($H1691="Retail Power Marketer",$H1691="Community Choice Aggregator",$E1691="Energy"),"procurement",IF(OR($H1691="Municipal",$H1691="Cooperative",$H1691="Federal",$H1691="State",$H1691="Political Subdivision"),"cost_service",IF($H1691="Investor Owned",IF(AND(COUNTIF(Parameters!$A$4:$A$33,$G1691)&gt;0,COUNTIF(Parameters!$B$4:$B$33,$B1691)=0),"procurement","cost_service"),"unclassified"))))))</f>
        <v>procurement</v>
      </c>
    </row>
    <row r="1692" spans="1:26" x14ac:dyDescent="0.25">
      <c r="A1692">
        <v>2024</v>
      </c>
      <c r="B1692">
        <v>56265</v>
      </c>
      <c r="C1692" t="s">
        <v>1452</v>
      </c>
      <c r="D1692" t="s">
        <v>99</v>
      </c>
      <c r="E1692" t="s">
        <v>100</v>
      </c>
      <c r="F1692" t="s">
        <v>86</v>
      </c>
      <c r="G1692" t="s">
        <v>46</v>
      </c>
      <c r="H1692" t="s">
        <v>101</v>
      </c>
      <c r="I1692" t="s">
        <v>92</v>
      </c>
      <c r="J1692">
        <v>5307.2</v>
      </c>
      <c r="K1692">
        <v>42761</v>
      </c>
      <c r="L1692">
        <v>6028</v>
      </c>
      <c r="M1692">
        <v>533.9</v>
      </c>
      <c r="N1692">
        <v>4302</v>
      </c>
      <c r="O1692">
        <v>260</v>
      </c>
      <c r="P1692">
        <v>0</v>
      </c>
      <c r="Q1692">
        <v>0</v>
      </c>
      <c r="R1692">
        <v>0</v>
      </c>
      <c r="S1692">
        <v>0</v>
      </c>
      <c r="T1692">
        <v>0</v>
      </c>
      <c r="U1692">
        <v>0</v>
      </c>
      <c r="V1692">
        <v>5841.1</v>
      </c>
      <c r="W1692">
        <v>47063</v>
      </c>
      <c r="X1692">
        <v>6288</v>
      </c>
      <c r="Y1692">
        <f t="shared" si="26"/>
        <v>47063</v>
      </c>
      <c r="Z1692" t="str">
        <f>IF(ISNUMBER(SEARCH("Adjustment",$C1692)),"excluded",IF($H1692="Behind the Meter","excluded",IF(NOT(OR($E1692="Bundled",$E1692="Energy")),"excluded",IF(OR($H1692="Retail Power Marketer",$H1692="Community Choice Aggregator",$E1692="Energy"),"procurement",IF(OR($H1692="Municipal",$H1692="Cooperative",$H1692="Federal",$H1692="State",$H1692="Political Subdivision"),"cost_service",IF($H1692="Investor Owned",IF(AND(COUNTIF(Parameters!$A$4:$A$33,$G1692)&gt;0,COUNTIF(Parameters!$B$4:$B$33,$B1692)=0),"procurement","cost_service"),"unclassified"))))))</f>
        <v>procurement</v>
      </c>
    </row>
    <row r="1693" spans="1:26" x14ac:dyDescent="0.25">
      <c r="A1693">
        <v>2024</v>
      </c>
      <c r="B1693">
        <v>56265</v>
      </c>
      <c r="C1693" t="s">
        <v>1452</v>
      </c>
      <c r="D1693" t="s">
        <v>99</v>
      </c>
      <c r="E1693" t="s">
        <v>100</v>
      </c>
      <c r="F1693" t="s">
        <v>86</v>
      </c>
      <c r="G1693" t="s">
        <v>48</v>
      </c>
      <c r="H1693" t="s">
        <v>101</v>
      </c>
      <c r="I1693" t="s">
        <v>189</v>
      </c>
      <c r="J1693">
        <v>1531.3</v>
      </c>
      <c r="K1693">
        <v>7430</v>
      </c>
      <c r="L1693">
        <v>1222</v>
      </c>
      <c r="M1693">
        <v>130.9</v>
      </c>
      <c r="N1693">
        <v>635</v>
      </c>
      <c r="O1693">
        <v>47</v>
      </c>
      <c r="P1693">
        <v>0</v>
      </c>
      <c r="Q1693">
        <v>0</v>
      </c>
      <c r="R1693">
        <v>0</v>
      </c>
      <c r="S1693">
        <v>0</v>
      </c>
      <c r="T1693">
        <v>0</v>
      </c>
      <c r="U1693">
        <v>0</v>
      </c>
      <c r="V1693">
        <v>1662.2</v>
      </c>
      <c r="W1693">
        <v>8065</v>
      </c>
      <c r="X1693">
        <v>1269</v>
      </c>
      <c r="Y1693">
        <f t="shared" si="26"/>
        <v>8065</v>
      </c>
      <c r="Z1693" t="str">
        <f>IF(ISNUMBER(SEARCH("Adjustment",$C1693)),"excluded",IF($H1693="Behind the Meter","excluded",IF(NOT(OR($E1693="Bundled",$E1693="Energy")),"excluded",IF(OR($H1693="Retail Power Marketer",$H1693="Community Choice Aggregator",$E1693="Energy"),"procurement",IF(OR($H1693="Municipal",$H1693="Cooperative",$H1693="Federal",$H1693="State",$H1693="Political Subdivision"),"cost_service",IF($H1693="Investor Owned",IF(AND(COUNTIF(Parameters!$A$4:$A$33,$G1693)&gt;0,COUNTIF(Parameters!$B$4:$B$33,$B1693)=0),"procurement","cost_service"),"unclassified"))))))</f>
        <v>procurement</v>
      </c>
    </row>
    <row r="1694" spans="1:26" x14ac:dyDescent="0.25">
      <c r="A1694">
        <v>2024</v>
      </c>
      <c r="B1694">
        <v>56265</v>
      </c>
      <c r="C1694" t="s">
        <v>1452</v>
      </c>
      <c r="D1694" t="s">
        <v>99</v>
      </c>
      <c r="E1694" t="s">
        <v>100</v>
      </c>
      <c r="F1694" t="s">
        <v>86</v>
      </c>
      <c r="G1694" t="s">
        <v>49</v>
      </c>
      <c r="H1694" t="s">
        <v>101</v>
      </c>
      <c r="I1694" t="s">
        <v>92</v>
      </c>
      <c r="J1694">
        <v>2704.7</v>
      </c>
      <c r="K1694">
        <v>16857</v>
      </c>
      <c r="L1694">
        <v>1626</v>
      </c>
      <c r="M1694">
        <v>253.2</v>
      </c>
      <c r="N1694">
        <v>1578</v>
      </c>
      <c r="O1694">
        <v>96</v>
      </c>
      <c r="P1694">
        <v>0</v>
      </c>
      <c r="Q1694">
        <v>0</v>
      </c>
      <c r="R1694">
        <v>0</v>
      </c>
      <c r="S1694">
        <v>0</v>
      </c>
      <c r="T1694">
        <v>0</v>
      </c>
      <c r="U1694">
        <v>0</v>
      </c>
      <c r="V1694">
        <v>2957.9</v>
      </c>
      <c r="W1694">
        <v>18435</v>
      </c>
      <c r="X1694">
        <v>1722</v>
      </c>
      <c r="Y1694">
        <f t="shared" si="26"/>
        <v>18435</v>
      </c>
      <c r="Z1694" t="str">
        <f>IF(ISNUMBER(SEARCH("Adjustment",$C1694)),"excluded",IF($H1694="Behind the Meter","excluded",IF(NOT(OR($E1694="Bundled",$E1694="Energy")),"excluded",IF(OR($H1694="Retail Power Marketer",$H1694="Community Choice Aggregator",$E1694="Energy"),"procurement",IF(OR($H1694="Municipal",$H1694="Cooperative",$H1694="Federal",$H1694="State",$H1694="Political Subdivision"),"cost_service",IF($H1694="Investor Owned",IF(AND(COUNTIF(Parameters!$A$4:$A$33,$G1694)&gt;0,COUNTIF(Parameters!$B$4:$B$33,$B1694)=0),"procurement","cost_service"),"unclassified"))))))</f>
        <v>procurement</v>
      </c>
    </row>
    <row r="1695" spans="1:26" x14ac:dyDescent="0.25">
      <c r="A1695">
        <v>2024</v>
      </c>
      <c r="B1695">
        <v>56265</v>
      </c>
      <c r="C1695" t="s">
        <v>1452</v>
      </c>
      <c r="D1695" t="s">
        <v>99</v>
      </c>
      <c r="E1695" t="s">
        <v>100</v>
      </c>
      <c r="F1695" t="s">
        <v>86</v>
      </c>
      <c r="G1695" t="s">
        <v>52</v>
      </c>
      <c r="H1695" t="s">
        <v>101</v>
      </c>
      <c r="I1695" t="s">
        <v>92</v>
      </c>
      <c r="J1695">
        <v>5442.3</v>
      </c>
      <c r="K1695">
        <v>29633</v>
      </c>
      <c r="L1695">
        <v>3654</v>
      </c>
      <c r="M1695">
        <v>1080.4000000000001</v>
      </c>
      <c r="N1695">
        <v>5883</v>
      </c>
      <c r="O1695">
        <v>402</v>
      </c>
      <c r="P1695">
        <v>0</v>
      </c>
      <c r="Q1695">
        <v>0</v>
      </c>
      <c r="R1695">
        <v>0</v>
      </c>
      <c r="S1695">
        <v>0</v>
      </c>
      <c r="T1695">
        <v>0</v>
      </c>
      <c r="U1695">
        <v>0</v>
      </c>
      <c r="V1695">
        <v>6522.7</v>
      </c>
      <c r="W1695">
        <v>35516</v>
      </c>
      <c r="X1695">
        <v>4056</v>
      </c>
      <c r="Y1695">
        <f t="shared" si="26"/>
        <v>35516</v>
      </c>
      <c r="Z1695" t="str">
        <f>IF(ISNUMBER(SEARCH("Adjustment",$C1695)),"excluded",IF($H1695="Behind the Meter","excluded",IF(NOT(OR($E1695="Bundled",$E1695="Energy")),"excluded",IF(OR($H1695="Retail Power Marketer",$H1695="Community Choice Aggregator",$E1695="Energy"),"procurement",IF(OR($H1695="Municipal",$H1695="Cooperative",$H1695="Federal",$H1695="State",$H1695="Political Subdivision"),"cost_service",IF($H1695="Investor Owned",IF(AND(COUNTIF(Parameters!$A$4:$A$33,$G1695)&gt;0,COUNTIF(Parameters!$B$4:$B$33,$B1695)=0),"procurement","cost_service"),"unclassified"))))))</f>
        <v>procurement</v>
      </c>
    </row>
    <row r="1696" spans="1:26" x14ac:dyDescent="0.25">
      <c r="A1696">
        <v>2024</v>
      </c>
      <c r="B1696">
        <v>56265</v>
      </c>
      <c r="C1696" t="s">
        <v>1452</v>
      </c>
      <c r="D1696" t="s">
        <v>99</v>
      </c>
      <c r="E1696" t="s">
        <v>100</v>
      </c>
      <c r="F1696" t="s">
        <v>86</v>
      </c>
      <c r="G1696" t="s">
        <v>53</v>
      </c>
      <c r="H1696" t="s">
        <v>101</v>
      </c>
      <c r="I1696" t="s">
        <v>102</v>
      </c>
      <c r="J1696">
        <v>7775.9</v>
      </c>
      <c r="K1696">
        <v>44625</v>
      </c>
      <c r="L1696">
        <v>7877</v>
      </c>
      <c r="M1696">
        <v>2374.5</v>
      </c>
      <c r="N1696">
        <v>13628</v>
      </c>
      <c r="O1696">
        <v>1125</v>
      </c>
      <c r="P1696">
        <v>0</v>
      </c>
      <c r="Q1696">
        <v>0</v>
      </c>
      <c r="R1696">
        <v>0</v>
      </c>
      <c r="S1696">
        <v>0</v>
      </c>
      <c r="T1696">
        <v>0</v>
      </c>
      <c r="U1696">
        <v>0</v>
      </c>
      <c r="V1696">
        <v>10150.4</v>
      </c>
      <c r="W1696">
        <v>58253</v>
      </c>
      <c r="X1696">
        <v>9002</v>
      </c>
      <c r="Y1696">
        <f t="shared" si="26"/>
        <v>58253</v>
      </c>
      <c r="Z1696" t="str">
        <f>IF(ISNUMBER(SEARCH("Adjustment",$C1696)),"excluded",IF($H1696="Behind the Meter","excluded",IF(NOT(OR($E1696="Bundled",$E1696="Energy")),"excluded",IF(OR($H1696="Retail Power Marketer",$H1696="Community Choice Aggregator",$E1696="Energy"),"procurement",IF(OR($H1696="Municipal",$H1696="Cooperative",$H1696="Federal",$H1696="State",$H1696="Political Subdivision"),"cost_service",IF($H1696="Investor Owned",IF(AND(COUNTIF(Parameters!$A$4:$A$33,$G1696)&gt;0,COUNTIF(Parameters!$B$4:$B$33,$B1696)=0),"procurement","cost_service"),"unclassified"))))))</f>
        <v>procurement</v>
      </c>
    </row>
    <row r="1697" spans="1:26" x14ac:dyDescent="0.25">
      <c r="A1697">
        <v>2024</v>
      </c>
      <c r="B1697">
        <v>56265</v>
      </c>
      <c r="C1697" t="s">
        <v>1452</v>
      </c>
      <c r="D1697" t="s">
        <v>99</v>
      </c>
      <c r="E1697" t="s">
        <v>100</v>
      </c>
      <c r="F1697" t="s">
        <v>86</v>
      </c>
      <c r="G1697" t="s">
        <v>54</v>
      </c>
      <c r="H1697" t="s">
        <v>101</v>
      </c>
      <c r="I1697" t="s">
        <v>92</v>
      </c>
      <c r="J1697">
        <v>180.5</v>
      </c>
      <c r="K1697">
        <v>1496</v>
      </c>
      <c r="L1697">
        <v>164</v>
      </c>
      <c r="M1697">
        <v>4.9000000000000004</v>
      </c>
      <c r="N1697">
        <v>40</v>
      </c>
      <c r="O1697">
        <v>1</v>
      </c>
      <c r="P1697">
        <v>0</v>
      </c>
      <c r="Q1697">
        <v>0</v>
      </c>
      <c r="R1697">
        <v>0</v>
      </c>
      <c r="S1697">
        <v>0</v>
      </c>
      <c r="T1697">
        <v>0</v>
      </c>
      <c r="U1697">
        <v>0</v>
      </c>
      <c r="V1697">
        <v>185.4</v>
      </c>
      <c r="W1697">
        <v>1536</v>
      </c>
      <c r="X1697">
        <v>165</v>
      </c>
      <c r="Y1697">
        <f t="shared" si="26"/>
        <v>1536</v>
      </c>
      <c r="Z1697" t="str">
        <f>IF(ISNUMBER(SEARCH("Adjustment",$C1697)),"excluded",IF($H1697="Behind the Meter","excluded",IF(NOT(OR($E1697="Bundled",$E1697="Energy")),"excluded",IF(OR($H1697="Retail Power Marketer",$H1697="Community Choice Aggregator",$E1697="Energy"),"procurement",IF(OR($H1697="Municipal",$H1697="Cooperative",$H1697="Federal",$H1697="State",$H1697="Political Subdivision"),"cost_service",IF($H1697="Investor Owned",IF(AND(COUNTIF(Parameters!$A$4:$A$33,$G1697)&gt;0,COUNTIF(Parameters!$B$4:$B$33,$B1697)=0),"procurement","cost_service"),"unclassified"))))))</f>
        <v>procurement</v>
      </c>
    </row>
    <row r="1698" spans="1:26" x14ac:dyDescent="0.25">
      <c r="A1698">
        <v>2024</v>
      </c>
      <c r="B1698">
        <v>56265</v>
      </c>
      <c r="C1698" t="s">
        <v>1452</v>
      </c>
      <c r="D1698" t="s">
        <v>99</v>
      </c>
      <c r="E1698" t="s">
        <v>100</v>
      </c>
      <c r="F1698" t="s">
        <v>86</v>
      </c>
      <c r="G1698" t="s">
        <v>55</v>
      </c>
      <c r="H1698" t="s">
        <v>101</v>
      </c>
      <c r="I1698" t="s">
        <v>92</v>
      </c>
      <c r="J1698">
        <v>21440.7</v>
      </c>
      <c r="K1698">
        <v>157470</v>
      </c>
      <c r="L1698">
        <v>16977</v>
      </c>
      <c r="M1698">
        <v>1090.5999999999999</v>
      </c>
      <c r="N1698">
        <v>8011</v>
      </c>
      <c r="O1698">
        <v>559</v>
      </c>
      <c r="P1698">
        <v>0</v>
      </c>
      <c r="Q1698">
        <v>0</v>
      </c>
      <c r="R1698">
        <v>0</v>
      </c>
      <c r="S1698">
        <v>0</v>
      </c>
      <c r="T1698">
        <v>0</v>
      </c>
      <c r="U1698">
        <v>0</v>
      </c>
      <c r="V1698">
        <v>22531.3</v>
      </c>
      <c r="W1698">
        <v>165481</v>
      </c>
      <c r="X1698">
        <v>17536</v>
      </c>
      <c r="Y1698">
        <f t="shared" si="26"/>
        <v>165481</v>
      </c>
      <c r="Z1698" t="str">
        <f>IF(ISNUMBER(SEARCH("Adjustment",$C1698)),"excluded",IF($H1698="Behind the Meter","excluded",IF(NOT(OR($E1698="Bundled",$E1698="Energy")),"excluded",IF(OR($H1698="Retail Power Marketer",$H1698="Community Choice Aggregator",$E1698="Energy"),"procurement",IF(OR($H1698="Municipal",$H1698="Cooperative",$H1698="Federal",$H1698="State",$H1698="Political Subdivision"),"cost_service",IF($H1698="Investor Owned",IF(AND(COUNTIF(Parameters!$A$4:$A$33,$G1698)&gt;0,COUNTIF(Parameters!$B$4:$B$33,$B1698)=0),"procurement","cost_service"),"unclassified"))))))</f>
        <v>procurement</v>
      </c>
    </row>
    <row r="1699" spans="1:26" x14ac:dyDescent="0.25">
      <c r="A1699">
        <v>2024</v>
      </c>
      <c r="B1699">
        <v>56279</v>
      </c>
      <c r="C1699" t="s">
        <v>1453</v>
      </c>
      <c r="D1699" t="s">
        <v>99</v>
      </c>
      <c r="E1699" t="s">
        <v>100</v>
      </c>
      <c r="F1699" t="s">
        <v>86</v>
      </c>
      <c r="G1699" t="s">
        <v>140</v>
      </c>
      <c r="H1699" t="s">
        <v>101</v>
      </c>
      <c r="I1699" t="s">
        <v>96</v>
      </c>
      <c r="J1699">
        <v>0</v>
      </c>
      <c r="K1699">
        <v>0</v>
      </c>
      <c r="L1699">
        <v>0</v>
      </c>
      <c r="M1699">
        <v>0</v>
      </c>
      <c r="N1699">
        <v>0</v>
      </c>
      <c r="O1699">
        <v>0</v>
      </c>
      <c r="P1699">
        <v>12512.6</v>
      </c>
      <c r="Q1699">
        <v>207926</v>
      </c>
      <c r="R1699">
        <v>3</v>
      </c>
      <c r="S1699">
        <v>0</v>
      </c>
      <c r="T1699">
        <v>0</v>
      </c>
      <c r="U1699">
        <v>0</v>
      </c>
      <c r="V1699">
        <v>12512.6</v>
      </c>
      <c r="W1699">
        <v>207926</v>
      </c>
      <c r="X1699">
        <v>3</v>
      </c>
      <c r="Y1699">
        <f t="shared" si="26"/>
        <v>207926</v>
      </c>
      <c r="Z1699" t="str">
        <f>IF(ISNUMBER(SEARCH("Adjustment",$C1699)),"excluded",IF($H1699="Behind the Meter","excluded",IF(NOT(OR($E1699="Bundled",$E1699="Energy")),"excluded",IF(OR($H1699="Retail Power Marketer",$H1699="Community Choice Aggregator",$E1699="Energy"),"procurement",IF(OR($H1699="Municipal",$H1699="Cooperative",$H1699="Federal",$H1699="State",$H1699="Political Subdivision"),"cost_service",IF($H1699="Investor Owned",IF(AND(COUNTIF(Parameters!$A$4:$A$33,$G1699)&gt;0,COUNTIF(Parameters!$B$4:$B$33,$B1699)=0),"procurement","cost_service"),"unclassified"))))))</f>
        <v>procurement</v>
      </c>
    </row>
    <row r="1700" spans="1:26" x14ac:dyDescent="0.25">
      <c r="A1700">
        <v>2024</v>
      </c>
      <c r="B1700">
        <v>56286</v>
      </c>
      <c r="C1700" t="s">
        <v>1454</v>
      </c>
      <c r="D1700" t="s">
        <v>99</v>
      </c>
      <c r="E1700" t="s">
        <v>100</v>
      </c>
      <c r="F1700" t="s">
        <v>86</v>
      </c>
      <c r="G1700" t="s">
        <v>46</v>
      </c>
      <c r="H1700" t="s">
        <v>101</v>
      </c>
      <c r="I1700" t="s">
        <v>92</v>
      </c>
      <c r="J1700">
        <v>758.1</v>
      </c>
      <c r="K1700">
        <v>5249</v>
      </c>
      <c r="L1700">
        <v>820</v>
      </c>
      <c r="M1700" t="s">
        <v>97</v>
      </c>
      <c r="N1700" t="s">
        <v>97</v>
      </c>
      <c r="O1700" t="s">
        <v>97</v>
      </c>
      <c r="P1700" t="s">
        <v>97</v>
      </c>
      <c r="Q1700" t="s">
        <v>97</v>
      </c>
      <c r="R1700" t="s">
        <v>97</v>
      </c>
      <c r="S1700" t="s">
        <v>97</v>
      </c>
      <c r="T1700" t="s">
        <v>97</v>
      </c>
      <c r="U1700" t="s">
        <v>97</v>
      </c>
      <c r="V1700">
        <v>758.1</v>
      </c>
      <c r="W1700">
        <v>5249</v>
      </c>
      <c r="X1700">
        <v>820</v>
      </c>
      <c r="Y1700">
        <f t="shared" si="26"/>
        <v>5249</v>
      </c>
      <c r="Z1700" t="str">
        <f>IF(ISNUMBER(SEARCH("Adjustment",$C1700)),"excluded",IF($H1700="Behind the Meter","excluded",IF(NOT(OR($E1700="Bundled",$E1700="Energy")),"excluded",IF(OR($H1700="Retail Power Marketer",$H1700="Community Choice Aggregator",$E1700="Energy"),"procurement",IF(OR($H1700="Municipal",$H1700="Cooperative",$H1700="Federal",$H1700="State",$H1700="Political Subdivision"),"cost_service",IF($H1700="Investor Owned",IF(AND(COUNTIF(Parameters!$A$4:$A$33,$G1700)&gt;0,COUNTIF(Parameters!$B$4:$B$33,$B1700)=0),"procurement","cost_service"),"unclassified"))))))</f>
        <v>procurement</v>
      </c>
    </row>
    <row r="1701" spans="1:26" x14ac:dyDescent="0.25">
      <c r="A1701">
        <v>2024</v>
      </c>
      <c r="B1701">
        <v>56286</v>
      </c>
      <c r="C1701" t="s">
        <v>1454</v>
      </c>
      <c r="D1701" t="s">
        <v>99</v>
      </c>
      <c r="E1701" t="s">
        <v>100</v>
      </c>
      <c r="F1701" t="s">
        <v>86</v>
      </c>
      <c r="G1701" t="s">
        <v>52</v>
      </c>
      <c r="H1701" t="s">
        <v>101</v>
      </c>
      <c r="I1701" t="s">
        <v>92</v>
      </c>
      <c r="J1701">
        <v>821.8</v>
      </c>
      <c r="K1701">
        <v>4646</v>
      </c>
      <c r="L1701">
        <v>495</v>
      </c>
      <c r="M1701" t="s">
        <v>97</v>
      </c>
      <c r="N1701" t="s">
        <v>97</v>
      </c>
      <c r="O1701" t="s">
        <v>97</v>
      </c>
      <c r="P1701" t="s">
        <v>97</v>
      </c>
      <c r="Q1701" t="s">
        <v>97</v>
      </c>
      <c r="R1701" t="s">
        <v>97</v>
      </c>
      <c r="S1701" t="s">
        <v>97</v>
      </c>
      <c r="T1701" t="s">
        <v>97</v>
      </c>
      <c r="U1701" t="s">
        <v>97</v>
      </c>
      <c r="V1701">
        <v>821.8</v>
      </c>
      <c r="W1701">
        <v>4646</v>
      </c>
      <c r="X1701">
        <v>495</v>
      </c>
      <c r="Y1701">
        <f t="shared" si="26"/>
        <v>4646</v>
      </c>
      <c r="Z1701" t="str">
        <f>IF(ISNUMBER(SEARCH("Adjustment",$C1701)),"excluded",IF($H1701="Behind the Meter","excluded",IF(NOT(OR($E1701="Bundled",$E1701="Energy")),"excluded",IF(OR($H1701="Retail Power Marketer",$H1701="Community Choice Aggregator",$E1701="Energy"),"procurement",IF(OR($H1701="Municipal",$H1701="Cooperative",$H1701="Federal",$H1701="State",$H1701="Political Subdivision"),"cost_service",IF($H1701="Investor Owned",IF(AND(COUNTIF(Parameters!$A$4:$A$33,$G1701)&gt;0,COUNTIF(Parameters!$B$4:$B$33,$B1701)=0),"procurement","cost_service"),"unclassified"))))))</f>
        <v>procurement</v>
      </c>
    </row>
    <row r="1702" spans="1:26" x14ac:dyDescent="0.25">
      <c r="A1702">
        <v>2024</v>
      </c>
      <c r="B1702">
        <v>56286</v>
      </c>
      <c r="C1702" t="s">
        <v>1454</v>
      </c>
      <c r="D1702" t="s">
        <v>99</v>
      </c>
      <c r="E1702" t="s">
        <v>100</v>
      </c>
      <c r="F1702" t="s">
        <v>86</v>
      </c>
      <c r="G1702" t="s">
        <v>54</v>
      </c>
      <c r="H1702" t="s">
        <v>101</v>
      </c>
      <c r="I1702" t="s">
        <v>92</v>
      </c>
      <c r="J1702">
        <v>753.1</v>
      </c>
      <c r="K1702">
        <v>7110</v>
      </c>
      <c r="L1702">
        <v>640</v>
      </c>
      <c r="M1702" t="s">
        <v>97</v>
      </c>
      <c r="N1702" t="s">
        <v>97</v>
      </c>
      <c r="O1702" t="s">
        <v>97</v>
      </c>
      <c r="P1702" t="s">
        <v>97</v>
      </c>
      <c r="Q1702" t="s">
        <v>97</v>
      </c>
      <c r="R1702" t="s">
        <v>97</v>
      </c>
      <c r="S1702" t="s">
        <v>97</v>
      </c>
      <c r="T1702" t="s">
        <v>97</v>
      </c>
      <c r="U1702" t="s">
        <v>97</v>
      </c>
      <c r="V1702">
        <v>753.1</v>
      </c>
      <c r="W1702">
        <v>7110</v>
      </c>
      <c r="X1702">
        <v>640</v>
      </c>
      <c r="Y1702">
        <f t="shared" si="26"/>
        <v>7110</v>
      </c>
      <c r="Z1702" t="str">
        <f>IF(ISNUMBER(SEARCH("Adjustment",$C1702)),"excluded",IF($H1702="Behind the Meter","excluded",IF(NOT(OR($E1702="Bundled",$E1702="Energy")),"excluded",IF(OR($H1702="Retail Power Marketer",$H1702="Community Choice Aggregator",$E1702="Energy"),"procurement",IF(OR($H1702="Municipal",$H1702="Cooperative",$H1702="Federal",$H1702="State",$H1702="Political Subdivision"),"cost_service",IF($H1702="Investor Owned",IF(AND(COUNTIF(Parameters!$A$4:$A$33,$G1702)&gt;0,COUNTIF(Parameters!$B$4:$B$33,$B1702)=0),"procurement","cost_service"),"unclassified"))))))</f>
        <v>procurement</v>
      </c>
    </row>
    <row r="1703" spans="1:26" x14ac:dyDescent="0.25">
      <c r="A1703">
        <v>2024</v>
      </c>
      <c r="B1703">
        <v>56286</v>
      </c>
      <c r="C1703" t="s">
        <v>1454</v>
      </c>
      <c r="D1703" t="s">
        <v>99</v>
      </c>
      <c r="E1703" t="s">
        <v>100</v>
      </c>
      <c r="F1703" t="s">
        <v>86</v>
      </c>
      <c r="G1703" t="s">
        <v>55</v>
      </c>
      <c r="H1703" t="s">
        <v>101</v>
      </c>
      <c r="I1703" t="s">
        <v>92</v>
      </c>
      <c r="J1703">
        <v>18072.400000000001</v>
      </c>
      <c r="K1703">
        <v>142607</v>
      </c>
      <c r="L1703">
        <v>10754</v>
      </c>
      <c r="M1703">
        <v>13.8</v>
      </c>
      <c r="N1703">
        <v>78</v>
      </c>
      <c r="O1703">
        <v>2</v>
      </c>
      <c r="P1703" t="s">
        <v>97</v>
      </c>
      <c r="Q1703" t="s">
        <v>97</v>
      </c>
      <c r="R1703" t="s">
        <v>97</v>
      </c>
      <c r="S1703" t="s">
        <v>97</v>
      </c>
      <c r="T1703" t="s">
        <v>97</v>
      </c>
      <c r="U1703" t="s">
        <v>97</v>
      </c>
      <c r="V1703">
        <v>18086.2</v>
      </c>
      <c r="W1703">
        <v>142685</v>
      </c>
      <c r="X1703">
        <v>10756</v>
      </c>
      <c r="Y1703">
        <f t="shared" si="26"/>
        <v>142685</v>
      </c>
      <c r="Z1703" t="str">
        <f>IF(ISNUMBER(SEARCH("Adjustment",$C1703)),"excluded",IF($H1703="Behind the Meter","excluded",IF(NOT(OR($E1703="Bundled",$E1703="Energy")),"excluded",IF(OR($H1703="Retail Power Marketer",$H1703="Community Choice Aggregator",$E1703="Energy"),"procurement",IF(OR($H1703="Municipal",$H1703="Cooperative",$H1703="Federal",$H1703="State",$H1703="Political Subdivision"),"cost_service",IF($H1703="Investor Owned",IF(AND(COUNTIF(Parameters!$A$4:$A$33,$G1703)&gt;0,COUNTIF(Parameters!$B$4:$B$33,$B1703)=0),"procurement","cost_service"),"unclassified"))))))</f>
        <v>procurement</v>
      </c>
    </row>
    <row r="1704" spans="1:26" x14ac:dyDescent="0.25">
      <c r="A1704">
        <v>2024</v>
      </c>
      <c r="B1704">
        <v>56286</v>
      </c>
      <c r="C1704" t="s">
        <v>1454</v>
      </c>
      <c r="D1704" t="s">
        <v>150</v>
      </c>
      <c r="E1704" t="s">
        <v>85</v>
      </c>
      <c r="F1704" t="s">
        <v>86</v>
      </c>
      <c r="G1704" t="s">
        <v>57</v>
      </c>
      <c r="H1704" t="s">
        <v>101</v>
      </c>
      <c r="I1704" t="s">
        <v>151</v>
      </c>
      <c r="J1704">
        <v>300669.2</v>
      </c>
      <c r="K1704">
        <v>1787863</v>
      </c>
      <c r="L1704">
        <v>132700</v>
      </c>
      <c r="M1704">
        <v>5673.8</v>
      </c>
      <c r="N1704">
        <v>33050</v>
      </c>
      <c r="O1704">
        <v>492</v>
      </c>
      <c r="P1704" t="s">
        <v>97</v>
      </c>
      <c r="Q1704" t="s">
        <v>97</v>
      </c>
      <c r="R1704" t="s">
        <v>97</v>
      </c>
      <c r="S1704" t="s">
        <v>97</v>
      </c>
      <c r="T1704" t="s">
        <v>97</v>
      </c>
      <c r="U1704" t="s">
        <v>97</v>
      </c>
      <c r="V1704">
        <v>306343</v>
      </c>
      <c r="W1704">
        <v>1820913</v>
      </c>
      <c r="X1704">
        <v>133192</v>
      </c>
      <c r="Y1704">
        <f t="shared" si="26"/>
        <v>1820913</v>
      </c>
      <c r="Z1704" t="str">
        <f>IF(ISNUMBER(SEARCH("Adjustment",$C1704)),"excluded",IF($H1704="Behind the Meter","excluded",IF(NOT(OR($E1704="Bundled",$E1704="Energy")),"excluded",IF(OR($H1704="Retail Power Marketer",$H1704="Community Choice Aggregator",$E1704="Energy"),"procurement",IF(OR($H1704="Municipal",$H1704="Cooperative",$H1704="Federal",$H1704="State",$H1704="Political Subdivision"),"cost_service",IF($H1704="Investor Owned",IF(AND(COUNTIF(Parameters!$A$4:$A$33,$G1704)&gt;0,COUNTIF(Parameters!$B$4:$B$33,$B1704)=0),"procurement","cost_service"),"unclassified"))))))</f>
        <v>procurement</v>
      </c>
    </row>
    <row r="1705" spans="1:26" x14ac:dyDescent="0.25">
      <c r="A1705">
        <v>2024</v>
      </c>
      <c r="B1705">
        <v>56379</v>
      </c>
      <c r="C1705" t="s">
        <v>1455</v>
      </c>
      <c r="D1705" t="s">
        <v>99</v>
      </c>
      <c r="E1705" t="s">
        <v>100</v>
      </c>
      <c r="F1705" t="s">
        <v>86</v>
      </c>
      <c r="G1705" t="s">
        <v>46</v>
      </c>
      <c r="H1705" t="s">
        <v>101</v>
      </c>
      <c r="I1705" t="s">
        <v>92</v>
      </c>
      <c r="J1705">
        <v>155344</v>
      </c>
      <c r="K1705">
        <v>2289157</v>
      </c>
      <c r="L1705">
        <v>244008</v>
      </c>
      <c r="M1705">
        <v>38858</v>
      </c>
      <c r="N1705">
        <v>520171</v>
      </c>
      <c r="O1705">
        <v>18755</v>
      </c>
      <c r="P1705">
        <v>1150</v>
      </c>
      <c r="Q1705">
        <v>18475</v>
      </c>
      <c r="R1705">
        <v>16</v>
      </c>
      <c r="S1705">
        <v>0</v>
      </c>
      <c r="T1705">
        <v>0</v>
      </c>
      <c r="U1705">
        <v>0</v>
      </c>
      <c r="V1705">
        <v>195352</v>
      </c>
      <c r="W1705">
        <v>2827803</v>
      </c>
      <c r="X1705">
        <v>262779</v>
      </c>
      <c r="Y1705">
        <f t="shared" si="26"/>
        <v>2827803</v>
      </c>
      <c r="Z1705" t="str">
        <f>IF(ISNUMBER(SEARCH("Adjustment",$C1705)),"excluded",IF($H1705="Behind the Meter","excluded",IF(NOT(OR($E1705="Bundled",$E1705="Energy")),"excluded",IF(OR($H1705="Retail Power Marketer",$H1705="Community Choice Aggregator",$E1705="Energy"),"procurement",IF(OR($H1705="Municipal",$H1705="Cooperative",$H1705="Federal",$H1705="State",$H1705="Political Subdivision"),"cost_service",IF($H1705="Investor Owned",IF(AND(COUNTIF(Parameters!$A$4:$A$33,$G1705)&gt;0,COUNTIF(Parameters!$B$4:$B$33,$B1705)=0),"procurement","cost_service"),"unclassified"))))))</f>
        <v>procurement</v>
      </c>
    </row>
    <row r="1706" spans="1:26" x14ac:dyDescent="0.25">
      <c r="A1706">
        <v>2024</v>
      </c>
      <c r="B1706">
        <v>56408</v>
      </c>
      <c r="C1706" t="s">
        <v>1456</v>
      </c>
      <c r="D1706" t="s">
        <v>99</v>
      </c>
      <c r="E1706" t="s">
        <v>100</v>
      </c>
      <c r="F1706" t="s">
        <v>86</v>
      </c>
      <c r="G1706" t="s">
        <v>42</v>
      </c>
      <c r="H1706" t="s">
        <v>101</v>
      </c>
      <c r="I1706" t="s">
        <v>92</v>
      </c>
      <c r="J1706">
        <v>0</v>
      </c>
      <c r="K1706">
        <v>0</v>
      </c>
      <c r="L1706">
        <v>0</v>
      </c>
      <c r="M1706">
        <v>94.2</v>
      </c>
      <c r="N1706">
        <v>868</v>
      </c>
      <c r="O1706">
        <v>7</v>
      </c>
      <c r="P1706">
        <v>0</v>
      </c>
      <c r="Q1706">
        <v>0</v>
      </c>
      <c r="R1706">
        <v>0</v>
      </c>
      <c r="S1706">
        <v>0</v>
      </c>
      <c r="T1706">
        <v>0</v>
      </c>
      <c r="U1706">
        <v>0</v>
      </c>
      <c r="V1706">
        <v>94.2</v>
      </c>
      <c r="W1706">
        <v>868</v>
      </c>
      <c r="X1706">
        <v>7</v>
      </c>
      <c r="Y1706">
        <f t="shared" si="26"/>
        <v>868</v>
      </c>
      <c r="Z1706" t="str">
        <f>IF(ISNUMBER(SEARCH("Adjustment",$C1706)),"excluded",IF($H1706="Behind the Meter","excluded",IF(NOT(OR($E1706="Bundled",$E1706="Energy")),"excluded",IF(OR($H1706="Retail Power Marketer",$H1706="Community Choice Aggregator",$E1706="Energy"),"procurement",IF(OR($H1706="Municipal",$H1706="Cooperative",$H1706="Federal",$H1706="State",$H1706="Political Subdivision"),"cost_service",IF($H1706="Investor Owned",IF(AND(COUNTIF(Parameters!$A$4:$A$33,$G1706)&gt;0,COUNTIF(Parameters!$B$4:$B$33,$B1706)=0),"procurement","cost_service"),"unclassified"))))))</f>
        <v>procurement</v>
      </c>
    </row>
    <row r="1707" spans="1:26" x14ac:dyDescent="0.25">
      <c r="A1707">
        <v>2024</v>
      </c>
      <c r="B1707">
        <v>56408</v>
      </c>
      <c r="C1707" t="s">
        <v>1456</v>
      </c>
      <c r="D1707" t="s">
        <v>99</v>
      </c>
      <c r="E1707" t="s">
        <v>100</v>
      </c>
      <c r="F1707" t="s">
        <v>86</v>
      </c>
      <c r="G1707" t="s">
        <v>44</v>
      </c>
      <c r="H1707" t="s">
        <v>101</v>
      </c>
      <c r="I1707" t="s">
        <v>92</v>
      </c>
      <c r="J1707">
        <v>0</v>
      </c>
      <c r="K1707">
        <v>0</v>
      </c>
      <c r="L1707">
        <v>0</v>
      </c>
      <c r="M1707">
        <v>246.1</v>
      </c>
      <c r="N1707">
        <v>3313</v>
      </c>
      <c r="O1707">
        <v>21</v>
      </c>
      <c r="P1707">
        <v>862.9</v>
      </c>
      <c r="Q1707">
        <v>13145</v>
      </c>
      <c r="R1707">
        <v>5</v>
      </c>
      <c r="S1707">
        <v>0</v>
      </c>
      <c r="T1707">
        <v>0</v>
      </c>
      <c r="U1707">
        <v>0</v>
      </c>
      <c r="V1707">
        <v>1109</v>
      </c>
      <c r="W1707">
        <v>16458</v>
      </c>
      <c r="X1707">
        <v>26</v>
      </c>
      <c r="Y1707">
        <f t="shared" si="26"/>
        <v>16458</v>
      </c>
      <c r="Z1707" t="str">
        <f>IF(ISNUMBER(SEARCH("Adjustment",$C1707)),"excluded",IF($H1707="Behind the Meter","excluded",IF(NOT(OR($E1707="Bundled",$E1707="Energy")),"excluded",IF(OR($H1707="Retail Power Marketer",$H1707="Community Choice Aggregator",$E1707="Energy"),"procurement",IF(OR($H1707="Municipal",$H1707="Cooperative",$H1707="Federal",$H1707="State",$H1707="Political Subdivision"),"cost_service",IF($H1707="Investor Owned",IF(AND(COUNTIF(Parameters!$A$4:$A$33,$G1707)&gt;0,COUNTIF(Parameters!$B$4:$B$33,$B1707)=0),"procurement","cost_service"),"unclassified"))))))</f>
        <v>procurement</v>
      </c>
    </row>
    <row r="1708" spans="1:26" x14ac:dyDescent="0.25">
      <c r="A1708">
        <v>2024</v>
      </c>
      <c r="B1708">
        <v>56408</v>
      </c>
      <c r="C1708" t="s">
        <v>1456</v>
      </c>
      <c r="D1708" t="s">
        <v>99</v>
      </c>
      <c r="E1708" t="s">
        <v>100</v>
      </c>
      <c r="F1708" t="s">
        <v>86</v>
      </c>
      <c r="G1708" t="s">
        <v>49</v>
      </c>
      <c r="H1708" t="s">
        <v>101</v>
      </c>
      <c r="I1708" t="s">
        <v>92</v>
      </c>
      <c r="J1708">
        <v>0</v>
      </c>
      <c r="K1708">
        <v>0</v>
      </c>
      <c r="L1708">
        <v>0</v>
      </c>
      <c r="M1708">
        <v>1717.1</v>
      </c>
      <c r="N1708">
        <v>19865</v>
      </c>
      <c r="O1708">
        <v>111</v>
      </c>
      <c r="P1708">
        <v>510.6</v>
      </c>
      <c r="Q1708">
        <v>5626</v>
      </c>
      <c r="R1708">
        <v>21</v>
      </c>
      <c r="S1708">
        <v>0</v>
      </c>
      <c r="T1708">
        <v>0</v>
      </c>
      <c r="U1708">
        <v>0</v>
      </c>
      <c r="V1708">
        <v>2227.6999999999998</v>
      </c>
      <c r="W1708">
        <v>25491</v>
      </c>
      <c r="X1708">
        <v>132</v>
      </c>
      <c r="Y1708">
        <f t="shared" si="26"/>
        <v>25491</v>
      </c>
      <c r="Z1708" t="str">
        <f>IF(ISNUMBER(SEARCH("Adjustment",$C1708)),"excluded",IF($H1708="Behind the Meter","excluded",IF(NOT(OR($E1708="Bundled",$E1708="Energy")),"excluded",IF(OR($H1708="Retail Power Marketer",$H1708="Community Choice Aggregator",$E1708="Energy"),"procurement",IF(OR($H1708="Municipal",$H1708="Cooperative",$H1708="Federal",$H1708="State",$H1708="Political Subdivision"),"cost_service",IF($H1708="Investor Owned",IF(AND(COUNTIF(Parameters!$A$4:$A$33,$G1708)&gt;0,COUNTIF(Parameters!$B$4:$B$33,$B1708)=0),"procurement","cost_service"),"unclassified"))))))</f>
        <v>procurement</v>
      </c>
    </row>
    <row r="1709" spans="1:26" x14ac:dyDescent="0.25">
      <c r="A1709">
        <v>2024</v>
      </c>
      <c r="B1709">
        <v>56408</v>
      </c>
      <c r="C1709" t="s">
        <v>1456</v>
      </c>
      <c r="D1709" t="s">
        <v>99</v>
      </c>
      <c r="E1709" t="s">
        <v>100</v>
      </c>
      <c r="F1709" t="s">
        <v>86</v>
      </c>
      <c r="G1709" t="s">
        <v>52</v>
      </c>
      <c r="H1709" t="s">
        <v>101</v>
      </c>
      <c r="I1709" t="s">
        <v>92</v>
      </c>
      <c r="J1709">
        <v>0</v>
      </c>
      <c r="K1709">
        <v>0</v>
      </c>
      <c r="L1709">
        <v>0</v>
      </c>
      <c r="M1709">
        <v>6026.7</v>
      </c>
      <c r="N1709">
        <v>72789</v>
      </c>
      <c r="O1709">
        <v>330</v>
      </c>
      <c r="P1709">
        <v>800.2</v>
      </c>
      <c r="Q1709">
        <v>9048</v>
      </c>
      <c r="R1709">
        <v>20</v>
      </c>
      <c r="S1709">
        <v>0</v>
      </c>
      <c r="T1709">
        <v>0</v>
      </c>
      <c r="U1709">
        <v>0</v>
      </c>
      <c r="V1709">
        <v>6826.9</v>
      </c>
      <c r="W1709">
        <v>81837</v>
      </c>
      <c r="X1709">
        <v>350</v>
      </c>
      <c r="Y1709">
        <f t="shared" si="26"/>
        <v>81837</v>
      </c>
      <c r="Z1709" t="str">
        <f>IF(ISNUMBER(SEARCH("Adjustment",$C1709)),"excluded",IF($H1709="Behind the Meter","excluded",IF(NOT(OR($E1709="Bundled",$E1709="Energy")),"excluded",IF(OR($H1709="Retail Power Marketer",$H1709="Community Choice Aggregator",$E1709="Energy"),"procurement",IF(OR($H1709="Municipal",$H1709="Cooperative",$H1709="Federal",$H1709="State",$H1709="Political Subdivision"),"cost_service",IF($H1709="Investor Owned",IF(AND(COUNTIF(Parameters!$A$4:$A$33,$G1709)&gt;0,COUNTIF(Parameters!$B$4:$B$33,$B1709)=0),"procurement","cost_service"),"unclassified"))))))</f>
        <v>procurement</v>
      </c>
    </row>
    <row r="1710" spans="1:26" x14ac:dyDescent="0.25">
      <c r="A1710">
        <v>2024</v>
      </c>
      <c r="B1710">
        <v>56408</v>
      </c>
      <c r="C1710" t="s">
        <v>1456</v>
      </c>
      <c r="D1710" t="s">
        <v>99</v>
      </c>
      <c r="E1710" t="s">
        <v>100</v>
      </c>
      <c r="F1710" t="s">
        <v>86</v>
      </c>
      <c r="G1710" t="s">
        <v>53</v>
      </c>
      <c r="H1710" t="s">
        <v>101</v>
      </c>
      <c r="I1710" t="s">
        <v>102</v>
      </c>
      <c r="J1710">
        <v>0</v>
      </c>
      <c r="K1710">
        <v>0</v>
      </c>
      <c r="L1710">
        <v>0</v>
      </c>
      <c r="M1710">
        <v>52.9</v>
      </c>
      <c r="N1710">
        <v>875</v>
      </c>
      <c r="O1710">
        <v>69</v>
      </c>
      <c r="P1710">
        <v>46.7</v>
      </c>
      <c r="Q1710">
        <v>814</v>
      </c>
      <c r="R1710">
        <v>3</v>
      </c>
      <c r="S1710">
        <v>0</v>
      </c>
      <c r="T1710">
        <v>0</v>
      </c>
      <c r="U1710">
        <v>0</v>
      </c>
      <c r="V1710">
        <v>99.6</v>
      </c>
      <c r="W1710">
        <v>1689</v>
      </c>
      <c r="X1710">
        <v>72</v>
      </c>
      <c r="Y1710">
        <f t="shared" si="26"/>
        <v>1689</v>
      </c>
      <c r="Z1710" t="str">
        <f>IF(ISNUMBER(SEARCH("Adjustment",$C1710)),"excluded",IF($H1710="Behind the Meter","excluded",IF(NOT(OR($E1710="Bundled",$E1710="Energy")),"excluded",IF(OR($H1710="Retail Power Marketer",$H1710="Community Choice Aggregator",$E1710="Energy"),"procurement",IF(OR($H1710="Municipal",$H1710="Cooperative",$H1710="Federal",$H1710="State",$H1710="Political Subdivision"),"cost_service",IF($H1710="Investor Owned",IF(AND(COUNTIF(Parameters!$A$4:$A$33,$G1710)&gt;0,COUNTIF(Parameters!$B$4:$B$33,$B1710)=0),"procurement","cost_service"),"unclassified"))))))</f>
        <v>procurement</v>
      </c>
    </row>
    <row r="1711" spans="1:26" x14ac:dyDescent="0.25">
      <c r="A1711">
        <v>2024</v>
      </c>
      <c r="B1711">
        <v>56408</v>
      </c>
      <c r="C1711" t="s">
        <v>1456</v>
      </c>
      <c r="D1711" t="s">
        <v>99</v>
      </c>
      <c r="E1711" t="s">
        <v>100</v>
      </c>
      <c r="F1711" t="s">
        <v>86</v>
      </c>
      <c r="G1711" t="s">
        <v>55</v>
      </c>
      <c r="H1711" t="s">
        <v>101</v>
      </c>
      <c r="I1711" t="s">
        <v>92</v>
      </c>
      <c r="J1711">
        <v>354.3</v>
      </c>
      <c r="K1711">
        <v>4028</v>
      </c>
      <c r="L1711">
        <v>537</v>
      </c>
      <c r="M1711">
        <v>56154.3</v>
      </c>
      <c r="N1711">
        <v>698430</v>
      </c>
      <c r="O1711">
        <v>2482</v>
      </c>
      <c r="P1711">
        <v>35877.4</v>
      </c>
      <c r="Q1711">
        <v>466952</v>
      </c>
      <c r="R1711">
        <v>475</v>
      </c>
      <c r="S1711">
        <v>0</v>
      </c>
      <c r="T1711">
        <v>0</v>
      </c>
      <c r="U1711">
        <v>0</v>
      </c>
      <c r="V1711">
        <v>92386</v>
      </c>
      <c r="W1711">
        <v>1169410</v>
      </c>
      <c r="X1711">
        <v>3494</v>
      </c>
      <c r="Y1711">
        <f t="shared" si="26"/>
        <v>1169410</v>
      </c>
      <c r="Z1711" t="str">
        <f>IF(ISNUMBER(SEARCH("Adjustment",$C1711)),"excluded",IF($H1711="Behind the Meter","excluded",IF(NOT(OR($E1711="Bundled",$E1711="Energy")),"excluded",IF(OR($H1711="Retail Power Marketer",$H1711="Community Choice Aggregator",$E1711="Energy"),"procurement",IF(OR($H1711="Municipal",$H1711="Cooperative",$H1711="Federal",$H1711="State",$H1711="Political Subdivision"),"cost_service",IF($H1711="Investor Owned",IF(AND(COUNTIF(Parameters!$A$4:$A$33,$G1711)&gt;0,COUNTIF(Parameters!$B$4:$B$33,$B1711)=0),"procurement","cost_service"),"unclassified"))))))</f>
        <v>procurement</v>
      </c>
    </row>
    <row r="1712" spans="1:26" x14ac:dyDescent="0.25">
      <c r="A1712">
        <v>2024</v>
      </c>
      <c r="B1712">
        <v>56496</v>
      </c>
      <c r="C1712" t="s">
        <v>1457</v>
      </c>
      <c r="D1712" t="s">
        <v>99</v>
      </c>
      <c r="E1712" t="s">
        <v>100</v>
      </c>
      <c r="F1712" t="s">
        <v>86</v>
      </c>
      <c r="G1712" t="s">
        <v>140</v>
      </c>
      <c r="H1712" t="s">
        <v>101</v>
      </c>
      <c r="I1712" t="s">
        <v>96</v>
      </c>
      <c r="J1712">
        <v>0</v>
      </c>
      <c r="K1712">
        <v>0</v>
      </c>
      <c r="L1712">
        <v>0</v>
      </c>
      <c r="M1712">
        <v>0</v>
      </c>
      <c r="N1712">
        <v>0</v>
      </c>
      <c r="O1712">
        <v>0</v>
      </c>
      <c r="P1712">
        <v>1182.7</v>
      </c>
      <c r="Q1712">
        <v>15929</v>
      </c>
      <c r="R1712">
        <v>1</v>
      </c>
      <c r="S1712">
        <v>0</v>
      </c>
      <c r="T1712">
        <v>0</v>
      </c>
      <c r="U1712">
        <v>0</v>
      </c>
      <c r="V1712">
        <v>1182.7</v>
      </c>
      <c r="W1712">
        <v>15929</v>
      </c>
      <c r="X1712">
        <v>1</v>
      </c>
      <c r="Y1712">
        <f t="shared" si="26"/>
        <v>15929</v>
      </c>
      <c r="Z1712" t="str">
        <f>IF(ISNUMBER(SEARCH("Adjustment",$C1712)),"excluded",IF($H1712="Behind the Meter","excluded",IF(NOT(OR($E1712="Bundled",$E1712="Energy")),"excluded",IF(OR($H1712="Retail Power Marketer",$H1712="Community Choice Aggregator",$E1712="Energy"),"procurement",IF(OR($H1712="Municipal",$H1712="Cooperative",$H1712="Federal",$H1712="State",$H1712="Political Subdivision"),"cost_service",IF($H1712="Investor Owned",IF(AND(COUNTIF(Parameters!$A$4:$A$33,$G1712)&gt;0,COUNTIF(Parameters!$B$4:$B$33,$B1712)=0),"procurement","cost_service"),"unclassified"))))))</f>
        <v>procurement</v>
      </c>
    </row>
    <row r="1713" spans="1:26" x14ac:dyDescent="0.25">
      <c r="A1713">
        <v>2024</v>
      </c>
      <c r="B1713">
        <v>56501</v>
      </c>
      <c r="C1713" t="s">
        <v>1458</v>
      </c>
      <c r="D1713" t="s">
        <v>99</v>
      </c>
      <c r="E1713" t="s">
        <v>100</v>
      </c>
      <c r="F1713" t="s">
        <v>86</v>
      </c>
      <c r="G1713" t="s">
        <v>52</v>
      </c>
      <c r="H1713" t="s">
        <v>101</v>
      </c>
      <c r="I1713" t="s">
        <v>92</v>
      </c>
      <c r="J1713">
        <v>6851.2</v>
      </c>
      <c r="K1713">
        <v>30144</v>
      </c>
      <c r="L1713">
        <v>7102</v>
      </c>
      <c r="M1713">
        <v>1908.7</v>
      </c>
      <c r="N1713">
        <v>16673</v>
      </c>
      <c r="O1713">
        <v>109</v>
      </c>
      <c r="P1713">
        <v>0</v>
      </c>
      <c r="Q1713">
        <v>0</v>
      </c>
      <c r="R1713">
        <v>0</v>
      </c>
      <c r="S1713">
        <v>0</v>
      </c>
      <c r="T1713">
        <v>0</v>
      </c>
      <c r="U1713">
        <v>0</v>
      </c>
      <c r="V1713">
        <v>8759.9</v>
      </c>
      <c r="W1713">
        <v>46817</v>
      </c>
      <c r="X1713">
        <v>7211</v>
      </c>
      <c r="Y1713">
        <f t="shared" si="26"/>
        <v>46817</v>
      </c>
      <c r="Z1713" t="str">
        <f>IF(ISNUMBER(SEARCH("Adjustment",$C1713)),"excluded",IF($H1713="Behind the Meter","excluded",IF(NOT(OR($E1713="Bundled",$E1713="Energy")),"excluded",IF(OR($H1713="Retail Power Marketer",$H1713="Community Choice Aggregator",$E1713="Energy"),"procurement",IF(OR($H1713="Municipal",$H1713="Cooperative",$H1713="Federal",$H1713="State",$H1713="Political Subdivision"),"cost_service",IF($H1713="Investor Owned",IF(AND(COUNTIF(Parameters!$A$4:$A$33,$G1713)&gt;0,COUNTIF(Parameters!$B$4:$B$33,$B1713)=0),"procurement","cost_service"),"unclassified"))))))</f>
        <v>procurement</v>
      </c>
    </row>
    <row r="1714" spans="1:26" x14ac:dyDescent="0.25">
      <c r="A1714">
        <v>2024</v>
      </c>
      <c r="B1714">
        <v>56504</v>
      </c>
      <c r="C1714" t="s">
        <v>1459</v>
      </c>
      <c r="D1714" t="s">
        <v>99</v>
      </c>
      <c r="E1714" t="s">
        <v>100</v>
      </c>
      <c r="F1714" t="s">
        <v>86</v>
      </c>
      <c r="G1714" t="s">
        <v>40</v>
      </c>
      <c r="H1714" t="s">
        <v>101</v>
      </c>
      <c r="I1714" t="s">
        <v>189</v>
      </c>
      <c r="J1714">
        <v>7504</v>
      </c>
      <c r="K1714">
        <v>59417</v>
      </c>
      <c r="L1714">
        <v>5931</v>
      </c>
      <c r="M1714">
        <v>4099</v>
      </c>
      <c r="N1714">
        <v>33310</v>
      </c>
      <c r="O1714">
        <v>1027</v>
      </c>
      <c r="P1714">
        <v>0</v>
      </c>
      <c r="Q1714">
        <v>0</v>
      </c>
      <c r="R1714">
        <v>0</v>
      </c>
      <c r="S1714">
        <v>0</v>
      </c>
      <c r="T1714">
        <v>0</v>
      </c>
      <c r="U1714">
        <v>0</v>
      </c>
      <c r="V1714">
        <v>11603</v>
      </c>
      <c r="W1714">
        <v>92727</v>
      </c>
      <c r="X1714">
        <v>6958</v>
      </c>
      <c r="Y1714">
        <f t="shared" si="26"/>
        <v>92727</v>
      </c>
      <c r="Z1714" t="str">
        <f>IF(ISNUMBER(SEARCH("Adjustment",$C1714)),"excluded",IF($H1714="Behind the Meter","excluded",IF(NOT(OR($E1714="Bundled",$E1714="Energy")),"excluded",IF(OR($H1714="Retail Power Marketer",$H1714="Community Choice Aggregator",$E1714="Energy"),"procurement",IF(OR($H1714="Municipal",$H1714="Cooperative",$H1714="Federal",$H1714="State",$H1714="Political Subdivision"),"cost_service",IF($H1714="Investor Owned",IF(AND(COUNTIF(Parameters!$A$4:$A$33,$G1714)&gt;0,COUNTIF(Parameters!$B$4:$B$33,$B1714)=0),"procurement","cost_service"),"unclassified"))))))</f>
        <v>procurement</v>
      </c>
    </row>
    <row r="1715" spans="1:26" x14ac:dyDescent="0.25">
      <c r="A1715">
        <v>2024</v>
      </c>
      <c r="B1715">
        <v>56504</v>
      </c>
      <c r="C1715" t="s">
        <v>1459</v>
      </c>
      <c r="D1715" t="s">
        <v>99</v>
      </c>
      <c r="E1715" t="s">
        <v>100</v>
      </c>
      <c r="F1715" t="s">
        <v>86</v>
      </c>
      <c r="G1715" t="s">
        <v>42</v>
      </c>
      <c r="H1715" t="s">
        <v>101</v>
      </c>
      <c r="I1715" t="s">
        <v>92</v>
      </c>
      <c r="J1715">
        <v>609</v>
      </c>
      <c r="K1715">
        <v>3948</v>
      </c>
      <c r="L1715">
        <v>615</v>
      </c>
      <c r="M1715">
        <v>1036</v>
      </c>
      <c r="N1715">
        <v>10026</v>
      </c>
      <c r="O1715">
        <v>44</v>
      </c>
      <c r="P1715">
        <v>0</v>
      </c>
      <c r="Q1715">
        <v>0</v>
      </c>
      <c r="R1715">
        <v>0</v>
      </c>
      <c r="S1715">
        <v>0</v>
      </c>
      <c r="T1715">
        <v>0</v>
      </c>
      <c r="U1715">
        <v>0</v>
      </c>
      <c r="V1715">
        <v>1645</v>
      </c>
      <c r="W1715">
        <v>13974</v>
      </c>
      <c r="X1715">
        <v>659</v>
      </c>
      <c r="Y1715">
        <f t="shared" si="26"/>
        <v>13974</v>
      </c>
      <c r="Z1715" t="str">
        <f>IF(ISNUMBER(SEARCH("Adjustment",$C1715)),"excluded",IF($H1715="Behind the Meter","excluded",IF(NOT(OR($E1715="Bundled",$E1715="Energy")),"excluded",IF(OR($H1715="Retail Power Marketer",$H1715="Community Choice Aggregator",$E1715="Energy"),"procurement",IF(OR($H1715="Municipal",$H1715="Cooperative",$H1715="Federal",$H1715="State",$H1715="Political Subdivision"),"cost_service",IF($H1715="Investor Owned",IF(AND(COUNTIF(Parameters!$A$4:$A$33,$G1715)&gt;0,COUNTIF(Parameters!$B$4:$B$33,$B1715)=0),"procurement","cost_service"),"unclassified"))))))</f>
        <v>procurement</v>
      </c>
    </row>
    <row r="1716" spans="1:26" x14ac:dyDescent="0.25">
      <c r="A1716">
        <v>2024</v>
      </c>
      <c r="B1716">
        <v>56504</v>
      </c>
      <c r="C1716" t="s">
        <v>1459</v>
      </c>
      <c r="D1716" t="s">
        <v>99</v>
      </c>
      <c r="E1716" t="s">
        <v>100</v>
      </c>
      <c r="F1716" t="s">
        <v>86</v>
      </c>
      <c r="G1716" t="s">
        <v>46</v>
      </c>
      <c r="H1716" t="s">
        <v>101</v>
      </c>
      <c r="I1716" t="s">
        <v>92</v>
      </c>
      <c r="J1716">
        <v>921</v>
      </c>
      <c r="K1716">
        <v>6931</v>
      </c>
      <c r="L1716">
        <v>1242</v>
      </c>
      <c r="M1716">
        <v>469</v>
      </c>
      <c r="N1716">
        <v>5856</v>
      </c>
      <c r="O1716">
        <v>48</v>
      </c>
      <c r="P1716">
        <v>0</v>
      </c>
      <c r="Q1716">
        <v>0</v>
      </c>
      <c r="R1716">
        <v>0</v>
      </c>
      <c r="S1716">
        <v>0</v>
      </c>
      <c r="T1716">
        <v>0</v>
      </c>
      <c r="U1716">
        <v>0</v>
      </c>
      <c r="V1716">
        <v>1390</v>
      </c>
      <c r="W1716">
        <v>12787</v>
      </c>
      <c r="X1716">
        <v>1290</v>
      </c>
      <c r="Y1716">
        <f t="shared" si="26"/>
        <v>12787</v>
      </c>
      <c r="Z1716" t="str">
        <f>IF(ISNUMBER(SEARCH("Adjustment",$C1716)),"excluded",IF($H1716="Behind the Meter","excluded",IF(NOT(OR($E1716="Bundled",$E1716="Energy")),"excluded",IF(OR($H1716="Retail Power Marketer",$H1716="Community Choice Aggregator",$E1716="Energy"),"procurement",IF(OR($H1716="Municipal",$H1716="Cooperative",$H1716="Federal",$H1716="State",$H1716="Political Subdivision"),"cost_service",IF($H1716="Investor Owned",IF(AND(COUNTIF(Parameters!$A$4:$A$33,$G1716)&gt;0,COUNTIF(Parameters!$B$4:$B$33,$B1716)=0),"procurement","cost_service"),"unclassified"))))))</f>
        <v>procurement</v>
      </c>
    </row>
    <row r="1717" spans="1:26" x14ac:dyDescent="0.25">
      <c r="A1717">
        <v>2024</v>
      </c>
      <c r="B1717">
        <v>56504</v>
      </c>
      <c r="C1717" t="s">
        <v>1459</v>
      </c>
      <c r="D1717" t="s">
        <v>99</v>
      </c>
      <c r="E1717" t="s">
        <v>100</v>
      </c>
      <c r="F1717" t="s">
        <v>86</v>
      </c>
      <c r="G1717" t="s">
        <v>48</v>
      </c>
      <c r="H1717" t="s">
        <v>101</v>
      </c>
      <c r="I1717" t="s">
        <v>189</v>
      </c>
      <c r="J1717">
        <v>7886</v>
      </c>
      <c r="K1717">
        <v>42522</v>
      </c>
      <c r="L1717">
        <v>6382</v>
      </c>
      <c r="M1717">
        <v>5659</v>
      </c>
      <c r="N1717">
        <v>40111</v>
      </c>
      <c r="O1717">
        <v>607</v>
      </c>
      <c r="P1717">
        <v>0</v>
      </c>
      <c r="Q1717">
        <v>0</v>
      </c>
      <c r="R1717">
        <v>0</v>
      </c>
      <c r="S1717">
        <v>0</v>
      </c>
      <c r="T1717">
        <v>0</v>
      </c>
      <c r="U1717">
        <v>0</v>
      </c>
      <c r="V1717">
        <v>13545</v>
      </c>
      <c r="W1717">
        <v>82633</v>
      </c>
      <c r="X1717">
        <v>6989</v>
      </c>
      <c r="Y1717">
        <f t="shared" si="26"/>
        <v>82633</v>
      </c>
      <c r="Z1717" t="str">
        <f>IF(ISNUMBER(SEARCH("Adjustment",$C1717)),"excluded",IF($H1717="Behind the Meter","excluded",IF(NOT(OR($E1717="Bundled",$E1717="Energy")),"excluded",IF(OR($H1717="Retail Power Marketer",$H1717="Community Choice Aggregator",$E1717="Energy"),"procurement",IF(OR($H1717="Municipal",$H1717="Cooperative",$H1717="Federal",$H1717="State",$H1717="Political Subdivision"),"cost_service",IF($H1717="Investor Owned",IF(AND(COUNTIF(Parameters!$A$4:$A$33,$G1717)&gt;0,COUNTIF(Parameters!$B$4:$B$33,$B1717)=0),"procurement","cost_service"),"unclassified"))))))</f>
        <v>procurement</v>
      </c>
    </row>
    <row r="1718" spans="1:26" x14ac:dyDescent="0.25">
      <c r="A1718">
        <v>2024</v>
      </c>
      <c r="B1718">
        <v>56504</v>
      </c>
      <c r="C1718" t="s">
        <v>1459</v>
      </c>
      <c r="D1718" t="s">
        <v>99</v>
      </c>
      <c r="E1718" t="s">
        <v>100</v>
      </c>
      <c r="F1718" t="s">
        <v>86</v>
      </c>
      <c r="G1718" t="s">
        <v>49</v>
      </c>
      <c r="H1718" t="s">
        <v>101</v>
      </c>
      <c r="I1718" t="s">
        <v>92</v>
      </c>
      <c r="J1718">
        <v>3839</v>
      </c>
      <c r="K1718">
        <v>24822</v>
      </c>
      <c r="L1718">
        <v>2836</v>
      </c>
      <c r="M1718">
        <v>2417</v>
      </c>
      <c r="N1718">
        <v>24212</v>
      </c>
      <c r="O1718">
        <v>334</v>
      </c>
      <c r="P1718">
        <v>0</v>
      </c>
      <c r="Q1718">
        <v>0</v>
      </c>
      <c r="R1718">
        <v>0</v>
      </c>
      <c r="S1718">
        <v>0</v>
      </c>
      <c r="T1718">
        <v>0</v>
      </c>
      <c r="U1718">
        <v>0</v>
      </c>
      <c r="V1718">
        <v>6256</v>
      </c>
      <c r="W1718">
        <v>49034</v>
      </c>
      <c r="X1718">
        <v>3170</v>
      </c>
      <c r="Y1718">
        <f t="shared" si="26"/>
        <v>49034</v>
      </c>
      <c r="Z1718" t="str">
        <f>IF(ISNUMBER(SEARCH("Adjustment",$C1718)),"excluded",IF($H1718="Behind the Meter","excluded",IF(NOT(OR($E1718="Bundled",$E1718="Energy")),"excluded",IF(OR($H1718="Retail Power Marketer",$H1718="Community Choice Aggregator",$E1718="Energy"),"procurement",IF(OR($H1718="Municipal",$H1718="Cooperative",$H1718="Federal",$H1718="State",$H1718="Political Subdivision"),"cost_service",IF($H1718="Investor Owned",IF(AND(COUNTIF(Parameters!$A$4:$A$33,$G1718)&gt;0,COUNTIF(Parameters!$B$4:$B$33,$B1718)=0),"procurement","cost_service"),"unclassified"))))))</f>
        <v>procurement</v>
      </c>
    </row>
    <row r="1719" spans="1:26" x14ac:dyDescent="0.25">
      <c r="A1719">
        <v>2024</v>
      </c>
      <c r="B1719">
        <v>56504</v>
      </c>
      <c r="C1719" t="s">
        <v>1459</v>
      </c>
      <c r="D1719" t="s">
        <v>99</v>
      </c>
      <c r="E1719" t="s">
        <v>100</v>
      </c>
      <c r="F1719" t="s">
        <v>86</v>
      </c>
      <c r="G1719" t="s">
        <v>50</v>
      </c>
      <c r="H1719" t="s">
        <v>101</v>
      </c>
      <c r="I1719" t="s">
        <v>189</v>
      </c>
      <c r="J1719">
        <v>4901</v>
      </c>
      <c r="K1719">
        <v>33752</v>
      </c>
      <c r="L1719">
        <v>3972</v>
      </c>
      <c r="M1719">
        <v>301</v>
      </c>
      <c r="N1719">
        <v>2292</v>
      </c>
      <c r="O1719">
        <v>27</v>
      </c>
      <c r="P1719">
        <v>0</v>
      </c>
      <c r="Q1719">
        <v>0</v>
      </c>
      <c r="R1719">
        <v>0</v>
      </c>
      <c r="S1719">
        <v>0</v>
      </c>
      <c r="T1719">
        <v>0</v>
      </c>
      <c r="U1719">
        <v>0</v>
      </c>
      <c r="V1719">
        <v>5202</v>
      </c>
      <c r="W1719">
        <v>36044</v>
      </c>
      <c r="X1719">
        <v>3999</v>
      </c>
      <c r="Y1719">
        <f t="shared" si="26"/>
        <v>36044</v>
      </c>
      <c r="Z1719" t="str">
        <f>IF(ISNUMBER(SEARCH("Adjustment",$C1719)),"excluded",IF($H1719="Behind the Meter","excluded",IF(NOT(OR($E1719="Bundled",$E1719="Energy")),"excluded",IF(OR($H1719="Retail Power Marketer",$H1719="Community Choice Aggregator",$E1719="Energy"),"procurement",IF(OR($H1719="Municipal",$H1719="Cooperative",$H1719="Federal",$H1719="State",$H1719="Political Subdivision"),"cost_service",IF($H1719="Investor Owned",IF(AND(COUNTIF(Parameters!$A$4:$A$33,$G1719)&gt;0,COUNTIF(Parameters!$B$4:$B$33,$B1719)=0),"procurement","cost_service"),"unclassified"))))))</f>
        <v>procurement</v>
      </c>
    </row>
    <row r="1720" spans="1:26" x14ac:dyDescent="0.25">
      <c r="A1720">
        <v>2024</v>
      </c>
      <c r="B1720">
        <v>56504</v>
      </c>
      <c r="C1720" t="s">
        <v>1459</v>
      </c>
      <c r="D1720" t="s">
        <v>99</v>
      </c>
      <c r="E1720" t="s">
        <v>100</v>
      </c>
      <c r="F1720" t="s">
        <v>86</v>
      </c>
      <c r="G1720" t="s">
        <v>53</v>
      </c>
      <c r="H1720" t="s">
        <v>101</v>
      </c>
      <c r="I1720" t="s">
        <v>102</v>
      </c>
      <c r="J1720">
        <v>1486</v>
      </c>
      <c r="K1720">
        <v>11868</v>
      </c>
      <c r="L1720">
        <v>1908</v>
      </c>
      <c r="M1720">
        <v>2487</v>
      </c>
      <c r="N1720">
        <v>15156</v>
      </c>
      <c r="O1720">
        <v>355</v>
      </c>
      <c r="P1720">
        <v>0</v>
      </c>
      <c r="Q1720">
        <v>0</v>
      </c>
      <c r="R1720">
        <v>0</v>
      </c>
      <c r="S1720">
        <v>0</v>
      </c>
      <c r="T1720">
        <v>0</v>
      </c>
      <c r="U1720">
        <v>0</v>
      </c>
      <c r="V1720">
        <v>3973</v>
      </c>
      <c r="W1720">
        <v>27024</v>
      </c>
      <c r="X1720">
        <v>2263</v>
      </c>
      <c r="Y1720">
        <f t="shared" si="26"/>
        <v>27024</v>
      </c>
      <c r="Z1720" t="str">
        <f>IF(ISNUMBER(SEARCH("Adjustment",$C1720)),"excluded",IF($H1720="Behind the Meter","excluded",IF(NOT(OR($E1720="Bundled",$E1720="Energy")),"excluded",IF(OR($H1720="Retail Power Marketer",$H1720="Community Choice Aggregator",$E1720="Energy"),"procurement",IF(OR($H1720="Municipal",$H1720="Cooperative",$H1720="Federal",$H1720="State",$H1720="Political Subdivision"),"cost_service",IF($H1720="Investor Owned",IF(AND(COUNTIF(Parameters!$A$4:$A$33,$G1720)&gt;0,COUNTIF(Parameters!$B$4:$B$33,$B1720)=0),"procurement","cost_service"),"unclassified"))))))</f>
        <v>procurement</v>
      </c>
    </row>
    <row r="1721" spans="1:26" x14ac:dyDescent="0.25">
      <c r="A1721">
        <v>2024</v>
      </c>
      <c r="B1721">
        <v>56504</v>
      </c>
      <c r="C1721" t="s">
        <v>1459</v>
      </c>
      <c r="D1721" t="s">
        <v>99</v>
      </c>
      <c r="E1721" t="s">
        <v>100</v>
      </c>
      <c r="F1721" t="s">
        <v>86</v>
      </c>
      <c r="G1721" t="s">
        <v>54</v>
      </c>
      <c r="H1721" t="s">
        <v>101</v>
      </c>
      <c r="I1721" t="s">
        <v>92</v>
      </c>
      <c r="J1721">
        <v>2894</v>
      </c>
      <c r="K1721">
        <v>29494</v>
      </c>
      <c r="L1721">
        <v>4234</v>
      </c>
      <c r="M1721">
        <v>337</v>
      </c>
      <c r="N1721">
        <v>4859</v>
      </c>
      <c r="O1721">
        <v>44</v>
      </c>
      <c r="P1721">
        <v>0</v>
      </c>
      <c r="Q1721">
        <v>0</v>
      </c>
      <c r="R1721">
        <v>0</v>
      </c>
      <c r="S1721">
        <v>0</v>
      </c>
      <c r="T1721">
        <v>0</v>
      </c>
      <c r="U1721">
        <v>0</v>
      </c>
      <c r="V1721">
        <v>3231</v>
      </c>
      <c r="W1721">
        <v>34353</v>
      </c>
      <c r="X1721">
        <v>4278</v>
      </c>
      <c r="Y1721">
        <f t="shared" si="26"/>
        <v>34353</v>
      </c>
      <c r="Z1721" t="str">
        <f>IF(ISNUMBER(SEARCH("Adjustment",$C1721)),"excluded",IF($H1721="Behind the Meter","excluded",IF(NOT(OR($E1721="Bundled",$E1721="Energy")),"excluded",IF(OR($H1721="Retail Power Marketer",$H1721="Community Choice Aggregator",$E1721="Energy"),"procurement",IF(OR($H1721="Municipal",$H1721="Cooperative",$H1721="Federal",$H1721="State",$H1721="Political Subdivision"),"cost_service",IF($H1721="Investor Owned",IF(AND(COUNTIF(Parameters!$A$4:$A$33,$G1721)&gt;0,COUNTIF(Parameters!$B$4:$B$33,$B1721)=0),"procurement","cost_service"),"unclassified"))))))</f>
        <v>procurement</v>
      </c>
    </row>
    <row r="1722" spans="1:26" x14ac:dyDescent="0.25">
      <c r="A1722">
        <v>2024</v>
      </c>
      <c r="B1722">
        <v>56521</v>
      </c>
      <c r="C1722" t="s">
        <v>1460</v>
      </c>
      <c r="D1722" t="s">
        <v>99</v>
      </c>
      <c r="E1722" t="s">
        <v>100</v>
      </c>
      <c r="F1722" t="s">
        <v>86</v>
      </c>
      <c r="G1722" t="s">
        <v>42</v>
      </c>
      <c r="H1722" t="s">
        <v>101</v>
      </c>
      <c r="I1722" t="s">
        <v>92</v>
      </c>
      <c r="J1722">
        <v>0</v>
      </c>
      <c r="K1722">
        <v>0</v>
      </c>
      <c r="L1722">
        <v>0</v>
      </c>
      <c r="M1722">
        <v>453.4</v>
      </c>
      <c r="N1722">
        <v>8635</v>
      </c>
      <c r="O1722">
        <v>1</v>
      </c>
      <c r="P1722">
        <v>0</v>
      </c>
      <c r="Q1722">
        <v>0</v>
      </c>
      <c r="R1722">
        <v>0</v>
      </c>
      <c r="S1722">
        <v>0</v>
      </c>
      <c r="T1722">
        <v>0</v>
      </c>
      <c r="U1722">
        <v>0</v>
      </c>
      <c r="V1722">
        <v>453.4</v>
      </c>
      <c r="W1722">
        <v>8635</v>
      </c>
      <c r="X1722">
        <v>1</v>
      </c>
      <c r="Y1722">
        <f t="shared" si="26"/>
        <v>8635</v>
      </c>
      <c r="Z1722" t="str">
        <f>IF(ISNUMBER(SEARCH("Adjustment",$C1722)),"excluded",IF($H1722="Behind the Meter","excluded",IF(NOT(OR($E1722="Bundled",$E1722="Energy")),"excluded",IF(OR($H1722="Retail Power Marketer",$H1722="Community Choice Aggregator",$E1722="Energy"),"procurement",IF(OR($H1722="Municipal",$H1722="Cooperative",$H1722="Federal",$H1722="State",$H1722="Political Subdivision"),"cost_service",IF($H1722="Investor Owned",IF(AND(COUNTIF(Parameters!$A$4:$A$33,$G1722)&gt;0,COUNTIF(Parameters!$B$4:$B$33,$B1722)=0),"procurement","cost_service"),"unclassified"))))))</f>
        <v>procurement</v>
      </c>
    </row>
    <row r="1723" spans="1:26" x14ac:dyDescent="0.25">
      <c r="A1723">
        <v>2024</v>
      </c>
      <c r="B1723">
        <v>56521</v>
      </c>
      <c r="C1723" t="s">
        <v>1460</v>
      </c>
      <c r="D1723" t="s">
        <v>99</v>
      </c>
      <c r="E1723" t="s">
        <v>100</v>
      </c>
      <c r="F1723" t="s">
        <v>86</v>
      </c>
      <c r="G1723" t="s">
        <v>48</v>
      </c>
      <c r="H1723" t="s">
        <v>101</v>
      </c>
      <c r="I1723" t="s">
        <v>189</v>
      </c>
      <c r="J1723">
        <v>0</v>
      </c>
      <c r="K1723">
        <v>0</v>
      </c>
      <c r="L1723">
        <v>0</v>
      </c>
      <c r="M1723">
        <v>3325.6</v>
      </c>
      <c r="N1723">
        <v>58476</v>
      </c>
      <c r="O1723">
        <v>1</v>
      </c>
      <c r="P1723">
        <v>0</v>
      </c>
      <c r="Q1723">
        <v>0</v>
      </c>
      <c r="R1723">
        <v>0</v>
      </c>
      <c r="S1723">
        <v>0</v>
      </c>
      <c r="T1723">
        <v>0</v>
      </c>
      <c r="U1723">
        <v>0</v>
      </c>
      <c r="V1723">
        <v>3325.6</v>
      </c>
      <c r="W1723">
        <v>58476</v>
      </c>
      <c r="X1723">
        <v>1</v>
      </c>
      <c r="Y1723">
        <f t="shared" si="26"/>
        <v>58476</v>
      </c>
      <c r="Z1723" t="str">
        <f>IF(ISNUMBER(SEARCH("Adjustment",$C1723)),"excluded",IF($H1723="Behind the Meter","excluded",IF(NOT(OR($E1723="Bundled",$E1723="Energy")),"excluded",IF(OR($H1723="Retail Power Marketer",$H1723="Community Choice Aggregator",$E1723="Energy"),"procurement",IF(OR($H1723="Municipal",$H1723="Cooperative",$H1723="Federal",$H1723="State",$H1723="Political Subdivision"),"cost_service",IF($H1723="Investor Owned",IF(AND(COUNTIF(Parameters!$A$4:$A$33,$G1723)&gt;0,COUNTIF(Parameters!$B$4:$B$33,$B1723)=0),"procurement","cost_service"),"unclassified"))))))</f>
        <v>procurement</v>
      </c>
    </row>
    <row r="1724" spans="1:26" x14ac:dyDescent="0.25">
      <c r="A1724">
        <v>2024</v>
      </c>
      <c r="B1724">
        <v>56521</v>
      </c>
      <c r="C1724" t="s">
        <v>1460</v>
      </c>
      <c r="D1724" t="s">
        <v>99</v>
      </c>
      <c r="E1724" t="s">
        <v>100</v>
      </c>
      <c r="F1724" t="s">
        <v>86</v>
      </c>
      <c r="G1724" t="s">
        <v>51</v>
      </c>
      <c r="H1724" t="s">
        <v>101</v>
      </c>
      <c r="I1724" t="s">
        <v>189</v>
      </c>
      <c r="J1724">
        <v>0</v>
      </c>
      <c r="K1724">
        <v>0</v>
      </c>
      <c r="L1724">
        <v>0</v>
      </c>
      <c r="M1724">
        <v>1386</v>
      </c>
      <c r="N1724">
        <v>24245</v>
      </c>
      <c r="O1724">
        <v>1</v>
      </c>
      <c r="P1724">
        <v>0</v>
      </c>
      <c r="Q1724">
        <v>0</v>
      </c>
      <c r="R1724">
        <v>0</v>
      </c>
      <c r="S1724">
        <v>0</v>
      </c>
      <c r="T1724">
        <v>0</v>
      </c>
      <c r="U1724">
        <v>0</v>
      </c>
      <c r="V1724">
        <v>1386</v>
      </c>
      <c r="W1724">
        <v>24245</v>
      </c>
      <c r="X1724">
        <v>1</v>
      </c>
      <c r="Y1724">
        <f t="shared" si="26"/>
        <v>24245</v>
      </c>
      <c r="Z1724" t="str">
        <f>IF(ISNUMBER(SEARCH("Adjustment",$C1724)),"excluded",IF($H1724="Behind the Meter","excluded",IF(NOT(OR($E1724="Bundled",$E1724="Energy")),"excluded",IF(OR($H1724="Retail Power Marketer",$H1724="Community Choice Aggregator",$E1724="Energy"),"procurement",IF(OR($H1724="Municipal",$H1724="Cooperative",$H1724="Federal",$H1724="State",$H1724="Political Subdivision"),"cost_service",IF($H1724="Investor Owned",IF(AND(COUNTIF(Parameters!$A$4:$A$33,$G1724)&gt;0,COUNTIF(Parameters!$B$4:$B$33,$B1724)=0),"procurement","cost_service"),"unclassified"))))))</f>
        <v>procurement</v>
      </c>
    </row>
    <row r="1725" spans="1:26" x14ac:dyDescent="0.25">
      <c r="A1725">
        <v>2024</v>
      </c>
      <c r="B1725">
        <v>56521</v>
      </c>
      <c r="C1725" t="s">
        <v>1460</v>
      </c>
      <c r="D1725" t="s">
        <v>99</v>
      </c>
      <c r="E1725" t="s">
        <v>100</v>
      </c>
      <c r="F1725" t="s">
        <v>86</v>
      </c>
      <c r="G1725" t="s">
        <v>56</v>
      </c>
      <c r="H1725" t="s">
        <v>101</v>
      </c>
      <c r="I1725" t="s">
        <v>189</v>
      </c>
      <c r="J1725">
        <v>0</v>
      </c>
      <c r="K1725">
        <v>0</v>
      </c>
      <c r="L1725">
        <v>0</v>
      </c>
      <c r="M1725">
        <v>762.9</v>
      </c>
      <c r="N1725">
        <v>13234</v>
      </c>
      <c r="O1725">
        <v>1</v>
      </c>
      <c r="P1725">
        <v>0</v>
      </c>
      <c r="Q1725">
        <v>0</v>
      </c>
      <c r="R1725">
        <v>0</v>
      </c>
      <c r="S1725">
        <v>0</v>
      </c>
      <c r="T1725">
        <v>0</v>
      </c>
      <c r="U1725">
        <v>0</v>
      </c>
      <c r="V1725">
        <v>762.9</v>
      </c>
      <c r="W1725">
        <v>13234</v>
      </c>
      <c r="X1725">
        <v>1</v>
      </c>
      <c r="Y1725">
        <f t="shared" si="26"/>
        <v>13234</v>
      </c>
      <c r="Z1725" t="str">
        <f>IF(ISNUMBER(SEARCH("Adjustment",$C1725)),"excluded",IF($H1725="Behind the Meter","excluded",IF(NOT(OR($E1725="Bundled",$E1725="Energy")),"excluded",IF(OR($H1725="Retail Power Marketer",$H1725="Community Choice Aggregator",$E1725="Energy"),"procurement",IF(OR($H1725="Municipal",$H1725="Cooperative",$H1725="Federal",$H1725="State",$H1725="Political Subdivision"),"cost_service",IF($H1725="Investor Owned",IF(AND(COUNTIF(Parameters!$A$4:$A$33,$G1725)&gt;0,COUNTIF(Parameters!$B$4:$B$33,$B1725)=0),"procurement","cost_service"),"unclassified"))))))</f>
        <v>procurement</v>
      </c>
    </row>
    <row r="1726" spans="1:26" x14ac:dyDescent="0.25">
      <c r="A1726">
        <v>2024</v>
      </c>
      <c r="B1726">
        <v>56571</v>
      </c>
      <c r="C1726" t="s">
        <v>1461</v>
      </c>
      <c r="D1726" t="s">
        <v>99</v>
      </c>
      <c r="E1726" t="s">
        <v>100</v>
      </c>
      <c r="F1726" t="s">
        <v>86</v>
      </c>
      <c r="G1726" t="s">
        <v>46</v>
      </c>
      <c r="H1726" t="s">
        <v>101</v>
      </c>
      <c r="I1726" t="s">
        <v>92</v>
      </c>
      <c r="J1726">
        <v>0</v>
      </c>
      <c r="K1726">
        <v>0</v>
      </c>
      <c r="L1726">
        <v>0</v>
      </c>
      <c r="M1726">
        <v>3835.7</v>
      </c>
      <c r="N1726">
        <v>50474</v>
      </c>
      <c r="O1726">
        <v>1038</v>
      </c>
      <c r="P1726">
        <v>0</v>
      </c>
      <c r="Q1726">
        <v>0</v>
      </c>
      <c r="R1726">
        <v>0</v>
      </c>
      <c r="S1726">
        <v>0</v>
      </c>
      <c r="T1726">
        <v>0</v>
      </c>
      <c r="U1726">
        <v>0</v>
      </c>
      <c r="V1726">
        <v>3835.7</v>
      </c>
      <c r="W1726">
        <v>50474</v>
      </c>
      <c r="X1726">
        <v>1038</v>
      </c>
      <c r="Y1726">
        <f t="shared" si="26"/>
        <v>50474</v>
      </c>
      <c r="Z1726" t="str">
        <f>IF(ISNUMBER(SEARCH("Adjustment",$C1726)),"excluded",IF($H1726="Behind the Meter","excluded",IF(NOT(OR($E1726="Bundled",$E1726="Energy")),"excluded",IF(OR($H1726="Retail Power Marketer",$H1726="Community Choice Aggregator",$E1726="Energy"),"procurement",IF(OR($H1726="Municipal",$H1726="Cooperative",$H1726="Federal",$H1726="State",$H1726="Political Subdivision"),"cost_service",IF($H1726="Investor Owned",IF(AND(COUNTIF(Parameters!$A$4:$A$33,$G1726)&gt;0,COUNTIF(Parameters!$B$4:$B$33,$B1726)=0),"procurement","cost_service"),"unclassified"))))))</f>
        <v>procurement</v>
      </c>
    </row>
    <row r="1727" spans="1:26" x14ac:dyDescent="0.25">
      <c r="A1727">
        <v>2024</v>
      </c>
      <c r="B1727">
        <v>56571</v>
      </c>
      <c r="C1727" t="s">
        <v>1461</v>
      </c>
      <c r="D1727" t="s">
        <v>99</v>
      </c>
      <c r="E1727" t="s">
        <v>100</v>
      </c>
      <c r="F1727" t="s">
        <v>86</v>
      </c>
      <c r="G1727" t="s">
        <v>49</v>
      </c>
      <c r="H1727" t="s">
        <v>101</v>
      </c>
      <c r="I1727" t="s">
        <v>92</v>
      </c>
      <c r="J1727">
        <v>454.4</v>
      </c>
      <c r="K1727">
        <v>3193</v>
      </c>
      <c r="L1727">
        <v>343</v>
      </c>
      <c r="M1727">
        <v>6167</v>
      </c>
      <c r="N1727">
        <v>60386</v>
      </c>
      <c r="O1727">
        <v>941</v>
      </c>
      <c r="P1727">
        <v>0</v>
      </c>
      <c r="Q1727">
        <v>0</v>
      </c>
      <c r="R1727">
        <v>0</v>
      </c>
      <c r="S1727">
        <v>0</v>
      </c>
      <c r="T1727">
        <v>0</v>
      </c>
      <c r="U1727">
        <v>0</v>
      </c>
      <c r="V1727">
        <v>6621.4</v>
      </c>
      <c r="W1727">
        <v>63579</v>
      </c>
      <c r="X1727">
        <v>1284</v>
      </c>
      <c r="Y1727">
        <f t="shared" si="26"/>
        <v>63579</v>
      </c>
      <c r="Z1727" t="str">
        <f>IF(ISNUMBER(SEARCH("Adjustment",$C1727)),"excluded",IF($H1727="Behind the Meter","excluded",IF(NOT(OR($E1727="Bundled",$E1727="Energy")),"excluded",IF(OR($H1727="Retail Power Marketer",$H1727="Community Choice Aggregator",$E1727="Energy"),"procurement",IF(OR($H1727="Municipal",$H1727="Cooperative",$H1727="Federal",$H1727="State",$H1727="Political Subdivision"),"cost_service",IF($H1727="Investor Owned",IF(AND(COUNTIF(Parameters!$A$4:$A$33,$G1727)&gt;0,COUNTIF(Parameters!$B$4:$B$33,$B1727)=0),"procurement","cost_service"),"unclassified"))))))</f>
        <v>procurement</v>
      </c>
    </row>
    <row r="1728" spans="1:26" x14ac:dyDescent="0.25">
      <c r="A1728">
        <v>2024</v>
      </c>
      <c r="B1728">
        <v>56571</v>
      </c>
      <c r="C1728" t="s">
        <v>1461</v>
      </c>
      <c r="D1728" t="s">
        <v>99</v>
      </c>
      <c r="E1728" t="s">
        <v>100</v>
      </c>
      <c r="F1728" t="s">
        <v>86</v>
      </c>
      <c r="G1728" t="s">
        <v>52</v>
      </c>
      <c r="H1728" t="s">
        <v>101</v>
      </c>
      <c r="I1728" t="s">
        <v>92</v>
      </c>
      <c r="J1728">
        <v>248.8</v>
      </c>
      <c r="K1728">
        <v>1294</v>
      </c>
      <c r="L1728">
        <v>224</v>
      </c>
      <c r="M1728">
        <v>10631</v>
      </c>
      <c r="N1728">
        <v>93713</v>
      </c>
      <c r="O1728">
        <v>1028</v>
      </c>
      <c r="P1728">
        <v>0</v>
      </c>
      <c r="Q1728">
        <v>0</v>
      </c>
      <c r="R1728">
        <v>0</v>
      </c>
      <c r="S1728">
        <v>0</v>
      </c>
      <c r="T1728">
        <v>0</v>
      </c>
      <c r="U1728">
        <v>0</v>
      </c>
      <c r="V1728">
        <v>10879.8</v>
      </c>
      <c r="W1728">
        <v>95007</v>
      </c>
      <c r="X1728">
        <v>1252</v>
      </c>
      <c r="Y1728">
        <f t="shared" si="26"/>
        <v>95007</v>
      </c>
      <c r="Z1728" t="str">
        <f>IF(ISNUMBER(SEARCH("Adjustment",$C1728)),"excluded",IF($H1728="Behind the Meter","excluded",IF(NOT(OR($E1728="Bundled",$E1728="Energy")),"excluded",IF(OR($H1728="Retail Power Marketer",$H1728="Community Choice Aggregator",$E1728="Energy"),"procurement",IF(OR($H1728="Municipal",$H1728="Cooperative",$H1728="Federal",$H1728="State",$H1728="Political Subdivision"),"cost_service",IF($H1728="Investor Owned",IF(AND(COUNTIF(Parameters!$A$4:$A$33,$G1728)&gt;0,COUNTIF(Parameters!$B$4:$B$33,$B1728)=0),"procurement","cost_service"),"unclassified"))))))</f>
        <v>procurement</v>
      </c>
    </row>
    <row r="1729" spans="1:26" x14ac:dyDescent="0.25">
      <c r="A1729">
        <v>2024</v>
      </c>
      <c r="B1729">
        <v>56571</v>
      </c>
      <c r="C1729" t="s">
        <v>1461</v>
      </c>
      <c r="D1729" t="s">
        <v>99</v>
      </c>
      <c r="E1729" t="s">
        <v>100</v>
      </c>
      <c r="F1729" t="s">
        <v>86</v>
      </c>
      <c r="G1729" t="s">
        <v>53</v>
      </c>
      <c r="H1729" t="s">
        <v>101</v>
      </c>
      <c r="I1729" t="s">
        <v>102</v>
      </c>
      <c r="J1729">
        <v>0</v>
      </c>
      <c r="K1729">
        <v>0</v>
      </c>
      <c r="L1729">
        <v>0</v>
      </c>
      <c r="M1729">
        <v>1043.9000000000001</v>
      </c>
      <c r="N1729">
        <v>6978</v>
      </c>
      <c r="O1729">
        <v>59</v>
      </c>
      <c r="P1729">
        <v>0</v>
      </c>
      <c r="Q1729">
        <v>0</v>
      </c>
      <c r="R1729">
        <v>0</v>
      </c>
      <c r="S1729">
        <v>0</v>
      </c>
      <c r="T1729">
        <v>0</v>
      </c>
      <c r="U1729">
        <v>0</v>
      </c>
      <c r="V1729">
        <v>1043.9000000000001</v>
      </c>
      <c r="W1729">
        <v>6978</v>
      </c>
      <c r="X1729">
        <v>59</v>
      </c>
      <c r="Y1729">
        <f t="shared" si="26"/>
        <v>6978</v>
      </c>
      <c r="Z1729" t="str">
        <f>IF(ISNUMBER(SEARCH("Adjustment",$C1729)),"excluded",IF($H1729="Behind the Meter","excluded",IF(NOT(OR($E1729="Bundled",$E1729="Energy")),"excluded",IF(OR($H1729="Retail Power Marketer",$H1729="Community Choice Aggregator",$E1729="Energy"),"procurement",IF(OR($H1729="Municipal",$H1729="Cooperative",$H1729="Federal",$H1729="State",$H1729="Political Subdivision"),"cost_service",IF($H1729="Investor Owned",IF(AND(COUNTIF(Parameters!$A$4:$A$33,$G1729)&gt;0,COUNTIF(Parameters!$B$4:$B$33,$B1729)=0),"procurement","cost_service"),"unclassified"))))))</f>
        <v>procurement</v>
      </c>
    </row>
    <row r="1730" spans="1:26" x14ac:dyDescent="0.25">
      <c r="A1730">
        <v>2024</v>
      </c>
      <c r="B1730">
        <v>56571</v>
      </c>
      <c r="C1730" t="s">
        <v>1461</v>
      </c>
      <c r="D1730" t="s">
        <v>99</v>
      </c>
      <c r="E1730" t="s">
        <v>100</v>
      </c>
      <c r="F1730" t="s">
        <v>86</v>
      </c>
      <c r="G1730" t="s">
        <v>54</v>
      </c>
      <c r="H1730" t="s">
        <v>101</v>
      </c>
      <c r="I1730" t="s">
        <v>92</v>
      </c>
      <c r="J1730">
        <v>2387.5</v>
      </c>
      <c r="K1730">
        <v>30062</v>
      </c>
      <c r="L1730">
        <v>3649</v>
      </c>
      <c r="M1730">
        <v>12630.6</v>
      </c>
      <c r="N1730">
        <v>193363</v>
      </c>
      <c r="O1730">
        <v>3622</v>
      </c>
      <c r="P1730">
        <v>0</v>
      </c>
      <c r="Q1730">
        <v>0</v>
      </c>
      <c r="R1730">
        <v>0</v>
      </c>
      <c r="S1730">
        <v>0</v>
      </c>
      <c r="T1730">
        <v>0</v>
      </c>
      <c r="U1730">
        <v>0</v>
      </c>
      <c r="V1730">
        <v>15018.1</v>
      </c>
      <c r="W1730">
        <v>223425</v>
      </c>
      <c r="X1730">
        <v>7271</v>
      </c>
      <c r="Y1730">
        <f t="shared" si="26"/>
        <v>223425</v>
      </c>
      <c r="Z1730" t="str">
        <f>IF(ISNUMBER(SEARCH("Adjustment",$C1730)),"excluded",IF($H1730="Behind the Meter","excluded",IF(NOT(OR($E1730="Bundled",$E1730="Energy")),"excluded",IF(OR($H1730="Retail Power Marketer",$H1730="Community Choice Aggregator",$E1730="Energy"),"procurement",IF(OR($H1730="Municipal",$H1730="Cooperative",$H1730="Federal",$H1730="State",$H1730="Political Subdivision"),"cost_service",IF($H1730="Investor Owned",IF(AND(COUNTIF(Parameters!$A$4:$A$33,$G1730)&gt;0,COUNTIF(Parameters!$B$4:$B$33,$B1730)=0),"procurement","cost_service"),"unclassified"))))))</f>
        <v>procurement</v>
      </c>
    </row>
    <row r="1731" spans="1:26" x14ac:dyDescent="0.25">
      <c r="A1731">
        <v>2024</v>
      </c>
      <c r="B1731">
        <v>56571</v>
      </c>
      <c r="C1731" t="s">
        <v>1461</v>
      </c>
      <c r="D1731" t="s">
        <v>99</v>
      </c>
      <c r="E1731" t="s">
        <v>100</v>
      </c>
      <c r="F1731" t="s">
        <v>86</v>
      </c>
      <c r="G1731" t="s">
        <v>55</v>
      </c>
      <c r="H1731" t="s">
        <v>101</v>
      </c>
      <c r="I1731" t="s">
        <v>92</v>
      </c>
      <c r="J1731">
        <v>18411.099999999999</v>
      </c>
      <c r="K1731">
        <v>169032</v>
      </c>
      <c r="L1731">
        <v>16050</v>
      </c>
      <c r="M1731">
        <v>23651.4</v>
      </c>
      <c r="N1731">
        <v>251617</v>
      </c>
      <c r="O1731">
        <v>4060</v>
      </c>
      <c r="P1731">
        <v>0</v>
      </c>
      <c r="Q1731">
        <v>0</v>
      </c>
      <c r="R1731">
        <v>0</v>
      </c>
      <c r="S1731">
        <v>0</v>
      </c>
      <c r="T1731">
        <v>0</v>
      </c>
      <c r="U1731">
        <v>0</v>
      </c>
      <c r="V1731">
        <v>42062.5</v>
      </c>
      <c r="W1731">
        <v>420649</v>
      </c>
      <c r="X1731">
        <v>20110</v>
      </c>
      <c r="Y1731">
        <f t="shared" si="26"/>
        <v>420649</v>
      </c>
      <c r="Z1731" t="str">
        <f>IF(ISNUMBER(SEARCH("Adjustment",$C1731)),"excluded",IF($H1731="Behind the Meter","excluded",IF(NOT(OR($E1731="Bundled",$E1731="Energy")),"excluded",IF(OR($H1731="Retail Power Marketer",$H1731="Community Choice Aggregator",$E1731="Energy"),"procurement",IF(OR($H1731="Municipal",$H1731="Cooperative",$H1731="Federal",$H1731="State",$H1731="Political Subdivision"),"cost_service",IF($H1731="Investor Owned",IF(AND(COUNTIF(Parameters!$A$4:$A$33,$G1731)&gt;0,COUNTIF(Parameters!$B$4:$B$33,$B1731)=0),"procurement","cost_service"),"unclassified"))))))</f>
        <v>procurement</v>
      </c>
    </row>
    <row r="1732" spans="1:26" x14ac:dyDescent="0.25">
      <c r="A1732">
        <v>2024</v>
      </c>
      <c r="B1732">
        <v>56571</v>
      </c>
      <c r="C1732" t="s">
        <v>1461</v>
      </c>
      <c r="D1732" t="s">
        <v>150</v>
      </c>
      <c r="E1732" t="s">
        <v>85</v>
      </c>
      <c r="F1732" t="s">
        <v>86</v>
      </c>
      <c r="G1732" t="s">
        <v>57</v>
      </c>
      <c r="H1732" t="s">
        <v>101</v>
      </c>
      <c r="I1732" t="s">
        <v>151</v>
      </c>
      <c r="J1732">
        <v>61154.9</v>
      </c>
      <c r="K1732">
        <v>664101</v>
      </c>
      <c r="L1732">
        <v>48235</v>
      </c>
      <c r="M1732">
        <v>117969.60000000001</v>
      </c>
      <c r="N1732">
        <v>1679794</v>
      </c>
      <c r="O1732">
        <v>39136</v>
      </c>
      <c r="P1732">
        <v>0</v>
      </c>
      <c r="Q1732">
        <v>0</v>
      </c>
      <c r="R1732">
        <v>0</v>
      </c>
      <c r="S1732">
        <v>0</v>
      </c>
      <c r="T1732">
        <v>0</v>
      </c>
      <c r="U1732">
        <v>0</v>
      </c>
      <c r="V1732">
        <v>179124.5</v>
      </c>
      <c r="W1732">
        <v>2343895</v>
      </c>
      <c r="X1732">
        <v>87371</v>
      </c>
      <c r="Y1732">
        <f t="shared" ref="Y1732:Y1795" si="27">IF(ISNUMBER($W1732),$W1732,0)</f>
        <v>2343895</v>
      </c>
      <c r="Z1732" t="str">
        <f>IF(ISNUMBER(SEARCH("Adjustment",$C1732)),"excluded",IF($H1732="Behind the Meter","excluded",IF(NOT(OR($E1732="Bundled",$E1732="Energy")),"excluded",IF(OR($H1732="Retail Power Marketer",$H1732="Community Choice Aggregator",$E1732="Energy"),"procurement",IF(OR($H1732="Municipal",$H1732="Cooperative",$H1732="Federal",$H1732="State",$H1732="Political Subdivision"),"cost_service",IF($H1732="Investor Owned",IF(AND(COUNTIF(Parameters!$A$4:$A$33,$G1732)&gt;0,COUNTIF(Parameters!$B$4:$B$33,$B1732)=0),"procurement","cost_service"),"unclassified"))))))</f>
        <v>procurement</v>
      </c>
    </row>
    <row r="1733" spans="1:26" x14ac:dyDescent="0.25">
      <c r="A1733">
        <v>2024</v>
      </c>
      <c r="B1733">
        <v>56573</v>
      </c>
      <c r="C1733" t="s">
        <v>1462</v>
      </c>
      <c r="D1733" t="s">
        <v>99</v>
      </c>
      <c r="E1733" t="s">
        <v>100</v>
      </c>
      <c r="F1733" t="s">
        <v>86</v>
      </c>
      <c r="G1733" t="s">
        <v>55</v>
      </c>
      <c r="H1733" t="s">
        <v>101</v>
      </c>
      <c r="I1733" t="s">
        <v>92</v>
      </c>
      <c r="J1733">
        <v>8420.7000000000007</v>
      </c>
      <c r="K1733">
        <v>46634</v>
      </c>
      <c r="L1733">
        <v>7072</v>
      </c>
      <c r="M1733">
        <v>923.9</v>
      </c>
      <c r="N1733">
        <v>8226</v>
      </c>
      <c r="O1733">
        <v>175</v>
      </c>
      <c r="P1733">
        <v>0</v>
      </c>
      <c r="Q1733">
        <v>0</v>
      </c>
      <c r="R1733">
        <v>0</v>
      </c>
      <c r="S1733">
        <v>0</v>
      </c>
      <c r="T1733">
        <v>0</v>
      </c>
      <c r="U1733">
        <v>0</v>
      </c>
      <c r="V1733">
        <v>9344.6</v>
      </c>
      <c r="W1733">
        <v>54860</v>
      </c>
      <c r="X1733">
        <v>7247</v>
      </c>
      <c r="Y1733">
        <f t="shared" si="27"/>
        <v>54860</v>
      </c>
      <c r="Z1733" t="str">
        <f>IF(ISNUMBER(SEARCH("Adjustment",$C1733)),"excluded",IF($H1733="Behind the Meter","excluded",IF(NOT(OR($E1733="Bundled",$E1733="Energy")),"excluded",IF(OR($H1733="Retail Power Marketer",$H1733="Community Choice Aggregator",$E1733="Energy"),"procurement",IF(OR($H1733="Municipal",$H1733="Cooperative",$H1733="Federal",$H1733="State",$H1733="Political Subdivision"),"cost_service",IF($H1733="Investor Owned",IF(AND(COUNTIF(Parameters!$A$4:$A$33,$G1733)&gt;0,COUNTIF(Parameters!$B$4:$B$33,$B1733)=0),"procurement","cost_service"),"unclassified"))))))</f>
        <v>procurement</v>
      </c>
    </row>
    <row r="1734" spans="1:26" x14ac:dyDescent="0.25">
      <c r="A1734">
        <v>2024</v>
      </c>
      <c r="B1734">
        <v>56692</v>
      </c>
      <c r="C1734" t="s">
        <v>1463</v>
      </c>
      <c r="D1734" t="s">
        <v>99</v>
      </c>
      <c r="E1734" t="s">
        <v>100</v>
      </c>
      <c r="F1734" t="s">
        <v>86</v>
      </c>
      <c r="G1734" t="s">
        <v>115</v>
      </c>
      <c r="H1734" t="s">
        <v>1464</v>
      </c>
      <c r="I1734" t="s">
        <v>116</v>
      </c>
      <c r="J1734">
        <v>432119.7</v>
      </c>
      <c r="K1734">
        <v>2862154</v>
      </c>
      <c r="L1734">
        <v>524852</v>
      </c>
      <c r="M1734">
        <v>382336.1</v>
      </c>
      <c r="N1734">
        <v>2636056</v>
      </c>
      <c r="O1734">
        <v>60310</v>
      </c>
      <c r="P1734">
        <v>0</v>
      </c>
      <c r="Q1734">
        <v>0</v>
      </c>
      <c r="R1734">
        <v>0</v>
      </c>
      <c r="S1734">
        <v>0</v>
      </c>
      <c r="T1734">
        <v>0</v>
      </c>
      <c r="U1734">
        <v>0</v>
      </c>
      <c r="V1734">
        <v>814455.8</v>
      </c>
      <c r="W1734">
        <v>5498210</v>
      </c>
      <c r="X1734">
        <v>585162</v>
      </c>
      <c r="Y1734">
        <f t="shared" si="27"/>
        <v>5498210</v>
      </c>
      <c r="Z1734" t="str">
        <f>IF(ISNUMBER(SEARCH("Adjustment",$C1734)),"excluded",IF($H1734="Behind the Meter","excluded",IF(NOT(OR($E1734="Bundled",$E1734="Energy")),"excluded",IF(OR($H1734="Retail Power Marketer",$H1734="Community Choice Aggregator",$E1734="Energy"),"procurement",IF(OR($H1734="Municipal",$H1734="Cooperative",$H1734="Federal",$H1734="State",$H1734="Political Subdivision"),"cost_service",IF($H1734="Investor Owned",IF(AND(COUNTIF(Parameters!$A$4:$A$33,$G1734)&gt;0,COUNTIF(Parameters!$B$4:$B$33,$B1734)=0),"procurement","cost_service"),"unclassified"))))))</f>
        <v>procurement</v>
      </c>
    </row>
    <row r="1735" spans="1:26" x14ac:dyDescent="0.25">
      <c r="A1735">
        <v>2024</v>
      </c>
      <c r="B1735">
        <v>56697</v>
      </c>
      <c r="C1735" t="s">
        <v>1465</v>
      </c>
      <c r="D1735" t="s">
        <v>84</v>
      </c>
      <c r="E1735" t="s">
        <v>85</v>
      </c>
      <c r="F1735" t="s">
        <v>86</v>
      </c>
      <c r="G1735" t="s">
        <v>46</v>
      </c>
      <c r="H1735" t="s">
        <v>109</v>
      </c>
      <c r="I1735" t="s">
        <v>96</v>
      </c>
      <c r="J1735">
        <v>813235.5</v>
      </c>
      <c r="K1735">
        <v>5330247</v>
      </c>
      <c r="L1735">
        <v>520498</v>
      </c>
      <c r="M1735">
        <v>306949.09999999998</v>
      </c>
      <c r="N1735">
        <v>2353896</v>
      </c>
      <c r="O1735">
        <v>67760</v>
      </c>
      <c r="P1735">
        <v>27709.5</v>
      </c>
      <c r="Q1735">
        <v>582773</v>
      </c>
      <c r="R1735">
        <v>285</v>
      </c>
      <c r="S1735">
        <v>1371.8</v>
      </c>
      <c r="T1735">
        <v>15527</v>
      </c>
      <c r="U1735">
        <v>1</v>
      </c>
      <c r="V1735">
        <v>1149265.8999999999</v>
      </c>
      <c r="W1735">
        <v>8282443</v>
      </c>
      <c r="X1735">
        <v>588544</v>
      </c>
      <c r="Y1735">
        <f t="shared" si="27"/>
        <v>8282443</v>
      </c>
      <c r="Z1735" t="str">
        <f>IF(ISNUMBER(SEARCH("Adjustment",$C1735)),"excluded",IF($H1735="Behind the Meter","excluded",IF(NOT(OR($E1735="Bundled",$E1735="Energy")),"excluded",IF(OR($H1735="Retail Power Marketer",$H1735="Community Choice Aggregator",$E1735="Energy"),"procurement",IF(OR($H1735="Municipal",$H1735="Cooperative",$H1735="Federal",$H1735="State",$H1735="Political Subdivision"),"cost_service",IF($H1735="Investor Owned",IF(AND(COUNTIF(Parameters!$A$4:$A$33,$G1735)&gt;0,COUNTIF(Parameters!$B$4:$B$33,$B1735)=0),"procurement","cost_service"),"unclassified"))))))</f>
        <v>procurement</v>
      </c>
    </row>
    <row r="1736" spans="1:26" x14ac:dyDescent="0.25">
      <c r="A1736">
        <v>2024</v>
      </c>
      <c r="B1736">
        <v>56697</v>
      </c>
      <c r="C1736" t="s">
        <v>1465</v>
      </c>
      <c r="D1736" t="s">
        <v>167</v>
      </c>
      <c r="E1736" t="s">
        <v>168</v>
      </c>
      <c r="F1736" t="s">
        <v>86</v>
      </c>
      <c r="G1736" t="s">
        <v>46</v>
      </c>
      <c r="H1736" t="s">
        <v>109</v>
      </c>
      <c r="I1736" t="s">
        <v>96</v>
      </c>
      <c r="J1736">
        <v>446476.9</v>
      </c>
      <c r="K1736">
        <v>5385664</v>
      </c>
      <c r="L1736">
        <v>540396</v>
      </c>
      <c r="M1736">
        <v>409884.3</v>
      </c>
      <c r="N1736">
        <v>9532274</v>
      </c>
      <c r="O1736">
        <v>94480</v>
      </c>
      <c r="P1736">
        <v>150438.39999999999</v>
      </c>
      <c r="Q1736">
        <v>10365978</v>
      </c>
      <c r="R1736">
        <v>688</v>
      </c>
      <c r="S1736">
        <v>0</v>
      </c>
      <c r="T1736">
        <v>0</v>
      </c>
      <c r="U1736">
        <v>0</v>
      </c>
      <c r="V1736">
        <v>1006799.6</v>
      </c>
      <c r="W1736">
        <v>25283916</v>
      </c>
      <c r="X1736">
        <v>635564</v>
      </c>
      <c r="Y1736">
        <f t="shared" si="27"/>
        <v>25283916</v>
      </c>
      <c r="Z1736" t="str">
        <f>IF(ISNUMBER(SEARCH("Adjustment",$C1736)),"excluded",IF($H1736="Behind the Meter","excluded",IF(NOT(OR($E1736="Bundled",$E1736="Energy")),"excluded",IF(OR($H1736="Retail Power Marketer",$H1736="Community Choice Aggregator",$E1736="Energy"),"procurement",IF(OR($H1736="Municipal",$H1736="Cooperative",$H1736="Federal",$H1736="State",$H1736="Political Subdivision"),"cost_service",IF($H1736="Investor Owned",IF(AND(COUNTIF(Parameters!$A$4:$A$33,$G1736)&gt;0,COUNTIF(Parameters!$B$4:$B$33,$B1736)=0),"procurement","cost_service"),"unclassified"))))))</f>
        <v>excluded</v>
      </c>
    </row>
    <row r="1737" spans="1:26" x14ac:dyDescent="0.25">
      <c r="A1737">
        <v>2024</v>
      </c>
      <c r="B1737">
        <v>56734</v>
      </c>
      <c r="C1737" t="s">
        <v>1466</v>
      </c>
      <c r="D1737" t="s">
        <v>150</v>
      </c>
      <c r="E1737" t="s">
        <v>85</v>
      </c>
      <c r="F1737" t="s">
        <v>86</v>
      </c>
      <c r="G1737" t="s">
        <v>57</v>
      </c>
      <c r="H1737" t="s">
        <v>101</v>
      </c>
      <c r="I1737" t="s">
        <v>151</v>
      </c>
      <c r="J1737">
        <v>148</v>
      </c>
      <c r="K1737">
        <v>943</v>
      </c>
      <c r="L1737">
        <v>96</v>
      </c>
      <c r="M1737">
        <v>0</v>
      </c>
      <c r="N1737">
        <v>0</v>
      </c>
      <c r="O1737">
        <v>0</v>
      </c>
      <c r="P1737">
        <v>0</v>
      </c>
      <c r="Q1737">
        <v>0</v>
      </c>
      <c r="R1737">
        <v>0</v>
      </c>
      <c r="S1737">
        <v>0</v>
      </c>
      <c r="T1737">
        <v>0</v>
      </c>
      <c r="U1737">
        <v>0</v>
      </c>
      <c r="V1737">
        <v>148</v>
      </c>
      <c r="W1737">
        <v>943</v>
      </c>
      <c r="X1737">
        <v>96</v>
      </c>
      <c r="Y1737">
        <f t="shared" si="27"/>
        <v>943</v>
      </c>
      <c r="Z1737" t="str">
        <f>IF(ISNUMBER(SEARCH("Adjustment",$C1737)),"excluded",IF($H1737="Behind the Meter","excluded",IF(NOT(OR($E1737="Bundled",$E1737="Energy")),"excluded",IF(OR($H1737="Retail Power Marketer",$H1737="Community Choice Aggregator",$E1737="Energy"),"procurement",IF(OR($H1737="Municipal",$H1737="Cooperative",$H1737="Federal",$H1737="State",$H1737="Political Subdivision"),"cost_service",IF($H1737="Investor Owned",IF(AND(COUNTIF(Parameters!$A$4:$A$33,$G1737)&gt;0,COUNTIF(Parameters!$B$4:$B$33,$B1737)=0),"procurement","cost_service"),"unclassified"))))))</f>
        <v>procurement</v>
      </c>
    </row>
    <row r="1738" spans="1:26" x14ac:dyDescent="0.25">
      <c r="A1738">
        <v>2024</v>
      </c>
      <c r="B1738">
        <v>56737</v>
      </c>
      <c r="C1738" t="s">
        <v>1467</v>
      </c>
      <c r="D1738" t="s">
        <v>99</v>
      </c>
      <c r="E1738" t="s">
        <v>100</v>
      </c>
      <c r="F1738" t="s">
        <v>86</v>
      </c>
      <c r="G1738" t="s">
        <v>55</v>
      </c>
      <c r="H1738" t="s">
        <v>101</v>
      </c>
      <c r="I1738" t="s">
        <v>92</v>
      </c>
      <c r="J1738">
        <v>26890.2</v>
      </c>
      <c r="K1738">
        <v>201547</v>
      </c>
      <c r="L1738">
        <v>20591</v>
      </c>
      <c r="M1738">
        <v>4045.6</v>
      </c>
      <c r="N1738">
        <v>38456</v>
      </c>
      <c r="O1738">
        <v>1067</v>
      </c>
      <c r="P1738">
        <v>0</v>
      </c>
      <c r="Q1738">
        <v>0</v>
      </c>
      <c r="R1738">
        <v>0</v>
      </c>
      <c r="S1738">
        <v>0</v>
      </c>
      <c r="T1738">
        <v>0</v>
      </c>
      <c r="U1738">
        <v>0</v>
      </c>
      <c r="V1738">
        <v>30935.8</v>
      </c>
      <c r="W1738">
        <v>240003</v>
      </c>
      <c r="X1738">
        <v>21658</v>
      </c>
      <c r="Y1738">
        <f t="shared" si="27"/>
        <v>240003</v>
      </c>
      <c r="Z1738" t="str">
        <f>IF(ISNUMBER(SEARCH("Adjustment",$C1738)),"excluded",IF($H1738="Behind the Meter","excluded",IF(NOT(OR($E1738="Bundled",$E1738="Energy")),"excluded",IF(OR($H1738="Retail Power Marketer",$H1738="Community Choice Aggregator",$E1738="Energy"),"procurement",IF(OR($H1738="Municipal",$H1738="Cooperative",$H1738="Federal",$H1738="State",$H1738="Political Subdivision"),"cost_service",IF($H1738="Investor Owned",IF(AND(COUNTIF(Parameters!$A$4:$A$33,$G1738)&gt;0,COUNTIF(Parameters!$B$4:$B$33,$B1738)=0),"procurement","cost_service"),"unclassified"))))))</f>
        <v>procurement</v>
      </c>
    </row>
    <row r="1739" spans="1:26" x14ac:dyDescent="0.25">
      <c r="A1739">
        <v>2024</v>
      </c>
      <c r="B1739">
        <v>56876</v>
      </c>
      <c r="C1739" t="s">
        <v>1468</v>
      </c>
      <c r="D1739" t="s">
        <v>99</v>
      </c>
      <c r="E1739" t="s">
        <v>100</v>
      </c>
      <c r="F1739" t="s">
        <v>86</v>
      </c>
      <c r="G1739" t="s">
        <v>49</v>
      </c>
      <c r="H1739" t="s">
        <v>101</v>
      </c>
      <c r="I1739" t="s">
        <v>92</v>
      </c>
      <c r="J1739">
        <v>4905</v>
      </c>
      <c r="K1739">
        <v>31048</v>
      </c>
      <c r="L1739">
        <v>2852</v>
      </c>
      <c r="M1739">
        <v>568</v>
      </c>
      <c r="N1739">
        <v>3812</v>
      </c>
      <c r="O1739">
        <v>160</v>
      </c>
      <c r="P1739">
        <v>0</v>
      </c>
      <c r="Q1739">
        <v>0</v>
      </c>
      <c r="R1739">
        <v>0</v>
      </c>
      <c r="S1739">
        <v>0</v>
      </c>
      <c r="T1739">
        <v>0</v>
      </c>
      <c r="U1739">
        <v>0</v>
      </c>
      <c r="V1739">
        <v>5473</v>
      </c>
      <c r="W1739">
        <v>34860</v>
      </c>
      <c r="X1739">
        <v>3012</v>
      </c>
      <c r="Y1739">
        <f t="shared" si="27"/>
        <v>34860</v>
      </c>
      <c r="Z1739" t="str">
        <f>IF(ISNUMBER(SEARCH("Adjustment",$C1739)),"excluded",IF($H1739="Behind the Meter","excluded",IF(NOT(OR($E1739="Bundled",$E1739="Energy")),"excluded",IF(OR($H1739="Retail Power Marketer",$H1739="Community Choice Aggregator",$E1739="Energy"),"procurement",IF(OR($H1739="Municipal",$H1739="Cooperative",$H1739="Federal",$H1739="State",$H1739="Political Subdivision"),"cost_service",IF($H1739="Investor Owned",IF(AND(COUNTIF(Parameters!$A$4:$A$33,$G1739)&gt;0,COUNTIF(Parameters!$B$4:$B$33,$B1739)=0),"procurement","cost_service"),"unclassified"))))))</f>
        <v>procurement</v>
      </c>
    </row>
    <row r="1740" spans="1:26" x14ac:dyDescent="0.25">
      <c r="A1740">
        <v>2024</v>
      </c>
      <c r="B1740">
        <v>57037</v>
      </c>
      <c r="C1740" t="s">
        <v>1469</v>
      </c>
      <c r="D1740" t="s">
        <v>99</v>
      </c>
      <c r="E1740" t="s">
        <v>100</v>
      </c>
      <c r="F1740" t="s">
        <v>86</v>
      </c>
      <c r="G1740" t="s">
        <v>40</v>
      </c>
      <c r="H1740" t="s">
        <v>101</v>
      </c>
      <c r="I1740" t="s">
        <v>189</v>
      </c>
      <c r="J1740">
        <v>80</v>
      </c>
      <c r="K1740">
        <v>997</v>
      </c>
      <c r="L1740">
        <v>107</v>
      </c>
      <c r="M1740">
        <v>222</v>
      </c>
      <c r="N1740">
        <v>3003</v>
      </c>
      <c r="O1740">
        <v>61</v>
      </c>
      <c r="P1740">
        <v>3012</v>
      </c>
      <c r="Q1740">
        <v>37279</v>
      </c>
      <c r="R1740">
        <v>6</v>
      </c>
      <c r="S1740">
        <v>0</v>
      </c>
      <c r="T1740">
        <v>0</v>
      </c>
      <c r="U1740">
        <v>0</v>
      </c>
      <c r="V1740">
        <v>3314</v>
      </c>
      <c r="W1740">
        <v>41279</v>
      </c>
      <c r="X1740">
        <v>174</v>
      </c>
      <c r="Y1740">
        <f t="shared" si="27"/>
        <v>41279</v>
      </c>
      <c r="Z1740" t="str">
        <f>IF(ISNUMBER(SEARCH("Adjustment",$C1740)),"excluded",IF($H1740="Behind the Meter","excluded",IF(NOT(OR($E1740="Bundled",$E1740="Energy")),"excluded",IF(OR($H1740="Retail Power Marketer",$H1740="Community Choice Aggregator",$E1740="Energy"),"procurement",IF(OR($H1740="Municipal",$H1740="Cooperative",$H1740="Federal",$H1740="State",$H1740="Political Subdivision"),"cost_service",IF($H1740="Investor Owned",IF(AND(COUNTIF(Parameters!$A$4:$A$33,$G1740)&gt;0,COUNTIF(Parameters!$B$4:$B$33,$B1740)=0),"procurement","cost_service"),"unclassified"))))))</f>
        <v>procurement</v>
      </c>
    </row>
    <row r="1741" spans="1:26" x14ac:dyDescent="0.25">
      <c r="A1741">
        <v>2024</v>
      </c>
      <c r="B1741">
        <v>57037</v>
      </c>
      <c r="C1741" t="s">
        <v>1469</v>
      </c>
      <c r="D1741" t="s">
        <v>99</v>
      </c>
      <c r="E1741" t="s">
        <v>100</v>
      </c>
      <c r="F1741" t="s">
        <v>86</v>
      </c>
      <c r="G1741" t="s">
        <v>42</v>
      </c>
      <c r="H1741" t="s">
        <v>101</v>
      </c>
      <c r="I1741" t="s">
        <v>92</v>
      </c>
      <c r="J1741">
        <v>502</v>
      </c>
      <c r="K1741">
        <v>3057</v>
      </c>
      <c r="L1741">
        <v>386</v>
      </c>
      <c r="M1741">
        <v>77</v>
      </c>
      <c r="N1741">
        <v>452</v>
      </c>
      <c r="O1741">
        <v>14</v>
      </c>
      <c r="P1741">
        <v>0</v>
      </c>
      <c r="Q1741">
        <v>0</v>
      </c>
      <c r="R1741">
        <v>0</v>
      </c>
      <c r="S1741">
        <v>0</v>
      </c>
      <c r="T1741">
        <v>0</v>
      </c>
      <c r="U1741">
        <v>0</v>
      </c>
      <c r="V1741">
        <v>579</v>
      </c>
      <c r="W1741">
        <v>3509</v>
      </c>
      <c r="X1741">
        <v>400</v>
      </c>
      <c r="Y1741">
        <f t="shared" si="27"/>
        <v>3509</v>
      </c>
      <c r="Z1741" t="str">
        <f>IF(ISNUMBER(SEARCH("Adjustment",$C1741)),"excluded",IF($H1741="Behind the Meter","excluded",IF(NOT(OR($E1741="Bundled",$E1741="Energy")),"excluded",IF(OR($H1741="Retail Power Marketer",$H1741="Community Choice Aggregator",$E1741="Energy"),"procurement",IF(OR($H1741="Municipal",$H1741="Cooperative",$H1741="Federal",$H1741="State",$H1741="Political Subdivision"),"cost_service",IF($H1741="Investor Owned",IF(AND(COUNTIF(Parameters!$A$4:$A$33,$G1741)&gt;0,COUNTIF(Parameters!$B$4:$B$33,$B1741)=0),"procurement","cost_service"),"unclassified"))))))</f>
        <v>procurement</v>
      </c>
    </row>
    <row r="1742" spans="1:26" x14ac:dyDescent="0.25">
      <c r="A1742">
        <v>2024</v>
      </c>
      <c r="B1742">
        <v>57037</v>
      </c>
      <c r="C1742" t="s">
        <v>1469</v>
      </c>
      <c r="D1742" t="s">
        <v>99</v>
      </c>
      <c r="E1742" t="s">
        <v>100</v>
      </c>
      <c r="F1742" t="s">
        <v>86</v>
      </c>
      <c r="G1742" t="s">
        <v>44</v>
      </c>
      <c r="H1742" t="s">
        <v>101</v>
      </c>
      <c r="I1742" t="s">
        <v>92</v>
      </c>
      <c r="J1742">
        <v>5886</v>
      </c>
      <c r="K1742">
        <v>41090</v>
      </c>
      <c r="L1742">
        <v>4049</v>
      </c>
      <c r="M1742">
        <v>0</v>
      </c>
      <c r="N1742">
        <v>0</v>
      </c>
      <c r="O1742">
        <v>0</v>
      </c>
      <c r="P1742">
        <v>259</v>
      </c>
      <c r="Q1742">
        <v>5186</v>
      </c>
      <c r="R1742">
        <v>3</v>
      </c>
      <c r="S1742">
        <v>0</v>
      </c>
      <c r="T1742">
        <v>0</v>
      </c>
      <c r="U1742">
        <v>0</v>
      </c>
      <c r="V1742">
        <v>6145</v>
      </c>
      <c r="W1742">
        <v>46276</v>
      </c>
      <c r="X1742">
        <v>4052</v>
      </c>
      <c r="Y1742">
        <f t="shared" si="27"/>
        <v>46276</v>
      </c>
      <c r="Z1742" t="str">
        <f>IF(ISNUMBER(SEARCH("Adjustment",$C1742)),"excluded",IF($H1742="Behind the Meter","excluded",IF(NOT(OR($E1742="Bundled",$E1742="Energy")),"excluded",IF(OR($H1742="Retail Power Marketer",$H1742="Community Choice Aggregator",$E1742="Energy"),"procurement",IF(OR($H1742="Municipal",$H1742="Cooperative",$H1742="Federal",$H1742="State",$H1742="Political Subdivision"),"cost_service",IF($H1742="Investor Owned",IF(AND(COUNTIF(Parameters!$A$4:$A$33,$G1742)&gt;0,COUNTIF(Parameters!$B$4:$B$33,$B1742)=0),"procurement","cost_service"),"unclassified"))))))</f>
        <v>procurement</v>
      </c>
    </row>
    <row r="1743" spans="1:26" x14ac:dyDescent="0.25">
      <c r="A1743">
        <v>2024</v>
      </c>
      <c r="B1743">
        <v>57037</v>
      </c>
      <c r="C1743" t="s">
        <v>1469</v>
      </c>
      <c r="D1743" t="s">
        <v>99</v>
      </c>
      <c r="E1743" t="s">
        <v>100</v>
      </c>
      <c r="F1743" t="s">
        <v>86</v>
      </c>
      <c r="G1743" t="s">
        <v>46</v>
      </c>
      <c r="H1743" t="s">
        <v>101</v>
      </c>
      <c r="I1743" t="s">
        <v>92</v>
      </c>
      <c r="J1743">
        <v>115415</v>
      </c>
      <c r="K1743">
        <v>1017353</v>
      </c>
      <c r="L1743">
        <v>129869</v>
      </c>
      <c r="M1743">
        <v>76</v>
      </c>
      <c r="N1743">
        <v>688</v>
      </c>
      <c r="O1743">
        <v>61</v>
      </c>
      <c r="P1743">
        <v>6953.1</v>
      </c>
      <c r="Q1743">
        <v>80465</v>
      </c>
      <c r="R1743">
        <v>22</v>
      </c>
      <c r="S1743">
        <v>0</v>
      </c>
      <c r="T1743">
        <v>0</v>
      </c>
      <c r="U1743">
        <v>0</v>
      </c>
      <c r="V1743">
        <v>122444.1</v>
      </c>
      <c r="W1743">
        <v>1098506</v>
      </c>
      <c r="X1743">
        <v>129952</v>
      </c>
      <c r="Y1743">
        <f t="shared" si="27"/>
        <v>1098506</v>
      </c>
      <c r="Z1743" t="str">
        <f>IF(ISNUMBER(SEARCH("Adjustment",$C1743)),"excluded",IF($H1743="Behind the Meter","excluded",IF(NOT(OR($E1743="Bundled",$E1743="Energy")),"excluded",IF(OR($H1743="Retail Power Marketer",$H1743="Community Choice Aggregator",$E1743="Energy"),"procurement",IF(OR($H1743="Municipal",$H1743="Cooperative",$H1743="Federal",$H1743="State",$H1743="Political Subdivision"),"cost_service",IF($H1743="Investor Owned",IF(AND(COUNTIF(Parameters!$A$4:$A$33,$G1743)&gt;0,COUNTIF(Parameters!$B$4:$B$33,$B1743)=0),"procurement","cost_service"),"unclassified"))))))</f>
        <v>procurement</v>
      </c>
    </row>
    <row r="1744" spans="1:26" x14ac:dyDescent="0.25">
      <c r="A1744">
        <v>2024</v>
      </c>
      <c r="B1744">
        <v>57037</v>
      </c>
      <c r="C1744" t="s">
        <v>1469</v>
      </c>
      <c r="D1744" t="s">
        <v>99</v>
      </c>
      <c r="E1744" t="s">
        <v>100</v>
      </c>
      <c r="F1744" t="s">
        <v>86</v>
      </c>
      <c r="G1744" t="s">
        <v>48</v>
      </c>
      <c r="H1744" t="s">
        <v>101</v>
      </c>
      <c r="I1744" t="s">
        <v>189</v>
      </c>
      <c r="J1744">
        <v>65016</v>
      </c>
      <c r="K1744">
        <v>353881</v>
      </c>
      <c r="L1744">
        <v>53585</v>
      </c>
      <c r="M1744">
        <v>2789</v>
      </c>
      <c r="N1744">
        <v>13616</v>
      </c>
      <c r="O1744">
        <v>783</v>
      </c>
      <c r="P1744">
        <v>1473.4</v>
      </c>
      <c r="Q1744">
        <v>16223</v>
      </c>
      <c r="R1744">
        <v>3</v>
      </c>
      <c r="S1744">
        <v>0</v>
      </c>
      <c r="T1744">
        <v>0</v>
      </c>
      <c r="U1744">
        <v>0</v>
      </c>
      <c r="V1744">
        <v>69278.399999999994</v>
      </c>
      <c r="W1744">
        <v>383720</v>
      </c>
      <c r="X1744">
        <v>54371</v>
      </c>
      <c r="Y1744">
        <f t="shared" si="27"/>
        <v>383720</v>
      </c>
      <c r="Z1744" t="str">
        <f>IF(ISNUMBER(SEARCH("Adjustment",$C1744)),"excluded",IF($H1744="Behind the Meter","excluded",IF(NOT(OR($E1744="Bundled",$E1744="Energy")),"excluded",IF(OR($H1744="Retail Power Marketer",$H1744="Community Choice Aggregator",$E1744="Energy"),"procurement",IF(OR($H1744="Municipal",$H1744="Cooperative",$H1744="Federal",$H1744="State",$H1744="Political Subdivision"),"cost_service",IF($H1744="Investor Owned",IF(AND(COUNTIF(Parameters!$A$4:$A$33,$G1744)&gt;0,COUNTIF(Parameters!$B$4:$B$33,$B1744)=0),"procurement","cost_service"),"unclassified"))))))</f>
        <v>procurement</v>
      </c>
    </row>
    <row r="1745" spans="1:26" x14ac:dyDescent="0.25">
      <c r="A1745">
        <v>2024</v>
      </c>
      <c r="B1745">
        <v>57037</v>
      </c>
      <c r="C1745" t="s">
        <v>1469</v>
      </c>
      <c r="D1745" t="s">
        <v>99</v>
      </c>
      <c r="E1745" t="s">
        <v>100</v>
      </c>
      <c r="F1745" t="s">
        <v>86</v>
      </c>
      <c r="G1745" t="s">
        <v>49</v>
      </c>
      <c r="H1745" t="s">
        <v>101</v>
      </c>
      <c r="I1745" t="s">
        <v>92</v>
      </c>
      <c r="J1745">
        <v>26396</v>
      </c>
      <c r="K1745">
        <v>172600</v>
      </c>
      <c r="L1745">
        <v>16099</v>
      </c>
      <c r="M1745">
        <v>470</v>
      </c>
      <c r="N1745">
        <v>2955</v>
      </c>
      <c r="O1745">
        <v>143</v>
      </c>
      <c r="P1745">
        <v>2584.6999999999998</v>
      </c>
      <c r="Q1745">
        <v>29838</v>
      </c>
      <c r="R1745">
        <v>30</v>
      </c>
      <c r="S1745">
        <v>0</v>
      </c>
      <c r="T1745">
        <v>0</v>
      </c>
      <c r="U1745">
        <v>0</v>
      </c>
      <c r="V1745">
        <v>29450.7</v>
      </c>
      <c r="W1745">
        <v>205393</v>
      </c>
      <c r="X1745">
        <v>16272</v>
      </c>
      <c r="Y1745">
        <f t="shared" si="27"/>
        <v>205393</v>
      </c>
      <c r="Z1745" t="str">
        <f>IF(ISNUMBER(SEARCH("Adjustment",$C1745)),"excluded",IF($H1745="Behind the Meter","excluded",IF(NOT(OR($E1745="Bundled",$E1745="Energy")),"excluded",IF(OR($H1745="Retail Power Marketer",$H1745="Community Choice Aggregator",$E1745="Energy"),"procurement",IF(OR($H1745="Municipal",$H1745="Cooperative",$H1745="Federal",$H1745="State",$H1745="Political Subdivision"),"cost_service",IF($H1745="Investor Owned",IF(AND(COUNTIF(Parameters!$A$4:$A$33,$G1745)&gt;0,COUNTIF(Parameters!$B$4:$B$33,$B1745)=0),"procurement","cost_service"),"unclassified"))))))</f>
        <v>procurement</v>
      </c>
    </row>
    <row r="1746" spans="1:26" x14ac:dyDescent="0.25">
      <c r="A1746">
        <v>2024</v>
      </c>
      <c r="B1746">
        <v>57037</v>
      </c>
      <c r="C1746" t="s">
        <v>1469</v>
      </c>
      <c r="D1746" t="s">
        <v>99</v>
      </c>
      <c r="E1746" t="s">
        <v>100</v>
      </c>
      <c r="F1746" t="s">
        <v>86</v>
      </c>
      <c r="G1746" t="s">
        <v>52</v>
      </c>
      <c r="H1746" t="s">
        <v>101</v>
      </c>
      <c r="I1746" t="s">
        <v>92</v>
      </c>
      <c r="J1746">
        <v>19149</v>
      </c>
      <c r="K1746">
        <v>120757</v>
      </c>
      <c r="L1746">
        <v>13872</v>
      </c>
      <c r="M1746">
        <v>474</v>
      </c>
      <c r="N1746">
        <v>2755</v>
      </c>
      <c r="O1746">
        <v>62</v>
      </c>
      <c r="P1746">
        <v>1790.2</v>
      </c>
      <c r="Q1746">
        <v>25209</v>
      </c>
      <c r="R1746">
        <v>7</v>
      </c>
      <c r="S1746">
        <v>0</v>
      </c>
      <c r="T1746">
        <v>0</v>
      </c>
      <c r="U1746">
        <v>0</v>
      </c>
      <c r="V1746">
        <v>21413.200000000001</v>
      </c>
      <c r="W1746">
        <v>148721</v>
      </c>
      <c r="X1746">
        <v>13941</v>
      </c>
      <c r="Y1746">
        <f t="shared" si="27"/>
        <v>148721</v>
      </c>
      <c r="Z1746" t="str">
        <f>IF(ISNUMBER(SEARCH("Adjustment",$C1746)),"excluded",IF($H1746="Behind the Meter","excluded",IF(NOT(OR($E1746="Bundled",$E1746="Energy")),"excluded",IF(OR($H1746="Retail Power Marketer",$H1746="Community Choice Aggregator",$E1746="Energy"),"procurement",IF(OR($H1746="Municipal",$H1746="Cooperative",$H1746="Federal",$H1746="State",$H1746="Political Subdivision"),"cost_service",IF($H1746="Investor Owned",IF(AND(COUNTIF(Parameters!$A$4:$A$33,$G1746)&gt;0,COUNTIF(Parameters!$B$4:$B$33,$B1746)=0),"procurement","cost_service"),"unclassified"))))))</f>
        <v>procurement</v>
      </c>
    </row>
    <row r="1747" spans="1:26" x14ac:dyDescent="0.25">
      <c r="A1747">
        <v>2024</v>
      </c>
      <c r="B1747">
        <v>57037</v>
      </c>
      <c r="C1747" t="s">
        <v>1469</v>
      </c>
      <c r="D1747" t="s">
        <v>99</v>
      </c>
      <c r="E1747" t="s">
        <v>100</v>
      </c>
      <c r="F1747" t="s">
        <v>86</v>
      </c>
      <c r="G1747" t="s">
        <v>53</v>
      </c>
      <c r="H1747" t="s">
        <v>101</v>
      </c>
      <c r="I1747" t="s">
        <v>102</v>
      </c>
      <c r="J1747">
        <v>12570</v>
      </c>
      <c r="K1747">
        <v>87113</v>
      </c>
      <c r="L1747">
        <v>10739</v>
      </c>
      <c r="M1747">
        <v>0</v>
      </c>
      <c r="N1747">
        <v>0</v>
      </c>
      <c r="O1747">
        <v>0</v>
      </c>
      <c r="P1747">
        <v>2737.9</v>
      </c>
      <c r="Q1747">
        <v>26775</v>
      </c>
      <c r="R1747">
        <v>5</v>
      </c>
      <c r="S1747">
        <v>0</v>
      </c>
      <c r="T1747">
        <v>0</v>
      </c>
      <c r="U1747">
        <v>0</v>
      </c>
      <c r="V1747">
        <v>15307.9</v>
      </c>
      <c r="W1747">
        <v>113888</v>
      </c>
      <c r="X1747">
        <v>10744</v>
      </c>
      <c r="Y1747">
        <f t="shared" si="27"/>
        <v>113888</v>
      </c>
      <c r="Z1747" t="str">
        <f>IF(ISNUMBER(SEARCH("Adjustment",$C1747)),"excluded",IF($H1747="Behind the Meter","excluded",IF(NOT(OR($E1747="Bundled",$E1747="Energy")),"excluded",IF(OR($H1747="Retail Power Marketer",$H1747="Community Choice Aggregator",$E1747="Energy"),"procurement",IF(OR($H1747="Municipal",$H1747="Cooperative",$H1747="Federal",$H1747="State",$H1747="Political Subdivision"),"cost_service",IF($H1747="Investor Owned",IF(AND(COUNTIF(Parameters!$A$4:$A$33,$G1747)&gt;0,COUNTIF(Parameters!$B$4:$B$33,$B1747)=0),"procurement","cost_service"),"unclassified"))))))</f>
        <v>procurement</v>
      </c>
    </row>
    <row r="1748" spans="1:26" x14ac:dyDescent="0.25">
      <c r="A1748">
        <v>2024</v>
      </c>
      <c r="B1748">
        <v>57037</v>
      </c>
      <c r="C1748" t="s">
        <v>1469</v>
      </c>
      <c r="D1748" t="s">
        <v>99</v>
      </c>
      <c r="E1748" t="s">
        <v>100</v>
      </c>
      <c r="F1748" t="s">
        <v>86</v>
      </c>
      <c r="G1748" t="s">
        <v>54</v>
      </c>
      <c r="H1748" t="s">
        <v>101</v>
      </c>
      <c r="I1748" t="s">
        <v>92</v>
      </c>
      <c r="J1748">
        <v>118259</v>
      </c>
      <c r="K1748">
        <v>1170180</v>
      </c>
      <c r="L1748">
        <v>113975</v>
      </c>
      <c r="M1748">
        <v>92</v>
      </c>
      <c r="N1748">
        <v>810</v>
      </c>
      <c r="O1748">
        <v>42</v>
      </c>
      <c r="P1748">
        <v>4427</v>
      </c>
      <c r="Q1748">
        <v>76404</v>
      </c>
      <c r="R1748">
        <v>3</v>
      </c>
      <c r="S1748">
        <v>0</v>
      </c>
      <c r="T1748">
        <v>0</v>
      </c>
      <c r="U1748" t="s">
        <v>97</v>
      </c>
      <c r="V1748">
        <v>122778</v>
      </c>
      <c r="W1748">
        <v>1247394</v>
      </c>
      <c r="X1748">
        <v>114020</v>
      </c>
      <c r="Y1748">
        <f t="shared" si="27"/>
        <v>1247394</v>
      </c>
      <c r="Z1748" t="str">
        <f>IF(ISNUMBER(SEARCH("Adjustment",$C1748)),"excluded",IF($H1748="Behind the Meter","excluded",IF(NOT(OR($E1748="Bundled",$E1748="Energy")),"excluded",IF(OR($H1748="Retail Power Marketer",$H1748="Community Choice Aggregator",$E1748="Energy"),"procurement",IF(OR($H1748="Municipal",$H1748="Cooperative",$H1748="Federal",$H1748="State",$H1748="Political Subdivision"),"cost_service",IF($H1748="Investor Owned",IF(AND(COUNTIF(Parameters!$A$4:$A$33,$G1748)&gt;0,COUNTIF(Parameters!$B$4:$B$33,$B1748)=0),"procurement","cost_service"),"unclassified"))))))</f>
        <v>procurement</v>
      </c>
    </row>
    <row r="1749" spans="1:26" x14ac:dyDescent="0.25">
      <c r="A1749">
        <v>2024</v>
      </c>
      <c r="B1749">
        <v>57037</v>
      </c>
      <c r="C1749" t="s">
        <v>1469</v>
      </c>
      <c r="D1749" t="s">
        <v>99</v>
      </c>
      <c r="E1749" t="s">
        <v>100</v>
      </c>
      <c r="F1749" t="s">
        <v>86</v>
      </c>
      <c r="G1749" t="s">
        <v>55</v>
      </c>
      <c r="H1749" t="s">
        <v>101</v>
      </c>
      <c r="I1749" t="s">
        <v>92</v>
      </c>
      <c r="J1749">
        <v>183256</v>
      </c>
      <c r="K1749">
        <v>1385072</v>
      </c>
      <c r="L1749">
        <v>142526</v>
      </c>
      <c r="M1749">
        <v>3904</v>
      </c>
      <c r="N1749">
        <v>25290</v>
      </c>
      <c r="O1749">
        <v>2019</v>
      </c>
      <c r="P1749">
        <v>7059.3</v>
      </c>
      <c r="Q1749">
        <v>115381</v>
      </c>
      <c r="R1749">
        <v>17</v>
      </c>
      <c r="S1749">
        <v>0</v>
      </c>
      <c r="T1749">
        <v>0</v>
      </c>
      <c r="U1749">
        <v>0</v>
      </c>
      <c r="V1749">
        <v>194219.3</v>
      </c>
      <c r="W1749">
        <v>1525743</v>
      </c>
      <c r="X1749">
        <v>144562</v>
      </c>
      <c r="Y1749">
        <f t="shared" si="27"/>
        <v>1525743</v>
      </c>
      <c r="Z1749" t="str">
        <f>IF(ISNUMBER(SEARCH("Adjustment",$C1749)),"excluded",IF($H1749="Behind the Meter","excluded",IF(NOT(OR($E1749="Bundled",$E1749="Energy")),"excluded",IF(OR($H1749="Retail Power Marketer",$H1749="Community Choice Aggregator",$E1749="Energy"),"procurement",IF(OR($H1749="Municipal",$H1749="Cooperative",$H1749="Federal",$H1749="State",$H1749="Political Subdivision"),"cost_service",IF($H1749="Investor Owned",IF(AND(COUNTIF(Parameters!$A$4:$A$33,$G1749)&gt;0,COUNTIF(Parameters!$B$4:$B$33,$B1749)=0),"procurement","cost_service"),"unclassified"))))))</f>
        <v>procurement</v>
      </c>
    </row>
    <row r="1750" spans="1:26" x14ac:dyDescent="0.25">
      <c r="A1750">
        <v>2024</v>
      </c>
      <c r="B1750">
        <v>57074</v>
      </c>
      <c r="C1750" t="s">
        <v>1470</v>
      </c>
      <c r="D1750" t="s">
        <v>99</v>
      </c>
      <c r="E1750" t="s">
        <v>100</v>
      </c>
      <c r="F1750" t="s">
        <v>86</v>
      </c>
      <c r="G1750" t="s">
        <v>52</v>
      </c>
      <c r="H1750" t="s">
        <v>101</v>
      </c>
      <c r="I1750" t="s">
        <v>92</v>
      </c>
      <c r="J1750">
        <v>8028</v>
      </c>
      <c r="K1750">
        <v>43487</v>
      </c>
      <c r="L1750">
        <v>5307</v>
      </c>
      <c r="M1750">
        <v>2744</v>
      </c>
      <c r="N1750">
        <v>17076</v>
      </c>
      <c r="O1750">
        <v>617</v>
      </c>
      <c r="P1750">
        <v>0</v>
      </c>
      <c r="Q1750">
        <v>0</v>
      </c>
      <c r="R1750">
        <v>0</v>
      </c>
      <c r="S1750">
        <v>0</v>
      </c>
      <c r="T1750">
        <v>0</v>
      </c>
      <c r="U1750">
        <v>0</v>
      </c>
      <c r="V1750">
        <v>10772</v>
      </c>
      <c r="W1750">
        <v>60563</v>
      </c>
      <c r="X1750">
        <v>5924</v>
      </c>
      <c r="Y1750">
        <f t="shared" si="27"/>
        <v>60563</v>
      </c>
      <c r="Z1750" t="str">
        <f>IF(ISNUMBER(SEARCH("Adjustment",$C1750)),"excluded",IF($H1750="Behind the Meter","excluded",IF(NOT(OR($E1750="Bundled",$E1750="Energy")),"excluded",IF(OR($H1750="Retail Power Marketer",$H1750="Community Choice Aggregator",$E1750="Energy"),"procurement",IF(OR($H1750="Municipal",$H1750="Cooperative",$H1750="Federal",$H1750="State",$H1750="Political Subdivision"),"cost_service",IF($H1750="Investor Owned",IF(AND(COUNTIF(Parameters!$A$4:$A$33,$G1750)&gt;0,COUNTIF(Parameters!$B$4:$B$33,$B1750)=0),"procurement","cost_service"),"unclassified"))))))</f>
        <v>procurement</v>
      </c>
    </row>
    <row r="1751" spans="1:26" x14ac:dyDescent="0.25">
      <c r="A1751">
        <v>2024</v>
      </c>
      <c r="B1751">
        <v>57132</v>
      </c>
      <c r="C1751" t="s">
        <v>1471</v>
      </c>
      <c r="D1751" t="s">
        <v>150</v>
      </c>
      <c r="E1751" t="s">
        <v>85</v>
      </c>
      <c r="F1751" t="s">
        <v>86</v>
      </c>
      <c r="G1751" t="s">
        <v>57</v>
      </c>
      <c r="H1751" t="s">
        <v>101</v>
      </c>
      <c r="I1751" t="s">
        <v>151</v>
      </c>
      <c r="J1751">
        <v>959524.4</v>
      </c>
      <c r="K1751">
        <v>6570044</v>
      </c>
      <c r="L1751">
        <v>412301</v>
      </c>
      <c r="M1751">
        <v>327696.40000000002</v>
      </c>
      <c r="N1751">
        <v>2865821</v>
      </c>
      <c r="O1751">
        <v>54076</v>
      </c>
      <c r="P1751" t="s">
        <v>97</v>
      </c>
      <c r="Q1751" t="s">
        <v>97</v>
      </c>
      <c r="R1751" t="s">
        <v>97</v>
      </c>
      <c r="S1751" t="s">
        <v>97</v>
      </c>
      <c r="T1751" t="s">
        <v>97</v>
      </c>
      <c r="U1751" t="s">
        <v>97</v>
      </c>
      <c r="V1751">
        <v>1287220.8</v>
      </c>
      <c r="W1751">
        <v>9435865</v>
      </c>
      <c r="X1751">
        <v>466377</v>
      </c>
      <c r="Y1751">
        <f t="shared" si="27"/>
        <v>9435865</v>
      </c>
      <c r="Z1751" t="str">
        <f>IF(ISNUMBER(SEARCH("Adjustment",$C1751)),"excluded",IF($H1751="Behind the Meter","excluded",IF(NOT(OR($E1751="Bundled",$E1751="Energy")),"excluded",IF(OR($H1751="Retail Power Marketer",$H1751="Community Choice Aggregator",$E1751="Energy"),"procurement",IF(OR($H1751="Municipal",$H1751="Cooperative",$H1751="Federal",$H1751="State",$H1751="Political Subdivision"),"cost_service",IF($H1751="Investor Owned",IF(AND(COUNTIF(Parameters!$A$4:$A$33,$G1751)&gt;0,COUNTIF(Parameters!$B$4:$B$33,$B1751)=0),"procurement","cost_service"),"unclassified"))))))</f>
        <v>procurement</v>
      </c>
    </row>
    <row r="1752" spans="1:26" x14ac:dyDescent="0.25">
      <c r="A1752">
        <v>2024</v>
      </c>
      <c r="B1752">
        <v>57185</v>
      </c>
      <c r="C1752" t="s">
        <v>1472</v>
      </c>
      <c r="D1752" t="s">
        <v>99</v>
      </c>
      <c r="E1752" t="s">
        <v>100</v>
      </c>
      <c r="F1752" t="s">
        <v>86</v>
      </c>
      <c r="G1752" t="s">
        <v>49</v>
      </c>
      <c r="H1752" t="s">
        <v>101</v>
      </c>
      <c r="I1752" t="s">
        <v>92</v>
      </c>
      <c r="J1752">
        <v>4825</v>
      </c>
      <c r="K1752">
        <v>21605</v>
      </c>
      <c r="L1752">
        <v>3776</v>
      </c>
      <c r="M1752">
        <v>275.89999999999998</v>
      </c>
      <c r="N1752">
        <v>2735</v>
      </c>
      <c r="O1752">
        <v>60</v>
      </c>
      <c r="P1752">
        <v>0</v>
      </c>
      <c r="Q1752">
        <v>0</v>
      </c>
      <c r="R1752">
        <v>0</v>
      </c>
      <c r="S1752">
        <v>0</v>
      </c>
      <c r="T1752">
        <v>0</v>
      </c>
      <c r="U1752">
        <v>0</v>
      </c>
      <c r="V1752">
        <v>5100.8999999999996</v>
      </c>
      <c r="W1752">
        <v>24340</v>
      </c>
      <c r="X1752">
        <v>3836</v>
      </c>
      <c r="Y1752">
        <f t="shared" si="27"/>
        <v>24340</v>
      </c>
      <c r="Z1752" t="str">
        <f>IF(ISNUMBER(SEARCH("Adjustment",$C1752)),"excluded",IF($H1752="Behind the Meter","excluded",IF(NOT(OR($E1752="Bundled",$E1752="Energy")),"excluded",IF(OR($H1752="Retail Power Marketer",$H1752="Community Choice Aggregator",$E1752="Energy"),"procurement",IF(OR($H1752="Municipal",$H1752="Cooperative",$H1752="Federal",$H1752="State",$H1752="Political Subdivision"),"cost_service",IF($H1752="Investor Owned",IF(AND(COUNTIF(Parameters!$A$4:$A$33,$G1752)&gt;0,COUNTIF(Parameters!$B$4:$B$33,$B1752)=0),"procurement","cost_service"),"unclassified"))))))</f>
        <v>procurement</v>
      </c>
    </row>
    <row r="1753" spans="1:26" x14ac:dyDescent="0.25">
      <c r="A1753">
        <v>2024</v>
      </c>
      <c r="B1753">
        <v>57307</v>
      </c>
      <c r="C1753" t="s">
        <v>1473</v>
      </c>
      <c r="D1753" t="s">
        <v>99</v>
      </c>
      <c r="E1753" t="s">
        <v>100</v>
      </c>
      <c r="F1753" t="s">
        <v>86</v>
      </c>
      <c r="G1753" t="s">
        <v>46</v>
      </c>
      <c r="H1753" t="s">
        <v>101</v>
      </c>
      <c r="I1753" t="s">
        <v>92</v>
      </c>
      <c r="J1753">
        <v>309.7</v>
      </c>
      <c r="K1753">
        <v>2542</v>
      </c>
      <c r="L1753">
        <v>384</v>
      </c>
      <c r="M1753">
        <v>86.4</v>
      </c>
      <c r="N1753">
        <v>885</v>
      </c>
      <c r="O1753">
        <v>33</v>
      </c>
      <c r="P1753">
        <v>0</v>
      </c>
      <c r="Q1753">
        <v>0</v>
      </c>
      <c r="R1753">
        <v>0</v>
      </c>
      <c r="S1753">
        <v>0</v>
      </c>
      <c r="T1753">
        <v>0</v>
      </c>
      <c r="U1753">
        <v>0</v>
      </c>
      <c r="V1753">
        <v>396.1</v>
      </c>
      <c r="W1753">
        <v>3427</v>
      </c>
      <c r="X1753">
        <v>417</v>
      </c>
      <c r="Y1753">
        <f t="shared" si="27"/>
        <v>3427</v>
      </c>
      <c r="Z1753" t="str">
        <f>IF(ISNUMBER(SEARCH("Adjustment",$C1753)),"excluded",IF($H1753="Behind the Meter","excluded",IF(NOT(OR($E1753="Bundled",$E1753="Energy")),"excluded",IF(OR($H1753="Retail Power Marketer",$H1753="Community Choice Aggregator",$E1753="Energy"),"procurement",IF(OR($H1753="Municipal",$H1753="Cooperative",$H1753="Federal",$H1753="State",$H1753="Political Subdivision"),"cost_service",IF($H1753="Investor Owned",IF(AND(COUNTIF(Parameters!$A$4:$A$33,$G1753)&gt;0,COUNTIF(Parameters!$B$4:$B$33,$B1753)=0),"procurement","cost_service"),"unclassified"))))))</f>
        <v>procurement</v>
      </c>
    </row>
    <row r="1754" spans="1:26" x14ac:dyDescent="0.25">
      <c r="A1754">
        <v>2024</v>
      </c>
      <c r="B1754">
        <v>57307</v>
      </c>
      <c r="C1754" t="s">
        <v>1473</v>
      </c>
      <c r="D1754" t="s">
        <v>99</v>
      </c>
      <c r="E1754" t="s">
        <v>100</v>
      </c>
      <c r="F1754" t="s">
        <v>86</v>
      </c>
      <c r="G1754" t="s">
        <v>49</v>
      </c>
      <c r="H1754" t="s">
        <v>101</v>
      </c>
      <c r="I1754" t="s">
        <v>92</v>
      </c>
      <c r="J1754">
        <v>215.1</v>
      </c>
      <c r="K1754">
        <v>1167</v>
      </c>
      <c r="L1754">
        <v>122</v>
      </c>
      <c r="M1754">
        <v>491.7</v>
      </c>
      <c r="N1754">
        <v>3279</v>
      </c>
      <c r="O1754">
        <v>84</v>
      </c>
      <c r="P1754">
        <v>0</v>
      </c>
      <c r="Q1754">
        <v>0</v>
      </c>
      <c r="R1754">
        <v>0</v>
      </c>
      <c r="S1754">
        <v>0</v>
      </c>
      <c r="T1754">
        <v>0</v>
      </c>
      <c r="U1754">
        <v>0</v>
      </c>
      <c r="V1754">
        <v>706.8</v>
      </c>
      <c r="W1754">
        <v>4446</v>
      </c>
      <c r="X1754">
        <v>206</v>
      </c>
      <c r="Y1754">
        <f t="shared" si="27"/>
        <v>4446</v>
      </c>
      <c r="Z1754" t="str">
        <f>IF(ISNUMBER(SEARCH("Adjustment",$C1754)),"excluded",IF($H1754="Behind the Meter","excluded",IF(NOT(OR($E1754="Bundled",$E1754="Energy")),"excluded",IF(OR($H1754="Retail Power Marketer",$H1754="Community Choice Aggregator",$E1754="Energy"),"procurement",IF(OR($H1754="Municipal",$H1754="Cooperative",$H1754="Federal",$H1754="State",$H1754="Political Subdivision"),"cost_service",IF($H1754="Investor Owned",IF(AND(COUNTIF(Parameters!$A$4:$A$33,$G1754)&gt;0,COUNTIF(Parameters!$B$4:$B$33,$B1754)=0),"procurement","cost_service"),"unclassified"))))))</f>
        <v>procurement</v>
      </c>
    </row>
    <row r="1755" spans="1:26" x14ac:dyDescent="0.25">
      <c r="A1755">
        <v>2024</v>
      </c>
      <c r="B1755">
        <v>57307</v>
      </c>
      <c r="C1755" t="s">
        <v>1473</v>
      </c>
      <c r="D1755" t="s">
        <v>99</v>
      </c>
      <c r="E1755" t="s">
        <v>100</v>
      </c>
      <c r="F1755" t="s">
        <v>86</v>
      </c>
      <c r="G1755" t="s">
        <v>52</v>
      </c>
      <c r="H1755" t="s">
        <v>101</v>
      </c>
      <c r="I1755" t="s">
        <v>92</v>
      </c>
      <c r="J1755">
        <v>759.1</v>
      </c>
      <c r="K1755">
        <v>3686</v>
      </c>
      <c r="L1755">
        <v>432</v>
      </c>
      <c r="M1755">
        <v>4487.8999999999996</v>
      </c>
      <c r="N1755">
        <v>39339</v>
      </c>
      <c r="O1755">
        <v>265</v>
      </c>
      <c r="P1755">
        <v>0</v>
      </c>
      <c r="Q1755">
        <v>0</v>
      </c>
      <c r="R1755">
        <v>0</v>
      </c>
      <c r="S1755">
        <v>0</v>
      </c>
      <c r="T1755">
        <v>0</v>
      </c>
      <c r="U1755">
        <v>0</v>
      </c>
      <c r="V1755">
        <v>5247</v>
      </c>
      <c r="W1755">
        <v>43025</v>
      </c>
      <c r="X1755">
        <v>697</v>
      </c>
      <c r="Y1755">
        <f t="shared" si="27"/>
        <v>43025</v>
      </c>
      <c r="Z1755" t="str">
        <f>IF(ISNUMBER(SEARCH("Adjustment",$C1755)),"excluded",IF($H1755="Behind the Meter","excluded",IF(NOT(OR($E1755="Bundled",$E1755="Energy")),"excluded",IF(OR($H1755="Retail Power Marketer",$H1755="Community Choice Aggregator",$E1755="Energy"),"procurement",IF(OR($H1755="Municipal",$H1755="Cooperative",$H1755="Federal",$H1755="State",$H1755="Political Subdivision"),"cost_service",IF($H1755="Investor Owned",IF(AND(COUNTIF(Parameters!$A$4:$A$33,$G1755)&gt;0,COUNTIF(Parameters!$B$4:$B$33,$B1755)=0),"procurement","cost_service"),"unclassified"))))))</f>
        <v>procurement</v>
      </c>
    </row>
    <row r="1756" spans="1:26" x14ac:dyDescent="0.25">
      <c r="A1756">
        <v>2024</v>
      </c>
      <c r="B1756">
        <v>57307</v>
      </c>
      <c r="C1756" t="s">
        <v>1473</v>
      </c>
      <c r="D1756" t="s">
        <v>99</v>
      </c>
      <c r="E1756" t="s">
        <v>100</v>
      </c>
      <c r="F1756" t="s">
        <v>86</v>
      </c>
      <c r="G1756" t="s">
        <v>53</v>
      </c>
      <c r="H1756" t="s">
        <v>101</v>
      </c>
      <c r="I1756" t="s">
        <v>102</v>
      </c>
      <c r="J1756">
        <v>0</v>
      </c>
      <c r="K1756">
        <v>0</v>
      </c>
      <c r="L1756">
        <v>0</v>
      </c>
      <c r="M1756">
        <v>9743.1</v>
      </c>
      <c r="N1756">
        <v>89226</v>
      </c>
      <c r="O1756">
        <v>1465</v>
      </c>
      <c r="P1756">
        <v>0</v>
      </c>
      <c r="Q1756">
        <v>0</v>
      </c>
      <c r="R1756">
        <v>0</v>
      </c>
      <c r="S1756">
        <v>0</v>
      </c>
      <c r="T1756">
        <v>0</v>
      </c>
      <c r="U1756">
        <v>0</v>
      </c>
      <c r="V1756">
        <v>9743.1</v>
      </c>
      <c r="W1756">
        <v>89226</v>
      </c>
      <c r="X1756">
        <v>1465</v>
      </c>
      <c r="Y1756">
        <f t="shared" si="27"/>
        <v>89226</v>
      </c>
      <c r="Z1756" t="str">
        <f>IF(ISNUMBER(SEARCH("Adjustment",$C1756)),"excluded",IF($H1756="Behind the Meter","excluded",IF(NOT(OR($E1756="Bundled",$E1756="Energy")),"excluded",IF(OR($H1756="Retail Power Marketer",$H1756="Community Choice Aggregator",$E1756="Energy"),"procurement",IF(OR($H1756="Municipal",$H1756="Cooperative",$H1756="Federal",$H1756="State",$H1756="Political Subdivision"),"cost_service",IF($H1756="Investor Owned",IF(AND(COUNTIF(Parameters!$A$4:$A$33,$G1756)&gt;0,COUNTIF(Parameters!$B$4:$B$33,$B1756)=0),"procurement","cost_service"),"unclassified"))))))</f>
        <v>procurement</v>
      </c>
    </row>
    <row r="1757" spans="1:26" x14ac:dyDescent="0.25">
      <c r="A1757">
        <v>2024</v>
      </c>
      <c r="B1757">
        <v>57307</v>
      </c>
      <c r="C1757" t="s">
        <v>1473</v>
      </c>
      <c r="D1757" t="s">
        <v>99</v>
      </c>
      <c r="E1757" t="s">
        <v>100</v>
      </c>
      <c r="F1757" t="s">
        <v>86</v>
      </c>
      <c r="G1757" t="s">
        <v>54</v>
      </c>
      <c r="H1757" t="s">
        <v>101</v>
      </c>
      <c r="I1757" t="s">
        <v>92</v>
      </c>
      <c r="J1757">
        <v>112.8</v>
      </c>
      <c r="K1757">
        <v>1114</v>
      </c>
      <c r="L1757">
        <v>144</v>
      </c>
      <c r="M1757">
        <v>62</v>
      </c>
      <c r="N1757">
        <v>799</v>
      </c>
      <c r="O1757">
        <v>16</v>
      </c>
      <c r="P1757">
        <v>0</v>
      </c>
      <c r="Q1757">
        <v>0</v>
      </c>
      <c r="R1757">
        <v>0</v>
      </c>
      <c r="S1757">
        <v>0</v>
      </c>
      <c r="T1757">
        <v>0</v>
      </c>
      <c r="U1757">
        <v>0</v>
      </c>
      <c r="V1757">
        <v>174.8</v>
      </c>
      <c r="W1757">
        <v>1913</v>
      </c>
      <c r="X1757">
        <v>160</v>
      </c>
      <c r="Y1757">
        <f t="shared" si="27"/>
        <v>1913</v>
      </c>
      <c r="Z1757" t="str">
        <f>IF(ISNUMBER(SEARCH("Adjustment",$C1757)),"excluded",IF($H1757="Behind the Meter","excluded",IF(NOT(OR($E1757="Bundled",$E1757="Energy")),"excluded",IF(OR($H1757="Retail Power Marketer",$H1757="Community Choice Aggregator",$E1757="Energy"),"procurement",IF(OR($H1757="Municipal",$H1757="Cooperative",$H1757="Federal",$H1757="State",$H1757="Political Subdivision"),"cost_service",IF($H1757="Investor Owned",IF(AND(COUNTIF(Parameters!$A$4:$A$33,$G1757)&gt;0,COUNTIF(Parameters!$B$4:$B$33,$B1757)=0),"procurement","cost_service"),"unclassified"))))))</f>
        <v>procurement</v>
      </c>
    </row>
    <row r="1758" spans="1:26" x14ac:dyDescent="0.25">
      <c r="A1758">
        <v>2024</v>
      </c>
      <c r="B1758">
        <v>57307</v>
      </c>
      <c r="C1758" t="s">
        <v>1473</v>
      </c>
      <c r="D1758" t="s">
        <v>99</v>
      </c>
      <c r="E1758" t="s">
        <v>100</v>
      </c>
      <c r="F1758" t="s">
        <v>86</v>
      </c>
      <c r="G1758" t="s">
        <v>55</v>
      </c>
      <c r="H1758" t="s">
        <v>101</v>
      </c>
      <c r="I1758" t="s">
        <v>92</v>
      </c>
      <c r="J1758">
        <v>229.3</v>
      </c>
      <c r="K1758">
        <v>1362</v>
      </c>
      <c r="L1758">
        <v>178</v>
      </c>
      <c r="M1758">
        <v>256.7</v>
      </c>
      <c r="N1758">
        <v>2720</v>
      </c>
      <c r="O1758">
        <v>38</v>
      </c>
      <c r="P1758">
        <v>0</v>
      </c>
      <c r="Q1758">
        <v>0</v>
      </c>
      <c r="R1758">
        <v>0</v>
      </c>
      <c r="S1758">
        <v>0</v>
      </c>
      <c r="T1758">
        <v>0</v>
      </c>
      <c r="U1758">
        <v>0</v>
      </c>
      <c r="V1758">
        <v>486</v>
      </c>
      <c r="W1758">
        <v>4082</v>
      </c>
      <c r="X1758">
        <v>216</v>
      </c>
      <c r="Y1758">
        <f t="shared" si="27"/>
        <v>4082</v>
      </c>
      <c r="Z1758" t="str">
        <f>IF(ISNUMBER(SEARCH("Adjustment",$C1758)),"excluded",IF($H1758="Behind the Meter","excluded",IF(NOT(OR($E1758="Bundled",$E1758="Energy")),"excluded",IF(OR($H1758="Retail Power Marketer",$H1758="Community Choice Aggregator",$E1758="Energy"),"procurement",IF(OR($H1758="Municipal",$H1758="Cooperative",$H1758="Federal",$H1758="State",$H1758="Political Subdivision"),"cost_service",IF($H1758="Investor Owned",IF(AND(COUNTIF(Parameters!$A$4:$A$33,$G1758)&gt;0,COUNTIF(Parameters!$B$4:$B$33,$B1758)=0),"procurement","cost_service"),"unclassified"))))))</f>
        <v>procurement</v>
      </c>
    </row>
    <row r="1759" spans="1:26" x14ac:dyDescent="0.25">
      <c r="A1759">
        <v>2024</v>
      </c>
      <c r="B1759">
        <v>57313</v>
      </c>
      <c r="C1759" t="s">
        <v>1474</v>
      </c>
      <c r="D1759" t="s">
        <v>84</v>
      </c>
      <c r="E1759" t="s">
        <v>85</v>
      </c>
      <c r="F1759" t="s">
        <v>86</v>
      </c>
      <c r="G1759" t="s">
        <v>108</v>
      </c>
      <c r="H1759" t="s">
        <v>1475</v>
      </c>
      <c r="I1759" t="s">
        <v>110</v>
      </c>
      <c r="J1759">
        <v>33977.5</v>
      </c>
      <c r="K1759">
        <v>266481</v>
      </c>
      <c r="L1759">
        <v>24451</v>
      </c>
      <c r="M1759">
        <v>2280</v>
      </c>
      <c r="N1759">
        <v>35101</v>
      </c>
      <c r="O1759">
        <v>359</v>
      </c>
      <c r="P1759">
        <v>0</v>
      </c>
      <c r="Q1759">
        <v>0</v>
      </c>
      <c r="R1759">
        <v>0</v>
      </c>
      <c r="S1759">
        <v>0</v>
      </c>
      <c r="T1759">
        <v>0</v>
      </c>
      <c r="U1759">
        <v>0</v>
      </c>
      <c r="V1759">
        <v>36257.5</v>
      </c>
      <c r="W1759">
        <v>301582</v>
      </c>
      <c r="X1759">
        <v>24810</v>
      </c>
      <c r="Y1759">
        <f t="shared" si="27"/>
        <v>301582</v>
      </c>
      <c r="Z1759" t="str">
        <f>IF(ISNUMBER(SEARCH("Adjustment",$C1759)),"excluded",IF($H1759="Behind the Meter","excluded",IF(NOT(OR($E1759="Bundled",$E1759="Energy")),"excluded",IF(OR($H1759="Retail Power Marketer",$H1759="Community Choice Aggregator",$E1759="Energy"),"procurement",IF(OR($H1759="Municipal",$H1759="Cooperative",$H1759="Federal",$H1759="State",$H1759="Political Subdivision"),"cost_service",IF($H1759="Investor Owned",IF(AND(COUNTIF(Parameters!$A$4:$A$33,$G1759)&gt;0,COUNTIF(Parameters!$B$4:$B$33,$B1759)=0),"procurement","cost_service"),"unclassified"))))))</f>
        <v>excluded</v>
      </c>
    </row>
    <row r="1760" spans="1:26" x14ac:dyDescent="0.25">
      <c r="A1760">
        <v>2024</v>
      </c>
      <c r="B1760">
        <v>57313</v>
      </c>
      <c r="C1760" t="s">
        <v>1474</v>
      </c>
      <c r="D1760" t="s">
        <v>84</v>
      </c>
      <c r="E1760" t="s">
        <v>85</v>
      </c>
      <c r="F1760" t="s">
        <v>86</v>
      </c>
      <c r="G1760" t="s">
        <v>108</v>
      </c>
      <c r="H1760" t="s">
        <v>1475</v>
      </c>
      <c r="I1760" t="s">
        <v>1090</v>
      </c>
      <c r="J1760">
        <v>8385.2000000000007</v>
      </c>
      <c r="K1760">
        <v>79689</v>
      </c>
      <c r="L1760">
        <v>6754</v>
      </c>
      <c r="M1760">
        <v>1609.8</v>
      </c>
      <c r="N1760">
        <v>24752</v>
      </c>
      <c r="O1760">
        <v>56</v>
      </c>
      <c r="P1760">
        <v>0</v>
      </c>
      <c r="Q1760">
        <v>0</v>
      </c>
      <c r="R1760">
        <v>0</v>
      </c>
      <c r="S1760">
        <v>0</v>
      </c>
      <c r="T1760">
        <v>0</v>
      </c>
      <c r="U1760">
        <v>0</v>
      </c>
      <c r="V1760">
        <v>9995</v>
      </c>
      <c r="W1760">
        <v>104441</v>
      </c>
      <c r="X1760">
        <v>6810</v>
      </c>
      <c r="Y1760">
        <f t="shared" si="27"/>
        <v>104441</v>
      </c>
      <c r="Z1760" t="str">
        <f>IF(ISNUMBER(SEARCH("Adjustment",$C1760)),"excluded",IF($H1760="Behind the Meter","excluded",IF(NOT(OR($E1760="Bundled",$E1760="Energy")),"excluded",IF(OR($H1760="Retail Power Marketer",$H1760="Community Choice Aggregator",$E1760="Energy"),"procurement",IF(OR($H1760="Municipal",$H1760="Cooperative",$H1760="Federal",$H1760="State",$H1760="Political Subdivision"),"cost_service",IF($H1760="Investor Owned",IF(AND(COUNTIF(Parameters!$A$4:$A$33,$G1760)&gt;0,COUNTIF(Parameters!$B$4:$B$33,$B1760)=0),"procurement","cost_service"),"unclassified"))))))</f>
        <v>excluded</v>
      </c>
    </row>
    <row r="1761" spans="1:26" x14ac:dyDescent="0.25">
      <c r="A1761">
        <v>2024</v>
      </c>
      <c r="B1761">
        <v>57313</v>
      </c>
      <c r="C1761" t="s">
        <v>1474</v>
      </c>
      <c r="D1761" t="s">
        <v>84</v>
      </c>
      <c r="E1761" t="s">
        <v>85</v>
      </c>
      <c r="F1761" t="s">
        <v>86</v>
      </c>
      <c r="G1761" t="s">
        <v>108</v>
      </c>
      <c r="H1761" t="s">
        <v>1475</v>
      </c>
      <c r="I1761" t="s">
        <v>876</v>
      </c>
      <c r="J1761">
        <v>11596.8</v>
      </c>
      <c r="K1761">
        <v>97113</v>
      </c>
      <c r="L1761">
        <v>8858</v>
      </c>
      <c r="M1761">
        <v>1552.8</v>
      </c>
      <c r="N1761">
        <v>11610</v>
      </c>
      <c r="O1761">
        <v>416</v>
      </c>
      <c r="P1761">
        <v>0</v>
      </c>
      <c r="Q1761">
        <v>0</v>
      </c>
      <c r="R1761">
        <v>0</v>
      </c>
      <c r="S1761">
        <v>0</v>
      </c>
      <c r="T1761">
        <v>0</v>
      </c>
      <c r="U1761">
        <v>0</v>
      </c>
      <c r="V1761">
        <v>13149.6</v>
      </c>
      <c r="W1761">
        <v>108723</v>
      </c>
      <c r="X1761">
        <v>9274</v>
      </c>
      <c r="Y1761">
        <f t="shared" si="27"/>
        <v>108723</v>
      </c>
      <c r="Z1761" t="str">
        <f>IF(ISNUMBER(SEARCH("Adjustment",$C1761)),"excluded",IF($H1761="Behind the Meter","excluded",IF(NOT(OR($E1761="Bundled",$E1761="Energy")),"excluded",IF(OR($H1761="Retail Power Marketer",$H1761="Community Choice Aggregator",$E1761="Energy"),"procurement",IF(OR($H1761="Municipal",$H1761="Cooperative",$H1761="Federal",$H1761="State",$H1761="Political Subdivision"),"cost_service",IF($H1761="Investor Owned",IF(AND(COUNTIF(Parameters!$A$4:$A$33,$G1761)&gt;0,COUNTIF(Parameters!$B$4:$B$33,$B1761)=0),"procurement","cost_service"),"unclassified"))))))</f>
        <v>excluded</v>
      </c>
    </row>
    <row r="1762" spans="1:26" x14ac:dyDescent="0.25">
      <c r="A1762">
        <v>2024</v>
      </c>
      <c r="B1762">
        <v>57313</v>
      </c>
      <c r="C1762" t="s">
        <v>1474</v>
      </c>
      <c r="D1762" t="s">
        <v>84</v>
      </c>
      <c r="E1762" t="s">
        <v>85</v>
      </c>
      <c r="F1762" t="s">
        <v>86</v>
      </c>
      <c r="G1762" t="s">
        <v>108</v>
      </c>
      <c r="H1762" t="s">
        <v>1475</v>
      </c>
      <c r="I1762" t="s">
        <v>243</v>
      </c>
      <c r="J1762">
        <v>201.7</v>
      </c>
      <c r="K1762">
        <v>1782</v>
      </c>
      <c r="L1762">
        <v>166</v>
      </c>
      <c r="M1762">
        <v>0</v>
      </c>
      <c r="N1762">
        <v>0</v>
      </c>
      <c r="O1762">
        <v>0</v>
      </c>
      <c r="P1762">
        <v>0</v>
      </c>
      <c r="Q1762">
        <v>0</v>
      </c>
      <c r="R1762">
        <v>0</v>
      </c>
      <c r="S1762">
        <v>0</v>
      </c>
      <c r="T1762">
        <v>0</v>
      </c>
      <c r="U1762">
        <v>0</v>
      </c>
      <c r="V1762">
        <v>201.7</v>
      </c>
      <c r="W1762">
        <v>1782</v>
      </c>
      <c r="X1762">
        <v>166</v>
      </c>
      <c r="Y1762">
        <f t="shared" si="27"/>
        <v>1782</v>
      </c>
      <c r="Z1762" t="str">
        <f>IF(ISNUMBER(SEARCH("Adjustment",$C1762)),"excluded",IF($H1762="Behind the Meter","excluded",IF(NOT(OR($E1762="Bundled",$E1762="Energy")),"excluded",IF(OR($H1762="Retail Power Marketer",$H1762="Community Choice Aggregator",$E1762="Energy"),"procurement",IF(OR($H1762="Municipal",$H1762="Cooperative",$H1762="Federal",$H1762="State",$H1762="Political Subdivision"),"cost_service",IF($H1762="Investor Owned",IF(AND(COUNTIF(Parameters!$A$4:$A$33,$G1762)&gt;0,COUNTIF(Parameters!$B$4:$B$33,$B1762)=0),"procurement","cost_service"),"unclassified"))))))</f>
        <v>excluded</v>
      </c>
    </row>
    <row r="1763" spans="1:26" x14ac:dyDescent="0.25">
      <c r="A1763">
        <v>2024</v>
      </c>
      <c r="B1763">
        <v>57313</v>
      </c>
      <c r="C1763" t="s">
        <v>1474</v>
      </c>
      <c r="D1763" t="s">
        <v>84</v>
      </c>
      <c r="E1763" t="s">
        <v>85</v>
      </c>
      <c r="F1763" t="s">
        <v>86</v>
      </c>
      <c r="G1763" t="s">
        <v>115</v>
      </c>
      <c r="H1763" t="s">
        <v>1475</v>
      </c>
      <c r="I1763" t="s">
        <v>116</v>
      </c>
      <c r="J1763">
        <v>161812.29999999999</v>
      </c>
      <c r="K1763">
        <v>842222</v>
      </c>
      <c r="L1763">
        <v>126771</v>
      </c>
      <c r="M1763">
        <v>44312.800000000003</v>
      </c>
      <c r="N1763">
        <v>307563</v>
      </c>
      <c r="O1763">
        <v>6264</v>
      </c>
      <c r="P1763">
        <v>0</v>
      </c>
      <c r="Q1763">
        <v>0</v>
      </c>
      <c r="R1763">
        <v>0</v>
      </c>
      <c r="S1763">
        <v>0</v>
      </c>
      <c r="T1763">
        <v>0</v>
      </c>
      <c r="U1763">
        <v>0</v>
      </c>
      <c r="V1763">
        <v>206125.1</v>
      </c>
      <c r="W1763">
        <v>1149785</v>
      </c>
      <c r="X1763">
        <v>133035</v>
      </c>
      <c r="Y1763">
        <f t="shared" si="27"/>
        <v>1149785</v>
      </c>
      <c r="Z1763" t="str">
        <f>IF(ISNUMBER(SEARCH("Adjustment",$C1763)),"excluded",IF($H1763="Behind the Meter","excluded",IF(NOT(OR($E1763="Bundled",$E1763="Energy")),"excluded",IF(OR($H1763="Retail Power Marketer",$H1763="Community Choice Aggregator",$E1763="Energy"),"procurement",IF(OR($H1763="Municipal",$H1763="Cooperative",$H1763="Federal",$H1763="State",$H1763="Political Subdivision"),"cost_service",IF($H1763="Investor Owned",IF(AND(COUNTIF(Parameters!$A$4:$A$33,$G1763)&gt;0,COUNTIF(Parameters!$B$4:$B$33,$B1763)=0),"procurement","cost_service"),"unclassified"))))))</f>
        <v>excluded</v>
      </c>
    </row>
    <row r="1764" spans="1:26" x14ac:dyDescent="0.25">
      <c r="A1764">
        <v>2024</v>
      </c>
      <c r="B1764">
        <v>57313</v>
      </c>
      <c r="C1764" t="s">
        <v>1474</v>
      </c>
      <c r="D1764" t="s">
        <v>84</v>
      </c>
      <c r="E1764" t="s">
        <v>85</v>
      </c>
      <c r="F1764" t="s">
        <v>86</v>
      </c>
      <c r="G1764" t="s">
        <v>115</v>
      </c>
      <c r="H1764" t="s">
        <v>1475</v>
      </c>
      <c r="I1764" t="s">
        <v>642</v>
      </c>
      <c r="J1764">
        <v>1925</v>
      </c>
      <c r="K1764">
        <v>14353</v>
      </c>
      <c r="L1764">
        <v>1356</v>
      </c>
      <c r="M1764">
        <v>82.6</v>
      </c>
      <c r="N1764">
        <v>779</v>
      </c>
      <c r="O1764">
        <v>1</v>
      </c>
      <c r="P1764">
        <v>0</v>
      </c>
      <c r="Q1764">
        <v>0</v>
      </c>
      <c r="R1764">
        <v>0</v>
      </c>
      <c r="S1764">
        <v>0</v>
      </c>
      <c r="T1764">
        <v>0</v>
      </c>
      <c r="U1764">
        <v>0</v>
      </c>
      <c r="V1764">
        <v>2007.6</v>
      </c>
      <c r="W1764">
        <v>15132</v>
      </c>
      <c r="X1764">
        <v>1357</v>
      </c>
      <c r="Y1764">
        <f t="shared" si="27"/>
        <v>15132</v>
      </c>
      <c r="Z1764" t="str">
        <f>IF(ISNUMBER(SEARCH("Adjustment",$C1764)),"excluded",IF($H1764="Behind the Meter","excluded",IF(NOT(OR($E1764="Bundled",$E1764="Energy")),"excluded",IF(OR($H1764="Retail Power Marketer",$H1764="Community Choice Aggregator",$E1764="Energy"),"procurement",IF(OR($H1764="Municipal",$H1764="Cooperative",$H1764="Federal",$H1764="State",$H1764="Political Subdivision"),"cost_service",IF($H1764="Investor Owned",IF(AND(COUNTIF(Parameters!$A$4:$A$33,$G1764)&gt;0,COUNTIF(Parameters!$B$4:$B$33,$B1764)=0),"procurement","cost_service"),"unclassified"))))))</f>
        <v>excluded</v>
      </c>
    </row>
    <row r="1765" spans="1:26" x14ac:dyDescent="0.25">
      <c r="A1765">
        <v>2024</v>
      </c>
      <c r="B1765">
        <v>57313</v>
      </c>
      <c r="C1765" t="s">
        <v>1474</v>
      </c>
      <c r="D1765" t="s">
        <v>84</v>
      </c>
      <c r="E1765" t="s">
        <v>85</v>
      </c>
      <c r="F1765" t="s">
        <v>86</v>
      </c>
      <c r="G1765" t="s">
        <v>115</v>
      </c>
      <c r="H1765" t="s">
        <v>1475</v>
      </c>
      <c r="I1765" t="s">
        <v>267</v>
      </c>
      <c r="J1765">
        <v>8438.1</v>
      </c>
      <c r="K1765">
        <v>50723</v>
      </c>
      <c r="L1765">
        <v>8959</v>
      </c>
      <c r="M1765">
        <v>96.4</v>
      </c>
      <c r="N1765">
        <v>1147</v>
      </c>
      <c r="O1765">
        <v>71</v>
      </c>
      <c r="P1765">
        <v>0</v>
      </c>
      <c r="Q1765">
        <v>0</v>
      </c>
      <c r="R1765">
        <v>0</v>
      </c>
      <c r="S1765">
        <v>0</v>
      </c>
      <c r="T1765">
        <v>0</v>
      </c>
      <c r="U1765">
        <v>0</v>
      </c>
      <c r="V1765">
        <v>8534.5</v>
      </c>
      <c r="W1765">
        <v>51870</v>
      </c>
      <c r="X1765">
        <v>9030</v>
      </c>
      <c r="Y1765">
        <f t="shared" si="27"/>
        <v>51870</v>
      </c>
      <c r="Z1765" t="str">
        <f>IF(ISNUMBER(SEARCH("Adjustment",$C1765)),"excluded",IF($H1765="Behind the Meter","excluded",IF(NOT(OR($E1765="Bundled",$E1765="Energy")),"excluded",IF(OR($H1765="Retail Power Marketer",$H1765="Community Choice Aggregator",$E1765="Energy"),"procurement",IF(OR($H1765="Municipal",$H1765="Cooperative",$H1765="Federal",$H1765="State",$H1765="Political Subdivision"),"cost_service",IF($H1765="Investor Owned",IF(AND(COUNTIF(Parameters!$A$4:$A$33,$G1765)&gt;0,COUNTIF(Parameters!$B$4:$B$33,$B1765)=0),"procurement","cost_service"),"unclassified"))))))</f>
        <v>excluded</v>
      </c>
    </row>
    <row r="1766" spans="1:26" x14ac:dyDescent="0.25">
      <c r="A1766">
        <v>2024</v>
      </c>
      <c r="B1766">
        <v>57313</v>
      </c>
      <c r="C1766" t="s">
        <v>1474</v>
      </c>
      <c r="D1766" t="s">
        <v>84</v>
      </c>
      <c r="E1766" t="s">
        <v>85</v>
      </c>
      <c r="F1766" t="s">
        <v>86</v>
      </c>
      <c r="G1766" t="s">
        <v>115</v>
      </c>
      <c r="H1766" t="s">
        <v>1475</v>
      </c>
      <c r="I1766" t="s">
        <v>972</v>
      </c>
      <c r="J1766">
        <v>2.4</v>
      </c>
      <c r="K1766">
        <v>12</v>
      </c>
      <c r="L1766">
        <v>2</v>
      </c>
      <c r="M1766">
        <v>0</v>
      </c>
      <c r="N1766">
        <v>331</v>
      </c>
      <c r="O1766">
        <v>1</v>
      </c>
      <c r="P1766">
        <v>0</v>
      </c>
      <c r="Q1766">
        <v>0</v>
      </c>
      <c r="R1766">
        <v>0</v>
      </c>
      <c r="S1766">
        <v>0</v>
      </c>
      <c r="T1766">
        <v>0</v>
      </c>
      <c r="U1766">
        <v>0</v>
      </c>
      <c r="V1766">
        <v>2.4</v>
      </c>
      <c r="W1766">
        <v>343</v>
      </c>
      <c r="X1766">
        <v>3</v>
      </c>
      <c r="Y1766">
        <f t="shared" si="27"/>
        <v>343</v>
      </c>
      <c r="Z1766" t="str">
        <f>IF(ISNUMBER(SEARCH("Adjustment",$C1766)),"excluded",IF($H1766="Behind the Meter","excluded",IF(NOT(OR($E1766="Bundled",$E1766="Energy")),"excluded",IF(OR($H1766="Retail Power Marketer",$H1766="Community Choice Aggregator",$E1766="Energy"),"procurement",IF(OR($H1766="Municipal",$H1766="Cooperative",$H1766="Federal",$H1766="State",$H1766="Political Subdivision"),"cost_service",IF($H1766="Investor Owned",IF(AND(COUNTIF(Parameters!$A$4:$A$33,$G1766)&gt;0,COUNTIF(Parameters!$B$4:$B$33,$B1766)=0),"procurement","cost_service"),"unclassified"))))))</f>
        <v>excluded</v>
      </c>
    </row>
    <row r="1767" spans="1:26" x14ac:dyDescent="0.25">
      <c r="A1767">
        <v>2024</v>
      </c>
      <c r="B1767">
        <v>57313</v>
      </c>
      <c r="C1767" t="s">
        <v>1474</v>
      </c>
      <c r="D1767" t="s">
        <v>84</v>
      </c>
      <c r="E1767" t="s">
        <v>85</v>
      </c>
      <c r="F1767" t="s">
        <v>86</v>
      </c>
      <c r="G1767" t="s">
        <v>115</v>
      </c>
      <c r="H1767" t="s">
        <v>1475</v>
      </c>
      <c r="I1767" t="s">
        <v>1251</v>
      </c>
      <c r="J1767">
        <v>459.2</v>
      </c>
      <c r="K1767">
        <v>2660</v>
      </c>
      <c r="L1767">
        <v>404</v>
      </c>
      <c r="M1767">
        <v>42.4</v>
      </c>
      <c r="N1767">
        <v>512</v>
      </c>
      <c r="O1767">
        <v>1</v>
      </c>
      <c r="P1767">
        <v>0</v>
      </c>
      <c r="Q1767">
        <v>0</v>
      </c>
      <c r="R1767">
        <v>0</v>
      </c>
      <c r="S1767">
        <v>0</v>
      </c>
      <c r="T1767">
        <v>0</v>
      </c>
      <c r="U1767">
        <v>0</v>
      </c>
      <c r="V1767">
        <v>501.6</v>
      </c>
      <c r="W1767">
        <v>3172</v>
      </c>
      <c r="X1767">
        <v>405</v>
      </c>
      <c r="Y1767">
        <f t="shared" si="27"/>
        <v>3172</v>
      </c>
      <c r="Z1767" t="str">
        <f>IF(ISNUMBER(SEARCH("Adjustment",$C1767)),"excluded",IF($H1767="Behind the Meter","excluded",IF(NOT(OR($E1767="Bundled",$E1767="Energy")),"excluded",IF(OR($H1767="Retail Power Marketer",$H1767="Community Choice Aggregator",$E1767="Energy"),"procurement",IF(OR($H1767="Municipal",$H1767="Cooperative",$H1767="Federal",$H1767="State",$H1767="Political Subdivision"),"cost_service",IF($H1767="Investor Owned",IF(AND(COUNTIF(Parameters!$A$4:$A$33,$G1767)&gt;0,COUNTIF(Parameters!$B$4:$B$33,$B1767)=0),"procurement","cost_service"),"unclassified"))))))</f>
        <v>excluded</v>
      </c>
    </row>
    <row r="1768" spans="1:26" x14ac:dyDescent="0.25">
      <c r="A1768">
        <v>2024</v>
      </c>
      <c r="B1768">
        <v>57313</v>
      </c>
      <c r="C1768" t="s">
        <v>1474</v>
      </c>
      <c r="D1768" t="s">
        <v>84</v>
      </c>
      <c r="E1768" t="s">
        <v>85</v>
      </c>
      <c r="F1768" t="s">
        <v>86</v>
      </c>
      <c r="G1768" t="s">
        <v>115</v>
      </c>
      <c r="H1768" t="s">
        <v>1475</v>
      </c>
      <c r="I1768" t="s">
        <v>243</v>
      </c>
      <c r="J1768">
        <v>4.2</v>
      </c>
      <c r="K1768">
        <v>16</v>
      </c>
      <c r="L1768">
        <v>1</v>
      </c>
      <c r="M1768">
        <v>0</v>
      </c>
      <c r="N1768">
        <v>0</v>
      </c>
      <c r="O1768">
        <v>0</v>
      </c>
      <c r="P1768">
        <v>0</v>
      </c>
      <c r="Q1768">
        <v>0</v>
      </c>
      <c r="R1768">
        <v>0</v>
      </c>
      <c r="S1768">
        <v>0</v>
      </c>
      <c r="T1768">
        <v>0</v>
      </c>
      <c r="U1768">
        <v>0</v>
      </c>
      <c r="V1768">
        <v>4.2</v>
      </c>
      <c r="W1768">
        <v>16</v>
      </c>
      <c r="X1768">
        <v>1</v>
      </c>
      <c r="Y1768">
        <f t="shared" si="27"/>
        <v>16</v>
      </c>
      <c r="Z1768" t="str">
        <f>IF(ISNUMBER(SEARCH("Adjustment",$C1768)),"excluded",IF($H1768="Behind the Meter","excluded",IF(NOT(OR($E1768="Bundled",$E1768="Energy")),"excluded",IF(OR($H1768="Retail Power Marketer",$H1768="Community Choice Aggregator",$E1768="Energy"),"procurement",IF(OR($H1768="Municipal",$H1768="Cooperative",$H1768="Federal",$H1768="State",$H1768="Political Subdivision"),"cost_service",IF($H1768="Investor Owned",IF(AND(COUNTIF(Parameters!$A$4:$A$33,$G1768)&gt;0,COUNTIF(Parameters!$B$4:$B$33,$B1768)=0),"procurement","cost_service"),"unclassified"))))))</f>
        <v>excluded</v>
      </c>
    </row>
    <row r="1769" spans="1:26" x14ac:dyDescent="0.25">
      <c r="A1769">
        <v>2024</v>
      </c>
      <c r="B1769">
        <v>57313</v>
      </c>
      <c r="C1769" t="s">
        <v>1474</v>
      </c>
      <c r="D1769" t="s">
        <v>84</v>
      </c>
      <c r="E1769" t="s">
        <v>85</v>
      </c>
      <c r="F1769" t="s">
        <v>86</v>
      </c>
      <c r="G1769" t="s">
        <v>115</v>
      </c>
      <c r="H1769" t="s">
        <v>1475</v>
      </c>
      <c r="I1769" t="s">
        <v>839</v>
      </c>
      <c r="J1769">
        <v>8370.7999999999993</v>
      </c>
      <c r="K1769">
        <v>65397</v>
      </c>
      <c r="L1769">
        <v>9948</v>
      </c>
      <c r="M1769">
        <v>1078.8</v>
      </c>
      <c r="N1769">
        <v>11137</v>
      </c>
      <c r="O1769">
        <v>23</v>
      </c>
      <c r="P1769">
        <v>0</v>
      </c>
      <c r="Q1769">
        <v>0</v>
      </c>
      <c r="R1769">
        <v>0</v>
      </c>
      <c r="S1769">
        <v>0</v>
      </c>
      <c r="T1769">
        <v>0</v>
      </c>
      <c r="U1769">
        <v>0</v>
      </c>
      <c r="V1769">
        <v>9449.6</v>
      </c>
      <c r="W1769">
        <v>76534</v>
      </c>
      <c r="X1769">
        <v>9971</v>
      </c>
      <c r="Y1769">
        <f t="shared" si="27"/>
        <v>76534</v>
      </c>
      <c r="Z1769" t="str">
        <f>IF(ISNUMBER(SEARCH("Adjustment",$C1769)),"excluded",IF($H1769="Behind the Meter","excluded",IF(NOT(OR($E1769="Bundled",$E1769="Energy")),"excluded",IF(OR($H1769="Retail Power Marketer",$H1769="Community Choice Aggregator",$E1769="Energy"),"procurement",IF(OR($H1769="Municipal",$H1769="Cooperative",$H1769="Federal",$H1769="State",$H1769="Political Subdivision"),"cost_service",IF($H1769="Investor Owned",IF(AND(COUNTIF(Parameters!$A$4:$A$33,$G1769)&gt;0,COUNTIF(Parameters!$B$4:$B$33,$B1769)=0),"procurement","cost_service"),"unclassified"))))))</f>
        <v>excluded</v>
      </c>
    </row>
    <row r="1770" spans="1:26" x14ac:dyDescent="0.25">
      <c r="A1770">
        <v>2024</v>
      </c>
      <c r="B1770">
        <v>57313</v>
      </c>
      <c r="C1770" t="s">
        <v>1474</v>
      </c>
      <c r="D1770" t="s">
        <v>84</v>
      </c>
      <c r="E1770" t="s">
        <v>85</v>
      </c>
      <c r="F1770" t="s">
        <v>86</v>
      </c>
      <c r="G1770" t="s">
        <v>361</v>
      </c>
      <c r="H1770" t="s">
        <v>1475</v>
      </c>
      <c r="I1770" t="s">
        <v>523</v>
      </c>
      <c r="J1770">
        <v>8903</v>
      </c>
      <c r="K1770">
        <v>76490</v>
      </c>
      <c r="L1770">
        <v>12893</v>
      </c>
      <c r="M1770">
        <v>814.5</v>
      </c>
      <c r="N1770">
        <v>10390</v>
      </c>
      <c r="O1770">
        <v>62</v>
      </c>
      <c r="P1770">
        <v>0</v>
      </c>
      <c r="Q1770">
        <v>0</v>
      </c>
      <c r="R1770">
        <v>0</v>
      </c>
      <c r="S1770">
        <v>0</v>
      </c>
      <c r="T1770">
        <v>0</v>
      </c>
      <c r="U1770">
        <v>0</v>
      </c>
      <c r="V1770">
        <v>9717.5</v>
      </c>
      <c r="W1770">
        <v>86880</v>
      </c>
      <c r="X1770">
        <v>12955</v>
      </c>
      <c r="Y1770">
        <f t="shared" si="27"/>
        <v>86880</v>
      </c>
      <c r="Z1770" t="str">
        <f>IF(ISNUMBER(SEARCH("Adjustment",$C1770)),"excluded",IF($H1770="Behind the Meter","excluded",IF(NOT(OR($E1770="Bundled",$E1770="Energy")),"excluded",IF(OR($H1770="Retail Power Marketer",$H1770="Community Choice Aggregator",$E1770="Energy"),"procurement",IF(OR($H1770="Municipal",$H1770="Cooperative",$H1770="Federal",$H1770="State",$H1770="Political Subdivision"),"cost_service",IF($H1770="Investor Owned",IF(AND(COUNTIF(Parameters!$A$4:$A$33,$G1770)&gt;0,COUNTIF(Parameters!$B$4:$B$33,$B1770)=0),"procurement","cost_service"),"unclassified"))))))</f>
        <v>excluded</v>
      </c>
    </row>
    <row r="1771" spans="1:26" x14ac:dyDescent="0.25">
      <c r="A1771">
        <v>2024</v>
      </c>
      <c r="B1771">
        <v>57313</v>
      </c>
      <c r="C1771" t="s">
        <v>1474</v>
      </c>
      <c r="D1771" t="s">
        <v>84</v>
      </c>
      <c r="E1771" t="s">
        <v>85</v>
      </c>
      <c r="F1771" t="s">
        <v>86</v>
      </c>
      <c r="G1771" t="s">
        <v>361</v>
      </c>
      <c r="H1771" t="s">
        <v>1475</v>
      </c>
      <c r="I1771" t="s">
        <v>259</v>
      </c>
      <c r="J1771">
        <v>9</v>
      </c>
      <c r="K1771">
        <v>113</v>
      </c>
      <c r="L1771">
        <v>19</v>
      </c>
      <c r="M1771">
        <v>991</v>
      </c>
      <c r="N1771">
        <v>8345</v>
      </c>
      <c r="O1771">
        <v>939</v>
      </c>
      <c r="P1771">
        <v>0</v>
      </c>
      <c r="Q1771">
        <v>0</v>
      </c>
      <c r="R1771">
        <v>0</v>
      </c>
      <c r="S1771">
        <v>0</v>
      </c>
      <c r="T1771">
        <v>0</v>
      </c>
      <c r="U1771">
        <v>0</v>
      </c>
      <c r="V1771">
        <v>1000</v>
      </c>
      <c r="W1771">
        <v>8458</v>
      </c>
      <c r="X1771">
        <v>958</v>
      </c>
      <c r="Y1771">
        <f t="shared" si="27"/>
        <v>8458</v>
      </c>
      <c r="Z1771" t="str">
        <f>IF(ISNUMBER(SEARCH("Adjustment",$C1771)),"excluded",IF($H1771="Behind the Meter","excluded",IF(NOT(OR($E1771="Bundled",$E1771="Energy")),"excluded",IF(OR($H1771="Retail Power Marketer",$H1771="Community Choice Aggregator",$E1771="Energy"),"procurement",IF(OR($H1771="Municipal",$H1771="Cooperative",$H1771="Federal",$H1771="State",$H1771="Political Subdivision"),"cost_service",IF($H1771="Investor Owned",IF(AND(COUNTIF(Parameters!$A$4:$A$33,$G1771)&gt;0,COUNTIF(Parameters!$B$4:$B$33,$B1771)=0),"procurement","cost_service"),"unclassified"))))))</f>
        <v>excluded</v>
      </c>
    </row>
    <row r="1772" spans="1:26" x14ac:dyDescent="0.25">
      <c r="A1772">
        <v>2024</v>
      </c>
      <c r="B1772">
        <v>57313</v>
      </c>
      <c r="C1772" t="s">
        <v>1474</v>
      </c>
      <c r="D1772" t="s">
        <v>84</v>
      </c>
      <c r="E1772" t="s">
        <v>85</v>
      </c>
      <c r="F1772" t="s">
        <v>86</v>
      </c>
      <c r="G1772" t="s">
        <v>40</v>
      </c>
      <c r="H1772" t="s">
        <v>1475</v>
      </c>
      <c r="I1772" t="s">
        <v>189</v>
      </c>
      <c r="J1772">
        <v>8247</v>
      </c>
      <c r="K1772">
        <v>48199</v>
      </c>
      <c r="L1772">
        <v>8450</v>
      </c>
      <c r="M1772">
        <v>1511</v>
      </c>
      <c r="N1772">
        <v>14768</v>
      </c>
      <c r="O1772">
        <v>848</v>
      </c>
      <c r="P1772">
        <v>0</v>
      </c>
      <c r="Q1772">
        <v>0</v>
      </c>
      <c r="R1772">
        <v>0</v>
      </c>
      <c r="S1772">
        <v>0</v>
      </c>
      <c r="T1772">
        <v>0</v>
      </c>
      <c r="U1772">
        <v>0</v>
      </c>
      <c r="V1772">
        <v>9758</v>
      </c>
      <c r="W1772">
        <v>62967</v>
      </c>
      <c r="X1772">
        <v>9298</v>
      </c>
      <c r="Y1772">
        <f t="shared" si="27"/>
        <v>62967</v>
      </c>
      <c r="Z1772" t="str">
        <f>IF(ISNUMBER(SEARCH("Adjustment",$C1772)),"excluded",IF($H1772="Behind the Meter","excluded",IF(NOT(OR($E1772="Bundled",$E1772="Energy")),"excluded",IF(OR($H1772="Retail Power Marketer",$H1772="Community Choice Aggregator",$E1772="Energy"),"procurement",IF(OR($H1772="Municipal",$H1772="Cooperative",$H1772="Federal",$H1772="State",$H1772="Political Subdivision"),"cost_service",IF($H1772="Investor Owned",IF(AND(COUNTIF(Parameters!$A$4:$A$33,$G1772)&gt;0,COUNTIF(Parameters!$B$4:$B$33,$B1772)=0),"procurement","cost_service"),"unclassified"))))))</f>
        <v>excluded</v>
      </c>
    </row>
    <row r="1773" spans="1:26" x14ac:dyDescent="0.25">
      <c r="A1773">
        <v>2024</v>
      </c>
      <c r="B1773">
        <v>57313</v>
      </c>
      <c r="C1773" t="s">
        <v>1474</v>
      </c>
      <c r="D1773" t="s">
        <v>84</v>
      </c>
      <c r="E1773" t="s">
        <v>85</v>
      </c>
      <c r="F1773" t="s">
        <v>86</v>
      </c>
      <c r="G1773" t="s">
        <v>42</v>
      </c>
      <c r="H1773" t="s">
        <v>1475</v>
      </c>
      <c r="I1773" t="s">
        <v>92</v>
      </c>
      <c r="J1773">
        <v>211</v>
      </c>
      <c r="K1773">
        <v>1708</v>
      </c>
      <c r="L1773">
        <v>506</v>
      </c>
      <c r="M1773">
        <v>0</v>
      </c>
      <c r="N1773">
        <v>0</v>
      </c>
      <c r="O1773">
        <v>0</v>
      </c>
      <c r="P1773">
        <v>0</v>
      </c>
      <c r="Q1773">
        <v>0</v>
      </c>
      <c r="R1773">
        <v>0</v>
      </c>
      <c r="S1773">
        <v>0</v>
      </c>
      <c r="T1773">
        <v>0</v>
      </c>
      <c r="U1773">
        <v>0</v>
      </c>
      <c r="V1773">
        <v>211</v>
      </c>
      <c r="W1773">
        <v>1708</v>
      </c>
      <c r="X1773">
        <v>506</v>
      </c>
      <c r="Y1773">
        <f t="shared" si="27"/>
        <v>1708</v>
      </c>
      <c r="Z1773" t="str">
        <f>IF(ISNUMBER(SEARCH("Adjustment",$C1773)),"excluded",IF($H1773="Behind the Meter","excluded",IF(NOT(OR($E1773="Bundled",$E1773="Energy")),"excluded",IF(OR($H1773="Retail Power Marketer",$H1773="Community Choice Aggregator",$E1773="Energy"),"procurement",IF(OR($H1773="Municipal",$H1773="Cooperative",$H1773="Federal",$H1773="State",$H1773="Political Subdivision"),"cost_service",IF($H1773="Investor Owned",IF(AND(COUNTIF(Parameters!$A$4:$A$33,$G1773)&gt;0,COUNTIF(Parameters!$B$4:$B$33,$B1773)=0),"procurement","cost_service"),"unclassified"))))))</f>
        <v>excluded</v>
      </c>
    </row>
    <row r="1774" spans="1:26" x14ac:dyDescent="0.25">
      <c r="A1774">
        <v>2024</v>
      </c>
      <c r="B1774">
        <v>57313</v>
      </c>
      <c r="C1774" t="s">
        <v>1474</v>
      </c>
      <c r="D1774" t="s">
        <v>84</v>
      </c>
      <c r="E1774" t="s">
        <v>85</v>
      </c>
      <c r="F1774" t="s">
        <v>86</v>
      </c>
      <c r="G1774" t="s">
        <v>44</v>
      </c>
      <c r="H1774" t="s">
        <v>1475</v>
      </c>
      <c r="I1774" t="s">
        <v>92</v>
      </c>
      <c r="J1774">
        <v>4135</v>
      </c>
      <c r="K1774">
        <v>25818</v>
      </c>
      <c r="L1774">
        <v>3327</v>
      </c>
      <c r="M1774">
        <v>28.8</v>
      </c>
      <c r="N1774">
        <v>433</v>
      </c>
      <c r="O1774">
        <v>1</v>
      </c>
      <c r="P1774">
        <v>0</v>
      </c>
      <c r="Q1774">
        <v>0</v>
      </c>
      <c r="R1774">
        <v>0</v>
      </c>
      <c r="S1774">
        <v>0</v>
      </c>
      <c r="T1774">
        <v>0</v>
      </c>
      <c r="U1774">
        <v>0</v>
      </c>
      <c r="V1774">
        <v>4163.8</v>
      </c>
      <c r="W1774">
        <v>26251</v>
      </c>
      <c r="X1774">
        <v>3328</v>
      </c>
      <c r="Y1774">
        <f t="shared" si="27"/>
        <v>26251</v>
      </c>
      <c r="Z1774" t="str">
        <f>IF(ISNUMBER(SEARCH("Adjustment",$C1774)),"excluded",IF($H1774="Behind the Meter","excluded",IF(NOT(OR($E1774="Bundled",$E1774="Energy")),"excluded",IF(OR($H1774="Retail Power Marketer",$H1774="Community Choice Aggregator",$E1774="Energy"),"procurement",IF(OR($H1774="Municipal",$H1774="Cooperative",$H1774="Federal",$H1774="State",$H1774="Political Subdivision"),"cost_service",IF($H1774="Investor Owned",IF(AND(COUNTIF(Parameters!$A$4:$A$33,$G1774)&gt;0,COUNTIF(Parameters!$B$4:$B$33,$B1774)=0),"procurement","cost_service"),"unclassified"))))))</f>
        <v>excluded</v>
      </c>
    </row>
    <row r="1775" spans="1:26" x14ac:dyDescent="0.25">
      <c r="A1775">
        <v>2024</v>
      </c>
      <c r="B1775">
        <v>57313</v>
      </c>
      <c r="C1775" t="s">
        <v>1474</v>
      </c>
      <c r="D1775" t="s">
        <v>84</v>
      </c>
      <c r="E1775" t="s">
        <v>85</v>
      </c>
      <c r="F1775" t="s">
        <v>86</v>
      </c>
      <c r="G1775" t="s">
        <v>195</v>
      </c>
      <c r="H1775" t="s">
        <v>1475</v>
      </c>
      <c r="I1775" t="s">
        <v>514</v>
      </c>
      <c r="J1775">
        <v>3.1</v>
      </c>
      <c r="K1775">
        <v>35</v>
      </c>
      <c r="L1775">
        <v>10</v>
      </c>
      <c r="M1775">
        <v>0</v>
      </c>
      <c r="N1775">
        <v>0</v>
      </c>
      <c r="O1775">
        <v>0</v>
      </c>
      <c r="P1775">
        <v>0</v>
      </c>
      <c r="Q1775">
        <v>0</v>
      </c>
      <c r="R1775">
        <v>0</v>
      </c>
      <c r="S1775">
        <v>0</v>
      </c>
      <c r="T1775">
        <v>0</v>
      </c>
      <c r="U1775">
        <v>0</v>
      </c>
      <c r="V1775">
        <v>3.1</v>
      </c>
      <c r="W1775">
        <v>35</v>
      </c>
      <c r="X1775">
        <v>10</v>
      </c>
      <c r="Y1775">
        <f t="shared" si="27"/>
        <v>35</v>
      </c>
      <c r="Z1775" t="str">
        <f>IF(ISNUMBER(SEARCH("Adjustment",$C1775)),"excluded",IF($H1775="Behind the Meter","excluded",IF(NOT(OR($E1775="Bundled",$E1775="Energy")),"excluded",IF(OR($H1775="Retail Power Marketer",$H1775="Community Choice Aggregator",$E1775="Energy"),"procurement",IF(OR($H1775="Municipal",$H1775="Cooperative",$H1775="Federal",$H1775="State",$H1775="Political Subdivision"),"cost_service",IF($H1775="Investor Owned",IF(AND(COUNTIF(Parameters!$A$4:$A$33,$G1775)&gt;0,COUNTIF(Parameters!$B$4:$B$33,$B1775)=0),"procurement","cost_service"),"unclassified"))))))</f>
        <v>excluded</v>
      </c>
    </row>
    <row r="1776" spans="1:26" x14ac:dyDescent="0.25">
      <c r="A1776">
        <v>2024</v>
      </c>
      <c r="B1776">
        <v>57313</v>
      </c>
      <c r="C1776" t="s">
        <v>1474</v>
      </c>
      <c r="D1776" t="s">
        <v>84</v>
      </c>
      <c r="E1776" t="s">
        <v>85</v>
      </c>
      <c r="F1776" t="s">
        <v>86</v>
      </c>
      <c r="G1776" t="s">
        <v>195</v>
      </c>
      <c r="H1776" t="s">
        <v>1475</v>
      </c>
      <c r="I1776" t="s">
        <v>196</v>
      </c>
      <c r="J1776">
        <v>128</v>
      </c>
      <c r="K1776">
        <v>3009</v>
      </c>
      <c r="L1776">
        <v>436</v>
      </c>
      <c r="M1776">
        <v>0</v>
      </c>
      <c r="N1776">
        <v>0</v>
      </c>
      <c r="O1776">
        <v>0</v>
      </c>
      <c r="P1776">
        <v>0</v>
      </c>
      <c r="Q1776">
        <v>0</v>
      </c>
      <c r="R1776">
        <v>0</v>
      </c>
      <c r="S1776">
        <v>0</v>
      </c>
      <c r="T1776">
        <v>0</v>
      </c>
      <c r="U1776">
        <v>0</v>
      </c>
      <c r="V1776">
        <v>128</v>
      </c>
      <c r="W1776">
        <v>3009</v>
      </c>
      <c r="X1776">
        <v>436</v>
      </c>
      <c r="Y1776">
        <f t="shared" si="27"/>
        <v>3009</v>
      </c>
      <c r="Z1776" t="str">
        <f>IF(ISNUMBER(SEARCH("Adjustment",$C1776)),"excluded",IF($H1776="Behind the Meter","excluded",IF(NOT(OR($E1776="Bundled",$E1776="Energy")),"excluded",IF(OR($H1776="Retail Power Marketer",$H1776="Community Choice Aggregator",$E1776="Energy"),"procurement",IF(OR($H1776="Municipal",$H1776="Cooperative",$H1776="Federal",$H1776="State",$H1776="Political Subdivision"),"cost_service",IF($H1776="Investor Owned",IF(AND(COUNTIF(Parameters!$A$4:$A$33,$G1776)&gt;0,COUNTIF(Parameters!$B$4:$B$33,$B1776)=0),"procurement","cost_service"),"unclassified"))))))</f>
        <v>excluded</v>
      </c>
    </row>
    <row r="1777" spans="1:26" x14ac:dyDescent="0.25">
      <c r="A1777">
        <v>2024</v>
      </c>
      <c r="B1777">
        <v>57313</v>
      </c>
      <c r="C1777" t="s">
        <v>1474</v>
      </c>
      <c r="D1777" t="s">
        <v>84</v>
      </c>
      <c r="E1777" t="s">
        <v>85</v>
      </c>
      <c r="F1777" t="s">
        <v>86</v>
      </c>
      <c r="G1777" t="s">
        <v>195</v>
      </c>
      <c r="H1777" t="s">
        <v>1475</v>
      </c>
      <c r="I1777" t="s">
        <v>113</v>
      </c>
      <c r="J1777">
        <v>0</v>
      </c>
      <c r="K1777">
        <v>0</v>
      </c>
      <c r="L1777">
        <v>0</v>
      </c>
      <c r="M1777">
        <v>226.2</v>
      </c>
      <c r="N1777">
        <v>2310</v>
      </c>
      <c r="O1777">
        <v>267</v>
      </c>
      <c r="P1777">
        <v>0</v>
      </c>
      <c r="Q1777">
        <v>0</v>
      </c>
      <c r="R1777">
        <v>0</v>
      </c>
      <c r="S1777">
        <v>0</v>
      </c>
      <c r="T1777">
        <v>0</v>
      </c>
      <c r="U1777">
        <v>0</v>
      </c>
      <c r="V1777">
        <v>226.2</v>
      </c>
      <c r="W1777">
        <v>2310</v>
      </c>
      <c r="X1777">
        <v>267</v>
      </c>
      <c r="Y1777">
        <f t="shared" si="27"/>
        <v>2310</v>
      </c>
      <c r="Z1777" t="str">
        <f>IF(ISNUMBER(SEARCH("Adjustment",$C1777)),"excluded",IF($H1777="Behind the Meter","excluded",IF(NOT(OR($E1777="Bundled",$E1777="Energy")),"excluded",IF(OR($H1777="Retail Power Marketer",$H1777="Community Choice Aggregator",$E1777="Energy"),"procurement",IF(OR($H1777="Municipal",$H1777="Cooperative",$H1777="Federal",$H1777="State",$H1777="Political Subdivision"),"cost_service",IF($H1777="Investor Owned",IF(AND(COUNTIF(Parameters!$A$4:$A$33,$G1777)&gt;0,COUNTIF(Parameters!$B$4:$B$33,$B1777)=0),"procurement","cost_service"),"unclassified"))))))</f>
        <v>excluded</v>
      </c>
    </row>
    <row r="1778" spans="1:26" x14ac:dyDescent="0.25">
      <c r="A1778">
        <v>2024</v>
      </c>
      <c r="B1778">
        <v>57313</v>
      </c>
      <c r="C1778" t="s">
        <v>1474</v>
      </c>
      <c r="D1778" t="s">
        <v>84</v>
      </c>
      <c r="E1778" t="s">
        <v>85</v>
      </c>
      <c r="F1778" t="s">
        <v>86</v>
      </c>
      <c r="G1778" t="s">
        <v>195</v>
      </c>
      <c r="H1778" t="s">
        <v>1475</v>
      </c>
      <c r="I1778" t="s">
        <v>299</v>
      </c>
      <c r="J1778">
        <v>40.5</v>
      </c>
      <c r="K1778">
        <v>617</v>
      </c>
      <c r="L1778">
        <v>245</v>
      </c>
      <c r="M1778">
        <v>0</v>
      </c>
      <c r="N1778">
        <v>0</v>
      </c>
      <c r="O1778">
        <v>0</v>
      </c>
      <c r="P1778">
        <v>0</v>
      </c>
      <c r="Q1778">
        <v>0</v>
      </c>
      <c r="R1778">
        <v>0</v>
      </c>
      <c r="S1778">
        <v>0</v>
      </c>
      <c r="T1778">
        <v>0</v>
      </c>
      <c r="U1778">
        <v>0</v>
      </c>
      <c r="V1778">
        <v>40.5</v>
      </c>
      <c r="W1778">
        <v>617</v>
      </c>
      <c r="X1778">
        <v>245</v>
      </c>
      <c r="Y1778">
        <f t="shared" si="27"/>
        <v>617</v>
      </c>
      <c r="Z1778" t="str">
        <f>IF(ISNUMBER(SEARCH("Adjustment",$C1778)),"excluded",IF($H1778="Behind the Meter","excluded",IF(NOT(OR($E1778="Bundled",$E1778="Energy")),"excluded",IF(OR($H1778="Retail Power Marketer",$H1778="Community Choice Aggregator",$E1778="Energy"),"procurement",IF(OR($H1778="Municipal",$H1778="Cooperative",$H1778="Federal",$H1778="State",$H1778="Political Subdivision"),"cost_service",IF($H1778="Investor Owned",IF(AND(COUNTIF(Parameters!$A$4:$A$33,$G1778)&gt;0,COUNTIF(Parameters!$B$4:$B$33,$B1778)=0),"procurement","cost_service"),"unclassified"))))))</f>
        <v>excluded</v>
      </c>
    </row>
    <row r="1779" spans="1:26" x14ac:dyDescent="0.25">
      <c r="A1779">
        <v>2024</v>
      </c>
      <c r="B1779">
        <v>57313</v>
      </c>
      <c r="C1779" t="s">
        <v>1474</v>
      </c>
      <c r="D1779" t="s">
        <v>84</v>
      </c>
      <c r="E1779" t="s">
        <v>85</v>
      </c>
      <c r="F1779" t="s">
        <v>86</v>
      </c>
      <c r="G1779" t="s">
        <v>195</v>
      </c>
      <c r="H1779" t="s">
        <v>1475</v>
      </c>
      <c r="I1779" t="s">
        <v>528</v>
      </c>
      <c r="J1779">
        <v>3</v>
      </c>
      <c r="K1779">
        <v>43</v>
      </c>
      <c r="L1779">
        <v>12</v>
      </c>
      <c r="M1779">
        <v>0</v>
      </c>
      <c r="N1779">
        <v>0</v>
      </c>
      <c r="O1779">
        <v>0</v>
      </c>
      <c r="P1779">
        <v>0</v>
      </c>
      <c r="Q1779">
        <v>0</v>
      </c>
      <c r="R1779">
        <v>0</v>
      </c>
      <c r="S1779">
        <v>0</v>
      </c>
      <c r="T1779">
        <v>0</v>
      </c>
      <c r="U1779">
        <v>0</v>
      </c>
      <c r="V1779">
        <v>3</v>
      </c>
      <c r="W1779">
        <v>43</v>
      </c>
      <c r="X1779">
        <v>12</v>
      </c>
      <c r="Y1779">
        <f t="shared" si="27"/>
        <v>43</v>
      </c>
      <c r="Z1779" t="str">
        <f>IF(ISNUMBER(SEARCH("Adjustment",$C1779)),"excluded",IF($H1779="Behind the Meter","excluded",IF(NOT(OR($E1779="Bundled",$E1779="Energy")),"excluded",IF(OR($H1779="Retail Power Marketer",$H1779="Community Choice Aggregator",$E1779="Energy"),"procurement",IF(OR($H1779="Municipal",$H1779="Cooperative",$H1779="Federal",$H1779="State",$H1779="Political Subdivision"),"cost_service",IF($H1779="Investor Owned",IF(AND(COUNTIF(Parameters!$A$4:$A$33,$G1779)&gt;0,COUNTIF(Parameters!$B$4:$B$33,$B1779)=0),"procurement","cost_service"),"unclassified"))))))</f>
        <v>excluded</v>
      </c>
    </row>
    <row r="1780" spans="1:26" x14ac:dyDescent="0.25">
      <c r="A1780">
        <v>2024</v>
      </c>
      <c r="B1780">
        <v>57313</v>
      </c>
      <c r="C1780" t="s">
        <v>1474</v>
      </c>
      <c r="D1780" t="s">
        <v>84</v>
      </c>
      <c r="E1780" t="s">
        <v>85</v>
      </c>
      <c r="F1780" t="s">
        <v>86</v>
      </c>
      <c r="G1780" t="s">
        <v>605</v>
      </c>
      <c r="H1780" t="s">
        <v>1475</v>
      </c>
      <c r="I1780" t="s">
        <v>119</v>
      </c>
      <c r="J1780">
        <v>766</v>
      </c>
      <c r="K1780">
        <v>4209</v>
      </c>
      <c r="L1780">
        <v>466</v>
      </c>
      <c r="M1780">
        <v>358</v>
      </c>
      <c r="N1780">
        <v>2764</v>
      </c>
      <c r="O1780">
        <v>18</v>
      </c>
      <c r="P1780">
        <v>0</v>
      </c>
      <c r="Q1780">
        <v>0</v>
      </c>
      <c r="R1780">
        <v>0</v>
      </c>
      <c r="S1780">
        <v>0</v>
      </c>
      <c r="T1780">
        <v>0</v>
      </c>
      <c r="U1780">
        <v>0</v>
      </c>
      <c r="V1780">
        <v>1124</v>
      </c>
      <c r="W1780">
        <v>6973</v>
      </c>
      <c r="X1780">
        <v>484</v>
      </c>
      <c r="Y1780">
        <f t="shared" si="27"/>
        <v>6973</v>
      </c>
      <c r="Z1780" t="str">
        <f>IF(ISNUMBER(SEARCH("Adjustment",$C1780)),"excluded",IF($H1780="Behind the Meter","excluded",IF(NOT(OR($E1780="Bundled",$E1780="Energy")),"excluded",IF(OR($H1780="Retail Power Marketer",$H1780="Community Choice Aggregator",$E1780="Energy"),"procurement",IF(OR($H1780="Municipal",$H1780="Cooperative",$H1780="Federal",$H1780="State",$H1780="Political Subdivision"),"cost_service",IF($H1780="Investor Owned",IF(AND(COUNTIF(Parameters!$A$4:$A$33,$G1780)&gt;0,COUNTIF(Parameters!$B$4:$B$33,$B1780)=0),"procurement","cost_service"),"unclassified"))))))</f>
        <v>excluded</v>
      </c>
    </row>
    <row r="1781" spans="1:26" x14ac:dyDescent="0.25">
      <c r="A1781">
        <v>2024</v>
      </c>
      <c r="B1781">
        <v>57313</v>
      </c>
      <c r="C1781" t="s">
        <v>1474</v>
      </c>
      <c r="D1781" t="s">
        <v>84</v>
      </c>
      <c r="E1781" t="s">
        <v>85</v>
      </c>
      <c r="F1781" t="s">
        <v>86</v>
      </c>
      <c r="G1781" t="s">
        <v>605</v>
      </c>
      <c r="H1781" t="s">
        <v>1475</v>
      </c>
      <c r="I1781" t="s">
        <v>1271</v>
      </c>
      <c r="J1781">
        <v>2606</v>
      </c>
      <c r="K1781">
        <v>14363</v>
      </c>
      <c r="L1781">
        <v>1905</v>
      </c>
      <c r="M1781">
        <v>2253</v>
      </c>
      <c r="N1781">
        <v>22949</v>
      </c>
      <c r="O1781">
        <v>2354</v>
      </c>
      <c r="P1781">
        <v>0</v>
      </c>
      <c r="Q1781">
        <v>0</v>
      </c>
      <c r="R1781">
        <v>0</v>
      </c>
      <c r="S1781">
        <v>0</v>
      </c>
      <c r="T1781">
        <v>0</v>
      </c>
      <c r="U1781">
        <v>0</v>
      </c>
      <c r="V1781">
        <v>4859</v>
      </c>
      <c r="W1781">
        <v>37312</v>
      </c>
      <c r="X1781">
        <v>4259</v>
      </c>
      <c r="Y1781">
        <f t="shared" si="27"/>
        <v>37312</v>
      </c>
      <c r="Z1781" t="str">
        <f>IF(ISNUMBER(SEARCH("Adjustment",$C1781)),"excluded",IF($H1781="Behind the Meter","excluded",IF(NOT(OR($E1781="Bundled",$E1781="Energy")),"excluded",IF(OR($H1781="Retail Power Marketer",$H1781="Community Choice Aggregator",$E1781="Energy"),"procurement",IF(OR($H1781="Municipal",$H1781="Cooperative",$H1781="Federal",$H1781="State",$H1781="Political Subdivision"),"cost_service",IF($H1781="Investor Owned",IF(AND(COUNTIF(Parameters!$A$4:$A$33,$G1781)&gt;0,COUNTIF(Parameters!$B$4:$B$33,$B1781)=0),"procurement","cost_service"),"unclassified"))))))</f>
        <v>excluded</v>
      </c>
    </row>
    <row r="1782" spans="1:26" x14ac:dyDescent="0.25">
      <c r="A1782">
        <v>2024</v>
      </c>
      <c r="B1782">
        <v>57313</v>
      </c>
      <c r="C1782" t="s">
        <v>1474</v>
      </c>
      <c r="D1782" t="s">
        <v>84</v>
      </c>
      <c r="E1782" t="s">
        <v>85</v>
      </c>
      <c r="F1782" t="s">
        <v>86</v>
      </c>
      <c r="G1782" t="s">
        <v>46</v>
      </c>
      <c r="H1782" t="s">
        <v>1475</v>
      </c>
      <c r="I1782" t="s">
        <v>92</v>
      </c>
      <c r="J1782">
        <v>2.1</v>
      </c>
      <c r="K1782">
        <v>22</v>
      </c>
      <c r="L1782">
        <v>4</v>
      </c>
      <c r="M1782">
        <v>0</v>
      </c>
      <c r="N1782">
        <v>0</v>
      </c>
      <c r="O1782">
        <v>0</v>
      </c>
      <c r="P1782">
        <v>0</v>
      </c>
      <c r="Q1782">
        <v>0</v>
      </c>
      <c r="R1782">
        <v>0</v>
      </c>
      <c r="S1782">
        <v>0</v>
      </c>
      <c r="T1782">
        <v>0</v>
      </c>
      <c r="U1782">
        <v>0</v>
      </c>
      <c r="V1782">
        <v>2.1</v>
      </c>
      <c r="W1782">
        <v>22</v>
      </c>
      <c r="X1782">
        <v>4</v>
      </c>
      <c r="Y1782">
        <f t="shared" si="27"/>
        <v>22</v>
      </c>
      <c r="Z1782" t="str">
        <f>IF(ISNUMBER(SEARCH("Adjustment",$C1782)),"excluded",IF($H1782="Behind the Meter","excluded",IF(NOT(OR($E1782="Bundled",$E1782="Energy")),"excluded",IF(OR($H1782="Retail Power Marketer",$H1782="Community Choice Aggregator",$E1782="Energy"),"procurement",IF(OR($H1782="Municipal",$H1782="Cooperative",$H1782="Federal",$H1782="State",$H1782="Political Subdivision"),"cost_service",IF($H1782="Investor Owned",IF(AND(COUNTIF(Parameters!$A$4:$A$33,$G1782)&gt;0,COUNTIF(Parameters!$B$4:$B$33,$B1782)=0),"procurement","cost_service"),"unclassified"))))))</f>
        <v>excluded</v>
      </c>
    </row>
    <row r="1783" spans="1:26" x14ac:dyDescent="0.25">
      <c r="A1783">
        <v>2024</v>
      </c>
      <c r="B1783">
        <v>57313</v>
      </c>
      <c r="C1783" t="s">
        <v>1474</v>
      </c>
      <c r="D1783" t="s">
        <v>84</v>
      </c>
      <c r="E1783" t="s">
        <v>85</v>
      </c>
      <c r="F1783" t="s">
        <v>86</v>
      </c>
      <c r="G1783" t="s">
        <v>48</v>
      </c>
      <c r="H1783" t="s">
        <v>1475</v>
      </c>
      <c r="I1783" t="s">
        <v>189</v>
      </c>
      <c r="J1783">
        <v>17513</v>
      </c>
      <c r="K1783">
        <v>108750</v>
      </c>
      <c r="L1783">
        <v>19248</v>
      </c>
      <c r="M1783">
        <v>497</v>
      </c>
      <c r="N1783">
        <v>4249</v>
      </c>
      <c r="O1783">
        <v>25</v>
      </c>
      <c r="P1783">
        <v>0</v>
      </c>
      <c r="Q1783">
        <v>0</v>
      </c>
      <c r="R1783">
        <v>0</v>
      </c>
      <c r="S1783">
        <v>0</v>
      </c>
      <c r="T1783">
        <v>0</v>
      </c>
      <c r="U1783">
        <v>0</v>
      </c>
      <c r="V1783">
        <v>18010</v>
      </c>
      <c r="W1783">
        <v>112999</v>
      </c>
      <c r="X1783">
        <v>19273</v>
      </c>
      <c r="Y1783">
        <f t="shared" si="27"/>
        <v>112999</v>
      </c>
      <c r="Z1783" t="str">
        <f>IF(ISNUMBER(SEARCH("Adjustment",$C1783)),"excluded",IF($H1783="Behind the Meter","excluded",IF(NOT(OR($E1783="Bundled",$E1783="Energy")),"excluded",IF(OR($H1783="Retail Power Marketer",$H1783="Community Choice Aggregator",$E1783="Energy"),"procurement",IF(OR($H1783="Municipal",$H1783="Cooperative",$H1783="Federal",$H1783="State",$H1783="Political Subdivision"),"cost_service",IF($H1783="Investor Owned",IF(AND(COUNTIF(Parameters!$A$4:$A$33,$G1783)&gt;0,COUNTIF(Parameters!$B$4:$B$33,$B1783)=0),"procurement","cost_service"),"unclassified"))))))</f>
        <v>excluded</v>
      </c>
    </row>
    <row r="1784" spans="1:26" x14ac:dyDescent="0.25">
      <c r="A1784">
        <v>2024</v>
      </c>
      <c r="B1784">
        <v>57313</v>
      </c>
      <c r="C1784" t="s">
        <v>1474</v>
      </c>
      <c r="D1784" t="s">
        <v>84</v>
      </c>
      <c r="E1784" t="s">
        <v>85</v>
      </c>
      <c r="F1784" t="s">
        <v>86</v>
      </c>
      <c r="G1784" t="s">
        <v>49</v>
      </c>
      <c r="H1784" t="s">
        <v>1475</v>
      </c>
      <c r="I1784" t="s">
        <v>92</v>
      </c>
      <c r="J1784">
        <v>29554</v>
      </c>
      <c r="K1784">
        <v>186609</v>
      </c>
      <c r="L1784">
        <v>26988</v>
      </c>
      <c r="M1784">
        <v>1263</v>
      </c>
      <c r="N1784">
        <v>19930</v>
      </c>
      <c r="O1784">
        <v>148</v>
      </c>
      <c r="P1784">
        <v>0</v>
      </c>
      <c r="Q1784">
        <v>0</v>
      </c>
      <c r="R1784">
        <v>0</v>
      </c>
      <c r="S1784">
        <v>0</v>
      </c>
      <c r="T1784">
        <v>0</v>
      </c>
      <c r="U1784">
        <v>0</v>
      </c>
      <c r="V1784">
        <v>30817</v>
      </c>
      <c r="W1784">
        <v>206539</v>
      </c>
      <c r="X1784">
        <v>27136</v>
      </c>
      <c r="Y1784">
        <f t="shared" si="27"/>
        <v>206539</v>
      </c>
      <c r="Z1784" t="str">
        <f>IF(ISNUMBER(SEARCH("Adjustment",$C1784)),"excluded",IF($H1784="Behind the Meter","excluded",IF(NOT(OR($E1784="Bundled",$E1784="Energy")),"excluded",IF(OR($H1784="Retail Power Marketer",$H1784="Community Choice Aggregator",$E1784="Energy"),"procurement",IF(OR($H1784="Municipal",$H1784="Cooperative",$H1784="Federal",$H1784="State",$H1784="Political Subdivision"),"cost_service",IF($H1784="Investor Owned",IF(AND(COUNTIF(Parameters!$A$4:$A$33,$G1784)&gt;0,COUNTIF(Parameters!$B$4:$B$33,$B1784)=0),"procurement","cost_service"),"unclassified"))))))</f>
        <v>excluded</v>
      </c>
    </row>
    <row r="1785" spans="1:26" x14ac:dyDescent="0.25">
      <c r="A1785">
        <v>2024</v>
      </c>
      <c r="B1785">
        <v>57313</v>
      </c>
      <c r="C1785" t="s">
        <v>1474</v>
      </c>
      <c r="D1785" t="s">
        <v>84</v>
      </c>
      <c r="E1785" t="s">
        <v>85</v>
      </c>
      <c r="F1785" t="s">
        <v>86</v>
      </c>
      <c r="G1785" t="s">
        <v>50</v>
      </c>
      <c r="H1785" t="s">
        <v>1475</v>
      </c>
      <c r="I1785" t="s">
        <v>189</v>
      </c>
      <c r="J1785">
        <v>0</v>
      </c>
      <c r="K1785">
        <v>0</v>
      </c>
      <c r="L1785">
        <v>0</v>
      </c>
      <c r="M1785">
        <v>152.9</v>
      </c>
      <c r="N1785">
        <v>1302</v>
      </c>
      <c r="O1785">
        <v>4</v>
      </c>
      <c r="P1785">
        <v>0</v>
      </c>
      <c r="Q1785">
        <v>0</v>
      </c>
      <c r="R1785">
        <v>0</v>
      </c>
      <c r="S1785">
        <v>0</v>
      </c>
      <c r="T1785">
        <v>0</v>
      </c>
      <c r="U1785">
        <v>0</v>
      </c>
      <c r="V1785">
        <v>152.9</v>
      </c>
      <c r="W1785">
        <v>1302</v>
      </c>
      <c r="X1785">
        <v>4</v>
      </c>
      <c r="Y1785">
        <f t="shared" si="27"/>
        <v>1302</v>
      </c>
      <c r="Z1785" t="str">
        <f>IF(ISNUMBER(SEARCH("Adjustment",$C1785)),"excluded",IF($H1785="Behind the Meter","excluded",IF(NOT(OR($E1785="Bundled",$E1785="Energy")),"excluded",IF(OR($H1785="Retail Power Marketer",$H1785="Community Choice Aggregator",$E1785="Energy"),"procurement",IF(OR($H1785="Municipal",$H1785="Cooperative",$H1785="Federal",$H1785="State",$H1785="Political Subdivision"),"cost_service",IF($H1785="Investor Owned",IF(AND(COUNTIF(Parameters!$A$4:$A$33,$G1785)&gt;0,COUNTIF(Parameters!$B$4:$B$33,$B1785)=0),"procurement","cost_service"),"unclassified"))))))</f>
        <v>excluded</v>
      </c>
    </row>
    <row r="1786" spans="1:26" x14ac:dyDescent="0.25">
      <c r="A1786">
        <v>2024</v>
      </c>
      <c r="B1786">
        <v>57313</v>
      </c>
      <c r="C1786" t="s">
        <v>1474</v>
      </c>
      <c r="D1786" t="s">
        <v>84</v>
      </c>
      <c r="E1786" t="s">
        <v>85</v>
      </c>
      <c r="F1786" t="s">
        <v>86</v>
      </c>
      <c r="G1786" t="s">
        <v>51</v>
      </c>
      <c r="H1786" t="s">
        <v>1475</v>
      </c>
      <c r="I1786" t="s">
        <v>189</v>
      </c>
      <c r="J1786">
        <v>1324</v>
      </c>
      <c r="K1786">
        <v>7451</v>
      </c>
      <c r="L1786">
        <v>1205</v>
      </c>
      <c r="M1786">
        <v>0</v>
      </c>
      <c r="N1786">
        <v>0</v>
      </c>
      <c r="O1786">
        <v>0</v>
      </c>
      <c r="P1786">
        <v>0</v>
      </c>
      <c r="Q1786">
        <v>0</v>
      </c>
      <c r="R1786">
        <v>0</v>
      </c>
      <c r="S1786">
        <v>0</v>
      </c>
      <c r="T1786">
        <v>0</v>
      </c>
      <c r="U1786">
        <v>0</v>
      </c>
      <c r="V1786">
        <v>1324</v>
      </c>
      <c r="W1786">
        <v>7451</v>
      </c>
      <c r="X1786">
        <v>1205</v>
      </c>
      <c r="Y1786">
        <f t="shared" si="27"/>
        <v>7451</v>
      </c>
      <c r="Z1786" t="str">
        <f>IF(ISNUMBER(SEARCH("Adjustment",$C1786)),"excluded",IF($H1786="Behind the Meter","excluded",IF(NOT(OR($E1786="Bundled",$E1786="Energy")),"excluded",IF(OR($H1786="Retail Power Marketer",$H1786="Community Choice Aggregator",$E1786="Energy"),"procurement",IF(OR($H1786="Municipal",$H1786="Cooperative",$H1786="Federal",$H1786="State",$H1786="Political Subdivision"),"cost_service",IF($H1786="Investor Owned",IF(AND(COUNTIF(Parameters!$A$4:$A$33,$G1786)&gt;0,COUNTIF(Parameters!$B$4:$B$33,$B1786)=0),"procurement","cost_service"),"unclassified"))))))</f>
        <v>excluded</v>
      </c>
    </row>
    <row r="1787" spans="1:26" x14ac:dyDescent="0.25">
      <c r="A1787">
        <v>2024</v>
      </c>
      <c r="B1787">
        <v>57313</v>
      </c>
      <c r="C1787" t="s">
        <v>1474</v>
      </c>
      <c r="D1787" t="s">
        <v>84</v>
      </c>
      <c r="E1787" t="s">
        <v>85</v>
      </c>
      <c r="F1787" t="s">
        <v>86</v>
      </c>
      <c r="G1787" t="s">
        <v>52</v>
      </c>
      <c r="H1787" t="s">
        <v>1475</v>
      </c>
      <c r="I1787" t="s">
        <v>92</v>
      </c>
      <c r="J1787">
        <v>10864.9</v>
      </c>
      <c r="K1787">
        <v>61641</v>
      </c>
      <c r="L1787">
        <v>10055</v>
      </c>
      <c r="M1787">
        <v>228</v>
      </c>
      <c r="N1787">
        <v>2826</v>
      </c>
      <c r="O1787">
        <v>76</v>
      </c>
      <c r="P1787">
        <v>0</v>
      </c>
      <c r="Q1787">
        <v>0</v>
      </c>
      <c r="R1787">
        <v>0</v>
      </c>
      <c r="S1787">
        <v>0</v>
      </c>
      <c r="T1787">
        <v>0</v>
      </c>
      <c r="U1787">
        <v>0</v>
      </c>
      <c r="V1787">
        <v>11092.9</v>
      </c>
      <c r="W1787">
        <v>64467</v>
      </c>
      <c r="X1787">
        <v>10131</v>
      </c>
      <c r="Y1787">
        <f t="shared" si="27"/>
        <v>64467</v>
      </c>
      <c r="Z1787" t="str">
        <f>IF(ISNUMBER(SEARCH("Adjustment",$C1787)),"excluded",IF($H1787="Behind the Meter","excluded",IF(NOT(OR($E1787="Bundled",$E1787="Energy")),"excluded",IF(OR($H1787="Retail Power Marketer",$H1787="Community Choice Aggregator",$E1787="Energy"),"procurement",IF(OR($H1787="Municipal",$H1787="Cooperative",$H1787="Federal",$H1787="State",$H1787="Political Subdivision"),"cost_service",IF($H1787="Investor Owned",IF(AND(COUNTIF(Parameters!$A$4:$A$33,$G1787)&gt;0,COUNTIF(Parameters!$B$4:$B$33,$B1787)=0),"procurement","cost_service"),"unclassified"))))))</f>
        <v>excluded</v>
      </c>
    </row>
    <row r="1788" spans="1:26" x14ac:dyDescent="0.25">
      <c r="A1788">
        <v>2024</v>
      </c>
      <c r="B1788">
        <v>57313</v>
      </c>
      <c r="C1788" t="s">
        <v>1474</v>
      </c>
      <c r="D1788" t="s">
        <v>84</v>
      </c>
      <c r="E1788" t="s">
        <v>85</v>
      </c>
      <c r="F1788" t="s">
        <v>86</v>
      </c>
      <c r="G1788" t="s">
        <v>308</v>
      </c>
      <c r="H1788" t="s">
        <v>1475</v>
      </c>
      <c r="I1788" t="s">
        <v>468</v>
      </c>
      <c r="J1788">
        <v>0.7</v>
      </c>
      <c r="K1788">
        <v>26</v>
      </c>
      <c r="L1788">
        <v>3</v>
      </c>
      <c r="M1788">
        <v>50.3</v>
      </c>
      <c r="N1788">
        <v>1846</v>
      </c>
      <c r="O1788">
        <v>3</v>
      </c>
      <c r="P1788">
        <v>0</v>
      </c>
      <c r="Q1788">
        <v>0</v>
      </c>
      <c r="R1788">
        <v>0</v>
      </c>
      <c r="S1788">
        <v>0</v>
      </c>
      <c r="T1788">
        <v>0</v>
      </c>
      <c r="U1788">
        <v>0</v>
      </c>
      <c r="V1788">
        <v>51</v>
      </c>
      <c r="W1788">
        <v>1872</v>
      </c>
      <c r="X1788">
        <v>6</v>
      </c>
      <c r="Y1788">
        <f t="shared" si="27"/>
        <v>1872</v>
      </c>
      <c r="Z1788" t="str">
        <f>IF(ISNUMBER(SEARCH("Adjustment",$C1788)),"excluded",IF($H1788="Behind the Meter","excluded",IF(NOT(OR($E1788="Bundled",$E1788="Energy")),"excluded",IF(OR($H1788="Retail Power Marketer",$H1788="Community Choice Aggregator",$E1788="Energy"),"procurement",IF(OR($H1788="Municipal",$H1788="Cooperative",$H1788="Federal",$H1788="State",$H1788="Political Subdivision"),"cost_service",IF($H1788="Investor Owned",IF(AND(COUNTIF(Parameters!$A$4:$A$33,$G1788)&gt;0,COUNTIF(Parameters!$B$4:$B$33,$B1788)=0),"procurement","cost_service"),"unclassified"))))))</f>
        <v>excluded</v>
      </c>
    </row>
    <row r="1789" spans="1:26" x14ac:dyDescent="0.25">
      <c r="A1789">
        <v>2024</v>
      </c>
      <c r="B1789">
        <v>57313</v>
      </c>
      <c r="C1789" t="s">
        <v>1474</v>
      </c>
      <c r="D1789" t="s">
        <v>84</v>
      </c>
      <c r="E1789" t="s">
        <v>85</v>
      </c>
      <c r="F1789" t="s">
        <v>86</v>
      </c>
      <c r="G1789" t="s">
        <v>308</v>
      </c>
      <c r="H1789" t="s">
        <v>1475</v>
      </c>
      <c r="I1789" t="s">
        <v>309</v>
      </c>
      <c r="J1789">
        <v>421</v>
      </c>
      <c r="K1789">
        <v>2639</v>
      </c>
      <c r="L1789">
        <v>347</v>
      </c>
      <c r="M1789">
        <v>894.8</v>
      </c>
      <c r="N1789">
        <v>8613</v>
      </c>
      <c r="O1789">
        <v>770</v>
      </c>
      <c r="P1789">
        <v>0</v>
      </c>
      <c r="Q1789">
        <v>0</v>
      </c>
      <c r="R1789">
        <v>0</v>
      </c>
      <c r="S1789">
        <v>0</v>
      </c>
      <c r="T1789">
        <v>0</v>
      </c>
      <c r="U1789">
        <v>0</v>
      </c>
      <c r="V1789">
        <v>1315.8</v>
      </c>
      <c r="W1789">
        <v>11252</v>
      </c>
      <c r="X1789">
        <v>1117</v>
      </c>
      <c r="Y1789">
        <f t="shared" si="27"/>
        <v>11252</v>
      </c>
      <c r="Z1789" t="str">
        <f>IF(ISNUMBER(SEARCH("Adjustment",$C1789)),"excluded",IF($H1789="Behind the Meter","excluded",IF(NOT(OR($E1789="Bundled",$E1789="Energy")),"excluded",IF(OR($H1789="Retail Power Marketer",$H1789="Community Choice Aggregator",$E1789="Energy"),"procurement",IF(OR($H1789="Municipal",$H1789="Cooperative",$H1789="Federal",$H1789="State",$H1789="Political Subdivision"),"cost_service",IF($H1789="Investor Owned",IF(AND(COUNTIF(Parameters!$A$4:$A$33,$G1789)&gt;0,COUNTIF(Parameters!$B$4:$B$33,$B1789)=0),"procurement","cost_service"),"unclassified"))))))</f>
        <v>excluded</v>
      </c>
    </row>
    <row r="1790" spans="1:26" x14ac:dyDescent="0.25">
      <c r="A1790">
        <v>2024</v>
      </c>
      <c r="B1790">
        <v>57313</v>
      </c>
      <c r="C1790" t="s">
        <v>1474</v>
      </c>
      <c r="D1790" t="s">
        <v>84</v>
      </c>
      <c r="E1790" t="s">
        <v>85</v>
      </c>
      <c r="F1790" t="s">
        <v>86</v>
      </c>
      <c r="G1790" t="s">
        <v>242</v>
      </c>
      <c r="H1790" t="s">
        <v>1475</v>
      </c>
      <c r="I1790" t="s">
        <v>390</v>
      </c>
      <c r="J1790">
        <v>12591</v>
      </c>
      <c r="K1790">
        <v>102465</v>
      </c>
      <c r="L1790">
        <v>12391</v>
      </c>
      <c r="M1790">
        <v>293</v>
      </c>
      <c r="N1790">
        <v>3315</v>
      </c>
      <c r="O1790">
        <v>7</v>
      </c>
      <c r="P1790">
        <v>0</v>
      </c>
      <c r="Q1790">
        <v>0</v>
      </c>
      <c r="R1790">
        <v>0</v>
      </c>
      <c r="S1790">
        <v>0</v>
      </c>
      <c r="T1790">
        <v>0</v>
      </c>
      <c r="U1790">
        <v>0</v>
      </c>
      <c r="V1790">
        <v>12884</v>
      </c>
      <c r="W1790">
        <v>105780</v>
      </c>
      <c r="X1790">
        <v>12398</v>
      </c>
      <c r="Y1790">
        <f t="shared" si="27"/>
        <v>105780</v>
      </c>
      <c r="Z1790" t="str">
        <f>IF(ISNUMBER(SEARCH("Adjustment",$C1790)),"excluded",IF($H1790="Behind the Meter","excluded",IF(NOT(OR($E1790="Bundled",$E1790="Energy")),"excluded",IF(OR($H1790="Retail Power Marketer",$H1790="Community Choice Aggregator",$E1790="Energy"),"procurement",IF(OR($H1790="Municipal",$H1790="Cooperative",$H1790="Federal",$H1790="State",$H1790="Political Subdivision"),"cost_service",IF($H1790="Investor Owned",IF(AND(COUNTIF(Parameters!$A$4:$A$33,$G1790)&gt;0,COUNTIF(Parameters!$B$4:$B$33,$B1790)=0),"procurement","cost_service"),"unclassified"))))))</f>
        <v>excluded</v>
      </c>
    </row>
    <row r="1791" spans="1:26" x14ac:dyDescent="0.25">
      <c r="A1791">
        <v>2024</v>
      </c>
      <c r="B1791">
        <v>57313</v>
      </c>
      <c r="C1791" t="s">
        <v>1474</v>
      </c>
      <c r="D1791" t="s">
        <v>84</v>
      </c>
      <c r="E1791" t="s">
        <v>85</v>
      </c>
      <c r="F1791" t="s">
        <v>86</v>
      </c>
      <c r="G1791" t="s">
        <v>53</v>
      </c>
      <c r="H1791" t="s">
        <v>1475</v>
      </c>
      <c r="I1791" t="s">
        <v>102</v>
      </c>
      <c r="J1791">
        <v>18580.5</v>
      </c>
      <c r="K1791">
        <v>99930</v>
      </c>
      <c r="L1791">
        <v>16990</v>
      </c>
      <c r="M1791">
        <v>1153</v>
      </c>
      <c r="N1791">
        <v>13980</v>
      </c>
      <c r="O1791">
        <v>165</v>
      </c>
      <c r="P1791">
        <v>0</v>
      </c>
      <c r="Q1791">
        <v>0</v>
      </c>
      <c r="R1791">
        <v>0</v>
      </c>
      <c r="S1791">
        <v>0</v>
      </c>
      <c r="T1791">
        <v>0</v>
      </c>
      <c r="U1791">
        <v>0</v>
      </c>
      <c r="V1791">
        <v>19733.5</v>
      </c>
      <c r="W1791">
        <v>113910</v>
      </c>
      <c r="X1791">
        <v>17155</v>
      </c>
      <c r="Y1791">
        <f t="shared" si="27"/>
        <v>113910</v>
      </c>
      <c r="Z1791" t="str">
        <f>IF(ISNUMBER(SEARCH("Adjustment",$C1791)),"excluded",IF($H1791="Behind the Meter","excluded",IF(NOT(OR($E1791="Bundled",$E1791="Energy")),"excluded",IF(OR($H1791="Retail Power Marketer",$H1791="Community Choice Aggregator",$E1791="Energy"),"procurement",IF(OR($H1791="Municipal",$H1791="Cooperative",$H1791="Federal",$H1791="State",$H1791="Political Subdivision"),"cost_service",IF($H1791="Investor Owned",IF(AND(COUNTIF(Parameters!$A$4:$A$33,$G1791)&gt;0,COUNTIF(Parameters!$B$4:$B$33,$B1791)=0),"procurement","cost_service"),"unclassified"))))))</f>
        <v>excluded</v>
      </c>
    </row>
    <row r="1792" spans="1:26" x14ac:dyDescent="0.25">
      <c r="A1792">
        <v>2024</v>
      </c>
      <c r="B1792">
        <v>57313</v>
      </c>
      <c r="C1792" t="s">
        <v>1474</v>
      </c>
      <c r="D1792" t="s">
        <v>84</v>
      </c>
      <c r="E1792" t="s">
        <v>85</v>
      </c>
      <c r="F1792" t="s">
        <v>86</v>
      </c>
      <c r="G1792" t="s">
        <v>54</v>
      </c>
      <c r="H1792" t="s">
        <v>1475</v>
      </c>
      <c r="I1792" t="s">
        <v>92</v>
      </c>
      <c r="J1792">
        <v>0</v>
      </c>
      <c r="K1792">
        <v>0</v>
      </c>
      <c r="L1792">
        <v>0</v>
      </c>
      <c r="M1792">
        <v>506</v>
      </c>
      <c r="N1792">
        <v>5549</v>
      </c>
      <c r="O1792">
        <v>18</v>
      </c>
      <c r="P1792">
        <v>0</v>
      </c>
      <c r="Q1792">
        <v>0</v>
      </c>
      <c r="R1792">
        <v>0</v>
      </c>
      <c r="S1792">
        <v>0</v>
      </c>
      <c r="T1792">
        <v>0</v>
      </c>
      <c r="U1792">
        <v>0</v>
      </c>
      <c r="V1792">
        <v>506</v>
      </c>
      <c r="W1792">
        <v>5549</v>
      </c>
      <c r="X1792">
        <v>18</v>
      </c>
      <c r="Y1792">
        <f t="shared" si="27"/>
        <v>5549</v>
      </c>
      <c r="Z1792" t="str">
        <f>IF(ISNUMBER(SEARCH("Adjustment",$C1792)),"excluded",IF($H1792="Behind the Meter","excluded",IF(NOT(OR($E1792="Bundled",$E1792="Energy")),"excluded",IF(OR($H1792="Retail Power Marketer",$H1792="Community Choice Aggregator",$E1792="Energy"),"procurement",IF(OR($H1792="Municipal",$H1792="Cooperative",$H1792="Federal",$H1792="State",$H1792="Political Subdivision"),"cost_service",IF($H1792="Investor Owned",IF(AND(COUNTIF(Parameters!$A$4:$A$33,$G1792)&gt;0,COUNTIF(Parameters!$B$4:$B$33,$B1792)=0),"procurement","cost_service"),"unclassified"))))))</f>
        <v>excluded</v>
      </c>
    </row>
    <row r="1793" spans="1:26" x14ac:dyDescent="0.25">
      <c r="A1793">
        <v>2024</v>
      </c>
      <c r="B1793">
        <v>57313</v>
      </c>
      <c r="C1793" t="s">
        <v>1474</v>
      </c>
      <c r="D1793" t="s">
        <v>84</v>
      </c>
      <c r="E1793" t="s">
        <v>85</v>
      </c>
      <c r="F1793" t="s">
        <v>86</v>
      </c>
      <c r="G1793" t="s">
        <v>219</v>
      </c>
      <c r="H1793" t="s">
        <v>1475</v>
      </c>
      <c r="I1793" t="s">
        <v>206</v>
      </c>
      <c r="J1793">
        <v>7</v>
      </c>
      <c r="K1793">
        <v>83</v>
      </c>
      <c r="L1793">
        <v>17</v>
      </c>
      <c r="M1793">
        <v>100</v>
      </c>
      <c r="N1793">
        <v>1095</v>
      </c>
      <c r="O1793">
        <v>2</v>
      </c>
      <c r="P1793">
        <v>0</v>
      </c>
      <c r="Q1793">
        <v>0</v>
      </c>
      <c r="R1793">
        <v>0</v>
      </c>
      <c r="S1793">
        <v>0</v>
      </c>
      <c r="T1793">
        <v>0</v>
      </c>
      <c r="U1793">
        <v>0</v>
      </c>
      <c r="V1793">
        <v>107</v>
      </c>
      <c r="W1793">
        <v>1178</v>
      </c>
      <c r="X1793">
        <v>19</v>
      </c>
      <c r="Y1793">
        <f t="shared" si="27"/>
        <v>1178</v>
      </c>
      <c r="Z1793" t="str">
        <f>IF(ISNUMBER(SEARCH("Adjustment",$C1793)),"excluded",IF($H1793="Behind the Meter","excluded",IF(NOT(OR($E1793="Bundled",$E1793="Energy")),"excluded",IF(OR($H1793="Retail Power Marketer",$H1793="Community Choice Aggregator",$E1793="Energy"),"procurement",IF(OR($H1793="Municipal",$H1793="Cooperative",$H1793="Federal",$H1793="State",$H1793="Political Subdivision"),"cost_service",IF($H1793="Investor Owned",IF(AND(COUNTIF(Parameters!$A$4:$A$33,$G1793)&gt;0,COUNTIF(Parameters!$B$4:$B$33,$B1793)=0),"procurement","cost_service"),"unclassified"))))))</f>
        <v>excluded</v>
      </c>
    </row>
    <row r="1794" spans="1:26" x14ac:dyDescent="0.25">
      <c r="A1794">
        <v>2024</v>
      </c>
      <c r="B1794">
        <v>57313</v>
      </c>
      <c r="C1794" t="s">
        <v>1474</v>
      </c>
      <c r="D1794" t="s">
        <v>84</v>
      </c>
      <c r="E1794" t="s">
        <v>85</v>
      </c>
      <c r="F1794" t="s">
        <v>86</v>
      </c>
      <c r="G1794" t="s">
        <v>219</v>
      </c>
      <c r="H1794" t="s">
        <v>1475</v>
      </c>
      <c r="I1794" t="s">
        <v>972</v>
      </c>
      <c r="J1794">
        <v>217</v>
      </c>
      <c r="K1794">
        <v>2319</v>
      </c>
      <c r="L1794">
        <v>475</v>
      </c>
      <c r="M1794">
        <v>248</v>
      </c>
      <c r="N1794">
        <v>3478</v>
      </c>
      <c r="O1794">
        <v>27</v>
      </c>
      <c r="P1794">
        <v>0</v>
      </c>
      <c r="Q1794">
        <v>0</v>
      </c>
      <c r="R1794">
        <v>0</v>
      </c>
      <c r="S1794">
        <v>0</v>
      </c>
      <c r="T1794">
        <v>0</v>
      </c>
      <c r="U1794">
        <v>0</v>
      </c>
      <c r="V1794">
        <v>465</v>
      </c>
      <c r="W1794">
        <v>5797</v>
      </c>
      <c r="X1794">
        <v>502</v>
      </c>
      <c r="Y1794">
        <f t="shared" si="27"/>
        <v>5797</v>
      </c>
      <c r="Z1794" t="str">
        <f>IF(ISNUMBER(SEARCH("Adjustment",$C1794)),"excluded",IF($H1794="Behind the Meter","excluded",IF(NOT(OR($E1794="Bundled",$E1794="Energy")),"excluded",IF(OR($H1794="Retail Power Marketer",$H1794="Community Choice Aggregator",$E1794="Energy"),"procurement",IF(OR($H1794="Municipal",$H1794="Cooperative",$H1794="Federal",$H1794="State",$H1794="Political Subdivision"),"cost_service",IF($H1794="Investor Owned",IF(AND(COUNTIF(Parameters!$A$4:$A$33,$G1794)&gt;0,COUNTIF(Parameters!$B$4:$B$33,$B1794)=0),"procurement","cost_service"),"unclassified"))))))</f>
        <v>excluded</v>
      </c>
    </row>
    <row r="1795" spans="1:26" x14ac:dyDescent="0.25">
      <c r="A1795">
        <v>2024</v>
      </c>
      <c r="B1795">
        <v>57313</v>
      </c>
      <c r="C1795" t="s">
        <v>1474</v>
      </c>
      <c r="D1795" t="s">
        <v>84</v>
      </c>
      <c r="E1795" t="s">
        <v>85</v>
      </c>
      <c r="F1795" t="s">
        <v>86</v>
      </c>
      <c r="G1795" t="s">
        <v>219</v>
      </c>
      <c r="H1795" t="s">
        <v>1475</v>
      </c>
      <c r="I1795" t="s">
        <v>396</v>
      </c>
      <c r="J1795">
        <v>1535</v>
      </c>
      <c r="K1795">
        <v>15088</v>
      </c>
      <c r="L1795">
        <v>3167</v>
      </c>
      <c r="M1795">
        <v>248</v>
      </c>
      <c r="N1795">
        <v>3120</v>
      </c>
      <c r="O1795">
        <v>19</v>
      </c>
      <c r="P1795">
        <v>0</v>
      </c>
      <c r="Q1795">
        <v>0</v>
      </c>
      <c r="R1795">
        <v>0</v>
      </c>
      <c r="S1795">
        <v>0</v>
      </c>
      <c r="T1795">
        <v>0</v>
      </c>
      <c r="U1795">
        <v>0</v>
      </c>
      <c r="V1795">
        <v>1783</v>
      </c>
      <c r="W1795">
        <v>18208</v>
      </c>
      <c r="X1795">
        <v>3186</v>
      </c>
      <c r="Y1795">
        <f t="shared" si="27"/>
        <v>18208</v>
      </c>
      <c r="Z1795" t="str">
        <f>IF(ISNUMBER(SEARCH("Adjustment",$C1795)),"excluded",IF($H1795="Behind the Meter","excluded",IF(NOT(OR($E1795="Bundled",$E1795="Energy")),"excluded",IF(OR($H1795="Retail Power Marketer",$H1795="Community Choice Aggregator",$E1795="Energy"),"procurement",IF(OR($H1795="Municipal",$H1795="Cooperative",$H1795="Federal",$H1795="State",$H1795="Political Subdivision"),"cost_service",IF($H1795="Investor Owned",IF(AND(COUNTIF(Parameters!$A$4:$A$33,$G1795)&gt;0,COUNTIF(Parameters!$B$4:$B$33,$B1795)=0),"procurement","cost_service"),"unclassified"))))))</f>
        <v>excluded</v>
      </c>
    </row>
    <row r="1796" spans="1:26" x14ac:dyDescent="0.25">
      <c r="A1796">
        <v>2024</v>
      </c>
      <c r="B1796">
        <v>57313</v>
      </c>
      <c r="C1796" t="s">
        <v>1474</v>
      </c>
      <c r="D1796" t="s">
        <v>84</v>
      </c>
      <c r="E1796" t="s">
        <v>85</v>
      </c>
      <c r="F1796" t="s">
        <v>86</v>
      </c>
      <c r="G1796" t="s">
        <v>55</v>
      </c>
      <c r="H1796" t="s">
        <v>1475</v>
      </c>
      <c r="I1796" t="s">
        <v>92</v>
      </c>
      <c r="J1796">
        <v>7546</v>
      </c>
      <c r="K1796">
        <v>50653</v>
      </c>
      <c r="L1796">
        <v>6956</v>
      </c>
      <c r="M1796">
        <v>119</v>
      </c>
      <c r="N1796">
        <v>1539</v>
      </c>
      <c r="O1796">
        <v>8</v>
      </c>
      <c r="P1796">
        <v>0</v>
      </c>
      <c r="Q1796">
        <v>0</v>
      </c>
      <c r="R1796">
        <v>0</v>
      </c>
      <c r="S1796">
        <v>0</v>
      </c>
      <c r="T1796">
        <v>0</v>
      </c>
      <c r="U1796">
        <v>0</v>
      </c>
      <c r="V1796">
        <v>7665</v>
      </c>
      <c r="W1796">
        <v>52192</v>
      </c>
      <c r="X1796">
        <v>6964</v>
      </c>
      <c r="Y1796">
        <f t="shared" ref="Y1796:Y1859" si="28">IF(ISNUMBER($W1796),$W1796,0)</f>
        <v>52192</v>
      </c>
      <c r="Z1796" t="str">
        <f>IF(ISNUMBER(SEARCH("Adjustment",$C1796)),"excluded",IF($H1796="Behind the Meter","excluded",IF(NOT(OR($E1796="Bundled",$E1796="Energy")),"excluded",IF(OR($H1796="Retail Power Marketer",$H1796="Community Choice Aggregator",$E1796="Energy"),"procurement",IF(OR($H1796="Municipal",$H1796="Cooperative",$H1796="Federal",$H1796="State",$H1796="Political Subdivision"),"cost_service",IF($H1796="Investor Owned",IF(AND(COUNTIF(Parameters!$A$4:$A$33,$G1796)&gt;0,COUNTIF(Parameters!$B$4:$B$33,$B1796)=0),"procurement","cost_service"),"unclassified"))))))</f>
        <v>excluded</v>
      </c>
    </row>
    <row r="1797" spans="1:26" x14ac:dyDescent="0.25">
      <c r="A1797">
        <v>2024</v>
      </c>
      <c r="B1797">
        <v>57313</v>
      </c>
      <c r="C1797" t="s">
        <v>1474</v>
      </c>
      <c r="D1797" t="s">
        <v>84</v>
      </c>
      <c r="E1797" t="s">
        <v>85</v>
      </c>
      <c r="F1797" t="s">
        <v>86</v>
      </c>
      <c r="G1797" t="s">
        <v>56</v>
      </c>
      <c r="H1797" t="s">
        <v>1475</v>
      </c>
      <c r="I1797" t="s">
        <v>189</v>
      </c>
      <c r="J1797">
        <v>137</v>
      </c>
      <c r="K1797">
        <v>614</v>
      </c>
      <c r="L1797">
        <v>95</v>
      </c>
      <c r="M1797">
        <v>225</v>
      </c>
      <c r="N1797">
        <v>1995</v>
      </c>
      <c r="O1797">
        <v>214</v>
      </c>
      <c r="P1797">
        <v>0</v>
      </c>
      <c r="Q1797">
        <v>0</v>
      </c>
      <c r="R1797">
        <v>0</v>
      </c>
      <c r="S1797">
        <v>0</v>
      </c>
      <c r="T1797">
        <v>0</v>
      </c>
      <c r="U1797">
        <v>0</v>
      </c>
      <c r="V1797">
        <v>362</v>
      </c>
      <c r="W1797">
        <v>2609</v>
      </c>
      <c r="X1797">
        <v>309</v>
      </c>
      <c r="Y1797">
        <f t="shared" si="28"/>
        <v>2609</v>
      </c>
      <c r="Z1797" t="str">
        <f>IF(ISNUMBER(SEARCH("Adjustment",$C1797)),"excluded",IF($H1797="Behind the Meter","excluded",IF(NOT(OR($E1797="Bundled",$E1797="Energy")),"excluded",IF(OR($H1797="Retail Power Marketer",$H1797="Community Choice Aggregator",$E1797="Energy"),"procurement",IF(OR($H1797="Municipal",$H1797="Cooperative",$H1797="Federal",$H1797="State",$H1797="Political Subdivision"),"cost_service",IF($H1797="Investor Owned",IF(AND(COUNTIF(Parameters!$A$4:$A$33,$G1797)&gt;0,COUNTIF(Parameters!$B$4:$B$33,$B1797)=0),"procurement","cost_service"),"unclassified"))))))</f>
        <v>excluded</v>
      </c>
    </row>
    <row r="1798" spans="1:26" x14ac:dyDescent="0.25">
      <c r="A1798">
        <v>2024</v>
      </c>
      <c r="B1798">
        <v>57313</v>
      </c>
      <c r="C1798" t="s">
        <v>1474</v>
      </c>
      <c r="D1798" t="s">
        <v>84</v>
      </c>
      <c r="E1798" t="s">
        <v>85</v>
      </c>
      <c r="F1798" t="s">
        <v>86</v>
      </c>
      <c r="G1798" t="s">
        <v>57</v>
      </c>
      <c r="H1798" t="s">
        <v>1475</v>
      </c>
      <c r="I1798" t="s">
        <v>468</v>
      </c>
      <c r="J1798">
        <v>918</v>
      </c>
      <c r="K1798">
        <v>7644</v>
      </c>
      <c r="L1798">
        <v>1126</v>
      </c>
      <c r="M1798">
        <v>77</v>
      </c>
      <c r="N1798">
        <v>814</v>
      </c>
      <c r="O1798">
        <v>2</v>
      </c>
      <c r="P1798">
        <v>0</v>
      </c>
      <c r="Q1798">
        <v>0</v>
      </c>
      <c r="R1798">
        <v>0</v>
      </c>
      <c r="S1798">
        <v>0</v>
      </c>
      <c r="T1798">
        <v>0</v>
      </c>
      <c r="U1798">
        <v>0</v>
      </c>
      <c r="V1798">
        <v>995</v>
      </c>
      <c r="W1798">
        <v>8458</v>
      </c>
      <c r="X1798">
        <v>1128</v>
      </c>
      <c r="Y1798">
        <f t="shared" si="28"/>
        <v>8458</v>
      </c>
      <c r="Z1798" t="str">
        <f>IF(ISNUMBER(SEARCH("Adjustment",$C1798)),"excluded",IF($H1798="Behind the Meter","excluded",IF(NOT(OR($E1798="Bundled",$E1798="Energy")),"excluded",IF(OR($H1798="Retail Power Marketer",$H1798="Community Choice Aggregator",$E1798="Energy"),"procurement",IF(OR($H1798="Municipal",$H1798="Cooperative",$H1798="Federal",$H1798="State",$H1798="Political Subdivision"),"cost_service",IF($H1798="Investor Owned",IF(AND(COUNTIF(Parameters!$A$4:$A$33,$G1798)&gt;0,COUNTIF(Parameters!$B$4:$B$33,$B1798)=0),"procurement","cost_service"),"unclassified"))))))</f>
        <v>excluded</v>
      </c>
    </row>
    <row r="1799" spans="1:26" x14ac:dyDescent="0.25">
      <c r="A1799">
        <v>2024</v>
      </c>
      <c r="B1799">
        <v>57313</v>
      </c>
      <c r="C1799" t="s">
        <v>1474</v>
      </c>
      <c r="D1799" t="s">
        <v>84</v>
      </c>
      <c r="E1799" t="s">
        <v>85</v>
      </c>
      <c r="F1799" t="s">
        <v>86</v>
      </c>
      <c r="G1799" t="s">
        <v>57</v>
      </c>
      <c r="H1799" t="s">
        <v>1475</v>
      </c>
      <c r="I1799" t="s">
        <v>151</v>
      </c>
      <c r="J1799">
        <v>6790</v>
      </c>
      <c r="K1799">
        <v>51393</v>
      </c>
      <c r="L1799">
        <v>6138</v>
      </c>
      <c r="M1799">
        <v>1930</v>
      </c>
      <c r="N1799">
        <v>19640</v>
      </c>
      <c r="O1799">
        <v>1269</v>
      </c>
      <c r="P1799">
        <v>0</v>
      </c>
      <c r="Q1799">
        <v>0</v>
      </c>
      <c r="R1799">
        <v>0</v>
      </c>
      <c r="S1799">
        <v>0</v>
      </c>
      <c r="T1799">
        <v>0</v>
      </c>
      <c r="U1799">
        <v>0</v>
      </c>
      <c r="V1799">
        <v>8720</v>
      </c>
      <c r="W1799">
        <v>71033</v>
      </c>
      <c r="X1799">
        <v>7407</v>
      </c>
      <c r="Y1799">
        <f t="shared" si="28"/>
        <v>71033</v>
      </c>
      <c r="Z1799" t="str">
        <f>IF(ISNUMBER(SEARCH("Adjustment",$C1799)),"excluded",IF($H1799="Behind the Meter","excluded",IF(NOT(OR($E1799="Bundled",$E1799="Energy")),"excluded",IF(OR($H1799="Retail Power Marketer",$H1799="Community Choice Aggregator",$E1799="Energy"),"procurement",IF(OR($H1799="Municipal",$H1799="Cooperative",$H1799="Federal",$H1799="State",$H1799="Political Subdivision"),"cost_service",IF($H1799="Investor Owned",IF(AND(COUNTIF(Parameters!$A$4:$A$33,$G1799)&gt;0,COUNTIF(Parameters!$B$4:$B$33,$B1799)=0),"procurement","cost_service"),"unclassified"))))))</f>
        <v>excluded</v>
      </c>
    </row>
    <row r="1800" spans="1:26" x14ac:dyDescent="0.25">
      <c r="A1800">
        <v>2024</v>
      </c>
      <c r="B1800">
        <v>57313</v>
      </c>
      <c r="C1800" t="s">
        <v>1474</v>
      </c>
      <c r="D1800" t="s">
        <v>84</v>
      </c>
      <c r="E1800" t="s">
        <v>85</v>
      </c>
      <c r="F1800" t="s">
        <v>86</v>
      </c>
      <c r="G1800" t="s">
        <v>245</v>
      </c>
      <c r="H1800" t="s">
        <v>1475</v>
      </c>
      <c r="I1800" t="s">
        <v>246</v>
      </c>
      <c r="J1800">
        <v>2</v>
      </c>
      <c r="K1800">
        <v>11</v>
      </c>
      <c r="L1800">
        <v>1</v>
      </c>
      <c r="M1800">
        <v>178</v>
      </c>
      <c r="N1800">
        <v>2959</v>
      </c>
      <c r="O1800">
        <v>4</v>
      </c>
      <c r="P1800">
        <v>0</v>
      </c>
      <c r="Q1800">
        <v>0</v>
      </c>
      <c r="R1800">
        <v>0</v>
      </c>
      <c r="S1800">
        <v>0</v>
      </c>
      <c r="T1800">
        <v>0</v>
      </c>
      <c r="U1800">
        <v>0</v>
      </c>
      <c r="V1800">
        <v>180</v>
      </c>
      <c r="W1800">
        <v>2970</v>
      </c>
      <c r="X1800">
        <v>5</v>
      </c>
      <c r="Y1800">
        <f t="shared" si="28"/>
        <v>2970</v>
      </c>
      <c r="Z1800" t="str">
        <f>IF(ISNUMBER(SEARCH("Adjustment",$C1800)),"excluded",IF($H1800="Behind the Meter","excluded",IF(NOT(OR($E1800="Bundled",$E1800="Energy")),"excluded",IF(OR($H1800="Retail Power Marketer",$H1800="Community Choice Aggregator",$E1800="Energy"),"procurement",IF(OR($H1800="Municipal",$H1800="Cooperative",$H1800="Federal",$H1800="State",$H1800="Political Subdivision"),"cost_service",IF($H1800="Investor Owned",IF(AND(COUNTIF(Parameters!$A$4:$A$33,$G1800)&gt;0,COUNTIF(Parameters!$B$4:$B$33,$B1800)=0),"procurement","cost_service"),"unclassified"))))))</f>
        <v>excluded</v>
      </c>
    </row>
    <row r="1801" spans="1:26" x14ac:dyDescent="0.25">
      <c r="A1801">
        <v>2024</v>
      </c>
      <c r="B1801">
        <v>57313</v>
      </c>
      <c r="C1801" t="s">
        <v>1474</v>
      </c>
      <c r="D1801" t="s">
        <v>84</v>
      </c>
      <c r="E1801" t="s">
        <v>85</v>
      </c>
      <c r="F1801" t="s">
        <v>86</v>
      </c>
      <c r="G1801" t="s">
        <v>93</v>
      </c>
      <c r="H1801" t="s">
        <v>1475</v>
      </c>
      <c r="I1801" t="s">
        <v>92</v>
      </c>
      <c r="J1801">
        <v>11</v>
      </c>
      <c r="K1801">
        <v>274</v>
      </c>
      <c r="L1801">
        <v>66</v>
      </c>
      <c r="M1801">
        <v>25</v>
      </c>
      <c r="N1801">
        <v>244</v>
      </c>
      <c r="O1801">
        <v>2</v>
      </c>
      <c r="P1801">
        <v>0</v>
      </c>
      <c r="Q1801">
        <v>0</v>
      </c>
      <c r="R1801">
        <v>0</v>
      </c>
      <c r="S1801">
        <v>0</v>
      </c>
      <c r="T1801">
        <v>0</v>
      </c>
      <c r="U1801">
        <v>0</v>
      </c>
      <c r="V1801">
        <v>36</v>
      </c>
      <c r="W1801">
        <v>518</v>
      </c>
      <c r="X1801">
        <v>68</v>
      </c>
      <c r="Y1801">
        <f t="shared" si="28"/>
        <v>518</v>
      </c>
      <c r="Z1801" t="str">
        <f>IF(ISNUMBER(SEARCH("Adjustment",$C1801)),"excluded",IF($H1801="Behind the Meter","excluded",IF(NOT(OR($E1801="Bundled",$E1801="Energy")),"excluded",IF(OR($H1801="Retail Power Marketer",$H1801="Community Choice Aggregator",$E1801="Energy"),"procurement",IF(OR($H1801="Municipal",$H1801="Cooperative",$H1801="Federal",$H1801="State",$H1801="Political Subdivision"),"cost_service",IF($H1801="Investor Owned",IF(AND(COUNTIF(Parameters!$A$4:$A$33,$G1801)&gt;0,COUNTIF(Parameters!$B$4:$B$33,$B1801)=0),"procurement","cost_service"),"unclassified"))))))</f>
        <v>excluded</v>
      </c>
    </row>
    <row r="1802" spans="1:26" x14ac:dyDescent="0.25">
      <c r="A1802">
        <v>2024</v>
      </c>
      <c r="B1802">
        <v>57313</v>
      </c>
      <c r="C1802" t="s">
        <v>1474</v>
      </c>
      <c r="D1802" t="s">
        <v>84</v>
      </c>
      <c r="E1802" t="s">
        <v>85</v>
      </c>
      <c r="F1802" t="s">
        <v>86</v>
      </c>
      <c r="G1802" t="s">
        <v>269</v>
      </c>
      <c r="H1802" t="s">
        <v>1475</v>
      </c>
      <c r="I1802" t="s">
        <v>189</v>
      </c>
      <c r="J1802">
        <v>1536</v>
      </c>
      <c r="K1802">
        <v>7547</v>
      </c>
      <c r="L1802">
        <v>1588</v>
      </c>
      <c r="M1802">
        <v>0</v>
      </c>
      <c r="N1802">
        <v>0</v>
      </c>
      <c r="O1802">
        <v>0</v>
      </c>
      <c r="P1802">
        <v>0</v>
      </c>
      <c r="Q1802">
        <v>0</v>
      </c>
      <c r="R1802">
        <v>0</v>
      </c>
      <c r="S1802">
        <v>0</v>
      </c>
      <c r="T1802">
        <v>0</v>
      </c>
      <c r="U1802">
        <v>0</v>
      </c>
      <c r="V1802">
        <v>1536</v>
      </c>
      <c r="W1802">
        <v>7547</v>
      </c>
      <c r="X1802">
        <v>1588</v>
      </c>
      <c r="Y1802">
        <f t="shared" si="28"/>
        <v>7547</v>
      </c>
      <c r="Z1802" t="str">
        <f>IF(ISNUMBER(SEARCH("Adjustment",$C1802)),"excluded",IF($H1802="Behind the Meter","excluded",IF(NOT(OR($E1802="Bundled",$E1802="Energy")),"excluded",IF(OR($H1802="Retail Power Marketer",$H1802="Community Choice Aggregator",$E1802="Energy"),"procurement",IF(OR($H1802="Municipal",$H1802="Cooperative",$H1802="Federal",$H1802="State",$H1802="Political Subdivision"),"cost_service",IF($H1802="Investor Owned",IF(AND(COUNTIF(Parameters!$A$4:$A$33,$G1802)&gt;0,COUNTIF(Parameters!$B$4:$B$33,$B1802)=0),"procurement","cost_service"),"unclassified"))))))</f>
        <v>excluded</v>
      </c>
    </row>
    <row r="1803" spans="1:26" x14ac:dyDescent="0.25">
      <c r="A1803">
        <v>2024</v>
      </c>
      <c r="B1803">
        <v>57313</v>
      </c>
      <c r="C1803" t="s">
        <v>1474</v>
      </c>
      <c r="D1803" t="s">
        <v>84</v>
      </c>
      <c r="E1803" t="s">
        <v>85</v>
      </c>
      <c r="F1803" t="s">
        <v>86</v>
      </c>
      <c r="G1803" t="s">
        <v>148</v>
      </c>
      <c r="H1803" t="s">
        <v>1475</v>
      </c>
      <c r="I1803" t="s">
        <v>149</v>
      </c>
      <c r="J1803">
        <v>26</v>
      </c>
      <c r="K1803">
        <v>485</v>
      </c>
      <c r="L1803">
        <v>99</v>
      </c>
      <c r="M1803">
        <v>0</v>
      </c>
      <c r="N1803">
        <v>0</v>
      </c>
      <c r="O1803">
        <v>0</v>
      </c>
      <c r="P1803">
        <v>0</v>
      </c>
      <c r="Q1803">
        <v>0</v>
      </c>
      <c r="R1803">
        <v>0</v>
      </c>
      <c r="S1803">
        <v>0</v>
      </c>
      <c r="T1803">
        <v>0</v>
      </c>
      <c r="U1803">
        <v>0</v>
      </c>
      <c r="V1803">
        <v>26</v>
      </c>
      <c r="W1803">
        <v>485</v>
      </c>
      <c r="X1803">
        <v>99</v>
      </c>
      <c r="Y1803">
        <f t="shared" si="28"/>
        <v>485</v>
      </c>
      <c r="Z1803" t="str">
        <f>IF(ISNUMBER(SEARCH("Adjustment",$C1803)),"excluded",IF($H1803="Behind the Meter","excluded",IF(NOT(OR($E1803="Bundled",$E1803="Energy")),"excluded",IF(OR($H1803="Retail Power Marketer",$H1803="Community Choice Aggregator",$E1803="Energy"),"procurement",IF(OR($H1803="Municipal",$H1803="Cooperative",$H1803="Federal",$H1803="State",$H1803="Political Subdivision"),"cost_service",IF($H1803="Investor Owned",IF(AND(COUNTIF(Parameters!$A$4:$A$33,$G1803)&gt;0,COUNTIF(Parameters!$B$4:$B$33,$B1803)=0),"procurement","cost_service"),"unclassified"))))))</f>
        <v>excluded</v>
      </c>
    </row>
    <row r="1804" spans="1:26" x14ac:dyDescent="0.25">
      <c r="A1804">
        <v>2024</v>
      </c>
      <c r="B1804">
        <v>57350</v>
      </c>
      <c r="C1804" t="s">
        <v>1476</v>
      </c>
      <c r="D1804" t="s">
        <v>150</v>
      </c>
      <c r="E1804" t="s">
        <v>85</v>
      </c>
      <c r="F1804" t="s">
        <v>86</v>
      </c>
      <c r="G1804" t="s">
        <v>57</v>
      </c>
      <c r="H1804" t="s">
        <v>101</v>
      </c>
      <c r="I1804" t="s">
        <v>151</v>
      </c>
      <c r="J1804">
        <v>21180</v>
      </c>
      <c r="K1804">
        <v>124587</v>
      </c>
      <c r="L1804">
        <v>8967</v>
      </c>
      <c r="M1804">
        <v>227781</v>
      </c>
      <c r="N1804">
        <v>2039384</v>
      </c>
      <c r="O1804">
        <v>43085</v>
      </c>
      <c r="P1804">
        <v>0</v>
      </c>
      <c r="Q1804">
        <v>0</v>
      </c>
      <c r="R1804">
        <v>0</v>
      </c>
      <c r="S1804">
        <v>0</v>
      </c>
      <c r="T1804">
        <v>0</v>
      </c>
      <c r="U1804">
        <v>0</v>
      </c>
      <c r="V1804">
        <v>248961</v>
      </c>
      <c r="W1804">
        <v>2163971</v>
      </c>
      <c r="X1804">
        <v>52052</v>
      </c>
      <c r="Y1804">
        <f t="shared" si="28"/>
        <v>2163971</v>
      </c>
      <c r="Z1804" t="str">
        <f>IF(ISNUMBER(SEARCH("Adjustment",$C1804)),"excluded",IF($H1804="Behind the Meter","excluded",IF(NOT(OR($E1804="Bundled",$E1804="Energy")),"excluded",IF(OR($H1804="Retail Power Marketer",$H1804="Community Choice Aggregator",$E1804="Energy"),"procurement",IF(OR($H1804="Municipal",$H1804="Cooperative",$H1804="Federal",$H1804="State",$H1804="Political Subdivision"),"cost_service",IF($H1804="Investor Owned",IF(AND(COUNTIF(Parameters!$A$4:$A$33,$G1804)&gt;0,COUNTIF(Parameters!$B$4:$B$33,$B1804)=0),"procurement","cost_service"),"unclassified"))))))</f>
        <v>procurement</v>
      </c>
    </row>
    <row r="1805" spans="1:26" x14ac:dyDescent="0.25">
      <c r="A1805">
        <v>2024</v>
      </c>
      <c r="B1805">
        <v>57394</v>
      </c>
      <c r="C1805" t="s">
        <v>1477</v>
      </c>
      <c r="D1805" t="s">
        <v>150</v>
      </c>
      <c r="E1805" t="s">
        <v>85</v>
      </c>
      <c r="F1805" t="s">
        <v>86</v>
      </c>
      <c r="G1805" t="s">
        <v>57</v>
      </c>
      <c r="H1805" t="s">
        <v>101</v>
      </c>
      <c r="I1805" t="s">
        <v>151</v>
      </c>
      <c r="J1805">
        <v>535559</v>
      </c>
      <c r="K1805">
        <v>3178908</v>
      </c>
      <c r="L1805">
        <v>221191</v>
      </c>
      <c r="M1805">
        <v>0</v>
      </c>
      <c r="N1805">
        <v>0</v>
      </c>
      <c r="O1805">
        <v>0</v>
      </c>
      <c r="P1805">
        <v>0</v>
      </c>
      <c r="Q1805">
        <v>0</v>
      </c>
      <c r="R1805">
        <v>0</v>
      </c>
      <c r="S1805">
        <v>0</v>
      </c>
      <c r="T1805">
        <v>0</v>
      </c>
      <c r="U1805">
        <v>0</v>
      </c>
      <c r="V1805">
        <v>535559</v>
      </c>
      <c r="W1805">
        <v>3178908</v>
      </c>
      <c r="X1805">
        <v>221191</v>
      </c>
      <c r="Y1805">
        <f t="shared" si="28"/>
        <v>3178908</v>
      </c>
      <c r="Z1805" t="str">
        <f>IF(ISNUMBER(SEARCH("Adjustment",$C1805)),"excluded",IF($H1805="Behind the Meter","excluded",IF(NOT(OR($E1805="Bundled",$E1805="Energy")),"excluded",IF(OR($H1805="Retail Power Marketer",$H1805="Community Choice Aggregator",$E1805="Energy"),"procurement",IF(OR($H1805="Municipal",$H1805="Cooperative",$H1805="Federal",$H1805="State",$H1805="Political Subdivision"),"cost_service",IF($H1805="Investor Owned",IF(AND(COUNTIF(Parameters!$A$4:$A$33,$G1805)&gt;0,COUNTIF(Parameters!$B$4:$B$33,$B1805)=0),"procurement","cost_service"),"unclassified"))))))</f>
        <v>procurement</v>
      </c>
    </row>
    <row r="1806" spans="1:26" x14ac:dyDescent="0.25">
      <c r="A1806">
        <v>2024</v>
      </c>
      <c r="B1806">
        <v>57453</v>
      </c>
      <c r="C1806" t="s">
        <v>1478</v>
      </c>
      <c r="D1806" t="s">
        <v>99</v>
      </c>
      <c r="E1806" t="s">
        <v>100</v>
      </c>
      <c r="F1806" t="s">
        <v>86</v>
      </c>
      <c r="G1806" t="s">
        <v>55</v>
      </c>
      <c r="H1806" t="s">
        <v>101</v>
      </c>
      <c r="I1806" t="s">
        <v>92</v>
      </c>
      <c r="J1806">
        <v>2566.1999999999998</v>
      </c>
      <c r="K1806">
        <v>19402</v>
      </c>
      <c r="L1806">
        <v>1857</v>
      </c>
      <c r="M1806">
        <v>0</v>
      </c>
      <c r="N1806">
        <v>0</v>
      </c>
      <c r="O1806">
        <v>0</v>
      </c>
      <c r="P1806">
        <v>0</v>
      </c>
      <c r="Q1806">
        <v>0</v>
      </c>
      <c r="R1806">
        <v>0</v>
      </c>
      <c r="S1806">
        <v>0</v>
      </c>
      <c r="T1806">
        <v>0</v>
      </c>
      <c r="U1806">
        <v>0</v>
      </c>
      <c r="V1806">
        <v>2566.1999999999998</v>
      </c>
      <c r="W1806">
        <v>19402</v>
      </c>
      <c r="X1806">
        <v>1857</v>
      </c>
      <c r="Y1806">
        <f t="shared" si="28"/>
        <v>19402</v>
      </c>
      <c r="Z1806" t="str">
        <f>IF(ISNUMBER(SEARCH("Adjustment",$C1806)),"excluded",IF($H1806="Behind the Meter","excluded",IF(NOT(OR($E1806="Bundled",$E1806="Energy")),"excluded",IF(OR($H1806="Retail Power Marketer",$H1806="Community Choice Aggregator",$E1806="Energy"),"procurement",IF(OR($H1806="Municipal",$H1806="Cooperative",$H1806="Federal",$H1806="State",$H1806="Political Subdivision"),"cost_service",IF($H1806="Investor Owned",IF(AND(COUNTIF(Parameters!$A$4:$A$33,$G1806)&gt;0,COUNTIF(Parameters!$B$4:$B$33,$B1806)=0),"procurement","cost_service"),"unclassified"))))))</f>
        <v>procurement</v>
      </c>
    </row>
    <row r="1807" spans="1:26" x14ac:dyDescent="0.25">
      <c r="A1807">
        <v>2024</v>
      </c>
      <c r="B1807">
        <v>57459</v>
      </c>
      <c r="C1807" t="s">
        <v>1479</v>
      </c>
      <c r="D1807" t="s">
        <v>150</v>
      </c>
      <c r="E1807" t="s">
        <v>85</v>
      </c>
      <c r="F1807" t="s">
        <v>86</v>
      </c>
      <c r="G1807" t="s">
        <v>57</v>
      </c>
      <c r="H1807" t="s">
        <v>101</v>
      </c>
      <c r="I1807" t="s">
        <v>151</v>
      </c>
      <c r="J1807">
        <v>332.9</v>
      </c>
      <c r="K1807">
        <v>2838</v>
      </c>
      <c r="L1807">
        <v>124</v>
      </c>
      <c r="M1807">
        <v>2780.4</v>
      </c>
      <c r="N1807">
        <v>33023</v>
      </c>
      <c r="O1807">
        <v>1148</v>
      </c>
      <c r="P1807">
        <v>0</v>
      </c>
      <c r="Q1807">
        <v>0</v>
      </c>
      <c r="R1807">
        <v>0</v>
      </c>
      <c r="S1807">
        <v>0</v>
      </c>
      <c r="T1807">
        <v>0</v>
      </c>
      <c r="U1807">
        <v>0</v>
      </c>
      <c r="V1807">
        <v>3113.3</v>
      </c>
      <c r="W1807">
        <v>35861</v>
      </c>
      <c r="X1807">
        <v>1272</v>
      </c>
      <c r="Y1807">
        <f t="shared" si="28"/>
        <v>35861</v>
      </c>
      <c r="Z1807" t="str">
        <f>IF(ISNUMBER(SEARCH("Adjustment",$C1807)),"excluded",IF($H1807="Behind the Meter","excluded",IF(NOT(OR($E1807="Bundled",$E1807="Energy")),"excluded",IF(OR($H1807="Retail Power Marketer",$H1807="Community Choice Aggregator",$E1807="Energy"),"procurement",IF(OR($H1807="Municipal",$H1807="Cooperative",$H1807="Federal",$H1807="State",$H1807="Political Subdivision"),"cost_service",IF($H1807="Investor Owned",IF(AND(COUNTIF(Parameters!$A$4:$A$33,$G1807)&gt;0,COUNTIF(Parameters!$B$4:$B$33,$B1807)=0),"procurement","cost_service"),"unclassified"))))))</f>
        <v>procurement</v>
      </c>
    </row>
    <row r="1808" spans="1:26" x14ac:dyDescent="0.25">
      <c r="A1808">
        <v>2024</v>
      </c>
      <c r="B1808">
        <v>57483</v>
      </c>
      <c r="C1808" t="s">
        <v>1480</v>
      </c>
      <c r="D1808" t="s">
        <v>84</v>
      </c>
      <c r="E1808" t="s">
        <v>85</v>
      </c>
      <c r="F1808" t="s">
        <v>86</v>
      </c>
      <c r="G1808" t="s">
        <v>115</v>
      </c>
      <c r="H1808" t="s">
        <v>109</v>
      </c>
      <c r="I1808" t="s">
        <v>116</v>
      </c>
      <c r="J1808">
        <v>76119.399999999994</v>
      </c>
      <c r="K1808">
        <v>293637</v>
      </c>
      <c r="L1808">
        <v>43902</v>
      </c>
      <c r="M1808">
        <v>72586.2</v>
      </c>
      <c r="N1808">
        <v>279823</v>
      </c>
      <c r="O1808">
        <v>6128</v>
      </c>
      <c r="P1808" t="s">
        <v>97</v>
      </c>
      <c r="Q1808" t="s">
        <v>97</v>
      </c>
      <c r="R1808" t="s">
        <v>97</v>
      </c>
      <c r="S1808" t="s">
        <v>97</v>
      </c>
      <c r="T1808" t="s">
        <v>97</v>
      </c>
      <c r="U1808" t="s">
        <v>97</v>
      </c>
      <c r="V1808">
        <v>148705.60000000001</v>
      </c>
      <c r="W1808">
        <v>573460</v>
      </c>
      <c r="X1808">
        <v>50030</v>
      </c>
      <c r="Y1808">
        <f t="shared" si="28"/>
        <v>573460</v>
      </c>
      <c r="Z1808" t="str">
        <f>IF(ISNUMBER(SEARCH("Adjustment",$C1808)),"excluded",IF($H1808="Behind the Meter","excluded",IF(NOT(OR($E1808="Bundled",$E1808="Energy")),"excluded",IF(OR($H1808="Retail Power Marketer",$H1808="Community Choice Aggregator",$E1808="Energy"),"procurement",IF(OR($H1808="Municipal",$H1808="Cooperative",$H1808="Federal",$H1808="State",$H1808="Political Subdivision"),"cost_service",IF($H1808="Investor Owned",IF(AND(COUNTIF(Parameters!$A$4:$A$33,$G1808)&gt;0,COUNTIF(Parameters!$B$4:$B$33,$B1808)=0),"procurement","cost_service"),"unclassified"))))))</f>
        <v>cost_service</v>
      </c>
    </row>
    <row r="1809" spans="1:26" x14ac:dyDescent="0.25">
      <c r="A1809">
        <v>2024</v>
      </c>
      <c r="B1809">
        <v>57486</v>
      </c>
      <c r="C1809" t="s">
        <v>1481</v>
      </c>
      <c r="D1809" t="s">
        <v>150</v>
      </c>
      <c r="E1809" t="s">
        <v>85</v>
      </c>
      <c r="F1809" t="s">
        <v>86</v>
      </c>
      <c r="G1809" t="s">
        <v>57</v>
      </c>
      <c r="H1809" t="s">
        <v>101</v>
      </c>
      <c r="I1809" t="s">
        <v>151</v>
      </c>
      <c r="J1809">
        <v>124423.6</v>
      </c>
      <c r="K1809">
        <v>757034</v>
      </c>
      <c r="L1809">
        <v>56866</v>
      </c>
      <c r="M1809">
        <v>10765.8</v>
      </c>
      <c r="N1809">
        <v>57310</v>
      </c>
      <c r="O1809">
        <v>2374</v>
      </c>
      <c r="P1809">
        <v>0</v>
      </c>
      <c r="Q1809">
        <v>0</v>
      </c>
      <c r="R1809">
        <v>0</v>
      </c>
      <c r="S1809">
        <v>0</v>
      </c>
      <c r="T1809">
        <v>0</v>
      </c>
      <c r="U1809">
        <v>0</v>
      </c>
      <c r="V1809">
        <v>135189.4</v>
      </c>
      <c r="W1809">
        <v>814344</v>
      </c>
      <c r="X1809">
        <v>59240</v>
      </c>
      <c r="Y1809">
        <f t="shared" si="28"/>
        <v>814344</v>
      </c>
      <c r="Z1809" t="str">
        <f>IF(ISNUMBER(SEARCH("Adjustment",$C1809)),"excluded",IF($H1809="Behind the Meter","excluded",IF(NOT(OR($E1809="Bundled",$E1809="Energy")),"excluded",IF(OR($H1809="Retail Power Marketer",$H1809="Community Choice Aggregator",$E1809="Energy"),"procurement",IF(OR($H1809="Municipal",$H1809="Cooperative",$H1809="Federal",$H1809="State",$H1809="Political Subdivision"),"cost_service",IF($H1809="Investor Owned",IF(AND(COUNTIF(Parameters!$A$4:$A$33,$G1809)&gt;0,COUNTIF(Parameters!$B$4:$B$33,$B1809)=0),"procurement","cost_service"),"unclassified"))))))</f>
        <v>procurement</v>
      </c>
    </row>
    <row r="1810" spans="1:26" x14ac:dyDescent="0.25">
      <c r="A1810">
        <v>2024</v>
      </c>
      <c r="B1810">
        <v>57487</v>
      </c>
      <c r="C1810" t="s">
        <v>1482</v>
      </c>
      <c r="D1810" t="s">
        <v>99</v>
      </c>
      <c r="E1810" t="s">
        <v>100</v>
      </c>
      <c r="F1810" t="s">
        <v>86</v>
      </c>
      <c r="G1810" t="s">
        <v>40</v>
      </c>
      <c r="H1810" t="s">
        <v>101</v>
      </c>
      <c r="I1810" t="s">
        <v>189</v>
      </c>
      <c r="J1810">
        <v>12941</v>
      </c>
      <c r="K1810">
        <v>97309</v>
      </c>
      <c r="L1810">
        <v>12460</v>
      </c>
      <c r="M1810">
        <v>11946</v>
      </c>
      <c r="N1810">
        <v>88776</v>
      </c>
      <c r="O1810">
        <v>2954</v>
      </c>
      <c r="P1810">
        <v>0</v>
      </c>
      <c r="Q1810">
        <v>0</v>
      </c>
      <c r="R1810">
        <v>0</v>
      </c>
      <c r="S1810">
        <v>0</v>
      </c>
      <c r="T1810">
        <v>0</v>
      </c>
      <c r="U1810">
        <v>0</v>
      </c>
      <c r="V1810">
        <v>24887</v>
      </c>
      <c r="W1810">
        <v>186085</v>
      </c>
      <c r="X1810">
        <v>15414</v>
      </c>
      <c r="Y1810">
        <f t="shared" si="28"/>
        <v>186085</v>
      </c>
      <c r="Z1810" t="str">
        <f>IF(ISNUMBER(SEARCH("Adjustment",$C1810)),"excluded",IF($H1810="Behind the Meter","excluded",IF(NOT(OR($E1810="Bundled",$E1810="Energy")),"excluded",IF(OR($H1810="Retail Power Marketer",$H1810="Community Choice Aggregator",$E1810="Energy"),"procurement",IF(OR($H1810="Municipal",$H1810="Cooperative",$H1810="Federal",$H1810="State",$H1810="Political Subdivision"),"cost_service",IF($H1810="Investor Owned",IF(AND(COUNTIF(Parameters!$A$4:$A$33,$G1810)&gt;0,COUNTIF(Parameters!$B$4:$B$33,$B1810)=0),"procurement","cost_service"),"unclassified"))))))</f>
        <v>procurement</v>
      </c>
    </row>
    <row r="1811" spans="1:26" x14ac:dyDescent="0.25">
      <c r="A1811">
        <v>2024</v>
      </c>
      <c r="B1811">
        <v>57488</v>
      </c>
      <c r="C1811" t="s">
        <v>1483</v>
      </c>
      <c r="D1811" t="s">
        <v>99</v>
      </c>
      <c r="E1811" t="s">
        <v>100</v>
      </c>
      <c r="F1811" t="s">
        <v>86</v>
      </c>
      <c r="G1811" t="s">
        <v>46</v>
      </c>
      <c r="H1811" t="s">
        <v>101</v>
      </c>
      <c r="I1811" t="s">
        <v>92</v>
      </c>
      <c r="J1811">
        <v>9284</v>
      </c>
      <c r="K1811">
        <v>83803</v>
      </c>
      <c r="L1811">
        <v>11083</v>
      </c>
      <c r="M1811">
        <v>3979</v>
      </c>
      <c r="N1811">
        <v>39587</v>
      </c>
      <c r="O1811">
        <v>1760</v>
      </c>
      <c r="P1811">
        <v>0</v>
      </c>
      <c r="Q1811">
        <v>0</v>
      </c>
      <c r="R1811">
        <v>0</v>
      </c>
      <c r="S1811">
        <v>0</v>
      </c>
      <c r="T1811">
        <v>0</v>
      </c>
      <c r="U1811">
        <v>0</v>
      </c>
      <c r="V1811">
        <v>13263</v>
      </c>
      <c r="W1811">
        <v>123390</v>
      </c>
      <c r="X1811">
        <v>12843</v>
      </c>
      <c r="Y1811">
        <f t="shared" si="28"/>
        <v>123390</v>
      </c>
      <c r="Z1811" t="str">
        <f>IF(ISNUMBER(SEARCH("Adjustment",$C1811)),"excluded",IF($H1811="Behind the Meter","excluded",IF(NOT(OR($E1811="Bundled",$E1811="Energy")),"excluded",IF(OR($H1811="Retail Power Marketer",$H1811="Community Choice Aggregator",$E1811="Energy"),"procurement",IF(OR($H1811="Municipal",$H1811="Cooperative",$H1811="Federal",$H1811="State",$H1811="Political Subdivision"),"cost_service",IF($H1811="Investor Owned",IF(AND(COUNTIF(Parameters!$A$4:$A$33,$G1811)&gt;0,COUNTIF(Parameters!$B$4:$B$33,$B1811)=0),"procurement","cost_service"),"unclassified"))))))</f>
        <v>procurement</v>
      </c>
    </row>
    <row r="1812" spans="1:26" x14ac:dyDescent="0.25">
      <c r="A1812">
        <v>2024</v>
      </c>
      <c r="B1812">
        <v>57489</v>
      </c>
      <c r="C1812" t="s">
        <v>1484</v>
      </c>
      <c r="D1812" t="s">
        <v>99</v>
      </c>
      <c r="E1812" t="s">
        <v>100</v>
      </c>
      <c r="F1812" t="s">
        <v>86</v>
      </c>
      <c r="G1812" t="s">
        <v>48</v>
      </c>
      <c r="H1812" t="s">
        <v>101</v>
      </c>
      <c r="I1812" t="s">
        <v>189</v>
      </c>
      <c r="J1812">
        <v>5216</v>
      </c>
      <c r="K1812">
        <v>31087</v>
      </c>
      <c r="L1812">
        <v>4805</v>
      </c>
      <c r="M1812">
        <v>1781</v>
      </c>
      <c r="N1812">
        <v>11089</v>
      </c>
      <c r="O1812">
        <v>801</v>
      </c>
      <c r="P1812">
        <v>0</v>
      </c>
      <c r="Q1812">
        <v>0</v>
      </c>
      <c r="R1812">
        <v>0</v>
      </c>
      <c r="S1812">
        <v>0</v>
      </c>
      <c r="T1812">
        <v>0</v>
      </c>
      <c r="U1812">
        <v>0</v>
      </c>
      <c r="V1812">
        <v>6997</v>
      </c>
      <c r="W1812">
        <v>42176</v>
      </c>
      <c r="X1812">
        <v>5606</v>
      </c>
      <c r="Y1812">
        <f t="shared" si="28"/>
        <v>42176</v>
      </c>
      <c r="Z1812" t="str">
        <f>IF(ISNUMBER(SEARCH("Adjustment",$C1812)),"excluded",IF($H1812="Behind the Meter","excluded",IF(NOT(OR($E1812="Bundled",$E1812="Energy")),"excluded",IF(OR($H1812="Retail Power Marketer",$H1812="Community Choice Aggregator",$E1812="Energy"),"procurement",IF(OR($H1812="Municipal",$H1812="Cooperative",$H1812="Federal",$H1812="State",$H1812="Political Subdivision"),"cost_service",IF($H1812="Investor Owned",IF(AND(COUNTIF(Parameters!$A$4:$A$33,$G1812)&gt;0,COUNTIF(Parameters!$B$4:$B$33,$B1812)=0),"procurement","cost_service"),"unclassified"))))))</f>
        <v>procurement</v>
      </c>
    </row>
    <row r="1813" spans="1:26" x14ac:dyDescent="0.25">
      <c r="A1813">
        <v>2024</v>
      </c>
      <c r="B1813">
        <v>57490</v>
      </c>
      <c r="C1813" t="s">
        <v>1485</v>
      </c>
      <c r="D1813" t="s">
        <v>99</v>
      </c>
      <c r="E1813" t="s">
        <v>100</v>
      </c>
      <c r="F1813" t="s">
        <v>86</v>
      </c>
      <c r="G1813" t="s">
        <v>49</v>
      </c>
      <c r="H1813" t="s">
        <v>101</v>
      </c>
      <c r="I1813" t="s">
        <v>92</v>
      </c>
      <c r="J1813">
        <v>10914</v>
      </c>
      <c r="K1813">
        <v>73804</v>
      </c>
      <c r="L1813">
        <v>7165</v>
      </c>
      <c r="M1813">
        <v>5788</v>
      </c>
      <c r="N1813">
        <v>42059</v>
      </c>
      <c r="O1813">
        <v>1002</v>
      </c>
      <c r="P1813">
        <v>0</v>
      </c>
      <c r="Q1813">
        <v>0</v>
      </c>
      <c r="R1813">
        <v>0</v>
      </c>
      <c r="S1813">
        <v>0</v>
      </c>
      <c r="T1813">
        <v>0</v>
      </c>
      <c r="U1813">
        <v>0</v>
      </c>
      <c r="V1813">
        <v>16702</v>
      </c>
      <c r="W1813">
        <v>115863</v>
      </c>
      <c r="X1813">
        <v>8167</v>
      </c>
      <c r="Y1813">
        <f t="shared" si="28"/>
        <v>115863</v>
      </c>
      <c r="Z1813" t="str">
        <f>IF(ISNUMBER(SEARCH("Adjustment",$C1813)),"excluded",IF($H1813="Behind the Meter","excluded",IF(NOT(OR($E1813="Bundled",$E1813="Energy")),"excluded",IF(OR($H1813="Retail Power Marketer",$H1813="Community Choice Aggregator",$E1813="Energy"),"procurement",IF(OR($H1813="Municipal",$H1813="Cooperative",$H1813="Federal",$H1813="State",$H1813="Political Subdivision"),"cost_service",IF($H1813="Investor Owned",IF(AND(COUNTIF(Parameters!$A$4:$A$33,$G1813)&gt;0,COUNTIF(Parameters!$B$4:$B$33,$B1813)=0),"procurement","cost_service"),"unclassified"))))))</f>
        <v>procurement</v>
      </c>
    </row>
    <row r="1814" spans="1:26" x14ac:dyDescent="0.25">
      <c r="A1814">
        <v>2024</v>
      </c>
      <c r="B1814">
        <v>57491</v>
      </c>
      <c r="C1814" t="s">
        <v>1486</v>
      </c>
      <c r="D1814" t="s">
        <v>99</v>
      </c>
      <c r="E1814" t="s">
        <v>100</v>
      </c>
      <c r="F1814" t="s">
        <v>86</v>
      </c>
      <c r="G1814" t="s">
        <v>52</v>
      </c>
      <c r="H1814" t="s">
        <v>101</v>
      </c>
      <c r="I1814" t="s">
        <v>92</v>
      </c>
      <c r="J1814">
        <v>3261</v>
      </c>
      <c r="K1814">
        <v>19367</v>
      </c>
      <c r="L1814">
        <v>2300</v>
      </c>
      <c r="M1814">
        <v>2488</v>
      </c>
      <c r="N1814">
        <v>13811</v>
      </c>
      <c r="O1814">
        <v>813</v>
      </c>
      <c r="P1814" t="s">
        <v>97</v>
      </c>
      <c r="Q1814" t="s">
        <v>97</v>
      </c>
      <c r="R1814" t="s">
        <v>97</v>
      </c>
      <c r="S1814" t="s">
        <v>97</v>
      </c>
      <c r="T1814" t="s">
        <v>97</v>
      </c>
      <c r="U1814" t="s">
        <v>97</v>
      </c>
      <c r="V1814">
        <v>5749</v>
      </c>
      <c r="W1814">
        <v>33178</v>
      </c>
      <c r="X1814">
        <v>3113</v>
      </c>
      <c r="Y1814">
        <f t="shared" si="28"/>
        <v>33178</v>
      </c>
      <c r="Z1814" t="str">
        <f>IF(ISNUMBER(SEARCH("Adjustment",$C1814)),"excluded",IF($H1814="Behind the Meter","excluded",IF(NOT(OR($E1814="Bundled",$E1814="Energy")),"excluded",IF(OR($H1814="Retail Power Marketer",$H1814="Community Choice Aggregator",$E1814="Energy"),"procurement",IF(OR($H1814="Municipal",$H1814="Cooperative",$H1814="Federal",$H1814="State",$H1814="Political Subdivision"),"cost_service",IF($H1814="Investor Owned",IF(AND(COUNTIF(Parameters!$A$4:$A$33,$G1814)&gt;0,COUNTIF(Parameters!$B$4:$B$33,$B1814)=0),"procurement","cost_service"),"unclassified"))))))</f>
        <v>procurement</v>
      </c>
    </row>
    <row r="1815" spans="1:26" x14ac:dyDescent="0.25">
      <c r="A1815">
        <v>2024</v>
      </c>
      <c r="B1815">
        <v>58085</v>
      </c>
      <c r="C1815" t="s">
        <v>1487</v>
      </c>
      <c r="D1815" t="s">
        <v>99</v>
      </c>
      <c r="E1815" t="s">
        <v>100</v>
      </c>
      <c r="F1815" t="s">
        <v>86</v>
      </c>
      <c r="G1815" t="s">
        <v>50</v>
      </c>
      <c r="H1815" t="s">
        <v>101</v>
      </c>
      <c r="I1815" t="s">
        <v>189</v>
      </c>
      <c r="J1815">
        <v>15240</v>
      </c>
      <c r="K1815">
        <v>90850</v>
      </c>
      <c r="L1815">
        <v>17749</v>
      </c>
      <c r="M1815">
        <v>1861</v>
      </c>
      <c r="N1815">
        <v>12491</v>
      </c>
      <c r="O1815">
        <v>879</v>
      </c>
      <c r="P1815">
        <v>0</v>
      </c>
      <c r="Q1815">
        <v>0</v>
      </c>
      <c r="R1815">
        <v>0</v>
      </c>
      <c r="S1815">
        <v>0</v>
      </c>
      <c r="T1815">
        <v>0</v>
      </c>
      <c r="U1815">
        <v>0</v>
      </c>
      <c r="V1815">
        <v>17101</v>
      </c>
      <c r="W1815">
        <v>103341</v>
      </c>
      <c r="X1815">
        <v>18628</v>
      </c>
      <c r="Y1815">
        <f t="shared" si="28"/>
        <v>103341</v>
      </c>
      <c r="Z1815" t="str">
        <f>IF(ISNUMBER(SEARCH("Adjustment",$C1815)),"excluded",IF($H1815="Behind the Meter","excluded",IF(NOT(OR($E1815="Bundled",$E1815="Energy")),"excluded",IF(OR($H1815="Retail Power Marketer",$H1815="Community Choice Aggregator",$E1815="Energy"),"procurement",IF(OR($H1815="Municipal",$H1815="Cooperative",$H1815="Federal",$H1815="State",$H1815="Political Subdivision"),"cost_service",IF($H1815="Investor Owned",IF(AND(COUNTIF(Parameters!$A$4:$A$33,$G1815)&gt;0,COUNTIF(Parameters!$B$4:$B$33,$B1815)=0),"procurement","cost_service"),"unclassified"))))))</f>
        <v>procurement</v>
      </c>
    </row>
    <row r="1816" spans="1:26" x14ac:dyDescent="0.25">
      <c r="A1816">
        <v>2024</v>
      </c>
      <c r="B1816">
        <v>58086</v>
      </c>
      <c r="C1816" t="s">
        <v>1488</v>
      </c>
      <c r="D1816" t="s">
        <v>99</v>
      </c>
      <c r="E1816" t="s">
        <v>100</v>
      </c>
      <c r="F1816" t="s">
        <v>86</v>
      </c>
      <c r="G1816" t="s">
        <v>51</v>
      </c>
      <c r="H1816" t="s">
        <v>101</v>
      </c>
      <c r="I1816" t="s">
        <v>189</v>
      </c>
      <c r="J1816">
        <v>19237</v>
      </c>
      <c r="K1816">
        <v>122975</v>
      </c>
      <c r="L1816">
        <v>15091</v>
      </c>
      <c r="M1816">
        <v>2277</v>
      </c>
      <c r="N1816">
        <v>14624</v>
      </c>
      <c r="O1816">
        <v>983</v>
      </c>
      <c r="P1816" t="s">
        <v>97</v>
      </c>
      <c r="Q1816" t="s">
        <v>97</v>
      </c>
      <c r="R1816" t="s">
        <v>97</v>
      </c>
      <c r="S1816" t="s">
        <v>97</v>
      </c>
      <c r="T1816" t="s">
        <v>97</v>
      </c>
      <c r="U1816" t="s">
        <v>97</v>
      </c>
      <c r="V1816">
        <v>21514</v>
      </c>
      <c r="W1816">
        <v>137599</v>
      </c>
      <c r="X1816">
        <v>16074</v>
      </c>
      <c r="Y1816">
        <f t="shared" si="28"/>
        <v>137599</v>
      </c>
      <c r="Z1816" t="str">
        <f>IF(ISNUMBER(SEARCH("Adjustment",$C1816)),"excluded",IF($H1816="Behind the Meter","excluded",IF(NOT(OR($E1816="Bundled",$E1816="Energy")),"excluded",IF(OR($H1816="Retail Power Marketer",$H1816="Community Choice Aggregator",$E1816="Energy"),"procurement",IF(OR($H1816="Municipal",$H1816="Cooperative",$H1816="Federal",$H1816="State",$H1816="Political Subdivision"),"cost_service",IF($H1816="Investor Owned",IF(AND(COUNTIF(Parameters!$A$4:$A$33,$G1816)&gt;0,COUNTIF(Parameters!$B$4:$B$33,$B1816)=0),"procurement","cost_service"),"unclassified"))))))</f>
        <v>procurement</v>
      </c>
    </row>
    <row r="1817" spans="1:26" x14ac:dyDescent="0.25">
      <c r="A1817">
        <v>2024</v>
      </c>
      <c r="B1817">
        <v>58113</v>
      </c>
      <c r="C1817" t="s">
        <v>1489</v>
      </c>
      <c r="D1817" t="s">
        <v>84</v>
      </c>
      <c r="E1817" t="s">
        <v>85</v>
      </c>
      <c r="F1817" t="s">
        <v>86</v>
      </c>
      <c r="G1817" t="s">
        <v>57</v>
      </c>
      <c r="H1817" t="s">
        <v>75</v>
      </c>
      <c r="I1817" t="s">
        <v>151</v>
      </c>
      <c r="J1817">
        <v>1179</v>
      </c>
      <c r="K1817">
        <v>13560</v>
      </c>
      <c r="L1817">
        <v>2</v>
      </c>
      <c r="M1817">
        <v>3071</v>
      </c>
      <c r="N1817">
        <v>35481</v>
      </c>
      <c r="O1817">
        <v>28</v>
      </c>
      <c r="P1817">
        <v>564</v>
      </c>
      <c r="Q1817">
        <v>6496</v>
      </c>
      <c r="R1817">
        <v>13</v>
      </c>
      <c r="S1817" t="s">
        <v>97</v>
      </c>
      <c r="T1817" t="s">
        <v>97</v>
      </c>
      <c r="U1817" t="s">
        <v>97</v>
      </c>
      <c r="V1817">
        <v>4814</v>
      </c>
      <c r="W1817">
        <v>55537</v>
      </c>
      <c r="X1817">
        <v>43</v>
      </c>
      <c r="Y1817">
        <f t="shared" si="28"/>
        <v>55537</v>
      </c>
      <c r="Z1817" t="str">
        <f>IF(ISNUMBER(SEARCH("Adjustment",$C1817)),"excluded",IF($H1817="Behind the Meter","excluded",IF(NOT(OR($E1817="Bundled",$E1817="Energy")),"excluded",IF(OR($H1817="Retail Power Marketer",$H1817="Community Choice Aggregator",$E1817="Energy"),"procurement",IF(OR($H1817="Municipal",$H1817="Cooperative",$H1817="Federal",$H1817="State",$H1817="Political Subdivision"),"cost_service",IF($H1817="Investor Owned",IF(AND(COUNTIF(Parameters!$A$4:$A$33,$G1817)&gt;0,COUNTIF(Parameters!$B$4:$B$33,$B1817)=0),"procurement","cost_service"),"unclassified"))))))</f>
        <v>cost_service</v>
      </c>
    </row>
    <row r="1818" spans="1:26" x14ac:dyDescent="0.25">
      <c r="A1818">
        <v>2024</v>
      </c>
      <c r="B1818">
        <v>58116</v>
      </c>
      <c r="C1818" t="s">
        <v>1490</v>
      </c>
      <c r="D1818" t="s">
        <v>99</v>
      </c>
      <c r="E1818" t="s">
        <v>100</v>
      </c>
      <c r="F1818" t="s">
        <v>86</v>
      </c>
      <c r="G1818" t="s">
        <v>49</v>
      </c>
      <c r="H1818" t="s">
        <v>101</v>
      </c>
      <c r="I1818" t="s">
        <v>92</v>
      </c>
      <c r="J1818">
        <v>1705.2</v>
      </c>
      <c r="K1818">
        <v>15357</v>
      </c>
      <c r="L1818">
        <v>2697</v>
      </c>
      <c r="M1818">
        <v>4431.1000000000004</v>
      </c>
      <c r="N1818">
        <v>31645</v>
      </c>
      <c r="O1818">
        <v>477</v>
      </c>
      <c r="P1818">
        <v>0</v>
      </c>
      <c r="Q1818">
        <v>0</v>
      </c>
      <c r="R1818">
        <v>0</v>
      </c>
      <c r="S1818">
        <v>0</v>
      </c>
      <c r="T1818">
        <v>0</v>
      </c>
      <c r="U1818">
        <v>0</v>
      </c>
      <c r="V1818">
        <v>6136.3</v>
      </c>
      <c r="W1818">
        <v>47002</v>
      </c>
      <c r="X1818">
        <v>3174</v>
      </c>
      <c r="Y1818">
        <f t="shared" si="28"/>
        <v>47002</v>
      </c>
      <c r="Z1818" t="str">
        <f>IF(ISNUMBER(SEARCH("Adjustment",$C1818)),"excluded",IF($H1818="Behind the Meter","excluded",IF(NOT(OR($E1818="Bundled",$E1818="Energy")),"excluded",IF(OR($H1818="Retail Power Marketer",$H1818="Community Choice Aggregator",$E1818="Energy"),"procurement",IF(OR($H1818="Municipal",$H1818="Cooperative",$H1818="Federal",$H1818="State",$H1818="Political Subdivision"),"cost_service",IF($H1818="Investor Owned",IF(AND(COUNTIF(Parameters!$A$4:$A$33,$G1818)&gt;0,COUNTIF(Parameters!$B$4:$B$33,$B1818)=0),"procurement","cost_service"),"unclassified"))))))</f>
        <v>procurement</v>
      </c>
    </row>
    <row r="1819" spans="1:26" x14ac:dyDescent="0.25">
      <c r="A1819">
        <v>2024</v>
      </c>
      <c r="B1819">
        <v>58118</v>
      </c>
      <c r="C1819" t="s">
        <v>1491</v>
      </c>
      <c r="D1819" t="s">
        <v>99</v>
      </c>
      <c r="E1819" t="s">
        <v>100</v>
      </c>
      <c r="F1819" t="s">
        <v>86</v>
      </c>
      <c r="G1819" t="s">
        <v>55</v>
      </c>
      <c r="H1819" t="s">
        <v>101</v>
      </c>
      <c r="I1819" t="s">
        <v>92</v>
      </c>
      <c r="J1819">
        <v>5879.5</v>
      </c>
      <c r="K1819">
        <v>60904</v>
      </c>
      <c r="L1819">
        <v>6862</v>
      </c>
      <c r="M1819">
        <v>7187.5</v>
      </c>
      <c r="N1819">
        <v>63746</v>
      </c>
      <c r="O1819">
        <v>1164</v>
      </c>
      <c r="P1819">
        <v>0</v>
      </c>
      <c r="Q1819">
        <v>0</v>
      </c>
      <c r="R1819">
        <v>0</v>
      </c>
      <c r="S1819">
        <v>0</v>
      </c>
      <c r="T1819">
        <v>0</v>
      </c>
      <c r="U1819">
        <v>0</v>
      </c>
      <c r="V1819">
        <v>13067</v>
      </c>
      <c r="W1819">
        <v>124650</v>
      </c>
      <c r="X1819">
        <v>8026</v>
      </c>
      <c r="Y1819">
        <f t="shared" si="28"/>
        <v>124650</v>
      </c>
      <c r="Z1819" t="str">
        <f>IF(ISNUMBER(SEARCH("Adjustment",$C1819)),"excluded",IF($H1819="Behind the Meter","excluded",IF(NOT(OR($E1819="Bundled",$E1819="Energy")),"excluded",IF(OR($H1819="Retail Power Marketer",$H1819="Community Choice Aggregator",$E1819="Energy"),"procurement",IF(OR($H1819="Municipal",$H1819="Cooperative",$H1819="Federal",$H1819="State",$H1819="Political Subdivision"),"cost_service",IF($H1819="Investor Owned",IF(AND(COUNTIF(Parameters!$A$4:$A$33,$G1819)&gt;0,COUNTIF(Parameters!$B$4:$B$33,$B1819)=0),"procurement","cost_service"),"unclassified"))))))</f>
        <v>procurement</v>
      </c>
    </row>
    <row r="1820" spans="1:26" x14ac:dyDescent="0.25">
      <c r="A1820">
        <v>2024</v>
      </c>
      <c r="B1820">
        <v>58119</v>
      </c>
      <c r="C1820" t="s">
        <v>1492</v>
      </c>
      <c r="D1820" t="s">
        <v>99</v>
      </c>
      <c r="E1820" t="s">
        <v>100</v>
      </c>
      <c r="F1820" t="s">
        <v>86</v>
      </c>
      <c r="G1820" t="s">
        <v>46</v>
      </c>
      <c r="H1820" t="s">
        <v>101</v>
      </c>
      <c r="I1820" t="s">
        <v>92</v>
      </c>
      <c r="J1820">
        <v>1456.3</v>
      </c>
      <c r="K1820">
        <v>14017</v>
      </c>
      <c r="L1820">
        <v>2165</v>
      </c>
      <c r="M1820">
        <v>3789</v>
      </c>
      <c r="N1820">
        <v>39595</v>
      </c>
      <c r="O1820">
        <v>696</v>
      </c>
      <c r="P1820">
        <v>0</v>
      </c>
      <c r="Q1820">
        <v>0</v>
      </c>
      <c r="R1820">
        <v>0</v>
      </c>
      <c r="S1820">
        <v>0</v>
      </c>
      <c r="T1820">
        <v>0</v>
      </c>
      <c r="U1820">
        <v>0</v>
      </c>
      <c r="V1820">
        <v>5245.3</v>
      </c>
      <c r="W1820">
        <v>53612</v>
      </c>
      <c r="X1820">
        <v>2861</v>
      </c>
      <c r="Y1820">
        <f t="shared" si="28"/>
        <v>53612</v>
      </c>
      <c r="Z1820" t="str">
        <f>IF(ISNUMBER(SEARCH("Adjustment",$C1820)),"excluded",IF($H1820="Behind the Meter","excluded",IF(NOT(OR($E1820="Bundled",$E1820="Energy")),"excluded",IF(OR($H1820="Retail Power Marketer",$H1820="Community Choice Aggregator",$E1820="Energy"),"procurement",IF(OR($H1820="Municipal",$H1820="Cooperative",$H1820="Federal",$H1820="State",$H1820="Political Subdivision"),"cost_service",IF($H1820="Investor Owned",IF(AND(COUNTIF(Parameters!$A$4:$A$33,$G1820)&gt;0,COUNTIF(Parameters!$B$4:$B$33,$B1820)=0),"procurement","cost_service"),"unclassified"))))))</f>
        <v>procurement</v>
      </c>
    </row>
    <row r="1821" spans="1:26" x14ac:dyDescent="0.25">
      <c r="A1821">
        <v>2024</v>
      </c>
      <c r="B1821">
        <v>58119</v>
      </c>
      <c r="C1821" t="s">
        <v>1492</v>
      </c>
      <c r="D1821" t="s">
        <v>99</v>
      </c>
      <c r="E1821" t="s">
        <v>100</v>
      </c>
      <c r="F1821" t="s">
        <v>86</v>
      </c>
      <c r="G1821" t="s">
        <v>48</v>
      </c>
      <c r="H1821" t="s">
        <v>101</v>
      </c>
      <c r="I1821" t="s">
        <v>189</v>
      </c>
      <c r="J1821">
        <v>2311.1</v>
      </c>
      <c r="K1821">
        <v>15992</v>
      </c>
      <c r="L1821">
        <v>1985</v>
      </c>
      <c r="M1821">
        <v>3624.3</v>
      </c>
      <c r="N1821">
        <v>24672</v>
      </c>
      <c r="O1821">
        <v>577</v>
      </c>
      <c r="P1821">
        <v>0</v>
      </c>
      <c r="Q1821">
        <v>0</v>
      </c>
      <c r="R1821">
        <v>0</v>
      </c>
      <c r="S1821">
        <v>0</v>
      </c>
      <c r="T1821">
        <v>0</v>
      </c>
      <c r="U1821">
        <v>0</v>
      </c>
      <c r="V1821">
        <v>5935.4</v>
      </c>
      <c r="W1821">
        <v>40664</v>
      </c>
      <c r="X1821">
        <v>2562</v>
      </c>
      <c r="Y1821">
        <f t="shared" si="28"/>
        <v>40664</v>
      </c>
      <c r="Z1821" t="str">
        <f>IF(ISNUMBER(SEARCH("Adjustment",$C1821)),"excluded",IF($H1821="Behind the Meter","excluded",IF(NOT(OR($E1821="Bundled",$E1821="Energy")),"excluded",IF(OR($H1821="Retail Power Marketer",$H1821="Community Choice Aggregator",$E1821="Energy"),"procurement",IF(OR($H1821="Municipal",$H1821="Cooperative",$H1821="Federal",$H1821="State",$H1821="Political Subdivision"),"cost_service",IF($H1821="Investor Owned",IF(AND(COUNTIF(Parameters!$A$4:$A$33,$G1821)&gt;0,COUNTIF(Parameters!$B$4:$B$33,$B1821)=0),"procurement","cost_service"),"unclassified"))))))</f>
        <v>procurement</v>
      </c>
    </row>
    <row r="1822" spans="1:26" x14ac:dyDescent="0.25">
      <c r="A1822">
        <v>2024</v>
      </c>
      <c r="B1822">
        <v>58119</v>
      </c>
      <c r="C1822" t="s">
        <v>1492</v>
      </c>
      <c r="D1822" t="s">
        <v>99</v>
      </c>
      <c r="E1822" t="s">
        <v>100</v>
      </c>
      <c r="F1822" t="s">
        <v>86</v>
      </c>
      <c r="G1822" t="s">
        <v>53</v>
      </c>
      <c r="H1822" t="s">
        <v>101</v>
      </c>
      <c r="I1822" t="s">
        <v>102</v>
      </c>
      <c r="J1822">
        <v>645.79999999999995</v>
      </c>
      <c r="K1822">
        <v>5578</v>
      </c>
      <c r="L1822">
        <v>1277</v>
      </c>
      <c r="M1822">
        <v>1492.8</v>
      </c>
      <c r="N1822">
        <v>13557</v>
      </c>
      <c r="O1822">
        <v>233</v>
      </c>
      <c r="P1822">
        <v>0</v>
      </c>
      <c r="Q1822">
        <v>0</v>
      </c>
      <c r="R1822">
        <v>0</v>
      </c>
      <c r="S1822">
        <v>0</v>
      </c>
      <c r="T1822">
        <v>0</v>
      </c>
      <c r="U1822">
        <v>0</v>
      </c>
      <c r="V1822">
        <v>2138.6</v>
      </c>
      <c r="W1822">
        <v>19135</v>
      </c>
      <c r="X1822">
        <v>1510</v>
      </c>
      <c r="Y1822">
        <f t="shared" si="28"/>
        <v>19135</v>
      </c>
      <c r="Z1822" t="str">
        <f>IF(ISNUMBER(SEARCH("Adjustment",$C1822)),"excluded",IF($H1822="Behind the Meter","excluded",IF(NOT(OR($E1822="Bundled",$E1822="Energy")),"excluded",IF(OR($H1822="Retail Power Marketer",$H1822="Community Choice Aggregator",$E1822="Energy"),"procurement",IF(OR($H1822="Municipal",$H1822="Cooperative",$H1822="Federal",$H1822="State",$H1822="Political Subdivision"),"cost_service",IF($H1822="Investor Owned",IF(AND(COUNTIF(Parameters!$A$4:$A$33,$G1822)&gt;0,COUNTIF(Parameters!$B$4:$B$33,$B1822)=0),"procurement","cost_service"),"unclassified"))))))</f>
        <v>procurement</v>
      </c>
    </row>
    <row r="1823" spans="1:26" x14ac:dyDescent="0.25">
      <c r="A1823">
        <v>2024</v>
      </c>
      <c r="B1823">
        <v>58119</v>
      </c>
      <c r="C1823" t="s">
        <v>1492</v>
      </c>
      <c r="D1823" t="s">
        <v>99</v>
      </c>
      <c r="E1823" t="s">
        <v>100</v>
      </c>
      <c r="F1823" t="s">
        <v>86</v>
      </c>
      <c r="G1823" t="s">
        <v>54</v>
      </c>
      <c r="H1823" t="s">
        <v>101</v>
      </c>
      <c r="I1823" t="s">
        <v>92</v>
      </c>
      <c r="J1823">
        <v>18573.3</v>
      </c>
      <c r="K1823">
        <v>274497</v>
      </c>
      <c r="L1823">
        <v>23023</v>
      </c>
      <c r="M1823">
        <v>3341.4</v>
      </c>
      <c r="N1823">
        <v>43483</v>
      </c>
      <c r="O1823">
        <v>1025</v>
      </c>
      <c r="P1823">
        <v>0</v>
      </c>
      <c r="Q1823">
        <v>0</v>
      </c>
      <c r="R1823">
        <v>0</v>
      </c>
      <c r="S1823">
        <v>0</v>
      </c>
      <c r="T1823">
        <v>0</v>
      </c>
      <c r="U1823">
        <v>0</v>
      </c>
      <c r="V1823">
        <v>21914.7</v>
      </c>
      <c r="W1823">
        <v>317980</v>
      </c>
      <c r="X1823">
        <v>24048</v>
      </c>
      <c r="Y1823">
        <f t="shared" si="28"/>
        <v>317980</v>
      </c>
      <c r="Z1823" t="str">
        <f>IF(ISNUMBER(SEARCH("Adjustment",$C1823)),"excluded",IF($H1823="Behind the Meter","excluded",IF(NOT(OR($E1823="Bundled",$E1823="Energy")),"excluded",IF(OR($H1823="Retail Power Marketer",$H1823="Community Choice Aggregator",$E1823="Energy"),"procurement",IF(OR($H1823="Municipal",$H1823="Cooperative",$H1823="Federal",$H1823="State",$H1823="Political Subdivision"),"cost_service",IF($H1823="Investor Owned",IF(AND(COUNTIF(Parameters!$A$4:$A$33,$G1823)&gt;0,COUNTIF(Parameters!$B$4:$B$33,$B1823)=0),"procurement","cost_service"),"unclassified"))))))</f>
        <v>procurement</v>
      </c>
    </row>
    <row r="1824" spans="1:26" x14ac:dyDescent="0.25">
      <c r="A1824">
        <v>2024</v>
      </c>
      <c r="B1824">
        <v>58124</v>
      </c>
      <c r="C1824" t="s">
        <v>1493</v>
      </c>
      <c r="D1824" t="s">
        <v>84</v>
      </c>
      <c r="E1824" t="s">
        <v>85</v>
      </c>
      <c r="F1824" t="s">
        <v>86</v>
      </c>
      <c r="G1824" t="s">
        <v>195</v>
      </c>
      <c r="H1824" t="s">
        <v>88</v>
      </c>
      <c r="I1824" t="s">
        <v>196</v>
      </c>
      <c r="J1824">
        <v>26182</v>
      </c>
      <c r="K1824">
        <v>192053</v>
      </c>
      <c r="L1824">
        <v>12137</v>
      </c>
      <c r="M1824">
        <v>23549</v>
      </c>
      <c r="N1824">
        <v>246081</v>
      </c>
      <c r="O1824">
        <v>2606</v>
      </c>
      <c r="P1824" t="s">
        <v>97</v>
      </c>
      <c r="Q1824" t="s">
        <v>97</v>
      </c>
      <c r="R1824" t="s">
        <v>97</v>
      </c>
      <c r="S1824" t="s">
        <v>97</v>
      </c>
      <c r="T1824" t="s">
        <v>97</v>
      </c>
      <c r="U1824" t="s">
        <v>97</v>
      </c>
      <c r="V1824">
        <v>49731</v>
      </c>
      <c r="W1824">
        <v>438134</v>
      </c>
      <c r="X1824">
        <v>14743</v>
      </c>
      <c r="Y1824">
        <f t="shared" si="28"/>
        <v>438134</v>
      </c>
      <c r="Z1824" t="str">
        <f>IF(ISNUMBER(SEARCH("Adjustment",$C1824)),"excluded",IF($H1824="Behind the Meter","excluded",IF(NOT(OR($E1824="Bundled",$E1824="Energy")),"excluded",IF(OR($H1824="Retail Power Marketer",$H1824="Community Choice Aggregator",$E1824="Energy"),"procurement",IF(OR($H1824="Municipal",$H1824="Cooperative",$H1824="Federal",$H1824="State",$H1824="Political Subdivision"),"cost_service",IF($H1824="Investor Owned",IF(AND(COUNTIF(Parameters!$A$4:$A$33,$G1824)&gt;0,COUNTIF(Parameters!$B$4:$B$33,$B1824)=0),"procurement","cost_service"),"unclassified"))))))</f>
        <v>cost_service</v>
      </c>
    </row>
    <row r="1825" spans="1:26" x14ac:dyDescent="0.25">
      <c r="A1825">
        <v>2024</v>
      </c>
      <c r="B1825">
        <v>58158</v>
      </c>
      <c r="C1825" t="s">
        <v>1494</v>
      </c>
      <c r="D1825" t="s">
        <v>99</v>
      </c>
      <c r="E1825" t="s">
        <v>100</v>
      </c>
      <c r="F1825" t="s">
        <v>86</v>
      </c>
      <c r="G1825" t="s">
        <v>50</v>
      </c>
      <c r="H1825" t="s">
        <v>101</v>
      </c>
      <c r="I1825" t="s">
        <v>189</v>
      </c>
      <c r="J1825">
        <v>3245.8</v>
      </c>
      <c r="K1825">
        <v>15679</v>
      </c>
      <c r="L1825">
        <v>3424</v>
      </c>
      <c r="M1825">
        <v>1745</v>
      </c>
      <c r="N1825">
        <v>14632</v>
      </c>
      <c r="O1825">
        <v>569</v>
      </c>
      <c r="P1825">
        <v>0</v>
      </c>
      <c r="Q1825">
        <v>0</v>
      </c>
      <c r="R1825">
        <v>0</v>
      </c>
      <c r="S1825">
        <v>0</v>
      </c>
      <c r="T1825">
        <v>0</v>
      </c>
      <c r="U1825">
        <v>0</v>
      </c>
      <c r="V1825">
        <v>4990.8</v>
      </c>
      <c r="W1825">
        <v>30311</v>
      </c>
      <c r="X1825">
        <v>3993</v>
      </c>
      <c r="Y1825">
        <f t="shared" si="28"/>
        <v>30311</v>
      </c>
      <c r="Z1825" t="str">
        <f>IF(ISNUMBER(SEARCH("Adjustment",$C1825)),"excluded",IF($H1825="Behind the Meter","excluded",IF(NOT(OR($E1825="Bundled",$E1825="Energy")),"excluded",IF(OR($H1825="Retail Power Marketer",$H1825="Community Choice Aggregator",$E1825="Energy"),"procurement",IF(OR($H1825="Municipal",$H1825="Cooperative",$H1825="Federal",$H1825="State",$H1825="Political Subdivision"),"cost_service",IF($H1825="Investor Owned",IF(AND(COUNTIF(Parameters!$A$4:$A$33,$G1825)&gt;0,COUNTIF(Parameters!$B$4:$B$33,$B1825)=0),"procurement","cost_service"),"unclassified"))))))</f>
        <v>procurement</v>
      </c>
    </row>
    <row r="1826" spans="1:26" x14ac:dyDescent="0.25">
      <c r="A1826">
        <v>2024</v>
      </c>
      <c r="B1826">
        <v>58158</v>
      </c>
      <c r="C1826" t="s">
        <v>1494</v>
      </c>
      <c r="D1826" t="s">
        <v>99</v>
      </c>
      <c r="E1826" t="s">
        <v>100</v>
      </c>
      <c r="F1826" t="s">
        <v>86</v>
      </c>
      <c r="G1826" t="s">
        <v>51</v>
      </c>
      <c r="H1826" t="s">
        <v>101</v>
      </c>
      <c r="I1826" t="s">
        <v>189</v>
      </c>
      <c r="J1826">
        <v>2539.4</v>
      </c>
      <c r="K1826">
        <v>13642</v>
      </c>
      <c r="L1826">
        <v>2213</v>
      </c>
      <c r="M1826">
        <v>1296</v>
      </c>
      <c r="N1826">
        <v>9639</v>
      </c>
      <c r="O1826">
        <v>435</v>
      </c>
      <c r="P1826">
        <v>0</v>
      </c>
      <c r="Q1826">
        <v>0</v>
      </c>
      <c r="R1826">
        <v>0</v>
      </c>
      <c r="S1826">
        <v>0</v>
      </c>
      <c r="T1826">
        <v>0</v>
      </c>
      <c r="U1826">
        <v>0</v>
      </c>
      <c r="V1826">
        <v>3835.4</v>
      </c>
      <c r="W1826">
        <v>23281</v>
      </c>
      <c r="X1826">
        <v>2648</v>
      </c>
      <c r="Y1826">
        <f t="shared" si="28"/>
        <v>23281</v>
      </c>
      <c r="Z1826" t="str">
        <f>IF(ISNUMBER(SEARCH("Adjustment",$C1826)),"excluded",IF($H1826="Behind the Meter","excluded",IF(NOT(OR($E1826="Bundled",$E1826="Energy")),"excluded",IF(OR($H1826="Retail Power Marketer",$H1826="Community Choice Aggregator",$E1826="Energy"),"procurement",IF(OR($H1826="Municipal",$H1826="Cooperative",$H1826="Federal",$H1826="State",$H1826="Political Subdivision"),"cost_service",IF($H1826="Investor Owned",IF(AND(COUNTIF(Parameters!$A$4:$A$33,$G1826)&gt;0,COUNTIF(Parameters!$B$4:$B$33,$B1826)=0),"procurement","cost_service"),"unclassified"))))))</f>
        <v>procurement</v>
      </c>
    </row>
    <row r="1827" spans="1:26" x14ac:dyDescent="0.25">
      <c r="A1827">
        <v>2024</v>
      </c>
      <c r="B1827">
        <v>58160</v>
      </c>
      <c r="C1827" t="s">
        <v>1495</v>
      </c>
      <c r="D1827" t="s">
        <v>99</v>
      </c>
      <c r="E1827" t="s">
        <v>100</v>
      </c>
      <c r="F1827" t="s">
        <v>86</v>
      </c>
      <c r="G1827" t="s">
        <v>53</v>
      </c>
      <c r="H1827" t="s">
        <v>101</v>
      </c>
      <c r="I1827" t="s">
        <v>102</v>
      </c>
      <c r="J1827">
        <v>2417.6</v>
      </c>
      <c r="K1827">
        <v>14818</v>
      </c>
      <c r="L1827">
        <v>2082</v>
      </c>
      <c r="M1827">
        <v>771.2</v>
      </c>
      <c r="N1827">
        <v>5178</v>
      </c>
      <c r="O1827">
        <v>295</v>
      </c>
      <c r="P1827">
        <v>0</v>
      </c>
      <c r="Q1827">
        <v>0</v>
      </c>
      <c r="R1827">
        <v>0</v>
      </c>
      <c r="S1827">
        <v>0</v>
      </c>
      <c r="T1827">
        <v>0</v>
      </c>
      <c r="U1827">
        <v>0</v>
      </c>
      <c r="V1827">
        <v>3188.8</v>
      </c>
      <c r="W1827">
        <v>19996</v>
      </c>
      <c r="X1827">
        <v>2377</v>
      </c>
      <c r="Y1827">
        <f t="shared" si="28"/>
        <v>19996</v>
      </c>
      <c r="Z1827" t="str">
        <f>IF(ISNUMBER(SEARCH("Adjustment",$C1827)),"excluded",IF($H1827="Behind the Meter","excluded",IF(NOT(OR($E1827="Bundled",$E1827="Energy")),"excluded",IF(OR($H1827="Retail Power Marketer",$H1827="Community Choice Aggregator",$E1827="Energy"),"procurement",IF(OR($H1827="Municipal",$H1827="Cooperative",$H1827="Federal",$H1827="State",$H1827="Political Subdivision"),"cost_service",IF($H1827="Investor Owned",IF(AND(COUNTIF(Parameters!$A$4:$A$33,$G1827)&gt;0,COUNTIF(Parameters!$B$4:$B$33,$B1827)=0),"procurement","cost_service"),"unclassified"))))))</f>
        <v>procurement</v>
      </c>
    </row>
    <row r="1828" spans="1:26" x14ac:dyDescent="0.25">
      <c r="A1828">
        <v>2024</v>
      </c>
      <c r="B1828">
        <v>58161</v>
      </c>
      <c r="C1828" t="s">
        <v>1496</v>
      </c>
      <c r="D1828" t="s">
        <v>99</v>
      </c>
      <c r="E1828" t="s">
        <v>100</v>
      </c>
      <c r="F1828" t="s">
        <v>86</v>
      </c>
      <c r="G1828" t="s">
        <v>48</v>
      </c>
      <c r="H1828" t="s">
        <v>101</v>
      </c>
      <c r="I1828" t="s">
        <v>189</v>
      </c>
      <c r="J1828">
        <v>10577.5</v>
      </c>
      <c r="K1828">
        <v>49179</v>
      </c>
      <c r="L1828">
        <v>7589</v>
      </c>
      <c r="M1828">
        <v>3255.8</v>
      </c>
      <c r="N1828">
        <v>15400</v>
      </c>
      <c r="O1828">
        <v>1057</v>
      </c>
      <c r="P1828">
        <v>0</v>
      </c>
      <c r="Q1828">
        <v>0</v>
      </c>
      <c r="R1828">
        <v>0</v>
      </c>
      <c r="S1828">
        <v>0</v>
      </c>
      <c r="T1828">
        <v>0</v>
      </c>
      <c r="U1828">
        <v>0</v>
      </c>
      <c r="V1828">
        <v>13833.3</v>
      </c>
      <c r="W1828">
        <v>64579</v>
      </c>
      <c r="X1828">
        <v>8646</v>
      </c>
      <c r="Y1828">
        <f t="shared" si="28"/>
        <v>64579</v>
      </c>
      <c r="Z1828" t="str">
        <f>IF(ISNUMBER(SEARCH("Adjustment",$C1828)),"excluded",IF($H1828="Behind the Meter","excluded",IF(NOT(OR($E1828="Bundled",$E1828="Energy")),"excluded",IF(OR($H1828="Retail Power Marketer",$H1828="Community Choice Aggregator",$E1828="Energy"),"procurement",IF(OR($H1828="Municipal",$H1828="Cooperative",$H1828="Federal",$H1828="State",$H1828="Political Subdivision"),"cost_service",IF($H1828="Investor Owned",IF(AND(COUNTIF(Parameters!$A$4:$A$33,$G1828)&gt;0,COUNTIF(Parameters!$B$4:$B$33,$B1828)=0),"procurement","cost_service"),"unclassified"))))))</f>
        <v>procurement</v>
      </c>
    </row>
    <row r="1829" spans="1:26" x14ac:dyDescent="0.25">
      <c r="A1829">
        <v>2024</v>
      </c>
      <c r="B1829">
        <v>58162</v>
      </c>
      <c r="C1829" t="s">
        <v>1497</v>
      </c>
      <c r="D1829" t="s">
        <v>99</v>
      </c>
      <c r="E1829" t="s">
        <v>100</v>
      </c>
      <c r="F1829" t="s">
        <v>86</v>
      </c>
      <c r="G1829" t="s">
        <v>46</v>
      </c>
      <c r="H1829" t="s">
        <v>101</v>
      </c>
      <c r="I1829" t="s">
        <v>92</v>
      </c>
      <c r="J1829">
        <v>3196.8</v>
      </c>
      <c r="K1829">
        <v>24036</v>
      </c>
      <c r="L1829">
        <v>3120</v>
      </c>
      <c r="M1829">
        <v>1265.3</v>
      </c>
      <c r="N1829">
        <v>8048</v>
      </c>
      <c r="O1829">
        <v>400</v>
      </c>
      <c r="P1829">
        <v>0</v>
      </c>
      <c r="Q1829">
        <v>0</v>
      </c>
      <c r="R1829">
        <v>0</v>
      </c>
      <c r="S1829">
        <v>0</v>
      </c>
      <c r="T1829">
        <v>0</v>
      </c>
      <c r="U1829">
        <v>0</v>
      </c>
      <c r="V1829">
        <v>4462.1000000000004</v>
      </c>
      <c r="W1829">
        <v>32084</v>
      </c>
      <c r="X1829">
        <v>3520</v>
      </c>
      <c r="Y1829">
        <f t="shared" si="28"/>
        <v>32084</v>
      </c>
      <c r="Z1829" t="str">
        <f>IF(ISNUMBER(SEARCH("Adjustment",$C1829)),"excluded",IF($H1829="Behind the Meter","excluded",IF(NOT(OR($E1829="Bundled",$E1829="Energy")),"excluded",IF(OR($H1829="Retail Power Marketer",$H1829="Community Choice Aggregator",$E1829="Energy"),"procurement",IF(OR($H1829="Municipal",$H1829="Cooperative",$H1829="Federal",$H1829="State",$H1829="Political Subdivision"),"cost_service",IF($H1829="Investor Owned",IF(AND(COUNTIF(Parameters!$A$4:$A$33,$G1829)&gt;0,COUNTIF(Parameters!$B$4:$B$33,$B1829)=0),"procurement","cost_service"),"unclassified"))))))</f>
        <v>procurement</v>
      </c>
    </row>
    <row r="1830" spans="1:26" x14ac:dyDescent="0.25">
      <c r="A1830">
        <v>2024</v>
      </c>
      <c r="B1830">
        <v>58162</v>
      </c>
      <c r="C1830" t="s">
        <v>1497</v>
      </c>
      <c r="D1830" t="s">
        <v>99</v>
      </c>
      <c r="E1830" t="s">
        <v>100</v>
      </c>
      <c r="F1830" t="s">
        <v>86</v>
      </c>
      <c r="G1830" t="s">
        <v>49</v>
      </c>
      <c r="H1830" t="s">
        <v>101</v>
      </c>
      <c r="I1830" t="s">
        <v>92</v>
      </c>
      <c r="J1830">
        <v>2820.6</v>
      </c>
      <c r="K1830">
        <v>17086</v>
      </c>
      <c r="L1830">
        <v>1654</v>
      </c>
      <c r="M1830">
        <v>750.7</v>
      </c>
      <c r="N1830">
        <v>4598</v>
      </c>
      <c r="O1830">
        <v>280</v>
      </c>
      <c r="P1830">
        <v>0</v>
      </c>
      <c r="Q1830">
        <v>0</v>
      </c>
      <c r="R1830">
        <v>0</v>
      </c>
      <c r="S1830">
        <v>0</v>
      </c>
      <c r="T1830">
        <v>0</v>
      </c>
      <c r="U1830">
        <v>0</v>
      </c>
      <c r="V1830">
        <v>3571.3</v>
      </c>
      <c r="W1830">
        <v>21684</v>
      </c>
      <c r="X1830">
        <v>1934</v>
      </c>
      <c r="Y1830">
        <f t="shared" si="28"/>
        <v>21684</v>
      </c>
      <c r="Z1830" t="str">
        <f>IF(ISNUMBER(SEARCH("Adjustment",$C1830)),"excluded",IF($H1830="Behind the Meter","excluded",IF(NOT(OR($E1830="Bundled",$E1830="Energy")),"excluded",IF(OR($H1830="Retail Power Marketer",$H1830="Community Choice Aggregator",$E1830="Energy"),"procurement",IF(OR($H1830="Municipal",$H1830="Cooperative",$H1830="Federal",$H1830="State",$H1830="Political Subdivision"),"cost_service",IF($H1830="Investor Owned",IF(AND(COUNTIF(Parameters!$A$4:$A$33,$G1830)&gt;0,COUNTIF(Parameters!$B$4:$B$33,$B1830)=0),"procurement","cost_service"),"unclassified"))))))</f>
        <v>procurement</v>
      </c>
    </row>
    <row r="1831" spans="1:26" x14ac:dyDescent="0.25">
      <c r="A1831">
        <v>2024</v>
      </c>
      <c r="B1831">
        <v>58162</v>
      </c>
      <c r="C1831" t="s">
        <v>1497</v>
      </c>
      <c r="D1831" t="s">
        <v>99</v>
      </c>
      <c r="E1831" t="s">
        <v>100</v>
      </c>
      <c r="F1831" t="s">
        <v>86</v>
      </c>
      <c r="G1831" t="s">
        <v>52</v>
      </c>
      <c r="H1831" t="s">
        <v>101</v>
      </c>
      <c r="I1831" t="s">
        <v>92</v>
      </c>
      <c r="J1831">
        <v>10559.1</v>
      </c>
      <c r="K1831">
        <v>61283</v>
      </c>
      <c r="L1831">
        <v>6908</v>
      </c>
      <c r="M1831">
        <v>926.8</v>
      </c>
      <c r="N1831">
        <v>5717</v>
      </c>
      <c r="O1831">
        <v>408</v>
      </c>
      <c r="P1831">
        <v>0</v>
      </c>
      <c r="Q1831">
        <v>0</v>
      </c>
      <c r="R1831">
        <v>0</v>
      </c>
      <c r="S1831">
        <v>0</v>
      </c>
      <c r="T1831">
        <v>0</v>
      </c>
      <c r="U1831">
        <v>0</v>
      </c>
      <c r="V1831">
        <v>11485.9</v>
      </c>
      <c r="W1831">
        <v>67000</v>
      </c>
      <c r="X1831">
        <v>7316</v>
      </c>
      <c r="Y1831">
        <f t="shared" si="28"/>
        <v>67000</v>
      </c>
      <c r="Z1831" t="str">
        <f>IF(ISNUMBER(SEARCH("Adjustment",$C1831)),"excluded",IF($H1831="Behind the Meter","excluded",IF(NOT(OR($E1831="Bundled",$E1831="Energy")),"excluded",IF(OR($H1831="Retail Power Marketer",$H1831="Community Choice Aggregator",$E1831="Energy"),"procurement",IF(OR($H1831="Municipal",$H1831="Cooperative",$H1831="Federal",$H1831="State",$H1831="Political Subdivision"),"cost_service",IF($H1831="Investor Owned",IF(AND(COUNTIF(Parameters!$A$4:$A$33,$G1831)&gt;0,COUNTIF(Parameters!$B$4:$B$33,$B1831)=0),"procurement","cost_service"),"unclassified"))))))</f>
        <v>procurement</v>
      </c>
    </row>
    <row r="1832" spans="1:26" x14ac:dyDescent="0.25">
      <c r="A1832">
        <v>2024</v>
      </c>
      <c r="B1832">
        <v>58162</v>
      </c>
      <c r="C1832" t="s">
        <v>1497</v>
      </c>
      <c r="D1832" t="s">
        <v>99</v>
      </c>
      <c r="E1832" t="s">
        <v>100</v>
      </c>
      <c r="F1832" t="s">
        <v>86</v>
      </c>
      <c r="G1832" t="s">
        <v>54</v>
      </c>
      <c r="H1832" t="s">
        <v>101</v>
      </c>
      <c r="I1832" t="s">
        <v>92</v>
      </c>
      <c r="J1832">
        <v>36</v>
      </c>
      <c r="K1832">
        <v>272</v>
      </c>
      <c r="L1832">
        <v>29</v>
      </c>
      <c r="M1832">
        <v>15.6</v>
      </c>
      <c r="N1832">
        <v>118</v>
      </c>
      <c r="O1832">
        <v>7</v>
      </c>
      <c r="P1832">
        <v>0</v>
      </c>
      <c r="Q1832">
        <v>0</v>
      </c>
      <c r="R1832">
        <v>0</v>
      </c>
      <c r="S1832">
        <v>0</v>
      </c>
      <c r="T1832">
        <v>0</v>
      </c>
      <c r="U1832">
        <v>0</v>
      </c>
      <c r="V1832">
        <v>51.6</v>
      </c>
      <c r="W1832">
        <v>390</v>
      </c>
      <c r="X1832">
        <v>36</v>
      </c>
      <c r="Y1832">
        <f t="shared" si="28"/>
        <v>390</v>
      </c>
      <c r="Z1832" t="str">
        <f>IF(ISNUMBER(SEARCH("Adjustment",$C1832)),"excluded",IF($H1832="Behind the Meter","excluded",IF(NOT(OR($E1832="Bundled",$E1832="Energy")),"excluded",IF(OR($H1832="Retail Power Marketer",$H1832="Community Choice Aggregator",$E1832="Energy"),"procurement",IF(OR($H1832="Municipal",$H1832="Cooperative",$H1832="Federal",$H1832="State",$H1832="Political Subdivision"),"cost_service",IF($H1832="Investor Owned",IF(AND(COUNTIF(Parameters!$A$4:$A$33,$G1832)&gt;0,COUNTIF(Parameters!$B$4:$B$33,$B1832)=0),"procurement","cost_service"),"unclassified"))))))</f>
        <v>procurement</v>
      </c>
    </row>
    <row r="1833" spans="1:26" x14ac:dyDescent="0.25">
      <c r="A1833">
        <v>2024</v>
      </c>
      <c r="B1833">
        <v>58162</v>
      </c>
      <c r="C1833" t="s">
        <v>1497</v>
      </c>
      <c r="D1833" t="s">
        <v>99</v>
      </c>
      <c r="E1833" t="s">
        <v>100</v>
      </c>
      <c r="F1833" t="s">
        <v>86</v>
      </c>
      <c r="G1833" t="s">
        <v>55</v>
      </c>
      <c r="H1833" t="s">
        <v>101</v>
      </c>
      <c r="I1833" t="s">
        <v>92</v>
      </c>
      <c r="J1833">
        <v>1284.7</v>
      </c>
      <c r="K1833">
        <v>8481</v>
      </c>
      <c r="L1833">
        <v>1373</v>
      </c>
      <c r="M1833">
        <v>802.8</v>
      </c>
      <c r="N1833">
        <v>5353</v>
      </c>
      <c r="O1833">
        <v>191</v>
      </c>
      <c r="P1833">
        <v>0</v>
      </c>
      <c r="Q1833">
        <v>0</v>
      </c>
      <c r="R1833">
        <v>0</v>
      </c>
      <c r="S1833">
        <v>0</v>
      </c>
      <c r="T1833">
        <v>0</v>
      </c>
      <c r="U1833">
        <v>0</v>
      </c>
      <c r="V1833">
        <v>2087.5</v>
      </c>
      <c r="W1833">
        <v>13834</v>
      </c>
      <c r="X1833">
        <v>1564</v>
      </c>
      <c r="Y1833">
        <f t="shared" si="28"/>
        <v>13834</v>
      </c>
      <c r="Z1833" t="str">
        <f>IF(ISNUMBER(SEARCH("Adjustment",$C1833)),"excluded",IF($H1833="Behind the Meter","excluded",IF(NOT(OR($E1833="Bundled",$E1833="Energy")),"excluded",IF(OR($H1833="Retail Power Marketer",$H1833="Community Choice Aggregator",$E1833="Energy"),"procurement",IF(OR($H1833="Municipal",$H1833="Cooperative",$H1833="Federal",$H1833="State",$H1833="Political Subdivision"),"cost_service",IF($H1833="Investor Owned",IF(AND(COUNTIF(Parameters!$A$4:$A$33,$G1833)&gt;0,COUNTIF(Parameters!$B$4:$B$33,$B1833)=0),"procurement","cost_service"),"unclassified"))))))</f>
        <v>procurement</v>
      </c>
    </row>
    <row r="1834" spans="1:26" x14ac:dyDescent="0.25">
      <c r="A1834">
        <v>2024</v>
      </c>
      <c r="B1834">
        <v>58181</v>
      </c>
      <c r="C1834" t="s">
        <v>1498</v>
      </c>
      <c r="D1834" t="s">
        <v>99</v>
      </c>
      <c r="E1834" t="s">
        <v>100</v>
      </c>
      <c r="F1834" t="s">
        <v>86</v>
      </c>
      <c r="G1834" t="s">
        <v>53</v>
      </c>
      <c r="H1834" t="s">
        <v>101</v>
      </c>
      <c r="I1834" t="s">
        <v>102</v>
      </c>
      <c r="J1834">
        <v>1631</v>
      </c>
      <c r="K1834">
        <v>17339</v>
      </c>
      <c r="L1834">
        <v>2314</v>
      </c>
      <c r="M1834">
        <v>205</v>
      </c>
      <c r="N1834">
        <v>1904</v>
      </c>
      <c r="O1834">
        <v>111</v>
      </c>
      <c r="P1834">
        <v>0</v>
      </c>
      <c r="Q1834">
        <v>0</v>
      </c>
      <c r="R1834">
        <v>0</v>
      </c>
      <c r="S1834">
        <v>0</v>
      </c>
      <c r="T1834">
        <v>0</v>
      </c>
      <c r="U1834">
        <v>0</v>
      </c>
      <c r="V1834">
        <v>1836</v>
      </c>
      <c r="W1834">
        <v>19243</v>
      </c>
      <c r="X1834">
        <v>2425</v>
      </c>
      <c r="Y1834">
        <f t="shared" si="28"/>
        <v>19243</v>
      </c>
      <c r="Z1834" t="str">
        <f>IF(ISNUMBER(SEARCH("Adjustment",$C1834)),"excluded",IF($H1834="Behind the Meter","excluded",IF(NOT(OR($E1834="Bundled",$E1834="Energy")),"excluded",IF(OR($H1834="Retail Power Marketer",$H1834="Community Choice Aggregator",$E1834="Energy"),"procurement",IF(OR($H1834="Municipal",$H1834="Cooperative",$H1834="Federal",$H1834="State",$H1834="Political Subdivision"),"cost_service",IF($H1834="Investor Owned",IF(AND(COUNTIF(Parameters!$A$4:$A$33,$G1834)&gt;0,COUNTIF(Parameters!$B$4:$B$33,$B1834)=0),"procurement","cost_service"),"unclassified"))))))</f>
        <v>procurement</v>
      </c>
    </row>
    <row r="1835" spans="1:26" x14ac:dyDescent="0.25">
      <c r="A1835">
        <v>2024</v>
      </c>
      <c r="B1835">
        <v>58196</v>
      </c>
      <c r="C1835" t="s">
        <v>1499</v>
      </c>
      <c r="D1835" t="s">
        <v>99</v>
      </c>
      <c r="E1835" t="s">
        <v>100</v>
      </c>
      <c r="F1835" t="s">
        <v>86</v>
      </c>
      <c r="G1835" t="s">
        <v>50</v>
      </c>
      <c r="H1835" t="s">
        <v>101</v>
      </c>
      <c r="I1835" t="s">
        <v>189</v>
      </c>
      <c r="J1835">
        <v>4587.7</v>
      </c>
      <c r="K1835">
        <v>36289</v>
      </c>
      <c r="L1835">
        <v>4843</v>
      </c>
      <c r="M1835">
        <v>4510.2</v>
      </c>
      <c r="N1835">
        <v>35096</v>
      </c>
      <c r="O1835">
        <v>871</v>
      </c>
      <c r="P1835">
        <v>0</v>
      </c>
      <c r="Q1835">
        <v>0</v>
      </c>
      <c r="R1835">
        <v>0</v>
      </c>
      <c r="S1835">
        <v>0</v>
      </c>
      <c r="T1835">
        <v>0</v>
      </c>
      <c r="U1835">
        <v>0</v>
      </c>
      <c r="V1835">
        <v>9097.9</v>
      </c>
      <c r="W1835">
        <v>71385</v>
      </c>
      <c r="X1835">
        <v>5714</v>
      </c>
      <c r="Y1835">
        <f t="shared" si="28"/>
        <v>71385</v>
      </c>
      <c r="Z1835" t="str">
        <f>IF(ISNUMBER(SEARCH("Adjustment",$C1835)),"excluded",IF($H1835="Behind the Meter","excluded",IF(NOT(OR($E1835="Bundled",$E1835="Energy")),"excluded",IF(OR($H1835="Retail Power Marketer",$H1835="Community Choice Aggregator",$E1835="Energy"),"procurement",IF(OR($H1835="Municipal",$H1835="Cooperative",$H1835="Federal",$H1835="State",$H1835="Political Subdivision"),"cost_service",IF($H1835="Investor Owned",IF(AND(COUNTIF(Parameters!$A$4:$A$33,$G1835)&gt;0,COUNTIF(Parameters!$B$4:$B$33,$B1835)=0),"procurement","cost_service"),"unclassified"))))))</f>
        <v>procurement</v>
      </c>
    </row>
    <row r="1836" spans="1:26" x14ac:dyDescent="0.25">
      <c r="A1836">
        <v>2024</v>
      </c>
      <c r="B1836">
        <v>58248</v>
      </c>
      <c r="C1836" t="s">
        <v>1500</v>
      </c>
      <c r="D1836" t="s">
        <v>99</v>
      </c>
      <c r="E1836" t="s">
        <v>100</v>
      </c>
      <c r="F1836" t="s">
        <v>86</v>
      </c>
      <c r="G1836" t="s">
        <v>53</v>
      </c>
      <c r="H1836" t="s">
        <v>101</v>
      </c>
      <c r="I1836" t="s">
        <v>102</v>
      </c>
      <c r="J1836">
        <v>1321.5</v>
      </c>
      <c r="K1836">
        <v>26917</v>
      </c>
      <c r="L1836">
        <v>3212</v>
      </c>
      <c r="M1836">
        <v>18458.599999999999</v>
      </c>
      <c r="N1836">
        <v>336874</v>
      </c>
      <c r="O1836">
        <v>3429</v>
      </c>
      <c r="P1836">
        <v>24168.9</v>
      </c>
      <c r="Q1836">
        <v>533442</v>
      </c>
      <c r="R1836">
        <v>199</v>
      </c>
      <c r="S1836">
        <v>0</v>
      </c>
      <c r="T1836">
        <v>0</v>
      </c>
      <c r="U1836">
        <v>0</v>
      </c>
      <c r="V1836">
        <v>43949</v>
      </c>
      <c r="W1836">
        <v>897233</v>
      </c>
      <c r="X1836">
        <v>6840</v>
      </c>
      <c r="Y1836">
        <f t="shared" si="28"/>
        <v>897233</v>
      </c>
      <c r="Z1836" t="str">
        <f>IF(ISNUMBER(SEARCH("Adjustment",$C1836)),"excluded",IF($H1836="Behind the Meter","excluded",IF(NOT(OR($E1836="Bundled",$E1836="Energy")),"excluded",IF(OR($H1836="Retail Power Marketer",$H1836="Community Choice Aggregator",$E1836="Energy"),"procurement",IF(OR($H1836="Municipal",$H1836="Cooperative",$H1836="Federal",$H1836="State",$H1836="Political Subdivision"),"cost_service",IF($H1836="Investor Owned",IF(AND(COUNTIF(Parameters!$A$4:$A$33,$G1836)&gt;0,COUNTIF(Parameters!$B$4:$B$33,$B1836)=0),"procurement","cost_service"),"unclassified"))))))</f>
        <v>procurement</v>
      </c>
    </row>
    <row r="1837" spans="1:26" x14ac:dyDescent="0.25">
      <c r="A1837">
        <v>2024</v>
      </c>
      <c r="B1837">
        <v>58314</v>
      </c>
      <c r="C1837" t="s">
        <v>1501</v>
      </c>
      <c r="D1837" t="s">
        <v>99</v>
      </c>
      <c r="E1837" t="s">
        <v>100</v>
      </c>
      <c r="F1837" t="s">
        <v>86</v>
      </c>
      <c r="G1837" t="s">
        <v>46</v>
      </c>
      <c r="H1837" t="s">
        <v>101</v>
      </c>
      <c r="I1837" t="s">
        <v>92</v>
      </c>
      <c r="J1837">
        <v>18759.7</v>
      </c>
      <c r="K1837">
        <v>106292</v>
      </c>
      <c r="L1837">
        <v>20713</v>
      </c>
      <c r="M1837">
        <v>4822.7</v>
      </c>
      <c r="N1837">
        <v>41781</v>
      </c>
      <c r="O1837">
        <v>619</v>
      </c>
      <c r="P1837">
        <v>0</v>
      </c>
      <c r="Q1837">
        <v>0</v>
      </c>
      <c r="R1837">
        <v>0</v>
      </c>
      <c r="S1837">
        <v>0</v>
      </c>
      <c r="T1837">
        <v>0</v>
      </c>
      <c r="U1837">
        <v>0</v>
      </c>
      <c r="V1837">
        <v>23582.400000000001</v>
      </c>
      <c r="W1837">
        <v>148073</v>
      </c>
      <c r="X1837">
        <v>21332</v>
      </c>
      <c r="Y1837">
        <f t="shared" si="28"/>
        <v>148073</v>
      </c>
      <c r="Z1837" t="str">
        <f>IF(ISNUMBER(SEARCH("Adjustment",$C1837)),"excluded",IF($H1837="Behind the Meter","excluded",IF(NOT(OR($E1837="Bundled",$E1837="Energy")),"excluded",IF(OR($H1837="Retail Power Marketer",$H1837="Community Choice Aggregator",$E1837="Energy"),"procurement",IF(OR($H1837="Municipal",$H1837="Cooperative",$H1837="Federal",$H1837="State",$H1837="Political Subdivision"),"cost_service",IF($H1837="Investor Owned",IF(AND(COUNTIF(Parameters!$A$4:$A$33,$G1837)&gt;0,COUNTIF(Parameters!$B$4:$B$33,$B1837)=0),"procurement","cost_service"),"unclassified"))))))</f>
        <v>procurement</v>
      </c>
    </row>
    <row r="1838" spans="1:26" x14ac:dyDescent="0.25">
      <c r="A1838">
        <v>2024</v>
      </c>
      <c r="B1838">
        <v>58339</v>
      </c>
      <c r="C1838" t="s">
        <v>1502</v>
      </c>
      <c r="D1838" t="s">
        <v>99</v>
      </c>
      <c r="E1838" t="s">
        <v>100</v>
      </c>
      <c r="F1838" t="s">
        <v>86</v>
      </c>
      <c r="G1838" t="s">
        <v>55</v>
      </c>
      <c r="H1838" t="s">
        <v>101</v>
      </c>
      <c r="I1838" t="s">
        <v>92</v>
      </c>
      <c r="J1838">
        <v>15022</v>
      </c>
      <c r="K1838">
        <v>136044</v>
      </c>
      <c r="L1838">
        <v>12172</v>
      </c>
      <c r="M1838">
        <v>7115</v>
      </c>
      <c r="N1838">
        <v>64071</v>
      </c>
      <c r="O1838">
        <v>2621</v>
      </c>
      <c r="P1838">
        <v>0</v>
      </c>
      <c r="Q1838">
        <v>0</v>
      </c>
      <c r="R1838">
        <v>0</v>
      </c>
      <c r="S1838">
        <v>0</v>
      </c>
      <c r="T1838">
        <v>0</v>
      </c>
      <c r="U1838">
        <v>0</v>
      </c>
      <c r="V1838">
        <v>22137</v>
      </c>
      <c r="W1838">
        <v>200115</v>
      </c>
      <c r="X1838">
        <v>14793</v>
      </c>
      <c r="Y1838">
        <f t="shared" si="28"/>
        <v>200115</v>
      </c>
      <c r="Z1838" t="str">
        <f>IF(ISNUMBER(SEARCH("Adjustment",$C1838)),"excluded",IF($H1838="Behind the Meter","excluded",IF(NOT(OR($E1838="Bundled",$E1838="Energy")),"excluded",IF(OR($H1838="Retail Power Marketer",$H1838="Community Choice Aggregator",$E1838="Energy"),"procurement",IF(OR($H1838="Municipal",$H1838="Cooperative",$H1838="Federal",$H1838="State",$H1838="Political Subdivision"),"cost_service",IF($H1838="Investor Owned",IF(AND(COUNTIF(Parameters!$A$4:$A$33,$G1838)&gt;0,COUNTIF(Parameters!$B$4:$B$33,$B1838)=0),"procurement","cost_service"),"unclassified"))))))</f>
        <v>procurement</v>
      </c>
    </row>
    <row r="1839" spans="1:26" x14ac:dyDescent="0.25">
      <c r="A1839">
        <v>2024</v>
      </c>
      <c r="B1839">
        <v>58364</v>
      </c>
      <c r="C1839" t="s">
        <v>1503</v>
      </c>
      <c r="D1839" t="s">
        <v>99</v>
      </c>
      <c r="E1839" t="s">
        <v>100</v>
      </c>
      <c r="F1839" t="s">
        <v>86</v>
      </c>
      <c r="G1839" t="s">
        <v>50</v>
      </c>
      <c r="H1839" t="s">
        <v>101</v>
      </c>
      <c r="I1839" t="s">
        <v>188</v>
      </c>
      <c r="J1839" t="s">
        <v>97</v>
      </c>
      <c r="K1839" t="s">
        <v>97</v>
      </c>
      <c r="L1839" t="s">
        <v>97</v>
      </c>
      <c r="M1839">
        <v>2693.2</v>
      </c>
      <c r="N1839">
        <v>29727</v>
      </c>
      <c r="O1839">
        <v>5</v>
      </c>
      <c r="P1839">
        <v>19054.400000000001</v>
      </c>
      <c r="Q1839">
        <v>187944</v>
      </c>
      <c r="R1839">
        <v>5</v>
      </c>
      <c r="S1839" t="s">
        <v>97</v>
      </c>
      <c r="T1839" t="s">
        <v>97</v>
      </c>
      <c r="U1839" t="s">
        <v>97</v>
      </c>
      <c r="V1839">
        <v>21747.599999999999</v>
      </c>
      <c r="W1839">
        <v>217671</v>
      </c>
      <c r="X1839">
        <v>10</v>
      </c>
      <c r="Y1839">
        <f t="shared" si="28"/>
        <v>217671</v>
      </c>
      <c r="Z1839" t="str">
        <f>IF(ISNUMBER(SEARCH("Adjustment",$C1839)),"excluded",IF($H1839="Behind the Meter","excluded",IF(NOT(OR($E1839="Bundled",$E1839="Energy")),"excluded",IF(OR($H1839="Retail Power Marketer",$H1839="Community Choice Aggregator",$E1839="Energy"),"procurement",IF(OR($H1839="Municipal",$H1839="Cooperative",$H1839="Federal",$H1839="State",$H1839="Political Subdivision"),"cost_service",IF($H1839="Investor Owned",IF(AND(COUNTIF(Parameters!$A$4:$A$33,$G1839)&gt;0,COUNTIF(Parameters!$B$4:$B$33,$B1839)=0),"procurement","cost_service"),"unclassified"))))))</f>
        <v>procurement</v>
      </c>
    </row>
    <row r="1840" spans="1:26" x14ac:dyDescent="0.25">
      <c r="A1840">
        <v>2024</v>
      </c>
      <c r="B1840">
        <v>58367</v>
      </c>
      <c r="C1840" t="s">
        <v>1504</v>
      </c>
      <c r="D1840" t="s">
        <v>99</v>
      </c>
      <c r="E1840" t="s">
        <v>100</v>
      </c>
      <c r="F1840" t="s">
        <v>86</v>
      </c>
      <c r="G1840" t="s">
        <v>53</v>
      </c>
      <c r="H1840" t="s">
        <v>101</v>
      </c>
      <c r="I1840" t="s">
        <v>102</v>
      </c>
      <c r="J1840">
        <v>12356</v>
      </c>
      <c r="K1840">
        <v>74487</v>
      </c>
      <c r="L1840">
        <v>12190</v>
      </c>
      <c r="M1840">
        <v>17237</v>
      </c>
      <c r="N1840">
        <v>105515</v>
      </c>
      <c r="O1840">
        <v>5378</v>
      </c>
      <c r="P1840">
        <v>0</v>
      </c>
      <c r="Q1840">
        <v>0</v>
      </c>
      <c r="R1840">
        <v>0</v>
      </c>
      <c r="S1840">
        <v>0</v>
      </c>
      <c r="T1840">
        <v>0</v>
      </c>
      <c r="U1840">
        <v>0</v>
      </c>
      <c r="V1840">
        <v>29593</v>
      </c>
      <c r="W1840">
        <v>180002</v>
      </c>
      <c r="X1840">
        <v>17568</v>
      </c>
      <c r="Y1840">
        <f t="shared" si="28"/>
        <v>180002</v>
      </c>
      <c r="Z1840" t="str">
        <f>IF(ISNUMBER(SEARCH("Adjustment",$C1840)),"excluded",IF($H1840="Behind the Meter","excluded",IF(NOT(OR($E1840="Bundled",$E1840="Energy")),"excluded",IF(OR($H1840="Retail Power Marketer",$H1840="Community Choice Aggregator",$E1840="Energy"),"procurement",IF(OR($H1840="Municipal",$H1840="Cooperative",$H1840="Federal",$H1840="State",$H1840="Political Subdivision"),"cost_service",IF($H1840="Investor Owned",IF(AND(COUNTIF(Parameters!$A$4:$A$33,$G1840)&gt;0,COUNTIF(Parameters!$B$4:$B$33,$B1840)=0),"procurement","cost_service"),"unclassified"))))))</f>
        <v>procurement</v>
      </c>
    </row>
    <row r="1841" spans="1:26" x14ac:dyDescent="0.25">
      <c r="A1841">
        <v>2024</v>
      </c>
      <c r="B1841">
        <v>58458</v>
      </c>
      <c r="C1841" t="s">
        <v>1505</v>
      </c>
      <c r="D1841" t="s">
        <v>99</v>
      </c>
      <c r="E1841" t="s">
        <v>100</v>
      </c>
      <c r="F1841" t="s">
        <v>86</v>
      </c>
      <c r="G1841" t="s">
        <v>242</v>
      </c>
      <c r="H1841" t="s">
        <v>101</v>
      </c>
      <c r="I1841" t="s">
        <v>390</v>
      </c>
      <c r="J1841">
        <v>0</v>
      </c>
      <c r="K1841">
        <v>0</v>
      </c>
      <c r="L1841">
        <v>0</v>
      </c>
      <c r="M1841">
        <v>69911</v>
      </c>
      <c r="N1841">
        <v>982858</v>
      </c>
      <c r="O1841">
        <v>7</v>
      </c>
      <c r="P1841">
        <v>0</v>
      </c>
      <c r="Q1841">
        <v>0</v>
      </c>
      <c r="R1841">
        <v>0</v>
      </c>
      <c r="S1841">
        <v>0</v>
      </c>
      <c r="T1841">
        <v>0</v>
      </c>
      <c r="U1841">
        <v>0</v>
      </c>
      <c r="V1841">
        <v>69911</v>
      </c>
      <c r="W1841">
        <v>982858</v>
      </c>
      <c r="X1841">
        <v>7</v>
      </c>
      <c r="Y1841">
        <f t="shared" si="28"/>
        <v>982858</v>
      </c>
      <c r="Z1841" t="str">
        <f>IF(ISNUMBER(SEARCH("Adjustment",$C1841)),"excluded",IF($H1841="Behind the Meter","excluded",IF(NOT(OR($E1841="Bundled",$E1841="Energy")),"excluded",IF(OR($H1841="Retail Power Marketer",$H1841="Community Choice Aggregator",$E1841="Energy"),"procurement",IF(OR($H1841="Municipal",$H1841="Cooperative",$H1841="Federal",$H1841="State",$H1841="Political Subdivision"),"cost_service",IF($H1841="Investor Owned",IF(AND(COUNTIF(Parameters!$A$4:$A$33,$G1841)&gt;0,COUNTIF(Parameters!$B$4:$B$33,$B1841)=0),"procurement","cost_service"),"unclassified"))))))</f>
        <v>procurement</v>
      </c>
    </row>
    <row r="1842" spans="1:26" x14ac:dyDescent="0.25">
      <c r="A1842">
        <v>2024</v>
      </c>
      <c r="B1842">
        <v>58476</v>
      </c>
      <c r="C1842" t="s">
        <v>1506</v>
      </c>
      <c r="D1842" t="s">
        <v>99</v>
      </c>
      <c r="E1842" t="s">
        <v>100</v>
      </c>
      <c r="F1842" t="s">
        <v>86</v>
      </c>
      <c r="G1842" t="s">
        <v>42</v>
      </c>
      <c r="H1842" t="s">
        <v>101</v>
      </c>
      <c r="I1842" t="s">
        <v>92</v>
      </c>
      <c r="J1842">
        <v>263</v>
      </c>
      <c r="K1842">
        <v>1578</v>
      </c>
      <c r="L1842">
        <v>215</v>
      </c>
      <c r="M1842">
        <v>159</v>
      </c>
      <c r="N1842">
        <v>1080</v>
      </c>
      <c r="O1842">
        <v>25</v>
      </c>
      <c r="P1842">
        <v>0</v>
      </c>
      <c r="Q1842">
        <v>0</v>
      </c>
      <c r="R1842">
        <v>0</v>
      </c>
      <c r="S1842">
        <v>0</v>
      </c>
      <c r="T1842">
        <v>0</v>
      </c>
      <c r="U1842">
        <v>0</v>
      </c>
      <c r="V1842">
        <v>422</v>
      </c>
      <c r="W1842">
        <v>2658</v>
      </c>
      <c r="X1842">
        <v>240</v>
      </c>
      <c r="Y1842">
        <f t="shared" si="28"/>
        <v>2658</v>
      </c>
      <c r="Z1842" t="str">
        <f>IF(ISNUMBER(SEARCH("Adjustment",$C1842)),"excluded",IF($H1842="Behind the Meter","excluded",IF(NOT(OR($E1842="Bundled",$E1842="Energy")),"excluded",IF(OR($H1842="Retail Power Marketer",$H1842="Community Choice Aggregator",$E1842="Energy"),"procurement",IF(OR($H1842="Municipal",$H1842="Cooperative",$H1842="Federal",$H1842="State",$H1842="Political Subdivision"),"cost_service",IF($H1842="Investor Owned",IF(AND(COUNTIF(Parameters!$A$4:$A$33,$G1842)&gt;0,COUNTIF(Parameters!$B$4:$B$33,$B1842)=0),"procurement","cost_service"),"unclassified"))))))</f>
        <v>procurement</v>
      </c>
    </row>
    <row r="1843" spans="1:26" x14ac:dyDescent="0.25">
      <c r="A1843">
        <v>2024</v>
      </c>
      <c r="B1843">
        <v>58630</v>
      </c>
      <c r="C1843" t="s">
        <v>1507</v>
      </c>
      <c r="D1843" t="s">
        <v>99</v>
      </c>
      <c r="E1843" t="s">
        <v>100</v>
      </c>
      <c r="F1843" t="s">
        <v>86</v>
      </c>
      <c r="G1843" t="s">
        <v>50</v>
      </c>
      <c r="H1843" t="s">
        <v>101</v>
      </c>
      <c r="I1843" t="s">
        <v>189</v>
      </c>
      <c r="J1843">
        <v>6251</v>
      </c>
      <c r="K1843">
        <v>47016</v>
      </c>
      <c r="L1843">
        <v>5370</v>
      </c>
      <c r="M1843">
        <v>1883</v>
      </c>
      <c r="N1843">
        <v>15530</v>
      </c>
      <c r="O1843">
        <v>485</v>
      </c>
      <c r="P1843">
        <v>0</v>
      </c>
      <c r="Q1843">
        <v>0</v>
      </c>
      <c r="R1843">
        <v>0</v>
      </c>
      <c r="S1843">
        <v>0</v>
      </c>
      <c r="T1843">
        <v>0</v>
      </c>
      <c r="U1843">
        <v>0</v>
      </c>
      <c r="V1843">
        <v>8134</v>
      </c>
      <c r="W1843">
        <v>62546</v>
      </c>
      <c r="X1843">
        <v>5855</v>
      </c>
      <c r="Y1843">
        <f t="shared" si="28"/>
        <v>62546</v>
      </c>
      <c r="Z1843" t="str">
        <f>IF(ISNUMBER(SEARCH("Adjustment",$C1843)),"excluded",IF($H1843="Behind the Meter","excluded",IF(NOT(OR($E1843="Bundled",$E1843="Energy")),"excluded",IF(OR($H1843="Retail Power Marketer",$H1843="Community Choice Aggregator",$E1843="Energy"),"procurement",IF(OR($H1843="Municipal",$H1843="Cooperative",$H1843="Federal",$H1843="State",$H1843="Political Subdivision"),"cost_service",IF($H1843="Investor Owned",IF(AND(COUNTIF(Parameters!$A$4:$A$33,$G1843)&gt;0,COUNTIF(Parameters!$B$4:$B$33,$B1843)=0),"procurement","cost_service"),"unclassified"))))))</f>
        <v>procurement</v>
      </c>
    </row>
    <row r="1844" spans="1:26" x14ac:dyDescent="0.25">
      <c r="A1844">
        <v>2024</v>
      </c>
      <c r="B1844">
        <v>58631</v>
      </c>
      <c r="C1844" t="s">
        <v>1508</v>
      </c>
      <c r="D1844" t="s">
        <v>99</v>
      </c>
      <c r="E1844" t="s">
        <v>100</v>
      </c>
      <c r="F1844" t="s">
        <v>86</v>
      </c>
      <c r="G1844" t="s">
        <v>56</v>
      </c>
      <c r="H1844" t="s">
        <v>101</v>
      </c>
      <c r="I1844" t="s">
        <v>189</v>
      </c>
      <c r="J1844">
        <v>348</v>
      </c>
      <c r="K1844">
        <v>2226</v>
      </c>
      <c r="L1844">
        <v>271</v>
      </c>
      <c r="M1844">
        <v>87</v>
      </c>
      <c r="N1844">
        <v>546</v>
      </c>
      <c r="O1844">
        <v>33</v>
      </c>
      <c r="P1844">
        <v>0</v>
      </c>
      <c r="Q1844">
        <v>0</v>
      </c>
      <c r="R1844">
        <v>0</v>
      </c>
      <c r="S1844">
        <v>0</v>
      </c>
      <c r="T1844">
        <v>0</v>
      </c>
      <c r="U1844">
        <v>0</v>
      </c>
      <c r="V1844">
        <v>435</v>
      </c>
      <c r="W1844">
        <v>2772</v>
      </c>
      <c r="X1844">
        <v>304</v>
      </c>
      <c r="Y1844">
        <f t="shared" si="28"/>
        <v>2772</v>
      </c>
      <c r="Z1844" t="str">
        <f>IF(ISNUMBER(SEARCH("Adjustment",$C1844)),"excluded",IF($H1844="Behind the Meter","excluded",IF(NOT(OR($E1844="Bundled",$E1844="Energy")),"excluded",IF(OR($H1844="Retail Power Marketer",$H1844="Community Choice Aggregator",$E1844="Energy"),"procurement",IF(OR($H1844="Municipal",$H1844="Cooperative",$H1844="Federal",$H1844="State",$H1844="Political Subdivision"),"cost_service",IF($H1844="Investor Owned",IF(AND(COUNTIF(Parameters!$A$4:$A$33,$G1844)&gt;0,COUNTIF(Parameters!$B$4:$B$33,$B1844)=0),"procurement","cost_service"),"unclassified"))))))</f>
        <v>procurement</v>
      </c>
    </row>
    <row r="1845" spans="1:26" x14ac:dyDescent="0.25">
      <c r="A1845">
        <v>2024</v>
      </c>
      <c r="B1845">
        <v>58632</v>
      </c>
      <c r="C1845" t="s">
        <v>1509</v>
      </c>
      <c r="D1845" t="s">
        <v>99</v>
      </c>
      <c r="E1845" t="s">
        <v>100</v>
      </c>
      <c r="F1845" t="s">
        <v>86</v>
      </c>
      <c r="G1845" t="s">
        <v>44</v>
      </c>
      <c r="H1845" t="s">
        <v>101</v>
      </c>
      <c r="I1845" t="s">
        <v>92</v>
      </c>
      <c r="J1845">
        <v>534</v>
      </c>
      <c r="K1845">
        <v>3784</v>
      </c>
      <c r="L1845">
        <v>362</v>
      </c>
      <c r="M1845">
        <v>224</v>
      </c>
      <c r="N1845">
        <v>1578</v>
      </c>
      <c r="O1845">
        <v>167</v>
      </c>
      <c r="P1845">
        <v>0</v>
      </c>
      <c r="Q1845">
        <v>0</v>
      </c>
      <c r="R1845">
        <v>0</v>
      </c>
      <c r="S1845">
        <v>0</v>
      </c>
      <c r="T1845">
        <v>0</v>
      </c>
      <c r="U1845">
        <v>0</v>
      </c>
      <c r="V1845">
        <v>758</v>
      </c>
      <c r="W1845">
        <v>5362</v>
      </c>
      <c r="X1845">
        <v>529</v>
      </c>
      <c r="Y1845">
        <f t="shared" si="28"/>
        <v>5362</v>
      </c>
      <c r="Z1845" t="str">
        <f>IF(ISNUMBER(SEARCH("Adjustment",$C1845)),"excluded",IF($H1845="Behind the Meter","excluded",IF(NOT(OR($E1845="Bundled",$E1845="Energy")),"excluded",IF(OR($H1845="Retail Power Marketer",$H1845="Community Choice Aggregator",$E1845="Energy"),"procurement",IF(OR($H1845="Municipal",$H1845="Cooperative",$H1845="Federal",$H1845="State",$H1845="Political Subdivision"),"cost_service",IF($H1845="Investor Owned",IF(AND(COUNTIF(Parameters!$A$4:$A$33,$G1845)&gt;0,COUNTIF(Parameters!$B$4:$B$33,$B1845)=0),"procurement","cost_service"),"unclassified"))))))</f>
        <v>procurement</v>
      </c>
    </row>
    <row r="1846" spans="1:26" x14ac:dyDescent="0.25">
      <c r="A1846">
        <v>2024</v>
      </c>
      <c r="B1846">
        <v>58633</v>
      </c>
      <c r="C1846" t="s">
        <v>1510</v>
      </c>
      <c r="D1846" t="s">
        <v>99</v>
      </c>
      <c r="E1846" t="s">
        <v>100</v>
      </c>
      <c r="F1846" t="s">
        <v>86</v>
      </c>
      <c r="G1846" t="s">
        <v>51</v>
      </c>
      <c r="H1846" t="s">
        <v>101</v>
      </c>
      <c r="I1846" t="s">
        <v>189</v>
      </c>
      <c r="J1846">
        <v>1053</v>
      </c>
      <c r="K1846">
        <v>7456</v>
      </c>
      <c r="L1846">
        <v>1008</v>
      </c>
      <c r="M1846">
        <v>294</v>
      </c>
      <c r="N1846">
        <v>2147</v>
      </c>
      <c r="O1846">
        <v>204</v>
      </c>
      <c r="P1846" t="s">
        <v>97</v>
      </c>
      <c r="Q1846" t="s">
        <v>97</v>
      </c>
      <c r="R1846" t="s">
        <v>97</v>
      </c>
      <c r="S1846" t="s">
        <v>97</v>
      </c>
      <c r="T1846" t="s">
        <v>97</v>
      </c>
      <c r="U1846" t="s">
        <v>97</v>
      </c>
      <c r="V1846">
        <v>1347</v>
      </c>
      <c r="W1846">
        <v>9603</v>
      </c>
      <c r="X1846">
        <v>1212</v>
      </c>
      <c r="Y1846">
        <f t="shared" si="28"/>
        <v>9603</v>
      </c>
      <c r="Z1846" t="str">
        <f>IF(ISNUMBER(SEARCH("Adjustment",$C1846)),"excluded",IF($H1846="Behind the Meter","excluded",IF(NOT(OR($E1846="Bundled",$E1846="Energy")),"excluded",IF(OR($H1846="Retail Power Marketer",$H1846="Community Choice Aggregator",$E1846="Energy"),"procurement",IF(OR($H1846="Municipal",$H1846="Cooperative",$H1846="Federal",$H1846="State",$H1846="Political Subdivision"),"cost_service",IF($H1846="Investor Owned",IF(AND(COUNTIF(Parameters!$A$4:$A$33,$G1846)&gt;0,COUNTIF(Parameters!$B$4:$B$33,$B1846)=0),"procurement","cost_service"),"unclassified"))))))</f>
        <v>procurement</v>
      </c>
    </row>
    <row r="1847" spans="1:26" x14ac:dyDescent="0.25">
      <c r="A1847">
        <v>2024</v>
      </c>
      <c r="B1847">
        <v>58663</v>
      </c>
      <c r="C1847" t="s">
        <v>1511</v>
      </c>
      <c r="D1847" t="s">
        <v>99</v>
      </c>
      <c r="E1847" t="s">
        <v>100</v>
      </c>
      <c r="F1847" t="s">
        <v>86</v>
      </c>
      <c r="G1847" t="s">
        <v>52</v>
      </c>
      <c r="H1847" t="s">
        <v>101</v>
      </c>
      <c r="I1847" t="s">
        <v>92</v>
      </c>
      <c r="J1847">
        <v>2668</v>
      </c>
      <c r="K1847">
        <v>15586</v>
      </c>
      <c r="L1847">
        <v>3118</v>
      </c>
      <c r="M1847">
        <v>2870</v>
      </c>
      <c r="N1847">
        <v>21745</v>
      </c>
      <c r="O1847">
        <v>289</v>
      </c>
      <c r="P1847">
        <v>0</v>
      </c>
      <c r="Q1847">
        <v>0</v>
      </c>
      <c r="R1847">
        <v>0</v>
      </c>
      <c r="S1847">
        <v>0</v>
      </c>
      <c r="T1847">
        <v>0</v>
      </c>
      <c r="U1847">
        <v>0</v>
      </c>
      <c r="V1847">
        <v>5538</v>
      </c>
      <c r="W1847">
        <v>37331</v>
      </c>
      <c r="X1847">
        <v>3407</v>
      </c>
      <c r="Y1847">
        <f t="shared" si="28"/>
        <v>37331</v>
      </c>
      <c r="Z1847" t="str">
        <f>IF(ISNUMBER(SEARCH("Adjustment",$C1847)),"excluded",IF($H1847="Behind the Meter","excluded",IF(NOT(OR($E1847="Bundled",$E1847="Energy")),"excluded",IF(OR($H1847="Retail Power Marketer",$H1847="Community Choice Aggregator",$E1847="Energy"),"procurement",IF(OR($H1847="Municipal",$H1847="Cooperative",$H1847="Federal",$H1847="State",$H1847="Political Subdivision"),"cost_service",IF($H1847="Investor Owned",IF(AND(COUNTIF(Parameters!$A$4:$A$33,$G1847)&gt;0,COUNTIF(Parameters!$B$4:$B$33,$B1847)=0),"procurement","cost_service"),"unclassified"))))))</f>
        <v>procurement</v>
      </c>
    </row>
    <row r="1848" spans="1:26" x14ac:dyDescent="0.25">
      <c r="A1848">
        <v>2024</v>
      </c>
      <c r="B1848">
        <v>58663</v>
      </c>
      <c r="C1848" t="s">
        <v>1511</v>
      </c>
      <c r="D1848" t="s">
        <v>99</v>
      </c>
      <c r="E1848" t="s">
        <v>100</v>
      </c>
      <c r="F1848" t="s">
        <v>86</v>
      </c>
      <c r="G1848" t="s">
        <v>55</v>
      </c>
      <c r="H1848" t="s">
        <v>101</v>
      </c>
      <c r="I1848" t="s">
        <v>92</v>
      </c>
      <c r="J1848">
        <v>30799</v>
      </c>
      <c r="K1848">
        <v>282689</v>
      </c>
      <c r="L1848">
        <v>24648</v>
      </c>
      <c r="M1848">
        <v>3339</v>
      </c>
      <c r="N1848">
        <v>30078</v>
      </c>
      <c r="O1848">
        <v>865</v>
      </c>
      <c r="P1848">
        <v>0</v>
      </c>
      <c r="Q1848">
        <v>0</v>
      </c>
      <c r="R1848">
        <v>0</v>
      </c>
      <c r="S1848">
        <v>0</v>
      </c>
      <c r="T1848">
        <v>0</v>
      </c>
      <c r="U1848">
        <v>0</v>
      </c>
      <c r="V1848">
        <v>34138</v>
      </c>
      <c r="W1848">
        <v>312767</v>
      </c>
      <c r="X1848">
        <v>25513</v>
      </c>
      <c r="Y1848">
        <f t="shared" si="28"/>
        <v>312767</v>
      </c>
      <c r="Z1848" t="str">
        <f>IF(ISNUMBER(SEARCH("Adjustment",$C1848)),"excluded",IF($H1848="Behind the Meter","excluded",IF(NOT(OR($E1848="Bundled",$E1848="Energy")),"excluded",IF(OR($H1848="Retail Power Marketer",$H1848="Community Choice Aggregator",$E1848="Energy"),"procurement",IF(OR($H1848="Municipal",$H1848="Cooperative",$H1848="Federal",$H1848="State",$H1848="Political Subdivision"),"cost_service",IF($H1848="Investor Owned",IF(AND(COUNTIF(Parameters!$A$4:$A$33,$G1848)&gt;0,COUNTIF(Parameters!$B$4:$B$33,$B1848)=0),"procurement","cost_service"),"unclassified"))))))</f>
        <v>procurement</v>
      </c>
    </row>
    <row r="1849" spans="1:26" x14ac:dyDescent="0.25">
      <c r="A1849">
        <v>2024</v>
      </c>
      <c r="B1849">
        <v>58667</v>
      </c>
      <c r="C1849" t="s">
        <v>1512</v>
      </c>
      <c r="D1849" t="s">
        <v>99</v>
      </c>
      <c r="E1849" t="s">
        <v>100</v>
      </c>
      <c r="F1849" t="s">
        <v>86</v>
      </c>
      <c r="G1849" t="s">
        <v>40</v>
      </c>
      <c r="H1849" t="s">
        <v>101</v>
      </c>
      <c r="I1849" t="s">
        <v>189</v>
      </c>
      <c r="J1849">
        <v>5864.8</v>
      </c>
      <c r="K1849">
        <v>34057</v>
      </c>
      <c r="L1849">
        <v>4254</v>
      </c>
      <c r="M1849">
        <v>163.80000000000001</v>
      </c>
      <c r="N1849">
        <v>936</v>
      </c>
      <c r="O1849">
        <v>72</v>
      </c>
      <c r="P1849">
        <v>0</v>
      </c>
      <c r="Q1849">
        <v>0</v>
      </c>
      <c r="R1849">
        <v>0</v>
      </c>
      <c r="S1849">
        <v>0</v>
      </c>
      <c r="T1849">
        <v>0</v>
      </c>
      <c r="U1849">
        <v>0</v>
      </c>
      <c r="V1849">
        <v>6028.6</v>
      </c>
      <c r="W1849">
        <v>34993</v>
      </c>
      <c r="X1849">
        <v>4326</v>
      </c>
      <c r="Y1849">
        <f t="shared" si="28"/>
        <v>34993</v>
      </c>
      <c r="Z1849" t="str">
        <f>IF(ISNUMBER(SEARCH("Adjustment",$C1849)),"excluded",IF($H1849="Behind the Meter","excluded",IF(NOT(OR($E1849="Bundled",$E1849="Energy")),"excluded",IF(OR($H1849="Retail Power Marketer",$H1849="Community Choice Aggregator",$E1849="Energy"),"procurement",IF(OR($H1849="Municipal",$H1849="Cooperative",$H1849="Federal",$H1849="State",$H1849="Political Subdivision"),"cost_service",IF($H1849="Investor Owned",IF(AND(COUNTIF(Parameters!$A$4:$A$33,$G1849)&gt;0,COUNTIF(Parameters!$B$4:$B$33,$B1849)=0),"procurement","cost_service"),"unclassified"))))))</f>
        <v>procurement</v>
      </c>
    </row>
    <row r="1850" spans="1:26" x14ac:dyDescent="0.25">
      <c r="A1850">
        <v>2024</v>
      </c>
      <c r="B1850">
        <v>58667</v>
      </c>
      <c r="C1850" t="s">
        <v>1512</v>
      </c>
      <c r="D1850" t="s">
        <v>99</v>
      </c>
      <c r="E1850" t="s">
        <v>100</v>
      </c>
      <c r="F1850" t="s">
        <v>86</v>
      </c>
      <c r="G1850" t="s">
        <v>46</v>
      </c>
      <c r="H1850" t="s">
        <v>101</v>
      </c>
      <c r="I1850" t="s">
        <v>92</v>
      </c>
      <c r="J1850">
        <v>1686.6</v>
      </c>
      <c r="K1850">
        <v>10534</v>
      </c>
      <c r="L1850">
        <v>1486</v>
      </c>
      <c r="M1850">
        <v>96.2</v>
      </c>
      <c r="N1850">
        <v>597</v>
      </c>
      <c r="O1850">
        <v>37</v>
      </c>
      <c r="P1850">
        <v>0</v>
      </c>
      <c r="Q1850">
        <v>0</v>
      </c>
      <c r="R1850">
        <v>0</v>
      </c>
      <c r="S1850">
        <v>0</v>
      </c>
      <c r="T1850">
        <v>0</v>
      </c>
      <c r="U1850">
        <v>0</v>
      </c>
      <c r="V1850">
        <v>1782.8</v>
      </c>
      <c r="W1850">
        <v>11131</v>
      </c>
      <c r="X1850">
        <v>1523</v>
      </c>
      <c r="Y1850">
        <f t="shared" si="28"/>
        <v>11131</v>
      </c>
      <c r="Z1850" t="str">
        <f>IF(ISNUMBER(SEARCH("Adjustment",$C1850)),"excluded",IF($H1850="Behind the Meter","excluded",IF(NOT(OR($E1850="Bundled",$E1850="Energy")),"excluded",IF(OR($H1850="Retail Power Marketer",$H1850="Community Choice Aggregator",$E1850="Energy"),"procurement",IF(OR($H1850="Municipal",$H1850="Cooperative",$H1850="Federal",$H1850="State",$H1850="Political Subdivision"),"cost_service",IF($H1850="Investor Owned",IF(AND(COUNTIF(Parameters!$A$4:$A$33,$G1850)&gt;0,COUNTIF(Parameters!$B$4:$B$33,$B1850)=0),"procurement","cost_service"),"unclassified"))))))</f>
        <v>procurement</v>
      </c>
    </row>
    <row r="1851" spans="1:26" x14ac:dyDescent="0.25">
      <c r="A1851">
        <v>2024</v>
      </c>
      <c r="B1851">
        <v>58667</v>
      </c>
      <c r="C1851" t="s">
        <v>1512</v>
      </c>
      <c r="D1851" t="s">
        <v>99</v>
      </c>
      <c r="E1851" t="s">
        <v>100</v>
      </c>
      <c r="F1851" t="s">
        <v>86</v>
      </c>
      <c r="G1851" t="s">
        <v>49</v>
      </c>
      <c r="H1851" t="s">
        <v>101</v>
      </c>
      <c r="I1851" t="s">
        <v>92</v>
      </c>
      <c r="J1851">
        <v>2186</v>
      </c>
      <c r="K1851">
        <v>13442</v>
      </c>
      <c r="L1851">
        <v>1138</v>
      </c>
      <c r="M1851">
        <v>56.3</v>
      </c>
      <c r="N1851">
        <v>332</v>
      </c>
      <c r="O1851">
        <v>13</v>
      </c>
      <c r="P1851">
        <v>0</v>
      </c>
      <c r="Q1851">
        <v>0</v>
      </c>
      <c r="R1851">
        <v>0</v>
      </c>
      <c r="S1851">
        <v>0</v>
      </c>
      <c r="T1851">
        <v>0</v>
      </c>
      <c r="U1851">
        <v>0</v>
      </c>
      <c r="V1851">
        <v>2242.3000000000002</v>
      </c>
      <c r="W1851">
        <v>13774</v>
      </c>
      <c r="X1851">
        <v>1151</v>
      </c>
      <c r="Y1851">
        <f t="shared" si="28"/>
        <v>13774</v>
      </c>
      <c r="Z1851" t="str">
        <f>IF(ISNUMBER(SEARCH("Adjustment",$C1851)),"excluded",IF($H1851="Behind the Meter","excluded",IF(NOT(OR($E1851="Bundled",$E1851="Energy")),"excluded",IF(OR($H1851="Retail Power Marketer",$H1851="Community Choice Aggregator",$E1851="Energy"),"procurement",IF(OR($H1851="Municipal",$H1851="Cooperative",$H1851="Federal",$H1851="State",$H1851="Political Subdivision"),"cost_service",IF($H1851="Investor Owned",IF(AND(COUNTIF(Parameters!$A$4:$A$33,$G1851)&gt;0,COUNTIF(Parameters!$B$4:$B$33,$B1851)=0),"procurement","cost_service"),"unclassified"))))))</f>
        <v>procurement</v>
      </c>
    </row>
    <row r="1852" spans="1:26" x14ac:dyDescent="0.25">
      <c r="A1852">
        <v>2024</v>
      </c>
      <c r="B1852">
        <v>58667</v>
      </c>
      <c r="C1852" t="s">
        <v>1512</v>
      </c>
      <c r="D1852" t="s">
        <v>99</v>
      </c>
      <c r="E1852" t="s">
        <v>100</v>
      </c>
      <c r="F1852" t="s">
        <v>86</v>
      </c>
      <c r="G1852" t="s">
        <v>50</v>
      </c>
      <c r="H1852" t="s">
        <v>101</v>
      </c>
      <c r="I1852" t="s">
        <v>189</v>
      </c>
      <c r="J1852">
        <v>2226.1999999999998</v>
      </c>
      <c r="K1852">
        <v>14697</v>
      </c>
      <c r="L1852">
        <v>2195</v>
      </c>
      <c r="M1852">
        <v>59.4</v>
      </c>
      <c r="N1852">
        <v>341</v>
      </c>
      <c r="O1852">
        <v>31</v>
      </c>
      <c r="P1852">
        <v>0</v>
      </c>
      <c r="Q1852">
        <v>0</v>
      </c>
      <c r="R1852">
        <v>0</v>
      </c>
      <c r="S1852">
        <v>0</v>
      </c>
      <c r="T1852">
        <v>0</v>
      </c>
      <c r="U1852">
        <v>0</v>
      </c>
      <c r="V1852">
        <v>2285.6</v>
      </c>
      <c r="W1852">
        <v>15038</v>
      </c>
      <c r="X1852">
        <v>2226</v>
      </c>
      <c r="Y1852">
        <f t="shared" si="28"/>
        <v>15038</v>
      </c>
      <c r="Z1852" t="str">
        <f>IF(ISNUMBER(SEARCH("Adjustment",$C1852)),"excluded",IF($H1852="Behind the Meter","excluded",IF(NOT(OR($E1852="Bundled",$E1852="Energy")),"excluded",IF(OR($H1852="Retail Power Marketer",$H1852="Community Choice Aggregator",$E1852="Energy"),"procurement",IF(OR($H1852="Municipal",$H1852="Cooperative",$H1852="Federal",$H1852="State",$H1852="Political Subdivision"),"cost_service",IF($H1852="Investor Owned",IF(AND(COUNTIF(Parameters!$A$4:$A$33,$G1852)&gt;0,COUNTIF(Parameters!$B$4:$B$33,$B1852)=0),"procurement","cost_service"),"unclassified"))))))</f>
        <v>procurement</v>
      </c>
    </row>
    <row r="1853" spans="1:26" x14ac:dyDescent="0.25">
      <c r="A1853">
        <v>2024</v>
      </c>
      <c r="B1853">
        <v>58667</v>
      </c>
      <c r="C1853" t="s">
        <v>1512</v>
      </c>
      <c r="D1853" t="s">
        <v>99</v>
      </c>
      <c r="E1853" t="s">
        <v>100</v>
      </c>
      <c r="F1853" t="s">
        <v>86</v>
      </c>
      <c r="G1853" t="s">
        <v>51</v>
      </c>
      <c r="H1853" t="s">
        <v>101</v>
      </c>
      <c r="I1853" t="s">
        <v>189</v>
      </c>
      <c r="J1853">
        <v>15762.8</v>
      </c>
      <c r="K1853">
        <v>96567</v>
      </c>
      <c r="L1853">
        <v>13154</v>
      </c>
      <c r="M1853">
        <v>381.7</v>
      </c>
      <c r="N1853">
        <v>2233</v>
      </c>
      <c r="O1853">
        <v>252</v>
      </c>
      <c r="P1853">
        <v>0</v>
      </c>
      <c r="Q1853">
        <v>0</v>
      </c>
      <c r="R1853">
        <v>0</v>
      </c>
      <c r="S1853">
        <v>0</v>
      </c>
      <c r="T1853">
        <v>0</v>
      </c>
      <c r="U1853">
        <v>0</v>
      </c>
      <c r="V1853">
        <v>16144.5</v>
      </c>
      <c r="W1853">
        <v>98800</v>
      </c>
      <c r="X1853">
        <v>13406</v>
      </c>
      <c r="Y1853">
        <f t="shared" si="28"/>
        <v>98800</v>
      </c>
      <c r="Z1853" t="str">
        <f>IF(ISNUMBER(SEARCH("Adjustment",$C1853)),"excluded",IF($H1853="Behind the Meter","excluded",IF(NOT(OR($E1853="Bundled",$E1853="Energy")),"excluded",IF(OR($H1853="Retail Power Marketer",$H1853="Community Choice Aggregator",$E1853="Energy"),"procurement",IF(OR($H1853="Municipal",$H1853="Cooperative",$H1853="Federal",$H1853="State",$H1853="Political Subdivision"),"cost_service",IF($H1853="Investor Owned",IF(AND(COUNTIF(Parameters!$A$4:$A$33,$G1853)&gt;0,COUNTIF(Parameters!$B$4:$B$33,$B1853)=0),"procurement","cost_service"),"unclassified"))))))</f>
        <v>procurement</v>
      </c>
    </row>
    <row r="1854" spans="1:26" x14ac:dyDescent="0.25">
      <c r="A1854">
        <v>2024</v>
      </c>
      <c r="B1854">
        <v>58667</v>
      </c>
      <c r="C1854" t="s">
        <v>1512</v>
      </c>
      <c r="D1854" t="s">
        <v>99</v>
      </c>
      <c r="E1854" t="s">
        <v>100</v>
      </c>
      <c r="F1854" t="s">
        <v>86</v>
      </c>
      <c r="G1854" t="s">
        <v>52</v>
      </c>
      <c r="H1854" t="s">
        <v>101</v>
      </c>
      <c r="I1854" t="s">
        <v>92</v>
      </c>
      <c r="J1854">
        <v>6926.6</v>
      </c>
      <c r="K1854">
        <v>41084</v>
      </c>
      <c r="L1854">
        <v>4140</v>
      </c>
      <c r="M1854">
        <v>159.5</v>
      </c>
      <c r="N1854">
        <v>937</v>
      </c>
      <c r="O1854">
        <v>71</v>
      </c>
      <c r="P1854">
        <v>0</v>
      </c>
      <c r="Q1854">
        <v>0</v>
      </c>
      <c r="R1854">
        <v>0</v>
      </c>
      <c r="S1854">
        <v>0</v>
      </c>
      <c r="T1854">
        <v>0</v>
      </c>
      <c r="U1854">
        <v>0</v>
      </c>
      <c r="V1854">
        <v>7086.1</v>
      </c>
      <c r="W1854">
        <v>42021</v>
      </c>
      <c r="X1854">
        <v>4211</v>
      </c>
      <c r="Y1854">
        <f t="shared" si="28"/>
        <v>42021</v>
      </c>
      <c r="Z1854" t="str">
        <f>IF(ISNUMBER(SEARCH("Adjustment",$C1854)),"excluded",IF($H1854="Behind the Meter","excluded",IF(NOT(OR($E1854="Bundled",$E1854="Energy")),"excluded",IF(OR($H1854="Retail Power Marketer",$H1854="Community Choice Aggregator",$E1854="Energy"),"procurement",IF(OR($H1854="Municipal",$H1854="Cooperative",$H1854="Federal",$H1854="State",$H1854="Political Subdivision"),"cost_service",IF($H1854="Investor Owned",IF(AND(COUNTIF(Parameters!$A$4:$A$33,$G1854)&gt;0,COUNTIF(Parameters!$B$4:$B$33,$B1854)=0),"procurement","cost_service"),"unclassified"))))))</f>
        <v>procurement</v>
      </c>
    </row>
    <row r="1855" spans="1:26" x14ac:dyDescent="0.25">
      <c r="A1855">
        <v>2024</v>
      </c>
      <c r="B1855">
        <v>58667</v>
      </c>
      <c r="C1855" t="s">
        <v>1512</v>
      </c>
      <c r="D1855" t="s">
        <v>99</v>
      </c>
      <c r="E1855" t="s">
        <v>100</v>
      </c>
      <c r="F1855" t="s">
        <v>86</v>
      </c>
      <c r="G1855" t="s">
        <v>54</v>
      </c>
      <c r="H1855" t="s">
        <v>101</v>
      </c>
      <c r="I1855" t="s">
        <v>92</v>
      </c>
      <c r="J1855">
        <v>2399.3000000000002</v>
      </c>
      <c r="K1855">
        <v>17714</v>
      </c>
      <c r="L1855">
        <v>1769</v>
      </c>
      <c r="M1855">
        <v>24.1</v>
      </c>
      <c r="N1855">
        <v>173</v>
      </c>
      <c r="O1855">
        <v>12</v>
      </c>
      <c r="P1855">
        <v>0</v>
      </c>
      <c r="Q1855">
        <v>0</v>
      </c>
      <c r="R1855">
        <v>0</v>
      </c>
      <c r="S1855">
        <v>0</v>
      </c>
      <c r="T1855">
        <v>0</v>
      </c>
      <c r="U1855">
        <v>0</v>
      </c>
      <c r="V1855">
        <v>2423.4</v>
      </c>
      <c r="W1855">
        <v>17887</v>
      </c>
      <c r="X1855">
        <v>1781</v>
      </c>
      <c r="Y1855">
        <f t="shared" si="28"/>
        <v>17887</v>
      </c>
      <c r="Z1855" t="str">
        <f>IF(ISNUMBER(SEARCH("Adjustment",$C1855)),"excluded",IF($H1855="Behind the Meter","excluded",IF(NOT(OR($E1855="Bundled",$E1855="Energy")),"excluded",IF(OR($H1855="Retail Power Marketer",$H1855="Community Choice Aggregator",$E1855="Energy"),"procurement",IF(OR($H1855="Municipal",$H1855="Cooperative",$H1855="Federal",$H1855="State",$H1855="Political Subdivision"),"cost_service",IF($H1855="Investor Owned",IF(AND(COUNTIF(Parameters!$A$4:$A$33,$G1855)&gt;0,COUNTIF(Parameters!$B$4:$B$33,$B1855)=0),"procurement","cost_service"),"unclassified"))))))</f>
        <v>procurement</v>
      </c>
    </row>
    <row r="1856" spans="1:26" x14ac:dyDescent="0.25">
      <c r="A1856">
        <v>2024</v>
      </c>
      <c r="B1856">
        <v>58667</v>
      </c>
      <c r="C1856" t="s">
        <v>1512</v>
      </c>
      <c r="D1856" t="s">
        <v>99</v>
      </c>
      <c r="E1856" t="s">
        <v>100</v>
      </c>
      <c r="F1856" t="s">
        <v>86</v>
      </c>
      <c r="G1856" t="s">
        <v>55</v>
      </c>
      <c r="H1856" t="s">
        <v>101</v>
      </c>
      <c r="I1856" t="s">
        <v>92</v>
      </c>
      <c r="J1856">
        <v>10693.4</v>
      </c>
      <c r="K1856">
        <v>75214</v>
      </c>
      <c r="L1856">
        <v>7677</v>
      </c>
      <c r="M1856">
        <v>270.89999999999998</v>
      </c>
      <c r="N1856">
        <v>1850</v>
      </c>
      <c r="O1856">
        <v>145</v>
      </c>
      <c r="P1856">
        <v>0</v>
      </c>
      <c r="Q1856">
        <v>0</v>
      </c>
      <c r="R1856">
        <v>0</v>
      </c>
      <c r="S1856">
        <v>0</v>
      </c>
      <c r="T1856">
        <v>0</v>
      </c>
      <c r="U1856">
        <v>0</v>
      </c>
      <c r="V1856">
        <v>10964.3</v>
      </c>
      <c r="W1856">
        <v>77064</v>
      </c>
      <c r="X1856">
        <v>7822</v>
      </c>
      <c r="Y1856">
        <f t="shared" si="28"/>
        <v>77064</v>
      </c>
      <c r="Z1856" t="str">
        <f>IF(ISNUMBER(SEARCH("Adjustment",$C1856)),"excluded",IF($H1856="Behind the Meter","excluded",IF(NOT(OR($E1856="Bundled",$E1856="Energy")),"excluded",IF(OR($H1856="Retail Power Marketer",$H1856="Community Choice Aggregator",$E1856="Energy"),"procurement",IF(OR($H1856="Municipal",$H1856="Cooperative",$H1856="Federal",$H1856="State",$H1856="Political Subdivision"),"cost_service",IF($H1856="Investor Owned",IF(AND(COUNTIF(Parameters!$A$4:$A$33,$G1856)&gt;0,COUNTIF(Parameters!$B$4:$B$33,$B1856)=0),"procurement","cost_service"),"unclassified"))))))</f>
        <v>procurement</v>
      </c>
    </row>
    <row r="1857" spans="1:26" x14ac:dyDescent="0.25">
      <c r="A1857">
        <v>2024</v>
      </c>
      <c r="B1857">
        <v>58667</v>
      </c>
      <c r="C1857" t="s">
        <v>1512</v>
      </c>
      <c r="D1857" t="s">
        <v>99</v>
      </c>
      <c r="E1857" t="s">
        <v>100</v>
      </c>
      <c r="F1857" t="s">
        <v>86</v>
      </c>
      <c r="G1857" t="s">
        <v>56</v>
      </c>
      <c r="H1857" t="s">
        <v>101</v>
      </c>
      <c r="I1857" t="s">
        <v>189</v>
      </c>
      <c r="J1857">
        <v>2814.3</v>
      </c>
      <c r="K1857">
        <v>16285</v>
      </c>
      <c r="L1857">
        <v>2360</v>
      </c>
      <c r="M1857">
        <v>55.6</v>
      </c>
      <c r="N1857">
        <v>311</v>
      </c>
      <c r="O1857">
        <v>27</v>
      </c>
      <c r="P1857">
        <v>0</v>
      </c>
      <c r="Q1857">
        <v>0</v>
      </c>
      <c r="R1857">
        <v>0</v>
      </c>
      <c r="S1857">
        <v>0</v>
      </c>
      <c r="T1857">
        <v>0</v>
      </c>
      <c r="U1857">
        <v>0</v>
      </c>
      <c r="V1857">
        <v>2869.9</v>
      </c>
      <c r="W1857">
        <v>16596</v>
      </c>
      <c r="X1857">
        <v>2387</v>
      </c>
      <c r="Y1857">
        <f t="shared" si="28"/>
        <v>16596</v>
      </c>
      <c r="Z1857" t="str">
        <f>IF(ISNUMBER(SEARCH("Adjustment",$C1857)),"excluded",IF($H1857="Behind the Meter","excluded",IF(NOT(OR($E1857="Bundled",$E1857="Energy")),"excluded",IF(OR($H1857="Retail Power Marketer",$H1857="Community Choice Aggregator",$E1857="Energy"),"procurement",IF(OR($H1857="Municipal",$H1857="Cooperative",$H1857="Federal",$H1857="State",$H1857="Political Subdivision"),"cost_service",IF($H1857="Investor Owned",IF(AND(COUNTIF(Parameters!$A$4:$A$33,$G1857)&gt;0,COUNTIF(Parameters!$B$4:$B$33,$B1857)=0),"procurement","cost_service"),"unclassified"))))))</f>
        <v>procurement</v>
      </c>
    </row>
    <row r="1858" spans="1:26" x14ac:dyDescent="0.25">
      <c r="A1858">
        <v>2024</v>
      </c>
      <c r="B1858">
        <v>58747</v>
      </c>
      <c r="C1858" t="s">
        <v>1513</v>
      </c>
      <c r="D1858" t="s">
        <v>99</v>
      </c>
      <c r="E1858" t="s">
        <v>100</v>
      </c>
      <c r="F1858" t="s">
        <v>86</v>
      </c>
      <c r="G1858" t="s">
        <v>48</v>
      </c>
      <c r="H1858" t="s">
        <v>101</v>
      </c>
      <c r="I1858" t="s">
        <v>189</v>
      </c>
      <c r="J1858">
        <v>13811</v>
      </c>
      <c r="K1858">
        <v>60311</v>
      </c>
      <c r="L1858">
        <v>7469</v>
      </c>
      <c r="M1858">
        <v>1625</v>
      </c>
      <c r="N1858">
        <v>9241</v>
      </c>
      <c r="O1858">
        <v>381</v>
      </c>
      <c r="P1858" t="s">
        <v>97</v>
      </c>
      <c r="Q1858" t="s">
        <v>97</v>
      </c>
      <c r="R1858" t="s">
        <v>97</v>
      </c>
      <c r="S1858" t="s">
        <v>97</v>
      </c>
      <c r="T1858" t="s">
        <v>97</v>
      </c>
      <c r="U1858" t="s">
        <v>97</v>
      </c>
      <c r="V1858">
        <v>15436</v>
      </c>
      <c r="W1858">
        <v>69552</v>
      </c>
      <c r="X1858">
        <v>7850</v>
      </c>
      <c r="Y1858">
        <f t="shared" si="28"/>
        <v>69552</v>
      </c>
      <c r="Z1858" t="str">
        <f>IF(ISNUMBER(SEARCH("Adjustment",$C1858)),"excluded",IF($H1858="Behind the Meter","excluded",IF(NOT(OR($E1858="Bundled",$E1858="Energy")),"excluded",IF(OR($H1858="Retail Power Marketer",$H1858="Community Choice Aggregator",$E1858="Energy"),"procurement",IF(OR($H1858="Municipal",$H1858="Cooperative",$H1858="Federal",$H1858="State",$H1858="Political Subdivision"),"cost_service",IF($H1858="Investor Owned",IF(AND(COUNTIF(Parameters!$A$4:$A$33,$G1858)&gt;0,COUNTIF(Parameters!$B$4:$B$33,$B1858)=0),"procurement","cost_service"),"unclassified"))))))</f>
        <v>procurement</v>
      </c>
    </row>
    <row r="1859" spans="1:26" x14ac:dyDescent="0.25">
      <c r="A1859">
        <v>2024</v>
      </c>
      <c r="B1859">
        <v>58851</v>
      </c>
      <c r="C1859" t="s">
        <v>1514</v>
      </c>
      <c r="D1859" t="s">
        <v>99</v>
      </c>
      <c r="E1859" t="s">
        <v>100</v>
      </c>
      <c r="F1859" t="s">
        <v>86</v>
      </c>
      <c r="G1859" t="s">
        <v>115</v>
      </c>
      <c r="H1859" t="s">
        <v>88</v>
      </c>
      <c r="I1859" t="s">
        <v>116</v>
      </c>
      <c r="J1859">
        <v>0</v>
      </c>
      <c r="K1859">
        <v>0</v>
      </c>
      <c r="L1859">
        <v>0</v>
      </c>
      <c r="M1859">
        <v>4612</v>
      </c>
      <c r="N1859">
        <v>42926</v>
      </c>
      <c r="O1859">
        <v>251</v>
      </c>
      <c r="P1859">
        <v>1738.7</v>
      </c>
      <c r="Q1859">
        <v>17829</v>
      </c>
      <c r="R1859">
        <v>10</v>
      </c>
      <c r="S1859">
        <v>0</v>
      </c>
      <c r="T1859">
        <v>0</v>
      </c>
      <c r="U1859">
        <v>0</v>
      </c>
      <c r="V1859">
        <v>6350.7</v>
      </c>
      <c r="W1859">
        <v>60755</v>
      </c>
      <c r="X1859">
        <v>261</v>
      </c>
      <c r="Y1859">
        <f t="shared" si="28"/>
        <v>60755</v>
      </c>
      <c r="Z1859" t="str">
        <f>IF(ISNUMBER(SEARCH("Adjustment",$C1859)),"excluded",IF($H1859="Behind the Meter","excluded",IF(NOT(OR($E1859="Bundled",$E1859="Energy")),"excluded",IF(OR($H1859="Retail Power Marketer",$H1859="Community Choice Aggregator",$E1859="Energy"),"procurement",IF(OR($H1859="Municipal",$H1859="Cooperative",$H1859="Federal",$H1859="State",$H1859="Political Subdivision"),"cost_service",IF($H1859="Investor Owned",IF(AND(COUNTIF(Parameters!$A$4:$A$33,$G1859)&gt;0,COUNTIF(Parameters!$B$4:$B$33,$B1859)=0),"procurement","cost_service"),"unclassified"))))))</f>
        <v>procurement</v>
      </c>
    </row>
    <row r="1860" spans="1:26" x14ac:dyDescent="0.25">
      <c r="A1860">
        <v>2024</v>
      </c>
      <c r="B1860">
        <v>58853</v>
      </c>
      <c r="C1860" t="s">
        <v>1515</v>
      </c>
      <c r="D1860" t="s">
        <v>99</v>
      </c>
      <c r="E1860" t="s">
        <v>100</v>
      </c>
      <c r="F1860" t="s">
        <v>86</v>
      </c>
      <c r="G1860" t="s">
        <v>53</v>
      </c>
      <c r="H1860" t="s">
        <v>101</v>
      </c>
      <c r="I1860" t="s">
        <v>102</v>
      </c>
      <c r="J1860">
        <v>6560</v>
      </c>
      <c r="K1860">
        <v>45840</v>
      </c>
      <c r="L1860">
        <v>7802</v>
      </c>
      <c r="M1860">
        <v>107</v>
      </c>
      <c r="N1860">
        <v>747</v>
      </c>
      <c r="O1860">
        <v>162</v>
      </c>
      <c r="P1860">
        <v>0</v>
      </c>
      <c r="Q1860">
        <v>0</v>
      </c>
      <c r="R1860">
        <v>0</v>
      </c>
      <c r="S1860">
        <v>0</v>
      </c>
      <c r="T1860">
        <v>0</v>
      </c>
      <c r="U1860">
        <v>0</v>
      </c>
      <c r="V1860">
        <v>6667</v>
      </c>
      <c r="W1860">
        <v>46587</v>
      </c>
      <c r="X1860">
        <v>7964</v>
      </c>
      <c r="Y1860">
        <f t="shared" ref="Y1860:Y1923" si="29">IF(ISNUMBER($W1860),$W1860,0)</f>
        <v>46587</v>
      </c>
      <c r="Z1860" t="str">
        <f>IF(ISNUMBER(SEARCH("Adjustment",$C1860)),"excluded",IF($H1860="Behind the Meter","excluded",IF(NOT(OR($E1860="Bundled",$E1860="Energy")),"excluded",IF(OR($H1860="Retail Power Marketer",$H1860="Community Choice Aggregator",$E1860="Energy"),"procurement",IF(OR($H1860="Municipal",$H1860="Cooperative",$H1860="Federal",$H1860="State",$H1860="Political Subdivision"),"cost_service",IF($H1860="Investor Owned",IF(AND(COUNTIF(Parameters!$A$4:$A$33,$G1860)&gt;0,COUNTIF(Parameters!$B$4:$B$33,$B1860)=0),"procurement","cost_service"),"unclassified"))))))</f>
        <v>procurement</v>
      </c>
    </row>
    <row r="1861" spans="1:26" x14ac:dyDescent="0.25">
      <c r="A1861">
        <v>2024</v>
      </c>
      <c r="B1861">
        <v>58853</v>
      </c>
      <c r="C1861" t="s">
        <v>1515</v>
      </c>
      <c r="D1861" t="s">
        <v>99</v>
      </c>
      <c r="E1861" t="s">
        <v>100</v>
      </c>
      <c r="F1861" t="s">
        <v>86</v>
      </c>
      <c r="G1861" t="s">
        <v>54</v>
      </c>
      <c r="H1861" t="s">
        <v>101</v>
      </c>
      <c r="I1861" t="s">
        <v>92</v>
      </c>
      <c r="J1861">
        <v>2368</v>
      </c>
      <c r="K1861">
        <v>20919</v>
      </c>
      <c r="L1861">
        <v>2775</v>
      </c>
      <c r="M1861">
        <v>39</v>
      </c>
      <c r="N1861">
        <v>343</v>
      </c>
      <c r="O1861">
        <v>58</v>
      </c>
      <c r="P1861">
        <v>0</v>
      </c>
      <c r="Q1861">
        <v>0</v>
      </c>
      <c r="R1861">
        <v>0</v>
      </c>
      <c r="S1861">
        <v>0</v>
      </c>
      <c r="T1861">
        <v>0</v>
      </c>
      <c r="U1861">
        <v>0</v>
      </c>
      <c r="V1861">
        <v>2407</v>
      </c>
      <c r="W1861">
        <v>21262</v>
      </c>
      <c r="X1861">
        <v>2833</v>
      </c>
      <c r="Y1861">
        <f t="shared" si="29"/>
        <v>21262</v>
      </c>
      <c r="Z1861" t="str">
        <f>IF(ISNUMBER(SEARCH("Adjustment",$C1861)),"excluded",IF($H1861="Behind the Meter","excluded",IF(NOT(OR($E1861="Bundled",$E1861="Energy")),"excluded",IF(OR($H1861="Retail Power Marketer",$H1861="Community Choice Aggregator",$E1861="Energy"),"procurement",IF(OR($H1861="Municipal",$H1861="Cooperative",$H1861="Federal",$H1861="State",$H1861="Political Subdivision"),"cost_service",IF($H1861="Investor Owned",IF(AND(COUNTIF(Parameters!$A$4:$A$33,$G1861)&gt;0,COUNTIF(Parameters!$B$4:$B$33,$B1861)=0),"procurement","cost_service"),"unclassified"))))))</f>
        <v>procurement</v>
      </c>
    </row>
    <row r="1862" spans="1:26" x14ac:dyDescent="0.25">
      <c r="A1862">
        <v>2024</v>
      </c>
      <c r="B1862">
        <v>58951</v>
      </c>
      <c r="C1862" t="s">
        <v>1516</v>
      </c>
      <c r="D1862" t="s">
        <v>99</v>
      </c>
      <c r="E1862" t="s">
        <v>100</v>
      </c>
      <c r="F1862" t="s">
        <v>86</v>
      </c>
      <c r="G1862" t="s">
        <v>42</v>
      </c>
      <c r="H1862" t="s">
        <v>101</v>
      </c>
      <c r="I1862" t="s">
        <v>92</v>
      </c>
      <c r="J1862">
        <v>10018</v>
      </c>
      <c r="K1862">
        <v>47396</v>
      </c>
      <c r="L1862">
        <v>6940</v>
      </c>
      <c r="M1862">
        <v>318.5</v>
      </c>
      <c r="N1862">
        <v>1638</v>
      </c>
      <c r="O1862">
        <v>109</v>
      </c>
      <c r="P1862">
        <v>0</v>
      </c>
      <c r="Q1862">
        <v>0</v>
      </c>
      <c r="R1862">
        <v>0</v>
      </c>
      <c r="S1862">
        <v>0</v>
      </c>
      <c r="T1862">
        <v>0</v>
      </c>
      <c r="U1862">
        <v>0</v>
      </c>
      <c r="V1862">
        <v>10336.5</v>
      </c>
      <c r="W1862">
        <v>49034</v>
      </c>
      <c r="X1862">
        <v>7049</v>
      </c>
      <c r="Y1862">
        <f t="shared" si="29"/>
        <v>49034</v>
      </c>
      <c r="Z1862" t="str">
        <f>IF(ISNUMBER(SEARCH("Adjustment",$C1862)),"excluded",IF($H1862="Behind the Meter","excluded",IF(NOT(OR($E1862="Bundled",$E1862="Energy")),"excluded",IF(OR($H1862="Retail Power Marketer",$H1862="Community Choice Aggregator",$E1862="Energy"),"procurement",IF(OR($H1862="Municipal",$H1862="Cooperative",$H1862="Federal",$H1862="State",$H1862="Political Subdivision"),"cost_service",IF($H1862="Investor Owned",IF(AND(COUNTIF(Parameters!$A$4:$A$33,$G1862)&gt;0,COUNTIF(Parameters!$B$4:$B$33,$B1862)=0),"procurement","cost_service"),"unclassified"))))))</f>
        <v>procurement</v>
      </c>
    </row>
    <row r="1863" spans="1:26" x14ac:dyDescent="0.25">
      <c r="A1863">
        <v>2024</v>
      </c>
      <c r="B1863">
        <v>58951</v>
      </c>
      <c r="C1863" t="s">
        <v>1516</v>
      </c>
      <c r="D1863" t="s">
        <v>99</v>
      </c>
      <c r="E1863" t="s">
        <v>100</v>
      </c>
      <c r="F1863" t="s">
        <v>86</v>
      </c>
      <c r="G1863" t="s">
        <v>44</v>
      </c>
      <c r="H1863" t="s">
        <v>101</v>
      </c>
      <c r="I1863" t="s">
        <v>92</v>
      </c>
      <c r="J1863">
        <v>3896.9</v>
      </c>
      <c r="K1863">
        <v>26426</v>
      </c>
      <c r="L1863">
        <v>3044</v>
      </c>
      <c r="M1863">
        <v>18.8</v>
      </c>
      <c r="N1863">
        <v>116</v>
      </c>
      <c r="O1863">
        <v>14</v>
      </c>
      <c r="P1863">
        <v>0</v>
      </c>
      <c r="Q1863">
        <v>0</v>
      </c>
      <c r="R1863">
        <v>0</v>
      </c>
      <c r="S1863">
        <v>0</v>
      </c>
      <c r="T1863">
        <v>0</v>
      </c>
      <c r="U1863">
        <v>0</v>
      </c>
      <c r="V1863">
        <v>3915.7</v>
      </c>
      <c r="W1863">
        <v>26542</v>
      </c>
      <c r="X1863">
        <v>3058</v>
      </c>
      <c r="Y1863">
        <f t="shared" si="29"/>
        <v>26542</v>
      </c>
      <c r="Z1863" t="str">
        <f>IF(ISNUMBER(SEARCH("Adjustment",$C1863)),"excluded",IF($H1863="Behind the Meter","excluded",IF(NOT(OR($E1863="Bundled",$E1863="Energy")),"excluded",IF(OR($H1863="Retail Power Marketer",$H1863="Community Choice Aggregator",$E1863="Energy"),"procurement",IF(OR($H1863="Municipal",$H1863="Cooperative",$H1863="Federal",$H1863="State",$H1863="Political Subdivision"),"cost_service",IF($H1863="Investor Owned",IF(AND(COUNTIF(Parameters!$A$4:$A$33,$G1863)&gt;0,COUNTIF(Parameters!$B$4:$B$33,$B1863)=0),"procurement","cost_service"),"unclassified"))))))</f>
        <v>procurement</v>
      </c>
    </row>
    <row r="1864" spans="1:26" x14ac:dyDescent="0.25">
      <c r="A1864">
        <v>2024</v>
      </c>
      <c r="B1864">
        <v>58951</v>
      </c>
      <c r="C1864" t="s">
        <v>1516</v>
      </c>
      <c r="D1864" t="s">
        <v>99</v>
      </c>
      <c r="E1864" t="s">
        <v>100</v>
      </c>
      <c r="F1864" t="s">
        <v>86</v>
      </c>
      <c r="G1864" t="s">
        <v>46</v>
      </c>
      <c r="H1864" t="s">
        <v>101</v>
      </c>
      <c r="I1864" t="s">
        <v>92</v>
      </c>
      <c r="J1864">
        <v>17466.099999999999</v>
      </c>
      <c r="K1864">
        <v>147905</v>
      </c>
      <c r="L1864">
        <v>24315</v>
      </c>
      <c r="M1864">
        <v>52.4</v>
      </c>
      <c r="N1864">
        <v>365</v>
      </c>
      <c r="O1864">
        <v>50</v>
      </c>
      <c r="P1864">
        <v>0</v>
      </c>
      <c r="Q1864">
        <v>0</v>
      </c>
      <c r="R1864">
        <v>0</v>
      </c>
      <c r="S1864">
        <v>0</v>
      </c>
      <c r="T1864">
        <v>0</v>
      </c>
      <c r="U1864">
        <v>0</v>
      </c>
      <c r="V1864">
        <v>17518.5</v>
      </c>
      <c r="W1864">
        <v>148270</v>
      </c>
      <c r="X1864">
        <v>24365</v>
      </c>
      <c r="Y1864">
        <f t="shared" si="29"/>
        <v>148270</v>
      </c>
      <c r="Z1864" t="str">
        <f>IF(ISNUMBER(SEARCH("Adjustment",$C1864)),"excluded",IF($H1864="Behind the Meter","excluded",IF(NOT(OR($E1864="Bundled",$E1864="Energy")),"excluded",IF(OR($H1864="Retail Power Marketer",$H1864="Community Choice Aggregator",$E1864="Energy"),"procurement",IF(OR($H1864="Municipal",$H1864="Cooperative",$H1864="Federal",$H1864="State",$H1864="Political Subdivision"),"cost_service",IF($H1864="Investor Owned",IF(AND(COUNTIF(Parameters!$A$4:$A$33,$G1864)&gt;0,COUNTIF(Parameters!$B$4:$B$33,$B1864)=0),"procurement","cost_service"),"unclassified"))))))</f>
        <v>procurement</v>
      </c>
    </row>
    <row r="1865" spans="1:26" x14ac:dyDescent="0.25">
      <c r="A1865">
        <v>2024</v>
      </c>
      <c r="B1865">
        <v>58951</v>
      </c>
      <c r="C1865" t="s">
        <v>1516</v>
      </c>
      <c r="D1865" t="s">
        <v>99</v>
      </c>
      <c r="E1865" t="s">
        <v>100</v>
      </c>
      <c r="F1865" t="s">
        <v>86</v>
      </c>
      <c r="G1865" t="s">
        <v>48</v>
      </c>
      <c r="H1865" t="s">
        <v>101</v>
      </c>
      <c r="I1865" t="s">
        <v>189</v>
      </c>
      <c r="J1865">
        <v>42009.3</v>
      </c>
      <c r="K1865">
        <v>198226</v>
      </c>
      <c r="L1865">
        <v>36276</v>
      </c>
      <c r="M1865">
        <v>908.1</v>
      </c>
      <c r="N1865">
        <v>4340</v>
      </c>
      <c r="O1865">
        <v>746</v>
      </c>
      <c r="P1865">
        <v>0</v>
      </c>
      <c r="Q1865">
        <v>0</v>
      </c>
      <c r="R1865">
        <v>0</v>
      </c>
      <c r="S1865">
        <v>0</v>
      </c>
      <c r="T1865">
        <v>0</v>
      </c>
      <c r="U1865">
        <v>0</v>
      </c>
      <c r="V1865">
        <v>42917.4</v>
      </c>
      <c r="W1865">
        <v>202566</v>
      </c>
      <c r="X1865">
        <v>37022</v>
      </c>
      <c r="Y1865">
        <f t="shared" si="29"/>
        <v>202566</v>
      </c>
      <c r="Z1865" t="str">
        <f>IF(ISNUMBER(SEARCH("Adjustment",$C1865)),"excluded",IF($H1865="Behind the Meter","excluded",IF(NOT(OR($E1865="Bundled",$E1865="Energy")),"excluded",IF(OR($H1865="Retail Power Marketer",$H1865="Community Choice Aggregator",$E1865="Energy"),"procurement",IF(OR($H1865="Municipal",$H1865="Cooperative",$H1865="Federal",$H1865="State",$H1865="Political Subdivision"),"cost_service",IF($H1865="Investor Owned",IF(AND(COUNTIF(Parameters!$A$4:$A$33,$G1865)&gt;0,COUNTIF(Parameters!$B$4:$B$33,$B1865)=0),"procurement","cost_service"),"unclassified"))))))</f>
        <v>procurement</v>
      </c>
    </row>
    <row r="1866" spans="1:26" x14ac:dyDescent="0.25">
      <c r="A1866">
        <v>2024</v>
      </c>
      <c r="B1866">
        <v>58951</v>
      </c>
      <c r="C1866" t="s">
        <v>1516</v>
      </c>
      <c r="D1866" t="s">
        <v>99</v>
      </c>
      <c r="E1866" t="s">
        <v>100</v>
      </c>
      <c r="F1866" t="s">
        <v>86</v>
      </c>
      <c r="G1866" t="s">
        <v>49</v>
      </c>
      <c r="H1866" t="s">
        <v>101</v>
      </c>
      <c r="I1866" t="s">
        <v>92</v>
      </c>
      <c r="J1866">
        <v>30840.3</v>
      </c>
      <c r="K1866">
        <v>184544</v>
      </c>
      <c r="L1866">
        <v>20822</v>
      </c>
      <c r="M1866">
        <v>365.6</v>
      </c>
      <c r="N1866">
        <v>2293</v>
      </c>
      <c r="O1866">
        <v>161</v>
      </c>
      <c r="P1866">
        <v>0</v>
      </c>
      <c r="Q1866">
        <v>0</v>
      </c>
      <c r="R1866">
        <v>0</v>
      </c>
      <c r="S1866">
        <v>0</v>
      </c>
      <c r="T1866">
        <v>0</v>
      </c>
      <c r="U1866">
        <v>0</v>
      </c>
      <c r="V1866">
        <v>31205.9</v>
      </c>
      <c r="W1866">
        <v>186837</v>
      </c>
      <c r="X1866">
        <v>20983</v>
      </c>
      <c r="Y1866">
        <f t="shared" si="29"/>
        <v>186837</v>
      </c>
      <c r="Z1866" t="str">
        <f>IF(ISNUMBER(SEARCH("Adjustment",$C1866)),"excluded",IF($H1866="Behind the Meter","excluded",IF(NOT(OR($E1866="Bundled",$E1866="Energy")),"excluded",IF(OR($H1866="Retail Power Marketer",$H1866="Community Choice Aggregator",$E1866="Energy"),"procurement",IF(OR($H1866="Municipal",$H1866="Cooperative",$H1866="Federal",$H1866="State",$H1866="Political Subdivision"),"cost_service",IF($H1866="Investor Owned",IF(AND(COUNTIF(Parameters!$A$4:$A$33,$G1866)&gt;0,COUNTIF(Parameters!$B$4:$B$33,$B1866)=0),"procurement","cost_service"),"unclassified"))))))</f>
        <v>procurement</v>
      </c>
    </row>
    <row r="1867" spans="1:26" x14ac:dyDescent="0.25">
      <c r="A1867">
        <v>2024</v>
      </c>
      <c r="B1867">
        <v>58951</v>
      </c>
      <c r="C1867" t="s">
        <v>1516</v>
      </c>
      <c r="D1867" t="s">
        <v>99</v>
      </c>
      <c r="E1867" t="s">
        <v>100</v>
      </c>
      <c r="F1867" t="s">
        <v>86</v>
      </c>
      <c r="G1867" t="s">
        <v>52</v>
      </c>
      <c r="H1867" t="s">
        <v>101</v>
      </c>
      <c r="I1867" t="s">
        <v>92</v>
      </c>
      <c r="J1867">
        <v>15536</v>
      </c>
      <c r="K1867">
        <v>72614</v>
      </c>
      <c r="L1867">
        <v>11117</v>
      </c>
      <c r="M1867">
        <v>391.3</v>
      </c>
      <c r="N1867">
        <v>2562</v>
      </c>
      <c r="O1867">
        <v>115</v>
      </c>
      <c r="P1867">
        <v>0</v>
      </c>
      <c r="Q1867">
        <v>0</v>
      </c>
      <c r="R1867">
        <v>0</v>
      </c>
      <c r="S1867">
        <v>0</v>
      </c>
      <c r="T1867">
        <v>0</v>
      </c>
      <c r="U1867">
        <v>0</v>
      </c>
      <c r="V1867">
        <v>15927.3</v>
      </c>
      <c r="W1867">
        <v>75176</v>
      </c>
      <c r="X1867">
        <v>11232</v>
      </c>
      <c r="Y1867">
        <f t="shared" si="29"/>
        <v>75176</v>
      </c>
      <c r="Z1867" t="str">
        <f>IF(ISNUMBER(SEARCH("Adjustment",$C1867)),"excluded",IF($H1867="Behind the Meter","excluded",IF(NOT(OR($E1867="Bundled",$E1867="Energy")),"excluded",IF(OR($H1867="Retail Power Marketer",$H1867="Community Choice Aggregator",$E1867="Energy"),"procurement",IF(OR($H1867="Municipal",$H1867="Cooperative",$H1867="Federal",$H1867="State",$H1867="Political Subdivision"),"cost_service",IF($H1867="Investor Owned",IF(AND(COUNTIF(Parameters!$A$4:$A$33,$G1867)&gt;0,COUNTIF(Parameters!$B$4:$B$33,$B1867)=0),"procurement","cost_service"),"unclassified"))))))</f>
        <v>procurement</v>
      </c>
    </row>
    <row r="1868" spans="1:26" x14ac:dyDescent="0.25">
      <c r="A1868">
        <v>2024</v>
      </c>
      <c r="B1868">
        <v>58951</v>
      </c>
      <c r="C1868" t="s">
        <v>1516</v>
      </c>
      <c r="D1868" t="s">
        <v>99</v>
      </c>
      <c r="E1868" t="s">
        <v>100</v>
      </c>
      <c r="F1868" t="s">
        <v>86</v>
      </c>
      <c r="G1868" t="s">
        <v>53</v>
      </c>
      <c r="H1868" t="s">
        <v>101</v>
      </c>
      <c r="I1868" t="s">
        <v>102</v>
      </c>
      <c r="J1868">
        <v>44719.3</v>
      </c>
      <c r="K1868">
        <v>192497</v>
      </c>
      <c r="L1868">
        <v>38539</v>
      </c>
      <c r="M1868">
        <v>334</v>
      </c>
      <c r="N1868">
        <v>1639</v>
      </c>
      <c r="O1868">
        <v>92</v>
      </c>
      <c r="P1868">
        <v>0</v>
      </c>
      <c r="Q1868">
        <v>0</v>
      </c>
      <c r="R1868">
        <v>0</v>
      </c>
      <c r="S1868">
        <v>0</v>
      </c>
      <c r="T1868">
        <v>0</v>
      </c>
      <c r="U1868">
        <v>0</v>
      </c>
      <c r="V1868">
        <v>45053.3</v>
      </c>
      <c r="W1868">
        <v>194136</v>
      </c>
      <c r="X1868">
        <v>38631</v>
      </c>
      <c r="Y1868">
        <f t="shared" si="29"/>
        <v>194136</v>
      </c>
      <c r="Z1868" t="str">
        <f>IF(ISNUMBER(SEARCH("Adjustment",$C1868)),"excluded",IF($H1868="Behind the Meter","excluded",IF(NOT(OR($E1868="Bundled",$E1868="Energy")),"excluded",IF(OR($H1868="Retail Power Marketer",$H1868="Community Choice Aggregator",$E1868="Energy"),"procurement",IF(OR($H1868="Municipal",$H1868="Cooperative",$H1868="Federal",$H1868="State",$H1868="Political Subdivision"),"cost_service",IF($H1868="Investor Owned",IF(AND(COUNTIF(Parameters!$A$4:$A$33,$G1868)&gt;0,COUNTIF(Parameters!$B$4:$B$33,$B1868)=0),"procurement","cost_service"),"unclassified"))))))</f>
        <v>procurement</v>
      </c>
    </row>
    <row r="1869" spans="1:26" x14ac:dyDescent="0.25">
      <c r="A1869">
        <v>2024</v>
      </c>
      <c r="B1869">
        <v>58951</v>
      </c>
      <c r="C1869" t="s">
        <v>1516</v>
      </c>
      <c r="D1869" t="s">
        <v>99</v>
      </c>
      <c r="E1869" t="s">
        <v>100</v>
      </c>
      <c r="F1869" t="s">
        <v>86</v>
      </c>
      <c r="G1869" t="s">
        <v>54</v>
      </c>
      <c r="H1869" t="s">
        <v>101</v>
      </c>
      <c r="I1869" t="s">
        <v>92</v>
      </c>
      <c r="J1869">
        <v>18157.3</v>
      </c>
      <c r="K1869">
        <v>209312</v>
      </c>
      <c r="L1869">
        <v>22951</v>
      </c>
      <c r="M1869">
        <v>112.5</v>
      </c>
      <c r="N1869">
        <v>1397</v>
      </c>
      <c r="O1869">
        <v>160</v>
      </c>
      <c r="P1869">
        <v>0</v>
      </c>
      <c r="Q1869">
        <v>0</v>
      </c>
      <c r="R1869">
        <v>0</v>
      </c>
      <c r="S1869">
        <v>0</v>
      </c>
      <c r="T1869">
        <v>0</v>
      </c>
      <c r="U1869">
        <v>0</v>
      </c>
      <c r="V1869">
        <v>18269.8</v>
      </c>
      <c r="W1869">
        <v>210709</v>
      </c>
      <c r="X1869">
        <v>23111</v>
      </c>
      <c r="Y1869">
        <f t="shared" si="29"/>
        <v>210709</v>
      </c>
      <c r="Z1869" t="str">
        <f>IF(ISNUMBER(SEARCH("Adjustment",$C1869)),"excluded",IF($H1869="Behind the Meter","excluded",IF(NOT(OR($E1869="Bundled",$E1869="Energy")),"excluded",IF(OR($H1869="Retail Power Marketer",$H1869="Community Choice Aggregator",$E1869="Energy"),"procurement",IF(OR($H1869="Municipal",$H1869="Cooperative",$H1869="Federal",$H1869="State",$H1869="Political Subdivision"),"cost_service",IF($H1869="Investor Owned",IF(AND(COUNTIF(Parameters!$A$4:$A$33,$G1869)&gt;0,COUNTIF(Parameters!$B$4:$B$33,$B1869)=0),"procurement","cost_service"),"unclassified"))))))</f>
        <v>procurement</v>
      </c>
    </row>
    <row r="1870" spans="1:26" x14ac:dyDescent="0.25">
      <c r="A1870">
        <v>2024</v>
      </c>
      <c r="B1870">
        <v>58951</v>
      </c>
      <c r="C1870" t="s">
        <v>1516</v>
      </c>
      <c r="D1870" t="s">
        <v>99</v>
      </c>
      <c r="E1870" t="s">
        <v>100</v>
      </c>
      <c r="F1870" t="s">
        <v>86</v>
      </c>
      <c r="G1870" t="s">
        <v>55</v>
      </c>
      <c r="H1870" t="s">
        <v>101</v>
      </c>
      <c r="I1870" t="s">
        <v>92</v>
      </c>
      <c r="J1870">
        <v>71969.8</v>
      </c>
      <c r="K1870">
        <v>633724</v>
      </c>
      <c r="L1870">
        <v>70723</v>
      </c>
      <c r="M1870">
        <v>560.20000000000005</v>
      </c>
      <c r="N1870">
        <v>5202</v>
      </c>
      <c r="O1870">
        <v>582</v>
      </c>
      <c r="P1870">
        <v>0</v>
      </c>
      <c r="Q1870">
        <v>0</v>
      </c>
      <c r="R1870">
        <v>0</v>
      </c>
      <c r="S1870">
        <v>0</v>
      </c>
      <c r="T1870">
        <v>0</v>
      </c>
      <c r="U1870">
        <v>0</v>
      </c>
      <c r="V1870">
        <v>72530</v>
      </c>
      <c r="W1870">
        <v>638926</v>
      </c>
      <c r="X1870">
        <v>71305</v>
      </c>
      <c r="Y1870">
        <f t="shared" si="29"/>
        <v>638926</v>
      </c>
      <c r="Z1870" t="str">
        <f>IF(ISNUMBER(SEARCH("Adjustment",$C1870)),"excluded",IF($H1870="Behind the Meter","excluded",IF(NOT(OR($E1870="Bundled",$E1870="Energy")),"excluded",IF(OR($H1870="Retail Power Marketer",$H1870="Community Choice Aggregator",$E1870="Energy"),"procurement",IF(OR($H1870="Municipal",$H1870="Cooperative",$H1870="Federal",$H1870="State",$H1870="Political Subdivision"),"cost_service",IF($H1870="Investor Owned",IF(AND(COUNTIF(Parameters!$A$4:$A$33,$G1870)&gt;0,COUNTIF(Parameters!$B$4:$B$33,$B1870)=0),"procurement","cost_service"),"unclassified"))))))</f>
        <v>procurement</v>
      </c>
    </row>
    <row r="1871" spans="1:26" x14ac:dyDescent="0.25">
      <c r="A1871">
        <v>2024</v>
      </c>
      <c r="B1871">
        <v>58952</v>
      </c>
      <c r="C1871" t="s">
        <v>1517</v>
      </c>
      <c r="D1871" t="s">
        <v>99</v>
      </c>
      <c r="E1871" t="s">
        <v>100</v>
      </c>
      <c r="F1871" t="s">
        <v>86</v>
      </c>
      <c r="G1871" t="s">
        <v>46</v>
      </c>
      <c r="H1871" t="s">
        <v>101</v>
      </c>
      <c r="I1871" t="s">
        <v>92</v>
      </c>
      <c r="J1871">
        <v>3131.3</v>
      </c>
      <c r="K1871">
        <v>10489</v>
      </c>
      <c r="L1871">
        <v>1724</v>
      </c>
      <c r="M1871">
        <v>410.8</v>
      </c>
      <c r="N1871">
        <v>1370</v>
      </c>
      <c r="O1871">
        <v>54</v>
      </c>
      <c r="P1871">
        <v>0</v>
      </c>
      <c r="Q1871">
        <v>0</v>
      </c>
      <c r="R1871">
        <v>0</v>
      </c>
      <c r="S1871">
        <v>0</v>
      </c>
      <c r="T1871">
        <v>0</v>
      </c>
      <c r="U1871">
        <v>0</v>
      </c>
      <c r="V1871">
        <v>3542.1</v>
      </c>
      <c r="W1871">
        <v>11859</v>
      </c>
      <c r="X1871">
        <v>1778</v>
      </c>
      <c r="Y1871">
        <f t="shared" si="29"/>
        <v>11859</v>
      </c>
      <c r="Z1871" t="str">
        <f>IF(ISNUMBER(SEARCH("Adjustment",$C1871)),"excluded",IF($H1871="Behind the Meter","excluded",IF(NOT(OR($E1871="Bundled",$E1871="Energy")),"excluded",IF(OR($H1871="Retail Power Marketer",$H1871="Community Choice Aggregator",$E1871="Energy"),"procurement",IF(OR($H1871="Municipal",$H1871="Cooperative",$H1871="Federal",$H1871="State",$H1871="Political Subdivision"),"cost_service",IF($H1871="Investor Owned",IF(AND(COUNTIF(Parameters!$A$4:$A$33,$G1871)&gt;0,COUNTIF(Parameters!$B$4:$B$33,$B1871)=0),"procurement","cost_service"),"unclassified"))))))</f>
        <v>procurement</v>
      </c>
    </row>
    <row r="1872" spans="1:26" x14ac:dyDescent="0.25">
      <c r="A1872">
        <v>2024</v>
      </c>
      <c r="B1872">
        <v>58952</v>
      </c>
      <c r="C1872" t="s">
        <v>1517</v>
      </c>
      <c r="D1872" t="s">
        <v>99</v>
      </c>
      <c r="E1872" t="s">
        <v>100</v>
      </c>
      <c r="F1872" t="s">
        <v>86</v>
      </c>
      <c r="G1872" t="s">
        <v>49</v>
      </c>
      <c r="H1872" t="s">
        <v>101</v>
      </c>
      <c r="I1872" t="s">
        <v>92</v>
      </c>
      <c r="J1872">
        <v>4187.3</v>
      </c>
      <c r="K1872">
        <v>21697</v>
      </c>
      <c r="L1872">
        <v>2755</v>
      </c>
      <c r="M1872">
        <v>0</v>
      </c>
      <c r="N1872">
        <v>0</v>
      </c>
      <c r="O1872">
        <v>0</v>
      </c>
      <c r="P1872">
        <v>0</v>
      </c>
      <c r="Q1872">
        <v>0</v>
      </c>
      <c r="R1872">
        <v>0</v>
      </c>
      <c r="S1872">
        <v>0</v>
      </c>
      <c r="T1872">
        <v>0</v>
      </c>
      <c r="U1872">
        <v>0</v>
      </c>
      <c r="V1872">
        <v>4187.3</v>
      </c>
      <c r="W1872">
        <v>21697</v>
      </c>
      <c r="X1872">
        <v>2755</v>
      </c>
      <c r="Y1872">
        <f t="shared" si="29"/>
        <v>21697</v>
      </c>
      <c r="Z1872" t="str">
        <f>IF(ISNUMBER(SEARCH("Adjustment",$C1872)),"excluded",IF($H1872="Behind the Meter","excluded",IF(NOT(OR($E1872="Bundled",$E1872="Energy")),"excluded",IF(OR($H1872="Retail Power Marketer",$H1872="Community Choice Aggregator",$E1872="Energy"),"procurement",IF(OR($H1872="Municipal",$H1872="Cooperative",$H1872="Federal",$H1872="State",$H1872="Political Subdivision"),"cost_service",IF($H1872="Investor Owned",IF(AND(COUNTIF(Parameters!$A$4:$A$33,$G1872)&gt;0,COUNTIF(Parameters!$B$4:$B$33,$B1872)=0),"procurement","cost_service"),"unclassified"))))))</f>
        <v>procurement</v>
      </c>
    </row>
    <row r="1873" spans="1:26" x14ac:dyDescent="0.25">
      <c r="A1873">
        <v>2024</v>
      </c>
      <c r="B1873">
        <v>58952</v>
      </c>
      <c r="C1873" t="s">
        <v>1517</v>
      </c>
      <c r="D1873" t="s">
        <v>99</v>
      </c>
      <c r="E1873" t="s">
        <v>100</v>
      </c>
      <c r="F1873" t="s">
        <v>86</v>
      </c>
      <c r="G1873" t="s">
        <v>52</v>
      </c>
      <c r="H1873" t="s">
        <v>101</v>
      </c>
      <c r="I1873" t="s">
        <v>92</v>
      </c>
      <c r="J1873">
        <v>3032.2</v>
      </c>
      <c r="K1873">
        <v>12754</v>
      </c>
      <c r="L1873">
        <v>2166</v>
      </c>
      <c r="M1873">
        <v>1.5</v>
      </c>
      <c r="N1873">
        <v>4</v>
      </c>
      <c r="O1873">
        <v>4</v>
      </c>
      <c r="P1873">
        <v>0</v>
      </c>
      <c r="Q1873">
        <v>0</v>
      </c>
      <c r="R1873">
        <v>0</v>
      </c>
      <c r="S1873">
        <v>0</v>
      </c>
      <c r="T1873">
        <v>0</v>
      </c>
      <c r="U1873">
        <v>0</v>
      </c>
      <c r="V1873">
        <v>3033.7</v>
      </c>
      <c r="W1873">
        <v>12758</v>
      </c>
      <c r="X1873">
        <v>2170</v>
      </c>
      <c r="Y1873">
        <f t="shared" si="29"/>
        <v>12758</v>
      </c>
      <c r="Z1873" t="str">
        <f>IF(ISNUMBER(SEARCH("Adjustment",$C1873)),"excluded",IF($H1873="Behind the Meter","excluded",IF(NOT(OR($E1873="Bundled",$E1873="Energy")),"excluded",IF(OR($H1873="Retail Power Marketer",$H1873="Community Choice Aggregator",$E1873="Energy"),"procurement",IF(OR($H1873="Municipal",$H1873="Cooperative",$H1873="Federal",$H1873="State",$H1873="Political Subdivision"),"cost_service",IF($H1873="Investor Owned",IF(AND(COUNTIF(Parameters!$A$4:$A$33,$G1873)&gt;0,COUNTIF(Parameters!$B$4:$B$33,$B1873)=0),"procurement","cost_service"),"unclassified"))))))</f>
        <v>procurement</v>
      </c>
    </row>
    <row r="1874" spans="1:26" x14ac:dyDescent="0.25">
      <c r="A1874">
        <v>2024</v>
      </c>
      <c r="B1874">
        <v>58952</v>
      </c>
      <c r="C1874" t="s">
        <v>1517</v>
      </c>
      <c r="D1874" t="s">
        <v>99</v>
      </c>
      <c r="E1874" t="s">
        <v>100</v>
      </c>
      <c r="F1874" t="s">
        <v>86</v>
      </c>
      <c r="G1874" t="s">
        <v>54</v>
      </c>
      <c r="H1874" t="s">
        <v>101</v>
      </c>
      <c r="I1874" t="s">
        <v>92</v>
      </c>
      <c r="J1874">
        <v>4711.3999999999996</v>
      </c>
      <c r="K1874">
        <v>39496</v>
      </c>
      <c r="L1874">
        <v>4634</v>
      </c>
      <c r="M1874">
        <v>1.9</v>
      </c>
      <c r="N1874">
        <v>7</v>
      </c>
      <c r="O1874">
        <v>3</v>
      </c>
      <c r="P1874">
        <v>0</v>
      </c>
      <c r="Q1874">
        <v>0</v>
      </c>
      <c r="R1874">
        <v>0</v>
      </c>
      <c r="S1874">
        <v>0</v>
      </c>
      <c r="T1874">
        <v>0</v>
      </c>
      <c r="U1874">
        <v>0</v>
      </c>
      <c r="V1874">
        <v>4713.3</v>
      </c>
      <c r="W1874">
        <v>39503</v>
      </c>
      <c r="X1874">
        <v>4637</v>
      </c>
      <c r="Y1874">
        <f t="shared" si="29"/>
        <v>39503</v>
      </c>
      <c r="Z1874" t="str">
        <f>IF(ISNUMBER(SEARCH("Adjustment",$C1874)),"excluded",IF($H1874="Behind the Meter","excluded",IF(NOT(OR($E1874="Bundled",$E1874="Energy")),"excluded",IF(OR($H1874="Retail Power Marketer",$H1874="Community Choice Aggregator",$E1874="Energy"),"procurement",IF(OR($H1874="Municipal",$H1874="Cooperative",$H1874="Federal",$H1874="State",$H1874="Political Subdivision"),"cost_service",IF($H1874="Investor Owned",IF(AND(COUNTIF(Parameters!$A$4:$A$33,$G1874)&gt;0,COUNTIF(Parameters!$B$4:$B$33,$B1874)=0),"procurement","cost_service"),"unclassified"))))))</f>
        <v>procurement</v>
      </c>
    </row>
    <row r="1875" spans="1:26" x14ac:dyDescent="0.25">
      <c r="A1875">
        <v>2024</v>
      </c>
      <c r="B1875">
        <v>58952</v>
      </c>
      <c r="C1875" t="s">
        <v>1517</v>
      </c>
      <c r="D1875" t="s">
        <v>99</v>
      </c>
      <c r="E1875" t="s">
        <v>100</v>
      </c>
      <c r="F1875" t="s">
        <v>86</v>
      </c>
      <c r="G1875" t="s">
        <v>55</v>
      </c>
      <c r="H1875" t="s">
        <v>101</v>
      </c>
      <c r="I1875" t="s">
        <v>92</v>
      </c>
      <c r="J1875">
        <v>21294.400000000001</v>
      </c>
      <c r="K1875">
        <v>138215</v>
      </c>
      <c r="L1875">
        <v>15646</v>
      </c>
      <c r="M1875">
        <v>274.5</v>
      </c>
      <c r="N1875">
        <v>1010</v>
      </c>
      <c r="O1875">
        <v>99</v>
      </c>
      <c r="P1875">
        <v>0</v>
      </c>
      <c r="Q1875">
        <v>0</v>
      </c>
      <c r="R1875">
        <v>0</v>
      </c>
      <c r="S1875">
        <v>0</v>
      </c>
      <c r="T1875">
        <v>0</v>
      </c>
      <c r="U1875">
        <v>0</v>
      </c>
      <c r="V1875">
        <v>21568.9</v>
      </c>
      <c r="W1875">
        <v>139225</v>
      </c>
      <c r="X1875">
        <v>15745</v>
      </c>
      <c r="Y1875">
        <f t="shared" si="29"/>
        <v>139225</v>
      </c>
      <c r="Z1875" t="str">
        <f>IF(ISNUMBER(SEARCH("Adjustment",$C1875)),"excluded",IF($H1875="Behind the Meter","excluded",IF(NOT(OR($E1875="Bundled",$E1875="Energy")),"excluded",IF(OR($H1875="Retail Power Marketer",$H1875="Community Choice Aggregator",$E1875="Energy"),"procurement",IF(OR($H1875="Municipal",$H1875="Cooperative",$H1875="Federal",$H1875="State",$H1875="Political Subdivision"),"cost_service",IF($H1875="Investor Owned",IF(AND(COUNTIF(Parameters!$A$4:$A$33,$G1875)&gt;0,COUNTIF(Parameters!$B$4:$B$33,$B1875)=0),"procurement","cost_service"),"unclassified"))))))</f>
        <v>procurement</v>
      </c>
    </row>
    <row r="1876" spans="1:26" x14ac:dyDescent="0.25">
      <c r="A1876">
        <v>2024</v>
      </c>
      <c r="B1876">
        <v>58952</v>
      </c>
      <c r="C1876" t="s">
        <v>1517</v>
      </c>
      <c r="D1876" t="s">
        <v>150</v>
      </c>
      <c r="E1876" t="s">
        <v>85</v>
      </c>
      <c r="F1876" t="s">
        <v>86</v>
      </c>
      <c r="G1876" t="s">
        <v>57</v>
      </c>
      <c r="H1876" t="s">
        <v>101</v>
      </c>
      <c r="I1876" t="s">
        <v>151</v>
      </c>
      <c r="J1876">
        <v>7860.9</v>
      </c>
      <c r="K1876">
        <v>46054</v>
      </c>
      <c r="L1876">
        <v>3830</v>
      </c>
      <c r="M1876" t="s">
        <v>97</v>
      </c>
      <c r="N1876" t="s">
        <v>97</v>
      </c>
      <c r="O1876" t="s">
        <v>97</v>
      </c>
      <c r="P1876" t="s">
        <v>97</v>
      </c>
      <c r="Q1876" t="s">
        <v>97</v>
      </c>
      <c r="R1876" t="s">
        <v>97</v>
      </c>
      <c r="S1876" t="s">
        <v>97</v>
      </c>
      <c r="T1876" t="s">
        <v>97</v>
      </c>
      <c r="U1876" t="s">
        <v>97</v>
      </c>
      <c r="V1876">
        <v>7860.9</v>
      </c>
      <c r="W1876">
        <v>46054</v>
      </c>
      <c r="X1876">
        <v>3830</v>
      </c>
      <c r="Y1876">
        <f t="shared" si="29"/>
        <v>46054</v>
      </c>
      <c r="Z1876" t="str">
        <f>IF(ISNUMBER(SEARCH("Adjustment",$C1876)),"excluded",IF($H1876="Behind the Meter","excluded",IF(NOT(OR($E1876="Bundled",$E1876="Energy")),"excluded",IF(OR($H1876="Retail Power Marketer",$H1876="Community Choice Aggregator",$E1876="Energy"),"procurement",IF(OR($H1876="Municipal",$H1876="Cooperative",$H1876="Federal",$H1876="State",$H1876="Political Subdivision"),"cost_service",IF($H1876="Investor Owned",IF(AND(COUNTIF(Parameters!$A$4:$A$33,$G1876)&gt;0,COUNTIF(Parameters!$B$4:$B$33,$B1876)=0),"procurement","cost_service"),"unclassified"))))))</f>
        <v>procurement</v>
      </c>
    </row>
    <row r="1877" spans="1:26" x14ac:dyDescent="0.25">
      <c r="A1877">
        <v>2024</v>
      </c>
      <c r="B1877">
        <v>58956</v>
      </c>
      <c r="C1877" t="s">
        <v>1518</v>
      </c>
      <c r="D1877" t="s">
        <v>99</v>
      </c>
      <c r="E1877" t="s">
        <v>100</v>
      </c>
      <c r="F1877" t="s">
        <v>86</v>
      </c>
      <c r="G1877" t="s">
        <v>42</v>
      </c>
      <c r="H1877" t="s">
        <v>101</v>
      </c>
      <c r="I1877" t="s">
        <v>92</v>
      </c>
      <c r="J1877">
        <v>4527.7</v>
      </c>
      <c r="K1877">
        <v>25768</v>
      </c>
      <c r="L1877">
        <v>4186</v>
      </c>
      <c r="M1877">
        <v>0</v>
      </c>
      <c r="N1877">
        <v>0</v>
      </c>
      <c r="O1877">
        <v>0</v>
      </c>
      <c r="P1877">
        <v>0</v>
      </c>
      <c r="Q1877">
        <v>0</v>
      </c>
      <c r="R1877">
        <v>0</v>
      </c>
      <c r="S1877">
        <v>0</v>
      </c>
      <c r="T1877">
        <v>0</v>
      </c>
      <c r="U1877">
        <v>0</v>
      </c>
      <c r="V1877">
        <v>4527.7</v>
      </c>
      <c r="W1877">
        <v>25768</v>
      </c>
      <c r="X1877">
        <v>4186</v>
      </c>
      <c r="Y1877">
        <f t="shared" si="29"/>
        <v>25768</v>
      </c>
      <c r="Z1877" t="str">
        <f>IF(ISNUMBER(SEARCH("Adjustment",$C1877)),"excluded",IF($H1877="Behind the Meter","excluded",IF(NOT(OR($E1877="Bundled",$E1877="Energy")),"excluded",IF(OR($H1877="Retail Power Marketer",$H1877="Community Choice Aggregator",$E1877="Energy"),"procurement",IF(OR($H1877="Municipal",$H1877="Cooperative",$H1877="Federal",$H1877="State",$H1877="Political Subdivision"),"cost_service",IF($H1877="Investor Owned",IF(AND(COUNTIF(Parameters!$A$4:$A$33,$G1877)&gt;0,COUNTIF(Parameters!$B$4:$B$33,$B1877)=0),"procurement","cost_service"),"unclassified"))))))</f>
        <v>procurement</v>
      </c>
    </row>
    <row r="1878" spans="1:26" x14ac:dyDescent="0.25">
      <c r="A1878">
        <v>2024</v>
      </c>
      <c r="B1878">
        <v>58956</v>
      </c>
      <c r="C1878" t="s">
        <v>1518</v>
      </c>
      <c r="D1878" t="s">
        <v>99</v>
      </c>
      <c r="E1878" t="s">
        <v>100</v>
      </c>
      <c r="F1878" t="s">
        <v>86</v>
      </c>
      <c r="G1878" t="s">
        <v>44</v>
      </c>
      <c r="H1878" t="s">
        <v>101</v>
      </c>
      <c r="I1878" t="s">
        <v>92</v>
      </c>
      <c r="J1878">
        <v>3102.4</v>
      </c>
      <c r="K1878">
        <v>19568</v>
      </c>
      <c r="L1878">
        <v>2260</v>
      </c>
      <c r="M1878">
        <v>0</v>
      </c>
      <c r="N1878">
        <v>0</v>
      </c>
      <c r="O1878">
        <v>0</v>
      </c>
      <c r="P1878">
        <v>0</v>
      </c>
      <c r="Q1878">
        <v>0</v>
      </c>
      <c r="R1878">
        <v>0</v>
      </c>
      <c r="S1878">
        <v>0</v>
      </c>
      <c r="T1878">
        <v>0</v>
      </c>
      <c r="U1878">
        <v>0</v>
      </c>
      <c r="V1878">
        <v>3102.4</v>
      </c>
      <c r="W1878">
        <v>19568</v>
      </c>
      <c r="X1878">
        <v>2260</v>
      </c>
      <c r="Y1878">
        <f t="shared" si="29"/>
        <v>19568</v>
      </c>
      <c r="Z1878" t="str">
        <f>IF(ISNUMBER(SEARCH("Adjustment",$C1878)),"excluded",IF($H1878="Behind the Meter","excluded",IF(NOT(OR($E1878="Bundled",$E1878="Energy")),"excluded",IF(OR($H1878="Retail Power Marketer",$H1878="Community Choice Aggregator",$E1878="Energy"),"procurement",IF(OR($H1878="Municipal",$H1878="Cooperative",$H1878="Federal",$H1878="State",$H1878="Political Subdivision"),"cost_service",IF($H1878="Investor Owned",IF(AND(COUNTIF(Parameters!$A$4:$A$33,$G1878)&gt;0,COUNTIF(Parameters!$B$4:$B$33,$B1878)=0),"procurement","cost_service"),"unclassified"))))))</f>
        <v>procurement</v>
      </c>
    </row>
    <row r="1879" spans="1:26" x14ac:dyDescent="0.25">
      <c r="A1879">
        <v>2024</v>
      </c>
      <c r="B1879">
        <v>58956</v>
      </c>
      <c r="C1879" t="s">
        <v>1518</v>
      </c>
      <c r="D1879" t="s">
        <v>99</v>
      </c>
      <c r="E1879" t="s">
        <v>100</v>
      </c>
      <c r="F1879" t="s">
        <v>86</v>
      </c>
      <c r="G1879" t="s">
        <v>46</v>
      </c>
      <c r="H1879" t="s">
        <v>101</v>
      </c>
      <c r="I1879" t="s">
        <v>92</v>
      </c>
      <c r="J1879">
        <v>13795</v>
      </c>
      <c r="K1879">
        <v>130429</v>
      </c>
      <c r="L1879">
        <v>23102</v>
      </c>
      <c r="M1879">
        <v>0</v>
      </c>
      <c r="N1879">
        <v>0</v>
      </c>
      <c r="O1879">
        <v>0</v>
      </c>
      <c r="P1879">
        <v>0</v>
      </c>
      <c r="Q1879">
        <v>0</v>
      </c>
      <c r="R1879">
        <v>0</v>
      </c>
      <c r="S1879">
        <v>0</v>
      </c>
      <c r="T1879">
        <v>0</v>
      </c>
      <c r="U1879">
        <v>0</v>
      </c>
      <c r="V1879">
        <v>13795</v>
      </c>
      <c r="W1879">
        <v>130429</v>
      </c>
      <c r="X1879">
        <v>23102</v>
      </c>
      <c r="Y1879">
        <f t="shared" si="29"/>
        <v>130429</v>
      </c>
      <c r="Z1879" t="str">
        <f>IF(ISNUMBER(SEARCH("Adjustment",$C1879)),"excluded",IF($H1879="Behind the Meter","excluded",IF(NOT(OR($E1879="Bundled",$E1879="Energy")),"excluded",IF(OR($H1879="Retail Power Marketer",$H1879="Community Choice Aggregator",$E1879="Energy"),"procurement",IF(OR($H1879="Municipal",$H1879="Cooperative",$H1879="Federal",$H1879="State",$H1879="Political Subdivision"),"cost_service",IF($H1879="Investor Owned",IF(AND(COUNTIF(Parameters!$A$4:$A$33,$G1879)&gt;0,COUNTIF(Parameters!$B$4:$B$33,$B1879)=0),"procurement","cost_service"),"unclassified"))))))</f>
        <v>procurement</v>
      </c>
    </row>
    <row r="1880" spans="1:26" x14ac:dyDescent="0.25">
      <c r="A1880">
        <v>2024</v>
      </c>
      <c r="B1880">
        <v>58956</v>
      </c>
      <c r="C1880" t="s">
        <v>1518</v>
      </c>
      <c r="D1880" t="s">
        <v>99</v>
      </c>
      <c r="E1880" t="s">
        <v>100</v>
      </c>
      <c r="F1880" t="s">
        <v>86</v>
      </c>
      <c r="G1880" t="s">
        <v>46</v>
      </c>
      <c r="H1880" t="s">
        <v>101</v>
      </c>
      <c r="I1880" t="s">
        <v>96</v>
      </c>
      <c r="J1880">
        <v>10986</v>
      </c>
      <c r="K1880">
        <v>97903</v>
      </c>
      <c r="L1880">
        <v>12101</v>
      </c>
      <c r="M1880">
        <v>0</v>
      </c>
      <c r="N1880">
        <v>0</v>
      </c>
      <c r="O1880">
        <v>0</v>
      </c>
      <c r="P1880">
        <v>0</v>
      </c>
      <c r="Q1880">
        <v>0</v>
      </c>
      <c r="R1880">
        <v>0</v>
      </c>
      <c r="S1880">
        <v>0</v>
      </c>
      <c r="T1880">
        <v>0</v>
      </c>
      <c r="U1880">
        <v>0</v>
      </c>
      <c r="V1880">
        <v>10986</v>
      </c>
      <c r="W1880">
        <v>97903</v>
      </c>
      <c r="X1880">
        <v>12101</v>
      </c>
      <c r="Y1880">
        <f t="shared" si="29"/>
        <v>97903</v>
      </c>
      <c r="Z1880" t="str">
        <f>IF(ISNUMBER(SEARCH("Adjustment",$C1880)),"excluded",IF($H1880="Behind the Meter","excluded",IF(NOT(OR($E1880="Bundled",$E1880="Energy")),"excluded",IF(OR($H1880="Retail Power Marketer",$H1880="Community Choice Aggregator",$E1880="Energy"),"procurement",IF(OR($H1880="Municipal",$H1880="Cooperative",$H1880="Federal",$H1880="State",$H1880="Political Subdivision"),"cost_service",IF($H1880="Investor Owned",IF(AND(COUNTIF(Parameters!$A$4:$A$33,$G1880)&gt;0,COUNTIF(Parameters!$B$4:$B$33,$B1880)=0),"procurement","cost_service"),"unclassified"))))))</f>
        <v>procurement</v>
      </c>
    </row>
    <row r="1881" spans="1:26" x14ac:dyDescent="0.25">
      <c r="A1881">
        <v>2024</v>
      </c>
      <c r="B1881">
        <v>58956</v>
      </c>
      <c r="C1881" t="s">
        <v>1518</v>
      </c>
      <c r="D1881" t="s">
        <v>99</v>
      </c>
      <c r="E1881" t="s">
        <v>100</v>
      </c>
      <c r="F1881" t="s">
        <v>86</v>
      </c>
      <c r="G1881" t="s">
        <v>48</v>
      </c>
      <c r="H1881" t="s">
        <v>101</v>
      </c>
      <c r="I1881" t="s">
        <v>189</v>
      </c>
      <c r="J1881">
        <v>19559</v>
      </c>
      <c r="K1881">
        <v>111259</v>
      </c>
      <c r="L1881">
        <v>18349</v>
      </c>
      <c r="M1881">
        <v>0</v>
      </c>
      <c r="N1881">
        <v>0</v>
      </c>
      <c r="O1881">
        <v>0</v>
      </c>
      <c r="P1881">
        <v>0</v>
      </c>
      <c r="Q1881">
        <v>0</v>
      </c>
      <c r="R1881">
        <v>0</v>
      </c>
      <c r="S1881">
        <v>0</v>
      </c>
      <c r="T1881">
        <v>0</v>
      </c>
      <c r="U1881">
        <v>0</v>
      </c>
      <c r="V1881">
        <v>19559</v>
      </c>
      <c r="W1881">
        <v>111259</v>
      </c>
      <c r="X1881">
        <v>18349</v>
      </c>
      <c r="Y1881">
        <f t="shared" si="29"/>
        <v>111259</v>
      </c>
      <c r="Z1881" t="str">
        <f>IF(ISNUMBER(SEARCH("Adjustment",$C1881)),"excluded",IF($H1881="Behind the Meter","excluded",IF(NOT(OR($E1881="Bundled",$E1881="Energy")),"excluded",IF(OR($H1881="Retail Power Marketer",$H1881="Community Choice Aggregator",$E1881="Energy"),"procurement",IF(OR($H1881="Municipal",$H1881="Cooperative",$H1881="Federal",$H1881="State",$H1881="Political Subdivision"),"cost_service",IF($H1881="Investor Owned",IF(AND(COUNTIF(Parameters!$A$4:$A$33,$G1881)&gt;0,COUNTIF(Parameters!$B$4:$B$33,$B1881)=0),"procurement","cost_service"),"unclassified"))))))</f>
        <v>procurement</v>
      </c>
    </row>
    <row r="1882" spans="1:26" x14ac:dyDescent="0.25">
      <c r="A1882">
        <v>2024</v>
      </c>
      <c r="B1882">
        <v>58956</v>
      </c>
      <c r="C1882" t="s">
        <v>1518</v>
      </c>
      <c r="D1882" t="s">
        <v>99</v>
      </c>
      <c r="E1882" t="s">
        <v>100</v>
      </c>
      <c r="F1882" t="s">
        <v>86</v>
      </c>
      <c r="G1882" t="s">
        <v>49</v>
      </c>
      <c r="H1882" t="s">
        <v>101</v>
      </c>
      <c r="I1882" t="s">
        <v>92</v>
      </c>
      <c r="J1882">
        <v>751.7</v>
      </c>
      <c r="K1882">
        <v>6718</v>
      </c>
      <c r="L1882">
        <v>2657</v>
      </c>
      <c r="M1882">
        <v>0</v>
      </c>
      <c r="N1882">
        <v>0</v>
      </c>
      <c r="O1882">
        <v>0</v>
      </c>
      <c r="P1882">
        <v>0</v>
      </c>
      <c r="Q1882">
        <v>0</v>
      </c>
      <c r="R1882">
        <v>0</v>
      </c>
      <c r="S1882">
        <v>0</v>
      </c>
      <c r="T1882">
        <v>0</v>
      </c>
      <c r="U1882">
        <v>0</v>
      </c>
      <c r="V1882">
        <v>751.7</v>
      </c>
      <c r="W1882">
        <v>6718</v>
      </c>
      <c r="X1882">
        <v>2657</v>
      </c>
      <c r="Y1882">
        <f t="shared" si="29"/>
        <v>6718</v>
      </c>
      <c r="Z1882" t="str">
        <f>IF(ISNUMBER(SEARCH("Adjustment",$C1882)),"excluded",IF($H1882="Behind the Meter","excluded",IF(NOT(OR($E1882="Bundled",$E1882="Energy")),"excluded",IF(OR($H1882="Retail Power Marketer",$H1882="Community Choice Aggregator",$E1882="Energy"),"procurement",IF(OR($H1882="Municipal",$H1882="Cooperative",$H1882="Federal",$H1882="State",$H1882="Political Subdivision"),"cost_service",IF($H1882="Investor Owned",IF(AND(COUNTIF(Parameters!$A$4:$A$33,$G1882)&gt;0,COUNTIF(Parameters!$B$4:$B$33,$B1882)=0),"procurement","cost_service"),"unclassified"))))))</f>
        <v>procurement</v>
      </c>
    </row>
    <row r="1883" spans="1:26" x14ac:dyDescent="0.25">
      <c r="A1883">
        <v>2024</v>
      </c>
      <c r="B1883">
        <v>58956</v>
      </c>
      <c r="C1883" t="s">
        <v>1518</v>
      </c>
      <c r="D1883" t="s">
        <v>99</v>
      </c>
      <c r="E1883" t="s">
        <v>100</v>
      </c>
      <c r="F1883" t="s">
        <v>86</v>
      </c>
      <c r="G1883" t="s">
        <v>50</v>
      </c>
      <c r="H1883" t="s">
        <v>101</v>
      </c>
      <c r="I1883" t="s">
        <v>189</v>
      </c>
      <c r="J1883">
        <v>20211</v>
      </c>
      <c r="K1883">
        <v>121979</v>
      </c>
      <c r="L1883">
        <v>17539</v>
      </c>
      <c r="M1883">
        <v>0</v>
      </c>
      <c r="N1883">
        <v>0</v>
      </c>
      <c r="O1883">
        <v>0</v>
      </c>
      <c r="P1883">
        <v>0</v>
      </c>
      <c r="Q1883">
        <v>0</v>
      </c>
      <c r="R1883">
        <v>0</v>
      </c>
      <c r="S1883">
        <v>0</v>
      </c>
      <c r="T1883">
        <v>0</v>
      </c>
      <c r="U1883">
        <v>0</v>
      </c>
      <c r="V1883">
        <v>20211</v>
      </c>
      <c r="W1883">
        <v>121979</v>
      </c>
      <c r="X1883">
        <v>17539</v>
      </c>
      <c r="Y1883">
        <f t="shared" si="29"/>
        <v>121979</v>
      </c>
      <c r="Z1883" t="str">
        <f>IF(ISNUMBER(SEARCH("Adjustment",$C1883)),"excluded",IF($H1883="Behind the Meter","excluded",IF(NOT(OR($E1883="Bundled",$E1883="Energy")),"excluded",IF(OR($H1883="Retail Power Marketer",$H1883="Community Choice Aggregator",$E1883="Energy"),"procurement",IF(OR($H1883="Municipal",$H1883="Cooperative",$H1883="Federal",$H1883="State",$H1883="Political Subdivision"),"cost_service",IF($H1883="Investor Owned",IF(AND(COUNTIF(Parameters!$A$4:$A$33,$G1883)&gt;0,COUNTIF(Parameters!$B$4:$B$33,$B1883)=0),"procurement","cost_service"),"unclassified"))))))</f>
        <v>procurement</v>
      </c>
    </row>
    <row r="1884" spans="1:26" x14ac:dyDescent="0.25">
      <c r="A1884">
        <v>2024</v>
      </c>
      <c r="B1884">
        <v>58956</v>
      </c>
      <c r="C1884" t="s">
        <v>1518</v>
      </c>
      <c r="D1884" t="s">
        <v>99</v>
      </c>
      <c r="E1884" t="s">
        <v>100</v>
      </c>
      <c r="F1884" t="s">
        <v>86</v>
      </c>
      <c r="G1884" t="s">
        <v>51</v>
      </c>
      <c r="H1884" t="s">
        <v>101</v>
      </c>
      <c r="I1884" t="s">
        <v>189</v>
      </c>
      <c r="J1884">
        <v>11324</v>
      </c>
      <c r="K1884">
        <v>73242</v>
      </c>
      <c r="L1884">
        <v>11072</v>
      </c>
      <c r="M1884">
        <v>0</v>
      </c>
      <c r="N1884">
        <v>0</v>
      </c>
      <c r="O1884">
        <v>0</v>
      </c>
      <c r="P1884">
        <v>0</v>
      </c>
      <c r="Q1884">
        <v>0</v>
      </c>
      <c r="R1884">
        <v>0</v>
      </c>
      <c r="S1884">
        <v>0</v>
      </c>
      <c r="T1884">
        <v>0</v>
      </c>
      <c r="U1884">
        <v>0</v>
      </c>
      <c r="V1884">
        <v>11324</v>
      </c>
      <c r="W1884">
        <v>73242</v>
      </c>
      <c r="X1884">
        <v>11072</v>
      </c>
      <c r="Y1884">
        <f t="shared" si="29"/>
        <v>73242</v>
      </c>
      <c r="Z1884" t="str">
        <f>IF(ISNUMBER(SEARCH("Adjustment",$C1884)),"excluded",IF($H1884="Behind the Meter","excluded",IF(NOT(OR($E1884="Bundled",$E1884="Energy")),"excluded",IF(OR($H1884="Retail Power Marketer",$H1884="Community Choice Aggregator",$E1884="Energy"),"procurement",IF(OR($H1884="Municipal",$H1884="Cooperative",$H1884="Federal",$H1884="State",$H1884="Political Subdivision"),"cost_service",IF($H1884="Investor Owned",IF(AND(COUNTIF(Parameters!$A$4:$A$33,$G1884)&gt;0,COUNTIF(Parameters!$B$4:$B$33,$B1884)=0),"procurement","cost_service"),"unclassified"))))))</f>
        <v>procurement</v>
      </c>
    </row>
    <row r="1885" spans="1:26" x14ac:dyDescent="0.25">
      <c r="A1885">
        <v>2024</v>
      </c>
      <c r="B1885">
        <v>58956</v>
      </c>
      <c r="C1885" t="s">
        <v>1518</v>
      </c>
      <c r="D1885" t="s">
        <v>99</v>
      </c>
      <c r="E1885" t="s">
        <v>100</v>
      </c>
      <c r="F1885" t="s">
        <v>86</v>
      </c>
      <c r="G1885" t="s">
        <v>52</v>
      </c>
      <c r="H1885" t="s">
        <v>101</v>
      </c>
      <c r="I1885" t="s">
        <v>92</v>
      </c>
      <c r="J1885">
        <v>25733.599999999999</v>
      </c>
      <c r="K1885">
        <v>126579</v>
      </c>
      <c r="L1885">
        <v>22956</v>
      </c>
      <c r="M1885">
        <v>0</v>
      </c>
      <c r="N1885">
        <v>0</v>
      </c>
      <c r="O1885">
        <v>0</v>
      </c>
      <c r="P1885">
        <v>0</v>
      </c>
      <c r="Q1885">
        <v>0</v>
      </c>
      <c r="R1885">
        <v>0</v>
      </c>
      <c r="S1885">
        <v>0</v>
      </c>
      <c r="T1885">
        <v>0</v>
      </c>
      <c r="U1885">
        <v>0</v>
      </c>
      <c r="V1885">
        <v>25733.599999999999</v>
      </c>
      <c r="W1885">
        <v>126579</v>
      </c>
      <c r="X1885">
        <v>22956</v>
      </c>
      <c r="Y1885">
        <f t="shared" si="29"/>
        <v>126579</v>
      </c>
      <c r="Z1885" t="str">
        <f>IF(ISNUMBER(SEARCH("Adjustment",$C1885)),"excluded",IF($H1885="Behind the Meter","excluded",IF(NOT(OR($E1885="Bundled",$E1885="Energy")),"excluded",IF(OR($H1885="Retail Power Marketer",$H1885="Community Choice Aggregator",$E1885="Energy"),"procurement",IF(OR($H1885="Municipal",$H1885="Cooperative",$H1885="Federal",$H1885="State",$H1885="Political Subdivision"),"cost_service",IF($H1885="Investor Owned",IF(AND(COUNTIF(Parameters!$A$4:$A$33,$G1885)&gt;0,COUNTIF(Parameters!$B$4:$B$33,$B1885)=0),"procurement","cost_service"),"unclassified"))))))</f>
        <v>procurement</v>
      </c>
    </row>
    <row r="1886" spans="1:26" x14ac:dyDescent="0.25">
      <c r="A1886">
        <v>2024</v>
      </c>
      <c r="B1886">
        <v>58956</v>
      </c>
      <c r="C1886" t="s">
        <v>1518</v>
      </c>
      <c r="D1886" t="s">
        <v>99</v>
      </c>
      <c r="E1886" t="s">
        <v>100</v>
      </c>
      <c r="F1886" t="s">
        <v>86</v>
      </c>
      <c r="G1886" t="s">
        <v>53</v>
      </c>
      <c r="H1886" t="s">
        <v>101</v>
      </c>
      <c r="I1886" t="s">
        <v>102</v>
      </c>
      <c r="J1886">
        <v>1043</v>
      </c>
      <c r="K1886">
        <v>12608</v>
      </c>
      <c r="L1886">
        <v>2048</v>
      </c>
      <c r="M1886">
        <v>0</v>
      </c>
      <c r="N1886">
        <v>0</v>
      </c>
      <c r="O1886">
        <v>0</v>
      </c>
      <c r="P1886">
        <v>0</v>
      </c>
      <c r="Q1886">
        <v>0</v>
      </c>
      <c r="R1886">
        <v>0</v>
      </c>
      <c r="S1886">
        <v>0</v>
      </c>
      <c r="T1886">
        <v>0</v>
      </c>
      <c r="U1886">
        <v>0</v>
      </c>
      <c r="V1886">
        <v>1043</v>
      </c>
      <c r="W1886">
        <v>12608</v>
      </c>
      <c r="X1886">
        <v>2048</v>
      </c>
      <c r="Y1886">
        <f t="shared" si="29"/>
        <v>12608</v>
      </c>
      <c r="Z1886" t="str">
        <f>IF(ISNUMBER(SEARCH("Adjustment",$C1886)),"excluded",IF($H1886="Behind the Meter","excluded",IF(NOT(OR($E1886="Bundled",$E1886="Energy")),"excluded",IF(OR($H1886="Retail Power Marketer",$H1886="Community Choice Aggregator",$E1886="Energy"),"procurement",IF(OR($H1886="Municipal",$H1886="Cooperative",$H1886="Federal",$H1886="State",$H1886="Political Subdivision"),"cost_service",IF($H1886="Investor Owned",IF(AND(COUNTIF(Parameters!$A$4:$A$33,$G1886)&gt;0,COUNTIF(Parameters!$B$4:$B$33,$B1886)=0),"procurement","cost_service"),"unclassified"))))))</f>
        <v>procurement</v>
      </c>
    </row>
    <row r="1887" spans="1:26" x14ac:dyDescent="0.25">
      <c r="A1887">
        <v>2024</v>
      </c>
      <c r="B1887">
        <v>58956</v>
      </c>
      <c r="C1887" t="s">
        <v>1518</v>
      </c>
      <c r="D1887" t="s">
        <v>99</v>
      </c>
      <c r="E1887" t="s">
        <v>100</v>
      </c>
      <c r="F1887" t="s">
        <v>86</v>
      </c>
      <c r="G1887" t="s">
        <v>54</v>
      </c>
      <c r="H1887" t="s">
        <v>101</v>
      </c>
      <c r="I1887" t="s">
        <v>92</v>
      </c>
      <c r="J1887">
        <v>22456</v>
      </c>
      <c r="K1887">
        <v>225588</v>
      </c>
      <c r="L1887">
        <v>28861</v>
      </c>
      <c r="M1887">
        <v>0</v>
      </c>
      <c r="N1887">
        <v>0</v>
      </c>
      <c r="O1887">
        <v>0</v>
      </c>
      <c r="P1887">
        <v>0</v>
      </c>
      <c r="Q1887">
        <v>0</v>
      </c>
      <c r="R1887">
        <v>0</v>
      </c>
      <c r="S1887">
        <v>0</v>
      </c>
      <c r="T1887">
        <v>0</v>
      </c>
      <c r="U1887">
        <v>0</v>
      </c>
      <c r="V1887">
        <v>22456</v>
      </c>
      <c r="W1887">
        <v>225588</v>
      </c>
      <c r="X1887">
        <v>28861</v>
      </c>
      <c r="Y1887">
        <f t="shared" si="29"/>
        <v>225588</v>
      </c>
      <c r="Z1887" t="str">
        <f>IF(ISNUMBER(SEARCH("Adjustment",$C1887)),"excluded",IF($H1887="Behind the Meter","excluded",IF(NOT(OR($E1887="Bundled",$E1887="Energy")),"excluded",IF(OR($H1887="Retail Power Marketer",$H1887="Community Choice Aggregator",$E1887="Energy"),"procurement",IF(OR($H1887="Municipal",$H1887="Cooperative",$H1887="Federal",$H1887="State",$H1887="Political Subdivision"),"cost_service",IF($H1887="Investor Owned",IF(AND(COUNTIF(Parameters!$A$4:$A$33,$G1887)&gt;0,COUNTIF(Parameters!$B$4:$B$33,$B1887)=0),"procurement","cost_service"),"unclassified"))))))</f>
        <v>procurement</v>
      </c>
    </row>
    <row r="1888" spans="1:26" x14ac:dyDescent="0.25">
      <c r="A1888">
        <v>2024</v>
      </c>
      <c r="B1888">
        <v>58956</v>
      </c>
      <c r="C1888" t="s">
        <v>1518</v>
      </c>
      <c r="D1888" t="s">
        <v>99</v>
      </c>
      <c r="E1888" t="s">
        <v>100</v>
      </c>
      <c r="F1888" t="s">
        <v>86</v>
      </c>
      <c r="G1888" t="s">
        <v>55</v>
      </c>
      <c r="H1888" t="s">
        <v>101</v>
      </c>
      <c r="I1888" t="s">
        <v>92</v>
      </c>
      <c r="J1888">
        <v>49055</v>
      </c>
      <c r="K1888">
        <v>355206</v>
      </c>
      <c r="L1888">
        <v>47969</v>
      </c>
      <c r="M1888" t="s">
        <v>97</v>
      </c>
      <c r="N1888" t="s">
        <v>97</v>
      </c>
      <c r="O1888" t="s">
        <v>97</v>
      </c>
      <c r="P1888" t="s">
        <v>97</v>
      </c>
      <c r="Q1888" t="s">
        <v>97</v>
      </c>
      <c r="R1888" t="s">
        <v>97</v>
      </c>
      <c r="S1888" t="s">
        <v>97</v>
      </c>
      <c r="T1888" t="s">
        <v>97</v>
      </c>
      <c r="U1888" t="s">
        <v>97</v>
      </c>
      <c r="V1888">
        <v>49055</v>
      </c>
      <c r="W1888">
        <v>355206</v>
      </c>
      <c r="X1888">
        <v>47969</v>
      </c>
      <c r="Y1888">
        <f t="shared" si="29"/>
        <v>355206</v>
      </c>
      <c r="Z1888" t="str">
        <f>IF(ISNUMBER(SEARCH("Adjustment",$C1888)),"excluded",IF($H1888="Behind the Meter","excluded",IF(NOT(OR($E1888="Bundled",$E1888="Energy")),"excluded",IF(OR($H1888="Retail Power Marketer",$H1888="Community Choice Aggregator",$E1888="Energy"),"procurement",IF(OR($H1888="Municipal",$H1888="Cooperative",$H1888="Federal",$H1888="State",$H1888="Political Subdivision"),"cost_service",IF($H1888="Investor Owned",IF(AND(COUNTIF(Parameters!$A$4:$A$33,$G1888)&gt;0,COUNTIF(Parameters!$B$4:$B$33,$B1888)=0),"procurement","cost_service"),"unclassified"))))))</f>
        <v>procurement</v>
      </c>
    </row>
    <row r="1889" spans="1:26" x14ac:dyDescent="0.25">
      <c r="A1889">
        <v>2024</v>
      </c>
      <c r="B1889">
        <v>58956</v>
      </c>
      <c r="C1889" t="s">
        <v>1518</v>
      </c>
      <c r="D1889" t="s">
        <v>99</v>
      </c>
      <c r="E1889" t="s">
        <v>100</v>
      </c>
      <c r="F1889" t="s">
        <v>86</v>
      </c>
      <c r="G1889" t="s">
        <v>56</v>
      </c>
      <c r="H1889" t="s">
        <v>101</v>
      </c>
      <c r="I1889" t="s">
        <v>189</v>
      </c>
      <c r="J1889">
        <v>7722.7</v>
      </c>
      <c r="K1889">
        <v>47633</v>
      </c>
      <c r="L1889">
        <v>8190</v>
      </c>
      <c r="M1889">
        <v>0</v>
      </c>
      <c r="N1889">
        <v>0</v>
      </c>
      <c r="O1889">
        <v>0</v>
      </c>
      <c r="P1889">
        <v>0</v>
      </c>
      <c r="Q1889">
        <v>0</v>
      </c>
      <c r="R1889">
        <v>0</v>
      </c>
      <c r="S1889">
        <v>0</v>
      </c>
      <c r="T1889">
        <v>0</v>
      </c>
      <c r="U1889">
        <v>0</v>
      </c>
      <c r="V1889">
        <v>7722.7</v>
      </c>
      <c r="W1889">
        <v>47633</v>
      </c>
      <c r="X1889">
        <v>8190</v>
      </c>
      <c r="Y1889">
        <f t="shared" si="29"/>
        <v>47633</v>
      </c>
      <c r="Z1889" t="str">
        <f>IF(ISNUMBER(SEARCH("Adjustment",$C1889)),"excluded",IF($H1889="Behind the Meter","excluded",IF(NOT(OR($E1889="Bundled",$E1889="Energy")),"excluded",IF(OR($H1889="Retail Power Marketer",$H1889="Community Choice Aggregator",$E1889="Energy"),"procurement",IF(OR($H1889="Municipal",$H1889="Cooperative",$H1889="Federal",$H1889="State",$H1889="Political Subdivision"),"cost_service",IF($H1889="Investor Owned",IF(AND(COUNTIF(Parameters!$A$4:$A$33,$G1889)&gt;0,COUNTIF(Parameters!$B$4:$B$33,$B1889)=0),"procurement","cost_service"),"unclassified"))))))</f>
        <v>procurement</v>
      </c>
    </row>
    <row r="1890" spans="1:26" x14ac:dyDescent="0.25">
      <c r="A1890">
        <v>2024</v>
      </c>
      <c r="B1890">
        <v>58956</v>
      </c>
      <c r="C1890" t="s">
        <v>1518</v>
      </c>
      <c r="D1890" t="s">
        <v>150</v>
      </c>
      <c r="E1890" t="s">
        <v>85</v>
      </c>
      <c r="F1890" t="s">
        <v>86</v>
      </c>
      <c r="G1890" t="s">
        <v>57</v>
      </c>
      <c r="H1890" t="s">
        <v>101</v>
      </c>
      <c r="I1890" t="s">
        <v>151</v>
      </c>
      <c r="J1890">
        <v>1095</v>
      </c>
      <c r="K1890">
        <v>8791</v>
      </c>
      <c r="L1890">
        <v>553</v>
      </c>
      <c r="M1890">
        <v>0</v>
      </c>
      <c r="N1890">
        <v>0</v>
      </c>
      <c r="O1890">
        <v>0</v>
      </c>
      <c r="P1890">
        <v>0</v>
      </c>
      <c r="Q1890">
        <v>0</v>
      </c>
      <c r="R1890">
        <v>0</v>
      </c>
      <c r="S1890">
        <v>0</v>
      </c>
      <c r="T1890">
        <v>0</v>
      </c>
      <c r="U1890">
        <v>0</v>
      </c>
      <c r="V1890">
        <v>1095</v>
      </c>
      <c r="W1890">
        <v>8791</v>
      </c>
      <c r="X1890">
        <v>553</v>
      </c>
      <c r="Y1890">
        <f t="shared" si="29"/>
        <v>8791</v>
      </c>
      <c r="Z1890" t="str">
        <f>IF(ISNUMBER(SEARCH("Adjustment",$C1890)),"excluded",IF($H1890="Behind the Meter","excluded",IF(NOT(OR($E1890="Bundled",$E1890="Energy")),"excluded",IF(OR($H1890="Retail Power Marketer",$H1890="Community Choice Aggregator",$E1890="Energy"),"procurement",IF(OR($H1890="Municipal",$H1890="Cooperative",$H1890="Federal",$H1890="State",$H1890="Political Subdivision"),"cost_service",IF($H1890="Investor Owned",IF(AND(COUNTIF(Parameters!$A$4:$A$33,$G1890)&gt;0,COUNTIF(Parameters!$B$4:$B$33,$B1890)=0),"procurement","cost_service"),"unclassified"))))))</f>
        <v>procurement</v>
      </c>
    </row>
    <row r="1891" spans="1:26" x14ac:dyDescent="0.25">
      <c r="A1891">
        <v>2024</v>
      </c>
      <c r="B1891">
        <v>58957</v>
      </c>
      <c r="C1891" t="s">
        <v>1519</v>
      </c>
      <c r="D1891" t="s">
        <v>99</v>
      </c>
      <c r="E1891" t="s">
        <v>100</v>
      </c>
      <c r="F1891" t="s">
        <v>86</v>
      </c>
      <c r="G1891" t="s">
        <v>46</v>
      </c>
      <c r="H1891" t="s">
        <v>101</v>
      </c>
      <c r="I1891" t="s">
        <v>92</v>
      </c>
      <c r="J1891">
        <v>17761</v>
      </c>
      <c r="K1891">
        <v>156059</v>
      </c>
      <c r="L1891">
        <v>21808</v>
      </c>
      <c r="M1891">
        <v>78607</v>
      </c>
      <c r="N1891">
        <v>1055662</v>
      </c>
      <c r="O1891">
        <v>5656</v>
      </c>
      <c r="P1891" t="s">
        <v>97</v>
      </c>
      <c r="Q1891" t="s">
        <v>97</v>
      </c>
      <c r="R1891" t="s">
        <v>97</v>
      </c>
      <c r="S1891" t="s">
        <v>97</v>
      </c>
      <c r="T1891" t="s">
        <v>97</v>
      </c>
      <c r="U1891" t="s">
        <v>97</v>
      </c>
      <c r="V1891">
        <v>96368</v>
      </c>
      <c r="W1891">
        <v>1211721</v>
      </c>
      <c r="X1891">
        <v>27464</v>
      </c>
      <c r="Y1891">
        <f t="shared" si="29"/>
        <v>1211721</v>
      </c>
      <c r="Z1891" t="str">
        <f>IF(ISNUMBER(SEARCH("Adjustment",$C1891)),"excluded",IF($H1891="Behind the Meter","excluded",IF(NOT(OR($E1891="Bundled",$E1891="Energy")),"excluded",IF(OR($H1891="Retail Power Marketer",$H1891="Community Choice Aggregator",$E1891="Energy"),"procurement",IF(OR($H1891="Municipal",$H1891="Cooperative",$H1891="Federal",$H1891="State",$H1891="Political Subdivision"),"cost_service",IF($H1891="Investor Owned",IF(AND(COUNTIF(Parameters!$A$4:$A$33,$G1891)&gt;0,COUNTIF(Parameters!$B$4:$B$33,$B1891)=0),"procurement","cost_service"),"unclassified"))))))</f>
        <v>procurement</v>
      </c>
    </row>
    <row r="1892" spans="1:26" x14ac:dyDescent="0.25">
      <c r="A1892">
        <v>2024</v>
      </c>
      <c r="B1892">
        <v>58957</v>
      </c>
      <c r="C1892" t="s">
        <v>1519</v>
      </c>
      <c r="D1892" t="s">
        <v>99</v>
      </c>
      <c r="E1892" t="s">
        <v>100</v>
      </c>
      <c r="F1892" t="s">
        <v>86</v>
      </c>
      <c r="G1892" t="s">
        <v>49</v>
      </c>
      <c r="H1892" t="s">
        <v>101</v>
      </c>
      <c r="I1892" t="s">
        <v>92</v>
      </c>
      <c r="J1892">
        <v>1357</v>
      </c>
      <c r="K1892">
        <v>11077</v>
      </c>
      <c r="L1892">
        <v>1312</v>
      </c>
      <c r="M1892">
        <v>4617</v>
      </c>
      <c r="N1892">
        <v>58477</v>
      </c>
      <c r="O1892">
        <v>304</v>
      </c>
      <c r="P1892" t="s">
        <v>97</v>
      </c>
      <c r="Q1892" t="s">
        <v>97</v>
      </c>
      <c r="R1892" t="s">
        <v>97</v>
      </c>
      <c r="S1892" t="s">
        <v>97</v>
      </c>
      <c r="T1892" t="s">
        <v>97</v>
      </c>
      <c r="U1892" t="s">
        <v>97</v>
      </c>
      <c r="V1892">
        <v>5974</v>
      </c>
      <c r="W1892">
        <v>69554</v>
      </c>
      <c r="X1892">
        <v>1616</v>
      </c>
      <c r="Y1892">
        <f t="shared" si="29"/>
        <v>69554</v>
      </c>
      <c r="Z1892" t="str">
        <f>IF(ISNUMBER(SEARCH("Adjustment",$C1892)),"excluded",IF($H1892="Behind the Meter","excluded",IF(NOT(OR($E1892="Bundled",$E1892="Energy")),"excluded",IF(OR($H1892="Retail Power Marketer",$H1892="Community Choice Aggregator",$E1892="Energy"),"procurement",IF(OR($H1892="Municipal",$H1892="Cooperative",$H1892="Federal",$H1892="State",$H1892="Political Subdivision"),"cost_service",IF($H1892="Investor Owned",IF(AND(COUNTIF(Parameters!$A$4:$A$33,$G1892)&gt;0,COUNTIF(Parameters!$B$4:$B$33,$B1892)=0),"procurement","cost_service"),"unclassified"))))))</f>
        <v>procurement</v>
      </c>
    </row>
    <row r="1893" spans="1:26" x14ac:dyDescent="0.25">
      <c r="A1893">
        <v>2024</v>
      </c>
      <c r="B1893">
        <v>58957</v>
      </c>
      <c r="C1893" t="s">
        <v>1519</v>
      </c>
      <c r="D1893" t="s">
        <v>99</v>
      </c>
      <c r="E1893" t="s">
        <v>100</v>
      </c>
      <c r="F1893" t="s">
        <v>86</v>
      </c>
      <c r="G1893" t="s">
        <v>54</v>
      </c>
      <c r="H1893" t="s">
        <v>101</v>
      </c>
      <c r="I1893" t="s">
        <v>92</v>
      </c>
      <c r="J1893">
        <v>133310</v>
      </c>
      <c r="K1893">
        <v>1448495</v>
      </c>
      <c r="L1893">
        <v>168756</v>
      </c>
      <c r="M1893">
        <v>232196</v>
      </c>
      <c r="N1893">
        <v>4462495</v>
      </c>
      <c r="O1893">
        <v>31338</v>
      </c>
      <c r="P1893" t="s">
        <v>97</v>
      </c>
      <c r="Q1893" t="s">
        <v>97</v>
      </c>
      <c r="R1893" t="s">
        <v>97</v>
      </c>
      <c r="S1893" t="s">
        <v>97</v>
      </c>
      <c r="T1893" t="s">
        <v>97</v>
      </c>
      <c r="U1893" t="s">
        <v>97</v>
      </c>
      <c r="V1893">
        <v>365506</v>
      </c>
      <c r="W1893">
        <v>5910990</v>
      </c>
      <c r="X1893">
        <v>200094</v>
      </c>
      <c r="Y1893">
        <f t="shared" si="29"/>
        <v>5910990</v>
      </c>
      <c r="Z1893" t="str">
        <f>IF(ISNUMBER(SEARCH("Adjustment",$C1893)),"excluded",IF($H1893="Behind the Meter","excluded",IF(NOT(OR($E1893="Bundled",$E1893="Energy")),"excluded",IF(OR($H1893="Retail Power Marketer",$H1893="Community Choice Aggregator",$E1893="Energy"),"procurement",IF(OR($H1893="Municipal",$H1893="Cooperative",$H1893="Federal",$H1893="State",$H1893="Political Subdivision"),"cost_service",IF($H1893="Investor Owned",IF(AND(COUNTIF(Parameters!$A$4:$A$33,$G1893)&gt;0,COUNTIF(Parameters!$B$4:$B$33,$B1893)=0),"procurement","cost_service"),"unclassified"))))))</f>
        <v>procurement</v>
      </c>
    </row>
    <row r="1894" spans="1:26" x14ac:dyDescent="0.25">
      <c r="A1894">
        <v>2024</v>
      </c>
      <c r="B1894">
        <v>58957</v>
      </c>
      <c r="C1894" t="s">
        <v>1519</v>
      </c>
      <c r="D1894" t="s">
        <v>99</v>
      </c>
      <c r="E1894" t="s">
        <v>100</v>
      </c>
      <c r="F1894" t="s">
        <v>86</v>
      </c>
      <c r="G1894" t="s">
        <v>55</v>
      </c>
      <c r="H1894" t="s">
        <v>101</v>
      </c>
      <c r="I1894" t="s">
        <v>92</v>
      </c>
      <c r="J1894">
        <v>63871</v>
      </c>
      <c r="K1894">
        <v>495627</v>
      </c>
      <c r="L1894">
        <v>53472</v>
      </c>
      <c r="M1894">
        <v>118964</v>
      </c>
      <c r="N1894">
        <v>1620623</v>
      </c>
      <c r="O1894">
        <v>10092</v>
      </c>
      <c r="P1894" t="s">
        <v>97</v>
      </c>
      <c r="Q1894" t="s">
        <v>97</v>
      </c>
      <c r="R1894" t="s">
        <v>97</v>
      </c>
      <c r="S1894" t="s">
        <v>97</v>
      </c>
      <c r="T1894" t="s">
        <v>97</v>
      </c>
      <c r="U1894" t="s">
        <v>97</v>
      </c>
      <c r="V1894">
        <v>182835</v>
      </c>
      <c r="W1894">
        <v>2116250</v>
      </c>
      <c r="X1894">
        <v>63564</v>
      </c>
      <c r="Y1894">
        <f t="shared" si="29"/>
        <v>2116250</v>
      </c>
      <c r="Z1894" t="str">
        <f>IF(ISNUMBER(SEARCH("Adjustment",$C1894)),"excluded",IF($H1894="Behind the Meter","excluded",IF(NOT(OR($E1894="Bundled",$E1894="Energy")),"excluded",IF(OR($H1894="Retail Power Marketer",$H1894="Community Choice Aggregator",$E1894="Energy"),"procurement",IF(OR($H1894="Municipal",$H1894="Cooperative",$H1894="Federal",$H1894="State",$H1894="Political Subdivision"),"cost_service",IF($H1894="Investor Owned",IF(AND(COUNTIF(Parameters!$A$4:$A$33,$G1894)&gt;0,COUNTIF(Parameters!$B$4:$B$33,$B1894)=0),"procurement","cost_service"),"unclassified"))))))</f>
        <v>procurement</v>
      </c>
    </row>
    <row r="1895" spans="1:26" x14ac:dyDescent="0.25">
      <c r="A1895">
        <v>2024</v>
      </c>
      <c r="B1895">
        <v>58963</v>
      </c>
      <c r="C1895" t="s">
        <v>1520</v>
      </c>
      <c r="D1895" t="s">
        <v>150</v>
      </c>
      <c r="E1895" t="s">
        <v>85</v>
      </c>
      <c r="F1895" t="s">
        <v>86</v>
      </c>
      <c r="G1895" t="s">
        <v>57</v>
      </c>
      <c r="H1895" t="s">
        <v>101</v>
      </c>
      <c r="I1895" t="s">
        <v>151</v>
      </c>
      <c r="J1895">
        <v>20560</v>
      </c>
      <c r="K1895">
        <v>164205</v>
      </c>
      <c r="L1895">
        <v>14072</v>
      </c>
      <c r="M1895">
        <v>177</v>
      </c>
      <c r="N1895">
        <v>2309</v>
      </c>
      <c r="O1895">
        <v>19</v>
      </c>
      <c r="P1895">
        <v>0</v>
      </c>
      <c r="Q1895">
        <v>0</v>
      </c>
      <c r="R1895">
        <v>0</v>
      </c>
      <c r="S1895">
        <v>0</v>
      </c>
      <c r="T1895">
        <v>0</v>
      </c>
      <c r="U1895">
        <v>0</v>
      </c>
      <c r="V1895">
        <v>20737</v>
      </c>
      <c r="W1895">
        <v>166514</v>
      </c>
      <c r="X1895">
        <v>14091</v>
      </c>
      <c r="Y1895">
        <f t="shared" si="29"/>
        <v>166514</v>
      </c>
      <c r="Z1895" t="str">
        <f>IF(ISNUMBER(SEARCH("Adjustment",$C1895)),"excluded",IF($H1895="Behind the Meter","excluded",IF(NOT(OR($E1895="Bundled",$E1895="Energy")),"excluded",IF(OR($H1895="Retail Power Marketer",$H1895="Community Choice Aggregator",$E1895="Energy"),"procurement",IF(OR($H1895="Municipal",$H1895="Cooperative",$H1895="Federal",$H1895="State",$H1895="Political Subdivision"),"cost_service",IF($H1895="Investor Owned",IF(AND(COUNTIF(Parameters!$A$4:$A$33,$G1895)&gt;0,COUNTIF(Parameters!$B$4:$B$33,$B1895)=0),"procurement","cost_service"),"unclassified"))))))</f>
        <v>procurement</v>
      </c>
    </row>
    <row r="1896" spans="1:26" x14ac:dyDescent="0.25">
      <c r="A1896">
        <v>2024</v>
      </c>
      <c r="B1896">
        <v>58964</v>
      </c>
      <c r="C1896" t="s">
        <v>1521</v>
      </c>
      <c r="D1896" t="s">
        <v>99</v>
      </c>
      <c r="E1896" t="s">
        <v>100</v>
      </c>
      <c r="F1896" t="s">
        <v>86</v>
      </c>
      <c r="G1896" t="s">
        <v>42</v>
      </c>
      <c r="H1896" t="s">
        <v>101</v>
      </c>
      <c r="I1896" t="s">
        <v>92</v>
      </c>
      <c r="J1896">
        <v>19.3</v>
      </c>
      <c r="K1896">
        <v>120</v>
      </c>
      <c r="L1896">
        <v>16</v>
      </c>
      <c r="M1896">
        <v>0</v>
      </c>
      <c r="N1896">
        <v>0</v>
      </c>
      <c r="O1896">
        <v>0</v>
      </c>
      <c r="P1896">
        <v>0</v>
      </c>
      <c r="Q1896">
        <v>0</v>
      </c>
      <c r="R1896">
        <v>0</v>
      </c>
      <c r="S1896">
        <v>0</v>
      </c>
      <c r="T1896">
        <v>0</v>
      </c>
      <c r="U1896">
        <v>0</v>
      </c>
      <c r="V1896">
        <v>19.3</v>
      </c>
      <c r="W1896">
        <v>120</v>
      </c>
      <c r="X1896">
        <v>16</v>
      </c>
      <c r="Y1896">
        <f t="shared" si="29"/>
        <v>120</v>
      </c>
      <c r="Z1896" t="str">
        <f>IF(ISNUMBER(SEARCH("Adjustment",$C1896)),"excluded",IF($H1896="Behind the Meter","excluded",IF(NOT(OR($E1896="Bundled",$E1896="Energy")),"excluded",IF(OR($H1896="Retail Power Marketer",$H1896="Community Choice Aggregator",$E1896="Energy"),"procurement",IF(OR($H1896="Municipal",$H1896="Cooperative",$H1896="Federal",$H1896="State",$H1896="Political Subdivision"),"cost_service",IF($H1896="Investor Owned",IF(AND(COUNTIF(Parameters!$A$4:$A$33,$G1896)&gt;0,COUNTIF(Parameters!$B$4:$B$33,$B1896)=0),"procurement","cost_service"),"unclassified"))))))</f>
        <v>procurement</v>
      </c>
    </row>
    <row r="1897" spans="1:26" x14ac:dyDescent="0.25">
      <c r="A1897">
        <v>2024</v>
      </c>
      <c r="B1897">
        <v>58964</v>
      </c>
      <c r="C1897" t="s">
        <v>1521</v>
      </c>
      <c r="D1897" t="s">
        <v>99</v>
      </c>
      <c r="E1897" t="s">
        <v>100</v>
      </c>
      <c r="F1897" t="s">
        <v>86</v>
      </c>
      <c r="G1897" t="s">
        <v>46</v>
      </c>
      <c r="H1897" t="s">
        <v>101</v>
      </c>
      <c r="I1897" t="s">
        <v>92</v>
      </c>
      <c r="J1897">
        <v>1800.8</v>
      </c>
      <c r="K1897">
        <v>11534</v>
      </c>
      <c r="L1897">
        <v>2026</v>
      </c>
      <c r="M1897">
        <v>0</v>
      </c>
      <c r="N1897">
        <v>0</v>
      </c>
      <c r="O1897">
        <v>0</v>
      </c>
      <c r="P1897">
        <v>0</v>
      </c>
      <c r="Q1897">
        <v>0</v>
      </c>
      <c r="R1897">
        <v>0</v>
      </c>
      <c r="S1897">
        <v>0</v>
      </c>
      <c r="T1897">
        <v>0</v>
      </c>
      <c r="U1897">
        <v>0</v>
      </c>
      <c r="V1897">
        <v>1800.8</v>
      </c>
      <c r="W1897">
        <v>11534</v>
      </c>
      <c r="X1897">
        <v>2026</v>
      </c>
      <c r="Y1897">
        <f t="shared" si="29"/>
        <v>11534</v>
      </c>
      <c r="Z1897" t="str">
        <f>IF(ISNUMBER(SEARCH("Adjustment",$C1897)),"excluded",IF($H1897="Behind the Meter","excluded",IF(NOT(OR($E1897="Bundled",$E1897="Energy")),"excluded",IF(OR($H1897="Retail Power Marketer",$H1897="Community Choice Aggregator",$E1897="Energy"),"procurement",IF(OR($H1897="Municipal",$H1897="Cooperative",$H1897="Federal",$H1897="State",$H1897="Political Subdivision"),"cost_service",IF($H1897="Investor Owned",IF(AND(COUNTIF(Parameters!$A$4:$A$33,$G1897)&gt;0,COUNTIF(Parameters!$B$4:$B$33,$B1897)=0),"procurement","cost_service"),"unclassified"))))))</f>
        <v>procurement</v>
      </c>
    </row>
    <row r="1898" spans="1:26" x14ac:dyDescent="0.25">
      <c r="A1898">
        <v>2024</v>
      </c>
      <c r="B1898">
        <v>58964</v>
      </c>
      <c r="C1898" t="s">
        <v>1521</v>
      </c>
      <c r="D1898" t="s">
        <v>99</v>
      </c>
      <c r="E1898" t="s">
        <v>100</v>
      </c>
      <c r="F1898" t="s">
        <v>86</v>
      </c>
      <c r="G1898" t="s">
        <v>48</v>
      </c>
      <c r="H1898" t="s">
        <v>101</v>
      </c>
      <c r="I1898" t="s">
        <v>189</v>
      </c>
      <c r="J1898">
        <v>2364.4</v>
      </c>
      <c r="K1898">
        <v>12004</v>
      </c>
      <c r="L1898">
        <v>2122</v>
      </c>
      <c r="M1898">
        <v>133.30000000000001</v>
      </c>
      <c r="N1898">
        <v>832</v>
      </c>
      <c r="O1898">
        <v>1</v>
      </c>
      <c r="P1898">
        <v>0</v>
      </c>
      <c r="Q1898">
        <v>0</v>
      </c>
      <c r="R1898">
        <v>0</v>
      </c>
      <c r="S1898">
        <v>0</v>
      </c>
      <c r="T1898">
        <v>0</v>
      </c>
      <c r="U1898">
        <v>0</v>
      </c>
      <c r="V1898">
        <v>2497.6999999999998</v>
      </c>
      <c r="W1898">
        <v>12836</v>
      </c>
      <c r="X1898">
        <v>2123</v>
      </c>
      <c r="Y1898">
        <f t="shared" si="29"/>
        <v>12836</v>
      </c>
      <c r="Z1898" t="str">
        <f>IF(ISNUMBER(SEARCH("Adjustment",$C1898)),"excluded",IF($H1898="Behind the Meter","excluded",IF(NOT(OR($E1898="Bundled",$E1898="Energy")),"excluded",IF(OR($H1898="Retail Power Marketer",$H1898="Community Choice Aggregator",$E1898="Energy"),"procurement",IF(OR($H1898="Municipal",$H1898="Cooperative",$H1898="Federal",$H1898="State",$H1898="Political Subdivision"),"cost_service",IF($H1898="Investor Owned",IF(AND(COUNTIF(Parameters!$A$4:$A$33,$G1898)&gt;0,COUNTIF(Parameters!$B$4:$B$33,$B1898)=0),"procurement","cost_service"),"unclassified"))))))</f>
        <v>procurement</v>
      </c>
    </row>
    <row r="1899" spans="1:26" x14ac:dyDescent="0.25">
      <c r="A1899">
        <v>2024</v>
      </c>
      <c r="B1899">
        <v>58964</v>
      </c>
      <c r="C1899" t="s">
        <v>1521</v>
      </c>
      <c r="D1899" t="s">
        <v>99</v>
      </c>
      <c r="E1899" t="s">
        <v>100</v>
      </c>
      <c r="F1899" t="s">
        <v>86</v>
      </c>
      <c r="G1899" t="s">
        <v>49</v>
      </c>
      <c r="H1899" t="s">
        <v>101</v>
      </c>
      <c r="I1899" t="s">
        <v>92</v>
      </c>
      <c r="J1899">
        <v>615.4</v>
      </c>
      <c r="K1899">
        <v>3838</v>
      </c>
      <c r="L1899">
        <v>492</v>
      </c>
      <c r="M1899">
        <v>0</v>
      </c>
      <c r="N1899">
        <v>0</v>
      </c>
      <c r="O1899">
        <v>0</v>
      </c>
      <c r="P1899">
        <v>0</v>
      </c>
      <c r="Q1899">
        <v>0</v>
      </c>
      <c r="R1899">
        <v>0</v>
      </c>
      <c r="S1899">
        <v>0</v>
      </c>
      <c r="T1899">
        <v>0</v>
      </c>
      <c r="U1899">
        <v>0</v>
      </c>
      <c r="V1899">
        <v>615.4</v>
      </c>
      <c r="W1899">
        <v>3838</v>
      </c>
      <c r="X1899">
        <v>492</v>
      </c>
      <c r="Y1899">
        <f t="shared" si="29"/>
        <v>3838</v>
      </c>
      <c r="Z1899" t="str">
        <f>IF(ISNUMBER(SEARCH("Adjustment",$C1899)),"excluded",IF($H1899="Behind the Meter","excluded",IF(NOT(OR($E1899="Bundled",$E1899="Energy")),"excluded",IF(OR($H1899="Retail Power Marketer",$H1899="Community Choice Aggregator",$E1899="Energy"),"procurement",IF(OR($H1899="Municipal",$H1899="Cooperative",$H1899="Federal",$H1899="State",$H1899="Political Subdivision"),"cost_service",IF($H1899="Investor Owned",IF(AND(COUNTIF(Parameters!$A$4:$A$33,$G1899)&gt;0,COUNTIF(Parameters!$B$4:$B$33,$B1899)=0),"procurement","cost_service"),"unclassified"))))))</f>
        <v>procurement</v>
      </c>
    </row>
    <row r="1900" spans="1:26" x14ac:dyDescent="0.25">
      <c r="A1900">
        <v>2024</v>
      </c>
      <c r="B1900">
        <v>58964</v>
      </c>
      <c r="C1900" t="s">
        <v>1521</v>
      </c>
      <c r="D1900" t="s">
        <v>99</v>
      </c>
      <c r="E1900" t="s">
        <v>100</v>
      </c>
      <c r="F1900" t="s">
        <v>86</v>
      </c>
      <c r="G1900" t="s">
        <v>52</v>
      </c>
      <c r="H1900" t="s">
        <v>101</v>
      </c>
      <c r="I1900" t="s">
        <v>92</v>
      </c>
      <c r="J1900">
        <v>919.2</v>
      </c>
      <c r="K1900">
        <v>5287</v>
      </c>
      <c r="L1900">
        <v>901</v>
      </c>
      <c r="M1900">
        <v>459.2</v>
      </c>
      <c r="N1900">
        <v>2929</v>
      </c>
      <c r="O1900">
        <v>13</v>
      </c>
      <c r="P1900">
        <v>0</v>
      </c>
      <c r="Q1900">
        <v>0</v>
      </c>
      <c r="R1900">
        <v>0</v>
      </c>
      <c r="S1900">
        <v>0</v>
      </c>
      <c r="T1900">
        <v>0</v>
      </c>
      <c r="U1900">
        <v>0</v>
      </c>
      <c r="V1900">
        <v>1378.4</v>
      </c>
      <c r="W1900">
        <v>8216</v>
      </c>
      <c r="X1900">
        <v>914</v>
      </c>
      <c r="Y1900">
        <f t="shared" si="29"/>
        <v>8216</v>
      </c>
      <c r="Z1900" t="str">
        <f>IF(ISNUMBER(SEARCH("Adjustment",$C1900)),"excluded",IF($H1900="Behind the Meter","excluded",IF(NOT(OR($E1900="Bundled",$E1900="Energy")),"excluded",IF(OR($H1900="Retail Power Marketer",$H1900="Community Choice Aggregator",$E1900="Energy"),"procurement",IF(OR($H1900="Municipal",$H1900="Cooperative",$H1900="Federal",$H1900="State",$H1900="Political Subdivision"),"cost_service",IF($H1900="Investor Owned",IF(AND(COUNTIF(Parameters!$A$4:$A$33,$G1900)&gt;0,COUNTIF(Parameters!$B$4:$B$33,$B1900)=0),"procurement","cost_service"),"unclassified"))))))</f>
        <v>procurement</v>
      </c>
    </row>
    <row r="1901" spans="1:26" x14ac:dyDescent="0.25">
      <c r="A1901">
        <v>2024</v>
      </c>
      <c r="B1901">
        <v>58964</v>
      </c>
      <c r="C1901" t="s">
        <v>1521</v>
      </c>
      <c r="D1901" t="s">
        <v>99</v>
      </c>
      <c r="E1901" t="s">
        <v>100</v>
      </c>
      <c r="F1901" t="s">
        <v>86</v>
      </c>
      <c r="G1901" t="s">
        <v>53</v>
      </c>
      <c r="H1901" t="s">
        <v>101</v>
      </c>
      <c r="I1901" t="s">
        <v>102</v>
      </c>
      <c r="J1901">
        <v>6199.5</v>
      </c>
      <c r="K1901">
        <v>37357</v>
      </c>
      <c r="L1901">
        <v>8702</v>
      </c>
      <c r="M1901">
        <v>696.5</v>
      </c>
      <c r="N1901">
        <v>6140</v>
      </c>
      <c r="O1901">
        <v>48</v>
      </c>
      <c r="P1901">
        <v>0</v>
      </c>
      <c r="Q1901">
        <v>0</v>
      </c>
      <c r="R1901">
        <v>0</v>
      </c>
      <c r="S1901">
        <v>0</v>
      </c>
      <c r="T1901">
        <v>0</v>
      </c>
      <c r="U1901">
        <v>0</v>
      </c>
      <c r="V1901">
        <v>6896</v>
      </c>
      <c r="W1901">
        <v>43497</v>
      </c>
      <c r="X1901">
        <v>8750</v>
      </c>
      <c r="Y1901">
        <f t="shared" si="29"/>
        <v>43497</v>
      </c>
      <c r="Z1901" t="str">
        <f>IF(ISNUMBER(SEARCH("Adjustment",$C1901)),"excluded",IF($H1901="Behind the Meter","excluded",IF(NOT(OR($E1901="Bundled",$E1901="Energy")),"excluded",IF(OR($H1901="Retail Power Marketer",$H1901="Community Choice Aggregator",$E1901="Energy"),"procurement",IF(OR($H1901="Municipal",$H1901="Cooperative",$H1901="Federal",$H1901="State",$H1901="Political Subdivision"),"cost_service",IF($H1901="Investor Owned",IF(AND(COUNTIF(Parameters!$A$4:$A$33,$G1901)&gt;0,COUNTIF(Parameters!$B$4:$B$33,$B1901)=0),"procurement","cost_service"),"unclassified"))))))</f>
        <v>procurement</v>
      </c>
    </row>
    <row r="1902" spans="1:26" x14ac:dyDescent="0.25">
      <c r="A1902">
        <v>2024</v>
      </c>
      <c r="B1902">
        <v>58964</v>
      </c>
      <c r="C1902" t="s">
        <v>1521</v>
      </c>
      <c r="D1902" t="s">
        <v>99</v>
      </c>
      <c r="E1902" t="s">
        <v>100</v>
      </c>
      <c r="F1902" t="s">
        <v>86</v>
      </c>
      <c r="G1902" t="s">
        <v>54</v>
      </c>
      <c r="H1902" t="s">
        <v>101</v>
      </c>
      <c r="I1902" t="s">
        <v>92</v>
      </c>
      <c r="J1902">
        <v>1782.9</v>
      </c>
      <c r="K1902">
        <v>13140</v>
      </c>
      <c r="L1902">
        <v>1748</v>
      </c>
      <c r="M1902">
        <v>0</v>
      </c>
      <c r="N1902">
        <v>0</v>
      </c>
      <c r="O1902">
        <v>0</v>
      </c>
      <c r="P1902">
        <v>0</v>
      </c>
      <c r="Q1902">
        <v>0</v>
      </c>
      <c r="R1902">
        <v>0</v>
      </c>
      <c r="S1902">
        <v>0</v>
      </c>
      <c r="T1902">
        <v>0</v>
      </c>
      <c r="U1902">
        <v>0</v>
      </c>
      <c r="V1902">
        <v>1782.9</v>
      </c>
      <c r="W1902">
        <v>13140</v>
      </c>
      <c r="X1902">
        <v>1748</v>
      </c>
      <c r="Y1902">
        <f t="shared" si="29"/>
        <v>13140</v>
      </c>
      <c r="Z1902" t="str">
        <f>IF(ISNUMBER(SEARCH("Adjustment",$C1902)),"excluded",IF($H1902="Behind the Meter","excluded",IF(NOT(OR($E1902="Bundled",$E1902="Energy")),"excluded",IF(OR($H1902="Retail Power Marketer",$H1902="Community Choice Aggregator",$E1902="Energy"),"procurement",IF(OR($H1902="Municipal",$H1902="Cooperative",$H1902="Federal",$H1902="State",$H1902="Political Subdivision"),"cost_service",IF($H1902="Investor Owned",IF(AND(COUNTIF(Parameters!$A$4:$A$33,$G1902)&gt;0,COUNTIF(Parameters!$B$4:$B$33,$B1902)=0),"procurement","cost_service"),"unclassified"))))))</f>
        <v>procurement</v>
      </c>
    </row>
    <row r="1903" spans="1:26" x14ac:dyDescent="0.25">
      <c r="A1903">
        <v>2024</v>
      </c>
      <c r="B1903">
        <v>58964</v>
      </c>
      <c r="C1903" t="s">
        <v>1521</v>
      </c>
      <c r="D1903" t="s">
        <v>99</v>
      </c>
      <c r="E1903" t="s">
        <v>100</v>
      </c>
      <c r="F1903" t="s">
        <v>86</v>
      </c>
      <c r="G1903" t="s">
        <v>55</v>
      </c>
      <c r="H1903" t="s">
        <v>101</v>
      </c>
      <c r="I1903" t="s">
        <v>92</v>
      </c>
      <c r="J1903">
        <v>896.4</v>
      </c>
      <c r="K1903">
        <v>5767</v>
      </c>
      <c r="L1903">
        <v>766</v>
      </c>
      <c r="M1903">
        <v>0</v>
      </c>
      <c r="N1903">
        <v>0</v>
      </c>
      <c r="O1903">
        <v>0</v>
      </c>
      <c r="P1903">
        <v>0</v>
      </c>
      <c r="Q1903">
        <v>0</v>
      </c>
      <c r="R1903">
        <v>0</v>
      </c>
      <c r="S1903">
        <v>0</v>
      </c>
      <c r="T1903">
        <v>0</v>
      </c>
      <c r="U1903">
        <v>0</v>
      </c>
      <c r="V1903">
        <v>896.4</v>
      </c>
      <c r="W1903">
        <v>5767</v>
      </c>
      <c r="X1903">
        <v>766</v>
      </c>
      <c r="Y1903">
        <f t="shared" si="29"/>
        <v>5767</v>
      </c>
      <c r="Z1903" t="str">
        <f>IF(ISNUMBER(SEARCH("Adjustment",$C1903)),"excluded",IF($H1903="Behind the Meter","excluded",IF(NOT(OR($E1903="Bundled",$E1903="Energy")),"excluded",IF(OR($H1903="Retail Power Marketer",$H1903="Community Choice Aggregator",$E1903="Energy"),"procurement",IF(OR($H1903="Municipal",$H1903="Cooperative",$H1903="Federal",$H1903="State",$H1903="Political Subdivision"),"cost_service",IF($H1903="Investor Owned",IF(AND(COUNTIF(Parameters!$A$4:$A$33,$G1903)&gt;0,COUNTIF(Parameters!$B$4:$B$33,$B1903)=0),"procurement","cost_service"),"unclassified"))))))</f>
        <v>procurement</v>
      </c>
    </row>
    <row r="1904" spans="1:26" x14ac:dyDescent="0.25">
      <c r="A1904">
        <v>2024</v>
      </c>
      <c r="B1904">
        <v>58966</v>
      </c>
      <c r="C1904" t="s">
        <v>1522</v>
      </c>
      <c r="D1904" t="s">
        <v>99</v>
      </c>
      <c r="E1904" t="s">
        <v>100</v>
      </c>
      <c r="F1904" t="s">
        <v>86</v>
      </c>
      <c r="G1904" t="s">
        <v>49</v>
      </c>
      <c r="H1904" t="s">
        <v>101</v>
      </c>
      <c r="I1904" t="s">
        <v>92</v>
      </c>
      <c r="J1904">
        <v>0</v>
      </c>
      <c r="K1904">
        <v>0</v>
      </c>
      <c r="L1904">
        <v>0</v>
      </c>
      <c r="M1904">
        <v>119.6</v>
      </c>
      <c r="N1904">
        <v>1159</v>
      </c>
      <c r="O1904">
        <v>152</v>
      </c>
      <c r="P1904">
        <v>0</v>
      </c>
      <c r="Q1904">
        <v>0</v>
      </c>
      <c r="R1904">
        <v>0</v>
      </c>
      <c r="S1904">
        <v>0</v>
      </c>
      <c r="T1904">
        <v>0</v>
      </c>
      <c r="U1904">
        <v>0</v>
      </c>
      <c r="V1904">
        <v>119.6</v>
      </c>
      <c r="W1904">
        <v>1159</v>
      </c>
      <c r="X1904">
        <v>152</v>
      </c>
      <c r="Y1904">
        <f t="shared" si="29"/>
        <v>1159</v>
      </c>
      <c r="Z1904" t="str">
        <f>IF(ISNUMBER(SEARCH("Adjustment",$C1904)),"excluded",IF($H1904="Behind the Meter","excluded",IF(NOT(OR($E1904="Bundled",$E1904="Energy")),"excluded",IF(OR($H1904="Retail Power Marketer",$H1904="Community Choice Aggregator",$E1904="Energy"),"procurement",IF(OR($H1904="Municipal",$H1904="Cooperative",$H1904="Federal",$H1904="State",$H1904="Political Subdivision"),"cost_service",IF($H1904="Investor Owned",IF(AND(COUNTIF(Parameters!$A$4:$A$33,$G1904)&gt;0,COUNTIF(Parameters!$B$4:$B$33,$B1904)=0),"procurement","cost_service"),"unclassified"))))))</f>
        <v>procurement</v>
      </c>
    </row>
    <row r="1905" spans="1:26" x14ac:dyDescent="0.25">
      <c r="A1905">
        <v>2024</v>
      </c>
      <c r="B1905">
        <v>58966</v>
      </c>
      <c r="C1905" t="s">
        <v>1522</v>
      </c>
      <c r="D1905" t="s">
        <v>99</v>
      </c>
      <c r="E1905" t="s">
        <v>100</v>
      </c>
      <c r="F1905" t="s">
        <v>86</v>
      </c>
      <c r="G1905" t="s">
        <v>52</v>
      </c>
      <c r="H1905" t="s">
        <v>101</v>
      </c>
      <c r="I1905" t="s">
        <v>92</v>
      </c>
      <c r="J1905">
        <v>58.7</v>
      </c>
      <c r="K1905">
        <v>378</v>
      </c>
      <c r="L1905">
        <v>90</v>
      </c>
      <c r="M1905">
        <v>6308.4</v>
      </c>
      <c r="N1905">
        <v>60510</v>
      </c>
      <c r="O1905">
        <v>684</v>
      </c>
      <c r="P1905">
        <v>0</v>
      </c>
      <c r="Q1905">
        <v>0</v>
      </c>
      <c r="R1905">
        <v>0</v>
      </c>
      <c r="S1905">
        <v>0</v>
      </c>
      <c r="T1905">
        <v>0</v>
      </c>
      <c r="U1905">
        <v>0</v>
      </c>
      <c r="V1905">
        <v>6367.1</v>
      </c>
      <c r="W1905">
        <v>60888</v>
      </c>
      <c r="X1905">
        <v>774</v>
      </c>
      <c r="Y1905">
        <f t="shared" si="29"/>
        <v>60888</v>
      </c>
      <c r="Z1905" t="str">
        <f>IF(ISNUMBER(SEARCH("Adjustment",$C1905)),"excluded",IF($H1905="Behind the Meter","excluded",IF(NOT(OR($E1905="Bundled",$E1905="Energy")),"excluded",IF(OR($H1905="Retail Power Marketer",$H1905="Community Choice Aggregator",$E1905="Energy"),"procurement",IF(OR($H1905="Municipal",$H1905="Cooperative",$H1905="Federal",$H1905="State",$H1905="Political Subdivision"),"cost_service",IF($H1905="Investor Owned",IF(AND(COUNTIF(Parameters!$A$4:$A$33,$G1905)&gt;0,COUNTIF(Parameters!$B$4:$B$33,$B1905)=0),"procurement","cost_service"),"unclassified"))))))</f>
        <v>procurement</v>
      </c>
    </row>
    <row r="1906" spans="1:26" x14ac:dyDescent="0.25">
      <c r="A1906">
        <v>2024</v>
      </c>
      <c r="B1906">
        <v>58966</v>
      </c>
      <c r="C1906" t="s">
        <v>1522</v>
      </c>
      <c r="D1906" t="s">
        <v>99</v>
      </c>
      <c r="E1906" t="s">
        <v>100</v>
      </c>
      <c r="F1906" t="s">
        <v>86</v>
      </c>
      <c r="G1906" t="s">
        <v>53</v>
      </c>
      <c r="H1906" t="s">
        <v>101</v>
      </c>
      <c r="I1906" t="s">
        <v>102</v>
      </c>
      <c r="J1906">
        <v>912.5</v>
      </c>
      <c r="K1906">
        <v>8512</v>
      </c>
      <c r="L1906">
        <v>266</v>
      </c>
      <c r="M1906">
        <v>18468.099999999999</v>
      </c>
      <c r="N1906">
        <v>209575</v>
      </c>
      <c r="O1906">
        <v>1593</v>
      </c>
      <c r="P1906">
        <v>0</v>
      </c>
      <c r="Q1906">
        <v>0</v>
      </c>
      <c r="R1906">
        <v>0</v>
      </c>
      <c r="S1906">
        <v>0</v>
      </c>
      <c r="T1906">
        <v>0</v>
      </c>
      <c r="U1906">
        <v>0</v>
      </c>
      <c r="V1906">
        <v>19380.599999999999</v>
      </c>
      <c r="W1906">
        <v>218087</v>
      </c>
      <c r="X1906">
        <v>1859</v>
      </c>
      <c r="Y1906">
        <f t="shared" si="29"/>
        <v>218087</v>
      </c>
      <c r="Z1906" t="str">
        <f>IF(ISNUMBER(SEARCH("Adjustment",$C1906)),"excluded",IF($H1906="Behind the Meter","excluded",IF(NOT(OR($E1906="Bundled",$E1906="Energy")),"excluded",IF(OR($H1906="Retail Power Marketer",$H1906="Community Choice Aggregator",$E1906="Energy"),"procurement",IF(OR($H1906="Municipal",$H1906="Cooperative",$H1906="Federal",$H1906="State",$H1906="Political Subdivision"),"cost_service",IF($H1906="Investor Owned",IF(AND(COUNTIF(Parameters!$A$4:$A$33,$G1906)&gt;0,COUNTIF(Parameters!$B$4:$B$33,$B1906)=0),"procurement","cost_service"),"unclassified"))))))</f>
        <v>procurement</v>
      </c>
    </row>
    <row r="1907" spans="1:26" x14ac:dyDescent="0.25">
      <c r="A1907">
        <v>2024</v>
      </c>
      <c r="B1907">
        <v>58966</v>
      </c>
      <c r="C1907" t="s">
        <v>1522</v>
      </c>
      <c r="D1907" t="s">
        <v>99</v>
      </c>
      <c r="E1907" t="s">
        <v>100</v>
      </c>
      <c r="F1907" t="s">
        <v>86</v>
      </c>
      <c r="G1907" t="s">
        <v>55</v>
      </c>
      <c r="H1907" t="s">
        <v>101</v>
      </c>
      <c r="I1907" t="s">
        <v>92</v>
      </c>
      <c r="J1907">
        <v>30.7</v>
      </c>
      <c r="K1907">
        <v>321</v>
      </c>
      <c r="L1907">
        <v>120</v>
      </c>
      <c r="M1907">
        <v>1465.4</v>
      </c>
      <c r="N1907">
        <v>17334</v>
      </c>
      <c r="O1907">
        <v>594</v>
      </c>
      <c r="P1907">
        <v>0</v>
      </c>
      <c r="Q1907">
        <v>0</v>
      </c>
      <c r="R1907">
        <v>0</v>
      </c>
      <c r="S1907">
        <v>0</v>
      </c>
      <c r="T1907">
        <v>0</v>
      </c>
      <c r="U1907">
        <v>0</v>
      </c>
      <c r="V1907">
        <v>1496.1</v>
      </c>
      <c r="W1907">
        <v>17655</v>
      </c>
      <c r="X1907">
        <v>714</v>
      </c>
      <c r="Y1907">
        <f t="shared" si="29"/>
        <v>17655</v>
      </c>
      <c r="Z1907" t="str">
        <f>IF(ISNUMBER(SEARCH("Adjustment",$C1907)),"excluded",IF($H1907="Behind the Meter","excluded",IF(NOT(OR($E1907="Bundled",$E1907="Energy")),"excluded",IF(OR($H1907="Retail Power Marketer",$H1907="Community Choice Aggregator",$E1907="Energy"),"procurement",IF(OR($H1907="Municipal",$H1907="Cooperative",$H1907="Federal",$H1907="State",$H1907="Political Subdivision"),"cost_service",IF($H1907="Investor Owned",IF(AND(COUNTIF(Parameters!$A$4:$A$33,$G1907)&gt;0,COUNTIF(Parameters!$B$4:$B$33,$B1907)=0),"procurement","cost_service"),"unclassified"))))))</f>
        <v>procurement</v>
      </c>
    </row>
    <row r="1908" spans="1:26" x14ac:dyDescent="0.25">
      <c r="A1908">
        <v>2024</v>
      </c>
      <c r="B1908">
        <v>58972</v>
      </c>
      <c r="C1908" t="s">
        <v>1523</v>
      </c>
      <c r="D1908" t="s">
        <v>99</v>
      </c>
      <c r="E1908" t="s">
        <v>100</v>
      </c>
      <c r="F1908" t="s">
        <v>86</v>
      </c>
      <c r="G1908" t="s">
        <v>46</v>
      </c>
      <c r="H1908" t="s">
        <v>101</v>
      </c>
      <c r="I1908" t="s">
        <v>92</v>
      </c>
      <c r="J1908">
        <v>1823.2</v>
      </c>
      <c r="K1908">
        <v>18201</v>
      </c>
      <c r="L1908">
        <v>3467</v>
      </c>
      <c r="M1908">
        <v>3343</v>
      </c>
      <c r="N1908">
        <v>56027</v>
      </c>
      <c r="O1908">
        <v>1061</v>
      </c>
      <c r="P1908">
        <v>0</v>
      </c>
      <c r="Q1908">
        <v>0</v>
      </c>
      <c r="R1908">
        <v>0</v>
      </c>
      <c r="S1908">
        <v>0</v>
      </c>
      <c r="T1908">
        <v>0</v>
      </c>
      <c r="U1908">
        <v>0</v>
      </c>
      <c r="V1908">
        <v>5166.2</v>
      </c>
      <c r="W1908">
        <v>74228</v>
      </c>
      <c r="X1908">
        <v>4528</v>
      </c>
      <c r="Y1908">
        <f t="shared" si="29"/>
        <v>74228</v>
      </c>
      <c r="Z1908" t="str">
        <f>IF(ISNUMBER(SEARCH("Adjustment",$C1908)),"excluded",IF($H1908="Behind the Meter","excluded",IF(NOT(OR($E1908="Bundled",$E1908="Energy")),"excluded",IF(OR($H1908="Retail Power Marketer",$H1908="Community Choice Aggregator",$E1908="Energy"),"procurement",IF(OR($H1908="Municipal",$H1908="Cooperative",$H1908="Federal",$H1908="State",$H1908="Political Subdivision"),"cost_service",IF($H1908="Investor Owned",IF(AND(COUNTIF(Parameters!$A$4:$A$33,$G1908)&gt;0,COUNTIF(Parameters!$B$4:$B$33,$B1908)=0),"procurement","cost_service"),"unclassified"))))))</f>
        <v>procurement</v>
      </c>
    </row>
    <row r="1909" spans="1:26" x14ac:dyDescent="0.25">
      <c r="A1909">
        <v>2024</v>
      </c>
      <c r="B1909">
        <v>58972</v>
      </c>
      <c r="C1909" t="s">
        <v>1523</v>
      </c>
      <c r="D1909" t="s">
        <v>99</v>
      </c>
      <c r="E1909" t="s">
        <v>100</v>
      </c>
      <c r="F1909" t="s">
        <v>86</v>
      </c>
      <c r="G1909" t="s">
        <v>54</v>
      </c>
      <c r="H1909" t="s">
        <v>101</v>
      </c>
      <c r="I1909" t="s">
        <v>92</v>
      </c>
      <c r="J1909">
        <v>2219.5</v>
      </c>
      <c r="K1909">
        <v>23267</v>
      </c>
      <c r="L1909">
        <v>2859</v>
      </c>
      <c r="M1909">
        <v>578.6</v>
      </c>
      <c r="N1909">
        <v>6738</v>
      </c>
      <c r="O1909">
        <v>318</v>
      </c>
      <c r="P1909">
        <v>0</v>
      </c>
      <c r="Q1909">
        <v>0</v>
      </c>
      <c r="R1909">
        <v>0</v>
      </c>
      <c r="S1909">
        <v>0</v>
      </c>
      <c r="T1909">
        <v>0</v>
      </c>
      <c r="U1909">
        <v>0</v>
      </c>
      <c r="V1909">
        <v>2798.1</v>
      </c>
      <c r="W1909">
        <v>30005</v>
      </c>
      <c r="X1909">
        <v>3177</v>
      </c>
      <c r="Y1909">
        <f t="shared" si="29"/>
        <v>30005</v>
      </c>
      <c r="Z1909" t="str">
        <f>IF(ISNUMBER(SEARCH("Adjustment",$C1909)),"excluded",IF($H1909="Behind the Meter","excluded",IF(NOT(OR($E1909="Bundled",$E1909="Energy")),"excluded",IF(OR($H1909="Retail Power Marketer",$H1909="Community Choice Aggregator",$E1909="Energy"),"procurement",IF(OR($H1909="Municipal",$H1909="Cooperative",$H1909="Federal",$H1909="State",$H1909="Political Subdivision"),"cost_service",IF($H1909="Investor Owned",IF(AND(COUNTIF(Parameters!$A$4:$A$33,$G1909)&gt;0,COUNTIF(Parameters!$B$4:$B$33,$B1909)=0),"procurement","cost_service"),"unclassified"))))))</f>
        <v>procurement</v>
      </c>
    </row>
    <row r="1910" spans="1:26" x14ac:dyDescent="0.25">
      <c r="A1910">
        <v>2024</v>
      </c>
      <c r="B1910">
        <v>58973</v>
      </c>
      <c r="C1910" t="s">
        <v>1524</v>
      </c>
      <c r="D1910" t="s">
        <v>99</v>
      </c>
      <c r="E1910" t="s">
        <v>100</v>
      </c>
      <c r="F1910" t="s">
        <v>86</v>
      </c>
      <c r="G1910" t="s">
        <v>49</v>
      </c>
      <c r="H1910" t="s">
        <v>101</v>
      </c>
      <c r="I1910" t="s">
        <v>92</v>
      </c>
      <c r="J1910">
        <v>74.3</v>
      </c>
      <c r="K1910">
        <v>543</v>
      </c>
      <c r="L1910">
        <v>53</v>
      </c>
      <c r="M1910">
        <v>0</v>
      </c>
      <c r="N1910">
        <v>0</v>
      </c>
      <c r="O1910">
        <v>0</v>
      </c>
      <c r="P1910">
        <v>0</v>
      </c>
      <c r="Q1910">
        <v>0</v>
      </c>
      <c r="R1910">
        <v>0</v>
      </c>
      <c r="S1910">
        <v>0</v>
      </c>
      <c r="T1910">
        <v>0</v>
      </c>
      <c r="U1910">
        <v>0</v>
      </c>
      <c r="V1910">
        <v>74.3</v>
      </c>
      <c r="W1910">
        <v>543</v>
      </c>
      <c r="X1910">
        <v>53</v>
      </c>
      <c r="Y1910">
        <f t="shared" si="29"/>
        <v>543</v>
      </c>
      <c r="Z1910" t="str">
        <f>IF(ISNUMBER(SEARCH("Adjustment",$C1910)),"excluded",IF($H1910="Behind the Meter","excluded",IF(NOT(OR($E1910="Bundled",$E1910="Energy")),"excluded",IF(OR($H1910="Retail Power Marketer",$H1910="Community Choice Aggregator",$E1910="Energy"),"procurement",IF(OR($H1910="Municipal",$H1910="Cooperative",$H1910="Federal",$H1910="State",$H1910="Political Subdivision"),"cost_service",IF($H1910="Investor Owned",IF(AND(COUNTIF(Parameters!$A$4:$A$33,$G1910)&gt;0,COUNTIF(Parameters!$B$4:$B$33,$B1910)=0),"procurement","cost_service"),"unclassified"))))))</f>
        <v>procurement</v>
      </c>
    </row>
    <row r="1911" spans="1:26" x14ac:dyDescent="0.25">
      <c r="A1911">
        <v>2024</v>
      </c>
      <c r="B1911">
        <v>58973</v>
      </c>
      <c r="C1911" t="s">
        <v>1524</v>
      </c>
      <c r="D1911" t="s">
        <v>99</v>
      </c>
      <c r="E1911" t="s">
        <v>100</v>
      </c>
      <c r="F1911" t="s">
        <v>86</v>
      </c>
      <c r="G1911" t="s">
        <v>52</v>
      </c>
      <c r="H1911" t="s">
        <v>101</v>
      </c>
      <c r="I1911" t="s">
        <v>92</v>
      </c>
      <c r="J1911">
        <v>134.80000000000001</v>
      </c>
      <c r="K1911">
        <v>984</v>
      </c>
      <c r="L1911">
        <v>137</v>
      </c>
      <c r="M1911">
        <v>1.5</v>
      </c>
      <c r="N1911">
        <v>12</v>
      </c>
      <c r="O1911">
        <v>2</v>
      </c>
      <c r="P1911">
        <v>0</v>
      </c>
      <c r="Q1911">
        <v>0</v>
      </c>
      <c r="R1911">
        <v>0</v>
      </c>
      <c r="S1911">
        <v>0</v>
      </c>
      <c r="T1911">
        <v>0</v>
      </c>
      <c r="U1911">
        <v>0</v>
      </c>
      <c r="V1911">
        <v>136.30000000000001</v>
      </c>
      <c r="W1911">
        <v>996</v>
      </c>
      <c r="X1911">
        <v>139</v>
      </c>
      <c r="Y1911">
        <f t="shared" si="29"/>
        <v>996</v>
      </c>
      <c r="Z1911" t="str">
        <f>IF(ISNUMBER(SEARCH("Adjustment",$C1911)),"excluded",IF($H1911="Behind the Meter","excluded",IF(NOT(OR($E1911="Bundled",$E1911="Energy")),"excluded",IF(OR($H1911="Retail Power Marketer",$H1911="Community Choice Aggregator",$E1911="Energy"),"procurement",IF(OR($H1911="Municipal",$H1911="Cooperative",$H1911="Federal",$H1911="State",$H1911="Political Subdivision"),"cost_service",IF($H1911="Investor Owned",IF(AND(COUNTIF(Parameters!$A$4:$A$33,$G1911)&gt;0,COUNTIF(Parameters!$B$4:$B$33,$B1911)=0),"procurement","cost_service"),"unclassified"))))))</f>
        <v>procurement</v>
      </c>
    </row>
    <row r="1912" spans="1:26" x14ac:dyDescent="0.25">
      <c r="A1912">
        <v>2024</v>
      </c>
      <c r="B1912">
        <v>58973</v>
      </c>
      <c r="C1912" t="s">
        <v>1524</v>
      </c>
      <c r="D1912" t="s">
        <v>99</v>
      </c>
      <c r="E1912" t="s">
        <v>100</v>
      </c>
      <c r="F1912" t="s">
        <v>86</v>
      </c>
      <c r="G1912" t="s">
        <v>54</v>
      </c>
      <c r="H1912" t="s">
        <v>101</v>
      </c>
      <c r="I1912" t="s">
        <v>92</v>
      </c>
      <c r="J1912">
        <v>333.8</v>
      </c>
      <c r="K1912">
        <v>3458</v>
      </c>
      <c r="L1912">
        <v>400</v>
      </c>
      <c r="M1912">
        <v>91.8</v>
      </c>
      <c r="N1912">
        <v>986</v>
      </c>
      <c r="O1912">
        <v>29</v>
      </c>
      <c r="P1912">
        <v>0</v>
      </c>
      <c r="Q1912">
        <v>0</v>
      </c>
      <c r="R1912">
        <v>0</v>
      </c>
      <c r="S1912">
        <v>0</v>
      </c>
      <c r="T1912">
        <v>0</v>
      </c>
      <c r="U1912">
        <v>0</v>
      </c>
      <c r="V1912">
        <v>425.6</v>
      </c>
      <c r="W1912">
        <v>4444</v>
      </c>
      <c r="X1912">
        <v>429</v>
      </c>
      <c r="Y1912">
        <f t="shared" si="29"/>
        <v>4444</v>
      </c>
      <c r="Z1912" t="str">
        <f>IF(ISNUMBER(SEARCH("Adjustment",$C1912)),"excluded",IF($H1912="Behind the Meter","excluded",IF(NOT(OR($E1912="Bundled",$E1912="Energy")),"excluded",IF(OR($H1912="Retail Power Marketer",$H1912="Community Choice Aggregator",$E1912="Energy"),"procurement",IF(OR($H1912="Municipal",$H1912="Cooperative",$H1912="Federal",$H1912="State",$H1912="Political Subdivision"),"cost_service",IF($H1912="Investor Owned",IF(AND(COUNTIF(Parameters!$A$4:$A$33,$G1912)&gt;0,COUNTIF(Parameters!$B$4:$B$33,$B1912)=0),"procurement","cost_service"),"unclassified"))))))</f>
        <v>procurement</v>
      </c>
    </row>
    <row r="1913" spans="1:26" x14ac:dyDescent="0.25">
      <c r="A1913">
        <v>2024</v>
      </c>
      <c r="B1913">
        <v>58973</v>
      </c>
      <c r="C1913" t="s">
        <v>1524</v>
      </c>
      <c r="D1913" t="s">
        <v>99</v>
      </c>
      <c r="E1913" t="s">
        <v>100</v>
      </c>
      <c r="F1913" t="s">
        <v>86</v>
      </c>
      <c r="G1913" t="s">
        <v>55</v>
      </c>
      <c r="H1913" t="s">
        <v>101</v>
      </c>
      <c r="I1913" t="s">
        <v>92</v>
      </c>
      <c r="J1913">
        <v>2004.1</v>
      </c>
      <c r="K1913">
        <v>16984</v>
      </c>
      <c r="L1913">
        <v>1533</v>
      </c>
      <c r="M1913">
        <v>47.7</v>
      </c>
      <c r="N1913">
        <v>391</v>
      </c>
      <c r="O1913">
        <v>48</v>
      </c>
      <c r="P1913">
        <v>0</v>
      </c>
      <c r="Q1913">
        <v>0</v>
      </c>
      <c r="R1913">
        <v>0</v>
      </c>
      <c r="S1913">
        <v>0</v>
      </c>
      <c r="T1913">
        <v>0</v>
      </c>
      <c r="U1913">
        <v>0</v>
      </c>
      <c r="V1913">
        <v>2051.8000000000002</v>
      </c>
      <c r="W1913">
        <v>17375</v>
      </c>
      <c r="X1913">
        <v>1581</v>
      </c>
      <c r="Y1913">
        <f t="shared" si="29"/>
        <v>17375</v>
      </c>
      <c r="Z1913" t="str">
        <f>IF(ISNUMBER(SEARCH("Adjustment",$C1913)),"excluded",IF($H1913="Behind the Meter","excluded",IF(NOT(OR($E1913="Bundled",$E1913="Energy")),"excluded",IF(OR($H1913="Retail Power Marketer",$H1913="Community Choice Aggregator",$E1913="Energy"),"procurement",IF(OR($H1913="Municipal",$H1913="Cooperative",$H1913="Federal",$H1913="State",$H1913="Political Subdivision"),"cost_service",IF($H1913="Investor Owned",IF(AND(COUNTIF(Parameters!$A$4:$A$33,$G1913)&gt;0,COUNTIF(Parameters!$B$4:$B$33,$B1913)=0),"procurement","cost_service"),"unclassified"))))))</f>
        <v>procurement</v>
      </c>
    </row>
    <row r="1914" spans="1:26" x14ac:dyDescent="0.25">
      <c r="A1914">
        <v>2024</v>
      </c>
      <c r="B1914">
        <v>58974</v>
      </c>
      <c r="C1914" t="s">
        <v>1525</v>
      </c>
      <c r="D1914" t="s">
        <v>99</v>
      </c>
      <c r="E1914" t="s">
        <v>100</v>
      </c>
      <c r="F1914" t="s">
        <v>86</v>
      </c>
      <c r="G1914" t="s">
        <v>42</v>
      </c>
      <c r="H1914" t="s">
        <v>101</v>
      </c>
      <c r="I1914" t="s">
        <v>92</v>
      </c>
      <c r="J1914">
        <v>513.79999999999995</v>
      </c>
      <c r="K1914">
        <v>2340</v>
      </c>
      <c r="L1914">
        <v>320</v>
      </c>
      <c r="M1914">
        <v>170.6</v>
      </c>
      <c r="N1914">
        <v>6</v>
      </c>
      <c r="O1914">
        <v>2</v>
      </c>
      <c r="P1914">
        <v>0</v>
      </c>
      <c r="Q1914">
        <v>0</v>
      </c>
      <c r="R1914">
        <v>0</v>
      </c>
      <c r="S1914">
        <v>0</v>
      </c>
      <c r="T1914">
        <v>0</v>
      </c>
      <c r="U1914">
        <v>0</v>
      </c>
      <c r="V1914">
        <v>684.4</v>
      </c>
      <c r="W1914">
        <v>2346</v>
      </c>
      <c r="X1914">
        <v>322</v>
      </c>
      <c r="Y1914">
        <f t="shared" si="29"/>
        <v>2346</v>
      </c>
      <c r="Z1914" t="str">
        <f>IF(ISNUMBER(SEARCH("Adjustment",$C1914)),"excluded",IF($H1914="Behind the Meter","excluded",IF(NOT(OR($E1914="Bundled",$E1914="Energy")),"excluded",IF(OR($H1914="Retail Power Marketer",$H1914="Community Choice Aggregator",$E1914="Energy"),"procurement",IF(OR($H1914="Municipal",$H1914="Cooperative",$H1914="Federal",$H1914="State",$H1914="Political Subdivision"),"cost_service",IF($H1914="Investor Owned",IF(AND(COUNTIF(Parameters!$A$4:$A$33,$G1914)&gt;0,COUNTIF(Parameters!$B$4:$B$33,$B1914)=0),"procurement","cost_service"),"unclassified"))))))</f>
        <v>procurement</v>
      </c>
    </row>
    <row r="1915" spans="1:26" x14ac:dyDescent="0.25">
      <c r="A1915">
        <v>2024</v>
      </c>
      <c r="B1915">
        <v>58974</v>
      </c>
      <c r="C1915" t="s">
        <v>1525</v>
      </c>
      <c r="D1915" t="s">
        <v>99</v>
      </c>
      <c r="E1915" t="s">
        <v>100</v>
      </c>
      <c r="F1915" t="s">
        <v>86</v>
      </c>
      <c r="G1915" t="s">
        <v>44</v>
      </c>
      <c r="H1915" t="s">
        <v>101</v>
      </c>
      <c r="I1915" t="s">
        <v>92</v>
      </c>
      <c r="J1915">
        <v>1098.5999999999999</v>
      </c>
      <c r="K1915">
        <v>6419</v>
      </c>
      <c r="L1915">
        <v>770</v>
      </c>
      <c r="M1915">
        <v>3.2</v>
      </c>
      <c r="N1915">
        <v>16</v>
      </c>
      <c r="O1915">
        <v>3</v>
      </c>
      <c r="P1915">
        <v>0</v>
      </c>
      <c r="Q1915">
        <v>0</v>
      </c>
      <c r="R1915">
        <v>0</v>
      </c>
      <c r="S1915">
        <v>0</v>
      </c>
      <c r="T1915">
        <v>0</v>
      </c>
      <c r="U1915">
        <v>0</v>
      </c>
      <c r="V1915">
        <v>1101.8</v>
      </c>
      <c r="W1915">
        <v>6435</v>
      </c>
      <c r="X1915">
        <v>773</v>
      </c>
      <c r="Y1915">
        <f t="shared" si="29"/>
        <v>6435</v>
      </c>
      <c r="Z1915" t="str">
        <f>IF(ISNUMBER(SEARCH("Adjustment",$C1915)),"excluded",IF($H1915="Behind the Meter","excluded",IF(NOT(OR($E1915="Bundled",$E1915="Energy")),"excluded",IF(OR($H1915="Retail Power Marketer",$H1915="Community Choice Aggregator",$E1915="Energy"),"procurement",IF(OR($H1915="Municipal",$H1915="Cooperative",$H1915="Federal",$H1915="State",$H1915="Political Subdivision"),"cost_service",IF($H1915="Investor Owned",IF(AND(COUNTIF(Parameters!$A$4:$A$33,$G1915)&gt;0,COUNTIF(Parameters!$B$4:$B$33,$B1915)=0),"procurement","cost_service"),"unclassified"))))))</f>
        <v>procurement</v>
      </c>
    </row>
    <row r="1916" spans="1:26" x14ac:dyDescent="0.25">
      <c r="A1916">
        <v>2024</v>
      </c>
      <c r="B1916">
        <v>58974</v>
      </c>
      <c r="C1916" t="s">
        <v>1525</v>
      </c>
      <c r="D1916" t="s">
        <v>99</v>
      </c>
      <c r="E1916" t="s">
        <v>100</v>
      </c>
      <c r="F1916" t="s">
        <v>86</v>
      </c>
      <c r="G1916" t="s">
        <v>46</v>
      </c>
      <c r="H1916" t="s">
        <v>101</v>
      </c>
      <c r="I1916" t="s">
        <v>96</v>
      </c>
      <c r="J1916">
        <v>10964.7</v>
      </c>
      <c r="K1916">
        <v>54565</v>
      </c>
      <c r="L1916">
        <v>7220</v>
      </c>
      <c r="M1916">
        <v>110.9</v>
      </c>
      <c r="N1916">
        <v>484</v>
      </c>
      <c r="O1916">
        <v>58</v>
      </c>
      <c r="P1916">
        <v>0</v>
      </c>
      <c r="Q1916">
        <v>0</v>
      </c>
      <c r="R1916">
        <v>0</v>
      </c>
      <c r="S1916">
        <v>0</v>
      </c>
      <c r="T1916">
        <v>0</v>
      </c>
      <c r="U1916">
        <v>0</v>
      </c>
      <c r="V1916">
        <v>11075.6</v>
      </c>
      <c r="W1916">
        <v>55049</v>
      </c>
      <c r="X1916">
        <v>7278</v>
      </c>
      <c r="Y1916">
        <f t="shared" si="29"/>
        <v>55049</v>
      </c>
      <c r="Z1916" t="str">
        <f>IF(ISNUMBER(SEARCH("Adjustment",$C1916)),"excluded",IF($H1916="Behind the Meter","excluded",IF(NOT(OR($E1916="Bundled",$E1916="Energy")),"excluded",IF(OR($H1916="Retail Power Marketer",$H1916="Community Choice Aggregator",$E1916="Energy"),"procurement",IF(OR($H1916="Municipal",$H1916="Cooperative",$H1916="Federal",$H1916="State",$H1916="Political Subdivision"),"cost_service",IF($H1916="Investor Owned",IF(AND(COUNTIF(Parameters!$A$4:$A$33,$G1916)&gt;0,COUNTIF(Parameters!$B$4:$B$33,$B1916)=0),"procurement","cost_service"),"unclassified"))))))</f>
        <v>procurement</v>
      </c>
    </row>
    <row r="1917" spans="1:26" x14ac:dyDescent="0.25">
      <c r="A1917">
        <v>2024</v>
      </c>
      <c r="B1917">
        <v>58974</v>
      </c>
      <c r="C1917" t="s">
        <v>1525</v>
      </c>
      <c r="D1917" t="s">
        <v>99</v>
      </c>
      <c r="E1917" t="s">
        <v>100</v>
      </c>
      <c r="F1917" t="s">
        <v>86</v>
      </c>
      <c r="G1917" t="s">
        <v>48</v>
      </c>
      <c r="H1917" t="s">
        <v>101</v>
      </c>
      <c r="I1917" t="s">
        <v>189</v>
      </c>
      <c r="J1917">
        <v>31951.9</v>
      </c>
      <c r="K1917">
        <v>207121</v>
      </c>
      <c r="L1917">
        <v>23822</v>
      </c>
      <c r="M1917">
        <v>1944.6</v>
      </c>
      <c r="N1917">
        <v>14997</v>
      </c>
      <c r="O1917">
        <v>525</v>
      </c>
      <c r="P1917">
        <v>0</v>
      </c>
      <c r="Q1917">
        <v>0</v>
      </c>
      <c r="R1917">
        <v>0</v>
      </c>
      <c r="S1917">
        <v>0</v>
      </c>
      <c r="T1917">
        <v>0</v>
      </c>
      <c r="U1917">
        <v>0</v>
      </c>
      <c r="V1917">
        <v>33896.5</v>
      </c>
      <c r="W1917">
        <v>222118</v>
      </c>
      <c r="X1917">
        <v>24347</v>
      </c>
      <c r="Y1917">
        <f t="shared" si="29"/>
        <v>222118</v>
      </c>
      <c r="Z1917" t="str">
        <f>IF(ISNUMBER(SEARCH("Adjustment",$C1917)),"excluded",IF($H1917="Behind the Meter","excluded",IF(NOT(OR($E1917="Bundled",$E1917="Energy")),"excluded",IF(OR($H1917="Retail Power Marketer",$H1917="Community Choice Aggregator",$E1917="Energy"),"procurement",IF(OR($H1917="Municipal",$H1917="Cooperative",$H1917="Federal",$H1917="State",$H1917="Political Subdivision"),"cost_service",IF($H1917="Investor Owned",IF(AND(COUNTIF(Parameters!$A$4:$A$33,$G1917)&gt;0,COUNTIF(Parameters!$B$4:$B$33,$B1917)=0),"procurement","cost_service"),"unclassified"))))))</f>
        <v>procurement</v>
      </c>
    </row>
    <row r="1918" spans="1:26" x14ac:dyDescent="0.25">
      <c r="A1918">
        <v>2024</v>
      </c>
      <c r="B1918">
        <v>58974</v>
      </c>
      <c r="C1918" t="s">
        <v>1525</v>
      </c>
      <c r="D1918" t="s">
        <v>99</v>
      </c>
      <c r="E1918" t="s">
        <v>100</v>
      </c>
      <c r="F1918" t="s">
        <v>86</v>
      </c>
      <c r="G1918" t="s">
        <v>49</v>
      </c>
      <c r="H1918" t="s">
        <v>101</v>
      </c>
      <c r="I1918" t="s">
        <v>92</v>
      </c>
      <c r="J1918">
        <v>2401.1999999999998</v>
      </c>
      <c r="K1918">
        <v>12618</v>
      </c>
      <c r="L1918">
        <v>1258</v>
      </c>
      <c r="M1918">
        <v>24.5</v>
      </c>
      <c r="N1918">
        <v>113</v>
      </c>
      <c r="O1918">
        <v>14</v>
      </c>
      <c r="P1918">
        <v>0</v>
      </c>
      <c r="Q1918">
        <v>0</v>
      </c>
      <c r="R1918">
        <v>0</v>
      </c>
      <c r="S1918">
        <v>0</v>
      </c>
      <c r="T1918">
        <v>0</v>
      </c>
      <c r="U1918">
        <v>0</v>
      </c>
      <c r="V1918">
        <v>2425.6999999999998</v>
      </c>
      <c r="W1918">
        <v>12731</v>
      </c>
      <c r="X1918">
        <v>1272</v>
      </c>
      <c r="Y1918">
        <f t="shared" si="29"/>
        <v>12731</v>
      </c>
      <c r="Z1918" t="str">
        <f>IF(ISNUMBER(SEARCH("Adjustment",$C1918)),"excluded",IF($H1918="Behind the Meter","excluded",IF(NOT(OR($E1918="Bundled",$E1918="Energy")),"excluded",IF(OR($H1918="Retail Power Marketer",$H1918="Community Choice Aggregator",$E1918="Energy"),"procurement",IF(OR($H1918="Municipal",$H1918="Cooperative",$H1918="Federal",$H1918="State",$H1918="Political Subdivision"),"cost_service",IF($H1918="Investor Owned",IF(AND(COUNTIF(Parameters!$A$4:$A$33,$G1918)&gt;0,COUNTIF(Parameters!$B$4:$B$33,$B1918)=0),"procurement","cost_service"),"unclassified"))))))</f>
        <v>procurement</v>
      </c>
    </row>
    <row r="1919" spans="1:26" x14ac:dyDescent="0.25">
      <c r="A1919">
        <v>2024</v>
      </c>
      <c r="B1919">
        <v>58974</v>
      </c>
      <c r="C1919" t="s">
        <v>1525</v>
      </c>
      <c r="D1919" t="s">
        <v>99</v>
      </c>
      <c r="E1919" t="s">
        <v>100</v>
      </c>
      <c r="F1919" t="s">
        <v>86</v>
      </c>
      <c r="G1919" t="s">
        <v>50</v>
      </c>
      <c r="H1919" t="s">
        <v>101</v>
      </c>
      <c r="I1919" t="s">
        <v>189</v>
      </c>
      <c r="J1919">
        <v>640.79999999999995</v>
      </c>
      <c r="K1919">
        <v>2692</v>
      </c>
      <c r="L1919">
        <v>642</v>
      </c>
      <c r="M1919">
        <v>0.7</v>
      </c>
      <c r="N1919">
        <v>2</v>
      </c>
      <c r="O1919">
        <v>1</v>
      </c>
      <c r="P1919">
        <v>0</v>
      </c>
      <c r="Q1919">
        <v>0</v>
      </c>
      <c r="R1919">
        <v>0</v>
      </c>
      <c r="S1919">
        <v>0</v>
      </c>
      <c r="T1919">
        <v>0</v>
      </c>
      <c r="U1919">
        <v>0</v>
      </c>
      <c r="V1919">
        <v>641.5</v>
      </c>
      <c r="W1919">
        <v>2694</v>
      </c>
      <c r="X1919">
        <v>643</v>
      </c>
      <c r="Y1919">
        <f t="shared" si="29"/>
        <v>2694</v>
      </c>
      <c r="Z1919" t="str">
        <f>IF(ISNUMBER(SEARCH("Adjustment",$C1919)),"excluded",IF($H1919="Behind the Meter","excluded",IF(NOT(OR($E1919="Bundled",$E1919="Energy")),"excluded",IF(OR($H1919="Retail Power Marketer",$H1919="Community Choice Aggregator",$E1919="Energy"),"procurement",IF(OR($H1919="Municipal",$H1919="Cooperative",$H1919="Federal",$H1919="State",$H1919="Political Subdivision"),"cost_service",IF($H1919="Investor Owned",IF(AND(COUNTIF(Parameters!$A$4:$A$33,$G1919)&gt;0,COUNTIF(Parameters!$B$4:$B$33,$B1919)=0),"procurement","cost_service"),"unclassified"))))))</f>
        <v>procurement</v>
      </c>
    </row>
    <row r="1920" spans="1:26" x14ac:dyDescent="0.25">
      <c r="A1920">
        <v>2024</v>
      </c>
      <c r="B1920">
        <v>58974</v>
      </c>
      <c r="C1920" t="s">
        <v>1525</v>
      </c>
      <c r="D1920" t="s">
        <v>99</v>
      </c>
      <c r="E1920" t="s">
        <v>100</v>
      </c>
      <c r="F1920" t="s">
        <v>86</v>
      </c>
      <c r="G1920" t="s">
        <v>51</v>
      </c>
      <c r="H1920" t="s">
        <v>101</v>
      </c>
      <c r="I1920" t="s">
        <v>189</v>
      </c>
      <c r="J1920">
        <v>1018.6</v>
      </c>
      <c r="K1920">
        <v>3670</v>
      </c>
      <c r="L1920">
        <v>794</v>
      </c>
      <c r="M1920">
        <v>0</v>
      </c>
      <c r="N1920">
        <v>0</v>
      </c>
      <c r="O1920">
        <v>0</v>
      </c>
      <c r="P1920">
        <v>0</v>
      </c>
      <c r="Q1920">
        <v>0</v>
      </c>
      <c r="R1920">
        <v>0</v>
      </c>
      <c r="S1920">
        <v>0</v>
      </c>
      <c r="T1920">
        <v>0</v>
      </c>
      <c r="U1920">
        <v>0</v>
      </c>
      <c r="V1920">
        <v>1018.6</v>
      </c>
      <c r="W1920">
        <v>3670</v>
      </c>
      <c r="X1920">
        <v>794</v>
      </c>
      <c r="Y1920">
        <f t="shared" si="29"/>
        <v>3670</v>
      </c>
      <c r="Z1920" t="str">
        <f>IF(ISNUMBER(SEARCH("Adjustment",$C1920)),"excluded",IF($H1920="Behind the Meter","excluded",IF(NOT(OR($E1920="Bundled",$E1920="Energy")),"excluded",IF(OR($H1920="Retail Power Marketer",$H1920="Community Choice Aggregator",$E1920="Energy"),"procurement",IF(OR($H1920="Municipal",$H1920="Cooperative",$H1920="Federal",$H1920="State",$H1920="Political Subdivision"),"cost_service",IF($H1920="Investor Owned",IF(AND(COUNTIF(Parameters!$A$4:$A$33,$G1920)&gt;0,COUNTIF(Parameters!$B$4:$B$33,$B1920)=0),"procurement","cost_service"),"unclassified"))))))</f>
        <v>procurement</v>
      </c>
    </row>
    <row r="1921" spans="1:26" x14ac:dyDescent="0.25">
      <c r="A1921">
        <v>2024</v>
      </c>
      <c r="B1921">
        <v>58974</v>
      </c>
      <c r="C1921" t="s">
        <v>1525</v>
      </c>
      <c r="D1921" t="s">
        <v>99</v>
      </c>
      <c r="E1921" t="s">
        <v>100</v>
      </c>
      <c r="F1921" t="s">
        <v>86</v>
      </c>
      <c r="G1921" t="s">
        <v>52</v>
      </c>
      <c r="H1921" t="s">
        <v>101</v>
      </c>
      <c r="I1921" t="s">
        <v>92</v>
      </c>
      <c r="J1921">
        <v>3811.8</v>
      </c>
      <c r="K1921">
        <v>17460</v>
      </c>
      <c r="L1921">
        <v>2197</v>
      </c>
      <c r="M1921">
        <v>1359</v>
      </c>
      <c r="N1921">
        <v>8164</v>
      </c>
      <c r="O1921">
        <v>179</v>
      </c>
      <c r="P1921">
        <v>0</v>
      </c>
      <c r="Q1921">
        <v>0</v>
      </c>
      <c r="R1921">
        <v>0</v>
      </c>
      <c r="S1921">
        <v>0</v>
      </c>
      <c r="T1921">
        <v>0</v>
      </c>
      <c r="U1921">
        <v>0</v>
      </c>
      <c r="V1921">
        <v>5170.8</v>
      </c>
      <c r="W1921">
        <v>25624</v>
      </c>
      <c r="X1921">
        <v>2376</v>
      </c>
      <c r="Y1921">
        <f t="shared" si="29"/>
        <v>25624</v>
      </c>
      <c r="Z1921" t="str">
        <f>IF(ISNUMBER(SEARCH("Adjustment",$C1921)),"excluded",IF($H1921="Behind the Meter","excluded",IF(NOT(OR($E1921="Bundled",$E1921="Energy")),"excluded",IF(OR($H1921="Retail Power Marketer",$H1921="Community Choice Aggregator",$E1921="Energy"),"procurement",IF(OR($H1921="Municipal",$H1921="Cooperative",$H1921="Federal",$H1921="State",$H1921="Political Subdivision"),"cost_service",IF($H1921="Investor Owned",IF(AND(COUNTIF(Parameters!$A$4:$A$33,$G1921)&gt;0,COUNTIF(Parameters!$B$4:$B$33,$B1921)=0),"procurement","cost_service"),"unclassified"))))))</f>
        <v>procurement</v>
      </c>
    </row>
    <row r="1922" spans="1:26" x14ac:dyDescent="0.25">
      <c r="A1922">
        <v>2024</v>
      </c>
      <c r="B1922">
        <v>58974</v>
      </c>
      <c r="C1922" t="s">
        <v>1525</v>
      </c>
      <c r="D1922" t="s">
        <v>99</v>
      </c>
      <c r="E1922" t="s">
        <v>100</v>
      </c>
      <c r="F1922" t="s">
        <v>86</v>
      </c>
      <c r="G1922" t="s">
        <v>53</v>
      </c>
      <c r="H1922" t="s">
        <v>101</v>
      </c>
      <c r="I1922" t="s">
        <v>102</v>
      </c>
      <c r="J1922">
        <v>405.5</v>
      </c>
      <c r="K1922">
        <v>2252</v>
      </c>
      <c r="L1922">
        <v>339</v>
      </c>
      <c r="M1922">
        <v>28</v>
      </c>
      <c r="N1922">
        <v>120</v>
      </c>
      <c r="O1922">
        <v>7</v>
      </c>
      <c r="P1922">
        <v>0</v>
      </c>
      <c r="Q1922">
        <v>0</v>
      </c>
      <c r="R1922">
        <v>0</v>
      </c>
      <c r="S1922">
        <v>0</v>
      </c>
      <c r="T1922">
        <v>0</v>
      </c>
      <c r="U1922">
        <v>0</v>
      </c>
      <c r="V1922">
        <v>433.5</v>
      </c>
      <c r="W1922">
        <v>2372</v>
      </c>
      <c r="X1922">
        <v>346</v>
      </c>
      <c r="Y1922">
        <f t="shared" si="29"/>
        <v>2372</v>
      </c>
      <c r="Z1922" t="str">
        <f>IF(ISNUMBER(SEARCH("Adjustment",$C1922)),"excluded",IF($H1922="Behind the Meter","excluded",IF(NOT(OR($E1922="Bundled",$E1922="Energy")),"excluded",IF(OR($H1922="Retail Power Marketer",$H1922="Community Choice Aggregator",$E1922="Energy"),"procurement",IF(OR($H1922="Municipal",$H1922="Cooperative",$H1922="Federal",$H1922="State",$H1922="Political Subdivision"),"cost_service",IF($H1922="Investor Owned",IF(AND(COUNTIF(Parameters!$A$4:$A$33,$G1922)&gt;0,COUNTIF(Parameters!$B$4:$B$33,$B1922)=0),"procurement","cost_service"),"unclassified"))))))</f>
        <v>procurement</v>
      </c>
    </row>
    <row r="1923" spans="1:26" x14ac:dyDescent="0.25">
      <c r="A1923">
        <v>2024</v>
      </c>
      <c r="B1923">
        <v>58974</v>
      </c>
      <c r="C1923" t="s">
        <v>1525</v>
      </c>
      <c r="D1923" t="s">
        <v>99</v>
      </c>
      <c r="E1923" t="s">
        <v>100</v>
      </c>
      <c r="F1923" t="s">
        <v>86</v>
      </c>
      <c r="G1923" t="s">
        <v>54</v>
      </c>
      <c r="H1923" t="s">
        <v>101</v>
      </c>
      <c r="I1923" t="s">
        <v>92</v>
      </c>
      <c r="J1923">
        <v>4324.8</v>
      </c>
      <c r="K1923">
        <v>54247</v>
      </c>
      <c r="L1923">
        <v>4745</v>
      </c>
      <c r="M1923">
        <v>1.6</v>
      </c>
      <c r="N1923">
        <v>21</v>
      </c>
      <c r="O1923">
        <v>3</v>
      </c>
      <c r="P1923">
        <v>0</v>
      </c>
      <c r="Q1923">
        <v>0</v>
      </c>
      <c r="R1923">
        <v>0</v>
      </c>
      <c r="S1923">
        <v>0</v>
      </c>
      <c r="T1923">
        <v>0</v>
      </c>
      <c r="U1923">
        <v>0</v>
      </c>
      <c r="V1923">
        <v>4326.3999999999996</v>
      </c>
      <c r="W1923">
        <v>54268</v>
      </c>
      <c r="X1923">
        <v>4748</v>
      </c>
      <c r="Y1923">
        <f t="shared" si="29"/>
        <v>54268</v>
      </c>
      <c r="Z1923" t="str">
        <f>IF(ISNUMBER(SEARCH("Adjustment",$C1923)),"excluded",IF($H1923="Behind the Meter","excluded",IF(NOT(OR($E1923="Bundled",$E1923="Energy")),"excluded",IF(OR($H1923="Retail Power Marketer",$H1923="Community Choice Aggregator",$E1923="Energy"),"procurement",IF(OR($H1923="Municipal",$H1923="Cooperative",$H1923="Federal",$H1923="State",$H1923="Political Subdivision"),"cost_service",IF($H1923="Investor Owned",IF(AND(COUNTIF(Parameters!$A$4:$A$33,$G1923)&gt;0,COUNTIF(Parameters!$B$4:$B$33,$B1923)=0),"procurement","cost_service"),"unclassified"))))))</f>
        <v>procurement</v>
      </c>
    </row>
    <row r="1924" spans="1:26" x14ac:dyDescent="0.25">
      <c r="A1924">
        <v>2024</v>
      </c>
      <c r="B1924">
        <v>58974</v>
      </c>
      <c r="C1924" t="s">
        <v>1525</v>
      </c>
      <c r="D1924" t="s">
        <v>99</v>
      </c>
      <c r="E1924" t="s">
        <v>100</v>
      </c>
      <c r="F1924" t="s">
        <v>86</v>
      </c>
      <c r="G1924" t="s">
        <v>55</v>
      </c>
      <c r="H1924" t="s">
        <v>101</v>
      </c>
      <c r="I1924" t="s">
        <v>92</v>
      </c>
      <c r="J1924">
        <v>18077.400000000001</v>
      </c>
      <c r="K1924">
        <v>146086</v>
      </c>
      <c r="L1924">
        <v>12862</v>
      </c>
      <c r="M1924">
        <v>1039.0999999999999</v>
      </c>
      <c r="N1924">
        <v>10061</v>
      </c>
      <c r="O1924">
        <v>291</v>
      </c>
      <c r="P1924">
        <v>0</v>
      </c>
      <c r="Q1924">
        <v>0</v>
      </c>
      <c r="R1924">
        <v>0</v>
      </c>
      <c r="S1924">
        <v>0</v>
      </c>
      <c r="T1924">
        <v>0</v>
      </c>
      <c r="U1924">
        <v>0</v>
      </c>
      <c r="V1924">
        <v>19116.5</v>
      </c>
      <c r="W1924">
        <v>156147</v>
      </c>
      <c r="X1924">
        <v>13153</v>
      </c>
      <c r="Y1924">
        <f t="shared" ref="Y1924:Y1987" si="30">IF(ISNUMBER($W1924),$W1924,0)</f>
        <v>156147</v>
      </c>
      <c r="Z1924" t="str">
        <f>IF(ISNUMBER(SEARCH("Adjustment",$C1924)),"excluded",IF($H1924="Behind the Meter","excluded",IF(NOT(OR($E1924="Bundled",$E1924="Energy")),"excluded",IF(OR($H1924="Retail Power Marketer",$H1924="Community Choice Aggregator",$E1924="Energy"),"procurement",IF(OR($H1924="Municipal",$H1924="Cooperative",$H1924="Federal",$H1924="State",$H1924="Political Subdivision"),"cost_service",IF($H1924="Investor Owned",IF(AND(COUNTIF(Parameters!$A$4:$A$33,$G1924)&gt;0,COUNTIF(Parameters!$B$4:$B$33,$B1924)=0),"procurement","cost_service"),"unclassified"))))))</f>
        <v>procurement</v>
      </c>
    </row>
    <row r="1925" spans="1:26" x14ac:dyDescent="0.25">
      <c r="A1925">
        <v>2024</v>
      </c>
      <c r="B1925">
        <v>58974</v>
      </c>
      <c r="C1925" t="s">
        <v>1525</v>
      </c>
      <c r="D1925" t="s">
        <v>99</v>
      </c>
      <c r="E1925" t="s">
        <v>100</v>
      </c>
      <c r="F1925" t="s">
        <v>86</v>
      </c>
      <c r="G1925" t="s">
        <v>56</v>
      </c>
      <c r="H1925" t="s">
        <v>101</v>
      </c>
      <c r="I1925" t="s">
        <v>189</v>
      </c>
      <c r="J1925">
        <v>6762.8</v>
      </c>
      <c r="K1925">
        <v>29163</v>
      </c>
      <c r="L1925">
        <v>5619</v>
      </c>
      <c r="M1925">
        <v>155.5</v>
      </c>
      <c r="N1925">
        <v>1221</v>
      </c>
      <c r="O1925">
        <v>53</v>
      </c>
      <c r="P1925">
        <v>0</v>
      </c>
      <c r="Q1925">
        <v>0</v>
      </c>
      <c r="R1925">
        <v>0</v>
      </c>
      <c r="S1925">
        <v>0</v>
      </c>
      <c r="T1925">
        <v>0</v>
      </c>
      <c r="U1925">
        <v>0</v>
      </c>
      <c r="V1925">
        <v>6918.3</v>
      </c>
      <c r="W1925">
        <v>30384</v>
      </c>
      <c r="X1925">
        <v>5672</v>
      </c>
      <c r="Y1925">
        <f t="shared" si="30"/>
        <v>30384</v>
      </c>
      <c r="Z1925" t="str">
        <f>IF(ISNUMBER(SEARCH("Adjustment",$C1925)),"excluded",IF($H1925="Behind the Meter","excluded",IF(NOT(OR($E1925="Bundled",$E1925="Energy")),"excluded",IF(OR($H1925="Retail Power Marketer",$H1925="Community Choice Aggregator",$E1925="Energy"),"procurement",IF(OR($H1925="Municipal",$H1925="Cooperative",$H1925="Federal",$H1925="State",$H1925="Political Subdivision"),"cost_service",IF($H1925="Investor Owned",IF(AND(COUNTIF(Parameters!$A$4:$A$33,$G1925)&gt;0,COUNTIF(Parameters!$B$4:$B$33,$B1925)=0),"procurement","cost_service"),"unclassified"))))))</f>
        <v>procurement</v>
      </c>
    </row>
    <row r="1926" spans="1:26" x14ac:dyDescent="0.25">
      <c r="A1926">
        <v>2024</v>
      </c>
      <c r="B1926">
        <v>58978</v>
      </c>
      <c r="C1926" t="s">
        <v>1526</v>
      </c>
      <c r="D1926" t="s">
        <v>99</v>
      </c>
      <c r="E1926" t="s">
        <v>100</v>
      </c>
      <c r="F1926" t="s">
        <v>86</v>
      </c>
      <c r="G1926" t="s">
        <v>52</v>
      </c>
      <c r="H1926" t="s">
        <v>101</v>
      </c>
      <c r="I1926" t="s">
        <v>92</v>
      </c>
      <c r="J1926">
        <v>313.39999999999998</v>
      </c>
      <c r="K1926">
        <v>1446</v>
      </c>
      <c r="L1926">
        <v>246</v>
      </c>
      <c r="M1926">
        <v>65.7</v>
      </c>
      <c r="N1926">
        <v>639</v>
      </c>
      <c r="O1926">
        <v>4</v>
      </c>
      <c r="P1926" t="s">
        <v>97</v>
      </c>
      <c r="Q1926" t="s">
        <v>97</v>
      </c>
      <c r="R1926" t="s">
        <v>97</v>
      </c>
      <c r="S1926" t="s">
        <v>97</v>
      </c>
      <c r="T1926" t="s">
        <v>97</v>
      </c>
      <c r="U1926" t="s">
        <v>97</v>
      </c>
      <c r="V1926">
        <v>379.1</v>
      </c>
      <c r="W1926">
        <v>2085</v>
      </c>
      <c r="X1926">
        <v>250</v>
      </c>
      <c r="Y1926">
        <f t="shared" si="30"/>
        <v>2085</v>
      </c>
      <c r="Z1926" t="str">
        <f>IF(ISNUMBER(SEARCH("Adjustment",$C1926)),"excluded",IF($H1926="Behind the Meter","excluded",IF(NOT(OR($E1926="Bundled",$E1926="Energy")),"excluded",IF(OR($H1926="Retail Power Marketer",$H1926="Community Choice Aggregator",$E1926="Energy"),"procurement",IF(OR($H1926="Municipal",$H1926="Cooperative",$H1926="Federal",$H1926="State",$H1926="Political Subdivision"),"cost_service",IF($H1926="Investor Owned",IF(AND(COUNTIF(Parameters!$A$4:$A$33,$G1926)&gt;0,COUNTIF(Parameters!$B$4:$B$33,$B1926)=0),"procurement","cost_service"),"unclassified"))))))</f>
        <v>procurement</v>
      </c>
    </row>
    <row r="1927" spans="1:26" x14ac:dyDescent="0.25">
      <c r="A1927">
        <v>2024</v>
      </c>
      <c r="B1927">
        <v>59013</v>
      </c>
      <c r="C1927" t="s">
        <v>1527</v>
      </c>
      <c r="D1927" t="s">
        <v>84</v>
      </c>
      <c r="E1927" t="s">
        <v>85</v>
      </c>
      <c r="F1927" t="s">
        <v>86</v>
      </c>
      <c r="G1927" t="s">
        <v>148</v>
      </c>
      <c r="H1927" t="s">
        <v>205</v>
      </c>
      <c r="I1927" t="s">
        <v>206</v>
      </c>
      <c r="J1927">
        <v>29017.3</v>
      </c>
      <c r="K1927">
        <v>223058</v>
      </c>
      <c r="L1927">
        <v>18661</v>
      </c>
      <c r="M1927">
        <v>8499.6</v>
      </c>
      <c r="N1927">
        <v>66107</v>
      </c>
      <c r="O1927">
        <v>2279</v>
      </c>
      <c r="P1927">
        <v>5913.7</v>
      </c>
      <c r="Q1927">
        <v>98557</v>
      </c>
      <c r="R1927">
        <v>16</v>
      </c>
      <c r="S1927">
        <v>0</v>
      </c>
      <c r="T1927">
        <v>0</v>
      </c>
      <c r="U1927">
        <v>0</v>
      </c>
      <c r="V1927">
        <v>43430.6</v>
      </c>
      <c r="W1927">
        <v>387722</v>
      </c>
      <c r="X1927">
        <v>20956</v>
      </c>
      <c r="Y1927">
        <f t="shared" si="30"/>
        <v>387722</v>
      </c>
      <c r="Z1927" t="str">
        <f>IF(ISNUMBER(SEARCH("Adjustment",$C1927)),"excluded",IF($H1927="Behind the Meter","excluded",IF(NOT(OR($E1927="Bundled",$E1927="Energy")),"excluded",IF(OR($H1927="Retail Power Marketer",$H1927="Community Choice Aggregator",$E1927="Energy"),"procurement",IF(OR($H1927="Municipal",$H1927="Cooperative",$H1927="Federal",$H1927="State",$H1927="Political Subdivision"),"cost_service",IF($H1927="Investor Owned",IF(AND(COUNTIF(Parameters!$A$4:$A$33,$G1927)&gt;0,COUNTIF(Parameters!$B$4:$B$33,$B1927)=0),"procurement","cost_service"),"unclassified"))))))</f>
        <v>cost_service</v>
      </c>
    </row>
    <row r="1928" spans="1:26" x14ac:dyDescent="0.25">
      <c r="A1928">
        <v>2024</v>
      </c>
      <c r="B1928">
        <v>59053</v>
      </c>
      <c r="C1928" t="s">
        <v>1528</v>
      </c>
      <c r="D1928" t="s">
        <v>99</v>
      </c>
      <c r="E1928" t="s">
        <v>100</v>
      </c>
      <c r="F1928" t="s">
        <v>86</v>
      </c>
      <c r="G1928" t="s">
        <v>53</v>
      </c>
      <c r="H1928" t="s">
        <v>101</v>
      </c>
      <c r="I1928" t="s">
        <v>102</v>
      </c>
      <c r="J1928">
        <v>3639</v>
      </c>
      <c r="K1928">
        <v>21100</v>
      </c>
      <c r="L1928">
        <v>4194</v>
      </c>
      <c r="M1928">
        <v>59.2</v>
      </c>
      <c r="N1928">
        <v>330</v>
      </c>
      <c r="O1928">
        <v>43</v>
      </c>
      <c r="P1928">
        <v>0</v>
      </c>
      <c r="Q1928">
        <v>0</v>
      </c>
      <c r="R1928">
        <v>0</v>
      </c>
      <c r="S1928">
        <v>0</v>
      </c>
      <c r="T1928">
        <v>0</v>
      </c>
      <c r="U1928">
        <v>0</v>
      </c>
      <c r="V1928">
        <v>3698.2</v>
      </c>
      <c r="W1928">
        <v>21430</v>
      </c>
      <c r="X1928">
        <v>4237</v>
      </c>
      <c r="Y1928">
        <f t="shared" si="30"/>
        <v>21430</v>
      </c>
      <c r="Z1928" t="str">
        <f>IF(ISNUMBER(SEARCH("Adjustment",$C1928)),"excluded",IF($H1928="Behind the Meter","excluded",IF(NOT(OR($E1928="Bundled",$E1928="Energy")),"excluded",IF(OR($H1928="Retail Power Marketer",$H1928="Community Choice Aggregator",$E1928="Energy"),"procurement",IF(OR($H1928="Municipal",$H1928="Cooperative",$H1928="Federal",$H1928="State",$H1928="Political Subdivision"),"cost_service",IF($H1928="Investor Owned",IF(AND(COUNTIF(Parameters!$A$4:$A$33,$G1928)&gt;0,COUNTIF(Parameters!$B$4:$B$33,$B1928)=0),"procurement","cost_service"),"unclassified"))))))</f>
        <v>procurement</v>
      </c>
    </row>
    <row r="1929" spans="1:26" x14ac:dyDescent="0.25">
      <c r="A1929">
        <v>2024</v>
      </c>
      <c r="B1929">
        <v>59054</v>
      </c>
      <c r="C1929" t="s">
        <v>1529</v>
      </c>
      <c r="D1929" t="s">
        <v>99</v>
      </c>
      <c r="E1929" t="s">
        <v>100</v>
      </c>
      <c r="F1929" t="s">
        <v>86</v>
      </c>
      <c r="G1929" t="s">
        <v>40</v>
      </c>
      <c r="H1929" t="s">
        <v>101</v>
      </c>
      <c r="I1929" t="s">
        <v>189</v>
      </c>
      <c r="J1929">
        <v>0</v>
      </c>
      <c r="K1929">
        <v>0</v>
      </c>
      <c r="L1929">
        <v>0</v>
      </c>
      <c r="M1929">
        <v>3906</v>
      </c>
      <c r="N1929">
        <v>19827</v>
      </c>
      <c r="O1929">
        <v>981</v>
      </c>
      <c r="P1929" t="s">
        <v>97</v>
      </c>
      <c r="Q1929" t="s">
        <v>97</v>
      </c>
      <c r="R1929" t="s">
        <v>97</v>
      </c>
      <c r="S1929" t="s">
        <v>97</v>
      </c>
      <c r="T1929" t="s">
        <v>97</v>
      </c>
      <c r="U1929" t="s">
        <v>97</v>
      </c>
      <c r="V1929">
        <v>3906</v>
      </c>
      <c r="W1929">
        <v>19827</v>
      </c>
      <c r="X1929">
        <v>981</v>
      </c>
      <c r="Y1929">
        <f t="shared" si="30"/>
        <v>19827</v>
      </c>
      <c r="Z1929" t="str">
        <f>IF(ISNUMBER(SEARCH("Adjustment",$C1929)),"excluded",IF($H1929="Behind the Meter","excluded",IF(NOT(OR($E1929="Bundled",$E1929="Energy")),"excluded",IF(OR($H1929="Retail Power Marketer",$H1929="Community Choice Aggregator",$E1929="Energy"),"procurement",IF(OR($H1929="Municipal",$H1929="Cooperative",$H1929="Federal",$H1929="State",$H1929="Political Subdivision"),"cost_service",IF($H1929="Investor Owned",IF(AND(COUNTIF(Parameters!$A$4:$A$33,$G1929)&gt;0,COUNTIF(Parameters!$B$4:$B$33,$B1929)=0),"procurement","cost_service"),"unclassified"))))))</f>
        <v>procurement</v>
      </c>
    </row>
    <row r="1930" spans="1:26" x14ac:dyDescent="0.25">
      <c r="A1930">
        <v>2024</v>
      </c>
      <c r="B1930">
        <v>59054</v>
      </c>
      <c r="C1930" t="s">
        <v>1529</v>
      </c>
      <c r="D1930" t="s">
        <v>99</v>
      </c>
      <c r="E1930" t="s">
        <v>100</v>
      </c>
      <c r="F1930" t="s">
        <v>86</v>
      </c>
      <c r="G1930" t="s">
        <v>42</v>
      </c>
      <c r="H1930" t="s">
        <v>101</v>
      </c>
      <c r="I1930" t="s">
        <v>92</v>
      </c>
      <c r="J1930">
        <v>149.5</v>
      </c>
      <c r="K1930">
        <v>787</v>
      </c>
      <c r="L1930">
        <v>123</v>
      </c>
      <c r="M1930">
        <v>32</v>
      </c>
      <c r="N1930">
        <v>178</v>
      </c>
      <c r="O1930">
        <v>5</v>
      </c>
      <c r="P1930" t="s">
        <v>97</v>
      </c>
      <c r="Q1930" t="s">
        <v>97</v>
      </c>
      <c r="R1930" t="s">
        <v>97</v>
      </c>
      <c r="S1930" t="s">
        <v>97</v>
      </c>
      <c r="T1930" t="s">
        <v>97</v>
      </c>
      <c r="U1930" t="s">
        <v>97</v>
      </c>
      <c r="V1930">
        <v>181.5</v>
      </c>
      <c r="W1930">
        <v>965</v>
      </c>
      <c r="X1930">
        <v>128</v>
      </c>
      <c r="Y1930">
        <f t="shared" si="30"/>
        <v>965</v>
      </c>
      <c r="Z1930" t="str">
        <f>IF(ISNUMBER(SEARCH("Adjustment",$C1930)),"excluded",IF($H1930="Behind the Meter","excluded",IF(NOT(OR($E1930="Bundled",$E1930="Energy")),"excluded",IF(OR($H1930="Retail Power Marketer",$H1930="Community Choice Aggregator",$E1930="Energy"),"procurement",IF(OR($H1930="Municipal",$H1930="Cooperative",$H1930="Federal",$H1930="State",$H1930="Political Subdivision"),"cost_service",IF($H1930="Investor Owned",IF(AND(COUNTIF(Parameters!$A$4:$A$33,$G1930)&gt;0,COUNTIF(Parameters!$B$4:$B$33,$B1930)=0),"procurement","cost_service"),"unclassified"))))))</f>
        <v>procurement</v>
      </c>
    </row>
    <row r="1931" spans="1:26" x14ac:dyDescent="0.25">
      <c r="A1931">
        <v>2024</v>
      </c>
      <c r="B1931">
        <v>59054</v>
      </c>
      <c r="C1931" t="s">
        <v>1529</v>
      </c>
      <c r="D1931" t="s">
        <v>99</v>
      </c>
      <c r="E1931" t="s">
        <v>100</v>
      </c>
      <c r="F1931" t="s">
        <v>86</v>
      </c>
      <c r="G1931" t="s">
        <v>46</v>
      </c>
      <c r="H1931" t="s">
        <v>101</v>
      </c>
      <c r="I1931" t="s">
        <v>92</v>
      </c>
      <c r="J1931">
        <v>6498</v>
      </c>
      <c r="K1931">
        <v>70889</v>
      </c>
      <c r="L1931">
        <v>9099</v>
      </c>
      <c r="M1931">
        <v>7229.6</v>
      </c>
      <c r="N1931">
        <v>66719</v>
      </c>
      <c r="O1931">
        <v>2045</v>
      </c>
      <c r="P1931" t="s">
        <v>97</v>
      </c>
      <c r="Q1931" t="s">
        <v>97</v>
      </c>
      <c r="R1931" t="s">
        <v>97</v>
      </c>
      <c r="S1931" t="s">
        <v>97</v>
      </c>
      <c r="T1931" t="s">
        <v>97</v>
      </c>
      <c r="U1931" t="s">
        <v>97</v>
      </c>
      <c r="V1931">
        <v>13727.6</v>
      </c>
      <c r="W1931">
        <v>137608</v>
      </c>
      <c r="X1931">
        <v>11144</v>
      </c>
      <c r="Y1931">
        <f t="shared" si="30"/>
        <v>137608</v>
      </c>
      <c r="Z1931" t="str">
        <f>IF(ISNUMBER(SEARCH("Adjustment",$C1931)),"excluded",IF($H1931="Behind the Meter","excluded",IF(NOT(OR($E1931="Bundled",$E1931="Energy")),"excluded",IF(OR($H1931="Retail Power Marketer",$H1931="Community Choice Aggregator",$E1931="Energy"),"procurement",IF(OR($H1931="Municipal",$H1931="Cooperative",$H1931="Federal",$H1931="State",$H1931="Political Subdivision"),"cost_service",IF($H1931="Investor Owned",IF(AND(COUNTIF(Parameters!$A$4:$A$33,$G1931)&gt;0,COUNTIF(Parameters!$B$4:$B$33,$B1931)=0),"procurement","cost_service"),"unclassified"))))))</f>
        <v>procurement</v>
      </c>
    </row>
    <row r="1932" spans="1:26" x14ac:dyDescent="0.25">
      <c r="A1932">
        <v>2024</v>
      </c>
      <c r="B1932">
        <v>59054</v>
      </c>
      <c r="C1932" t="s">
        <v>1529</v>
      </c>
      <c r="D1932" t="s">
        <v>99</v>
      </c>
      <c r="E1932" t="s">
        <v>100</v>
      </c>
      <c r="F1932" t="s">
        <v>86</v>
      </c>
      <c r="G1932" t="s">
        <v>48</v>
      </c>
      <c r="H1932" t="s">
        <v>101</v>
      </c>
      <c r="I1932" t="s">
        <v>189</v>
      </c>
      <c r="J1932">
        <v>34.6</v>
      </c>
      <c r="K1932">
        <v>230</v>
      </c>
      <c r="L1932">
        <v>26</v>
      </c>
      <c r="M1932">
        <v>322.60000000000002</v>
      </c>
      <c r="N1932">
        <v>2166</v>
      </c>
      <c r="O1932">
        <v>69</v>
      </c>
      <c r="P1932" t="s">
        <v>97</v>
      </c>
      <c r="Q1932" t="s">
        <v>97</v>
      </c>
      <c r="R1932" t="s">
        <v>97</v>
      </c>
      <c r="S1932" t="s">
        <v>97</v>
      </c>
      <c r="T1932" t="s">
        <v>97</v>
      </c>
      <c r="U1932" t="s">
        <v>97</v>
      </c>
      <c r="V1932">
        <v>357.2</v>
      </c>
      <c r="W1932">
        <v>2396</v>
      </c>
      <c r="X1932">
        <v>95</v>
      </c>
      <c r="Y1932">
        <f t="shared" si="30"/>
        <v>2396</v>
      </c>
      <c r="Z1932" t="str">
        <f>IF(ISNUMBER(SEARCH("Adjustment",$C1932)),"excluded",IF($H1932="Behind the Meter","excluded",IF(NOT(OR($E1932="Bundled",$E1932="Energy")),"excluded",IF(OR($H1932="Retail Power Marketer",$H1932="Community Choice Aggregator",$E1932="Energy"),"procurement",IF(OR($H1932="Municipal",$H1932="Cooperative",$H1932="Federal",$H1932="State",$H1932="Political Subdivision"),"cost_service",IF($H1932="Investor Owned",IF(AND(COUNTIF(Parameters!$A$4:$A$33,$G1932)&gt;0,COUNTIF(Parameters!$B$4:$B$33,$B1932)=0),"procurement","cost_service"),"unclassified"))))))</f>
        <v>procurement</v>
      </c>
    </row>
    <row r="1933" spans="1:26" x14ac:dyDescent="0.25">
      <c r="A1933">
        <v>2024</v>
      </c>
      <c r="B1933">
        <v>59054</v>
      </c>
      <c r="C1933" t="s">
        <v>1529</v>
      </c>
      <c r="D1933" t="s">
        <v>99</v>
      </c>
      <c r="E1933" t="s">
        <v>100</v>
      </c>
      <c r="F1933" t="s">
        <v>86</v>
      </c>
      <c r="G1933" t="s">
        <v>49</v>
      </c>
      <c r="H1933" t="s">
        <v>101</v>
      </c>
      <c r="I1933" t="s">
        <v>92</v>
      </c>
      <c r="J1933">
        <v>2578.5</v>
      </c>
      <c r="K1933">
        <v>14175</v>
      </c>
      <c r="L1933">
        <v>1439</v>
      </c>
      <c r="M1933">
        <v>1024.7</v>
      </c>
      <c r="N1933">
        <v>10598</v>
      </c>
      <c r="O1933">
        <v>299</v>
      </c>
      <c r="P1933" t="s">
        <v>97</v>
      </c>
      <c r="Q1933" t="s">
        <v>97</v>
      </c>
      <c r="R1933" t="s">
        <v>97</v>
      </c>
      <c r="S1933" t="s">
        <v>97</v>
      </c>
      <c r="T1933" t="s">
        <v>97</v>
      </c>
      <c r="U1933" t="s">
        <v>97</v>
      </c>
      <c r="V1933">
        <v>3603.2</v>
      </c>
      <c r="W1933">
        <v>24773</v>
      </c>
      <c r="X1933">
        <v>1738</v>
      </c>
      <c r="Y1933">
        <f t="shared" si="30"/>
        <v>24773</v>
      </c>
      <c r="Z1933" t="str">
        <f>IF(ISNUMBER(SEARCH("Adjustment",$C1933)),"excluded",IF($H1933="Behind the Meter","excluded",IF(NOT(OR($E1933="Bundled",$E1933="Energy")),"excluded",IF(OR($H1933="Retail Power Marketer",$H1933="Community Choice Aggregator",$E1933="Energy"),"procurement",IF(OR($H1933="Municipal",$H1933="Cooperative",$H1933="Federal",$H1933="State",$H1933="Political Subdivision"),"cost_service",IF($H1933="Investor Owned",IF(AND(COUNTIF(Parameters!$A$4:$A$33,$G1933)&gt;0,COUNTIF(Parameters!$B$4:$B$33,$B1933)=0),"procurement","cost_service"),"unclassified"))))))</f>
        <v>procurement</v>
      </c>
    </row>
    <row r="1934" spans="1:26" x14ac:dyDescent="0.25">
      <c r="A1934">
        <v>2024</v>
      </c>
      <c r="B1934">
        <v>59054</v>
      </c>
      <c r="C1934" t="s">
        <v>1529</v>
      </c>
      <c r="D1934" t="s">
        <v>99</v>
      </c>
      <c r="E1934" t="s">
        <v>100</v>
      </c>
      <c r="F1934" t="s">
        <v>86</v>
      </c>
      <c r="G1934" t="s">
        <v>52</v>
      </c>
      <c r="H1934" t="s">
        <v>101</v>
      </c>
      <c r="I1934" t="s">
        <v>92</v>
      </c>
      <c r="J1934">
        <v>1113.9000000000001</v>
      </c>
      <c r="K1934">
        <v>7706</v>
      </c>
      <c r="L1934">
        <v>666</v>
      </c>
      <c r="M1934">
        <v>919.2</v>
      </c>
      <c r="N1934">
        <v>7157</v>
      </c>
      <c r="O1934">
        <v>228</v>
      </c>
      <c r="P1934" t="s">
        <v>97</v>
      </c>
      <c r="Q1934" t="s">
        <v>97</v>
      </c>
      <c r="R1934" t="s">
        <v>97</v>
      </c>
      <c r="S1934" t="s">
        <v>97</v>
      </c>
      <c r="T1934" t="s">
        <v>97</v>
      </c>
      <c r="U1934" t="s">
        <v>97</v>
      </c>
      <c r="V1934">
        <v>2033.1</v>
      </c>
      <c r="W1934">
        <v>14863</v>
      </c>
      <c r="X1934">
        <v>894</v>
      </c>
      <c r="Y1934">
        <f t="shared" si="30"/>
        <v>14863</v>
      </c>
      <c r="Z1934" t="str">
        <f>IF(ISNUMBER(SEARCH("Adjustment",$C1934)),"excluded",IF($H1934="Behind the Meter","excluded",IF(NOT(OR($E1934="Bundled",$E1934="Energy")),"excluded",IF(OR($H1934="Retail Power Marketer",$H1934="Community Choice Aggregator",$E1934="Energy"),"procurement",IF(OR($H1934="Municipal",$H1934="Cooperative",$H1934="Federal",$H1934="State",$H1934="Political Subdivision"),"cost_service",IF($H1934="Investor Owned",IF(AND(COUNTIF(Parameters!$A$4:$A$33,$G1934)&gt;0,COUNTIF(Parameters!$B$4:$B$33,$B1934)=0),"procurement","cost_service"),"unclassified"))))))</f>
        <v>procurement</v>
      </c>
    </row>
    <row r="1935" spans="1:26" x14ac:dyDescent="0.25">
      <c r="A1935">
        <v>2024</v>
      </c>
      <c r="B1935">
        <v>59054</v>
      </c>
      <c r="C1935" t="s">
        <v>1529</v>
      </c>
      <c r="D1935" t="s">
        <v>99</v>
      </c>
      <c r="E1935" t="s">
        <v>100</v>
      </c>
      <c r="F1935" t="s">
        <v>86</v>
      </c>
      <c r="G1935" t="s">
        <v>53</v>
      </c>
      <c r="H1935" t="s">
        <v>101</v>
      </c>
      <c r="I1935" t="s">
        <v>102</v>
      </c>
      <c r="J1935">
        <v>11599.7</v>
      </c>
      <c r="K1935">
        <v>70531</v>
      </c>
      <c r="L1935">
        <v>10616</v>
      </c>
      <c r="M1935">
        <v>9445.7999999999993</v>
      </c>
      <c r="N1935">
        <v>73802</v>
      </c>
      <c r="O1935">
        <v>1721</v>
      </c>
      <c r="P1935" t="s">
        <v>97</v>
      </c>
      <c r="Q1935" t="s">
        <v>97</v>
      </c>
      <c r="R1935" t="s">
        <v>97</v>
      </c>
      <c r="S1935" t="s">
        <v>97</v>
      </c>
      <c r="T1935" t="s">
        <v>97</v>
      </c>
      <c r="U1935" t="s">
        <v>97</v>
      </c>
      <c r="V1935">
        <v>21045.5</v>
      </c>
      <c r="W1935">
        <v>144333</v>
      </c>
      <c r="X1935">
        <v>12337</v>
      </c>
      <c r="Y1935">
        <f t="shared" si="30"/>
        <v>144333</v>
      </c>
      <c r="Z1935" t="str">
        <f>IF(ISNUMBER(SEARCH("Adjustment",$C1935)),"excluded",IF($H1935="Behind the Meter","excluded",IF(NOT(OR($E1935="Bundled",$E1935="Energy")),"excluded",IF(OR($H1935="Retail Power Marketer",$H1935="Community Choice Aggregator",$E1935="Energy"),"procurement",IF(OR($H1935="Municipal",$H1935="Cooperative",$H1935="Federal",$H1935="State",$H1935="Political Subdivision"),"cost_service",IF($H1935="Investor Owned",IF(AND(COUNTIF(Parameters!$A$4:$A$33,$G1935)&gt;0,COUNTIF(Parameters!$B$4:$B$33,$B1935)=0),"procurement","cost_service"),"unclassified"))))))</f>
        <v>procurement</v>
      </c>
    </row>
    <row r="1936" spans="1:26" x14ac:dyDescent="0.25">
      <c r="A1936">
        <v>2024</v>
      </c>
      <c r="B1936">
        <v>59054</v>
      </c>
      <c r="C1936" t="s">
        <v>1529</v>
      </c>
      <c r="D1936" t="s">
        <v>99</v>
      </c>
      <c r="E1936" t="s">
        <v>100</v>
      </c>
      <c r="F1936" t="s">
        <v>86</v>
      </c>
      <c r="G1936" t="s">
        <v>54</v>
      </c>
      <c r="H1936" t="s">
        <v>101</v>
      </c>
      <c r="I1936" t="s">
        <v>92</v>
      </c>
      <c r="J1936">
        <v>5349.3</v>
      </c>
      <c r="K1936">
        <v>46133</v>
      </c>
      <c r="L1936">
        <v>4940</v>
      </c>
      <c r="M1936">
        <v>6298.2</v>
      </c>
      <c r="N1936">
        <v>56086</v>
      </c>
      <c r="O1936">
        <v>2029</v>
      </c>
      <c r="P1936" t="s">
        <v>97</v>
      </c>
      <c r="Q1936" t="s">
        <v>97</v>
      </c>
      <c r="R1936" t="s">
        <v>97</v>
      </c>
      <c r="S1936" t="s">
        <v>97</v>
      </c>
      <c r="T1936" t="s">
        <v>97</v>
      </c>
      <c r="U1936" t="s">
        <v>97</v>
      </c>
      <c r="V1936">
        <v>11647.5</v>
      </c>
      <c r="W1936">
        <v>102219</v>
      </c>
      <c r="X1936">
        <v>6969</v>
      </c>
      <c r="Y1936">
        <f t="shared" si="30"/>
        <v>102219</v>
      </c>
      <c r="Z1936" t="str">
        <f>IF(ISNUMBER(SEARCH("Adjustment",$C1936)),"excluded",IF($H1936="Behind the Meter","excluded",IF(NOT(OR($E1936="Bundled",$E1936="Energy")),"excluded",IF(OR($H1936="Retail Power Marketer",$H1936="Community Choice Aggregator",$E1936="Energy"),"procurement",IF(OR($H1936="Municipal",$H1936="Cooperative",$H1936="Federal",$H1936="State",$H1936="Political Subdivision"),"cost_service",IF($H1936="Investor Owned",IF(AND(COUNTIF(Parameters!$A$4:$A$33,$G1936)&gt;0,COUNTIF(Parameters!$B$4:$B$33,$B1936)=0),"procurement","cost_service"),"unclassified"))))))</f>
        <v>procurement</v>
      </c>
    </row>
    <row r="1937" spans="1:26" x14ac:dyDescent="0.25">
      <c r="A1937">
        <v>2024</v>
      </c>
      <c r="B1937">
        <v>59054</v>
      </c>
      <c r="C1937" t="s">
        <v>1529</v>
      </c>
      <c r="D1937" t="s">
        <v>99</v>
      </c>
      <c r="E1937" t="s">
        <v>100</v>
      </c>
      <c r="F1937" t="s">
        <v>86</v>
      </c>
      <c r="G1937" t="s">
        <v>55</v>
      </c>
      <c r="H1937" t="s">
        <v>101</v>
      </c>
      <c r="I1937" t="s">
        <v>92</v>
      </c>
      <c r="J1937">
        <v>10504</v>
      </c>
      <c r="K1937">
        <v>79842</v>
      </c>
      <c r="L1937">
        <v>9053</v>
      </c>
      <c r="M1937">
        <v>3950.7</v>
      </c>
      <c r="N1937">
        <v>31087</v>
      </c>
      <c r="O1937">
        <v>1537</v>
      </c>
      <c r="P1937" t="s">
        <v>97</v>
      </c>
      <c r="Q1937" t="s">
        <v>97</v>
      </c>
      <c r="R1937" t="s">
        <v>97</v>
      </c>
      <c r="S1937" t="s">
        <v>97</v>
      </c>
      <c r="T1937" t="s">
        <v>97</v>
      </c>
      <c r="U1937" t="s">
        <v>97</v>
      </c>
      <c r="V1937">
        <v>14454.7</v>
      </c>
      <c r="W1937">
        <v>110929</v>
      </c>
      <c r="X1937">
        <v>10590</v>
      </c>
      <c r="Y1937">
        <f t="shared" si="30"/>
        <v>110929</v>
      </c>
      <c r="Z1937" t="str">
        <f>IF(ISNUMBER(SEARCH("Adjustment",$C1937)),"excluded",IF($H1937="Behind the Meter","excluded",IF(NOT(OR($E1937="Bundled",$E1937="Energy")),"excluded",IF(OR($H1937="Retail Power Marketer",$H1937="Community Choice Aggregator",$E1937="Energy"),"procurement",IF(OR($H1937="Municipal",$H1937="Cooperative",$H1937="Federal",$H1937="State",$H1937="Political Subdivision"),"cost_service",IF($H1937="Investor Owned",IF(AND(COUNTIF(Parameters!$A$4:$A$33,$G1937)&gt;0,COUNTIF(Parameters!$B$4:$B$33,$B1937)=0),"procurement","cost_service"),"unclassified"))))))</f>
        <v>procurement</v>
      </c>
    </row>
    <row r="1938" spans="1:26" x14ac:dyDescent="0.25">
      <c r="A1938">
        <v>2024</v>
      </c>
      <c r="B1938">
        <v>59055</v>
      </c>
      <c r="C1938" t="s">
        <v>1530</v>
      </c>
      <c r="D1938" t="s">
        <v>99</v>
      </c>
      <c r="E1938" t="s">
        <v>100</v>
      </c>
      <c r="F1938" t="s">
        <v>86</v>
      </c>
      <c r="G1938" t="s">
        <v>52</v>
      </c>
      <c r="H1938" t="s">
        <v>101</v>
      </c>
      <c r="I1938" t="s">
        <v>92</v>
      </c>
      <c r="J1938">
        <v>1177.7</v>
      </c>
      <c r="K1938">
        <v>6040</v>
      </c>
      <c r="L1938">
        <v>808</v>
      </c>
      <c r="M1938">
        <v>0</v>
      </c>
      <c r="N1938">
        <v>0</v>
      </c>
      <c r="O1938">
        <v>0</v>
      </c>
      <c r="P1938">
        <v>0</v>
      </c>
      <c r="Q1938">
        <v>0</v>
      </c>
      <c r="R1938">
        <v>0</v>
      </c>
      <c r="S1938">
        <v>0</v>
      </c>
      <c r="T1938">
        <v>0</v>
      </c>
      <c r="U1938">
        <v>0</v>
      </c>
      <c r="V1938">
        <v>1177.7</v>
      </c>
      <c r="W1938">
        <v>6040</v>
      </c>
      <c r="X1938">
        <v>808</v>
      </c>
      <c r="Y1938">
        <f t="shared" si="30"/>
        <v>6040</v>
      </c>
      <c r="Z1938" t="str">
        <f>IF(ISNUMBER(SEARCH("Adjustment",$C1938)),"excluded",IF($H1938="Behind the Meter","excluded",IF(NOT(OR($E1938="Bundled",$E1938="Energy")),"excluded",IF(OR($H1938="Retail Power Marketer",$H1938="Community Choice Aggregator",$E1938="Energy"),"procurement",IF(OR($H1938="Municipal",$H1938="Cooperative",$H1938="Federal",$H1938="State",$H1938="Political Subdivision"),"cost_service",IF($H1938="Investor Owned",IF(AND(COUNTIF(Parameters!$A$4:$A$33,$G1938)&gt;0,COUNTIF(Parameters!$B$4:$B$33,$B1938)=0),"procurement","cost_service"),"unclassified"))))))</f>
        <v>procurement</v>
      </c>
    </row>
    <row r="1939" spans="1:26" x14ac:dyDescent="0.25">
      <c r="A1939">
        <v>2024</v>
      </c>
      <c r="B1939">
        <v>59055</v>
      </c>
      <c r="C1939" t="s">
        <v>1530</v>
      </c>
      <c r="D1939" t="s">
        <v>99</v>
      </c>
      <c r="E1939" t="s">
        <v>100</v>
      </c>
      <c r="F1939" t="s">
        <v>86</v>
      </c>
      <c r="G1939" t="s">
        <v>54</v>
      </c>
      <c r="H1939" t="s">
        <v>101</v>
      </c>
      <c r="I1939" t="s">
        <v>92</v>
      </c>
      <c r="J1939">
        <v>410</v>
      </c>
      <c r="K1939">
        <v>2994</v>
      </c>
      <c r="L1939">
        <v>387</v>
      </c>
      <c r="M1939">
        <v>0</v>
      </c>
      <c r="N1939">
        <v>0</v>
      </c>
      <c r="O1939">
        <v>0</v>
      </c>
      <c r="P1939">
        <v>0</v>
      </c>
      <c r="Q1939">
        <v>0</v>
      </c>
      <c r="R1939">
        <v>0</v>
      </c>
      <c r="S1939">
        <v>0</v>
      </c>
      <c r="T1939">
        <v>0</v>
      </c>
      <c r="U1939">
        <v>0</v>
      </c>
      <c r="V1939">
        <v>410</v>
      </c>
      <c r="W1939">
        <v>2994</v>
      </c>
      <c r="X1939">
        <v>387</v>
      </c>
      <c r="Y1939">
        <f t="shared" si="30"/>
        <v>2994</v>
      </c>
      <c r="Z1939" t="str">
        <f>IF(ISNUMBER(SEARCH("Adjustment",$C1939)),"excluded",IF($H1939="Behind the Meter","excluded",IF(NOT(OR($E1939="Bundled",$E1939="Energy")),"excluded",IF(OR($H1939="Retail Power Marketer",$H1939="Community Choice Aggregator",$E1939="Energy"),"procurement",IF(OR($H1939="Municipal",$H1939="Cooperative",$H1939="Federal",$H1939="State",$H1939="Political Subdivision"),"cost_service",IF($H1939="Investor Owned",IF(AND(COUNTIF(Parameters!$A$4:$A$33,$G1939)&gt;0,COUNTIF(Parameters!$B$4:$B$33,$B1939)=0),"procurement","cost_service"),"unclassified"))))))</f>
        <v>procurement</v>
      </c>
    </row>
    <row r="1940" spans="1:26" x14ac:dyDescent="0.25">
      <c r="A1940">
        <v>2024</v>
      </c>
      <c r="B1940">
        <v>59055</v>
      </c>
      <c r="C1940" t="s">
        <v>1530</v>
      </c>
      <c r="D1940" t="s">
        <v>99</v>
      </c>
      <c r="E1940" t="s">
        <v>100</v>
      </c>
      <c r="F1940" t="s">
        <v>86</v>
      </c>
      <c r="G1940" t="s">
        <v>55</v>
      </c>
      <c r="H1940" t="s">
        <v>101</v>
      </c>
      <c r="I1940" t="s">
        <v>92</v>
      </c>
      <c r="J1940">
        <v>9462.7999999999993</v>
      </c>
      <c r="K1940">
        <v>79770</v>
      </c>
      <c r="L1940">
        <v>8475</v>
      </c>
      <c r="M1940">
        <v>0</v>
      </c>
      <c r="N1940">
        <v>0</v>
      </c>
      <c r="O1940">
        <v>0</v>
      </c>
      <c r="P1940">
        <v>0</v>
      </c>
      <c r="Q1940">
        <v>0</v>
      </c>
      <c r="R1940">
        <v>0</v>
      </c>
      <c r="S1940">
        <v>0</v>
      </c>
      <c r="T1940">
        <v>0</v>
      </c>
      <c r="U1940">
        <v>0</v>
      </c>
      <c r="V1940">
        <v>9462.7999999999993</v>
      </c>
      <c r="W1940">
        <v>79770</v>
      </c>
      <c r="X1940">
        <v>8475</v>
      </c>
      <c r="Y1940">
        <f t="shared" si="30"/>
        <v>79770</v>
      </c>
      <c r="Z1940" t="str">
        <f>IF(ISNUMBER(SEARCH("Adjustment",$C1940)),"excluded",IF($H1940="Behind the Meter","excluded",IF(NOT(OR($E1940="Bundled",$E1940="Energy")),"excluded",IF(OR($H1940="Retail Power Marketer",$H1940="Community Choice Aggregator",$E1940="Energy"),"procurement",IF(OR($H1940="Municipal",$H1940="Cooperative",$H1940="Federal",$H1940="State",$H1940="Political Subdivision"),"cost_service",IF($H1940="Investor Owned",IF(AND(COUNTIF(Parameters!$A$4:$A$33,$G1940)&gt;0,COUNTIF(Parameters!$B$4:$B$33,$B1940)=0),"procurement","cost_service"),"unclassified"))))))</f>
        <v>procurement</v>
      </c>
    </row>
    <row r="1941" spans="1:26" x14ac:dyDescent="0.25">
      <c r="A1941">
        <v>2024</v>
      </c>
      <c r="B1941">
        <v>59059</v>
      </c>
      <c r="C1941" t="s">
        <v>1531</v>
      </c>
      <c r="D1941" t="s">
        <v>99</v>
      </c>
      <c r="E1941" t="s">
        <v>100</v>
      </c>
      <c r="F1941" t="s">
        <v>86</v>
      </c>
      <c r="G1941" t="s">
        <v>40</v>
      </c>
      <c r="H1941" t="s">
        <v>101</v>
      </c>
      <c r="I1941" t="s">
        <v>189</v>
      </c>
      <c r="J1941">
        <v>85910.6</v>
      </c>
      <c r="K1941">
        <v>695475</v>
      </c>
      <c r="L1941">
        <v>67591</v>
      </c>
      <c r="M1941">
        <v>17018.3</v>
      </c>
      <c r="N1941">
        <v>131930</v>
      </c>
      <c r="O1941">
        <v>3661</v>
      </c>
      <c r="P1941">
        <v>0</v>
      </c>
      <c r="Q1941">
        <v>0</v>
      </c>
      <c r="R1941">
        <v>0</v>
      </c>
      <c r="S1941">
        <v>0</v>
      </c>
      <c r="T1941">
        <v>0</v>
      </c>
      <c r="U1941">
        <v>0</v>
      </c>
      <c r="V1941">
        <v>102928.9</v>
      </c>
      <c r="W1941">
        <v>827405</v>
      </c>
      <c r="X1941">
        <v>71252</v>
      </c>
      <c r="Y1941">
        <f t="shared" si="30"/>
        <v>827405</v>
      </c>
      <c r="Z1941" t="str">
        <f>IF(ISNUMBER(SEARCH("Adjustment",$C1941)),"excluded",IF($H1941="Behind the Meter","excluded",IF(NOT(OR($E1941="Bundled",$E1941="Energy")),"excluded",IF(OR($H1941="Retail Power Marketer",$H1941="Community Choice Aggregator",$E1941="Energy"),"procurement",IF(OR($H1941="Municipal",$H1941="Cooperative",$H1941="Federal",$H1941="State",$H1941="Political Subdivision"),"cost_service",IF($H1941="Investor Owned",IF(AND(COUNTIF(Parameters!$A$4:$A$33,$G1941)&gt;0,COUNTIF(Parameters!$B$4:$B$33,$B1941)=0),"procurement","cost_service"),"unclassified"))))))</f>
        <v>procurement</v>
      </c>
    </row>
    <row r="1942" spans="1:26" x14ac:dyDescent="0.25">
      <c r="A1942">
        <v>2024</v>
      </c>
      <c r="B1942">
        <v>59059</v>
      </c>
      <c r="C1942" t="s">
        <v>1531</v>
      </c>
      <c r="D1942" t="s">
        <v>99</v>
      </c>
      <c r="E1942" t="s">
        <v>100</v>
      </c>
      <c r="F1942" t="s">
        <v>86</v>
      </c>
      <c r="G1942" t="s">
        <v>48</v>
      </c>
      <c r="H1942" t="s">
        <v>101</v>
      </c>
      <c r="I1942" t="s">
        <v>189</v>
      </c>
      <c r="J1942">
        <v>20462.2</v>
      </c>
      <c r="K1942">
        <v>135184</v>
      </c>
      <c r="L1942">
        <v>16268</v>
      </c>
      <c r="M1942">
        <v>1983.1</v>
      </c>
      <c r="N1942">
        <v>13443</v>
      </c>
      <c r="O1942">
        <v>748</v>
      </c>
      <c r="P1942">
        <v>0</v>
      </c>
      <c r="Q1942">
        <v>0</v>
      </c>
      <c r="R1942">
        <v>0</v>
      </c>
      <c r="S1942">
        <v>0</v>
      </c>
      <c r="T1942">
        <v>0</v>
      </c>
      <c r="U1942">
        <v>0</v>
      </c>
      <c r="V1942">
        <v>22445.3</v>
      </c>
      <c r="W1942">
        <v>148627</v>
      </c>
      <c r="X1942">
        <v>17016</v>
      </c>
      <c r="Y1942">
        <f t="shared" si="30"/>
        <v>148627</v>
      </c>
      <c r="Z1942" t="str">
        <f>IF(ISNUMBER(SEARCH("Adjustment",$C1942)),"excluded",IF($H1942="Behind the Meter","excluded",IF(NOT(OR($E1942="Bundled",$E1942="Energy")),"excluded",IF(OR($H1942="Retail Power Marketer",$H1942="Community Choice Aggregator",$E1942="Energy"),"procurement",IF(OR($H1942="Municipal",$H1942="Cooperative",$H1942="Federal",$H1942="State",$H1942="Political Subdivision"),"cost_service",IF($H1942="Investor Owned",IF(AND(COUNTIF(Parameters!$A$4:$A$33,$G1942)&gt;0,COUNTIF(Parameters!$B$4:$B$33,$B1942)=0),"procurement","cost_service"),"unclassified"))))))</f>
        <v>procurement</v>
      </c>
    </row>
    <row r="1943" spans="1:26" x14ac:dyDescent="0.25">
      <c r="A1943">
        <v>2024</v>
      </c>
      <c r="B1943">
        <v>59059</v>
      </c>
      <c r="C1943" t="s">
        <v>1531</v>
      </c>
      <c r="D1943" t="s">
        <v>99</v>
      </c>
      <c r="E1943" t="s">
        <v>100</v>
      </c>
      <c r="F1943" t="s">
        <v>86</v>
      </c>
      <c r="G1943" t="s">
        <v>50</v>
      </c>
      <c r="H1943" t="s">
        <v>101</v>
      </c>
      <c r="I1943" t="s">
        <v>189</v>
      </c>
      <c r="J1943">
        <v>1797.5</v>
      </c>
      <c r="K1943">
        <v>12190</v>
      </c>
      <c r="L1943">
        <v>1680</v>
      </c>
      <c r="M1943">
        <v>998.9</v>
      </c>
      <c r="N1943">
        <v>6549</v>
      </c>
      <c r="O1943">
        <v>92</v>
      </c>
      <c r="P1943">
        <v>0</v>
      </c>
      <c r="Q1943">
        <v>0</v>
      </c>
      <c r="R1943">
        <v>0</v>
      </c>
      <c r="S1943">
        <v>0</v>
      </c>
      <c r="T1943">
        <v>0</v>
      </c>
      <c r="U1943">
        <v>0</v>
      </c>
      <c r="V1943">
        <v>2796.4</v>
      </c>
      <c r="W1943">
        <v>18739</v>
      </c>
      <c r="X1943">
        <v>1772</v>
      </c>
      <c r="Y1943">
        <f t="shared" si="30"/>
        <v>18739</v>
      </c>
      <c r="Z1943" t="str">
        <f>IF(ISNUMBER(SEARCH("Adjustment",$C1943)),"excluded",IF($H1943="Behind the Meter","excluded",IF(NOT(OR($E1943="Bundled",$E1943="Energy")),"excluded",IF(OR($H1943="Retail Power Marketer",$H1943="Community Choice Aggregator",$E1943="Energy"),"procurement",IF(OR($H1943="Municipal",$H1943="Cooperative",$H1943="Federal",$H1943="State",$H1943="Political Subdivision"),"cost_service",IF($H1943="Investor Owned",IF(AND(COUNTIF(Parameters!$A$4:$A$33,$G1943)&gt;0,COUNTIF(Parameters!$B$4:$B$33,$B1943)=0),"procurement","cost_service"),"unclassified"))))))</f>
        <v>procurement</v>
      </c>
    </row>
    <row r="1944" spans="1:26" x14ac:dyDescent="0.25">
      <c r="A1944">
        <v>2024</v>
      </c>
      <c r="B1944">
        <v>59059</v>
      </c>
      <c r="C1944" t="s">
        <v>1531</v>
      </c>
      <c r="D1944" t="s">
        <v>99</v>
      </c>
      <c r="E1944" t="s">
        <v>100</v>
      </c>
      <c r="F1944" t="s">
        <v>86</v>
      </c>
      <c r="G1944" t="s">
        <v>51</v>
      </c>
      <c r="H1944" t="s">
        <v>101</v>
      </c>
      <c r="I1944" t="s">
        <v>189</v>
      </c>
      <c r="J1944">
        <v>4930</v>
      </c>
      <c r="K1944">
        <v>33288</v>
      </c>
      <c r="L1944">
        <v>4601</v>
      </c>
      <c r="M1944">
        <v>725.9</v>
      </c>
      <c r="N1944">
        <v>4825</v>
      </c>
      <c r="O1944">
        <v>260</v>
      </c>
      <c r="P1944">
        <v>0</v>
      </c>
      <c r="Q1944">
        <v>0</v>
      </c>
      <c r="R1944">
        <v>0</v>
      </c>
      <c r="S1944">
        <v>0</v>
      </c>
      <c r="T1944">
        <v>0</v>
      </c>
      <c r="U1944">
        <v>0</v>
      </c>
      <c r="V1944">
        <v>5655.9</v>
      </c>
      <c r="W1944">
        <v>38113</v>
      </c>
      <c r="X1944">
        <v>4861</v>
      </c>
      <c r="Y1944">
        <f t="shared" si="30"/>
        <v>38113</v>
      </c>
      <c r="Z1944" t="str">
        <f>IF(ISNUMBER(SEARCH("Adjustment",$C1944)),"excluded",IF($H1944="Behind the Meter","excluded",IF(NOT(OR($E1944="Bundled",$E1944="Energy")),"excluded",IF(OR($H1944="Retail Power Marketer",$H1944="Community Choice Aggregator",$E1944="Energy"),"procurement",IF(OR($H1944="Municipal",$H1944="Cooperative",$H1944="Federal",$H1944="State",$H1944="Political Subdivision"),"cost_service",IF($H1944="Investor Owned",IF(AND(COUNTIF(Parameters!$A$4:$A$33,$G1944)&gt;0,COUNTIF(Parameters!$B$4:$B$33,$B1944)=0),"procurement","cost_service"),"unclassified"))))))</f>
        <v>procurement</v>
      </c>
    </row>
    <row r="1945" spans="1:26" x14ac:dyDescent="0.25">
      <c r="A1945">
        <v>2024</v>
      </c>
      <c r="B1945">
        <v>59059</v>
      </c>
      <c r="C1945" t="s">
        <v>1531</v>
      </c>
      <c r="D1945" t="s">
        <v>99</v>
      </c>
      <c r="E1945" t="s">
        <v>100</v>
      </c>
      <c r="F1945" t="s">
        <v>86</v>
      </c>
      <c r="G1945" t="s">
        <v>56</v>
      </c>
      <c r="H1945" t="s">
        <v>101</v>
      </c>
      <c r="I1945" t="s">
        <v>189</v>
      </c>
      <c r="J1945">
        <v>5019.1000000000004</v>
      </c>
      <c r="K1945">
        <v>29335</v>
      </c>
      <c r="L1945">
        <v>5265</v>
      </c>
      <c r="M1945">
        <v>447.2</v>
      </c>
      <c r="N1945">
        <v>2997</v>
      </c>
      <c r="O1945">
        <v>148</v>
      </c>
      <c r="P1945">
        <v>0</v>
      </c>
      <c r="Q1945">
        <v>0</v>
      </c>
      <c r="R1945">
        <v>0</v>
      </c>
      <c r="S1945">
        <v>0</v>
      </c>
      <c r="T1945">
        <v>0</v>
      </c>
      <c r="U1945">
        <v>0</v>
      </c>
      <c r="V1945">
        <v>5466.3</v>
      </c>
      <c r="W1945">
        <v>32332</v>
      </c>
      <c r="X1945">
        <v>5413</v>
      </c>
      <c r="Y1945">
        <f t="shared" si="30"/>
        <v>32332</v>
      </c>
      <c r="Z1945" t="str">
        <f>IF(ISNUMBER(SEARCH("Adjustment",$C1945)),"excluded",IF($H1945="Behind the Meter","excluded",IF(NOT(OR($E1945="Bundled",$E1945="Energy")),"excluded",IF(OR($H1945="Retail Power Marketer",$H1945="Community Choice Aggregator",$E1945="Energy"),"procurement",IF(OR($H1945="Municipal",$H1945="Cooperative",$H1945="Federal",$H1945="State",$H1945="Political Subdivision"),"cost_service",IF($H1945="Investor Owned",IF(AND(COUNTIF(Parameters!$A$4:$A$33,$G1945)&gt;0,COUNTIF(Parameters!$B$4:$B$33,$B1945)=0),"procurement","cost_service"),"unclassified"))))))</f>
        <v>procurement</v>
      </c>
    </row>
    <row r="1946" spans="1:26" x14ac:dyDescent="0.25">
      <c r="A1946">
        <v>2024</v>
      </c>
      <c r="B1946">
        <v>59062</v>
      </c>
      <c r="C1946" t="s">
        <v>1532</v>
      </c>
      <c r="D1946" t="s">
        <v>99</v>
      </c>
      <c r="E1946" t="s">
        <v>100</v>
      </c>
      <c r="F1946" t="s">
        <v>86</v>
      </c>
      <c r="G1946" t="s">
        <v>42</v>
      </c>
      <c r="H1946" t="s">
        <v>101</v>
      </c>
      <c r="I1946" t="s">
        <v>92</v>
      </c>
      <c r="J1946">
        <v>213.2</v>
      </c>
      <c r="K1946">
        <v>1214</v>
      </c>
      <c r="L1946">
        <v>146</v>
      </c>
      <c r="M1946">
        <v>1438.9</v>
      </c>
      <c r="N1946">
        <v>13948</v>
      </c>
      <c r="O1946">
        <v>85</v>
      </c>
      <c r="P1946">
        <v>3.8</v>
      </c>
      <c r="Q1946">
        <v>35</v>
      </c>
      <c r="R1946">
        <v>2</v>
      </c>
      <c r="S1946" t="s">
        <v>97</v>
      </c>
      <c r="T1946" t="s">
        <v>97</v>
      </c>
      <c r="U1946" t="s">
        <v>97</v>
      </c>
      <c r="V1946">
        <v>1655.9</v>
      </c>
      <c r="W1946">
        <v>15197</v>
      </c>
      <c r="X1946">
        <v>233</v>
      </c>
      <c r="Y1946">
        <f t="shared" si="30"/>
        <v>15197</v>
      </c>
      <c r="Z1946" t="str">
        <f>IF(ISNUMBER(SEARCH("Adjustment",$C1946)),"excluded",IF($H1946="Behind the Meter","excluded",IF(NOT(OR($E1946="Bundled",$E1946="Energy")),"excluded",IF(OR($H1946="Retail Power Marketer",$H1946="Community Choice Aggregator",$E1946="Energy"),"procurement",IF(OR($H1946="Municipal",$H1946="Cooperative",$H1946="Federal",$H1946="State",$H1946="Political Subdivision"),"cost_service",IF($H1946="Investor Owned",IF(AND(COUNTIF(Parameters!$A$4:$A$33,$G1946)&gt;0,COUNTIF(Parameters!$B$4:$B$33,$B1946)=0),"procurement","cost_service"),"unclassified"))))))</f>
        <v>procurement</v>
      </c>
    </row>
    <row r="1947" spans="1:26" x14ac:dyDescent="0.25">
      <c r="A1947">
        <v>2024</v>
      </c>
      <c r="B1947">
        <v>59062</v>
      </c>
      <c r="C1947" t="s">
        <v>1532</v>
      </c>
      <c r="D1947" t="s">
        <v>99</v>
      </c>
      <c r="E1947" t="s">
        <v>100</v>
      </c>
      <c r="F1947" t="s">
        <v>86</v>
      </c>
      <c r="G1947" t="s">
        <v>49</v>
      </c>
      <c r="H1947" t="s">
        <v>101</v>
      </c>
      <c r="I1947" t="s">
        <v>92</v>
      </c>
      <c r="J1947">
        <v>1151.4000000000001</v>
      </c>
      <c r="K1947">
        <v>6746</v>
      </c>
      <c r="L1947">
        <v>577</v>
      </c>
      <c r="M1947">
        <v>2784.6</v>
      </c>
      <c r="N1947">
        <v>30508</v>
      </c>
      <c r="O1947">
        <v>169</v>
      </c>
      <c r="P1947">
        <v>20.2</v>
      </c>
      <c r="Q1947">
        <v>268</v>
      </c>
      <c r="R1947">
        <v>11</v>
      </c>
      <c r="S1947" t="s">
        <v>97</v>
      </c>
      <c r="T1947" t="s">
        <v>97</v>
      </c>
      <c r="U1947" t="s">
        <v>97</v>
      </c>
      <c r="V1947">
        <v>3956.2</v>
      </c>
      <c r="W1947">
        <v>37522</v>
      </c>
      <c r="X1947">
        <v>757</v>
      </c>
      <c r="Y1947">
        <f t="shared" si="30"/>
        <v>37522</v>
      </c>
      <c r="Z1947" t="str">
        <f>IF(ISNUMBER(SEARCH("Adjustment",$C1947)),"excluded",IF($H1947="Behind the Meter","excluded",IF(NOT(OR($E1947="Bundled",$E1947="Energy")),"excluded",IF(OR($H1947="Retail Power Marketer",$H1947="Community Choice Aggregator",$E1947="Energy"),"procurement",IF(OR($H1947="Municipal",$H1947="Cooperative",$H1947="Federal",$H1947="State",$H1947="Political Subdivision"),"cost_service",IF($H1947="Investor Owned",IF(AND(COUNTIF(Parameters!$A$4:$A$33,$G1947)&gt;0,COUNTIF(Parameters!$B$4:$B$33,$B1947)=0),"procurement","cost_service"),"unclassified"))))))</f>
        <v>procurement</v>
      </c>
    </row>
    <row r="1948" spans="1:26" x14ac:dyDescent="0.25">
      <c r="A1948">
        <v>2024</v>
      </c>
      <c r="B1948">
        <v>59064</v>
      </c>
      <c r="C1948" t="s">
        <v>1533</v>
      </c>
      <c r="D1948" t="s">
        <v>99</v>
      </c>
      <c r="E1948" t="s">
        <v>100</v>
      </c>
      <c r="F1948" t="s">
        <v>86</v>
      </c>
      <c r="G1948" t="s">
        <v>46</v>
      </c>
      <c r="H1948" t="s">
        <v>101</v>
      </c>
      <c r="I1948" t="s">
        <v>92</v>
      </c>
      <c r="J1948">
        <v>1355.8</v>
      </c>
      <c r="K1948">
        <v>13105</v>
      </c>
      <c r="L1948">
        <v>1989</v>
      </c>
      <c r="M1948">
        <v>4.5</v>
      </c>
      <c r="N1948">
        <v>57</v>
      </c>
      <c r="O1948">
        <v>11</v>
      </c>
      <c r="P1948">
        <v>0</v>
      </c>
      <c r="Q1948">
        <v>0</v>
      </c>
      <c r="R1948">
        <v>0</v>
      </c>
      <c r="S1948">
        <v>0</v>
      </c>
      <c r="T1948">
        <v>0</v>
      </c>
      <c r="U1948">
        <v>0</v>
      </c>
      <c r="V1948">
        <v>1360.3</v>
      </c>
      <c r="W1948">
        <v>13162</v>
      </c>
      <c r="X1948">
        <v>2000</v>
      </c>
      <c r="Y1948">
        <f t="shared" si="30"/>
        <v>13162</v>
      </c>
      <c r="Z1948" t="str">
        <f>IF(ISNUMBER(SEARCH("Adjustment",$C1948)),"excluded",IF($H1948="Behind the Meter","excluded",IF(NOT(OR($E1948="Bundled",$E1948="Energy")),"excluded",IF(OR($H1948="Retail Power Marketer",$H1948="Community Choice Aggregator",$E1948="Energy"),"procurement",IF(OR($H1948="Municipal",$H1948="Cooperative",$H1948="Federal",$H1948="State",$H1948="Political Subdivision"),"cost_service",IF($H1948="Investor Owned",IF(AND(COUNTIF(Parameters!$A$4:$A$33,$G1948)&gt;0,COUNTIF(Parameters!$B$4:$B$33,$B1948)=0),"procurement","cost_service"),"unclassified"))))))</f>
        <v>procurement</v>
      </c>
    </row>
    <row r="1949" spans="1:26" x14ac:dyDescent="0.25">
      <c r="A1949">
        <v>2024</v>
      </c>
      <c r="B1949">
        <v>59064</v>
      </c>
      <c r="C1949" t="s">
        <v>1533</v>
      </c>
      <c r="D1949" t="s">
        <v>99</v>
      </c>
      <c r="E1949" t="s">
        <v>100</v>
      </c>
      <c r="F1949" t="s">
        <v>86</v>
      </c>
      <c r="G1949" t="s">
        <v>49</v>
      </c>
      <c r="H1949" t="s">
        <v>101</v>
      </c>
      <c r="I1949" t="s">
        <v>92</v>
      </c>
      <c r="J1949">
        <v>329.2</v>
      </c>
      <c r="K1949">
        <v>2594</v>
      </c>
      <c r="L1949">
        <v>595</v>
      </c>
      <c r="M1949">
        <v>0.3</v>
      </c>
      <c r="N1949">
        <v>2</v>
      </c>
      <c r="O1949">
        <v>1</v>
      </c>
      <c r="P1949">
        <v>0</v>
      </c>
      <c r="Q1949">
        <v>0</v>
      </c>
      <c r="R1949">
        <v>0</v>
      </c>
      <c r="S1949">
        <v>0</v>
      </c>
      <c r="T1949">
        <v>0</v>
      </c>
      <c r="U1949">
        <v>0</v>
      </c>
      <c r="V1949">
        <v>329.5</v>
      </c>
      <c r="W1949">
        <v>2596</v>
      </c>
      <c r="X1949">
        <v>596</v>
      </c>
      <c r="Y1949">
        <f t="shared" si="30"/>
        <v>2596</v>
      </c>
      <c r="Z1949" t="str">
        <f>IF(ISNUMBER(SEARCH("Adjustment",$C1949)),"excluded",IF($H1949="Behind the Meter","excluded",IF(NOT(OR($E1949="Bundled",$E1949="Energy")),"excluded",IF(OR($H1949="Retail Power Marketer",$H1949="Community Choice Aggregator",$E1949="Energy"),"procurement",IF(OR($H1949="Municipal",$H1949="Cooperative",$H1949="Federal",$H1949="State",$H1949="Political Subdivision"),"cost_service",IF($H1949="Investor Owned",IF(AND(COUNTIF(Parameters!$A$4:$A$33,$G1949)&gt;0,COUNTIF(Parameters!$B$4:$B$33,$B1949)=0),"procurement","cost_service"),"unclassified"))))))</f>
        <v>procurement</v>
      </c>
    </row>
    <row r="1950" spans="1:26" x14ac:dyDescent="0.25">
      <c r="A1950">
        <v>2024</v>
      </c>
      <c r="B1950">
        <v>59064</v>
      </c>
      <c r="C1950" t="s">
        <v>1533</v>
      </c>
      <c r="D1950" t="s">
        <v>99</v>
      </c>
      <c r="E1950" t="s">
        <v>100</v>
      </c>
      <c r="F1950" t="s">
        <v>86</v>
      </c>
      <c r="G1950" t="s">
        <v>54</v>
      </c>
      <c r="H1950" t="s">
        <v>101</v>
      </c>
      <c r="I1950" t="s">
        <v>92</v>
      </c>
      <c r="J1950">
        <v>91.6</v>
      </c>
      <c r="K1950">
        <v>1210</v>
      </c>
      <c r="L1950">
        <v>201</v>
      </c>
      <c r="M1950">
        <v>0</v>
      </c>
      <c r="N1950">
        <v>0</v>
      </c>
      <c r="O1950">
        <v>0</v>
      </c>
      <c r="P1950">
        <v>0</v>
      </c>
      <c r="Q1950">
        <v>0</v>
      </c>
      <c r="R1950">
        <v>0</v>
      </c>
      <c r="S1950">
        <v>0</v>
      </c>
      <c r="T1950">
        <v>0</v>
      </c>
      <c r="U1950">
        <v>0</v>
      </c>
      <c r="V1950">
        <v>91.6</v>
      </c>
      <c r="W1950">
        <v>1210</v>
      </c>
      <c r="X1950">
        <v>201</v>
      </c>
      <c r="Y1950">
        <f t="shared" si="30"/>
        <v>1210</v>
      </c>
      <c r="Z1950" t="str">
        <f>IF(ISNUMBER(SEARCH("Adjustment",$C1950)),"excluded",IF($H1950="Behind the Meter","excluded",IF(NOT(OR($E1950="Bundled",$E1950="Energy")),"excluded",IF(OR($H1950="Retail Power Marketer",$H1950="Community Choice Aggregator",$E1950="Energy"),"procurement",IF(OR($H1950="Municipal",$H1950="Cooperative",$H1950="Federal",$H1950="State",$H1950="Political Subdivision"),"cost_service",IF($H1950="Investor Owned",IF(AND(COUNTIF(Parameters!$A$4:$A$33,$G1950)&gt;0,COUNTIF(Parameters!$B$4:$B$33,$B1950)=0),"procurement","cost_service"),"unclassified"))))))</f>
        <v>procurement</v>
      </c>
    </row>
    <row r="1951" spans="1:26" x14ac:dyDescent="0.25">
      <c r="A1951">
        <v>2024</v>
      </c>
      <c r="B1951">
        <v>59064</v>
      </c>
      <c r="C1951" t="s">
        <v>1533</v>
      </c>
      <c r="D1951" t="s">
        <v>99</v>
      </c>
      <c r="E1951" t="s">
        <v>100</v>
      </c>
      <c r="F1951" t="s">
        <v>86</v>
      </c>
      <c r="G1951" t="s">
        <v>55</v>
      </c>
      <c r="H1951" t="s">
        <v>101</v>
      </c>
      <c r="I1951" t="s">
        <v>92</v>
      </c>
      <c r="J1951">
        <v>2091.5</v>
      </c>
      <c r="K1951">
        <v>19030</v>
      </c>
      <c r="L1951">
        <v>2695</v>
      </c>
      <c r="M1951">
        <v>0</v>
      </c>
      <c r="N1951">
        <v>0</v>
      </c>
      <c r="O1951">
        <v>0</v>
      </c>
      <c r="P1951">
        <v>0</v>
      </c>
      <c r="Q1951">
        <v>0</v>
      </c>
      <c r="R1951">
        <v>0</v>
      </c>
      <c r="S1951">
        <v>0</v>
      </c>
      <c r="T1951">
        <v>0</v>
      </c>
      <c r="U1951">
        <v>0</v>
      </c>
      <c r="V1951">
        <v>2091.5</v>
      </c>
      <c r="W1951">
        <v>19030</v>
      </c>
      <c r="X1951">
        <v>2695</v>
      </c>
      <c r="Y1951">
        <f t="shared" si="30"/>
        <v>19030</v>
      </c>
      <c r="Z1951" t="str">
        <f>IF(ISNUMBER(SEARCH("Adjustment",$C1951)),"excluded",IF($H1951="Behind the Meter","excluded",IF(NOT(OR($E1951="Bundled",$E1951="Energy")),"excluded",IF(OR($H1951="Retail Power Marketer",$H1951="Community Choice Aggregator",$E1951="Energy"),"procurement",IF(OR($H1951="Municipal",$H1951="Cooperative",$H1951="Federal",$H1951="State",$H1951="Political Subdivision"),"cost_service",IF($H1951="Investor Owned",IF(AND(COUNTIF(Parameters!$A$4:$A$33,$G1951)&gt;0,COUNTIF(Parameters!$B$4:$B$33,$B1951)=0),"procurement","cost_service"),"unclassified"))))))</f>
        <v>procurement</v>
      </c>
    </row>
    <row r="1952" spans="1:26" x14ac:dyDescent="0.25">
      <c r="A1952">
        <v>2024</v>
      </c>
      <c r="B1952">
        <v>59065</v>
      </c>
      <c r="C1952" t="s">
        <v>1534</v>
      </c>
      <c r="D1952" t="s">
        <v>99</v>
      </c>
      <c r="E1952" t="s">
        <v>100</v>
      </c>
      <c r="F1952" t="s">
        <v>86</v>
      </c>
      <c r="G1952" t="s">
        <v>42</v>
      </c>
      <c r="H1952" t="s">
        <v>101</v>
      </c>
      <c r="I1952" t="s">
        <v>92</v>
      </c>
      <c r="J1952">
        <v>245.4</v>
      </c>
      <c r="K1952">
        <v>1360</v>
      </c>
      <c r="L1952">
        <v>174</v>
      </c>
      <c r="M1952">
        <v>130.80000000000001</v>
      </c>
      <c r="N1952">
        <v>946</v>
      </c>
      <c r="O1952">
        <v>7</v>
      </c>
      <c r="P1952">
        <v>0</v>
      </c>
      <c r="Q1952">
        <v>0</v>
      </c>
      <c r="R1952">
        <v>0</v>
      </c>
      <c r="S1952">
        <v>0</v>
      </c>
      <c r="T1952">
        <v>0</v>
      </c>
      <c r="U1952">
        <v>0</v>
      </c>
      <c r="V1952">
        <v>376.2</v>
      </c>
      <c r="W1952">
        <v>2306</v>
      </c>
      <c r="X1952">
        <v>181</v>
      </c>
      <c r="Y1952">
        <f t="shared" si="30"/>
        <v>2306</v>
      </c>
      <c r="Z1952" t="str">
        <f>IF(ISNUMBER(SEARCH("Adjustment",$C1952)),"excluded",IF($H1952="Behind the Meter","excluded",IF(NOT(OR($E1952="Bundled",$E1952="Energy")),"excluded",IF(OR($H1952="Retail Power Marketer",$H1952="Community Choice Aggregator",$E1952="Energy"),"procurement",IF(OR($H1952="Municipal",$H1952="Cooperative",$H1952="Federal",$H1952="State",$H1952="Political Subdivision"),"cost_service",IF($H1952="Investor Owned",IF(AND(COUNTIF(Parameters!$A$4:$A$33,$G1952)&gt;0,COUNTIF(Parameters!$B$4:$B$33,$B1952)=0),"procurement","cost_service"),"unclassified"))))))</f>
        <v>procurement</v>
      </c>
    </row>
    <row r="1953" spans="1:26" x14ac:dyDescent="0.25">
      <c r="A1953">
        <v>2024</v>
      </c>
      <c r="B1953">
        <v>59065</v>
      </c>
      <c r="C1953" t="s">
        <v>1534</v>
      </c>
      <c r="D1953" t="s">
        <v>99</v>
      </c>
      <c r="E1953" t="s">
        <v>100</v>
      </c>
      <c r="F1953" t="s">
        <v>86</v>
      </c>
      <c r="G1953" t="s">
        <v>44</v>
      </c>
      <c r="H1953" t="s">
        <v>101</v>
      </c>
      <c r="I1953" t="s">
        <v>92</v>
      </c>
      <c r="J1953">
        <v>100.8</v>
      </c>
      <c r="K1953">
        <v>815</v>
      </c>
      <c r="L1953">
        <v>108</v>
      </c>
      <c r="M1953">
        <v>9.6999999999999993</v>
      </c>
      <c r="N1953">
        <v>107</v>
      </c>
      <c r="O1953">
        <v>8</v>
      </c>
      <c r="P1953">
        <v>0</v>
      </c>
      <c r="Q1953">
        <v>0</v>
      </c>
      <c r="R1953">
        <v>0</v>
      </c>
      <c r="S1953">
        <v>0</v>
      </c>
      <c r="T1953">
        <v>0</v>
      </c>
      <c r="U1953">
        <v>0</v>
      </c>
      <c r="V1953">
        <v>110.5</v>
      </c>
      <c r="W1953">
        <v>922</v>
      </c>
      <c r="X1953">
        <v>116</v>
      </c>
      <c r="Y1953">
        <f t="shared" si="30"/>
        <v>922</v>
      </c>
      <c r="Z1953" t="str">
        <f>IF(ISNUMBER(SEARCH("Adjustment",$C1953)),"excluded",IF($H1953="Behind the Meter","excluded",IF(NOT(OR($E1953="Bundled",$E1953="Energy")),"excluded",IF(OR($H1953="Retail Power Marketer",$H1953="Community Choice Aggregator",$E1953="Energy"),"procurement",IF(OR($H1953="Municipal",$H1953="Cooperative",$H1953="Federal",$H1953="State",$H1953="Political Subdivision"),"cost_service",IF($H1953="Investor Owned",IF(AND(COUNTIF(Parameters!$A$4:$A$33,$G1953)&gt;0,COUNTIF(Parameters!$B$4:$B$33,$B1953)=0),"procurement","cost_service"),"unclassified"))))))</f>
        <v>procurement</v>
      </c>
    </row>
    <row r="1954" spans="1:26" x14ac:dyDescent="0.25">
      <c r="A1954">
        <v>2024</v>
      </c>
      <c r="B1954">
        <v>59065</v>
      </c>
      <c r="C1954" t="s">
        <v>1534</v>
      </c>
      <c r="D1954" t="s">
        <v>99</v>
      </c>
      <c r="E1954" t="s">
        <v>100</v>
      </c>
      <c r="F1954" t="s">
        <v>86</v>
      </c>
      <c r="G1954" t="s">
        <v>46</v>
      </c>
      <c r="H1954" t="s">
        <v>101</v>
      </c>
      <c r="I1954" t="s">
        <v>92</v>
      </c>
      <c r="J1954">
        <v>24</v>
      </c>
      <c r="K1954">
        <v>287</v>
      </c>
      <c r="L1954">
        <v>14</v>
      </c>
      <c r="M1954">
        <v>1816.3</v>
      </c>
      <c r="N1954">
        <v>24858</v>
      </c>
      <c r="O1954">
        <v>218</v>
      </c>
      <c r="P1954">
        <v>0</v>
      </c>
      <c r="Q1954">
        <v>0</v>
      </c>
      <c r="R1954">
        <v>0</v>
      </c>
      <c r="S1954">
        <v>0</v>
      </c>
      <c r="T1954">
        <v>0</v>
      </c>
      <c r="U1954">
        <v>0</v>
      </c>
      <c r="V1954">
        <v>1840.3</v>
      </c>
      <c r="W1954">
        <v>25145</v>
      </c>
      <c r="X1954">
        <v>232</v>
      </c>
      <c r="Y1954">
        <f t="shared" si="30"/>
        <v>25145</v>
      </c>
      <c r="Z1954" t="str">
        <f>IF(ISNUMBER(SEARCH("Adjustment",$C1954)),"excluded",IF($H1954="Behind the Meter","excluded",IF(NOT(OR($E1954="Bundled",$E1954="Energy")),"excluded",IF(OR($H1954="Retail Power Marketer",$H1954="Community Choice Aggregator",$E1954="Energy"),"procurement",IF(OR($H1954="Municipal",$H1954="Cooperative",$H1954="Federal",$H1954="State",$H1954="Political Subdivision"),"cost_service",IF($H1954="Investor Owned",IF(AND(COUNTIF(Parameters!$A$4:$A$33,$G1954)&gt;0,COUNTIF(Parameters!$B$4:$B$33,$B1954)=0),"procurement","cost_service"),"unclassified"))))))</f>
        <v>procurement</v>
      </c>
    </row>
    <row r="1955" spans="1:26" x14ac:dyDescent="0.25">
      <c r="A1955">
        <v>2024</v>
      </c>
      <c r="B1955">
        <v>59065</v>
      </c>
      <c r="C1955" t="s">
        <v>1534</v>
      </c>
      <c r="D1955" t="s">
        <v>99</v>
      </c>
      <c r="E1955" t="s">
        <v>100</v>
      </c>
      <c r="F1955" t="s">
        <v>86</v>
      </c>
      <c r="G1955" t="s">
        <v>48</v>
      </c>
      <c r="H1955" t="s">
        <v>101</v>
      </c>
      <c r="I1955" t="s">
        <v>189</v>
      </c>
      <c r="J1955">
        <v>11887.2</v>
      </c>
      <c r="K1955">
        <v>64947</v>
      </c>
      <c r="L1955">
        <v>9543</v>
      </c>
      <c r="M1955">
        <v>2651.2</v>
      </c>
      <c r="N1955">
        <v>18571</v>
      </c>
      <c r="O1955">
        <v>400</v>
      </c>
      <c r="P1955">
        <v>0</v>
      </c>
      <c r="Q1955">
        <v>0</v>
      </c>
      <c r="R1955">
        <v>0</v>
      </c>
      <c r="S1955">
        <v>0</v>
      </c>
      <c r="T1955">
        <v>0</v>
      </c>
      <c r="U1955">
        <v>0</v>
      </c>
      <c r="V1955">
        <v>14538.4</v>
      </c>
      <c r="W1955">
        <v>83518</v>
      </c>
      <c r="X1955">
        <v>9943</v>
      </c>
      <c r="Y1955">
        <f t="shared" si="30"/>
        <v>83518</v>
      </c>
      <c r="Z1955" t="str">
        <f>IF(ISNUMBER(SEARCH("Adjustment",$C1955)),"excluded",IF($H1955="Behind the Meter","excluded",IF(NOT(OR($E1955="Bundled",$E1955="Energy")),"excluded",IF(OR($H1955="Retail Power Marketer",$H1955="Community Choice Aggregator",$E1955="Energy"),"procurement",IF(OR($H1955="Municipal",$H1955="Cooperative",$H1955="Federal",$H1955="State",$H1955="Political Subdivision"),"cost_service",IF($H1955="Investor Owned",IF(AND(COUNTIF(Parameters!$A$4:$A$33,$G1955)&gt;0,COUNTIF(Parameters!$B$4:$B$33,$B1955)=0),"procurement","cost_service"),"unclassified"))))))</f>
        <v>procurement</v>
      </c>
    </row>
    <row r="1956" spans="1:26" x14ac:dyDescent="0.25">
      <c r="A1956">
        <v>2024</v>
      </c>
      <c r="B1956">
        <v>59065</v>
      </c>
      <c r="C1956" t="s">
        <v>1534</v>
      </c>
      <c r="D1956" t="s">
        <v>99</v>
      </c>
      <c r="E1956" t="s">
        <v>100</v>
      </c>
      <c r="F1956" t="s">
        <v>86</v>
      </c>
      <c r="G1956" t="s">
        <v>49</v>
      </c>
      <c r="H1956" t="s">
        <v>101</v>
      </c>
      <c r="I1956" t="s">
        <v>92</v>
      </c>
      <c r="J1956">
        <v>5641.2</v>
      </c>
      <c r="K1956">
        <v>35178</v>
      </c>
      <c r="L1956">
        <v>3438</v>
      </c>
      <c r="M1956">
        <v>1176.0999999999999</v>
      </c>
      <c r="N1956">
        <v>14209</v>
      </c>
      <c r="O1956">
        <v>148</v>
      </c>
      <c r="P1956">
        <v>0</v>
      </c>
      <c r="Q1956">
        <v>0</v>
      </c>
      <c r="R1956">
        <v>0</v>
      </c>
      <c r="S1956">
        <v>0</v>
      </c>
      <c r="T1956">
        <v>0</v>
      </c>
      <c r="U1956">
        <v>0</v>
      </c>
      <c r="V1956">
        <v>6817.3</v>
      </c>
      <c r="W1956">
        <v>49387</v>
      </c>
      <c r="X1956">
        <v>3586</v>
      </c>
      <c r="Y1956">
        <f t="shared" si="30"/>
        <v>49387</v>
      </c>
      <c r="Z1956" t="str">
        <f>IF(ISNUMBER(SEARCH("Adjustment",$C1956)),"excluded",IF($H1956="Behind the Meter","excluded",IF(NOT(OR($E1956="Bundled",$E1956="Energy")),"excluded",IF(OR($H1956="Retail Power Marketer",$H1956="Community Choice Aggregator",$E1956="Energy"),"procurement",IF(OR($H1956="Municipal",$H1956="Cooperative",$H1956="Federal",$H1956="State",$H1956="Political Subdivision"),"cost_service",IF($H1956="Investor Owned",IF(AND(COUNTIF(Parameters!$A$4:$A$33,$G1956)&gt;0,COUNTIF(Parameters!$B$4:$B$33,$B1956)=0),"procurement","cost_service"),"unclassified"))))))</f>
        <v>procurement</v>
      </c>
    </row>
    <row r="1957" spans="1:26" x14ac:dyDescent="0.25">
      <c r="A1957">
        <v>2024</v>
      </c>
      <c r="B1957">
        <v>59065</v>
      </c>
      <c r="C1957" t="s">
        <v>1534</v>
      </c>
      <c r="D1957" t="s">
        <v>99</v>
      </c>
      <c r="E1957" t="s">
        <v>100</v>
      </c>
      <c r="F1957" t="s">
        <v>86</v>
      </c>
      <c r="G1957" t="s">
        <v>51</v>
      </c>
      <c r="H1957" t="s">
        <v>101</v>
      </c>
      <c r="I1957" t="s">
        <v>189</v>
      </c>
      <c r="J1957">
        <v>912.3</v>
      </c>
      <c r="K1957">
        <v>6930</v>
      </c>
      <c r="L1957">
        <v>1204</v>
      </c>
      <c r="M1957">
        <v>120.5</v>
      </c>
      <c r="N1957">
        <v>596</v>
      </c>
      <c r="O1957">
        <v>24</v>
      </c>
      <c r="P1957">
        <v>0</v>
      </c>
      <c r="Q1957">
        <v>0</v>
      </c>
      <c r="R1957">
        <v>0</v>
      </c>
      <c r="S1957">
        <v>0</v>
      </c>
      <c r="T1957">
        <v>0</v>
      </c>
      <c r="U1957">
        <v>0</v>
      </c>
      <c r="V1957">
        <v>1032.8</v>
      </c>
      <c r="W1957">
        <v>7526</v>
      </c>
      <c r="X1957">
        <v>1228</v>
      </c>
      <c r="Y1957">
        <f t="shared" si="30"/>
        <v>7526</v>
      </c>
      <c r="Z1957" t="str">
        <f>IF(ISNUMBER(SEARCH("Adjustment",$C1957)),"excluded",IF($H1957="Behind the Meter","excluded",IF(NOT(OR($E1957="Bundled",$E1957="Energy")),"excluded",IF(OR($H1957="Retail Power Marketer",$H1957="Community Choice Aggregator",$E1957="Energy"),"procurement",IF(OR($H1957="Municipal",$H1957="Cooperative",$H1957="Federal",$H1957="State",$H1957="Political Subdivision"),"cost_service",IF($H1957="Investor Owned",IF(AND(COUNTIF(Parameters!$A$4:$A$33,$G1957)&gt;0,COUNTIF(Parameters!$B$4:$B$33,$B1957)=0),"procurement","cost_service"),"unclassified"))))))</f>
        <v>procurement</v>
      </c>
    </row>
    <row r="1958" spans="1:26" x14ac:dyDescent="0.25">
      <c r="A1958">
        <v>2024</v>
      </c>
      <c r="B1958">
        <v>59065</v>
      </c>
      <c r="C1958" t="s">
        <v>1534</v>
      </c>
      <c r="D1958" t="s">
        <v>99</v>
      </c>
      <c r="E1958" t="s">
        <v>100</v>
      </c>
      <c r="F1958" t="s">
        <v>86</v>
      </c>
      <c r="G1958" t="s">
        <v>52</v>
      </c>
      <c r="H1958" t="s">
        <v>101</v>
      </c>
      <c r="I1958" t="s">
        <v>92</v>
      </c>
      <c r="J1958">
        <v>832.4</v>
      </c>
      <c r="K1958">
        <v>5470</v>
      </c>
      <c r="L1958">
        <v>731</v>
      </c>
      <c r="M1958">
        <v>2520.6</v>
      </c>
      <c r="N1958">
        <v>19040</v>
      </c>
      <c r="O1958">
        <v>337</v>
      </c>
      <c r="P1958">
        <v>0</v>
      </c>
      <c r="Q1958">
        <v>0</v>
      </c>
      <c r="R1958">
        <v>0</v>
      </c>
      <c r="S1958">
        <v>0</v>
      </c>
      <c r="T1958">
        <v>0</v>
      </c>
      <c r="U1958">
        <v>0</v>
      </c>
      <c r="V1958">
        <v>3353</v>
      </c>
      <c r="W1958">
        <v>24510</v>
      </c>
      <c r="X1958">
        <v>1068</v>
      </c>
      <c r="Y1958">
        <f t="shared" si="30"/>
        <v>24510</v>
      </c>
      <c r="Z1958" t="str">
        <f>IF(ISNUMBER(SEARCH("Adjustment",$C1958)),"excluded",IF($H1958="Behind the Meter","excluded",IF(NOT(OR($E1958="Bundled",$E1958="Energy")),"excluded",IF(OR($H1958="Retail Power Marketer",$H1958="Community Choice Aggregator",$E1958="Energy"),"procurement",IF(OR($H1958="Municipal",$H1958="Cooperative",$H1958="Federal",$H1958="State",$H1958="Political Subdivision"),"cost_service",IF($H1958="Investor Owned",IF(AND(COUNTIF(Parameters!$A$4:$A$33,$G1958)&gt;0,COUNTIF(Parameters!$B$4:$B$33,$B1958)=0),"procurement","cost_service"),"unclassified"))))))</f>
        <v>procurement</v>
      </c>
    </row>
    <row r="1959" spans="1:26" x14ac:dyDescent="0.25">
      <c r="A1959">
        <v>2024</v>
      </c>
      <c r="B1959">
        <v>59065</v>
      </c>
      <c r="C1959" t="s">
        <v>1534</v>
      </c>
      <c r="D1959" t="s">
        <v>99</v>
      </c>
      <c r="E1959" t="s">
        <v>100</v>
      </c>
      <c r="F1959" t="s">
        <v>86</v>
      </c>
      <c r="G1959" t="s">
        <v>54</v>
      </c>
      <c r="H1959" t="s">
        <v>101</v>
      </c>
      <c r="I1959" t="s">
        <v>92</v>
      </c>
      <c r="J1959">
        <v>8407.2000000000007</v>
      </c>
      <c r="K1959">
        <v>66656</v>
      </c>
      <c r="L1959">
        <v>7601</v>
      </c>
      <c r="M1959">
        <v>251.6</v>
      </c>
      <c r="N1959">
        <v>2294</v>
      </c>
      <c r="O1959">
        <v>55</v>
      </c>
      <c r="P1959">
        <v>0</v>
      </c>
      <c r="Q1959">
        <v>0</v>
      </c>
      <c r="R1959">
        <v>0</v>
      </c>
      <c r="S1959">
        <v>0</v>
      </c>
      <c r="T1959">
        <v>0</v>
      </c>
      <c r="U1959">
        <v>0</v>
      </c>
      <c r="V1959">
        <v>8658.7999999999993</v>
      </c>
      <c r="W1959">
        <v>68950</v>
      </c>
      <c r="X1959">
        <v>7656</v>
      </c>
      <c r="Y1959">
        <f t="shared" si="30"/>
        <v>68950</v>
      </c>
      <c r="Z1959" t="str">
        <f>IF(ISNUMBER(SEARCH("Adjustment",$C1959)),"excluded",IF($H1959="Behind the Meter","excluded",IF(NOT(OR($E1959="Bundled",$E1959="Energy")),"excluded",IF(OR($H1959="Retail Power Marketer",$H1959="Community Choice Aggregator",$E1959="Energy"),"procurement",IF(OR($H1959="Municipal",$H1959="Cooperative",$H1959="Federal",$H1959="State",$H1959="Political Subdivision"),"cost_service",IF($H1959="Investor Owned",IF(AND(COUNTIF(Parameters!$A$4:$A$33,$G1959)&gt;0,COUNTIF(Parameters!$B$4:$B$33,$B1959)=0),"procurement","cost_service"),"unclassified"))))))</f>
        <v>procurement</v>
      </c>
    </row>
    <row r="1960" spans="1:26" x14ac:dyDescent="0.25">
      <c r="A1960">
        <v>2024</v>
      </c>
      <c r="B1960">
        <v>59065</v>
      </c>
      <c r="C1960" t="s">
        <v>1534</v>
      </c>
      <c r="D1960" t="s">
        <v>99</v>
      </c>
      <c r="E1960" t="s">
        <v>100</v>
      </c>
      <c r="F1960" t="s">
        <v>86</v>
      </c>
      <c r="G1960" t="s">
        <v>55</v>
      </c>
      <c r="H1960" t="s">
        <v>101</v>
      </c>
      <c r="I1960" t="s">
        <v>92</v>
      </c>
      <c r="J1960">
        <v>32094.1</v>
      </c>
      <c r="K1960">
        <v>237593</v>
      </c>
      <c r="L1960">
        <v>23384</v>
      </c>
      <c r="M1960">
        <v>7335.3</v>
      </c>
      <c r="N1960">
        <v>72511</v>
      </c>
      <c r="O1960">
        <v>2314</v>
      </c>
      <c r="P1960">
        <v>0</v>
      </c>
      <c r="Q1960">
        <v>0</v>
      </c>
      <c r="R1960">
        <v>0</v>
      </c>
      <c r="S1960">
        <v>0</v>
      </c>
      <c r="T1960">
        <v>0</v>
      </c>
      <c r="U1960">
        <v>0</v>
      </c>
      <c r="V1960">
        <v>39429.4</v>
      </c>
      <c r="W1960">
        <v>310104</v>
      </c>
      <c r="X1960">
        <v>25698</v>
      </c>
      <c r="Y1960">
        <f t="shared" si="30"/>
        <v>310104</v>
      </c>
      <c r="Z1960" t="str">
        <f>IF(ISNUMBER(SEARCH("Adjustment",$C1960)),"excluded",IF($H1960="Behind the Meter","excluded",IF(NOT(OR($E1960="Bundled",$E1960="Energy")),"excluded",IF(OR($H1960="Retail Power Marketer",$H1960="Community Choice Aggregator",$E1960="Energy"),"procurement",IF(OR($H1960="Municipal",$H1960="Cooperative",$H1960="Federal",$H1960="State",$H1960="Political Subdivision"),"cost_service",IF($H1960="Investor Owned",IF(AND(COUNTIF(Parameters!$A$4:$A$33,$G1960)&gt;0,COUNTIF(Parameters!$B$4:$B$33,$B1960)=0),"procurement","cost_service"),"unclassified"))))))</f>
        <v>procurement</v>
      </c>
    </row>
    <row r="1961" spans="1:26" x14ac:dyDescent="0.25">
      <c r="A1961">
        <v>2024</v>
      </c>
      <c r="B1961">
        <v>59082</v>
      </c>
      <c r="C1961" t="s">
        <v>1535</v>
      </c>
      <c r="D1961" t="s">
        <v>99</v>
      </c>
      <c r="E1961" t="s">
        <v>100</v>
      </c>
      <c r="F1961" t="s">
        <v>86</v>
      </c>
      <c r="G1961" t="s">
        <v>53</v>
      </c>
      <c r="H1961" t="s">
        <v>101</v>
      </c>
      <c r="I1961" t="s">
        <v>102</v>
      </c>
      <c r="J1961">
        <v>10926</v>
      </c>
      <c r="K1961">
        <v>96207</v>
      </c>
      <c r="L1961">
        <v>17295</v>
      </c>
      <c r="M1961">
        <v>47935.8</v>
      </c>
      <c r="N1961">
        <v>421986</v>
      </c>
      <c r="O1961">
        <v>8636</v>
      </c>
      <c r="P1961" t="s">
        <v>97</v>
      </c>
      <c r="Q1961" t="s">
        <v>97</v>
      </c>
      <c r="R1961" t="s">
        <v>97</v>
      </c>
      <c r="S1961" t="s">
        <v>97</v>
      </c>
      <c r="T1961" t="s">
        <v>97</v>
      </c>
      <c r="U1961" t="s">
        <v>97</v>
      </c>
      <c r="V1961">
        <v>58861.8</v>
      </c>
      <c r="W1961">
        <v>518193</v>
      </c>
      <c r="X1961">
        <v>25931</v>
      </c>
      <c r="Y1961">
        <f t="shared" si="30"/>
        <v>518193</v>
      </c>
      <c r="Z1961" t="str">
        <f>IF(ISNUMBER(SEARCH("Adjustment",$C1961)),"excluded",IF($H1961="Behind the Meter","excluded",IF(NOT(OR($E1961="Bundled",$E1961="Energy")),"excluded",IF(OR($H1961="Retail Power Marketer",$H1961="Community Choice Aggregator",$E1961="Energy"),"procurement",IF(OR($H1961="Municipal",$H1961="Cooperative",$H1961="Federal",$H1961="State",$H1961="Political Subdivision"),"cost_service",IF($H1961="Investor Owned",IF(AND(COUNTIF(Parameters!$A$4:$A$33,$G1961)&gt;0,COUNTIF(Parameters!$B$4:$B$33,$B1961)=0),"procurement","cost_service"),"unclassified"))))))</f>
        <v>procurement</v>
      </c>
    </row>
    <row r="1962" spans="1:26" x14ac:dyDescent="0.25">
      <c r="A1962">
        <v>2024</v>
      </c>
      <c r="B1962">
        <v>59083</v>
      </c>
      <c r="C1962" t="s">
        <v>1536</v>
      </c>
      <c r="D1962" t="s">
        <v>99</v>
      </c>
      <c r="E1962" t="s">
        <v>100</v>
      </c>
      <c r="F1962" t="s">
        <v>86</v>
      </c>
      <c r="G1962" t="s">
        <v>55</v>
      </c>
      <c r="H1962" t="s">
        <v>101</v>
      </c>
      <c r="I1962" t="s">
        <v>92</v>
      </c>
      <c r="J1962">
        <v>16555</v>
      </c>
      <c r="K1962">
        <v>150374</v>
      </c>
      <c r="L1962">
        <v>19133</v>
      </c>
      <c r="M1962">
        <v>48252.800000000003</v>
      </c>
      <c r="N1962">
        <v>437818</v>
      </c>
      <c r="O1962">
        <v>6796</v>
      </c>
      <c r="P1962" t="s">
        <v>97</v>
      </c>
      <c r="Q1962" t="s">
        <v>97</v>
      </c>
      <c r="R1962" t="s">
        <v>97</v>
      </c>
      <c r="S1962" t="s">
        <v>97</v>
      </c>
      <c r="T1962" t="s">
        <v>97</v>
      </c>
      <c r="U1962" t="s">
        <v>97</v>
      </c>
      <c r="V1962">
        <v>64807.8</v>
      </c>
      <c r="W1962">
        <v>588192</v>
      </c>
      <c r="X1962">
        <v>25929</v>
      </c>
      <c r="Y1962">
        <f t="shared" si="30"/>
        <v>588192</v>
      </c>
      <c r="Z1962" t="str">
        <f>IF(ISNUMBER(SEARCH("Adjustment",$C1962)),"excluded",IF($H1962="Behind the Meter","excluded",IF(NOT(OR($E1962="Bundled",$E1962="Energy")),"excluded",IF(OR($H1962="Retail Power Marketer",$H1962="Community Choice Aggregator",$E1962="Energy"),"procurement",IF(OR($H1962="Municipal",$H1962="Cooperative",$H1962="Federal",$H1962="State",$H1962="Political Subdivision"),"cost_service",IF($H1962="Investor Owned",IF(AND(COUNTIF(Parameters!$A$4:$A$33,$G1962)&gt;0,COUNTIF(Parameters!$B$4:$B$33,$B1962)=0),"procurement","cost_service"),"unclassified"))))))</f>
        <v>procurement</v>
      </c>
    </row>
    <row r="1963" spans="1:26" x14ac:dyDescent="0.25">
      <c r="A1963">
        <v>2024</v>
      </c>
      <c r="B1963">
        <v>59084</v>
      </c>
      <c r="C1963" t="s">
        <v>1537</v>
      </c>
      <c r="D1963" t="s">
        <v>99</v>
      </c>
      <c r="E1963" t="s">
        <v>100</v>
      </c>
      <c r="F1963" t="s">
        <v>86</v>
      </c>
      <c r="G1963" t="s">
        <v>49</v>
      </c>
      <c r="H1963" t="s">
        <v>101</v>
      </c>
      <c r="I1963" t="s">
        <v>92</v>
      </c>
      <c r="J1963">
        <v>7373.8</v>
      </c>
      <c r="K1963">
        <v>61846</v>
      </c>
      <c r="L1963">
        <v>6585</v>
      </c>
      <c r="M1963">
        <v>7175.8</v>
      </c>
      <c r="N1963">
        <v>59951</v>
      </c>
      <c r="O1963">
        <v>1103</v>
      </c>
      <c r="P1963" t="s">
        <v>97</v>
      </c>
      <c r="Q1963" t="s">
        <v>97</v>
      </c>
      <c r="R1963" t="s">
        <v>97</v>
      </c>
      <c r="S1963" t="s">
        <v>97</v>
      </c>
      <c r="T1963" t="s">
        <v>97</v>
      </c>
      <c r="U1963" t="s">
        <v>97</v>
      </c>
      <c r="V1963">
        <v>14549.6</v>
      </c>
      <c r="W1963">
        <v>121797</v>
      </c>
      <c r="X1963">
        <v>7688</v>
      </c>
      <c r="Y1963">
        <f t="shared" si="30"/>
        <v>121797</v>
      </c>
      <c r="Z1963" t="str">
        <f>IF(ISNUMBER(SEARCH("Adjustment",$C1963)),"excluded",IF($H1963="Behind the Meter","excluded",IF(NOT(OR($E1963="Bundled",$E1963="Energy")),"excluded",IF(OR($H1963="Retail Power Marketer",$H1963="Community Choice Aggregator",$E1963="Energy"),"procurement",IF(OR($H1963="Municipal",$H1963="Cooperative",$H1963="Federal",$H1963="State",$H1963="Political Subdivision"),"cost_service",IF($H1963="Investor Owned",IF(AND(COUNTIF(Parameters!$A$4:$A$33,$G1963)&gt;0,COUNTIF(Parameters!$B$4:$B$33,$B1963)=0),"procurement","cost_service"),"unclassified"))))))</f>
        <v>procurement</v>
      </c>
    </row>
    <row r="1964" spans="1:26" x14ac:dyDescent="0.25">
      <c r="A1964">
        <v>2024</v>
      </c>
      <c r="B1964">
        <v>59085</v>
      </c>
      <c r="C1964" t="s">
        <v>1538</v>
      </c>
      <c r="D1964" t="s">
        <v>99</v>
      </c>
      <c r="E1964" t="s">
        <v>100</v>
      </c>
      <c r="F1964" t="s">
        <v>86</v>
      </c>
      <c r="G1964" t="s">
        <v>52</v>
      </c>
      <c r="H1964" t="s">
        <v>101</v>
      </c>
      <c r="I1964" t="s">
        <v>92</v>
      </c>
      <c r="J1964">
        <v>2751.8</v>
      </c>
      <c r="K1964">
        <v>20000</v>
      </c>
      <c r="L1964">
        <v>2767</v>
      </c>
      <c r="M1964">
        <v>15554.9</v>
      </c>
      <c r="N1964">
        <v>112992</v>
      </c>
      <c r="O1964">
        <v>1770</v>
      </c>
      <c r="P1964" t="s">
        <v>97</v>
      </c>
      <c r="Q1964" t="s">
        <v>97</v>
      </c>
      <c r="R1964" t="s">
        <v>97</v>
      </c>
      <c r="S1964" t="s">
        <v>97</v>
      </c>
      <c r="T1964" t="s">
        <v>97</v>
      </c>
      <c r="U1964" t="s">
        <v>97</v>
      </c>
      <c r="V1964">
        <v>18306.7</v>
      </c>
      <c r="W1964">
        <v>132992</v>
      </c>
      <c r="X1964">
        <v>4537</v>
      </c>
      <c r="Y1964">
        <f t="shared" si="30"/>
        <v>132992</v>
      </c>
      <c r="Z1964" t="str">
        <f>IF(ISNUMBER(SEARCH("Adjustment",$C1964)),"excluded",IF($H1964="Behind the Meter","excluded",IF(NOT(OR($E1964="Bundled",$E1964="Energy")),"excluded",IF(OR($H1964="Retail Power Marketer",$H1964="Community Choice Aggregator",$E1964="Energy"),"procurement",IF(OR($H1964="Municipal",$H1964="Cooperative",$H1964="Federal",$H1964="State",$H1964="Political Subdivision"),"cost_service",IF($H1964="Investor Owned",IF(AND(COUNTIF(Parameters!$A$4:$A$33,$G1964)&gt;0,COUNTIF(Parameters!$B$4:$B$33,$B1964)=0),"procurement","cost_service"),"unclassified"))))))</f>
        <v>procurement</v>
      </c>
    </row>
    <row r="1965" spans="1:26" x14ac:dyDescent="0.25">
      <c r="A1965">
        <v>2024</v>
      </c>
      <c r="B1965">
        <v>59086</v>
      </c>
      <c r="C1965" t="s">
        <v>1539</v>
      </c>
      <c r="D1965" t="s">
        <v>84</v>
      </c>
      <c r="E1965" t="s">
        <v>85</v>
      </c>
      <c r="F1965" t="s">
        <v>86</v>
      </c>
      <c r="G1965" t="s">
        <v>108</v>
      </c>
      <c r="H1965" t="s">
        <v>1475</v>
      </c>
      <c r="I1965" t="s">
        <v>110</v>
      </c>
      <c r="J1965">
        <v>0</v>
      </c>
      <c r="K1965">
        <v>0</v>
      </c>
      <c r="L1965">
        <v>0</v>
      </c>
      <c r="M1965">
        <v>5742</v>
      </c>
      <c r="N1965">
        <v>54906</v>
      </c>
      <c r="O1965">
        <v>7</v>
      </c>
      <c r="P1965">
        <v>0</v>
      </c>
      <c r="Q1965">
        <v>0</v>
      </c>
      <c r="R1965">
        <v>0</v>
      </c>
      <c r="S1965">
        <v>0</v>
      </c>
      <c r="T1965">
        <v>0</v>
      </c>
      <c r="U1965">
        <v>0</v>
      </c>
      <c r="V1965">
        <v>5742</v>
      </c>
      <c r="W1965">
        <v>54906</v>
      </c>
      <c r="X1965">
        <v>7</v>
      </c>
      <c r="Y1965">
        <f t="shared" si="30"/>
        <v>54906</v>
      </c>
      <c r="Z1965" t="str">
        <f>IF(ISNUMBER(SEARCH("Adjustment",$C1965)),"excluded",IF($H1965="Behind the Meter","excluded",IF(NOT(OR($E1965="Bundled",$E1965="Energy")),"excluded",IF(OR($H1965="Retail Power Marketer",$H1965="Community Choice Aggregator",$E1965="Energy"),"procurement",IF(OR($H1965="Municipal",$H1965="Cooperative",$H1965="Federal",$H1965="State",$H1965="Political Subdivision"),"cost_service",IF($H1965="Investor Owned",IF(AND(COUNTIF(Parameters!$A$4:$A$33,$G1965)&gt;0,COUNTIF(Parameters!$B$4:$B$33,$B1965)=0),"procurement","cost_service"),"unclassified"))))))</f>
        <v>excluded</v>
      </c>
    </row>
    <row r="1966" spans="1:26" x14ac:dyDescent="0.25">
      <c r="A1966">
        <v>2024</v>
      </c>
      <c r="B1966">
        <v>59086</v>
      </c>
      <c r="C1966" t="s">
        <v>1539</v>
      </c>
      <c r="D1966" t="s">
        <v>84</v>
      </c>
      <c r="E1966" t="s">
        <v>85</v>
      </c>
      <c r="F1966" t="s">
        <v>86</v>
      </c>
      <c r="G1966" t="s">
        <v>108</v>
      </c>
      <c r="H1966" t="s">
        <v>1475</v>
      </c>
      <c r="I1966" t="s">
        <v>876</v>
      </c>
      <c r="J1966">
        <v>0</v>
      </c>
      <c r="K1966">
        <v>0</v>
      </c>
      <c r="L1966">
        <v>0</v>
      </c>
      <c r="M1966">
        <v>2232.9</v>
      </c>
      <c r="N1966">
        <v>19505</v>
      </c>
      <c r="O1966">
        <v>2</v>
      </c>
      <c r="P1966">
        <v>0</v>
      </c>
      <c r="Q1966">
        <v>0</v>
      </c>
      <c r="R1966">
        <v>0</v>
      </c>
      <c r="S1966">
        <v>0</v>
      </c>
      <c r="T1966">
        <v>0</v>
      </c>
      <c r="U1966">
        <v>0</v>
      </c>
      <c r="V1966">
        <v>2232.9</v>
      </c>
      <c r="W1966">
        <v>19505</v>
      </c>
      <c r="X1966">
        <v>2</v>
      </c>
      <c r="Y1966">
        <f t="shared" si="30"/>
        <v>19505</v>
      </c>
      <c r="Z1966" t="str">
        <f>IF(ISNUMBER(SEARCH("Adjustment",$C1966)),"excluded",IF($H1966="Behind the Meter","excluded",IF(NOT(OR($E1966="Bundled",$E1966="Energy")),"excluded",IF(OR($H1966="Retail Power Marketer",$H1966="Community Choice Aggregator",$E1966="Energy"),"procurement",IF(OR($H1966="Municipal",$H1966="Cooperative",$H1966="Federal",$H1966="State",$H1966="Political Subdivision"),"cost_service",IF($H1966="Investor Owned",IF(AND(COUNTIF(Parameters!$A$4:$A$33,$G1966)&gt;0,COUNTIF(Parameters!$B$4:$B$33,$B1966)=0),"procurement","cost_service"),"unclassified"))))))</f>
        <v>excluded</v>
      </c>
    </row>
    <row r="1967" spans="1:26" x14ac:dyDescent="0.25">
      <c r="A1967">
        <v>2024</v>
      </c>
      <c r="B1967">
        <v>59086</v>
      </c>
      <c r="C1967" t="s">
        <v>1539</v>
      </c>
      <c r="D1967" t="s">
        <v>84</v>
      </c>
      <c r="E1967" t="s">
        <v>85</v>
      </c>
      <c r="F1967" t="s">
        <v>86</v>
      </c>
      <c r="G1967" t="s">
        <v>115</v>
      </c>
      <c r="H1967" t="s">
        <v>1475</v>
      </c>
      <c r="I1967" t="s">
        <v>116</v>
      </c>
      <c r="J1967">
        <v>0</v>
      </c>
      <c r="K1967">
        <v>0</v>
      </c>
      <c r="L1967">
        <v>0</v>
      </c>
      <c r="M1967">
        <v>15252.3</v>
      </c>
      <c r="N1967">
        <v>85070</v>
      </c>
      <c r="O1967">
        <v>28</v>
      </c>
      <c r="P1967">
        <v>148.19999999999999</v>
      </c>
      <c r="Q1967">
        <v>1059</v>
      </c>
      <c r="R1967">
        <v>1</v>
      </c>
      <c r="S1967">
        <v>0</v>
      </c>
      <c r="T1967">
        <v>0</v>
      </c>
      <c r="U1967">
        <v>0</v>
      </c>
      <c r="V1967">
        <v>15400.5</v>
      </c>
      <c r="W1967">
        <v>86129</v>
      </c>
      <c r="X1967">
        <v>29</v>
      </c>
      <c r="Y1967">
        <f t="shared" si="30"/>
        <v>86129</v>
      </c>
      <c r="Z1967" t="str">
        <f>IF(ISNUMBER(SEARCH("Adjustment",$C1967)),"excluded",IF($H1967="Behind the Meter","excluded",IF(NOT(OR($E1967="Bundled",$E1967="Energy")),"excluded",IF(OR($H1967="Retail Power Marketer",$H1967="Community Choice Aggregator",$E1967="Energy"),"procurement",IF(OR($H1967="Municipal",$H1967="Cooperative",$H1967="Federal",$H1967="State",$H1967="Political Subdivision"),"cost_service",IF($H1967="Investor Owned",IF(AND(COUNTIF(Parameters!$A$4:$A$33,$G1967)&gt;0,COUNTIF(Parameters!$B$4:$B$33,$B1967)=0),"procurement","cost_service"),"unclassified"))))))</f>
        <v>excluded</v>
      </c>
    </row>
    <row r="1968" spans="1:26" x14ac:dyDescent="0.25">
      <c r="A1968">
        <v>2024</v>
      </c>
      <c r="B1968">
        <v>59086</v>
      </c>
      <c r="C1968" t="s">
        <v>1539</v>
      </c>
      <c r="D1968" t="s">
        <v>84</v>
      </c>
      <c r="E1968" t="s">
        <v>85</v>
      </c>
      <c r="F1968" t="s">
        <v>86</v>
      </c>
      <c r="G1968" t="s">
        <v>40</v>
      </c>
      <c r="H1968" t="s">
        <v>1475</v>
      </c>
      <c r="I1968" t="s">
        <v>189</v>
      </c>
      <c r="J1968">
        <v>0</v>
      </c>
      <c r="K1968">
        <v>0</v>
      </c>
      <c r="L1968">
        <v>0</v>
      </c>
      <c r="M1968">
        <v>52.3</v>
      </c>
      <c r="N1968">
        <v>436</v>
      </c>
      <c r="O1968">
        <v>1</v>
      </c>
      <c r="P1968">
        <v>0</v>
      </c>
      <c r="Q1968">
        <v>0</v>
      </c>
      <c r="R1968">
        <v>0</v>
      </c>
      <c r="S1968">
        <v>0</v>
      </c>
      <c r="T1968">
        <v>0</v>
      </c>
      <c r="U1968">
        <v>0</v>
      </c>
      <c r="V1968">
        <v>52.3</v>
      </c>
      <c r="W1968">
        <v>436</v>
      </c>
      <c r="X1968">
        <v>1</v>
      </c>
      <c r="Y1968">
        <f t="shared" si="30"/>
        <v>436</v>
      </c>
      <c r="Z1968" t="str">
        <f>IF(ISNUMBER(SEARCH("Adjustment",$C1968)),"excluded",IF($H1968="Behind the Meter","excluded",IF(NOT(OR($E1968="Bundled",$E1968="Energy")),"excluded",IF(OR($H1968="Retail Power Marketer",$H1968="Community Choice Aggregator",$E1968="Energy"),"procurement",IF(OR($H1968="Municipal",$H1968="Cooperative",$H1968="Federal",$H1968="State",$H1968="Political Subdivision"),"cost_service",IF($H1968="Investor Owned",IF(AND(COUNTIF(Parameters!$A$4:$A$33,$G1968)&gt;0,COUNTIF(Parameters!$B$4:$B$33,$B1968)=0),"procurement","cost_service"),"unclassified"))))))</f>
        <v>excluded</v>
      </c>
    </row>
    <row r="1969" spans="1:26" x14ac:dyDescent="0.25">
      <c r="A1969">
        <v>2024</v>
      </c>
      <c r="B1969">
        <v>59086</v>
      </c>
      <c r="C1969" t="s">
        <v>1539</v>
      </c>
      <c r="D1969" t="s">
        <v>84</v>
      </c>
      <c r="E1969" t="s">
        <v>85</v>
      </c>
      <c r="F1969" t="s">
        <v>86</v>
      </c>
      <c r="G1969" t="s">
        <v>42</v>
      </c>
      <c r="H1969" t="s">
        <v>1475</v>
      </c>
      <c r="I1969" t="s">
        <v>92</v>
      </c>
      <c r="J1969">
        <v>0</v>
      </c>
      <c r="K1969">
        <v>0</v>
      </c>
      <c r="L1969">
        <v>0</v>
      </c>
      <c r="M1969">
        <v>62.5</v>
      </c>
      <c r="N1969">
        <v>1038</v>
      </c>
      <c r="O1969">
        <v>2</v>
      </c>
      <c r="P1969">
        <v>0</v>
      </c>
      <c r="Q1969">
        <v>0</v>
      </c>
      <c r="R1969">
        <v>0</v>
      </c>
      <c r="S1969">
        <v>0</v>
      </c>
      <c r="T1969">
        <v>0</v>
      </c>
      <c r="U1969">
        <v>0</v>
      </c>
      <c r="V1969">
        <v>62.5</v>
      </c>
      <c r="W1969">
        <v>1038</v>
      </c>
      <c r="X1969">
        <v>2</v>
      </c>
      <c r="Y1969">
        <f t="shared" si="30"/>
        <v>1038</v>
      </c>
      <c r="Z1969" t="str">
        <f>IF(ISNUMBER(SEARCH("Adjustment",$C1969)),"excluded",IF($H1969="Behind the Meter","excluded",IF(NOT(OR($E1969="Bundled",$E1969="Energy")),"excluded",IF(OR($H1969="Retail Power Marketer",$H1969="Community Choice Aggregator",$E1969="Energy"),"procurement",IF(OR($H1969="Municipal",$H1969="Cooperative",$H1969="Federal",$H1969="State",$H1969="Political Subdivision"),"cost_service",IF($H1969="Investor Owned",IF(AND(COUNTIF(Parameters!$A$4:$A$33,$G1969)&gt;0,COUNTIF(Parameters!$B$4:$B$33,$B1969)=0),"procurement","cost_service"),"unclassified"))))))</f>
        <v>excluded</v>
      </c>
    </row>
    <row r="1970" spans="1:26" x14ac:dyDescent="0.25">
      <c r="A1970">
        <v>2024</v>
      </c>
      <c r="B1970">
        <v>59086</v>
      </c>
      <c r="C1970" t="s">
        <v>1539</v>
      </c>
      <c r="D1970" t="s">
        <v>84</v>
      </c>
      <c r="E1970" t="s">
        <v>85</v>
      </c>
      <c r="F1970" t="s">
        <v>86</v>
      </c>
      <c r="G1970" t="s">
        <v>44</v>
      </c>
      <c r="H1970" t="s">
        <v>1475</v>
      </c>
      <c r="I1970" t="s">
        <v>92</v>
      </c>
      <c r="J1970">
        <v>0</v>
      </c>
      <c r="K1970">
        <v>0</v>
      </c>
      <c r="L1970">
        <v>0</v>
      </c>
      <c r="M1970">
        <v>63.4</v>
      </c>
      <c r="N1970">
        <v>1056</v>
      </c>
      <c r="O1970">
        <v>1</v>
      </c>
      <c r="P1970">
        <v>86</v>
      </c>
      <c r="Q1970">
        <v>1076</v>
      </c>
      <c r="R1970">
        <v>1</v>
      </c>
      <c r="S1970">
        <v>0</v>
      </c>
      <c r="T1970">
        <v>0</v>
      </c>
      <c r="U1970">
        <v>0</v>
      </c>
      <c r="V1970">
        <v>149.4</v>
      </c>
      <c r="W1970">
        <v>2132</v>
      </c>
      <c r="X1970">
        <v>2</v>
      </c>
      <c r="Y1970">
        <f t="shared" si="30"/>
        <v>2132</v>
      </c>
      <c r="Z1970" t="str">
        <f>IF(ISNUMBER(SEARCH("Adjustment",$C1970)),"excluded",IF($H1970="Behind the Meter","excluded",IF(NOT(OR($E1970="Bundled",$E1970="Energy")),"excluded",IF(OR($H1970="Retail Power Marketer",$H1970="Community Choice Aggregator",$E1970="Energy"),"procurement",IF(OR($H1970="Municipal",$H1970="Cooperative",$H1970="Federal",$H1970="State",$H1970="Political Subdivision"),"cost_service",IF($H1970="Investor Owned",IF(AND(COUNTIF(Parameters!$A$4:$A$33,$G1970)&gt;0,COUNTIF(Parameters!$B$4:$B$33,$B1970)=0),"procurement","cost_service"),"unclassified"))))))</f>
        <v>excluded</v>
      </c>
    </row>
    <row r="1971" spans="1:26" x14ac:dyDescent="0.25">
      <c r="A1971">
        <v>2024</v>
      </c>
      <c r="B1971">
        <v>59086</v>
      </c>
      <c r="C1971" t="s">
        <v>1539</v>
      </c>
      <c r="D1971" t="s">
        <v>84</v>
      </c>
      <c r="E1971" t="s">
        <v>85</v>
      </c>
      <c r="F1971" t="s">
        <v>86</v>
      </c>
      <c r="G1971" t="s">
        <v>48</v>
      </c>
      <c r="H1971" t="s">
        <v>1475</v>
      </c>
      <c r="I1971" t="s">
        <v>189</v>
      </c>
      <c r="J1971">
        <v>0</v>
      </c>
      <c r="K1971">
        <v>0</v>
      </c>
      <c r="L1971">
        <v>0</v>
      </c>
      <c r="M1971">
        <v>380.3</v>
      </c>
      <c r="N1971">
        <v>3199</v>
      </c>
      <c r="O1971">
        <v>3</v>
      </c>
      <c r="P1971">
        <v>0</v>
      </c>
      <c r="Q1971">
        <v>0</v>
      </c>
      <c r="R1971">
        <v>0</v>
      </c>
      <c r="S1971">
        <v>0</v>
      </c>
      <c r="T1971">
        <v>0</v>
      </c>
      <c r="U1971">
        <v>0</v>
      </c>
      <c r="V1971">
        <v>380.3</v>
      </c>
      <c r="W1971">
        <v>3199</v>
      </c>
      <c r="X1971">
        <v>3</v>
      </c>
      <c r="Y1971">
        <f t="shared" si="30"/>
        <v>3199</v>
      </c>
      <c r="Z1971" t="str">
        <f>IF(ISNUMBER(SEARCH("Adjustment",$C1971)),"excluded",IF($H1971="Behind the Meter","excluded",IF(NOT(OR($E1971="Bundled",$E1971="Energy")),"excluded",IF(OR($H1971="Retail Power Marketer",$H1971="Community Choice Aggregator",$E1971="Energy"),"procurement",IF(OR($H1971="Municipal",$H1971="Cooperative",$H1971="Federal",$H1971="State",$H1971="Political Subdivision"),"cost_service",IF($H1971="Investor Owned",IF(AND(COUNTIF(Parameters!$A$4:$A$33,$G1971)&gt;0,COUNTIF(Parameters!$B$4:$B$33,$B1971)=0),"procurement","cost_service"),"unclassified"))))))</f>
        <v>excluded</v>
      </c>
    </row>
    <row r="1972" spans="1:26" x14ac:dyDescent="0.25">
      <c r="A1972">
        <v>2024</v>
      </c>
      <c r="B1972">
        <v>59086</v>
      </c>
      <c r="C1972" t="s">
        <v>1539</v>
      </c>
      <c r="D1972" t="s">
        <v>84</v>
      </c>
      <c r="E1972" t="s">
        <v>85</v>
      </c>
      <c r="F1972" t="s">
        <v>86</v>
      </c>
      <c r="G1972" t="s">
        <v>49</v>
      </c>
      <c r="H1972" t="s">
        <v>1475</v>
      </c>
      <c r="I1972" t="s">
        <v>92</v>
      </c>
      <c r="J1972">
        <v>0</v>
      </c>
      <c r="K1972">
        <v>0</v>
      </c>
      <c r="L1972">
        <v>0</v>
      </c>
      <c r="M1972">
        <v>1232.3</v>
      </c>
      <c r="N1972">
        <v>14432</v>
      </c>
      <c r="O1972">
        <v>16</v>
      </c>
      <c r="P1972">
        <v>256.60000000000002</v>
      </c>
      <c r="Q1972">
        <v>1651</v>
      </c>
      <c r="R1972">
        <v>2</v>
      </c>
      <c r="S1972">
        <v>0</v>
      </c>
      <c r="T1972">
        <v>0</v>
      </c>
      <c r="U1972">
        <v>0</v>
      </c>
      <c r="V1972">
        <v>1488.9</v>
      </c>
      <c r="W1972">
        <v>16083</v>
      </c>
      <c r="X1972">
        <v>18</v>
      </c>
      <c r="Y1972">
        <f t="shared" si="30"/>
        <v>16083</v>
      </c>
      <c r="Z1972" t="str">
        <f>IF(ISNUMBER(SEARCH("Adjustment",$C1972)),"excluded",IF($H1972="Behind the Meter","excluded",IF(NOT(OR($E1972="Bundled",$E1972="Energy")),"excluded",IF(OR($H1972="Retail Power Marketer",$H1972="Community Choice Aggregator",$E1972="Energy"),"procurement",IF(OR($H1972="Municipal",$H1972="Cooperative",$H1972="Federal",$H1972="State",$H1972="Political Subdivision"),"cost_service",IF($H1972="Investor Owned",IF(AND(COUNTIF(Parameters!$A$4:$A$33,$G1972)&gt;0,COUNTIF(Parameters!$B$4:$B$33,$B1972)=0),"procurement","cost_service"),"unclassified"))))))</f>
        <v>excluded</v>
      </c>
    </row>
    <row r="1973" spans="1:26" x14ac:dyDescent="0.25">
      <c r="A1973">
        <v>2024</v>
      </c>
      <c r="B1973">
        <v>59088</v>
      </c>
      <c r="C1973" t="s">
        <v>1540</v>
      </c>
      <c r="D1973" t="s">
        <v>99</v>
      </c>
      <c r="E1973" t="s">
        <v>100</v>
      </c>
      <c r="F1973" t="s">
        <v>86</v>
      </c>
      <c r="G1973" t="s">
        <v>42</v>
      </c>
      <c r="H1973" t="s">
        <v>101</v>
      </c>
      <c r="I1973" t="s">
        <v>92</v>
      </c>
      <c r="J1973">
        <v>107.4</v>
      </c>
      <c r="K1973">
        <v>706</v>
      </c>
      <c r="L1973">
        <v>99</v>
      </c>
      <c r="M1973">
        <v>189.7</v>
      </c>
      <c r="N1973">
        <v>1136</v>
      </c>
      <c r="O1973">
        <v>22</v>
      </c>
      <c r="P1973">
        <v>0</v>
      </c>
      <c r="Q1973">
        <v>0</v>
      </c>
      <c r="R1973">
        <v>0</v>
      </c>
      <c r="S1973">
        <v>0</v>
      </c>
      <c r="T1973">
        <v>0</v>
      </c>
      <c r="U1973">
        <v>0</v>
      </c>
      <c r="V1973">
        <v>297.10000000000002</v>
      </c>
      <c r="W1973">
        <v>1842</v>
      </c>
      <c r="X1973">
        <v>121</v>
      </c>
      <c r="Y1973">
        <f t="shared" si="30"/>
        <v>1842</v>
      </c>
      <c r="Z1973" t="str">
        <f>IF(ISNUMBER(SEARCH("Adjustment",$C1973)),"excluded",IF($H1973="Behind the Meter","excluded",IF(NOT(OR($E1973="Bundled",$E1973="Energy")),"excluded",IF(OR($H1973="Retail Power Marketer",$H1973="Community Choice Aggregator",$E1973="Energy"),"procurement",IF(OR($H1973="Municipal",$H1973="Cooperative",$H1973="Federal",$H1973="State",$H1973="Political Subdivision"),"cost_service",IF($H1973="Investor Owned",IF(AND(COUNTIF(Parameters!$A$4:$A$33,$G1973)&gt;0,COUNTIF(Parameters!$B$4:$B$33,$B1973)=0),"procurement","cost_service"),"unclassified"))))))</f>
        <v>procurement</v>
      </c>
    </row>
    <row r="1974" spans="1:26" x14ac:dyDescent="0.25">
      <c r="A1974">
        <v>2024</v>
      </c>
      <c r="B1974">
        <v>59088</v>
      </c>
      <c r="C1974" t="s">
        <v>1540</v>
      </c>
      <c r="D1974" t="s">
        <v>99</v>
      </c>
      <c r="E1974" t="s">
        <v>100</v>
      </c>
      <c r="F1974" t="s">
        <v>86</v>
      </c>
      <c r="G1974" t="s">
        <v>44</v>
      </c>
      <c r="H1974" t="s">
        <v>101</v>
      </c>
      <c r="I1974" t="s">
        <v>92</v>
      </c>
      <c r="J1974">
        <v>65</v>
      </c>
      <c r="K1974">
        <v>515</v>
      </c>
      <c r="L1974">
        <v>197</v>
      </c>
      <c r="M1974">
        <v>9.3000000000000007</v>
      </c>
      <c r="N1974">
        <v>67</v>
      </c>
      <c r="O1974">
        <v>11</v>
      </c>
      <c r="P1974">
        <v>0</v>
      </c>
      <c r="Q1974">
        <v>0</v>
      </c>
      <c r="R1974">
        <v>0</v>
      </c>
      <c r="S1974">
        <v>0</v>
      </c>
      <c r="T1974">
        <v>0</v>
      </c>
      <c r="U1974">
        <v>0</v>
      </c>
      <c r="V1974">
        <v>74.3</v>
      </c>
      <c r="W1974">
        <v>582</v>
      </c>
      <c r="X1974">
        <v>208</v>
      </c>
      <c r="Y1974">
        <f t="shared" si="30"/>
        <v>582</v>
      </c>
      <c r="Z1974" t="str">
        <f>IF(ISNUMBER(SEARCH("Adjustment",$C1974)),"excluded",IF($H1974="Behind the Meter","excluded",IF(NOT(OR($E1974="Bundled",$E1974="Energy")),"excluded",IF(OR($H1974="Retail Power Marketer",$H1974="Community Choice Aggregator",$E1974="Energy"),"procurement",IF(OR($H1974="Municipal",$H1974="Cooperative",$H1974="Federal",$H1974="State",$H1974="Political Subdivision"),"cost_service",IF($H1974="Investor Owned",IF(AND(COUNTIF(Parameters!$A$4:$A$33,$G1974)&gt;0,COUNTIF(Parameters!$B$4:$B$33,$B1974)=0),"procurement","cost_service"),"unclassified"))))))</f>
        <v>procurement</v>
      </c>
    </row>
    <row r="1975" spans="1:26" x14ac:dyDescent="0.25">
      <c r="A1975">
        <v>2024</v>
      </c>
      <c r="B1975">
        <v>59088</v>
      </c>
      <c r="C1975" t="s">
        <v>1540</v>
      </c>
      <c r="D1975" t="s">
        <v>99</v>
      </c>
      <c r="E1975" t="s">
        <v>100</v>
      </c>
      <c r="F1975" t="s">
        <v>86</v>
      </c>
      <c r="G1975" t="s">
        <v>46</v>
      </c>
      <c r="H1975" t="s">
        <v>101</v>
      </c>
      <c r="I1975" t="s">
        <v>92</v>
      </c>
      <c r="J1975">
        <v>5346</v>
      </c>
      <c r="K1975">
        <v>53932</v>
      </c>
      <c r="L1975">
        <v>7533</v>
      </c>
      <c r="M1975">
        <v>1991.4</v>
      </c>
      <c r="N1975">
        <v>18834</v>
      </c>
      <c r="O1975">
        <v>693</v>
      </c>
      <c r="P1975">
        <v>0</v>
      </c>
      <c r="Q1975">
        <v>0</v>
      </c>
      <c r="R1975">
        <v>0</v>
      </c>
      <c r="S1975">
        <v>0</v>
      </c>
      <c r="T1975">
        <v>0</v>
      </c>
      <c r="U1975">
        <v>0</v>
      </c>
      <c r="V1975">
        <v>7337.4</v>
      </c>
      <c r="W1975">
        <v>72766</v>
      </c>
      <c r="X1975">
        <v>8226</v>
      </c>
      <c r="Y1975">
        <f t="shared" si="30"/>
        <v>72766</v>
      </c>
      <c r="Z1975" t="str">
        <f>IF(ISNUMBER(SEARCH("Adjustment",$C1975)),"excluded",IF($H1975="Behind the Meter","excluded",IF(NOT(OR($E1975="Bundled",$E1975="Energy")),"excluded",IF(OR($H1975="Retail Power Marketer",$H1975="Community Choice Aggregator",$E1975="Energy"),"procurement",IF(OR($H1975="Municipal",$H1975="Cooperative",$H1975="Federal",$H1975="State",$H1975="Political Subdivision"),"cost_service",IF($H1975="Investor Owned",IF(AND(COUNTIF(Parameters!$A$4:$A$33,$G1975)&gt;0,COUNTIF(Parameters!$B$4:$B$33,$B1975)=0),"procurement","cost_service"),"unclassified"))))))</f>
        <v>procurement</v>
      </c>
    </row>
    <row r="1976" spans="1:26" x14ac:dyDescent="0.25">
      <c r="A1976">
        <v>2024</v>
      </c>
      <c r="B1976">
        <v>59088</v>
      </c>
      <c r="C1976" t="s">
        <v>1540</v>
      </c>
      <c r="D1976" t="s">
        <v>99</v>
      </c>
      <c r="E1976" t="s">
        <v>100</v>
      </c>
      <c r="F1976" t="s">
        <v>86</v>
      </c>
      <c r="G1976" t="s">
        <v>46</v>
      </c>
      <c r="H1976" t="s">
        <v>101</v>
      </c>
      <c r="I1976" t="s">
        <v>96</v>
      </c>
      <c r="J1976">
        <v>4559.8999999999996</v>
      </c>
      <c r="K1976">
        <v>29259</v>
      </c>
      <c r="L1976">
        <v>3746</v>
      </c>
      <c r="M1976">
        <v>1566.6</v>
      </c>
      <c r="N1976">
        <v>14207</v>
      </c>
      <c r="O1976">
        <v>458</v>
      </c>
      <c r="P1976">
        <v>0</v>
      </c>
      <c r="Q1976">
        <v>0</v>
      </c>
      <c r="R1976">
        <v>0</v>
      </c>
      <c r="S1976">
        <v>0</v>
      </c>
      <c r="T1976">
        <v>0</v>
      </c>
      <c r="U1976">
        <v>0</v>
      </c>
      <c r="V1976">
        <v>6126.5</v>
      </c>
      <c r="W1976">
        <v>43466</v>
      </c>
      <c r="X1976">
        <v>4204</v>
      </c>
      <c r="Y1976">
        <f t="shared" si="30"/>
        <v>43466</v>
      </c>
      <c r="Z1976" t="str">
        <f>IF(ISNUMBER(SEARCH("Adjustment",$C1976)),"excluded",IF($H1976="Behind the Meter","excluded",IF(NOT(OR($E1976="Bundled",$E1976="Energy")),"excluded",IF(OR($H1976="Retail Power Marketer",$H1976="Community Choice Aggregator",$E1976="Energy"),"procurement",IF(OR($H1976="Municipal",$H1976="Cooperative",$H1976="Federal",$H1976="State",$H1976="Political Subdivision"),"cost_service",IF($H1976="Investor Owned",IF(AND(COUNTIF(Parameters!$A$4:$A$33,$G1976)&gt;0,COUNTIF(Parameters!$B$4:$B$33,$B1976)=0),"procurement","cost_service"),"unclassified"))))))</f>
        <v>procurement</v>
      </c>
    </row>
    <row r="1977" spans="1:26" x14ac:dyDescent="0.25">
      <c r="A1977">
        <v>2024</v>
      </c>
      <c r="B1977">
        <v>59088</v>
      </c>
      <c r="C1977" t="s">
        <v>1540</v>
      </c>
      <c r="D1977" t="s">
        <v>99</v>
      </c>
      <c r="E1977" t="s">
        <v>100</v>
      </c>
      <c r="F1977" t="s">
        <v>86</v>
      </c>
      <c r="G1977" t="s">
        <v>48</v>
      </c>
      <c r="H1977" t="s">
        <v>101</v>
      </c>
      <c r="I1977" t="s">
        <v>189</v>
      </c>
      <c r="J1977">
        <v>5718.3</v>
      </c>
      <c r="K1977">
        <v>27626</v>
      </c>
      <c r="L1977">
        <v>5904</v>
      </c>
      <c r="M1977">
        <v>347.6</v>
      </c>
      <c r="N1977">
        <v>1675</v>
      </c>
      <c r="O1977">
        <v>273</v>
      </c>
      <c r="P1977">
        <v>0</v>
      </c>
      <c r="Q1977">
        <v>0</v>
      </c>
      <c r="R1977">
        <v>0</v>
      </c>
      <c r="S1977">
        <v>0</v>
      </c>
      <c r="T1977">
        <v>0</v>
      </c>
      <c r="U1977">
        <v>0</v>
      </c>
      <c r="V1977">
        <v>6065.9</v>
      </c>
      <c r="W1977">
        <v>29301</v>
      </c>
      <c r="X1977">
        <v>6177</v>
      </c>
      <c r="Y1977">
        <f t="shared" si="30"/>
        <v>29301</v>
      </c>
      <c r="Z1977" t="str">
        <f>IF(ISNUMBER(SEARCH("Adjustment",$C1977)),"excluded",IF($H1977="Behind the Meter","excluded",IF(NOT(OR($E1977="Bundled",$E1977="Energy")),"excluded",IF(OR($H1977="Retail Power Marketer",$H1977="Community Choice Aggregator",$E1977="Energy"),"procurement",IF(OR($H1977="Municipal",$H1977="Cooperative",$H1977="Federal",$H1977="State",$H1977="Political Subdivision"),"cost_service",IF($H1977="Investor Owned",IF(AND(COUNTIF(Parameters!$A$4:$A$33,$G1977)&gt;0,COUNTIF(Parameters!$B$4:$B$33,$B1977)=0),"procurement","cost_service"),"unclassified"))))))</f>
        <v>procurement</v>
      </c>
    </row>
    <row r="1978" spans="1:26" x14ac:dyDescent="0.25">
      <c r="A1978">
        <v>2024</v>
      </c>
      <c r="B1978">
        <v>59088</v>
      </c>
      <c r="C1978" t="s">
        <v>1540</v>
      </c>
      <c r="D1978" t="s">
        <v>99</v>
      </c>
      <c r="E1978" t="s">
        <v>100</v>
      </c>
      <c r="F1978" t="s">
        <v>86</v>
      </c>
      <c r="G1978" t="s">
        <v>49</v>
      </c>
      <c r="H1978" t="s">
        <v>101</v>
      </c>
      <c r="I1978" t="s">
        <v>92</v>
      </c>
      <c r="J1978">
        <v>962.8</v>
      </c>
      <c r="K1978">
        <v>6757</v>
      </c>
      <c r="L1978">
        <v>1157</v>
      </c>
      <c r="M1978">
        <v>289.8</v>
      </c>
      <c r="N1978">
        <v>1998</v>
      </c>
      <c r="O1978">
        <v>45</v>
      </c>
      <c r="P1978">
        <v>0</v>
      </c>
      <c r="Q1978">
        <v>0</v>
      </c>
      <c r="R1978">
        <v>0</v>
      </c>
      <c r="S1978">
        <v>0</v>
      </c>
      <c r="T1978">
        <v>0</v>
      </c>
      <c r="U1978">
        <v>0</v>
      </c>
      <c r="V1978">
        <v>1252.5999999999999</v>
      </c>
      <c r="W1978">
        <v>8755</v>
      </c>
      <c r="X1978">
        <v>1202</v>
      </c>
      <c r="Y1978">
        <f t="shared" si="30"/>
        <v>8755</v>
      </c>
      <c r="Z1978" t="str">
        <f>IF(ISNUMBER(SEARCH("Adjustment",$C1978)),"excluded",IF($H1978="Behind the Meter","excluded",IF(NOT(OR($E1978="Bundled",$E1978="Energy")),"excluded",IF(OR($H1978="Retail Power Marketer",$H1978="Community Choice Aggregator",$E1978="Energy"),"procurement",IF(OR($H1978="Municipal",$H1978="Cooperative",$H1978="Federal",$H1978="State",$H1978="Political Subdivision"),"cost_service",IF($H1978="Investor Owned",IF(AND(COUNTIF(Parameters!$A$4:$A$33,$G1978)&gt;0,COUNTIF(Parameters!$B$4:$B$33,$B1978)=0),"procurement","cost_service"),"unclassified"))))))</f>
        <v>procurement</v>
      </c>
    </row>
    <row r="1979" spans="1:26" x14ac:dyDescent="0.25">
      <c r="A1979">
        <v>2024</v>
      </c>
      <c r="B1979">
        <v>59088</v>
      </c>
      <c r="C1979" t="s">
        <v>1540</v>
      </c>
      <c r="D1979" t="s">
        <v>99</v>
      </c>
      <c r="E1979" t="s">
        <v>100</v>
      </c>
      <c r="F1979" t="s">
        <v>86</v>
      </c>
      <c r="G1979" t="s">
        <v>52</v>
      </c>
      <c r="H1979" t="s">
        <v>101</v>
      </c>
      <c r="I1979" t="s">
        <v>92</v>
      </c>
      <c r="J1979">
        <v>488.1</v>
      </c>
      <c r="K1979">
        <v>3141</v>
      </c>
      <c r="L1979">
        <v>576</v>
      </c>
      <c r="M1979">
        <v>144.1</v>
      </c>
      <c r="N1979">
        <v>975</v>
      </c>
      <c r="O1979">
        <v>61</v>
      </c>
      <c r="P1979">
        <v>0</v>
      </c>
      <c r="Q1979">
        <v>0</v>
      </c>
      <c r="R1979">
        <v>0</v>
      </c>
      <c r="S1979">
        <v>0</v>
      </c>
      <c r="T1979">
        <v>0</v>
      </c>
      <c r="U1979">
        <v>0</v>
      </c>
      <c r="V1979">
        <v>632.20000000000005</v>
      </c>
      <c r="W1979">
        <v>4116</v>
      </c>
      <c r="X1979">
        <v>637</v>
      </c>
      <c r="Y1979">
        <f t="shared" si="30"/>
        <v>4116</v>
      </c>
      <c r="Z1979" t="str">
        <f>IF(ISNUMBER(SEARCH("Adjustment",$C1979)),"excluded",IF($H1979="Behind the Meter","excluded",IF(NOT(OR($E1979="Bundled",$E1979="Energy")),"excluded",IF(OR($H1979="Retail Power Marketer",$H1979="Community Choice Aggregator",$E1979="Energy"),"procurement",IF(OR($H1979="Municipal",$H1979="Cooperative",$H1979="Federal",$H1979="State",$H1979="Political Subdivision"),"cost_service",IF($H1979="Investor Owned",IF(AND(COUNTIF(Parameters!$A$4:$A$33,$G1979)&gt;0,COUNTIF(Parameters!$B$4:$B$33,$B1979)=0),"procurement","cost_service"),"unclassified"))))))</f>
        <v>procurement</v>
      </c>
    </row>
    <row r="1980" spans="1:26" x14ac:dyDescent="0.25">
      <c r="A1980">
        <v>2024</v>
      </c>
      <c r="B1980">
        <v>59088</v>
      </c>
      <c r="C1980" t="s">
        <v>1540</v>
      </c>
      <c r="D1980" t="s">
        <v>99</v>
      </c>
      <c r="E1980" t="s">
        <v>100</v>
      </c>
      <c r="F1980" t="s">
        <v>86</v>
      </c>
      <c r="G1980" t="s">
        <v>53</v>
      </c>
      <c r="H1980" t="s">
        <v>101</v>
      </c>
      <c r="I1980" t="s">
        <v>102</v>
      </c>
      <c r="J1980">
        <v>441.2</v>
      </c>
      <c r="K1980">
        <v>2839</v>
      </c>
      <c r="L1980">
        <v>616</v>
      </c>
      <c r="M1980">
        <v>21.1</v>
      </c>
      <c r="N1980">
        <v>135</v>
      </c>
      <c r="O1980">
        <v>38</v>
      </c>
      <c r="P1980">
        <v>0</v>
      </c>
      <c r="Q1980">
        <v>0</v>
      </c>
      <c r="R1980">
        <v>0</v>
      </c>
      <c r="S1980">
        <v>0</v>
      </c>
      <c r="T1980">
        <v>0</v>
      </c>
      <c r="U1980">
        <v>0</v>
      </c>
      <c r="V1980">
        <v>462.3</v>
      </c>
      <c r="W1980">
        <v>2974</v>
      </c>
      <c r="X1980">
        <v>654</v>
      </c>
      <c r="Y1980">
        <f t="shared" si="30"/>
        <v>2974</v>
      </c>
      <c r="Z1980" t="str">
        <f>IF(ISNUMBER(SEARCH("Adjustment",$C1980)),"excluded",IF($H1980="Behind the Meter","excluded",IF(NOT(OR($E1980="Bundled",$E1980="Energy")),"excluded",IF(OR($H1980="Retail Power Marketer",$H1980="Community Choice Aggregator",$E1980="Energy"),"procurement",IF(OR($H1980="Municipal",$H1980="Cooperative",$H1980="Federal",$H1980="State",$H1980="Political Subdivision"),"cost_service",IF($H1980="Investor Owned",IF(AND(COUNTIF(Parameters!$A$4:$A$33,$G1980)&gt;0,COUNTIF(Parameters!$B$4:$B$33,$B1980)=0),"procurement","cost_service"),"unclassified"))))))</f>
        <v>procurement</v>
      </c>
    </row>
    <row r="1981" spans="1:26" x14ac:dyDescent="0.25">
      <c r="A1981">
        <v>2024</v>
      </c>
      <c r="B1981">
        <v>59088</v>
      </c>
      <c r="C1981" t="s">
        <v>1540</v>
      </c>
      <c r="D1981" t="s">
        <v>99</v>
      </c>
      <c r="E1981" t="s">
        <v>100</v>
      </c>
      <c r="F1981" t="s">
        <v>86</v>
      </c>
      <c r="G1981" t="s">
        <v>54</v>
      </c>
      <c r="H1981" t="s">
        <v>101</v>
      </c>
      <c r="I1981" t="s">
        <v>92</v>
      </c>
      <c r="J1981">
        <v>7061.8</v>
      </c>
      <c r="K1981">
        <v>58399</v>
      </c>
      <c r="L1981">
        <v>9462</v>
      </c>
      <c r="M1981">
        <v>850.5</v>
      </c>
      <c r="N1981">
        <v>6919</v>
      </c>
      <c r="O1981">
        <v>396</v>
      </c>
      <c r="P1981">
        <v>0</v>
      </c>
      <c r="Q1981">
        <v>0</v>
      </c>
      <c r="R1981">
        <v>0</v>
      </c>
      <c r="S1981">
        <v>0</v>
      </c>
      <c r="T1981">
        <v>0</v>
      </c>
      <c r="U1981">
        <v>0</v>
      </c>
      <c r="V1981">
        <v>7912.3</v>
      </c>
      <c r="W1981">
        <v>65318</v>
      </c>
      <c r="X1981">
        <v>9858</v>
      </c>
      <c r="Y1981">
        <f t="shared" si="30"/>
        <v>65318</v>
      </c>
      <c r="Z1981" t="str">
        <f>IF(ISNUMBER(SEARCH("Adjustment",$C1981)),"excluded",IF($H1981="Behind the Meter","excluded",IF(NOT(OR($E1981="Bundled",$E1981="Energy")),"excluded",IF(OR($H1981="Retail Power Marketer",$H1981="Community Choice Aggregator",$E1981="Energy"),"procurement",IF(OR($H1981="Municipal",$H1981="Cooperative",$H1981="Federal",$H1981="State",$H1981="Political Subdivision"),"cost_service",IF($H1981="Investor Owned",IF(AND(COUNTIF(Parameters!$A$4:$A$33,$G1981)&gt;0,COUNTIF(Parameters!$B$4:$B$33,$B1981)=0),"procurement","cost_service"),"unclassified"))))))</f>
        <v>procurement</v>
      </c>
    </row>
    <row r="1982" spans="1:26" x14ac:dyDescent="0.25">
      <c r="A1982">
        <v>2024</v>
      </c>
      <c r="B1982">
        <v>59088</v>
      </c>
      <c r="C1982" t="s">
        <v>1540</v>
      </c>
      <c r="D1982" t="s">
        <v>99</v>
      </c>
      <c r="E1982" t="s">
        <v>100</v>
      </c>
      <c r="F1982" t="s">
        <v>86</v>
      </c>
      <c r="G1982" t="s">
        <v>55</v>
      </c>
      <c r="H1982" t="s">
        <v>101</v>
      </c>
      <c r="I1982" t="s">
        <v>92</v>
      </c>
      <c r="J1982">
        <v>2301.9</v>
      </c>
      <c r="K1982">
        <v>15827</v>
      </c>
      <c r="L1982">
        <v>2756</v>
      </c>
      <c r="M1982">
        <v>327.8</v>
      </c>
      <c r="N1982">
        <v>2579</v>
      </c>
      <c r="O1982">
        <v>91</v>
      </c>
      <c r="P1982">
        <v>0</v>
      </c>
      <c r="Q1982">
        <v>0</v>
      </c>
      <c r="R1982">
        <v>0</v>
      </c>
      <c r="S1982">
        <v>0</v>
      </c>
      <c r="T1982">
        <v>0</v>
      </c>
      <c r="U1982">
        <v>0</v>
      </c>
      <c r="V1982">
        <v>2629.7</v>
      </c>
      <c r="W1982">
        <v>18406</v>
      </c>
      <c r="X1982">
        <v>2847</v>
      </c>
      <c r="Y1982">
        <f t="shared" si="30"/>
        <v>18406</v>
      </c>
      <c r="Z1982" t="str">
        <f>IF(ISNUMBER(SEARCH("Adjustment",$C1982)),"excluded",IF($H1982="Behind the Meter","excluded",IF(NOT(OR($E1982="Bundled",$E1982="Energy")),"excluded",IF(OR($H1982="Retail Power Marketer",$H1982="Community Choice Aggregator",$E1982="Energy"),"procurement",IF(OR($H1982="Municipal",$H1982="Cooperative",$H1982="Federal",$H1982="State",$H1982="Political Subdivision"),"cost_service",IF($H1982="Investor Owned",IF(AND(COUNTIF(Parameters!$A$4:$A$33,$G1982)&gt;0,COUNTIF(Parameters!$B$4:$B$33,$B1982)=0),"procurement","cost_service"),"unclassified"))))))</f>
        <v>procurement</v>
      </c>
    </row>
    <row r="1983" spans="1:26" x14ac:dyDescent="0.25">
      <c r="A1983">
        <v>2024</v>
      </c>
      <c r="B1983">
        <v>59088</v>
      </c>
      <c r="C1983" t="s">
        <v>1540</v>
      </c>
      <c r="D1983" t="s">
        <v>99</v>
      </c>
      <c r="E1983" t="s">
        <v>100</v>
      </c>
      <c r="F1983" t="s">
        <v>86</v>
      </c>
      <c r="G1983" t="s">
        <v>56</v>
      </c>
      <c r="H1983" t="s">
        <v>101</v>
      </c>
      <c r="I1983" t="s">
        <v>189</v>
      </c>
      <c r="J1983">
        <v>40.700000000000003</v>
      </c>
      <c r="K1983">
        <v>341</v>
      </c>
      <c r="L1983">
        <v>166</v>
      </c>
      <c r="M1983">
        <v>9.4</v>
      </c>
      <c r="N1983">
        <v>73</v>
      </c>
      <c r="O1983">
        <v>20</v>
      </c>
      <c r="P1983">
        <v>0</v>
      </c>
      <c r="Q1983">
        <v>0</v>
      </c>
      <c r="R1983">
        <v>0</v>
      </c>
      <c r="S1983">
        <v>0</v>
      </c>
      <c r="T1983">
        <v>0</v>
      </c>
      <c r="U1983">
        <v>0</v>
      </c>
      <c r="V1983">
        <v>50.1</v>
      </c>
      <c r="W1983">
        <v>414</v>
      </c>
      <c r="X1983">
        <v>186</v>
      </c>
      <c r="Y1983">
        <f t="shared" si="30"/>
        <v>414</v>
      </c>
      <c r="Z1983" t="str">
        <f>IF(ISNUMBER(SEARCH("Adjustment",$C1983)),"excluded",IF($H1983="Behind the Meter","excluded",IF(NOT(OR($E1983="Bundled",$E1983="Energy")),"excluded",IF(OR($H1983="Retail Power Marketer",$H1983="Community Choice Aggregator",$E1983="Energy"),"procurement",IF(OR($H1983="Municipal",$H1983="Cooperative",$H1983="Federal",$H1983="State",$H1983="Political Subdivision"),"cost_service",IF($H1983="Investor Owned",IF(AND(COUNTIF(Parameters!$A$4:$A$33,$G1983)&gt;0,COUNTIF(Parameters!$B$4:$B$33,$B1983)=0),"procurement","cost_service"),"unclassified"))))))</f>
        <v>procurement</v>
      </c>
    </row>
    <row r="1984" spans="1:26" x14ac:dyDescent="0.25">
      <c r="A1984">
        <v>2024</v>
      </c>
      <c r="B1984">
        <v>59126</v>
      </c>
      <c r="C1984" t="s">
        <v>1541</v>
      </c>
      <c r="D1984" t="s">
        <v>99</v>
      </c>
      <c r="E1984" t="s">
        <v>100</v>
      </c>
      <c r="F1984" t="s">
        <v>86</v>
      </c>
      <c r="G1984" t="s">
        <v>115</v>
      </c>
      <c r="H1984" t="s">
        <v>1464</v>
      </c>
      <c r="I1984" t="s">
        <v>116</v>
      </c>
      <c r="J1984">
        <v>134263.70000000001</v>
      </c>
      <c r="K1984">
        <v>1029779</v>
      </c>
      <c r="L1984">
        <v>199002</v>
      </c>
      <c r="M1984">
        <v>125759.8</v>
      </c>
      <c r="N1984">
        <v>943791</v>
      </c>
      <c r="O1984">
        <v>28686</v>
      </c>
      <c r="P1984">
        <v>19373.900000000001</v>
      </c>
      <c r="Q1984">
        <v>159239</v>
      </c>
      <c r="R1984">
        <v>2968</v>
      </c>
      <c r="S1984">
        <v>0</v>
      </c>
      <c r="T1984">
        <v>0</v>
      </c>
      <c r="U1984">
        <v>0</v>
      </c>
      <c r="V1984">
        <v>279397.40000000002</v>
      </c>
      <c r="W1984">
        <v>2132809</v>
      </c>
      <c r="X1984">
        <v>230656</v>
      </c>
      <c r="Y1984">
        <f t="shared" si="30"/>
        <v>2132809</v>
      </c>
      <c r="Z1984" t="str">
        <f>IF(ISNUMBER(SEARCH("Adjustment",$C1984)),"excluded",IF($H1984="Behind the Meter","excluded",IF(NOT(OR($E1984="Bundled",$E1984="Energy")),"excluded",IF(OR($H1984="Retail Power Marketer",$H1984="Community Choice Aggregator",$E1984="Energy"),"procurement",IF(OR($H1984="Municipal",$H1984="Cooperative",$H1984="Federal",$H1984="State",$H1984="Political Subdivision"),"cost_service",IF($H1984="Investor Owned",IF(AND(COUNTIF(Parameters!$A$4:$A$33,$G1984)&gt;0,COUNTIF(Parameters!$B$4:$B$33,$B1984)=0),"procurement","cost_service"),"unclassified"))))))</f>
        <v>procurement</v>
      </c>
    </row>
    <row r="1985" spans="1:26" x14ac:dyDescent="0.25">
      <c r="A1985">
        <v>2024</v>
      </c>
      <c r="B1985">
        <v>59128</v>
      </c>
      <c r="C1985" t="s">
        <v>1542</v>
      </c>
      <c r="D1985" t="s">
        <v>99</v>
      </c>
      <c r="E1985" t="s">
        <v>100</v>
      </c>
      <c r="F1985" t="s">
        <v>86</v>
      </c>
      <c r="G1985" t="s">
        <v>53</v>
      </c>
      <c r="H1985" t="s">
        <v>101</v>
      </c>
      <c r="I1985" t="s">
        <v>102</v>
      </c>
      <c r="J1985">
        <v>22808.5</v>
      </c>
      <c r="K1985">
        <v>114833</v>
      </c>
      <c r="L1985">
        <v>30924</v>
      </c>
      <c r="M1985">
        <v>5645.5</v>
      </c>
      <c r="N1985">
        <v>30443</v>
      </c>
      <c r="O1985">
        <v>1512</v>
      </c>
      <c r="P1985">
        <v>0</v>
      </c>
      <c r="Q1985">
        <v>0</v>
      </c>
      <c r="R1985">
        <v>0</v>
      </c>
      <c r="S1985">
        <v>0</v>
      </c>
      <c r="T1985">
        <v>0</v>
      </c>
      <c r="U1985">
        <v>0</v>
      </c>
      <c r="V1985">
        <v>28454</v>
      </c>
      <c r="W1985">
        <v>145276</v>
      </c>
      <c r="X1985">
        <v>32436</v>
      </c>
      <c r="Y1985">
        <f t="shared" si="30"/>
        <v>145276</v>
      </c>
      <c r="Z1985" t="str">
        <f>IF(ISNUMBER(SEARCH("Adjustment",$C1985)),"excluded",IF($H1985="Behind the Meter","excluded",IF(NOT(OR($E1985="Bundled",$E1985="Energy")),"excluded",IF(OR($H1985="Retail Power Marketer",$H1985="Community Choice Aggregator",$E1985="Energy"),"procurement",IF(OR($H1985="Municipal",$H1985="Cooperative",$H1985="Federal",$H1985="State",$H1985="Political Subdivision"),"cost_service",IF($H1985="Investor Owned",IF(AND(COUNTIF(Parameters!$A$4:$A$33,$G1985)&gt;0,COUNTIF(Parameters!$B$4:$B$33,$B1985)=0),"procurement","cost_service"),"unclassified"))))))</f>
        <v>procurement</v>
      </c>
    </row>
    <row r="1986" spans="1:26" x14ac:dyDescent="0.25">
      <c r="A1986">
        <v>2024</v>
      </c>
      <c r="B1986">
        <v>59310</v>
      </c>
      <c r="C1986" t="s">
        <v>1543</v>
      </c>
      <c r="D1986" t="s">
        <v>99</v>
      </c>
      <c r="E1986" t="s">
        <v>100</v>
      </c>
      <c r="F1986" t="s">
        <v>86</v>
      </c>
      <c r="G1986" t="s">
        <v>42</v>
      </c>
      <c r="H1986" t="s">
        <v>101</v>
      </c>
      <c r="I1986" t="s">
        <v>92</v>
      </c>
      <c r="J1986">
        <v>1229</v>
      </c>
      <c r="K1986">
        <v>7717</v>
      </c>
      <c r="L1986">
        <v>910</v>
      </c>
      <c r="M1986" t="s">
        <v>97</v>
      </c>
      <c r="N1986" t="s">
        <v>97</v>
      </c>
      <c r="O1986" t="s">
        <v>97</v>
      </c>
      <c r="P1986" t="s">
        <v>97</v>
      </c>
      <c r="Q1986" t="s">
        <v>97</v>
      </c>
      <c r="R1986" t="s">
        <v>97</v>
      </c>
      <c r="S1986" t="s">
        <v>97</v>
      </c>
      <c r="T1986" t="s">
        <v>97</v>
      </c>
      <c r="U1986" t="s">
        <v>97</v>
      </c>
      <c r="V1986">
        <v>1229</v>
      </c>
      <c r="W1986">
        <v>7717</v>
      </c>
      <c r="X1986">
        <v>910</v>
      </c>
      <c r="Y1986">
        <f t="shared" si="30"/>
        <v>7717</v>
      </c>
      <c r="Z1986" t="str">
        <f>IF(ISNUMBER(SEARCH("Adjustment",$C1986)),"excluded",IF($H1986="Behind the Meter","excluded",IF(NOT(OR($E1986="Bundled",$E1986="Energy")),"excluded",IF(OR($H1986="Retail Power Marketer",$H1986="Community Choice Aggregator",$E1986="Energy"),"procurement",IF(OR($H1986="Municipal",$H1986="Cooperative",$H1986="Federal",$H1986="State",$H1986="Political Subdivision"),"cost_service",IF($H1986="Investor Owned",IF(AND(COUNTIF(Parameters!$A$4:$A$33,$G1986)&gt;0,COUNTIF(Parameters!$B$4:$B$33,$B1986)=0),"procurement","cost_service"),"unclassified"))))))</f>
        <v>procurement</v>
      </c>
    </row>
    <row r="1987" spans="1:26" x14ac:dyDescent="0.25">
      <c r="A1987">
        <v>2024</v>
      </c>
      <c r="B1987">
        <v>59310</v>
      </c>
      <c r="C1987" t="s">
        <v>1543</v>
      </c>
      <c r="D1987" t="s">
        <v>99</v>
      </c>
      <c r="E1987" t="s">
        <v>100</v>
      </c>
      <c r="F1987" t="s">
        <v>86</v>
      </c>
      <c r="G1987" t="s">
        <v>44</v>
      </c>
      <c r="H1987" t="s">
        <v>101</v>
      </c>
      <c r="I1987" t="s">
        <v>92</v>
      </c>
      <c r="J1987">
        <v>4547.8</v>
      </c>
      <c r="K1987">
        <v>35787</v>
      </c>
      <c r="L1987">
        <v>3555</v>
      </c>
      <c r="M1987">
        <v>9.6999999999999993</v>
      </c>
      <c r="N1987">
        <v>61</v>
      </c>
      <c r="O1987">
        <v>6</v>
      </c>
      <c r="P1987" t="s">
        <v>97</v>
      </c>
      <c r="Q1987" t="s">
        <v>97</v>
      </c>
      <c r="R1987" t="s">
        <v>97</v>
      </c>
      <c r="S1987" t="s">
        <v>97</v>
      </c>
      <c r="T1987" t="s">
        <v>97</v>
      </c>
      <c r="U1987" t="s">
        <v>97</v>
      </c>
      <c r="V1987">
        <v>4557.5</v>
      </c>
      <c r="W1987">
        <v>35848</v>
      </c>
      <c r="X1987">
        <v>3561</v>
      </c>
      <c r="Y1987">
        <f t="shared" si="30"/>
        <v>35848</v>
      </c>
      <c r="Z1987" t="str">
        <f>IF(ISNUMBER(SEARCH("Adjustment",$C1987)),"excluded",IF($H1987="Behind the Meter","excluded",IF(NOT(OR($E1987="Bundled",$E1987="Energy")),"excluded",IF(OR($H1987="Retail Power Marketer",$H1987="Community Choice Aggregator",$E1987="Energy"),"procurement",IF(OR($H1987="Municipal",$H1987="Cooperative",$H1987="Federal",$H1987="State",$H1987="Political Subdivision"),"cost_service",IF($H1987="Investor Owned",IF(AND(COUNTIF(Parameters!$A$4:$A$33,$G1987)&gt;0,COUNTIF(Parameters!$B$4:$B$33,$B1987)=0),"procurement","cost_service"),"unclassified"))))))</f>
        <v>procurement</v>
      </c>
    </row>
    <row r="1988" spans="1:26" x14ac:dyDescent="0.25">
      <c r="A1988">
        <v>2024</v>
      </c>
      <c r="B1988">
        <v>59310</v>
      </c>
      <c r="C1988" t="s">
        <v>1543</v>
      </c>
      <c r="D1988" t="s">
        <v>99</v>
      </c>
      <c r="E1988" t="s">
        <v>100</v>
      </c>
      <c r="F1988" t="s">
        <v>86</v>
      </c>
      <c r="G1988" t="s">
        <v>46</v>
      </c>
      <c r="H1988" t="s">
        <v>101</v>
      </c>
      <c r="I1988" t="s">
        <v>92</v>
      </c>
      <c r="J1988">
        <v>8464.5</v>
      </c>
      <c r="K1988">
        <v>65044</v>
      </c>
      <c r="L1988">
        <v>8052</v>
      </c>
      <c r="M1988" t="s">
        <v>97</v>
      </c>
      <c r="N1988" t="s">
        <v>97</v>
      </c>
      <c r="O1988" t="s">
        <v>97</v>
      </c>
      <c r="P1988" t="s">
        <v>97</v>
      </c>
      <c r="Q1988" t="s">
        <v>97</v>
      </c>
      <c r="R1988" t="s">
        <v>97</v>
      </c>
      <c r="S1988" t="s">
        <v>97</v>
      </c>
      <c r="T1988" t="s">
        <v>97</v>
      </c>
      <c r="U1988" t="s">
        <v>97</v>
      </c>
      <c r="V1988">
        <v>8464.5</v>
      </c>
      <c r="W1988">
        <v>65044</v>
      </c>
      <c r="X1988">
        <v>8052</v>
      </c>
      <c r="Y1988">
        <f t="shared" ref="Y1988:Y2051" si="31">IF(ISNUMBER($W1988),$W1988,0)</f>
        <v>65044</v>
      </c>
      <c r="Z1988" t="str">
        <f>IF(ISNUMBER(SEARCH("Adjustment",$C1988)),"excluded",IF($H1988="Behind the Meter","excluded",IF(NOT(OR($E1988="Bundled",$E1988="Energy")),"excluded",IF(OR($H1988="Retail Power Marketer",$H1988="Community Choice Aggregator",$E1988="Energy"),"procurement",IF(OR($H1988="Municipal",$H1988="Cooperative",$H1988="Federal",$H1988="State",$H1988="Political Subdivision"),"cost_service",IF($H1988="Investor Owned",IF(AND(COUNTIF(Parameters!$A$4:$A$33,$G1988)&gt;0,COUNTIF(Parameters!$B$4:$B$33,$B1988)=0),"procurement","cost_service"),"unclassified"))))))</f>
        <v>procurement</v>
      </c>
    </row>
    <row r="1989" spans="1:26" x14ac:dyDescent="0.25">
      <c r="A1989">
        <v>2024</v>
      </c>
      <c r="B1989">
        <v>59310</v>
      </c>
      <c r="C1989" t="s">
        <v>1543</v>
      </c>
      <c r="D1989" t="s">
        <v>99</v>
      </c>
      <c r="E1989" t="s">
        <v>100</v>
      </c>
      <c r="F1989" t="s">
        <v>86</v>
      </c>
      <c r="G1989" t="s">
        <v>48</v>
      </c>
      <c r="H1989" t="s">
        <v>101</v>
      </c>
      <c r="I1989" t="s">
        <v>189</v>
      </c>
      <c r="J1989">
        <v>90452.4</v>
      </c>
      <c r="K1989">
        <v>454530</v>
      </c>
      <c r="L1989">
        <v>63980</v>
      </c>
      <c r="M1989">
        <v>1765.8</v>
      </c>
      <c r="N1989">
        <v>11938</v>
      </c>
      <c r="O1989">
        <v>454</v>
      </c>
      <c r="P1989" t="s">
        <v>97</v>
      </c>
      <c r="Q1989" t="s">
        <v>97</v>
      </c>
      <c r="R1989" t="s">
        <v>97</v>
      </c>
      <c r="S1989" t="s">
        <v>97</v>
      </c>
      <c r="T1989" t="s">
        <v>97</v>
      </c>
      <c r="U1989" t="s">
        <v>97</v>
      </c>
      <c r="V1989">
        <v>92218.2</v>
      </c>
      <c r="W1989">
        <v>466468</v>
      </c>
      <c r="X1989">
        <v>64434</v>
      </c>
      <c r="Y1989">
        <f t="shared" si="31"/>
        <v>466468</v>
      </c>
      <c r="Z1989" t="str">
        <f>IF(ISNUMBER(SEARCH("Adjustment",$C1989)),"excluded",IF($H1989="Behind the Meter","excluded",IF(NOT(OR($E1989="Bundled",$E1989="Energy")),"excluded",IF(OR($H1989="Retail Power Marketer",$H1989="Community Choice Aggregator",$E1989="Energy"),"procurement",IF(OR($H1989="Municipal",$H1989="Cooperative",$H1989="Federal",$H1989="State",$H1989="Political Subdivision"),"cost_service",IF($H1989="Investor Owned",IF(AND(COUNTIF(Parameters!$A$4:$A$33,$G1989)&gt;0,COUNTIF(Parameters!$B$4:$B$33,$B1989)=0),"procurement","cost_service"),"unclassified"))))))</f>
        <v>procurement</v>
      </c>
    </row>
    <row r="1990" spans="1:26" x14ac:dyDescent="0.25">
      <c r="A1990">
        <v>2024</v>
      </c>
      <c r="B1990">
        <v>59310</v>
      </c>
      <c r="C1990" t="s">
        <v>1543</v>
      </c>
      <c r="D1990" t="s">
        <v>99</v>
      </c>
      <c r="E1990" t="s">
        <v>100</v>
      </c>
      <c r="F1990" t="s">
        <v>86</v>
      </c>
      <c r="G1990" t="s">
        <v>49</v>
      </c>
      <c r="H1990" t="s">
        <v>101</v>
      </c>
      <c r="I1990" t="s">
        <v>92</v>
      </c>
      <c r="J1990">
        <v>41728.6</v>
      </c>
      <c r="K1990">
        <v>269764</v>
      </c>
      <c r="L1990">
        <v>25372</v>
      </c>
      <c r="M1990">
        <v>352</v>
      </c>
      <c r="N1990">
        <v>2167</v>
      </c>
      <c r="O1990">
        <v>107</v>
      </c>
      <c r="P1990" t="s">
        <v>97</v>
      </c>
      <c r="Q1990" t="s">
        <v>97</v>
      </c>
      <c r="R1990" t="s">
        <v>97</v>
      </c>
      <c r="S1990" t="s">
        <v>97</v>
      </c>
      <c r="T1990" t="s">
        <v>97</v>
      </c>
      <c r="U1990" t="s">
        <v>97</v>
      </c>
      <c r="V1990">
        <v>42080.6</v>
      </c>
      <c r="W1990">
        <v>271931</v>
      </c>
      <c r="X1990">
        <v>25479</v>
      </c>
      <c r="Y1990">
        <f t="shared" si="31"/>
        <v>271931</v>
      </c>
      <c r="Z1990" t="str">
        <f>IF(ISNUMBER(SEARCH("Adjustment",$C1990)),"excluded",IF($H1990="Behind the Meter","excluded",IF(NOT(OR($E1990="Bundled",$E1990="Energy")),"excluded",IF(OR($H1990="Retail Power Marketer",$H1990="Community Choice Aggregator",$E1990="Energy"),"procurement",IF(OR($H1990="Municipal",$H1990="Cooperative",$H1990="Federal",$H1990="State",$H1990="Political Subdivision"),"cost_service",IF($H1990="Investor Owned",IF(AND(COUNTIF(Parameters!$A$4:$A$33,$G1990)&gt;0,COUNTIF(Parameters!$B$4:$B$33,$B1990)=0),"procurement","cost_service"),"unclassified"))))))</f>
        <v>procurement</v>
      </c>
    </row>
    <row r="1991" spans="1:26" x14ac:dyDescent="0.25">
      <c r="A1991">
        <v>2024</v>
      </c>
      <c r="B1991">
        <v>59310</v>
      </c>
      <c r="C1991" t="s">
        <v>1543</v>
      </c>
      <c r="D1991" t="s">
        <v>99</v>
      </c>
      <c r="E1991" t="s">
        <v>100</v>
      </c>
      <c r="F1991" t="s">
        <v>86</v>
      </c>
      <c r="G1991" t="s">
        <v>52</v>
      </c>
      <c r="H1991" t="s">
        <v>101</v>
      </c>
      <c r="I1991" t="s">
        <v>92</v>
      </c>
      <c r="J1991">
        <v>38164.199999999997</v>
      </c>
      <c r="K1991">
        <v>189513</v>
      </c>
      <c r="L1991">
        <v>26530</v>
      </c>
      <c r="M1991">
        <v>106.4</v>
      </c>
      <c r="N1991">
        <v>548</v>
      </c>
      <c r="O1991">
        <v>40</v>
      </c>
      <c r="P1991" t="s">
        <v>97</v>
      </c>
      <c r="Q1991" t="s">
        <v>97</v>
      </c>
      <c r="R1991" t="s">
        <v>97</v>
      </c>
      <c r="S1991" t="s">
        <v>97</v>
      </c>
      <c r="T1991" t="s">
        <v>97</v>
      </c>
      <c r="U1991" t="s">
        <v>97</v>
      </c>
      <c r="V1991">
        <v>38270.6</v>
      </c>
      <c r="W1991">
        <v>190061</v>
      </c>
      <c r="X1991">
        <v>26570</v>
      </c>
      <c r="Y1991">
        <f t="shared" si="31"/>
        <v>190061</v>
      </c>
      <c r="Z1991" t="str">
        <f>IF(ISNUMBER(SEARCH("Adjustment",$C1991)),"excluded",IF($H1991="Behind the Meter","excluded",IF(NOT(OR($E1991="Bundled",$E1991="Energy")),"excluded",IF(OR($H1991="Retail Power Marketer",$H1991="Community Choice Aggregator",$E1991="Energy"),"procurement",IF(OR($H1991="Municipal",$H1991="Cooperative",$H1991="Federal",$H1991="State",$H1991="Political Subdivision"),"cost_service",IF($H1991="Investor Owned",IF(AND(COUNTIF(Parameters!$A$4:$A$33,$G1991)&gt;0,COUNTIF(Parameters!$B$4:$B$33,$B1991)=0),"procurement","cost_service"),"unclassified"))))))</f>
        <v>procurement</v>
      </c>
    </row>
    <row r="1992" spans="1:26" x14ac:dyDescent="0.25">
      <c r="A1992">
        <v>2024</v>
      </c>
      <c r="B1992">
        <v>59310</v>
      </c>
      <c r="C1992" t="s">
        <v>1543</v>
      </c>
      <c r="D1992" t="s">
        <v>99</v>
      </c>
      <c r="E1992" t="s">
        <v>100</v>
      </c>
      <c r="F1992" t="s">
        <v>86</v>
      </c>
      <c r="G1992" t="s">
        <v>53</v>
      </c>
      <c r="H1992" t="s">
        <v>101</v>
      </c>
      <c r="I1992" t="s">
        <v>102</v>
      </c>
      <c r="J1992">
        <v>32999.4</v>
      </c>
      <c r="K1992">
        <v>220161</v>
      </c>
      <c r="L1992">
        <v>28120</v>
      </c>
      <c r="M1992">
        <v>15.3</v>
      </c>
      <c r="N1992">
        <v>58</v>
      </c>
      <c r="O1992">
        <v>2</v>
      </c>
      <c r="P1992" t="s">
        <v>97</v>
      </c>
      <c r="Q1992" t="s">
        <v>97</v>
      </c>
      <c r="R1992" t="s">
        <v>97</v>
      </c>
      <c r="S1992" t="s">
        <v>97</v>
      </c>
      <c r="T1992" t="s">
        <v>97</v>
      </c>
      <c r="U1992" t="s">
        <v>97</v>
      </c>
      <c r="V1992">
        <v>33014.699999999997</v>
      </c>
      <c r="W1992">
        <v>220219</v>
      </c>
      <c r="X1992">
        <v>28122</v>
      </c>
      <c r="Y1992">
        <f t="shared" si="31"/>
        <v>220219</v>
      </c>
      <c r="Z1992" t="str">
        <f>IF(ISNUMBER(SEARCH("Adjustment",$C1992)),"excluded",IF($H1992="Behind the Meter","excluded",IF(NOT(OR($E1992="Bundled",$E1992="Energy")),"excluded",IF(OR($H1992="Retail Power Marketer",$H1992="Community Choice Aggregator",$E1992="Energy"),"procurement",IF(OR($H1992="Municipal",$H1992="Cooperative",$H1992="Federal",$H1992="State",$H1992="Political Subdivision"),"cost_service",IF($H1992="Investor Owned",IF(AND(COUNTIF(Parameters!$A$4:$A$33,$G1992)&gt;0,COUNTIF(Parameters!$B$4:$B$33,$B1992)=0),"procurement","cost_service"),"unclassified"))))))</f>
        <v>procurement</v>
      </c>
    </row>
    <row r="1993" spans="1:26" x14ac:dyDescent="0.25">
      <c r="A1993">
        <v>2024</v>
      </c>
      <c r="B1993">
        <v>59310</v>
      </c>
      <c r="C1993" t="s">
        <v>1543</v>
      </c>
      <c r="D1993" t="s">
        <v>99</v>
      </c>
      <c r="E1993" t="s">
        <v>100</v>
      </c>
      <c r="F1993" t="s">
        <v>86</v>
      </c>
      <c r="G1993" t="s">
        <v>54</v>
      </c>
      <c r="H1993" t="s">
        <v>101</v>
      </c>
      <c r="I1993" t="s">
        <v>92</v>
      </c>
      <c r="J1993">
        <v>38113.9</v>
      </c>
      <c r="K1993">
        <v>279573</v>
      </c>
      <c r="L1993">
        <v>35488</v>
      </c>
      <c r="M1993">
        <v>124.8</v>
      </c>
      <c r="N1993">
        <v>1055</v>
      </c>
      <c r="O1993">
        <v>88</v>
      </c>
      <c r="P1993" t="s">
        <v>97</v>
      </c>
      <c r="Q1993" t="s">
        <v>97</v>
      </c>
      <c r="R1993" t="s">
        <v>97</v>
      </c>
      <c r="S1993" t="s">
        <v>97</v>
      </c>
      <c r="T1993" t="s">
        <v>97</v>
      </c>
      <c r="U1993" t="s">
        <v>97</v>
      </c>
      <c r="V1993">
        <v>38238.699999999997</v>
      </c>
      <c r="W1993">
        <v>280628</v>
      </c>
      <c r="X1993">
        <v>35576</v>
      </c>
      <c r="Y1993">
        <f t="shared" si="31"/>
        <v>280628</v>
      </c>
      <c r="Z1993" t="str">
        <f>IF(ISNUMBER(SEARCH("Adjustment",$C1993)),"excluded",IF($H1993="Behind the Meter","excluded",IF(NOT(OR($E1993="Bundled",$E1993="Energy")),"excluded",IF(OR($H1993="Retail Power Marketer",$H1993="Community Choice Aggregator",$E1993="Energy"),"procurement",IF(OR($H1993="Municipal",$H1993="Cooperative",$H1993="Federal",$H1993="State",$H1993="Political Subdivision"),"cost_service",IF($H1993="Investor Owned",IF(AND(COUNTIF(Parameters!$A$4:$A$33,$G1993)&gt;0,COUNTIF(Parameters!$B$4:$B$33,$B1993)=0),"procurement","cost_service"),"unclassified"))))))</f>
        <v>procurement</v>
      </c>
    </row>
    <row r="1994" spans="1:26" x14ac:dyDescent="0.25">
      <c r="A1994">
        <v>2024</v>
      </c>
      <c r="B1994">
        <v>59310</v>
      </c>
      <c r="C1994" t="s">
        <v>1543</v>
      </c>
      <c r="D1994" t="s">
        <v>99</v>
      </c>
      <c r="E1994" t="s">
        <v>100</v>
      </c>
      <c r="F1994" t="s">
        <v>86</v>
      </c>
      <c r="G1994" t="s">
        <v>55</v>
      </c>
      <c r="H1994" t="s">
        <v>101</v>
      </c>
      <c r="I1994" t="s">
        <v>92</v>
      </c>
      <c r="J1994">
        <v>120071.1</v>
      </c>
      <c r="K1994">
        <v>944862</v>
      </c>
      <c r="L1994">
        <v>89889</v>
      </c>
      <c r="M1994">
        <v>2042.4</v>
      </c>
      <c r="N1994">
        <v>15920</v>
      </c>
      <c r="O1994">
        <v>1088</v>
      </c>
      <c r="P1994" t="s">
        <v>97</v>
      </c>
      <c r="Q1994" t="s">
        <v>97</v>
      </c>
      <c r="R1994" t="s">
        <v>97</v>
      </c>
      <c r="S1994" t="s">
        <v>97</v>
      </c>
      <c r="T1994" t="s">
        <v>97</v>
      </c>
      <c r="U1994" t="s">
        <v>97</v>
      </c>
      <c r="V1994">
        <v>122113.5</v>
      </c>
      <c r="W1994">
        <v>960782</v>
      </c>
      <c r="X1994">
        <v>90977</v>
      </c>
      <c r="Y1994">
        <f t="shared" si="31"/>
        <v>960782</v>
      </c>
      <c r="Z1994" t="str">
        <f>IF(ISNUMBER(SEARCH("Adjustment",$C1994)),"excluded",IF($H1994="Behind the Meter","excluded",IF(NOT(OR($E1994="Bundled",$E1994="Energy")),"excluded",IF(OR($H1994="Retail Power Marketer",$H1994="Community Choice Aggregator",$E1994="Energy"),"procurement",IF(OR($H1994="Municipal",$H1994="Cooperative",$H1994="Federal",$H1994="State",$H1994="Political Subdivision"),"cost_service",IF($H1994="Investor Owned",IF(AND(COUNTIF(Parameters!$A$4:$A$33,$G1994)&gt;0,COUNTIF(Parameters!$B$4:$B$33,$B1994)=0),"procurement","cost_service"),"unclassified"))))))</f>
        <v>procurement</v>
      </c>
    </row>
    <row r="1995" spans="1:26" x14ac:dyDescent="0.25">
      <c r="A1995">
        <v>2024</v>
      </c>
      <c r="B1995">
        <v>59311</v>
      </c>
      <c r="C1995" t="s">
        <v>1544</v>
      </c>
      <c r="D1995" t="s">
        <v>99</v>
      </c>
      <c r="E1995" t="s">
        <v>100</v>
      </c>
      <c r="F1995" t="s">
        <v>86</v>
      </c>
      <c r="G1995" t="s">
        <v>54</v>
      </c>
      <c r="H1995" t="s">
        <v>101</v>
      </c>
      <c r="I1995" t="s">
        <v>92</v>
      </c>
      <c r="J1995">
        <v>12065</v>
      </c>
      <c r="K1995">
        <v>135354</v>
      </c>
      <c r="L1995">
        <v>12224</v>
      </c>
      <c r="M1995">
        <v>3739</v>
      </c>
      <c r="N1995">
        <v>40824</v>
      </c>
      <c r="O1995">
        <v>2164</v>
      </c>
      <c r="P1995">
        <v>0</v>
      </c>
      <c r="Q1995">
        <v>0</v>
      </c>
      <c r="R1995">
        <v>0</v>
      </c>
      <c r="S1995">
        <v>0</v>
      </c>
      <c r="T1995">
        <v>0</v>
      </c>
      <c r="U1995">
        <v>0</v>
      </c>
      <c r="V1995">
        <v>15804</v>
      </c>
      <c r="W1995">
        <v>176178</v>
      </c>
      <c r="X1995">
        <v>14388</v>
      </c>
      <c r="Y1995">
        <f t="shared" si="31"/>
        <v>176178</v>
      </c>
      <c r="Z1995" t="str">
        <f>IF(ISNUMBER(SEARCH("Adjustment",$C1995)),"excluded",IF($H1995="Behind the Meter","excluded",IF(NOT(OR($E1995="Bundled",$E1995="Energy")),"excluded",IF(OR($H1995="Retail Power Marketer",$H1995="Community Choice Aggregator",$E1995="Energy"),"procurement",IF(OR($H1995="Municipal",$H1995="Cooperative",$H1995="Federal",$H1995="State",$H1995="Political Subdivision"),"cost_service",IF($H1995="Investor Owned",IF(AND(COUNTIF(Parameters!$A$4:$A$33,$G1995)&gt;0,COUNTIF(Parameters!$B$4:$B$33,$B1995)=0),"procurement","cost_service"),"unclassified"))))))</f>
        <v>procurement</v>
      </c>
    </row>
    <row r="1996" spans="1:26" x14ac:dyDescent="0.25">
      <c r="A1996">
        <v>2024</v>
      </c>
      <c r="B1996">
        <v>59312</v>
      </c>
      <c r="C1996" t="s">
        <v>1545</v>
      </c>
      <c r="D1996" t="s">
        <v>99</v>
      </c>
      <c r="E1996" t="s">
        <v>100</v>
      </c>
      <c r="F1996" t="s">
        <v>86</v>
      </c>
      <c r="G1996" t="s">
        <v>42</v>
      </c>
      <c r="H1996" t="s">
        <v>101</v>
      </c>
      <c r="I1996" t="s">
        <v>92</v>
      </c>
      <c r="J1996">
        <v>768</v>
      </c>
      <c r="K1996">
        <v>4708</v>
      </c>
      <c r="L1996">
        <v>623</v>
      </c>
      <c r="M1996">
        <v>412</v>
      </c>
      <c r="N1996">
        <v>2504</v>
      </c>
      <c r="O1996">
        <v>353</v>
      </c>
      <c r="P1996">
        <v>0</v>
      </c>
      <c r="Q1996">
        <v>0</v>
      </c>
      <c r="R1996">
        <v>0</v>
      </c>
      <c r="S1996">
        <v>0</v>
      </c>
      <c r="T1996">
        <v>0</v>
      </c>
      <c r="U1996">
        <v>0</v>
      </c>
      <c r="V1996">
        <v>1180</v>
      </c>
      <c r="W1996">
        <v>7212</v>
      </c>
      <c r="X1996">
        <v>976</v>
      </c>
      <c r="Y1996">
        <f t="shared" si="31"/>
        <v>7212</v>
      </c>
      <c r="Z1996" t="str">
        <f>IF(ISNUMBER(SEARCH("Adjustment",$C1996)),"excluded",IF($H1996="Behind the Meter","excluded",IF(NOT(OR($E1996="Bundled",$E1996="Energy")),"excluded",IF(OR($H1996="Retail Power Marketer",$H1996="Community Choice Aggregator",$E1996="Energy"),"procurement",IF(OR($H1996="Municipal",$H1996="Cooperative",$H1996="Federal",$H1996="State",$H1996="Political Subdivision"),"cost_service",IF($H1996="Investor Owned",IF(AND(COUNTIF(Parameters!$A$4:$A$33,$G1996)&gt;0,COUNTIF(Parameters!$B$4:$B$33,$B1996)=0),"procurement","cost_service"),"unclassified"))))))</f>
        <v>procurement</v>
      </c>
    </row>
    <row r="1997" spans="1:26" x14ac:dyDescent="0.25">
      <c r="A1997">
        <v>2024</v>
      </c>
      <c r="B1997">
        <v>59313</v>
      </c>
      <c r="C1997" t="s">
        <v>1546</v>
      </c>
      <c r="D1997" t="s">
        <v>99</v>
      </c>
      <c r="E1997" t="s">
        <v>100</v>
      </c>
      <c r="F1997" t="s">
        <v>86</v>
      </c>
      <c r="G1997" t="s">
        <v>48</v>
      </c>
      <c r="H1997" t="s">
        <v>101</v>
      </c>
      <c r="I1997" t="s">
        <v>189</v>
      </c>
      <c r="J1997">
        <v>7873.7</v>
      </c>
      <c r="K1997">
        <v>30853</v>
      </c>
      <c r="L1997">
        <v>7016</v>
      </c>
      <c r="M1997">
        <v>164.6</v>
      </c>
      <c r="N1997">
        <v>842</v>
      </c>
      <c r="O1997">
        <v>134</v>
      </c>
      <c r="P1997">
        <v>0</v>
      </c>
      <c r="Q1997">
        <v>0</v>
      </c>
      <c r="R1997">
        <v>0</v>
      </c>
      <c r="S1997">
        <v>0</v>
      </c>
      <c r="T1997">
        <v>0</v>
      </c>
      <c r="U1997">
        <v>0</v>
      </c>
      <c r="V1997">
        <v>8038.3</v>
      </c>
      <c r="W1997">
        <v>31695</v>
      </c>
      <c r="X1997">
        <v>7150</v>
      </c>
      <c r="Y1997">
        <f t="shared" si="31"/>
        <v>31695</v>
      </c>
      <c r="Z1997" t="str">
        <f>IF(ISNUMBER(SEARCH("Adjustment",$C1997)),"excluded",IF($H1997="Behind the Meter","excluded",IF(NOT(OR($E1997="Bundled",$E1997="Energy")),"excluded",IF(OR($H1997="Retail Power Marketer",$H1997="Community Choice Aggregator",$E1997="Energy"),"procurement",IF(OR($H1997="Municipal",$H1997="Cooperative",$H1997="Federal",$H1997="State",$H1997="Political Subdivision"),"cost_service",IF($H1997="Investor Owned",IF(AND(COUNTIF(Parameters!$A$4:$A$33,$G1997)&gt;0,COUNTIF(Parameters!$B$4:$B$33,$B1997)=0),"procurement","cost_service"),"unclassified"))))))</f>
        <v>procurement</v>
      </c>
    </row>
    <row r="1998" spans="1:26" x14ac:dyDescent="0.25">
      <c r="A1998">
        <v>2024</v>
      </c>
      <c r="B1998">
        <v>59385</v>
      </c>
      <c r="C1998" t="s">
        <v>1547</v>
      </c>
      <c r="D1998" t="s">
        <v>99</v>
      </c>
      <c r="E1998" t="s">
        <v>100</v>
      </c>
      <c r="F1998" t="s">
        <v>86</v>
      </c>
      <c r="G1998" t="s">
        <v>46</v>
      </c>
      <c r="H1998" t="s">
        <v>101</v>
      </c>
      <c r="I1998" t="s">
        <v>92</v>
      </c>
      <c r="J1998">
        <v>21677.5</v>
      </c>
      <c r="K1998">
        <v>323408</v>
      </c>
      <c r="L1998">
        <v>33305</v>
      </c>
      <c r="M1998">
        <v>239873.3</v>
      </c>
      <c r="N1998">
        <v>3874703</v>
      </c>
      <c r="O1998">
        <v>3158</v>
      </c>
      <c r="P1998">
        <v>3266.5</v>
      </c>
      <c r="Q1998">
        <v>53827</v>
      </c>
      <c r="R1998">
        <v>24</v>
      </c>
      <c r="S1998">
        <v>16714</v>
      </c>
      <c r="T1998">
        <v>351103</v>
      </c>
      <c r="U1998">
        <v>1</v>
      </c>
      <c r="V1998">
        <v>281531.3</v>
      </c>
      <c r="W1998">
        <v>4603041</v>
      </c>
      <c r="X1998">
        <v>36488</v>
      </c>
      <c r="Y1998">
        <f t="shared" si="31"/>
        <v>4603041</v>
      </c>
      <c r="Z1998" t="str">
        <f>IF(ISNUMBER(SEARCH("Adjustment",$C1998)),"excluded",IF($H1998="Behind the Meter","excluded",IF(NOT(OR($E1998="Bundled",$E1998="Energy")),"excluded",IF(OR($H1998="Retail Power Marketer",$H1998="Community Choice Aggregator",$E1998="Energy"),"procurement",IF(OR($H1998="Municipal",$H1998="Cooperative",$H1998="Federal",$H1998="State",$H1998="Political Subdivision"),"cost_service",IF($H1998="Investor Owned",IF(AND(COUNTIF(Parameters!$A$4:$A$33,$G1998)&gt;0,COUNTIF(Parameters!$B$4:$B$33,$B1998)=0),"procurement","cost_service"),"unclassified"))))))</f>
        <v>procurement</v>
      </c>
    </row>
    <row r="1999" spans="1:26" x14ac:dyDescent="0.25">
      <c r="A1999">
        <v>2024</v>
      </c>
      <c r="B1999">
        <v>59385</v>
      </c>
      <c r="C1999" t="s">
        <v>1547</v>
      </c>
      <c r="D1999" t="s">
        <v>99</v>
      </c>
      <c r="E1999" t="s">
        <v>100</v>
      </c>
      <c r="F1999" t="s">
        <v>86</v>
      </c>
      <c r="G1999" t="s">
        <v>48</v>
      </c>
      <c r="H1999" t="s">
        <v>101</v>
      </c>
      <c r="I1999" t="s">
        <v>189</v>
      </c>
      <c r="J1999">
        <v>225775.2</v>
      </c>
      <c r="K1999">
        <v>1584702</v>
      </c>
      <c r="L1999">
        <v>189517</v>
      </c>
      <c r="M1999">
        <v>25505.8</v>
      </c>
      <c r="N1999">
        <v>179024</v>
      </c>
      <c r="O1999">
        <v>21410</v>
      </c>
      <c r="P1999">
        <v>13</v>
      </c>
      <c r="Q1999">
        <v>91</v>
      </c>
      <c r="R1999">
        <v>11</v>
      </c>
      <c r="S1999">
        <v>0</v>
      </c>
      <c r="T1999">
        <v>0</v>
      </c>
      <c r="U1999">
        <v>0</v>
      </c>
      <c r="V1999">
        <v>251294</v>
      </c>
      <c r="W1999">
        <v>1763817</v>
      </c>
      <c r="X1999">
        <v>210938</v>
      </c>
      <c r="Y1999">
        <f t="shared" si="31"/>
        <v>1763817</v>
      </c>
      <c r="Z1999" t="str">
        <f>IF(ISNUMBER(SEARCH("Adjustment",$C1999)),"excluded",IF($H1999="Behind the Meter","excluded",IF(NOT(OR($E1999="Bundled",$E1999="Energy")),"excluded",IF(OR($H1999="Retail Power Marketer",$H1999="Community Choice Aggregator",$E1999="Energy"),"procurement",IF(OR($H1999="Municipal",$H1999="Cooperative",$H1999="Federal",$H1999="State",$H1999="Political Subdivision"),"cost_service",IF($H1999="Investor Owned",IF(AND(COUNTIF(Parameters!$A$4:$A$33,$G1999)&gt;0,COUNTIF(Parameters!$B$4:$B$33,$B1999)=0),"procurement","cost_service"),"unclassified"))))))</f>
        <v>procurement</v>
      </c>
    </row>
    <row r="2000" spans="1:26" x14ac:dyDescent="0.25">
      <c r="A2000">
        <v>2024</v>
      </c>
      <c r="B2000">
        <v>59385</v>
      </c>
      <c r="C2000" t="s">
        <v>1547</v>
      </c>
      <c r="D2000" t="s">
        <v>99</v>
      </c>
      <c r="E2000" t="s">
        <v>100</v>
      </c>
      <c r="F2000" t="s">
        <v>86</v>
      </c>
      <c r="G2000" t="s">
        <v>54</v>
      </c>
      <c r="H2000" t="s">
        <v>101</v>
      </c>
      <c r="I2000" t="s">
        <v>92</v>
      </c>
      <c r="J2000">
        <v>289916.40000000002</v>
      </c>
      <c r="K2000">
        <v>4271400</v>
      </c>
      <c r="L2000">
        <v>444458</v>
      </c>
      <c r="M2000">
        <v>498670</v>
      </c>
      <c r="N2000">
        <v>9382753</v>
      </c>
      <c r="O2000">
        <v>3754</v>
      </c>
      <c r="P2000">
        <v>92566.399999999994</v>
      </c>
      <c r="Q2000">
        <v>1701807</v>
      </c>
      <c r="R2000">
        <v>97</v>
      </c>
      <c r="S2000">
        <v>0</v>
      </c>
      <c r="T2000">
        <v>0</v>
      </c>
      <c r="U2000">
        <v>0</v>
      </c>
      <c r="V2000">
        <v>881152.8</v>
      </c>
      <c r="W2000">
        <v>15355960</v>
      </c>
      <c r="X2000">
        <v>448309</v>
      </c>
      <c r="Y2000">
        <f t="shared" si="31"/>
        <v>15355960</v>
      </c>
      <c r="Z2000" t="str">
        <f>IF(ISNUMBER(SEARCH("Adjustment",$C2000)),"excluded",IF($H2000="Behind the Meter","excluded",IF(NOT(OR($E2000="Bundled",$E2000="Energy")),"excluded",IF(OR($H2000="Retail Power Marketer",$H2000="Community Choice Aggregator",$E2000="Energy"),"procurement",IF(OR($H2000="Municipal",$H2000="Cooperative",$H2000="Federal",$H2000="State",$H2000="Political Subdivision"),"cost_service",IF($H2000="Investor Owned",IF(AND(COUNTIF(Parameters!$A$4:$A$33,$G2000)&gt;0,COUNTIF(Parameters!$B$4:$B$33,$B2000)=0),"procurement","cost_service"),"unclassified"))))))</f>
        <v>procurement</v>
      </c>
    </row>
    <row r="2001" spans="1:26" x14ac:dyDescent="0.25">
      <c r="A2001">
        <v>2024</v>
      </c>
      <c r="B2001">
        <v>59385</v>
      </c>
      <c r="C2001" t="s">
        <v>1547</v>
      </c>
      <c r="D2001" t="s">
        <v>99</v>
      </c>
      <c r="E2001" t="s">
        <v>100</v>
      </c>
      <c r="F2001" t="s">
        <v>86</v>
      </c>
      <c r="G2001" t="s">
        <v>55</v>
      </c>
      <c r="H2001" t="s">
        <v>101</v>
      </c>
      <c r="I2001" t="s">
        <v>92</v>
      </c>
      <c r="J2001">
        <v>47198.7</v>
      </c>
      <c r="K2001">
        <v>509146</v>
      </c>
      <c r="L2001">
        <v>37672</v>
      </c>
      <c r="M2001">
        <v>203617.9</v>
      </c>
      <c r="N2001">
        <v>2655840</v>
      </c>
      <c r="O2001">
        <v>1921</v>
      </c>
      <c r="P2001">
        <v>960.5</v>
      </c>
      <c r="Q2001">
        <v>12528</v>
      </c>
      <c r="R2001">
        <v>9</v>
      </c>
      <c r="S2001">
        <v>0</v>
      </c>
      <c r="T2001">
        <v>0</v>
      </c>
      <c r="U2001">
        <v>0</v>
      </c>
      <c r="V2001">
        <v>251777.1</v>
      </c>
      <c r="W2001">
        <v>3177514</v>
      </c>
      <c r="X2001">
        <v>39602</v>
      </c>
      <c r="Y2001">
        <f t="shared" si="31"/>
        <v>3177514</v>
      </c>
      <c r="Z2001" t="str">
        <f>IF(ISNUMBER(SEARCH("Adjustment",$C2001)),"excluded",IF($H2001="Behind the Meter","excluded",IF(NOT(OR($E2001="Bundled",$E2001="Energy")),"excluded",IF(OR($H2001="Retail Power Marketer",$H2001="Community Choice Aggregator",$E2001="Energy"),"procurement",IF(OR($H2001="Municipal",$H2001="Cooperative",$H2001="Federal",$H2001="State",$H2001="Political Subdivision"),"cost_service",IF($H2001="Investor Owned",IF(AND(COUNTIF(Parameters!$A$4:$A$33,$G2001)&gt;0,COUNTIF(Parameters!$B$4:$B$33,$B2001)=0),"procurement","cost_service"),"unclassified"))))))</f>
        <v>procurement</v>
      </c>
    </row>
    <row r="2002" spans="1:26" x14ac:dyDescent="0.25">
      <c r="A2002">
        <v>2024</v>
      </c>
      <c r="B2002">
        <v>59410</v>
      </c>
      <c r="C2002" t="s">
        <v>1548</v>
      </c>
      <c r="D2002" t="s">
        <v>99</v>
      </c>
      <c r="E2002" t="s">
        <v>100</v>
      </c>
      <c r="F2002" t="s">
        <v>86</v>
      </c>
      <c r="G2002" t="s">
        <v>49</v>
      </c>
      <c r="H2002" t="s">
        <v>101</v>
      </c>
      <c r="I2002" t="s">
        <v>92</v>
      </c>
      <c r="J2002">
        <v>350.8</v>
      </c>
      <c r="K2002">
        <v>2502</v>
      </c>
      <c r="L2002">
        <v>213</v>
      </c>
      <c r="M2002">
        <v>4.9000000000000004</v>
      </c>
      <c r="N2002">
        <v>53</v>
      </c>
      <c r="O2002">
        <v>1</v>
      </c>
      <c r="P2002">
        <v>0</v>
      </c>
      <c r="Q2002">
        <v>0</v>
      </c>
      <c r="R2002">
        <v>0</v>
      </c>
      <c r="S2002">
        <v>0</v>
      </c>
      <c r="T2002">
        <v>0</v>
      </c>
      <c r="U2002">
        <v>0</v>
      </c>
      <c r="V2002">
        <v>355.7</v>
      </c>
      <c r="W2002">
        <v>2555</v>
      </c>
      <c r="X2002">
        <v>214</v>
      </c>
      <c r="Y2002">
        <f t="shared" si="31"/>
        <v>2555</v>
      </c>
      <c r="Z2002" t="str">
        <f>IF(ISNUMBER(SEARCH("Adjustment",$C2002)),"excluded",IF($H2002="Behind the Meter","excluded",IF(NOT(OR($E2002="Bundled",$E2002="Energy")),"excluded",IF(OR($H2002="Retail Power Marketer",$H2002="Community Choice Aggregator",$E2002="Energy"),"procurement",IF(OR($H2002="Municipal",$H2002="Cooperative",$H2002="Federal",$H2002="State",$H2002="Political Subdivision"),"cost_service",IF($H2002="Investor Owned",IF(AND(COUNTIF(Parameters!$A$4:$A$33,$G2002)&gt;0,COUNTIF(Parameters!$B$4:$B$33,$B2002)=0),"procurement","cost_service"),"unclassified"))))))</f>
        <v>procurement</v>
      </c>
    </row>
    <row r="2003" spans="1:26" x14ac:dyDescent="0.25">
      <c r="A2003">
        <v>2024</v>
      </c>
      <c r="B2003">
        <v>59410</v>
      </c>
      <c r="C2003" t="s">
        <v>1548</v>
      </c>
      <c r="D2003" t="s">
        <v>99</v>
      </c>
      <c r="E2003" t="s">
        <v>100</v>
      </c>
      <c r="F2003" t="s">
        <v>86</v>
      </c>
      <c r="G2003" t="s">
        <v>54</v>
      </c>
      <c r="H2003" t="s">
        <v>101</v>
      </c>
      <c r="I2003" t="s">
        <v>92</v>
      </c>
      <c r="J2003">
        <v>7820.2</v>
      </c>
      <c r="K2003">
        <v>115318</v>
      </c>
      <c r="L2003">
        <v>10870</v>
      </c>
      <c r="M2003">
        <v>9153.2000000000007</v>
      </c>
      <c r="N2003">
        <v>140226</v>
      </c>
      <c r="O2003">
        <v>771</v>
      </c>
      <c r="P2003">
        <v>1164.3</v>
      </c>
      <c r="Q2003">
        <v>20833</v>
      </c>
      <c r="R2003">
        <v>63</v>
      </c>
      <c r="S2003">
        <v>0</v>
      </c>
      <c r="T2003">
        <v>0</v>
      </c>
      <c r="U2003">
        <v>0</v>
      </c>
      <c r="V2003">
        <v>18137.7</v>
      </c>
      <c r="W2003">
        <v>276377</v>
      </c>
      <c r="X2003">
        <v>11704</v>
      </c>
      <c r="Y2003">
        <f t="shared" si="31"/>
        <v>276377</v>
      </c>
      <c r="Z2003" t="str">
        <f>IF(ISNUMBER(SEARCH("Adjustment",$C2003)),"excluded",IF($H2003="Behind the Meter","excluded",IF(NOT(OR($E2003="Bundled",$E2003="Energy")),"excluded",IF(OR($H2003="Retail Power Marketer",$H2003="Community Choice Aggregator",$E2003="Energy"),"procurement",IF(OR($H2003="Municipal",$H2003="Cooperative",$H2003="Federal",$H2003="State",$H2003="Political Subdivision"),"cost_service",IF($H2003="Investor Owned",IF(AND(COUNTIF(Parameters!$A$4:$A$33,$G2003)&gt;0,COUNTIF(Parameters!$B$4:$B$33,$B2003)=0),"procurement","cost_service"),"unclassified"))))))</f>
        <v>procurement</v>
      </c>
    </row>
    <row r="2004" spans="1:26" x14ac:dyDescent="0.25">
      <c r="A2004">
        <v>2024</v>
      </c>
      <c r="B2004">
        <v>59410</v>
      </c>
      <c r="C2004" t="s">
        <v>1548</v>
      </c>
      <c r="D2004" t="s">
        <v>99</v>
      </c>
      <c r="E2004" t="s">
        <v>100</v>
      </c>
      <c r="F2004" t="s">
        <v>86</v>
      </c>
      <c r="G2004" t="s">
        <v>55</v>
      </c>
      <c r="H2004" t="s">
        <v>101</v>
      </c>
      <c r="I2004" t="s">
        <v>92</v>
      </c>
      <c r="J2004">
        <v>11531.1</v>
      </c>
      <c r="K2004">
        <v>101932</v>
      </c>
      <c r="L2004">
        <v>9886</v>
      </c>
      <c r="M2004">
        <v>2839.3</v>
      </c>
      <c r="N2004">
        <v>34098</v>
      </c>
      <c r="O2004">
        <v>587</v>
      </c>
      <c r="P2004">
        <v>0</v>
      </c>
      <c r="Q2004">
        <v>0</v>
      </c>
      <c r="R2004">
        <v>0</v>
      </c>
      <c r="S2004">
        <v>0</v>
      </c>
      <c r="T2004">
        <v>0</v>
      </c>
      <c r="U2004">
        <v>0</v>
      </c>
      <c r="V2004">
        <v>14370.4</v>
      </c>
      <c r="W2004">
        <v>136030</v>
      </c>
      <c r="X2004">
        <v>10473</v>
      </c>
      <c r="Y2004">
        <f t="shared" si="31"/>
        <v>136030</v>
      </c>
      <c r="Z2004" t="str">
        <f>IF(ISNUMBER(SEARCH("Adjustment",$C2004)),"excluded",IF($H2004="Behind the Meter","excluded",IF(NOT(OR($E2004="Bundled",$E2004="Energy")),"excluded",IF(OR($H2004="Retail Power Marketer",$H2004="Community Choice Aggregator",$E2004="Energy"),"procurement",IF(OR($H2004="Municipal",$H2004="Cooperative",$H2004="Federal",$H2004="State",$H2004="Political Subdivision"),"cost_service",IF($H2004="Investor Owned",IF(AND(COUNTIF(Parameters!$A$4:$A$33,$G2004)&gt;0,COUNTIF(Parameters!$B$4:$B$33,$B2004)=0),"procurement","cost_service"),"unclassified"))))))</f>
        <v>procurement</v>
      </c>
    </row>
    <row r="2005" spans="1:26" x14ac:dyDescent="0.25">
      <c r="A2005">
        <v>2024</v>
      </c>
      <c r="B2005">
        <v>59505</v>
      </c>
      <c r="C2005" t="s">
        <v>1549</v>
      </c>
      <c r="D2005" t="s">
        <v>84</v>
      </c>
      <c r="E2005" t="s">
        <v>85</v>
      </c>
      <c r="F2005" t="s">
        <v>86</v>
      </c>
      <c r="G2005" t="s">
        <v>130</v>
      </c>
      <c r="H2005" t="s">
        <v>91</v>
      </c>
      <c r="I2005" t="s">
        <v>92</v>
      </c>
      <c r="J2005">
        <v>38024</v>
      </c>
      <c r="K2005">
        <v>258329</v>
      </c>
      <c r="L2005">
        <v>18013</v>
      </c>
      <c r="M2005">
        <v>22707</v>
      </c>
      <c r="N2005">
        <v>177748</v>
      </c>
      <c r="O2005">
        <v>467</v>
      </c>
      <c r="P2005">
        <v>21479</v>
      </c>
      <c r="Q2005">
        <v>239060</v>
      </c>
      <c r="R2005">
        <v>7</v>
      </c>
      <c r="S2005" t="s">
        <v>97</v>
      </c>
      <c r="T2005" t="s">
        <v>97</v>
      </c>
      <c r="U2005" t="s">
        <v>97</v>
      </c>
      <c r="V2005">
        <v>82210</v>
      </c>
      <c r="W2005">
        <v>675137</v>
      </c>
      <c r="X2005">
        <v>18487</v>
      </c>
      <c r="Y2005">
        <f t="shared" si="31"/>
        <v>675137</v>
      </c>
      <c r="Z2005" t="str">
        <f>IF(ISNUMBER(SEARCH("Adjustment",$C2005)),"excluded",IF($H2005="Behind the Meter","excluded",IF(NOT(OR($E2005="Bundled",$E2005="Energy")),"excluded",IF(OR($H2005="Retail Power Marketer",$H2005="Community Choice Aggregator",$E2005="Energy"),"procurement",IF(OR($H2005="Municipal",$H2005="Cooperative",$H2005="Federal",$H2005="State",$H2005="Political Subdivision"),"cost_service",IF($H2005="Investor Owned",IF(AND(COUNTIF(Parameters!$A$4:$A$33,$G2005)&gt;0,COUNTIF(Parameters!$B$4:$B$33,$B2005)=0),"procurement","cost_service"),"unclassified"))))))</f>
        <v>cost_service</v>
      </c>
    </row>
    <row r="2006" spans="1:26" x14ac:dyDescent="0.25">
      <c r="A2006">
        <v>2024</v>
      </c>
      <c r="B2006">
        <v>59579</v>
      </c>
      <c r="C2006" t="s">
        <v>1550</v>
      </c>
      <c r="D2006" t="s">
        <v>84</v>
      </c>
      <c r="E2006" t="s">
        <v>85</v>
      </c>
      <c r="F2006" t="s">
        <v>86</v>
      </c>
      <c r="G2006" t="s">
        <v>173</v>
      </c>
      <c r="H2006" t="s">
        <v>1475</v>
      </c>
      <c r="I2006" t="s">
        <v>96</v>
      </c>
      <c r="J2006">
        <v>10</v>
      </c>
      <c r="K2006">
        <v>34</v>
      </c>
      <c r="L2006">
        <v>19</v>
      </c>
      <c r="M2006" t="s">
        <v>97</v>
      </c>
      <c r="N2006" t="s">
        <v>97</v>
      </c>
      <c r="O2006" t="s">
        <v>97</v>
      </c>
      <c r="P2006" t="s">
        <v>97</v>
      </c>
      <c r="Q2006" t="s">
        <v>97</v>
      </c>
      <c r="R2006" t="s">
        <v>97</v>
      </c>
      <c r="S2006" t="s">
        <v>97</v>
      </c>
      <c r="T2006" t="s">
        <v>97</v>
      </c>
      <c r="U2006" t="s">
        <v>97</v>
      </c>
      <c r="V2006">
        <v>10</v>
      </c>
      <c r="W2006">
        <v>34</v>
      </c>
      <c r="X2006">
        <v>19</v>
      </c>
      <c r="Y2006">
        <f t="shared" si="31"/>
        <v>34</v>
      </c>
      <c r="Z2006" t="str">
        <f>IF(ISNUMBER(SEARCH("Adjustment",$C2006)),"excluded",IF($H2006="Behind the Meter","excluded",IF(NOT(OR($E2006="Bundled",$E2006="Energy")),"excluded",IF(OR($H2006="Retail Power Marketer",$H2006="Community Choice Aggregator",$E2006="Energy"),"procurement",IF(OR($H2006="Municipal",$H2006="Cooperative",$H2006="Federal",$H2006="State",$H2006="Political Subdivision"),"cost_service",IF($H2006="Investor Owned",IF(AND(COUNTIF(Parameters!$A$4:$A$33,$G2006)&gt;0,COUNTIF(Parameters!$B$4:$B$33,$B2006)=0),"procurement","cost_service"),"unclassified"))))))</f>
        <v>excluded</v>
      </c>
    </row>
    <row r="2007" spans="1:26" x14ac:dyDescent="0.25">
      <c r="A2007">
        <v>2024</v>
      </c>
      <c r="B2007">
        <v>59579</v>
      </c>
      <c r="C2007" t="s">
        <v>1550</v>
      </c>
      <c r="D2007" t="s">
        <v>84</v>
      </c>
      <c r="E2007" t="s">
        <v>85</v>
      </c>
      <c r="F2007" t="s">
        <v>86</v>
      </c>
      <c r="G2007" t="s">
        <v>173</v>
      </c>
      <c r="H2007" t="s">
        <v>1475</v>
      </c>
      <c r="I2007" t="s">
        <v>135</v>
      </c>
      <c r="J2007">
        <v>2.7</v>
      </c>
      <c r="K2007">
        <v>9</v>
      </c>
      <c r="L2007">
        <v>11</v>
      </c>
      <c r="M2007" t="s">
        <v>97</v>
      </c>
      <c r="N2007" t="s">
        <v>97</v>
      </c>
      <c r="O2007" t="s">
        <v>97</v>
      </c>
      <c r="P2007" t="s">
        <v>97</v>
      </c>
      <c r="Q2007" t="s">
        <v>97</v>
      </c>
      <c r="R2007" t="s">
        <v>97</v>
      </c>
      <c r="S2007" t="s">
        <v>97</v>
      </c>
      <c r="T2007" t="s">
        <v>97</v>
      </c>
      <c r="U2007" t="s">
        <v>97</v>
      </c>
      <c r="V2007">
        <v>2.7</v>
      </c>
      <c r="W2007">
        <v>9</v>
      </c>
      <c r="X2007">
        <v>11</v>
      </c>
      <c r="Y2007">
        <f t="shared" si="31"/>
        <v>9</v>
      </c>
      <c r="Z2007" t="str">
        <f>IF(ISNUMBER(SEARCH("Adjustment",$C2007)),"excluded",IF($H2007="Behind the Meter","excluded",IF(NOT(OR($E2007="Bundled",$E2007="Energy")),"excluded",IF(OR($H2007="Retail Power Marketer",$H2007="Community Choice Aggregator",$E2007="Energy"),"procurement",IF(OR($H2007="Municipal",$H2007="Cooperative",$H2007="Federal",$H2007="State",$H2007="Political Subdivision"),"cost_service",IF($H2007="Investor Owned",IF(AND(COUNTIF(Parameters!$A$4:$A$33,$G2007)&gt;0,COUNTIF(Parameters!$B$4:$B$33,$B2007)=0),"procurement","cost_service"),"unclassified"))))))</f>
        <v>excluded</v>
      </c>
    </row>
    <row r="2008" spans="1:26" x14ac:dyDescent="0.25">
      <c r="A2008">
        <v>2024</v>
      </c>
      <c r="B2008">
        <v>59579</v>
      </c>
      <c r="C2008" t="s">
        <v>1550</v>
      </c>
      <c r="D2008" t="s">
        <v>84</v>
      </c>
      <c r="E2008" t="s">
        <v>85</v>
      </c>
      <c r="F2008" t="s">
        <v>86</v>
      </c>
      <c r="G2008" t="s">
        <v>108</v>
      </c>
      <c r="H2008" t="s">
        <v>1475</v>
      </c>
      <c r="I2008" t="s">
        <v>110</v>
      </c>
      <c r="J2008">
        <v>6631.4</v>
      </c>
      <c r="K2008">
        <v>36854</v>
      </c>
      <c r="L2008">
        <v>2935</v>
      </c>
      <c r="M2008" t="s">
        <v>97</v>
      </c>
      <c r="N2008" t="s">
        <v>97</v>
      </c>
      <c r="O2008" t="s">
        <v>97</v>
      </c>
      <c r="P2008" t="s">
        <v>97</v>
      </c>
      <c r="Q2008" t="s">
        <v>97</v>
      </c>
      <c r="R2008" t="s">
        <v>97</v>
      </c>
      <c r="S2008" t="s">
        <v>97</v>
      </c>
      <c r="T2008" t="s">
        <v>97</v>
      </c>
      <c r="U2008" t="s">
        <v>97</v>
      </c>
      <c r="V2008">
        <v>6631.4</v>
      </c>
      <c r="W2008">
        <v>36854</v>
      </c>
      <c r="X2008">
        <v>2935</v>
      </c>
      <c r="Y2008">
        <f t="shared" si="31"/>
        <v>36854</v>
      </c>
      <c r="Z2008" t="str">
        <f>IF(ISNUMBER(SEARCH("Adjustment",$C2008)),"excluded",IF($H2008="Behind the Meter","excluded",IF(NOT(OR($E2008="Bundled",$E2008="Energy")),"excluded",IF(OR($H2008="Retail Power Marketer",$H2008="Community Choice Aggregator",$E2008="Energy"),"procurement",IF(OR($H2008="Municipal",$H2008="Cooperative",$H2008="Federal",$H2008="State",$H2008="Political Subdivision"),"cost_service",IF($H2008="Investor Owned",IF(AND(COUNTIF(Parameters!$A$4:$A$33,$G2008)&gt;0,COUNTIF(Parameters!$B$4:$B$33,$B2008)=0),"procurement","cost_service"),"unclassified"))))))</f>
        <v>excluded</v>
      </c>
    </row>
    <row r="2009" spans="1:26" x14ac:dyDescent="0.25">
      <c r="A2009">
        <v>2024</v>
      </c>
      <c r="B2009">
        <v>59579</v>
      </c>
      <c r="C2009" t="s">
        <v>1550</v>
      </c>
      <c r="D2009" t="s">
        <v>84</v>
      </c>
      <c r="E2009" t="s">
        <v>85</v>
      </c>
      <c r="F2009" t="s">
        <v>86</v>
      </c>
      <c r="G2009" t="s">
        <v>108</v>
      </c>
      <c r="H2009" t="s">
        <v>1475</v>
      </c>
      <c r="I2009" t="s">
        <v>309</v>
      </c>
      <c r="J2009">
        <v>7.1</v>
      </c>
      <c r="K2009">
        <v>39</v>
      </c>
      <c r="L2009">
        <v>3</v>
      </c>
      <c r="M2009" t="s">
        <v>97</v>
      </c>
      <c r="N2009" t="s">
        <v>97</v>
      </c>
      <c r="O2009" t="s">
        <v>97</v>
      </c>
      <c r="P2009" t="s">
        <v>97</v>
      </c>
      <c r="Q2009" t="s">
        <v>97</v>
      </c>
      <c r="R2009" t="s">
        <v>97</v>
      </c>
      <c r="S2009" t="s">
        <v>97</v>
      </c>
      <c r="T2009" t="s">
        <v>97</v>
      </c>
      <c r="U2009" t="s">
        <v>97</v>
      </c>
      <c r="V2009">
        <v>7.1</v>
      </c>
      <c r="W2009">
        <v>39</v>
      </c>
      <c r="X2009">
        <v>3</v>
      </c>
      <c r="Y2009">
        <f t="shared" si="31"/>
        <v>39</v>
      </c>
      <c r="Z2009" t="str">
        <f>IF(ISNUMBER(SEARCH("Adjustment",$C2009)),"excluded",IF($H2009="Behind the Meter","excluded",IF(NOT(OR($E2009="Bundled",$E2009="Energy")),"excluded",IF(OR($H2009="Retail Power Marketer",$H2009="Community Choice Aggregator",$E2009="Energy"),"procurement",IF(OR($H2009="Municipal",$H2009="Cooperative",$H2009="Federal",$H2009="State",$H2009="Political Subdivision"),"cost_service",IF($H2009="Investor Owned",IF(AND(COUNTIF(Parameters!$A$4:$A$33,$G2009)&gt;0,COUNTIF(Parameters!$B$4:$B$33,$B2009)=0),"procurement","cost_service"),"unclassified"))))))</f>
        <v>excluded</v>
      </c>
    </row>
    <row r="2010" spans="1:26" x14ac:dyDescent="0.25">
      <c r="A2010">
        <v>2024</v>
      </c>
      <c r="B2010">
        <v>59579</v>
      </c>
      <c r="C2010" t="s">
        <v>1550</v>
      </c>
      <c r="D2010" t="s">
        <v>84</v>
      </c>
      <c r="E2010" t="s">
        <v>85</v>
      </c>
      <c r="F2010" t="s">
        <v>86</v>
      </c>
      <c r="G2010" t="s">
        <v>108</v>
      </c>
      <c r="H2010" t="s">
        <v>1475</v>
      </c>
      <c r="I2010" t="s">
        <v>1090</v>
      </c>
      <c r="J2010">
        <v>1422.5</v>
      </c>
      <c r="K2010">
        <v>7906</v>
      </c>
      <c r="L2010">
        <v>630</v>
      </c>
      <c r="M2010" t="s">
        <v>97</v>
      </c>
      <c r="N2010" t="s">
        <v>97</v>
      </c>
      <c r="O2010" t="s">
        <v>97</v>
      </c>
      <c r="P2010" t="s">
        <v>97</v>
      </c>
      <c r="Q2010" t="s">
        <v>97</v>
      </c>
      <c r="R2010" t="s">
        <v>97</v>
      </c>
      <c r="S2010" t="s">
        <v>97</v>
      </c>
      <c r="T2010" t="s">
        <v>97</v>
      </c>
      <c r="U2010" t="s">
        <v>97</v>
      </c>
      <c r="V2010">
        <v>1422.5</v>
      </c>
      <c r="W2010">
        <v>7906</v>
      </c>
      <c r="X2010">
        <v>630</v>
      </c>
      <c r="Y2010">
        <f t="shared" si="31"/>
        <v>7906</v>
      </c>
      <c r="Z2010" t="str">
        <f>IF(ISNUMBER(SEARCH("Adjustment",$C2010)),"excluded",IF($H2010="Behind the Meter","excluded",IF(NOT(OR($E2010="Bundled",$E2010="Energy")),"excluded",IF(OR($H2010="Retail Power Marketer",$H2010="Community Choice Aggregator",$E2010="Energy"),"procurement",IF(OR($H2010="Municipal",$H2010="Cooperative",$H2010="Federal",$H2010="State",$H2010="Political Subdivision"),"cost_service",IF($H2010="Investor Owned",IF(AND(COUNTIF(Parameters!$A$4:$A$33,$G2010)&gt;0,COUNTIF(Parameters!$B$4:$B$33,$B2010)=0),"procurement","cost_service"),"unclassified"))))))</f>
        <v>excluded</v>
      </c>
    </row>
    <row r="2011" spans="1:26" x14ac:dyDescent="0.25">
      <c r="A2011">
        <v>2024</v>
      </c>
      <c r="B2011">
        <v>59579</v>
      </c>
      <c r="C2011" t="s">
        <v>1550</v>
      </c>
      <c r="D2011" t="s">
        <v>84</v>
      </c>
      <c r="E2011" t="s">
        <v>85</v>
      </c>
      <c r="F2011" t="s">
        <v>86</v>
      </c>
      <c r="G2011" t="s">
        <v>108</v>
      </c>
      <c r="H2011" t="s">
        <v>1475</v>
      </c>
      <c r="I2011" t="s">
        <v>876</v>
      </c>
      <c r="J2011">
        <v>3694.7</v>
      </c>
      <c r="K2011">
        <v>20533</v>
      </c>
      <c r="L2011">
        <v>1635</v>
      </c>
      <c r="M2011" t="s">
        <v>97</v>
      </c>
      <c r="N2011" t="s">
        <v>97</v>
      </c>
      <c r="O2011" t="s">
        <v>97</v>
      </c>
      <c r="P2011" t="s">
        <v>97</v>
      </c>
      <c r="Q2011" t="s">
        <v>97</v>
      </c>
      <c r="R2011" t="s">
        <v>97</v>
      </c>
      <c r="S2011" t="s">
        <v>97</v>
      </c>
      <c r="T2011" t="s">
        <v>97</v>
      </c>
      <c r="U2011" t="s">
        <v>97</v>
      </c>
      <c r="V2011">
        <v>3694.7</v>
      </c>
      <c r="W2011">
        <v>20533</v>
      </c>
      <c r="X2011">
        <v>1635</v>
      </c>
      <c r="Y2011">
        <f t="shared" si="31"/>
        <v>20533</v>
      </c>
      <c r="Z2011" t="str">
        <f>IF(ISNUMBER(SEARCH("Adjustment",$C2011)),"excluded",IF($H2011="Behind the Meter","excluded",IF(NOT(OR($E2011="Bundled",$E2011="Energy")),"excluded",IF(OR($H2011="Retail Power Marketer",$H2011="Community Choice Aggregator",$E2011="Energy"),"procurement",IF(OR($H2011="Municipal",$H2011="Cooperative",$H2011="Federal",$H2011="State",$H2011="Political Subdivision"),"cost_service",IF($H2011="Investor Owned",IF(AND(COUNTIF(Parameters!$A$4:$A$33,$G2011)&gt;0,COUNTIF(Parameters!$B$4:$B$33,$B2011)=0),"procurement","cost_service"),"unclassified"))))))</f>
        <v>excluded</v>
      </c>
    </row>
    <row r="2012" spans="1:26" x14ac:dyDescent="0.25">
      <c r="A2012">
        <v>2024</v>
      </c>
      <c r="B2012">
        <v>59579</v>
      </c>
      <c r="C2012" t="s">
        <v>1550</v>
      </c>
      <c r="D2012" t="s">
        <v>84</v>
      </c>
      <c r="E2012" t="s">
        <v>85</v>
      </c>
      <c r="F2012" t="s">
        <v>86</v>
      </c>
      <c r="G2012" t="s">
        <v>108</v>
      </c>
      <c r="H2012" t="s">
        <v>1475</v>
      </c>
      <c r="I2012" t="s">
        <v>243</v>
      </c>
      <c r="J2012">
        <v>396.6</v>
      </c>
      <c r="K2012">
        <v>2204</v>
      </c>
      <c r="L2012">
        <v>176</v>
      </c>
      <c r="M2012" t="s">
        <v>97</v>
      </c>
      <c r="N2012" t="s">
        <v>97</v>
      </c>
      <c r="O2012" t="s">
        <v>97</v>
      </c>
      <c r="P2012" t="s">
        <v>97</v>
      </c>
      <c r="Q2012" t="s">
        <v>97</v>
      </c>
      <c r="R2012" t="s">
        <v>97</v>
      </c>
      <c r="S2012" t="s">
        <v>97</v>
      </c>
      <c r="T2012" t="s">
        <v>97</v>
      </c>
      <c r="U2012" t="s">
        <v>97</v>
      </c>
      <c r="V2012">
        <v>396.6</v>
      </c>
      <c r="W2012">
        <v>2204</v>
      </c>
      <c r="X2012">
        <v>176</v>
      </c>
      <c r="Y2012">
        <f t="shared" si="31"/>
        <v>2204</v>
      </c>
      <c r="Z2012" t="str">
        <f>IF(ISNUMBER(SEARCH("Adjustment",$C2012)),"excluded",IF($H2012="Behind the Meter","excluded",IF(NOT(OR($E2012="Bundled",$E2012="Energy")),"excluded",IF(OR($H2012="Retail Power Marketer",$H2012="Community Choice Aggregator",$E2012="Energy"),"procurement",IF(OR($H2012="Municipal",$H2012="Cooperative",$H2012="Federal",$H2012="State",$H2012="Political Subdivision"),"cost_service",IF($H2012="Investor Owned",IF(AND(COUNTIF(Parameters!$A$4:$A$33,$G2012)&gt;0,COUNTIF(Parameters!$B$4:$B$33,$B2012)=0),"procurement","cost_service"),"unclassified"))))))</f>
        <v>excluded</v>
      </c>
    </row>
    <row r="2013" spans="1:26" x14ac:dyDescent="0.25">
      <c r="A2013">
        <v>2024</v>
      </c>
      <c r="B2013">
        <v>59579</v>
      </c>
      <c r="C2013" t="s">
        <v>1550</v>
      </c>
      <c r="D2013" t="s">
        <v>84</v>
      </c>
      <c r="E2013" t="s">
        <v>85</v>
      </c>
      <c r="F2013" t="s">
        <v>86</v>
      </c>
      <c r="G2013" t="s">
        <v>115</v>
      </c>
      <c r="H2013" t="s">
        <v>1475</v>
      </c>
      <c r="I2013" t="s">
        <v>116</v>
      </c>
      <c r="J2013">
        <v>84816.2</v>
      </c>
      <c r="K2013">
        <v>307910</v>
      </c>
      <c r="L2013">
        <v>51597</v>
      </c>
      <c r="M2013" t="s">
        <v>97</v>
      </c>
      <c r="N2013" t="s">
        <v>97</v>
      </c>
      <c r="O2013" t="s">
        <v>97</v>
      </c>
      <c r="P2013" t="s">
        <v>97</v>
      </c>
      <c r="Q2013" t="s">
        <v>97</v>
      </c>
      <c r="R2013" t="s">
        <v>97</v>
      </c>
      <c r="S2013" t="s">
        <v>97</v>
      </c>
      <c r="T2013" t="s">
        <v>97</v>
      </c>
      <c r="U2013" t="s">
        <v>97</v>
      </c>
      <c r="V2013">
        <v>84816.2</v>
      </c>
      <c r="W2013">
        <v>307910</v>
      </c>
      <c r="X2013">
        <v>51597</v>
      </c>
      <c r="Y2013">
        <f t="shared" si="31"/>
        <v>307910</v>
      </c>
      <c r="Z2013" t="str">
        <f>IF(ISNUMBER(SEARCH("Adjustment",$C2013)),"excluded",IF($H2013="Behind the Meter","excluded",IF(NOT(OR($E2013="Bundled",$E2013="Energy")),"excluded",IF(OR($H2013="Retail Power Marketer",$H2013="Community Choice Aggregator",$E2013="Energy"),"procurement",IF(OR($H2013="Municipal",$H2013="Cooperative",$H2013="Federal",$H2013="State",$H2013="Political Subdivision"),"cost_service",IF($H2013="Investor Owned",IF(AND(COUNTIF(Parameters!$A$4:$A$33,$G2013)&gt;0,COUNTIF(Parameters!$B$4:$B$33,$B2013)=0),"procurement","cost_service"),"unclassified"))))))</f>
        <v>excluded</v>
      </c>
    </row>
    <row r="2014" spans="1:26" x14ac:dyDescent="0.25">
      <c r="A2014">
        <v>2024</v>
      </c>
      <c r="B2014">
        <v>59579</v>
      </c>
      <c r="C2014" t="s">
        <v>1550</v>
      </c>
      <c r="D2014" t="s">
        <v>84</v>
      </c>
      <c r="E2014" t="s">
        <v>85</v>
      </c>
      <c r="F2014" t="s">
        <v>86</v>
      </c>
      <c r="G2014" t="s">
        <v>115</v>
      </c>
      <c r="H2014" t="s">
        <v>1475</v>
      </c>
      <c r="I2014" t="s">
        <v>642</v>
      </c>
      <c r="J2014">
        <v>22.2</v>
      </c>
      <c r="K2014">
        <v>81</v>
      </c>
      <c r="L2014">
        <v>13</v>
      </c>
      <c r="M2014" t="s">
        <v>97</v>
      </c>
      <c r="N2014" t="s">
        <v>97</v>
      </c>
      <c r="O2014" t="s">
        <v>97</v>
      </c>
      <c r="P2014" t="s">
        <v>97</v>
      </c>
      <c r="Q2014" t="s">
        <v>97</v>
      </c>
      <c r="R2014" t="s">
        <v>97</v>
      </c>
      <c r="S2014" t="s">
        <v>97</v>
      </c>
      <c r="T2014" t="s">
        <v>97</v>
      </c>
      <c r="U2014" t="s">
        <v>97</v>
      </c>
      <c r="V2014">
        <v>22.2</v>
      </c>
      <c r="W2014">
        <v>81</v>
      </c>
      <c r="X2014">
        <v>13</v>
      </c>
      <c r="Y2014">
        <f t="shared" si="31"/>
        <v>81</v>
      </c>
      <c r="Z2014" t="str">
        <f>IF(ISNUMBER(SEARCH("Adjustment",$C2014)),"excluded",IF($H2014="Behind the Meter","excluded",IF(NOT(OR($E2014="Bundled",$E2014="Energy")),"excluded",IF(OR($H2014="Retail Power Marketer",$H2014="Community Choice Aggregator",$E2014="Energy"),"procurement",IF(OR($H2014="Municipal",$H2014="Cooperative",$H2014="Federal",$H2014="State",$H2014="Political Subdivision"),"cost_service",IF($H2014="Investor Owned",IF(AND(COUNTIF(Parameters!$A$4:$A$33,$G2014)&gt;0,COUNTIF(Parameters!$B$4:$B$33,$B2014)=0),"procurement","cost_service"),"unclassified"))))))</f>
        <v>excluded</v>
      </c>
    </row>
    <row r="2015" spans="1:26" x14ac:dyDescent="0.25">
      <c r="A2015">
        <v>2024</v>
      </c>
      <c r="B2015">
        <v>59579</v>
      </c>
      <c r="C2015" t="s">
        <v>1550</v>
      </c>
      <c r="D2015" t="s">
        <v>84</v>
      </c>
      <c r="E2015" t="s">
        <v>85</v>
      </c>
      <c r="F2015" t="s">
        <v>86</v>
      </c>
      <c r="G2015" t="s">
        <v>115</v>
      </c>
      <c r="H2015" t="s">
        <v>1475</v>
      </c>
      <c r="I2015" t="s">
        <v>267</v>
      </c>
      <c r="J2015">
        <v>1820.9</v>
      </c>
      <c r="K2015">
        <v>6611</v>
      </c>
      <c r="L2015">
        <v>1108</v>
      </c>
      <c r="M2015" t="s">
        <v>97</v>
      </c>
      <c r="N2015" t="s">
        <v>97</v>
      </c>
      <c r="O2015" t="s">
        <v>97</v>
      </c>
      <c r="P2015" t="s">
        <v>97</v>
      </c>
      <c r="Q2015" t="s">
        <v>97</v>
      </c>
      <c r="R2015" t="s">
        <v>97</v>
      </c>
      <c r="S2015" t="s">
        <v>97</v>
      </c>
      <c r="T2015" t="s">
        <v>97</v>
      </c>
      <c r="U2015" t="s">
        <v>97</v>
      </c>
      <c r="V2015">
        <v>1820.9</v>
      </c>
      <c r="W2015">
        <v>6611</v>
      </c>
      <c r="X2015">
        <v>1108</v>
      </c>
      <c r="Y2015">
        <f t="shared" si="31"/>
        <v>6611</v>
      </c>
      <c r="Z2015" t="str">
        <f>IF(ISNUMBER(SEARCH("Adjustment",$C2015)),"excluded",IF($H2015="Behind the Meter","excluded",IF(NOT(OR($E2015="Bundled",$E2015="Energy")),"excluded",IF(OR($H2015="Retail Power Marketer",$H2015="Community Choice Aggregator",$E2015="Energy"),"procurement",IF(OR($H2015="Municipal",$H2015="Cooperative",$H2015="Federal",$H2015="State",$H2015="Political Subdivision"),"cost_service",IF($H2015="Investor Owned",IF(AND(COUNTIF(Parameters!$A$4:$A$33,$G2015)&gt;0,COUNTIF(Parameters!$B$4:$B$33,$B2015)=0),"procurement","cost_service"),"unclassified"))))))</f>
        <v>excluded</v>
      </c>
    </row>
    <row r="2016" spans="1:26" x14ac:dyDescent="0.25">
      <c r="A2016">
        <v>2024</v>
      </c>
      <c r="B2016">
        <v>59579</v>
      </c>
      <c r="C2016" t="s">
        <v>1550</v>
      </c>
      <c r="D2016" t="s">
        <v>84</v>
      </c>
      <c r="E2016" t="s">
        <v>85</v>
      </c>
      <c r="F2016" t="s">
        <v>86</v>
      </c>
      <c r="G2016" t="s">
        <v>115</v>
      </c>
      <c r="H2016" t="s">
        <v>1475</v>
      </c>
      <c r="I2016" t="s">
        <v>1251</v>
      </c>
      <c r="J2016">
        <v>66.5</v>
      </c>
      <c r="K2016">
        <v>241</v>
      </c>
      <c r="L2016">
        <v>40</v>
      </c>
      <c r="M2016" t="s">
        <v>97</v>
      </c>
      <c r="N2016" t="s">
        <v>97</v>
      </c>
      <c r="O2016" t="s">
        <v>97</v>
      </c>
      <c r="P2016" t="s">
        <v>97</v>
      </c>
      <c r="Q2016" t="s">
        <v>97</v>
      </c>
      <c r="R2016" t="s">
        <v>97</v>
      </c>
      <c r="S2016" t="s">
        <v>97</v>
      </c>
      <c r="T2016" t="s">
        <v>97</v>
      </c>
      <c r="U2016" t="s">
        <v>97</v>
      </c>
      <c r="V2016">
        <v>66.5</v>
      </c>
      <c r="W2016">
        <v>241</v>
      </c>
      <c r="X2016">
        <v>40</v>
      </c>
      <c r="Y2016">
        <f t="shared" si="31"/>
        <v>241</v>
      </c>
      <c r="Z2016" t="str">
        <f>IF(ISNUMBER(SEARCH("Adjustment",$C2016)),"excluded",IF($H2016="Behind the Meter","excluded",IF(NOT(OR($E2016="Bundled",$E2016="Energy")),"excluded",IF(OR($H2016="Retail Power Marketer",$H2016="Community Choice Aggregator",$E2016="Energy"),"procurement",IF(OR($H2016="Municipal",$H2016="Cooperative",$H2016="Federal",$H2016="State",$H2016="Political Subdivision"),"cost_service",IF($H2016="Investor Owned",IF(AND(COUNTIF(Parameters!$A$4:$A$33,$G2016)&gt;0,COUNTIF(Parameters!$B$4:$B$33,$B2016)=0),"procurement","cost_service"),"unclassified"))))))</f>
        <v>excluded</v>
      </c>
    </row>
    <row r="2017" spans="1:26" x14ac:dyDescent="0.25">
      <c r="A2017">
        <v>2024</v>
      </c>
      <c r="B2017">
        <v>59579</v>
      </c>
      <c r="C2017" t="s">
        <v>1550</v>
      </c>
      <c r="D2017" t="s">
        <v>84</v>
      </c>
      <c r="E2017" t="s">
        <v>85</v>
      </c>
      <c r="F2017" t="s">
        <v>86</v>
      </c>
      <c r="G2017" t="s">
        <v>115</v>
      </c>
      <c r="H2017" t="s">
        <v>1475</v>
      </c>
      <c r="I2017" t="s">
        <v>839</v>
      </c>
      <c r="J2017">
        <v>13.7</v>
      </c>
      <c r="K2017">
        <v>49</v>
      </c>
      <c r="L2017">
        <v>8</v>
      </c>
      <c r="M2017" t="s">
        <v>97</v>
      </c>
      <c r="N2017" t="s">
        <v>97</v>
      </c>
      <c r="O2017" t="s">
        <v>97</v>
      </c>
      <c r="P2017" t="s">
        <v>97</v>
      </c>
      <c r="Q2017" t="s">
        <v>97</v>
      </c>
      <c r="R2017" t="s">
        <v>97</v>
      </c>
      <c r="S2017" t="s">
        <v>97</v>
      </c>
      <c r="T2017" t="s">
        <v>97</v>
      </c>
      <c r="U2017" t="s">
        <v>97</v>
      </c>
      <c r="V2017">
        <v>13.7</v>
      </c>
      <c r="W2017">
        <v>49</v>
      </c>
      <c r="X2017">
        <v>8</v>
      </c>
      <c r="Y2017">
        <f t="shared" si="31"/>
        <v>49</v>
      </c>
      <c r="Z2017" t="str">
        <f>IF(ISNUMBER(SEARCH("Adjustment",$C2017)),"excluded",IF($H2017="Behind the Meter","excluded",IF(NOT(OR($E2017="Bundled",$E2017="Energy")),"excluded",IF(OR($H2017="Retail Power Marketer",$H2017="Community Choice Aggregator",$E2017="Energy"),"procurement",IF(OR($H2017="Municipal",$H2017="Cooperative",$H2017="Federal",$H2017="State",$H2017="Political Subdivision"),"cost_service",IF($H2017="Investor Owned",IF(AND(COUNTIF(Parameters!$A$4:$A$33,$G2017)&gt;0,COUNTIF(Parameters!$B$4:$B$33,$B2017)=0),"procurement","cost_service"),"unclassified"))))))</f>
        <v>excluded</v>
      </c>
    </row>
    <row r="2018" spans="1:26" x14ac:dyDescent="0.25">
      <c r="A2018">
        <v>2024</v>
      </c>
      <c r="B2018">
        <v>59579</v>
      </c>
      <c r="C2018" t="s">
        <v>1550</v>
      </c>
      <c r="D2018" t="s">
        <v>84</v>
      </c>
      <c r="E2018" t="s">
        <v>85</v>
      </c>
      <c r="F2018" t="s">
        <v>86</v>
      </c>
      <c r="G2018" t="s">
        <v>361</v>
      </c>
      <c r="H2018" t="s">
        <v>1475</v>
      </c>
      <c r="I2018" t="s">
        <v>523</v>
      </c>
      <c r="J2018">
        <v>3472.1</v>
      </c>
      <c r="K2018">
        <v>22360</v>
      </c>
      <c r="L2018">
        <v>5677</v>
      </c>
      <c r="M2018" t="s">
        <v>97</v>
      </c>
      <c r="N2018" t="s">
        <v>97</v>
      </c>
      <c r="O2018" t="s">
        <v>97</v>
      </c>
      <c r="P2018" t="s">
        <v>97</v>
      </c>
      <c r="Q2018" t="s">
        <v>97</v>
      </c>
      <c r="R2018" t="s">
        <v>97</v>
      </c>
      <c r="S2018" t="s">
        <v>97</v>
      </c>
      <c r="T2018" t="s">
        <v>97</v>
      </c>
      <c r="U2018" t="s">
        <v>97</v>
      </c>
      <c r="V2018">
        <v>3472.1</v>
      </c>
      <c r="W2018">
        <v>22360</v>
      </c>
      <c r="X2018">
        <v>5677</v>
      </c>
      <c r="Y2018">
        <f t="shared" si="31"/>
        <v>22360</v>
      </c>
      <c r="Z2018" t="str">
        <f>IF(ISNUMBER(SEARCH("Adjustment",$C2018)),"excluded",IF($H2018="Behind the Meter","excluded",IF(NOT(OR($E2018="Bundled",$E2018="Energy")),"excluded",IF(OR($H2018="Retail Power Marketer",$H2018="Community Choice Aggregator",$E2018="Energy"),"procurement",IF(OR($H2018="Municipal",$H2018="Cooperative",$H2018="Federal",$H2018="State",$H2018="Political Subdivision"),"cost_service",IF($H2018="Investor Owned",IF(AND(COUNTIF(Parameters!$A$4:$A$33,$G2018)&gt;0,COUNTIF(Parameters!$B$4:$B$33,$B2018)=0),"procurement","cost_service"),"unclassified"))))))</f>
        <v>excluded</v>
      </c>
    </row>
    <row r="2019" spans="1:26" x14ac:dyDescent="0.25">
      <c r="A2019">
        <v>2024</v>
      </c>
      <c r="B2019">
        <v>59579</v>
      </c>
      <c r="C2019" t="s">
        <v>1550</v>
      </c>
      <c r="D2019" t="s">
        <v>84</v>
      </c>
      <c r="E2019" t="s">
        <v>85</v>
      </c>
      <c r="F2019" t="s">
        <v>86</v>
      </c>
      <c r="G2019" t="s">
        <v>361</v>
      </c>
      <c r="H2019" t="s">
        <v>1475</v>
      </c>
      <c r="I2019" t="s">
        <v>259</v>
      </c>
      <c r="J2019">
        <v>51</v>
      </c>
      <c r="K2019">
        <v>329</v>
      </c>
      <c r="L2019">
        <v>83</v>
      </c>
      <c r="M2019" t="s">
        <v>97</v>
      </c>
      <c r="N2019" t="s">
        <v>97</v>
      </c>
      <c r="O2019" t="s">
        <v>97</v>
      </c>
      <c r="P2019" t="s">
        <v>97</v>
      </c>
      <c r="Q2019" t="s">
        <v>97</v>
      </c>
      <c r="R2019" t="s">
        <v>97</v>
      </c>
      <c r="S2019" t="s">
        <v>97</v>
      </c>
      <c r="T2019" t="s">
        <v>97</v>
      </c>
      <c r="U2019" t="s">
        <v>97</v>
      </c>
      <c r="V2019">
        <v>51</v>
      </c>
      <c r="W2019">
        <v>329</v>
      </c>
      <c r="X2019">
        <v>83</v>
      </c>
      <c r="Y2019">
        <f t="shared" si="31"/>
        <v>329</v>
      </c>
      <c r="Z2019" t="str">
        <f>IF(ISNUMBER(SEARCH("Adjustment",$C2019)),"excluded",IF($H2019="Behind the Meter","excluded",IF(NOT(OR($E2019="Bundled",$E2019="Energy")),"excluded",IF(OR($H2019="Retail Power Marketer",$H2019="Community Choice Aggregator",$E2019="Energy"),"procurement",IF(OR($H2019="Municipal",$H2019="Cooperative",$H2019="Federal",$H2019="State",$H2019="Political Subdivision"),"cost_service",IF($H2019="Investor Owned",IF(AND(COUNTIF(Parameters!$A$4:$A$33,$G2019)&gt;0,COUNTIF(Parameters!$B$4:$B$33,$B2019)=0),"procurement","cost_service"),"unclassified"))))))</f>
        <v>excluded</v>
      </c>
    </row>
    <row r="2020" spans="1:26" x14ac:dyDescent="0.25">
      <c r="A2020">
        <v>2024</v>
      </c>
      <c r="B2020">
        <v>59579</v>
      </c>
      <c r="C2020" t="s">
        <v>1550</v>
      </c>
      <c r="D2020" t="s">
        <v>84</v>
      </c>
      <c r="E2020" t="s">
        <v>85</v>
      </c>
      <c r="F2020" t="s">
        <v>86</v>
      </c>
      <c r="G2020" t="s">
        <v>40</v>
      </c>
      <c r="H2020" t="s">
        <v>1475</v>
      </c>
      <c r="I2020" t="s">
        <v>189</v>
      </c>
      <c r="J2020">
        <v>36604.1</v>
      </c>
      <c r="K2020">
        <v>172355</v>
      </c>
      <c r="L2020">
        <v>20437</v>
      </c>
      <c r="M2020" t="s">
        <v>97</v>
      </c>
      <c r="N2020" t="s">
        <v>97</v>
      </c>
      <c r="O2020" t="s">
        <v>97</v>
      </c>
      <c r="P2020" t="s">
        <v>97</v>
      </c>
      <c r="Q2020" t="s">
        <v>97</v>
      </c>
      <c r="R2020" t="s">
        <v>97</v>
      </c>
      <c r="S2020" t="s">
        <v>97</v>
      </c>
      <c r="T2020" t="s">
        <v>97</v>
      </c>
      <c r="U2020" t="s">
        <v>97</v>
      </c>
      <c r="V2020">
        <v>36604.1</v>
      </c>
      <c r="W2020">
        <v>172355</v>
      </c>
      <c r="X2020">
        <v>20437</v>
      </c>
      <c r="Y2020">
        <f t="shared" si="31"/>
        <v>172355</v>
      </c>
      <c r="Z2020" t="str">
        <f>IF(ISNUMBER(SEARCH("Adjustment",$C2020)),"excluded",IF($H2020="Behind the Meter","excluded",IF(NOT(OR($E2020="Bundled",$E2020="Energy")),"excluded",IF(OR($H2020="Retail Power Marketer",$H2020="Community Choice Aggregator",$E2020="Energy"),"procurement",IF(OR($H2020="Municipal",$H2020="Cooperative",$H2020="Federal",$H2020="State",$H2020="Political Subdivision"),"cost_service",IF($H2020="Investor Owned",IF(AND(COUNTIF(Parameters!$A$4:$A$33,$G2020)&gt;0,COUNTIF(Parameters!$B$4:$B$33,$B2020)=0),"procurement","cost_service"),"unclassified"))))))</f>
        <v>excluded</v>
      </c>
    </row>
    <row r="2021" spans="1:26" x14ac:dyDescent="0.25">
      <c r="A2021">
        <v>2024</v>
      </c>
      <c r="B2021">
        <v>59579</v>
      </c>
      <c r="C2021" t="s">
        <v>1550</v>
      </c>
      <c r="D2021" t="s">
        <v>84</v>
      </c>
      <c r="E2021" t="s">
        <v>85</v>
      </c>
      <c r="F2021" t="s">
        <v>86</v>
      </c>
      <c r="G2021" t="s">
        <v>42</v>
      </c>
      <c r="H2021" t="s">
        <v>1475</v>
      </c>
      <c r="I2021" t="s">
        <v>92</v>
      </c>
      <c r="J2021">
        <v>60.4</v>
      </c>
      <c r="K2021">
        <v>506</v>
      </c>
      <c r="L2021">
        <v>64</v>
      </c>
      <c r="M2021" t="s">
        <v>97</v>
      </c>
      <c r="N2021" t="s">
        <v>97</v>
      </c>
      <c r="O2021" t="s">
        <v>97</v>
      </c>
      <c r="P2021" t="s">
        <v>97</v>
      </c>
      <c r="Q2021" t="s">
        <v>97</v>
      </c>
      <c r="R2021" t="s">
        <v>97</v>
      </c>
      <c r="S2021" t="s">
        <v>97</v>
      </c>
      <c r="T2021" t="s">
        <v>97</v>
      </c>
      <c r="U2021" t="s">
        <v>97</v>
      </c>
      <c r="V2021">
        <v>60.4</v>
      </c>
      <c r="W2021">
        <v>506</v>
      </c>
      <c r="X2021">
        <v>64</v>
      </c>
      <c r="Y2021">
        <f t="shared" si="31"/>
        <v>506</v>
      </c>
      <c r="Z2021" t="str">
        <f>IF(ISNUMBER(SEARCH("Adjustment",$C2021)),"excluded",IF($H2021="Behind the Meter","excluded",IF(NOT(OR($E2021="Bundled",$E2021="Energy")),"excluded",IF(OR($H2021="Retail Power Marketer",$H2021="Community Choice Aggregator",$E2021="Energy"),"procurement",IF(OR($H2021="Municipal",$H2021="Cooperative",$H2021="Federal",$H2021="State",$H2021="Political Subdivision"),"cost_service",IF($H2021="Investor Owned",IF(AND(COUNTIF(Parameters!$A$4:$A$33,$G2021)&gt;0,COUNTIF(Parameters!$B$4:$B$33,$B2021)=0),"procurement","cost_service"),"unclassified"))))))</f>
        <v>excluded</v>
      </c>
    </row>
    <row r="2022" spans="1:26" x14ac:dyDescent="0.25">
      <c r="A2022">
        <v>2024</v>
      </c>
      <c r="B2022">
        <v>59579</v>
      </c>
      <c r="C2022" t="s">
        <v>1550</v>
      </c>
      <c r="D2022" t="s">
        <v>84</v>
      </c>
      <c r="E2022" t="s">
        <v>85</v>
      </c>
      <c r="F2022" t="s">
        <v>86</v>
      </c>
      <c r="G2022" t="s">
        <v>44</v>
      </c>
      <c r="H2022" t="s">
        <v>1475</v>
      </c>
      <c r="I2022" t="s">
        <v>92</v>
      </c>
      <c r="J2022">
        <v>37.5</v>
      </c>
      <c r="K2022">
        <v>207</v>
      </c>
      <c r="L2022">
        <v>19</v>
      </c>
      <c r="M2022" t="s">
        <v>97</v>
      </c>
      <c r="N2022" t="s">
        <v>97</v>
      </c>
      <c r="O2022" t="s">
        <v>97</v>
      </c>
      <c r="P2022" t="s">
        <v>97</v>
      </c>
      <c r="Q2022" t="s">
        <v>97</v>
      </c>
      <c r="R2022" t="s">
        <v>97</v>
      </c>
      <c r="S2022" t="s">
        <v>97</v>
      </c>
      <c r="T2022" t="s">
        <v>97</v>
      </c>
      <c r="U2022" t="s">
        <v>97</v>
      </c>
      <c r="V2022">
        <v>37.5</v>
      </c>
      <c r="W2022">
        <v>207</v>
      </c>
      <c r="X2022">
        <v>19</v>
      </c>
      <c r="Y2022">
        <f t="shared" si="31"/>
        <v>207</v>
      </c>
      <c r="Z2022" t="str">
        <f>IF(ISNUMBER(SEARCH("Adjustment",$C2022)),"excluded",IF($H2022="Behind the Meter","excluded",IF(NOT(OR($E2022="Bundled",$E2022="Energy")),"excluded",IF(OR($H2022="Retail Power Marketer",$H2022="Community Choice Aggregator",$E2022="Energy"),"procurement",IF(OR($H2022="Municipal",$H2022="Cooperative",$H2022="Federal",$H2022="State",$H2022="Political Subdivision"),"cost_service",IF($H2022="Investor Owned",IF(AND(COUNTIF(Parameters!$A$4:$A$33,$G2022)&gt;0,COUNTIF(Parameters!$B$4:$B$33,$B2022)=0),"procurement","cost_service"),"unclassified"))))))</f>
        <v>excluded</v>
      </c>
    </row>
    <row r="2023" spans="1:26" x14ac:dyDescent="0.25">
      <c r="A2023">
        <v>2024</v>
      </c>
      <c r="B2023">
        <v>59579</v>
      </c>
      <c r="C2023" t="s">
        <v>1550</v>
      </c>
      <c r="D2023" t="s">
        <v>84</v>
      </c>
      <c r="E2023" t="s">
        <v>85</v>
      </c>
      <c r="F2023" t="s">
        <v>86</v>
      </c>
      <c r="G2023" t="s">
        <v>195</v>
      </c>
      <c r="H2023" t="s">
        <v>1475</v>
      </c>
      <c r="I2023" t="s">
        <v>514</v>
      </c>
      <c r="J2023">
        <v>17333.2</v>
      </c>
      <c r="K2023">
        <v>81153</v>
      </c>
      <c r="L2023">
        <v>9848</v>
      </c>
      <c r="M2023" t="s">
        <v>97</v>
      </c>
      <c r="N2023" t="s">
        <v>97</v>
      </c>
      <c r="O2023" t="s">
        <v>97</v>
      </c>
      <c r="P2023" t="s">
        <v>97</v>
      </c>
      <c r="Q2023" t="s">
        <v>97</v>
      </c>
      <c r="R2023" t="s">
        <v>97</v>
      </c>
      <c r="S2023" t="s">
        <v>97</v>
      </c>
      <c r="T2023" t="s">
        <v>97</v>
      </c>
      <c r="U2023" t="s">
        <v>97</v>
      </c>
      <c r="V2023">
        <v>17333.2</v>
      </c>
      <c r="W2023">
        <v>81153</v>
      </c>
      <c r="X2023">
        <v>9848</v>
      </c>
      <c r="Y2023">
        <f t="shared" si="31"/>
        <v>81153</v>
      </c>
      <c r="Z2023" t="str">
        <f>IF(ISNUMBER(SEARCH("Adjustment",$C2023)),"excluded",IF($H2023="Behind the Meter","excluded",IF(NOT(OR($E2023="Bundled",$E2023="Energy")),"excluded",IF(OR($H2023="Retail Power Marketer",$H2023="Community Choice Aggregator",$E2023="Energy"),"procurement",IF(OR($H2023="Municipal",$H2023="Cooperative",$H2023="Federal",$H2023="State",$H2023="Political Subdivision"),"cost_service",IF($H2023="Investor Owned",IF(AND(COUNTIF(Parameters!$A$4:$A$33,$G2023)&gt;0,COUNTIF(Parameters!$B$4:$B$33,$B2023)=0),"procurement","cost_service"),"unclassified"))))))</f>
        <v>excluded</v>
      </c>
    </row>
    <row r="2024" spans="1:26" x14ac:dyDescent="0.25">
      <c r="A2024">
        <v>2024</v>
      </c>
      <c r="B2024">
        <v>59579</v>
      </c>
      <c r="C2024" t="s">
        <v>1550</v>
      </c>
      <c r="D2024" t="s">
        <v>84</v>
      </c>
      <c r="E2024" t="s">
        <v>85</v>
      </c>
      <c r="F2024" t="s">
        <v>86</v>
      </c>
      <c r="G2024" t="s">
        <v>195</v>
      </c>
      <c r="H2024" t="s">
        <v>1475</v>
      </c>
      <c r="I2024" t="s">
        <v>196</v>
      </c>
      <c r="J2024">
        <v>9096.1</v>
      </c>
      <c r="K2024">
        <v>42587</v>
      </c>
      <c r="L2024">
        <v>4093</v>
      </c>
      <c r="M2024" t="s">
        <v>97</v>
      </c>
      <c r="N2024" t="s">
        <v>97</v>
      </c>
      <c r="O2024" t="s">
        <v>97</v>
      </c>
      <c r="P2024" t="s">
        <v>97</v>
      </c>
      <c r="Q2024" t="s">
        <v>97</v>
      </c>
      <c r="R2024" t="s">
        <v>97</v>
      </c>
      <c r="S2024" t="s">
        <v>97</v>
      </c>
      <c r="T2024" t="s">
        <v>97</v>
      </c>
      <c r="U2024" t="s">
        <v>97</v>
      </c>
      <c r="V2024">
        <v>9096.1</v>
      </c>
      <c r="W2024">
        <v>42587</v>
      </c>
      <c r="X2024">
        <v>4093</v>
      </c>
      <c r="Y2024">
        <f t="shared" si="31"/>
        <v>42587</v>
      </c>
      <c r="Z2024" t="str">
        <f>IF(ISNUMBER(SEARCH("Adjustment",$C2024)),"excluded",IF($H2024="Behind the Meter","excluded",IF(NOT(OR($E2024="Bundled",$E2024="Energy")),"excluded",IF(OR($H2024="Retail Power Marketer",$H2024="Community Choice Aggregator",$E2024="Energy"),"procurement",IF(OR($H2024="Municipal",$H2024="Cooperative",$H2024="Federal",$H2024="State",$H2024="Political Subdivision"),"cost_service",IF($H2024="Investor Owned",IF(AND(COUNTIF(Parameters!$A$4:$A$33,$G2024)&gt;0,COUNTIF(Parameters!$B$4:$B$33,$B2024)=0),"procurement","cost_service"),"unclassified"))))))</f>
        <v>excluded</v>
      </c>
    </row>
    <row r="2025" spans="1:26" x14ac:dyDescent="0.25">
      <c r="A2025">
        <v>2024</v>
      </c>
      <c r="B2025">
        <v>59579</v>
      </c>
      <c r="C2025" t="s">
        <v>1550</v>
      </c>
      <c r="D2025" t="s">
        <v>84</v>
      </c>
      <c r="E2025" t="s">
        <v>85</v>
      </c>
      <c r="F2025" t="s">
        <v>86</v>
      </c>
      <c r="G2025" t="s">
        <v>195</v>
      </c>
      <c r="H2025" t="s">
        <v>1475</v>
      </c>
      <c r="I2025" t="s">
        <v>546</v>
      </c>
      <c r="J2025">
        <v>42.2</v>
      </c>
      <c r="K2025">
        <v>198</v>
      </c>
      <c r="L2025">
        <v>19</v>
      </c>
      <c r="M2025" t="s">
        <v>97</v>
      </c>
      <c r="N2025" t="s">
        <v>97</v>
      </c>
      <c r="O2025" t="s">
        <v>97</v>
      </c>
      <c r="P2025" t="s">
        <v>97</v>
      </c>
      <c r="Q2025" t="s">
        <v>97</v>
      </c>
      <c r="R2025" t="s">
        <v>97</v>
      </c>
      <c r="S2025" t="s">
        <v>97</v>
      </c>
      <c r="T2025" t="s">
        <v>97</v>
      </c>
      <c r="U2025" t="s">
        <v>97</v>
      </c>
      <c r="V2025">
        <v>42.2</v>
      </c>
      <c r="W2025">
        <v>198</v>
      </c>
      <c r="X2025">
        <v>19</v>
      </c>
      <c r="Y2025">
        <f t="shared" si="31"/>
        <v>198</v>
      </c>
      <c r="Z2025" t="str">
        <f>IF(ISNUMBER(SEARCH("Adjustment",$C2025)),"excluded",IF($H2025="Behind the Meter","excluded",IF(NOT(OR($E2025="Bundled",$E2025="Energy")),"excluded",IF(OR($H2025="Retail Power Marketer",$H2025="Community Choice Aggregator",$E2025="Energy"),"procurement",IF(OR($H2025="Municipal",$H2025="Cooperative",$H2025="Federal",$H2025="State",$H2025="Political Subdivision"),"cost_service",IF($H2025="Investor Owned",IF(AND(COUNTIF(Parameters!$A$4:$A$33,$G2025)&gt;0,COUNTIF(Parameters!$B$4:$B$33,$B2025)=0),"procurement","cost_service"),"unclassified"))))))</f>
        <v>excluded</v>
      </c>
    </row>
    <row r="2026" spans="1:26" x14ac:dyDescent="0.25">
      <c r="A2026">
        <v>2024</v>
      </c>
      <c r="B2026">
        <v>59579</v>
      </c>
      <c r="C2026" t="s">
        <v>1550</v>
      </c>
      <c r="D2026" t="s">
        <v>84</v>
      </c>
      <c r="E2026" t="s">
        <v>85</v>
      </c>
      <c r="F2026" t="s">
        <v>86</v>
      </c>
      <c r="G2026" t="s">
        <v>195</v>
      </c>
      <c r="H2026" t="s">
        <v>1475</v>
      </c>
      <c r="I2026" t="s">
        <v>624</v>
      </c>
      <c r="J2026">
        <v>536.9</v>
      </c>
      <c r="K2026">
        <v>2513</v>
      </c>
      <c r="L2026">
        <v>242</v>
      </c>
      <c r="M2026" t="s">
        <v>97</v>
      </c>
      <c r="N2026" t="s">
        <v>97</v>
      </c>
      <c r="O2026" t="s">
        <v>97</v>
      </c>
      <c r="P2026" t="s">
        <v>97</v>
      </c>
      <c r="Q2026" t="s">
        <v>97</v>
      </c>
      <c r="R2026" t="s">
        <v>97</v>
      </c>
      <c r="S2026" t="s">
        <v>97</v>
      </c>
      <c r="T2026" t="s">
        <v>97</v>
      </c>
      <c r="U2026" t="s">
        <v>97</v>
      </c>
      <c r="V2026">
        <v>536.9</v>
      </c>
      <c r="W2026">
        <v>2513</v>
      </c>
      <c r="X2026">
        <v>242</v>
      </c>
      <c r="Y2026">
        <f t="shared" si="31"/>
        <v>2513</v>
      </c>
      <c r="Z2026" t="str">
        <f>IF(ISNUMBER(SEARCH("Adjustment",$C2026)),"excluded",IF($H2026="Behind the Meter","excluded",IF(NOT(OR($E2026="Bundled",$E2026="Energy")),"excluded",IF(OR($H2026="Retail Power Marketer",$H2026="Community Choice Aggregator",$E2026="Energy"),"procurement",IF(OR($H2026="Municipal",$H2026="Cooperative",$H2026="Federal",$H2026="State",$H2026="Political Subdivision"),"cost_service",IF($H2026="Investor Owned",IF(AND(COUNTIF(Parameters!$A$4:$A$33,$G2026)&gt;0,COUNTIF(Parameters!$B$4:$B$33,$B2026)=0),"procurement","cost_service"),"unclassified"))))))</f>
        <v>excluded</v>
      </c>
    </row>
    <row r="2027" spans="1:26" x14ac:dyDescent="0.25">
      <c r="A2027">
        <v>2024</v>
      </c>
      <c r="B2027">
        <v>59579</v>
      </c>
      <c r="C2027" t="s">
        <v>1550</v>
      </c>
      <c r="D2027" t="s">
        <v>84</v>
      </c>
      <c r="E2027" t="s">
        <v>85</v>
      </c>
      <c r="F2027" t="s">
        <v>86</v>
      </c>
      <c r="G2027" t="s">
        <v>195</v>
      </c>
      <c r="H2027" t="s">
        <v>1475</v>
      </c>
      <c r="I2027" t="s">
        <v>518</v>
      </c>
      <c r="J2027">
        <v>269.3</v>
      </c>
      <c r="K2027">
        <v>1261</v>
      </c>
      <c r="L2027">
        <v>121</v>
      </c>
      <c r="M2027" t="s">
        <v>97</v>
      </c>
      <c r="N2027" t="s">
        <v>97</v>
      </c>
      <c r="O2027" t="s">
        <v>97</v>
      </c>
      <c r="P2027" t="s">
        <v>97</v>
      </c>
      <c r="Q2027" t="s">
        <v>97</v>
      </c>
      <c r="R2027" t="s">
        <v>97</v>
      </c>
      <c r="S2027" t="s">
        <v>97</v>
      </c>
      <c r="T2027" t="s">
        <v>97</v>
      </c>
      <c r="U2027" t="s">
        <v>97</v>
      </c>
      <c r="V2027">
        <v>269.3</v>
      </c>
      <c r="W2027">
        <v>1261</v>
      </c>
      <c r="X2027">
        <v>121</v>
      </c>
      <c r="Y2027">
        <f t="shared" si="31"/>
        <v>1261</v>
      </c>
      <c r="Z2027" t="str">
        <f>IF(ISNUMBER(SEARCH("Adjustment",$C2027)),"excluded",IF($H2027="Behind the Meter","excluded",IF(NOT(OR($E2027="Bundled",$E2027="Energy")),"excluded",IF(OR($H2027="Retail Power Marketer",$H2027="Community Choice Aggregator",$E2027="Energy"),"procurement",IF(OR($H2027="Municipal",$H2027="Cooperative",$H2027="Federal",$H2027="State",$H2027="Political Subdivision"),"cost_service",IF($H2027="Investor Owned",IF(AND(COUNTIF(Parameters!$A$4:$A$33,$G2027)&gt;0,COUNTIF(Parameters!$B$4:$B$33,$B2027)=0),"procurement","cost_service"),"unclassified"))))))</f>
        <v>excluded</v>
      </c>
    </row>
    <row r="2028" spans="1:26" x14ac:dyDescent="0.25">
      <c r="A2028">
        <v>2024</v>
      </c>
      <c r="B2028">
        <v>59579</v>
      </c>
      <c r="C2028" t="s">
        <v>1550</v>
      </c>
      <c r="D2028" t="s">
        <v>84</v>
      </c>
      <c r="E2028" t="s">
        <v>85</v>
      </c>
      <c r="F2028" t="s">
        <v>86</v>
      </c>
      <c r="G2028" t="s">
        <v>195</v>
      </c>
      <c r="H2028" t="s">
        <v>1475</v>
      </c>
      <c r="I2028" t="s">
        <v>1210</v>
      </c>
      <c r="J2028">
        <v>2802</v>
      </c>
      <c r="K2028">
        <v>13119</v>
      </c>
      <c r="L2028">
        <v>1261</v>
      </c>
      <c r="M2028" t="s">
        <v>97</v>
      </c>
      <c r="N2028" t="s">
        <v>97</v>
      </c>
      <c r="O2028" t="s">
        <v>97</v>
      </c>
      <c r="P2028" t="s">
        <v>97</v>
      </c>
      <c r="Q2028" t="s">
        <v>97</v>
      </c>
      <c r="R2028" t="s">
        <v>97</v>
      </c>
      <c r="S2028" t="s">
        <v>97</v>
      </c>
      <c r="T2028" t="s">
        <v>97</v>
      </c>
      <c r="U2028" t="s">
        <v>97</v>
      </c>
      <c r="V2028">
        <v>2802</v>
      </c>
      <c r="W2028">
        <v>13119</v>
      </c>
      <c r="X2028">
        <v>1261</v>
      </c>
      <c r="Y2028">
        <f t="shared" si="31"/>
        <v>13119</v>
      </c>
      <c r="Z2028" t="str">
        <f>IF(ISNUMBER(SEARCH("Adjustment",$C2028)),"excluded",IF($H2028="Behind the Meter","excluded",IF(NOT(OR($E2028="Bundled",$E2028="Energy")),"excluded",IF(OR($H2028="Retail Power Marketer",$H2028="Community Choice Aggregator",$E2028="Energy"),"procurement",IF(OR($H2028="Municipal",$H2028="Cooperative",$H2028="Federal",$H2028="State",$H2028="Political Subdivision"),"cost_service",IF($H2028="Investor Owned",IF(AND(COUNTIF(Parameters!$A$4:$A$33,$G2028)&gt;0,COUNTIF(Parameters!$B$4:$B$33,$B2028)=0),"procurement","cost_service"),"unclassified"))))))</f>
        <v>excluded</v>
      </c>
    </row>
    <row r="2029" spans="1:26" x14ac:dyDescent="0.25">
      <c r="A2029">
        <v>2024</v>
      </c>
      <c r="B2029">
        <v>59579</v>
      </c>
      <c r="C2029" t="s">
        <v>1550</v>
      </c>
      <c r="D2029" t="s">
        <v>84</v>
      </c>
      <c r="E2029" t="s">
        <v>85</v>
      </c>
      <c r="F2029" t="s">
        <v>86</v>
      </c>
      <c r="G2029" t="s">
        <v>195</v>
      </c>
      <c r="H2029" t="s">
        <v>1475</v>
      </c>
      <c r="I2029" t="s">
        <v>299</v>
      </c>
      <c r="J2029">
        <v>1800.6</v>
      </c>
      <c r="K2029">
        <v>8430</v>
      </c>
      <c r="L2029">
        <v>810</v>
      </c>
      <c r="M2029" t="s">
        <v>97</v>
      </c>
      <c r="N2029" t="s">
        <v>97</v>
      </c>
      <c r="O2029" t="s">
        <v>97</v>
      </c>
      <c r="P2029" t="s">
        <v>97</v>
      </c>
      <c r="Q2029" t="s">
        <v>97</v>
      </c>
      <c r="R2029" t="s">
        <v>97</v>
      </c>
      <c r="S2029" t="s">
        <v>97</v>
      </c>
      <c r="T2029" t="s">
        <v>97</v>
      </c>
      <c r="U2029" t="s">
        <v>97</v>
      </c>
      <c r="V2029">
        <v>1800.6</v>
      </c>
      <c r="W2029">
        <v>8430</v>
      </c>
      <c r="X2029">
        <v>810</v>
      </c>
      <c r="Y2029">
        <f t="shared" si="31"/>
        <v>8430</v>
      </c>
      <c r="Z2029" t="str">
        <f>IF(ISNUMBER(SEARCH("Adjustment",$C2029)),"excluded",IF($H2029="Behind the Meter","excluded",IF(NOT(OR($E2029="Bundled",$E2029="Energy")),"excluded",IF(OR($H2029="Retail Power Marketer",$H2029="Community Choice Aggregator",$E2029="Energy"),"procurement",IF(OR($H2029="Municipal",$H2029="Cooperative",$H2029="Federal",$H2029="State",$H2029="Political Subdivision"),"cost_service",IF($H2029="Investor Owned",IF(AND(COUNTIF(Parameters!$A$4:$A$33,$G2029)&gt;0,COUNTIF(Parameters!$B$4:$B$33,$B2029)=0),"procurement","cost_service"),"unclassified"))))))</f>
        <v>excluded</v>
      </c>
    </row>
    <row r="2030" spans="1:26" x14ac:dyDescent="0.25">
      <c r="A2030">
        <v>2024</v>
      </c>
      <c r="B2030">
        <v>59579</v>
      </c>
      <c r="C2030" t="s">
        <v>1550</v>
      </c>
      <c r="D2030" t="s">
        <v>84</v>
      </c>
      <c r="E2030" t="s">
        <v>85</v>
      </c>
      <c r="F2030" t="s">
        <v>86</v>
      </c>
      <c r="G2030" t="s">
        <v>195</v>
      </c>
      <c r="H2030" t="s">
        <v>1475</v>
      </c>
      <c r="I2030" t="s">
        <v>528</v>
      </c>
      <c r="J2030">
        <v>81</v>
      </c>
      <c r="K2030">
        <v>379</v>
      </c>
      <c r="L2030">
        <v>36</v>
      </c>
      <c r="M2030" t="s">
        <v>97</v>
      </c>
      <c r="N2030" t="s">
        <v>97</v>
      </c>
      <c r="O2030" t="s">
        <v>97</v>
      </c>
      <c r="P2030" t="s">
        <v>97</v>
      </c>
      <c r="Q2030" t="s">
        <v>97</v>
      </c>
      <c r="R2030" t="s">
        <v>97</v>
      </c>
      <c r="S2030" t="s">
        <v>97</v>
      </c>
      <c r="T2030" t="s">
        <v>97</v>
      </c>
      <c r="U2030" t="s">
        <v>97</v>
      </c>
      <c r="V2030">
        <v>81</v>
      </c>
      <c r="W2030">
        <v>379</v>
      </c>
      <c r="X2030">
        <v>36</v>
      </c>
      <c r="Y2030">
        <f t="shared" si="31"/>
        <v>379</v>
      </c>
      <c r="Z2030" t="str">
        <f>IF(ISNUMBER(SEARCH("Adjustment",$C2030)),"excluded",IF($H2030="Behind the Meter","excluded",IF(NOT(OR($E2030="Bundled",$E2030="Energy")),"excluded",IF(OR($H2030="Retail Power Marketer",$H2030="Community Choice Aggregator",$E2030="Energy"),"procurement",IF(OR($H2030="Municipal",$H2030="Cooperative",$H2030="Federal",$H2030="State",$H2030="Political Subdivision"),"cost_service",IF($H2030="Investor Owned",IF(AND(COUNTIF(Parameters!$A$4:$A$33,$G2030)&gt;0,COUNTIF(Parameters!$B$4:$B$33,$B2030)=0),"procurement","cost_service"),"unclassified"))))))</f>
        <v>excluded</v>
      </c>
    </row>
    <row r="2031" spans="1:26" x14ac:dyDescent="0.25">
      <c r="A2031">
        <v>2024</v>
      </c>
      <c r="B2031">
        <v>59579</v>
      </c>
      <c r="C2031" t="s">
        <v>1550</v>
      </c>
      <c r="D2031" t="s">
        <v>84</v>
      </c>
      <c r="E2031" t="s">
        <v>85</v>
      </c>
      <c r="F2031" t="s">
        <v>86</v>
      </c>
      <c r="G2031" t="s">
        <v>123</v>
      </c>
      <c r="H2031" t="s">
        <v>1475</v>
      </c>
      <c r="I2031" t="s">
        <v>113</v>
      </c>
      <c r="J2031">
        <v>10.5</v>
      </c>
      <c r="K2031">
        <v>55</v>
      </c>
      <c r="L2031">
        <v>10</v>
      </c>
      <c r="M2031" t="s">
        <v>97</v>
      </c>
      <c r="N2031" t="s">
        <v>97</v>
      </c>
      <c r="O2031" t="s">
        <v>97</v>
      </c>
      <c r="P2031" t="s">
        <v>97</v>
      </c>
      <c r="Q2031" t="s">
        <v>97</v>
      </c>
      <c r="R2031" t="s">
        <v>97</v>
      </c>
      <c r="S2031" t="s">
        <v>97</v>
      </c>
      <c r="T2031" t="s">
        <v>97</v>
      </c>
      <c r="U2031" t="s">
        <v>97</v>
      </c>
      <c r="V2031">
        <v>10.5</v>
      </c>
      <c r="W2031">
        <v>55</v>
      </c>
      <c r="X2031">
        <v>10</v>
      </c>
      <c r="Y2031">
        <f t="shared" si="31"/>
        <v>55</v>
      </c>
      <c r="Z2031" t="str">
        <f>IF(ISNUMBER(SEARCH("Adjustment",$C2031)),"excluded",IF($H2031="Behind the Meter","excluded",IF(NOT(OR($E2031="Bundled",$E2031="Energy")),"excluded",IF(OR($H2031="Retail Power Marketer",$H2031="Community Choice Aggregator",$E2031="Energy"),"procurement",IF(OR($H2031="Municipal",$H2031="Cooperative",$H2031="Federal",$H2031="State",$H2031="Political Subdivision"),"cost_service",IF($H2031="Investor Owned",IF(AND(COUNTIF(Parameters!$A$4:$A$33,$G2031)&gt;0,COUNTIF(Parameters!$B$4:$B$33,$B2031)=0),"procurement","cost_service"),"unclassified"))))))</f>
        <v>excluded</v>
      </c>
    </row>
    <row r="2032" spans="1:26" x14ac:dyDescent="0.25">
      <c r="A2032">
        <v>2024</v>
      </c>
      <c r="B2032">
        <v>59579</v>
      </c>
      <c r="C2032" t="s">
        <v>1550</v>
      </c>
      <c r="D2032" t="s">
        <v>84</v>
      </c>
      <c r="E2032" t="s">
        <v>85</v>
      </c>
      <c r="F2032" t="s">
        <v>86</v>
      </c>
      <c r="G2032" t="s">
        <v>605</v>
      </c>
      <c r="H2032" t="s">
        <v>1475</v>
      </c>
      <c r="I2032" t="s">
        <v>119</v>
      </c>
      <c r="J2032">
        <v>715.6</v>
      </c>
      <c r="K2032">
        <v>2002</v>
      </c>
      <c r="L2032">
        <v>193</v>
      </c>
      <c r="M2032" t="s">
        <v>97</v>
      </c>
      <c r="N2032" t="s">
        <v>97</v>
      </c>
      <c r="O2032" t="s">
        <v>97</v>
      </c>
      <c r="P2032" t="s">
        <v>97</v>
      </c>
      <c r="Q2032" t="s">
        <v>97</v>
      </c>
      <c r="R2032" t="s">
        <v>97</v>
      </c>
      <c r="S2032" t="s">
        <v>97</v>
      </c>
      <c r="T2032" t="s">
        <v>97</v>
      </c>
      <c r="U2032" t="s">
        <v>97</v>
      </c>
      <c r="V2032">
        <v>715.6</v>
      </c>
      <c r="W2032">
        <v>2002</v>
      </c>
      <c r="X2032">
        <v>193</v>
      </c>
      <c r="Y2032">
        <f t="shared" si="31"/>
        <v>2002</v>
      </c>
      <c r="Z2032" t="str">
        <f>IF(ISNUMBER(SEARCH("Adjustment",$C2032)),"excluded",IF($H2032="Behind the Meter","excluded",IF(NOT(OR($E2032="Bundled",$E2032="Energy")),"excluded",IF(OR($H2032="Retail Power Marketer",$H2032="Community Choice Aggregator",$E2032="Energy"),"procurement",IF(OR($H2032="Municipal",$H2032="Cooperative",$H2032="Federal",$H2032="State",$H2032="Political Subdivision"),"cost_service",IF($H2032="Investor Owned",IF(AND(COUNTIF(Parameters!$A$4:$A$33,$G2032)&gt;0,COUNTIF(Parameters!$B$4:$B$33,$B2032)=0),"procurement","cost_service"),"unclassified"))))))</f>
        <v>excluded</v>
      </c>
    </row>
    <row r="2033" spans="1:26" x14ac:dyDescent="0.25">
      <c r="A2033">
        <v>2024</v>
      </c>
      <c r="B2033">
        <v>59579</v>
      </c>
      <c r="C2033" t="s">
        <v>1550</v>
      </c>
      <c r="D2033" t="s">
        <v>84</v>
      </c>
      <c r="E2033" t="s">
        <v>85</v>
      </c>
      <c r="F2033" t="s">
        <v>86</v>
      </c>
      <c r="G2033" t="s">
        <v>605</v>
      </c>
      <c r="H2033" t="s">
        <v>1475</v>
      </c>
      <c r="I2033" t="s">
        <v>1271</v>
      </c>
      <c r="J2033">
        <v>2430</v>
      </c>
      <c r="K2033">
        <v>6797</v>
      </c>
      <c r="L2033">
        <v>656</v>
      </c>
      <c r="M2033" t="s">
        <v>97</v>
      </c>
      <c r="N2033" t="s">
        <v>97</v>
      </c>
      <c r="O2033" t="s">
        <v>97</v>
      </c>
      <c r="P2033" t="s">
        <v>97</v>
      </c>
      <c r="Q2033" t="s">
        <v>97</v>
      </c>
      <c r="R2033" t="s">
        <v>97</v>
      </c>
      <c r="S2033" t="s">
        <v>97</v>
      </c>
      <c r="T2033" t="s">
        <v>97</v>
      </c>
      <c r="U2033" t="s">
        <v>97</v>
      </c>
      <c r="V2033">
        <v>2430</v>
      </c>
      <c r="W2033">
        <v>6797</v>
      </c>
      <c r="X2033">
        <v>656</v>
      </c>
      <c r="Y2033">
        <f t="shared" si="31"/>
        <v>6797</v>
      </c>
      <c r="Z2033" t="str">
        <f>IF(ISNUMBER(SEARCH("Adjustment",$C2033)),"excluded",IF($H2033="Behind the Meter","excluded",IF(NOT(OR($E2033="Bundled",$E2033="Energy")),"excluded",IF(OR($H2033="Retail Power Marketer",$H2033="Community Choice Aggregator",$E2033="Energy"),"procurement",IF(OR($H2033="Municipal",$H2033="Cooperative",$H2033="Federal",$H2033="State",$H2033="Political Subdivision"),"cost_service",IF($H2033="Investor Owned",IF(AND(COUNTIF(Parameters!$A$4:$A$33,$G2033)&gt;0,COUNTIF(Parameters!$B$4:$B$33,$B2033)=0),"procurement","cost_service"),"unclassified"))))))</f>
        <v>excluded</v>
      </c>
    </row>
    <row r="2034" spans="1:26" x14ac:dyDescent="0.25">
      <c r="A2034">
        <v>2024</v>
      </c>
      <c r="B2034">
        <v>59579</v>
      </c>
      <c r="C2034" t="s">
        <v>1550</v>
      </c>
      <c r="D2034" t="s">
        <v>84</v>
      </c>
      <c r="E2034" t="s">
        <v>85</v>
      </c>
      <c r="F2034" t="s">
        <v>86</v>
      </c>
      <c r="G2034" t="s">
        <v>490</v>
      </c>
      <c r="H2034" t="s">
        <v>1475</v>
      </c>
      <c r="I2034" t="s">
        <v>640</v>
      </c>
      <c r="J2034">
        <v>5.9</v>
      </c>
      <c r="K2034">
        <v>24</v>
      </c>
      <c r="L2034">
        <v>5</v>
      </c>
      <c r="M2034" t="s">
        <v>97</v>
      </c>
      <c r="N2034" t="s">
        <v>97</v>
      </c>
      <c r="O2034" t="s">
        <v>97</v>
      </c>
      <c r="P2034" t="s">
        <v>97</v>
      </c>
      <c r="Q2034" t="s">
        <v>97</v>
      </c>
      <c r="R2034" t="s">
        <v>97</v>
      </c>
      <c r="S2034" t="s">
        <v>97</v>
      </c>
      <c r="T2034" t="s">
        <v>97</v>
      </c>
      <c r="U2034" t="s">
        <v>97</v>
      </c>
      <c r="V2034">
        <v>5.9</v>
      </c>
      <c r="W2034">
        <v>24</v>
      </c>
      <c r="X2034">
        <v>5</v>
      </c>
      <c r="Y2034">
        <f t="shared" si="31"/>
        <v>24</v>
      </c>
      <c r="Z2034" t="str">
        <f>IF(ISNUMBER(SEARCH("Adjustment",$C2034)),"excluded",IF($H2034="Behind the Meter","excluded",IF(NOT(OR($E2034="Bundled",$E2034="Energy")),"excluded",IF(OR($H2034="Retail Power Marketer",$H2034="Community Choice Aggregator",$E2034="Energy"),"procurement",IF(OR($H2034="Municipal",$H2034="Cooperative",$H2034="Federal",$H2034="State",$H2034="Political Subdivision"),"cost_service",IF($H2034="Investor Owned",IF(AND(COUNTIF(Parameters!$A$4:$A$33,$G2034)&gt;0,COUNTIF(Parameters!$B$4:$B$33,$B2034)=0),"procurement","cost_service"),"unclassified"))))))</f>
        <v>excluded</v>
      </c>
    </row>
    <row r="2035" spans="1:26" x14ac:dyDescent="0.25">
      <c r="A2035">
        <v>2024</v>
      </c>
      <c r="B2035">
        <v>59579</v>
      </c>
      <c r="C2035" t="s">
        <v>1550</v>
      </c>
      <c r="D2035" t="s">
        <v>84</v>
      </c>
      <c r="E2035" t="s">
        <v>85</v>
      </c>
      <c r="F2035" t="s">
        <v>86</v>
      </c>
      <c r="G2035" t="s">
        <v>46</v>
      </c>
      <c r="H2035" t="s">
        <v>1475</v>
      </c>
      <c r="I2035" t="s">
        <v>92</v>
      </c>
      <c r="J2035">
        <v>1126.7</v>
      </c>
      <c r="K2035">
        <v>5469</v>
      </c>
      <c r="L2035">
        <v>524</v>
      </c>
      <c r="M2035" t="s">
        <v>97</v>
      </c>
      <c r="N2035" t="s">
        <v>97</v>
      </c>
      <c r="O2035" t="s">
        <v>97</v>
      </c>
      <c r="P2035" t="s">
        <v>97</v>
      </c>
      <c r="Q2035" t="s">
        <v>97</v>
      </c>
      <c r="R2035" t="s">
        <v>97</v>
      </c>
      <c r="S2035" t="s">
        <v>97</v>
      </c>
      <c r="T2035" t="s">
        <v>97</v>
      </c>
      <c r="U2035" t="s">
        <v>97</v>
      </c>
      <c r="V2035">
        <v>1126.7</v>
      </c>
      <c r="W2035">
        <v>5469</v>
      </c>
      <c r="X2035">
        <v>524</v>
      </c>
      <c r="Y2035">
        <f t="shared" si="31"/>
        <v>5469</v>
      </c>
      <c r="Z2035" t="str">
        <f>IF(ISNUMBER(SEARCH("Adjustment",$C2035)),"excluded",IF($H2035="Behind the Meter","excluded",IF(NOT(OR($E2035="Bundled",$E2035="Energy")),"excluded",IF(OR($H2035="Retail Power Marketer",$H2035="Community Choice Aggregator",$E2035="Energy"),"procurement",IF(OR($H2035="Municipal",$H2035="Cooperative",$H2035="Federal",$H2035="State",$H2035="Political Subdivision"),"cost_service",IF($H2035="Investor Owned",IF(AND(COUNTIF(Parameters!$A$4:$A$33,$G2035)&gt;0,COUNTIF(Parameters!$B$4:$B$33,$B2035)=0),"procurement","cost_service"),"unclassified"))))))</f>
        <v>excluded</v>
      </c>
    </row>
    <row r="2036" spans="1:26" x14ac:dyDescent="0.25">
      <c r="A2036">
        <v>2024</v>
      </c>
      <c r="B2036">
        <v>59579</v>
      </c>
      <c r="C2036" t="s">
        <v>1550</v>
      </c>
      <c r="D2036" t="s">
        <v>84</v>
      </c>
      <c r="E2036" t="s">
        <v>85</v>
      </c>
      <c r="F2036" t="s">
        <v>86</v>
      </c>
      <c r="G2036" t="s">
        <v>46</v>
      </c>
      <c r="H2036" t="s">
        <v>1475</v>
      </c>
      <c r="I2036" t="s">
        <v>96</v>
      </c>
      <c r="J2036">
        <v>3073.8</v>
      </c>
      <c r="K2036">
        <v>14921</v>
      </c>
      <c r="L2036">
        <v>1431</v>
      </c>
      <c r="M2036" t="s">
        <v>97</v>
      </c>
      <c r="N2036" t="s">
        <v>97</v>
      </c>
      <c r="O2036" t="s">
        <v>97</v>
      </c>
      <c r="P2036" t="s">
        <v>97</v>
      </c>
      <c r="Q2036" t="s">
        <v>97</v>
      </c>
      <c r="R2036" t="s">
        <v>97</v>
      </c>
      <c r="S2036" t="s">
        <v>97</v>
      </c>
      <c r="T2036" t="s">
        <v>97</v>
      </c>
      <c r="U2036" t="s">
        <v>97</v>
      </c>
      <c r="V2036">
        <v>3073.8</v>
      </c>
      <c r="W2036">
        <v>14921</v>
      </c>
      <c r="X2036">
        <v>1431</v>
      </c>
      <c r="Y2036">
        <f t="shared" si="31"/>
        <v>14921</v>
      </c>
      <c r="Z2036" t="str">
        <f>IF(ISNUMBER(SEARCH("Adjustment",$C2036)),"excluded",IF($H2036="Behind the Meter","excluded",IF(NOT(OR($E2036="Bundled",$E2036="Energy")),"excluded",IF(OR($H2036="Retail Power Marketer",$H2036="Community Choice Aggregator",$E2036="Energy"),"procurement",IF(OR($H2036="Municipal",$H2036="Cooperative",$H2036="Federal",$H2036="State",$H2036="Political Subdivision"),"cost_service",IF($H2036="Investor Owned",IF(AND(COUNTIF(Parameters!$A$4:$A$33,$G2036)&gt;0,COUNTIF(Parameters!$B$4:$B$33,$B2036)=0),"procurement","cost_service"),"unclassified"))))))</f>
        <v>excluded</v>
      </c>
    </row>
    <row r="2037" spans="1:26" x14ac:dyDescent="0.25">
      <c r="A2037">
        <v>2024</v>
      </c>
      <c r="B2037">
        <v>59579</v>
      </c>
      <c r="C2037" t="s">
        <v>1550</v>
      </c>
      <c r="D2037" t="s">
        <v>84</v>
      </c>
      <c r="E2037" t="s">
        <v>85</v>
      </c>
      <c r="F2037" t="s">
        <v>86</v>
      </c>
      <c r="G2037" t="s">
        <v>46</v>
      </c>
      <c r="H2037" t="s">
        <v>1475</v>
      </c>
      <c r="I2037" t="s">
        <v>1551</v>
      </c>
      <c r="J2037">
        <v>0</v>
      </c>
      <c r="K2037">
        <v>0</v>
      </c>
      <c r="L2037">
        <v>0</v>
      </c>
      <c r="M2037" t="s">
        <v>97</v>
      </c>
      <c r="N2037" t="s">
        <v>97</v>
      </c>
      <c r="O2037" t="s">
        <v>97</v>
      </c>
      <c r="P2037" t="s">
        <v>97</v>
      </c>
      <c r="Q2037" t="s">
        <v>97</v>
      </c>
      <c r="R2037" t="s">
        <v>97</v>
      </c>
      <c r="S2037" t="s">
        <v>97</v>
      </c>
      <c r="T2037" t="s">
        <v>97</v>
      </c>
      <c r="U2037" t="s">
        <v>97</v>
      </c>
      <c r="V2037">
        <v>0</v>
      </c>
      <c r="W2037">
        <v>0</v>
      </c>
      <c r="X2037">
        <v>0</v>
      </c>
      <c r="Y2037">
        <f t="shared" si="31"/>
        <v>0</v>
      </c>
      <c r="Z2037" t="str">
        <f>IF(ISNUMBER(SEARCH("Adjustment",$C2037)),"excluded",IF($H2037="Behind the Meter","excluded",IF(NOT(OR($E2037="Bundled",$E2037="Energy")),"excluded",IF(OR($H2037="Retail Power Marketer",$H2037="Community Choice Aggregator",$E2037="Energy"),"procurement",IF(OR($H2037="Municipal",$H2037="Cooperative",$H2037="Federal",$H2037="State",$H2037="Political Subdivision"),"cost_service",IF($H2037="Investor Owned",IF(AND(COUNTIF(Parameters!$A$4:$A$33,$G2037)&gt;0,COUNTIF(Parameters!$B$4:$B$33,$B2037)=0),"procurement","cost_service"),"unclassified"))))))</f>
        <v>excluded</v>
      </c>
    </row>
    <row r="2038" spans="1:26" x14ac:dyDescent="0.25">
      <c r="A2038">
        <v>2024</v>
      </c>
      <c r="B2038">
        <v>59579</v>
      </c>
      <c r="C2038" t="s">
        <v>1550</v>
      </c>
      <c r="D2038" t="s">
        <v>84</v>
      </c>
      <c r="E2038" t="s">
        <v>85</v>
      </c>
      <c r="F2038" t="s">
        <v>86</v>
      </c>
      <c r="G2038" t="s">
        <v>130</v>
      </c>
      <c r="H2038" t="s">
        <v>1475</v>
      </c>
      <c r="I2038" t="s">
        <v>96</v>
      </c>
      <c r="J2038">
        <v>4.4000000000000004</v>
      </c>
      <c r="K2038">
        <v>18</v>
      </c>
      <c r="L2038">
        <v>2</v>
      </c>
      <c r="M2038" t="s">
        <v>97</v>
      </c>
      <c r="N2038" t="s">
        <v>97</v>
      </c>
      <c r="O2038" t="s">
        <v>97</v>
      </c>
      <c r="P2038" t="s">
        <v>97</v>
      </c>
      <c r="Q2038" t="s">
        <v>97</v>
      </c>
      <c r="R2038" t="s">
        <v>97</v>
      </c>
      <c r="S2038" t="s">
        <v>97</v>
      </c>
      <c r="T2038" t="s">
        <v>97</v>
      </c>
      <c r="U2038" t="s">
        <v>97</v>
      </c>
      <c r="V2038">
        <v>4.4000000000000004</v>
      </c>
      <c r="W2038">
        <v>18</v>
      </c>
      <c r="X2038">
        <v>2</v>
      </c>
      <c r="Y2038">
        <f t="shared" si="31"/>
        <v>18</v>
      </c>
      <c r="Z2038" t="str">
        <f>IF(ISNUMBER(SEARCH("Adjustment",$C2038)),"excluded",IF($H2038="Behind the Meter","excluded",IF(NOT(OR($E2038="Bundled",$E2038="Energy")),"excluded",IF(OR($H2038="Retail Power Marketer",$H2038="Community Choice Aggregator",$E2038="Energy"),"procurement",IF(OR($H2038="Municipal",$H2038="Cooperative",$H2038="Federal",$H2038="State",$H2038="Political Subdivision"),"cost_service",IF($H2038="Investor Owned",IF(AND(COUNTIF(Parameters!$A$4:$A$33,$G2038)&gt;0,COUNTIF(Parameters!$B$4:$B$33,$B2038)=0),"procurement","cost_service"),"unclassified"))))))</f>
        <v>excluded</v>
      </c>
    </row>
    <row r="2039" spans="1:26" x14ac:dyDescent="0.25">
      <c r="A2039">
        <v>2024</v>
      </c>
      <c r="B2039">
        <v>59579</v>
      </c>
      <c r="C2039" t="s">
        <v>1550</v>
      </c>
      <c r="D2039" t="s">
        <v>84</v>
      </c>
      <c r="E2039" t="s">
        <v>85</v>
      </c>
      <c r="F2039" t="s">
        <v>86</v>
      </c>
      <c r="G2039" t="s">
        <v>134</v>
      </c>
      <c r="H2039" t="s">
        <v>1475</v>
      </c>
      <c r="I2039" t="s">
        <v>135</v>
      </c>
      <c r="J2039">
        <v>0</v>
      </c>
      <c r="K2039">
        <v>0</v>
      </c>
      <c r="L2039">
        <v>0</v>
      </c>
      <c r="M2039" t="s">
        <v>97</v>
      </c>
      <c r="N2039" t="s">
        <v>97</v>
      </c>
      <c r="O2039" t="s">
        <v>97</v>
      </c>
      <c r="P2039" t="s">
        <v>97</v>
      </c>
      <c r="Q2039" t="s">
        <v>97</v>
      </c>
      <c r="R2039" t="s">
        <v>97</v>
      </c>
      <c r="S2039" t="s">
        <v>97</v>
      </c>
      <c r="T2039" t="s">
        <v>97</v>
      </c>
      <c r="U2039" t="s">
        <v>97</v>
      </c>
      <c r="V2039">
        <v>0</v>
      </c>
      <c r="W2039">
        <v>0</v>
      </c>
      <c r="X2039">
        <v>0</v>
      </c>
      <c r="Y2039">
        <f t="shared" si="31"/>
        <v>0</v>
      </c>
      <c r="Z2039" t="str">
        <f>IF(ISNUMBER(SEARCH("Adjustment",$C2039)),"excluded",IF($H2039="Behind the Meter","excluded",IF(NOT(OR($E2039="Bundled",$E2039="Energy")),"excluded",IF(OR($H2039="Retail Power Marketer",$H2039="Community Choice Aggregator",$E2039="Energy"),"procurement",IF(OR($H2039="Municipal",$H2039="Cooperative",$H2039="Federal",$H2039="State",$H2039="Political Subdivision"),"cost_service",IF($H2039="Investor Owned",IF(AND(COUNTIF(Parameters!$A$4:$A$33,$G2039)&gt;0,COUNTIF(Parameters!$B$4:$B$33,$B2039)=0),"procurement","cost_service"),"unclassified"))))))</f>
        <v>excluded</v>
      </c>
    </row>
    <row r="2040" spans="1:26" x14ac:dyDescent="0.25">
      <c r="A2040">
        <v>2024</v>
      </c>
      <c r="B2040">
        <v>59579</v>
      </c>
      <c r="C2040" t="s">
        <v>1550</v>
      </c>
      <c r="D2040" t="s">
        <v>84</v>
      </c>
      <c r="E2040" t="s">
        <v>85</v>
      </c>
      <c r="F2040" t="s">
        <v>86</v>
      </c>
      <c r="G2040" t="s">
        <v>209</v>
      </c>
      <c r="H2040" t="s">
        <v>1475</v>
      </c>
      <c r="I2040" t="s">
        <v>534</v>
      </c>
      <c r="J2040">
        <v>0</v>
      </c>
      <c r="K2040">
        <v>0</v>
      </c>
      <c r="L2040">
        <v>0</v>
      </c>
      <c r="M2040" t="s">
        <v>97</v>
      </c>
      <c r="N2040" t="s">
        <v>97</v>
      </c>
      <c r="O2040" t="s">
        <v>97</v>
      </c>
      <c r="P2040" t="s">
        <v>97</v>
      </c>
      <c r="Q2040" t="s">
        <v>97</v>
      </c>
      <c r="R2040" t="s">
        <v>97</v>
      </c>
      <c r="S2040" t="s">
        <v>97</v>
      </c>
      <c r="T2040" t="s">
        <v>97</v>
      </c>
      <c r="U2040" t="s">
        <v>97</v>
      </c>
      <c r="V2040">
        <v>0</v>
      </c>
      <c r="W2040">
        <v>0</v>
      </c>
      <c r="X2040">
        <v>0</v>
      </c>
      <c r="Y2040">
        <f t="shared" si="31"/>
        <v>0</v>
      </c>
      <c r="Z2040" t="str">
        <f>IF(ISNUMBER(SEARCH("Adjustment",$C2040)),"excluded",IF($H2040="Behind the Meter","excluded",IF(NOT(OR($E2040="Bundled",$E2040="Energy")),"excluded",IF(OR($H2040="Retail Power Marketer",$H2040="Community Choice Aggregator",$E2040="Energy"),"procurement",IF(OR($H2040="Municipal",$H2040="Cooperative",$H2040="Federal",$H2040="State",$H2040="Political Subdivision"),"cost_service",IF($H2040="Investor Owned",IF(AND(COUNTIF(Parameters!$A$4:$A$33,$G2040)&gt;0,COUNTIF(Parameters!$B$4:$B$33,$B2040)=0),"procurement","cost_service"),"unclassified"))))))</f>
        <v>excluded</v>
      </c>
    </row>
    <row r="2041" spans="1:26" x14ac:dyDescent="0.25">
      <c r="A2041">
        <v>2024</v>
      </c>
      <c r="B2041">
        <v>59579</v>
      </c>
      <c r="C2041" t="s">
        <v>1550</v>
      </c>
      <c r="D2041" t="s">
        <v>84</v>
      </c>
      <c r="E2041" t="s">
        <v>85</v>
      </c>
      <c r="F2041" t="s">
        <v>86</v>
      </c>
      <c r="G2041" t="s">
        <v>209</v>
      </c>
      <c r="H2041" t="s">
        <v>1475</v>
      </c>
      <c r="I2041" t="s">
        <v>92</v>
      </c>
      <c r="J2041">
        <v>0</v>
      </c>
      <c r="K2041">
        <v>0</v>
      </c>
      <c r="L2041">
        <v>0</v>
      </c>
      <c r="M2041" t="s">
        <v>97</v>
      </c>
      <c r="N2041" t="s">
        <v>97</v>
      </c>
      <c r="O2041" t="s">
        <v>97</v>
      </c>
      <c r="P2041" t="s">
        <v>97</v>
      </c>
      <c r="Q2041" t="s">
        <v>97</v>
      </c>
      <c r="R2041" t="s">
        <v>97</v>
      </c>
      <c r="S2041" t="s">
        <v>97</v>
      </c>
      <c r="T2041" t="s">
        <v>97</v>
      </c>
      <c r="U2041" t="s">
        <v>97</v>
      </c>
      <c r="V2041">
        <v>0</v>
      </c>
      <c r="W2041">
        <v>0</v>
      </c>
      <c r="X2041">
        <v>0</v>
      </c>
      <c r="Y2041">
        <f t="shared" si="31"/>
        <v>0</v>
      </c>
      <c r="Z2041" t="str">
        <f>IF(ISNUMBER(SEARCH("Adjustment",$C2041)),"excluded",IF($H2041="Behind the Meter","excluded",IF(NOT(OR($E2041="Bundled",$E2041="Energy")),"excluded",IF(OR($H2041="Retail Power Marketer",$H2041="Community Choice Aggregator",$E2041="Energy"),"procurement",IF(OR($H2041="Municipal",$H2041="Cooperative",$H2041="Federal",$H2041="State",$H2041="Political Subdivision"),"cost_service",IF($H2041="Investor Owned",IF(AND(COUNTIF(Parameters!$A$4:$A$33,$G2041)&gt;0,COUNTIF(Parameters!$B$4:$B$33,$B2041)=0),"procurement","cost_service"),"unclassified"))))))</f>
        <v>excluded</v>
      </c>
    </row>
    <row r="2042" spans="1:26" x14ac:dyDescent="0.25">
      <c r="A2042">
        <v>2024</v>
      </c>
      <c r="B2042">
        <v>59579</v>
      </c>
      <c r="C2042" t="s">
        <v>1550</v>
      </c>
      <c r="D2042" t="s">
        <v>84</v>
      </c>
      <c r="E2042" t="s">
        <v>85</v>
      </c>
      <c r="F2042" t="s">
        <v>86</v>
      </c>
      <c r="G2042" t="s">
        <v>138</v>
      </c>
      <c r="H2042" t="s">
        <v>1475</v>
      </c>
      <c r="I2042" t="s">
        <v>96</v>
      </c>
      <c r="J2042">
        <v>15.7</v>
      </c>
      <c r="K2042">
        <v>91</v>
      </c>
      <c r="L2042">
        <v>16</v>
      </c>
      <c r="M2042" t="s">
        <v>97</v>
      </c>
      <c r="N2042" t="s">
        <v>97</v>
      </c>
      <c r="O2042" t="s">
        <v>97</v>
      </c>
      <c r="P2042" t="s">
        <v>97</v>
      </c>
      <c r="Q2042" t="s">
        <v>97</v>
      </c>
      <c r="R2042" t="s">
        <v>97</v>
      </c>
      <c r="S2042" t="s">
        <v>97</v>
      </c>
      <c r="T2042" t="s">
        <v>97</v>
      </c>
      <c r="U2042" t="s">
        <v>97</v>
      </c>
      <c r="V2042">
        <v>15.7</v>
      </c>
      <c r="W2042">
        <v>91</v>
      </c>
      <c r="X2042">
        <v>16</v>
      </c>
      <c r="Y2042">
        <f t="shared" si="31"/>
        <v>91</v>
      </c>
      <c r="Z2042" t="str">
        <f>IF(ISNUMBER(SEARCH("Adjustment",$C2042)),"excluded",IF($H2042="Behind the Meter","excluded",IF(NOT(OR($E2042="Bundled",$E2042="Energy")),"excluded",IF(OR($H2042="Retail Power Marketer",$H2042="Community Choice Aggregator",$E2042="Energy"),"procurement",IF(OR($H2042="Municipal",$H2042="Cooperative",$H2042="Federal",$H2042="State",$H2042="Political Subdivision"),"cost_service",IF($H2042="Investor Owned",IF(AND(COUNTIF(Parameters!$A$4:$A$33,$G2042)&gt;0,COUNTIF(Parameters!$B$4:$B$33,$B2042)=0),"procurement","cost_service"),"unclassified"))))))</f>
        <v>excluded</v>
      </c>
    </row>
    <row r="2043" spans="1:26" x14ac:dyDescent="0.25">
      <c r="A2043">
        <v>2024</v>
      </c>
      <c r="B2043">
        <v>59579</v>
      </c>
      <c r="C2043" t="s">
        <v>1550</v>
      </c>
      <c r="D2043" t="s">
        <v>84</v>
      </c>
      <c r="E2043" t="s">
        <v>85</v>
      </c>
      <c r="F2043" t="s">
        <v>86</v>
      </c>
      <c r="G2043" t="s">
        <v>138</v>
      </c>
      <c r="H2043" t="s">
        <v>1475</v>
      </c>
      <c r="I2043" t="s">
        <v>135</v>
      </c>
      <c r="J2043">
        <v>5.9</v>
      </c>
      <c r="K2043">
        <v>34</v>
      </c>
      <c r="L2043">
        <v>6</v>
      </c>
      <c r="M2043" t="s">
        <v>97</v>
      </c>
      <c r="N2043" t="s">
        <v>97</v>
      </c>
      <c r="O2043" t="s">
        <v>97</v>
      </c>
      <c r="P2043" t="s">
        <v>97</v>
      </c>
      <c r="Q2043" t="s">
        <v>97</v>
      </c>
      <c r="R2043" t="s">
        <v>97</v>
      </c>
      <c r="S2043" t="s">
        <v>97</v>
      </c>
      <c r="T2043" t="s">
        <v>97</v>
      </c>
      <c r="U2043" t="s">
        <v>97</v>
      </c>
      <c r="V2043">
        <v>5.9</v>
      </c>
      <c r="W2043">
        <v>34</v>
      </c>
      <c r="X2043">
        <v>6</v>
      </c>
      <c r="Y2043">
        <f t="shared" si="31"/>
        <v>34</v>
      </c>
      <c r="Z2043" t="str">
        <f>IF(ISNUMBER(SEARCH("Adjustment",$C2043)),"excluded",IF($H2043="Behind the Meter","excluded",IF(NOT(OR($E2043="Bundled",$E2043="Energy")),"excluded",IF(OR($H2043="Retail Power Marketer",$H2043="Community Choice Aggregator",$E2043="Energy"),"procurement",IF(OR($H2043="Municipal",$H2043="Cooperative",$H2043="Federal",$H2043="State",$H2043="Political Subdivision"),"cost_service",IF($H2043="Investor Owned",IF(AND(COUNTIF(Parameters!$A$4:$A$33,$G2043)&gt;0,COUNTIF(Parameters!$B$4:$B$33,$B2043)=0),"procurement","cost_service"),"unclassified"))))))</f>
        <v>excluded</v>
      </c>
    </row>
    <row r="2044" spans="1:26" x14ac:dyDescent="0.25">
      <c r="A2044">
        <v>2024</v>
      </c>
      <c r="B2044">
        <v>59579</v>
      </c>
      <c r="C2044" t="s">
        <v>1550</v>
      </c>
      <c r="D2044" t="s">
        <v>84</v>
      </c>
      <c r="E2044" t="s">
        <v>85</v>
      </c>
      <c r="F2044" t="s">
        <v>86</v>
      </c>
      <c r="G2044" t="s">
        <v>48</v>
      </c>
      <c r="H2044" t="s">
        <v>1475</v>
      </c>
      <c r="I2044" t="s">
        <v>189</v>
      </c>
      <c r="J2044">
        <v>30807.3</v>
      </c>
      <c r="K2044">
        <v>129453</v>
      </c>
      <c r="L2044">
        <v>16865</v>
      </c>
      <c r="M2044" t="s">
        <v>97</v>
      </c>
      <c r="N2044" t="s">
        <v>97</v>
      </c>
      <c r="O2044" t="s">
        <v>97</v>
      </c>
      <c r="P2044" t="s">
        <v>97</v>
      </c>
      <c r="Q2044" t="s">
        <v>97</v>
      </c>
      <c r="R2044" t="s">
        <v>97</v>
      </c>
      <c r="S2044" t="s">
        <v>97</v>
      </c>
      <c r="T2044" t="s">
        <v>97</v>
      </c>
      <c r="U2044" t="s">
        <v>97</v>
      </c>
      <c r="V2044">
        <v>30807.3</v>
      </c>
      <c r="W2044">
        <v>129453</v>
      </c>
      <c r="X2044">
        <v>16865</v>
      </c>
      <c r="Y2044">
        <f t="shared" si="31"/>
        <v>129453</v>
      </c>
      <c r="Z2044" t="str">
        <f>IF(ISNUMBER(SEARCH("Adjustment",$C2044)),"excluded",IF($H2044="Behind the Meter","excluded",IF(NOT(OR($E2044="Bundled",$E2044="Energy")),"excluded",IF(OR($H2044="Retail Power Marketer",$H2044="Community Choice Aggregator",$E2044="Energy"),"procurement",IF(OR($H2044="Municipal",$H2044="Cooperative",$H2044="Federal",$H2044="State",$H2044="Political Subdivision"),"cost_service",IF($H2044="Investor Owned",IF(AND(COUNTIF(Parameters!$A$4:$A$33,$G2044)&gt;0,COUNTIF(Parameters!$B$4:$B$33,$B2044)=0),"procurement","cost_service"),"unclassified"))))))</f>
        <v>excluded</v>
      </c>
    </row>
    <row r="2045" spans="1:26" x14ac:dyDescent="0.25">
      <c r="A2045">
        <v>2024</v>
      </c>
      <c r="B2045">
        <v>59579</v>
      </c>
      <c r="C2045" t="s">
        <v>1550</v>
      </c>
      <c r="D2045" t="s">
        <v>84</v>
      </c>
      <c r="E2045" t="s">
        <v>85</v>
      </c>
      <c r="F2045" t="s">
        <v>86</v>
      </c>
      <c r="G2045" t="s">
        <v>49</v>
      </c>
      <c r="H2045" t="s">
        <v>1475</v>
      </c>
      <c r="I2045" t="s">
        <v>92</v>
      </c>
      <c r="J2045">
        <v>8262.4</v>
      </c>
      <c r="K2045">
        <v>44253</v>
      </c>
      <c r="L2045">
        <v>4578</v>
      </c>
      <c r="M2045" t="s">
        <v>97</v>
      </c>
      <c r="N2045" t="s">
        <v>97</v>
      </c>
      <c r="O2045" t="s">
        <v>97</v>
      </c>
      <c r="P2045" t="s">
        <v>97</v>
      </c>
      <c r="Q2045" t="s">
        <v>97</v>
      </c>
      <c r="R2045" t="s">
        <v>97</v>
      </c>
      <c r="S2045" t="s">
        <v>97</v>
      </c>
      <c r="T2045" t="s">
        <v>97</v>
      </c>
      <c r="U2045" t="s">
        <v>97</v>
      </c>
      <c r="V2045">
        <v>8262.4</v>
      </c>
      <c r="W2045">
        <v>44253</v>
      </c>
      <c r="X2045">
        <v>4578</v>
      </c>
      <c r="Y2045">
        <f t="shared" si="31"/>
        <v>44253</v>
      </c>
      <c r="Z2045" t="str">
        <f>IF(ISNUMBER(SEARCH("Adjustment",$C2045)),"excluded",IF($H2045="Behind the Meter","excluded",IF(NOT(OR($E2045="Bundled",$E2045="Energy")),"excluded",IF(OR($H2045="Retail Power Marketer",$H2045="Community Choice Aggregator",$E2045="Energy"),"procurement",IF(OR($H2045="Municipal",$H2045="Cooperative",$H2045="Federal",$H2045="State",$H2045="Political Subdivision"),"cost_service",IF($H2045="Investor Owned",IF(AND(COUNTIF(Parameters!$A$4:$A$33,$G2045)&gt;0,COUNTIF(Parameters!$B$4:$B$33,$B2045)=0),"procurement","cost_service"),"unclassified"))))))</f>
        <v>excluded</v>
      </c>
    </row>
    <row r="2046" spans="1:26" x14ac:dyDescent="0.25">
      <c r="A2046">
        <v>2024</v>
      </c>
      <c r="B2046">
        <v>59579</v>
      </c>
      <c r="C2046" t="s">
        <v>1550</v>
      </c>
      <c r="D2046" t="s">
        <v>84</v>
      </c>
      <c r="E2046" t="s">
        <v>85</v>
      </c>
      <c r="F2046" t="s">
        <v>86</v>
      </c>
      <c r="G2046" t="s">
        <v>50</v>
      </c>
      <c r="H2046" t="s">
        <v>1475</v>
      </c>
      <c r="I2046" t="s">
        <v>189</v>
      </c>
      <c r="J2046">
        <v>177</v>
      </c>
      <c r="K2046">
        <v>726</v>
      </c>
      <c r="L2046">
        <v>80</v>
      </c>
      <c r="M2046" t="s">
        <v>97</v>
      </c>
      <c r="N2046" t="s">
        <v>97</v>
      </c>
      <c r="O2046" t="s">
        <v>97</v>
      </c>
      <c r="P2046" t="s">
        <v>97</v>
      </c>
      <c r="Q2046" t="s">
        <v>97</v>
      </c>
      <c r="R2046" t="s">
        <v>97</v>
      </c>
      <c r="S2046" t="s">
        <v>97</v>
      </c>
      <c r="T2046" t="s">
        <v>97</v>
      </c>
      <c r="U2046" t="s">
        <v>97</v>
      </c>
      <c r="V2046">
        <v>177</v>
      </c>
      <c r="W2046">
        <v>726</v>
      </c>
      <c r="X2046">
        <v>80</v>
      </c>
      <c r="Y2046">
        <f t="shared" si="31"/>
        <v>726</v>
      </c>
      <c r="Z2046" t="str">
        <f>IF(ISNUMBER(SEARCH("Adjustment",$C2046)),"excluded",IF($H2046="Behind the Meter","excluded",IF(NOT(OR($E2046="Bundled",$E2046="Energy")),"excluded",IF(OR($H2046="Retail Power Marketer",$H2046="Community Choice Aggregator",$E2046="Energy"),"procurement",IF(OR($H2046="Municipal",$H2046="Cooperative",$H2046="Federal",$H2046="State",$H2046="Political Subdivision"),"cost_service",IF($H2046="Investor Owned",IF(AND(COUNTIF(Parameters!$A$4:$A$33,$G2046)&gt;0,COUNTIF(Parameters!$B$4:$B$33,$B2046)=0),"procurement","cost_service"),"unclassified"))))))</f>
        <v>excluded</v>
      </c>
    </row>
    <row r="2047" spans="1:26" x14ac:dyDescent="0.25">
      <c r="A2047">
        <v>2024</v>
      </c>
      <c r="B2047">
        <v>59579</v>
      </c>
      <c r="C2047" t="s">
        <v>1550</v>
      </c>
      <c r="D2047" t="s">
        <v>84</v>
      </c>
      <c r="E2047" t="s">
        <v>85</v>
      </c>
      <c r="F2047" t="s">
        <v>86</v>
      </c>
      <c r="G2047" t="s">
        <v>140</v>
      </c>
      <c r="H2047" t="s">
        <v>1475</v>
      </c>
      <c r="I2047" t="s">
        <v>92</v>
      </c>
      <c r="J2047">
        <v>0</v>
      </c>
      <c r="K2047">
        <v>0</v>
      </c>
      <c r="L2047">
        <v>0</v>
      </c>
      <c r="M2047" t="s">
        <v>97</v>
      </c>
      <c r="N2047" t="s">
        <v>97</v>
      </c>
      <c r="O2047" t="s">
        <v>97</v>
      </c>
      <c r="P2047" t="s">
        <v>97</v>
      </c>
      <c r="Q2047" t="s">
        <v>97</v>
      </c>
      <c r="R2047" t="s">
        <v>97</v>
      </c>
      <c r="S2047" t="s">
        <v>97</v>
      </c>
      <c r="T2047" t="s">
        <v>97</v>
      </c>
      <c r="U2047" t="s">
        <v>97</v>
      </c>
      <c r="V2047">
        <v>0</v>
      </c>
      <c r="W2047">
        <v>0</v>
      </c>
      <c r="X2047">
        <v>0</v>
      </c>
      <c r="Y2047">
        <f t="shared" si="31"/>
        <v>0</v>
      </c>
      <c r="Z2047" t="str">
        <f>IF(ISNUMBER(SEARCH("Adjustment",$C2047)),"excluded",IF($H2047="Behind the Meter","excluded",IF(NOT(OR($E2047="Bundled",$E2047="Energy")),"excluded",IF(OR($H2047="Retail Power Marketer",$H2047="Community Choice Aggregator",$E2047="Energy"),"procurement",IF(OR($H2047="Municipal",$H2047="Cooperative",$H2047="Federal",$H2047="State",$H2047="Political Subdivision"),"cost_service",IF($H2047="Investor Owned",IF(AND(COUNTIF(Parameters!$A$4:$A$33,$G2047)&gt;0,COUNTIF(Parameters!$B$4:$B$33,$B2047)=0),"procurement","cost_service"),"unclassified"))))))</f>
        <v>excluded</v>
      </c>
    </row>
    <row r="2048" spans="1:26" x14ac:dyDescent="0.25">
      <c r="A2048">
        <v>2024</v>
      </c>
      <c r="B2048">
        <v>59579</v>
      </c>
      <c r="C2048" t="s">
        <v>1550</v>
      </c>
      <c r="D2048" t="s">
        <v>84</v>
      </c>
      <c r="E2048" t="s">
        <v>85</v>
      </c>
      <c r="F2048" t="s">
        <v>86</v>
      </c>
      <c r="G2048" t="s">
        <v>140</v>
      </c>
      <c r="H2048" t="s">
        <v>1475</v>
      </c>
      <c r="I2048" t="s">
        <v>96</v>
      </c>
      <c r="J2048">
        <v>0</v>
      </c>
      <c r="K2048">
        <v>0</v>
      </c>
      <c r="L2048">
        <v>0</v>
      </c>
      <c r="M2048" t="s">
        <v>97</v>
      </c>
      <c r="N2048" t="s">
        <v>97</v>
      </c>
      <c r="O2048" t="s">
        <v>97</v>
      </c>
      <c r="P2048" t="s">
        <v>97</v>
      </c>
      <c r="Q2048" t="s">
        <v>97</v>
      </c>
      <c r="R2048" t="s">
        <v>97</v>
      </c>
      <c r="S2048" t="s">
        <v>97</v>
      </c>
      <c r="T2048" t="s">
        <v>97</v>
      </c>
      <c r="U2048" t="s">
        <v>97</v>
      </c>
      <c r="V2048">
        <v>0</v>
      </c>
      <c r="W2048">
        <v>0</v>
      </c>
      <c r="X2048">
        <v>0</v>
      </c>
      <c r="Y2048">
        <f t="shared" si="31"/>
        <v>0</v>
      </c>
      <c r="Z2048" t="str">
        <f>IF(ISNUMBER(SEARCH("Adjustment",$C2048)),"excluded",IF($H2048="Behind the Meter","excluded",IF(NOT(OR($E2048="Bundled",$E2048="Energy")),"excluded",IF(OR($H2048="Retail Power Marketer",$H2048="Community Choice Aggregator",$E2048="Energy"),"procurement",IF(OR($H2048="Municipal",$H2048="Cooperative",$H2048="Federal",$H2048="State",$H2048="Political Subdivision"),"cost_service",IF($H2048="Investor Owned",IF(AND(COUNTIF(Parameters!$A$4:$A$33,$G2048)&gt;0,COUNTIF(Parameters!$B$4:$B$33,$B2048)=0),"procurement","cost_service"),"unclassified"))))))</f>
        <v>excluded</v>
      </c>
    </row>
    <row r="2049" spans="1:26" x14ac:dyDescent="0.25">
      <c r="A2049">
        <v>2024</v>
      </c>
      <c r="B2049">
        <v>59579</v>
      </c>
      <c r="C2049" t="s">
        <v>1550</v>
      </c>
      <c r="D2049" t="s">
        <v>84</v>
      </c>
      <c r="E2049" t="s">
        <v>85</v>
      </c>
      <c r="F2049" t="s">
        <v>86</v>
      </c>
      <c r="G2049" t="s">
        <v>104</v>
      </c>
      <c r="H2049" t="s">
        <v>1475</v>
      </c>
      <c r="I2049" t="s">
        <v>96</v>
      </c>
      <c r="J2049">
        <v>0</v>
      </c>
      <c r="K2049">
        <v>0</v>
      </c>
      <c r="L2049">
        <v>0</v>
      </c>
      <c r="M2049" t="s">
        <v>97</v>
      </c>
      <c r="N2049" t="s">
        <v>97</v>
      </c>
      <c r="O2049" t="s">
        <v>97</v>
      </c>
      <c r="P2049" t="s">
        <v>97</v>
      </c>
      <c r="Q2049" t="s">
        <v>97</v>
      </c>
      <c r="R2049" t="s">
        <v>97</v>
      </c>
      <c r="S2049" t="s">
        <v>97</v>
      </c>
      <c r="T2049" t="s">
        <v>97</v>
      </c>
      <c r="U2049" t="s">
        <v>97</v>
      </c>
      <c r="V2049">
        <v>0</v>
      </c>
      <c r="W2049">
        <v>0</v>
      </c>
      <c r="X2049">
        <v>0</v>
      </c>
      <c r="Y2049">
        <f t="shared" si="31"/>
        <v>0</v>
      </c>
      <c r="Z2049" t="str">
        <f>IF(ISNUMBER(SEARCH("Adjustment",$C2049)),"excluded",IF($H2049="Behind the Meter","excluded",IF(NOT(OR($E2049="Bundled",$E2049="Energy")),"excluded",IF(OR($H2049="Retail Power Marketer",$H2049="Community Choice Aggregator",$E2049="Energy"),"procurement",IF(OR($H2049="Municipal",$H2049="Cooperative",$H2049="Federal",$H2049="State",$H2049="Political Subdivision"),"cost_service",IF($H2049="Investor Owned",IF(AND(COUNTIF(Parameters!$A$4:$A$33,$G2049)&gt;0,COUNTIF(Parameters!$B$4:$B$33,$B2049)=0),"procurement","cost_service"),"unclassified"))))))</f>
        <v>excluded</v>
      </c>
    </row>
    <row r="2050" spans="1:26" x14ac:dyDescent="0.25">
      <c r="A2050">
        <v>2024</v>
      </c>
      <c r="B2050">
        <v>59579</v>
      </c>
      <c r="C2050" t="s">
        <v>1550</v>
      </c>
      <c r="D2050" t="s">
        <v>84</v>
      </c>
      <c r="E2050" t="s">
        <v>85</v>
      </c>
      <c r="F2050" t="s">
        <v>86</v>
      </c>
      <c r="G2050" t="s">
        <v>226</v>
      </c>
      <c r="H2050" t="s">
        <v>1475</v>
      </c>
      <c r="I2050" t="s">
        <v>227</v>
      </c>
      <c r="J2050">
        <v>0</v>
      </c>
      <c r="K2050">
        <v>0</v>
      </c>
      <c r="L2050">
        <v>0</v>
      </c>
      <c r="M2050" t="s">
        <v>97</v>
      </c>
      <c r="N2050" t="s">
        <v>97</v>
      </c>
      <c r="O2050" t="s">
        <v>97</v>
      </c>
      <c r="P2050" t="s">
        <v>97</v>
      </c>
      <c r="Q2050" t="s">
        <v>97</v>
      </c>
      <c r="R2050" t="s">
        <v>97</v>
      </c>
      <c r="S2050" t="s">
        <v>97</v>
      </c>
      <c r="T2050" t="s">
        <v>97</v>
      </c>
      <c r="U2050" t="s">
        <v>97</v>
      </c>
      <c r="V2050">
        <v>0</v>
      </c>
      <c r="W2050">
        <v>0</v>
      </c>
      <c r="X2050">
        <v>0</v>
      </c>
      <c r="Y2050">
        <f t="shared" si="31"/>
        <v>0</v>
      </c>
      <c r="Z2050" t="str">
        <f>IF(ISNUMBER(SEARCH("Adjustment",$C2050)),"excluded",IF($H2050="Behind the Meter","excluded",IF(NOT(OR($E2050="Bundled",$E2050="Energy")),"excluded",IF(OR($H2050="Retail Power Marketer",$H2050="Community Choice Aggregator",$E2050="Energy"),"procurement",IF(OR($H2050="Municipal",$H2050="Cooperative",$H2050="Federal",$H2050="State",$H2050="Political Subdivision"),"cost_service",IF($H2050="Investor Owned",IF(AND(COUNTIF(Parameters!$A$4:$A$33,$G2050)&gt;0,COUNTIF(Parameters!$B$4:$B$33,$B2050)=0),"procurement","cost_service"),"unclassified"))))))</f>
        <v>excluded</v>
      </c>
    </row>
    <row r="2051" spans="1:26" x14ac:dyDescent="0.25">
      <c r="A2051">
        <v>2024</v>
      </c>
      <c r="B2051">
        <v>59579</v>
      </c>
      <c r="C2051" t="s">
        <v>1550</v>
      </c>
      <c r="D2051" t="s">
        <v>84</v>
      </c>
      <c r="E2051" t="s">
        <v>85</v>
      </c>
      <c r="F2051" t="s">
        <v>86</v>
      </c>
      <c r="G2051" t="s">
        <v>226</v>
      </c>
      <c r="H2051" t="s">
        <v>1475</v>
      </c>
      <c r="I2051" t="s">
        <v>980</v>
      </c>
      <c r="J2051">
        <v>0</v>
      </c>
      <c r="K2051">
        <v>0</v>
      </c>
      <c r="L2051">
        <v>0</v>
      </c>
      <c r="M2051" t="s">
        <v>97</v>
      </c>
      <c r="N2051" t="s">
        <v>97</v>
      </c>
      <c r="O2051" t="s">
        <v>97</v>
      </c>
      <c r="P2051" t="s">
        <v>97</v>
      </c>
      <c r="Q2051" t="s">
        <v>97</v>
      </c>
      <c r="R2051" t="s">
        <v>97</v>
      </c>
      <c r="S2051" t="s">
        <v>97</v>
      </c>
      <c r="T2051" t="s">
        <v>97</v>
      </c>
      <c r="U2051" t="s">
        <v>97</v>
      </c>
      <c r="V2051">
        <v>0</v>
      </c>
      <c r="W2051">
        <v>0</v>
      </c>
      <c r="X2051">
        <v>0</v>
      </c>
      <c r="Y2051">
        <f t="shared" si="31"/>
        <v>0</v>
      </c>
      <c r="Z2051" t="str">
        <f>IF(ISNUMBER(SEARCH("Adjustment",$C2051)),"excluded",IF($H2051="Behind the Meter","excluded",IF(NOT(OR($E2051="Bundled",$E2051="Energy")),"excluded",IF(OR($H2051="Retail Power Marketer",$H2051="Community Choice Aggregator",$E2051="Energy"),"procurement",IF(OR($H2051="Municipal",$H2051="Cooperative",$H2051="Federal",$H2051="State",$H2051="Political Subdivision"),"cost_service",IF($H2051="Investor Owned",IF(AND(COUNTIF(Parameters!$A$4:$A$33,$G2051)&gt;0,COUNTIF(Parameters!$B$4:$B$33,$B2051)=0),"procurement","cost_service"),"unclassified"))))))</f>
        <v>excluded</v>
      </c>
    </row>
    <row r="2052" spans="1:26" x14ac:dyDescent="0.25">
      <c r="A2052">
        <v>2024</v>
      </c>
      <c r="B2052">
        <v>59579</v>
      </c>
      <c r="C2052" t="s">
        <v>1550</v>
      </c>
      <c r="D2052" t="s">
        <v>84</v>
      </c>
      <c r="E2052" t="s">
        <v>85</v>
      </c>
      <c r="F2052" t="s">
        <v>86</v>
      </c>
      <c r="G2052" t="s">
        <v>226</v>
      </c>
      <c r="H2052" t="s">
        <v>1475</v>
      </c>
      <c r="I2052" t="s">
        <v>96</v>
      </c>
      <c r="J2052">
        <v>0</v>
      </c>
      <c r="K2052">
        <v>0</v>
      </c>
      <c r="L2052">
        <v>0</v>
      </c>
      <c r="M2052" t="s">
        <v>97</v>
      </c>
      <c r="N2052" t="s">
        <v>97</v>
      </c>
      <c r="O2052" t="s">
        <v>97</v>
      </c>
      <c r="P2052" t="s">
        <v>97</v>
      </c>
      <c r="Q2052" t="s">
        <v>97</v>
      </c>
      <c r="R2052" t="s">
        <v>97</v>
      </c>
      <c r="S2052" t="s">
        <v>97</v>
      </c>
      <c r="T2052" t="s">
        <v>97</v>
      </c>
      <c r="U2052" t="s">
        <v>97</v>
      </c>
      <c r="V2052">
        <v>0</v>
      </c>
      <c r="W2052">
        <v>0</v>
      </c>
      <c r="X2052">
        <v>0</v>
      </c>
      <c r="Y2052">
        <f t="shared" ref="Y2052:Y2115" si="32">IF(ISNUMBER($W2052),$W2052,0)</f>
        <v>0</v>
      </c>
      <c r="Z2052" t="str">
        <f>IF(ISNUMBER(SEARCH("Adjustment",$C2052)),"excluded",IF($H2052="Behind the Meter","excluded",IF(NOT(OR($E2052="Bundled",$E2052="Energy")),"excluded",IF(OR($H2052="Retail Power Marketer",$H2052="Community Choice Aggregator",$E2052="Energy"),"procurement",IF(OR($H2052="Municipal",$H2052="Cooperative",$H2052="Federal",$H2052="State",$H2052="Political Subdivision"),"cost_service",IF($H2052="Investor Owned",IF(AND(COUNTIF(Parameters!$A$4:$A$33,$G2052)&gt;0,COUNTIF(Parameters!$B$4:$B$33,$B2052)=0),"procurement","cost_service"),"unclassified"))))))</f>
        <v>excluded</v>
      </c>
    </row>
    <row r="2053" spans="1:26" x14ac:dyDescent="0.25">
      <c r="A2053">
        <v>2024</v>
      </c>
      <c r="B2053">
        <v>59579</v>
      </c>
      <c r="C2053" t="s">
        <v>1550</v>
      </c>
      <c r="D2053" t="s">
        <v>84</v>
      </c>
      <c r="E2053" t="s">
        <v>85</v>
      </c>
      <c r="F2053" t="s">
        <v>86</v>
      </c>
      <c r="G2053" t="s">
        <v>226</v>
      </c>
      <c r="H2053" t="s">
        <v>1475</v>
      </c>
      <c r="I2053" t="s">
        <v>135</v>
      </c>
      <c r="J2053">
        <v>1.1000000000000001</v>
      </c>
      <c r="K2053">
        <v>8</v>
      </c>
      <c r="L2053">
        <v>1</v>
      </c>
      <c r="M2053" t="s">
        <v>97</v>
      </c>
      <c r="N2053" t="s">
        <v>97</v>
      </c>
      <c r="O2053" t="s">
        <v>97</v>
      </c>
      <c r="P2053" t="s">
        <v>97</v>
      </c>
      <c r="Q2053" t="s">
        <v>97</v>
      </c>
      <c r="R2053" t="s">
        <v>97</v>
      </c>
      <c r="S2053" t="s">
        <v>97</v>
      </c>
      <c r="T2053" t="s">
        <v>97</v>
      </c>
      <c r="U2053" t="s">
        <v>97</v>
      </c>
      <c r="V2053">
        <v>1.1000000000000001</v>
      </c>
      <c r="W2053">
        <v>8</v>
      </c>
      <c r="X2053">
        <v>1</v>
      </c>
      <c r="Y2053">
        <f t="shared" si="32"/>
        <v>8</v>
      </c>
      <c r="Z2053" t="str">
        <f>IF(ISNUMBER(SEARCH("Adjustment",$C2053)),"excluded",IF($H2053="Behind the Meter","excluded",IF(NOT(OR($E2053="Bundled",$E2053="Energy")),"excluded",IF(OR($H2053="Retail Power Marketer",$H2053="Community Choice Aggregator",$E2053="Energy"),"procurement",IF(OR($H2053="Municipal",$H2053="Cooperative",$H2053="Federal",$H2053="State",$H2053="Political Subdivision"),"cost_service",IF($H2053="Investor Owned",IF(AND(COUNTIF(Parameters!$A$4:$A$33,$G2053)&gt;0,COUNTIF(Parameters!$B$4:$B$33,$B2053)=0),"procurement","cost_service"),"unclassified"))))))</f>
        <v>excluded</v>
      </c>
    </row>
    <row r="2054" spans="1:26" x14ac:dyDescent="0.25">
      <c r="A2054">
        <v>2024</v>
      </c>
      <c r="B2054">
        <v>59579</v>
      </c>
      <c r="C2054" t="s">
        <v>1550</v>
      </c>
      <c r="D2054" t="s">
        <v>84</v>
      </c>
      <c r="E2054" t="s">
        <v>85</v>
      </c>
      <c r="F2054" t="s">
        <v>86</v>
      </c>
      <c r="G2054" t="s">
        <v>125</v>
      </c>
      <c r="H2054" t="s">
        <v>1475</v>
      </c>
      <c r="I2054" t="s">
        <v>163</v>
      </c>
      <c r="J2054">
        <v>0</v>
      </c>
      <c r="K2054">
        <v>0</v>
      </c>
      <c r="L2054">
        <v>0</v>
      </c>
      <c r="M2054" t="s">
        <v>97</v>
      </c>
      <c r="N2054" t="s">
        <v>97</v>
      </c>
      <c r="O2054" t="s">
        <v>97</v>
      </c>
      <c r="P2054" t="s">
        <v>97</v>
      </c>
      <c r="Q2054" t="s">
        <v>97</v>
      </c>
      <c r="R2054" t="s">
        <v>97</v>
      </c>
      <c r="S2054" t="s">
        <v>97</v>
      </c>
      <c r="T2054" t="s">
        <v>97</v>
      </c>
      <c r="U2054" t="s">
        <v>97</v>
      </c>
      <c r="V2054">
        <v>0</v>
      </c>
      <c r="W2054">
        <v>0</v>
      </c>
      <c r="X2054">
        <v>0</v>
      </c>
      <c r="Y2054">
        <f t="shared" si="32"/>
        <v>0</v>
      </c>
      <c r="Z2054" t="str">
        <f>IF(ISNUMBER(SEARCH("Adjustment",$C2054)),"excluded",IF($H2054="Behind the Meter","excluded",IF(NOT(OR($E2054="Bundled",$E2054="Energy")),"excluded",IF(OR($H2054="Retail Power Marketer",$H2054="Community Choice Aggregator",$E2054="Energy"),"procurement",IF(OR($H2054="Municipal",$H2054="Cooperative",$H2054="Federal",$H2054="State",$H2054="Political Subdivision"),"cost_service",IF($H2054="Investor Owned",IF(AND(COUNTIF(Parameters!$A$4:$A$33,$G2054)&gt;0,COUNTIF(Parameters!$B$4:$B$33,$B2054)=0),"procurement","cost_service"),"unclassified"))))))</f>
        <v>excluded</v>
      </c>
    </row>
    <row r="2055" spans="1:26" x14ac:dyDescent="0.25">
      <c r="A2055">
        <v>2024</v>
      </c>
      <c r="B2055">
        <v>59579</v>
      </c>
      <c r="C2055" t="s">
        <v>1550</v>
      </c>
      <c r="D2055" t="s">
        <v>84</v>
      </c>
      <c r="E2055" t="s">
        <v>85</v>
      </c>
      <c r="F2055" t="s">
        <v>86</v>
      </c>
      <c r="G2055" t="s">
        <v>125</v>
      </c>
      <c r="H2055" t="s">
        <v>1475</v>
      </c>
      <c r="I2055" t="s">
        <v>126</v>
      </c>
      <c r="J2055">
        <v>0</v>
      </c>
      <c r="K2055">
        <v>0</v>
      </c>
      <c r="L2055">
        <v>0</v>
      </c>
      <c r="M2055" t="s">
        <v>97</v>
      </c>
      <c r="N2055" t="s">
        <v>97</v>
      </c>
      <c r="O2055" t="s">
        <v>97</v>
      </c>
      <c r="P2055" t="s">
        <v>97</v>
      </c>
      <c r="Q2055" t="s">
        <v>97</v>
      </c>
      <c r="R2055" t="s">
        <v>97</v>
      </c>
      <c r="S2055" t="s">
        <v>97</v>
      </c>
      <c r="T2055" t="s">
        <v>97</v>
      </c>
      <c r="U2055" t="s">
        <v>97</v>
      </c>
      <c r="V2055">
        <v>0</v>
      </c>
      <c r="W2055">
        <v>0</v>
      </c>
      <c r="X2055">
        <v>0</v>
      </c>
      <c r="Y2055">
        <f t="shared" si="32"/>
        <v>0</v>
      </c>
      <c r="Z2055" t="str">
        <f>IF(ISNUMBER(SEARCH("Adjustment",$C2055)),"excluded",IF($H2055="Behind the Meter","excluded",IF(NOT(OR($E2055="Bundled",$E2055="Energy")),"excluded",IF(OR($H2055="Retail Power Marketer",$H2055="Community Choice Aggregator",$E2055="Energy"),"procurement",IF(OR($H2055="Municipal",$H2055="Cooperative",$H2055="Federal",$H2055="State",$H2055="Political Subdivision"),"cost_service",IF($H2055="Investor Owned",IF(AND(COUNTIF(Parameters!$A$4:$A$33,$G2055)&gt;0,COUNTIF(Parameters!$B$4:$B$33,$B2055)=0),"procurement","cost_service"),"unclassified"))))))</f>
        <v>excluded</v>
      </c>
    </row>
    <row r="2056" spans="1:26" x14ac:dyDescent="0.25">
      <c r="A2056">
        <v>2024</v>
      </c>
      <c r="B2056">
        <v>59579</v>
      </c>
      <c r="C2056" t="s">
        <v>1550</v>
      </c>
      <c r="D2056" t="s">
        <v>84</v>
      </c>
      <c r="E2056" t="s">
        <v>85</v>
      </c>
      <c r="F2056" t="s">
        <v>86</v>
      </c>
      <c r="G2056" t="s">
        <v>51</v>
      </c>
      <c r="H2056" t="s">
        <v>1475</v>
      </c>
      <c r="I2056" t="s">
        <v>189</v>
      </c>
      <c r="J2056">
        <v>516.70000000000005</v>
      </c>
      <c r="K2056">
        <v>2126</v>
      </c>
      <c r="L2056">
        <v>241</v>
      </c>
      <c r="M2056" t="s">
        <v>97</v>
      </c>
      <c r="N2056" t="s">
        <v>97</v>
      </c>
      <c r="O2056" t="s">
        <v>97</v>
      </c>
      <c r="P2056" t="s">
        <v>97</v>
      </c>
      <c r="Q2056" t="s">
        <v>97</v>
      </c>
      <c r="R2056" t="s">
        <v>97</v>
      </c>
      <c r="S2056" t="s">
        <v>97</v>
      </c>
      <c r="T2056" t="s">
        <v>97</v>
      </c>
      <c r="U2056" t="s">
        <v>97</v>
      </c>
      <c r="V2056">
        <v>516.70000000000005</v>
      </c>
      <c r="W2056">
        <v>2126</v>
      </c>
      <c r="X2056">
        <v>241</v>
      </c>
      <c r="Y2056">
        <f t="shared" si="32"/>
        <v>2126</v>
      </c>
      <c r="Z2056" t="str">
        <f>IF(ISNUMBER(SEARCH("Adjustment",$C2056)),"excluded",IF($H2056="Behind the Meter","excluded",IF(NOT(OR($E2056="Bundled",$E2056="Energy")),"excluded",IF(OR($H2056="Retail Power Marketer",$H2056="Community Choice Aggregator",$E2056="Energy"),"procurement",IF(OR($H2056="Municipal",$H2056="Cooperative",$H2056="Federal",$H2056="State",$H2056="Political Subdivision"),"cost_service",IF($H2056="Investor Owned",IF(AND(COUNTIF(Parameters!$A$4:$A$33,$G2056)&gt;0,COUNTIF(Parameters!$B$4:$B$33,$B2056)=0),"procurement","cost_service"),"unclassified"))))))</f>
        <v>excluded</v>
      </c>
    </row>
    <row r="2057" spans="1:26" x14ac:dyDescent="0.25">
      <c r="A2057">
        <v>2024</v>
      </c>
      <c r="B2057">
        <v>59579</v>
      </c>
      <c r="C2057" t="s">
        <v>1550</v>
      </c>
      <c r="D2057" t="s">
        <v>84</v>
      </c>
      <c r="E2057" t="s">
        <v>85</v>
      </c>
      <c r="F2057" t="s">
        <v>86</v>
      </c>
      <c r="G2057" t="s">
        <v>52</v>
      </c>
      <c r="H2057" t="s">
        <v>1475</v>
      </c>
      <c r="I2057" t="s">
        <v>102</v>
      </c>
      <c r="J2057">
        <v>0</v>
      </c>
      <c r="K2057">
        <v>0</v>
      </c>
      <c r="L2057">
        <v>0</v>
      </c>
      <c r="M2057" t="s">
        <v>97</v>
      </c>
      <c r="N2057" t="s">
        <v>97</v>
      </c>
      <c r="O2057" t="s">
        <v>97</v>
      </c>
      <c r="P2057" t="s">
        <v>97</v>
      </c>
      <c r="Q2057" t="s">
        <v>97</v>
      </c>
      <c r="R2057" t="s">
        <v>97</v>
      </c>
      <c r="S2057" t="s">
        <v>97</v>
      </c>
      <c r="T2057" t="s">
        <v>97</v>
      </c>
      <c r="U2057" t="s">
        <v>97</v>
      </c>
      <c r="V2057">
        <v>0</v>
      </c>
      <c r="W2057">
        <v>0</v>
      </c>
      <c r="X2057">
        <v>0</v>
      </c>
      <c r="Y2057">
        <f t="shared" si="32"/>
        <v>0</v>
      </c>
      <c r="Z2057" t="str">
        <f>IF(ISNUMBER(SEARCH("Adjustment",$C2057)),"excluded",IF($H2057="Behind the Meter","excluded",IF(NOT(OR($E2057="Bundled",$E2057="Energy")),"excluded",IF(OR($H2057="Retail Power Marketer",$H2057="Community Choice Aggregator",$E2057="Energy"),"procurement",IF(OR($H2057="Municipal",$H2057="Cooperative",$H2057="Federal",$H2057="State",$H2057="Political Subdivision"),"cost_service",IF($H2057="Investor Owned",IF(AND(COUNTIF(Parameters!$A$4:$A$33,$G2057)&gt;0,COUNTIF(Parameters!$B$4:$B$33,$B2057)=0),"procurement","cost_service"),"unclassified"))))))</f>
        <v>excluded</v>
      </c>
    </row>
    <row r="2058" spans="1:26" x14ac:dyDescent="0.25">
      <c r="A2058">
        <v>2024</v>
      </c>
      <c r="B2058">
        <v>59579</v>
      </c>
      <c r="C2058" t="s">
        <v>1550</v>
      </c>
      <c r="D2058" t="s">
        <v>84</v>
      </c>
      <c r="E2058" t="s">
        <v>85</v>
      </c>
      <c r="F2058" t="s">
        <v>86</v>
      </c>
      <c r="G2058" t="s">
        <v>52</v>
      </c>
      <c r="H2058" t="s">
        <v>1475</v>
      </c>
      <c r="I2058" t="s">
        <v>92</v>
      </c>
      <c r="J2058">
        <v>47779.9</v>
      </c>
      <c r="K2058">
        <v>250957</v>
      </c>
      <c r="L2058">
        <v>30079</v>
      </c>
      <c r="M2058" t="s">
        <v>97</v>
      </c>
      <c r="N2058" t="s">
        <v>97</v>
      </c>
      <c r="O2058" t="s">
        <v>97</v>
      </c>
      <c r="P2058" t="s">
        <v>97</v>
      </c>
      <c r="Q2058" t="s">
        <v>97</v>
      </c>
      <c r="R2058" t="s">
        <v>97</v>
      </c>
      <c r="S2058" t="s">
        <v>97</v>
      </c>
      <c r="T2058" t="s">
        <v>97</v>
      </c>
      <c r="U2058" t="s">
        <v>97</v>
      </c>
      <c r="V2058">
        <v>47779.9</v>
      </c>
      <c r="W2058">
        <v>250957</v>
      </c>
      <c r="X2058">
        <v>30079</v>
      </c>
      <c r="Y2058">
        <f t="shared" si="32"/>
        <v>250957</v>
      </c>
      <c r="Z2058" t="str">
        <f>IF(ISNUMBER(SEARCH("Adjustment",$C2058)),"excluded",IF($H2058="Behind the Meter","excluded",IF(NOT(OR($E2058="Bundled",$E2058="Energy")),"excluded",IF(OR($H2058="Retail Power Marketer",$H2058="Community Choice Aggregator",$E2058="Energy"),"procurement",IF(OR($H2058="Municipal",$H2058="Cooperative",$H2058="Federal",$H2058="State",$H2058="Political Subdivision"),"cost_service",IF($H2058="Investor Owned",IF(AND(COUNTIF(Parameters!$A$4:$A$33,$G2058)&gt;0,COUNTIF(Parameters!$B$4:$B$33,$B2058)=0),"procurement","cost_service"),"unclassified"))))))</f>
        <v>excluded</v>
      </c>
    </row>
    <row r="2059" spans="1:26" x14ac:dyDescent="0.25">
      <c r="A2059">
        <v>2024</v>
      </c>
      <c r="B2059">
        <v>59579</v>
      </c>
      <c r="C2059" t="s">
        <v>1550</v>
      </c>
      <c r="D2059" t="s">
        <v>84</v>
      </c>
      <c r="E2059" t="s">
        <v>85</v>
      </c>
      <c r="F2059" t="s">
        <v>86</v>
      </c>
      <c r="G2059" t="s">
        <v>308</v>
      </c>
      <c r="H2059" t="s">
        <v>1475</v>
      </c>
      <c r="I2059" t="s">
        <v>468</v>
      </c>
      <c r="J2059">
        <v>36.200000000000003</v>
      </c>
      <c r="K2059">
        <v>180</v>
      </c>
      <c r="L2059">
        <v>20</v>
      </c>
      <c r="M2059" t="s">
        <v>97</v>
      </c>
      <c r="N2059" t="s">
        <v>97</v>
      </c>
      <c r="O2059" t="s">
        <v>97</v>
      </c>
      <c r="P2059" t="s">
        <v>97</v>
      </c>
      <c r="Q2059" t="s">
        <v>97</v>
      </c>
      <c r="R2059" t="s">
        <v>97</v>
      </c>
      <c r="S2059" t="s">
        <v>97</v>
      </c>
      <c r="T2059" t="s">
        <v>97</v>
      </c>
      <c r="U2059" t="s">
        <v>97</v>
      </c>
      <c r="V2059">
        <v>36.200000000000003</v>
      </c>
      <c r="W2059">
        <v>180</v>
      </c>
      <c r="X2059">
        <v>20</v>
      </c>
      <c r="Y2059">
        <f t="shared" si="32"/>
        <v>180</v>
      </c>
      <c r="Z2059" t="str">
        <f>IF(ISNUMBER(SEARCH("Adjustment",$C2059)),"excluded",IF($H2059="Behind the Meter","excluded",IF(NOT(OR($E2059="Bundled",$E2059="Energy")),"excluded",IF(OR($H2059="Retail Power Marketer",$H2059="Community Choice Aggregator",$E2059="Energy"),"procurement",IF(OR($H2059="Municipal",$H2059="Cooperative",$H2059="Federal",$H2059="State",$H2059="Political Subdivision"),"cost_service",IF($H2059="Investor Owned",IF(AND(COUNTIF(Parameters!$A$4:$A$33,$G2059)&gt;0,COUNTIF(Parameters!$B$4:$B$33,$B2059)=0),"procurement","cost_service"),"unclassified"))))))</f>
        <v>excluded</v>
      </c>
    </row>
    <row r="2060" spans="1:26" x14ac:dyDescent="0.25">
      <c r="A2060">
        <v>2024</v>
      </c>
      <c r="B2060">
        <v>59579</v>
      </c>
      <c r="C2060" t="s">
        <v>1550</v>
      </c>
      <c r="D2060" t="s">
        <v>84</v>
      </c>
      <c r="E2060" t="s">
        <v>85</v>
      </c>
      <c r="F2060" t="s">
        <v>86</v>
      </c>
      <c r="G2060" t="s">
        <v>308</v>
      </c>
      <c r="H2060" t="s">
        <v>1475</v>
      </c>
      <c r="I2060" t="s">
        <v>151</v>
      </c>
      <c r="J2060">
        <v>0</v>
      </c>
      <c r="K2060">
        <v>0</v>
      </c>
      <c r="L2060">
        <v>0</v>
      </c>
      <c r="M2060" t="s">
        <v>97</v>
      </c>
      <c r="N2060" t="s">
        <v>97</v>
      </c>
      <c r="O2060" t="s">
        <v>97</v>
      </c>
      <c r="P2060" t="s">
        <v>97</v>
      </c>
      <c r="Q2060" t="s">
        <v>97</v>
      </c>
      <c r="R2060" t="s">
        <v>97</v>
      </c>
      <c r="S2060" t="s">
        <v>97</v>
      </c>
      <c r="T2060" t="s">
        <v>97</v>
      </c>
      <c r="U2060" t="s">
        <v>97</v>
      </c>
      <c r="V2060">
        <v>0</v>
      </c>
      <c r="W2060">
        <v>0</v>
      </c>
      <c r="X2060">
        <v>0</v>
      </c>
      <c r="Y2060">
        <f t="shared" si="32"/>
        <v>0</v>
      </c>
      <c r="Z2060" t="str">
        <f>IF(ISNUMBER(SEARCH("Adjustment",$C2060)),"excluded",IF($H2060="Behind the Meter","excluded",IF(NOT(OR($E2060="Bundled",$E2060="Energy")),"excluded",IF(OR($H2060="Retail Power Marketer",$H2060="Community Choice Aggregator",$E2060="Energy"),"procurement",IF(OR($H2060="Municipal",$H2060="Cooperative",$H2060="Federal",$H2060="State",$H2060="Political Subdivision"),"cost_service",IF($H2060="Investor Owned",IF(AND(COUNTIF(Parameters!$A$4:$A$33,$G2060)&gt;0,COUNTIF(Parameters!$B$4:$B$33,$B2060)=0),"procurement","cost_service"),"unclassified"))))))</f>
        <v>excluded</v>
      </c>
    </row>
    <row r="2061" spans="1:26" x14ac:dyDescent="0.25">
      <c r="A2061">
        <v>2024</v>
      </c>
      <c r="B2061">
        <v>59579</v>
      </c>
      <c r="C2061" t="s">
        <v>1550</v>
      </c>
      <c r="D2061" t="s">
        <v>84</v>
      </c>
      <c r="E2061" t="s">
        <v>85</v>
      </c>
      <c r="F2061" t="s">
        <v>86</v>
      </c>
      <c r="G2061" t="s">
        <v>308</v>
      </c>
      <c r="H2061" t="s">
        <v>1475</v>
      </c>
      <c r="I2061" t="s">
        <v>309</v>
      </c>
      <c r="J2061">
        <v>1485</v>
      </c>
      <c r="K2061">
        <v>7399</v>
      </c>
      <c r="L2061">
        <v>834</v>
      </c>
      <c r="M2061" t="s">
        <v>97</v>
      </c>
      <c r="N2061" t="s">
        <v>97</v>
      </c>
      <c r="O2061" t="s">
        <v>97</v>
      </c>
      <c r="P2061" t="s">
        <v>97</v>
      </c>
      <c r="Q2061" t="s">
        <v>97</v>
      </c>
      <c r="R2061" t="s">
        <v>97</v>
      </c>
      <c r="S2061" t="s">
        <v>97</v>
      </c>
      <c r="T2061" t="s">
        <v>97</v>
      </c>
      <c r="U2061" t="s">
        <v>97</v>
      </c>
      <c r="V2061">
        <v>1485</v>
      </c>
      <c r="W2061">
        <v>7399</v>
      </c>
      <c r="X2061">
        <v>834</v>
      </c>
      <c r="Y2061">
        <f t="shared" si="32"/>
        <v>7399</v>
      </c>
      <c r="Z2061" t="str">
        <f>IF(ISNUMBER(SEARCH("Adjustment",$C2061)),"excluded",IF($H2061="Behind the Meter","excluded",IF(NOT(OR($E2061="Bundled",$E2061="Energy")),"excluded",IF(OR($H2061="Retail Power Marketer",$H2061="Community Choice Aggregator",$E2061="Energy"),"procurement",IF(OR($H2061="Municipal",$H2061="Cooperative",$H2061="Federal",$H2061="State",$H2061="Political Subdivision"),"cost_service",IF($H2061="Investor Owned",IF(AND(COUNTIF(Parameters!$A$4:$A$33,$G2061)&gt;0,COUNTIF(Parameters!$B$4:$B$33,$B2061)=0),"procurement","cost_service"),"unclassified"))))))</f>
        <v>excluded</v>
      </c>
    </row>
    <row r="2062" spans="1:26" x14ac:dyDescent="0.25">
      <c r="A2062">
        <v>2024</v>
      </c>
      <c r="B2062">
        <v>59579</v>
      </c>
      <c r="C2062" t="s">
        <v>1550</v>
      </c>
      <c r="D2062" t="s">
        <v>84</v>
      </c>
      <c r="E2062" t="s">
        <v>85</v>
      </c>
      <c r="F2062" t="s">
        <v>86</v>
      </c>
      <c r="G2062" t="s">
        <v>308</v>
      </c>
      <c r="H2062" t="s">
        <v>1475</v>
      </c>
      <c r="I2062" t="s">
        <v>135</v>
      </c>
      <c r="J2062">
        <v>20.7</v>
      </c>
      <c r="K2062">
        <v>103</v>
      </c>
      <c r="L2062">
        <v>12</v>
      </c>
      <c r="M2062" t="s">
        <v>97</v>
      </c>
      <c r="N2062" t="s">
        <v>97</v>
      </c>
      <c r="O2062" t="s">
        <v>97</v>
      </c>
      <c r="P2062" t="s">
        <v>97</v>
      </c>
      <c r="Q2062" t="s">
        <v>97</v>
      </c>
      <c r="R2062" t="s">
        <v>97</v>
      </c>
      <c r="S2062" t="s">
        <v>97</v>
      </c>
      <c r="T2062" t="s">
        <v>97</v>
      </c>
      <c r="U2062" t="s">
        <v>97</v>
      </c>
      <c r="V2062">
        <v>20.7</v>
      </c>
      <c r="W2062">
        <v>103</v>
      </c>
      <c r="X2062">
        <v>12</v>
      </c>
      <c r="Y2062">
        <f t="shared" si="32"/>
        <v>103</v>
      </c>
      <c r="Z2062" t="str">
        <f>IF(ISNUMBER(SEARCH("Adjustment",$C2062)),"excluded",IF($H2062="Behind the Meter","excluded",IF(NOT(OR($E2062="Bundled",$E2062="Energy")),"excluded",IF(OR($H2062="Retail Power Marketer",$H2062="Community Choice Aggregator",$E2062="Energy"),"procurement",IF(OR($H2062="Municipal",$H2062="Cooperative",$H2062="Federal",$H2062="State",$H2062="Political Subdivision"),"cost_service",IF($H2062="Investor Owned",IF(AND(COUNTIF(Parameters!$A$4:$A$33,$G2062)&gt;0,COUNTIF(Parameters!$B$4:$B$33,$B2062)=0),"procurement","cost_service"),"unclassified"))))))</f>
        <v>excluded</v>
      </c>
    </row>
    <row r="2063" spans="1:26" x14ac:dyDescent="0.25">
      <c r="A2063">
        <v>2024</v>
      </c>
      <c r="B2063">
        <v>59579</v>
      </c>
      <c r="C2063" t="s">
        <v>1550</v>
      </c>
      <c r="D2063" t="s">
        <v>84</v>
      </c>
      <c r="E2063" t="s">
        <v>85</v>
      </c>
      <c r="F2063" t="s">
        <v>86</v>
      </c>
      <c r="G2063" t="s">
        <v>242</v>
      </c>
      <c r="H2063" t="s">
        <v>1475</v>
      </c>
      <c r="I2063" t="s">
        <v>390</v>
      </c>
      <c r="J2063">
        <v>12198</v>
      </c>
      <c r="K2063">
        <v>72356</v>
      </c>
      <c r="L2063">
        <v>7632</v>
      </c>
      <c r="M2063" t="s">
        <v>97</v>
      </c>
      <c r="N2063" t="s">
        <v>97</v>
      </c>
      <c r="O2063" t="s">
        <v>97</v>
      </c>
      <c r="P2063" t="s">
        <v>97</v>
      </c>
      <c r="Q2063" t="s">
        <v>97</v>
      </c>
      <c r="R2063" t="s">
        <v>97</v>
      </c>
      <c r="S2063" t="s">
        <v>97</v>
      </c>
      <c r="T2063" t="s">
        <v>97</v>
      </c>
      <c r="U2063" t="s">
        <v>97</v>
      </c>
      <c r="V2063">
        <v>12198</v>
      </c>
      <c r="W2063">
        <v>72356</v>
      </c>
      <c r="X2063">
        <v>7632</v>
      </c>
      <c r="Y2063">
        <f t="shared" si="32"/>
        <v>72356</v>
      </c>
      <c r="Z2063" t="str">
        <f>IF(ISNUMBER(SEARCH("Adjustment",$C2063)),"excluded",IF($H2063="Behind the Meter","excluded",IF(NOT(OR($E2063="Bundled",$E2063="Energy")),"excluded",IF(OR($H2063="Retail Power Marketer",$H2063="Community Choice Aggregator",$E2063="Energy"),"procurement",IF(OR($H2063="Municipal",$H2063="Cooperative",$H2063="Federal",$H2063="State",$H2063="Political Subdivision"),"cost_service",IF($H2063="Investor Owned",IF(AND(COUNTIF(Parameters!$A$4:$A$33,$G2063)&gt;0,COUNTIF(Parameters!$B$4:$B$33,$B2063)=0),"procurement","cost_service"),"unclassified"))))))</f>
        <v>excluded</v>
      </c>
    </row>
    <row r="2064" spans="1:26" x14ac:dyDescent="0.25">
      <c r="A2064">
        <v>2024</v>
      </c>
      <c r="B2064">
        <v>59579</v>
      </c>
      <c r="C2064" t="s">
        <v>1550</v>
      </c>
      <c r="D2064" t="s">
        <v>84</v>
      </c>
      <c r="E2064" t="s">
        <v>85</v>
      </c>
      <c r="F2064" t="s">
        <v>86</v>
      </c>
      <c r="G2064" t="s">
        <v>53</v>
      </c>
      <c r="H2064" t="s">
        <v>1475</v>
      </c>
      <c r="I2064" t="s">
        <v>119</v>
      </c>
      <c r="J2064">
        <v>0</v>
      </c>
      <c r="K2064">
        <v>0</v>
      </c>
      <c r="L2064">
        <v>0</v>
      </c>
      <c r="M2064" t="s">
        <v>97</v>
      </c>
      <c r="N2064" t="s">
        <v>97</v>
      </c>
      <c r="O2064" t="s">
        <v>97</v>
      </c>
      <c r="P2064" t="s">
        <v>97</v>
      </c>
      <c r="Q2064" t="s">
        <v>97</v>
      </c>
      <c r="R2064" t="s">
        <v>97</v>
      </c>
      <c r="S2064" t="s">
        <v>97</v>
      </c>
      <c r="T2064" t="s">
        <v>97</v>
      </c>
      <c r="U2064" t="s">
        <v>97</v>
      </c>
      <c r="V2064">
        <v>0</v>
      </c>
      <c r="W2064">
        <v>0</v>
      </c>
      <c r="X2064">
        <v>0</v>
      </c>
      <c r="Y2064">
        <f t="shared" si="32"/>
        <v>0</v>
      </c>
      <c r="Z2064" t="str">
        <f>IF(ISNUMBER(SEARCH("Adjustment",$C2064)),"excluded",IF($H2064="Behind the Meter","excluded",IF(NOT(OR($E2064="Bundled",$E2064="Energy")),"excluded",IF(OR($H2064="Retail Power Marketer",$H2064="Community Choice Aggregator",$E2064="Energy"),"procurement",IF(OR($H2064="Municipal",$H2064="Cooperative",$H2064="Federal",$H2064="State",$H2064="Political Subdivision"),"cost_service",IF($H2064="Investor Owned",IF(AND(COUNTIF(Parameters!$A$4:$A$33,$G2064)&gt;0,COUNTIF(Parameters!$B$4:$B$33,$B2064)=0),"procurement","cost_service"),"unclassified"))))))</f>
        <v>excluded</v>
      </c>
    </row>
    <row r="2065" spans="1:26" x14ac:dyDescent="0.25">
      <c r="A2065">
        <v>2024</v>
      </c>
      <c r="B2065">
        <v>59579</v>
      </c>
      <c r="C2065" t="s">
        <v>1550</v>
      </c>
      <c r="D2065" t="s">
        <v>84</v>
      </c>
      <c r="E2065" t="s">
        <v>85</v>
      </c>
      <c r="F2065" t="s">
        <v>86</v>
      </c>
      <c r="G2065" t="s">
        <v>53</v>
      </c>
      <c r="H2065" t="s">
        <v>1475</v>
      </c>
      <c r="I2065" t="s">
        <v>102</v>
      </c>
      <c r="J2065">
        <v>11987.1</v>
      </c>
      <c r="K2065">
        <v>41639</v>
      </c>
      <c r="L2065">
        <v>5852</v>
      </c>
      <c r="M2065" t="s">
        <v>97</v>
      </c>
      <c r="N2065" t="s">
        <v>97</v>
      </c>
      <c r="O2065" t="s">
        <v>97</v>
      </c>
      <c r="P2065" t="s">
        <v>97</v>
      </c>
      <c r="Q2065" t="s">
        <v>97</v>
      </c>
      <c r="R2065" t="s">
        <v>97</v>
      </c>
      <c r="S2065" t="s">
        <v>97</v>
      </c>
      <c r="T2065" t="s">
        <v>97</v>
      </c>
      <c r="U2065" t="s">
        <v>97</v>
      </c>
      <c r="V2065">
        <v>11987.1</v>
      </c>
      <c r="W2065">
        <v>41639</v>
      </c>
      <c r="X2065">
        <v>5852</v>
      </c>
      <c r="Y2065">
        <f t="shared" si="32"/>
        <v>41639</v>
      </c>
      <c r="Z2065" t="str">
        <f>IF(ISNUMBER(SEARCH("Adjustment",$C2065)),"excluded",IF($H2065="Behind the Meter","excluded",IF(NOT(OR($E2065="Bundled",$E2065="Energy")),"excluded",IF(OR($H2065="Retail Power Marketer",$H2065="Community Choice Aggregator",$E2065="Energy"),"procurement",IF(OR($H2065="Municipal",$H2065="Cooperative",$H2065="Federal",$H2065="State",$H2065="Political Subdivision"),"cost_service",IF($H2065="Investor Owned",IF(AND(COUNTIF(Parameters!$A$4:$A$33,$G2065)&gt;0,COUNTIF(Parameters!$B$4:$B$33,$B2065)=0),"procurement","cost_service"),"unclassified"))))))</f>
        <v>excluded</v>
      </c>
    </row>
    <row r="2066" spans="1:26" x14ac:dyDescent="0.25">
      <c r="A2066">
        <v>2024</v>
      </c>
      <c r="B2066">
        <v>59579</v>
      </c>
      <c r="C2066" t="s">
        <v>1550</v>
      </c>
      <c r="D2066" t="s">
        <v>84</v>
      </c>
      <c r="E2066" t="s">
        <v>85</v>
      </c>
      <c r="F2066" t="s">
        <v>86</v>
      </c>
      <c r="G2066" t="s">
        <v>53</v>
      </c>
      <c r="H2066" t="s">
        <v>1475</v>
      </c>
      <c r="I2066" t="s">
        <v>92</v>
      </c>
      <c r="J2066">
        <v>0</v>
      </c>
      <c r="K2066">
        <v>0</v>
      </c>
      <c r="L2066">
        <v>0</v>
      </c>
      <c r="M2066" t="s">
        <v>97</v>
      </c>
      <c r="N2066" t="s">
        <v>97</v>
      </c>
      <c r="O2066" t="s">
        <v>97</v>
      </c>
      <c r="P2066" t="s">
        <v>97</v>
      </c>
      <c r="Q2066" t="s">
        <v>97</v>
      </c>
      <c r="R2066" t="s">
        <v>97</v>
      </c>
      <c r="S2066" t="s">
        <v>97</v>
      </c>
      <c r="T2066" t="s">
        <v>97</v>
      </c>
      <c r="U2066" t="s">
        <v>97</v>
      </c>
      <c r="V2066">
        <v>0</v>
      </c>
      <c r="W2066">
        <v>0</v>
      </c>
      <c r="X2066">
        <v>0</v>
      </c>
      <c r="Y2066">
        <f t="shared" si="32"/>
        <v>0</v>
      </c>
      <c r="Z2066" t="str">
        <f>IF(ISNUMBER(SEARCH("Adjustment",$C2066)),"excluded",IF($H2066="Behind the Meter","excluded",IF(NOT(OR($E2066="Bundled",$E2066="Energy")),"excluded",IF(OR($H2066="Retail Power Marketer",$H2066="Community Choice Aggregator",$E2066="Energy"),"procurement",IF(OR($H2066="Municipal",$H2066="Cooperative",$H2066="Federal",$H2066="State",$H2066="Political Subdivision"),"cost_service",IF($H2066="Investor Owned",IF(AND(COUNTIF(Parameters!$A$4:$A$33,$G2066)&gt;0,COUNTIF(Parameters!$B$4:$B$33,$B2066)=0),"procurement","cost_service"),"unclassified"))))))</f>
        <v>excluded</v>
      </c>
    </row>
    <row r="2067" spans="1:26" x14ac:dyDescent="0.25">
      <c r="A2067">
        <v>2024</v>
      </c>
      <c r="B2067">
        <v>59579</v>
      </c>
      <c r="C2067" t="s">
        <v>1550</v>
      </c>
      <c r="D2067" t="s">
        <v>84</v>
      </c>
      <c r="E2067" t="s">
        <v>85</v>
      </c>
      <c r="F2067" t="s">
        <v>86</v>
      </c>
      <c r="G2067" t="s">
        <v>54</v>
      </c>
      <c r="H2067" t="s">
        <v>1475</v>
      </c>
      <c r="I2067" t="s">
        <v>92</v>
      </c>
      <c r="J2067">
        <v>1.8</v>
      </c>
      <c r="K2067">
        <v>6</v>
      </c>
      <c r="L2067">
        <v>4</v>
      </c>
      <c r="M2067" t="s">
        <v>97</v>
      </c>
      <c r="N2067" t="s">
        <v>97</v>
      </c>
      <c r="O2067" t="s">
        <v>97</v>
      </c>
      <c r="P2067" t="s">
        <v>97</v>
      </c>
      <c r="Q2067" t="s">
        <v>97</v>
      </c>
      <c r="R2067" t="s">
        <v>97</v>
      </c>
      <c r="S2067" t="s">
        <v>97</v>
      </c>
      <c r="T2067" t="s">
        <v>97</v>
      </c>
      <c r="U2067" t="s">
        <v>97</v>
      </c>
      <c r="V2067">
        <v>1.8</v>
      </c>
      <c r="W2067">
        <v>6</v>
      </c>
      <c r="X2067">
        <v>4</v>
      </c>
      <c r="Y2067">
        <f t="shared" si="32"/>
        <v>6</v>
      </c>
      <c r="Z2067" t="str">
        <f>IF(ISNUMBER(SEARCH("Adjustment",$C2067)),"excluded",IF($H2067="Behind the Meter","excluded",IF(NOT(OR($E2067="Bundled",$E2067="Energy")),"excluded",IF(OR($H2067="Retail Power Marketer",$H2067="Community Choice Aggregator",$E2067="Energy"),"procurement",IF(OR($H2067="Municipal",$H2067="Cooperative",$H2067="Federal",$H2067="State",$H2067="Political Subdivision"),"cost_service",IF($H2067="Investor Owned",IF(AND(COUNTIF(Parameters!$A$4:$A$33,$G2067)&gt;0,COUNTIF(Parameters!$B$4:$B$33,$B2067)=0),"procurement","cost_service"),"unclassified"))))))</f>
        <v>excluded</v>
      </c>
    </row>
    <row r="2068" spans="1:26" x14ac:dyDescent="0.25">
      <c r="A2068">
        <v>2024</v>
      </c>
      <c r="B2068">
        <v>59579</v>
      </c>
      <c r="C2068" t="s">
        <v>1550</v>
      </c>
      <c r="D2068" t="s">
        <v>84</v>
      </c>
      <c r="E2068" t="s">
        <v>85</v>
      </c>
      <c r="F2068" t="s">
        <v>86</v>
      </c>
      <c r="G2068" t="s">
        <v>136</v>
      </c>
      <c r="H2068" t="s">
        <v>1475</v>
      </c>
      <c r="I2068" t="s">
        <v>96</v>
      </c>
      <c r="J2068">
        <v>12.6</v>
      </c>
      <c r="K2068">
        <v>79</v>
      </c>
      <c r="L2068">
        <v>8</v>
      </c>
      <c r="M2068" t="s">
        <v>97</v>
      </c>
      <c r="N2068" t="s">
        <v>97</v>
      </c>
      <c r="O2068" t="s">
        <v>97</v>
      </c>
      <c r="P2068" t="s">
        <v>97</v>
      </c>
      <c r="Q2068" t="s">
        <v>97</v>
      </c>
      <c r="R2068" t="s">
        <v>97</v>
      </c>
      <c r="S2068" t="s">
        <v>97</v>
      </c>
      <c r="T2068" t="s">
        <v>97</v>
      </c>
      <c r="U2068" t="s">
        <v>97</v>
      </c>
      <c r="V2068">
        <v>12.6</v>
      </c>
      <c r="W2068">
        <v>79</v>
      </c>
      <c r="X2068">
        <v>8</v>
      </c>
      <c r="Y2068">
        <f t="shared" si="32"/>
        <v>79</v>
      </c>
      <c r="Z2068" t="str">
        <f>IF(ISNUMBER(SEARCH("Adjustment",$C2068)),"excluded",IF($H2068="Behind the Meter","excluded",IF(NOT(OR($E2068="Bundled",$E2068="Energy")),"excluded",IF(OR($H2068="Retail Power Marketer",$H2068="Community Choice Aggregator",$E2068="Energy"),"procurement",IF(OR($H2068="Municipal",$H2068="Cooperative",$H2068="Federal",$H2068="State",$H2068="Political Subdivision"),"cost_service",IF($H2068="Investor Owned",IF(AND(COUNTIF(Parameters!$A$4:$A$33,$G2068)&gt;0,COUNTIF(Parameters!$B$4:$B$33,$B2068)=0),"procurement","cost_service"),"unclassified"))))))</f>
        <v>excluded</v>
      </c>
    </row>
    <row r="2069" spans="1:26" x14ac:dyDescent="0.25">
      <c r="A2069">
        <v>2024</v>
      </c>
      <c r="B2069">
        <v>59579</v>
      </c>
      <c r="C2069" t="s">
        <v>1550</v>
      </c>
      <c r="D2069" t="s">
        <v>84</v>
      </c>
      <c r="E2069" t="s">
        <v>85</v>
      </c>
      <c r="F2069" t="s">
        <v>86</v>
      </c>
      <c r="G2069" t="s">
        <v>219</v>
      </c>
      <c r="H2069" t="s">
        <v>1475</v>
      </c>
      <c r="I2069" t="s">
        <v>396</v>
      </c>
      <c r="J2069">
        <v>6.2</v>
      </c>
      <c r="K2069">
        <v>18</v>
      </c>
      <c r="L2069">
        <v>15</v>
      </c>
      <c r="M2069" t="s">
        <v>97</v>
      </c>
      <c r="N2069" t="s">
        <v>97</v>
      </c>
      <c r="O2069" t="s">
        <v>97</v>
      </c>
      <c r="P2069" t="s">
        <v>97</v>
      </c>
      <c r="Q2069" t="s">
        <v>97</v>
      </c>
      <c r="R2069" t="s">
        <v>97</v>
      </c>
      <c r="S2069" t="s">
        <v>97</v>
      </c>
      <c r="T2069" t="s">
        <v>97</v>
      </c>
      <c r="U2069" t="s">
        <v>97</v>
      </c>
      <c r="V2069">
        <v>6.2</v>
      </c>
      <c r="W2069">
        <v>18</v>
      </c>
      <c r="X2069">
        <v>15</v>
      </c>
      <c r="Y2069">
        <f t="shared" si="32"/>
        <v>18</v>
      </c>
      <c r="Z2069" t="str">
        <f>IF(ISNUMBER(SEARCH("Adjustment",$C2069)),"excluded",IF($H2069="Behind the Meter","excluded",IF(NOT(OR($E2069="Bundled",$E2069="Energy")),"excluded",IF(OR($H2069="Retail Power Marketer",$H2069="Community Choice Aggregator",$E2069="Energy"),"procurement",IF(OR($H2069="Municipal",$H2069="Cooperative",$H2069="Federal",$H2069="State",$H2069="Political Subdivision"),"cost_service",IF($H2069="Investor Owned",IF(AND(COUNTIF(Parameters!$A$4:$A$33,$G2069)&gt;0,COUNTIF(Parameters!$B$4:$B$33,$B2069)=0),"procurement","cost_service"),"unclassified"))))))</f>
        <v>excluded</v>
      </c>
    </row>
    <row r="2070" spans="1:26" x14ac:dyDescent="0.25">
      <c r="A2070">
        <v>2024</v>
      </c>
      <c r="B2070">
        <v>59579</v>
      </c>
      <c r="C2070" t="s">
        <v>1550</v>
      </c>
      <c r="D2070" t="s">
        <v>84</v>
      </c>
      <c r="E2070" t="s">
        <v>85</v>
      </c>
      <c r="F2070" t="s">
        <v>86</v>
      </c>
      <c r="G2070" t="s">
        <v>55</v>
      </c>
      <c r="H2070" t="s">
        <v>1475</v>
      </c>
      <c r="I2070" t="s">
        <v>92</v>
      </c>
      <c r="J2070">
        <v>19594.099999999999</v>
      </c>
      <c r="K2070">
        <v>112774</v>
      </c>
      <c r="L2070">
        <v>10759</v>
      </c>
      <c r="M2070" t="s">
        <v>97</v>
      </c>
      <c r="N2070" t="s">
        <v>97</v>
      </c>
      <c r="O2070" t="s">
        <v>97</v>
      </c>
      <c r="P2070" t="s">
        <v>97</v>
      </c>
      <c r="Q2070" t="s">
        <v>97</v>
      </c>
      <c r="R2070" t="s">
        <v>97</v>
      </c>
      <c r="S2070" t="s">
        <v>97</v>
      </c>
      <c r="T2070" t="s">
        <v>97</v>
      </c>
      <c r="U2070" t="s">
        <v>97</v>
      </c>
      <c r="V2070">
        <v>19594.099999999999</v>
      </c>
      <c r="W2070">
        <v>112774</v>
      </c>
      <c r="X2070">
        <v>10759</v>
      </c>
      <c r="Y2070">
        <f t="shared" si="32"/>
        <v>112774</v>
      </c>
      <c r="Z2070" t="str">
        <f>IF(ISNUMBER(SEARCH("Adjustment",$C2070)),"excluded",IF($H2070="Behind the Meter","excluded",IF(NOT(OR($E2070="Bundled",$E2070="Energy")),"excluded",IF(OR($H2070="Retail Power Marketer",$H2070="Community Choice Aggregator",$E2070="Energy"),"procurement",IF(OR($H2070="Municipal",$H2070="Cooperative",$H2070="Federal",$H2070="State",$H2070="Political Subdivision"),"cost_service",IF($H2070="Investor Owned",IF(AND(COUNTIF(Parameters!$A$4:$A$33,$G2070)&gt;0,COUNTIF(Parameters!$B$4:$B$33,$B2070)=0),"procurement","cost_service"),"unclassified"))))))</f>
        <v>excluded</v>
      </c>
    </row>
    <row r="2071" spans="1:26" x14ac:dyDescent="0.25">
      <c r="A2071">
        <v>2024</v>
      </c>
      <c r="B2071">
        <v>59579</v>
      </c>
      <c r="C2071" t="s">
        <v>1550</v>
      </c>
      <c r="D2071" t="s">
        <v>84</v>
      </c>
      <c r="E2071" t="s">
        <v>85</v>
      </c>
      <c r="F2071" t="s">
        <v>86</v>
      </c>
      <c r="G2071" t="s">
        <v>56</v>
      </c>
      <c r="H2071" t="s">
        <v>1475</v>
      </c>
      <c r="I2071" t="s">
        <v>189</v>
      </c>
      <c r="J2071">
        <v>3742</v>
      </c>
      <c r="K2071">
        <v>16450</v>
      </c>
      <c r="L2071">
        <v>2246</v>
      </c>
      <c r="M2071" t="s">
        <v>97</v>
      </c>
      <c r="N2071" t="s">
        <v>97</v>
      </c>
      <c r="O2071" t="s">
        <v>97</v>
      </c>
      <c r="P2071" t="s">
        <v>97</v>
      </c>
      <c r="Q2071" t="s">
        <v>97</v>
      </c>
      <c r="R2071" t="s">
        <v>97</v>
      </c>
      <c r="S2071" t="s">
        <v>97</v>
      </c>
      <c r="T2071" t="s">
        <v>97</v>
      </c>
      <c r="U2071" t="s">
        <v>97</v>
      </c>
      <c r="V2071">
        <v>3742</v>
      </c>
      <c r="W2071">
        <v>16450</v>
      </c>
      <c r="X2071">
        <v>2246</v>
      </c>
      <c r="Y2071">
        <f t="shared" si="32"/>
        <v>16450</v>
      </c>
      <c r="Z2071" t="str">
        <f>IF(ISNUMBER(SEARCH("Adjustment",$C2071)),"excluded",IF($H2071="Behind the Meter","excluded",IF(NOT(OR($E2071="Bundled",$E2071="Energy")),"excluded",IF(OR($H2071="Retail Power Marketer",$H2071="Community Choice Aggregator",$E2071="Energy"),"procurement",IF(OR($H2071="Municipal",$H2071="Cooperative",$H2071="Federal",$H2071="State",$H2071="Political Subdivision"),"cost_service",IF($H2071="Investor Owned",IF(AND(COUNTIF(Parameters!$A$4:$A$33,$G2071)&gt;0,COUNTIF(Parameters!$B$4:$B$33,$B2071)=0),"procurement","cost_service"),"unclassified"))))))</f>
        <v>excluded</v>
      </c>
    </row>
    <row r="2072" spans="1:26" x14ac:dyDescent="0.25">
      <c r="A2072">
        <v>2024</v>
      </c>
      <c r="B2072">
        <v>59579</v>
      </c>
      <c r="C2072" t="s">
        <v>1550</v>
      </c>
      <c r="D2072" t="s">
        <v>84</v>
      </c>
      <c r="E2072" t="s">
        <v>85</v>
      </c>
      <c r="F2072" t="s">
        <v>86</v>
      </c>
      <c r="G2072" t="s">
        <v>106</v>
      </c>
      <c r="H2072" t="s">
        <v>1475</v>
      </c>
      <c r="I2072" t="s">
        <v>163</v>
      </c>
      <c r="J2072">
        <v>3.5</v>
      </c>
      <c r="K2072">
        <v>15</v>
      </c>
      <c r="L2072">
        <v>2</v>
      </c>
      <c r="M2072" t="s">
        <v>97</v>
      </c>
      <c r="N2072" t="s">
        <v>97</v>
      </c>
      <c r="O2072" t="s">
        <v>97</v>
      </c>
      <c r="P2072" t="s">
        <v>97</v>
      </c>
      <c r="Q2072" t="s">
        <v>97</v>
      </c>
      <c r="R2072" t="s">
        <v>97</v>
      </c>
      <c r="S2072" t="s">
        <v>97</v>
      </c>
      <c r="T2072" t="s">
        <v>97</v>
      </c>
      <c r="U2072" t="s">
        <v>97</v>
      </c>
      <c r="V2072">
        <v>3.5</v>
      </c>
      <c r="W2072">
        <v>15</v>
      </c>
      <c r="X2072">
        <v>2</v>
      </c>
      <c r="Y2072">
        <f t="shared" si="32"/>
        <v>15</v>
      </c>
      <c r="Z2072" t="str">
        <f>IF(ISNUMBER(SEARCH("Adjustment",$C2072)),"excluded",IF($H2072="Behind the Meter","excluded",IF(NOT(OR($E2072="Bundled",$E2072="Energy")),"excluded",IF(OR($H2072="Retail Power Marketer",$H2072="Community Choice Aggregator",$E2072="Energy"),"procurement",IF(OR($H2072="Municipal",$H2072="Cooperative",$H2072="Federal",$H2072="State",$H2072="Political Subdivision"),"cost_service",IF($H2072="Investor Owned",IF(AND(COUNTIF(Parameters!$A$4:$A$33,$G2072)&gt;0,COUNTIF(Parameters!$B$4:$B$33,$B2072)=0),"procurement","cost_service"),"unclassified"))))))</f>
        <v>excluded</v>
      </c>
    </row>
    <row r="2073" spans="1:26" x14ac:dyDescent="0.25">
      <c r="A2073">
        <v>2024</v>
      </c>
      <c r="B2073">
        <v>59579</v>
      </c>
      <c r="C2073" t="s">
        <v>1550</v>
      </c>
      <c r="D2073" t="s">
        <v>84</v>
      </c>
      <c r="E2073" t="s">
        <v>85</v>
      </c>
      <c r="F2073" t="s">
        <v>86</v>
      </c>
      <c r="G2073" t="s">
        <v>106</v>
      </c>
      <c r="H2073" t="s">
        <v>1475</v>
      </c>
      <c r="I2073" t="s">
        <v>126</v>
      </c>
      <c r="J2073">
        <v>624.70000000000005</v>
      </c>
      <c r="K2073">
        <v>2701</v>
      </c>
      <c r="L2073">
        <v>275</v>
      </c>
      <c r="M2073" t="s">
        <v>97</v>
      </c>
      <c r="N2073" t="s">
        <v>97</v>
      </c>
      <c r="O2073" t="s">
        <v>97</v>
      </c>
      <c r="P2073" t="s">
        <v>97</v>
      </c>
      <c r="Q2073" t="s">
        <v>97</v>
      </c>
      <c r="R2073" t="s">
        <v>97</v>
      </c>
      <c r="S2073" t="s">
        <v>97</v>
      </c>
      <c r="T2073" t="s">
        <v>97</v>
      </c>
      <c r="U2073" t="s">
        <v>97</v>
      </c>
      <c r="V2073">
        <v>624.70000000000005</v>
      </c>
      <c r="W2073">
        <v>2701</v>
      </c>
      <c r="X2073">
        <v>275</v>
      </c>
      <c r="Y2073">
        <f t="shared" si="32"/>
        <v>2701</v>
      </c>
      <c r="Z2073" t="str">
        <f>IF(ISNUMBER(SEARCH("Adjustment",$C2073)),"excluded",IF($H2073="Behind the Meter","excluded",IF(NOT(OR($E2073="Bundled",$E2073="Energy")),"excluded",IF(OR($H2073="Retail Power Marketer",$H2073="Community Choice Aggregator",$E2073="Energy"),"procurement",IF(OR($H2073="Municipal",$H2073="Cooperative",$H2073="Federal",$H2073="State",$H2073="Political Subdivision"),"cost_service",IF($H2073="Investor Owned",IF(AND(COUNTIF(Parameters!$A$4:$A$33,$G2073)&gt;0,COUNTIF(Parameters!$B$4:$B$33,$B2073)=0),"procurement","cost_service"),"unclassified"))))))</f>
        <v>excluded</v>
      </c>
    </row>
    <row r="2074" spans="1:26" x14ac:dyDescent="0.25">
      <c r="A2074">
        <v>2024</v>
      </c>
      <c r="B2074">
        <v>59579</v>
      </c>
      <c r="C2074" t="s">
        <v>1550</v>
      </c>
      <c r="D2074" t="s">
        <v>84</v>
      </c>
      <c r="E2074" t="s">
        <v>85</v>
      </c>
      <c r="F2074" t="s">
        <v>86</v>
      </c>
      <c r="G2074" t="s">
        <v>106</v>
      </c>
      <c r="H2074" t="s">
        <v>1475</v>
      </c>
      <c r="I2074" t="s">
        <v>953</v>
      </c>
      <c r="J2074">
        <v>10.6</v>
      </c>
      <c r="K2074">
        <v>46</v>
      </c>
      <c r="L2074">
        <v>5</v>
      </c>
      <c r="M2074" t="s">
        <v>97</v>
      </c>
      <c r="N2074" t="s">
        <v>97</v>
      </c>
      <c r="O2074" t="s">
        <v>97</v>
      </c>
      <c r="P2074" t="s">
        <v>97</v>
      </c>
      <c r="Q2074" t="s">
        <v>97</v>
      </c>
      <c r="R2074" t="s">
        <v>97</v>
      </c>
      <c r="S2074" t="s">
        <v>97</v>
      </c>
      <c r="T2074" t="s">
        <v>97</v>
      </c>
      <c r="U2074" t="s">
        <v>97</v>
      </c>
      <c r="V2074">
        <v>10.6</v>
      </c>
      <c r="W2074">
        <v>46</v>
      </c>
      <c r="X2074">
        <v>5</v>
      </c>
      <c r="Y2074">
        <f t="shared" si="32"/>
        <v>46</v>
      </c>
      <c r="Z2074" t="str">
        <f>IF(ISNUMBER(SEARCH("Adjustment",$C2074)),"excluded",IF($H2074="Behind the Meter","excluded",IF(NOT(OR($E2074="Bundled",$E2074="Energy")),"excluded",IF(OR($H2074="Retail Power Marketer",$H2074="Community Choice Aggregator",$E2074="Energy"),"procurement",IF(OR($H2074="Municipal",$H2074="Cooperative",$H2074="Federal",$H2074="State",$H2074="Political Subdivision"),"cost_service",IF($H2074="Investor Owned",IF(AND(COUNTIF(Parameters!$A$4:$A$33,$G2074)&gt;0,COUNTIF(Parameters!$B$4:$B$33,$B2074)=0),"procurement","cost_service"),"unclassified"))))))</f>
        <v>excluded</v>
      </c>
    </row>
    <row r="2075" spans="1:26" x14ac:dyDescent="0.25">
      <c r="A2075">
        <v>2024</v>
      </c>
      <c r="B2075">
        <v>59579</v>
      </c>
      <c r="C2075" t="s">
        <v>1550</v>
      </c>
      <c r="D2075" t="s">
        <v>84</v>
      </c>
      <c r="E2075" t="s">
        <v>85</v>
      </c>
      <c r="F2075" t="s">
        <v>86</v>
      </c>
      <c r="G2075" t="s">
        <v>106</v>
      </c>
      <c r="H2075" t="s">
        <v>1475</v>
      </c>
      <c r="I2075" t="s">
        <v>106</v>
      </c>
      <c r="J2075">
        <v>36.9</v>
      </c>
      <c r="K2075">
        <v>159</v>
      </c>
      <c r="L2075">
        <v>16</v>
      </c>
      <c r="M2075" t="s">
        <v>97</v>
      </c>
      <c r="N2075" t="s">
        <v>97</v>
      </c>
      <c r="O2075" t="s">
        <v>97</v>
      </c>
      <c r="P2075" t="s">
        <v>97</v>
      </c>
      <c r="Q2075" t="s">
        <v>97</v>
      </c>
      <c r="R2075" t="s">
        <v>97</v>
      </c>
      <c r="S2075" t="s">
        <v>97</v>
      </c>
      <c r="T2075" t="s">
        <v>97</v>
      </c>
      <c r="U2075" t="s">
        <v>97</v>
      </c>
      <c r="V2075">
        <v>36.9</v>
      </c>
      <c r="W2075">
        <v>159</v>
      </c>
      <c r="X2075">
        <v>16</v>
      </c>
      <c r="Y2075">
        <f t="shared" si="32"/>
        <v>159</v>
      </c>
      <c r="Z2075" t="str">
        <f>IF(ISNUMBER(SEARCH("Adjustment",$C2075)),"excluded",IF($H2075="Behind the Meter","excluded",IF(NOT(OR($E2075="Bundled",$E2075="Energy")),"excluded",IF(OR($H2075="Retail Power Marketer",$H2075="Community Choice Aggregator",$E2075="Energy"),"procurement",IF(OR($H2075="Municipal",$H2075="Cooperative",$H2075="Federal",$H2075="State",$H2075="Political Subdivision"),"cost_service",IF($H2075="Investor Owned",IF(AND(COUNTIF(Parameters!$A$4:$A$33,$G2075)&gt;0,COUNTIF(Parameters!$B$4:$B$33,$B2075)=0),"procurement","cost_service"),"unclassified"))))))</f>
        <v>excluded</v>
      </c>
    </row>
    <row r="2076" spans="1:26" x14ac:dyDescent="0.25">
      <c r="A2076">
        <v>2024</v>
      </c>
      <c r="B2076">
        <v>59579</v>
      </c>
      <c r="C2076" t="s">
        <v>1550</v>
      </c>
      <c r="D2076" t="s">
        <v>84</v>
      </c>
      <c r="E2076" t="s">
        <v>85</v>
      </c>
      <c r="F2076" t="s">
        <v>86</v>
      </c>
      <c r="G2076" t="s">
        <v>57</v>
      </c>
      <c r="H2076" t="s">
        <v>1475</v>
      </c>
      <c r="I2076" t="s">
        <v>468</v>
      </c>
      <c r="J2076">
        <v>137.4</v>
      </c>
      <c r="K2076">
        <v>792</v>
      </c>
      <c r="L2076">
        <v>92</v>
      </c>
      <c r="M2076" t="s">
        <v>97</v>
      </c>
      <c r="N2076" t="s">
        <v>97</v>
      </c>
      <c r="O2076" t="s">
        <v>97</v>
      </c>
      <c r="P2076" t="s">
        <v>97</v>
      </c>
      <c r="Q2076" t="s">
        <v>97</v>
      </c>
      <c r="R2076" t="s">
        <v>97</v>
      </c>
      <c r="S2076" t="s">
        <v>97</v>
      </c>
      <c r="T2076" t="s">
        <v>97</v>
      </c>
      <c r="U2076" t="s">
        <v>97</v>
      </c>
      <c r="V2076">
        <v>137.4</v>
      </c>
      <c r="W2076">
        <v>792</v>
      </c>
      <c r="X2076">
        <v>92</v>
      </c>
      <c r="Y2076">
        <f t="shared" si="32"/>
        <v>792</v>
      </c>
      <c r="Z2076" t="str">
        <f>IF(ISNUMBER(SEARCH("Adjustment",$C2076)),"excluded",IF($H2076="Behind the Meter","excluded",IF(NOT(OR($E2076="Bundled",$E2076="Energy")),"excluded",IF(OR($H2076="Retail Power Marketer",$H2076="Community Choice Aggregator",$E2076="Energy"),"procurement",IF(OR($H2076="Municipal",$H2076="Cooperative",$H2076="Federal",$H2076="State",$H2076="Political Subdivision"),"cost_service",IF($H2076="Investor Owned",IF(AND(COUNTIF(Parameters!$A$4:$A$33,$G2076)&gt;0,COUNTIF(Parameters!$B$4:$B$33,$B2076)=0),"procurement","cost_service"),"unclassified"))))))</f>
        <v>excluded</v>
      </c>
    </row>
    <row r="2077" spans="1:26" x14ac:dyDescent="0.25">
      <c r="A2077">
        <v>2024</v>
      </c>
      <c r="B2077">
        <v>59579</v>
      </c>
      <c r="C2077" t="s">
        <v>1550</v>
      </c>
      <c r="D2077" t="s">
        <v>84</v>
      </c>
      <c r="E2077" t="s">
        <v>85</v>
      </c>
      <c r="F2077" t="s">
        <v>86</v>
      </c>
      <c r="G2077" t="s">
        <v>57</v>
      </c>
      <c r="H2077" t="s">
        <v>1475</v>
      </c>
      <c r="I2077" t="s">
        <v>151</v>
      </c>
      <c r="J2077">
        <v>8833.1</v>
      </c>
      <c r="K2077">
        <v>50962</v>
      </c>
      <c r="L2077">
        <v>5893</v>
      </c>
      <c r="M2077" t="s">
        <v>97</v>
      </c>
      <c r="N2077" t="s">
        <v>97</v>
      </c>
      <c r="O2077" t="s">
        <v>97</v>
      </c>
      <c r="P2077" t="s">
        <v>97</v>
      </c>
      <c r="Q2077" t="s">
        <v>97</v>
      </c>
      <c r="R2077" t="s">
        <v>97</v>
      </c>
      <c r="S2077" t="s">
        <v>97</v>
      </c>
      <c r="T2077" t="s">
        <v>97</v>
      </c>
      <c r="U2077" t="s">
        <v>97</v>
      </c>
      <c r="V2077">
        <v>8833.1</v>
      </c>
      <c r="W2077">
        <v>50962</v>
      </c>
      <c r="X2077">
        <v>5893</v>
      </c>
      <c r="Y2077">
        <f t="shared" si="32"/>
        <v>50962</v>
      </c>
      <c r="Z2077" t="str">
        <f>IF(ISNUMBER(SEARCH("Adjustment",$C2077)),"excluded",IF($H2077="Behind the Meter","excluded",IF(NOT(OR($E2077="Bundled",$E2077="Energy")),"excluded",IF(OR($H2077="Retail Power Marketer",$H2077="Community Choice Aggregator",$E2077="Energy"),"procurement",IF(OR($H2077="Municipal",$H2077="Cooperative",$H2077="Federal",$H2077="State",$H2077="Political Subdivision"),"cost_service",IF($H2077="Investor Owned",IF(AND(COUNTIF(Parameters!$A$4:$A$33,$G2077)&gt;0,COUNTIF(Parameters!$B$4:$B$33,$B2077)=0),"procurement","cost_service"),"unclassified"))))))</f>
        <v>excluded</v>
      </c>
    </row>
    <row r="2078" spans="1:26" x14ac:dyDescent="0.25">
      <c r="A2078">
        <v>2024</v>
      </c>
      <c r="B2078">
        <v>59579</v>
      </c>
      <c r="C2078" t="s">
        <v>1550</v>
      </c>
      <c r="D2078" t="s">
        <v>84</v>
      </c>
      <c r="E2078" t="s">
        <v>85</v>
      </c>
      <c r="F2078" t="s">
        <v>86</v>
      </c>
      <c r="G2078" t="s">
        <v>57</v>
      </c>
      <c r="H2078" t="s">
        <v>1475</v>
      </c>
      <c r="I2078" t="s">
        <v>96</v>
      </c>
      <c r="J2078">
        <v>108.8</v>
      </c>
      <c r="K2078">
        <v>628</v>
      </c>
      <c r="L2078">
        <v>73</v>
      </c>
      <c r="M2078" t="s">
        <v>97</v>
      </c>
      <c r="N2078" t="s">
        <v>97</v>
      </c>
      <c r="O2078" t="s">
        <v>97</v>
      </c>
      <c r="P2078" t="s">
        <v>97</v>
      </c>
      <c r="Q2078" t="s">
        <v>97</v>
      </c>
      <c r="R2078" t="s">
        <v>97</v>
      </c>
      <c r="S2078" t="s">
        <v>97</v>
      </c>
      <c r="T2078" t="s">
        <v>97</v>
      </c>
      <c r="U2078" t="s">
        <v>97</v>
      </c>
      <c r="V2078">
        <v>108.8</v>
      </c>
      <c r="W2078">
        <v>628</v>
      </c>
      <c r="X2078">
        <v>73</v>
      </c>
      <c r="Y2078">
        <f t="shared" si="32"/>
        <v>628</v>
      </c>
      <c r="Z2078" t="str">
        <f>IF(ISNUMBER(SEARCH("Adjustment",$C2078)),"excluded",IF($H2078="Behind the Meter","excluded",IF(NOT(OR($E2078="Bundled",$E2078="Energy")),"excluded",IF(OR($H2078="Retail Power Marketer",$H2078="Community Choice Aggregator",$E2078="Energy"),"procurement",IF(OR($H2078="Municipal",$H2078="Cooperative",$H2078="Federal",$H2078="State",$H2078="Political Subdivision"),"cost_service",IF($H2078="Investor Owned",IF(AND(COUNTIF(Parameters!$A$4:$A$33,$G2078)&gt;0,COUNTIF(Parameters!$B$4:$B$33,$B2078)=0),"procurement","cost_service"),"unclassified"))))))</f>
        <v>excluded</v>
      </c>
    </row>
    <row r="2079" spans="1:26" x14ac:dyDescent="0.25">
      <c r="A2079">
        <v>2024</v>
      </c>
      <c r="B2079">
        <v>59579</v>
      </c>
      <c r="C2079" t="s">
        <v>1550</v>
      </c>
      <c r="D2079" t="s">
        <v>84</v>
      </c>
      <c r="E2079" t="s">
        <v>85</v>
      </c>
      <c r="F2079" t="s">
        <v>86</v>
      </c>
      <c r="G2079" t="s">
        <v>57</v>
      </c>
      <c r="H2079" t="s">
        <v>1475</v>
      </c>
      <c r="I2079" t="s">
        <v>135</v>
      </c>
      <c r="J2079">
        <v>399.8</v>
      </c>
      <c r="K2079">
        <v>2306</v>
      </c>
      <c r="L2079">
        <v>267</v>
      </c>
      <c r="M2079" t="s">
        <v>97</v>
      </c>
      <c r="N2079" t="s">
        <v>97</v>
      </c>
      <c r="O2079" t="s">
        <v>97</v>
      </c>
      <c r="P2079" t="s">
        <v>97</v>
      </c>
      <c r="Q2079" t="s">
        <v>97</v>
      </c>
      <c r="R2079" t="s">
        <v>97</v>
      </c>
      <c r="S2079" t="s">
        <v>97</v>
      </c>
      <c r="T2079" t="s">
        <v>97</v>
      </c>
      <c r="U2079" t="s">
        <v>97</v>
      </c>
      <c r="V2079">
        <v>399.8</v>
      </c>
      <c r="W2079">
        <v>2306</v>
      </c>
      <c r="X2079">
        <v>267</v>
      </c>
      <c r="Y2079">
        <f t="shared" si="32"/>
        <v>2306</v>
      </c>
      <c r="Z2079" t="str">
        <f>IF(ISNUMBER(SEARCH("Adjustment",$C2079)),"excluded",IF($H2079="Behind the Meter","excluded",IF(NOT(OR($E2079="Bundled",$E2079="Energy")),"excluded",IF(OR($H2079="Retail Power Marketer",$H2079="Community Choice Aggregator",$E2079="Energy"),"procurement",IF(OR($H2079="Municipal",$H2079="Cooperative",$H2079="Federal",$H2079="State",$H2079="Political Subdivision"),"cost_service",IF($H2079="Investor Owned",IF(AND(COUNTIF(Parameters!$A$4:$A$33,$G2079)&gt;0,COUNTIF(Parameters!$B$4:$B$33,$B2079)=0),"procurement","cost_service"),"unclassified"))))))</f>
        <v>excluded</v>
      </c>
    </row>
    <row r="2080" spans="1:26" x14ac:dyDescent="0.25">
      <c r="A2080">
        <v>2024</v>
      </c>
      <c r="B2080">
        <v>59579</v>
      </c>
      <c r="C2080" t="s">
        <v>1550</v>
      </c>
      <c r="D2080" t="s">
        <v>84</v>
      </c>
      <c r="E2080" t="s">
        <v>85</v>
      </c>
      <c r="F2080" t="s">
        <v>86</v>
      </c>
      <c r="G2080" t="s">
        <v>245</v>
      </c>
      <c r="H2080" t="s">
        <v>1475</v>
      </c>
      <c r="I2080" t="s">
        <v>206</v>
      </c>
      <c r="J2080">
        <v>1.5</v>
      </c>
      <c r="K2080">
        <v>6</v>
      </c>
      <c r="L2080">
        <v>2</v>
      </c>
      <c r="M2080" t="s">
        <v>97</v>
      </c>
      <c r="N2080" t="s">
        <v>97</v>
      </c>
      <c r="O2080" t="s">
        <v>97</v>
      </c>
      <c r="P2080" t="s">
        <v>97</v>
      </c>
      <c r="Q2080" t="s">
        <v>97</v>
      </c>
      <c r="R2080" t="s">
        <v>97</v>
      </c>
      <c r="S2080" t="s">
        <v>97</v>
      </c>
      <c r="T2080" t="s">
        <v>97</v>
      </c>
      <c r="U2080" t="s">
        <v>97</v>
      </c>
      <c r="V2080">
        <v>1.5</v>
      </c>
      <c r="W2080">
        <v>6</v>
      </c>
      <c r="X2080">
        <v>2</v>
      </c>
      <c r="Y2080">
        <f t="shared" si="32"/>
        <v>6</v>
      </c>
      <c r="Z2080" t="str">
        <f>IF(ISNUMBER(SEARCH("Adjustment",$C2080)),"excluded",IF($H2080="Behind the Meter","excluded",IF(NOT(OR($E2080="Bundled",$E2080="Energy")),"excluded",IF(OR($H2080="Retail Power Marketer",$H2080="Community Choice Aggregator",$E2080="Energy"),"procurement",IF(OR($H2080="Municipal",$H2080="Cooperative",$H2080="Federal",$H2080="State",$H2080="Political Subdivision"),"cost_service",IF($H2080="Investor Owned",IF(AND(COUNTIF(Parameters!$A$4:$A$33,$G2080)&gt;0,COUNTIF(Parameters!$B$4:$B$33,$B2080)=0),"procurement","cost_service"),"unclassified"))))))</f>
        <v>excluded</v>
      </c>
    </row>
    <row r="2081" spans="1:26" x14ac:dyDescent="0.25">
      <c r="A2081">
        <v>2024</v>
      </c>
      <c r="B2081">
        <v>59579</v>
      </c>
      <c r="C2081" t="s">
        <v>1550</v>
      </c>
      <c r="D2081" t="s">
        <v>84</v>
      </c>
      <c r="E2081" t="s">
        <v>85</v>
      </c>
      <c r="F2081" t="s">
        <v>86</v>
      </c>
      <c r="G2081" t="s">
        <v>93</v>
      </c>
      <c r="H2081" t="s">
        <v>1475</v>
      </c>
      <c r="I2081" t="s">
        <v>92</v>
      </c>
      <c r="J2081">
        <v>0.4</v>
      </c>
      <c r="K2081">
        <v>4</v>
      </c>
      <c r="L2081">
        <v>2</v>
      </c>
      <c r="M2081" t="s">
        <v>97</v>
      </c>
      <c r="N2081" t="s">
        <v>97</v>
      </c>
      <c r="O2081" t="s">
        <v>97</v>
      </c>
      <c r="P2081" t="s">
        <v>97</v>
      </c>
      <c r="Q2081" t="s">
        <v>97</v>
      </c>
      <c r="R2081" t="s">
        <v>97</v>
      </c>
      <c r="S2081" t="s">
        <v>97</v>
      </c>
      <c r="T2081" t="s">
        <v>97</v>
      </c>
      <c r="U2081" t="s">
        <v>97</v>
      </c>
      <c r="V2081">
        <v>0.4</v>
      </c>
      <c r="W2081">
        <v>4</v>
      </c>
      <c r="X2081">
        <v>2</v>
      </c>
      <c r="Y2081">
        <f t="shared" si="32"/>
        <v>4</v>
      </c>
      <c r="Z2081" t="str">
        <f>IF(ISNUMBER(SEARCH("Adjustment",$C2081)),"excluded",IF($H2081="Behind the Meter","excluded",IF(NOT(OR($E2081="Bundled",$E2081="Energy")),"excluded",IF(OR($H2081="Retail Power Marketer",$H2081="Community Choice Aggregator",$E2081="Energy"),"procurement",IF(OR($H2081="Municipal",$H2081="Cooperative",$H2081="Federal",$H2081="State",$H2081="Political Subdivision"),"cost_service",IF($H2081="Investor Owned",IF(AND(COUNTIF(Parameters!$A$4:$A$33,$G2081)&gt;0,COUNTIF(Parameters!$B$4:$B$33,$B2081)=0),"procurement","cost_service"),"unclassified"))))))</f>
        <v>excluded</v>
      </c>
    </row>
    <row r="2082" spans="1:26" x14ac:dyDescent="0.25">
      <c r="A2082">
        <v>2024</v>
      </c>
      <c r="B2082">
        <v>59579</v>
      </c>
      <c r="C2082" t="s">
        <v>1550</v>
      </c>
      <c r="D2082" t="s">
        <v>84</v>
      </c>
      <c r="E2082" t="s">
        <v>85</v>
      </c>
      <c r="F2082" t="s">
        <v>86</v>
      </c>
      <c r="G2082" t="s">
        <v>148</v>
      </c>
      <c r="H2082" t="s">
        <v>1475</v>
      </c>
      <c r="I2082" t="s">
        <v>707</v>
      </c>
      <c r="J2082">
        <v>0</v>
      </c>
      <c r="K2082">
        <v>0</v>
      </c>
      <c r="L2082">
        <v>0</v>
      </c>
      <c r="M2082" t="s">
        <v>97</v>
      </c>
      <c r="N2082" t="s">
        <v>97</v>
      </c>
      <c r="O2082" t="s">
        <v>97</v>
      </c>
      <c r="P2082" t="s">
        <v>97</v>
      </c>
      <c r="Q2082" t="s">
        <v>97</v>
      </c>
      <c r="R2082" t="s">
        <v>97</v>
      </c>
      <c r="S2082" t="s">
        <v>97</v>
      </c>
      <c r="T2082" t="s">
        <v>97</v>
      </c>
      <c r="U2082" t="s">
        <v>97</v>
      </c>
      <c r="V2082">
        <v>0</v>
      </c>
      <c r="W2082">
        <v>0</v>
      </c>
      <c r="X2082">
        <v>0</v>
      </c>
      <c r="Y2082">
        <f t="shared" si="32"/>
        <v>0</v>
      </c>
      <c r="Z2082" t="str">
        <f>IF(ISNUMBER(SEARCH("Adjustment",$C2082)),"excluded",IF($H2082="Behind the Meter","excluded",IF(NOT(OR($E2082="Bundled",$E2082="Energy")),"excluded",IF(OR($H2082="Retail Power Marketer",$H2082="Community Choice Aggregator",$E2082="Energy"),"procurement",IF(OR($H2082="Municipal",$H2082="Cooperative",$H2082="Federal",$H2082="State",$H2082="Political Subdivision"),"cost_service",IF($H2082="Investor Owned",IF(AND(COUNTIF(Parameters!$A$4:$A$33,$G2082)&gt;0,COUNTIF(Parameters!$B$4:$B$33,$B2082)=0),"procurement","cost_service"),"unclassified"))))))</f>
        <v>excluded</v>
      </c>
    </row>
    <row r="2083" spans="1:26" x14ac:dyDescent="0.25">
      <c r="A2083">
        <v>2024</v>
      </c>
      <c r="B2083">
        <v>59579</v>
      </c>
      <c r="C2083" t="s">
        <v>1550</v>
      </c>
      <c r="D2083" t="s">
        <v>84</v>
      </c>
      <c r="E2083" t="s">
        <v>85</v>
      </c>
      <c r="F2083" t="s">
        <v>86</v>
      </c>
      <c r="G2083" t="s">
        <v>95</v>
      </c>
      <c r="H2083" t="s">
        <v>1475</v>
      </c>
      <c r="I2083" t="s">
        <v>96</v>
      </c>
      <c r="J2083">
        <v>0</v>
      </c>
      <c r="K2083">
        <v>0</v>
      </c>
      <c r="L2083">
        <v>0</v>
      </c>
      <c r="M2083" t="s">
        <v>97</v>
      </c>
      <c r="N2083" t="s">
        <v>97</v>
      </c>
      <c r="O2083" t="s">
        <v>97</v>
      </c>
      <c r="P2083" t="s">
        <v>97</v>
      </c>
      <c r="Q2083" t="s">
        <v>97</v>
      </c>
      <c r="R2083" t="s">
        <v>97</v>
      </c>
      <c r="S2083" t="s">
        <v>97</v>
      </c>
      <c r="T2083" t="s">
        <v>97</v>
      </c>
      <c r="U2083" t="s">
        <v>97</v>
      </c>
      <c r="V2083">
        <v>0</v>
      </c>
      <c r="W2083">
        <v>0</v>
      </c>
      <c r="X2083">
        <v>0</v>
      </c>
      <c r="Y2083">
        <f t="shared" si="32"/>
        <v>0</v>
      </c>
      <c r="Z2083" t="str">
        <f>IF(ISNUMBER(SEARCH("Adjustment",$C2083)),"excluded",IF($H2083="Behind the Meter","excluded",IF(NOT(OR($E2083="Bundled",$E2083="Energy")),"excluded",IF(OR($H2083="Retail Power Marketer",$H2083="Community Choice Aggregator",$E2083="Energy"),"procurement",IF(OR($H2083="Municipal",$H2083="Cooperative",$H2083="Federal",$H2083="State",$H2083="Political Subdivision"),"cost_service",IF($H2083="Investor Owned",IF(AND(COUNTIF(Parameters!$A$4:$A$33,$G2083)&gt;0,COUNTIF(Parameters!$B$4:$B$33,$B2083)=0),"procurement","cost_service"),"unclassified"))))))</f>
        <v>excluded</v>
      </c>
    </row>
    <row r="2084" spans="1:26" x14ac:dyDescent="0.25">
      <c r="A2084">
        <v>2024</v>
      </c>
      <c r="B2084">
        <v>59579</v>
      </c>
      <c r="C2084" t="s">
        <v>1550</v>
      </c>
      <c r="D2084" t="s">
        <v>84</v>
      </c>
      <c r="E2084" t="s">
        <v>85</v>
      </c>
      <c r="F2084" t="s">
        <v>86</v>
      </c>
      <c r="G2084" t="s">
        <v>166</v>
      </c>
      <c r="H2084" t="s">
        <v>1475</v>
      </c>
      <c r="I2084" t="s">
        <v>92</v>
      </c>
      <c r="J2084">
        <v>0</v>
      </c>
      <c r="K2084">
        <v>0</v>
      </c>
      <c r="L2084">
        <v>0</v>
      </c>
      <c r="M2084" t="s">
        <v>97</v>
      </c>
      <c r="N2084" t="s">
        <v>97</v>
      </c>
      <c r="O2084" t="s">
        <v>97</v>
      </c>
      <c r="P2084" t="s">
        <v>97</v>
      </c>
      <c r="Q2084" t="s">
        <v>97</v>
      </c>
      <c r="R2084" t="s">
        <v>97</v>
      </c>
      <c r="S2084" t="s">
        <v>97</v>
      </c>
      <c r="T2084" t="s">
        <v>97</v>
      </c>
      <c r="U2084" t="s">
        <v>97</v>
      </c>
      <c r="V2084">
        <v>0</v>
      </c>
      <c r="W2084">
        <v>0</v>
      </c>
      <c r="X2084">
        <v>0</v>
      </c>
      <c r="Y2084">
        <f t="shared" si="32"/>
        <v>0</v>
      </c>
      <c r="Z2084" t="str">
        <f>IF(ISNUMBER(SEARCH("Adjustment",$C2084)),"excluded",IF($H2084="Behind the Meter","excluded",IF(NOT(OR($E2084="Bundled",$E2084="Energy")),"excluded",IF(OR($H2084="Retail Power Marketer",$H2084="Community Choice Aggregator",$E2084="Energy"),"procurement",IF(OR($H2084="Municipal",$H2084="Cooperative",$H2084="Federal",$H2084="State",$H2084="Political Subdivision"),"cost_service",IF($H2084="Investor Owned",IF(AND(COUNTIF(Parameters!$A$4:$A$33,$G2084)&gt;0,COUNTIF(Parameters!$B$4:$B$33,$B2084)=0),"procurement","cost_service"),"unclassified"))))))</f>
        <v>excluded</v>
      </c>
    </row>
    <row r="2085" spans="1:26" x14ac:dyDescent="0.25">
      <c r="A2085">
        <v>2024</v>
      </c>
      <c r="B2085">
        <v>59580</v>
      </c>
      <c r="C2085" t="s">
        <v>1552</v>
      </c>
      <c r="D2085" t="s">
        <v>84</v>
      </c>
      <c r="E2085" t="s">
        <v>85</v>
      </c>
      <c r="F2085" t="s">
        <v>86</v>
      </c>
      <c r="G2085" t="s">
        <v>108</v>
      </c>
      <c r="H2085" t="s">
        <v>1475</v>
      </c>
      <c r="I2085" t="s">
        <v>110</v>
      </c>
      <c r="J2085">
        <v>13037.1</v>
      </c>
      <c r="K2085">
        <v>81697</v>
      </c>
      <c r="L2085">
        <v>8153</v>
      </c>
      <c r="M2085" t="s">
        <v>97</v>
      </c>
      <c r="N2085" t="s">
        <v>97</v>
      </c>
      <c r="O2085" t="s">
        <v>97</v>
      </c>
      <c r="P2085" t="s">
        <v>97</v>
      </c>
      <c r="Q2085" t="s">
        <v>97</v>
      </c>
      <c r="R2085" t="s">
        <v>97</v>
      </c>
      <c r="S2085" t="s">
        <v>97</v>
      </c>
      <c r="T2085" t="s">
        <v>97</v>
      </c>
      <c r="U2085" t="s">
        <v>97</v>
      </c>
      <c r="V2085">
        <v>13037.1</v>
      </c>
      <c r="W2085">
        <v>81697</v>
      </c>
      <c r="X2085">
        <v>8153</v>
      </c>
      <c r="Y2085">
        <f t="shared" si="32"/>
        <v>81697</v>
      </c>
      <c r="Z2085" t="str">
        <f>IF(ISNUMBER(SEARCH("Adjustment",$C2085)),"excluded",IF($H2085="Behind the Meter","excluded",IF(NOT(OR($E2085="Bundled",$E2085="Energy")),"excluded",IF(OR($H2085="Retail Power Marketer",$H2085="Community Choice Aggregator",$E2085="Energy"),"procurement",IF(OR($H2085="Municipal",$H2085="Cooperative",$H2085="Federal",$H2085="State",$H2085="Political Subdivision"),"cost_service",IF($H2085="Investor Owned",IF(AND(COUNTIF(Parameters!$A$4:$A$33,$G2085)&gt;0,COUNTIF(Parameters!$B$4:$B$33,$B2085)=0),"procurement","cost_service"),"unclassified"))))))</f>
        <v>excluded</v>
      </c>
    </row>
    <row r="2086" spans="1:26" x14ac:dyDescent="0.25">
      <c r="A2086">
        <v>2024</v>
      </c>
      <c r="B2086">
        <v>59580</v>
      </c>
      <c r="C2086" t="s">
        <v>1552</v>
      </c>
      <c r="D2086" t="s">
        <v>84</v>
      </c>
      <c r="E2086" t="s">
        <v>85</v>
      </c>
      <c r="F2086" t="s">
        <v>86</v>
      </c>
      <c r="G2086" t="s">
        <v>108</v>
      </c>
      <c r="H2086" t="s">
        <v>1475</v>
      </c>
      <c r="I2086" t="s">
        <v>116</v>
      </c>
      <c r="J2086">
        <v>338.9</v>
      </c>
      <c r="K2086">
        <v>2123</v>
      </c>
      <c r="L2086">
        <v>212</v>
      </c>
      <c r="M2086" t="s">
        <v>97</v>
      </c>
      <c r="N2086" t="s">
        <v>97</v>
      </c>
      <c r="O2086" t="s">
        <v>97</v>
      </c>
      <c r="P2086" t="s">
        <v>97</v>
      </c>
      <c r="Q2086" t="s">
        <v>97</v>
      </c>
      <c r="R2086" t="s">
        <v>97</v>
      </c>
      <c r="S2086" t="s">
        <v>97</v>
      </c>
      <c r="T2086" t="s">
        <v>97</v>
      </c>
      <c r="U2086" t="s">
        <v>97</v>
      </c>
      <c r="V2086">
        <v>338.9</v>
      </c>
      <c r="W2086">
        <v>2123</v>
      </c>
      <c r="X2086">
        <v>212</v>
      </c>
      <c r="Y2086">
        <f t="shared" si="32"/>
        <v>2123</v>
      </c>
      <c r="Z2086" t="str">
        <f>IF(ISNUMBER(SEARCH("Adjustment",$C2086)),"excluded",IF($H2086="Behind the Meter","excluded",IF(NOT(OR($E2086="Bundled",$E2086="Energy")),"excluded",IF(OR($H2086="Retail Power Marketer",$H2086="Community Choice Aggregator",$E2086="Energy"),"procurement",IF(OR($H2086="Municipal",$H2086="Cooperative",$H2086="Federal",$H2086="State",$H2086="Political Subdivision"),"cost_service",IF($H2086="Investor Owned",IF(AND(COUNTIF(Parameters!$A$4:$A$33,$G2086)&gt;0,COUNTIF(Parameters!$B$4:$B$33,$B2086)=0),"procurement","cost_service"),"unclassified"))))))</f>
        <v>excluded</v>
      </c>
    </row>
    <row r="2087" spans="1:26" x14ac:dyDescent="0.25">
      <c r="A2087">
        <v>2024</v>
      </c>
      <c r="B2087">
        <v>59580</v>
      </c>
      <c r="C2087" t="s">
        <v>1552</v>
      </c>
      <c r="D2087" t="s">
        <v>84</v>
      </c>
      <c r="E2087" t="s">
        <v>85</v>
      </c>
      <c r="F2087" t="s">
        <v>86</v>
      </c>
      <c r="G2087" t="s">
        <v>108</v>
      </c>
      <c r="H2087" t="s">
        <v>1475</v>
      </c>
      <c r="I2087" t="s">
        <v>523</v>
      </c>
      <c r="J2087">
        <v>10.1</v>
      </c>
      <c r="K2087">
        <v>64</v>
      </c>
      <c r="L2087">
        <v>6</v>
      </c>
      <c r="M2087" t="s">
        <v>97</v>
      </c>
      <c r="N2087" t="s">
        <v>97</v>
      </c>
      <c r="O2087" t="s">
        <v>97</v>
      </c>
      <c r="P2087" t="s">
        <v>97</v>
      </c>
      <c r="Q2087" t="s">
        <v>97</v>
      </c>
      <c r="R2087" t="s">
        <v>97</v>
      </c>
      <c r="S2087" t="s">
        <v>97</v>
      </c>
      <c r="T2087" t="s">
        <v>97</v>
      </c>
      <c r="U2087" t="s">
        <v>97</v>
      </c>
      <c r="V2087">
        <v>10.1</v>
      </c>
      <c r="W2087">
        <v>64</v>
      </c>
      <c r="X2087">
        <v>6</v>
      </c>
      <c r="Y2087">
        <f t="shared" si="32"/>
        <v>64</v>
      </c>
      <c r="Z2087" t="str">
        <f>IF(ISNUMBER(SEARCH("Adjustment",$C2087)),"excluded",IF($H2087="Behind the Meter","excluded",IF(NOT(OR($E2087="Bundled",$E2087="Energy")),"excluded",IF(OR($H2087="Retail Power Marketer",$H2087="Community Choice Aggregator",$E2087="Energy"),"procurement",IF(OR($H2087="Municipal",$H2087="Cooperative",$H2087="Federal",$H2087="State",$H2087="Political Subdivision"),"cost_service",IF($H2087="Investor Owned",IF(AND(COUNTIF(Parameters!$A$4:$A$33,$G2087)&gt;0,COUNTIF(Parameters!$B$4:$B$33,$B2087)=0),"procurement","cost_service"),"unclassified"))))))</f>
        <v>excluded</v>
      </c>
    </row>
    <row r="2088" spans="1:26" x14ac:dyDescent="0.25">
      <c r="A2088">
        <v>2024</v>
      </c>
      <c r="B2088">
        <v>59580</v>
      </c>
      <c r="C2088" t="s">
        <v>1552</v>
      </c>
      <c r="D2088" t="s">
        <v>84</v>
      </c>
      <c r="E2088" t="s">
        <v>85</v>
      </c>
      <c r="F2088" t="s">
        <v>86</v>
      </c>
      <c r="G2088" t="s">
        <v>108</v>
      </c>
      <c r="H2088" t="s">
        <v>1475</v>
      </c>
      <c r="I2088" t="s">
        <v>1090</v>
      </c>
      <c r="J2088">
        <v>742.6</v>
      </c>
      <c r="K2088">
        <v>4653</v>
      </c>
      <c r="L2088">
        <v>464</v>
      </c>
      <c r="M2088" t="s">
        <v>97</v>
      </c>
      <c r="N2088" t="s">
        <v>97</v>
      </c>
      <c r="O2088" t="s">
        <v>97</v>
      </c>
      <c r="P2088" t="s">
        <v>97</v>
      </c>
      <c r="Q2088" t="s">
        <v>97</v>
      </c>
      <c r="R2088" t="s">
        <v>97</v>
      </c>
      <c r="S2088" t="s">
        <v>97</v>
      </c>
      <c r="T2088" t="s">
        <v>97</v>
      </c>
      <c r="U2088" t="s">
        <v>97</v>
      </c>
      <c r="V2088">
        <v>742.6</v>
      </c>
      <c r="W2088">
        <v>4653</v>
      </c>
      <c r="X2088">
        <v>464</v>
      </c>
      <c r="Y2088">
        <f t="shared" si="32"/>
        <v>4653</v>
      </c>
      <c r="Z2088" t="str">
        <f>IF(ISNUMBER(SEARCH("Adjustment",$C2088)),"excluded",IF($H2088="Behind the Meter","excluded",IF(NOT(OR($E2088="Bundled",$E2088="Energy")),"excluded",IF(OR($H2088="Retail Power Marketer",$H2088="Community Choice Aggregator",$E2088="Energy"),"procurement",IF(OR($H2088="Municipal",$H2088="Cooperative",$H2088="Federal",$H2088="State",$H2088="Political Subdivision"),"cost_service",IF($H2088="Investor Owned",IF(AND(COUNTIF(Parameters!$A$4:$A$33,$G2088)&gt;0,COUNTIF(Parameters!$B$4:$B$33,$B2088)=0),"procurement","cost_service"),"unclassified"))))))</f>
        <v>excluded</v>
      </c>
    </row>
    <row r="2089" spans="1:26" x14ac:dyDescent="0.25">
      <c r="A2089">
        <v>2024</v>
      </c>
      <c r="B2089">
        <v>59580</v>
      </c>
      <c r="C2089" t="s">
        <v>1552</v>
      </c>
      <c r="D2089" t="s">
        <v>84</v>
      </c>
      <c r="E2089" t="s">
        <v>85</v>
      </c>
      <c r="F2089" t="s">
        <v>86</v>
      </c>
      <c r="G2089" t="s">
        <v>108</v>
      </c>
      <c r="H2089" t="s">
        <v>1475</v>
      </c>
      <c r="I2089" t="s">
        <v>876</v>
      </c>
      <c r="J2089">
        <v>3837.8</v>
      </c>
      <c r="K2089">
        <v>24050</v>
      </c>
      <c r="L2089">
        <v>2400</v>
      </c>
      <c r="M2089" t="s">
        <v>97</v>
      </c>
      <c r="N2089" t="s">
        <v>97</v>
      </c>
      <c r="O2089" t="s">
        <v>97</v>
      </c>
      <c r="P2089" t="s">
        <v>97</v>
      </c>
      <c r="Q2089" t="s">
        <v>97</v>
      </c>
      <c r="R2089" t="s">
        <v>97</v>
      </c>
      <c r="S2089" t="s">
        <v>97</v>
      </c>
      <c r="T2089" t="s">
        <v>97</v>
      </c>
      <c r="U2089" t="s">
        <v>97</v>
      </c>
      <c r="V2089">
        <v>3837.8</v>
      </c>
      <c r="W2089">
        <v>24050</v>
      </c>
      <c r="X2089">
        <v>2400</v>
      </c>
      <c r="Y2089">
        <f t="shared" si="32"/>
        <v>24050</v>
      </c>
      <c r="Z2089" t="str">
        <f>IF(ISNUMBER(SEARCH("Adjustment",$C2089)),"excluded",IF($H2089="Behind the Meter","excluded",IF(NOT(OR($E2089="Bundled",$E2089="Energy")),"excluded",IF(OR($H2089="Retail Power Marketer",$H2089="Community Choice Aggregator",$E2089="Energy"),"procurement",IF(OR($H2089="Municipal",$H2089="Cooperative",$H2089="Federal",$H2089="State",$H2089="Political Subdivision"),"cost_service",IF($H2089="Investor Owned",IF(AND(COUNTIF(Parameters!$A$4:$A$33,$G2089)&gt;0,COUNTIF(Parameters!$B$4:$B$33,$B2089)=0),"procurement","cost_service"),"unclassified"))))))</f>
        <v>excluded</v>
      </c>
    </row>
    <row r="2090" spans="1:26" x14ac:dyDescent="0.25">
      <c r="A2090">
        <v>2024</v>
      </c>
      <c r="B2090">
        <v>59580</v>
      </c>
      <c r="C2090" t="s">
        <v>1552</v>
      </c>
      <c r="D2090" t="s">
        <v>84</v>
      </c>
      <c r="E2090" t="s">
        <v>85</v>
      </c>
      <c r="F2090" t="s">
        <v>86</v>
      </c>
      <c r="G2090" t="s">
        <v>108</v>
      </c>
      <c r="H2090" t="s">
        <v>1475</v>
      </c>
      <c r="I2090" t="s">
        <v>243</v>
      </c>
      <c r="J2090">
        <v>358.2</v>
      </c>
      <c r="K2090">
        <v>2245</v>
      </c>
      <c r="L2090">
        <v>224</v>
      </c>
      <c r="M2090" t="s">
        <v>97</v>
      </c>
      <c r="N2090" t="s">
        <v>97</v>
      </c>
      <c r="O2090" t="s">
        <v>97</v>
      </c>
      <c r="P2090" t="s">
        <v>97</v>
      </c>
      <c r="Q2090" t="s">
        <v>97</v>
      </c>
      <c r="R2090" t="s">
        <v>97</v>
      </c>
      <c r="S2090" t="s">
        <v>97</v>
      </c>
      <c r="T2090" t="s">
        <v>97</v>
      </c>
      <c r="U2090" t="s">
        <v>97</v>
      </c>
      <c r="V2090">
        <v>358.2</v>
      </c>
      <c r="W2090">
        <v>2245</v>
      </c>
      <c r="X2090">
        <v>224</v>
      </c>
      <c r="Y2090">
        <f t="shared" si="32"/>
        <v>2245</v>
      </c>
      <c r="Z2090" t="str">
        <f>IF(ISNUMBER(SEARCH("Adjustment",$C2090)),"excluded",IF($H2090="Behind the Meter","excluded",IF(NOT(OR($E2090="Bundled",$E2090="Energy")),"excluded",IF(OR($H2090="Retail Power Marketer",$H2090="Community Choice Aggregator",$E2090="Energy"),"procurement",IF(OR($H2090="Municipal",$H2090="Cooperative",$H2090="Federal",$H2090="State",$H2090="Political Subdivision"),"cost_service",IF($H2090="Investor Owned",IF(AND(COUNTIF(Parameters!$A$4:$A$33,$G2090)&gt;0,COUNTIF(Parameters!$B$4:$B$33,$B2090)=0),"procurement","cost_service"),"unclassified"))))))</f>
        <v>excluded</v>
      </c>
    </row>
    <row r="2091" spans="1:26" x14ac:dyDescent="0.25">
      <c r="A2091">
        <v>2024</v>
      </c>
      <c r="B2091">
        <v>59580</v>
      </c>
      <c r="C2091" t="s">
        <v>1552</v>
      </c>
      <c r="D2091" t="s">
        <v>84</v>
      </c>
      <c r="E2091" t="s">
        <v>85</v>
      </c>
      <c r="F2091" t="s">
        <v>86</v>
      </c>
      <c r="G2091" t="s">
        <v>115</v>
      </c>
      <c r="H2091" t="s">
        <v>1475</v>
      </c>
      <c r="I2091" t="s">
        <v>116</v>
      </c>
      <c r="J2091">
        <v>104974.6</v>
      </c>
      <c r="K2091">
        <v>433086</v>
      </c>
      <c r="L2091">
        <v>62640</v>
      </c>
      <c r="M2091" t="s">
        <v>97</v>
      </c>
      <c r="N2091" t="s">
        <v>97</v>
      </c>
      <c r="O2091" t="s">
        <v>97</v>
      </c>
      <c r="P2091" t="s">
        <v>97</v>
      </c>
      <c r="Q2091" t="s">
        <v>97</v>
      </c>
      <c r="R2091" t="s">
        <v>97</v>
      </c>
      <c r="S2091" t="s">
        <v>97</v>
      </c>
      <c r="T2091" t="s">
        <v>97</v>
      </c>
      <c r="U2091" t="s">
        <v>97</v>
      </c>
      <c r="V2091">
        <v>104974.6</v>
      </c>
      <c r="W2091">
        <v>433086</v>
      </c>
      <c r="X2091">
        <v>62640</v>
      </c>
      <c r="Y2091">
        <f t="shared" si="32"/>
        <v>433086</v>
      </c>
      <c r="Z2091" t="str">
        <f>IF(ISNUMBER(SEARCH("Adjustment",$C2091)),"excluded",IF($H2091="Behind the Meter","excluded",IF(NOT(OR($E2091="Bundled",$E2091="Energy")),"excluded",IF(OR($H2091="Retail Power Marketer",$H2091="Community Choice Aggregator",$E2091="Energy"),"procurement",IF(OR($H2091="Municipal",$H2091="Cooperative",$H2091="Federal",$H2091="State",$H2091="Political Subdivision"),"cost_service",IF($H2091="Investor Owned",IF(AND(COUNTIF(Parameters!$A$4:$A$33,$G2091)&gt;0,COUNTIF(Parameters!$B$4:$B$33,$B2091)=0),"procurement","cost_service"),"unclassified"))))))</f>
        <v>excluded</v>
      </c>
    </row>
    <row r="2092" spans="1:26" x14ac:dyDescent="0.25">
      <c r="A2092">
        <v>2024</v>
      </c>
      <c r="B2092">
        <v>59580</v>
      </c>
      <c r="C2092" t="s">
        <v>1552</v>
      </c>
      <c r="D2092" t="s">
        <v>84</v>
      </c>
      <c r="E2092" t="s">
        <v>85</v>
      </c>
      <c r="F2092" t="s">
        <v>86</v>
      </c>
      <c r="G2092" t="s">
        <v>115</v>
      </c>
      <c r="H2092" t="s">
        <v>1475</v>
      </c>
      <c r="I2092" t="s">
        <v>642</v>
      </c>
      <c r="J2092">
        <v>2160.8000000000002</v>
      </c>
      <c r="K2092">
        <v>8914</v>
      </c>
      <c r="L2092">
        <v>1289</v>
      </c>
      <c r="M2092" t="s">
        <v>97</v>
      </c>
      <c r="N2092" t="s">
        <v>97</v>
      </c>
      <c r="O2092" t="s">
        <v>97</v>
      </c>
      <c r="P2092" t="s">
        <v>97</v>
      </c>
      <c r="Q2092" t="s">
        <v>97</v>
      </c>
      <c r="R2092" t="s">
        <v>97</v>
      </c>
      <c r="S2092" t="s">
        <v>97</v>
      </c>
      <c r="T2092" t="s">
        <v>97</v>
      </c>
      <c r="U2092" t="s">
        <v>97</v>
      </c>
      <c r="V2092">
        <v>2160.8000000000002</v>
      </c>
      <c r="W2092">
        <v>8914</v>
      </c>
      <c r="X2092">
        <v>1289</v>
      </c>
      <c r="Y2092">
        <f t="shared" si="32"/>
        <v>8914</v>
      </c>
      <c r="Z2092" t="str">
        <f>IF(ISNUMBER(SEARCH("Adjustment",$C2092)),"excluded",IF($H2092="Behind the Meter","excluded",IF(NOT(OR($E2092="Bundled",$E2092="Energy")),"excluded",IF(OR($H2092="Retail Power Marketer",$H2092="Community Choice Aggregator",$E2092="Energy"),"procurement",IF(OR($H2092="Municipal",$H2092="Cooperative",$H2092="Federal",$H2092="State",$H2092="Political Subdivision"),"cost_service",IF($H2092="Investor Owned",IF(AND(COUNTIF(Parameters!$A$4:$A$33,$G2092)&gt;0,COUNTIF(Parameters!$B$4:$B$33,$B2092)=0),"procurement","cost_service"),"unclassified"))))))</f>
        <v>excluded</v>
      </c>
    </row>
    <row r="2093" spans="1:26" x14ac:dyDescent="0.25">
      <c r="A2093">
        <v>2024</v>
      </c>
      <c r="B2093">
        <v>59580</v>
      </c>
      <c r="C2093" t="s">
        <v>1552</v>
      </c>
      <c r="D2093" t="s">
        <v>84</v>
      </c>
      <c r="E2093" t="s">
        <v>85</v>
      </c>
      <c r="F2093" t="s">
        <v>86</v>
      </c>
      <c r="G2093" t="s">
        <v>115</v>
      </c>
      <c r="H2093" t="s">
        <v>1475</v>
      </c>
      <c r="I2093" t="s">
        <v>267</v>
      </c>
      <c r="J2093">
        <v>6687.7</v>
      </c>
      <c r="K2093">
        <v>27591</v>
      </c>
      <c r="L2093">
        <v>3991</v>
      </c>
      <c r="M2093" t="s">
        <v>97</v>
      </c>
      <c r="N2093" t="s">
        <v>97</v>
      </c>
      <c r="O2093" t="s">
        <v>97</v>
      </c>
      <c r="P2093" t="s">
        <v>97</v>
      </c>
      <c r="Q2093" t="s">
        <v>97</v>
      </c>
      <c r="R2093" t="s">
        <v>97</v>
      </c>
      <c r="S2093" t="s">
        <v>97</v>
      </c>
      <c r="T2093" t="s">
        <v>97</v>
      </c>
      <c r="U2093" t="s">
        <v>97</v>
      </c>
      <c r="V2093">
        <v>6687.7</v>
      </c>
      <c r="W2093">
        <v>27591</v>
      </c>
      <c r="X2093">
        <v>3991</v>
      </c>
      <c r="Y2093">
        <f t="shared" si="32"/>
        <v>27591</v>
      </c>
      <c r="Z2093" t="str">
        <f>IF(ISNUMBER(SEARCH("Adjustment",$C2093)),"excluded",IF($H2093="Behind the Meter","excluded",IF(NOT(OR($E2093="Bundled",$E2093="Energy")),"excluded",IF(OR($H2093="Retail Power Marketer",$H2093="Community Choice Aggregator",$E2093="Energy"),"procurement",IF(OR($H2093="Municipal",$H2093="Cooperative",$H2093="Federal",$H2093="State",$H2093="Political Subdivision"),"cost_service",IF($H2093="Investor Owned",IF(AND(COUNTIF(Parameters!$A$4:$A$33,$G2093)&gt;0,COUNTIF(Parameters!$B$4:$B$33,$B2093)=0),"procurement","cost_service"),"unclassified"))))))</f>
        <v>excluded</v>
      </c>
    </row>
    <row r="2094" spans="1:26" x14ac:dyDescent="0.25">
      <c r="A2094">
        <v>2024</v>
      </c>
      <c r="B2094">
        <v>59580</v>
      </c>
      <c r="C2094" t="s">
        <v>1552</v>
      </c>
      <c r="D2094" t="s">
        <v>84</v>
      </c>
      <c r="E2094" t="s">
        <v>85</v>
      </c>
      <c r="F2094" t="s">
        <v>86</v>
      </c>
      <c r="G2094" t="s">
        <v>115</v>
      </c>
      <c r="H2094" t="s">
        <v>1475</v>
      </c>
      <c r="I2094" t="s">
        <v>390</v>
      </c>
      <c r="J2094">
        <v>13.5</v>
      </c>
      <c r="K2094">
        <v>56</v>
      </c>
      <c r="L2094">
        <v>8</v>
      </c>
      <c r="M2094" t="s">
        <v>97</v>
      </c>
      <c r="N2094" t="s">
        <v>97</v>
      </c>
      <c r="O2094" t="s">
        <v>97</v>
      </c>
      <c r="P2094" t="s">
        <v>97</v>
      </c>
      <c r="Q2094" t="s">
        <v>97</v>
      </c>
      <c r="R2094" t="s">
        <v>97</v>
      </c>
      <c r="S2094" t="s">
        <v>97</v>
      </c>
      <c r="T2094" t="s">
        <v>97</v>
      </c>
      <c r="U2094" t="s">
        <v>97</v>
      </c>
      <c r="V2094">
        <v>13.5</v>
      </c>
      <c r="W2094">
        <v>56</v>
      </c>
      <c r="X2094">
        <v>8</v>
      </c>
      <c r="Y2094">
        <f t="shared" si="32"/>
        <v>56</v>
      </c>
      <c r="Z2094" t="str">
        <f>IF(ISNUMBER(SEARCH("Adjustment",$C2094)),"excluded",IF($H2094="Behind the Meter","excluded",IF(NOT(OR($E2094="Bundled",$E2094="Energy")),"excluded",IF(OR($H2094="Retail Power Marketer",$H2094="Community Choice Aggregator",$E2094="Energy"),"procurement",IF(OR($H2094="Municipal",$H2094="Cooperative",$H2094="Federal",$H2094="State",$H2094="Political Subdivision"),"cost_service",IF($H2094="Investor Owned",IF(AND(COUNTIF(Parameters!$A$4:$A$33,$G2094)&gt;0,COUNTIF(Parameters!$B$4:$B$33,$B2094)=0),"procurement","cost_service"),"unclassified"))))))</f>
        <v>excluded</v>
      </c>
    </row>
    <row r="2095" spans="1:26" x14ac:dyDescent="0.25">
      <c r="A2095">
        <v>2024</v>
      </c>
      <c r="B2095">
        <v>59580</v>
      </c>
      <c r="C2095" t="s">
        <v>1552</v>
      </c>
      <c r="D2095" t="s">
        <v>84</v>
      </c>
      <c r="E2095" t="s">
        <v>85</v>
      </c>
      <c r="F2095" t="s">
        <v>86</v>
      </c>
      <c r="G2095" t="s">
        <v>115</v>
      </c>
      <c r="H2095" t="s">
        <v>1475</v>
      </c>
      <c r="I2095" t="s">
        <v>972</v>
      </c>
      <c r="J2095">
        <v>70.8</v>
      </c>
      <c r="K2095">
        <v>292</v>
      </c>
      <c r="L2095">
        <v>42</v>
      </c>
      <c r="M2095" t="s">
        <v>97</v>
      </c>
      <c r="N2095" t="s">
        <v>97</v>
      </c>
      <c r="O2095" t="s">
        <v>97</v>
      </c>
      <c r="P2095" t="s">
        <v>97</v>
      </c>
      <c r="Q2095" t="s">
        <v>97</v>
      </c>
      <c r="R2095" t="s">
        <v>97</v>
      </c>
      <c r="S2095" t="s">
        <v>97</v>
      </c>
      <c r="T2095" t="s">
        <v>97</v>
      </c>
      <c r="U2095" t="s">
        <v>97</v>
      </c>
      <c r="V2095">
        <v>70.8</v>
      </c>
      <c r="W2095">
        <v>292</v>
      </c>
      <c r="X2095">
        <v>42</v>
      </c>
      <c r="Y2095">
        <f t="shared" si="32"/>
        <v>292</v>
      </c>
      <c r="Z2095" t="str">
        <f>IF(ISNUMBER(SEARCH("Adjustment",$C2095)),"excluded",IF($H2095="Behind the Meter","excluded",IF(NOT(OR($E2095="Bundled",$E2095="Energy")),"excluded",IF(OR($H2095="Retail Power Marketer",$H2095="Community Choice Aggregator",$E2095="Energy"),"procurement",IF(OR($H2095="Municipal",$H2095="Cooperative",$H2095="Federal",$H2095="State",$H2095="Political Subdivision"),"cost_service",IF($H2095="Investor Owned",IF(AND(COUNTIF(Parameters!$A$4:$A$33,$G2095)&gt;0,COUNTIF(Parameters!$B$4:$B$33,$B2095)=0),"procurement","cost_service"),"unclassified"))))))</f>
        <v>excluded</v>
      </c>
    </row>
    <row r="2096" spans="1:26" x14ac:dyDescent="0.25">
      <c r="A2096">
        <v>2024</v>
      </c>
      <c r="B2096">
        <v>59580</v>
      </c>
      <c r="C2096" t="s">
        <v>1552</v>
      </c>
      <c r="D2096" t="s">
        <v>84</v>
      </c>
      <c r="E2096" t="s">
        <v>85</v>
      </c>
      <c r="F2096" t="s">
        <v>86</v>
      </c>
      <c r="G2096" t="s">
        <v>115</v>
      </c>
      <c r="H2096" t="s">
        <v>1475</v>
      </c>
      <c r="I2096" t="s">
        <v>1251</v>
      </c>
      <c r="J2096">
        <v>287.7</v>
      </c>
      <c r="K2096">
        <v>1187</v>
      </c>
      <c r="L2096">
        <v>172</v>
      </c>
      <c r="M2096" t="s">
        <v>97</v>
      </c>
      <c r="N2096" t="s">
        <v>97</v>
      </c>
      <c r="O2096" t="s">
        <v>97</v>
      </c>
      <c r="P2096" t="s">
        <v>97</v>
      </c>
      <c r="Q2096" t="s">
        <v>97</v>
      </c>
      <c r="R2096" t="s">
        <v>97</v>
      </c>
      <c r="S2096" t="s">
        <v>97</v>
      </c>
      <c r="T2096" t="s">
        <v>97</v>
      </c>
      <c r="U2096" t="s">
        <v>97</v>
      </c>
      <c r="V2096">
        <v>287.7</v>
      </c>
      <c r="W2096">
        <v>1187</v>
      </c>
      <c r="X2096">
        <v>172</v>
      </c>
      <c r="Y2096">
        <f t="shared" si="32"/>
        <v>1187</v>
      </c>
      <c r="Z2096" t="str">
        <f>IF(ISNUMBER(SEARCH("Adjustment",$C2096)),"excluded",IF($H2096="Behind the Meter","excluded",IF(NOT(OR($E2096="Bundled",$E2096="Energy")),"excluded",IF(OR($H2096="Retail Power Marketer",$H2096="Community Choice Aggregator",$E2096="Energy"),"procurement",IF(OR($H2096="Municipal",$H2096="Cooperative",$H2096="Federal",$H2096="State",$H2096="Political Subdivision"),"cost_service",IF($H2096="Investor Owned",IF(AND(COUNTIF(Parameters!$A$4:$A$33,$G2096)&gt;0,COUNTIF(Parameters!$B$4:$B$33,$B2096)=0),"procurement","cost_service"),"unclassified"))))))</f>
        <v>excluded</v>
      </c>
    </row>
    <row r="2097" spans="1:26" x14ac:dyDescent="0.25">
      <c r="A2097">
        <v>2024</v>
      </c>
      <c r="B2097">
        <v>59580</v>
      </c>
      <c r="C2097" t="s">
        <v>1552</v>
      </c>
      <c r="D2097" t="s">
        <v>84</v>
      </c>
      <c r="E2097" t="s">
        <v>85</v>
      </c>
      <c r="F2097" t="s">
        <v>86</v>
      </c>
      <c r="G2097" t="s">
        <v>115</v>
      </c>
      <c r="H2097" t="s">
        <v>1475</v>
      </c>
      <c r="I2097" t="s">
        <v>243</v>
      </c>
      <c r="J2097">
        <v>6.5</v>
      </c>
      <c r="K2097">
        <v>27</v>
      </c>
      <c r="L2097">
        <v>4</v>
      </c>
      <c r="M2097" t="s">
        <v>97</v>
      </c>
      <c r="N2097" t="s">
        <v>97</v>
      </c>
      <c r="O2097" t="s">
        <v>97</v>
      </c>
      <c r="P2097" t="s">
        <v>97</v>
      </c>
      <c r="Q2097" t="s">
        <v>97</v>
      </c>
      <c r="R2097" t="s">
        <v>97</v>
      </c>
      <c r="S2097" t="s">
        <v>97</v>
      </c>
      <c r="T2097" t="s">
        <v>97</v>
      </c>
      <c r="U2097" t="s">
        <v>97</v>
      </c>
      <c r="V2097">
        <v>6.5</v>
      </c>
      <c r="W2097">
        <v>27</v>
      </c>
      <c r="X2097">
        <v>4</v>
      </c>
      <c r="Y2097">
        <f t="shared" si="32"/>
        <v>27</v>
      </c>
      <c r="Z2097" t="str">
        <f>IF(ISNUMBER(SEARCH("Adjustment",$C2097)),"excluded",IF($H2097="Behind the Meter","excluded",IF(NOT(OR($E2097="Bundled",$E2097="Energy")),"excluded",IF(OR($H2097="Retail Power Marketer",$H2097="Community Choice Aggregator",$E2097="Energy"),"procurement",IF(OR($H2097="Municipal",$H2097="Cooperative",$H2097="Federal",$H2097="State",$H2097="Political Subdivision"),"cost_service",IF($H2097="Investor Owned",IF(AND(COUNTIF(Parameters!$A$4:$A$33,$G2097)&gt;0,COUNTIF(Parameters!$B$4:$B$33,$B2097)=0),"procurement","cost_service"),"unclassified"))))))</f>
        <v>excluded</v>
      </c>
    </row>
    <row r="2098" spans="1:26" x14ac:dyDescent="0.25">
      <c r="A2098">
        <v>2024</v>
      </c>
      <c r="B2098">
        <v>59580</v>
      </c>
      <c r="C2098" t="s">
        <v>1552</v>
      </c>
      <c r="D2098" t="s">
        <v>84</v>
      </c>
      <c r="E2098" t="s">
        <v>85</v>
      </c>
      <c r="F2098" t="s">
        <v>86</v>
      </c>
      <c r="G2098" t="s">
        <v>115</v>
      </c>
      <c r="H2098" t="s">
        <v>1475</v>
      </c>
      <c r="I2098" t="s">
        <v>839</v>
      </c>
      <c r="J2098">
        <v>5610.6</v>
      </c>
      <c r="K2098">
        <v>23147</v>
      </c>
      <c r="L2098">
        <v>3348</v>
      </c>
      <c r="M2098" t="s">
        <v>97</v>
      </c>
      <c r="N2098" t="s">
        <v>97</v>
      </c>
      <c r="O2098" t="s">
        <v>97</v>
      </c>
      <c r="P2098" t="s">
        <v>97</v>
      </c>
      <c r="Q2098" t="s">
        <v>97</v>
      </c>
      <c r="R2098" t="s">
        <v>97</v>
      </c>
      <c r="S2098" t="s">
        <v>97</v>
      </c>
      <c r="T2098" t="s">
        <v>97</v>
      </c>
      <c r="U2098" t="s">
        <v>97</v>
      </c>
      <c r="V2098">
        <v>5610.6</v>
      </c>
      <c r="W2098">
        <v>23147</v>
      </c>
      <c r="X2098">
        <v>3348</v>
      </c>
      <c r="Y2098">
        <f t="shared" si="32"/>
        <v>23147</v>
      </c>
      <c r="Z2098" t="str">
        <f>IF(ISNUMBER(SEARCH("Adjustment",$C2098)),"excluded",IF($H2098="Behind the Meter","excluded",IF(NOT(OR($E2098="Bundled",$E2098="Energy")),"excluded",IF(OR($H2098="Retail Power Marketer",$H2098="Community Choice Aggregator",$E2098="Energy"),"procurement",IF(OR($H2098="Municipal",$H2098="Cooperative",$H2098="Federal",$H2098="State",$H2098="Political Subdivision"),"cost_service",IF($H2098="Investor Owned",IF(AND(COUNTIF(Parameters!$A$4:$A$33,$G2098)&gt;0,COUNTIF(Parameters!$B$4:$B$33,$B2098)=0),"procurement","cost_service"),"unclassified"))))))</f>
        <v>excluded</v>
      </c>
    </row>
    <row r="2099" spans="1:26" x14ac:dyDescent="0.25">
      <c r="A2099">
        <v>2024</v>
      </c>
      <c r="B2099">
        <v>59580</v>
      </c>
      <c r="C2099" t="s">
        <v>1552</v>
      </c>
      <c r="D2099" t="s">
        <v>84</v>
      </c>
      <c r="E2099" t="s">
        <v>85</v>
      </c>
      <c r="F2099" t="s">
        <v>86</v>
      </c>
      <c r="G2099" t="s">
        <v>361</v>
      </c>
      <c r="H2099" t="s">
        <v>1475</v>
      </c>
      <c r="I2099" t="s">
        <v>523</v>
      </c>
      <c r="J2099">
        <v>871.5</v>
      </c>
      <c r="K2099">
        <v>3516</v>
      </c>
      <c r="L2099">
        <v>1184</v>
      </c>
      <c r="M2099" t="s">
        <v>97</v>
      </c>
      <c r="N2099" t="s">
        <v>97</v>
      </c>
      <c r="O2099" t="s">
        <v>97</v>
      </c>
      <c r="P2099" t="s">
        <v>97</v>
      </c>
      <c r="Q2099" t="s">
        <v>97</v>
      </c>
      <c r="R2099" t="s">
        <v>97</v>
      </c>
      <c r="S2099" t="s">
        <v>97</v>
      </c>
      <c r="T2099" t="s">
        <v>97</v>
      </c>
      <c r="U2099" t="s">
        <v>97</v>
      </c>
      <c r="V2099">
        <v>871.5</v>
      </c>
      <c r="W2099">
        <v>3516</v>
      </c>
      <c r="X2099">
        <v>1184</v>
      </c>
      <c r="Y2099">
        <f t="shared" si="32"/>
        <v>3516</v>
      </c>
      <c r="Z2099" t="str">
        <f>IF(ISNUMBER(SEARCH("Adjustment",$C2099)),"excluded",IF($H2099="Behind the Meter","excluded",IF(NOT(OR($E2099="Bundled",$E2099="Energy")),"excluded",IF(OR($H2099="Retail Power Marketer",$H2099="Community Choice Aggregator",$E2099="Energy"),"procurement",IF(OR($H2099="Municipal",$H2099="Cooperative",$H2099="Federal",$H2099="State",$H2099="Political Subdivision"),"cost_service",IF($H2099="Investor Owned",IF(AND(COUNTIF(Parameters!$A$4:$A$33,$G2099)&gt;0,COUNTIF(Parameters!$B$4:$B$33,$B2099)=0),"procurement","cost_service"),"unclassified"))))))</f>
        <v>excluded</v>
      </c>
    </row>
    <row r="2100" spans="1:26" x14ac:dyDescent="0.25">
      <c r="A2100">
        <v>2024</v>
      </c>
      <c r="B2100">
        <v>59580</v>
      </c>
      <c r="C2100" t="s">
        <v>1552</v>
      </c>
      <c r="D2100" t="s">
        <v>84</v>
      </c>
      <c r="E2100" t="s">
        <v>85</v>
      </c>
      <c r="F2100" t="s">
        <v>86</v>
      </c>
      <c r="G2100" t="s">
        <v>361</v>
      </c>
      <c r="H2100" t="s">
        <v>1475</v>
      </c>
      <c r="I2100" t="s">
        <v>259</v>
      </c>
      <c r="J2100">
        <v>56.9</v>
      </c>
      <c r="K2100">
        <v>230</v>
      </c>
      <c r="L2100">
        <v>77</v>
      </c>
      <c r="M2100" t="s">
        <v>97</v>
      </c>
      <c r="N2100" t="s">
        <v>97</v>
      </c>
      <c r="O2100" t="s">
        <v>97</v>
      </c>
      <c r="P2100" t="s">
        <v>97</v>
      </c>
      <c r="Q2100" t="s">
        <v>97</v>
      </c>
      <c r="R2100" t="s">
        <v>97</v>
      </c>
      <c r="S2100" t="s">
        <v>97</v>
      </c>
      <c r="T2100" t="s">
        <v>97</v>
      </c>
      <c r="U2100" t="s">
        <v>97</v>
      </c>
      <c r="V2100">
        <v>56.9</v>
      </c>
      <c r="W2100">
        <v>230</v>
      </c>
      <c r="X2100">
        <v>77</v>
      </c>
      <c r="Y2100">
        <f t="shared" si="32"/>
        <v>230</v>
      </c>
      <c r="Z2100" t="str">
        <f>IF(ISNUMBER(SEARCH("Adjustment",$C2100)),"excluded",IF($H2100="Behind the Meter","excluded",IF(NOT(OR($E2100="Bundled",$E2100="Energy")),"excluded",IF(OR($H2100="Retail Power Marketer",$H2100="Community Choice Aggregator",$E2100="Energy"),"procurement",IF(OR($H2100="Municipal",$H2100="Cooperative",$H2100="Federal",$H2100="State",$H2100="Political Subdivision"),"cost_service",IF($H2100="Investor Owned",IF(AND(COUNTIF(Parameters!$A$4:$A$33,$G2100)&gt;0,COUNTIF(Parameters!$B$4:$B$33,$B2100)=0),"procurement","cost_service"),"unclassified"))))))</f>
        <v>excluded</v>
      </c>
    </row>
    <row r="2101" spans="1:26" x14ac:dyDescent="0.25">
      <c r="A2101">
        <v>2024</v>
      </c>
      <c r="B2101">
        <v>59580</v>
      </c>
      <c r="C2101" t="s">
        <v>1552</v>
      </c>
      <c r="D2101" t="s">
        <v>84</v>
      </c>
      <c r="E2101" t="s">
        <v>85</v>
      </c>
      <c r="F2101" t="s">
        <v>86</v>
      </c>
      <c r="G2101" t="s">
        <v>40</v>
      </c>
      <c r="H2101" t="s">
        <v>1475</v>
      </c>
      <c r="I2101" t="s">
        <v>189</v>
      </c>
      <c r="J2101">
        <v>6762</v>
      </c>
      <c r="K2101">
        <v>37514</v>
      </c>
      <c r="L2101">
        <v>3506</v>
      </c>
      <c r="M2101" t="s">
        <v>97</v>
      </c>
      <c r="N2101" t="s">
        <v>97</v>
      </c>
      <c r="O2101" t="s">
        <v>97</v>
      </c>
      <c r="P2101" t="s">
        <v>97</v>
      </c>
      <c r="Q2101" t="s">
        <v>97</v>
      </c>
      <c r="R2101" t="s">
        <v>97</v>
      </c>
      <c r="S2101" t="s">
        <v>97</v>
      </c>
      <c r="T2101" t="s">
        <v>97</v>
      </c>
      <c r="U2101" t="s">
        <v>97</v>
      </c>
      <c r="V2101">
        <v>6762</v>
      </c>
      <c r="W2101">
        <v>37514</v>
      </c>
      <c r="X2101">
        <v>3506</v>
      </c>
      <c r="Y2101">
        <f t="shared" si="32"/>
        <v>37514</v>
      </c>
      <c r="Z2101" t="str">
        <f>IF(ISNUMBER(SEARCH("Adjustment",$C2101)),"excluded",IF($H2101="Behind the Meter","excluded",IF(NOT(OR($E2101="Bundled",$E2101="Energy")),"excluded",IF(OR($H2101="Retail Power Marketer",$H2101="Community Choice Aggregator",$E2101="Energy"),"procurement",IF(OR($H2101="Municipal",$H2101="Cooperative",$H2101="Federal",$H2101="State",$H2101="Political Subdivision"),"cost_service",IF($H2101="Investor Owned",IF(AND(COUNTIF(Parameters!$A$4:$A$33,$G2101)&gt;0,COUNTIF(Parameters!$B$4:$B$33,$B2101)=0),"procurement","cost_service"),"unclassified"))))))</f>
        <v>excluded</v>
      </c>
    </row>
    <row r="2102" spans="1:26" x14ac:dyDescent="0.25">
      <c r="A2102">
        <v>2024</v>
      </c>
      <c r="B2102">
        <v>59580</v>
      </c>
      <c r="C2102" t="s">
        <v>1552</v>
      </c>
      <c r="D2102" t="s">
        <v>84</v>
      </c>
      <c r="E2102" t="s">
        <v>85</v>
      </c>
      <c r="F2102" t="s">
        <v>86</v>
      </c>
      <c r="G2102" t="s">
        <v>605</v>
      </c>
      <c r="H2102" t="s">
        <v>1475</v>
      </c>
      <c r="I2102" t="s">
        <v>1271</v>
      </c>
      <c r="J2102">
        <v>2469.1999999999998</v>
      </c>
      <c r="K2102">
        <v>4145</v>
      </c>
      <c r="L2102">
        <v>1116</v>
      </c>
      <c r="M2102" t="s">
        <v>97</v>
      </c>
      <c r="N2102" t="s">
        <v>97</v>
      </c>
      <c r="O2102" t="s">
        <v>97</v>
      </c>
      <c r="P2102" t="s">
        <v>97</v>
      </c>
      <c r="Q2102" t="s">
        <v>97</v>
      </c>
      <c r="R2102" t="s">
        <v>97</v>
      </c>
      <c r="S2102" t="s">
        <v>97</v>
      </c>
      <c r="T2102" t="s">
        <v>97</v>
      </c>
      <c r="U2102" t="s">
        <v>97</v>
      </c>
      <c r="V2102">
        <v>2469.1999999999998</v>
      </c>
      <c r="W2102">
        <v>4145</v>
      </c>
      <c r="X2102">
        <v>1116</v>
      </c>
      <c r="Y2102">
        <f t="shared" si="32"/>
        <v>4145</v>
      </c>
      <c r="Z2102" t="str">
        <f>IF(ISNUMBER(SEARCH("Adjustment",$C2102)),"excluded",IF($H2102="Behind the Meter","excluded",IF(NOT(OR($E2102="Bundled",$E2102="Energy")),"excluded",IF(OR($H2102="Retail Power Marketer",$H2102="Community Choice Aggregator",$E2102="Energy"),"procurement",IF(OR($H2102="Municipal",$H2102="Cooperative",$H2102="Federal",$H2102="State",$H2102="Political Subdivision"),"cost_service",IF($H2102="Investor Owned",IF(AND(COUNTIF(Parameters!$A$4:$A$33,$G2102)&gt;0,COUNTIF(Parameters!$B$4:$B$33,$B2102)=0),"procurement","cost_service"),"unclassified"))))))</f>
        <v>excluded</v>
      </c>
    </row>
    <row r="2103" spans="1:26" x14ac:dyDescent="0.25">
      <c r="A2103">
        <v>2024</v>
      </c>
      <c r="B2103">
        <v>59580</v>
      </c>
      <c r="C2103" t="s">
        <v>1552</v>
      </c>
      <c r="D2103" t="s">
        <v>84</v>
      </c>
      <c r="E2103" t="s">
        <v>85</v>
      </c>
      <c r="F2103" t="s">
        <v>86</v>
      </c>
      <c r="G2103" t="s">
        <v>48</v>
      </c>
      <c r="H2103" t="s">
        <v>1475</v>
      </c>
      <c r="I2103" t="s">
        <v>189</v>
      </c>
      <c r="J2103">
        <v>2182.6</v>
      </c>
      <c r="K2103">
        <v>10940</v>
      </c>
      <c r="L2103">
        <v>1363</v>
      </c>
      <c r="M2103" t="s">
        <v>97</v>
      </c>
      <c r="N2103" t="s">
        <v>97</v>
      </c>
      <c r="O2103" t="s">
        <v>97</v>
      </c>
      <c r="P2103" t="s">
        <v>97</v>
      </c>
      <c r="Q2103" t="s">
        <v>97</v>
      </c>
      <c r="R2103" t="s">
        <v>97</v>
      </c>
      <c r="S2103" t="s">
        <v>97</v>
      </c>
      <c r="T2103" t="s">
        <v>97</v>
      </c>
      <c r="U2103" t="s">
        <v>97</v>
      </c>
      <c r="V2103">
        <v>2182.6</v>
      </c>
      <c r="W2103">
        <v>10940</v>
      </c>
      <c r="X2103">
        <v>1363</v>
      </c>
      <c r="Y2103">
        <f t="shared" si="32"/>
        <v>10940</v>
      </c>
      <c r="Z2103" t="str">
        <f>IF(ISNUMBER(SEARCH("Adjustment",$C2103)),"excluded",IF($H2103="Behind the Meter","excluded",IF(NOT(OR($E2103="Bundled",$E2103="Energy")),"excluded",IF(OR($H2103="Retail Power Marketer",$H2103="Community Choice Aggregator",$E2103="Energy"),"procurement",IF(OR($H2103="Municipal",$H2103="Cooperative",$H2103="Federal",$H2103="State",$H2103="Political Subdivision"),"cost_service",IF($H2103="Investor Owned",IF(AND(COUNTIF(Parameters!$A$4:$A$33,$G2103)&gt;0,COUNTIF(Parameters!$B$4:$B$33,$B2103)=0),"procurement","cost_service"),"unclassified"))))))</f>
        <v>excluded</v>
      </c>
    </row>
    <row r="2104" spans="1:26" x14ac:dyDescent="0.25">
      <c r="A2104">
        <v>2024</v>
      </c>
      <c r="B2104">
        <v>59580</v>
      </c>
      <c r="C2104" t="s">
        <v>1552</v>
      </c>
      <c r="D2104" t="s">
        <v>84</v>
      </c>
      <c r="E2104" t="s">
        <v>85</v>
      </c>
      <c r="F2104" t="s">
        <v>86</v>
      </c>
      <c r="G2104" t="s">
        <v>52</v>
      </c>
      <c r="H2104" t="s">
        <v>1475</v>
      </c>
      <c r="I2104" t="s">
        <v>102</v>
      </c>
      <c r="J2104">
        <v>27.8</v>
      </c>
      <c r="K2104">
        <v>182</v>
      </c>
      <c r="L2104">
        <v>18</v>
      </c>
      <c r="M2104" t="s">
        <v>97</v>
      </c>
      <c r="N2104" t="s">
        <v>97</v>
      </c>
      <c r="O2104" t="s">
        <v>97</v>
      </c>
      <c r="P2104" t="s">
        <v>97</v>
      </c>
      <c r="Q2104" t="s">
        <v>97</v>
      </c>
      <c r="R2104" t="s">
        <v>97</v>
      </c>
      <c r="S2104" t="s">
        <v>97</v>
      </c>
      <c r="T2104" t="s">
        <v>97</v>
      </c>
      <c r="U2104" t="s">
        <v>97</v>
      </c>
      <c r="V2104">
        <v>27.8</v>
      </c>
      <c r="W2104">
        <v>182</v>
      </c>
      <c r="X2104">
        <v>18</v>
      </c>
      <c r="Y2104">
        <f t="shared" si="32"/>
        <v>182</v>
      </c>
      <c r="Z2104" t="str">
        <f>IF(ISNUMBER(SEARCH("Adjustment",$C2104)),"excluded",IF($H2104="Behind the Meter","excluded",IF(NOT(OR($E2104="Bundled",$E2104="Energy")),"excluded",IF(OR($H2104="Retail Power Marketer",$H2104="Community Choice Aggregator",$E2104="Energy"),"procurement",IF(OR($H2104="Municipal",$H2104="Cooperative",$H2104="Federal",$H2104="State",$H2104="Political Subdivision"),"cost_service",IF($H2104="Investor Owned",IF(AND(COUNTIF(Parameters!$A$4:$A$33,$G2104)&gt;0,COUNTIF(Parameters!$B$4:$B$33,$B2104)=0),"procurement","cost_service"),"unclassified"))))))</f>
        <v>excluded</v>
      </c>
    </row>
    <row r="2105" spans="1:26" x14ac:dyDescent="0.25">
      <c r="A2105">
        <v>2024</v>
      </c>
      <c r="B2105">
        <v>59580</v>
      </c>
      <c r="C2105" t="s">
        <v>1552</v>
      </c>
      <c r="D2105" t="s">
        <v>84</v>
      </c>
      <c r="E2105" t="s">
        <v>85</v>
      </c>
      <c r="F2105" t="s">
        <v>86</v>
      </c>
      <c r="G2105" t="s">
        <v>52</v>
      </c>
      <c r="H2105" t="s">
        <v>1475</v>
      </c>
      <c r="I2105" t="s">
        <v>92</v>
      </c>
      <c r="J2105">
        <v>8924.7000000000007</v>
      </c>
      <c r="K2105">
        <v>58547</v>
      </c>
      <c r="L2105">
        <v>5666</v>
      </c>
      <c r="M2105" t="s">
        <v>97</v>
      </c>
      <c r="N2105" t="s">
        <v>97</v>
      </c>
      <c r="O2105" t="s">
        <v>97</v>
      </c>
      <c r="P2105" t="s">
        <v>97</v>
      </c>
      <c r="Q2105" t="s">
        <v>97</v>
      </c>
      <c r="R2105" t="s">
        <v>97</v>
      </c>
      <c r="S2105" t="s">
        <v>97</v>
      </c>
      <c r="T2105" t="s">
        <v>97</v>
      </c>
      <c r="U2105" t="s">
        <v>97</v>
      </c>
      <c r="V2105">
        <v>8924.7000000000007</v>
      </c>
      <c r="W2105">
        <v>58547</v>
      </c>
      <c r="X2105">
        <v>5666</v>
      </c>
      <c r="Y2105">
        <f t="shared" si="32"/>
        <v>58547</v>
      </c>
      <c r="Z2105" t="str">
        <f>IF(ISNUMBER(SEARCH("Adjustment",$C2105)),"excluded",IF($H2105="Behind the Meter","excluded",IF(NOT(OR($E2105="Bundled",$E2105="Energy")),"excluded",IF(OR($H2105="Retail Power Marketer",$H2105="Community Choice Aggregator",$E2105="Energy"),"procurement",IF(OR($H2105="Municipal",$H2105="Cooperative",$H2105="Federal",$H2105="State",$H2105="Political Subdivision"),"cost_service",IF($H2105="Investor Owned",IF(AND(COUNTIF(Parameters!$A$4:$A$33,$G2105)&gt;0,COUNTIF(Parameters!$B$4:$B$33,$B2105)=0),"procurement","cost_service"),"unclassified"))))))</f>
        <v>excluded</v>
      </c>
    </row>
    <row r="2106" spans="1:26" x14ac:dyDescent="0.25">
      <c r="A2106">
        <v>2024</v>
      </c>
      <c r="B2106">
        <v>59580</v>
      </c>
      <c r="C2106" t="s">
        <v>1552</v>
      </c>
      <c r="D2106" t="s">
        <v>84</v>
      </c>
      <c r="E2106" t="s">
        <v>85</v>
      </c>
      <c r="F2106" t="s">
        <v>86</v>
      </c>
      <c r="G2106" t="s">
        <v>242</v>
      </c>
      <c r="H2106" t="s">
        <v>1475</v>
      </c>
      <c r="I2106" t="s">
        <v>390</v>
      </c>
      <c r="J2106">
        <v>2646</v>
      </c>
      <c r="K2106">
        <v>19465</v>
      </c>
      <c r="L2106">
        <v>1357</v>
      </c>
      <c r="M2106" t="s">
        <v>97</v>
      </c>
      <c r="N2106" t="s">
        <v>97</v>
      </c>
      <c r="O2106" t="s">
        <v>97</v>
      </c>
      <c r="P2106" t="s">
        <v>97</v>
      </c>
      <c r="Q2106" t="s">
        <v>97</v>
      </c>
      <c r="R2106" t="s">
        <v>97</v>
      </c>
      <c r="S2106" t="s">
        <v>97</v>
      </c>
      <c r="T2106" t="s">
        <v>97</v>
      </c>
      <c r="U2106" t="s">
        <v>97</v>
      </c>
      <c r="V2106">
        <v>2646</v>
      </c>
      <c r="W2106">
        <v>19465</v>
      </c>
      <c r="X2106">
        <v>1357</v>
      </c>
      <c r="Y2106">
        <f t="shared" si="32"/>
        <v>19465</v>
      </c>
      <c r="Z2106" t="str">
        <f>IF(ISNUMBER(SEARCH("Adjustment",$C2106)),"excluded",IF($H2106="Behind the Meter","excluded",IF(NOT(OR($E2106="Bundled",$E2106="Energy")),"excluded",IF(OR($H2106="Retail Power Marketer",$H2106="Community Choice Aggregator",$E2106="Energy"),"procurement",IF(OR($H2106="Municipal",$H2106="Cooperative",$H2106="Federal",$H2106="State",$H2106="Political Subdivision"),"cost_service",IF($H2106="Investor Owned",IF(AND(COUNTIF(Parameters!$A$4:$A$33,$G2106)&gt;0,COUNTIF(Parameters!$B$4:$B$33,$B2106)=0),"procurement","cost_service"),"unclassified"))))))</f>
        <v>excluded</v>
      </c>
    </row>
    <row r="2107" spans="1:26" x14ac:dyDescent="0.25">
      <c r="A2107">
        <v>2024</v>
      </c>
      <c r="B2107">
        <v>59580</v>
      </c>
      <c r="C2107" t="s">
        <v>1552</v>
      </c>
      <c r="D2107" t="s">
        <v>84</v>
      </c>
      <c r="E2107" t="s">
        <v>85</v>
      </c>
      <c r="F2107" t="s">
        <v>86</v>
      </c>
      <c r="G2107" t="s">
        <v>53</v>
      </c>
      <c r="H2107" t="s">
        <v>1475</v>
      </c>
      <c r="I2107" t="s">
        <v>102</v>
      </c>
      <c r="J2107">
        <v>16752.5</v>
      </c>
      <c r="K2107">
        <v>63929</v>
      </c>
      <c r="L2107">
        <v>9366</v>
      </c>
      <c r="M2107" t="s">
        <v>97</v>
      </c>
      <c r="N2107" t="s">
        <v>97</v>
      </c>
      <c r="O2107" t="s">
        <v>97</v>
      </c>
      <c r="P2107" t="s">
        <v>97</v>
      </c>
      <c r="Q2107" t="s">
        <v>97</v>
      </c>
      <c r="R2107" t="s">
        <v>97</v>
      </c>
      <c r="S2107" t="s">
        <v>97</v>
      </c>
      <c r="T2107" t="s">
        <v>97</v>
      </c>
      <c r="U2107" t="s">
        <v>97</v>
      </c>
      <c r="V2107">
        <v>16752.5</v>
      </c>
      <c r="W2107">
        <v>63929</v>
      </c>
      <c r="X2107">
        <v>9366</v>
      </c>
      <c r="Y2107">
        <f t="shared" si="32"/>
        <v>63929</v>
      </c>
      <c r="Z2107" t="str">
        <f>IF(ISNUMBER(SEARCH("Adjustment",$C2107)),"excluded",IF($H2107="Behind the Meter","excluded",IF(NOT(OR($E2107="Bundled",$E2107="Energy")),"excluded",IF(OR($H2107="Retail Power Marketer",$H2107="Community Choice Aggregator",$E2107="Energy"),"procurement",IF(OR($H2107="Municipal",$H2107="Cooperative",$H2107="Federal",$H2107="State",$H2107="Political Subdivision"),"cost_service",IF($H2107="Investor Owned",IF(AND(COUNTIF(Parameters!$A$4:$A$33,$G2107)&gt;0,COUNTIF(Parameters!$B$4:$B$33,$B2107)=0),"procurement","cost_service"),"unclassified"))))))</f>
        <v>excluded</v>
      </c>
    </row>
    <row r="2108" spans="1:26" x14ac:dyDescent="0.25">
      <c r="A2108">
        <v>2024</v>
      </c>
      <c r="B2108">
        <v>59580</v>
      </c>
      <c r="C2108" t="s">
        <v>1552</v>
      </c>
      <c r="D2108" t="s">
        <v>84</v>
      </c>
      <c r="E2108" t="s">
        <v>85</v>
      </c>
      <c r="F2108" t="s">
        <v>86</v>
      </c>
      <c r="G2108" t="s">
        <v>55</v>
      </c>
      <c r="H2108" t="s">
        <v>1475</v>
      </c>
      <c r="I2108" t="s">
        <v>92</v>
      </c>
      <c r="J2108">
        <v>44.7</v>
      </c>
      <c r="K2108">
        <v>270</v>
      </c>
      <c r="L2108">
        <v>61</v>
      </c>
      <c r="M2108" t="s">
        <v>97</v>
      </c>
      <c r="N2108" t="s">
        <v>97</v>
      </c>
      <c r="O2108" t="s">
        <v>97</v>
      </c>
      <c r="P2108" t="s">
        <v>97</v>
      </c>
      <c r="Q2108" t="s">
        <v>97</v>
      </c>
      <c r="R2108" t="s">
        <v>97</v>
      </c>
      <c r="S2108" t="s">
        <v>97</v>
      </c>
      <c r="T2108" t="s">
        <v>97</v>
      </c>
      <c r="U2108" t="s">
        <v>97</v>
      </c>
      <c r="V2108">
        <v>44.7</v>
      </c>
      <c r="W2108">
        <v>270</v>
      </c>
      <c r="X2108">
        <v>61</v>
      </c>
      <c r="Y2108">
        <f t="shared" si="32"/>
        <v>270</v>
      </c>
      <c r="Z2108" t="str">
        <f>IF(ISNUMBER(SEARCH("Adjustment",$C2108)),"excluded",IF($H2108="Behind the Meter","excluded",IF(NOT(OR($E2108="Bundled",$E2108="Energy")),"excluded",IF(OR($H2108="Retail Power Marketer",$H2108="Community Choice Aggregator",$E2108="Energy"),"procurement",IF(OR($H2108="Municipal",$H2108="Cooperative",$H2108="Federal",$H2108="State",$H2108="Political Subdivision"),"cost_service",IF($H2108="Investor Owned",IF(AND(COUNTIF(Parameters!$A$4:$A$33,$G2108)&gt;0,COUNTIF(Parameters!$B$4:$B$33,$B2108)=0),"procurement","cost_service"),"unclassified"))))))</f>
        <v>excluded</v>
      </c>
    </row>
    <row r="2109" spans="1:26" x14ac:dyDescent="0.25">
      <c r="A2109">
        <v>2024</v>
      </c>
      <c r="B2109">
        <v>59580</v>
      </c>
      <c r="C2109" t="s">
        <v>1552</v>
      </c>
      <c r="D2109" t="s">
        <v>84</v>
      </c>
      <c r="E2109" t="s">
        <v>85</v>
      </c>
      <c r="F2109" t="s">
        <v>86</v>
      </c>
      <c r="G2109" t="s">
        <v>269</v>
      </c>
      <c r="H2109" t="s">
        <v>1475</v>
      </c>
      <c r="I2109" t="s">
        <v>189</v>
      </c>
      <c r="J2109">
        <v>344.2</v>
      </c>
      <c r="K2109">
        <v>972</v>
      </c>
      <c r="L2109">
        <v>335</v>
      </c>
      <c r="M2109" t="s">
        <v>97</v>
      </c>
      <c r="N2109" t="s">
        <v>97</v>
      </c>
      <c r="O2109" t="s">
        <v>97</v>
      </c>
      <c r="P2109" t="s">
        <v>97</v>
      </c>
      <c r="Q2109" t="s">
        <v>97</v>
      </c>
      <c r="R2109" t="s">
        <v>97</v>
      </c>
      <c r="S2109" t="s">
        <v>97</v>
      </c>
      <c r="T2109" t="s">
        <v>97</v>
      </c>
      <c r="U2109" t="s">
        <v>97</v>
      </c>
      <c r="V2109">
        <v>344.2</v>
      </c>
      <c r="W2109">
        <v>972</v>
      </c>
      <c r="X2109">
        <v>335</v>
      </c>
      <c r="Y2109">
        <f t="shared" si="32"/>
        <v>972</v>
      </c>
      <c r="Z2109" t="str">
        <f>IF(ISNUMBER(SEARCH("Adjustment",$C2109)),"excluded",IF($H2109="Behind the Meter","excluded",IF(NOT(OR($E2109="Bundled",$E2109="Energy")),"excluded",IF(OR($H2109="Retail Power Marketer",$H2109="Community Choice Aggregator",$E2109="Energy"),"procurement",IF(OR($H2109="Municipal",$H2109="Cooperative",$H2109="Federal",$H2109="State",$H2109="Political Subdivision"),"cost_service",IF($H2109="Investor Owned",IF(AND(COUNTIF(Parameters!$A$4:$A$33,$G2109)&gt;0,COUNTIF(Parameters!$B$4:$B$33,$B2109)=0),"procurement","cost_service"),"unclassified"))))))</f>
        <v>excluded</v>
      </c>
    </row>
    <row r="2110" spans="1:26" x14ac:dyDescent="0.25">
      <c r="A2110">
        <v>2024</v>
      </c>
      <c r="B2110">
        <v>59620</v>
      </c>
      <c r="C2110" t="s">
        <v>1553</v>
      </c>
      <c r="D2110" t="s">
        <v>99</v>
      </c>
      <c r="E2110" t="s">
        <v>100</v>
      </c>
      <c r="F2110" t="s">
        <v>86</v>
      </c>
      <c r="G2110" t="s">
        <v>42</v>
      </c>
      <c r="H2110" t="s">
        <v>101</v>
      </c>
      <c r="I2110" t="s">
        <v>92</v>
      </c>
      <c r="J2110">
        <v>2</v>
      </c>
      <c r="K2110">
        <v>15</v>
      </c>
      <c r="L2110">
        <v>2</v>
      </c>
      <c r="M2110">
        <v>0</v>
      </c>
      <c r="N2110">
        <v>0</v>
      </c>
      <c r="O2110">
        <v>0</v>
      </c>
      <c r="P2110">
        <v>0</v>
      </c>
      <c r="Q2110">
        <v>0</v>
      </c>
      <c r="R2110">
        <v>0</v>
      </c>
      <c r="S2110">
        <v>0</v>
      </c>
      <c r="T2110">
        <v>0</v>
      </c>
      <c r="U2110">
        <v>0</v>
      </c>
      <c r="V2110">
        <v>2</v>
      </c>
      <c r="W2110">
        <v>15</v>
      </c>
      <c r="X2110">
        <v>2</v>
      </c>
      <c r="Y2110">
        <f t="shared" si="32"/>
        <v>15</v>
      </c>
      <c r="Z2110" t="str">
        <f>IF(ISNUMBER(SEARCH("Adjustment",$C2110)),"excluded",IF($H2110="Behind the Meter","excluded",IF(NOT(OR($E2110="Bundled",$E2110="Energy")),"excluded",IF(OR($H2110="Retail Power Marketer",$H2110="Community Choice Aggregator",$E2110="Energy"),"procurement",IF(OR($H2110="Municipal",$H2110="Cooperative",$H2110="Federal",$H2110="State",$H2110="Political Subdivision"),"cost_service",IF($H2110="Investor Owned",IF(AND(COUNTIF(Parameters!$A$4:$A$33,$G2110)&gt;0,COUNTIF(Parameters!$B$4:$B$33,$B2110)=0),"procurement","cost_service"),"unclassified"))))))</f>
        <v>procurement</v>
      </c>
    </row>
    <row r="2111" spans="1:26" x14ac:dyDescent="0.25">
      <c r="A2111">
        <v>2024</v>
      </c>
      <c r="B2111">
        <v>59620</v>
      </c>
      <c r="C2111" t="s">
        <v>1553</v>
      </c>
      <c r="D2111" t="s">
        <v>99</v>
      </c>
      <c r="E2111" t="s">
        <v>100</v>
      </c>
      <c r="F2111" t="s">
        <v>86</v>
      </c>
      <c r="G2111" t="s">
        <v>48</v>
      </c>
      <c r="H2111" t="s">
        <v>101</v>
      </c>
      <c r="I2111" t="s">
        <v>189</v>
      </c>
      <c r="J2111">
        <v>6721</v>
      </c>
      <c r="K2111">
        <v>28909</v>
      </c>
      <c r="L2111">
        <v>5239</v>
      </c>
      <c r="M2111">
        <v>159</v>
      </c>
      <c r="N2111">
        <v>658</v>
      </c>
      <c r="O2111">
        <v>76</v>
      </c>
      <c r="P2111">
        <v>0</v>
      </c>
      <c r="Q2111">
        <v>0</v>
      </c>
      <c r="R2111">
        <v>0</v>
      </c>
      <c r="S2111">
        <v>0</v>
      </c>
      <c r="T2111">
        <v>0</v>
      </c>
      <c r="U2111">
        <v>0</v>
      </c>
      <c r="V2111">
        <v>6880</v>
      </c>
      <c r="W2111">
        <v>29567</v>
      </c>
      <c r="X2111">
        <v>5315</v>
      </c>
      <c r="Y2111">
        <f t="shared" si="32"/>
        <v>29567</v>
      </c>
      <c r="Z2111" t="str">
        <f>IF(ISNUMBER(SEARCH("Adjustment",$C2111)),"excluded",IF($H2111="Behind the Meter","excluded",IF(NOT(OR($E2111="Bundled",$E2111="Energy")),"excluded",IF(OR($H2111="Retail Power Marketer",$H2111="Community Choice Aggregator",$E2111="Energy"),"procurement",IF(OR($H2111="Municipal",$H2111="Cooperative",$H2111="Federal",$H2111="State",$H2111="Political Subdivision"),"cost_service",IF($H2111="Investor Owned",IF(AND(COUNTIF(Parameters!$A$4:$A$33,$G2111)&gt;0,COUNTIF(Parameters!$B$4:$B$33,$B2111)=0),"procurement","cost_service"),"unclassified"))))))</f>
        <v>procurement</v>
      </c>
    </row>
    <row r="2112" spans="1:26" x14ac:dyDescent="0.25">
      <c r="A2112">
        <v>2024</v>
      </c>
      <c r="B2112">
        <v>59620</v>
      </c>
      <c r="C2112" t="s">
        <v>1553</v>
      </c>
      <c r="D2112" t="s">
        <v>99</v>
      </c>
      <c r="E2112" t="s">
        <v>100</v>
      </c>
      <c r="F2112" t="s">
        <v>86</v>
      </c>
      <c r="G2112" t="s">
        <v>52</v>
      </c>
      <c r="H2112" t="s">
        <v>101</v>
      </c>
      <c r="I2112" t="s">
        <v>92</v>
      </c>
      <c r="J2112">
        <v>11565</v>
      </c>
      <c r="K2112">
        <v>49022</v>
      </c>
      <c r="L2112">
        <v>6530</v>
      </c>
      <c r="M2112">
        <v>426</v>
      </c>
      <c r="N2112">
        <v>1631</v>
      </c>
      <c r="O2112">
        <v>87</v>
      </c>
      <c r="P2112">
        <v>0</v>
      </c>
      <c r="Q2112">
        <v>0</v>
      </c>
      <c r="R2112">
        <v>0</v>
      </c>
      <c r="S2112">
        <v>0</v>
      </c>
      <c r="T2112">
        <v>0</v>
      </c>
      <c r="U2112">
        <v>0</v>
      </c>
      <c r="V2112">
        <v>11991</v>
      </c>
      <c r="W2112">
        <v>50653</v>
      </c>
      <c r="X2112">
        <v>6617</v>
      </c>
      <c r="Y2112">
        <f t="shared" si="32"/>
        <v>50653</v>
      </c>
      <c r="Z2112" t="str">
        <f>IF(ISNUMBER(SEARCH("Adjustment",$C2112)),"excluded",IF($H2112="Behind the Meter","excluded",IF(NOT(OR($E2112="Bundled",$E2112="Energy")),"excluded",IF(OR($H2112="Retail Power Marketer",$H2112="Community Choice Aggregator",$E2112="Energy"),"procurement",IF(OR($H2112="Municipal",$H2112="Cooperative",$H2112="Federal",$H2112="State",$H2112="Political Subdivision"),"cost_service",IF($H2112="Investor Owned",IF(AND(COUNTIF(Parameters!$A$4:$A$33,$G2112)&gt;0,COUNTIF(Parameters!$B$4:$B$33,$B2112)=0),"procurement","cost_service"),"unclassified"))))))</f>
        <v>procurement</v>
      </c>
    </row>
    <row r="2113" spans="1:26" x14ac:dyDescent="0.25">
      <c r="A2113">
        <v>2024</v>
      </c>
      <c r="B2113">
        <v>59620</v>
      </c>
      <c r="C2113" t="s">
        <v>1553</v>
      </c>
      <c r="D2113" t="s">
        <v>99</v>
      </c>
      <c r="E2113" t="s">
        <v>100</v>
      </c>
      <c r="F2113" t="s">
        <v>86</v>
      </c>
      <c r="G2113" t="s">
        <v>53</v>
      </c>
      <c r="H2113" t="s">
        <v>101</v>
      </c>
      <c r="I2113" t="s">
        <v>102</v>
      </c>
      <c r="J2113">
        <v>7832</v>
      </c>
      <c r="K2113">
        <v>66227</v>
      </c>
      <c r="L2113">
        <v>8437</v>
      </c>
      <c r="M2113">
        <v>8693</v>
      </c>
      <c r="N2113">
        <v>68919</v>
      </c>
      <c r="O2113">
        <v>1860</v>
      </c>
      <c r="P2113">
        <v>0</v>
      </c>
      <c r="Q2113">
        <v>0</v>
      </c>
      <c r="R2113">
        <v>0</v>
      </c>
      <c r="S2113">
        <v>0</v>
      </c>
      <c r="T2113">
        <v>0</v>
      </c>
      <c r="U2113">
        <v>0</v>
      </c>
      <c r="V2113">
        <v>16525</v>
      </c>
      <c r="W2113">
        <v>135146</v>
      </c>
      <c r="X2113">
        <v>10297</v>
      </c>
      <c r="Y2113">
        <f t="shared" si="32"/>
        <v>135146</v>
      </c>
      <c r="Z2113" t="str">
        <f>IF(ISNUMBER(SEARCH("Adjustment",$C2113)),"excluded",IF($H2113="Behind the Meter","excluded",IF(NOT(OR($E2113="Bundled",$E2113="Energy")),"excluded",IF(OR($H2113="Retail Power Marketer",$H2113="Community Choice Aggregator",$E2113="Energy"),"procurement",IF(OR($H2113="Municipal",$H2113="Cooperative",$H2113="Federal",$H2113="State",$H2113="Political Subdivision"),"cost_service",IF($H2113="Investor Owned",IF(AND(COUNTIF(Parameters!$A$4:$A$33,$G2113)&gt;0,COUNTIF(Parameters!$B$4:$B$33,$B2113)=0),"procurement","cost_service"),"unclassified"))))))</f>
        <v>procurement</v>
      </c>
    </row>
    <row r="2114" spans="1:26" x14ac:dyDescent="0.25">
      <c r="A2114">
        <v>2024</v>
      </c>
      <c r="B2114">
        <v>59620</v>
      </c>
      <c r="C2114" t="s">
        <v>1553</v>
      </c>
      <c r="D2114" t="s">
        <v>99</v>
      </c>
      <c r="E2114" t="s">
        <v>100</v>
      </c>
      <c r="F2114" t="s">
        <v>86</v>
      </c>
      <c r="G2114" t="s">
        <v>54</v>
      </c>
      <c r="H2114" t="s">
        <v>101</v>
      </c>
      <c r="I2114" t="s">
        <v>92</v>
      </c>
      <c r="J2114">
        <v>4207</v>
      </c>
      <c r="K2114">
        <v>24395</v>
      </c>
      <c r="L2114">
        <v>3146</v>
      </c>
      <c r="M2114">
        <v>87</v>
      </c>
      <c r="N2114">
        <v>629</v>
      </c>
      <c r="O2114">
        <v>25</v>
      </c>
      <c r="P2114">
        <v>0</v>
      </c>
      <c r="Q2114">
        <v>0</v>
      </c>
      <c r="R2114">
        <v>0</v>
      </c>
      <c r="S2114">
        <v>0</v>
      </c>
      <c r="T2114">
        <v>0</v>
      </c>
      <c r="U2114">
        <v>0</v>
      </c>
      <c r="V2114">
        <v>4294</v>
      </c>
      <c r="W2114">
        <v>25024</v>
      </c>
      <c r="X2114">
        <v>3171</v>
      </c>
      <c r="Y2114">
        <f t="shared" si="32"/>
        <v>25024</v>
      </c>
      <c r="Z2114" t="str">
        <f>IF(ISNUMBER(SEARCH("Adjustment",$C2114)),"excluded",IF($H2114="Behind the Meter","excluded",IF(NOT(OR($E2114="Bundled",$E2114="Energy")),"excluded",IF(OR($H2114="Retail Power Marketer",$H2114="Community Choice Aggregator",$E2114="Energy"),"procurement",IF(OR($H2114="Municipal",$H2114="Cooperative",$H2114="Federal",$H2114="State",$H2114="Political Subdivision"),"cost_service",IF($H2114="Investor Owned",IF(AND(COUNTIF(Parameters!$A$4:$A$33,$G2114)&gt;0,COUNTIF(Parameters!$B$4:$B$33,$B2114)=0),"procurement","cost_service"),"unclassified"))))))</f>
        <v>procurement</v>
      </c>
    </row>
    <row r="2115" spans="1:26" x14ac:dyDescent="0.25">
      <c r="A2115">
        <v>2024</v>
      </c>
      <c r="B2115">
        <v>59620</v>
      </c>
      <c r="C2115" t="s">
        <v>1553</v>
      </c>
      <c r="D2115" t="s">
        <v>99</v>
      </c>
      <c r="E2115" t="s">
        <v>100</v>
      </c>
      <c r="F2115" t="s">
        <v>86</v>
      </c>
      <c r="G2115" t="s">
        <v>55</v>
      </c>
      <c r="H2115" t="s">
        <v>101</v>
      </c>
      <c r="I2115" t="s">
        <v>92</v>
      </c>
      <c r="J2115">
        <v>34278</v>
      </c>
      <c r="K2115">
        <v>264675</v>
      </c>
      <c r="L2115">
        <v>24769</v>
      </c>
      <c r="M2115">
        <v>947</v>
      </c>
      <c r="N2115">
        <v>7574</v>
      </c>
      <c r="O2115">
        <v>513</v>
      </c>
      <c r="P2115">
        <v>0</v>
      </c>
      <c r="Q2115">
        <v>0</v>
      </c>
      <c r="R2115">
        <v>0</v>
      </c>
      <c r="S2115">
        <v>0</v>
      </c>
      <c r="T2115">
        <v>0</v>
      </c>
      <c r="U2115">
        <v>0</v>
      </c>
      <c r="V2115">
        <v>35225</v>
      </c>
      <c r="W2115">
        <v>272249</v>
      </c>
      <c r="X2115">
        <v>25282</v>
      </c>
      <c r="Y2115">
        <f t="shared" si="32"/>
        <v>272249</v>
      </c>
      <c r="Z2115" t="str">
        <f>IF(ISNUMBER(SEARCH("Adjustment",$C2115)),"excluded",IF($H2115="Behind the Meter","excluded",IF(NOT(OR($E2115="Bundled",$E2115="Energy")),"excluded",IF(OR($H2115="Retail Power Marketer",$H2115="Community Choice Aggregator",$E2115="Energy"),"procurement",IF(OR($H2115="Municipal",$H2115="Cooperative",$H2115="Federal",$H2115="State",$H2115="Political Subdivision"),"cost_service",IF($H2115="Investor Owned",IF(AND(COUNTIF(Parameters!$A$4:$A$33,$G2115)&gt;0,COUNTIF(Parameters!$B$4:$B$33,$B2115)=0),"procurement","cost_service"),"unclassified"))))))</f>
        <v>procurement</v>
      </c>
    </row>
    <row r="2116" spans="1:26" x14ac:dyDescent="0.25">
      <c r="A2116">
        <v>2024</v>
      </c>
      <c r="B2116">
        <v>59622</v>
      </c>
      <c r="C2116" t="s">
        <v>1554</v>
      </c>
      <c r="D2116" t="s">
        <v>84</v>
      </c>
      <c r="E2116" t="s">
        <v>85</v>
      </c>
      <c r="F2116" t="s">
        <v>86</v>
      </c>
      <c r="G2116" t="s">
        <v>108</v>
      </c>
      <c r="H2116" t="s">
        <v>1475</v>
      </c>
      <c r="I2116" t="s">
        <v>110</v>
      </c>
      <c r="J2116">
        <v>0</v>
      </c>
      <c r="K2116">
        <v>0</v>
      </c>
      <c r="L2116">
        <v>0</v>
      </c>
      <c r="M2116">
        <v>79.2</v>
      </c>
      <c r="N2116">
        <v>572</v>
      </c>
      <c r="O2116">
        <v>2</v>
      </c>
      <c r="P2116">
        <v>0</v>
      </c>
      <c r="Q2116">
        <v>0</v>
      </c>
      <c r="R2116">
        <v>0</v>
      </c>
      <c r="S2116">
        <v>0</v>
      </c>
      <c r="T2116">
        <v>0</v>
      </c>
      <c r="U2116">
        <v>0</v>
      </c>
      <c r="V2116">
        <v>79.2</v>
      </c>
      <c r="W2116">
        <v>572</v>
      </c>
      <c r="X2116">
        <v>2</v>
      </c>
      <c r="Y2116">
        <f t="shared" ref="Y2116:Y2179" si="33">IF(ISNUMBER($W2116),$W2116,0)</f>
        <v>572</v>
      </c>
      <c r="Z2116" t="str">
        <f>IF(ISNUMBER(SEARCH("Adjustment",$C2116)),"excluded",IF($H2116="Behind the Meter","excluded",IF(NOT(OR($E2116="Bundled",$E2116="Energy")),"excluded",IF(OR($H2116="Retail Power Marketer",$H2116="Community Choice Aggregator",$E2116="Energy"),"procurement",IF(OR($H2116="Municipal",$H2116="Cooperative",$H2116="Federal",$H2116="State",$H2116="Political Subdivision"),"cost_service",IF($H2116="Investor Owned",IF(AND(COUNTIF(Parameters!$A$4:$A$33,$G2116)&gt;0,COUNTIF(Parameters!$B$4:$B$33,$B2116)=0),"procurement","cost_service"),"unclassified"))))))</f>
        <v>excluded</v>
      </c>
    </row>
    <row r="2117" spans="1:26" x14ac:dyDescent="0.25">
      <c r="A2117">
        <v>2024</v>
      </c>
      <c r="B2117">
        <v>59622</v>
      </c>
      <c r="C2117" t="s">
        <v>1554</v>
      </c>
      <c r="D2117" t="s">
        <v>84</v>
      </c>
      <c r="E2117" t="s">
        <v>85</v>
      </c>
      <c r="F2117" t="s">
        <v>86</v>
      </c>
      <c r="G2117" t="s">
        <v>115</v>
      </c>
      <c r="H2117" t="s">
        <v>1475</v>
      </c>
      <c r="I2117" t="s">
        <v>116</v>
      </c>
      <c r="J2117">
        <v>0</v>
      </c>
      <c r="K2117">
        <v>0</v>
      </c>
      <c r="L2117">
        <v>0</v>
      </c>
      <c r="M2117">
        <v>1523.8</v>
      </c>
      <c r="N2117">
        <v>6223</v>
      </c>
      <c r="O2117">
        <v>16</v>
      </c>
      <c r="P2117">
        <v>0</v>
      </c>
      <c r="Q2117">
        <v>0</v>
      </c>
      <c r="R2117">
        <v>0</v>
      </c>
      <c r="S2117">
        <v>0</v>
      </c>
      <c r="T2117">
        <v>0</v>
      </c>
      <c r="U2117">
        <v>0</v>
      </c>
      <c r="V2117">
        <v>1523.8</v>
      </c>
      <c r="W2117">
        <v>6223</v>
      </c>
      <c r="X2117">
        <v>16</v>
      </c>
      <c r="Y2117">
        <f t="shared" si="33"/>
        <v>6223</v>
      </c>
      <c r="Z2117" t="str">
        <f>IF(ISNUMBER(SEARCH("Adjustment",$C2117)),"excluded",IF($H2117="Behind the Meter","excluded",IF(NOT(OR($E2117="Bundled",$E2117="Energy")),"excluded",IF(OR($H2117="Retail Power Marketer",$H2117="Community Choice Aggregator",$E2117="Energy"),"procurement",IF(OR($H2117="Municipal",$H2117="Cooperative",$H2117="Federal",$H2117="State",$H2117="Political Subdivision"),"cost_service",IF($H2117="Investor Owned",IF(AND(COUNTIF(Parameters!$A$4:$A$33,$G2117)&gt;0,COUNTIF(Parameters!$B$4:$B$33,$B2117)=0),"procurement","cost_service"),"unclassified"))))))</f>
        <v>excluded</v>
      </c>
    </row>
    <row r="2118" spans="1:26" x14ac:dyDescent="0.25">
      <c r="A2118">
        <v>2024</v>
      </c>
      <c r="B2118">
        <v>59622</v>
      </c>
      <c r="C2118" t="s">
        <v>1554</v>
      </c>
      <c r="D2118" t="s">
        <v>84</v>
      </c>
      <c r="E2118" t="s">
        <v>85</v>
      </c>
      <c r="F2118" t="s">
        <v>86</v>
      </c>
      <c r="G2118" t="s">
        <v>361</v>
      </c>
      <c r="H2118" t="s">
        <v>1475</v>
      </c>
      <c r="I2118" t="s">
        <v>523</v>
      </c>
      <c r="J2118">
        <v>0</v>
      </c>
      <c r="K2118">
        <v>0</v>
      </c>
      <c r="L2118">
        <v>0</v>
      </c>
      <c r="M2118">
        <v>138.30000000000001</v>
      </c>
      <c r="N2118">
        <v>1009</v>
      </c>
      <c r="O2118">
        <v>9</v>
      </c>
      <c r="P2118">
        <v>0</v>
      </c>
      <c r="Q2118">
        <v>0</v>
      </c>
      <c r="R2118">
        <v>0</v>
      </c>
      <c r="S2118">
        <v>0</v>
      </c>
      <c r="T2118">
        <v>0</v>
      </c>
      <c r="U2118">
        <v>0</v>
      </c>
      <c r="V2118">
        <v>138.30000000000001</v>
      </c>
      <c r="W2118">
        <v>1009</v>
      </c>
      <c r="X2118">
        <v>9</v>
      </c>
      <c r="Y2118">
        <f t="shared" si="33"/>
        <v>1009</v>
      </c>
      <c r="Z2118" t="str">
        <f>IF(ISNUMBER(SEARCH("Adjustment",$C2118)),"excluded",IF($H2118="Behind the Meter","excluded",IF(NOT(OR($E2118="Bundled",$E2118="Energy")),"excluded",IF(OR($H2118="Retail Power Marketer",$H2118="Community Choice Aggregator",$E2118="Energy"),"procurement",IF(OR($H2118="Municipal",$H2118="Cooperative",$H2118="Federal",$H2118="State",$H2118="Political Subdivision"),"cost_service",IF($H2118="Investor Owned",IF(AND(COUNTIF(Parameters!$A$4:$A$33,$G2118)&gt;0,COUNTIF(Parameters!$B$4:$B$33,$B2118)=0),"procurement","cost_service"),"unclassified"))))))</f>
        <v>excluded</v>
      </c>
    </row>
    <row r="2119" spans="1:26" x14ac:dyDescent="0.25">
      <c r="A2119">
        <v>2024</v>
      </c>
      <c r="B2119">
        <v>59622</v>
      </c>
      <c r="C2119" t="s">
        <v>1554</v>
      </c>
      <c r="D2119" t="s">
        <v>84</v>
      </c>
      <c r="E2119" t="s">
        <v>85</v>
      </c>
      <c r="F2119" t="s">
        <v>86</v>
      </c>
      <c r="G2119" t="s">
        <v>42</v>
      </c>
      <c r="H2119" t="s">
        <v>1475</v>
      </c>
      <c r="I2119" t="s">
        <v>92</v>
      </c>
      <c r="J2119">
        <v>0</v>
      </c>
      <c r="K2119">
        <v>0</v>
      </c>
      <c r="L2119">
        <v>0</v>
      </c>
      <c r="M2119">
        <v>7.5</v>
      </c>
      <c r="N2119">
        <v>155</v>
      </c>
      <c r="O2119">
        <v>1</v>
      </c>
      <c r="P2119">
        <v>0</v>
      </c>
      <c r="Q2119">
        <v>0</v>
      </c>
      <c r="R2119">
        <v>0</v>
      </c>
      <c r="S2119">
        <v>0</v>
      </c>
      <c r="T2119">
        <v>0</v>
      </c>
      <c r="U2119">
        <v>0</v>
      </c>
      <c r="V2119">
        <v>7.5</v>
      </c>
      <c r="W2119">
        <v>155</v>
      </c>
      <c r="X2119">
        <v>1</v>
      </c>
      <c r="Y2119">
        <f t="shared" si="33"/>
        <v>155</v>
      </c>
      <c r="Z2119" t="str">
        <f>IF(ISNUMBER(SEARCH("Adjustment",$C2119)),"excluded",IF($H2119="Behind the Meter","excluded",IF(NOT(OR($E2119="Bundled",$E2119="Energy")),"excluded",IF(OR($H2119="Retail Power Marketer",$H2119="Community Choice Aggregator",$E2119="Energy"),"procurement",IF(OR($H2119="Municipal",$H2119="Cooperative",$H2119="Federal",$H2119="State",$H2119="Political Subdivision"),"cost_service",IF($H2119="Investor Owned",IF(AND(COUNTIF(Parameters!$A$4:$A$33,$G2119)&gt;0,COUNTIF(Parameters!$B$4:$B$33,$B2119)=0),"procurement","cost_service"),"unclassified"))))))</f>
        <v>excluded</v>
      </c>
    </row>
    <row r="2120" spans="1:26" x14ac:dyDescent="0.25">
      <c r="A2120">
        <v>2024</v>
      </c>
      <c r="B2120">
        <v>59622</v>
      </c>
      <c r="C2120" t="s">
        <v>1554</v>
      </c>
      <c r="D2120" t="s">
        <v>84</v>
      </c>
      <c r="E2120" t="s">
        <v>85</v>
      </c>
      <c r="F2120" t="s">
        <v>86</v>
      </c>
      <c r="G2120" t="s">
        <v>605</v>
      </c>
      <c r="H2120" t="s">
        <v>1475</v>
      </c>
      <c r="I2120" t="s">
        <v>1271</v>
      </c>
      <c r="J2120">
        <v>0</v>
      </c>
      <c r="K2120">
        <v>0</v>
      </c>
      <c r="L2120">
        <v>0</v>
      </c>
      <c r="M2120">
        <v>72</v>
      </c>
      <c r="N2120">
        <v>320</v>
      </c>
      <c r="O2120">
        <v>1</v>
      </c>
      <c r="P2120">
        <v>0</v>
      </c>
      <c r="Q2120">
        <v>0</v>
      </c>
      <c r="R2120">
        <v>0</v>
      </c>
      <c r="S2120">
        <v>0</v>
      </c>
      <c r="T2120">
        <v>0</v>
      </c>
      <c r="U2120">
        <v>0</v>
      </c>
      <c r="V2120">
        <v>72</v>
      </c>
      <c r="W2120">
        <v>320</v>
      </c>
      <c r="X2120">
        <v>1</v>
      </c>
      <c r="Y2120">
        <f t="shared" si="33"/>
        <v>320</v>
      </c>
      <c r="Z2120" t="str">
        <f>IF(ISNUMBER(SEARCH("Adjustment",$C2120)),"excluded",IF($H2120="Behind the Meter","excluded",IF(NOT(OR($E2120="Bundled",$E2120="Energy")),"excluded",IF(OR($H2120="Retail Power Marketer",$H2120="Community Choice Aggregator",$E2120="Energy"),"procurement",IF(OR($H2120="Municipal",$H2120="Cooperative",$H2120="Federal",$H2120="State",$H2120="Political Subdivision"),"cost_service",IF($H2120="Investor Owned",IF(AND(COUNTIF(Parameters!$A$4:$A$33,$G2120)&gt;0,COUNTIF(Parameters!$B$4:$B$33,$B2120)=0),"procurement","cost_service"),"unclassified"))))))</f>
        <v>excluded</v>
      </c>
    </row>
    <row r="2121" spans="1:26" x14ac:dyDescent="0.25">
      <c r="A2121">
        <v>2024</v>
      </c>
      <c r="B2121">
        <v>59622</v>
      </c>
      <c r="C2121" t="s">
        <v>1554</v>
      </c>
      <c r="D2121" t="s">
        <v>84</v>
      </c>
      <c r="E2121" t="s">
        <v>85</v>
      </c>
      <c r="F2121" t="s">
        <v>86</v>
      </c>
      <c r="G2121" t="s">
        <v>46</v>
      </c>
      <c r="H2121" t="s">
        <v>1475</v>
      </c>
      <c r="I2121" t="s">
        <v>92</v>
      </c>
      <c r="J2121">
        <v>0</v>
      </c>
      <c r="K2121">
        <v>0</v>
      </c>
      <c r="L2121">
        <v>0</v>
      </c>
      <c r="M2121">
        <v>14.6</v>
      </c>
      <c r="N2121">
        <v>118</v>
      </c>
      <c r="O2121">
        <v>1</v>
      </c>
      <c r="P2121">
        <v>0</v>
      </c>
      <c r="Q2121">
        <v>0</v>
      </c>
      <c r="R2121">
        <v>0</v>
      </c>
      <c r="S2121">
        <v>0</v>
      </c>
      <c r="T2121">
        <v>0</v>
      </c>
      <c r="U2121">
        <v>0</v>
      </c>
      <c r="V2121">
        <v>14.6</v>
      </c>
      <c r="W2121">
        <v>118</v>
      </c>
      <c r="X2121">
        <v>1</v>
      </c>
      <c r="Y2121">
        <f t="shared" si="33"/>
        <v>118</v>
      </c>
      <c r="Z2121" t="str">
        <f>IF(ISNUMBER(SEARCH("Adjustment",$C2121)),"excluded",IF($H2121="Behind the Meter","excluded",IF(NOT(OR($E2121="Bundled",$E2121="Energy")),"excluded",IF(OR($H2121="Retail Power Marketer",$H2121="Community Choice Aggregator",$E2121="Energy"),"procurement",IF(OR($H2121="Municipal",$H2121="Cooperative",$H2121="Federal",$H2121="State",$H2121="Political Subdivision"),"cost_service",IF($H2121="Investor Owned",IF(AND(COUNTIF(Parameters!$A$4:$A$33,$G2121)&gt;0,COUNTIF(Parameters!$B$4:$B$33,$B2121)=0),"procurement","cost_service"),"unclassified"))))))</f>
        <v>excluded</v>
      </c>
    </row>
    <row r="2122" spans="1:26" x14ac:dyDescent="0.25">
      <c r="A2122">
        <v>2024</v>
      </c>
      <c r="B2122">
        <v>59622</v>
      </c>
      <c r="C2122" t="s">
        <v>1554</v>
      </c>
      <c r="D2122" t="s">
        <v>84</v>
      </c>
      <c r="E2122" t="s">
        <v>85</v>
      </c>
      <c r="F2122" t="s">
        <v>86</v>
      </c>
      <c r="G2122" t="s">
        <v>130</v>
      </c>
      <c r="H2122" t="s">
        <v>1475</v>
      </c>
      <c r="I2122" t="s">
        <v>96</v>
      </c>
      <c r="J2122">
        <v>0</v>
      </c>
      <c r="K2122">
        <v>0</v>
      </c>
      <c r="L2122">
        <v>0</v>
      </c>
      <c r="M2122">
        <v>203.2</v>
      </c>
      <c r="N2122">
        <v>1061</v>
      </c>
      <c r="O2122">
        <v>3</v>
      </c>
      <c r="P2122">
        <v>0</v>
      </c>
      <c r="Q2122">
        <v>0</v>
      </c>
      <c r="R2122">
        <v>0</v>
      </c>
      <c r="S2122">
        <v>0</v>
      </c>
      <c r="T2122">
        <v>0</v>
      </c>
      <c r="U2122">
        <v>0</v>
      </c>
      <c r="V2122">
        <v>203.2</v>
      </c>
      <c r="W2122">
        <v>1061</v>
      </c>
      <c r="X2122">
        <v>3</v>
      </c>
      <c r="Y2122">
        <f t="shared" si="33"/>
        <v>1061</v>
      </c>
      <c r="Z2122" t="str">
        <f>IF(ISNUMBER(SEARCH("Adjustment",$C2122)),"excluded",IF($H2122="Behind the Meter","excluded",IF(NOT(OR($E2122="Bundled",$E2122="Energy")),"excluded",IF(OR($H2122="Retail Power Marketer",$H2122="Community Choice Aggregator",$E2122="Energy"),"procurement",IF(OR($H2122="Municipal",$H2122="Cooperative",$H2122="Federal",$H2122="State",$H2122="Political Subdivision"),"cost_service",IF($H2122="Investor Owned",IF(AND(COUNTIF(Parameters!$A$4:$A$33,$G2122)&gt;0,COUNTIF(Parameters!$B$4:$B$33,$B2122)=0),"procurement","cost_service"),"unclassified"))))))</f>
        <v>excluded</v>
      </c>
    </row>
    <row r="2123" spans="1:26" x14ac:dyDescent="0.25">
      <c r="A2123">
        <v>2024</v>
      </c>
      <c r="B2123">
        <v>59622</v>
      </c>
      <c r="C2123" t="s">
        <v>1554</v>
      </c>
      <c r="D2123" t="s">
        <v>84</v>
      </c>
      <c r="E2123" t="s">
        <v>85</v>
      </c>
      <c r="F2123" t="s">
        <v>86</v>
      </c>
      <c r="G2123" t="s">
        <v>48</v>
      </c>
      <c r="H2123" t="s">
        <v>1475</v>
      </c>
      <c r="I2123" t="s">
        <v>189</v>
      </c>
      <c r="J2123">
        <v>0</v>
      </c>
      <c r="K2123">
        <v>0</v>
      </c>
      <c r="L2123">
        <v>0</v>
      </c>
      <c r="M2123">
        <v>6736.9</v>
      </c>
      <c r="N2123">
        <v>34287</v>
      </c>
      <c r="O2123">
        <v>17</v>
      </c>
      <c r="P2123">
        <v>0</v>
      </c>
      <c r="Q2123">
        <v>0</v>
      </c>
      <c r="R2123">
        <v>0</v>
      </c>
      <c r="S2123">
        <v>0</v>
      </c>
      <c r="T2123">
        <v>0</v>
      </c>
      <c r="U2123">
        <v>0</v>
      </c>
      <c r="V2123">
        <v>6736.9</v>
      </c>
      <c r="W2123">
        <v>34287</v>
      </c>
      <c r="X2123">
        <v>17</v>
      </c>
      <c r="Y2123">
        <f t="shared" si="33"/>
        <v>34287</v>
      </c>
      <c r="Z2123" t="str">
        <f>IF(ISNUMBER(SEARCH("Adjustment",$C2123)),"excluded",IF($H2123="Behind the Meter","excluded",IF(NOT(OR($E2123="Bundled",$E2123="Energy")),"excluded",IF(OR($H2123="Retail Power Marketer",$H2123="Community Choice Aggregator",$E2123="Energy"),"procurement",IF(OR($H2123="Municipal",$H2123="Cooperative",$H2123="Federal",$H2123="State",$H2123="Political Subdivision"),"cost_service",IF($H2123="Investor Owned",IF(AND(COUNTIF(Parameters!$A$4:$A$33,$G2123)&gt;0,COUNTIF(Parameters!$B$4:$B$33,$B2123)=0),"procurement","cost_service"),"unclassified"))))))</f>
        <v>excluded</v>
      </c>
    </row>
    <row r="2124" spans="1:26" x14ac:dyDescent="0.25">
      <c r="A2124">
        <v>2024</v>
      </c>
      <c r="B2124">
        <v>59622</v>
      </c>
      <c r="C2124" t="s">
        <v>1554</v>
      </c>
      <c r="D2124" t="s">
        <v>84</v>
      </c>
      <c r="E2124" t="s">
        <v>85</v>
      </c>
      <c r="F2124" t="s">
        <v>86</v>
      </c>
      <c r="G2124" t="s">
        <v>49</v>
      </c>
      <c r="H2124" t="s">
        <v>1475</v>
      </c>
      <c r="I2124" t="s">
        <v>92</v>
      </c>
      <c r="J2124">
        <v>0</v>
      </c>
      <c r="K2124">
        <v>0</v>
      </c>
      <c r="L2124">
        <v>0</v>
      </c>
      <c r="M2124">
        <v>129.5</v>
      </c>
      <c r="N2124">
        <v>1752</v>
      </c>
      <c r="O2124">
        <v>4</v>
      </c>
      <c r="P2124">
        <v>0</v>
      </c>
      <c r="Q2124">
        <v>0</v>
      </c>
      <c r="R2124">
        <v>0</v>
      </c>
      <c r="S2124">
        <v>0</v>
      </c>
      <c r="T2124">
        <v>0</v>
      </c>
      <c r="U2124">
        <v>0</v>
      </c>
      <c r="V2124">
        <v>129.5</v>
      </c>
      <c r="W2124">
        <v>1752</v>
      </c>
      <c r="X2124">
        <v>4</v>
      </c>
      <c r="Y2124">
        <f t="shared" si="33"/>
        <v>1752</v>
      </c>
      <c r="Z2124" t="str">
        <f>IF(ISNUMBER(SEARCH("Adjustment",$C2124)),"excluded",IF($H2124="Behind the Meter","excluded",IF(NOT(OR($E2124="Bundled",$E2124="Energy")),"excluded",IF(OR($H2124="Retail Power Marketer",$H2124="Community Choice Aggregator",$E2124="Energy"),"procurement",IF(OR($H2124="Municipal",$H2124="Cooperative",$H2124="Federal",$H2124="State",$H2124="Political Subdivision"),"cost_service",IF($H2124="Investor Owned",IF(AND(COUNTIF(Parameters!$A$4:$A$33,$G2124)&gt;0,COUNTIF(Parameters!$B$4:$B$33,$B2124)=0),"procurement","cost_service"),"unclassified"))))))</f>
        <v>excluded</v>
      </c>
    </row>
    <row r="2125" spans="1:26" x14ac:dyDescent="0.25">
      <c r="A2125">
        <v>2024</v>
      </c>
      <c r="B2125">
        <v>59622</v>
      </c>
      <c r="C2125" t="s">
        <v>1554</v>
      </c>
      <c r="D2125" t="s">
        <v>84</v>
      </c>
      <c r="E2125" t="s">
        <v>85</v>
      </c>
      <c r="F2125" t="s">
        <v>86</v>
      </c>
      <c r="G2125" t="s">
        <v>50</v>
      </c>
      <c r="H2125" t="s">
        <v>1475</v>
      </c>
      <c r="I2125" t="s">
        <v>119</v>
      </c>
      <c r="J2125">
        <v>0</v>
      </c>
      <c r="K2125">
        <v>0</v>
      </c>
      <c r="L2125">
        <v>0</v>
      </c>
      <c r="M2125">
        <v>690.2</v>
      </c>
      <c r="N2125">
        <v>7017</v>
      </c>
      <c r="O2125">
        <v>1</v>
      </c>
      <c r="P2125">
        <v>0</v>
      </c>
      <c r="Q2125">
        <v>0</v>
      </c>
      <c r="R2125">
        <v>0</v>
      </c>
      <c r="S2125">
        <v>0</v>
      </c>
      <c r="T2125">
        <v>0</v>
      </c>
      <c r="U2125">
        <v>0</v>
      </c>
      <c r="V2125">
        <v>690.2</v>
      </c>
      <c r="W2125">
        <v>7017</v>
      </c>
      <c r="X2125">
        <v>1</v>
      </c>
      <c r="Y2125">
        <f t="shared" si="33"/>
        <v>7017</v>
      </c>
      <c r="Z2125" t="str">
        <f>IF(ISNUMBER(SEARCH("Adjustment",$C2125)),"excluded",IF($H2125="Behind the Meter","excluded",IF(NOT(OR($E2125="Bundled",$E2125="Energy")),"excluded",IF(OR($H2125="Retail Power Marketer",$H2125="Community Choice Aggregator",$E2125="Energy"),"procurement",IF(OR($H2125="Municipal",$H2125="Cooperative",$H2125="Federal",$H2125="State",$H2125="Political Subdivision"),"cost_service",IF($H2125="Investor Owned",IF(AND(COUNTIF(Parameters!$A$4:$A$33,$G2125)&gt;0,COUNTIF(Parameters!$B$4:$B$33,$B2125)=0),"procurement","cost_service"),"unclassified"))))))</f>
        <v>excluded</v>
      </c>
    </row>
    <row r="2126" spans="1:26" x14ac:dyDescent="0.25">
      <c r="A2126">
        <v>2024</v>
      </c>
      <c r="B2126">
        <v>59622</v>
      </c>
      <c r="C2126" t="s">
        <v>1554</v>
      </c>
      <c r="D2126" t="s">
        <v>84</v>
      </c>
      <c r="E2126" t="s">
        <v>85</v>
      </c>
      <c r="F2126" t="s">
        <v>86</v>
      </c>
      <c r="G2126" t="s">
        <v>140</v>
      </c>
      <c r="H2126" t="s">
        <v>1475</v>
      </c>
      <c r="I2126" t="s">
        <v>96</v>
      </c>
      <c r="J2126">
        <v>0</v>
      </c>
      <c r="K2126">
        <v>0</v>
      </c>
      <c r="L2126">
        <v>0</v>
      </c>
      <c r="M2126">
        <v>21.3</v>
      </c>
      <c r="N2126">
        <v>172</v>
      </c>
      <c r="O2126">
        <v>1</v>
      </c>
      <c r="P2126">
        <v>0</v>
      </c>
      <c r="Q2126">
        <v>0</v>
      </c>
      <c r="R2126">
        <v>0</v>
      </c>
      <c r="S2126">
        <v>0</v>
      </c>
      <c r="T2126">
        <v>0</v>
      </c>
      <c r="U2126">
        <v>0</v>
      </c>
      <c r="V2126">
        <v>21.3</v>
      </c>
      <c r="W2126">
        <v>172</v>
      </c>
      <c r="X2126">
        <v>1</v>
      </c>
      <c r="Y2126">
        <f t="shared" si="33"/>
        <v>172</v>
      </c>
      <c r="Z2126" t="str">
        <f>IF(ISNUMBER(SEARCH("Adjustment",$C2126)),"excluded",IF($H2126="Behind the Meter","excluded",IF(NOT(OR($E2126="Bundled",$E2126="Energy")),"excluded",IF(OR($H2126="Retail Power Marketer",$H2126="Community Choice Aggregator",$E2126="Energy"),"procurement",IF(OR($H2126="Municipal",$H2126="Cooperative",$H2126="Federal",$H2126="State",$H2126="Political Subdivision"),"cost_service",IF($H2126="Investor Owned",IF(AND(COUNTIF(Parameters!$A$4:$A$33,$G2126)&gt;0,COUNTIF(Parameters!$B$4:$B$33,$B2126)=0),"procurement","cost_service"),"unclassified"))))))</f>
        <v>excluded</v>
      </c>
    </row>
    <row r="2127" spans="1:26" x14ac:dyDescent="0.25">
      <c r="A2127">
        <v>2024</v>
      </c>
      <c r="B2127">
        <v>59622</v>
      </c>
      <c r="C2127" t="s">
        <v>1554</v>
      </c>
      <c r="D2127" t="s">
        <v>84</v>
      </c>
      <c r="E2127" t="s">
        <v>85</v>
      </c>
      <c r="F2127" t="s">
        <v>86</v>
      </c>
      <c r="G2127" t="s">
        <v>51</v>
      </c>
      <c r="H2127" t="s">
        <v>1475</v>
      </c>
      <c r="I2127" t="s">
        <v>189</v>
      </c>
      <c r="J2127">
        <v>0</v>
      </c>
      <c r="K2127">
        <v>0</v>
      </c>
      <c r="L2127">
        <v>0</v>
      </c>
      <c r="M2127">
        <v>158.9</v>
      </c>
      <c r="N2127">
        <v>1412</v>
      </c>
      <c r="O2127">
        <v>5</v>
      </c>
      <c r="P2127">
        <v>0</v>
      </c>
      <c r="Q2127">
        <v>0</v>
      </c>
      <c r="R2127">
        <v>0</v>
      </c>
      <c r="S2127">
        <v>0</v>
      </c>
      <c r="T2127">
        <v>0</v>
      </c>
      <c r="U2127">
        <v>0</v>
      </c>
      <c r="V2127">
        <v>158.9</v>
      </c>
      <c r="W2127">
        <v>1412</v>
      </c>
      <c r="X2127">
        <v>5</v>
      </c>
      <c r="Y2127">
        <f t="shared" si="33"/>
        <v>1412</v>
      </c>
      <c r="Z2127" t="str">
        <f>IF(ISNUMBER(SEARCH("Adjustment",$C2127)),"excluded",IF($H2127="Behind the Meter","excluded",IF(NOT(OR($E2127="Bundled",$E2127="Energy")),"excluded",IF(OR($H2127="Retail Power Marketer",$H2127="Community Choice Aggregator",$E2127="Energy"),"procurement",IF(OR($H2127="Municipal",$H2127="Cooperative",$H2127="Federal",$H2127="State",$H2127="Political Subdivision"),"cost_service",IF($H2127="Investor Owned",IF(AND(COUNTIF(Parameters!$A$4:$A$33,$G2127)&gt;0,COUNTIF(Parameters!$B$4:$B$33,$B2127)=0),"procurement","cost_service"),"unclassified"))))))</f>
        <v>excluded</v>
      </c>
    </row>
    <row r="2128" spans="1:26" x14ac:dyDescent="0.25">
      <c r="A2128">
        <v>2024</v>
      </c>
      <c r="B2128">
        <v>59622</v>
      </c>
      <c r="C2128" t="s">
        <v>1554</v>
      </c>
      <c r="D2128" t="s">
        <v>84</v>
      </c>
      <c r="E2128" t="s">
        <v>85</v>
      </c>
      <c r="F2128" t="s">
        <v>86</v>
      </c>
      <c r="G2128" t="s">
        <v>52</v>
      </c>
      <c r="H2128" t="s">
        <v>1475</v>
      </c>
      <c r="I2128" t="s">
        <v>92</v>
      </c>
      <c r="J2128">
        <v>0</v>
      </c>
      <c r="K2128">
        <v>0</v>
      </c>
      <c r="L2128">
        <v>0</v>
      </c>
      <c r="M2128">
        <v>233.1</v>
      </c>
      <c r="N2128">
        <v>2426</v>
      </c>
      <c r="O2128">
        <v>9</v>
      </c>
      <c r="P2128">
        <v>0</v>
      </c>
      <c r="Q2128">
        <v>0</v>
      </c>
      <c r="R2128">
        <v>0</v>
      </c>
      <c r="S2128">
        <v>0</v>
      </c>
      <c r="T2128">
        <v>0</v>
      </c>
      <c r="U2128">
        <v>0</v>
      </c>
      <c r="V2128">
        <v>233.1</v>
      </c>
      <c r="W2128">
        <v>2426</v>
      </c>
      <c r="X2128">
        <v>9</v>
      </c>
      <c r="Y2128">
        <f t="shared" si="33"/>
        <v>2426</v>
      </c>
      <c r="Z2128" t="str">
        <f>IF(ISNUMBER(SEARCH("Adjustment",$C2128)),"excluded",IF($H2128="Behind the Meter","excluded",IF(NOT(OR($E2128="Bundled",$E2128="Energy")),"excluded",IF(OR($H2128="Retail Power Marketer",$H2128="Community Choice Aggregator",$E2128="Energy"),"procurement",IF(OR($H2128="Municipal",$H2128="Cooperative",$H2128="Federal",$H2128="State",$H2128="Political Subdivision"),"cost_service",IF($H2128="Investor Owned",IF(AND(COUNTIF(Parameters!$A$4:$A$33,$G2128)&gt;0,COUNTIF(Parameters!$B$4:$B$33,$B2128)=0),"procurement","cost_service"),"unclassified"))))))</f>
        <v>excluded</v>
      </c>
    </row>
    <row r="2129" spans="1:26" x14ac:dyDescent="0.25">
      <c r="A2129">
        <v>2024</v>
      </c>
      <c r="B2129">
        <v>59622</v>
      </c>
      <c r="C2129" t="s">
        <v>1554</v>
      </c>
      <c r="D2129" t="s">
        <v>84</v>
      </c>
      <c r="E2129" t="s">
        <v>85</v>
      </c>
      <c r="F2129" t="s">
        <v>86</v>
      </c>
      <c r="G2129" t="s">
        <v>308</v>
      </c>
      <c r="H2129" t="s">
        <v>1475</v>
      </c>
      <c r="I2129" t="s">
        <v>309</v>
      </c>
      <c r="J2129">
        <v>0</v>
      </c>
      <c r="K2129">
        <v>0</v>
      </c>
      <c r="L2129">
        <v>0</v>
      </c>
      <c r="M2129">
        <v>85.7</v>
      </c>
      <c r="N2129">
        <v>1012</v>
      </c>
      <c r="O2129">
        <v>2</v>
      </c>
      <c r="P2129">
        <v>0</v>
      </c>
      <c r="Q2129">
        <v>0</v>
      </c>
      <c r="R2129">
        <v>0</v>
      </c>
      <c r="S2129">
        <v>0</v>
      </c>
      <c r="T2129">
        <v>0</v>
      </c>
      <c r="U2129">
        <v>0</v>
      </c>
      <c r="V2129">
        <v>85.7</v>
      </c>
      <c r="W2129">
        <v>1012</v>
      </c>
      <c r="X2129">
        <v>2</v>
      </c>
      <c r="Y2129">
        <f t="shared" si="33"/>
        <v>1012</v>
      </c>
      <c r="Z2129" t="str">
        <f>IF(ISNUMBER(SEARCH("Adjustment",$C2129)),"excluded",IF($H2129="Behind the Meter","excluded",IF(NOT(OR($E2129="Bundled",$E2129="Energy")),"excluded",IF(OR($H2129="Retail Power Marketer",$H2129="Community Choice Aggregator",$E2129="Energy"),"procurement",IF(OR($H2129="Municipal",$H2129="Cooperative",$H2129="Federal",$H2129="State",$H2129="Political Subdivision"),"cost_service",IF($H2129="Investor Owned",IF(AND(COUNTIF(Parameters!$A$4:$A$33,$G2129)&gt;0,COUNTIF(Parameters!$B$4:$B$33,$B2129)=0),"procurement","cost_service"),"unclassified"))))))</f>
        <v>excluded</v>
      </c>
    </row>
    <row r="2130" spans="1:26" x14ac:dyDescent="0.25">
      <c r="A2130">
        <v>2024</v>
      </c>
      <c r="B2130">
        <v>59622</v>
      </c>
      <c r="C2130" t="s">
        <v>1554</v>
      </c>
      <c r="D2130" t="s">
        <v>84</v>
      </c>
      <c r="E2130" t="s">
        <v>85</v>
      </c>
      <c r="F2130" t="s">
        <v>86</v>
      </c>
      <c r="G2130" t="s">
        <v>53</v>
      </c>
      <c r="H2130" t="s">
        <v>1475</v>
      </c>
      <c r="I2130" t="s">
        <v>102</v>
      </c>
      <c r="J2130">
        <v>0</v>
      </c>
      <c r="K2130">
        <v>0</v>
      </c>
      <c r="L2130">
        <v>0</v>
      </c>
      <c r="M2130">
        <v>3816.8</v>
      </c>
      <c r="N2130">
        <v>32616</v>
      </c>
      <c r="O2130">
        <v>7</v>
      </c>
      <c r="P2130">
        <v>0</v>
      </c>
      <c r="Q2130">
        <v>0</v>
      </c>
      <c r="R2130">
        <v>0</v>
      </c>
      <c r="S2130">
        <v>0</v>
      </c>
      <c r="T2130">
        <v>0</v>
      </c>
      <c r="U2130">
        <v>0</v>
      </c>
      <c r="V2130">
        <v>3816.8</v>
      </c>
      <c r="W2130">
        <v>32616</v>
      </c>
      <c r="X2130">
        <v>7</v>
      </c>
      <c r="Y2130">
        <f t="shared" si="33"/>
        <v>32616</v>
      </c>
      <c r="Z2130" t="str">
        <f>IF(ISNUMBER(SEARCH("Adjustment",$C2130)),"excluded",IF($H2130="Behind the Meter","excluded",IF(NOT(OR($E2130="Bundled",$E2130="Energy")),"excluded",IF(OR($H2130="Retail Power Marketer",$H2130="Community Choice Aggregator",$E2130="Energy"),"procurement",IF(OR($H2130="Municipal",$H2130="Cooperative",$H2130="Federal",$H2130="State",$H2130="Political Subdivision"),"cost_service",IF($H2130="Investor Owned",IF(AND(COUNTIF(Parameters!$A$4:$A$33,$G2130)&gt;0,COUNTIF(Parameters!$B$4:$B$33,$B2130)=0),"procurement","cost_service"),"unclassified"))))))</f>
        <v>excluded</v>
      </c>
    </row>
    <row r="2131" spans="1:26" x14ac:dyDescent="0.25">
      <c r="A2131">
        <v>2024</v>
      </c>
      <c r="B2131">
        <v>59622</v>
      </c>
      <c r="C2131" t="s">
        <v>1554</v>
      </c>
      <c r="D2131" t="s">
        <v>84</v>
      </c>
      <c r="E2131" t="s">
        <v>85</v>
      </c>
      <c r="F2131" t="s">
        <v>86</v>
      </c>
      <c r="G2131" t="s">
        <v>219</v>
      </c>
      <c r="H2131" t="s">
        <v>1475</v>
      </c>
      <c r="I2131" t="s">
        <v>972</v>
      </c>
      <c r="J2131">
        <v>0</v>
      </c>
      <c r="K2131">
        <v>0</v>
      </c>
      <c r="L2131">
        <v>0</v>
      </c>
      <c r="M2131">
        <v>28.9</v>
      </c>
      <c r="N2131">
        <v>436</v>
      </c>
      <c r="O2131">
        <v>1</v>
      </c>
      <c r="P2131">
        <v>0</v>
      </c>
      <c r="Q2131">
        <v>0</v>
      </c>
      <c r="R2131">
        <v>0</v>
      </c>
      <c r="S2131">
        <v>0</v>
      </c>
      <c r="T2131">
        <v>0</v>
      </c>
      <c r="U2131">
        <v>0</v>
      </c>
      <c r="V2131">
        <v>28.9</v>
      </c>
      <c r="W2131">
        <v>436</v>
      </c>
      <c r="X2131">
        <v>1</v>
      </c>
      <c r="Y2131">
        <f t="shared" si="33"/>
        <v>436</v>
      </c>
      <c r="Z2131" t="str">
        <f>IF(ISNUMBER(SEARCH("Adjustment",$C2131)),"excluded",IF($H2131="Behind the Meter","excluded",IF(NOT(OR($E2131="Bundled",$E2131="Energy")),"excluded",IF(OR($H2131="Retail Power Marketer",$H2131="Community Choice Aggregator",$E2131="Energy"),"procurement",IF(OR($H2131="Municipal",$H2131="Cooperative",$H2131="Federal",$H2131="State",$H2131="Political Subdivision"),"cost_service",IF($H2131="Investor Owned",IF(AND(COUNTIF(Parameters!$A$4:$A$33,$G2131)&gt;0,COUNTIF(Parameters!$B$4:$B$33,$B2131)=0),"procurement","cost_service"),"unclassified"))))))</f>
        <v>excluded</v>
      </c>
    </row>
    <row r="2132" spans="1:26" x14ac:dyDescent="0.25">
      <c r="A2132">
        <v>2024</v>
      </c>
      <c r="B2132">
        <v>59622</v>
      </c>
      <c r="C2132" t="s">
        <v>1554</v>
      </c>
      <c r="D2132" t="s">
        <v>84</v>
      </c>
      <c r="E2132" t="s">
        <v>85</v>
      </c>
      <c r="F2132" t="s">
        <v>86</v>
      </c>
      <c r="G2132" t="s">
        <v>55</v>
      </c>
      <c r="H2132" t="s">
        <v>1475</v>
      </c>
      <c r="I2132" t="s">
        <v>92</v>
      </c>
      <c r="J2132">
        <v>0</v>
      </c>
      <c r="K2132">
        <v>0</v>
      </c>
      <c r="L2132">
        <v>0</v>
      </c>
      <c r="M2132">
        <v>63.9</v>
      </c>
      <c r="N2132">
        <v>514</v>
      </c>
      <c r="O2132">
        <v>1</v>
      </c>
      <c r="P2132">
        <v>0</v>
      </c>
      <c r="Q2132">
        <v>0</v>
      </c>
      <c r="R2132">
        <v>0</v>
      </c>
      <c r="S2132">
        <v>0</v>
      </c>
      <c r="T2132">
        <v>0</v>
      </c>
      <c r="U2132">
        <v>0</v>
      </c>
      <c r="V2132">
        <v>63.9</v>
      </c>
      <c r="W2132">
        <v>514</v>
      </c>
      <c r="X2132">
        <v>1</v>
      </c>
      <c r="Y2132">
        <f t="shared" si="33"/>
        <v>514</v>
      </c>
      <c r="Z2132" t="str">
        <f>IF(ISNUMBER(SEARCH("Adjustment",$C2132)),"excluded",IF($H2132="Behind the Meter","excluded",IF(NOT(OR($E2132="Bundled",$E2132="Energy")),"excluded",IF(OR($H2132="Retail Power Marketer",$H2132="Community Choice Aggregator",$E2132="Energy"),"procurement",IF(OR($H2132="Municipal",$H2132="Cooperative",$H2132="Federal",$H2132="State",$H2132="Political Subdivision"),"cost_service",IF($H2132="Investor Owned",IF(AND(COUNTIF(Parameters!$A$4:$A$33,$G2132)&gt;0,COUNTIF(Parameters!$B$4:$B$33,$B2132)=0),"procurement","cost_service"),"unclassified"))))))</f>
        <v>excluded</v>
      </c>
    </row>
    <row r="2133" spans="1:26" x14ac:dyDescent="0.25">
      <c r="A2133">
        <v>2024</v>
      </c>
      <c r="B2133">
        <v>59622</v>
      </c>
      <c r="C2133" t="s">
        <v>1554</v>
      </c>
      <c r="D2133" t="s">
        <v>84</v>
      </c>
      <c r="E2133" t="s">
        <v>85</v>
      </c>
      <c r="F2133" t="s">
        <v>86</v>
      </c>
      <c r="G2133" t="s">
        <v>56</v>
      </c>
      <c r="H2133" t="s">
        <v>1475</v>
      </c>
      <c r="I2133" t="s">
        <v>189</v>
      </c>
      <c r="J2133">
        <v>0</v>
      </c>
      <c r="K2133">
        <v>0</v>
      </c>
      <c r="L2133">
        <v>0</v>
      </c>
      <c r="M2133">
        <v>1259.4000000000001</v>
      </c>
      <c r="N2133">
        <v>8445</v>
      </c>
      <c r="O2133">
        <v>2</v>
      </c>
      <c r="P2133">
        <v>0</v>
      </c>
      <c r="Q2133">
        <v>0</v>
      </c>
      <c r="R2133">
        <v>0</v>
      </c>
      <c r="S2133">
        <v>0</v>
      </c>
      <c r="T2133">
        <v>0</v>
      </c>
      <c r="U2133">
        <v>0</v>
      </c>
      <c r="V2133">
        <v>1259.4000000000001</v>
      </c>
      <c r="W2133">
        <v>8445</v>
      </c>
      <c r="X2133">
        <v>2</v>
      </c>
      <c r="Y2133">
        <f t="shared" si="33"/>
        <v>8445</v>
      </c>
      <c r="Z2133" t="str">
        <f>IF(ISNUMBER(SEARCH("Adjustment",$C2133)),"excluded",IF($H2133="Behind the Meter","excluded",IF(NOT(OR($E2133="Bundled",$E2133="Energy")),"excluded",IF(OR($H2133="Retail Power Marketer",$H2133="Community Choice Aggregator",$E2133="Energy"),"procurement",IF(OR($H2133="Municipal",$H2133="Cooperative",$H2133="Federal",$H2133="State",$H2133="Political Subdivision"),"cost_service",IF($H2133="Investor Owned",IF(AND(COUNTIF(Parameters!$A$4:$A$33,$G2133)&gt;0,COUNTIF(Parameters!$B$4:$B$33,$B2133)=0),"procurement","cost_service"),"unclassified"))))))</f>
        <v>excluded</v>
      </c>
    </row>
    <row r="2134" spans="1:26" x14ac:dyDescent="0.25">
      <c r="A2134">
        <v>2024</v>
      </c>
      <c r="B2134">
        <v>59622</v>
      </c>
      <c r="C2134" t="s">
        <v>1554</v>
      </c>
      <c r="D2134" t="s">
        <v>84</v>
      </c>
      <c r="E2134" t="s">
        <v>85</v>
      </c>
      <c r="F2134" t="s">
        <v>86</v>
      </c>
      <c r="G2134" t="s">
        <v>269</v>
      </c>
      <c r="H2134" t="s">
        <v>1475</v>
      </c>
      <c r="I2134" t="s">
        <v>189</v>
      </c>
      <c r="J2134">
        <v>0</v>
      </c>
      <c r="K2134">
        <v>0</v>
      </c>
      <c r="L2134">
        <v>0</v>
      </c>
      <c r="M2134">
        <v>164.2</v>
      </c>
      <c r="N2134">
        <v>723</v>
      </c>
      <c r="O2134">
        <v>1</v>
      </c>
      <c r="P2134">
        <v>0</v>
      </c>
      <c r="Q2134">
        <v>0</v>
      </c>
      <c r="R2134">
        <v>0</v>
      </c>
      <c r="S2134">
        <v>0</v>
      </c>
      <c r="T2134">
        <v>0</v>
      </c>
      <c r="U2134">
        <v>0</v>
      </c>
      <c r="V2134">
        <v>164.2</v>
      </c>
      <c r="W2134">
        <v>723</v>
      </c>
      <c r="X2134">
        <v>1</v>
      </c>
      <c r="Y2134">
        <f t="shared" si="33"/>
        <v>723</v>
      </c>
      <c r="Z2134" t="str">
        <f>IF(ISNUMBER(SEARCH("Adjustment",$C2134)),"excluded",IF($H2134="Behind the Meter","excluded",IF(NOT(OR($E2134="Bundled",$E2134="Energy")),"excluded",IF(OR($H2134="Retail Power Marketer",$H2134="Community Choice Aggregator",$E2134="Energy"),"procurement",IF(OR($H2134="Municipal",$H2134="Cooperative",$H2134="Federal",$H2134="State",$H2134="Political Subdivision"),"cost_service",IF($H2134="Investor Owned",IF(AND(COUNTIF(Parameters!$A$4:$A$33,$G2134)&gt;0,COUNTIF(Parameters!$B$4:$B$33,$B2134)=0),"procurement","cost_service"),"unclassified"))))))</f>
        <v>excluded</v>
      </c>
    </row>
    <row r="2135" spans="1:26" x14ac:dyDescent="0.25">
      <c r="A2135">
        <v>2024</v>
      </c>
      <c r="B2135">
        <v>59625</v>
      </c>
      <c r="C2135" t="s">
        <v>1555</v>
      </c>
      <c r="D2135" t="s">
        <v>99</v>
      </c>
      <c r="E2135" t="s">
        <v>100</v>
      </c>
      <c r="F2135" t="s">
        <v>86</v>
      </c>
      <c r="G2135" t="s">
        <v>115</v>
      </c>
      <c r="H2135" t="s">
        <v>1464</v>
      </c>
      <c r="I2135" t="s">
        <v>116</v>
      </c>
      <c r="J2135">
        <v>51127</v>
      </c>
      <c r="K2135">
        <v>323422</v>
      </c>
      <c r="L2135">
        <v>46856</v>
      </c>
      <c r="M2135">
        <v>24447</v>
      </c>
      <c r="N2135">
        <v>187198</v>
      </c>
      <c r="O2135">
        <v>5625</v>
      </c>
      <c r="P2135">
        <v>8211</v>
      </c>
      <c r="Q2135">
        <v>69803</v>
      </c>
      <c r="R2135">
        <v>99</v>
      </c>
      <c r="S2135">
        <v>0</v>
      </c>
      <c r="T2135">
        <v>0</v>
      </c>
      <c r="U2135">
        <v>0</v>
      </c>
      <c r="V2135">
        <v>83785</v>
      </c>
      <c r="W2135">
        <v>580423</v>
      </c>
      <c r="X2135">
        <v>52580</v>
      </c>
      <c r="Y2135">
        <f t="shared" si="33"/>
        <v>580423</v>
      </c>
      <c r="Z2135" t="str">
        <f>IF(ISNUMBER(SEARCH("Adjustment",$C2135)),"excluded",IF($H2135="Behind the Meter","excluded",IF(NOT(OR($E2135="Bundled",$E2135="Energy")),"excluded",IF(OR($H2135="Retail Power Marketer",$H2135="Community Choice Aggregator",$E2135="Energy"),"procurement",IF(OR($H2135="Municipal",$H2135="Cooperative",$H2135="Federal",$H2135="State",$H2135="Political Subdivision"),"cost_service",IF($H2135="Investor Owned",IF(AND(COUNTIF(Parameters!$A$4:$A$33,$G2135)&gt;0,COUNTIF(Parameters!$B$4:$B$33,$B2135)=0),"procurement","cost_service"),"unclassified"))))))</f>
        <v>procurement</v>
      </c>
    </row>
    <row r="2136" spans="1:26" x14ac:dyDescent="0.25">
      <c r="A2136">
        <v>2024</v>
      </c>
      <c r="B2136">
        <v>59647</v>
      </c>
      <c r="C2136" t="s">
        <v>1556</v>
      </c>
      <c r="D2136" t="s">
        <v>84</v>
      </c>
      <c r="E2136" t="s">
        <v>85</v>
      </c>
      <c r="F2136" t="s">
        <v>86</v>
      </c>
      <c r="G2136" t="s">
        <v>108</v>
      </c>
      <c r="H2136" t="s">
        <v>1475</v>
      </c>
      <c r="I2136" t="s">
        <v>110</v>
      </c>
      <c r="J2136">
        <v>64081.1</v>
      </c>
      <c r="K2136">
        <v>469170</v>
      </c>
      <c r="L2136">
        <v>35281</v>
      </c>
      <c r="M2136" t="s">
        <v>97</v>
      </c>
      <c r="N2136" t="s">
        <v>97</v>
      </c>
      <c r="O2136" t="s">
        <v>97</v>
      </c>
      <c r="P2136" t="s">
        <v>97</v>
      </c>
      <c r="Q2136" t="s">
        <v>97</v>
      </c>
      <c r="R2136" t="s">
        <v>97</v>
      </c>
      <c r="S2136" t="s">
        <v>97</v>
      </c>
      <c r="T2136" t="s">
        <v>97</v>
      </c>
      <c r="U2136" t="s">
        <v>97</v>
      </c>
      <c r="V2136">
        <v>64081.1</v>
      </c>
      <c r="W2136">
        <v>469170</v>
      </c>
      <c r="X2136">
        <v>35281</v>
      </c>
      <c r="Y2136">
        <f t="shared" si="33"/>
        <v>469170</v>
      </c>
      <c r="Z2136" t="str">
        <f>IF(ISNUMBER(SEARCH("Adjustment",$C2136)),"excluded",IF($H2136="Behind the Meter","excluded",IF(NOT(OR($E2136="Bundled",$E2136="Energy")),"excluded",IF(OR($H2136="Retail Power Marketer",$H2136="Community Choice Aggregator",$E2136="Energy"),"procurement",IF(OR($H2136="Municipal",$H2136="Cooperative",$H2136="Federal",$H2136="State",$H2136="Political Subdivision"),"cost_service",IF($H2136="Investor Owned",IF(AND(COUNTIF(Parameters!$A$4:$A$33,$G2136)&gt;0,COUNTIF(Parameters!$B$4:$B$33,$B2136)=0),"procurement","cost_service"),"unclassified"))))))</f>
        <v>excluded</v>
      </c>
    </row>
    <row r="2137" spans="1:26" x14ac:dyDescent="0.25">
      <c r="A2137">
        <v>2024</v>
      </c>
      <c r="B2137">
        <v>59647</v>
      </c>
      <c r="C2137" t="s">
        <v>1556</v>
      </c>
      <c r="D2137" t="s">
        <v>84</v>
      </c>
      <c r="E2137" t="s">
        <v>85</v>
      </c>
      <c r="F2137" t="s">
        <v>86</v>
      </c>
      <c r="G2137" t="s">
        <v>108</v>
      </c>
      <c r="H2137" t="s">
        <v>1475</v>
      </c>
      <c r="I2137" t="s">
        <v>1090</v>
      </c>
      <c r="J2137">
        <v>1745.8</v>
      </c>
      <c r="K2137">
        <v>12694</v>
      </c>
      <c r="L2137">
        <v>981</v>
      </c>
      <c r="M2137" t="s">
        <v>97</v>
      </c>
      <c r="N2137" t="s">
        <v>97</v>
      </c>
      <c r="O2137" t="s">
        <v>97</v>
      </c>
      <c r="P2137" t="s">
        <v>97</v>
      </c>
      <c r="Q2137" t="s">
        <v>97</v>
      </c>
      <c r="R2137" t="s">
        <v>97</v>
      </c>
      <c r="S2137" t="s">
        <v>97</v>
      </c>
      <c r="T2137" t="s">
        <v>97</v>
      </c>
      <c r="U2137" t="s">
        <v>97</v>
      </c>
      <c r="V2137">
        <v>1745.8</v>
      </c>
      <c r="W2137">
        <v>12694</v>
      </c>
      <c r="X2137">
        <v>981</v>
      </c>
      <c r="Y2137">
        <f t="shared" si="33"/>
        <v>12694</v>
      </c>
      <c r="Z2137" t="str">
        <f>IF(ISNUMBER(SEARCH("Adjustment",$C2137)),"excluded",IF($H2137="Behind the Meter","excluded",IF(NOT(OR($E2137="Bundled",$E2137="Energy")),"excluded",IF(OR($H2137="Retail Power Marketer",$H2137="Community Choice Aggregator",$E2137="Energy"),"procurement",IF(OR($H2137="Municipal",$H2137="Cooperative",$H2137="Federal",$H2137="State",$H2137="Political Subdivision"),"cost_service",IF($H2137="Investor Owned",IF(AND(COUNTIF(Parameters!$A$4:$A$33,$G2137)&gt;0,COUNTIF(Parameters!$B$4:$B$33,$B2137)=0),"procurement","cost_service"),"unclassified"))))))</f>
        <v>excluded</v>
      </c>
    </row>
    <row r="2138" spans="1:26" x14ac:dyDescent="0.25">
      <c r="A2138">
        <v>2024</v>
      </c>
      <c r="B2138">
        <v>59647</v>
      </c>
      <c r="C2138" t="s">
        <v>1556</v>
      </c>
      <c r="D2138" t="s">
        <v>84</v>
      </c>
      <c r="E2138" t="s">
        <v>85</v>
      </c>
      <c r="F2138" t="s">
        <v>86</v>
      </c>
      <c r="G2138" t="s">
        <v>108</v>
      </c>
      <c r="H2138" t="s">
        <v>1475</v>
      </c>
      <c r="I2138" t="s">
        <v>876</v>
      </c>
      <c r="J2138">
        <v>6421.3</v>
      </c>
      <c r="K2138">
        <v>45002</v>
      </c>
      <c r="L2138">
        <v>3781</v>
      </c>
      <c r="M2138" t="s">
        <v>97</v>
      </c>
      <c r="N2138" t="s">
        <v>97</v>
      </c>
      <c r="O2138" t="s">
        <v>97</v>
      </c>
      <c r="P2138" t="s">
        <v>97</v>
      </c>
      <c r="Q2138" t="s">
        <v>97</v>
      </c>
      <c r="R2138" t="s">
        <v>97</v>
      </c>
      <c r="S2138" t="s">
        <v>97</v>
      </c>
      <c r="T2138" t="s">
        <v>97</v>
      </c>
      <c r="U2138" t="s">
        <v>97</v>
      </c>
      <c r="V2138">
        <v>6421.3</v>
      </c>
      <c r="W2138">
        <v>45002</v>
      </c>
      <c r="X2138">
        <v>3781</v>
      </c>
      <c r="Y2138">
        <f t="shared" si="33"/>
        <v>45002</v>
      </c>
      <c r="Z2138" t="str">
        <f>IF(ISNUMBER(SEARCH("Adjustment",$C2138)),"excluded",IF($H2138="Behind the Meter","excluded",IF(NOT(OR($E2138="Bundled",$E2138="Energy")),"excluded",IF(OR($H2138="Retail Power Marketer",$H2138="Community Choice Aggregator",$E2138="Energy"),"procurement",IF(OR($H2138="Municipal",$H2138="Cooperative",$H2138="Federal",$H2138="State",$H2138="Political Subdivision"),"cost_service",IF($H2138="Investor Owned",IF(AND(COUNTIF(Parameters!$A$4:$A$33,$G2138)&gt;0,COUNTIF(Parameters!$B$4:$B$33,$B2138)=0),"procurement","cost_service"),"unclassified"))))))</f>
        <v>excluded</v>
      </c>
    </row>
    <row r="2139" spans="1:26" x14ac:dyDescent="0.25">
      <c r="A2139">
        <v>2024</v>
      </c>
      <c r="B2139">
        <v>59647</v>
      </c>
      <c r="C2139" t="s">
        <v>1556</v>
      </c>
      <c r="D2139" t="s">
        <v>84</v>
      </c>
      <c r="E2139" t="s">
        <v>85</v>
      </c>
      <c r="F2139" t="s">
        <v>86</v>
      </c>
      <c r="G2139" t="s">
        <v>108</v>
      </c>
      <c r="H2139" t="s">
        <v>1475</v>
      </c>
      <c r="I2139" t="s">
        <v>243</v>
      </c>
      <c r="J2139">
        <v>37.9</v>
      </c>
      <c r="K2139">
        <v>189</v>
      </c>
      <c r="L2139">
        <v>18</v>
      </c>
      <c r="M2139" t="s">
        <v>97</v>
      </c>
      <c r="N2139" t="s">
        <v>97</v>
      </c>
      <c r="O2139" t="s">
        <v>97</v>
      </c>
      <c r="P2139" t="s">
        <v>97</v>
      </c>
      <c r="Q2139" t="s">
        <v>97</v>
      </c>
      <c r="R2139" t="s">
        <v>97</v>
      </c>
      <c r="S2139" t="s">
        <v>97</v>
      </c>
      <c r="T2139" t="s">
        <v>97</v>
      </c>
      <c r="U2139" t="s">
        <v>97</v>
      </c>
      <c r="V2139">
        <v>37.9</v>
      </c>
      <c r="W2139">
        <v>189</v>
      </c>
      <c r="X2139">
        <v>18</v>
      </c>
      <c r="Y2139">
        <f t="shared" si="33"/>
        <v>189</v>
      </c>
      <c r="Z2139" t="str">
        <f>IF(ISNUMBER(SEARCH("Adjustment",$C2139)),"excluded",IF($H2139="Behind the Meter","excluded",IF(NOT(OR($E2139="Bundled",$E2139="Energy")),"excluded",IF(OR($H2139="Retail Power Marketer",$H2139="Community Choice Aggregator",$E2139="Energy"),"procurement",IF(OR($H2139="Municipal",$H2139="Cooperative",$H2139="Federal",$H2139="State",$H2139="Political Subdivision"),"cost_service",IF($H2139="Investor Owned",IF(AND(COUNTIF(Parameters!$A$4:$A$33,$G2139)&gt;0,COUNTIF(Parameters!$B$4:$B$33,$B2139)=0),"procurement","cost_service"),"unclassified"))))))</f>
        <v>excluded</v>
      </c>
    </row>
    <row r="2140" spans="1:26" x14ac:dyDescent="0.25">
      <c r="A2140">
        <v>2024</v>
      </c>
      <c r="B2140">
        <v>59647</v>
      </c>
      <c r="C2140" t="s">
        <v>1556</v>
      </c>
      <c r="D2140" t="s">
        <v>84</v>
      </c>
      <c r="E2140" t="s">
        <v>85</v>
      </c>
      <c r="F2140" t="s">
        <v>86</v>
      </c>
      <c r="G2140" t="s">
        <v>115</v>
      </c>
      <c r="H2140" t="s">
        <v>1475</v>
      </c>
      <c r="I2140" t="s">
        <v>116</v>
      </c>
      <c r="J2140">
        <v>649748.6</v>
      </c>
      <c r="K2140">
        <v>2476243</v>
      </c>
      <c r="L2140">
        <v>309658</v>
      </c>
      <c r="M2140" t="s">
        <v>97</v>
      </c>
      <c r="N2140" t="s">
        <v>97</v>
      </c>
      <c r="O2140" t="s">
        <v>97</v>
      </c>
      <c r="P2140" t="s">
        <v>97</v>
      </c>
      <c r="Q2140" t="s">
        <v>97</v>
      </c>
      <c r="R2140" t="s">
        <v>97</v>
      </c>
      <c r="S2140" t="s">
        <v>97</v>
      </c>
      <c r="T2140" t="s">
        <v>97</v>
      </c>
      <c r="U2140" t="s">
        <v>97</v>
      </c>
      <c r="V2140">
        <v>649748.6</v>
      </c>
      <c r="W2140">
        <v>2476243</v>
      </c>
      <c r="X2140">
        <v>309658</v>
      </c>
      <c r="Y2140">
        <f t="shared" si="33"/>
        <v>2476243</v>
      </c>
      <c r="Z2140" t="str">
        <f>IF(ISNUMBER(SEARCH("Adjustment",$C2140)),"excluded",IF($H2140="Behind the Meter","excluded",IF(NOT(OR($E2140="Bundled",$E2140="Energy")),"excluded",IF(OR($H2140="Retail Power Marketer",$H2140="Community Choice Aggregator",$E2140="Energy"),"procurement",IF(OR($H2140="Municipal",$H2140="Cooperative",$H2140="Federal",$H2140="State",$H2140="Political Subdivision"),"cost_service",IF($H2140="Investor Owned",IF(AND(COUNTIF(Parameters!$A$4:$A$33,$G2140)&gt;0,COUNTIF(Parameters!$B$4:$B$33,$B2140)=0),"procurement","cost_service"),"unclassified"))))))</f>
        <v>excluded</v>
      </c>
    </row>
    <row r="2141" spans="1:26" x14ac:dyDescent="0.25">
      <c r="A2141">
        <v>2024</v>
      </c>
      <c r="B2141">
        <v>59647</v>
      </c>
      <c r="C2141" t="s">
        <v>1556</v>
      </c>
      <c r="D2141" t="s">
        <v>84</v>
      </c>
      <c r="E2141" t="s">
        <v>85</v>
      </c>
      <c r="F2141" t="s">
        <v>86</v>
      </c>
      <c r="G2141" t="s">
        <v>115</v>
      </c>
      <c r="H2141" t="s">
        <v>1475</v>
      </c>
      <c r="I2141" t="s">
        <v>642</v>
      </c>
      <c r="J2141">
        <v>1048.4000000000001</v>
      </c>
      <c r="K2141">
        <v>8746</v>
      </c>
      <c r="L2141">
        <v>1014</v>
      </c>
      <c r="M2141" t="s">
        <v>97</v>
      </c>
      <c r="N2141" t="s">
        <v>97</v>
      </c>
      <c r="O2141" t="s">
        <v>97</v>
      </c>
      <c r="P2141" t="s">
        <v>97</v>
      </c>
      <c r="Q2141" t="s">
        <v>97</v>
      </c>
      <c r="R2141" t="s">
        <v>97</v>
      </c>
      <c r="S2141" t="s">
        <v>97</v>
      </c>
      <c r="T2141" t="s">
        <v>97</v>
      </c>
      <c r="U2141" t="s">
        <v>97</v>
      </c>
      <c r="V2141">
        <v>1048.4000000000001</v>
      </c>
      <c r="W2141">
        <v>8746</v>
      </c>
      <c r="X2141">
        <v>1014</v>
      </c>
      <c r="Y2141">
        <f t="shared" si="33"/>
        <v>8746</v>
      </c>
      <c r="Z2141" t="str">
        <f>IF(ISNUMBER(SEARCH("Adjustment",$C2141)),"excluded",IF($H2141="Behind the Meter","excluded",IF(NOT(OR($E2141="Bundled",$E2141="Energy")),"excluded",IF(OR($H2141="Retail Power Marketer",$H2141="Community Choice Aggregator",$E2141="Energy"),"procurement",IF(OR($H2141="Municipal",$H2141="Cooperative",$H2141="Federal",$H2141="State",$H2141="Political Subdivision"),"cost_service",IF($H2141="Investor Owned",IF(AND(COUNTIF(Parameters!$A$4:$A$33,$G2141)&gt;0,COUNTIF(Parameters!$B$4:$B$33,$B2141)=0),"procurement","cost_service"),"unclassified"))))))</f>
        <v>excluded</v>
      </c>
    </row>
    <row r="2142" spans="1:26" x14ac:dyDescent="0.25">
      <c r="A2142">
        <v>2024</v>
      </c>
      <c r="B2142">
        <v>59647</v>
      </c>
      <c r="C2142" t="s">
        <v>1556</v>
      </c>
      <c r="D2142" t="s">
        <v>84</v>
      </c>
      <c r="E2142" t="s">
        <v>85</v>
      </c>
      <c r="F2142" t="s">
        <v>86</v>
      </c>
      <c r="G2142" t="s">
        <v>115</v>
      </c>
      <c r="H2142" t="s">
        <v>1475</v>
      </c>
      <c r="I2142" t="s">
        <v>267</v>
      </c>
      <c r="J2142">
        <v>11949.7</v>
      </c>
      <c r="K2142">
        <v>49617</v>
      </c>
      <c r="L2142">
        <v>6071</v>
      </c>
      <c r="M2142" t="s">
        <v>97</v>
      </c>
      <c r="N2142" t="s">
        <v>97</v>
      </c>
      <c r="O2142" t="s">
        <v>97</v>
      </c>
      <c r="P2142" t="s">
        <v>97</v>
      </c>
      <c r="Q2142" t="s">
        <v>97</v>
      </c>
      <c r="R2142" t="s">
        <v>97</v>
      </c>
      <c r="S2142" t="s">
        <v>97</v>
      </c>
      <c r="T2142" t="s">
        <v>97</v>
      </c>
      <c r="U2142" t="s">
        <v>97</v>
      </c>
      <c r="V2142">
        <v>11949.7</v>
      </c>
      <c r="W2142">
        <v>49617</v>
      </c>
      <c r="X2142">
        <v>6071</v>
      </c>
      <c r="Y2142">
        <f t="shared" si="33"/>
        <v>49617</v>
      </c>
      <c r="Z2142" t="str">
        <f>IF(ISNUMBER(SEARCH("Adjustment",$C2142)),"excluded",IF($H2142="Behind the Meter","excluded",IF(NOT(OR($E2142="Bundled",$E2142="Energy")),"excluded",IF(OR($H2142="Retail Power Marketer",$H2142="Community Choice Aggregator",$E2142="Energy"),"procurement",IF(OR($H2142="Municipal",$H2142="Cooperative",$H2142="Federal",$H2142="State",$H2142="Political Subdivision"),"cost_service",IF($H2142="Investor Owned",IF(AND(COUNTIF(Parameters!$A$4:$A$33,$G2142)&gt;0,COUNTIF(Parameters!$B$4:$B$33,$B2142)=0),"procurement","cost_service"),"unclassified"))))))</f>
        <v>excluded</v>
      </c>
    </row>
    <row r="2143" spans="1:26" x14ac:dyDescent="0.25">
      <c r="A2143">
        <v>2024</v>
      </c>
      <c r="B2143">
        <v>59647</v>
      </c>
      <c r="C2143" t="s">
        <v>1556</v>
      </c>
      <c r="D2143" t="s">
        <v>84</v>
      </c>
      <c r="E2143" t="s">
        <v>85</v>
      </c>
      <c r="F2143" t="s">
        <v>86</v>
      </c>
      <c r="G2143" t="s">
        <v>115</v>
      </c>
      <c r="H2143" t="s">
        <v>1475</v>
      </c>
      <c r="I2143" t="s">
        <v>1251</v>
      </c>
      <c r="J2143">
        <v>141.69999999999999</v>
      </c>
      <c r="K2143">
        <v>710</v>
      </c>
      <c r="L2143">
        <v>103</v>
      </c>
      <c r="M2143" t="s">
        <v>97</v>
      </c>
      <c r="N2143" t="s">
        <v>97</v>
      </c>
      <c r="O2143" t="s">
        <v>97</v>
      </c>
      <c r="P2143" t="s">
        <v>97</v>
      </c>
      <c r="Q2143" t="s">
        <v>97</v>
      </c>
      <c r="R2143" t="s">
        <v>97</v>
      </c>
      <c r="S2143" t="s">
        <v>97</v>
      </c>
      <c r="T2143" t="s">
        <v>97</v>
      </c>
      <c r="U2143" t="s">
        <v>97</v>
      </c>
      <c r="V2143">
        <v>141.69999999999999</v>
      </c>
      <c r="W2143">
        <v>710</v>
      </c>
      <c r="X2143">
        <v>103</v>
      </c>
      <c r="Y2143">
        <f t="shared" si="33"/>
        <v>710</v>
      </c>
      <c r="Z2143" t="str">
        <f>IF(ISNUMBER(SEARCH("Adjustment",$C2143)),"excluded",IF($H2143="Behind the Meter","excluded",IF(NOT(OR($E2143="Bundled",$E2143="Energy")),"excluded",IF(OR($H2143="Retail Power Marketer",$H2143="Community Choice Aggregator",$E2143="Energy"),"procurement",IF(OR($H2143="Municipal",$H2143="Cooperative",$H2143="Federal",$H2143="State",$H2143="Political Subdivision"),"cost_service",IF($H2143="Investor Owned",IF(AND(COUNTIF(Parameters!$A$4:$A$33,$G2143)&gt;0,COUNTIF(Parameters!$B$4:$B$33,$B2143)=0),"procurement","cost_service"),"unclassified"))))))</f>
        <v>excluded</v>
      </c>
    </row>
    <row r="2144" spans="1:26" x14ac:dyDescent="0.25">
      <c r="A2144">
        <v>2024</v>
      </c>
      <c r="B2144">
        <v>59647</v>
      </c>
      <c r="C2144" t="s">
        <v>1556</v>
      </c>
      <c r="D2144" t="s">
        <v>84</v>
      </c>
      <c r="E2144" t="s">
        <v>85</v>
      </c>
      <c r="F2144" t="s">
        <v>86</v>
      </c>
      <c r="G2144" t="s">
        <v>115</v>
      </c>
      <c r="H2144" t="s">
        <v>1475</v>
      </c>
      <c r="I2144" t="s">
        <v>839</v>
      </c>
      <c r="J2144">
        <v>9545.4</v>
      </c>
      <c r="K2144">
        <v>64793</v>
      </c>
      <c r="L2144">
        <v>8740</v>
      </c>
      <c r="M2144" t="s">
        <v>97</v>
      </c>
      <c r="N2144" t="s">
        <v>97</v>
      </c>
      <c r="O2144" t="s">
        <v>97</v>
      </c>
      <c r="P2144" t="s">
        <v>97</v>
      </c>
      <c r="Q2144" t="s">
        <v>97</v>
      </c>
      <c r="R2144" t="s">
        <v>97</v>
      </c>
      <c r="S2144" t="s">
        <v>97</v>
      </c>
      <c r="T2144" t="s">
        <v>97</v>
      </c>
      <c r="U2144" t="s">
        <v>97</v>
      </c>
      <c r="V2144">
        <v>9545.4</v>
      </c>
      <c r="W2144">
        <v>64793</v>
      </c>
      <c r="X2144">
        <v>8740</v>
      </c>
      <c r="Y2144">
        <f t="shared" si="33"/>
        <v>64793</v>
      </c>
      <c r="Z2144" t="str">
        <f>IF(ISNUMBER(SEARCH("Adjustment",$C2144)),"excluded",IF($H2144="Behind the Meter","excluded",IF(NOT(OR($E2144="Bundled",$E2144="Energy")),"excluded",IF(OR($H2144="Retail Power Marketer",$H2144="Community Choice Aggregator",$E2144="Energy"),"procurement",IF(OR($H2144="Municipal",$H2144="Cooperative",$H2144="Federal",$H2144="State",$H2144="Political Subdivision"),"cost_service",IF($H2144="Investor Owned",IF(AND(COUNTIF(Parameters!$A$4:$A$33,$G2144)&gt;0,COUNTIF(Parameters!$B$4:$B$33,$B2144)=0),"procurement","cost_service"),"unclassified"))))))</f>
        <v>excluded</v>
      </c>
    </row>
    <row r="2145" spans="1:26" x14ac:dyDescent="0.25">
      <c r="A2145">
        <v>2024</v>
      </c>
      <c r="B2145">
        <v>59647</v>
      </c>
      <c r="C2145" t="s">
        <v>1556</v>
      </c>
      <c r="D2145" t="s">
        <v>84</v>
      </c>
      <c r="E2145" t="s">
        <v>85</v>
      </c>
      <c r="F2145" t="s">
        <v>86</v>
      </c>
      <c r="G2145" t="s">
        <v>361</v>
      </c>
      <c r="H2145" t="s">
        <v>1475</v>
      </c>
      <c r="I2145" t="s">
        <v>523</v>
      </c>
      <c r="J2145">
        <v>10439.299999999999</v>
      </c>
      <c r="K2145">
        <v>66152</v>
      </c>
      <c r="L2145">
        <v>8318</v>
      </c>
      <c r="M2145" t="s">
        <v>97</v>
      </c>
      <c r="N2145" t="s">
        <v>97</v>
      </c>
      <c r="O2145" t="s">
        <v>97</v>
      </c>
      <c r="P2145" t="s">
        <v>97</v>
      </c>
      <c r="Q2145" t="s">
        <v>97</v>
      </c>
      <c r="R2145" t="s">
        <v>97</v>
      </c>
      <c r="S2145" t="s">
        <v>97</v>
      </c>
      <c r="T2145" t="s">
        <v>97</v>
      </c>
      <c r="U2145" t="s">
        <v>97</v>
      </c>
      <c r="V2145">
        <v>10439.299999999999</v>
      </c>
      <c r="W2145">
        <v>66152</v>
      </c>
      <c r="X2145">
        <v>8318</v>
      </c>
      <c r="Y2145">
        <f t="shared" si="33"/>
        <v>66152</v>
      </c>
      <c r="Z2145" t="str">
        <f>IF(ISNUMBER(SEARCH("Adjustment",$C2145)),"excluded",IF($H2145="Behind the Meter","excluded",IF(NOT(OR($E2145="Bundled",$E2145="Energy")),"excluded",IF(OR($H2145="Retail Power Marketer",$H2145="Community Choice Aggregator",$E2145="Energy"),"procurement",IF(OR($H2145="Municipal",$H2145="Cooperative",$H2145="Federal",$H2145="State",$H2145="Political Subdivision"),"cost_service",IF($H2145="Investor Owned",IF(AND(COUNTIF(Parameters!$A$4:$A$33,$G2145)&gt;0,COUNTIF(Parameters!$B$4:$B$33,$B2145)=0),"procurement","cost_service"),"unclassified"))))))</f>
        <v>excluded</v>
      </c>
    </row>
    <row r="2146" spans="1:26" x14ac:dyDescent="0.25">
      <c r="A2146">
        <v>2024</v>
      </c>
      <c r="B2146">
        <v>59647</v>
      </c>
      <c r="C2146" t="s">
        <v>1556</v>
      </c>
      <c r="D2146" t="s">
        <v>84</v>
      </c>
      <c r="E2146" t="s">
        <v>85</v>
      </c>
      <c r="F2146" t="s">
        <v>86</v>
      </c>
      <c r="G2146" t="s">
        <v>361</v>
      </c>
      <c r="H2146" t="s">
        <v>1475</v>
      </c>
      <c r="I2146" t="s">
        <v>259</v>
      </c>
      <c r="J2146">
        <v>404.4</v>
      </c>
      <c r="K2146">
        <v>2132</v>
      </c>
      <c r="L2146">
        <v>240</v>
      </c>
      <c r="M2146" t="s">
        <v>97</v>
      </c>
      <c r="N2146" t="s">
        <v>97</v>
      </c>
      <c r="O2146" t="s">
        <v>97</v>
      </c>
      <c r="P2146" t="s">
        <v>97</v>
      </c>
      <c r="Q2146" t="s">
        <v>97</v>
      </c>
      <c r="R2146" t="s">
        <v>97</v>
      </c>
      <c r="S2146" t="s">
        <v>97</v>
      </c>
      <c r="T2146" t="s">
        <v>97</v>
      </c>
      <c r="U2146" t="s">
        <v>97</v>
      </c>
      <c r="V2146">
        <v>404.4</v>
      </c>
      <c r="W2146">
        <v>2132</v>
      </c>
      <c r="X2146">
        <v>240</v>
      </c>
      <c r="Y2146">
        <f t="shared" si="33"/>
        <v>2132</v>
      </c>
      <c r="Z2146" t="str">
        <f>IF(ISNUMBER(SEARCH("Adjustment",$C2146)),"excluded",IF($H2146="Behind the Meter","excluded",IF(NOT(OR($E2146="Bundled",$E2146="Energy")),"excluded",IF(OR($H2146="Retail Power Marketer",$H2146="Community Choice Aggregator",$E2146="Energy"),"procurement",IF(OR($H2146="Municipal",$H2146="Cooperative",$H2146="Federal",$H2146="State",$H2146="Political Subdivision"),"cost_service",IF($H2146="Investor Owned",IF(AND(COUNTIF(Parameters!$A$4:$A$33,$G2146)&gt;0,COUNTIF(Parameters!$B$4:$B$33,$B2146)=0),"procurement","cost_service"),"unclassified"))))))</f>
        <v>excluded</v>
      </c>
    </row>
    <row r="2147" spans="1:26" x14ac:dyDescent="0.25">
      <c r="A2147">
        <v>2024</v>
      </c>
      <c r="B2147">
        <v>59647</v>
      </c>
      <c r="C2147" t="s">
        <v>1556</v>
      </c>
      <c r="D2147" t="s">
        <v>84</v>
      </c>
      <c r="E2147" t="s">
        <v>85</v>
      </c>
      <c r="F2147" t="s">
        <v>86</v>
      </c>
      <c r="G2147" t="s">
        <v>40</v>
      </c>
      <c r="H2147" t="s">
        <v>1475</v>
      </c>
      <c r="I2147" t="s">
        <v>189</v>
      </c>
      <c r="J2147">
        <v>32238.9</v>
      </c>
      <c r="K2147">
        <v>132356</v>
      </c>
      <c r="L2147">
        <v>17293</v>
      </c>
      <c r="M2147" t="s">
        <v>97</v>
      </c>
      <c r="N2147" t="s">
        <v>97</v>
      </c>
      <c r="O2147" t="s">
        <v>97</v>
      </c>
      <c r="P2147" t="s">
        <v>97</v>
      </c>
      <c r="Q2147" t="s">
        <v>97</v>
      </c>
      <c r="R2147" t="s">
        <v>97</v>
      </c>
      <c r="S2147" t="s">
        <v>97</v>
      </c>
      <c r="T2147" t="s">
        <v>97</v>
      </c>
      <c r="U2147" t="s">
        <v>97</v>
      </c>
      <c r="V2147">
        <v>32238.9</v>
      </c>
      <c r="W2147">
        <v>132356</v>
      </c>
      <c r="X2147">
        <v>17293</v>
      </c>
      <c r="Y2147">
        <f t="shared" si="33"/>
        <v>132356</v>
      </c>
      <c r="Z2147" t="str">
        <f>IF(ISNUMBER(SEARCH("Adjustment",$C2147)),"excluded",IF($H2147="Behind the Meter","excluded",IF(NOT(OR($E2147="Bundled",$E2147="Energy")),"excluded",IF(OR($H2147="Retail Power Marketer",$H2147="Community Choice Aggregator",$E2147="Energy"),"procurement",IF(OR($H2147="Municipal",$H2147="Cooperative",$H2147="Federal",$H2147="State",$H2147="Political Subdivision"),"cost_service",IF($H2147="Investor Owned",IF(AND(COUNTIF(Parameters!$A$4:$A$33,$G2147)&gt;0,COUNTIF(Parameters!$B$4:$B$33,$B2147)=0),"procurement","cost_service"),"unclassified"))))))</f>
        <v>excluded</v>
      </c>
    </row>
    <row r="2148" spans="1:26" x14ac:dyDescent="0.25">
      <c r="A2148">
        <v>2024</v>
      </c>
      <c r="B2148">
        <v>59647</v>
      </c>
      <c r="C2148" t="s">
        <v>1556</v>
      </c>
      <c r="D2148" t="s">
        <v>84</v>
      </c>
      <c r="E2148" t="s">
        <v>85</v>
      </c>
      <c r="F2148" t="s">
        <v>86</v>
      </c>
      <c r="G2148" t="s">
        <v>42</v>
      </c>
      <c r="H2148" t="s">
        <v>1475</v>
      </c>
      <c r="I2148" t="s">
        <v>92</v>
      </c>
      <c r="J2148">
        <v>39.4</v>
      </c>
      <c r="K2148">
        <v>304</v>
      </c>
      <c r="L2148">
        <v>52</v>
      </c>
      <c r="M2148" t="s">
        <v>97</v>
      </c>
      <c r="N2148" t="s">
        <v>97</v>
      </c>
      <c r="O2148" t="s">
        <v>97</v>
      </c>
      <c r="P2148" t="s">
        <v>97</v>
      </c>
      <c r="Q2148" t="s">
        <v>97</v>
      </c>
      <c r="R2148" t="s">
        <v>97</v>
      </c>
      <c r="S2148" t="s">
        <v>97</v>
      </c>
      <c r="T2148" t="s">
        <v>97</v>
      </c>
      <c r="U2148" t="s">
        <v>97</v>
      </c>
      <c r="V2148">
        <v>39.4</v>
      </c>
      <c r="W2148">
        <v>304</v>
      </c>
      <c r="X2148">
        <v>52</v>
      </c>
      <c r="Y2148">
        <f t="shared" si="33"/>
        <v>304</v>
      </c>
      <c r="Z2148" t="str">
        <f>IF(ISNUMBER(SEARCH("Adjustment",$C2148)),"excluded",IF($H2148="Behind the Meter","excluded",IF(NOT(OR($E2148="Bundled",$E2148="Energy")),"excluded",IF(OR($H2148="Retail Power Marketer",$H2148="Community Choice Aggregator",$E2148="Energy"),"procurement",IF(OR($H2148="Municipal",$H2148="Cooperative",$H2148="Federal",$H2148="State",$H2148="Political Subdivision"),"cost_service",IF($H2148="Investor Owned",IF(AND(COUNTIF(Parameters!$A$4:$A$33,$G2148)&gt;0,COUNTIF(Parameters!$B$4:$B$33,$B2148)=0),"procurement","cost_service"),"unclassified"))))))</f>
        <v>excluded</v>
      </c>
    </row>
    <row r="2149" spans="1:26" x14ac:dyDescent="0.25">
      <c r="A2149">
        <v>2024</v>
      </c>
      <c r="B2149">
        <v>59647</v>
      </c>
      <c r="C2149" t="s">
        <v>1556</v>
      </c>
      <c r="D2149" t="s">
        <v>84</v>
      </c>
      <c r="E2149" t="s">
        <v>85</v>
      </c>
      <c r="F2149" t="s">
        <v>86</v>
      </c>
      <c r="G2149" t="s">
        <v>44</v>
      </c>
      <c r="H2149" t="s">
        <v>1475</v>
      </c>
      <c r="I2149" t="s">
        <v>92</v>
      </c>
      <c r="J2149">
        <v>377.2</v>
      </c>
      <c r="K2149">
        <v>2906</v>
      </c>
      <c r="L2149">
        <v>390</v>
      </c>
      <c r="M2149" t="s">
        <v>97</v>
      </c>
      <c r="N2149" t="s">
        <v>97</v>
      </c>
      <c r="O2149" t="s">
        <v>97</v>
      </c>
      <c r="P2149" t="s">
        <v>97</v>
      </c>
      <c r="Q2149" t="s">
        <v>97</v>
      </c>
      <c r="R2149" t="s">
        <v>97</v>
      </c>
      <c r="S2149" t="s">
        <v>97</v>
      </c>
      <c r="T2149" t="s">
        <v>97</v>
      </c>
      <c r="U2149" t="s">
        <v>97</v>
      </c>
      <c r="V2149">
        <v>377.2</v>
      </c>
      <c r="W2149">
        <v>2906</v>
      </c>
      <c r="X2149">
        <v>390</v>
      </c>
      <c r="Y2149">
        <f t="shared" si="33"/>
        <v>2906</v>
      </c>
      <c r="Z2149" t="str">
        <f>IF(ISNUMBER(SEARCH("Adjustment",$C2149)),"excluded",IF($H2149="Behind the Meter","excluded",IF(NOT(OR($E2149="Bundled",$E2149="Energy")),"excluded",IF(OR($H2149="Retail Power Marketer",$H2149="Community Choice Aggregator",$E2149="Energy"),"procurement",IF(OR($H2149="Municipal",$H2149="Cooperative",$H2149="Federal",$H2149="State",$H2149="Political Subdivision"),"cost_service",IF($H2149="Investor Owned",IF(AND(COUNTIF(Parameters!$A$4:$A$33,$G2149)&gt;0,COUNTIF(Parameters!$B$4:$B$33,$B2149)=0),"procurement","cost_service"),"unclassified"))))))</f>
        <v>excluded</v>
      </c>
    </row>
    <row r="2150" spans="1:26" x14ac:dyDescent="0.25">
      <c r="A2150">
        <v>2024</v>
      </c>
      <c r="B2150">
        <v>59647</v>
      </c>
      <c r="C2150" t="s">
        <v>1556</v>
      </c>
      <c r="D2150" t="s">
        <v>84</v>
      </c>
      <c r="E2150" t="s">
        <v>85</v>
      </c>
      <c r="F2150" t="s">
        <v>86</v>
      </c>
      <c r="G2150" t="s">
        <v>195</v>
      </c>
      <c r="H2150" t="s">
        <v>1475</v>
      </c>
      <c r="I2150" t="s">
        <v>514</v>
      </c>
      <c r="J2150">
        <v>2221</v>
      </c>
      <c r="K2150">
        <v>17189</v>
      </c>
      <c r="L2150">
        <v>1513</v>
      </c>
      <c r="M2150" t="s">
        <v>97</v>
      </c>
      <c r="N2150" t="s">
        <v>97</v>
      </c>
      <c r="O2150" t="s">
        <v>97</v>
      </c>
      <c r="P2150" t="s">
        <v>97</v>
      </c>
      <c r="Q2150" t="s">
        <v>97</v>
      </c>
      <c r="R2150" t="s">
        <v>97</v>
      </c>
      <c r="S2150" t="s">
        <v>97</v>
      </c>
      <c r="T2150" t="s">
        <v>97</v>
      </c>
      <c r="U2150" t="s">
        <v>97</v>
      </c>
      <c r="V2150">
        <v>2221</v>
      </c>
      <c r="W2150">
        <v>17189</v>
      </c>
      <c r="X2150">
        <v>1513</v>
      </c>
      <c r="Y2150">
        <f t="shared" si="33"/>
        <v>17189</v>
      </c>
      <c r="Z2150" t="str">
        <f>IF(ISNUMBER(SEARCH("Adjustment",$C2150)),"excluded",IF($H2150="Behind the Meter","excluded",IF(NOT(OR($E2150="Bundled",$E2150="Energy")),"excluded",IF(OR($H2150="Retail Power Marketer",$H2150="Community Choice Aggregator",$E2150="Energy"),"procurement",IF(OR($H2150="Municipal",$H2150="Cooperative",$H2150="Federal",$H2150="State",$H2150="Political Subdivision"),"cost_service",IF($H2150="Investor Owned",IF(AND(COUNTIF(Parameters!$A$4:$A$33,$G2150)&gt;0,COUNTIF(Parameters!$B$4:$B$33,$B2150)=0),"procurement","cost_service"),"unclassified"))))))</f>
        <v>excluded</v>
      </c>
    </row>
    <row r="2151" spans="1:26" x14ac:dyDescent="0.25">
      <c r="A2151">
        <v>2024</v>
      </c>
      <c r="B2151">
        <v>59647</v>
      </c>
      <c r="C2151" t="s">
        <v>1556</v>
      </c>
      <c r="D2151" t="s">
        <v>84</v>
      </c>
      <c r="E2151" t="s">
        <v>85</v>
      </c>
      <c r="F2151" t="s">
        <v>86</v>
      </c>
      <c r="G2151" t="s">
        <v>195</v>
      </c>
      <c r="H2151" t="s">
        <v>1475</v>
      </c>
      <c r="I2151" t="s">
        <v>196</v>
      </c>
      <c r="J2151">
        <v>24317.3</v>
      </c>
      <c r="K2151">
        <v>137097</v>
      </c>
      <c r="L2151">
        <v>10651</v>
      </c>
      <c r="M2151" t="s">
        <v>97</v>
      </c>
      <c r="N2151" t="s">
        <v>97</v>
      </c>
      <c r="O2151" t="s">
        <v>97</v>
      </c>
      <c r="P2151" t="s">
        <v>97</v>
      </c>
      <c r="Q2151" t="s">
        <v>97</v>
      </c>
      <c r="R2151" t="s">
        <v>97</v>
      </c>
      <c r="S2151" t="s">
        <v>97</v>
      </c>
      <c r="T2151" t="s">
        <v>97</v>
      </c>
      <c r="U2151" t="s">
        <v>97</v>
      </c>
      <c r="V2151">
        <v>24317.3</v>
      </c>
      <c r="W2151">
        <v>137097</v>
      </c>
      <c r="X2151">
        <v>10651</v>
      </c>
      <c r="Y2151">
        <f t="shared" si="33"/>
        <v>137097</v>
      </c>
      <c r="Z2151" t="str">
        <f>IF(ISNUMBER(SEARCH("Adjustment",$C2151)),"excluded",IF($H2151="Behind the Meter","excluded",IF(NOT(OR($E2151="Bundled",$E2151="Energy")),"excluded",IF(OR($H2151="Retail Power Marketer",$H2151="Community Choice Aggregator",$E2151="Energy"),"procurement",IF(OR($H2151="Municipal",$H2151="Cooperative",$H2151="Federal",$H2151="State",$H2151="Political Subdivision"),"cost_service",IF($H2151="Investor Owned",IF(AND(COUNTIF(Parameters!$A$4:$A$33,$G2151)&gt;0,COUNTIF(Parameters!$B$4:$B$33,$B2151)=0),"procurement","cost_service"),"unclassified"))))))</f>
        <v>excluded</v>
      </c>
    </row>
    <row r="2152" spans="1:26" x14ac:dyDescent="0.25">
      <c r="A2152">
        <v>2024</v>
      </c>
      <c r="B2152">
        <v>59647</v>
      </c>
      <c r="C2152" t="s">
        <v>1556</v>
      </c>
      <c r="D2152" t="s">
        <v>84</v>
      </c>
      <c r="E2152" t="s">
        <v>85</v>
      </c>
      <c r="F2152" t="s">
        <v>86</v>
      </c>
      <c r="G2152" t="s">
        <v>195</v>
      </c>
      <c r="H2152" t="s">
        <v>1475</v>
      </c>
      <c r="I2152" t="s">
        <v>1210</v>
      </c>
      <c r="J2152">
        <v>5259.9</v>
      </c>
      <c r="K2152">
        <v>31175</v>
      </c>
      <c r="L2152">
        <v>2233</v>
      </c>
      <c r="M2152" t="s">
        <v>97</v>
      </c>
      <c r="N2152" t="s">
        <v>97</v>
      </c>
      <c r="O2152" t="s">
        <v>97</v>
      </c>
      <c r="P2152" t="s">
        <v>97</v>
      </c>
      <c r="Q2152" t="s">
        <v>97</v>
      </c>
      <c r="R2152" t="s">
        <v>97</v>
      </c>
      <c r="S2152" t="s">
        <v>97</v>
      </c>
      <c r="T2152" t="s">
        <v>97</v>
      </c>
      <c r="U2152" t="s">
        <v>97</v>
      </c>
      <c r="V2152">
        <v>5259.9</v>
      </c>
      <c r="W2152">
        <v>31175</v>
      </c>
      <c r="X2152">
        <v>2233</v>
      </c>
      <c r="Y2152">
        <f t="shared" si="33"/>
        <v>31175</v>
      </c>
      <c r="Z2152" t="str">
        <f>IF(ISNUMBER(SEARCH("Adjustment",$C2152)),"excluded",IF($H2152="Behind the Meter","excluded",IF(NOT(OR($E2152="Bundled",$E2152="Energy")),"excluded",IF(OR($H2152="Retail Power Marketer",$H2152="Community Choice Aggregator",$E2152="Energy"),"procurement",IF(OR($H2152="Municipal",$H2152="Cooperative",$H2152="Federal",$H2152="State",$H2152="Political Subdivision"),"cost_service",IF($H2152="Investor Owned",IF(AND(COUNTIF(Parameters!$A$4:$A$33,$G2152)&gt;0,COUNTIF(Parameters!$B$4:$B$33,$B2152)=0),"procurement","cost_service"),"unclassified"))))))</f>
        <v>excluded</v>
      </c>
    </row>
    <row r="2153" spans="1:26" x14ac:dyDescent="0.25">
      <c r="A2153">
        <v>2024</v>
      </c>
      <c r="B2153">
        <v>59647</v>
      </c>
      <c r="C2153" t="s">
        <v>1556</v>
      </c>
      <c r="D2153" t="s">
        <v>84</v>
      </c>
      <c r="E2153" t="s">
        <v>85</v>
      </c>
      <c r="F2153" t="s">
        <v>86</v>
      </c>
      <c r="G2153" t="s">
        <v>605</v>
      </c>
      <c r="H2153" t="s">
        <v>1475</v>
      </c>
      <c r="I2153" t="s">
        <v>1271</v>
      </c>
      <c r="J2153">
        <v>35719.9</v>
      </c>
      <c r="K2153">
        <v>126034</v>
      </c>
      <c r="L2153">
        <v>15122</v>
      </c>
      <c r="M2153" t="s">
        <v>97</v>
      </c>
      <c r="N2153" t="s">
        <v>97</v>
      </c>
      <c r="O2153" t="s">
        <v>97</v>
      </c>
      <c r="P2153" t="s">
        <v>97</v>
      </c>
      <c r="Q2153" t="s">
        <v>97</v>
      </c>
      <c r="R2153" t="s">
        <v>97</v>
      </c>
      <c r="S2153" t="s">
        <v>97</v>
      </c>
      <c r="T2153" t="s">
        <v>97</v>
      </c>
      <c r="U2153" t="s">
        <v>97</v>
      </c>
      <c r="V2153">
        <v>35719.9</v>
      </c>
      <c r="W2153">
        <v>126034</v>
      </c>
      <c r="X2153">
        <v>15122</v>
      </c>
      <c r="Y2153">
        <f t="shared" si="33"/>
        <v>126034</v>
      </c>
      <c r="Z2153" t="str">
        <f>IF(ISNUMBER(SEARCH("Adjustment",$C2153)),"excluded",IF($H2153="Behind the Meter","excluded",IF(NOT(OR($E2153="Bundled",$E2153="Energy")),"excluded",IF(OR($H2153="Retail Power Marketer",$H2153="Community Choice Aggregator",$E2153="Energy"),"procurement",IF(OR($H2153="Municipal",$H2153="Cooperative",$H2153="Federal",$H2153="State",$H2153="Political Subdivision"),"cost_service",IF($H2153="Investor Owned",IF(AND(COUNTIF(Parameters!$A$4:$A$33,$G2153)&gt;0,COUNTIF(Parameters!$B$4:$B$33,$B2153)=0),"procurement","cost_service"),"unclassified"))))))</f>
        <v>excluded</v>
      </c>
    </row>
    <row r="2154" spans="1:26" x14ac:dyDescent="0.25">
      <c r="A2154">
        <v>2024</v>
      </c>
      <c r="B2154">
        <v>59647</v>
      </c>
      <c r="C2154" t="s">
        <v>1556</v>
      </c>
      <c r="D2154" t="s">
        <v>84</v>
      </c>
      <c r="E2154" t="s">
        <v>85</v>
      </c>
      <c r="F2154" t="s">
        <v>86</v>
      </c>
      <c r="G2154" t="s">
        <v>46</v>
      </c>
      <c r="H2154" t="s">
        <v>1475</v>
      </c>
      <c r="I2154" t="s">
        <v>92</v>
      </c>
      <c r="J2154">
        <v>40319.699999999997</v>
      </c>
      <c r="K2154">
        <v>267794</v>
      </c>
      <c r="L2154">
        <v>31729</v>
      </c>
      <c r="M2154" t="s">
        <v>97</v>
      </c>
      <c r="N2154" t="s">
        <v>97</v>
      </c>
      <c r="O2154" t="s">
        <v>97</v>
      </c>
      <c r="P2154" t="s">
        <v>97</v>
      </c>
      <c r="Q2154" t="s">
        <v>97</v>
      </c>
      <c r="R2154" t="s">
        <v>97</v>
      </c>
      <c r="S2154" t="s">
        <v>97</v>
      </c>
      <c r="T2154" t="s">
        <v>97</v>
      </c>
      <c r="U2154" t="s">
        <v>97</v>
      </c>
      <c r="V2154">
        <v>40319.699999999997</v>
      </c>
      <c r="W2154">
        <v>267794</v>
      </c>
      <c r="X2154">
        <v>31729</v>
      </c>
      <c r="Y2154">
        <f t="shared" si="33"/>
        <v>267794</v>
      </c>
      <c r="Z2154" t="str">
        <f>IF(ISNUMBER(SEARCH("Adjustment",$C2154)),"excluded",IF($H2154="Behind the Meter","excluded",IF(NOT(OR($E2154="Bundled",$E2154="Energy")),"excluded",IF(OR($H2154="Retail Power Marketer",$H2154="Community Choice Aggregator",$E2154="Energy"),"procurement",IF(OR($H2154="Municipal",$H2154="Cooperative",$H2154="Federal",$H2154="State",$H2154="Political Subdivision"),"cost_service",IF($H2154="Investor Owned",IF(AND(COUNTIF(Parameters!$A$4:$A$33,$G2154)&gt;0,COUNTIF(Parameters!$B$4:$B$33,$B2154)=0),"procurement","cost_service"),"unclassified"))))))</f>
        <v>excluded</v>
      </c>
    </row>
    <row r="2155" spans="1:26" x14ac:dyDescent="0.25">
      <c r="A2155">
        <v>2024</v>
      </c>
      <c r="B2155">
        <v>59647</v>
      </c>
      <c r="C2155" t="s">
        <v>1556</v>
      </c>
      <c r="D2155" t="s">
        <v>84</v>
      </c>
      <c r="E2155" t="s">
        <v>85</v>
      </c>
      <c r="F2155" t="s">
        <v>86</v>
      </c>
      <c r="G2155" t="s">
        <v>48</v>
      </c>
      <c r="H2155" t="s">
        <v>1475</v>
      </c>
      <c r="I2155" t="s">
        <v>189</v>
      </c>
      <c r="J2155">
        <v>101533.8</v>
      </c>
      <c r="K2155">
        <v>412397</v>
      </c>
      <c r="L2155">
        <v>57153</v>
      </c>
      <c r="M2155" t="s">
        <v>97</v>
      </c>
      <c r="N2155" t="s">
        <v>97</v>
      </c>
      <c r="O2155" t="s">
        <v>97</v>
      </c>
      <c r="P2155" t="s">
        <v>97</v>
      </c>
      <c r="Q2155" t="s">
        <v>97</v>
      </c>
      <c r="R2155" t="s">
        <v>97</v>
      </c>
      <c r="S2155" t="s">
        <v>97</v>
      </c>
      <c r="T2155" t="s">
        <v>97</v>
      </c>
      <c r="U2155" t="s">
        <v>97</v>
      </c>
      <c r="V2155">
        <v>101533.8</v>
      </c>
      <c r="W2155">
        <v>412397</v>
      </c>
      <c r="X2155">
        <v>57153</v>
      </c>
      <c r="Y2155">
        <f t="shared" si="33"/>
        <v>412397</v>
      </c>
      <c r="Z2155" t="str">
        <f>IF(ISNUMBER(SEARCH("Adjustment",$C2155)),"excluded",IF($H2155="Behind the Meter","excluded",IF(NOT(OR($E2155="Bundled",$E2155="Energy")),"excluded",IF(OR($H2155="Retail Power Marketer",$H2155="Community Choice Aggregator",$E2155="Energy"),"procurement",IF(OR($H2155="Municipal",$H2155="Cooperative",$H2155="Federal",$H2155="State",$H2155="Political Subdivision"),"cost_service",IF($H2155="Investor Owned",IF(AND(COUNTIF(Parameters!$A$4:$A$33,$G2155)&gt;0,COUNTIF(Parameters!$B$4:$B$33,$B2155)=0),"procurement","cost_service"),"unclassified"))))))</f>
        <v>excluded</v>
      </c>
    </row>
    <row r="2156" spans="1:26" x14ac:dyDescent="0.25">
      <c r="A2156">
        <v>2024</v>
      </c>
      <c r="B2156">
        <v>59647</v>
      </c>
      <c r="C2156" t="s">
        <v>1556</v>
      </c>
      <c r="D2156" t="s">
        <v>84</v>
      </c>
      <c r="E2156" t="s">
        <v>85</v>
      </c>
      <c r="F2156" t="s">
        <v>86</v>
      </c>
      <c r="G2156" t="s">
        <v>49</v>
      </c>
      <c r="H2156" t="s">
        <v>1475</v>
      </c>
      <c r="I2156" t="s">
        <v>92</v>
      </c>
      <c r="J2156">
        <v>32025</v>
      </c>
      <c r="K2156">
        <v>225806</v>
      </c>
      <c r="L2156">
        <v>25231</v>
      </c>
      <c r="M2156" t="s">
        <v>97</v>
      </c>
      <c r="N2156" t="s">
        <v>97</v>
      </c>
      <c r="O2156" t="s">
        <v>97</v>
      </c>
      <c r="P2156" t="s">
        <v>97</v>
      </c>
      <c r="Q2156" t="s">
        <v>97</v>
      </c>
      <c r="R2156" t="s">
        <v>97</v>
      </c>
      <c r="S2156" t="s">
        <v>97</v>
      </c>
      <c r="T2156" t="s">
        <v>97</v>
      </c>
      <c r="U2156" t="s">
        <v>97</v>
      </c>
      <c r="V2156">
        <v>32025</v>
      </c>
      <c r="W2156">
        <v>225806</v>
      </c>
      <c r="X2156">
        <v>25231</v>
      </c>
      <c r="Y2156">
        <f t="shared" si="33"/>
        <v>225806</v>
      </c>
      <c r="Z2156" t="str">
        <f>IF(ISNUMBER(SEARCH("Adjustment",$C2156)),"excluded",IF($H2156="Behind the Meter","excluded",IF(NOT(OR($E2156="Bundled",$E2156="Energy")),"excluded",IF(OR($H2156="Retail Power Marketer",$H2156="Community Choice Aggregator",$E2156="Energy"),"procurement",IF(OR($H2156="Municipal",$H2156="Cooperative",$H2156="Federal",$H2156="State",$H2156="Political Subdivision"),"cost_service",IF($H2156="Investor Owned",IF(AND(COUNTIF(Parameters!$A$4:$A$33,$G2156)&gt;0,COUNTIF(Parameters!$B$4:$B$33,$B2156)=0),"procurement","cost_service"),"unclassified"))))))</f>
        <v>excluded</v>
      </c>
    </row>
    <row r="2157" spans="1:26" x14ac:dyDescent="0.25">
      <c r="A2157">
        <v>2024</v>
      </c>
      <c r="B2157">
        <v>59647</v>
      </c>
      <c r="C2157" t="s">
        <v>1556</v>
      </c>
      <c r="D2157" t="s">
        <v>84</v>
      </c>
      <c r="E2157" t="s">
        <v>85</v>
      </c>
      <c r="F2157" t="s">
        <v>86</v>
      </c>
      <c r="G2157" t="s">
        <v>51</v>
      </c>
      <c r="H2157" t="s">
        <v>1475</v>
      </c>
      <c r="I2157" t="s">
        <v>189</v>
      </c>
      <c r="J2157">
        <v>8847</v>
      </c>
      <c r="K2157">
        <v>31864</v>
      </c>
      <c r="L2157">
        <v>3634</v>
      </c>
      <c r="M2157" t="s">
        <v>97</v>
      </c>
      <c r="N2157" t="s">
        <v>97</v>
      </c>
      <c r="O2157" t="s">
        <v>97</v>
      </c>
      <c r="P2157" t="s">
        <v>97</v>
      </c>
      <c r="Q2157" t="s">
        <v>97</v>
      </c>
      <c r="R2157" t="s">
        <v>97</v>
      </c>
      <c r="S2157" t="s">
        <v>97</v>
      </c>
      <c r="T2157" t="s">
        <v>97</v>
      </c>
      <c r="U2157" t="s">
        <v>97</v>
      </c>
      <c r="V2157">
        <v>8847</v>
      </c>
      <c r="W2157">
        <v>31864</v>
      </c>
      <c r="X2157">
        <v>3634</v>
      </c>
      <c r="Y2157">
        <f t="shared" si="33"/>
        <v>31864</v>
      </c>
      <c r="Z2157" t="str">
        <f>IF(ISNUMBER(SEARCH("Adjustment",$C2157)),"excluded",IF($H2157="Behind the Meter","excluded",IF(NOT(OR($E2157="Bundled",$E2157="Energy")),"excluded",IF(OR($H2157="Retail Power Marketer",$H2157="Community Choice Aggregator",$E2157="Energy"),"procurement",IF(OR($H2157="Municipal",$H2157="Cooperative",$H2157="Federal",$H2157="State",$H2157="Political Subdivision"),"cost_service",IF($H2157="Investor Owned",IF(AND(COUNTIF(Parameters!$A$4:$A$33,$G2157)&gt;0,COUNTIF(Parameters!$B$4:$B$33,$B2157)=0),"procurement","cost_service"),"unclassified"))))))</f>
        <v>excluded</v>
      </c>
    </row>
    <row r="2158" spans="1:26" x14ac:dyDescent="0.25">
      <c r="A2158">
        <v>2024</v>
      </c>
      <c r="B2158">
        <v>59647</v>
      </c>
      <c r="C2158" t="s">
        <v>1556</v>
      </c>
      <c r="D2158" t="s">
        <v>84</v>
      </c>
      <c r="E2158" t="s">
        <v>85</v>
      </c>
      <c r="F2158" t="s">
        <v>86</v>
      </c>
      <c r="G2158" t="s">
        <v>52</v>
      </c>
      <c r="H2158" t="s">
        <v>1475</v>
      </c>
      <c r="I2158" t="s">
        <v>92</v>
      </c>
      <c r="J2158">
        <v>61295.8</v>
      </c>
      <c r="K2158">
        <v>339127</v>
      </c>
      <c r="L2158">
        <v>45019</v>
      </c>
      <c r="M2158" t="s">
        <v>97</v>
      </c>
      <c r="N2158" t="s">
        <v>97</v>
      </c>
      <c r="O2158" t="s">
        <v>97</v>
      </c>
      <c r="P2158" t="s">
        <v>97</v>
      </c>
      <c r="Q2158" t="s">
        <v>97</v>
      </c>
      <c r="R2158" t="s">
        <v>97</v>
      </c>
      <c r="S2158" t="s">
        <v>97</v>
      </c>
      <c r="T2158" t="s">
        <v>97</v>
      </c>
      <c r="U2158" t="s">
        <v>97</v>
      </c>
      <c r="V2158">
        <v>61295.8</v>
      </c>
      <c r="W2158">
        <v>339127</v>
      </c>
      <c r="X2158">
        <v>45019</v>
      </c>
      <c r="Y2158">
        <f t="shared" si="33"/>
        <v>339127</v>
      </c>
      <c r="Z2158" t="str">
        <f>IF(ISNUMBER(SEARCH("Adjustment",$C2158)),"excluded",IF($H2158="Behind the Meter","excluded",IF(NOT(OR($E2158="Bundled",$E2158="Energy")),"excluded",IF(OR($H2158="Retail Power Marketer",$H2158="Community Choice Aggregator",$E2158="Energy"),"procurement",IF(OR($H2158="Municipal",$H2158="Cooperative",$H2158="Federal",$H2158="State",$H2158="Political Subdivision"),"cost_service",IF($H2158="Investor Owned",IF(AND(COUNTIF(Parameters!$A$4:$A$33,$G2158)&gt;0,COUNTIF(Parameters!$B$4:$B$33,$B2158)=0),"procurement","cost_service"),"unclassified"))))))</f>
        <v>excluded</v>
      </c>
    </row>
    <row r="2159" spans="1:26" x14ac:dyDescent="0.25">
      <c r="A2159">
        <v>2024</v>
      </c>
      <c r="B2159">
        <v>59647</v>
      </c>
      <c r="C2159" t="s">
        <v>1556</v>
      </c>
      <c r="D2159" t="s">
        <v>84</v>
      </c>
      <c r="E2159" t="s">
        <v>85</v>
      </c>
      <c r="F2159" t="s">
        <v>86</v>
      </c>
      <c r="G2159" t="s">
        <v>308</v>
      </c>
      <c r="H2159" t="s">
        <v>1475</v>
      </c>
      <c r="I2159" t="s">
        <v>309</v>
      </c>
      <c r="J2159">
        <v>4126</v>
      </c>
      <c r="K2159">
        <v>30355</v>
      </c>
      <c r="L2159">
        <v>3320</v>
      </c>
      <c r="M2159" t="s">
        <v>97</v>
      </c>
      <c r="N2159" t="s">
        <v>97</v>
      </c>
      <c r="O2159" t="s">
        <v>97</v>
      </c>
      <c r="P2159" t="s">
        <v>97</v>
      </c>
      <c r="Q2159" t="s">
        <v>97</v>
      </c>
      <c r="R2159" t="s">
        <v>97</v>
      </c>
      <c r="S2159" t="s">
        <v>97</v>
      </c>
      <c r="T2159" t="s">
        <v>97</v>
      </c>
      <c r="U2159" t="s">
        <v>97</v>
      </c>
      <c r="V2159">
        <v>4126</v>
      </c>
      <c r="W2159">
        <v>30355</v>
      </c>
      <c r="X2159">
        <v>3320</v>
      </c>
      <c r="Y2159">
        <f t="shared" si="33"/>
        <v>30355</v>
      </c>
      <c r="Z2159" t="str">
        <f>IF(ISNUMBER(SEARCH("Adjustment",$C2159)),"excluded",IF($H2159="Behind the Meter","excluded",IF(NOT(OR($E2159="Bundled",$E2159="Energy")),"excluded",IF(OR($H2159="Retail Power Marketer",$H2159="Community Choice Aggregator",$E2159="Energy"),"procurement",IF(OR($H2159="Municipal",$H2159="Cooperative",$H2159="Federal",$H2159="State",$H2159="Political Subdivision"),"cost_service",IF($H2159="Investor Owned",IF(AND(COUNTIF(Parameters!$A$4:$A$33,$G2159)&gt;0,COUNTIF(Parameters!$B$4:$B$33,$B2159)=0),"procurement","cost_service"),"unclassified"))))))</f>
        <v>excluded</v>
      </c>
    </row>
    <row r="2160" spans="1:26" x14ac:dyDescent="0.25">
      <c r="A2160">
        <v>2024</v>
      </c>
      <c r="B2160">
        <v>59647</v>
      </c>
      <c r="C2160" t="s">
        <v>1556</v>
      </c>
      <c r="D2160" t="s">
        <v>84</v>
      </c>
      <c r="E2160" t="s">
        <v>85</v>
      </c>
      <c r="F2160" t="s">
        <v>86</v>
      </c>
      <c r="G2160" t="s">
        <v>242</v>
      </c>
      <c r="H2160" t="s">
        <v>1475</v>
      </c>
      <c r="I2160" t="s">
        <v>390</v>
      </c>
      <c r="J2160">
        <v>38747.4</v>
      </c>
      <c r="K2160">
        <v>267852</v>
      </c>
      <c r="L2160">
        <v>22307</v>
      </c>
      <c r="M2160" t="s">
        <v>97</v>
      </c>
      <c r="N2160" t="s">
        <v>97</v>
      </c>
      <c r="O2160" t="s">
        <v>97</v>
      </c>
      <c r="P2160" t="s">
        <v>97</v>
      </c>
      <c r="Q2160" t="s">
        <v>97</v>
      </c>
      <c r="R2160" t="s">
        <v>97</v>
      </c>
      <c r="S2160" t="s">
        <v>97</v>
      </c>
      <c r="T2160" t="s">
        <v>97</v>
      </c>
      <c r="U2160" t="s">
        <v>97</v>
      </c>
      <c r="V2160">
        <v>38747.4</v>
      </c>
      <c r="W2160">
        <v>267852</v>
      </c>
      <c r="X2160">
        <v>22307</v>
      </c>
      <c r="Y2160">
        <f t="shared" si="33"/>
        <v>267852</v>
      </c>
      <c r="Z2160" t="str">
        <f>IF(ISNUMBER(SEARCH("Adjustment",$C2160)),"excluded",IF($H2160="Behind the Meter","excluded",IF(NOT(OR($E2160="Bundled",$E2160="Energy")),"excluded",IF(OR($H2160="Retail Power Marketer",$H2160="Community Choice Aggregator",$E2160="Energy"),"procurement",IF(OR($H2160="Municipal",$H2160="Cooperative",$H2160="Federal",$H2160="State",$H2160="Political Subdivision"),"cost_service",IF($H2160="Investor Owned",IF(AND(COUNTIF(Parameters!$A$4:$A$33,$G2160)&gt;0,COUNTIF(Parameters!$B$4:$B$33,$B2160)=0),"procurement","cost_service"),"unclassified"))))))</f>
        <v>excluded</v>
      </c>
    </row>
    <row r="2161" spans="1:26" x14ac:dyDescent="0.25">
      <c r="A2161">
        <v>2024</v>
      </c>
      <c r="B2161">
        <v>59647</v>
      </c>
      <c r="C2161" t="s">
        <v>1556</v>
      </c>
      <c r="D2161" t="s">
        <v>84</v>
      </c>
      <c r="E2161" t="s">
        <v>85</v>
      </c>
      <c r="F2161" t="s">
        <v>86</v>
      </c>
      <c r="G2161" t="s">
        <v>53</v>
      </c>
      <c r="H2161" t="s">
        <v>1475</v>
      </c>
      <c r="I2161" t="s">
        <v>102</v>
      </c>
      <c r="J2161">
        <v>60050.400000000001</v>
      </c>
      <c r="K2161">
        <v>271108</v>
      </c>
      <c r="L2161">
        <v>38886</v>
      </c>
      <c r="M2161" t="s">
        <v>97</v>
      </c>
      <c r="N2161" t="s">
        <v>97</v>
      </c>
      <c r="O2161" t="s">
        <v>97</v>
      </c>
      <c r="P2161" t="s">
        <v>97</v>
      </c>
      <c r="Q2161" t="s">
        <v>97</v>
      </c>
      <c r="R2161" t="s">
        <v>97</v>
      </c>
      <c r="S2161" t="s">
        <v>97</v>
      </c>
      <c r="T2161" t="s">
        <v>97</v>
      </c>
      <c r="U2161" t="s">
        <v>97</v>
      </c>
      <c r="V2161">
        <v>60050.400000000001</v>
      </c>
      <c r="W2161">
        <v>271108</v>
      </c>
      <c r="X2161">
        <v>38886</v>
      </c>
      <c r="Y2161">
        <f t="shared" si="33"/>
        <v>271108</v>
      </c>
      <c r="Z2161" t="str">
        <f>IF(ISNUMBER(SEARCH("Adjustment",$C2161)),"excluded",IF($H2161="Behind the Meter","excluded",IF(NOT(OR($E2161="Bundled",$E2161="Energy")),"excluded",IF(OR($H2161="Retail Power Marketer",$H2161="Community Choice Aggregator",$E2161="Energy"),"procurement",IF(OR($H2161="Municipal",$H2161="Cooperative",$H2161="Federal",$H2161="State",$H2161="Political Subdivision"),"cost_service",IF($H2161="Investor Owned",IF(AND(COUNTIF(Parameters!$A$4:$A$33,$G2161)&gt;0,COUNTIF(Parameters!$B$4:$B$33,$B2161)=0),"procurement","cost_service"),"unclassified"))))))</f>
        <v>excluded</v>
      </c>
    </row>
    <row r="2162" spans="1:26" x14ac:dyDescent="0.25">
      <c r="A2162">
        <v>2024</v>
      </c>
      <c r="B2162">
        <v>59647</v>
      </c>
      <c r="C2162" t="s">
        <v>1556</v>
      </c>
      <c r="D2162" t="s">
        <v>84</v>
      </c>
      <c r="E2162" t="s">
        <v>85</v>
      </c>
      <c r="F2162" t="s">
        <v>86</v>
      </c>
      <c r="G2162" t="s">
        <v>219</v>
      </c>
      <c r="H2162" t="s">
        <v>1475</v>
      </c>
      <c r="I2162" t="s">
        <v>396</v>
      </c>
      <c r="J2162">
        <v>46.7</v>
      </c>
      <c r="K2162">
        <v>397</v>
      </c>
      <c r="L2162">
        <v>82</v>
      </c>
      <c r="M2162" t="s">
        <v>97</v>
      </c>
      <c r="N2162" t="s">
        <v>97</v>
      </c>
      <c r="O2162" t="s">
        <v>97</v>
      </c>
      <c r="P2162" t="s">
        <v>97</v>
      </c>
      <c r="Q2162" t="s">
        <v>97</v>
      </c>
      <c r="R2162" t="s">
        <v>97</v>
      </c>
      <c r="S2162" t="s">
        <v>97</v>
      </c>
      <c r="T2162" t="s">
        <v>97</v>
      </c>
      <c r="U2162" t="s">
        <v>97</v>
      </c>
      <c r="V2162">
        <v>46.7</v>
      </c>
      <c r="W2162">
        <v>397</v>
      </c>
      <c r="X2162">
        <v>82</v>
      </c>
      <c r="Y2162">
        <f t="shared" si="33"/>
        <v>397</v>
      </c>
      <c r="Z2162" t="str">
        <f>IF(ISNUMBER(SEARCH("Adjustment",$C2162)),"excluded",IF($H2162="Behind the Meter","excluded",IF(NOT(OR($E2162="Bundled",$E2162="Energy")),"excluded",IF(OR($H2162="Retail Power Marketer",$H2162="Community Choice Aggregator",$E2162="Energy"),"procurement",IF(OR($H2162="Municipal",$H2162="Cooperative",$H2162="Federal",$H2162="State",$H2162="Political Subdivision"),"cost_service",IF($H2162="Investor Owned",IF(AND(COUNTIF(Parameters!$A$4:$A$33,$G2162)&gt;0,COUNTIF(Parameters!$B$4:$B$33,$B2162)=0),"procurement","cost_service"),"unclassified"))))))</f>
        <v>excluded</v>
      </c>
    </row>
    <row r="2163" spans="1:26" x14ac:dyDescent="0.25">
      <c r="A2163">
        <v>2024</v>
      </c>
      <c r="B2163">
        <v>59647</v>
      </c>
      <c r="C2163" t="s">
        <v>1556</v>
      </c>
      <c r="D2163" t="s">
        <v>84</v>
      </c>
      <c r="E2163" t="s">
        <v>85</v>
      </c>
      <c r="F2163" t="s">
        <v>86</v>
      </c>
      <c r="G2163" t="s">
        <v>55</v>
      </c>
      <c r="H2163" t="s">
        <v>1475</v>
      </c>
      <c r="I2163" t="s">
        <v>92</v>
      </c>
      <c r="J2163">
        <v>7086.2</v>
      </c>
      <c r="K2163">
        <v>43966</v>
      </c>
      <c r="L2163">
        <v>5072</v>
      </c>
      <c r="M2163" t="s">
        <v>97</v>
      </c>
      <c r="N2163" t="s">
        <v>97</v>
      </c>
      <c r="O2163" t="s">
        <v>97</v>
      </c>
      <c r="P2163" t="s">
        <v>97</v>
      </c>
      <c r="Q2163" t="s">
        <v>97</v>
      </c>
      <c r="R2163" t="s">
        <v>97</v>
      </c>
      <c r="S2163" t="s">
        <v>97</v>
      </c>
      <c r="T2163" t="s">
        <v>97</v>
      </c>
      <c r="U2163" t="s">
        <v>97</v>
      </c>
      <c r="V2163">
        <v>7086.2</v>
      </c>
      <c r="W2163">
        <v>43966</v>
      </c>
      <c r="X2163">
        <v>5072</v>
      </c>
      <c r="Y2163">
        <f t="shared" si="33"/>
        <v>43966</v>
      </c>
      <c r="Z2163" t="str">
        <f>IF(ISNUMBER(SEARCH("Adjustment",$C2163)),"excluded",IF($H2163="Behind the Meter","excluded",IF(NOT(OR($E2163="Bundled",$E2163="Energy")),"excluded",IF(OR($H2163="Retail Power Marketer",$H2163="Community Choice Aggregator",$E2163="Energy"),"procurement",IF(OR($H2163="Municipal",$H2163="Cooperative",$H2163="Federal",$H2163="State",$H2163="Political Subdivision"),"cost_service",IF($H2163="Investor Owned",IF(AND(COUNTIF(Parameters!$A$4:$A$33,$G2163)&gt;0,COUNTIF(Parameters!$B$4:$B$33,$B2163)=0),"procurement","cost_service"),"unclassified"))))))</f>
        <v>excluded</v>
      </c>
    </row>
    <row r="2164" spans="1:26" x14ac:dyDescent="0.25">
      <c r="A2164">
        <v>2024</v>
      </c>
      <c r="B2164">
        <v>59647</v>
      </c>
      <c r="C2164" t="s">
        <v>1556</v>
      </c>
      <c r="D2164" t="s">
        <v>84</v>
      </c>
      <c r="E2164" t="s">
        <v>85</v>
      </c>
      <c r="F2164" t="s">
        <v>86</v>
      </c>
      <c r="G2164" t="s">
        <v>56</v>
      </c>
      <c r="H2164" t="s">
        <v>1475</v>
      </c>
      <c r="I2164" t="s">
        <v>189</v>
      </c>
      <c r="J2164">
        <v>6130.7</v>
      </c>
      <c r="K2164">
        <v>22771</v>
      </c>
      <c r="L2164">
        <v>3252</v>
      </c>
      <c r="M2164" t="s">
        <v>97</v>
      </c>
      <c r="N2164" t="s">
        <v>97</v>
      </c>
      <c r="O2164" t="s">
        <v>97</v>
      </c>
      <c r="P2164" t="s">
        <v>97</v>
      </c>
      <c r="Q2164" t="s">
        <v>97</v>
      </c>
      <c r="R2164" t="s">
        <v>97</v>
      </c>
      <c r="S2164" t="s">
        <v>97</v>
      </c>
      <c r="T2164" t="s">
        <v>97</v>
      </c>
      <c r="U2164" t="s">
        <v>97</v>
      </c>
      <c r="V2164">
        <v>6130.7</v>
      </c>
      <c r="W2164">
        <v>22771</v>
      </c>
      <c r="X2164">
        <v>3252</v>
      </c>
      <c r="Y2164">
        <f t="shared" si="33"/>
        <v>22771</v>
      </c>
      <c r="Z2164" t="str">
        <f>IF(ISNUMBER(SEARCH("Adjustment",$C2164)),"excluded",IF($H2164="Behind the Meter","excluded",IF(NOT(OR($E2164="Bundled",$E2164="Energy")),"excluded",IF(OR($H2164="Retail Power Marketer",$H2164="Community Choice Aggregator",$E2164="Energy"),"procurement",IF(OR($H2164="Municipal",$H2164="Cooperative",$H2164="Federal",$H2164="State",$H2164="Political Subdivision"),"cost_service",IF($H2164="Investor Owned",IF(AND(COUNTIF(Parameters!$A$4:$A$33,$G2164)&gt;0,COUNTIF(Parameters!$B$4:$B$33,$B2164)=0),"procurement","cost_service"),"unclassified"))))))</f>
        <v>excluded</v>
      </c>
    </row>
    <row r="2165" spans="1:26" x14ac:dyDescent="0.25">
      <c r="A2165">
        <v>2024</v>
      </c>
      <c r="B2165">
        <v>59647</v>
      </c>
      <c r="C2165" t="s">
        <v>1556</v>
      </c>
      <c r="D2165" t="s">
        <v>84</v>
      </c>
      <c r="E2165" t="s">
        <v>85</v>
      </c>
      <c r="F2165" t="s">
        <v>86</v>
      </c>
      <c r="G2165" t="s">
        <v>106</v>
      </c>
      <c r="H2165" t="s">
        <v>1475</v>
      </c>
      <c r="I2165" t="s">
        <v>126</v>
      </c>
      <c r="J2165">
        <v>5595.6</v>
      </c>
      <c r="K2165">
        <v>37959</v>
      </c>
      <c r="L2165">
        <v>3648</v>
      </c>
      <c r="M2165" t="s">
        <v>97</v>
      </c>
      <c r="N2165" t="s">
        <v>97</v>
      </c>
      <c r="O2165" t="s">
        <v>97</v>
      </c>
      <c r="P2165" t="s">
        <v>97</v>
      </c>
      <c r="Q2165" t="s">
        <v>97</v>
      </c>
      <c r="R2165" t="s">
        <v>97</v>
      </c>
      <c r="S2165" t="s">
        <v>97</v>
      </c>
      <c r="T2165" t="s">
        <v>97</v>
      </c>
      <c r="U2165" t="s">
        <v>97</v>
      </c>
      <c r="V2165">
        <v>5595.6</v>
      </c>
      <c r="W2165">
        <v>37959</v>
      </c>
      <c r="X2165">
        <v>3648</v>
      </c>
      <c r="Y2165">
        <f t="shared" si="33"/>
        <v>37959</v>
      </c>
      <c r="Z2165" t="str">
        <f>IF(ISNUMBER(SEARCH("Adjustment",$C2165)),"excluded",IF($H2165="Behind the Meter","excluded",IF(NOT(OR($E2165="Bundled",$E2165="Energy")),"excluded",IF(OR($H2165="Retail Power Marketer",$H2165="Community Choice Aggregator",$E2165="Energy"),"procurement",IF(OR($H2165="Municipal",$H2165="Cooperative",$H2165="Federal",$H2165="State",$H2165="Political Subdivision"),"cost_service",IF($H2165="Investor Owned",IF(AND(COUNTIF(Parameters!$A$4:$A$33,$G2165)&gt;0,COUNTIF(Parameters!$B$4:$B$33,$B2165)=0),"procurement","cost_service"),"unclassified"))))))</f>
        <v>excluded</v>
      </c>
    </row>
    <row r="2166" spans="1:26" x14ac:dyDescent="0.25">
      <c r="A2166">
        <v>2024</v>
      </c>
      <c r="B2166">
        <v>59647</v>
      </c>
      <c r="C2166" t="s">
        <v>1556</v>
      </c>
      <c r="D2166" t="s">
        <v>84</v>
      </c>
      <c r="E2166" t="s">
        <v>85</v>
      </c>
      <c r="F2166" t="s">
        <v>86</v>
      </c>
      <c r="G2166" t="s">
        <v>106</v>
      </c>
      <c r="H2166" t="s">
        <v>1475</v>
      </c>
      <c r="I2166" t="s">
        <v>953</v>
      </c>
      <c r="J2166">
        <v>6223.5</v>
      </c>
      <c r="K2166">
        <v>31043</v>
      </c>
      <c r="L2166">
        <v>3718</v>
      </c>
      <c r="M2166" t="s">
        <v>97</v>
      </c>
      <c r="N2166" t="s">
        <v>97</v>
      </c>
      <c r="O2166" t="s">
        <v>97</v>
      </c>
      <c r="P2166" t="s">
        <v>97</v>
      </c>
      <c r="Q2166" t="s">
        <v>97</v>
      </c>
      <c r="R2166" t="s">
        <v>97</v>
      </c>
      <c r="S2166" t="s">
        <v>97</v>
      </c>
      <c r="T2166" t="s">
        <v>97</v>
      </c>
      <c r="U2166" t="s">
        <v>97</v>
      </c>
      <c r="V2166">
        <v>6223.5</v>
      </c>
      <c r="W2166">
        <v>31043</v>
      </c>
      <c r="X2166">
        <v>3718</v>
      </c>
      <c r="Y2166">
        <f t="shared" si="33"/>
        <v>31043</v>
      </c>
      <c r="Z2166" t="str">
        <f>IF(ISNUMBER(SEARCH("Adjustment",$C2166)),"excluded",IF($H2166="Behind the Meter","excluded",IF(NOT(OR($E2166="Bundled",$E2166="Energy")),"excluded",IF(OR($H2166="Retail Power Marketer",$H2166="Community Choice Aggregator",$E2166="Energy"),"procurement",IF(OR($H2166="Municipal",$H2166="Cooperative",$H2166="Federal",$H2166="State",$H2166="Political Subdivision"),"cost_service",IF($H2166="Investor Owned",IF(AND(COUNTIF(Parameters!$A$4:$A$33,$G2166)&gt;0,COUNTIF(Parameters!$B$4:$B$33,$B2166)=0),"procurement","cost_service"),"unclassified"))))))</f>
        <v>excluded</v>
      </c>
    </row>
    <row r="2167" spans="1:26" x14ac:dyDescent="0.25">
      <c r="A2167">
        <v>2024</v>
      </c>
      <c r="B2167">
        <v>59647</v>
      </c>
      <c r="C2167" t="s">
        <v>1556</v>
      </c>
      <c r="D2167" t="s">
        <v>84</v>
      </c>
      <c r="E2167" t="s">
        <v>85</v>
      </c>
      <c r="F2167" t="s">
        <v>86</v>
      </c>
      <c r="G2167" t="s">
        <v>57</v>
      </c>
      <c r="H2167" t="s">
        <v>1475</v>
      </c>
      <c r="I2167" t="s">
        <v>151</v>
      </c>
      <c r="J2167">
        <v>22119.8</v>
      </c>
      <c r="K2167">
        <v>98808</v>
      </c>
      <c r="L2167">
        <v>9318</v>
      </c>
      <c r="M2167" t="s">
        <v>97</v>
      </c>
      <c r="N2167" t="s">
        <v>97</v>
      </c>
      <c r="O2167" t="s">
        <v>97</v>
      </c>
      <c r="P2167" t="s">
        <v>97</v>
      </c>
      <c r="Q2167" t="s">
        <v>97</v>
      </c>
      <c r="R2167" t="s">
        <v>97</v>
      </c>
      <c r="S2167" t="s">
        <v>97</v>
      </c>
      <c r="T2167" t="s">
        <v>97</v>
      </c>
      <c r="U2167" t="s">
        <v>97</v>
      </c>
      <c r="V2167">
        <v>22119.8</v>
      </c>
      <c r="W2167">
        <v>98808</v>
      </c>
      <c r="X2167">
        <v>9318</v>
      </c>
      <c r="Y2167">
        <f t="shared" si="33"/>
        <v>98808</v>
      </c>
      <c r="Z2167" t="str">
        <f>IF(ISNUMBER(SEARCH("Adjustment",$C2167)),"excluded",IF($H2167="Behind the Meter","excluded",IF(NOT(OR($E2167="Bundled",$E2167="Energy")),"excluded",IF(OR($H2167="Retail Power Marketer",$H2167="Community Choice Aggregator",$E2167="Energy"),"procurement",IF(OR($H2167="Municipal",$H2167="Cooperative",$H2167="Federal",$H2167="State",$H2167="Political Subdivision"),"cost_service",IF($H2167="Investor Owned",IF(AND(COUNTIF(Parameters!$A$4:$A$33,$G2167)&gt;0,COUNTIF(Parameters!$B$4:$B$33,$B2167)=0),"procurement","cost_service"),"unclassified"))))))</f>
        <v>excluded</v>
      </c>
    </row>
    <row r="2168" spans="1:26" x14ac:dyDescent="0.25">
      <c r="A2168">
        <v>2024</v>
      </c>
      <c r="B2168">
        <v>59647</v>
      </c>
      <c r="C2168" t="s">
        <v>1556</v>
      </c>
      <c r="D2168" t="s">
        <v>84</v>
      </c>
      <c r="E2168" t="s">
        <v>85</v>
      </c>
      <c r="F2168" t="s">
        <v>86</v>
      </c>
      <c r="G2168" t="s">
        <v>245</v>
      </c>
      <c r="H2168" t="s">
        <v>1475</v>
      </c>
      <c r="I2168" t="s">
        <v>246</v>
      </c>
      <c r="J2168">
        <v>811.6</v>
      </c>
      <c r="K2168">
        <v>6208</v>
      </c>
      <c r="L2168">
        <v>729</v>
      </c>
      <c r="M2168" t="s">
        <v>97</v>
      </c>
      <c r="N2168" t="s">
        <v>97</v>
      </c>
      <c r="O2168" t="s">
        <v>97</v>
      </c>
      <c r="P2168" t="s">
        <v>97</v>
      </c>
      <c r="Q2168" t="s">
        <v>97</v>
      </c>
      <c r="R2168" t="s">
        <v>97</v>
      </c>
      <c r="S2168" t="s">
        <v>97</v>
      </c>
      <c r="T2168" t="s">
        <v>97</v>
      </c>
      <c r="U2168" t="s">
        <v>97</v>
      </c>
      <c r="V2168">
        <v>811.6</v>
      </c>
      <c r="W2168">
        <v>6208</v>
      </c>
      <c r="X2168">
        <v>729</v>
      </c>
      <c r="Y2168">
        <f t="shared" si="33"/>
        <v>6208</v>
      </c>
      <c r="Z2168" t="str">
        <f>IF(ISNUMBER(SEARCH("Adjustment",$C2168)),"excluded",IF($H2168="Behind the Meter","excluded",IF(NOT(OR($E2168="Bundled",$E2168="Energy")),"excluded",IF(OR($H2168="Retail Power Marketer",$H2168="Community Choice Aggregator",$E2168="Energy"),"procurement",IF(OR($H2168="Municipal",$H2168="Cooperative",$H2168="Federal",$H2168="State",$H2168="Political Subdivision"),"cost_service",IF($H2168="Investor Owned",IF(AND(COUNTIF(Parameters!$A$4:$A$33,$G2168)&gt;0,COUNTIF(Parameters!$B$4:$B$33,$B2168)=0),"procurement","cost_service"),"unclassified"))))))</f>
        <v>excluded</v>
      </c>
    </row>
    <row r="2169" spans="1:26" x14ac:dyDescent="0.25">
      <c r="A2169">
        <v>2024</v>
      </c>
      <c r="B2169">
        <v>59647</v>
      </c>
      <c r="C2169" t="s">
        <v>1556</v>
      </c>
      <c r="D2169" t="s">
        <v>84</v>
      </c>
      <c r="E2169" t="s">
        <v>85</v>
      </c>
      <c r="F2169" t="s">
        <v>86</v>
      </c>
      <c r="G2169" t="s">
        <v>269</v>
      </c>
      <c r="H2169" t="s">
        <v>1475</v>
      </c>
      <c r="I2169" t="s">
        <v>189</v>
      </c>
      <c r="J2169">
        <v>4253.3999999999996</v>
      </c>
      <c r="K2169">
        <v>17307</v>
      </c>
      <c r="L2169">
        <v>2381</v>
      </c>
      <c r="M2169" t="s">
        <v>97</v>
      </c>
      <c r="N2169" t="s">
        <v>97</v>
      </c>
      <c r="O2169" t="s">
        <v>97</v>
      </c>
      <c r="P2169" t="s">
        <v>97</v>
      </c>
      <c r="Q2169" t="s">
        <v>97</v>
      </c>
      <c r="R2169" t="s">
        <v>97</v>
      </c>
      <c r="S2169" t="s">
        <v>97</v>
      </c>
      <c r="T2169" t="s">
        <v>97</v>
      </c>
      <c r="U2169" t="s">
        <v>97</v>
      </c>
      <c r="V2169">
        <v>4253.3999999999996</v>
      </c>
      <c r="W2169">
        <v>17307</v>
      </c>
      <c r="X2169">
        <v>2381</v>
      </c>
      <c r="Y2169">
        <f t="shared" si="33"/>
        <v>17307</v>
      </c>
      <c r="Z2169" t="str">
        <f>IF(ISNUMBER(SEARCH("Adjustment",$C2169)),"excluded",IF($H2169="Behind the Meter","excluded",IF(NOT(OR($E2169="Bundled",$E2169="Energy")),"excluded",IF(OR($H2169="Retail Power Marketer",$H2169="Community Choice Aggregator",$E2169="Energy"),"procurement",IF(OR($H2169="Municipal",$H2169="Cooperative",$H2169="Federal",$H2169="State",$H2169="Political Subdivision"),"cost_service",IF($H2169="Investor Owned",IF(AND(COUNTIF(Parameters!$A$4:$A$33,$G2169)&gt;0,COUNTIF(Parameters!$B$4:$B$33,$B2169)=0),"procurement","cost_service"),"unclassified"))))))</f>
        <v>excluded</v>
      </c>
    </row>
    <row r="2170" spans="1:26" x14ac:dyDescent="0.25">
      <c r="A2170">
        <v>2024</v>
      </c>
      <c r="B2170">
        <v>59676</v>
      </c>
      <c r="C2170" t="s">
        <v>1557</v>
      </c>
      <c r="D2170" t="s">
        <v>99</v>
      </c>
      <c r="E2170" t="s">
        <v>100</v>
      </c>
      <c r="F2170" t="s">
        <v>86</v>
      </c>
      <c r="G2170" t="s">
        <v>93</v>
      </c>
      <c r="H2170" t="s">
        <v>101</v>
      </c>
      <c r="I2170" t="s">
        <v>92</v>
      </c>
      <c r="J2170">
        <v>0</v>
      </c>
      <c r="K2170">
        <v>0</v>
      </c>
      <c r="L2170">
        <v>0</v>
      </c>
      <c r="M2170">
        <v>4791.5</v>
      </c>
      <c r="N2170">
        <v>64424</v>
      </c>
      <c r="O2170">
        <v>89</v>
      </c>
      <c r="P2170">
        <v>0</v>
      </c>
      <c r="Q2170">
        <v>0</v>
      </c>
      <c r="R2170">
        <v>0</v>
      </c>
      <c r="S2170">
        <v>0</v>
      </c>
      <c r="T2170">
        <v>0</v>
      </c>
      <c r="U2170">
        <v>0</v>
      </c>
      <c r="V2170">
        <v>4791.5</v>
      </c>
      <c r="W2170">
        <v>64424</v>
      </c>
      <c r="X2170">
        <v>89</v>
      </c>
      <c r="Y2170">
        <f t="shared" si="33"/>
        <v>64424</v>
      </c>
      <c r="Z2170" t="str">
        <f>IF(ISNUMBER(SEARCH("Adjustment",$C2170)),"excluded",IF($H2170="Behind the Meter","excluded",IF(NOT(OR($E2170="Bundled",$E2170="Energy")),"excluded",IF(OR($H2170="Retail Power Marketer",$H2170="Community Choice Aggregator",$E2170="Energy"),"procurement",IF(OR($H2170="Municipal",$H2170="Cooperative",$H2170="Federal",$H2170="State",$H2170="Political Subdivision"),"cost_service",IF($H2170="Investor Owned",IF(AND(COUNTIF(Parameters!$A$4:$A$33,$G2170)&gt;0,COUNTIF(Parameters!$B$4:$B$33,$B2170)=0),"procurement","cost_service"),"unclassified"))))))</f>
        <v>procurement</v>
      </c>
    </row>
    <row r="2171" spans="1:26" x14ac:dyDescent="0.25">
      <c r="A2171">
        <v>2024</v>
      </c>
      <c r="B2171">
        <v>59679</v>
      </c>
      <c r="C2171" t="s">
        <v>1558</v>
      </c>
      <c r="D2171" t="s">
        <v>99</v>
      </c>
      <c r="E2171" t="s">
        <v>100</v>
      </c>
      <c r="F2171" t="s">
        <v>86</v>
      </c>
      <c r="G2171" t="s">
        <v>48</v>
      </c>
      <c r="H2171" t="s">
        <v>101</v>
      </c>
      <c r="I2171" t="s">
        <v>189</v>
      </c>
      <c r="J2171">
        <v>0</v>
      </c>
      <c r="K2171">
        <v>0</v>
      </c>
      <c r="L2171">
        <v>0</v>
      </c>
      <c r="M2171">
        <v>0</v>
      </c>
      <c r="N2171">
        <v>0</v>
      </c>
      <c r="O2171">
        <v>0</v>
      </c>
      <c r="P2171">
        <v>0</v>
      </c>
      <c r="Q2171">
        <v>0</v>
      </c>
      <c r="R2171">
        <v>0</v>
      </c>
      <c r="S2171">
        <v>21603.8</v>
      </c>
      <c r="T2171">
        <v>325824</v>
      </c>
      <c r="U2171">
        <v>1</v>
      </c>
      <c r="V2171">
        <v>21603.8</v>
      </c>
      <c r="W2171">
        <v>325824</v>
      </c>
      <c r="X2171">
        <v>1</v>
      </c>
      <c r="Y2171">
        <f t="shared" si="33"/>
        <v>325824</v>
      </c>
      <c r="Z2171" t="str">
        <f>IF(ISNUMBER(SEARCH("Adjustment",$C2171)),"excluded",IF($H2171="Behind the Meter","excluded",IF(NOT(OR($E2171="Bundled",$E2171="Energy")),"excluded",IF(OR($H2171="Retail Power Marketer",$H2171="Community Choice Aggregator",$E2171="Energy"),"procurement",IF(OR($H2171="Municipal",$H2171="Cooperative",$H2171="Federal",$H2171="State",$H2171="Political Subdivision"),"cost_service",IF($H2171="Investor Owned",IF(AND(COUNTIF(Parameters!$A$4:$A$33,$G2171)&gt;0,COUNTIF(Parameters!$B$4:$B$33,$B2171)=0),"procurement","cost_service"),"unclassified"))))))</f>
        <v>procurement</v>
      </c>
    </row>
    <row r="2172" spans="1:26" x14ac:dyDescent="0.25">
      <c r="A2172">
        <v>2024</v>
      </c>
      <c r="B2172">
        <v>59734</v>
      </c>
      <c r="C2172" t="s">
        <v>1559</v>
      </c>
      <c r="D2172" t="s">
        <v>99</v>
      </c>
      <c r="E2172" t="s">
        <v>100</v>
      </c>
      <c r="F2172" t="s">
        <v>86</v>
      </c>
      <c r="G2172" t="s">
        <v>48</v>
      </c>
      <c r="H2172" t="s">
        <v>101</v>
      </c>
      <c r="I2172" t="s">
        <v>189</v>
      </c>
      <c r="J2172">
        <v>5689</v>
      </c>
      <c r="K2172">
        <v>33679</v>
      </c>
      <c r="L2172">
        <v>6435</v>
      </c>
      <c r="M2172">
        <v>19944.900000000001</v>
      </c>
      <c r="N2172">
        <v>118611</v>
      </c>
      <c r="O2172">
        <v>3481</v>
      </c>
      <c r="P2172" t="s">
        <v>97</v>
      </c>
      <c r="Q2172" t="s">
        <v>97</v>
      </c>
      <c r="R2172" t="s">
        <v>97</v>
      </c>
      <c r="S2172" t="s">
        <v>97</v>
      </c>
      <c r="T2172" t="s">
        <v>97</v>
      </c>
      <c r="U2172" t="s">
        <v>97</v>
      </c>
      <c r="V2172">
        <v>25633.9</v>
      </c>
      <c r="W2172">
        <v>152290</v>
      </c>
      <c r="X2172">
        <v>9916</v>
      </c>
      <c r="Y2172">
        <f t="shared" si="33"/>
        <v>152290</v>
      </c>
      <c r="Z2172" t="str">
        <f>IF(ISNUMBER(SEARCH("Adjustment",$C2172)),"excluded",IF($H2172="Behind the Meter","excluded",IF(NOT(OR($E2172="Bundled",$E2172="Energy")),"excluded",IF(OR($H2172="Retail Power Marketer",$H2172="Community Choice Aggregator",$E2172="Energy"),"procurement",IF(OR($H2172="Municipal",$H2172="Cooperative",$H2172="Federal",$H2172="State",$H2172="Political Subdivision"),"cost_service",IF($H2172="Investor Owned",IF(AND(COUNTIF(Parameters!$A$4:$A$33,$G2172)&gt;0,COUNTIF(Parameters!$B$4:$B$33,$B2172)=0),"procurement","cost_service"),"unclassified"))))))</f>
        <v>procurement</v>
      </c>
    </row>
    <row r="2173" spans="1:26" x14ac:dyDescent="0.25">
      <c r="A2173">
        <v>2024</v>
      </c>
      <c r="B2173">
        <v>59763</v>
      </c>
      <c r="C2173" t="s">
        <v>1560</v>
      </c>
      <c r="D2173" t="s">
        <v>99</v>
      </c>
      <c r="E2173" t="s">
        <v>100</v>
      </c>
      <c r="F2173" t="s">
        <v>86</v>
      </c>
      <c r="G2173" t="s">
        <v>53</v>
      </c>
      <c r="H2173" t="s">
        <v>101</v>
      </c>
      <c r="I2173" t="s">
        <v>102</v>
      </c>
      <c r="J2173">
        <v>0</v>
      </c>
      <c r="K2173">
        <v>0</v>
      </c>
      <c r="L2173">
        <v>0</v>
      </c>
      <c r="M2173">
        <v>2620.1</v>
      </c>
      <c r="N2173">
        <v>15319</v>
      </c>
      <c r="O2173">
        <v>10</v>
      </c>
      <c r="P2173">
        <v>0</v>
      </c>
      <c r="Q2173">
        <v>0</v>
      </c>
      <c r="R2173">
        <v>0</v>
      </c>
      <c r="S2173">
        <v>0</v>
      </c>
      <c r="T2173">
        <v>0</v>
      </c>
      <c r="U2173">
        <v>0</v>
      </c>
      <c r="V2173">
        <v>2620.1</v>
      </c>
      <c r="W2173">
        <v>15319</v>
      </c>
      <c r="X2173">
        <v>10</v>
      </c>
      <c r="Y2173">
        <f t="shared" si="33"/>
        <v>15319</v>
      </c>
      <c r="Z2173" t="str">
        <f>IF(ISNUMBER(SEARCH("Adjustment",$C2173)),"excluded",IF($H2173="Behind the Meter","excluded",IF(NOT(OR($E2173="Bundled",$E2173="Energy")),"excluded",IF(OR($H2173="Retail Power Marketer",$H2173="Community Choice Aggregator",$E2173="Energy"),"procurement",IF(OR($H2173="Municipal",$H2173="Cooperative",$H2173="Federal",$H2173="State",$H2173="Political Subdivision"),"cost_service",IF($H2173="Investor Owned",IF(AND(COUNTIF(Parameters!$A$4:$A$33,$G2173)&gt;0,COUNTIF(Parameters!$B$4:$B$33,$B2173)=0),"procurement","cost_service"),"unclassified"))))))</f>
        <v>procurement</v>
      </c>
    </row>
    <row r="2174" spans="1:26" x14ac:dyDescent="0.25">
      <c r="A2174">
        <v>2024</v>
      </c>
      <c r="B2174">
        <v>59793</v>
      </c>
      <c r="C2174" t="s">
        <v>1561</v>
      </c>
      <c r="D2174" t="s">
        <v>99</v>
      </c>
      <c r="E2174" t="s">
        <v>100</v>
      </c>
      <c r="F2174" t="s">
        <v>86</v>
      </c>
      <c r="G2174" t="s">
        <v>40</v>
      </c>
      <c r="H2174" t="s">
        <v>101</v>
      </c>
      <c r="I2174" t="s">
        <v>189</v>
      </c>
      <c r="J2174">
        <v>0</v>
      </c>
      <c r="K2174">
        <v>0</v>
      </c>
      <c r="L2174">
        <v>0</v>
      </c>
      <c r="M2174">
        <v>20468.400000000001</v>
      </c>
      <c r="N2174">
        <v>181357</v>
      </c>
      <c r="O2174">
        <v>4287</v>
      </c>
      <c r="P2174">
        <v>10738.1</v>
      </c>
      <c r="Q2174">
        <v>104918</v>
      </c>
      <c r="R2174">
        <v>43</v>
      </c>
      <c r="S2174">
        <v>0</v>
      </c>
      <c r="T2174">
        <v>0</v>
      </c>
      <c r="U2174">
        <v>0</v>
      </c>
      <c r="V2174">
        <v>31206.5</v>
      </c>
      <c r="W2174">
        <v>286275</v>
      </c>
      <c r="X2174">
        <v>4330</v>
      </c>
      <c r="Y2174">
        <f t="shared" si="33"/>
        <v>286275</v>
      </c>
      <c r="Z2174" t="str">
        <f>IF(ISNUMBER(SEARCH("Adjustment",$C2174)),"excluded",IF($H2174="Behind the Meter","excluded",IF(NOT(OR($E2174="Bundled",$E2174="Energy")),"excluded",IF(OR($H2174="Retail Power Marketer",$H2174="Community Choice Aggregator",$E2174="Energy"),"procurement",IF(OR($H2174="Municipal",$H2174="Cooperative",$H2174="Federal",$H2174="State",$H2174="Political Subdivision"),"cost_service",IF($H2174="Investor Owned",IF(AND(COUNTIF(Parameters!$A$4:$A$33,$G2174)&gt;0,COUNTIF(Parameters!$B$4:$B$33,$B2174)=0),"procurement","cost_service"),"unclassified"))))))</f>
        <v>procurement</v>
      </c>
    </row>
    <row r="2175" spans="1:26" x14ac:dyDescent="0.25">
      <c r="A2175">
        <v>2024</v>
      </c>
      <c r="B2175">
        <v>59793</v>
      </c>
      <c r="C2175" t="s">
        <v>1561</v>
      </c>
      <c r="D2175" t="s">
        <v>99</v>
      </c>
      <c r="E2175" t="s">
        <v>100</v>
      </c>
      <c r="F2175" t="s">
        <v>86</v>
      </c>
      <c r="G2175" t="s">
        <v>44</v>
      </c>
      <c r="H2175" t="s">
        <v>101</v>
      </c>
      <c r="I2175" t="s">
        <v>92</v>
      </c>
      <c r="J2175">
        <v>20.399999999999999</v>
      </c>
      <c r="K2175">
        <v>117</v>
      </c>
      <c r="L2175">
        <v>14</v>
      </c>
      <c r="M2175">
        <v>5.2</v>
      </c>
      <c r="N2175">
        <v>30</v>
      </c>
      <c r="O2175">
        <v>5</v>
      </c>
      <c r="P2175">
        <v>0</v>
      </c>
      <c r="Q2175">
        <v>0</v>
      </c>
      <c r="R2175">
        <v>0</v>
      </c>
      <c r="S2175">
        <v>0</v>
      </c>
      <c r="T2175">
        <v>0</v>
      </c>
      <c r="U2175">
        <v>0</v>
      </c>
      <c r="V2175">
        <v>25.6</v>
      </c>
      <c r="W2175">
        <v>147</v>
      </c>
      <c r="X2175">
        <v>19</v>
      </c>
      <c r="Y2175">
        <f t="shared" si="33"/>
        <v>147</v>
      </c>
      <c r="Z2175" t="str">
        <f>IF(ISNUMBER(SEARCH("Adjustment",$C2175)),"excluded",IF($H2175="Behind the Meter","excluded",IF(NOT(OR($E2175="Bundled",$E2175="Energy")),"excluded",IF(OR($H2175="Retail Power Marketer",$H2175="Community Choice Aggregator",$E2175="Energy"),"procurement",IF(OR($H2175="Municipal",$H2175="Cooperative",$H2175="Federal",$H2175="State",$H2175="Political Subdivision"),"cost_service",IF($H2175="Investor Owned",IF(AND(COUNTIF(Parameters!$A$4:$A$33,$G2175)&gt;0,COUNTIF(Parameters!$B$4:$B$33,$B2175)=0),"procurement","cost_service"),"unclassified"))))))</f>
        <v>procurement</v>
      </c>
    </row>
    <row r="2176" spans="1:26" x14ac:dyDescent="0.25">
      <c r="A2176">
        <v>2024</v>
      </c>
      <c r="B2176">
        <v>59793</v>
      </c>
      <c r="C2176" t="s">
        <v>1561</v>
      </c>
      <c r="D2176" t="s">
        <v>99</v>
      </c>
      <c r="E2176" t="s">
        <v>100</v>
      </c>
      <c r="F2176" t="s">
        <v>86</v>
      </c>
      <c r="G2176" t="s">
        <v>48</v>
      </c>
      <c r="H2176" t="s">
        <v>101</v>
      </c>
      <c r="I2176" t="s">
        <v>189</v>
      </c>
      <c r="J2176">
        <v>167851.5</v>
      </c>
      <c r="K2176">
        <v>1219680</v>
      </c>
      <c r="L2176">
        <v>162849</v>
      </c>
      <c r="M2176">
        <v>92533.2</v>
      </c>
      <c r="N2176">
        <v>709223</v>
      </c>
      <c r="O2176">
        <v>24481</v>
      </c>
      <c r="P2176">
        <v>61623.6</v>
      </c>
      <c r="Q2176">
        <v>545791</v>
      </c>
      <c r="R2176">
        <v>189</v>
      </c>
      <c r="S2176">
        <v>0</v>
      </c>
      <c r="T2176">
        <v>0</v>
      </c>
      <c r="U2176">
        <v>0</v>
      </c>
      <c r="V2176">
        <v>322008.3</v>
      </c>
      <c r="W2176">
        <v>2474694</v>
      </c>
      <c r="X2176">
        <v>187519</v>
      </c>
      <c r="Y2176">
        <f t="shared" si="33"/>
        <v>2474694</v>
      </c>
      <c r="Z2176" t="str">
        <f>IF(ISNUMBER(SEARCH("Adjustment",$C2176)),"excluded",IF($H2176="Behind the Meter","excluded",IF(NOT(OR($E2176="Bundled",$E2176="Energy")),"excluded",IF(OR($H2176="Retail Power Marketer",$H2176="Community Choice Aggregator",$E2176="Energy"),"procurement",IF(OR($H2176="Municipal",$H2176="Cooperative",$H2176="Federal",$H2176="State",$H2176="Political Subdivision"),"cost_service",IF($H2176="Investor Owned",IF(AND(COUNTIF(Parameters!$A$4:$A$33,$G2176)&gt;0,COUNTIF(Parameters!$B$4:$B$33,$B2176)=0),"procurement","cost_service"),"unclassified"))))))</f>
        <v>procurement</v>
      </c>
    </row>
    <row r="2177" spans="1:26" x14ac:dyDescent="0.25">
      <c r="A2177">
        <v>2024</v>
      </c>
      <c r="B2177">
        <v>59793</v>
      </c>
      <c r="C2177" t="s">
        <v>1561</v>
      </c>
      <c r="D2177" t="s">
        <v>99</v>
      </c>
      <c r="E2177" t="s">
        <v>100</v>
      </c>
      <c r="F2177" t="s">
        <v>86</v>
      </c>
      <c r="G2177" t="s">
        <v>50</v>
      </c>
      <c r="H2177" t="s">
        <v>101</v>
      </c>
      <c r="I2177" t="s">
        <v>189</v>
      </c>
      <c r="J2177">
        <v>2189.3000000000002</v>
      </c>
      <c r="K2177">
        <v>20065</v>
      </c>
      <c r="L2177">
        <v>2995</v>
      </c>
      <c r="M2177">
        <v>28132.9</v>
      </c>
      <c r="N2177">
        <v>267526</v>
      </c>
      <c r="O2177">
        <v>3323</v>
      </c>
      <c r="P2177">
        <v>27940.2</v>
      </c>
      <c r="Q2177">
        <v>279448</v>
      </c>
      <c r="R2177">
        <v>93</v>
      </c>
      <c r="S2177">
        <v>0</v>
      </c>
      <c r="T2177">
        <v>0</v>
      </c>
      <c r="U2177">
        <v>0</v>
      </c>
      <c r="V2177">
        <v>58262.400000000001</v>
      </c>
      <c r="W2177">
        <v>567039</v>
      </c>
      <c r="X2177">
        <v>6411</v>
      </c>
      <c r="Y2177">
        <f t="shared" si="33"/>
        <v>567039</v>
      </c>
      <c r="Z2177" t="str">
        <f>IF(ISNUMBER(SEARCH("Adjustment",$C2177)),"excluded",IF($H2177="Behind the Meter","excluded",IF(NOT(OR($E2177="Bundled",$E2177="Energy")),"excluded",IF(OR($H2177="Retail Power Marketer",$H2177="Community Choice Aggregator",$E2177="Energy"),"procurement",IF(OR($H2177="Municipal",$H2177="Cooperative",$H2177="Federal",$H2177="State",$H2177="Political Subdivision"),"cost_service",IF($H2177="Investor Owned",IF(AND(COUNTIF(Parameters!$A$4:$A$33,$G2177)&gt;0,COUNTIF(Parameters!$B$4:$B$33,$B2177)=0),"procurement","cost_service"),"unclassified"))))))</f>
        <v>procurement</v>
      </c>
    </row>
    <row r="2178" spans="1:26" x14ac:dyDescent="0.25">
      <c r="A2178">
        <v>2024</v>
      </c>
      <c r="B2178">
        <v>59793</v>
      </c>
      <c r="C2178" t="s">
        <v>1561</v>
      </c>
      <c r="D2178" t="s">
        <v>99</v>
      </c>
      <c r="E2178" t="s">
        <v>100</v>
      </c>
      <c r="F2178" t="s">
        <v>86</v>
      </c>
      <c r="G2178" t="s">
        <v>51</v>
      </c>
      <c r="H2178" t="s">
        <v>101</v>
      </c>
      <c r="I2178" t="s">
        <v>189</v>
      </c>
      <c r="J2178">
        <v>8176.7</v>
      </c>
      <c r="K2178">
        <v>79577</v>
      </c>
      <c r="L2178">
        <v>11136</v>
      </c>
      <c r="M2178">
        <v>30412.1</v>
      </c>
      <c r="N2178">
        <v>275032</v>
      </c>
      <c r="O2178">
        <v>5181</v>
      </c>
      <c r="P2178">
        <v>17069.099999999999</v>
      </c>
      <c r="Q2178">
        <v>183862</v>
      </c>
      <c r="R2178">
        <v>68</v>
      </c>
      <c r="S2178">
        <v>0</v>
      </c>
      <c r="T2178">
        <v>0</v>
      </c>
      <c r="U2178">
        <v>0</v>
      </c>
      <c r="V2178">
        <v>55657.9</v>
      </c>
      <c r="W2178">
        <v>538471</v>
      </c>
      <c r="X2178">
        <v>16385</v>
      </c>
      <c r="Y2178">
        <f t="shared" si="33"/>
        <v>538471</v>
      </c>
      <c r="Z2178" t="str">
        <f>IF(ISNUMBER(SEARCH("Adjustment",$C2178)),"excluded",IF($H2178="Behind the Meter","excluded",IF(NOT(OR($E2178="Bundled",$E2178="Energy")),"excluded",IF(OR($H2178="Retail Power Marketer",$H2178="Community Choice Aggregator",$E2178="Energy"),"procurement",IF(OR($H2178="Municipal",$H2178="Cooperative",$H2178="Federal",$H2178="State",$H2178="Political Subdivision"),"cost_service",IF($H2178="Investor Owned",IF(AND(COUNTIF(Parameters!$A$4:$A$33,$G2178)&gt;0,COUNTIF(Parameters!$B$4:$B$33,$B2178)=0),"procurement","cost_service"),"unclassified"))))))</f>
        <v>procurement</v>
      </c>
    </row>
    <row r="2179" spans="1:26" x14ac:dyDescent="0.25">
      <c r="A2179">
        <v>2024</v>
      </c>
      <c r="B2179">
        <v>59793</v>
      </c>
      <c r="C2179" t="s">
        <v>1561</v>
      </c>
      <c r="D2179" t="s">
        <v>99</v>
      </c>
      <c r="E2179" t="s">
        <v>100</v>
      </c>
      <c r="F2179" t="s">
        <v>86</v>
      </c>
      <c r="G2179" t="s">
        <v>52</v>
      </c>
      <c r="H2179" t="s">
        <v>101</v>
      </c>
      <c r="I2179" t="s">
        <v>92</v>
      </c>
      <c r="J2179">
        <v>1.1000000000000001</v>
      </c>
      <c r="K2179">
        <v>6</v>
      </c>
      <c r="L2179">
        <v>1</v>
      </c>
      <c r="M2179">
        <v>76.3</v>
      </c>
      <c r="N2179">
        <v>467</v>
      </c>
      <c r="O2179">
        <v>15</v>
      </c>
      <c r="P2179">
        <v>0</v>
      </c>
      <c r="Q2179">
        <v>0</v>
      </c>
      <c r="R2179">
        <v>0</v>
      </c>
      <c r="S2179">
        <v>0</v>
      </c>
      <c r="T2179">
        <v>0</v>
      </c>
      <c r="U2179">
        <v>0</v>
      </c>
      <c r="V2179">
        <v>77.400000000000006</v>
      </c>
      <c r="W2179">
        <v>473</v>
      </c>
      <c r="X2179">
        <v>16</v>
      </c>
      <c r="Y2179">
        <f t="shared" si="33"/>
        <v>473</v>
      </c>
      <c r="Z2179" t="str">
        <f>IF(ISNUMBER(SEARCH("Adjustment",$C2179)),"excluded",IF($H2179="Behind the Meter","excluded",IF(NOT(OR($E2179="Bundled",$E2179="Energy")),"excluded",IF(OR($H2179="Retail Power Marketer",$H2179="Community Choice Aggregator",$E2179="Energy"),"procurement",IF(OR($H2179="Municipal",$H2179="Cooperative",$H2179="Federal",$H2179="State",$H2179="Political Subdivision"),"cost_service",IF($H2179="Investor Owned",IF(AND(COUNTIF(Parameters!$A$4:$A$33,$G2179)&gt;0,COUNTIF(Parameters!$B$4:$B$33,$B2179)=0),"procurement","cost_service"),"unclassified"))))))</f>
        <v>procurement</v>
      </c>
    </row>
    <row r="2180" spans="1:26" x14ac:dyDescent="0.25">
      <c r="A2180">
        <v>2024</v>
      </c>
      <c r="B2180">
        <v>59793</v>
      </c>
      <c r="C2180" t="s">
        <v>1561</v>
      </c>
      <c r="D2180" t="s">
        <v>99</v>
      </c>
      <c r="E2180" t="s">
        <v>100</v>
      </c>
      <c r="F2180" t="s">
        <v>86</v>
      </c>
      <c r="G2180" t="s">
        <v>55</v>
      </c>
      <c r="H2180" t="s">
        <v>101</v>
      </c>
      <c r="I2180" t="s">
        <v>92</v>
      </c>
      <c r="J2180">
        <v>18.899999999999999</v>
      </c>
      <c r="K2180">
        <v>109</v>
      </c>
      <c r="L2180">
        <v>16</v>
      </c>
      <c r="M2180">
        <v>195</v>
      </c>
      <c r="N2180">
        <v>1117</v>
      </c>
      <c r="O2180">
        <v>45</v>
      </c>
      <c r="P2180">
        <v>0</v>
      </c>
      <c r="Q2180">
        <v>0</v>
      </c>
      <c r="R2180">
        <v>0</v>
      </c>
      <c r="S2180">
        <v>0</v>
      </c>
      <c r="T2180">
        <v>0</v>
      </c>
      <c r="U2180">
        <v>0</v>
      </c>
      <c r="V2180">
        <v>213.9</v>
      </c>
      <c r="W2180">
        <v>1226</v>
      </c>
      <c r="X2180">
        <v>61</v>
      </c>
      <c r="Y2180">
        <f t="shared" ref="Y2180:Y2243" si="34">IF(ISNUMBER($W2180),$W2180,0)</f>
        <v>1226</v>
      </c>
      <c r="Z2180" t="str">
        <f>IF(ISNUMBER(SEARCH("Adjustment",$C2180)),"excluded",IF($H2180="Behind the Meter","excluded",IF(NOT(OR($E2180="Bundled",$E2180="Energy")),"excluded",IF(OR($H2180="Retail Power Marketer",$H2180="Community Choice Aggregator",$E2180="Energy"),"procurement",IF(OR($H2180="Municipal",$H2180="Cooperative",$H2180="Federal",$H2180="State",$H2180="Political Subdivision"),"cost_service",IF($H2180="Investor Owned",IF(AND(COUNTIF(Parameters!$A$4:$A$33,$G2180)&gt;0,COUNTIF(Parameters!$B$4:$B$33,$B2180)=0),"procurement","cost_service"),"unclassified"))))))</f>
        <v>procurement</v>
      </c>
    </row>
    <row r="2181" spans="1:26" x14ac:dyDescent="0.25">
      <c r="A2181">
        <v>2024</v>
      </c>
      <c r="B2181">
        <v>59793</v>
      </c>
      <c r="C2181" t="s">
        <v>1561</v>
      </c>
      <c r="D2181" t="s">
        <v>99</v>
      </c>
      <c r="E2181" t="s">
        <v>100</v>
      </c>
      <c r="F2181" t="s">
        <v>86</v>
      </c>
      <c r="G2181" t="s">
        <v>56</v>
      </c>
      <c r="H2181" t="s">
        <v>101</v>
      </c>
      <c r="I2181" t="s">
        <v>189</v>
      </c>
      <c r="J2181">
        <v>1449.4</v>
      </c>
      <c r="K2181">
        <v>12193</v>
      </c>
      <c r="L2181">
        <v>1796</v>
      </c>
      <c r="M2181">
        <v>16276.5</v>
      </c>
      <c r="N2181">
        <v>155048</v>
      </c>
      <c r="O2181">
        <v>1827</v>
      </c>
      <c r="P2181">
        <v>5157.1000000000004</v>
      </c>
      <c r="Q2181">
        <v>51711</v>
      </c>
      <c r="R2181">
        <v>32</v>
      </c>
      <c r="S2181">
        <v>0</v>
      </c>
      <c r="T2181">
        <v>0</v>
      </c>
      <c r="U2181">
        <v>0</v>
      </c>
      <c r="V2181">
        <v>22883</v>
      </c>
      <c r="W2181">
        <v>218952</v>
      </c>
      <c r="X2181">
        <v>3655</v>
      </c>
      <c r="Y2181">
        <f t="shared" si="34"/>
        <v>218952</v>
      </c>
      <c r="Z2181" t="str">
        <f>IF(ISNUMBER(SEARCH("Adjustment",$C2181)),"excluded",IF($H2181="Behind the Meter","excluded",IF(NOT(OR($E2181="Bundled",$E2181="Energy")),"excluded",IF(OR($H2181="Retail Power Marketer",$H2181="Community Choice Aggregator",$E2181="Energy"),"procurement",IF(OR($H2181="Municipal",$H2181="Cooperative",$H2181="Federal",$H2181="State",$H2181="Political Subdivision"),"cost_service",IF($H2181="Investor Owned",IF(AND(COUNTIF(Parameters!$A$4:$A$33,$G2181)&gt;0,COUNTIF(Parameters!$B$4:$B$33,$B2181)=0),"procurement","cost_service"),"unclassified"))))))</f>
        <v>procurement</v>
      </c>
    </row>
    <row r="2182" spans="1:26" x14ac:dyDescent="0.25">
      <c r="A2182">
        <v>2024</v>
      </c>
      <c r="B2182">
        <v>59797</v>
      </c>
      <c r="C2182" t="s">
        <v>1562</v>
      </c>
      <c r="D2182" t="s">
        <v>99</v>
      </c>
      <c r="E2182" t="s">
        <v>100</v>
      </c>
      <c r="F2182" t="s">
        <v>86</v>
      </c>
      <c r="G2182" t="s">
        <v>42</v>
      </c>
      <c r="H2182" t="s">
        <v>101</v>
      </c>
      <c r="I2182" t="s">
        <v>92</v>
      </c>
      <c r="J2182">
        <v>257</v>
      </c>
      <c r="K2182">
        <v>1337</v>
      </c>
      <c r="L2182">
        <v>226</v>
      </c>
      <c r="M2182" t="s">
        <v>97</v>
      </c>
      <c r="N2182" t="s">
        <v>97</v>
      </c>
      <c r="O2182" t="s">
        <v>97</v>
      </c>
      <c r="P2182" t="s">
        <v>97</v>
      </c>
      <c r="Q2182" t="s">
        <v>97</v>
      </c>
      <c r="R2182" t="s">
        <v>97</v>
      </c>
      <c r="S2182" t="s">
        <v>97</v>
      </c>
      <c r="T2182" t="s">
        <v>97</v>
      </c>
      <c r="U2182" t="s">
        <v>97</v>
      </c>
      <c r="V2182">
        <v>257</v>
      </c>
      <c r="W2182">
        <v>1337</v>
      </c>
      <c r="X2182">
        <v>226</v>
      </c>
      <c r="Y2182">
        <f t="shared" si="34"/>
        <v>1337</v>
      </c>
      <c r="Z2182" t="str">
        <f>IF(ISNUMBER(SEARCH("Adjustment",$C2182)),"excluded",IF($H2182="Behind the Meter","excluded",IF(NOT(OR($E2182="Bundled",$E2182="Energy")),"excluded",IF(OR($H2182="Retail Power Marketer",$H2182="Community Choice Aggregator",$E2182="Energy"),"procurement",IF(OR($H2182="Municipal",$H2182="Cooperative",$H2182="Federal",$H2182="State",$H2182="Political Subdivision"),"cost_service",IF($H2182="Investor Owned",IF(AND(COUNTIF(Parameters!$A$4:$A$33,$G2182)&gt;0,COUNTIF(Parameters!$B$4:$B$33,$B2182)=0),"procurement","cost_service"),"unclassified"))))))</f>
        <v>procurement</v>
      </c>
    </row>
    <row r="2183" spans="1:26" x14ac:dyDescent="0.25">
      <c r="A2183">
        <v>2024</v>
      </c>
      <c r="B2183">
        <v>59797</v>
      </c>
      <c r="C2183" t="s">
        <v>1562</v>
      </c>
      <c r="D2183" t="s">
        <v>99</v>
      </c>
      <c r="E2183" t="s">
        <v>100</v>
      </c>
      <c r="F2183" t="s">
        <v>86</v>
      </c>
      <c r="G2183" t="s">
        <v>44</v>
      </c>
      <c r="H2183" t="s">
        <v>101</v>
      </c>
      <c r="I2183" t="s">
        <v>92</v>
      </c>
      <c r="J2183">
        <v>265.39999999999998</v>
      </c>
      <c r="K2183">
        <v>1186</v>
      </c>
      <c r="L2183">
        <v>139</v>
      </c>
      <c r="M2183" t="s">
        <v>97</v>
      </c>
      <c r="N2183" t="s">
        <v>97</v>
      </c>
      <c r="O2183" t="s">
        <v>97</v>
      </c>
      <c r="P2183" t="s">
        <v>97</v>
      </c>
      <c r="Q2183" t="s">
        <v>97</v>
      </c>
      <c r="R2183" t="s">
        <v>97</v>
      </c>
      <c r="S2183" t="s">
        <v>97</v>
      </c>
      <c r="T2183" t="s">
        <v>97</v>
      </c>
      <c r="U2183" t="s">
        <v>97</v>
      </c>
      <c r="V2183">
        <v>265.39999999999998</v>
      </c>
      <c r="W2183">
        <v>1186</v>
      </c>
      <c r="X2183">
        <v>139</v>
      </c>
      <c r="Y2183">
        <f t="shared" si="34"/>
        <v>1186</v>
      </c>
      <c r="Z2183" t="str">
        <f>IF(ISNUMBER(SEARCH("Adjustment",$C2183)),"excluded",IF($H2183="Behind the Meter","excluded",IF(NOT(OR($E2183="Bundled",$E2183="Energy")),"excluded",IF(OR($H2183="Retail Power Marketer",$H2183="Community Choice Aggregator",$E2183="Energy"),"procurement",IF(OR($H2183="Municipal",$H2183="Cooperative",$H2183="Federal",$H2183="State",$H2183="Political Subdivision"),"cost_service",IF($H2183="Investor Owned",IF(AND(COUNTIF(Parameters!$A$4:$A$33,$G2183)&gt;0,COUNTIF(Parameters!$B$4:$B$33,$B2183)=0),"procurement","cost_service"),"unclassified"))))))</f>
        <v>procurement</v>
      </c>
    </row>
    <row r="2184" spans="1:26" x14ac:dyDescent="0.25">
      <c r="A2184">
        <v>2024</v>
      </c>
      <c r="B2184">
        <v>59797</v>
      </c>
      <c r="C2184" t="s">
        <v>1562</v>
      </c>
      <c r="D2184" t="s">
        <v>99</v>
      </c>
      <c r="E2184" t="s">
        <v>100</v>
      </c>
      <c r="F2184" t="s">
        <v>86</v>
      </c>
      <c r="G2184" t="s">
        <v>46</v>
      </c>
      <c r="H2184" t="s">
        <v>101</v>
      </c>
      <c r="I2184" t="s">
        <v>92</v>
      </c>
      <c r="J2184">
        <v>512.1</v>
      </c>
      <c r="K2184">
        <v>2910</v>
      </c>
      <c r="L2184">
        <v>447</v>
      </c>
      <c r="M2184" t="s">
        <v>97</v>
      </c>
      <c r="N2184" t="s">
        <v>97</v>
      </c>
      <c r="O2184" t="s">
        <v>97</v>
      </c>
      <c r="P2184" t="s">
        <v>97</v>
      </c>
      <c r="Q2184" t="s">
        <v>97</v>
      </c>
      <c r="R2184" t="s">
        <v>97</v>
      </c>
      <c r="S2184" t="s">
        <v>97</v>
      </c>
      <c r="T2184" t="s">
        <v>97</v>
      </c>
      <c r="U2184" t="s">
        <v>97</v>
      </c>
      <c r="V2184">
        <v>512.1</v>
      </c>
      <c r="W2184">
        <v>2910</v>
      </c>
      <c r="X2184">
        <v>447</v>
      </c>
      <c r="Y2184">
        <f t="shared" si="34"/>
        <v>2910</v>
      </c>
      <c r="Z2184" t="str">
        <f>IF(ISNUMBER(SEARCH("Adjustment",$C2184)),"excluded",IF($H2184="Behind the Meter","excluded",IF(NOT(OR($E2184="Bundled",$E2184="Energy")),"excluded",IF(OR($H2184="Retail Power Marketer",$H2184="Community Choice Aggregator",$E2184="Energy"),"procurement",IF(OR($H2184="Municipal",$H2184="Cooperative",$H2184="Federal",$H2184="State",$H2184="Political Subdivision"),"cost_service",IF($H2184="Investor Owned",IF(AND(COUNTIF(Parameters!$A$4:$A$33,$G2184)&gt;0,COUNTIF(Parameters!$B$4:$B$33,$B2184)=0),"procurement","cost_service"),"unclassified"))))))</f>
        <v>procurement</v>
      </c>
    </row>
    <row r="2185" spans="1:26" x14ac:dyDescent="0.25">
      <c r="A2185">
        <v>2024</v>
      </c>
      <c r="B2185">
        <v>59797</v>
      </c>
      <c r="C2185" t="s">
        <v>1562</v>
      </c>
      <c r="D2185" t="s">
        <v>99</v>
      </c>
      <c r="E2185" t="s">
        <v>100</v>
      </c>
      <c r="F2185" t="s">
        <v>86</v>
      </c>
      <c r="G2185" t="s">
        <v>49</v>
      </c>
      <c r="H2185" t="s">
        <v>101</v>
      </c>
      <c r="I2185" t="s">
        <v>92</v>
      </c>
      <c r="J2185">
        <v>1043</v>
      </c>
      <c r="K2185">
        <v>5561</v>
      </c>
      <c r="L2185">
        <v>717</v>
      </c>
      <c r="M2185" t="s">
        <v>97</v>
      </c>
      <c r="N2185" t="s">
        <v>97</v>
      </c>
      <c r="O2185" t="s">
        <v>97</v>
      </c>
      <c r="P2185" t="s">
        <v>97</v>
      </c>
      <c r="Q2185" t="s">
        <v>97</v>
      </c>
      <c r="R2185" t="s">
        <v>97</v>
      </c>
      <c r="S2185" t="s">
        <v>97</v>
      </c>
      <c r="T2185" t="s">
        <v>97</v>
      </c>
      <c r="U2185" t="s">
        <v>97</v>
      </c>
      <c r="V2185">
        <v>1043</v>
      </c>
      <c r="W2185">
        <v>5561</v>
      </c>
      <c r="X2185">
        <v>717</v>
      </c>
      <c r="Y2185">
        <f t="shared" si="34"/>
        <v>5561</v>
      </c>
      <c r="Z2185" t="str">
        <f>IF(ISNUMBER(SEARCH("Adjustment",$C2185)),"excluded",IF($H2185="Behind the Meter","excluded",IF(NOT(OR($E2185="Bundled",$E2185="Energy")),"excluded",IF(OR($H2185="Retail Power Marketer",$H2185="Community Choice Aggregator",$E2185="Energy"),"procurement",IF(OR($H2185="Municipal",$H2185="Cooperative",$H2185="Federal",$H2185="State",$H2185="Political Subdivision"),"cost_service",IF($H2185="Investor Owned",IF(AND(COUNTIF(Parameters!$A$4:$A$33,$G2185)&gt;0,COUNTIF(Parameters!$B$4:$B$33,$B2185)=0),"procurement","cost_service"),"unclassified"))))))</f>
        <v>procurement</v>
      </c>
    </row>
    <row r="2186" spans="1:26" x14ac:dyDescent="0.25">
      <c r="A2186">
        <v>2024</v>
      </c>
      <c r="B2186">
        <v>59797</v>
      </c>
      <c r="C2186" t="s">
        <v>1562</v>
      </c>
      <c r="D2186" t="s">
        <v>99</v>
      </c>
      <c r="E2186" t="s">
        <v>100</v>
      </c>
      <c r="F2186" t="s">
        <v>86</v>
      </c>
      <c r="G2186" t="s">
        <v>54</v>
      </c>
      <c r="H2186" t="s">
        <v>101</v>
      </c>
      <c r="I2186" t="s">
        <v>92</v>
      </c>
      <c r="J2186">
        <v>1102.0999999999999</v>
      </c>
      <c r="K2186">
        <v>6722</v>
      </c>
      <c r="L2186">
        <v>845</v>
      </c>
      <c r="M2186" t="s">
        <v>97</v>
      </c>
      <c r="N2186" t="s">
        <v>97</v>
      </c>
      <c r="O2186" t="s">
        <v>97</v>
      </c>
      <c r="P2186" t="s">
        <v>97</v>
      </c>
      <c r="Q2186" t="s">
        <v>97</v>
      </c>
      <c r="R2186" t="s">
        <v>97</v>
      </c>
      <c r="S2186" t="s">
        <v>97</v>
      </c>
      <c r="T2186" t="s">
        <v>97</v>
      </c>
      <c r="U2186" t="s">
        <v>97</v>
      </c>
      <c r="V2186">
        <v>1102.0999999999999</v>
      </c>
      <c r="W2186">
        <v>6722</v>
      </c>
      <c r="X2186">
        <v>845</v>
      </c>
      <c r="Y2186">
        <f t="shared" si="34"/>
        <v>6722</v>
      </c>
      <c r="Z2186" t="str">
        <f>IF(ISNUMBER(SEARCH("Adjustment",$C2186)),"excluded",IF($H2186="Behind the Meter","excluded",IF(NOT(OR($E2186="Bundled",$E2186="Energy")),"excluded",IF(OR($H2186="Retail Power Marketer",$H2186="Community Choice Aggregator",$E2186="Energy"),"procurement",IF(OR($H2186="Municipal",$H2186="Cooperative",$H2186="Federal",$H2186="State",$H2186="Political Subdivision"),"cost_service",IF($H2186="Investor Owned",IF(AND(COUNTIF(Parameters!$A$4:$A$33,$G2186)&gt;0,COUNTIF(Parameters!$B$4:$B$33,$B2186)=0),"procurement","cost_service"),"unclassified"))))))</f>
        <v>procurement</v>
      </c>
    </row>
    <row r="2187" spans="1:26" x14ac:dyDescent="0.25">
      <c r="A2187">
        <v>2024</v>
      </c>
      <c r="B2187">
        <v>59797</v>
      </c>
      <c r="C2187" t="s">
        <v>1562</v>
      </c>
      <c r="D2187" t="s">
        <v>99</v>
      </c>
      <c r="E2187" t="s">
        <v>100</v>
      </c>
      <c r="F2187" t="s">
        <v>86</v>
      </c>
      <c r="G2187" t="s">
        <v>55</v>
      </c>
      <c r="H2187" t="s">
        <v>101</v>
      </c>
      <c r="I2187" t="s">
        <v>92</v>
      </c>
      <c r="J2187">
        <v>7425.1</v>
      </c>
      <c r="K2187">
        <v>39933</v>
      </c>
      <c r="L2187">
        <v>5198</v>
      </c>
      <c r="M2187">
        <v>72.8</v>
      </c>
      <c r="N2187">
        <v>664</v>
      </c>
      <c r="O2187">
        <v>20</v>
      </c>
      <c r="P2187" t="s">
        <v>97</v>
      </c>
      <c r="Q2187" t="s">
        <v>97</v>
      </c>
      <c r="R2187" t="s">
        <v>97</v>
      </c>
      <c r="S2187" t="s">
        <v>97</v>
      </c>
      <c r="T2187" t="s">
        <v>97</v>
      </c>
      <c r="U2187" t="s">
        <v>97</v>
      </c>
      <c r="V2187">
        <v>7497.9</v>
      </c>
      <c r="W2187">
        <v>40597</v>
      </c>
      <c r="X2187">
        <v>5218</v>
      </c>
      <c r="Y2187">
        <f t="shared" si="34"/>
        <v>40597</v>
      </c>
      <c r="Z2187" t="str">
        <f>IF(ISNUMBER(SEARCH("Adjustment",$C2187)),"excluded",IF($H2187="Behind the Meter","excluded",IF(NOT(OR($E2187="Bundled",$E2187="Energy")),"excluded",IF(OR($H2187="Retail Power Marketer",$H2187="Community Choice Aggregator",$E2187="Energy"),"procurement",IF(OR($H2187="Municipal",$H2187="Cooperative",$H2187="Federal",$H2187="State",$H2187="Political Subdivision"),"cost_service",IF($H2187="Investor Owned",IF(AND(COUNTIF(Parameters!$A$4:$A$33,$G2187)&gt;0,COUNTIF(Parameters!$B$4:$B$33,$B2187)=0),"procurement","cost_service"),"unclassified"))))))</f>
        <v>procurement</v>
      </c>
    </row>
    <row r="2188" spans="1:26" x14ac:dyDescent="0.25">
      <c r="A2188">
        <v>2024</v>
      </c>
      <c r="B2188">
        <v>59799</v>
      </c>
      <c r="C2188" t="s">
        <v>1563</v>
      </c>
      <c r="D2188" t="s">
        <v>99</v>
      </c>
      <c r="E2188" t="s">
        <v>100</v>
      </c>
      <c r="F2188" t="s">
        <v>86</v>
      </c>
      <c r="G2188" t="s">
        <v>46</v>
      </c>
      <c r="H2188" t="s">
        <v>101</v>
      </c>
      <c r="I2188" t="s">
        <v>92</v>
      </c>
      <c r="J2188">
        <v>998.9</v>
      </c>
      <c r="K2188">
        <v>5973</v>
      </c>
      <c r="L2188">
        <v>730</v>
      </c>
      <c r="M2188">
        <v>2278.4</v>
      </c>
      <c r="N2188">
        <v>16185</v>
      </c>
      <c r="O2188">
        <v>767</v>
      </c>
      <c r="P2188">
        <v>0</v>
      </c>
      <c r="Q2188">
        <v>0</v>
      </c>
      <c r="R2188">
        <v>0</v>
      </c>
      <c r="S2188">
        <v>0</v>
      </c>
      <c r="T2188">
        <v>0</v>
      </c>
      <c r="U2188">
        <v>0</v>
      </c>
      <c r="V2188">
        <v>3277.3</v>
      </c>
      <c r="W2188">
        <v>22158</v>
      </c>
      <c r="X2188">
        <v>1497</v>
      </c>
      <c r="Y2188">
        <f t="shared" si="34"/>
        <v>22158</v>
      </c>
      <c r="Z2188" t="str">
        <f>IF(ISNUMBER(SEARCH("Adjustment",$C2188)),"excluded",IF($H2188="Behind the Meter","excluded",IF(NOT(OR($E2188="Bundled",$E2188="Energy")),"excluded",IF(OR($H2188="Retail Power Marketer",$H2188="Community Choice Aggregator",$E2188="Energy"),"procurement",IF(OR($H2188="Municipal",$H2188="Cooperative",$H2188="Federal",$H2188="State",$H2188="Political Subdivision"),"cost_service",IF($H2188="Investor Owned",IF(AND(COUNTIF(Parameters!$A$4:$A$33,$G2188)&gt;0,COUNTIF(Parameters!$B$4:$B$33,$B2188)=0),"procurement","cost_service"),"unclassified"))))))</f>
        <v>procurement</v>
      </c>
    </row>
    <row r="2189" spans="1:26" x14ac:dyDescent="0.25">
      <c r="A2189">
        <v>2024</v>
      </c>
      <c r="B2189">
        <v>59799</v>
      </c>
      <c r="C2189" t="s">
        <v>1563</v>
      </c>
      <c r="D2189" t="s">
        <v>99</v>
      </c>
      <c r="E2189" t="s">
        <v>100</v>
      </c>
      <c r="F2189" t="s">
        <v>86</v>
      </c>
      <c r="G2189" t="s">
        <v>48</v>
      </c>
      <c r="H2189" t="s">
        <v>101</v>
      </c>
      <c r="I2189" t="s">
        <v>189</v>
      </c>
      <c r="J2189">
        <v>0</v>
      </c>
      <c r="K2189">
        <v>0</v>
      </c>
      <c r="L2189">
        <v>0</v>
      </c>
      <c r="M2189">
        <v>55.4</v>
      </c>
      <c r="N2189">
        <v>199</v>
      </c>
      <c r="O2189">
        <v>5</v>
      </c>
      <c r="P2189">
        <v>0</v>
      </c>
      <c r="Q2189">
        <v>0</v>
      </c>
      <c r="R2189">
        <v>0</v>
      </c>
      <c r="S2189">
        <v>0</v>
      </c>
      <c r="T2189">
        <v>0</v>
      </c>
      <c r="U2189">
        <v>0</v>
      </c>
      <c r="V2189">
        <v>55.4</v>
      </c>
      <c r="W2189">
        <v>199</v>
      </c>
      <c r="X2189">
        <v>5</v>
      </c>
      <c r="Y2189">
        <f t="shared" si="34"/>
        <v>199</v>
      </c>
      <c r="Z2189" t="str">
        <f>IF(ISNUMBER(SEARCH("Adjustment",$C2189)),"excluded",IF($H2189="Behind the Meter","excluded",IF(NOT(OR($E2189="Bundled",$E2189="Energy")),"excluded",IF(OR($H2189="Retail Power Marketer",$H2189="Community Choice Aggregator",$E2189="Energy"),"procurement",IF(OR($H2189="Municipal",$H2189="Cooperative",$H2189="Federal",$H2189="State",$H2189="Political Subdivision"),"cost_service",IF($H2189="Investor Owned",IF(AND(COUNTIF(Parameters!$A$4:$A$33,$G2189)&gt;0,COUNTIF(Parameters!$B$4:$B$33,$B2189)=0),"procurement","cost_service"),"unclassified"))))))</f>
        <v>procurement</v>
      </c>
    </row>
    <row r="2190" spans="1:26" x14ac:dyDescent="0.25">
      <c r="A2190">
        <v>2024</v>
      </c>
      <c r="B2190">
        <v>59799</v>
      </c>
      <c r="C2190" t="s">
        <v>1563</v>
      </c>
      <c r="D2190" t="s">
        <v>99</v>
      </c>
      <c r="E2190" t="s">
        <v>100</v>
      </c>
      <c r="F2190" t="s">
        <v>86</v>
      </c>
      <c r="G2190" t="s">
        <v>49</v>
      </c>
      <c r="H2190" t="s">
        <v>101</v>
      </c>
      <c r="I2190" t="s">
        <v>92</v>
      </c>
      <c r="J2190">
        <v>2004</v>
      </c>
      <c r="K2190">
        <v>11614</v>
      </c>
      <c r="L2190">
        <v>900</v>
      </c>
      <c r="M2190">
        <v>6594.6</v>
      </c>
      <c r="N2190">
        <v>40389</v>
      </c>
      <c r="O2190">
        <v>1192</v>
      </c>
      <c r="P2190">
        <v>0</v>
      </c>
      <c r="Q2190">
        <v>0</v>
      </c>
      <c r="R2190">
        <v>0</v>
      </c>
      <c r="S2190">
        <v>0</v>
      </c>
      <c r="T2190">
        <v>0</v>
      </c>
      <c r="U2190">
        <v>0</v>
      </c>
      <c r="V2190">
        <v>8598.6</v>
      </c>
      <c r="W2190">
        <v>52003</v>
      </c>
      <c r="X2190">
        <v>2092</v>
      </c>
      <c r="Y2190">
        <f t="shared" si="34"/>
        <v>52003</v>
      </c>
      <c r="Z2190" t="str">
        <f>IF(ISNUMBER(SEARCH("Adjustment",$C2190)),"excluded",IF($H2190="Behind the Meter","excluded",IF(NOT(OR($E2190="Bundled",$E2190="Energy")),"excluded",IF(OR($H2190="Retail Power Marketer",$H2190="Community Choice Aggregator",$E2190="Energy"),"procurement",IF(OR($H2190="Municipal",$H2190="Cooperative",$H2190="Federal",$H2190="State",$H2190="Political Subdivision"),"cost_service",IF($H2190="Investor Owned",IF(AND(COUNTIF(Parameters!$A$4:$A$33,$G2190)&gt;0,COUNTIF(Parameters!$B$4:$B$33,$B2190)=0),"procurement","cost_service"),"unclassified"))))))</f>
        <v>procurement</v>
      </c>
    </row>
    <row r="2191" spans="1:26" x14ac:dyDescent="0.25">
      <c r="A2191">
        <v>2024</v>
      </c>
      <c r="B2191">
        <v>59799</v>
      </c>
      <c r="C2191" t="s">
        <v>1563</v>
      </c>
      <c r="D2191" t="s">
        <v>99</v>
      </c>
      <c r="E2191" t="s">
        <v>100</v>
      </c>
      <c r="F2191" t="s">
        <v>86</v>
      </c>
      <c r="G2191" t="s">
        <v>52</v>
      </c>
      <c r="H2191" t="s">
        <v>101</v>
      </c>
      <c r="I2191" t="s">
        <v>92</v>
      </c>
      <c r="J2191">
        <v>3041.1</v>
      </c>
      <c r="K2191">
        <v>15213</v>
      </c>
      <c r="L2191">
        <v>1593</v>
      </c>
      <c r="M2191">
        <v>14341.4</v>
      </c>
      <c r="N2191">
        <v>79028</v>
      </c>
      <c r="O2191">
        <v>3148</v>
      </c>
      <c r="P2191">
        <v>0</v>
      </c>
      <c r="Q2191">
        <v>0</v>
      </c>
      <c r="R2191">
        <v>0</v>
      </c>
      <c r="S2191">
        <v>0</v>
      </c>
      <c r="T2191">
        <v>0</v>
      </c>
      <c r="U2191">
        <v>0</v>
      </c>
      <c r="V2191">
        <v>17382.5</v>
      </c>
      <c r="W2191">
        <v>94241</v>
      </c>
      <c r="X2191">
        <v>4741</v>
      </c>
      <c r="Y2191">
        <f t="shared" si="34"/>
        <v>94241</v>
      </c>
      <c r="Z2191" t="str">
        <f>IF(ISNUMBER(SEARCH("Adjustment",$C2191)),"excluded",IF($H2191="Behind the Meter","excluded",IF(NOT(OR($E2191="Bundled",$E2191="Energy")),"excluded",IF(OR($H2191="Retail Power Marketer",$H2191="Community Choice Aggregator",$E2191="Energy"),"procurement",IF(OR($H2191="Municipal",$H2191="Cooperative",$H2191="Federal",$H2191="State",$H2191="Political Subdivision"),"cost_service",IF($H2191="Investor Owned",IF(AND(COUNTIF(Parameters!$A$4:$A$33,$G2191)&gt;0,COUNTIF(Parameters!$B$4:$B$33,$B2191)=0),"procurement","cost_service"),"unclassified"))))))</f>
        <v>procurement</v>
      </c>
    </row>
    <row r="2192" spans="1:26" x14ac:dyDescent="0.25">
      <c r="A2192">
        <v>2024</v>
      </c>
      <c r="B2192">
        <v>59799</v>
      </c>
      <c r="C2192" t="s">
        <v>1563</v>
      </c>
      <c r="D2192" t="s">
        <v>99</v>
      </c>
      <c r="E2192" t="s">
        <v>100</v>
      </c>
      <c r="F2192" t="s">
        <v>86</v>
      </c>
      <c r="G2192" t="s">
        <v>53</v>
      </c>
      <c r="H2192" t="s">
        <v>101</v>
      </c>
      <c r="I2192" t="s">
        <v>102</v>
      </c>
      <c r="J2192">
        <v>21484.3</v>
      </c>
      <c r="K2192">
        <v>116466</v>
      </c>
      <c r="L2192">
        <v>13048</v>
      </c>
      <c r="M2192">
        <v>51903.8</v>
      </c>
      <c r="N2192">
        <v>303408</v>
      </c>
      <c r="O2192">
        <v>12686</v>
      </c>
      <c r="P2192">
        <v>0</v>
      </c>
      <c r="Q2192">
        <v>0</v>
      </c>
      <c r="R2192">
        <v>0</v>
      </c>
      <c r="S2192">
        <v>0</v>
      </c>
      <c r="T2192">
        <v>0</v>
      </c>
      <c r="U2192">
        <v>0</v>
      </c>
      <c r="V2192">
        <v>73388.100000000006</v>
      </c>
      <c r="W2192">
        <v>419874</v>
      </c>
      <c r="X2192">
        <v>25734</v>
      </c>
      <c r="Y2192">
        <f t="shared" si="34"/>
        <v>419874</v>
      </c>
      <c r="Z2192" t="str">
        <f>IF(ISNUMBER(SEARCH("Adjustment",$C2192)),"excluded",IF($H2192="Behind the Meter","excluded",IF(NOT(OR($E2192="Bundled",$E2192="Energy")),"excluded",IF(OR($H2192="Retail Power Marketer",$H2192="Community Choice Aggregator",$E2192="Energy"),"procurement",IF(OR($H2192="Municipal",$H2192="Cooperative",$H2192="Federal",$H2192="State",$H2192="Political Subdivision"),"cost_service",IF($H2192="Investor Owned",IF(AND(COUNTIF(Parameters!$A$4:$A$33,$G2192)&gt;0,COUNTIF(Parameters!$B$4:$B$33,$B2192)=0),"procurement","cost_service"),"unclassified"))))))</f>
        <v>procurement</v>
      </c>
    </row>
    <row r="2193" spans="1:26" x14ac:dyDescent="0.25">
      <c r="A2193">
        <v>2024</v>
      </c>
      <c r="B2193">
        <v>59799</v>
      </c>
      <c r="C2193" t="s">
        <v>1563</v>
      </c>
      <c r="D2193" t="s">
        <v>99</v>
      </c>
      <c r="E2193" t="s">
        <v>100</v>
      </c>
      <c r="F2193" t="s">
        <v>86</v>
      </c>
      <c r="G2193" t="s">
        <v>54</v>
      </c>
      <c r="H2193" t="s">
        <v>101</v>
      </c>
      <c r="I2193" t="s">
        <v>92</v>
      </c>
      <c r="J2193">
        <v>6180.3</v>
      </c>
      <c r="K2193">
        <v>52229</v>
      </c>
      <c r="L2193">
        <v>4512</v>
      </c>
      <c r="M2193">
        <v>15332.6</v>
      </c>
      <c r="N2193">
        <v>126568</v>
      </c>
      <c r="O2193">
        <v>5867</v>
      </c>
      <c r="P2193">
        <v>0</v>
      </c>
      <c r="Q2193">
        <v>0</v>
      </c>
      <c r="R2193">
        <v>0</v>
      </c>
      <c r="S2193">
        <v>0</v>
      </c>
      <c r="T2193">
        <v>0</v>
      </c>
      <c r="U2193">
        <v>0</v>
      </c>
      <c r="V2193">
        <v>21512.9</v>
      </c>
      <c r="W2193">
        <v>178797</v>
      </c>
      <c r="X2193">
        <v>10379</v>
      </c>
      <c r="Y2193">
        <f t="shared" si="34"/>
        <v>178797</v>
      </c>
      <c r="Z2193" t="str">
        <f>IF(ISNUMBER(SEARCH("Adjustment",$C2193)),"excluded",IF($H2193="Behind the Meter","excluded",IF(NOT(OR($E2193="Bundled",$E2193="Energy")),"excluded",IF(OR($H2193="Retail Power Marketer",$H2193="Community Choice Aggregator",$E2193="Energy"),"procurement",IF(OR($H2193="Municipal",$H2193="Cooperative",$H2193="Federal",$H2193="State",$H2193="Political Subdivision"),"cost_service",IF($H2193="Investor Owned",IF(AND(COUNTIF(Parameters!$A$4:$A$33,$G2193)&gt;0,COUNTIF(Parameters!$B$4:$B$33,$B2193)=0),"procurement","cost_service"),"unclassified"))))))</f>
        <v>procurement</v>
      </c>
    </row>
    <row r="2194" spans="1:26" x14ac:dyDescent="0.25">
      <c r="A2194">
        <v>2024</v>
      </c>
      <c r="B2194">
        <v>59799</v>
      </c>
      <c r="C2194" t="s">
        <v>1563</v>
      </c>
      <c r="D2194" t="s">
        <v>99</v>
      </c>
      <c r="E2194" t="s">
        <v>100</v>
      </c>
      <c r="F2194" t="s">
        <v>86</v>
      </c>
      <c r="G2194" t="s">
        <v>55</v>
      </c>
      <c r="H2194" t="s">
        <v>101</v>
      </c>
      <c r="I2194" t="s">
        <v>92</v>
      </c>
      <c r="J2194">
        <v>39432.6</v>
      </c>
      <c r="K2194">
        <v>315204</v>
      </c>
      <c r="L2194">
        <v>25167</v>
      </c>
      <c r="M2194">
        <v>46208.800000000003</v>
      </c>
      <c r="N2194">
        <v>302839</v>
      </c>
      <c r="O2194">
        <v>16186</v>
      </c>
      <c r="P2194">
        <v>0</v>
      </c>
      <c r="Q2194">
        <v>0</v>
      </c>
      <c r="R2194">
        <v>0</v>
      </c>
      <c r="S2194">
        <v>0</v>
      </c>
      <c r="T2194">
        <v>0</v>
      </c>
      <c r="U2194">
        <v>0</v>
      </c>
      <c r="V2194">
        <v>85641.4</v>
      </c>
      <c r="W2194">
        <v>618043</v>
      </c>
      <c r="X2194">
        <v>41353</v>
      </c>
      <c r="Y2194">
        <f t="shared" si="34"/>
        <v>618043</v>
      </c>
      <c r="Z2194" t="str">
        <f>IF(ISNUMBER(SEARCH("Adjustment",$C2194)),"excluded",IF($H2194="Behind the Meter","excluded",IF(NOT(OR($E2194="Bundled",$E2194="Energy")),"excluded",IF(OR($H2194="Retail Power Marketer",$H2194="Community Choice Aggregator",$E2194="Energy"),"procurement",IF(OR($H2194="Municipal",$H2194="Cooperative",$H2194="Federal",$H2194="State",$H2194="Political Subdivision"),"cost_service",IF($H2194="Investor Owned",IF(AND(COUNTIF(Parameters!$A$4:$A$33,$G2194)&gt;0,COUNTIF(Parameters!$B$4:$B$33,$B2194)=0),"procurement","cost_service"),"unclassified"))))))</f>
        <v>procurement</v>
      </c>
    </row>
    <row r="2195" spans="1:26" x14ac:dyDescent="0.25">
      <c r="A2195">
        <v>2024</v>
      </c>
      <c r="B2195">
        <v>59807</v>
      </c>
      <c r="C2195" t="s">
        <v>1564</v>
      </c>
      <c r="D2195" t="s">
        <v>99</v>
      </c>
      <c r="E2195" t="s">
        <v>100</v>
      </c>
      <c r="F2195" t="s">
        <v>86</v>
      </c>
      <c r="G2195" t="s">
        <v>44</v>
      </c>
      <c r="H2195" t="s">
        <v>101</v>
      </c>
      <c r="I2195" t="s">
        <v>92</v>
      </c>
      <c r="J2195">
        <v>1114.4000000000001</v>
      </c>
      <c r="K2195">
        <v>10336</v>
      </c>
      <c r="L2195">
        <v>1137</v>
      </c>
      <c r="M2195">
        <v>0</v>
      </c>
      <c r="N2195">
        <v>0</v>
      </c>
      <c r="O2195">
        <v>0</v>
      </c>
      <c r="P2195">
        <v>0</v>
      </c>
      <c r="Q2195">
        <v>0</v>
      </c>
      <c r="R2195">
        <v>0</v>
      </c>
      <c r="S2195">
        <v>0</v>
      </c>
      <c r="T2195">
        <v>0</v>
      </c>
      <c r="U2195">
        <v>0</v>
      </c>
      <c r="V2195">
        <v>1114.4000000000001</v>
      </c>
      <c r="W2195">
        <v>10336</v>
      </c>
      <c r="X2195">
        <v>1137</v>
      </c>
      <c r="Y2195">
        <f t="shared" si="34"/>
        <v>10336</v>
      </c>
      <c r="Z2195" t="str">
        <f>IF(ISNUMBER(SEARCH("Adjustment",$C2195)),"excluded",IF($H2195="Behind the Meter","excluded",IF(NOT(OR($E2195="Bundled",$E2195="Energy")),"excluded",IF(OR($H2195="Retail Power Marketer",$H2195="Community Choice Aggregator",$E2195="Energy"),"procurement",IF(OR($H2195="Municipal",$H2195="Cooperative",$H2195="Federal",$H2195="State",$H2195="Political Subdivision"),"cost_service",IF($H2195="Investor Owned",IF(AND(COUNTIF(Parameters!$A$4:$A$33,$G2195)&gt;0,COUNTIF(Parameters!$B$4:$B$33,$B2195)=0),"procurement","cost_service"),"unclassified"))))))</f>
        <v>procurement</v>
      </c>
    </row>
    <row r="2196" spans="1:26" x14ac:dyDescent="0.25">
      <c r="A2196">
        <v>2024</v>
      </c>
      <c r="B2196">
        <v>59807</v>
      </c>
      <c r="C2196" t="s">
        <v>1564</v>
      </c>
      <c r="D2196" t="s">
        <v>99</v>
      </c>
      <c r="E2196" t="s">
        <v>100</v>
      </c>
      <c r="F2196" t="s">
        <v>86</v>
      </c>
      <c r="G2196" t="s">
        <v>46</v>
      </c>
      <c r="H2196" t="s">
        <v>101</v>
      </c>
      <c r="I2196" t="s">
        <v>92</v>
      </c>
      <c r="J2196">
        <v>3840.5</v>
      </c>
      <c r="K2196">
        <v>35330</v>
      </c>
      <c r="L2196">
        <v>6738</v>
      </c>
      <c r="M2196">
        <v>0</v>
      </c>
      <c r="N2196">
        <v>0</v>
      </c>
      <c r="O2196">
        <v>0</v>
      </c>
      <c r="P2196">
        <v>0</v>
      </c>
      <c r="Q2196">
        <v>0</v>
      </c>
      <c r="R2196">
        <v>0</v>
      </c>
      <c r="S2196">
        <v>0</v>
      </c>
      <c r="T2196">
        <v>0</v>
      </c>
      <c r="U2196">
        <v>0</v>
      </c>
      <c r="V2196">
        <v>3840.5</v>
      </c>
      <c r="W2196">
        <v>35330</v>
      </c>
      <c r="X2196">
        <v>6738</v>
      </c>
      <c r="Y2196">
        <f t="shared" si="34"/>
        <v>35330</v>
      </c>
      <c r="Z2196" t="str">
        <f>IF(ISNUMBER(SEARCH("Adjustment",$C2196)),"excluded",IF($H2196="Behind the Meter","excluded",IF(NOT(OR($E2196="Bundled",$E2196="Energy")),"excluded",IF(OR($H2196="Retail Power Marketer",$H2196="Community Choice Aggregator",$E2196="Energy"),"procurement",IF(OR($H2196="Municipal",$H2196="Cooperative",$H2196="Federal",$H2196="State",$H2196="Political Subdivision"),"cost_service",IF($H2196="Investor Owned",IF(AND(COUNTIF(Parameters!$A$4:$A$33,$G2196)&gt;0,COUNTIF(Parameters!$B$4:$B$33,$B2196)=0),"procurement","cost_service"),"unclassified"))))))</f>
        <v>procurement</v>
      </c>
    </row>
    <row r="2197" spans="1:26" x14ac:dyDescent="0.25">
      <c r="A2197">
        <v>2024</v>
      </c>
      <c r="B2197">
        <v>59807</v>
      </c>
      <c r="C2197" t="s">
        <v>1564</v>
      </c>
      <c r="D2197" t="s">
        <v>99</v>
      </c>
      <c r="E2197" t="s">
        <v>100</v>
      </c>
      <c r="F2197" t="s">
        <v>86</v>
      </c>
      <c r="G2197" t="s">
        <v>46</v>
      </c>
      <c r="H2197" t="s">
        <v>101</v>
      </c>
      <c r="I2197" t="s">
        <v>96</v>
      </c>
      <c r="J2197">
        <v>1578.7</v>
      </c>
      <c r="K2197">
        <v>11742</v>
      </c>
      <c r="L2197">
        <v>1473</v>
      </c>
      <c r="M2197">
        <v>0</v>
      </c>
      <c r="N2197">
        <v>0</v>
      </c>
      <c r="O2197">
        <v>0</v>
      </c>
      <c r="P2197">
        <v>0</v>
      </c>
      <c r="Q2197">
        <v>0</v>
      </c>
      <c r="R2197">
        <v>0</v>
      </c>
      <c r="S2197">
        <v>0</v>
      </c>
      <c r="T2197">
        <v>0</v>
      </c>
      <c r="U2197">
        <v>0</v>
      </c>
      <c r="V2197">
        <v>1578.7</v>
      </c>
      <c r="W2197">
        <v>11742</v>
      </c>
      <c r="X2197">
        <v>1473</v>
      </c>
      <c r="Y2197">
        <f t="shared" si="34"/>
        <v>11742</v>
      </c>
      <c r="Z2197" t="str">
        <f>IF(ISNUMBER(SEARCH("Adjustment",$C2197)),"excluded",IF($H2197="Behind the Meter","excluded",IF(NOT(OR($E2197="Bundled",$E2197="Energy")),"excluded",IF(OR($H2197="Retail Power Marketer",$H2197="Community Choice Aggregator",$E2197="Energy"),"procurement",IF(OR($H2197="Municipal",$H2197="Cooperative",$H2197="Federal",$H2197="State",$H2197="Political Subdivision"),"cost_service",IF($H2197="Investor Owned",IF(AND(COUNTIF(Parameters!$A$4:$A$33,$G2197)&gt;0,COUNTIF(Parameters!$B$4:$B$33,$B2197)=0),"procurement","cost_service"),"unclassified"))))))</f>
        <v>procurement</v>
      </c>
    </row>
    <row r="2198" spans="1:26" x14ac:dyDescent="0.25">
      <c r="A2198">
        <v>2024</v>
      </c>
      <c r="B2198">
        <v>59807</v>
      </c>
      <c r="C2198" t="s">
        <v>1564</v>
      </c>
      <c r="D2198" t="s">
        <v>99</v>
      </c>
      <c r="E2198" t="s">
        <v>100</v>
      </c>
      <c r="F2198" t="s">
        <v>86</v>
      </c>
      <c r="G2198" t="s">
        <v>49</v>
      </c>
      <c r="H2198" t="s">
        <v>101</v>
      </c>
      <c r="I2198" t="s">
        <v>92</v>
      </c>
      <c r="J2198">
        <v>1084.2</v>
      </c>
      <c r="K2198">
        <v>9182</v>
      </c>
      <c r="L2198">
        <v>1013</v>
      </c>
      <c r="M2198">
        <v>0</v>
      </c>
      <c r="N2198">
        <v>0</v>
      </c>
      <c r="O2198">
        <v>0</v>
      </c>
      <c r="P2198">
        <v>0</v>
      </c>
      <c r="Q2198">
        <v>0</v>
      </c>
      <c r="R2198">
        <v>0</v>
      </c>
      <c r="S2198">
        <v>0</v>
      </c>
      <c r="T2198">
        <v>0</v>
      </c>
      <c r="U2198">
        <v>0</v>
      </c>
      <c r="V2198">
        <v>1084.2</v>
      </c>
      <c r="W2198">
        <v>9182</v>
      </c>
      <c r="X2198">
        <v>1013</v>
      </c>
      <c r="Y2198">
        <f t="shared" si="34"/>
        <v>9182</v>
      </c>
      <c r="Z2198" t="str">
        <f>IF(ISNUMBER(SEARCH("Adjustment",$C2198)),"excluded",IF($H2198="Behind the Meter","excluded",IF(NOT(OR($E2198="Bundled",$E2198="Energy")),"excluded",IF(OR($H2198="Retail Power Marketer",$H2198="Community Choice Aggregator",$E2198="Energy"),"procurement",IF(OR($H2198="Municipal",$H2198="Cooperative",$H2198="Federal",$H2198="State",$H2198="Political Subdivision"),"cost_service",IF($H2198="Investor Owned",IF(AND(COUNTIF(Parameters!$A$4:$A$33,$G2198)&gt;0,COUNTIF(Parameters!$B$4:$B$33,$B2198)=0),"procurement","cost_service"),"unclassified"))))))</f>
        <v>procurement</v>
      </c>
    </row>
    <row r="2199" spans="1:26" x14ac:dyDescent="0.25">
      <c r="A2199">
        <v>2024</v>
      </c>
      <c r="B2199">
        <v>59807</v>
      </c>
      <c r="C2199" t="s">
        <v>1564</v>
      </c>
      <c r="D2199" t="s">
        <v>99</v>
      </c>
      <c r="E2199" t="s">
        <v>100</v>
      </c>
      <c r="F2199" t="s">
        <v>86</v>
      </c>
      <c r="G2199" t="s">
        <v>52</v>
      </c>
      <c r="H2199" t="s">
        <v>101</v>
      </c>
      <c r="I2199" t="s">
        <v>92</v>
      </c>
      <c r="J2199">
        <v>748.6</v>
      </c>
      <c r="K2199">
        <v>5121</v>
      </c>
      <c r="L2199">
        <v>824</v>
      </c>
      <c r="M2199">
        <v>0</v>
      </c>
      <c r="N2199">
        <v>0</v>
      </c>
      <c r="O2199">
        <v>0</v>
      </c>
      <c r="P2199">
        <v>0</v>
      </c>
      <c r="Q2199">
        <v>0</v>
      </c>
      <c r="R2199">
        <v>0</v>
      </c>
      <c r="S2199">
        <v>0</v>
      </c>
      <c r="T2199">
        <v>0</v>
      </c>
      <c r="U2199">
        <v>0</v>
      </c>
      <c r="V2199">
        <v>748.6</v>
      </c>
      <c r="W2199">
        <v>5121</v>
      </c>
      <c r="X2199">
        <v>824</v>
      </c>
      <c r="Y2199">
        <f t="shared" si="34"/>
        <v>5121</v>
      </c>
      <c r="Z2199" t="str">
        <f>IF(ISNUMBER(SEARCH("Adjustment",$C2199)),"excluded",IF($H2199="Behind the Meter","excluded",IF(NOT(OR($E2199="Bundled",$E2199="Energy")),"excluded",IF(OR($H2199="Retail Power Marketer",$H2199="Community Choice Aggregator",$E2199="Energy"),"procurement",IF(OR($H2199="Municipal",$H2199="Cooperative",$H2199="Federal",$H2199="State",$H2199="Political Subdivision"),"cost_service",IF($H2199="Investor Owned",IF(AND(COUNTIF(Parameters!$A$4:$A$33,$G2199)&gt;0,COUNTIF(Parameters!$B$4:$B$33,$B2199)=0),"procurement","cost_service"),"unclassified"))))))</f>
        <v>procurement</v>
      </c>
    </row>
    <row r="2200" spans="1:26" x14ac:dyDescent="0.25">
      <c r="A2200">
        <v>2024</v>
      </c>
      <c r="B2200">
        <v>59807</v>
      </c>
      <c r="C2200" t="s">
        <v>1564</v>
      </c>
      <c r="D2200" t="s">
        <v>99</v>
      </c>
      <c r="E2200" t="s">
        <v>100</v>
      </c>
      <c r="F2200" t="s">
        <v>86</v>
      </c>
      <c r="G2200" t="s">
        <v>54</v>
      </c>
      <c r="H2200" t="s">
        <v>101</v>
      </c>
      <c r="I2200" t="s">
        <v>92</v>
      </c>
      <c r="J2200">
        <v>3949.4</v>
      </c>
      <c r="K2200">
        <v>40919</v>
      </c>
      <c r="L2200">
        <v>4822</v>
      </c>
      <c r="M2200">
        <v>5.5</v>
      </c>
      <c r="N2200">
        <v>53</v>
      </c>
      <c r="O2200">
        <v>6</v>
      </c>
      <c r="P2200">
        <v>0</v>
      </c>
      <c r="Q2200">
        <v>0</v>
      </c>
      <c r="R2200">
        <v>0</v>
      </c>
      <c r="S2200">
        <v>0</v>
      </c>
      <c r="T2200">
        <v>0</v>
      </c>
      <c r="U2200">
        <v>0</v>
      </c>
      <c r="V2200">
        <v>3954.9</v>
      </c>
      <c r="W2200">
        <v>40972</v>
      </c>
      <c r="X2200">
        <v>4828</v>
      </c>
      <c r="Y2200">
        <f t="shared" si="34"/>
        <v>40972</v>
      </c>
      <c r="Z2200" t="str">
        <f>IF(ISNUMBER(SEARCH("Adjustment",$C2200)),"excluded",IF($H2200="Behind the Meter","excluded",IF(NOT(OR($E2200="Bundled",$E2200="Energy")),"excluded",IF(OR($H2200="Retail Power Marketer",$H2200="Community Choice Aggregator",$E2200="Energy"),"procurement",IF(OR($H2200="Municipal",$H2200="Cooperative",$H2200="Federal",$H2200="State",$H2200="Political Subdivision"),"cost_service",IF($H2200="Investor Owned",IF(AND(COUNTIF(Parameters!$A$4:$A$33,$G2200)&gt;0,COUNTIF(Parameters!$B$4:$B$33,$B2200)=0),"procurement","cost_service"),"unclassified"))))))</f>
        <v>procurement</v>
      </c>
    </row>
    <row r="2201" spans="1:26" x14ac:dyDescent="0.25">
      <c r="A2201">
        <v>2024</v>
      </c>
      <c r="B2201">
        <v>59807</v>
      </c>
      <c r="C2201" t="s">
        <v>1564</v>
      </c>
      <c r="D2201" t="s">
        <v>99</v>
      </c>
      <c r="E2201" t="s">
        <v>100</v>
      </c>
      <c r="F2201" t="s">
        <v>86</v>
      </c>
      <c r="G2201" t="s">
        <v>55</v>
      </c>
      <c r="H2201" t="s">
        <v>101</v>
      </c>
      <c r="I2201" t="s">
        <v>92</v>
      </c>
      <c r="J2201">
        <v>3058.1</v>
      </c>
      <c r="K2201">
        <v>25780</v>
      </c>
      <c r="L2201">
        <v>3346</v>
      </c>
      <c r="M2201">
        <v>0</v>
      </c>
      <c r="N2201">
        <v>0</v>
      </c>
      <c r="O2201">
        <v>0</v>
      </c>
      <c r="P2201">
        <v>0</v>
      </c>
      <c r="Q2201">
        <v>0</v>
      </c>
      <c r="R2201">
        <v>0</v>
      </c>
      <c r="S2201">
        <v>0</v>
      </c>
      <c r="T2201">
        <v>0</v>
      </c>
      <c r="U2201">
        <v>0</v>
      </c>
      <c r="V2201">
        <v>3058.1</v>
      </c>
      <c r="W2201">
        <v>25780</v>
      </c>
      <c r="X2201">
        <v>3346</v>
      </c>
      <c r="Y2201">
        <f t="shared" si="34"/>
        <v>25780</v>
      </c>
      <c r="Z2201" t="str">
        <f>IF(ISNUMBER(SEARCH("Adjustment",$C2201)),"excluded",IF($H2201="Behind the Meter","excluded",IF(NOT(OR($E2201="Bundled",$E2201="Energy")),"excluded",IF(OR($H2201="Retail Power Marketer",$H2201="Community Choice Aggregator",$E2201="Energy"),"procurement",IF(OR($H2201="Municipal",$H2201="Cooperative",$H2201="Federal",$H2201="State",$H2201="Political Subdivision"),"cost_service",IF($H2201="Investor Owned",IF(AND(COUNTIF(Parameters!$A$4:$A$33,$G2201)&gt;0,COUNTIF(Parameters!$B$4:$B$33,$B2201)=0),"procurement","cost_service"),"unclassified"))))))</f>
        <v>procurement</v>
      </c>
    </row>
    <row r="2202" spans="1:26" x14ac:dyDescent="0.25">
      <c r="A2202">
        <v>2024</v>
      </c>
      <c r="B2202">
        <v>59808</v>
      </c>
      <c r="C2202" t="s">
        <v>1565</v>
      </c>
      <c r="D2202" t="s">
        <v>99</v>
      </c>
      <c r="E2202" t="s">
        <v>100</v>
      </c>
      <c r="F2202" t="s">
        <v>86</v>
      </c>
      <c r="G2202" t="s">
        <v>40</v>
      </c>
      <c r="H2202" t="s">
        <v>101</v>
      </c>
      <c r="I2202" t="s">
        <v>189</v>
      </c>
      <c r="J2202">
        <v>0</v>
      </c>
      <c r="K2202">
        <v>0</v>
      </c>
      <c r="L2202">
        <v>0</v>
      </c>
      <c r="M2202">
        <v>19699.900000000001</v>
      </c>
      <c r="N2202">
        <v>222570</v>
      </c>
      <c r="O2202">
        <v>832</v>
      </c>
      <c r="P2202">
        <v>2569.4</v>
      </c>
      <c r="Q2202">
        <v>24291</v>
      </c>
      <c r="R2202">
        <v>33</v>
      </c>
      <c r="S2202">
        <v>0</v>
      </c>
      <c r="T2202">
        <v>0</v>
      </c>
      <c r="U2202">
        <v>0</v>
      </c>
      <c r="V2202">
        <v>22269.3</v>
      </c>
      <c r="W2202">
        <v>246861</v>
      </c>
      <c r="X2202">
        <v>865</v>
      </c>
      <c r="Y2202">
        <f t="shared" si="34"/>
        <v>246861</v>
      </c>
      <c r="Z2202" t="str">
        <f>IF(ISNUMBER(SEARCH("Adjustment",$C2202)),"excluded",IF($H2202="Behind the Meter","excluded",IF(NOT(OR($E2202="Bundled",$E2202="Energy")),"excluded",IF(OR($H2202="Retail Power Marketer",$H2202="Community Choice Aggregator",$E2202="Energy"),"procurement",IF(OR($H2202="Municipal",$H2202="Cooperative",$H2202="Federal",$H2202="State",$H2202="Political Subdivision"),"cost_service",IF($H2202="Investor Owned",IF(AND(COUNTIF(Parameters!$A$4:$A$33,$G2202)&gt;0,COUNTIF(Parameters!$B$4:$B$33,$B2202)=0),"procurement","cost_service"),"unclassified"))))))</f>
        <v>procurement</v>
      </c>
    </row>
    <row r="2203" spans="1:26" x14ac:dyDescent="0.25">
      <c r="A2203">
        <v>2024</v>
      </c>
      <c r="B2203">
        <v>59808</v>
      </c>
      <c r="C2203" t="s">
        <v>1565</v>
      </c>
      <c r="D2203" t="s">
        <v>99</v>
      </c>
      <c r="E2203" t="s">
        <v>100</v>
      </c>
      <c r="F2203" t="s">
        <v>86</v>
      </c>
      <c r="G2203" t="s">
        <v>42</v>
      </c>
      <c r="H2203" t="s">
        <v>101</v>
      </c>
      <c r="I2203" t="s">
        <v>92</v>
      </c>
      <c r="J2203">
        <v>0</v>
      </c>
      <c r="K2203">
        <v>0</v>
      </c>
      <c r="L2203">
        <v>0</v>
      </c>
      <c r="M2203">
        <v>22074.3</v>
      </c>
      <c r="N2203">
        <v>213326</v>
      </c>
      <c r="O2203">
        <v>317</v>
      </c>
      <c r="P2203">
        <v>0</v>
      </c>
      <c r="Q2203">
        <v>0</v>
      </c>
      <c r="R2203">
        <v>0</v>
      </c>
      <c r="S2203">
        <v>0</v>
      </c>
      <c r="T2203">
        <v>0</v>
      </c>
      <c r="U2203">
        <v>0</v>
      </c>
      <c r="V2203">
        <v>22074.3</v>
      </c>
      <c r="W2203">
        <v>213326</v>
      </c>
      <c r="X2203">
        <v>317</v>
      </c>
      <c r="Y2203">
        <f t="shared" si="34"/>
        <v>213326</v>
      </c>
      <c r="Z2203" t="str">
        <f>IF(ISNUMBER(SEARCH("Adjustment",$C2203)),"excluded",IF($H2203="Behind the Meter","excluded",IF(NOT(OR($E2203="Bundled",$E2203="Energy")),"excluded",IF(OR($H2203="Retail Power Marketer",$H2203="Community Choice Aggregator",$E2203="Energy"),"procurement",IF(OR($H2203="Municipal",$H2203="Cooperative",$H2203="Federal",$H2203="State",$H2203="Political Subdivision"),"cost_service",IF($H2203="Investor Owned",IF(AND(COUNTIF(Parameters!$A$4:$A$33,$G2203)&gt;0,COUNTIF(Parameters!$B$4:$B$33,$B2203)=0),"procurement","cost_service"),"unclassified"))))))</f>
        <v>procurement</v>
      </c>
    </row>
    <row r="2204" spans="1:26" x14ac:dyDescent="0.25">
      <c r="A2204">
        <v>2024</v>
      </c>
      <c r="B2204">
        <v>59808</v>
      </c>
      <c r="C2204" t="s">
        <v>1565</v>
      </c>
      <c r="D2204" t="s">
        <v>99</v>
      </c>
      <c r="E2204" t="s">
        <v>100</v>
      </c>
      <c r="F2204" t="s">
        <v>86</v>
      </c>
      <c r="G2204" t="s">
        <v>44</v>
      </c>
      <c r="H2204" t="s">
        <v>101</v>
      </c>
      <c r="I2204" t="s">
        <v>92</v>
      </c>
      <c r="J2204">
        <v>0</v>
      </c>
      <c r="K2204">
        <v>0</v>
      </c>
      <c r="L2204">
        <v>0</v>
      </c>
      <c r="M2204">
        <v>3415.1</v>
      </c>
      <c r="N2204">
        <v>58391</v>
      </c>
      <c r="O2204">
        <v>276</v>
      </c>
      <c r="P2204">
        <v>265.2</v>
      </c>
      <c r="Q2204">
        <v>4752</v>
      </c>
      <c r="R2204">
        <v>5</v>
      </c>
      <c r="S2204">
        <v>0</v>
      </c>
      <c r="T2204">
        <v>0</v>
      </c>
      <c r="U2204">
        <v>0</v>
      </c>
      <c r="V2204">
        <v>3680.3</v>
      </c>
      <c r="W2204">
        <v>63143</v>
      </c>
      <c r="X2204">
        <v>281</v>
      </c>
      <c r="Y2204">
        <f t="shared" si="34"/>
        <v>63143</v>
      </c>
      <c r="Z2204" t="str">
        <f>IF(ISNUMBER(SEARCH("Adjustment",$C2204)),"excluded",IF($H2204="Behind the Meter","excluded",IF(NOT(OR($E2204="Bundled",$E2204="Energy")),"excluded",IF(OR($H2204="Retail Power Marketer",$H2204="Community Choice Aggregator",$E2204="Energy"),"procurement",IF(OR($H2204="Municipal",$H2204="Cooperative",$H2204="Federal",$H2204="State",$H2204="Political Subdivision"),"cost_service",IF($H2204="Investor Owned",IF(AND(COUNTIF(Parameters!$A$4:$A$33,$G2204)&gt;0,COUNTIF(Parameters!$B$4:$B$33,$B2204)=0),"procurement","cost_service"),"unclassified"))))))</f>
        <v>procurement</v>
      </c>
    </row>
    <row r="2205" spans="1:26" x14ac:dyDescent="0.25">
      <c r="A2205">
        <v>2024</v>
      </c>
      <c r="B2205">
        <v>59808</v>
      </c>
      <c r="C2205" t="s">
        <v>1565</v>
      </c>
      <c r="D2205" t="s">
        <v>99</v>
      </c>
      <c r="E2205" t="s">
        <v>100</v>
      </c>
      <c r="F2205" t="s">
        <v>86</v>
      </c>
      <c r="G2205" t="s">
        <v>46</v>
      </c>
      <c r="H2205" t="s">
        <v>101</v>
      </c>
      <c r="I2205" t="s">
        <v>92</v>
      </c>
      <c r="J2205">
        <v>0</v>
      </c>
      <c r="K2205">
        <v>0</v>
      </c>
      <c r="L2205">
        <v>0</v>
      </c>
      <c r="M2205">
        <v>114503.6</v>
      </c>
      <c r="N2205">
        <v>1955843</v>
      </c>
      <c r="O2205">
        <v>1930</v>
      </c>
      <c r="P2205">
        <v>23542.5</v>
      </c>
      <c r="Q2205">
        <v>440112</v>
      </c>
      <c r="R2205">
        <v>101</v>
      </c>
      <c r="S2205">
        <v>4596.8</v>
      </c>
      <c r="T2205">
        <v>108933</v>
      </c>
      <c r="U2205">
        <v>1</v>
      </c>
      <c r="V2205">
        <v>142642.9</v>
      </c>
      <c r="W2205">
        <v>2504888</v>
      </c>
      <c r="X2205">
        <v>2032</v>
      </c>
      <c r="Y2205">
        <f t="shared" si="34"/>
        <v>2504888</v>
      </c>
      <c r="Z2205" t="str">
        <f>IF(ISNUMBER(SEARCH("Adjustment",$C2205)),"excluded",IF($H2205="Behind the Meter","excluded",IF(NOT(OR($E2205="Bundled",$E2205="Energy")),"excluded",IF(OR($H2205="Retail Power Marketer",$H2205="Community Choice Aggregator",$E2205="Energy"),"procurement",IF(OR($H2205="Municipal",$H2205="Cooperative",$H2205="Federal",$H2205="State",$H2205="Political Subdivision"),"cost_service",IF($H2205="Investor Owned",IF(AND(COUNTIF(Parameters!$A$4:$A$33,$G2205)&gt;0,COUNTIF(Parameters!$B$4:$B$33,$B2205)=0),"procurement","cost_service"),"unclassified"))))))</f>
        <v>procurement</v>
      </c>
    </row>
    <row r="2206" spans="1:26" x14ac:dyDescent="0.25">
      <c r="A2206">
        <v>2024</v>
      </c>
      <c r="B2206">
        <v>59808</v>
      </c>
      <c r="C2206" t="s">
        <v>1565</v>
      </c>
      <c r="D2206" t="s">
        <v>99</v>
      </c>
      <c r="E2206" t="s">
        <v>100</v>
      </c>
      <c r="F2206" t="s">
        <v>86</v>
      </c>
      <c r="G2206" t="s">
        <v>48</v>
      </c>
      <c r="H2206" t="s">
        <v>101</v>
      </c>
      <c r="I2206" t="s">
        <v>189</v>
      </c>
      <c r="J2206">
        <v>0</v>
      </c>
      <c r="K2206">
        <v>0</v>
      </c>
      <c r="L2206">
        <v>0</v>
      </c>
      <c r="M2206">
        <v>17835.2</v>
      </c>
      <c r="N2206">
        <v>142074</v>
      </c>
      <c r="O2206">
        <v>520</v>
      </c>
      <c r="P2206">
        <v>2355.6999999999998</v>
      </c>
      <c r="Q2206">
        <v>17817</v>
      </c>
      <c r="R2206">
        <v>10</v>
      </c>
      <c r="S2206">
        <v>0</v>
      </c>
      <c r="T2206">
        <v>0</v>
      </c>
      <c r="U2206">
        <v>0</v>
      </c>
      <c r="V2206">
        <v>20190.900000000001</v>
      </c>
      <c r="W2206">
        <v>159891</v>
      </c>
      <c r="X2206">
        <v>530</v>
      </c>
      <c r="Y2206">
        <f t="shared" si="34"/>
        <v>159891</v>
      </c>
      <c r="Z2206" t="str">
        <f>IF(ISNUMBER(SEARCH("Adjustment",$C2206)),"excluded",IF($H2206="Behind the Meter","excluded",IF(NOT(OR($E2206="Bundled",$E2206="Energy")),"excluded",IF(OR($H2206="Retail Power Marketer",$H2206="Community Choice Aggregator",$E2206="Energy"),"procurement",IF(OR($H2206="Municipal",$H2206="Cooperative",$H2206="Federal",$H2206="State",$H2206="Political Subdivision"),"cost_service",IF($H2206="Investor Owned",IF(AND(COUNTIF(Parameters!$A$4:$A$33,$G2206)&gt;0,COUNTIF(Parameters!$B$4:$B$33,$B2206)=0),"procurement","cost_service"),"unclassified"))))))</f>
        <v>procurement</v>
      </c>
    </row>
    <row r="2207" spans="1:26" x14ac:dyDescent="0.25">
      <c r="A2207">
        <v>2024</v>
      </c>
      <c r="B2207">
        <v>59808</v>
      </c>
      <c r="C2207" t="s">
        <v>1565</v>
      </c>
      <c r="D2207" t="s">
        <v>99</v>
      </c>
      <c r="E2207" t="s">
        <v>100</v>
      </c>
      <c r="F2207" t="s">
        <v>86</v>
      </c>
      <c r="G2207" t="s">
        <v>49</v>
      </c>
      <c r="H2207" t="s">
        <v>101</v>
      </c>
      <c r="I2207" t="s">
        <v>92</v>
      </c>
      <c r="J2207">
        <v>0</v>
      </c>
      <c r="K2207">
        <v>0</v>
      </c>
      <c r="L2207">
        <v>0</v>
      </c>
      <c r="M2207">
        <v>13616.8</v>
      </c>
      <c r="N2207">
        <v>165741</v>
      </c>
      <c r="O2207">
        <v>611</v>
      </c>
      <c r="P2207">
        <v>1570.6</v>
      </c>
      <c r="Q2207">
        <v>20877</v>
      </c>
      <c r="R2207">
        <v>20</v>
      </c>
      <c r="S2207">
        <v>0</v>
      </c>
      <c r="T2207">
        <v>0</v>
      </c>
      <c r="U2207">
        <v>0</v>
      </c>
      <c r="V2207">
        <v>15187.4</v>
      </c>
      <c r="W2207">
        <v>186618</v>
      </c>
      <c r="X2207">
        <v>631</v>
      </c>
      <c r="Y2207">
        <f t="shared" si="34"/>
        <v>186618</v>
      </c>
      <c r="Z2207" t="str">
        <f>IF(ISNUMBER(SEARCH("Adjustment",$C2207)),"excluded",IF($H2207="Behind the Meter","excluded",IF(NOT(OR($E2207="Bundled",$E2207="Energy")),"excluded",IF(OR($H2207="Retail Power Marketer",$H2207="Community Choice Aggregator",$E2207="Energy"),"procurement",IF(OR($H2207="Municipal",$H2207="Cooperative",$H2207="Federal",$H2207="State",$H2207="Political Subdivision"),"cost_service",IF($H2207="Investor Owned",IF(AND(COUNTIF(Parameters!$A$4:$A$33,$G2207)&gt;0,COUNTIF(Parameters!$B$4:$B$33,$B2207)=0),"procurement","cost_service"),"unclassified"))))))</f>
        <v>procurement</v>
      </c>
    </row>
    <row r="2208" spans="1:26" x14ac:dyDescent="0.25">
      <c r="A2208">
        <v>2024</v>
      </c>
      <c r="B2208">
        <v>59808</v>
      </c>
      <c r="C2208" t="s">
        <v>1565</v>
      </c>
      <c r="D2208" t="s">
        <v>99</v>
      </c>
      <c r="E2208" t="s">
        <v>100</v>
      </c>
      <c r="F2208" t="s">
        <v>86</v>
      </c>
      <c r="G2208" t="s">
        <v>50</v>
      </c>
      <c r="H2208" t="s">
        <v>101</v>
      </c>
      <c r="I2208" t="s">
        <v>189</v>
      </c>
      <c r="J2208">
        <v>0</v>
      </c>
      <c r="K2208">
        <v>0</v>
      </c>
      <c r="L2208">
        <v>0</v>
      </c>
      <c r="M2208">
        <v>7099</v>
      </c>
      <c r="N2208">
        <v>62901</v>
      </c>
      <c r="O2208">
        <v>419</v>
      </c>
      <c r="P2208">
        <v>1232.8</v>
      </c>
      <c r="Q2208">
        <v>11589</v>
      </c>
      <c r="R2208">
        <v>20</v>
      </c>
      <c r="S2208">
        <v>0</v>
      </c>
      <c r="T2208">
        <v>0</v>
      </c>
      <c r="U2208">
        <v>0</v>
      </c>
      <c r="V2208">
        <v>8331.7999999999993</v>
      </c>
      <c r="W2208">
        <v>74490</v>
      </c>
      <c r="X2208">
        <v>439</v>
      </c>
      <c r="Y2208">
        <f t="shared" si="34"/>
        <v>74490</v>
      </c>
      <c r="Z2208" t="str">
        <f>IF(ISNUMBER(SEARCH("Adjustment",$C2208)),"excluded",IF($H2208="Behind the Meter","excluded",IF(NOT(OR($E2208="Bundled",$E2208="Energy")),"excluded",IF(OR($H2208="Retail Power Marketer",$H2208="Community Choice Aggregator",$E2208="Energy"),"procurement",IF(OR($H2208="Municipal",$H2208="Cooperative",$H2208="Federal",$H2208="State",$H2208="Political Subdivision"),"cost_service",IF($H2208="Investor Owned",IF(AND(COUNTIF(Parameters!$A$4:$A$33,$G2208)&gt;0,COUNTIF(Parameters!$B$4:$B$33,$B2208)=0),"procurement","cost_service"),"unclassified"))))))</f>
        <v>procurement</v>
      </c>
    </row>
    <row r="2209" spans="1:26" x14ac:dyDescent="0.25">
      <c r="A2209">
        <v>2024</v>
      </c>
      <c r="B2209">
        <v>59808</v>
      </c>
      <c r="C2209" t="s">
        <v>1565</v>
      </c>
      <c r="D2209" t="s">
        <v>99</v>
      </c>
      <c r="E2209" t="s">
        <v>100</v>
      </c>
      <c r="F2209" t="s">
        <v>86</v>
      </c>
      <c r="G2209" t="s">
        <v>51</v>
      </c>
      <c r="H2209" t="s">
        <v>101</v>
      </c>
      <c r="I2209" t="s">
        <v>189</v>
      </c>
      <c r="J2209">
        <v>0</v>
      </c>
      <c r="K2209">
        <v>0</v>
      </c>
      <c r="L2209">
        <v>0</v>
      </c>
      <c r="M2209">
        <v>8848.9</v>
      </c>
      <c r="N2209">
        <v>75872</v>
      </c>
      <c r="O2209">
        <v>639</v>
      </c>
      <c r="P2209">
        <v>435</v>
      </c>
      <c r="Q2209">
        <v>4408</v>
      </c>
      <c r="R2209">
        <v>6</v>
      </c>
      <c r="S2209">
        <v>0</v>
      </c>
      <c r="T2209">
        <v>0</v>
      </c>
      <c r="U2209">
        <v>0</v>
      </c>
      <c r="V2209">
        <v>9283.9</v>
      </c>
      <c r="W2209">
        <v>80280</v>
      </c>
      <c r="X2209">
        <v>645</v>
      </c>
      <c r="Y2209">
        <f t="shared" si="34"/>
        <v>80280</v>
      </c>
      <c r="Z2209" t="str">
        <f>IF(ISNUMBER(SEARCH("Adjustment",$C2209)),"excluded",IF($H2209="Behind the Meter","excluded",IF(NOT(OR($E2209="Bundled",$E2209="Energy")),"excluded",IF(OR($H2209="Retail Power Marketer",$H2209="Community Choice Aggregator",$E2209="Energy"),"procurement",IF(OR($H2209="Municipal",$H2209="Cooperative",$H2209="Federal",$H2209="State",$H2209="Political Subdivision"),"cost_service",IF($H2209="Investor Owned",IF(AND(COUNTIF(Parameters!$A$4:$A$33,$G2209)&gt;0,COUNTIF(Parameters!$B$4:$B$33,$B2209)=0),"procurement","cost_service"),"unclassified"))))))</f>
        <v>procurement</v>
      </c>
    </row>
    <row r="2210" spans="1:26" x14ac:dyDescent="0.25">
      <c r="A2210">
        <v>2024</v>
      </c>
      <c r="B2210">
        <v>59808</v>
      </c>
      <c r="C2210" t="s">
        <v>1565</v>
      </c>
      <c r="D2210" t="s">
        <v>99</v>
      </c>
      <c r="E2210" t="s">
        <v>100</v>
      </c>
      <c r="F2210" t="s">
        <v>86</v>
      </c>
      <c r="G2210" t="s">
        <v>52</v>
      </c>
      <c r="H2210" t="s">
        <v>101</v>
      </c>
      <c r="I2210" t="s">
        <v>92</v>
      </c>
      <c r="J2210">
        <v>0</v>
      </c>
      <c r="K2210">
        <v>0</v>
      </c>
      <c r="L2210">
        <v>0</v>
      </c>
      <c r="M2210">
        <v>79242</v>
      </c>
      <c r="N2210">
        <v>864809</v>
      </c>
      <c r="O2210">
        <v>2072</v>
      </c>
      <c r="P2210">
        <v>14784.2</v>
      </c>
      <c r="Q2210">
        <v>317133</v>
      </c>
      <c r="R2210">
        <v>54</v>
      </c>
      <c r="S2210">
        <v>0</v>
      </c>
      <c r="T2210">
        <v>0</v>
      </c>
      <c r="U2210">
        <v>0</v>
      </c>
      <c r="V2210">
        <v>94026.2</v>
      </c>
      <c r="W2210">
        <v>1181942</v>
      </c>
      <c r="X2210">
        <v>2126</v>
      </c>
      <c r="Y2210">
        <f t="shared" si="34"/>
        <v>1181942</v>
      </c>
      <c r="Z2210" t="str">
        <f>IF(ISNUMBER(SEARCH("Adjustment",$C2210)),"excluded",IF($H2210="Behind the Meter","excluded",IF(NOT(OR($E2210="Bundled",$E2210="Energy")),"excluded",IF(OR($H2210="Retail Power Marketer",$H2210="Community Choice Aggregator",$E2210="Energy"),"procurement",IF(OR($H2210="Municipal",$H2210="Cooperative",$H2210="Federal",$H2210="State",$H2210="Political Subdivision"),"cost_service",IF($H2210="Investor Owned",IF(AND(COUNTIF(Parameters!$A$4:$A$33,$G2210)&gt;0,COUNTIF(Parameters!$B$4:$B$33,$B2210)=0),"procurement","cost_service"),"unclassified"))))))</f>
        <v>procurement</v>
      </c>
    </row>
    <row r="2211" spans="1:26" x14ac:dyDescent="0.25">
      <c r="A2211">
        <v>2024</v>
      </c>
      <c r="B2211">
        <v>59808</v>
      </c>
      <c r="C2211" t="s">
        <v>1565</v>
      </c>
      <c r="D2211" t="s">
        <v>99</v>
      </c>
      <c r="E2211" t="s">
        <v>100</v>
      </c>
      <c r="F2211" t="s">
        <v>86</v>
      </c>
      <c r="G2211" t="s">
        <v>53</v>
      </c>
      <c r="H2211" t="s">
        <v>101</v>
      </c>
      <c r="I2211" t="s">
        <v>102</v>
      </c>
      <c r="J2211">
        <v>0</v>
      </c>
      <c r="K2211">
        <v>0</v>
      </c>
      <c r="L2211">
        <v>0</v>
      </c>
      <c r="M2211">
        <v>45180.800000000003</v>
      </c>
      <c r="N2211">
        <v>417053</v>
      </c>
      <c r="O2211">
        <v>1695</v>
      </c>
      <c r="P2211">
        <v>5280.9</v>
      </c>
      <c r="Q2211">
        <v>61385</v>
      </c>
      <c r="R2211">
        <v>73</v>
      </c>
      <c r="S2211">
        <v>0</v>
      </c>
      <c r="T2211">
        <v>0</v>
      </c>
      <c r="U2211">
        <v>0</v>
      </c>
      <c r="V2211">
        <v>50461.7</v>
      </c>
      <c r="W2211">
        <v>478438</v>
      </c>
      <c r="X2211">
        <v>1768</v>
      </c>
      <c r="Y2211">
        <f t="shared" si="34"/>
        <v>478438</v>
      </c>
      <c r="Z2211" t="str">
        <f>IF(ISNUMBER(SEARCH("Adjustment",$C2211)),"excluded",IF($H2211="Behind the Meter","excluded",IF(NOT(OR($E2211="Bundled",$E2211="Energy")),"excluded",IF(OR($H2211="Retail Power Marketer",$H2211="Community Choice Aggregator",$E2211="Energy"),"procurement",IF(OR($H2211="Municipal",$H2211="Cooperative",$H2211="Federal",$H2211="State",$H2211="Political Subdivision"),"cost_service",IF($H2211="Investor Owned",IF(AND(COUNTIF(Parameters!$A$4:$A$33,$G2211)&gt;0,COUNTIF(Parameters!$B$4:$B$33,$B2211)=0),"procurement","cost_service"),"unclassified"))))))</f>
        <v>procurement</v>
      </c>
    </row>
    <row r="2212" spans="1:26" x14ac:dyDescent="0.25">
      <c r="A2212">
        <v>2024</v>
      </c>
      <c r="B2212">
        <v>59808</v>
      </c>
      <c r="C2212" t="s">
        <v>1565</v>
      </c>
      <c r="D2212" t="s">
        <v>99</v>
      </c>
      <c r="E2212" t="s">
        <v>100</v>
      </c>
      <c r="F2212" t="s">
        <v>86</v>
      </c>
      <c r="G2212" t="s">
        <v>54</v>
      </c>
      <c r="H2212" t="s">
        <v>101</v>
      </c>
      <c r="I2212" t="s">
        <v>92</v>
      </c>
      <c r="J2212">
        <v>0</v>
      </c>
      <c r="K2212">
        <v>0</v>
      </c>
      <c r="L2212">
        <v>0</v>
      </c>
      <c r="M2212">
        <v>204209.4</v>
      </c>
      <c r="N2212">
        <v>3709034</v>
      </c>
      <c r="O2212">
        <v>5098</v>
      </c>
      <c r="P2212">
        <v>32161.200000000001</v>
      </c>
      <c r="Q2212">
        <v>558171</v>
      </c>
      <c r="R2212">
        <v>318</v>
      </c>
      <c r="S2212">
        <v>664.4</v>
      </c>
      <c r="T2212">
        <v>14297</v>
      </c>
      <c r="U2212">
        <v>2</v>
      </c>
      <c r="V2212">
        <v>237035</v>
      </c>
      <c r="W2212">
        <v>4281502</v>
      </c>
      <c r="X2212">
        <v>5418</v>
      </c>
      <c r="Y2212">
        <f t="shared" si="34"/>
        <v>4281502</v>
      </c>
      <c r="Z2212" t="str">
        <f>IF(ISNUMBER(SEARCH("Adjustment",$C2212)),"excluded",IF($H2212="Behind the Meter","excluded",IF(NOT(OR($E2212="Bundled",$E2212="Energy")),"excluded",IF(OR($H2212="Retail Power Marketer",$H2212="Community Choice Aggregator",$E2212="Energy"),"procurement",IF(OR($H2212="Municipal",$H2212="Cooperative",$H2212="Federal",$H2212="State",$H2212="Political Subdivision"),"cost_service",IF($H2212="Investor Owned",IF(AND(COUNTIF(Parameters!$A$4:$A$33,$G2212)&gt;0,COUNTIF(Parameters!$B$4:$B$33,$B2212)=0),"procurement","cost_service"),"unclassified"))))))</f>
        <v>procurement</v>
      </c>
    </row>
    <row r="2213" spans="1:26" x14ac:dyDescent="0.25">
      <c r="A2213">
        <v>2024</v>
      </c>
      <c r="B2213">
        <v>59808</v>
      </c>
      <c r="C2213" t="s">
        <v>1565</v>
      </c>
      <c r="D2213" t="s">
        <v>99</v>
      </c>
      <c r="E2213" t="s">
        <v>100</v>
      </c>
      <c r="F2213" t="s">
        <v>86</v>
      </c>
      <c r="G2213" t="s">
        <v>55</v>
      </c>
      <c r="H2213" t="s">
        <v>101</v>
      </c>
      <c r="I2213" t="s">
        <v>92</v>
      </c>
      <c r="J2213">
        <v>0</v>
      </c>
      <c r="K2213">
        <v>0</v>
      </c>
      <c r="L2213">
        <v>0</v>
      </c>
      <c r="M2213">
        <v>100751.4</v>
      </c>
      <c r="N2213">
        <v>1378626</v>
      </c>
      <c r="O2213">
        <v>3430</v>
      </c>
      <c r="P2213">
        <v>36274.300000000003</v>
      </c>
      <c r="Q2213">
        <v>479819</v>
      </c>
      <c r="R2213">
        <v>275</v>
      </c>
      <c r="S2213">
        <v>0</v>
      </c>
      <c r="T2213">
        <v>0</v>
      </c>
      <c r="U2213">
        <v>0</v>
      </c>
      <c r="V2213">
        <v>137025.70000000001</v>
      </c>
      <c r="W2213">
        <v>1858445</v>
      </c>
      <c r="X2213">
        <v>3705</v>
      </c>
      <c r="Y2213">
        <f t="shared" si="34"/>
        <v>1858445</v>
      </c>
      <c r="Z2213" t="str">
        <f>IF(ISNUMBER(SEARCH("Adjustment",$C2213)),"excluded",IF($H2213="Behind the Meter","excluded",IF(NOT(OR($E2213="Bundled",$E2213="Energy")),"excluded",IF(OR($H2213="Retail Power Marketer",$H2213="Community Choice Aggregator",$E2213="Energy"),"procurement",IF(OR($H2213="Municipal",$H2213="Cooperative",$H2213="Federal",$H2213="State",$H2213="Political Subdivision"),"cost_service",IF($H2213="Investor Owned",IF(AND(COUNTIF(Parameters!$A$4:$A$33,$G2213)&gt;0,COUNTIF(Parameters!$B$4:$B$33,$B2213)=0),"procurement","cost_service"),"unclassified"))))))</f>
        <v>procurement</v>
      </c>
    </row>
    <row r="2214" spans="1:26" x14ac:dyDescent="0.25">
      <c r="A2214">
        <v>2024</v>
      </c>
      <c r="B2214">
        <v>59808</v>
      </c>
      <c r="C2214" t="s">
        <v>1565</v>
      </c>
      <c r="D2214" t="s">
        <v>99</v>
      </c>
      <c r="E2214" t="s">
        <v>100</v>
      </c>
      <c r="F2214" t="s">
        <v>86</v>
      </c>
      <c r="G2214" t="s">
        <v>56</v>
      </c>
      <c r="H2214" t="s">
        <v>101</v>
      </c>
      <c r="I2214" t="s">
        <v>189</v>
      </c>
      <c r="J2214">
        <v>0</v>
      </c>
      <c r="K2214">
        <v>0</v>
      </c>
      <c r="L2214">
        <v>0</v>
      </c>
      <c r="M2214">
        <v>4494.2</v>
      </c>
      <c r="N2214">
        <v>38814</v>
      </c>
      <c r="O2214">
        <v>206</v>
      </c>
      <c r="P2214">
        <v>3332.9</v>
      </c>
      <c r="Q2214">
        <v>44154</v>
      </c>
      <c r="R2214">
        <v>23</v>
      </c>
      <c r="S2214">
        <v>0</v>
      </c>
      <c r="T2214">
        <v>0</v>
      </c>
      <c r="U2214">
        <v>0</v>
      </c>
      <c r="V2214">
        <v>7827.1</v>
      </c>
      <c r="W2214">
        <v>82968</v>
      </c>
      <c r="X2214">
        <v>229</v>
      </c>
      <c r="Y2214">
        <f t="shared" si="34"/>
        <v>82968</v>
      </c>
      <c r="Z2214" t="str">
        <f>IF(ISNUMBER(SEARCH("Adjustment",$C2214)),"excluded",IF($H2214="Behind the Meter","excluded",IF(NOT(OR($E2214="Bundled",$E2214="Energy")),"excluded",IF(OR($H2214="Retail Power Marketer",$H2214="Community Choice Aggregator",$E2214="Energy"),"procurement",IF(OR($H2214="Municipal",$H2214="Cooperative",$H2214="Federal",$H2214="State",$H2214="Political Subdivision"),"cost_service",IF($H2214="Investor Owned",IF(AND(COUNTIF(Parameters!$A$4:$A$33,$G2214)&gt;0,COUNTIF(Parameters!$B$4:$B$33,$B2214)=0),"procurement","cost_service"),"unclassified"))))))</f>
        <v>procurement</v>
      </c>
    </row>
    <row r="2215" spans="1:26" x14ac:dyDescent="0.25">
      <c r="A2215">
        <v>2024</v>
      </c>
      <c r="B2215">
        <v>59808</v>
      </c>
      <c r="C2215" t="s">
        <v>1565</v>
      </c>
      <c r="D2215" t="s">
        <v>99</v>
      </c>
      <c r="E2215" t="s">
        <v>100</v>
      </c>
      <c r="F2215" t="s">
        <v>86</v>
      </c>
      <c r="G2215" t="s">
        <v>93</v>
      </c>
      <c r="H2215" t="s">
        <v>101</v>
      </c>
      <c r="I2215" t="s">
        <v>92</v>
      </c>
      <c r="J2215">
        <v>0</v>
      </c>
      <c r="K2215">
        <v>0</v>
      </c>
      <c r="L2215">
        <v>0</v>
      </c>
      <c r="M2215">
        <v>11851</v>
      </c>
      <c r="N2215">
        <v>178702</v>
      </c>
      <c r="O2215">
        <v>14</v>
      </c>
      <c r="P2215">
        <v>17050.900000000001</v>
      </c>
      <c r="Q2215">
        <v>232069</v>
      </c>
      <c r="R2215">
        <v>4</v>
      </c>
      <c r="S2215">
        <v>0</v>
      </c>
      <c r="T2215">
        <v>0</v>
      </c>
      <c r="U2215">
        <v>0</v>
      </c>
      <c r="V2215">
        <v>28901.9</v>
      </c>
      <c r="W2215">
        <v>410771</v>
      </c>
      <c r="X2215">
        <v>18</v>
      </c>
      <c r="Y2215">
        <f t="shared" si="34"/>
        <v>410771</v>
      </c>
      <c r="Z2215" t="str">
        <f>IF(ISNUMBER(SEARCH("Adjustment",$C2215)),"excluded",IF($H2215="Behind the Meter","excluded",IF(NOT(OR($E2215="Bundled",$E2215="Energy")),"excluded",IF(OR($H2215="Retail Power Marketer",$H2215="Community Choice Aggregator",$E2215="Energy"),"procurement",IF(OR($H2215="Municipal",$H2215="Cooperative",$H2215="Federal",$H2215="State",$H2215="Political Subdivision"),"cost_service",IF($H2215="Investor Owned",IF(AND(COUNTIF(Parameters!$A$4:$A$33,$G2215)&gt;0,COUNTIF(Parameters!$B$4:$B$33,$B2215)=0),"procurement","cost_service"),"unclassified"))))))</f>
        <v>procurement</v>
      </c>
    </row>
    <row r="2216" spans="1:26" x14ac:dyDescent="0.25">
      <c r="A2216">
        <v>2024</v>
      </c>
      <c r="B2216">
        <v>59808</v>
      </c>
      <c r="C2216" t="s">
        <v>1565</v>
      </c>
      <c r="D2216" t="s">
        <v>150</v>
      </c>
      <c r="E2216" t="s">
        <v>85</v>
      </c>
      <c r="F2216" t="s">
        <v>86</v>
      </c>
      <c r="G2216" t="s">
        <v>57</v>
      </c>
      <c r="H2216" t="s">
        <v>101</v>
      </c>
      <c r="I2216" t="s">
        <v>151</v>
      </c>
      <c r="J2216">
        <v>84673.9</v>
      </c>
      <c r="K2216">
        <v>578090</v>
      </c>
      <c r="L2216">
        <v>39395</v>
      </c>
      <c r="M2216">
        <v>847934.3</v>
      </c>
      <c r="N2216">
        <v>12203130</v>
      </c>
      <c r="O2216">
        <v>33961</v>
      </c>
      <c r="P2216">
        <v>261812.7</v>
      </c>
      <c r="Q2216">
        <v>6823040</v>
      </c>
      <c r="R2216">
        <v>1627</v>
      </c>
      <c r="S2216">
        <v>0</v>
      </c>
      <c r="T2216">
        <v>0</v>
      </c>
      <c r="U2216">
        <v>0</v>
      </c>
      <c r="V2216">
        <v>1194420.8999999999</v>
      </c>
      <c r="W2216">
        <v>19604260</v>
      </c>
      <c r="X2216">
        <v>74983</v>
      </c>
      <c r="Y2216">
        <f t="shared" si="34"/>
        <v>19604260</v>
      </c>
      <c r="Z2216" t="str">
        <f>IF(ISNUMBER(SEARCH("Adjustment",$C2216)),"excluded",IF($H2216="Behind the Meter","excluded",IF(NOT(OR($E2216="Bundled",$E2216="Energy")),"excluded",IF(OR($H2216="Retail Power Marketer",$H2216="Community Choice Aggregator",$E2216="Energy"),"procurement",IF(OR($H2216="Municipal",$H2216="Cooperative",$H2216="Federal",$H2216="State",$H2216="Political Subdivision"),"cost_service",IF($H2216="Investor Owned",IF(AND(COUNTIF(Parameters!$A$4:$A$33,$G2216)&gt;0,COUNTIF(Parameters!$B$4:$B$33,$B2216)=0),"procurement","cost_service"),"unclassified"))))))</f>
        <v>procurement</v>
      </c>
    </row>
    <row r="2217" spans="1:26" x14ac:dyDescent="0.25">
      <c r="A2217">
        <v>2024</v>
      </c>
      <c r="B2217">
        <v>59809</v>
      </c>
      <c r="C2217" t="s">
        <v>1566</v>
      </c>
      <c r="D2217" t="s">
        <v>99</v>
      </c>
      <c r="E2217" t="s">
        <v>100</v>
      </c>
      <c r="F2217" t="s">
        <v>86</v>
      </c>
      <c r="G2217" t="s">
        <v>44</v>
      </c>
      <c r="H2217" t="s">
        <v>101</v>
      </c>
      <c r="I2217" t="s">
        <v>92</v>
      </c>
      <c r="J2217">
        <v>1984.8</v>
      </c>
      <c r="K2217">
        <v>13853</v>
      </c>
      <c r="L2217">
        <v>1673</v>
      </c>
      <c r="M2217">
        <v>32.1</v>
      </c>
      <c r="N2217">
        <v>222</v>
      </c>
      <c r="O2217">
        <v>10</v>
      </c>
      <c r="P2217">
        <v>0</v>
      </c>
      <c r="Q2217">
        <v>0</v>
      </c>
      <c r="R2217">
        <v>0</v>
      </c>
      <c r="S2217">
        <v>0</v>
      </c>
      <c r="T2217">
        <v>0</v>
      </c>
      <c r="U2217">
        <v>0</v>
      </c>
      <c r="V2217">
        <v>2016.9</v>
      </c>
      <c r="W2217">
        <v>14075</v>
      </c>
      <c r="X2217">
        <v>1683</v>
      </c>
      <c r="Y2217">
        <f t="shared" si="34"/>
        <v>14075</v>
      </c>
      <c r="Z2217" t="str">
        <f>IF(ISNUMBER(SEARCH("Adjustment",$C2217)),"excluded",IF($H2217="Behind the Meter","excluded",IF(NOT(OR($E2217="Bundled",$E2217="Energy")),"excluded",IF(OR($H2217="Retail Power Marketer",$H2217="Community Choice Aggregator",$E2217="Energy"),"procurement",IF(OR($H2217="Municipal",$H2217="Cooperative",$H2217="Federal",$H2217="State",$H2217="Political Subdivision"),"cost_service",IF($H2217="Investor Owned",IF(AND(COUNTIF(Parameters!$A$4:$A$33,$G2217)&gt;0,COUNTIF(Parameters!$B$4:$B$33,$B2217)=0),"procurement","cost_service"),"unclassified"))))))</f>
        <v>procurement</v>
      </c>
    </row>
    <row r="2218" spans="1:26" x14ac:dyDescent="0.25">
      <c r="A2218">
        <v>2024</v>
      </c>
      <c r="B2218">
        <v>59809</v>
      </c>
      <c r="C2218" t="s">
        <v>1566</v>
      </c>
      <c r="D2218" t="s">
        <v>99</v>
      </c>
      <c r="E2218" t="s">
        <v>100</v>
      </c>
      <c r="F2218" t="s">
        <v>86</v>
      </c>
      <c r="G2218" t="s">
        <v>46</v>
      </c>
      <c r="H2218" t="s">
        <v>101</v>
      </c>
      <c r="I2218" t="s">
        <v>92</v>
      </c>
      <c r="J2218">
        <v>30759.1</v>
      </c>
      <c r="K2218">
        <v>214261</v>
      </c>
      <c r="L2218">
        <v>31062</v>
      </c>
      <c r="M2218">
        <v>2741.1</v>
      </c>
      <c r="N2218">
        <v>24812</v>
      </c>
      <c r="O2218">
        <v>703</v>
      </c>
      <c r="P2218">
        <v>0</v>
      </c>
      <c r="Q2218">
        <v>0</v>
      </c>
      <c r="R2218">
        <v>0</v>
      </c>
      <c r="S2218">
        <v>0</v>
      </c>
      <c r="T2218">
        <v>0</v>
      </c>
      <c r="U2218">
        <v>0</v>
      </c>
      <c r="V2218">
        <v>33500.199999999997</v>
      </c>
      <c r="W2218">
        <v>239073</v>
      </c>
      <c r="X2218">
        <v>31765</v>
      </c>
      <c r="Y2218">
        <f t="shared" si="34"/>
        <v>239073</v>
      </c>
      <c r="Z2218" t="str">
        <f>IF(ISNUMBER(SEARCH("Adjustment",$C2218)),"excluded",IF($H2218="Behind the Meter","excluded",IF(NOT(OR($E2218="Bundled",$E2218="Energy")),"excluded",IF(OR($H2218="Retail Power Marketer",$H2218="Community Choice Aggregator",$E2218="Energy"),"procurement",IF(OR($H2218="Municipal",$H2218="Cooperative",$H2218="Federal",$H2218="State",$H2218="Political Subdivision"),"cost_service",IF($H2218="Investor Owned",IF(AND(COUNTIF(Parameters!$A$4:$A$33,$G2218)&gt;0,COUNTIF(Parameters!$B$4:$B$33,$B2218)=0),"procurement","cost_service"),"unclassified"))))))</f>
        <v>procurement</v>
      </c>
    </row>
    <row r="2219" spans="1:26" x14ac:dyDescent="0.25">
      <c r="A2219">
        <v>2024</v>
      </c>
      <c r="B2219">
        <v>59809</v>
      </c>
      <c r="C2219" t="s">
        <v>1566</v>
      </c>
      <c r="D2219" t="s">
        <v>99</v>
      </c>
      <c r="E2219" t="s">
        <v>100</v>
      </c>
      <c r="F2219" t="s">
        <v>86</v>
      </c>
      <c r="G2219" t="s">
        <v>48</v>
      </c>
      <c r="H2219" t="s">
        <v>101</v>
      </c>
      <c r="I2219" t="s">
        <v>189</v>
      </c>
      <c r="J2219">
        <v>20987.3</v>
      </c>
      <c r="K2219">
        <v>107963</v>
      </c>
      <c r="L2219">
        <v>18268</v>
      </c>
      <c r="M2219">
        <v>4335.8</v>
      </c>
      <c r="N2219">
        <v>30307</v>
      </c>
      <c r="O2219">
        <v>959</v>
      </c>
      <c r="P2219">
        <v>0</v>
      </c>
      <c r="Q2219">
        <v>0</v>
      </c>
      <c r="R2219">
        <v>0</v>
      </c>
      <c r="S2219">
        <v>0</v>
      </c>
      <c r="T2219">
        <v>0</v>
      </c>
      <c r="U2219">
        <v>0</v>
      </c>
      <c r="V2219">
        <v>25323.1</v>
      </c>
      <c r="W2219">
        <v>138270</v>
      </c>
      <c r="X2219">
        <v>19227</v>
      </c>
      <c r="Y2219">
        <f t="shared" si="34"/>
        <v>138270</v>
      </c>
      <c r="Z2219" t="str">
        <f>IF(ISNUMBER(SEARCH("Adjustment",$C2219)),"excluded",IF($H2219="Behind the Meter","excluded",IF(NOT(OR($E2219="Bundled",$E2219="Energy")),"excluded",IF(OR($H2219="Retail Power Marketer",$H2219="Community Choice Aggregator",$E2219="Energy"),"procurement",IF(OR($H2219="Municipal",$H2219="Cooperative",$H2219="Federal",$H2219="State",$H2219="Political Subdivision"),"cost_service",IF($H2219="Investor Owned",IF(AND(COUNTIF(Parameters!$A$4:$A$33,$G2219)&gt;0,COUNTIF(Parameters!$B$4:$B$33,$B2219)=0),"procurement","cost_service"),"unclassified"))))))</f>
        <v>procurement</v>
      </c>
    </row>
    <row r="2220" spans="1:26" x14ac:dyDescent="0.25">
      <c r="A2220">
        <v>2024</v>
      </c>
      <c r="B2220">
        <v>59809</v>
      </c>
      <c r="C2220" t="s">
        <v>1566</v>
      </c>
      <c r="D2220" t="s">
        <v>99</v>
      </c>
      <c r="E2220" t="s">
        <v>100</v>
      </c>
      <c r="F2220" t="s">
        <v>86</v>
      </c>
      <c r="G2220" t="s">
        <v>52</v>
      </c>
      <c r="H2220" t="s">
        <v>101</v>
      </c>
      <c r="I2220" t="s">
        <v>92</v>
      </c>
      <c r="J2220">
        <v>4790</v>
      </c>
      <c r="K2220">
        <v>27624</v>
      </c>
      <c r="L2220">
        <v>4303</v>
      </c>
      <c r="M2220">
        <v>32.799999999999997</v>
      </c>
      <c r="N2220">
        <v>181</v>
      </c>
      <c r="O2220">
        <v>26</v>
      </c>
      <c r="P2220">
        <v>0</v>
      </c>
      <c r="Q2220">
        <v>0</v>
      </c>
      <c r="R2220">
        <v>0</v>
      </c>
      <c r="S2220">
        <v>0</v>
      </c>
      <c r="T2220">
        <v>0</v>
      </c>
      <c r="U2220">
        <v>0</v>
      </c>
      <c r="V2220">
        <v>4822.8</v>
      </c>
      <c r="W2220">
        <v>27805</v>
      </c>
      <c r="X2220">
        <v>4329</v>
      </c>
      <c r="Y2220">
        <f t="shared" si="34"/>
        <v>27805</v>
      </c>
      <c r="Z2220" t="str">
        <f>IF(ISNUMBER(SEARCH("Adjustment",$C2220)),"excluded",IF($H2220="Behind the Meter","excluded",IF(NOT(OR($E2220="Bundled",$E2220="Energy")),"excluded",IF(OR($H2220="Retail Power Marketer",$H2220="Community Choice Aggregator",$E2220="Energy"),"procurement",IF(OR($H2220="Municipal",$H2220="Cooperative",$H2220="Federal",$H2220="State",$H2220="Political Subdivision"),"cost_service",IF($H2220="Investor Owned",IF(AND(COUNTIF(Parameters!$A$4:$A$33,$G2220)&gt;0,COUNTIF(Parameters!$B$4:$B$33,$B2220)=0),"procurement","cost_service"),"unclassified"))))))</f>
        <v>procurement</v>
      </c>
    </row>
    <row r="2221" spans="1:26" x14ac:dyDescent="0.25">
      <c r="A2221">
        <v>2024</v>
      </c>
      <c r="B2221">
        <v>59809</v>
      </c>
      <c r="C2221" t="s">
        <v>1566</v>
      </c>
      <c r="D2221" t="s">
        <v>99</v>
      </c>
      <c r="E2221" t="s">
        <v>100</v>
      </c>
      <c r="F2221" t="s">
        <v>86</v>
      </c>
      <c r="G2221" t="s">
        <v>53</v>
      </c>
      <c r="H2221" t="s">
        <v>101</v>
      </c>
      <c r="I2221" t="s">
        <v>102</v>
      </c>
      <c r="J2221">
        <v>4545.8999999999996</v>
      </c>
      <c r="K2221">
        <v>23924</v>
      </c>
      <c r="L2221">
        <v>5002</v>
      </c>
      <c r="M2221">
        <v>327.2</v>
      </c>
      <c r="N2221">
        <v>1472</v>
      </c>
      <c r="O2221">
        <v>101</v>
      </c>
      <c r="P2221">
        <v>0</v>
      </c>
      <c r="Q2221">
        <v>0</v>
      </c>
      <c r="R2221">
        <v>0</v>
      </c>
      <c r="S2221">
        <v>0</v>
      </c>
      <c r="T2221">
        <v>0</v>
      </c>
      <c r="U2221">
        <v>0</v>
      </c>
      <c r="V2221">
        <v>4873.1000000000004</v>
      </c>
      <c r="W2221">
        <v>25396</v>
      </c>
      <c r="X2221">
        <v>5103</v>
      </c>
      <c r="Y2221">
        <f t="shared" si="34"/>
        <v>25396</v>
      </c>
      <c r="Z2221" t="str">
        <f>IF(ISNUMBER(SEARCH("Adjustment",$C2221)),"excluded",IF($H2221="Behind the Meter","excluded",IF(NOT(OR($E2221="Bundled",$E2221="Energy")),"excluded",IF(OR($H2221="Retail Power Marketer",$H2221="Community Choice Aggregator",$E2221="Energy"),"procurement",IF(OR($H2221="Municipal",$H2221="Cooperative",$H2221="Federal",$H2221="State",$H2221="Political Subdivision"),"cost_service",IF($H2221="Investor Owned",IF(AND(COUNTIF(Parameters!$A$4:$A$33,$G2221)&gt;0,COUNTIF(Parameters!$B$4:$B$33,$B2221)=0),"procurement","cost_service"),"unclassified"))))))</f>
        <v>procurement</v>
      </c>
    </row>
    <row r="2222" spans="1:26" x14ac:dyDescent="0.25">
      <c r="A2222">
        <v>2024</v>
      </c>
      <c r="B2222">
        <v>59809</v>
      </c>
      <c r="C2222" t="s">
        <v>1566</v>
      </c>
      <c r="D2222" t="s">
        <v>99</v>
      </c>
      <c r="E2222" t="s">
        <v>100</v>
      </c>
      <c r="F2222" t="s">
        <v>86</v>
      </c>
      <c r="G2222" t="s">
        <v>54</v>
      </c>
      <c r="H2222" t="s">
        <v>101</v>
      </c>
      <c r="I2222" t="s">
        <v>92</v>
      </c>
      <c r="J2222">
        <v>7050.7</v>
      </c>
      <c r="K2222">
        <v>60079</v>
      </c>
      <c r="L2222">
        <v>6792</v>
      </c>
      <c r="M2222">
        <v>61.1</v>
      </c>
      <c r="N2222">
        <v>669</v>
      </c>
      <c r="O2222">
        <v>56</v>
      </c>
      <c r="P2222">
        <v>0</v>
      </c>
      <c r="Q2222">
        <v>0</v>
      </c>
      <c r="R2222">
        <v>0</v>
      </c>
      <c r="S2222">
        <v>0</v>
      </c>
      <c r="T2222">
        <v>0</v>
      </c>
      <c r="U2222">
        <v>0</v>
      </c>
      <c r="V2222">
        <v>7111.8</v>
      </c>
      <c r="W2222">
        <v>60748</v>
      </c>
      <c r="X2222">
        <v>6848</v>
      </c>
      <c r="Y2222">
        <f t="shared" si="34"/>
        <v>60748</v>
      </c>
      <c r="Z2222" t="str">
        <f>IF(ISNUMBER(SEARCH("Adjustment",$C2222)),"excluded",IF($H2222="Behind the Meter","excluded",IF(NOT(OR($E2222="Bundled",$E2222="Energy")),"excluded",IF(OR($H2222="Retail Power Marketer",$H2222="Community Choice Aggregator",$E2222="Energy"),"procurement",IF(OR($H2222="Municipal",$H2222="Cooperative",$H2222="Federal",$H2222="State",$H2222="Political Subdivision"),"cost_service",IF($H2222="Investor Owned",IF(AND(COUNTIF(Parameters!$A$4:$A$33,$G2222)&gt;0,COUNTIF(Parameters!$B$4:$B$33,$B2222)=0),"procurement","cost_service"),"unclassified"))))))</f>
        <v>procurement</v>
      </c>
    </row>
    <row r="2223" spans="1:26" x14ac:dyDescent="0.25">
      <c r="A2223">
        <v>2024</v>
      </c>
      <c r="B2223">
        <v>59809</v>
      </c>
      <c r="C2223" t="s">
        <v>1566</v>
      </c>
      <c r="D2223" t="s">
        <v>99</v>
      </c>
      <c r="E2223" t="s">
        <v>100</v>
      </c>
      <c r="F2223" t="s">
        <v>86</v>
      </c>
      <c r="G2223" t="s">
        <v>55</v>
      </c>
      <c r="H2223" t="s">
        <v>101</v>
      </c>
      <c r="I2223" t="s">
        <v>92</v>
      </c>
      <c r="J2223">
        <v>10683.7</v>
      </c>
      <c r="K2223">
        <v>71442</v>
      </c>
      <c r="L2223">
        <v>10067</v>
      </c>
      <c r="M2223">
        <v>129.4</v>
      </c>
      <c r="N2223">
        <v>913</v>
      </c>
      <c r="O2223">
        <v>103</v>
      </c>
      <c r="P2223">
        <v>0</v>
      </c>
      <c r="Q2223">
        <v>0</v>
      </c>
      <c r="R2223">
        <v>0</v>
      </c>
      <c r="S2223">
        <v>0</v>
      </c>
      <c r="T2223">
        <v>0</v>
      </c>
      <c r="U2223">
        <v>0</v>
      </c>
      <c r="V2223">
        <v>10813.1</v>
      </c>
      <c r="W2223">
        <v>72355</v>
      </c>
      <c r="X2223">
        <v>10170</v>
      </c>
      <c r="Y2223">
        <f t="shared" si="34"/>
        <v>72355</v>
      </c>
      <c r="Z2223" t="str">
        <f>IF(ISNUMBER(SEARCH("Adjustment",$C2223)),"excluded",IF($H2223="Behind the Meter","excluded",IF(NOT(OR($E2223="Bundled",$E2223="Energy")),"excluded",IF(OR($H2223="Retail Power Marketer",$H2223="Community Choice Aggregator",$E2223="Energy"),"procurement",IF(OR($H2223="Municipal",$H2223="Cooperative",$H2223="Federal",$H2223="State",$H2223="Political Subdivision"),"cost_service",IF($H2223="Investor Owned",IF(AND(COUNTIF(Parameters!$A$4:$A$33,$G2223)&gt;0,COUNTIF(Parameters!$B$4:$B$33,$B2223)=0),"procurement","cost_service"),"unclassified"))))))</f>
        <v>procurement</v>
      </c>
    </row>
    <row r="2224" spans="1:26" x14ac:dyDescent="0.25">
      <c r="A2224">
        <v>2024</v>
      </c>
      <c r="B2224">
        <v>59810</v>
      </c>
      <c r="C2224" t="s">
        <v>1567</v>
      </c>
      <c r="D2224" t="s">
        <v>99</v>
      </c>
      <c r="E2224" t="s">
        <v>100</v>
      </c>
      <c r="F2224" t="s">
        <v>86</v>
      </c>
      <c r="G2224" t="s">
        <v>44</v>
      </c>
      <c r="H2224" t="s">
        <v>101</v>
      </c>
      <c r="I2224" t="s">
        <v>92</v>
      </c>
      <c r="J2224">
        <v>14</v>
      </c>
      <c r="K2224">
        <v>119</v>
      </c>
      <c r="L2224">
        <v>14</v>
      </c>
      <c r="M2224">
        <v>0</v>
      </c>
      <c r="N2224">
        <v>0</v>
      </c>
      <c r="O2224">
        <v>0</v>
      </c>
      <c r="P2224">
        <v>0</v>
      </c>
      <c r="Q2224">
        <v>0</v>
      </c>
      <c r="R2224">
        <v>0</v>
      </c>
      <c r="S2224">
        <v>0</v>
      </c>
      <c r="T2224">
        <v>0</v>
      </c>
      <c r="U2224">
        <v>0</v>
      </c>
      <c r="V2224">
        <v>14</v>
      </c>
      <c r="W2224">
        <v>119</v>
      </c>
      <c r="X2224">
        <v>14</v>
      </c>
      <c r="Y2224">
        <f t="shared" si="34"/>
        <v>119</v>
      </c>
      <c r="Z2224" t="str">
        <f>IF(ISNUMBER(SEARCH("Adjustment",$C2224)),"excluded",IF($H2224="Behind the Meter","excluded",IF(NOT(OR($E2224="Bundled",$E2224="Energy")),"excluded",IF(OR($H2224="Retail Power Marketer",$H2224="Community Choice Aggregator",$E2224="Energy"),"procurement",IF(OR($H2224="Municipal",$H2224="Cooperative",$H2224="Federal",$H2224="State",$H2224="Political Subdivision"),"cost_service",IF($H2224="Investor Owned",IF(AND(COUNTIF(Parameters!$A$4:$A$33,$G2224)&gt;0,COUNTIF(Parameters!$B$4:$B$33,$B2224)=0),"procurement","cost_service"),"unclassified"))))))</f>
        <v>procurement</v>
      </c>
    </row>
    <row r="2225" spans="1:26" x14ac:dyDescent="0.25">
      <c r="A2225">
        <v>2024</v>
      </c>
      <c r="B2225">
        <v>59810</v>
      </c>
      <c r="C2225" t="s">
        <v>1567</v>
      </c>
      <c r="D2225" t="s">
        <v>99</v>
      </c>
      <c r="E2225" t="s">
        <v>100</v>
      </c>
      <c r="F2225" t="s">
        <v>86</v>
      </c>
      <c r="G2225" t="s">
        <v>46</v>
      </c>
      <c r="H2225" t="s">
        <v>101</v>
      </c>
      <c r="I2225" t="s">
        <v>96</v>
      </c>
      <c r="J2225">
        <v>239</v>
      </c>
      <c r="K2225">
        <v>1776</v>
      </c>
      <c r="L2225">
        <v>287</v>
      </c>
      <c r="M2225">
        <v>0</v>
      </c>
      <c r="N2225">
        <v>0</v>
      </c>
      <c r="O2225">
        <v>0</v>
      </c>
      <c r="P2225">
        <v>0</v>
      </c>
      <c r="Q2225">
        <v>0</v>
      </c>
      <c r="R2225">
        <v>0</v>
      </c>
      <c r="S2225">
        <v>0</v>
      </c>
      <c r="T2225">
        <v>0</v>
      </c>
      <c r="U2225">
        <v>0</v>
      </c>
      <c r="V2225">
        <v>239</v>
      </c>
      <c r="W2225">
        <v>1776</v>
      </c>
      <c r="X2225">
        <v>287</v>
      </c>
      <c r="Y2225">
        <f t="shared" si="34"/>
        <v>1776</v>
      </c>
      <c r="Z2225" t="str">
        <f>IF(ISNUMBER(SEARCH("Adjustment",$C2225)),"excluded",IF($H2225="Behind the Meter","excluded",IF(NOT(OR($E2225="Bundled",$E2225="Energy")),"excluded",IF(OR($H2225="Retail Power Marketer",$H2225="Community Choice Aggregator",$E2225="Energy"),"procurement",IF(OR($H2225="Municipal",$H2225="Cooperative",$H2225="Federal",$H2225="State",$H2225="Political Subdivision"),"cost_service",IF($H2225="Investor Owned",IF(AND(COUNTIF(Parameters!$A$4:$A$33,$G2225)&gt;0,COUNTIF(Parameters!$B$4:$B$33,$B2225)=0),"procurement","cost_service"),"unclassified"))))))</f>
        <v>procurement</v>
      </c>
    </row>
    <row r="2226" spans="1:26" x14ac:dyDescent="0.25">
      <c r="A2226">
        <v>2024</v>
      </c>
      <c r="B2226">
        <v>59810</v>
      </c>
      <c r="C2226" t="s">
        <v>1567</v>
      </c>
      <c r="D2226" t="s">
        <v>99</v>
      </c>
      <c r="E2226" t="s">
        <v>100</v>
      </c>
      <c r="F2226" t="s">
        <v>86</v>
      </c>
      <c r="G2226" t="s">
        <v>49</v>
      </c>
      <c r="H2226" t="s">
        <v>101</v>
      </c>
      <c r="I2226" t="s">
        <v>92</v>
      </c>
      <c r="J2226">
        <v>1749</v>
      </c>
      <c r="K2226">
        <v>12797</v>
      </c>
      <c r="L2226">
        <v>1247</v>
      </c>
      <c r="M2226">
        <v>0</v>
      </c>
      <c r="N2226">
        <v>0</v>
      </c>
      <c r="O2226">
        <v>0</v>
      </c>
      <c r="P2226">
        <v>0</v>
      </c>
      <c r="Q2226">
        <v>0</v>
      </c>
      <c r="R2226">
        <v>0</v>
      </c>
      <c r="S2226">
        <v>0</v>
      </c>
      <c r="T2226">
        <v>0</v>
      </c>
      <c r="U2226">
        <v>0</v>
      </c>
      <c r="V2226">
        <v>1749</v>
      </c>
      <c r="W2226">
        <v>12797</v>
      </c>
      <c r="X2226">
        <v>1247</v>
      </c>
      <c r="Y2226">
        <f t="shared" si="34"/>
        <v>12797</v>
      </c>
      <c r="Z2226" t="str">
        <f>IF(ISNUMBER(SEARCH("Adjustment",$C2226)),"excluded",IF($H2226="Behind the Meter","excluded",IF(NOT(OR($E2226="Bundled",$E2226="Energy")),"excluded",IF(OR($H2226="Retail Power Marketer",$H2226="Community Choice Aggregator",$E2226="Energy"),"procurement",IF(OR($H2226="Municipal",$H2226="Cooperative",$H2226="Federal",$H2226="State",$H2226="Political Subdivision"),"cost_service",IF($H2226="Investor Owned",IF(AND(COUNTIF(Parameters!$A$4:$A$33,$G2226)&gt;0,COUNTIF(Parameters!$B$4:$B$33,$B2226)=0),"procurement","cost_service"),"unclassified"))))))</f>
        <v>procurement</v>
      </c>
    </row>
    <row r="2227" spans="1:26" x14ac:dyDescent="0.25">
      <c r="A2227">
        <v>2024</v>
      </c>
      <c r="B2227">
        <v>59810</v>
      </c>
      <c r="C2227" t="s">
        <v>1567</v>
      </c>
      <c r="D2227" t="s">
        <v>99</v>
      </c>
      <c r="E2227" t="s">
        <v>100</v>
      </c>
      <c r="F2227" t="s">
        <v>86</v>
      </c>
      <c r="G2227" t="s">
        <v>52</v>
      </c>
      <c r="H2227" t="s">
        <v>101</v>
      </c>
      <c r="I2227" t="s">
        <v>92</v>
      </c>
      <c r="J2227">
        <v>187</v>
      </c>
      <c r="K2227">
        <v>984</v>
      </c>
      <c r="L2227">
        <v>183</v>
      </c>
      <c r="M2227">
        <v>0</v>
      </c>
      <c r="N2227">
        <v>0</v>
      </c>
      <c r="O2227">
        <v>0</v>
      </c>
      <c r="P2227">
        <v>0</v>
      </c>
      <c r="Q2227">
        <v>0</v>
      </c>
      <c r="R2227">
        <v>0</v>
      </c>
      <c r="S2227">
        <v>0</v>
      </c>
      <c r="T2227">
        <v>0</v>
      </c>
      <c r="U2227">
        <v>0</v>
      </c>
      <c r="V2227">
        <v>187</v>
      </c>
      <c r="W2227">
        <v>984</v>
      </c>
      <c r="X2227">
        <v>183</v>
      </c>
      <c r="Y2227">
        <f t="shared" si="34"/>
        <v>984</v>
      </c>
      <c r="Z2227" t="str">
        <f>IF(ISNUMBER(SEARCH("Adjustment",$C2227)),"excluded",IF($H2227="Behind the Meter","excluded",IF(NOT(OR($E2227="Bundled",$E2227="Energy")),"excluded",IF(OR($H2227="Retail Power Marketer",$H2227="Community Choice Aggregator",$E2227="Energy"),"procurement",IF(OR($H2227="Municipal",$H2227="Cooperative",$H2227="Federal",$H2227="State",$H2227="Political Subdivision"),"cost_service",IF($H2227="Investor Owned",IF(AND(COUNTIF(Parameters!$A$4:$A$33,$G2227)&gt;0,COUNTIF(Parameters!$B$4:$B$33,$B2227)=0),"procurement","cost_service"),"unclassified"))))))</f>
        <v>procurement</v>
      </c>
    </row>
    <row r="2228" spans="1:26" x14ac:dyDescent="0.25">
      <c r="A2228">
        <v>2024</v>
      </c>
      <c r="B2228">
        <v>59810</v>
      </c>
      <c r="C2228" t="s">
        <v>1567</v>
      </c>
      <c r="D2228" t="s">
        <v>99</v>
      </c>
      <c r="E2228" t="s">
        <v>100</v>
      </c>
      <c r="F2228" t="s">
        <v>86</v>
      </c>
      <c r="G2228" t="s">
        <v>53</v>
      </c>
      <c r="H2228" t="s">
        <v>101</v>
      </c>
      <c r="I2228" t="s">
        <v>102</v>
      </c>
      <c r="J2228">
        <v>2238</v>
      </c>
      <c r="K2228">
        <v>15313</v>
      </c>
      <c r="L2228">
        <v>2494</v>
      </c>
      <c r="M2228">
        <v>169</v>
      </c>
      <c r="N2228">
        <v>994</v>
      </c>
      <c r="O2228">
        <v>28</v>
      </c>
      <c r="P2228">
        <v>0</v>
      </c>
      <c r="Q2228">
        <v>0</v>
      </c>
      <c r="R2228">
        <v>0</v>
      </c>
      <c r="S2228">
        <v>0</v>
      </c>
      <c r="T2228">
        <v>0</v>
      </c>
      <c r="U2228">
        <v>0</v>
      </c>
      <c r="V2228">
        <v>2407</v>
      </c>
      <c r="W2228">
        <v>16307</v>
      </c>
      <c r="X2228">
        <v>2522</v>
      </c>
      <c r="Y2228">
        <f t="shared" si="34"/>
        <v>16307</v>
      </c>
      <c r="Z2228" t="str">
        <f>IF(ISNUMBER(SEARCH("Adjustment",$C2228)),"excluded",IF($H2228="Behind the Meter","excluded",IF(NOT(OR($E2228="Bundled",$E2228="Energy")),"excluded",IF(OR($H2228="Retail Power Marketer",$H2228="Community Choice Aggregator",$E2228="Energy"),"procurement",IF(OR($H2228="Municipal",$H2228="Cooperative",$H2228="Federal",$H2228="State",$H2228="Political Subdivision"),"cost_service",IF($H2228="Investor Owned",IF(AND(COUNTIF(Parameters!$A$4:$A$33,$G2228)&gt;0,COUNTIF(Parameters!$B$4:$B$33,$B2228)=0),"procurement","cost_service"),"unclassified"))))))</f>
        <v>procurement</v>
      </c>
    </row>
    <row r="2229" spans="1:26" x14ac:dyDescent="0.25">
      <c r="A2229">
        <v>2024</v>
      </c>
      <c r="B2229">
        <v>59810</v>
      </c>
      <c r="C2229" t="s">
        <v>1567</v>
      </c>
      <c r="D2229" t="s">
        <v>99</v>
      </c>
      <c r="E2229" t="s">
        <v>100</v>
      </c>
      <c r="F2229" t="s">
        <v>86</v>
      </c>
      <c r="G2229" t="s">
        <v>54</v>
      </c>
      <c r="H2229" t="s">
        <v>101</v>
      </c>
      <c r="I2229" t="s">
        <v>92</v>
      </c>
      <c r="J2229">
        <v>215</v>
      </c>
      <c r="K2229">
        <v>1804</v>
      </c>
      <c r="L2229">
        <v>235</v>
      </c>
      <c r="M2229">
        <v>0</v>
      </c>
      <c r="N2229">
        <v>0</v>
      </c>
      <c r="O2229">
        <v>0</v>
      </c>
      <c r="P2229">
        <v>0</v>
      </c>
      <c r="Q2229">
        <v>0</v>
      </c>
      <c r="R2229">
        <v>0</v>
      </c>
      <c r="S2229">
        <v>0</v>
      </c>
      <c r="T2229">
        <v>0</v>
      </c>
      <c r="U2229">
        <v>0</v>
      </c>
      <c r="V2229">
        <v>215</v>
      </c>
      <c r="W2229">
        <v>1804</v>
      </c>
      <c r="X2229">
        <v>235</v>
      </c>
      <c r="Y2229">
        <f t="shared" si="34"/>
        <v>1804</v>
      </c>
      <c r="Z2229" t="str">
        <f>IF(ISNUMBER(SEARCH("Adjustment",$C2229)),"excluded",IF($H2229="Behind the Meter","excluded",IF(NOT(OR($E2229="Bundled",$E2229="Energy")),"excluded",IF(OR($H2229="Retail Power Marketer",$H2229="Community Choice Aggregator",$E2229="Energy"),"procurement",IF(OR($H2229="Municipal",$H2229="Cooperative",$H2229="Federal",$H2229="State",$H2229="Political Subdivision"),"cost_service",IF($H2229="Investor Owned",IF(AND(COUNTIF(Parameters!$A$4:$A$33,$G2229)&gt;0,COUNTIF(Parameters!$B$4:$B$33,$B2229)=0),"procurement","cost_service"),"unclassified"))))))</f>
        <v>procurement</v>
      </c>
    </row>
    <row r="2230" spans="1:26" x14ac:dyDescent="0.25">
      <c r="A2230">
        <v>2024</v>
      </c>
      <c r="B2230">
        <v>59810</v>
      </c>
      <c r="C2230" t="s">
        <v>1567</v>
      </c>
      <c r="D2230" t="s">
        <v>99</v>
      </c>
      <c r="E2230" t="s">
        <v>100</v>
      </c>
      <c r="F2230" t="s">
        <v>86</v>
      </c>
      <c r="G2230" t="s">
        <v>55</v>
      </c>
      <c r="H2230" t="s">
        <v>101</v>
      </c>
      <c r="I2230" t="s">
        <v>92</v>
      </c>
      <c r="J2230">
        <v>882</v>
      </c>
      <c r="K2230">
        <v>6172</v>
      </c>
      <c r="L2230">
        <v>858</v>
      </c>
      <c r="M2230">
        <v>0</v>
      </c>
      <c r="N2230">
        <v>0</v>
      </c>
      <c r="O2230">
        <v>0</v>
      </c>
      <c r="P2230">
        <v>0</v>
      </c>
      <c r="Q2230">
        <v>0</v>
      </c>
      <c r="R2230">
        <v>0</v>
      </c>
      <c r="S2230">
        <v>0</v>
      </c>
      <c r="T2230">
        <v>0</v>
      </c>
      <c r="U2230">
        <v>0</v>
      </c>
      <c r="V2230">
        <v>882</v>
      </c>
      <c r="W2230">
        <v>6172</v>
      </c>
      <c r="X2230">
        <v>858</v>
      </c>
      <c r="Y2230">
        <f t="shared" si="34"/>
        <v>6172</v>
      </c>
      <c r="Z2230" t="str">
        <f>IF(ISNUMBER(SEARCH("Adjustment",$C2230)),"excluded",IF($H2230="Behind the Meter","excluded",IF(NOT(OR($E2230="Bundled",$E2230="Energy")),"excluded",IF(OR($H2230="Retail Power Marketer",$H2230="Community Choice Aggregator",$E2230="Energy"),"procurement",IF(OR($H2230="Municipal",$H2230="Cooperative",$H2230="Federal",$H2230="State",$H2230="Political Subdivision"),"cost_service",IF($H2230="Investor Owned",IF(AND(COUNTIF(Parameters!$A$4:$A$33,$G2230)&gt;0,COUNTIF(Parameters!$B$4:$B$33,$B2230)=0),"procurement","cost_service"),"unclassified"))))))</f>
        <v>procurement</v>
      </c>
    </row>
    <row r="2231" spans="1:26" x14ac:dyDescent="0.25">
      <c r="A2231">
        <v>2024</v>
      </c>
      <c r="B2231">
        <v>59811</v>
      </c>
      <c r="C2231" t="s">
        <v>1568</v>
      </c>
      <c r="D2231" t="s">
        <v>99</v>
      </c>
      <c r="E2231" t="s">
        <v>100</v>
      </c>
      <c r="F2231" t="s">
        <v>86</v>
      </c>
      <c r="G2231" t="s">
        <v>46</v>
      </c>
      <c r="H2231" t="s">
        <v>101</v>
      </c>
      <c r="I2231" t="s">
        <v>92</v>
      </c>
      <c r="J2231">
        <v>4377.6000000000004</v>
      </c>
      <c r="K2231">
        <v>44414</v>
      </c>
      <c r="L2231">
        <v>5621</v>
      </c>
      <c r="M2231">
        <v>1545.1</v>
      </c>
      <c r="N2231">
        <v>17735</v>
      </c>
      <c r="O2231">
        <v>473</v>
      </c>
      <c r="P2231">
        <v>0</v>
      </c>
      <c r="Q2231">
        <v>0</v>
      </c>
      <c r="R2231">
        <v>0</v>
      </c>
      <c r="S2231">
        <v>0</v>
      </c>
      <c r="T2231">
        <v>0</v>
      </c>
      <c r="U2231">
        <v>0</v>
      </c>
      <c r="V2231">
        <v>5922.7</v>
      </c>
      <c r="W2231">
        <v>62149</v>
      </c>
      <c r="X2231">
        <v>6094</v>
      </c>
      <c r="Y2231">
        <f t="shared" si="34"/>
        <v>62149</v>
      </c>
      <c r="Z2231" t="str">
        <f>IF(ISNUMBER(SEARCH("Adjustment",$C2231)),"excluded",IF($H2231="Behind the Meter","excluded",IF(NOT(OR($E2231="Bundled",$E2231="Energy")),"excluded",IF(OR($H2231="Retail Power Marketer",$H2231="Community Choice Aggregator",$E2231="Energy"),"procurement",IF(OR($H2231="Municipal",$H2231="Cooperative",$H2231="Federal",$H2231="State",$H2231="Political Subdivision"),"cost_service",IF($H2231="Investor Owned",IF(AND(COUNTIF(Parameters!$A$4:$A$33,$G2231)&gt;0,COUNTIF(Parameters!$B$4:$B$33,$B2231)=0),"procurement","cost_service"),"unclassified"))))))</f>
        <v>procurement</v>
      </c>
    </row>
    <row r="2232" spans="1:26" x14ac:dyDescent="0.25">
      <c r="A2232">
        <v>2024</v>
      </c>
      <c r="B2232">
        <v>59811</v>
      </c>
      <c r="C2232" t="s">
        <v>1568</v>
      </c>
      <c r="D2232" t="s">
        <v>99</v>
      </c>
      <c r="E2232" t="s">
        <v>100</v>
      </c>
      <c r="F2232" t="s">
        <v>86</v>
      </c>
      <c r="G2232" t="s">
        <v>54</v>
      </c>
      <c r="H2232" t="s">
        <v>101</v>
      </c>
      <c r="I2232" t="s">
        <v>92</v>
      </c>
      <c r="J2232">
        <v>7685</v>
      </c>
      <c r="K2232">
        <v>117126</v>
      </c>
      <c r="L2232">
        <v>10533</v>
      </c>
      <c r="M2232">
        <v>1742.1</v>
      </c>
      <c r="N2232">
        <v>8940</v>
      </c>
      <c r="O2232">
        <v>298</v>
      </c>
      <c r="P2232">
        <v>0</v>
      </c>
      <c r="Q2232">
        <v>0</v>
      </c>
      <c r="R2232">
        <v>0</v>
      </c>
      <c r="S2232" t="s">
        <v>97</v>
      </c>
      <c r="T2232">
        <v>0</v>
      </c>
      <c r="U2232">
        <v>0</v>
      </c>
      <c r="V2232">
        <v>9427.1</v>
      </c>
      <c r="W2232">
        <v>126066</v>
      </c>
      <c r="X2232">
        <v>10831</v>
      </c>
      <c r="Y2232">
        <f t="shared" si="34"/>
        <v>126066</v>
      </c>
      <c r="Z2232" t="str">
        <f>IF(ISNUMBER(SEARCH("Adjustment",$C2232)),"excluded",IF($H2232="Behind the Meter","excluded",IF(NOT(OR($E2232="Bundled",$E2232="Energy")),"excluded",IF(OR($H2232="Retail Power Marketer",$H2232="Community Choice Aggregator",$E2232="Energy"),"procurement",IF(OR($H2232="Municipal",$H2232="Cooperative",$H2232="Federal",$H2232="State",$H2232="Political Subdivision"),"cost_service",IF($H2232="Investor Owned",IF(AND(COUNTIF(Parameters!$A$4:$A$33,$G2232)&gt;0,COUNTIF(Parameters!$B$4:$B$33,$B2232)=0),"procurement","cost_service"),"unclassified"))))))</f>
        <v>procurement</v>
      </c>
    </row>
    <row r="2233" spans="1:26" x14ac:dyDescent="0.25">
      <c r="A2233">
        <v>2024</v>
      </c>
      <c r="B2233">
        <v>59811</v>
      </c>
      <c r="C2233" t="s">
        <v>1568</v>
      </c>
      <c r="D2233" t="s">
        <v>99</v>
      </c>
      <c r="E2233" t="s">
        <v>100</v>
      </c>
      <c r="F2233" t="s">
        <v>86</v>
      </c>
      <c r="G2233" t="s">
        <v>55</v>
      </c>
      <c r="H2233" t="s">
        <v>101</v>
      </c>
      <c r="I2233" t="s">
        <v>92</v>
      </c>
      <c r="J2233">
        <v>6467.7</v>
      </c>
      <c r="K2233">
        <v>71670</v>
      </c>
      <c r="L2233">
        <v>4700</v>
      </c>
      <c r="M2233">
        <v>965.7</v>
      </c>
      <c r="N2233">
        <v>10331</v>
      </c>
      <c r="O2233">
        <v>180</v>
      </c>
      <c r="P2233">
        <v>0</v>
      </c>
      <c r="Q2233">
        <v>0</v>
      </c>
      <c r="R2233">
        <v>0</v>
      </c>
      <c r="S2233">
        <v>0</v>
      </c>
      <c r="T2233">
        <v>0</v>
      </c>
      <c r="U2233">
        <v>0</v>
      </c>
      <c r="V2233">
        <v>7433.4</v>
      </c>
      <c r="W2233">
        <v>82001</v>
      </c>
      <c r="X2233">
        <v>4880</v>
      </c>
      <c r="Y2233">
        <f t="shared" si="34"/>
        <v>82001</v>
      </c>
      <c r="Z2233" t="str">
        <f>IF(ISNUMBER(SEARCH("Adjustment",$C2233)),"excluded",IF($H2233="Behind the Meter","excluded",IF(NOT(OR($E2233="Bundled",$E2233="Energy")),"excluded",IF(OR($H2233="Retail Power Marketer",$H2233="Community Choice Aggregator",$E2233="Energy"),"procurement",IF(OR($H2233="Municipal",$H2233="Cooperative",$H2233="Federal",$H2233="State",$H2233="Political Subdivision"),"cost_service",IF($H2233="Investor Owned",IF(AND(COUNTIF(Parameters!$A$4:$A$33,$G2233)&gt;0,COUNTIF(Parameters!$B$4:$B$33,$B2233)=0),"procurement","cost_service"),"unclassified"))))))</f>
        <v>procurement</v>
      </c>
    </row>
    <row r="2234" spans="1:26" x14ac:dyDescent="0.25">
      <c r="A2234">
        <v>2024</v>
      </c>
      <c r="B2234">
        <v>59812</v>
      </c>
      <c r="C2234" t="s">
        <v>1569</v>
      </c>
      <c r="D2234" t="s">
        <v>99</v>
      </c>
      <c r="E2234" t="s">
        <v>100</v>
      </c>
      <c r="F2234" t="s">
        <v>86</v>
      </c>
      <c r="G2234" t="s">
        <v>49</v>
      </c>
      <c r="H2234" t="s">
        <v>101</v>
      </c>
      <c r="I2234" t="s">
        <v>92</v>
      </c>
      <c r="J2234">
        <v>5.9</v>
      </c>
      <c r="K2234">
        <v>43</v>
      </c>
      <c r="L2234">
        <v>6</v>
      </c>
      <c r="M2234">
        <v>21.2</v>
      </c>
      <c r="N2234">
        <v>169</v>
      </c>
      <c r="O2234">
        <v>6</v>
      </c>
      <c r="P2234" t="s">
        <v>97</v>
      </c>
      <c r="Q2234" t="s">
        <v>97</v>
      </c>
      <c r="R2234" t="s">
        <v>97</v>
      </c>
      <c r="S2234" t="s">
        <v>97</v>
      </c>
      <c r="T2234" t="s">
        <v>97</v>
      </c>
      <c r="U2234" t="s">
        <v>97</v>
      </c>
      <c r="V2234">
        <v>27.1</v>
      </c>
      <c r="W2234">
        <v>212</v>
      </c>
      <c r="X2234">
        <v>12</v>
      </c>
      <c r="Y2234">
        <f t="shared" si="34"/>
        <v>212</v>
      </c>
      <c r="Z2234" t="str">
        <f>IF(ISNUMBER(SEARCH("Adjustment",$C2234)),"excluded",IF($H2234="Behind the Meter","excluded",IF(NOT(OR($E2234="Bundled",$E2234="Energy")),"excluded",IF(OR($H2234="Retail Power Marketer",$H2234="Community Choice Aggregator",$E2234="Energy"),"procurement",IF(OR($H2234="Municipal",$H2234="Cooperative",$H2234="Federal",$H2234="State",$H2234="Political Subdivision"),"cost_service",IF($H2234="Investor Owned",IF(AND(COUNTIF(Parameters!$A$4:$A$33,$G2234)&gt;0,COUNTIF(Parameters!$B$4:$B$33,$B2234)=0),"procurement","cost_service"),"unclassified"))))))</f>
        <v>procurement</v>
      </c>
    </row>
    <row r="2235" spans="1:26" x14ac:dyDescent="0.25">
      <c r="A2235">
        <v>2024</v>
      </c>
      <c r="B2235">
        <v>59812</v>
      </c>
      <c r="C2235" t="s">
        <v>1569</v>
      </c>
      <c r="D2235" t="s">
        <v>99</v>
      </c>
      <c r="E2235" t="s">
        <v>100</v>
      </c>
      <c r="F2235" t="s">
        <v>86</v>
      </c>
      <c r="G2235" t="s">
        <v>52</v>
      </c>
      <c r="H2235" t="s">
        <v>101</v>
      </c>
      <c r="I2235" t="s">
        <v>92</v>
      </c>
      <c r="J2235">
        <v>189.5</v>
      </c>
      <c r="K2235">
        <v>1486</v>
      </c>
      <c r="L2235">
        <v>135</v>
      </c>
      <c r="M2235">
        <v>34.1</v>
      </c>
      <c r="N2235">
        <v>237</v>
      </c>
      <c r="O2235">
        <v>8</v>
      </c>
      <c r="P2235" t="s">
        <v>97</v>
      </c>
      <c r="Q2235" t="s">
        <v>97</v>
      </c>
      <c r="R2235" t="s">
        <v>97</v>
      </c>
      <c r="S2235" t="s">
        <v>97</v>
      </c>
      <c r="T2235" t="s">
        <v>97</v>
      </c>
      <c r="U2235" t="s">
        <v>97</v>
      </c>
      <c r="V2235">
        <v>223.6</v>
      </c>
      <c r="W2235">
        <v>1723</v>
      </c>
      <c r="X2235">
        <v>143</v>
      </c>
      <c r="Y2235">
        <f t="shared" si="34"/>
        <v>1723</v>
      </c>
      <c r="Z2235" t="str">
        <f>IF(ISNUMBER(SEARCH("Adjustment",$C2235)),"excluded",IF($H2235="Behind the Meter","excluded",IF(NOT(OR($E2235="Bundled",$E2235="Energy")),"excluded",IF(OR($H2235="Retail Power Marketer",$H2235="Community Choice Aggregator",$E2235="Energy"),"procurement",IF(OR($H2235="Municipal",$H2235="Cooperative",$H2235="Federal",$H2235="State",$H2235="Political Subdivision"),"cost_service",IF($H2235="Investor Owned",IF(AND(COUNTIF(Parameters!$A$4:$A$33,$G2235)&gt;0,COUNTIF(Parameters!$B$4:$B$33,$B2235)=0),"procurement","cost_service"),"unclassified"))))))</f>
        <v>procurement</v>
      </c>
    </row>
    <row r="2236" spans="1:26" x14ac:dyDescent="0.25">
      <c r="A2236">
        <v>2024</v>
      </c>
      <c r="B2236">
        <v>59812</v>
      </c>
      <c r="C2236" t="s">
        <v>1569</v>
      </c>
      <c r="D2236" t="s">
        <v>99</v>
      </c>
      <c r="E2236" t="s">
        <v>100</v>
      </c>
      <c r="F2236" t="s">
        <v>86</v>
      </c>
      <c r="G2236" t="s">
        <v>53</v>
      </c>
      <c r="H2236" t="s">
        <v>101</v>
      </c>
      <c r="I2236" t="s">
        <v>102</v>
      </c>
      <c r="J2236">
        <v>5699</v>
      </c>
      <c r="K2236">
        <v>59038</v>
      </c>
      <c r="L2236">
        <v>3122</v>
      </c>
      <c r="M2236">
        <v>25437</v>
      </c>
      <c r="N2236">
        <v>282637</v>
      </c>
      <c r="O2236">
        <v>2277</v>
      </c>
      <c r="P2236">
        <v>0</v>
      </c>
      <c r="Q2236">
        <v>0</v>
      </c>
      <c r="R2236">
        <v>0</v>
      </c>
      <c r="S2236">
        <v>0</v>
      </c>
      <c r="T2236">
        <v>0</v>
      </c>
      <c r="U2236">
        <v>0</v>
      </c>
      <c r="V2236">
        <v>31136</v>
      </c>
      <c r="W2236">
        <v>341675</v>
      </c>
      <c r="X2236">
        <v>5399</v>
      </c>
      <c r="Y2236">
        <f t="shared" si="34"/>
        <v>341675</v>
      </c>
      <c r="Z2236" t="str">
        <f>IF(ISNUMBER(SEARCH("Adjustment",$C2236)),"excluded",IF($H2236="Behind the Meter","excluded",IF(NOT(OR($E2236="Bundled",$E2236="Energy")),"excluded",IF(OR($H2236="Retail Power Marketer",$H2236="Community Choice Aggregator",$E2236="Energy"),"procurement",IF(OR($H2236="Municipal",$H2236="Cooperative",$H2236="Federal",$H2236="State",$H2236="Political Subdivision"),"cost_service",IF($H2236="Investor Owned",IF(AND(COUNTIF(Parameters!$A$4:$A$33,$G2236)&gt;0,COUNTIF(Parameters!$B$4:$B$33,$B2236)=0),"procurement","cost_service"),"unclassified"))))))</f>
        <v>procurement</v>
      </c>
    </row>
    <row r="2237" spans="1:26" x14ac:dyDescent="0.25">
      <c r="A2237">
        <v>2024</v>
      </c>
      <c r="B2237">
        <v>59812</v>
      </c>
      <c r="C2237" t="s">
        <v>1569</v>
      </c>
      <c r="D2237" t="s">
        <v>99</v>
      </c>
      <c r="E2237" t="s">
        <v>100</v>
      </c>
      <c r="F2237" t="s">
        <v>86</v>
      </c>
      <c r="G2237" t="s">
        <v>54</v>
      </c>
      <c r="H2237" t="s">
        <v>101</v>
      </c>
      <c r="I2237" t="s">
        <v>92</v>
      </c>
      <c r="J2237">
        <v>1680</v>
      </c>
      <c r="K2237">
        <v>20245</v>
      </c>
      <c r="L2237">
        <v>1694</v>
      </c>
      <c r="M2237">
        <v>3104</v>
      </c>
      <c r="N2237">
        <v>35943</v>
      </c>
      <c r="O2237">
        <v>730</v>
      </c>
      <c r="P2237">
        <v>0</v>
      </c>
      <c r="Q2237">
        <v>0</v>
      </c>
      <c r="R2237">
        <v>0</v>
      </c>
      <c r="S2237">
        <v>0</v>
      </c>
      <c r="T2237">
        <v>0</v>
      </c>
      <c r="U2237">
        <v>0</v>
      </c>
      <c r="V2237">
        <v>4784</v>
      </c>
      <c r="W2237">
        <v>56188</v>
      </c>
      <c r="X2237">
        <v>2424</v>
      </c>
      <c r="Y2237">
        <f t="shared" si="34"/>
        <v>56188</v>
      </c>
      <c r="Z2237" t="str">
        <f>IF(ISNUMBER(SEARCH("Adjustment",$C2237)),"excluded",IF($H2237="Behind the Meter","excluded",IF(NOT(OR($E2237="Bundled",$E2237="Energy")),"excluded",IF(OR($H2237="Retail Power Marketer",$H2237="Community Choice Aggregator",$E2237="Energy"),"procurement",IF(OR($H2237="Municipal",$H2237="Cooperative",$H2237="Federal",$H2237="State",$H2237="Political Subdivision"),"cost_service",IF($H2237="Investor Owned",IF(AND(COUNTIF(Parameters!$A$4:$A$33,$G2237)&gt;0,COUNTIF(Parameters!$B$4:$B$33,$B2237)=0),"procurement","cost_service"),"unclassified"))))))</f>
        <v>procurement</v>
      </c>
    </row>
    <row r="2238" spans="1:26" x14ac:dyDescent="0.25">
      <c r="A2238">
        <v>2024</v>
      </c>
      <c r="B2238">
        <v>59812</v>
      </c>
      <c r="C2238" t="s">
        <v>1569</v>
      </c>
      <c r="D2238" t="s">
        <v>99</v>
      </c>
      <c r="E2238" t="s">
        <v>100</v>
      </c>
      <c r="F2238" t="s">
        <v>86</v>
      </c>
      <c r="G2238" t="s">
        <v>55</v>
      </c>
      <c r="H2238" t="s">
        <v>101</v>
      </c>
      <c r="I2238" t="s">
        <v>92</v>
      </c>
      <c r="J2238">
        <v>7270</v>
      </c>
      <c r="K2238">
        <v>75128</v>
      </c>
      <c r="L2238">
        <v>6276</v>
      </c>
      <c r="M2238">
        <v>9970</v>
      </c>
      <c r="N2238">
        <v>90549</v>
      </c>
      <c r="O2238">
        <v>2164</v>
      </c>
      <c r="P2238">
        <v>0</v>
      </c>
      <c r="Q2238">
        <v>0</v>
      </c>
      <c r="R2238">
        <v>0</v>
      </c>
      <c r="S2238">
        <v>0</v>
      </c>
      <c r="T2238">
        <v>0</v>
      </c>
      <c r="U2238">
        <v>0</v>
      </c>
      <c r="V2238">
        <v>17240</v>
      </c>
      <c r="W2238">
        <v>165677</v>
      </c>
      <c r="X2238">
        <v>8440</v>
      </c>
      <c r="Y2238">
        <f t="shared" si="34"/>
        <v>165677</v>
      </c>
      <c r="Z2238" t="str">
        <f>IF(ISNUMBER(SEARCH("Adjustment",$C2238)),"excluded",IF($H2238="Behind the Meter","excluded",IF(NOT(OR($E2238="Bundled",$E2238="Energy")),"excluded",IF(OR($H2238="Retail Power Marketer",$H2238="Community Choice Aggregator",$E2238="Energy"),"procurement",IF(OR($H2238="Municipal",$H2238="Cooperative",$H2238="Federal",$H2238="State",$H2238="Political Subdivision"),"cost_service",IF($H2238="Investor Owned",IF(AND(COUNTIF(Parameters!$A$4:$A$33,$G2238)&gt;0,COUNTIF(Parameters!$B$4:$B$33,$B2238)=0),"procurement","cost_service"),"unclassified"))))))</f>
        <v>procurement</v>
      </c>
    </row>
    <row r="2239" spans="1:26" x14ac:dyDescent="0.25">
      <c r="A2239">
        <v>2024</v>
      </c>
      <c r="B2239">
        <v>59818</v>
      </c>
      <c r="C2239" t="s">
        <v>1570</v>
      </c>
      <c r="D2239" t="s">
        <v>99</v>
      </c>
      <c r="E2239" t="s">
        <v>100</v>
      </c>
      <c r="F2239" t="s">
        <v>86</v>
      </c>
      <c r="G2239" t="s">
        <v>50</v>
      </c>
      <c r="H2239" t="s">
        <v>101</v>
      </c>
      <c r="I2239" t="s">
        <v>188</v>
      </c>
      <c r="J2239">
        <v>0</v>
      </c>
      <c r="K2239">
        <v>0</v>
      </c>
      <c r="L2239">
        <v>0</v>
      </c>
      <c r="M2239">
        <v>686.6</v>
      </c>
      <c r="N2239">
        <v>5294</v>
      </c>
      <c r="O2239">
        <v>126</v>
      </c>
      <c r="P2239">
        <v>146.19999999999999</v>
      </c>
      <c r="Q2239">
        <v>1025</v>
      </c>
      <c r="R2239">
        <v>1</v>
      </c>
      <c r="S2239">
        <v>0</v>
      </c>
      <c r="T2239">
        <v>0</v>
      </c>
      <c r="U2239">
        <v>0</v>
      </c>
      <c r="V2239">
        <v>832.8</v>
      </c>
      <c r="W2239">
        <v>6319</v>
      </c>
      <c r="X2239">
        <v>127</v>
      </c>
      <c r="Y2239">
        <f t="shared" si="34"/>
        <v>6319</v>
      </c>
      <c r="Z2239" t="str">
        <f>IF(ISNUMBER(SEARCH("Adjustment",$C2239)),"excluded",IF($H2239="Behind the Meter","excluded",IF(NOT(OR($E2239="Bundled",$E2239="Energy")),"excluded",IF(OR($H2239="Retail Power Marketer",$H2239="Community Choice Aggregator",$E2239="Energy"),"procurement",IF(OR($H2239="Municipal",$H2239="Cooperative",$H2239="Federal",$H2239="State",$H2239="Political Subdivision"),"cost_service",IF($H2239="Investor Owned",IF(AND(COUNTIF(Parameters!$A$4:$A$33,$G2239)&gt;0,COUNTIF(Parameters!$B$4:$B$33,$B2239)=0),"procurement","cost_service"),"unclassified"))))))</f>
        <v>procurement</v>
      </c>
    </row>
    <row r="2240" spans="1:26" x14ac:dyDescent="0.25">
      <c r="A2240">
        <v>2024</v>
      </c>
      <c r="B2240">
        <v>59848</v>
      </c>
      <c r="C2240" t="s">
        <v>1571</v>
      </c>
      <c r="D2240" t="s">
        <v>99</v>
      </c>
      <c r="E2240" t="s">
        <v>100</v>
      </c>
      <c r="F2240" t="s">
        <v>86</v>
      </c>
      <c r="G2240" t="s">
        <v>44</v>
      </c>
      <c r="H2240" t="s">
        <v>101</v>
      </c>
      <c r="I2240" t="s">
        <v>92</v>
      </c>
      <c r="J2240">
        <v>18.399999999999999</v>
      </c>
      <c r="K2240">
        <v>171</v>
      </c>
      <c r="L2240">
        <v>49</v>
      </c>
      <c r="M2240" t="s">
        <v>97</v>
      </c>
      <c r="N2240" t="s">
        <v>97</v>
      </c>
      <c r="O2240" t="s">
        <v>97</v>
      </c>
      <c r="P2240" t="s">
        <v>97</v>
      </c>
      <c r="Q2240" t="s">
        <v>97</v>
      </c>
      <c r="R2240" t="s">
        <v>97</v>
      </c>
      <c r="S2240" t="s">
        <v>97</v>
      </c>
      <c r="T2240" t="s">
        <v>97</v>
      </c>
      <c r="U2240" t="s">
        <v>97</v>
      </c>
      <c r="V2240">
        <v>18.399999999999999</v>
      </c>
      <c r="W2240">
        <v>171</v>
      </c>
      <c r="X2240">
        <v>49</v>
      </c>
      <c r="Y2240">
        <f t="shared" si="34"/>
        <v>171</v>
      </c>
      <c r="Z2240" t="str">
        <f>IF(ISNUMBER(SEARCH("Adjustment",$C2240)),"excluded",IF($H2240="Behind the Meter","excluded",IF(NOT(OR($E2240="Bundled",$E2240="Energy")),"excluded",IF(OR($H2240="Retail Power Marketer",$H2240="Community Choice Aggregator",$E2240="Energy"),"procurement",IF(OR($H2240="Municipal",$H2240="Cooperative",$H2240="Federal",$H2240="State",$H2240="Political Subdivision"),"cost_service",IF($H2240="Investor Owned",IF(AND(COUNTIF(Parameters!$A$4:$A$33,$G2240)&gt;0,COUNTIF(Parameters!$B$4:$B$33,$B2240)=0),"procurement","cost_service"),"unclassified"))))))</f>
        <v>procurement</v>
      </c>
    </row>
    <row r="2241" spans="1:26" x14ac:dyDescent="0.25">
      <c r="A2241">
        <v>2024</v>
      </c>
      <c r="B2241">
        <v>59848</v>
      </c>
      <c r="C2241" t="s">
        <v>1571</v>
      </c>
      <c r="D2241" t="s">
        <v>99</v>
      </c>
      <c r="E2241" t="s">
        <v>100</v>
      </c>
      <c r="F2241" t="s">
        <v>86</v>
      </c>
      <c r="G2241" t="s">
        <v>46</v>
      </c>
      <c r="H2241" t="s">
        <v>101</v>
      </c>
      <c r="I2241" t="s">
        <v>92</v>
      </c>
      <c r="J2241">
        <v>1025.5</v>
      </c>
      <c r="K2241">
        <v>13140</v>
      </c>
      <c r="L2241">
        <v>2833</v>
      </c>
      <c r="M2241" t="s">
        <v>97</v>
      </c>
      <c r="N2241" t="s">
        <v>97</v>
      </c>
      <c r="O2241" t="s">
        <v>97</v>
      </c>
      <c r="P2241" t="s">
        <v>97</v>
      </c>
      <c r="Q2241" t="s">
        <v>97</v>
      </c>
      <c r="R2241" t="s">
        <v>97</v>
      </c>
      <c r="S2241" t="s">
        <v>97</v>
      </c>
      <c r="T2241" t="s">
        <v>97</v>
      </c>
      <c r="U2241" t="s">
        <v>97</v>
      </c>
      <c r="V2241">
        <v>1025.5</v>
      </c>
      <c r="W2241">
        <v>13140</v>
      </c>
      <c r="X2241">
        <v>2833</v>
      </c>
      <c r="Y2241">
        <f t="shared" si="34"/>
        <v>13140</v>
      </c>
      <c r="Z2241" t="str">
        <f>IF(ISNUMBER(SEARCH("Adjustment",$C2241)),"excluded",IF($H2241="Behind the Meter","excluded",IF(NOT(OR($E2241="Bundled",$E2241="Energy")),"excluded",IF(OR($H2241="Retail Power Marketer",$H2241="Community Choice Aggregator",$E2241="Energy"),"procurement",IF(OR($H2241="Municipal",$H2241="Cooperative",$H2241="Federal",$H2241="State",$H2241="Political Subdivision"),"cost_service",IF($H2241="Investor Owned",IF(AND(COUNTIF(Parameters!$A$4:$A$33,$G2241)&gt;0,COUNTIF(Parameters!$B$4:$B$33,$B2241)=0),"procurement","cost_service"),"unclassified"))))))</f>
        <v>procurement</v>
      </c>
    </row>
    <row r="2242" spans="1:26" x14ac:dyDescent="0.25">
      <c r="A2242">
        <v>2024</v>
      </c>
      <c r="B2242">
        <v>59848</v>
      </c>
      <c r="C2242" t="s">
        <v>1571</v>
      </c>
      <c r="D2242" t="s">
        <v>99</v>
      </c>
      <c r="E2242" t="s">
        <v>100</v>
      </c>
      <c r="F2242" t="s">
        <v>86</v>
      </c>
      <c r="G2242" t="s">
        <v>54</v>
      </c>
      <c r="H2242" t="s">
        <v>101</v>
      </c>
      <c r="I2242" t="s">
        <v>92</v>
      </c>
      <c r="J2242">
        <v>71</v>
      </c>
      <c r="K2242">
        <v>1069</v>
      </c>
      <c r="L2242">
        <v>142</v>
      </c>
      <c r="M2242" t="s">
        <v>97</v>
      </c>
      <c r="N2242" t="s">
        <v>97</v>
      </c>
      <c r="O2242" t="s">
        <v>97</v>
      </c>
      <c r="P2242" t="s">
        <v>97</v>
      </c>
      <c r="Q2242" t="s">
        <v>97</v>
      </c>
      <c r="R2242" t="s">
        <v>97</v>
      </c>
      <c r="S2242" t="s">
        <v>97</v>
      </c>
      <c r="T2242" t="s">
        <v>97</v>
      </c>
      <c r="U2242" t="s">
        <v>97</v>
      </c>
      <c r="V2242">
        <v>71</v>
      </c>
      <c r="W2242">
        <v>1069</v>
      </c>
      <c r="X2242">
        <v>142</v>
      </c>
      <c r="Y2242">
        <f t="shared" si="34"/>
        <v>1069</v>
      </c>
      <c r="Z2242" t="str">
        <f>IF(ISNUMBER(SEARCH("Adjustment",$C2242)),"excluded",IF($H2242="Behind the Meter","excluded",IF(NOT(OR($E2242="Bundled",$E2242="Energy")),"excluded",IF(OR($H2242="Retail Power Marketer",$H2242="Community Choice Aggregator",$E2242="Energy"),"procurement",IF(OR($H2242="Municipal",$H2242="Cooperative",$H2242="Federal",$H2242="State",$H2242="Political Subdivision"),"cost_service",IF($H2242="Investor Owned",IF(AND(COUNTIF(Parameters!$A$4:$A$33,$G2242)&gt;0,COUNTIF(Parameters!$B$4:$B$33,$B2242)=0),"procurement","cost_service"),"unclassified"))))))</f>
        <v>procurement</v>
      </c>
    </row>
    <row r="2243" spans="1:26" x14ac:dyDescent="0.25">
      <c r="A2243">
        <v>2024</v>
      </c>
      <c r="B2243">
        <v>59931</v>
      </c>
      <c r="C2243" t="s">
        <v>1572</v>
      </c>
      <c r="D2243" t="s">
        <v>99</v>
      </c>
      <c r="E2243" t="s">
        <v>100</v>
      </c>
      <c r="F2243" t="s">
        <v>86</v>
      </c>
      <c r="G2243" t="s">
        <v>42</v>
      </c>
      <c r="H2243" t="s">
        <v>101</v>
      </c>
      <c r="I2243" t="s">
        <v>92</v>
      </c>
      <c r="J2243">
        <v>23.7</v>
      </c>
      <c r="K2243">
        <v>238</v>
      </c>
      <c r="L2243">
        <v>17</v>
      </c>
      <c r="M2243">
        <v>2013.8</v>
      </c>
      <c r="N2243">
        <v>20930</v>
      </c>
      <c r="O2243">
        <v>100</v>
      </c>
      <c r="P2243">
        <v>0</v>
      </c>
      <c r="Q2243">
        <v>0</v>
      </c>
      <c r="R2243">
        <v>0</v>
      </c>
      <c r="S2243">
        <v>0</v>
      </c>
      <c r="T2243">
        <v>0</v>
      </c>
      <c r="U2243">
        <v>0</v>
      </c>
      <c r="V2243">
        <v>2037.5</v>
      </c>
      <c r="W2243">
        <v>21168</v>
      </c>
      <c r="X2243">
        <v>117</v>
      </c>
      <c r="Y2243">
        <f t="shared" si="34"/>
        <v>21168</v>
      </c>
      <c r="Z2243" t="str">
        <f>IF(ISNUMBER(SEARCH("Adjustment",$C2243)),"excluded",IF($H2243="Behind the Meter","excluded",IF(NOT(OR($E2243="Bundled",$E2243="Energy")),"excluded",IF(OR($H2243="Retail Power Marketer",$H2243="Community Choice Aggregator",$E2243="Energy"),"procurement",IF(OR($H2243="Municipal",$H2243="Cooperative",$H2243="Federal",$H2243="State",$H2243="Political Subdivision"),"cost_service",IF($H2243="Investor Owned",IF(AND(COUNTIF(Parameters!$A$4:$A$33,$G2243)&gt;0,COUNTIF(Parameters!$B$4:$B$33,$B2243)=0),"procurement","cost_service"),"unclassified"))))))</f>
        <v>procurement</v>
      </c>
    </row>
    <row r="2244" spans="1:26" x14ac:dyDescent="0.25">
      <c r="A2244">
        <v>2024</v>
      </c>
      <c r="B2244">
        <v>59931</v>
      </c>
      <c r="C2244" t="s">
        <v>1572</v>
      </c>
      <c r="D2244" t="s">
        <v>99</v>
      </c>
      <c r="E2244" t="s">
        <v>100</v>
      </c>
      <c r="F2244" t="s">
        <v>86</v>
      </c>
      <c r="G2244" t="s">
        <v>44</v>
      </c>
      <c r="H2244" t="s">
        <v>101</v>
      </c>
      <c r="I2244" t="s">
        <v>92</v>
      </c>
      <c r="J2244">
        <v>73.900000000000006</v>
      </c>
      <c r="K2244">
        <v>1349</v>
      </c>
      <c r="L2244">
        <v>82</v>
      </c>
      <c r="M2244">
        <v>2312</v>
      </c>
      <c r="N2244">
        <v>36485</v>
      </c>
      <c r="O2244">
        <v>230</v>
      </c>
      <c r="P2244">
        <v>502.4</v>
      </c>
      <c r="Q2244">
        <v>9169</v>
      </c>
      <c r="R2244">
        <v>3</v>
      </c>
      <c r="S2244">
        <v>0</v>
      </c>
      <c r="T2244">
        <v>0</v>
      </c>
      <c r="U2244">
        <v>0</v>
      </c>
      <c r="V2244">
        <v>2888.3</v>
      </c>
      <c r="W2244">
        <v>47003</v>
      </c>
      <c r="X2244">
        <v>315</v>
      </c>
      <c r="Y2244">
        <f t="shared" ref="Y2244:Y2307" si="35">IF(ISNUMBER($W2244),$W2244,0)</f>
        <v>47003</v>
      </c>
      <c r="Z2244" t="str">
        <f>IF(ISNUMBER(SEARCH("Adjustment",$C2244)),"excluded",IF($H2244="Behind the Meter","excluded",IF(NOT(OR($E2244="Bundled",$E2244="Energy")),"excluded",IF(OR($H2244="Retail Power Marketer",$H2244="Community Choice Aggregator",$E2244="Energy"),"procurement",IF(OR($H2244="Municipal",$H2244="Cooperative",$H2244="Federal",$H2244="State",$H2244="Political Subdivision"),"cost_service",IF($H2244="Investor Owned",IF(AND(COUNTIF(Parameters!$A$4:$A$33,$G2244)&gt;0,COUNTIF(Parameters!$B$4:$B$33,$B2244)=0),"procurement","cost_service"),"unclassified"))))))</f>
        <v>procurement</v>
      </c>
    </row>
    <row r="2245" spans="1:26" x14ac:dyDescent="0.25">
      <c r="A2245">
        <v>2024</v>
      </c>
      <c r="B2245">
        <v>59931</v>
      </c>
      <c r="C2245" t="s">
        <v>1572</v>
      </c>
      <c r="D2245" t="s">
        <v>99</v>
      </c>
      <c r="E2245" t="s">
        <v>100</v>
      </c>
      <c r="F2245" t="s">
        <v>86</v>
      </c>
      <c r="G2245" t="s">
        <v>46</v>
      </c>
      <c r="H2245" t="s">
        <v>101</v>
      </c>
      <c r="I2245" t="s">
        <v>92</v>
      </c>
      <c r="J2245">
        <v>3</v>
      </c>
      <c r="K2245">
        <v>28</v>
      </c>
      <c r="L2245">
        <v>1</v>
      </c>
      <c r="M2245">
        <v>36675.800000000003</v>
      </c>
      <c r="N2245">
        <v>608671</v>
      </c>
      <c r="O2245">
        <v>3156</v>
      </c>
      <c r="P2245">
        <v>42147.7</v>
      </c>
      <c r="Q2245">
        <v>785515</v>
      </c>
      <c r="R2245">
        <v>87</v>
      </c>
      <c r="S2245">
        <v>0</v>
      </c>
      <c r="T2245">
        <v>0</v>
      </c>
      <c r="U2245">
        <v>0</v>
      </c>
      <c r="V2245">
        <v>78826.5</v>
      </c>
      <c r="W2245">
        <v>1394214</v>
      </c>
      <c r="X2245">
        <v>3244</v>
      </c>
      <c r="Y2245">
        <f t="shared" si="35"/>
        <v>1394214</v>
      </c>
      <c r="Z2245" t="str">
        <f>IF(ISNUMBER(SEARCH("Adjustment",$C2245)),"excluded",IF($H2245="Behind the Meter","excluded",IF(NOT(OR($E2245="Bundled",$E2245="Energy")),"excluded",IF(OR($H2245="Retail Power Marketer",$H2245="Community Choice Aggregator",$E2245="Energy"),"procurement",IF(OR($H2245="Municipal",$H2245="Cooperative",$H2245="Federal",$H2245="State",$H2245="Political Subdivision"),"cost_service",IF($H2245="Investor Owned",IF(AND(COUNTIF(Parameters!$A$4:$A$33,$G2245)&gt;0,COUNTIF(Parameters!$B$4:$B$33,$B2245)=0),"procurement","cost_service"),"unclassified"))))))</f>
        <v>procurement</v>
      </c>
    </row>
    <row r="2246" spans="1:26" x14ac:dyDescent="0.25">
      <c r="A2246">
        <v>2024</v>
      </c>
      <c r="B2246">
        <v>59931</v>
      </c>
      <c r="C2246" t="s">
        <v>1572</v>
      </c>
      <c r="D2246" t="s">
        <v>99</v>
      </c>
      <c r="E2246" t="s">
        <v>100</v>
      </c>
      <c r="F2246" t="s">
        <v>86</v>
      </c>
      <c r="G2246" t="s">
        <v>46</v>
      </c>
      <c r="H2246" t="s">
        <v>101</v>
      </c>
      <c r="I2246" t="s">
        <v>96</v>
      </c>
      <c r="J2246">
        <v>0</v>
      </c>
      <c r="K2246">
        <v>0</v>
      </c>
      <c r="L2246">
        <v>0</v>
      </c>
      <c r="M2246">
        <v>9296.9</v>
      </c>
      <c r="N2246">
        <v>150970</v>
      </c>
      <c r="O2246">
        <v>881</v>
      </c>
      <c r="P2246">
        <v>21597.5</v>
      </c>
      <c r="Q2246">
        <v>384302</v>
      </c>
      <c r="R2246">
        <v>19</v>
      </c>
      <c r="S2246">
        <v>0</v>
      </c>
      <c r="T2246">
        <v>0</v>
      </c>
      <c r="U2246">
        <v>0</v>
      </c>
      <c r="V2246">
        <v>30894.400000000001</v>
      </c>
      <c r="W2246">
        <v>535272</v>
      </c>
      <c r="X2246">
        <v>900</v>
      </c>
      <c r="Y2246">
        <f t="shared" si="35"/>
        <v>535272</v>
      </c>
      <c r="Z2246" t="str">
        <f>IF(ISNUMBER(SEARCH("Adjustment",$C2246)),"excluded",IF($H2246="Behind the Meter","excluded",IF(NOT(OR($E2246="Bundled",$E2246="Energy")),"excluded",IF(OR($H2246="Retail Power Marketer",$H2246="Community Choice Aggregator",$E2246="Energy"),"procurement",IF(OR($H2246="Municipal",$H2246="Cooperative",$H2246="Federal",$H2246="State",$H2246="Political Subdivision"),"cost_service",IF($H2246="Investor Owned",IF(AND(COUNTIF(Parameters!$A$4:$A$33,$G2246)&gt;0,COUNTIF(Parameters!$B$4:$B$33,$B2246)=0),"procurement","cost_service"),"unclassified"))))))</f>
        <v>procurement</v>
      </c>
    </row>
    <row r="2247" spans="1:26" x14ac:dyDescent="0.25">
      <c r="A2247">
        <v>2024</v>
      </c>
      <c r="B2247">
        <v>59931</v>
      </c>
      <c r="C2247" t="s">
        <v>1572</v>
      </c>
      <c r="D2247" t="s">
        <v>99</v>
      </c>
      <c r="E2247" t="s">
        <v>100</v>
      </c>
      <c r="F2247" t="s">
        <v>86</v>
      </c>
      <c r="G2247" t="s">
        <v>48</v>
      </c>
      <c r="H2247" t="s">
        <v>101</v>
      </c>
      <c r="I2247" t="s">
        <v>189</v>
      </c>
      <c r="J2247">
        <v>23.8</v>
      </c>
      <c r="K2247">
        <v>151</v>
      </c>
      <c r="L2247">
        <v>16</v>
      </c>
      <c r="M2247">
        <v>8141.3</v>
      </c>
      <c r="N2247">
        <v>68005</v>
      </c>
      <c r="O2247">
        <v>372</v>
      </c>
      <c r="P2247">
        <v>1053.2</v>
      </c>
      <c r="Q2247">
        <v>11731</v>
      </c>
      <c r="R2247">
        <v>2</v>
      </c>
      <c r="S2247">
        <v>0</v>
      </c>
      <c r="T2247">
        <v>0</v>
      </c>
      <c r="U2247">
        <v>0</v>
      </c>
      <c r="V2247">
        <v>9218.2999999999993</v>
      </c>
      <c r="W2247">
        <v>79887</v>
      </c>
      <c r="X2247">
        <v>390</v>
      </c>
      <c r="Y2247">
        <f t="shared" si="35"/>
        <v>79887</v>
      </c>
      <c r="Z2247" t="str">
        <f>IF(ISNUMBER(SEARCH("Adjustment",$C2247)),"excluded",IF($H2247="Behind the Meter","excluded",IF(NOT(OR($E2247="Bundled",$E2247="Energy")),"excluded",IF(OR($H2247="Retail Power Marketer",$H2247="Community Choice Aggregator",$E2247="Energy"),"procurement",IF(OR($H2247="Municipal",$H2247="Cooperative",$H2247="Federal",$H2247="State",$H2247="Political Subdivision"),"cost_service",IF($H2247="Investor Owned",IF(AND(COUNTIF(Parameters!$A$4:$A$33,$G2247)&gt;0,COUNTIF(Parameters!$B$4:$B$33,$B2247)=0),"procurement","cost_service"),"unclassified"))))))</f>
        <v>procurement</v>
      </c>
    </row>
    <row r="2248" spans="1:26" x14ac:dyDescent="0.25">
      <c r="A2248">
        <v>2024</v>
      </c>
      <c r="B2248">
        <v>59931</v>
      </c>
      <c r="C2248" t="s">
        <v>1572</v>
      </c>
      <c r="D2248" t="s">
        <v>99</v>
      </c>
      <c r="E2248" t="s">
        <v>100</v>
      </c>
      <c r="F2248" t="s">
        <v>86</v>
      </c>
      <c r="G2248" t="s">
        <v>49</v>
      </c>
      <c r="H2248" t="s">
        <v>101</v>
      </c>
      <c r="I2248" t="s">
        <v>92</v>
      </c>
      <c r="J2248">
        <v>194.5</v>
      </c>
      <c r="K2248">
        <v>2757</v>
      </c>
      <c r="L2248">
        <v>219</v>
      </c>
      <c r="M2248">
        <v>15017.1</v>
      </c>
      <c r="N2248">
        <v>226263</v>
      </c>
      <c r="O2248">
        <v>2096</v>
      </c>
      <c r="P2248">
        <v>4813.6000000000004</v>
      </c>
      <c r="Q2248">
        <v>63444</v>
      </c>
      <c r="R2248">
        <v>10</v>
      </c>
      <c r="S2248">
        <v>0</v>
      </c>
      <c r="T2248">
        <v>0</v>
      </c>
      <c r="U2248">
        <v>0</v>
      </c>
      <c r="V2248">
        <v>20025.2</v>
      </c>
      <c r="W2248">
        <v>292464</v>
      </c>
      <c r="X2248">
        <v>2325</v>
      </c>
      <c r="Y2248">
        <f t="shared" si="35"/>
        <v>292464</v>
      </c>
      <c r="Z2248" t="str">
        <f>IF(ISNUMBER(SEARCH("Adjustment",$C2248)),"excluded",IF($H2248="Behind the Meter","excluded",IF(NOT(OR($E2248="Bundled",$E2248="Energy")),"excluded",IF(OR($H2248="Retail Power Marketer",$H2248="Community Choice Aggregator",$E2248="Energy"),"procurement",IF(OR($H2248="Municipal",$H2248="Cooperative",$H2248="Federal",$H2248="State",$H2248="Political Subdivision"),"cost_service",IF($H2248="Investor Owned",IF(AND(COUNTIF(Parameters!$A$4:$A$33,$G2248)&gt;0,COUNTIF(Parameters!$B$4:$B$33,$B2248)=0),"procurement","cost_service"),"unclassified"))))))</f>
        <v>procurement</v>
      </c>
    </row>
    <row r="2249" spans="1:26" x14ac:dyDescent="0.25">
      <c r="A2249">
        <v>2024</v>
      </c>
      <c r="B2249">
        <v>59931</v>
      </c>
      <c r="C2249" t="s">
        <v>1572</v>
      </c>
      <c r="D2249" t="s">
        <v>99</v>
      </c>
      <c r="E2249" t="s">
        <v>100</v>
      </c>
      <c r="F2249" t="s">
        <v>86</v>
      </c>
      <c r="G2249" t="s">
        <v>52</v>
      </c>
      <c r="H2249" t="s">
        <v>101</v>
      </c>
      <c r="I2249" t="s">
        <v>92</v>
      </c>
      <c r="J2249">
        <v>0</v>
      </c>
      <c r="K2249">
        <v>0</v>
      </c>
      <c r="L2249">
        <v>0</v>
      </c>
      <c r="M2249">
        <v>12508.7</v>
      </c>
      <c r="N2249">
        <v>189901</v>
      </c>
      <c r="O2249">
        <v>466</v>
      </c>
      <c r="P2249">
        <v>22071.4</v>
      </c>
      <c r="Q2249">
        <v>308548</v>
      </c>
      <c r="R2249">
        <v>14</v>
      </c>
      <c r="S2249">
        <v>0</v>
      </c>
      <c r="T2249">
        <v>0</v>
      </c>
      <c r="U2249">
        <v>0</v>
      </c>
      <c r="V2249">
        <v>34580.1</v>
      </c>
      <c r="W2249">
        <v>498449</v>
      </c>
      <c r="X2249">
        <v>480</v>
      </c>
      <c r="Y2249">
        <f t="shared" si="35"/>
        <v>498449</v>
      </c>
      <c r="Z2249" t="str">
        <f>IF(ISNUMBER(SEARCH("Adjustment",$C2249)),"excluded",IF($H2249="Behind the Meter","excluded",IF(NOT(OR($E2249="Bundled",$E2249="Energy")),"excluded",IF(OR($H2249="Retail Power Marketer",$H2249="Community Choice Aggregator",$E2249="Energy"),"procurement",IF(OR($H2249="Municipal",$H2249="Cooperative",$H2249="Federal",$H2249="State",$H2249="Political Subdivision"),"cost_service",IF($H2249="Investor Owned",IF(AND(COUNTIF(Parameters!$A$4:$A$33,$G2249)&gt;0,COUNTIF(Parameters!$B$4:$B$33,$B2249)=0),"procurement","cost_service"),"unclassified"))))))</f>
        <v>procurement</v>
      </c>
    </row>
    <row r="2250" spans="1:26" x14ac:dyDescent="0.25">
      <c r="A2250">
        <v>2024</v>
      </c>
      <c r="B2250">
        <v>59931</v>
      </c>
      <c r="C2250" t="s">
        <v>1572</v>
      </c>
      <c r="D2250" t="s">
        <v>99</v>
      </c>
      <c r="E2250" t="s">
        <v>100</v>
      </c>
      <c r="F2250" t="s">
        <v>86</v>
      </c>
      <c r="G2250" t="s">
        <v>53</v>
      </c>
      <c r="H2250" t="s">
        <v>101</v>
      </c>
      <c r="I2250" t="s">
        <v>102</v>
      </c>
      <c r="J2250">
        <v>0.7</v>
      </c>
      <c r="K2250">
        <v>6</v>
      </c>
      <c r="L2250">
        <v>1</v>
      </c>
      <c r="M2250">
        <v>18453.3</v>
      </c>
      <c r="N2250">
        <v>203530</v>
      </c>
      <c r="O2250">
        <v>753</v>
      </c>
      <c r="P2250">
        <v>8124.1</v>
      </c>
      <c r="Q2250">
        <v>92608</v>
      </c>
      <c r="R2250">
        <v>6</v>
      </c>
      <c r="S2250">
        <v>0</v>
      </c>
      <c r="T2250">
        <v>0</v>
      </c>
      <c r="U2250">
        <v>0</v>
      </c>
      <c r="V2250">
        <v>26578.1</v>
      </c>
      <c r="W2250">
        <v>296144</v>
      </c>
      <c r="X2250">
        <v>760</v>
      </c>
      <c r="Y2250">
        <f t="shared" si="35"/>
        <v>296144</v>
      </c>
      <c r="Z2250" t="str">
        <f>IF(ISNUMBER(SEARCH("Adjustment",$C2250)),"excluded",IF($H2250="Behind the Meter","excluded",IF(NOT(OR($E2250="Bundled",$E2250="Energy")),"excluded",IF(OR($H2250="Retail Power Marketer",$H2250="Community Choice Aggregator",$E2250="Energy"),"procurement",IF(OR($H2250="Municipal",$H2250="Cooperative",$H2250="Federal",$H2250="State",$H2250="Political Subdivision"),"cost_service",IF($H2250="Investor Owned",IF(AND(COUNTIF(Parameters!$A$4:$A$33,$G2250)&gt;0,COUNTIF(Parameters!$B$4:$B$33,$B2250)=0),"procurement","cost_service"),"unclassified"))))))</f>
        <v>procurement</v>
      </c>
    </row>
    <row r="2251" spans="1:26" x14ac:dyDescent="0.25">
      <c r="A2251">
        <v>2024</v>
      </c>
      <c r="B2251">
        <v>59931</v>
      </c>
      <c r="C2251" t="s">
        <v>1572</v>
      </c>
      <c r="D2251" t="s">
        <v>99</v>
      </c>
      <c r="E2251" t="s">
        <v>100</v>
      </c>
      <c r="F2251" t="s">
        <v>86</v>
      </c>
      <c r="G2251" t="s">
        <v>54</v>
      </c>
      <c r="H2251" t="s">
        <v>101</v>
      </c>
      <c r="I2251" t="s">
        <v>92</v>
      </c>
      <c r="J2251">
        <v>151.9</v>
      </c>
      <c r="K2251">
        <v>2608</v>
      </c>
      <c r="L2251">
        <v>325</v>
      </c>
      <c r="M2251">
        <v>15999.2</v>
      </c>
      <c r="N2251">
        <v>268964</v>
      </c>
      <c r="O2251">
        <v>1645</v>
      </c>
      <c r="P2251">
        <v>13001.8</v>
      </c>
      <c r="Q2251">
        <v>195767</v>
      </c>
      <c r="R2251">
        <v>17</v>
      </c>
      <c r="S2251">
        <v>0</v>
      </c>
      <c r="T2251">
        <v>0</v>
      </c>
      <c r="U2251">
        <v>0</v>
      </c>
      <c r="V2251">
        <v>29152.9</v>
      </c>
      <c r="W2251">
        <v>467339</v>
      </c>
      <c r="X2251">
        <v>1987</v>
      </c>
      <c r="Y2251">
        <f t="shared" si="35"/>
        <v>467339</v>
      </c>
      <c r="Z2251" t="str">
        <f>IF(ISNUMBER(SEARCH("Adjustment",$C2251)),"excluded",IF($H2251="Behind the Meter","excluded",IF(NOT(OR($E2251="Bundled",$E2251="Energy")),"excluded",IF(OR($H2251="Retail Power Marketer",$H2251="Community Choice Aggregator",$E2251="Energy"),"procurement",IF(OR($H2251="Municipal",$H2251="Cooperative",$H2251="Federal",$H2251="State",$H2251="Political Subdivision"),"cost_service",IF($H2251="Investor Owned",IF(AND(COUNTIF(Parameters!$A$4:$A$33,$G2251)&gt;0,COUNTIF(Parameters!$B$4:$B$33,$B2251)=0),"procurement","cost_service"),"unclassified"))))))</f>
        <v>procurement</v>
      </c>
    </row>
    <row r="2252" spans="1:26" x14ac:dyDescent="0.25">
      <c r="A2252">
        <v>2024</v>
      </c>
      <c r="B2252">
        <v>59931</v>
      </c>
      <c r="C2252" t="s">
        <v>1572</v>
      </c>
      <c r="D2252" t="s">
        <v>99</v>
      </c>
      <c r="E2252" t="s">
        <v>100</v>
      </c>
      <c r="F2252" t="s">
        <v>86</v>
      </c>
      <c r="G2252" t="s">
        <v>55</v>
      </c>
      <c r="H2252" t="s">
        <v>101</v>
      </c>
      <c r="I2252" t="s">
        <v>92</v>
      </c>
      <c r="J2252">
        <v>160.4</v>
      </c>
      <c r="K2252">
        <v>2220</v>
      </c>
      <c r="L2252">
        <v>253</v>
      </c>
      <c r="M2252">
        <v>21700.799999999999</v>
      </c>
      <c r="N2252">
        <v>331859</v>
      </c>
      <c r="O2252">
        <v>2807</v>
      </c>
      <c r="P2252">
        <v>15788.3</v>
      </c>
      <c r="Q2252">
        <v>276982</v>
      </c>
      <c r="R2252">
        <v>27</v>
      </c>
      <c r="S2252">
        <v>0</v>
      </c>
      <c r="T2252">
        <v>0</v>
      </c>
      <c r="U2252">
        <v>0</v>
      </c>
      <c r="V2252">
        <v>37649.5</v>
      </c>
      <c r="W2252">
        <v>611061</v>
      </c>
      <c r="X2252">
        <v>3087</v>
      </c>
      <c r="Y2252">
        <f t="shared" si="35"/>
        <v>611061</v>
      </c>
      <c r="Z2252" t="str">
        <f>IF(ISNUMBER(SEARCH("Adjustment",$C2252)),"excluded",IF($H2252="Behind the Meter","excluded",IF(NOT(OR($E2252="Bundled",$E2252="Energy")),"excluded",IF(OR($H2252="Retail Power Marketer",$H2252="Community Choice Aggregator",$E2252="Energy"),"procurement",IF(OR($H2252="Municipal",$H2252="Cooperative",$H2252="Federal",$H2252="State",$H2252="Political Subdivision"),"cost_service",IF($H2252="Investor Owned",IF(AND(COUNTIF(Parameters!$A$4:$A$33,$G2252)&gt;0,COUNTIF(Parameters!$B$4:$B$33,$B2252)=0),"procurement","cost_service"),"unclassified"))))))</f>
        <v>procurement</v>
      </c>
    </row>
    <row r="2253" spans="1:26" x14ac:dyDescent="0.25">
      <c r="A2253">
        <v>2024</v>
      </c>
      <c r="B2253">
        <v>59931</v>
      </c>
      <c r="C2253" t="s">
        <v>1572</v>
      </c>
      <c r="D2253" t="s">
        <v>150</v>
      </c>
      <c r="E2253" t="s">
        <v>85</v>
      </c>
      <c r="F2253" t="s">
        <v>86</v>
      </c>
      <c r="G2253" t="s">
        <v>57</v>
      </c>
      <c r="H2253" t="s">
        <v>101</v>
      </c>
      <c r="I2253" t="s">
        <v>151</v>
      </c>
      <c r="J2253">
        <v>4024.9</v>
      </c>
      <c r="K2253">
        <v>30215</v>
      </c>
      <c r="L2253">
        <v>2167</v>
      </c>
      <c r="M2253">
        <v>62872.5</v>
      </c>
      <c r="N2253">
        <v>724263</v>
      </c>
      <c r="O2253">
        <v>4697</v>
      </c>
      <c r="P2253">
        <v>35031.199999999997</v>
      </c>
      <c r="Q2253">
        <v>591581</v>
      </c>
      <c r="R2253">
        <v>102</v>
      </c>
      <c r="S2253">
        <v>0</v>
      </c>
      <c r="T2253">
        <v>0</v>
      </c>
      <c r="U2253">
        <v>0</v>
      </c>
      <c r="V2253">
        <v>101928.6</v>
      </c>
      <c r="W2253">
        <v>1346059</v>
      </c>
      <c r="X2253">
        <v>6966</v>
      </c>
      <c r="Y2253">
        <f t="shared" si="35"/>
        <v>1346059</v>
      </c>
      <c r="Z2253" t="str">
        <f>IF(ISNUMBER(SEARCH("Adjustment",$C2253)),"excluded",IF($H2253="Behind the Meter","excluded",IF(NOT(OR($E2253="Bundled",$E2253="Energy")),"excluded",IF(OR($H2253="Retail Power Marketer",$H2253="Community Choice Aggregator",$E2253="Energy"),"procurement",IF(OR($H2253="Municipal",$H2253="Cooperative",$H2253="Federal",$H2253="State",$H2253="Political Subdivision"),"cost_service",IF($H2253="Investor Owned",IF(AND(COUNTIF(Parameters!$A$4:$A$33,$G2253)&gt;0,COUNTIF(Parameters!$B$4:$B$33,$B2253)=0),"procurement","cost_service"),"unclassified"))))))</f>
        <v>procurement</v>
      </c>
    </row>
    <row r="2254" spans="1:26" x14ac:dyDescent="0.25">
      <c r="A2254">
        <v>2024</v>
      </c>
      <c r="B2254">
        <v>59943</v>
      </c>
      <c r="C2254" t="s">
        <v>1573</v>
      </c>
      <c r="D2254" t="s">
        <v>84</v>
      </c>
      <c r="E2254" t="s">
        <v>85</v>
      </c>
      <c r="F2254" t="s">
        <v>86</v>
      </c>
      <c r="G2254" t="s">
        <v>108</v>
      </c>
      <c r="H2254" t="s">
        <v>1475</v>
      </c>
      <c r="I2254" t="s">
        <v>110</v>
      </c>
      <c r="J2254">
        <v>4384.5</v>
      </c>
      <c r="K2254">
        <v>41092</v>
      </c>
      <c r="L2254">
        <v>3620</v>
      </c>
      <c r="M2254">
        <v>0</v>
      </c>
      <c r="N2254">
        <v>0</v>
      </c>
      <c r="O2254">
        <v>0</v>
      </c>
      <c r="P2254">
        <v>0</v>
      </c>
      <c r="Q2254">
        <v>0</v>
      </c>
      <c r="R2254">
        <v>0</v>
      </c>
      <c r="S2254">
        <v>0</v>
      </c>
      <c r="T2254">
        <v>0</v>
      </c>
      <c r="U2254">
        <v>0</v>
      </c>
      <c r="V2254">
        <v>4384.5</v>
      </c>
      <c r="W2254">
        <v>41092</v>
      </c>
      <c r="X2254">
        <v>3620</v>
      </c>
      <c r="Y2254">
        <f t="shared" si="35"/>
        <v>41092</v>
      </c>
      <c r="Z2254" t="str">
        <f>IF(ISNUMBER(SEARCH("Adjustment",$C2254)),"excluded",IF($H2254="Behind the Meter","excluded",IF(NOT(OR($E2254="Bundled",$E2254="Energy")),"excluded",IF(OR($H2254="Retail Power Marketer",$H2254="Community Choice Aggregator",$E2254="Energy"),"procurement",IF(OR($H2254="Municipal",$H2254="Cooperative",$H2254="Federal",$H2254="State",$H2254="Political Subdivision"),"cost_service",IF($H2254="Investor Owned",IF(AND(COUNTIF(Parameters!$A$4:$A$33,$G2254)&gt;0,COUNTIF(Parameters!$B$4:$B$33,$B2254)=0),"procurement","cost_service"),"unclassified"))))))</f>
        <v>excluded</v>
      </c>
    </row>
    <row r="2255" spans="1:26" x14ac:dyDescent="0.25">
      <c r="A2255">
        <v>2024</v>
      </c>
      <c r="B2255">
        <v>59943</v>
      </c>
      <c r="C2255" t="s">
        <v>1573</v>
      </c>
      <c r="D2255" t="s">
        <v>84</v>
      </c>
      <c r="E2255" t="s">
        <v>85</v>
      </c>
      <c r="F2255" t="s">
        <v>86</v>
      </c>
      <c r="G2255" t="s">
        <v>115</v>
      </c>
      <c r="H2255" t="s">
        <v>1475</v>
      </c>
      <c r="I2255" t="s">
        <v>116</v>
      </c>
      <c r="J2255">
        <v>38701.300000000003</v>
      </c>
      <c r="K2255">
        <v>201778</v>
      </c>
      <c r="L2255">
        <v>25337</v>
      </c>
      <c r="M2255">
        <v>0</v>
      </c>
      <c r="N2255">
        <v>0</v>
      </c>
      <c r="O2255">
        <v>0</v>
      </c>
      <c r="P2255">
        <v>0</v>
      </c>
      <c r="Q2255">
        <v>0</v>
      </c>
      <c r="R2255">
        <v>0</v>
      </c>
      <c r="S2255">
        <v>0</v>
      </c>
      <c r="T2255">
        <v>0</v>
      </c>
      <c r="U2255">
        <v>0</v>
      </c>
      <c r="V2255">
        <v>38701.300000000003</v>
      </c>
      <c r="W2255">
        <v>201778</v>
      </c>
      <c r="X2255">
        <v>25337</v>
      </c>
      <c r="Y2255">
        <f t="shared" si="35"/>
        <v>201778</v>
      </c>
      <c r="Z2255" t="str">
        <f>IF(ISNUMBER(SEARCH("Adjustment",$C2255)),"excluded",IF($H2255="Behind the Meter","excluded",IF(NOT(OR($E2255="Bundled",$E2255="Energy")),"excluded",IF(OR($H2255="Retail Power Marketer",$H2255="Community Choice Aggregator",$E2255="Energy"),"procurement",IF(OR($H2255="Municipal",$H2255="Cooperative",$H2255="Federal",$H2255="State",$H2255="Political Subdivision"),"cost_service",IF($H2255="Investor Owned",IF(AND(COUNTIF(Parameters!$A$4:$A$33,$G2255)&gt;0,COUNTIF(Parameters!$B$4:$B$33,$B2255)=0),"procurement","cost_service"),"unclassified"))))))</f>
        <v>excluded</v>
      </c>
    </row>
    <row r="2256" spans="1:26" x14ac:dyDescent="0.25">
      <c r="A2256">
        <v>2024</v>
      </c>
      <c r="B2256">
        <v>59943</v>
      </c>
      <c r="C2256" t="s">
        <v>1573</v>
      </c>
      <c r="D2256" t="s">
        <v>84</v>
      </c>
      <c r="E2256" t="s">
        <v>85</v>
      </c>
      <c r="F2256" t="s">
        <v>86</v>
      </c>
      <c r="G2256" t="s">
        <v>361</v>
      </c>
      <c r="H2256" t="s">
        <v>1475</v>
      </c>
      <c r="I2256" t="s">
        <v>246</v>
      </c>
      <c r="J2256">
        <v>827.4</v>
      </c>
      <c r="K2256">
        <v>8930</v>
      </c>
      <c r="L2256">
        <v>1051</v>
      </c>
      <c r="M2256">
        <v>0</v>
      </c>
      <c r="N2256">
        <v>0</v>
      </c>
      <c r="O2256">
        <v>0</v>
      </c>
      <c r="P2256">
        <v>0</v>
      </c>
      <c r="Q2256">
        <v>0</v>
      </c>
      <c r="R2256">
        <v>0</v>
      </c>
      <c r="S2256">
        <v>0</v>
      </c>
      <c r="T2256">
        <v>0</v>
      </c>
      <c r="U2256">
        <v>0</v>
      </c>
      <c r="V2256">
        <v>827.4</v>
      </c>
      <c r="W2256">
        <v>8930</v>
      </c>
      <c r="X2256">
        <v>1051</v>
      </c>
      <c r="Y2256">
        <f t="shared" si="35"/>
        <v>8930</v>
      </c>
      <c r="Z2256" t="str">
        <f>IF(ISNUMBER(SEARCH("Adjustment",$C2256)),"excluded",IF($H2256="Behind the Meter","excluded",IF(NOT(OR($E2256="Bundled",$E2256="Energy")),"excluded",IF(OR($H2256="Retail Power Marketer",$H2256="Community Choice Aggregator",$E2256="Energy"),"procurement",IF(OR($H2256="Municipal",$H2256="Cooperative",$H2256="Federal",$H2256="State",$H2256="Political Subdivision"),"cost_service",IF($H2256="Investor Owned",IF(AND(COUNTIF(Parameters!$A$4:$A$33,$G2256)&gt;0,COUNTIF(Parameters!$B$4:$B$33,$B2256)=0),"procurement","cost_service"),"unclassified"))))))</f>
        <v>excluded</v>
      </c>
    </row>
    <row r="2257" spans="1:26" x14ac:dyDescent="0.25">
      <c r="A2257">
        <v>2024</v>
      </c>
      <c r="B2257">
        <v>59943</v>
      </c>
      <c r="C2257" t="s">
        <v>1573</v>
      </c>
      <c r="D2257" t="s">
        <v>84</v>
      </c>
      <c r="E2257" t="s">
        <v>85</v>
      </c>
      <c r="F2257" t="s">
        <v>86</v>
      </c>
      <c r="G2257" t="s">
        <v>40</v>
      </c>
      <c r="H2257" t="s">
        <v>1475</v>
      </c>
      <c r="I2257" t="s">
        <v>189</v>
      </c>
      <c r="J2257">
        <v>2289.1</v>
      </c>
      <c r="K2257">
        <v>14022</v>
      </c>
      <c r="L2257">
        <v>1848</v>
      </c>
      <c r="M2257">
        <v>0</v>
      </c>
      <c r="N2257">
        <v>0</v>
      </c>
      <c r="O2257">
        <v>0</v>
      </c>
      <c r="P2257">
        <v>0</v>
      </c>
      <c r="Q2257">
        <v>0</v>
      </c>
      <c r="R2257">
        <v>0</v>
      </c>
      <c r="S2257">
        <v>0</v>
      </c>
      <c r="T2257">
        <v>0</v>
      </c>
      <c r="U2257">
        <v>0</v>
      </c>
      <c r="V2257">
        <v>2289.1</v>
      </c>
      <c r="W2257">
        <v>14022</v>
      </c>
      <c r="X2257">
        <v>1848</v>
      </c>
      <c r="Y2257">
        <f t="shared" si="35"/>
        <v>14022</v>
      </c>
      <c r="Z2257" t="str">
        <f>IF(ISNUMBER(SEARCH("Adjustment",$C2257)),"excluded",IF($H2257="Behind the Meter","excluded",IF(NOT(OR($E2257="Bundled",$E2257="Energy")),"excluded",IF(OR($H2257="Retail Power Marketer",$H2257="Community Choice Aggregator",$E2257="Energy"),"procurement",IF(OR($H2257="Municipal",$H2257="Cooperative",$H2257="Federal",$H2257="State",$H2257="Political Subdivision"),"cost_service",IF($H2257="Investor Owned",IF(AND(COUNTIF(Parameters!$A$4:$A$33,$G2257)&gt;0,COUNTIF(Parameters!$B$4:$B$33,$B2257)=0),"procurement","cost_service"),"unclassified"))))))</f>
        <v>excluded</v>
      </c>
    </row>
    <row r="2258" spans="1:26" x14ac:dyDescent="0.25">
      <c r="A2258">
        <v>2024</v>
      </c>
      <c r="B2258">
        <v>59943</v>
      </c>
      <c r="C2258" t="s">
        <v>1573</v>
      </c>
      <c r="D2258" t="s">
        <v>84</v>
      </c>
      <c r="E2258" t="s">
        <v>85</v>
      </c>
      <c r="F2258" t="s">
        <v>86</v>
      </c>
      <c r="G2258" t="s">
        <v>605</v>
      </c>
      <c r="H2258" t="s">
        <v>1475</v>
      </c>
      <c r="I2258" t="s">
        <v>119</v>
      </c>
      <c r="J2258">
        <v>598.70000000000005</v>
      </c>
      <c r="K2258">
        <v>4902</v>
      </c>
      <c r="L2258">
        <v>481</v>
      </c>
      <c r="M2258">
        <v>0</v>
      </c>
      <c r="N2258">
        <v>0</v>
      </c>
      <c r="O2258">
        <v>0</v>
      </c>
      <c r="P2258">
        <v>0</v>
      </c>
      <c r="Q2258">
        <v>0</v>
      </c>
      <c r="R2258">
        <v>0</v>
      </c>
      <c r="S2258">
        <v>0</v>
      </c>
      <c r="T2258">
        <v>0</v>
      </c>
      <c r="U2258">
        <v>0</v>
      </c>
      <c r="V2258">
        <v>598.70000000000005</v>
      </c>
      <c r="W2258">
        <v>4902</v>
      </c>
      <c r="X2258">
        <v>481</v>
      </c>
      <c r="Y2258">
        <f t="shared" si="35"/>
        <v>4902</v>
      </c>
      <c r="Z2258" t="str">
        <f>IF(ISNUMBER(SEARCH("Adjustment",$C2258)),"excluded",IF($H2258="Behind the Meter","excluded",IF(NOT(OR($E2258="Bundled",$E2258="Energy")),"excluded",IF(OR($H2258="Retail Power Marketer",$H2258="Community Choice Aggregator",$E2258="Energy"),"procurement",IF(OR($H2258="Municipal",$H2258="Cooperative",$H2258="Federal",$H2258="State",$H2258="Political Subdivision"),"cost_service",IF($H2258="Investor Owned",IF(AND(COUNTIF(Parameters!$A$4:$A$33,$G2258)&gt;0,COUNTIF(Parameters!$B$4:$B$33,$B2258)=0),"procurement","cost_service"),"unclassified"))))))</f>
        <v>excluded</v>
      </c>
    </row>
    <row r="2259" spans="1:26" x14ac:dyDescent="0.25">
      <c r="A2259">
        <v>2024</v>
      </c>
      <c r="B2259">
        <v>59943</v>
      </c>
      <c r="C2259" t="s">
        <v>1573</v>
      </c>
      <c r="D2259" t="s">
        <v>84</v>
      </c>
      <c r="E2259" t="s">
        <v>85</v>
      </c>
      <c r="F2259" t="s">
        <v>86</v>
      </c>
      <c r="G2259" t="s">
        <v>138</v>
      </c>
      <c r="H2259" t="s">
        <v>1475</v>
      </c>
      <c r="I2259" t="s">
        <v>96</v>
      </c>
      <c r="J2259">
        <v>45.9</v>
      </c>
      <c r="K2259">
        <v>615</v>
      </c>
      <c r="L2259">
        <v>89</v>
      </c>
      <c r="M2259">
        <v>0</v>
      </c>
      <c r="N2259">
        <v>0</v>
      </c>
      <c r="O2259">
        <v>0</v>
      </c>
      <c r="P2259">
        <v>0</v>
      </c>
      <c r="Q2259">
        <v>0</v>
      </c>
      <c r="R2259">
        <v>0</v>
      </c>
      <c r="S2259">
        <v>0</v>
      </c>
      <c r="T2259">
        <v>0</v>
      </c>
      <c r="U2259">
        <v>0</v>
      </c>
      <c r="V2259">
        <v>45.9</v>
      </c>
      <c r="W2259">
        <v>615</v>
      </c>
      <c r="X2259">
        <v>89</v>
      </c>
      <c r="Y2259">
        <f t="shared" si="35"/>
        <v>615</v>
      </c>
      <c r="Z2259" t="str">
        <f>IF(ISNUMBER(SEARCH("Adjustment",$C2259)),"excluded",IF($H2259="Behind the Meter","excluded",IF(NOT(OR($E2259="Bundled",$E2259="Energy")),"excluded",IF(OR($H2259="Retail Power Marketer",$H2259="Community Choice Aggregator",$E2259="Energy"),"procurement",IF(OR($H2259="Municipal",$H2259="Cooperative",$H2259="Federal",$H2259="State",$H2259="Political Subdivision"),"cost_service",IF($H2259="Investor Owned",IF(AND(COUNTIF(Parameters!$A$4:$A$33,$G2259)&gt;0,COUNTIF(Parameters!$B$4:$B$33,$B2259)=0),"procurement","cost_service"),"unclassified"))))))</f>
        <v>excluded</v>
      </c>
    </row>
    <row r="2260" spans="1:26" x14ac:dyDescent="0.25">
      <c r="A2260">
        <v>2024</v>
      </c>
      <c r="B2260">
        <v>59943</v>
      </c>
      <c r="C2260" t="s">
        <v>1573</v>
      </c>
      <c r="D2260" t="s">
        <v>84</v>
      </c>
      <c r="E2260" t="s">
        <v>85</v>
      </c>
      <c r="F2260" t="s">
        <v>86</v>
      </c>
      <c r="G2260" t="s">
        <v>48</v>
      </c>
      <c r="H2260" t="s">
        <v>1475</v>
      </c>
      <c r="I2260" t="s">
        <v>189</v>
      </c>
      <c r="J2260">
        <v>3449.8</v>
      </c>
      <c r="K2260">
        <v>23221</v>
      </c>
      <c r="L2260">
        <v>3401</v>
      </c>
      <c r="M2260">
        <v>0</v>
      </c>
      <c r="N2260">
        <v>0</v>
      </c>
      <c r="O2260">
        <v>0</v>
      </c>
      <c r="P2260">
        <v>0</v>
      </c>
      <c r="Q2260">
        <v>0</v>
      </c>
      <c r="R2260">
        <v>0</v>
      </c>
      <c r="S2260">
        <v>0</v>
      </c>
      <c r="T2260">
        <v>0</v>
      </c>
      <c r="U2260">
        <v>0</v>
      </c>
      <c r="V2260">
        <v>3449.8</v>
      </c>
      <c r="W2260">
        <v>23221</v>
      </c>
      <c r="X2260">
        <v>3401</v>
      </c>
      <c r="Y2260">
        <f t="shared" si="35"/>
        <v>23221</v>
      </c>
      <c r="Z2260" t="str">
        <f>IF(ISNUMBER(SEARCH("Adjustment",$C2260)),"excluded",IF($H2260="Behind the Meter","excluded",IF(NOT(OR($E2260="Bundled",$E2260="Energy")),"excluded",IF(OR($H2260="Retail Power Marketer",$H2260="Community Choice Aggregator",$E2260="Energy"),"procurement",IF(OR($H2260="Municipal",$H2260="Cooperative",$H2260="Federal",$H2260="State",$H2260="Political Subdivision"),"cost_service",IF($H2260="Investor Owned",IF(AND(COUNTIF(Parameters!$A$4:$A$33,$G2260)&gt;0,COUNTIF(Parameters!$B$4:$B$33,$B2260)=0),"procurement","cost_service"),"unclassified"))))))</f>
        <v>excluded</v>
      </c>
    </row>
    <row r="2261" spans="1:26" x14ac:dyDescent="0.25">
      <c r="A2261">
        <v>2024</v>
      </c>
      <c r="B2261">
        <v>59943</v>
      </c>
      <c r="C2261" t="s">
        <v>1573</v>
      </c>
      <c r="D2261" t="s">
        <v>84</v>
      </c>
      <c r="E2261" t="s">
        <v>85</v>
      </c>
      <c r="F2261" t="s">
        <v>86</v>
      </c>
      <c r="G2261" t="s">
        <v>49</v>
      </c>
      <c r="H2261" t="s">
        <v>1475</v>
      </c>
      <c r="I2261" t="s">
        <v>92</v>
      </c>
      <c r="J2261">
        <v>582.70000000000005</v>
      </c>
      <c r="K2261">
        <v>4843</v>
      </c>
      <c r="L2261">
        <v>579</v>
      </c>
      <c r="M2261">
        <v>0</v>
      </c>
      <c r="N2261">
        <v>0</v>
      </c>
      <c r="O2261">
        <v>0</v>
      </c>
      <c r="P2261">
        <v>0</v>
      </c>
      <c r="Q2261">
        <v>0</v>
      </c>
      <c r="R2261">
        <v>0</v>
      </c>
      <c r="S2261">
        <v>0</v>
      </c>
      <c r="T2261">
        <v>0</v>
      </c>
      <c r="U2261">
        <v>0</v>
      </c>
      <c r="V2261">
        <v>582.70000000000005</v>
      </c>
      <c r="W2261">
        <v>4843</v>
      </c>
      <c r="X2261">
        <v>579</v>
      </c>
      <c r="Y2261">
        <f t="shared" si="35"/>
        <v>4843</v>
      </c>
      <c r="Z2261" t="str">
        <f>IF(ISNUMBER(SEARCH("Adjustment",$C2261)),"excluded",IF($H2261="Behind the Meter","excluded",IF(NOT(OR($E2261="Bundled",$E2261="Energy")),"excluded",IF(OR($H2261="Retail Power Marketer",$H2261="Community Choice Aggregator",$E2261="Energy"),"procurement",IF(OR($H2261="Municipal",$H2261="Cooperative",$H2261="Federal",$H2261="State",$H2261="Political Subdivision"),"cost_service",IF($H2261="Investor Owned",IF(AND(COUNTIF(Parameters!$A$4:$A$33,$G2261)&gt;0,COUNTIF(Parameters!$B$4:$B$33,$B2261)=0),"procurement","cost_service"),"unclassified"))))))</f>
        <v>excluded</v>
      </c>
    </row>
    <row r="2262" spans="1:26" x14ac:dyDescent="0.25">
      <c r="A2262">
        <v>2024</v>
      </c>
      <c r="B2262">
        <v>59943</v>
      </c>
      <c r="C2262" t="s">
        <v>1573</v>
      </c>
      <c r="D2262" t="s">
        <v>84</v>
      </c>
      <c r="E2262" t="s">
        <v>85</v>
      </c>
      <c r="F2262" t="s">
        <v>86</v>
      </c>
      <c r="G2262" t="s">
        <v>52</v>
      </c>
      <c r="H2262" t="s">
        <v>1475</v>
      </c>
      <c r="I2262" t="s">
        <v>92</v>
      </c>
      <c r="J2262">
        <v>7855</v>
      </c>
      <c r="K2262">
        <v>48660</v>
      </c>
      <c r="L2262">
        <v>6250</v>
      </c>
      <c r="M2262">
        <v>0</v>
      </c>
      <c r="N2262">
        <v>0</v>
      </c>
      <c r="O2262">
        <v>0</v>
      </c>
      <c r="P2262">
        <v>0</v>
      </c>
      <c r="Q2262">
        <v>0</v>
      </c>
      <c r="R2262">
        <v>0</v>
      </c>
      <c r="S2262">
        <v>0</v>
      </c>
      <c r="T2262">
        <v>0</v>
      </c>
      <c r="U2262">
        <v>0</v>
      </c>
      <c r="V2262">
        <v>7855</v>
      </c>
      <c r="W2262">
        <v>48660</v>
      </c>
      <c r="X2262">
        <v>6250</v>
      </c>
      <c r="Y2262">
        <f t="shared" si="35"/>
        <v>48660</v>
      </c>
      <c r="Z2262" t="str">
        <f>IF(ISNUMBER(SEARCH("Adjustment",$C2262)),"excluded",IF($H2262="Behind the Meter","excluded",IF(NOT(OR($E2262="Bundled",$E2262="Energy")),"excluded",IF(OR($H2262="Retail Power Marketer",$H2262="Community Choice Aggregator",$E2262="Energy"),"procurement",IF(OR($H2262="Municipal",$H2262="Cooperative",$H2262="Federal",$H2262="State",$H2262="Political Subdivision"),"cost_service",IF($H2262="Investor Owned",IF(AND(COUNTIF(Parameters!$A$4:$A$33,$G2262)&gt;0,COUNTIF(Parameters!$B$4:$B$33,$B2262)=0),"procurement","cost_service"),"unclassified"))))))</f>
        <v>excluded</v>
      </c>
    </row>
    <row r="2263" spans="1:26" x14ac:dyDescent="0.25">
      <c r="A2263">
        <v>2024</v>
      </c>
      <c r="B2263">
        <v>59943</v>
      </c>
      <c r="C2263" t="s">
        <v>1573</v>
      </c>
      <c r="D2263" t="s">
        <v>84</v>
      </c>
      <c r="E2263" t="s">
        <v>85</v>
      </c>
      <c r="F2263" t="s">
        <v>86</v>
      </c>
      <c r="G2263" t="s">
        <v>242</v>
      </c>
      <c r="H2263" t="s">
        <v>1475</v>
      </c>
      <c r="I2263" t="s">
        <v>390</v>
      </c>
      <c r="J2263">
        <v>201.3</v>
      </c>
      <c r="K2263">
        <v>1533</v>
      </c>
      <c r="L2263">
        <v>149</v>
      </c>
      <c r="M2263">
        <v>0</v>
      </c>
      <c r="N2263">
        <v>0</v>
      </c>
      <c r="O2263">
        <v>0</v>
      </c>
      <c r="P2263">
        <v>0</v>
      </c>
      <c r="Q2263">
        <v>0</v>
      </c>
      <c r="R2263">
        <v>0</v>
      </c>
      <c r="S2263">
        <v>0</v>
      </c>
      <c r="T2263">
        <v>0</v>
      </c>
      <c r="U2263">
        <v>0</v>
      </c>
      <c r="V2263">
        <v>201.3</v>
      </c>
      <c r="W2263">
        <v>1533</v>
      </c>
      <c r="X2263">
        <v>149</v>
      </c>
      <c r="Y2263">
        <f t="shared" si="35"/>
        <v>1533</v>
      </c>
      <c r="Z2263" t="str">
        <f>IF(ISNUMBER(SEARCH("Adjustment",$C2263)),"excluded",IF($H2263="Behind the Meter","excluded",IF(NOT(OR($E2263="Bundled",$E2263="Energy")),"excluded",IF(OR($H2263="Retail Power Marketer",$H2263="Community Choice Aggregator",$E2263="Energy"),"procurement",IF(OR($H2263="Municipal",$H2263="Cooperative",$H2263="Federal",$H2263="State",$H2263="Political Subdivision"),"cost_service",IF($H2263="Investor Owned",IF(AND(COUNTIF(Parameters!$A$4:$A$33,$G2263)&gt;0,COUNTIF(Parameters!$B$4:$B$33,$B2263)=0),"procurement","cost_service"),"unclassified"))))))</f>
        <v>excluded</v>
      </c>
    </row>
    <row r="2264" spans="1:26" x14ac:dyDescent="0.25">
      <c r="A2264">
        <v>2024</v>
      </c>
      <c r="B2264">
        <v>59943</v>
      </c>
      <c r="C2264" t="s">
        <v>1573</v>
      </c>
      <c r="D2264" t="s">
        <v>84</v>
      </c>
      <c r="E2264" t="s">
        <v>85</v>
      </c>
      <c r="F2264" t="s">
        <v>86</v>
      </c>
      <c r="G2264" t="s">
        <v>53</v>
      </c>
      <c r="H2264" t="s">
        <v>1475</v>
      </c>
      <c r="I2264" t="s">
        <v>189</v>
      </c>
      <c r="J2264">
        <v>7091.4</v>
      </c>
      <c r="K2264">
        <v>38277</v>
      </c>
      <c r="L2264">
        <v>5636</v>
      </c>
      <c r="M2264">
        <v>0</v>
      </c>
      <c r="N2264">
        <v>0</v>
      </c>
      <c r="O2264">
        <v>0</v>
      </c>
      <c r="P2264">
        <v>0</v>
      </c>
      <c r="Q2264">
        <v>0</v>
      </c>
      <c r="R2264">
        <v>0</v>
      </c>
      <c r="S2264">
        <v>0</v>
      </c>
      <c r="T2264">
        <v>0</v>
      </c>
      <c r="U2264">
        <v>0</v>
      </c>
      <c r="V2264">
        <v>7091.4</v>
      </c>
      <c r="W2264">
        <v>38277</v>
      </c>
      <c r="X2264">
        <v>5636</v>
      </c>
      <c r="Y2264">
        <f t="shared" si="35"/>
        <v>38277</v>
      </c>
      <c r="Z2264" t="str">
        <f>IF(ISNUMBER(SEARCH("Adjustment",$C2264)),"excluded",IF($H2264="Behind the Meter","excluded",IF(NOT(OR($E2264="Bundled",$E2264="Energy")),"excluded",IF(OR($H2264="Retail Power Marketer",$H2264="Community Choice Aggregator",$E2264="Energy"),"procurement",IF(OR($H2264="Municipal",$H2264="Cooperative",$H2264="Federal",$H2264="State",$H2264="Political Subdivision"),"cost_service",IF($H2264="Investor Owned",IF(AND(COUNTIF(Parameters!$A$4:$A$33,$G2264)&gt;0,COUNTIF(Parameters!$B$4:$B$33,$B2264)=0),"procurement","cost_service"),"unclassified"))))))</f>
        <v>excluded</v>
      </c>
    </row>
    <row r="2265" spans="1:26" x14ac:dyDescent="0.25">
      <c r="A2265">
        <v>2024</v>
      </c>
      <c r="B2265">
        <v>59943</v>
      </c>
      <c r="C2265" t="s">
        <v>1573</v>
      </c>
      <c r="D2265" t="s">
        <v>84</v>
      </c>
      <c r="E2265" t="s">
        <v>85</v>
      </c>
      <c r="F2265" t="s">
        <v>86</v>
      </c>
      <c r="G2265" t="s">
        <v>53</v>
      </c>
      <c r="H2265" t="s">
        <v>1475</v>
      </c>
      <c r="I2265" t="s">
        <v>92</v>
      </c>
      <c r="J2265">
        <v>3039.2</v>
      </c>
      <c r="K2265">
        <v>16404</v>
      </c>
      <c r="L2265">
        <v>2415</v>
      </c>
      <c r="M2265">
        <v>0</v>
      </c>
      <c r="N2265">
        <v>0</v>
      </c>
      <c r="O2265">
        <v>0</v>
      </c>
      <c r="P2265">
        <v>0</v>
      </c>
      <c r="Q2265">
        <v>0</v>
      </c>
      <c r="R2265">
        <v>0</v>
      </c>
      <c r="S2265">
        <v>0</v>
      </c>
      <c r="T2265">
        <v>0</v>
      </c>
      <c r="U2265">
        <v>0</v>
      </c>
      <c r="V2265">
        <v>3039.2</v>
      </c>
      <c r="W2265">
        <v>16404</v>
      </c>
      <c r="X2265">
        <v>2415</v>
      </c>
      <c r="Y2265">
        <f t="shared" si="35"/>
        <v>16404</v>
      </c>
      <c r="Z2265" t="str">
        <f>IF(ISNUMBER(SEARCH("Adjustment",$C2265)),"excluded",IF($H2265="Behind the Meter","excluded",IF(NOT(OR($E2265="Bundled",$E2265="Energy")),"excluded",IF(OR($H2265="Retail Power Marketer",$H2265="Community Choice Aggregator",$E2265="Energy"),"procurement",IF(OR($H2265="Municipal",$H2265="Cooperative",$H2265="Federal",$H2265="State",$H2265="Political Subdivision"),"cost_service",IF($H2265="Investor Owned",IF(AND(COUNTIF(Parameters!$A$4:$A$33,$G2265)&gt;0,COUNTIF(Parameters!$B$4:$B$33,$B2265)=0),"procurement","cost_service"),"unclassified"))))))</f>
        <v>excluded</v>
      </c>
    </row>
    <row r="2266" spans="1:26" x14ac:dyDescent="0.25">
      <c r="A2266">
        <v>2024</v>
      </c>
      <c r="B2266">
        <v>59972</v>
      </c>
      <c r="C2266" t="s">
        <v>1574</v>
      </c>
      <c r="D2266" t="s">
        <v>99</v>
      </c>
      <c r="E2266" t="s">
        <v>100</v>
      </c>
      <c r="F2266" t="s">
        <v>86</v>
      </c>
      <c r="G2266" t="s">
        <v>115</v>
      </c>
      <c r="H2266" t="s">
        <v>101</v>
      </c>
      <c r="I2266" t="s">
        <v>116</v>
      </c>
      <c r="J2266">
        <v>0</v>
      </c>
      <c r="K2266">
        <v>0</v>
      </c>
      <c r="L2266">
        <v>0</v>
      </c>
      <c r="M2266">
        <v>65200.2</v>
      </c>
      <c r="N2266">
        <v>594231</v>
      </c>
      <c r="O2266">
        <v>768</v>
      </c>
      <c r="P2266">
        <v>0</v>
      </c>
      <c r="Q2266">
        <v>0</v>
      </c>
      <c r="R2266">
        <v>0</v>
      </c>
      <c r="S2266">
        <v>0</v>
      </c>
      <c r="T2266">
        <v>0</v>
      </c>
      <c r="U2266">
        <v>0</v>
      </c>
      <c r="V2266">
        <v>65200.2</v>
      </c>
      <c r="W2266">
        <v>594231</v>
      </c>
      <c r="X2266">
        <v>768</v>
      </c>
      <c r="Y2266">
        <f t="shared" si="35"/>
        <v>594231</v>
      </c>
      <c r="Z2266" t="str">
        <f>IF(ISNUMBER(SEARCH("Adjustment",$C2266)),"excluded",IF($H2266="Behind the Meter","excluded",IF(NOT(OR($E2266="Bundled",$E2266="Energy")),"excluded",IF(OR($H2266="Retail Power Marketer",$H2266="Community Choice Aggregator",$E2266="Energy"),"procurement",IF(OR($H2266="Municipal",$H2266="Cooperative",$H2266="Federal",$H2266="State",$H2266="Political Subdivision"),"cost_service",IF($H2266="Investor Owned",IF(AND(COUNTIF(Parameters!$A$4:$A$33,$G2266)&gt;0,COUNTIF(Parameters!$B$4:$B$33,$B2266)=0),"procurement","cost_service"),"unclassified"))))))</f>
        <v>procurement</v>
      </c>
    </row>
    <row r="2267" spans="1:26" x14ac:dyDescent="0.25">
      <c r="A2267">
        <v>2024</v>
      </c>
      <c r="B2267">
        <v>59993</v>
      </c>
      <c r="C2267" t="s">
        <v>1575</v>
      </c>
      <c r="D2267" t="s">
        <v>99</v>
      </c>
      <c r="E2267" t="s">
        <v>100</v>
      </c>
      <c r="F2267" t="s">
        <v>86</v>
      </c>
      <c r="G2267" t="s">
        <v>44</v>
      </c>
      <c r="H2267" t="s">
        <v>101</v>
      </c>
      <c r="I2267" t="s">
        <v>92</v>
      </c>
      <c r="J2267">
        <v>368</v>
      </c>
      <c r="K2267">
        <v>1926</v>
      </c>
      <c r="L2267">
        <v>203</v>
      </c>
      <c r="M2267">
        <v>0</v>
      </c>
      <c r="N2267">
        <v>0</v>
      </c>
      <c r="O2267">
        <v>0</v>
      </c>
      <c r="P2267">
        <v>0</v>
      </c>
      <c r="Q2267">
        <v>0</v>
      </c>
      <c r="R2267">
        <v>0</v>
      </c>
      <c r="S2267">
        <v>0</v>
      </c>
      <c r="T2267">
        <v>0</v>
      </c>
      <c r="U2267">
        <v>0</v>
      </c>
      <c r="V2267">
        <v>368</v>
      </c>
      <c r="W2267">
        <v>1926</v>
      </c>
      <c r="X2267">
        <v>203</v>
      </c>
      <c r="Y2267">
        <f t="shared" si="35"/>
        <v>1926</v>
      </c>
      <c r="Z2267" t="str">
        <f>IF(ISNUMBER(SEARCH("Adjustment",$C2267)),"excluded",IF($H2267="Behind the Meter","excluded",IF(NOT(OR($E2267="Bundled",$E2267="Energy")),"excluded",IF(OR($H2267="Retail Power Marketer",$H2267="Community Choice Aggregator",$E2267="Energy"),"procurement",IF(OR($H2267="Municipal",$H2267="Cooperative",$H2267="Federal",$H2267="State",$H2267="Political Subdivision"),"cost_service",IF($H2267="Investor Owned",IF(AND(COUNTIF(Parameters!$A$4:$A$33,$G2267)&gt;0,COUNTIF(Parameters!$B$4:$B$33,$B2267)=0),"procurement","cost_service"),"unclassified"))))))</f>
        <v>procurement</v>
      </c>
    </row>
    <row r="2268" spans="1:26" x14ac:dyDescent="0.25">
      <c r="A2268">
        <v>2024</v>
      </c>
      <c r="B2268">
        <v>59993</v>
      </c>
      <c r="C2268" t="s">
        <v>1575</v>
      </c>
      <c r="D2268" t="s">
        <v>99</v>
      </c>
      <c r="E2268" t="s">
        <v>100</v>
      </c>
      <c r="F2268" t="s">
        <v>86</v>
      </c>
      <c r="G2268" t="s">
        <v>48</v>
      </c>
      <c r="H2268" t="s">
        <v>101</v>
      </c>
      <c r="I2268" t="s">
        <v>189</v>
      </c>
      <c r="J2268">
        <v>7497.8</v>
      </c>
      <c r="K2268">
        <v>28219</v>
      </c>
      <c r="L2268">
        <v>4663</v>
      </c>
      <c r="M2268">
        <v>127.5</v>
      </c>
      <c r="N2268">
        <v>678</v>
      </c>
      <c r="O2268">
        <v>58</v>
      </c>
      <c r="P2268">
        <v>0</v>
      </c>
      <c r="Q2268">
        <v>0</v>
      </c>
      <c r="R2268">
        <v>0</v>
      </c>
      <c r="S2268">
        <v>0</v>
      </c>
      <c r="T2268">
        <v>0</v>
      </c>
      <c r="U2268">
        <v>0</v>
      </c>
      <c r="V2268">
        <v>7625.3</v>
      </c>
      <c r="W2268">
        <v>28897</v>
      </c>
      <c r="X2268">
        <v>4721</v>
      </c>
      <c r="Y2268">
        <f t="shared" si="35"/>
        <v>28897</v>
      </c>
      <c r="Z2268" t="str">
        <f>IF(ISNUMBER(SEARCH("Adjustment",$C2268)),"excluded",IF($H2268="Behind the Meter","excluded",IF(NOT(OR($E2268="Bundled",$E2268="Energy")),"excluded",IF(OR($H2268="Retail Power Marketer",$H2268="Community Choice Aggregator",$E2268="Energy"),"procurement",IF(OR($H2268="Municipal",$H2268="Cooperative",$H2268="Federal",$H2268="State",$H2268="Political Subdivision"),"cost_service",IF($H2268="Investor Owned",IF(AND(COUNTIF(Parameters!$A$4:$A$33,$G2268)&gt;0,COUNTIF(Parameters!$B$4:$B$33,$B2268)=0),"procurement","cost_service"),"unclassified"))))))</f>
        <v>procurement</v>
      </c>
    </row>
    <row r="2269" spans="1:26" x14ac:dyDescent="0.25">
      <c r="A2269">
        <v>2024</v>
      </c>
      <c r="B2269">
        <v>59993</v>
      </c>
      <c r="C2269" t="s">
        <v>1575</v>
      </c>
      <c r="D2269" t="s">
        <v>99</v>
      </c>
      <c r="E2269" t="s">
        <v>100</v>
      </c>
      <c r="F2269" t="s">
        <v>86</v>
      </c>
      <c r="G2269" t="s">
        <v>49</v>
      </c>
      <c r="H2269" t="s">
        <v>101</v>
      </c>
      <c r="I2269" t="s">
        <v>92</v>
      </c>
      <c r="J2269">
        <v>594.6</v>
      </c>
      <c r="K2269">
        <v>3051</v>
      </c>
      <c r="L2269">
        <v>295</v>
      </c>
      <c r="M2269">
        <v>13.6</v>
      </c>
      <c r="N2269">
        <v>71</v>
      </c>
      <c r="O2269">
        <v>4</v>
      </c>
      <c r="P2269">
        <v>0</v>
      </c>
      <c r="Q2269">
        <v>0</v>
      </c>
      <c r="R2269">
        <v>0</v>
      </c>
      <c r="S2269">
        <v>0</v>
      </c>
      <c r="T2269">
        <v>0</v>
      </c>
      <c r="U2269">
        <v>0</v>
      </c>
      <c r="V2269">
        <v>608.20000000000005</v>
      </c>
      <c r="W2269">
        <v>3122</v>
      </c>
      <c r="X2269">
        <v>299</v>
      </c>
      <c r="Y2269">
        <f t="shared" si="35"/>
        <v>3122</v>
      </c>
      <c r="Z2269" t="str">
        <f>IF(ISNUMBER(SEARCH("Adjustment",$C2269)),"excluded",IF($H2269="Behind the Meter","excluded",IF(NOT(OR($E2269="Bundled",$E2269="Energy")),"excluded",IF(OR($H2269="Retail Power Marketer",$H2269="Community Choice Aggregator",$E2269="Energy"),"procurement",IF(OR($H2269="Municipal",$H2269="Cooperative",$H2269="Federal",$H2269="State",$H2269="Political Subdivision"),"cost_service",IF($H2269="Investor Owned",IF(AND(COUNTIF(Parameters!$A$4:$A$33,$G2269)&gt;0,COUNTIF(Parameters!$B$4:$B$33,$B2269)=0),"procurement","cost_service"),"unclassified"))))))</f>
        <v>procurement</v>
      </c>
    </row>
    <row r="2270" spans="1:26" x14ac:dyDescent="0.25">
      <c r="A2270">
        <v>2024</v>
      </c>
      <c r="B2270">
        <v>59993</v>
      </c>
      <c r="C2270" t="s">
        <v>1575</v>
      </c>
      <c r="D2270" t="s">
        <v>99</v>
      </c>
      <c r="E2270" t="s">
        <v>100</v>
      </c>
      <c r="F2270" t="s">
        <v>86</v>
      </c>
      <c r="G2270" t="s">
        <v>52</v>
      </c>
      <c r="H2270" t="s">
        <v>101</v>
      </c>
      <c r="I2270" t="s">
        <v>92</v>
      </c>
      <c r="J2270">
        <v>966.5</v>
      </c>
      <c r="K2270">
        <v>4487</v>
      </c>
      <c r="L2270">
        <v>757</v>
      </c>
      <c r="M2270">
        <v>232.9</v>
      </c>
      <c r="N2270">
        <v>1633</v>
      </c>
      <c r="O2270">
        <v>20</v>
      </c>
      <c r="P2270">
        <v>0</v>
      </c>
      <c r="Q2270">
        <v>0</v>
      </c>
      <c r="R2270">
        <v>0</v>
      </c>
      <c r="S2270">
        <v>0</v>
      </c>
      <c r="T2270">
        <v>0</v>
      </c>
      <c r="U2270">
        <v>0</v>
      </c>
      <c r="V2270">
        <v>1199.4000000000001</v>
      </c>
      <c r="W2270">
        <v>6120</v>
      </c>
      <c r="X2270">
        <v>777</v>
      </c>
      <c r="Y2270">
        <f t="shared" si="35"/>
        <v>6120</v>
      </c>
      <c r="Z2270" t="str">
        <f>IF(ISNUMBER(SEARCH("Adjustment",$C2270)),"excluded",IF($H2270="Behind the Meter","excluded",IF(NOT(OR($E2270="Bundled",$E2270="Energy")),"excluded",IF(OR($H2270="Retail Power Marketer",$H2270="Community Choice Aggregator",$E2270="Energy"),"procurement",IF(OR($H2270="Municipal",$H2270="Cooperative",$H2270="Federal",$H2270="State",$H2270="Political Subdivision"),"cost_service",IF($H2270="Investor Owned",IF(AND(COUNTIF(Parameters!$A$4:$A$33,$G2270)&gt;0,COUNTIF(Parameters!$B$4:$B$33,$B2270)=0),"procurement","cost_service"),"unclassified"))))))</f>
        <v>procurement</v>
      </c>
    </row>
    <row r="2271" spans="1:26" x14ac:dyDescent="0.25">
      <c r="A2271">
        <v>2024</v>
      </c>
      <c r="B2271">
        <v>59993</v>
      </c>
      <c r="C2271" t="s">
        <v>1575</v>
      </c>
      <c r="D2271" t="s">
        <v>99</v>
      </c>
      <c r="E2271" t="s">
        <v>100</v>
      </c>
      <c r="F2271" t="s">
        <v>86</v>
      </c>
      <c r="G2271" t="s">
        <v>54</v>
      </c>
      <c r="H2271" t="s">
        <v>101</v>
      </c>
      <c r="I2271" t="s">
        <v>92</v>
      </c>
      <c r="J2271">
        <v>1067.2</v>
      </c>
      <c r="K2271">
        <v>9135</v>
      </c>
      <c r="L2271">
        <v>1123</v>
      </c>
      <c r="M2271">
        <v>0</v>
      </c>
      <c r="N2271">
        <v>0</v>
      </c>
      <c r="O2271">
        <v>0</v>
      </c>
      <c r="P2271">
        <v>0</v>
      </c>
      <c r="Q2271" t="s">
        <v>97</v>
      </c>
      <c r="R2271">
        <v>0</v>
      </c>
      <c r="S2271">
        <v>0</v>
      </c>
      <c r="T2271">
        <v>0</v>
      </c>
      <c r="U2271">
        <v>0</v>
      </c>
      <c r="V2271">
        <v>1067.2</v>
      </c>
      <c r="W2271">
        <v>9135</v>
      </c>
      <c r="X2271">
        <v>1123</v>
      </c>
      <c r="Y2271">
        <f t="shared" si="35"/>
        <v>9135</v>
      </c>
      <c r="Z2271" t="str">
        <f>IF(ISNUMBER(SEARCH("Adjustment",$C2271)),"excluded",IF($H2271="Behind the Meter","excluded",IF(NOT(OR($E2271="Bundled",$E2271="Energy")),"excluded",IF(OR($H2271="Retail Power Marketer",$H2271="Community Choice Aggregator",$E2271="Energy"),"procurement",IF(OR($H2271="Municipal",$H2271="Cooperative",$H2271="Federal",$H2271="State",$H2271="Political Subdivision"),"cost_service",IF($H2271="Investor Owned",IF(AND(COUNTIF(Parameters!$A$4:$A$33,$G2271)&gt;0,COUNTIF(Parameters!$B$4:$B$33,$B2271)=0),"procurement","cost_service"),"unclassified"))))))</f>
        <v>procurement</v>
      </c>
    </row>
    <row r="2272" spans="1:26" x14ac:dyDescent="0.25">
      <c r="A2272">
        <v>2024</v>
      </c>
      <c r="B2272">
        <v>59993</v>
      </c>
      <c r="C2272" t="s">
        <v>1575</v>
      </c>
      <c r="D2272" t="s">
        <v>99</v>
      </c>
      <c r="E2272" t="s">
        <v>100</v>
      </c>
      <c r="F2272" t="s">
        <v>86</v>
      </c>
      <c r="G2272" t="s">
        <v>55</v>
      </c>
      <c r="H2272" t="s">
        <v>101</v>
      </c>
      <c r="I2272" t="s">
        <v>92</v>
      </c>
      <c r="J2272">
        <v>4578.2</v>
      </c>
      <c r="K2272">
        <v>21339</v>
      </c>
      <c r="L2272">
        <v>3095</v>
      </c>
      <c r="M2272">
        <v>71</v>
      </c>
      <c r="N2272">
        <v>436</v>
      </c>
      <c r="O2272">
        <v>19</v>
      </c>
      <c r="P2272">
        <v>0</v>
      </c>
      <c r="Q2272">
        <v>0</v>
      </c>
      <c r="R2272">
        <v>0</v>
      </c>
      <c r="S2272">
        <v>0</v>
      </c>
      <c r="T2272">
        <v>0</v>
      </c>
      <c r="U2272">
        <v>0</v>
      </c>
      <c r="V2272">
        <v>4649.2</v>
      </c>
      <c r="W2272">
        <v>21775</v>
      </c>
      <c r="X2272">
        <v>3114</v>
      </c>
      <c r="Y2272">
        <f t="shared" si="35"/>
        <v>21775</v>
      </c>
      <c r="Z2272" t="str">
        <f>IF(ISNUMBER(SEARCH("Adjustment",$C2272)),"excluded",IF($H2272="Behind the Meter","excluded",IF(NOT(OR($E2272="Bundled",$E2272="Energy")),"excluded",IF(OR($H2272="Retail Power Marketer",$H2272="Community Choice Aggregator",$E2272="Energy"),"procurement",IF(OR($H2272="Municipal",$H2272="Cooperative",$H2272="Federal",$H2272="State",$H2272="Political Subdivision"),"cost_service",IF($H2272="Investor Owned",IF(AND(COUNTIF(Parameters!$A$4:$A$33,$G2272)&gt;0,COUNTIF(Parameters!$B$4:$B$33,$B2272)=0),"procurement","cost_service"),"unclassified"))))))</f>
        <v>procurement</v>
      </c>
    </row>
    <row r="2273" spans="1:26" x14ac:dyDescent="0.25">
      <c r="A2273">
        <v>2024</v>
      </c>
      <c r="B2273">
        <v>59993</v>
      </c>
      <c r="C2273" t="s">
        <v>1575</v>
      </c>
      <c r="D2273" t="s">
        <v>99</v>
      </c>
      <c r="E2273" t="s">
        <v>100</v>
      </c>
      <c r="F2273" t="s">
        <v>86</v>
      </c>
      <c r="G2273" t="s">
        <v>56</v>
      </c>
      <c r="H2273" t="s">
        <v>101</v>
      </c>
      <c r="I2273" t="s">
        <v>189</v>
      </c>
      <c r="J2273">
        <v>1734.4</v>
      </c>
      <c r="K2273">
        <v>8281</v>
      </c>
      <c r="L2273">
        <v>1328</v>
      </c>
      <c r="M2273">
        <v>9</v>
      </c>
      <c r="N2273">
        <v>50</v>
      </c>
      <c r="O2273">
        <v>2</v>
      </c>
      <c r="P2273">
        <v>0</v>
      </c>
      <c r="Q2273">
        <v>0</v>
      </c>
      <c r="R2273">
        <v>0</v>
      </c>
      <c r="S2273">
        <v>0</v>
      </c>
      <c r="T2273">
        <v>0</v>
      </c>
      <c r="U2273">
        <v>0</v>
      </c>
      <c r="V2273">
        <v>1743.4</v>
      </c>
      <c r="W2273">
        <v>8331</v>
      </c>
      <c r="X2273">
        <v>1330</v>
      </c>
      <c r="Y2273">
        <f t="shared" si="35"/>
        <v>8331</v>
      </c>
      <c r="Z2273" t="str">
        <f>IF(ISNUMBER(SEARCH("Adjustment",$C2273)),"excluded",IF($H2273="Behind the Meter","excluded",IF(NOT(OR($E2273="Bundled",$E2273="Energy")),"excluded",IF(OR($H2273="Retail Power Marketer",$H2273="Community Choice Aggregator",$E2273="Energy"),"procurement",IF(OR($H2273="Municipal",$H2273="Cooperative",$H2273="Federal",$H2273="State",$H2273="Political Subdivision"),"cost_service",IF($H2273="Investor Owned",IF(AND(COUNTIF(Parameters!$A$4:$A$33,$G2273)&gt;0,COUNTIF(Parameters!$B$4:$B$33,$B2273)=0),"procurement","cost_service"),"unclassified"))))))</f>
        <v>procurement</v>
      </c>
    </row>
    <row r="2274" spans="1:26" x14ac:dyDescent="0.25">
      <c r="A2274">
        <v>2024</v>
      </c>
      <c r="B2274">
        <v>60025</v>
      </c>
      <c r="C2274" t="s">
        <v>1576</v>
      </c>
      <c r="D2274" t="s">
        <v>84</v>
      </c>
      <c r="E2274" t="s">
        <v>85</v>
      </c>
      <c r="F2274" t="s">
        <v>86</v>
      </c>
      <c r="G2274" t="s">
        <v>173</v>
      </c>
      <c r="H2274" t="s">
        <v>1475</v>
      </c>
      <c r="I2274" t="s">
        <v>980</v>
      </c>
      <c r="J2274">
        <v>0</v>
      </c>
      <c r="K2274">
        <v>0</v>
      </c>
      <c r="L2274">
        <v>0</v>
      </c>
      <c r="M2274">
        <v>250</v>
      </c>
      <c r="N2274">
        <v>4063</v>
      </c>
      <c r="O2274">
        <v>3</v>
      </c>
      <c r="P2274">
        <v>0</v>
      </c>
      <c r="Q2274">
        <v>0</v>
      </c>
      <c r="R2274">
        <v>0</v>
      </c>
      <c r="S2274">
        <v>0</v>
      </c>
      <c r="T2274">
        <v>0</v>
      </c>
      <c r="U2274">
        <v>0</v>
      </c>
      <c r="V2274">
        <v>250</v>
      </c>
      <c r="W2274">
        <v>4063</v>
      </c>
      <c r="X2274">
        <v>3</v>
      </c>
      <c r="Y2274">
        <f t="shared" si="35"/>
        <v>4063</v>
      </c>
      <c r="Z2274" t="str">
        <f>IF(ISNUMBER(SEARCH("Adjustment",$C2274)),"excluded",IF($H2274="Behind the Meter","excluded",IF(NOT(OR($E2274="Bundled",$E2274="Energy")),"excluded",IF(OR($H2274="Retail Power Marketer",$H2274="Community Choice Aggregator",$E2274="Energy"),"procurement",IF(OR($H2274="Municipal",$H2274="Cooperative",$H2274="Federal",$H2274="State",$H2274="Political Subdivision"),"cost_service",IF($H2274="Investor Owned",IF(AND(COUNTIF(Parameters!$A$4:$A$33,$G2274)&gt;0,COUNTIF(Parameters!$B$4:$B$33,$B2274)=0),"procurement","cost_service"),"unclassified"))))))</f>
        <v>excluded</v>
      </c>
    </row>
    <row r="2275" spans="1:26" x14ac:dyDescent="0.25">
      <c r="A2275">
        <v>2024</v>
      </c>
      <c r="B2275">
        <v>60025</v>
      </c>
      <c r="C2275" t="s">
        <v>1576</v>
      </c>
      <c r="D2275" t="s">
        <v>84</v>
      </c>
      <c r="E2275" t="s">
        <v>85</v>
      </c>
      <c r="F2275" t="s">
        <v>86</v>
      </c>
      <c r="G2275" t="s">
        <v>108</v>
      </c>
      <c r="H2275" t="s">
        <v>1475</v>
      </c>
      <c r="I2275" t="s">
        <v>876</v>
      </c>
      <c r="J2275">
        <v>0</v>
      </c>
      <c r="K2275">
        <v>0</v>
      </c>
      <c r="L2275">
        <v>0</v>
      </c>
      <c r="M2275">
        <v>78.599999999999994</v>
      </c>
      <c r="N2275">
        <v>1289</v>
      </c>
      <c r="O2275">
        <v>4</v>
      </c>
      <c r="P2275">
        <v>0</v>
      </c>
      <c r="Q2275">
        <v>0</v>
      </c>
      <c r="R2275">
        <v>0</v>
      </c>
      <c r="S2275">
        <v>0</v>
      </c>
      <c r="T2275">
        <v>0</v>
      </c>
      <c r="U2275">
        <v>0</v>
      </c>
      <c r="V2275">
        <v>78.599999999999994</v>
      </c>
      <c r="W2275">
        <v>1289</v>
      </c>
      <c r="X2275">
        <v>4</v>
      </c>
      <c r="Y2275">
        <f t="shared" si="35"/>
        <v>1289</v>
      </c>
      <c r="Z2275" t="str">
        <f>IF(ISNUMBER(SEARCH("Adjustment",$C2275)),"excluded",IF($H2275="Behind the Meter","excluded",IF(NOT(OR($E2275="Bundled",$E2275="Energy")),"excluded",IF(OR($H2275="Retail Power Marketer",$H2275="Community Choice Aggregator",$E2275="Energy"),"procurement",IF(OR($H2275="Municipal",$H2275="Cooperative",$H2275="Federal",$H2275="State",$H2275="Political Subdivision"),"cost_service",IF($H2275="Investor Owned",IF(AND(COUNTIF(Parameters!$A$4:$A$33,$G2275)&gt;0,COUNTIF(Parameters!$B$4:$B$33,$B2275)=0),"procurement","cost_service"),"unclassified"))))))</f>
        <v>excluded</v>
      </c>
    </row>
    <row r="2276" spans="1:26" x14ac:dyDescent="0.25">
      <c r="A2276">
        <v>2024</v>
      </c>
      <c r="B2276">
        <v>60025</v>
      </c>
      <c r="C2276" t="s">
        <v>1576</v>
      </c>
      <c r="D2276" t="s">
        <v>84</v>
      </c>
      <c r="E2276" t="s">
        <v>85</v>
      </c>
      <c r="F2276" t="s">
        <v>86</v>
      </c>
      <c r="G2276" t="s">
        <v>115</v>
      </c>
      <c r="H2276" t="s">
        <v>1475</v>
      </c>
      <c r="I2276" t="s">
        <v>116</v>
      </c>
      <c r="J2276">
        <v>0</v>
      </c>
      <c r="K2276">
        <v>0</v>
      </c>
      <c r="L2276">
        <v>0</v>
      </c>
      <c r="M2276">
        <v>1158</v>
      </c>
      <c r="N2276">
        <v>15071</v>
      </c>
      <c r="O2276">
        <v>16</v>
      </c>
      <c r="P2276">
        <v>0</v>
      </c>
      <c r="Q2276">
        <v>0</v>
      </c>
      <c r="R2276">
        <v>0</v>
      </c>
      <c r="S2276">
        <v>0</v>
      </c>
      <c r="T2276">
        <v>0</v>
      </c>
      <c r="U2276">
        <v>0</v>
      </c>
      <c r="V2276">
        <v>1158</v>
      </c>
      <c r="W2276">
        <v>15071</v>
      </c>
      <c r="X2276">
        <v>16</v>
      </c>
      <c r="Y2276">
        <f t="shared" si="35"/>
        <v>15071</v>
      </c>
      <c r="Z2276" t="str">
        <f>IF(ISNUMBER(SEARCH("Adjustment",$C2276)),"excluded",IF($H2276="Behind the Meter","excluded",IF(NOT(OR($E2276="Bundled",$E2276="Energy")),"excluded",IF(OR($H2276="Retail Power Marketer",$H2276="Community Choice Aggregator",$E2276="Energy"),"procurement",IF(OR($H2276="Municipal",$H2276="Cooperative",$H2276="Federal",$H2276="State",$H2276="Political Subdivision"),"cost_service",IF($H2276="Investor Owned",IF(AND(COUNTIF(Parameters!$A$4:$A$33,$G2276)&gt;0,COUNTIF(Parameters!$B$4:$B$33,$B2276)=0),"procurement","cost_service"),"unclassified"))))))</f>
        <v>excluded</v>
      </c>
    </row>
    <row r="2277" spans="1:26" x14ac:dyDescent="0.25">
      <c r="A2277">
        <v>2024</v>
      </c>
      <c r="B2277">
        <v>60025</v>
      </c>
      <c r="C2277" t="s">
        <v>1576</v>
      </c>
      <c r="D2277" t="s">
        <v>84</v>
      </c>
      <c r="E2277" t="s">
        <v>85</v>
      </c>
      <c r="F2277" t="s">
        <v>86</v>
      </c>
      <c r="G2277" t="s">
        <v>361</v>
      </c>
      <c r="H2277" t="s">
        <v>1475</v>
      </c>
      <c r="I2277" t="s">
        <v>523</v>
      </c>
      <c r="J2277">
        <v>6.2</v>
      </c>
      <c r="K2277">
        <v>60</v>
      </c>
      <c r="L2277">
        <v>10</v>
      </c>
      <c r="M2277">
        <v>378</v>
      </c>
      <c r="N2277">
        <v>6877</v>
      </c>
      <c r="O2277">
        <v>29</v>
      </c>
      <c r="P2277">
        <v>0</v>
      </c>
      <c r="Q2277">
        <v>0</v>
      </c>
      <c r="R2277">
        <v>0</v>
      </c>
      <c r="S2277">
        <v>0</v>
      </c>
      <c r="T2277">
        <v>0</v>
      </c>
      <c r="U2277">
        <v>0</v>
      </c>
      <c r="V2277">
        <v>384.2</v>
      </c>
      <c r="W2277">
        <v>6937</v>
      </c>
      <c r="X2277">
        <v>39</v>
      </c>
      <c r="Y2277">
        <f t="shared" si="35"/>
        <v>6937</v>
      </c>
      <c r="Z2277" t="str">
        <f>IF(ISNUMBER(SEARCH("Adjustment",$C2277)),"excluded",IF($H2277="Behind the Meter","excluded",IF(NOT(OR($E2277="Bundled",$E2277="Energy")),"excluded",IF(OR($H2277="Retail Power Marketer",$H2277="Community Choice Aggregator",$E2277="Energy"),"procurement",IF(OR($H2277="Municipal",$H2277="Cooperative",$H2277="Federal",$H2277="State",$H2277="Political Subdivision"),"cost_service",IF($H2277="Investor Owned",IF(AND(COUNTIF(Parameters!$A$4:$A$33,$G2277)&gt;0,COUNTIF(Parameters!$B$4:$B$33,$B2277)=0),"procurement","cost_service"),"unclassified"))))))</f>
        <v>excluded</v>
      </c>
    </row>
    <row r="2278" spans="1:26" x14ac:dyDescent="0.25">
      <c r="A2278">
        <v>2024</v>
      </c>
      <c r="B2278">
        <v>60025</v>
      </c>
      <c r="C2278" t="s">
        <v>1576</v>
      </c>
      <c r="D2278" t="s">
        <v>84</v>
      </c>
      <c r="E2278" t="s">
        <v>85</v>
      </c>
      <c r="F2278" t="s">
        <v>86</v>
      </c>
      <c r="G2278" t="s">
        <v>40</v>
      </c>
      <c r="H2278" t="s">
        <v>1475</v>
      </c>
      <c r="I2278" t="s">
        <v>189</v>
      </c>
      <c r="J2278">
        <v>0</v>
      </c>
      <c r="K2278">
        <v>0</v>
      </c>
      <c r="L2278">
        <v>0</v>
      </c>
      <c r="M2278">
        <v>161</v>
      </c>
      <c r="N2278">
        <v>676</v>
      </c>
      <c r="O2278">
        <v>3</v>
      </c>
      <c r="P2278">
        <v>0</v>
      </c>
      <c r="Q2278">
        <v>0</v>
      </c>
      <c r="R2278">
        <v>0</v>
      </c>
      <c r="S2278">
        <v>0</v>
      </c>
      <c r="T2278">
        <v>0</v>
      </c>
      <c r="U2278">
        <v>0</v>
      </c>
      <c r="V2278">
        <v>161</v>
      </c>
      <c r="W2278">
        <v>676</v>
      </c>
      <c r="X2278">
        <v>3</v>
      </c>
      <c r="Y2278">
        <f t="shared" si="35"/>
        <v>676</v>
      </c>
      <c r="Z2278" t="str">
        <f>IF(ISNUMBER(SEARCH("Adjustment",$C2278)),"excluded",IF($H2278="Behind the Meter","excluded",IF(NOT(OR($E2278="Bundled",$E2278="Energy")),"excluded",IF(OR($H2278="Retail Power Marketer",$H2278="Community Choice Aggregator",$E2278="Energy"),"procurement",IF(OR($H2278="Municipal",$H2278="Cooperative",$H2278="Federal",$H2278="State",$H2278="Political Subdivision"),"cost_service",IF($H2278="Investor Owned",IF(AND(COUNTIF(Parameters!$A$4:$A$33,$G2278)&gt;0,COUNTIF(Parameters!$B$4:$B$33,$B2278)=0),"procurement","cost_service"),"unclassified"))))))</f>
        <v>excluded</v>
      </c>
    </row>
    <row r="2279" spans="1:26" x14ac:dyDescent="0.25">
      <c r="A2279">
        <v>2024</v>
      </c>
      <c r="B2279">
        <v>60025</v>
      </c>
      <c r="C2279" t="s">
        <v>1576</v>
      </c>
      <c r="D2279" t="s">
        <v>84</v>
      </c>
      <c r="E2279" t="s">
        <v>85</v>
      </c>
      <c r="F2279" t="s">
        <v>86</v>
      </c>
      <c r="G2279" t="s">
        <v>195</v>
      </c>
      <c r="H2279" t="s">
        <v>1475</v>
      </c>
      <c r="I2279" t="s">
        <v>546</v>
      </c>
      <c r="J2279">
        <v>0</v>
      </c>
      <c r="K2279">
        <v>0</v>
      </c>
      <c r="L2279">
        <v>0</v>
      </c>
      <c r="M2279">
        <v>87</v>
      </c>
      <c r="N2279">
        <v>458</v>
      </c>
      <c r="O2279">
        <v>1</v>
      </c>
      <c r="P2279">
        <v>0</v>
      </c>
      <c r="Q2279">
        <v>0</v>
      </c>
      <c r="R2279">
        <v>0</v>
      </c>
      <c r="S2279">
        <v>0</v>
      </c>
      <c r="T2279">
        <v>0</v>
      </c>
      <c r="U2279">
        <v>0</v>
      </c>
      <c r="V2279">
        <v>87</v>
      </c>
      <c r="W2279">
        <v>458</v>
      </c>
      <c r="X2279">
        <v>1</v>
      </c>
      <c r="Y2279">
        <f t="shared" si="35"/>
        <v>458</v>
      </c>
      <c r="Z2279" t="str">
        <f>IF(ISNUMBER(SEARCH("Adjustment",$C2279)),"excluded",IF($H2279="Behind the Meter","excluded",IF(NOT(OR($E2279="Bundled",$E2279="Energy")),"excluded",IF(OR($H2279="Retail Power Marketer",$H2279="Community Choice Aggregator",$E2279="Energy"),"procurement",IF(OR($H2279="Municipal",$H2279="Cooperative",$H2279="Federal",$H2279="State",$H2279="Political Subdivision"),"cost_service",IF($H2279="Investor Owned",IF(AND(COUNTIF(Parameters!$A$4:$A$33,$G2279)&gt;0,COUNTIF(Parameters!$B$4:$B$33,$B2279)=0),"procurement","cost_service"),"unclassified"))))))</f>
        <v>excluded</v>
      </c>
    </row>
    <row r="2280" spans="1:26" x14ac:dyDescent="0.25">
      <c r="A2280">
        <v>2024</v>
      </c>
      <c r="B2280">
        <v>60025</v>
      </c>
      <c r="C2280" t="s">
        <v>1576</v>
      </c>
      <c r="D2280" t="s">
        <v>84</v>
      </c>
      <c r="E2280" t="s">
        <v>85</v>
      </c>
      <c r="F2280" t="s">
        <v>86</v>
      </c>
      <c r="G2280" t="s">
        <v>605</v>
      </c>
      <c r="H2280" t="s">
        <v>1475</v>
      </c>
      <c r="I2280" t="s">
        <v>119</v>
      </c>
      <c r="J2280">
        <v>0</v>
      </c>
      <c r="K2280">
        <v>0</v>
      </c>
      <c r="L2280">
        <v>0</v>
      </c>
      <c r="M2280">
        <v>86</v>
      </c>
      <c r="N2280">
        <v>429</v>
      </c>
      <c r="O2280">
        <v>1</v>
      </c>
      <c r="P2280">
        <v>0</v>
      </c>
      <c r="Q2280">
        <v>0</v>
      </c>
      <c r="R2280">
        <v>0</v>
      </c>
      <c r="S2280">
        <v>0</v>
      </c>
      <c r="T2280">
        <v>0</v>
      </c>
      <c r="U2280">
        <v>0</v>
      </c>
      <c r="V2280">
        <v>86</v>
      </c>
      <c r="W2280">
        <v>429</v>
      </c>
      <c r="X2280">
        <v>1</v>
      </c>
      <c r="Y2280">
        <f t="shared" si="35"/>
        <v>429</v>
      </c>
      <c r="Z2280" t="str">
        <f>IF(ISNUMBER(SEARCH("Adjustment",$C2280)),"excluded",IF($H2280="Behind the Meter","excluded",IF(NOT(OR($E2280="Bundled",$E2280="Energy")),"excluded",IF(OR($H2280="Retail Power Marketer",$H2280="Community Choice Aggregator",$E2280="Energy"),"procurement",IF(OR($H2280="Municipal",$H2280="Cooperative",$H2280="Federal",$H2280="State",$H2280="Political Subdivision"),"cost_service",IF($H2280="Investor Owned",IF(AND(COUNTIF(Parameters!$A$4:$A$33,$G2280)&gt;0,COUNTIF(Parameters!$B$4:$B$33,$B2280)=0),"procurement","cost_service"),"unclassified"))))))</f>
        <v>excluded</v>
      </c>
    </row>
    <row r="2281" spans="1:26" x14ac:dyDescent="0.25">
      <c r="A2281">
        <v>2024</v>
      </c>
      <c r="B2281">
        <v>60025</v>
      </c>
      <c r="C2281" t="s">
        <v>1576</v>
      </c>
      <c r="D2281" t="s">
        <v>84</v>
      </c>
      <c r="E2281" t="s">
        <v>85</v>
      </c>
      <c r="F2281" t="s">
        <v>86</v>
      </c>
      <c r="G2281" t="s">
        <v>130</v>
      </c>
      <c r="H2281" t="s">
        <v>1475</v>
      </c>
      <c r="I2281" t="s">
        <v>92</v>
      </c>
      <c r="J2281">
        <v>0</v>
      </c>
      <c r="K2281">
        <v>0</v>
      </c>
      <c r="L2281">
        <v>0</v>
      </c>
      <c r="M2281">
        <v>490</v>
      </c>
      <c r="N2281">
        <v>1530</v>
      </c>
      <c r="O2281">
        <v>4</v>
      </c>
      <c r="P2281">
        <v>0</v>
      </c>
      <c r="Q2281">
        <v>0</v>
      </c>
      <c r="R2281">
        <v>0</v>
      </c>
      <c r="S2281">
        <v>0</v>
      </c>
      <c r="T2281">
        <v>0</v>
      </c>
      <c r="U2281">
        <v>0</v>
      </c>
      <c r="V2281">
        <v>490</v>
      </c>
      <c r="W2281">
        <v>1530</v>
      </c>
      <c r="X2281">
        <v>4</v>
      </c>
      <c r="Y2281">
        <f t="shared" si="35"/>
        <v>1530</v>
      </c>
      <c r="Z2281" t="str">
        <f>IF(ISNUMBER(SEARCH("Adjustment",$C2281)),"excluded",IF($H2281="Behind the Meter","excluded",IF(NOT(OR($E2281="Bundled",$E2281="Energy")),"excluded",IF(OR($H2281="Retail Power Marketer",$H2281="Community Choice Aggregator",$E2281="Energy"),"procurement",IF(OR($H2281="Municipal",$H2281="Cooperative",$H2281="Federal",$H2281="State",$H2281="Political Subdivision"),"cost_service",IF($H2281="Investor Owned",IF(AND(COUNTIF(Parameters!$A$4:$A$33,$G2281)&gt;0,COUNTIF(Parameters!$B$4:$B$33,$B2281)=0),"procurement","cost_service"),"unclassified"))))))</f>
        <v>excluded</v>
      </c>
    </row>
    <row r="2282" spans="1:26" x14ac:dyDescent="0.25">
      <c r="A2282">
        <v>2024</v>
      </c>
      <c r="B2282">
        <v>60025</v>
      </c>
      <c r="C2282" t="s">
        <v>1576</v>
      </c>
      <c r="D2282" t="s">
        <v>84</v>
      </c>
      <c r="E2282" t="s">
        <v>85</v>
      </c>
      <c r="F2282" t="s">
        <v>86</v>
      </c>
      <c r="G2282" t="s">
        <v>48</v>
      </c>
      <c r="H2282" t="s">
        <v>1475</v>
      </c>
      <c r="I2282" t="s">
        <v>189</v>
      </c>
      <c r="J2282">
        <v>0</v>
      </c>
      <c r="K2282">
        <v>0</v>
      </c>
      <c r="L2282">
        <v>0</v>
      </c>
      <c r="M2282">
        <v>2268</v>
      </c>
      <c r="N2282">
        <v>16327</v>
      </c>
      <c r="O2282">
        <v>20</v>
      </c>
      <c r="P2282">
        <v>0</v>
      </c>
      <c r="Q2282">
        <v>0</v>
      </c>
      <c r="R2282">
        <v>0</v>
      </c>
      <c r="S2282">
        <v>0</v>
      </c>
      <c r="T2282">
        <v>0</v>
      </c>
      <c r="U2282">
        <v>0</v>
      </c>
      <c r="V2282">
        <v>2268</v>
      </c>
      <c r="W2282">
        <v>16327</v>
      </c>
      <c r="X2282">
        <v>20</v>
      </c>
      <c r="Y2282">
        <f t="shared" si="35"/>
        <v>16327</v>
      </c>
      <c r="Z2282" t="str">
        <f>IF(ISNUMBER(SEARCH("Adjustment",$C2282)),"excluded",IF($H2282="Behind the Meter","excluded",IF(NOT(OR($E2282="Bundled",$E2282="Energy")),"excluded",IF(OR($H2282="Retail Power Marketer",$H2282="Community Choice Aggregator",$E2282="Energy"),"procurement",IF(OR($H2282="Municipal",$H2282="Cooperative",$H2282="Federal",$H2282="State",$H2282="Political Subdivision"),"cost_service",IF($H2282="Investor Owned",IF(AND(COUNTIF(Parameters!$A$4:$A$33,$G2282)&gt;0,COUNTIF(Parameters!$B$4:$B$33,$B2282)=0),"procurement","cost_service"),"unclassified"))))))</f>
        <v>excluded</v>
      </c>
    </row>
    <row r="2283" spans="1:26" x14ac:dyDescent="0.25">
      <c r="A2283">
        <v>2024</v>
      </c>
      <c r="B2283">
        <v>60025</v>
      </c>
      <c r="C2283" t="s">
        <v>1576</v>
      </c>
      <c r="D2283" t="s">
        <v>84</v>
      </c>
      <c r="E2283" t="s">
        <v>85</v>
      </c>
      <c r="F2283" t="s">
        <v>86</v>
      </c>
      <c r="G2283" t="s">
        <v>49</v>
      </c>
      <c r="H2283" t="s">
        <v>1475</v>
      </c>
      <c r="I2283" t="s">
        <v>92</v>
      </c>
      <c r="J2283">
        <v>0</v>
      </c>
      <c r="K2283">
        <v>0</v>
      </c>
      <c r="L2283">
        <v>0</v>
      </c>
      <c r="M2283">
        <v>16.600000000000001</v>
      </c>
      <c r="N2283">
        <v>166</v>
      </c>
      <c r="O2283">
        <v>1</v>
      </c>
      <c r="P2283">
        <v>0</v>
      </c>
      <c r="Q2283">
        <v>0</v>
      </c>
      <c r="R2283">
        <v>0</v>
      </c>
      <c r="S2283">
        <v>0</v>
      </c>
      <c r="T2283">
        <v>0</v>
      </c>
      <c r="U2283">
        <v>0</v>
      </c>
      <c r="V2283">
        <v>16.600000000000001</v>
      </c>
      <c r="W2283">
        <v>166</v>
      </c>
      <c r="X2283">
        <v>1</v>
      </c>
      <c r="Y2283">
        <f t="shared" si="35"/>
        <v>166</v>
      </c>
      <c r="Z2283" t="str">
        <f>IF(ISNUMBER(SEARCH("Adjustment",$C2283)),"excluded",IF($H2283="Behind the Meter","excluded",IF(NOT(OR($E2283="Bundled",$E2283="Energy")),"excluded",IF(OR($H2283="Retail Power Marketer",$H2283="Community Choice Aggregator",$E2283="Energy"),"procurement",IF(OR($H2283="Municipal",$H2283="Cooperative",$H2283="Federal",$H2283="State",$H2283="Political Subdivision"),"cost_service",IF($H2283="Investor Owned",IF(AND(COUNTIF(Parameters!$A$4:$A$33,$G2283)&gt;0,COUNTIF(Parameters!$B$4:$B$33,$B2283)=0),"procurement","cost_service"),"unclassified"))))))</f>
        <v>excluded</v>
      </c>
    </row>
    <row r="2284" spans="1:26" x14ac:dyDescent="0.25">
      <c r="A2284">
        <v>2024</v>
      </c>
      <c r="B2284">
        <v>60025</v>
      </c>
      <c r="C2284" t="s">
        <v>1576</v>
      </c>
      <c r="D2284" t="s">
        <v>84</v>
      </c>
      <c r="E2284" t="s">
        <v>85</v>
      </c>
      <c r="F2284" t="s">
        <v>86</v>
      </c>
      <c r="G2284" t="s">
        <v>125</v>
      </c>
      <c r="H2284" t="s">
        <v>1475</v>
      </c>
      <c r="I2284" t="s">
        <v>126</v>
      </c>
      <c r="J2284">
        <v>0</v>
      </c>
      <c r="K2284">
        <v>0</v>
      </c>
      <c r="L2284">
        <v>0</v>
      </c>
      <c r="M2284">
        <v>233</v>
      </c>
      <c r="N2284">
        <v>1550</v>
      </c>
      <c r="O2284">
        <v>3</v>
      </c>
      <c r="P2284">
        <v>0</v>
      </c>
      <c r="Q2284">
        <v>0</v>
      </c>
      <c r="R2284">
        <v>0</v>
      </c>
      <c r="S2284">
        <v>0</v>
      </c>
      <c r="T2284">
        <v>0</v>
      </c>
      <c r="U2284">
        <v>0</v>
      </c>
      <c r="V2284">
        <v>233</v>
      </c>
      <c r="W2284">
        <v>1550</v>
      </c>
      <c r="X2284">
        <v>3</v>
      </c>
      <c r="Y2284">
        <f t="shared" si="35"/>
        <v>1550</v>
      </c>
      <c r="Z2284" t="str">
        <f>IF(ISNUMBER(SEARCH("Adjustment",$C2284)),"excluded",IF($H2284="Behind the Meter","excluded",IF(NOT(OR($E2284="Bundled",$E2284="Energy")),"excluded",IF(OR($H2284="Retail Power Marketer",$H2284="Community Choice Aggregator",$E2284="Energy"),"procurement",IF(OR($H2284="Municipal",$H2284="Cooperative",$H2284="Federal",$H2284="State",$H2284="Political Subdivision"),"cost_service",IF($H2284="Investor Owned",IF(AND(COUNTIF(Parameters!$A$4:$A$33,$G2284)&gt;0,COUNTIF(Parameters!$B$4:$B$33,$B2284)=0),"procurement","cost_service"),"unclassified"))))))</f>
        <v>excluded</v>
      </c>
    </row>
    <row r="2285" spans="1:26" x14ac:dyDescent="0.25">
      <c r="A2285">
        <v>2024</v>
      </c>
      <c r="B2285">
        <v>60025</v>
      </c>
      <c r="C2285" t="s">
        <v>1576</v>
      </c>
      <c r="D2285" t="s">
        <v>84</v>
      </c>
      <c r="E2285" t="s">
        <v>85</v>
      </c>
      <c r="F2285" t="s">
        <v>86</v>
      </c>
      <c r="G2285" t="s">
        <v>52</v>
      </c>
      <c r="H2285" t="s">
        <v>1475</v>
      </c>
      <c r="I2285" t="s">
        <v>92</v>
      </c>
      <c r="J2285">
        <v>0</v>
      </c>
      <c r="K2285">
        <v>0</v>
      </c>
      <c r="L2285">
        <v>0</v>
      </c>
      <c r="M2285">
        <v>379</v>
      </c>
      <c r="N2285">
        <v>4843</v>
      </c>
      <c r="O2285">
        <v>12</v>
      </c>
      <c r="P2285" t="s">
        <v>97</v>
      </c>
      <c r="Q2285" t="s">
        <v>97</v>
      </c>
      <c r="R2285" t="s">
        <v>97</v>
      </c>
      <c r="S2285" t="s">
        <v>97</v>
      </c>
      <c r="T2285" t="s">
        <v>97</v>
      </c>
      <c r="U2285" t="s">
        <v>97</v>
      </c>
      <c r="V2285">
        <v>379</v>
      </c>
      <c r="W2285">
        <v>4843</v>
      </c>
      <c r="X2285">
        <v>12</v>
      </c>
      <c r="Y2285">
        <f t="shared" si="35"/>
        <v>4843</v>
      </c>
      <c r="Z2285" t="str">
        <f>IF(ISNUMBER(SEARCH("Adjustment",$C2285)),"excluded",IF($H2285="Behind the Meter","excluded",IF(NOT(OR($E2285="Bundled",$E2285="Energy")),"excluded",IF(OR($H2285="Retail Power Marketer",$H2285="Community Choice Aggregator",$E2285="Energy"),"procurement",IF(OR($H2285="Municipal",$H2285="Cooperative",$H2285="Federal",$H2285="State",$H2285="Political Subdivision"),"cost_service",IF($H2285="Investor Owned",IF(AND(COUNTIF(Parameters!$A$4:$A$33,$G2285)&gt;0,COUNTIF(Parameters!$B$4:$B$33,$B2285)=0),"procurement","cost_service"),"unclassified"))))))</f>
        <v>excluded</v>
      </c>
    </row>
    <row r="2286" spans="1:26" x14ac:dyDescent="0.25">
      <c r="A2286">
        <v>2024</v>
      </c>
      <c r="B2286">
        <v>60025</v>
      </c>
      <c r="C2286" t="s">
        <v>1576</v>
      </c>
      <c r="D2286" t="s">
        <v>84</v>
      </c>
      <c r="E2286" t="s">
        <v>85</v>
      </c>
      <c r="F2286" t="s">
        <v>86</v>
      </c>
      <c r="G2286" t="s">
        <v>242</v>
      </c>
      <c r="H2286" t="s">
        <v>1475</v>
      </c>
      <c r="I2286" t="s">
        <v>390</v>
      </c>
      <c r="J2286">
        <v>0</v>
      </c>
      <c r="K2286">
        <v>0</v>
      </c>
      <c r="L2286">
        <v>0</v>
      </c>
      <c r="M2286">
        <v>20.6</v>
      </c>
      <c r="N2286">
        <v>295</v>
      </c>
      <c r="O2286">
        <v>1</v>
      </c>
      <c r="P2286">
        <v>0</v>
      </c>
      <c r="Q2286">
        <v>0</v>
      </c>
      <c r="R2286">
        <v>0</v>
      </c>
      <c r="S2286">
        <v>0</v>
      </c>
      <c r="T2286">
        <v>0</v>
      </c>
      <c r="U2286">
        <v>0</v>
      </c>
      <c r="V2286">
        <v>20.6</v>
      </c>
      <c r="W2286">
        <v>295</v>
      </c>
      <c r="X2286">
        <v>1</v>
      </c>
      <c r="Y2286">
        <f t="shared" si="35"/>
        <v>295</v>
      </c>
      <c r="Z2286" t="str">
        <f>IF(ISNUMBER(SEARCH("Adjustment",$C2286)),"excluded",IF($H2286="Behind the Meter","excluded",IF(NOT(OR($E2286="Bundled",$E2286="Energy")),"excluded",IF(OR($H2286="Retail Power Marketer",$H2286="Community Choice Aggregator",$E2286="Energy"),"procurement",IF(OR($H2286="Municipal",$H2286="Cooperative",$H2286="Federal",$H2286="State",$H2286="Political Subdivision"),"cost_service",IF($H2286="Investor Owned",IF(AND(COUNTIF(Parameters!$A$4:$A$33,$G2286)&gt;0,COUNTIF(Parameters!$B$4:$B$33,$B2286)=0),"procurement","cost_service"),"unclassified"))))))</f>
        <v>excluded</v>
      </c>
    </row>
    <row r="2287" spans="1:26" x14ac:dyDescent="0.25">
      <c r="A2287">
        <v>2024</v>
      </c>
      <c r="B2287">
        <v>60025</v>
      </c>
      <c r="C2287" t="s">
        <v>1576</v>
      </c>
      <c r="D2287" t="s">
        <v>84</v>
      </c>
      <c r="E2287" t="s">
        <v>85</v>
      </c>
      <c r="F2287" t="s">
        <v>86</v>
      </c>
      <c r="G2287" t="s">
        <v>53</v>
      </c>
      <c r="H2287" t="s">
        <v>1475</v>
      </c>
      <c r="I2287" t="s">
        <v>102</v>
      </c>
      <c r="J2287">
        <v>0</v>
      </c>
      <c r="K2287">
        <v>0</v>
      </c>
      <c r="L2287">
        <v>0</v>
      </c>
      <c r="M2287">
        <v>259</v>
      </c>
      <c r="N2287">
        <v>2434</v>
      </c>
      <c r="O2287">
        <v>6</v>
      </c>
      <c r="P2287">
        <v>0</v>
      </c>
      <c r="Q2287">
        <v>0</v>
      </c>
      <c r="R2287">
        <v>0</v>
      </c>
      <c r="S2287">
        <v>0</v>
      </c>
      <c r="T2287">
        <v>0</v>
      </c>
      <c r="U2287">
        <v>0</v>
      </c>
      <c r="V2287">
        <v>259</v>
      </c>
      <c r="W2287">
        <v>2434</v>
      </c>
      <c r="X2287">
        <v>6</v>
      </c>
      <c r="Y2287">
        <f t="shared" si="35"/>
        <v>2434</v>
      </c>
      <c r="Z2287" t="str">
        <f>IF(ISNUMBER(SEARCH("Adjustment",$C2287)),"excluded",IF($H2287="Behind the Meter","excluded",IF(NOT(OR($E2287="Bundled",$E2287="Energy")),"excluded",IF(OR($H2287="Retail Power Marketer",$H2287="Community Choice Aggregator",$E2287="Energy"),"procurement",IF(OR($H2287="Municipal",$H2287="Cooperative",$H2287="Federal",$H2287="State",$H2287="Political Subdivision"),"cost_service",IF($H2287="Investor Owned",IF(AND(COUNTIF(Parameters!$A$4:$A$33,$G2287)&gt;0,COUNTIF(Parameters!$B$4:$B$33,$B2287)=0),"procurement","cost_service"),"unclassified"))))))</f>
        <v>excluded</v>
      </c>
    </row>
    <row r="2288" spans="1:26" x14ac:dyDescent="0.25">
      <c r="A2288">
        <v>2024</v>
      </c>
      <c r="B2288">
        <v>60025</v>
      </c>
      <c r="C2288" t="s">
        <v>1576</v>
      </c>
      <c r="D2288" t="s">
        <v>84</v>
      </c>
      <c r="E2288" t="s">
        <v>85</v>
      </c>
      <c r="F2288" t="s">
        <v>86</v>
      </c>
      <c r="G2288" t="s">
        <v>56</v>
      </c>
      <c r="H2288" t="s">
        <v>1475</v>
      </c>
      <c r="I2288" t="s">
        <v>189</v>
      </c>
      <c r="J2288">
        <v>0</v>
      </c>
      <c r="K2288">
        <v>0</v>
      </c>
      <c r="L2288">
        <v>0</v>
      </c>
      <c r="M2288">
        <v>243</v>
      </c>
      <c r="N2288">
        <v>1313</v>
      </c>
      <c r="O2288">
        <v>1</v>
      </c>
      <c r="P2288">
        <v>0</v>
      </c>
      <c r="Q2288">
        <v>0</v>
      </c>
      <c r="R2288">
        <v>0</v>
      </c>
      <c r="S2288">
        <v>0</v>
      </c>
      <c r="T2288">
        <v>0</v>
      </c>
      <c r="U2288">
        <v>0</v>
      </c>
      <c r="V2288">
        <v>243</v>
      </c>
      <c r="W2288">
        <v>1313</v>
      </c>
      <c r="X2288">
        <v>1</v>
      </c>
      <c r="Y2288">
        <f t="shared" si="35"/>
        <v>1313</v>
      </c>
      <c r="Z2288" t="str">
        <f>IF(ISNUMBER(SEARCH("Adjustment",$C2288)),"excluded",IF($H2288="Behind the Meter","excluded",IF(NOT(OR($E2288="Bundled",$E2288="Energy")),"excluded",IF(OR($H2288="Retail Power Marketer",$H2288="Community Choice Aggregator",$E2288="Energy"),"procurement",IF(OR($H2288="Municipal",$H2288="Cooperative",$H2288="Federal",$H2288="State",$H2288="Political Subdivision"),"cost_service",IF($H2288="Investor Owned",IF(AND(COUNTIF(Parameters!$A$4:$A$33,$G2288)&gt;0,COUNTIF(Parameters!$B$4:$B$33,$B2288)=0),"procurement","cost_service"),"unclassified"))))))</f>
        <v>excluded</v>
      </c>
    </row>
    <row r="2289" spans="1:26" x14ac:dyDescent="0.25">
      <c r="A2289">
        <v>2024</v>
      </c>
      <c r="B2289">
        <v>60025</v>
      </c>
      <c r="C2289" t="s">
        <v>1576</v>
      </c>
      <c r="D2289" t="s">
        <v>84</v>
      </c>
      <c r="E2289" t="s">
        <v>85</v>
      </c>
      <c r="F2289" t="s">
        <v>86</v>
      </c>
      <c r="G2289" t="s">
        <v>156</v>
      </c>
      <c r="H2289" t="s">
        <v>1475</v>
      </c>
      <c r="I2289" t="s">
        <v>92</v>
      </c>
      <c r="J2289">
        <v>0</v>
      </c>
      <c r="K2289">
        <v>0</v>
      </c>
      <c r="L2289">
        <v>0</v>
      </c>
      <c r="M2289">
        <v>484</v>
      </c>
      <c r="N2289">
        <v>5025</v>
      </c>
      <c r="O2289">
        <v>15</v>
      </c>
      <c r="P2289">
        <v>0</v>
      </c>
      <c r="Q2289">
        <v>0</v>
      </c>
      <c r="R2289">
        <v>0</v>
      </c>
      <c r="S2289">
        <v>0</v>
      </c>
      <c r="T2289">
        <v>0</v>
      </c>
      <c r="U2289">
        <v>0</v>
      </c>
      <c r="V2289">
        <v>484</v>
      </c>
      <c r="W2289">
        <v>5025</v>
      </c>
      <c r="X2289">
        <v>15</v>
      </c>
      <c r="Y2289">
        <f t="shared" si="35"/>
        <v>5025</v>
      </c>
      <c r="Z2289" t="str">
        <f>IF(ISNUMBER(SEARCH("Adjustment",$C2289)),"excluded",IF($H2289="Behind the Meter","excluded",IF(NOT(OR($E2289="Bundled",$E2289="Energy")),"excluded",IF(OR($H2289="Retail Power Marketer",$H2289="Community Choice Aggregator",$E2289="Energy"),"procurement",IF(OR($H2289="Municipal",$H2289="Cooperative",$H2289="Federal",$H2289="State",$H2289="Political Subdivision"),"cost_service",IF($H2289="Investor Owned",IF(AND(COUNTIF(Parameters!$A$4:$A$33,$G2289)&gt;0,COUNTIF(Parameters!$B$4:$B$33,$B2289)=0),"procurement","cost_service"),"unclassified"))))))</f>
        <v>excluded</v>
      </c>
    </row>
    <row r="2290" spans="1:26" x14ac:dyDescent="0.25">
      <c r="A2290">
        <v>2024</v>
      </c>
      <c r="B2290">
        <v>60025</v>
      </c>
      <c r="C2290" t="s">
        <v>1576</v>
      </c>
      <c r="D2290" t="s">
        <v>84</v>
      </c>
      <c r="E2290" t="s">
        <v>85</v>
      </c>
      <c r="F2290" t="s">
        <v>86</v>
      </c>
      <c r="G2290" t="s">
        <v>269</v>
      </c>
      <c r="H2290" t="s">
        <v>1475</v>
      </c>
      <c r="I2290" t="s">
        <v>189</v>
      </c>
      <c r="J2290">
        <v>0</v>
      </c>
      <c r="K2290">
        <v>0</v>
      </c>
      <c r="L2290">
        <v>0</v>
      </c>
      <c r="M2290">
        <v>3097</v>
      </c>
      <c r="N2290">
        <v>21159</v>
      </c>
      <c r="O2290">
        <v>25</v>
      </c>
      <c r="P2290">
        <v>0</v>
      </c>
      <c r="Q2290">
        <v>0</v>
      </c>
      <c r="R2290">
        <v>0</v>
      </c>
      <c r="S2290">
        <v>0</v>
      </c>
      <c r="T2290">
        <v>0</v>
      </c>
      <c r="U2290">
        <v>0</v>
      </c>
      <c r="V2290">
        <v>3097</v>
      </c>
      <c r="W2290">
        <v>21159</v>
      </c>
      <c r="X2290">
        <v>25</v>
      </c>
      <c r="Y2290">
        <f t="shared" si="35"/>
        <v>21159</v>
      </c>
      <c r="Z2290" t="str">
        <f>IF(ISNUMBER(SEARCH("Adjustment",$C2290)),"excluded",IF($H2290="Behind the Meter","excluded",IF(NOT(OR($E2290="Bundled",$E2290="Energy")),"excluded",IF(OR($H2290="Retail Power Marketer",$H2290="Community Choice Aggregator",$E2290="Energy"),"procurement",IF(OR($H2290="Municipal",$H2290="Cooperative",$H2290="Federal",$H2290="State",$H2290="Political Subdivision"),"cost_service",IF($H2290="Investor Owned",IF(AND(COUNTIF(Parameters!$A$4:$A$33,$G2290)&gt;0,COUNTIF(Parameters!$B$4:$B$33,$B2290)=0),"procurement","cost_service"),"unclassified"))))))</f>
        <v>excluded</v>
      </c>
    </row>
    <row r="2291" spans="1:26" x14ac:dyDescent="0.25">
      <c r="A2291">
        <v>2024</v>
      </c>
      <c r="B2291">
        <v>60124</v>
      </c>
      <c r="C2291" t="s">
        <v>1577</v>
      </c>
      <c r="D2291" t="s">
        <v>99</v>
      </c>
      <c r="E2291" t="s">
        <v>100</v>
      </c>
      <c r="F2291" t="s">
        <v>86</v>
      </c>
      <c r="G2291" t="s">
        <v>49</v>
      </c>
      <c r="H2291" t="s">
        <v>101</v>
      </c>
      <c r="I2291" t="s">
        <v>92</v>
      </c>
      <c r="J2291">
        <v>2708</v>
      </c>
      <c r="K2291">
        <v>16807</v>
      </c>
      <c r="L2291">
        <v>2534</v>
      </c>
      <c r="M2291">
        <v>64</v>
      </c>
      <c r="N2291">
        <v>399</v>
      </c>
      <c r="O2291">
        <v>14</v>
      </c>
      <c r="P2291">
        <v>0</v>
      </c>
      <c r="Q2291">
        <v>0</v>
      </c>
      <c r="R2291">
        <v>0</v>
      </c>
      <c r="S2291">
        <v>0</v>
      </c>
      <c r="T2291">
        <v>0</v>
      </c>
      <c r="U2291">
        <v>0</v>
      </c>
      <c r="V2291">
        <v>2772</v>
      </c>
      <c r="W2291">
        <v>17206</v>
      </c>
      <c r="X2291">
        <v>2548</v>
      </c>
      <c r="Y2291">
        <f t="shared" si="35"/>
        <v>17206</v>
      </c>
      <c r="Z2291" t="str">
        <f>IF(ISNUMBER(SEARCH("Adjustment",$C2291)),"excluded",IF($H2291="Behind the Meter","excluded",IF(NOT(OR($E2291="Bundled",$E2291="Energy")),"excluded",IF(OR($H2291="Retail Power Marketer",$H2291="Community Choice Aggregator",$E2291="Energy"),"procurement",IF(OR($H2291="Municipal",$H2291="Cooperative",$H2291="Federal",$H2291="State",$H2291="Political Subdivision"),"cost_service",IF($H2291="Investor Owned",IF(AND(COUNTIF(Parameters!$A$4:$A$33,$G2291)&gt;0,COUNTIF(Parameters!$B$4:$B$33,$B2291)=0),"procurement","cost_service"),"unclassified"))))))</f>
        <v>procurement</v>
      </c>
    </row>
    <row r="2292" spans="1:26" x14ac:dyDescent="0.25">
      <c r="A2292">
        <v>2024</v>
      </c>
      <c r="B2292">
        <v>60124</v>
      </c>
      <c r="C2292" t="s">
        <v>1577</v>
      </c>
      <c r="D2292" t="s">
        <v>99</v>
      </c>
      <c r="E2292" t="s">
        <v>100</v>
      </c>
      <c r="F2292" t="s">
        <v>86</v>
      </c>
      <c r="G2292" t="s">
        <v>52</v>
      </c>
      <c r="H2292" t="s">
        <v>101</v>
      </c>
      <c r="I2292" t="s">
        <v>92</v>
      </c>
      <c r="J2292">
        <v>2127</v>
      </c>
      <c r="K2292">
        <v>13726</v>
      </c>
      <c r="L2292">
        <v>2331</v>
      </c>
      <c r="M2292">
        <v>54</v>
      </c>
      <c r="N2292">
        <v>336</v>
      </c>
      <c r="O2292">
        <v>13</v>
      </c>
      <c r="P2292">
        <v>0</v>
      </c>
      <c r="Q2292">
        <v>0</v>
      </c>
      <c r="R2292">
        <v>0</v>
      </c>
      <c r="S2292">
        <v>0</v>
      </c>
      <c r="T2292">
        <v>0</v>
      </c>
      <c r="U2292">
        <v>0</v>
      </c>
      <c r="V2292">
        <v>2181</v>
      </c>
      <c r="W2292">
        <v>14062</v>
      </c>
      <c r="X2292">
        <v>2344</v>
      </c>
      <c r="Y2292">
        <f t="shared" si="35"/>
        <v>14062</v>
      </c>
      <c r="Z2292" t="str">
        <f>IF(ISNUMBER(SEARCH("Adjustment",$C2292)),"excluded",IF($H2292="Behind the Meter","excluded",IF(NOT(OR($E2292="Bundled",$E2292="Energy")),"excluded",IF(OR($H2292="Retail Power Marketer",$H2292="Community Choice Aggregator",$E2292="Energy"),"procurement",IF(OR($H2292="Municipal",$H2292="Cooperative",$H2292="Federal",$H2292="State",$H2292="Political Subdivision"),"cost_service",IF($H2292="Investor Owned",IF(AND(COUNTIF(Parameters!$A$4:$A$33,$G2292)&gt;0,COUNTIF(Parameters!$B$4:$B$33,$B2292)=0),"procurement","cost_service"),"unclassified"))))))</f>
        <v>procurement</v>
      </c>
    </row>
    <row r="2293" spans="1:26" x14ac:dyDescent="0.25">
      <c r="A2293">
        <v>2024</v>
      </c>
      <c r="B2293">
        <v>60124</v>
      </c>
      <c r="C2293" t="s">
        <v>1577</v>
      </c>
      <c r="D2293" t="s">
        <v>99</v>
      </c>
      <c r="E2293" t="s">
        <v>100</v>
      </c>
      <c r="F2293" t="s">
        <v>86</v>
      </c>
      <c r="G2293" t="s">
        <v>55</v>
      </c>
      <c r="H2293" t="s">
        <v>101</v>
      </c>
      <c r="I2293" t="s">
        <v>92</v>
      </c>
      <c r="J2293">
        <v>5678</v>
      </c>
      <c r="K2293">
        <v>40153</v>
      </c>
      <c r="L2293">
        <v>5374</v>
      </c>
      <c r="M2293">
        <v>133</v>
      </c>
      <c r="N2293">
        <v>956</v>
      </c>
      <c r="O2293">
        <v>31</v>
      </c>
      <c r="P2293">
        <v>0</v>
      </c>
      <c r="Q2293">
        <v>0</v>
      </c>
      <c r="R2293">
        <v>0</v>
      </c>
      <c r="S2293">
        <v>0</v>
      </c>
      <c r="T2293">
        <v>0</v>
      </c>
      <c r="U2293">
        <v>0</v>
      </c>
      <c r="V2293">
        <v>5811</v>
      </c>
      <c r="W2293">
        <v>41109</v>
      </c>
      <c r="X2293">
        <v>5405</v>
      </c>
      <c r="Y2293">
        <f t="shared" si="35"/>
        <v>41109</v>
      </c>
      <c r="Z2293" t="str">
        <f>IF(ISNUMBER(SEARCH("Adjustment",$C2293)),"excluded",IF($H2293="Behind the Meter","excluded",IF(NOT(OR($E2293="Bundled",$E2293="Energy")),"excluded",IF(OR($H2293="Retail Power Marketer",$H2293="Community Choice Aggregator",$E2293="Energy"),"procurement",IF(OR($H2293="Municipal",$H2293="Cooperative",$H2293="Federal",$H2293="State",$H2293="Political Subdivision"),"cost_service",IF($H2293="Investor Owned",IF(AND(COUNTIF(Parameters!$A$4:$A$33,$G2293)&gt;0,COUNTIF(Parameters!$B$4:$B$33,$B2293)=0),"procurement","cost_service"),"unclassified"))))))</f>
        <v>procurement</v>
      </c>
    </row>
    <row r="2294" spans="1:26" x14ac:dyDescent="0.25">
      <c r="A2294">
        <v>2024</v>
      </c>
      <c r="B2294">
        <v>60181</v>
      </c>
      <c r="C2294" t="s">
        <v>1578</v>
      </c>
      <c r="D2294" t="s">
        <v>99</v>
      </c>
      <c r="E2294" t="s">
        <v>100</v>
      </c>
      <c r="F2294" t="s">
        <v>86</v>
      </c>
      <c r="G2294" t="s">
        <v>115</v>
      </c>
      <c r="H2294" t="s">
        <v>1464</v>
      </c>
      <c r="I2294" t="s">
        <v>116</v>
      </c>
      <c r="J2294">
        <v>166312.70000000001</v>
      </c>
      <c r="K2294">
        <v>1155703</v>
      </c>
      <c r="L2294">
        <v>353982</v>
      </c>
      <c r="M2294">
        <v>157667.4</v>
      </c>
      <c r="N2294">
        <v>1336088</v>
      </c>
      <c r="O2294">
        <v>30169</v>
      </c>
      <c r="P2294">
        <v>31482.7</v>
      </c>
      <c r="Q2294">
        <v>353154</v>
      </c>
      <c r="R2294">
        <v>43</v>
      </c>
      <c r="S2294">
        <v>0</v>
      </c>
      <c r="T2294">
        <v>0</v>
      </c>
      <c r="U2294">
        <v>0</v>
      </c>
      <c r="V2294">
        <v>355462.8</v>
      </c>
      <c r="W2294">
        <v>2844945</v>
      </c>
      <c r="X2294">
        <v>384194</v>
      </c>
      <c r="Y2294">
        <f t="shared" si="35"/>
        <v>2844945</v>
      </c>
      <c r="Z2294" t="str">
        <f>IF(ISNUMBER(SEARCH("Adjustment",$C2294)),"excluded",IF($H2294="Behind the Meter","excluded",IF(NOT(OR($E2294="Bundled",$E2294="Energy")),"excluded",IF(OR($H2294="Retail Power Marketer",$H2294="Community Choice Aggregator",$E2294="Energy"),"procurement",IF(OR($H2294="Municipal",$H2294="Cooperative",$H2294="Federal",$H2294="State",$H2294="Political Subdivision"),"cost_service",IF($H2294="Investor Owned",IF(AND(COUNTIF(Parameters!$A$4:$A$33,$G2294)&gt;0,COUNTIF(Parameters!$B$4:$B$33,$B2294)=0),"procurement","cost_service"),"unclassified"))))))</f>
        <v>procurement</v>
      </c>
    </row>
    <row r="2295" spans="1:26" x14ac:dyDescent="0.25">
      <c r="A2295">
        <v>2024</v>
      </c>
      <c r="B2295">
        <v>60202</v>
      </c>
      <c r="C2295" t="s">
        <v>1579</v>
      </c>
      <c r="D2295" t="s">
        <v>150</v>
      </c>
      <c r="E2295" t="s">
        <v>85</v>
      </c>
      <c r="F2295" t="s">
        <v>86</v>
      </c>
      <c r="G2295" t="s">
        <v>57</v>
      </c>
      <c r="H2295" t="s">
        <v>101</v>
      </c>
      <c r="I2295" t="s">
        <v>151</v>
      </c>
      <c r="J2295" t="s">
        <v>97</v>
      </c>
      <c r="K2295" t="s">
        <v>97</v>
      </c>
      <c r="L2295" t="s">
        <v>97</v>
      </c>
      <c r="M2295" t="s">
        <v>97</v>
      </c>
      <c r="N2295" t="s">
        <v>97</v>
      </c>
      <c r="O2295" t="s">
        <v>97</v>
      </c>
      <c r="P2295">
        <v>91.9</v>
      </c>
      <c r="Q2295">
        <v>3307</v>
      </c>
      <c r="R2295">
        <v>29</v>
      </c>
      <c r="S2295" t="s">
        <v>97</v>
      </c>
      <c r="T2295" t="s">
        <v>97</v>
      </c>
      <c r="U2295" t="s">
        <v>97</v>
      </c>
      <c r="V2295">
        <v>91.9</v>
      </c>
      <c r="W2295">
        <v>3307</v>
      </c>
      <c r="X2295">
        <v>29</v>
      </c>
      <c r="Y2295">
        <f t="shared" si="35"/>
        <v>3307</v>
      </c>
      <c r="Z2295" t="str">
        <f>IF(ISNUMBER(SEARCH("Adjustment",$C2295)),"excluded",IF($H2295="Behind the Meter","excluded",IF(NOT(OR($E2295="Bundled",$E2295="Energy")),"excluded",IF(OR($H2295="Retail Power Marketer",$H2295="Community Choice Aggregator",$E2295="Energy"),"procurement",IF(OR($H2295="Municipal",$H2295="Cooperative",$H2295="Federal",$H2295="State",$H2295="Political Subdivision"),"cost_service",IF($H2295="Investor Owned",IF(AND(COUNTIF(Parameters!$A$4:$A$33,$G2295)&gt;0,COUNTIF(Parameters!$B$4:$B$33,$B2295)=0),"procurement","cost_service"),"unclassified"))))))</f>
        <v>procurement</v>
      </c>
    </row>
    <row r="2296" spans="1:26" x14ac:dyDescent="0.25">
      <c r="A2296">
        <v>2024</v>
      </c>
      <c r="B2296">
        <v>60218</v>
      </c>
      <c r="C2296" t="s">
        <v>1580</v>
      </c>
      <c r="D2296" t="s">
        <v>99</v>
      </c>
      <c r="E2296" t="s">
        <v>100</v>
      </c>
      <c r="F2296" t="s">
        <v>86</v>
      </c>
      <c r="G2296" t="s">
        <v>42</v>
      </c>
      <c r="H2296" t="s">
        <v>101</v>
      </c>
      <c r="I2296" t="s">
        <v>92</v>
      </c>
      <c r="J2296">
        <v>4535.7</v>
      </c>
      <c r="K2296">
        <v>24228</v>
      </c>
      <c r="L2296">
        <v>3523</v>
      </c>
      <c r="M2296">
        <v>4.5</v>
      </c>
      <c r="N2296">
        <v>39</v>
      </c>
      <c r="O2296">
        <v>12</v>
      </c>
      <c r="P2296">
        <v>0</v>
      </c>
      <c r="Q2296">
        <v>0</v>
      </c>
      <c r="R2296">
        <v>0</v>
      </c>
      <c r="S2296">
        <v>0</v>
      </c>
      <c r="T2296">
        <v>0</v>
      </c>
      <c r="U2296">
        <v>0</v>
      </c>
      <c r="V2296">
        <v>4540.2</v>
      </c>
      <c r="W2296">
        <v>24267</v>
      </c>
      <c r="X2296">
        <v>3535</v>
      </c>
      <c r="Y2296">
        <f t="shared" si="35"/>
        <v>24267</v>
      </c>
      <c r="Z2296" t="str">
        <f>IF(ISNUMBER(SEARCH("Adjustment",$C2296)),"excluded",IF($H2296="Behind the Meter","excluded",IF(NOT(OR($E2296="Bundled",$E2296="Energy")),"excluded",IF(OR($H2296="Retail Power Marketer",$H2296="Community Choice Aggregator",$E2296="Energy"),"procurement",IF(OR($H2296="Municipal",$H2296="Cooperative",$H2296="Federal",$H2296="State",$H2296="Political Subdivision"),"cost_service",IF($H2296="Investor Owned",IF(AND(COUNTIF(Parameters!$A$4:$A$33,$G2296)&gt;0,COUNTIF(Parameters!$B$4:$B$33,$B2296)=0),"procurement","cost_service"),"unclassified"))))))</f>
        <v>procurement</v>
      </c>
    </row>
    <row r="2297" spans="1:26" x14ac:dyDescent="0.25">
      <c r="A2297">
        <v>2024</v>
      </c>
      <c r="B2297">
        <v>60218</v>
      </c>
      <c r="C2297" t="s">
        <v>1580</v>
      </c>
      <c r="D2297" t="s">
        <v>99</v>
      </c>
      <c r="E2297" t="s">
        <v>100</v>
      </c>
      <c r="F2297" t="s">
        <v>86</v>
      </c>
      <c r="G2297" t="s">
        <v>46</v>
      </c>
      <c r="H2297" t="s">
        <v>101</v>
      </c>
      <c r="I2297" t="s">
        <v>92</v>
      </c>
      <c r="J2297">
        <v>1504.3</v>
      </c>
      <c r="K2297">
        <v>8101</v>
      </c>
      <c r="L2297">
        <v>1951</v>
      </c>
      <c r="M2297">
        <v>19.8</v>
      </c>
      <c r="N2297">
        <v>140</v>
      </c>
      <c r="O2297">
        <v>6</v>
      </c>
      <c r="P2297">
        <v>0</v>
      </c>
      <c r="Q2297">
        <v>0</v>
      </c>
      <c r="R2297">
        <v>0</v>
      </c>
      <c r="S2297">
        <v>0</v>
      </c>
      <c r="T2297">
        <v>0</v>
      </c>
      <c r="U2297">
        <v>0</v>
      </c>
      <c r="V2297">
        <v>1524.1</v>
      </c>
      <c r="W2297">
        <v>8241</v>
      </c>
      <c r="X2297">
        <v>1957</v>
      </c>
      <c r="Y2297">
        <f t="shared" si="35"/>
        <v>8241</v>
      </c>
      <c r="Z2297" t="str">
        <f>IF(ISNUMBER(SEARCH("Adjustment",$C2297)),"excluded",IF($H2297="Behind the Meter","excluded",IF(NOT(OR($E2297="Bundled",$E2297="Energy")),"excluded",IF(OR($H2297="Retail Power Marketer",$H2297="Community Choice Aggregator",$E2297="Energy"),"procurement",IF(OR($H2297="Municipal",$H2297="Cooperative",$H2297="Federal",$H2297="State",$H2297="Political Subdivision"),"cost_service",IF($H2297="Investor Owned",IF(AND(COUNTIF(Parameters!$A$4:$A$33,$G2297)&gt;0,COUNTIF(Parameters!$B$4:$B$33,$B2297)=0),"procurement","cost_service"),"unclassified"))))))</f>
        <v>procurement</v>
      </c>
    </row>
    <row r="2298" spans="1:26" x14ac:dyDescent="0.25">
      <c r="A2298">
        <v>2024</v>
      </c>
      <c r="B2298">
        <v>60218</v>
      </c>
      <c r="C2298" t="s">
        <v>1580</v>
      </c>
      <c r="D2298" t="s">
        <v>99</v>
      </c>
      <c r="E2298" t="s">
        <v>100</v>
      </c>
      <c r="F2298" t="s">
        <v>86</v>
      </c>
      <c r="G2298" t="s">
        <v>49</v>
      </c>
      <c r="H2298" t="s">
        <v>101</v>
      </c>
      <c r="I2298" t="s">
        <v>92</v>
      </c>
      <c r="J2298">
        <v>6521</v>
      </c>
      <c r="K2298">
        <v>35262</v>
      </c>
      <c r="L2298">
        <v>5857</v>
      </c>
      <c r="M2298">
        <v>25.6</v>
      </c>
      <c r="N2298">
        <v>164</v>
      </c>
      <c r="O2298">
        <v>9</v>
      </c>
      <c r="P2298" t="s">
        <v>97</v>
      </c>
      <c r="Q2298" t="s">
        <v>97</v>
      </c>
      <c r="R2298" t="s">
        <v>97</v>
      </c>
      <c r="S2298" t="s">
        <v>97</v>
      </c>
      <c r="T2298" t="s">
        <v>97</v>
      </c>
      <c r="U2298" t="s">
        <v>97</v>
      </c>
      <c r="V2298">
        <v>6546.6</v>
      </c>
      <c r="W2298">
        <v>35426</v>
      </c>
      <c r="X2298">
        <v>5866</v>
      </c>
      <c r="Y2298">
        <f t="shared" si="35"/>
        <v>35426</v>
      </c>
      <c r="Z2298" t="str">
        <f>IF(ISNUMBER(SEARCH("Adjustment",$C2298)),"excluded",IF($H2298="Behind the Meter","excluded",IF(NOT(OR($E2298="Bundled",$E2298="Energy")),"excluded",IF(OR($H2298="Retail Power Marketer",$H2298="Community Choice Aggregator",$E2298="Energy"),"procurement",IF(OR($H2298="Municipal",$H2298="Cooperative",$H2298="Federal",$H2298="State",$H2298="Political Subdivision"),"cost_service",IF($H2298="Investor Owned",IF(AND(COUNTIF(Parameters!$A$4:$A$33,$G2298)&gt;0,COUNTIF(Parameters!$B$4:$B$33,$B2298)=0),"procurement","cost_service"),"unclassified"))))))</f>
        <v>procurement</v>
      </c>
    </row>
    <row r="2299" spans="1:26" x14ac:dyDescent="0.25">
      <c r="A2299">
        <v>2024</v>
      </c>
      <c r="B2299">
        <v>60218</v>
      </c>
      <c r="C2299" t="s">
        <v>1580</v>
      </c>
      <c r="D2299" t="s">
        <v>99</v>
      </c>
      <c r="E2299" t="s">
        <v>100</v>
      </c>
      <c r="F2299" t="s">
        <v>86</v>
      </c>
      <c r="G2299" t="s">
        <v>52</v>
      </c>
      <c r="H2299" t="s">
        <v>101</v>
      </c>
      <c r="I2299" t="s">
        <v>92</v>
      </c>
      <c r="J2299">
        <v>3311.6</v>
      </c>
      <c r="K2299">
        <v>16972</v>
      </c>
      <c r="L2299">
        <v>3505</v>
      </c>
      <c r="M2299">
        <v>446.6</v>
      </c>
      <c r="N2299">
        <v>2229</v>
      </c>
      <c r="O2299">
        <v>117</v>
      </c>
      <c r="P2299">
        <v>0</v>
      </c>
      <c r="Q2299">
        <v>0</v>
      </c>
      <c r="R2299">
        <v>0</v>
      </c>
      <c r="S2299">
        <v>0</v>
      </c>
      <c r="T2299">
        <v>0</v>
      </c>
      <c r="U2299">
        <v>0</v>
      </c>
      <c r="V2299">
        <v>3758.2</v>
      </c>
      <c r="W2299">
        <v>19201</v>
      </c>
      <c r="X2299">
        <v>3622</v>
      </c>
      <c r="Y2299">
        <f t="shared" si="35"/>
        <v>19201</v>
      </c>
      <c r="Z2299" t="str">
        <f>IF(ISNUMBER(SEARCH("Adjustment",$C2299)),"excluded",IF($H2299="Behind the Meter","excluded",IF(NOT(OR($E2299="Bundled",$E2299="Energy")),"excluded",IF(OR($H2299="Retail Power Marketer",$H2299="Community Choice Aggregator",$E2299="Energy"),"procurement",IF(OR($H2299="Municipal",$H2299="Cooperative",$H2299="Federal",$H2299="State",$H2299="Political Subdivision"),"cost_service",IF($H2299="Investor Owned",IF(AND(COUNTIF(Parameters!$A$4:$A$33,$G2299)&gt;0,COUNTIF(Parameters!$B$4:$B$33,$B2299)=0),"procurement","cost_service"),"unclassified"))))))</f>
        <v>procurement</v>
      </c>
    </row>
    <row r="2300" spans="1:26" x14ac:dyDescent="0.25">
      <c r="A2300">
        <v>2024</v>
      </c>
      <c r="B2300">
        <v>60218</v>
      </c>
      <c r="C2300" t="s">
        <v>1580</v>
      </c>
      <c r="D2300" t="s">
        <v>99</v>
      </c>
      <c r="E2300" t="s">
        <v>100</v>
      </c>
      <c r="F2300" t="s">
        <v>86</v>
      </c>
      <c r="G2300" t="s">
        <v>54</v>
      </c>
      <c r="H2300" t="s">
        <v>101</v>
      </c>
      <c r="I2300" t="s">
        <v>92</v>
      </c>
      <c r="J2300">
        <v>1556.4</v>
      </c>
      <c r="K2300">
        <v>8480</v>
      </c>
      <c r="L2300">
        <v>1314</v>
      </c>
      <c r="M2300">
        <v>6.8</v>
      </c>
      <c r="N2300">
        <v>54</v>
      </c>
      <c r="O2300">
        <v>6</v>
      </c>
      <c r="P2300">
        <v>0</v>
      </c>
      <c r="Q2300">
        <v>0</v>
      </c>
      <c r="R2300">
        <v>0</v>
      </c>
      <c r="S2300">
        <v>0</v>
      </c>
      <c r="T2300">
        <v>0</v>
      </c>
      <c r="U2300">
        <v>0</v>
      </c>
      <c r="V2300">
        <v>1563.2</v>
      </c>
      <c r="W2300">
        <v>8534</v>
      </c>
      <c r="X2300">
        <v>1320</v>
      </c>
      <c r="Y2300">
        <f t="shared" si="35"/>
        <v>8534</v>
      </c>
      <c r="Z2300" t="str">
        <f>IF(ISNUMBER(SEARCH("Adjustment",$C2300)),"excluded",IF($H2300="Behind the Meter","excluded",IF(NOT(OR($E2300="Bundled",$E2300="Energy")),"excluded",IF(OR($H2300="Retail Power Marketer",$H2300="Community Choice Aggregator",$E2300="Energy"),"procurement",IF(OR($H2300="Municipal",$H2300="Cooperative",$H2300="Federal",$H2300="State",$H2300="Political Subdivision"),"cost_service",IF($H2300="Investor Owned",IF(AND(COUNTIF(Parameters!$A$4:$A$33,$G2300)&gt;0,COUNTIF(Parameters!$B$4:$B$33,$B2300)=0),"procurement","cost_service"),"unclassified"))))))</f>
        <v>procurement</v>
      </c>
    </row>
    <row r="2301" spans="1:26" x14ac:dyDescent="0.25">
      <c r="A2301">
        <v>2024</v>
      </c>
      <c r="B2301">
        <v>60218</v>
      </c>
      <c r="C2301" t="s">
        <v>1580</v>
      </c>
      <c r="D2301" t="s">
        <v>99</v>
      </c>
      <c r="E2301" t="s">
        <v>100</v>
      </c>
      <c r="F2301" t="s">
        <v>86</v>
      </c>
      <c r="G2301" t="s">
        <v>55</v>
      </c>
      <c r="H2301" t="s">
        <v>101</v>
      </c>
      <c r="I2301" t="s">
        <v>92</v>
      </c>
      <c r="J2301">
        <v>8232.2999999999993</v>
      </c>
      <c r="K2301">
        <v>46323</v>
      </c>
      <c r="L2301">
        <v>6969</v>
      </c>
      <c r="M2301">
        <v>260.5</v>
      </c>
      <c r="N2301">
        <v>1364</v>
      </c>
      <c r="O2301">
        <v>90</v>
      </c>
      <c r="P2301">
        <v>0</v>
      </c>
      <c r="Q2301">
        <v>0</v>
      </c>
      <c r="R2301">
        <v>0</v>
      </c>
      <c r="S2301">
        <v>0</v>
      </c>
      <c r="T2301">
        <v>0</v>
      </c>
      <c r="U2301">
        <v>0</v>
      </c>
      <c r="V2301">
        <v>8492.7999999999993</v>
      </c>
      <c r="W2301">
        <v>47687</v>
      </c>
      <c r="X2301">
        <v>7059</v>
      </c>
      <c r="Y2301">
        <f t="shared" si="35"/>
        <v>47687</v>
      </c>
      <c r="Z2301" t="str">
        <f>IF(ISNUMBER(SEARCH("Adjustment",$C2301)),"excluded",IF($H2301="Behind the Meter","excluded",IF(NOT(OR($E2301="Bundled",$E2301="Energy")),"excluded",IF(OR($H2301="Retail Power Marketer",$H2301="Community Choice Aggregator",$E2301="Energy"),"procurement",IF(OR($H2301="Municipal",$H2301="Cooperative",$H2301="Federal",$H2301="State",$H2301="Political Subdivision"),"cost_service",IF($H2301="Investor Owned",IF(AND(COUNTIF(Parameters!$A$4:$A$33,$G2301)&gt;0,COUNTIF(Parameters!$B$4:$B$33,$B2301)=0),"procurement","cost_service"),"unclassified"))))))</f>
        <v>procurement</v>
      </c>
    </row>
    <row r="2302" spans="1:26" x14ac:dyDescent="0.25">
      <c r="A2302">
        <v>2024</v>
      </c>
      <c r="B2302">
        <v>60402</v>
      </c>
      <c r="C2302" t="s">
        <v>1581</v>
      </c>
      <c r="D2302" t="s">
        <v>99</v>
      </c>
      <c r="E2302" t="s">
        <v>100</v>
      </c>
      <c r="F2302" t="s">
        <v>86</v>
      </c>
      <c r="G2302" t="s">
        <v>115</v>
      </c>
      <c r="H2302" t="s">
        <v>1464</v>
      </c>
      <c r="I2302" t="s">
        <v>116</v>
      </c>
      <c r="J2302">
        <v>189050.3</v>
      </c>
      <c r="K2302">
        <v>1392192</v>
      </c>
      <c r="L2302">
        <v>282893</v>
      </c>
      <c r="M2302">
        <v>235123.9</v>
      </c>
      <c r="N2302">
        <v>1750084</v>
      </c>
      <c r="O2302">
        <v>28444</v>
      </c>
      <c r="P2302">
        <v>32513.4</v>
      </c>
      <c r="Q2302">
        <v>267381</v>
      </c>
      <c r="R2302">
        <v>303</v>
      </c>
      <c r="S2302">
        <v>0</v>
      </c>
      <c r="T2302">
        <v>0</v>
      </c>
      <c r="U2302">
        <v>0</v>
      </c>
      <c r="V2302">
        <v>456687.6</v>
      </c>
      <c r="W2302">
        <v>3409657</v>
      </c>
      <c r="X2302">
        <v>311640</v>
      </c>
      <c r="Y2302">
        <f t="shared" si="35"/>
        <v>3409657</v>
      </c>
      <c r="Z2302" t="str">
        <f>IF(ISNUMBER(SEARCH("Adjustment",$C2302)),"excluded",IF($H2302="Behind the Meter","excluded",IF(NOT(OR($E2302="Bundled",$E2302="Energy")),"excluded",IF(OR($H2302="Retail Power Marketer",$H2302="Community Choice Aggregator",$E2302="Energy"),"procurement",IF(OR($H2302="Municipal",$H2302="Cooperative",$H2302="Federal",$H2302="State",$H2302="Political Subdivision"),"cost_service",IF($H2302="Investor Owned",IF(AND(COUNTIF(Parameters!$A$4:$A$33,$G2302)&gt;0,COUNTIF(Parameters!$B$4:$B$33,$B2302)=0),"procurement","cost_service"),"unclassified"))))))</f>
        <v>procurement</v>
      </c>
    </row>
    <row r="2303" spans="1:26" x14ac:dyDescent="0.25">
      <c r="A2303">
        <v>2024</v>
      </c>
      <c r="B2303">
        <v>60482</v>
      </c>
      <c r="C2303" t="s">
        <v>1582</v>
      </c>
      <c r="D2303" t="s">
        <v>84</v>
      </c>
      <c r="E2303" t="s">
        <v>85</v>
      </c>
      <c r="F2303" t="s">
        <v>86</v>
      </c>
      <c r="G2303" t="s">
        <v>136</v>
      </c>
      <c r="H2303" t="s">
        <v>91</v>
      </c>
      <c r="I2303" t="s">
        <v>135</v>
      </c>
      <c r="J2303">
        <v>34784.6</v>
      </c>
      <c r="K2303">
        <v>271430</v>
      </c>
      <c r="L2303">
        <v>22555</v>
      </c>
      <c r="M2303">
        <v>35056.300000000003</v>
      </c>
      <c r="N2303">
        <v>316967</v>
      </c>
      <c r="O2303">
        <v>4810</v>
      </c>
      <c r="P2303">
        <v>12875.7</v>
      </c>
      <c r="Q2303">
        <v>188856</v>
      </c>
      <c r="R2303">
        <v>33</v>
      </c>
      <c r="S2303" t="s">
        <v>97</v>
      </c>
      <c r="T2303" t="s">
        <v>97</v>
      </c>
      <c r="U2303" t="s">
        <v>97</v>
      </c>
      <c r="V2303">
        <v>82716.600000000006</v>
      </c>
      <c r="W2303">
        <v>777253</v>
      </c>
      <c r="X2303">
        <v>27398</v>
      </c>
      <c r="Y2303">
        <f t="shared" si="35"/>
        <v>777253</v>
      </c>
      <c r="Z2303" t="str">
        <f>IF(ISNUMBER(SEARCH("Adjustment",$C2303)),"excluded",IF($H2303="Behind the Meter","excluded",IF(NOT(OR($E2303="Bundled",$E2303="Energy")),"excluded",IF(OR($H2303="Retail Power Marketer",$H2303="Community Choice Aggregator",$E2303="Energy"),"procurement",IF(OR($H2303="Municipal",$H2303="Cooperative",$H2303="Federal",$H2303="State",$H2303="Political Subdivision"),"cost_service",IF($H2303="Investor Owned",IF(AND(COUNTIF(Parameters!$A$4:$A$33,$G2303)&gt;0,COUNTIF(Parameters!$B$4:$B$33,$B2303)=0),"procurement","cost_service"),"unclassified"))))))</f>
        <v>cost_service</v>
      </c>
    </row>
    <row r="2304" spans="1:26" x14ac:dyDescent="0.25">
      <c r="A2304">
        <v>2024</v>
      </c>
      <c r="B2304">
        <v>60579</v>
      </c>
      <c r="C2304" t="s">
        <v>1583</v>
      </c>
      <c r="D2304" t="s">
        <v>99</v>
      </c>
      <c r="E2304" t="s">
        <v>100</v>
      </c>
      <c r="F2304" t="s">
        <v>86</v>
      </c>
      <c r="G2304" t="s">
        <v>54</v>
      </c>
      <c r="H2304" t="s">
        <v>101</v>
      </c>
      <c r="I2304" t="s">
        <v>92</v>
      </c>
      <c r="J2304">
        <v>3713.8</v>
      </c>
      <c r="K2304">
        <v>49314</v>
      </c>
      <c r="L2304">
        <v>6743</v>
      </c>
      <c r="M2304">
        <v>3698.7</v>
      </c>
      <c r="N2304">
        <v>49101</v>
      </c>
      <c r="O2304">
        <v>1480</v>
      </c>
      <c r="P2304" t="s">
        <v>97</v>
      </c>
      <c r="Q2304" t="s">
        <v>97</v>
      </c>
      <c r="R2304" t="s">
        <v>97</v>
      </c>
      <c r="S2304" t="s">
        <v>97</v>
      </c>
      <c r="T2304" t="s">
        <v>97</v>
      </c>
      <c r="U2304" t="s">
        <v>97</v>
      </c>
      <c r="V2304">
        <v>7412.5</v>
      </c>
      <c r="W2304">
        <v>98415</v>
      </c>
      <c r="X2304">
        <v>8223</v>
      </c>
      <c r="Y2304">
        <f t="shared" si="35"/>
        <v>98415</v>
      </c>
      <c r="Z2304" t="str">
        <f>IF(ISNUMBER(SEARCH("Adjustment",$C2304)),"excluded",IF($H2304="Behind the Meter","excluded",IF(NOT(OR($E2304="Bundled",$E2304="Energy")),"excluded",IF(OR($H2304="Retail Power Marketer",$H2304="Community Choice Aggregator",$E2304="Energy"),"procurement",IF(OR($H2304="Municipal",$H2304="Cooperative",$H2304="Federal",$H2304="State",$H2304="Political Subdivision"),"cost_service",IF($H2304="Investor Owned",IF(AND(COUNTIF(Parameters!$A$4:$A$33,$G2304)&gt;0,COUNTIF(Parameters!$B$4:$B$33,$B2304)=0),"procurement","cost_service"),"unclassified"))))))</f>
        <v>procurement</v>
      </c>
    </row>
    <row r="2305" spans="1:26" x14ac:dyDescent="0.25">
      <c r="A2305">
        <v>2024</v>
      </c>
      <c r="B2305">
        <v>60583</v>
      </c>
      <c r="C2305" t="s">
        <v>1584</v>
      </c>
      <c r="D2305" t="s">
        <v>99</v>
      </c>
      <c r="E2305" t="s">
        <v>100</v>
      </c>
      <c r="F2305" t="s">
        <v>86</v>
      </c>
      <c r="G2305" t="s">
        <v>42</v>
      </c>
      <c r="H2305" t="s">
        <v>101</v>
      </c>
      <c r="I2305" t="s">
        <v>92</v>
      </c>
      <c r="J2305">
        <v>672.9</v>
      </c>
      <c r="K2305">
        <v>2806</v>
      </c>
      <c r="L2305">
        <v>481</v>
      </c>
      <c r="M2305">
        <v>403.6</v>
      </c>
      <c r="N2305">
        <v>1677</v>
      </c>
      <c r="O2305">
        <v>31</v>
      </c>
      <c r="P2305">
        <v>0</v>
      </c>
      <c r="Q2305">
        <v>0</v>
      </c>
      <c r="R2305">
        <v>0</v>
      </c>
      <c r="S2305">
        <v>0</v>
      </c>
      <c r="T2305">
        <v>0</v>
      </c>
      <c r="U2305">
        <v>0</v>
      </c>
      <c r="V2305">
        <v>1076.5</v>
      </c>
      <c r="W2305">
        <v>4483</v>
      </c>
      <c r="X2305">
        <v>512</v>
      </c>
      <c r="Y2305">
        <f t="shared" si="35"/>
        <v>4483</v>
      </c>
      <c r="Z2305" t="str">
        <f>IF(ISNUMBER(SEARCH("Adjustment",$C2305)),"excluded",IF($H2305="Behind the Meter","excluded",IF(NOT(OR($E2305="Bundled",$E2305="Energy")),"excluded",IF(OR($H2305="Retail Power Marketer",$H2305="Community Choice Aggregator",$E2305="Energy"),"procurement",IF(OR($H2305="Municipal",$H2305="Cooperative",$H2305="Federal",$H2305="State",$H2305="Political Subdivision"),"cost_service",IF($H2305="Investor Owned",IF(AND(COUNTIF(Parameters!$A$4:$A$33,$G2305)&gt;0,COUNTIF(Parameters!$B$4:$B$33,$B2305)=0),"procurement","cost_service"),"unclassified"))))))</f>
        <v>procurement</v>
      </c>
    </row>
    <row r="2306" spans="1:26" x14ac:dyDescent="0.25">
      <c r="A2306">
        <v>2024</v>
      </c>
      <c r="B2306">
        <v>60583</v>
      </c>
      <c r="C2306" t="s">
        <v>1584</v>
      </c>
      <c r="D2306" t="s">
        <v>99</v>
      </c>
      <c r="E2306" t="s">
        <v>100</v>
      </c>
      <c r="F2306" t="s">
        <v>86</v>
      </c>
      <c r="G2306" t="s">
        <v>44</v>
      </c>
      <c r="H2306" t="s">
        <v>101</v>
      </c>
      <c r="I2306" t="s">
        <v>92</v>
      </c>
      <c r="J2306">
        <v>179</v>
      </c>
      <c r="K2306">
        <v>867</v>
      </c>
      <c r="L2306">
        <v>117</v>
      </c>
      <c r="M2306">
        <v>23.9</v>
      </c>
      <c r="N2306">
        <v>113</v>
      </c>
      <c r="O2306">
        <v>5</v>
      </c>
      <c r="P2306">
        <v>0</v>
      </c>
      <c r="Q2306">
        <v>0</v>
      </c>
      <c r="R2306">
        <v>0</v>
      </c>
      <c r="S2306">
        <v>0</v>
      </c>
      <c r="T2306">
        <v>0</v>
      </c>
      <c r="U2306">
        <v>0</v>
      </c>
      <c r="V2306">
        <v>202.9</v>
      </c>
      <c r="W2306">
        <v>980</v>
      </c>
      <c r="X2306">
        <v>122</v>
      </c>
      <c r="Y2306">
        <f t="shared" si="35"/>
        <v>980</v>
      </c>
      <c r="Z2306" t="str">
        <f>IF(ISNUMBER(SEARCH("Adjustment",$C2306)),"excluded",IF($H2306="Behind the Meter","excluded",IF(NOT(OR($E2306="Bundled",$E2306="Energy")),"excluded",IF(OR($H2306="Retail Power Marketer",$H2306="Community Choice Aggregator",$E2306="Energy"),"procurement",IF(OR($H2306="Municipal",$H2306="Cooperative",$H2306="Federal",$H2306="State",$H2306="Political Subdivision"),"cost_service",IF($H2306="Investor Owned",IF(AND(COUNTIF(Parameters!$A$4:$A$33,$G2306)&gt;0,COUNTIF(Parameters!$B$4:$B$33,$B2306)=0),"procurement","cost_service"),"unclassified"))))))</f>
        <v>procurement</v>
      </c>
    </row>
    <row r="2307" spans="1:26" x14ac:dyDescent="0.25">
      <c r="A2307">
        <v>2024</v>
      </c>
      <c r="B2307">
        <v>60583</v>
      </c>
      <c r="C2307" t="s">
        <v>1584</v>
      </c>
      <c r="D2307" t="s">
        <v>99</v>
      </c>
      <c r="E2307" t="s">
        <v>100</v>
      </c>
      <c r="F2307" t="s">
        <v>86</v>
      </c>
      <c r="G2307" t="s">
        <v>46</v>
      </c>
      <c r="H2307" t="s">
        <v>101</v>
      </c>
      <c r="I2307" t="s">
        <v>92</v>
      </c>
      <c r="J2307">
        <v>618.70000000000005</v>
      </c>
      <c r="K2307">
        <v>5909</v>
      </c>
      <c r="L2307">
        <v>865</v>
      </c>
      <c r="M2307">
        <v>1.7</v>
      </c>
      <c r="N2307">
        <v>13</v>
      </c>
      <c r="O2307">
        <v>2</v>
      </c>
      <c r="P2307">
        <v>0</v>
      </c>
      <c r="Q2307">
        <v>0</v>
      </c>
      <c r="R2307">
        <v>0</v>
      </c>
      <c r="S2307">
        <v>0</v>
      </c>
      <c r="T2307">
        <v>0</v>
      </c>
      <c r="U2307">
        <v>0</v>
      </c>
      <c r="V2307">
        <v>620.4</v>
      </c>
      <c r="W2307">
        <v>5922</v>
      </c>
      <c r="X2307">
        <v>867</v>
      </c>
      <c r="Y2307">
        <f t="shared" si="35"/>
        <v>5922</v>
      </c>
      <c r="Z2307" t="str">
        <f>IF(ISNUMBER(SEARCH("Adjustment",$C2307)),"excluded",IF($H2307="Behind the Meter","excluded",IF(NOT(OR($E2307="Bundled",$E2307="Energy")),"excluded",IF(OR($H2307="Retail Power Marketer",$H2307="Community Choice Aggregator",$E2307="Energy"),"procurement",IF(OR($H2307="Municipal",$H2307="Cooperative",$H2307="Federal",$H2307="State",$H2307="Political Subdivision"),"cost_service",IF($H2307="Investor Owned",IF(AND(COUNTIF(Parameters!$A$4:$A$33,$G2307)&gt;0,COUNTIF(Parameters!$B$4:$B$33,$B2307)=0),"procurement","cost_service"),"unclassified"))))))</f>
        <v>procurement</v>
      </c>
    </row>
    <row r="2308" spans="1:26" x14ac:dyDescent="0.25">
      <c r="A2308">
        <v>2024</v>
      </c>
      <c r="B2308">
        <v>60583</v>
      </c>
      <c r="C2308" t="s">
        <v>1584</v>
      </c>
      <c r="D2308" t="s">
        <v>99</v>
      </c>
      <c r="E2308" t="s">
        <v>100</v>
      </c>
      <c r="F2308" t="s">
        <v>86</v>
      </c>
      <c r="G2308" t="s">
        <v>48</v>
      </c>
      <c r="H2308" t="s">
        <v>101</v>
      </c>
      <c r="I2308" t="s">
        <v>189</v>
      </c>
      <c r="J2308">
        <v>8439.4</v>
      </c>
      <c r="K2308">
        <v>26373</v>
      </c>
      <c r="L2308">
        <v>4814</v>
      </c>
      <c r="M2308">
        <v>3197.2</v>
      </c>
      <c r="N2308">
        <v>8828</v>
      </c>
      <c r="O2308">
        <v>219</v>
      </c>
      <c r="P2308">
        <v>0</v>
      </c>
      <c r="Q2308">
        <v>0</v>
      </c>
      <c r="R2308">
        <v>0</v>
      </c>
      <c r="S2308">
        <v>0</v>
      </c>
      <c r="T2308">
        <v>0</v>
      </c>
      <c r="U2308">
        <v>0</v>
      </c>
      <c r="V2308">
        <v>11636.6</v>
      </c>
      <c r="W2308">
        <v>35201</v>
      </c>
      <c r="X2308">
        <v>5033</v>
      </c>
      <c r="Y2308">
        <f t="shared" ref="Y2308:Y2371" si="36">IF(ISNUMBER($W2308),$W2308,0)</f>
        <v>35201</v>
      </c>
      <c r="Z2308" t="str">
        <f>IF(ISNUMBER(SEARCH("Adjustment",$C2308)),"excluded",IF($H2308="Behind the Meter","excluded",IF(NOT(OR($E2308="Bundled",$E2308="Energy")),"excluded",IF(OR($H2308="Retail Power Marketer",$H2308="Community Choice Aggregator",$E2308="Energy"),"procurement",IF(OR($H2308="Municipal",$H2308="Cooperative",$H2308="Federal",$H2308="State",$H2308="Political Subdivision"),"cost_service",IF($H2308="Investor Owned",IF(AND(COUNTIF(Parameters!$A$4:$A$33,$G2308)&gt;0,COUNTIF(Parameters!$B$4:$B$33,$B2308)=0),"procurement","cost_service"),"unclassified"))))))</f>
        <v>procurement</v>
      </c>
    </row>
    <row r="2309" spans="1:26" x14ac:dyDescent="0.25">
      <c r="A2309">
        <v>2024</v>
      </c>
      <c r="B2309">
        <v>60583</v>
      </c>
      <c r="C2309" t="s">
        <v>1584</v>
      </c>
      <c r="D2309" t="s">
        <v>99</v>
      </c>
      <c r="E2309" t="s">
        <v>100</v>
      </c>
      <c r="F2309" t="s">
        <v>86</v>
      </c>
      <c r="G2309" t="s">
        <v>49</v>
      </c>
      <c r="H2309" t="s">
        <v>101</v>
      </c>
      <c r="I2309" t="s">
        <v>92</v>
      </c>
      <c r="J2309">
        <v>1748</v>
      </c>
      <c r="K2309">
        <v>9876</v>
      </c>
      <c r="L2309">
        <v>1133</v>
      </c>
      <c r="M2309">
        <v>1943</v>
      </c>
      <c r="N2309">
        <v>9463</v>
      </c>
      <c r="O2309">
        <v>297</v>
      </c>
      <c r="P2309">
        <v>0</v>
      </c>
      <c r="Q2309">
        <v>0</v>
      </c>
      <c r="R2309">
        <v>0</v>
      </c>
      <c r="S2309">
        <v>0</v>
      </c>
      <c r="T2309">
        <v>0</v>
      </c>
      <c r="U2309">
        <v>0</v>
      </c>
      <c r="V2309">
        <v>3691</v>
      </c>
      <c r="W2309">
        <v>19339</v>
      </c>
      <c r="X2309">
        <v>1430</v>
      </c>
      <c r="Y2309">
        <f t="shared" si="36"/>
        <v>19339</v>
      </c>
      <c r="Z2309" t="str">
        <f>IF(ISNUMBER(SEARCH("Adjustment",$C2309)),"excluded",IF($H2309="Behind the Meter","excluded",IF(NOT(OR($E2309="Bundled",$E2309="Energy")),"excluded",IF(OR($H2309="Retail Power Marketer",$H2309="Community Choice Aggregator",$E2309="Energy"),"procurement",IF(OR($H2309="Municipal",$H2309="Cooperative",$H2309="Federal",$H2309="State",$H2309="Political Subdivision"),"cost_service",IF($H2309="Investor Owned",IF(AND(COUNTIF(Parameters!$A$4:$A$33,$G2309)&gt;0,COUNTIF(Parameters!$B$4:$B$33,$B2309)=0),"procurement","cost_service"),"unclassified"))))))</f>
        <v>procurement</v>
      </c>
    </row>
    <row r="2310" spans="1:26" x14ac:dyDescent="0.25">
      <c r="A2310">
        <v>2024</v>
      </c>
      <c r="B2310">
        <v>60583</v>
      </c>
      <c r="C2310" t="s">
        <v>1584</v>
      </c>
      <c r="D2310" t="s">
        <v>99</v>
      </c>
      <c r="E2310" t="s">
        <v>100</v>
      </c>
      <c r="F2310" t="s">
        <v>86</v>
      </c>
      <c r="G2310" t="s">
        <v>52</v>
      </c>
      <c r="H2310" t="s">
        <v>101</v>
      </c>
      <c r="I2310" t="s">
        <v>92</v>
      </c>
      <c r="J2310">
        <v>1609.6</v>
      </c>
      <c r="K2310">
        <v>5636</v>
      </c>
      <c r="L2310">
        <v>1065</v>
      </c>
      <c r="M2310">
        <v>1300.8</v>
      </c>
      <c r="N2310">
        <v>4445</v>
      </c>
      <c r="O2310">
        <v>106</v>
      </c>
      <c r="P2310">
        <v>0</v>
      </c>
      <c r="Q2310">
        <v>0</v>
      </c>
      <c r="R2310">
        <v>0</v>
      </c>
      <c r="S2310">
        <v>0</v>
      </c>
      <c r="T2310">
        <v>0</v>
      </c>
      <c r="U2310">
        <v>0</v>
      </c>
      <c r="V2310">
        <v>2910.4</v>
      </c>
      <c r="W2310">
        <v>10081</v>
      </c>
      <c r="X2310">
        <v>1171</v>
      </c>
      <c r="Y2310">
        <f t="shared" si="36"/>
        <v>10081</v>
      </c>
      <c r="Z2310" t="str">
        <f>IF(ISNUMBER(SEARCH("Adjustment",$C2310)),"excluded",IF($H2310="Behind the Meter","excluded",IF(NOT(OR($E2310="Bundled",$E2310="Energy")),"excluded",IF(OR($H2310="Retail Power Marketer",$H2310="Community Choice Aggregator",$E2310="Energy"),"procurement",IF(OR($H2310="Municipal",$H2310="Cooperative",$H2310="Federal",$H2310="State",$H2310="Political Subdivision"),"cost_service",IF($H2310="Investor Owned",IF(AND(COUNTIF(Parameters!$A$4:$A$33,$G2310)&gt;0,COUNTIF(Parameters!$B$4:$B$33,$B2310)=0),"procurement","cost_service"),"unclassified"))))))</f>
        <v>procurement</v>
      </c>
    </row>
    <row r="2311" spans="1:26" x14ac:dyDescent="0.25">
      <c r="A2311">
        <v>2024</v>
      </c>
      <c r="B2311">
        <v>60583</v>
      </c>
      <c r="C2311" t="s">
        <v>1584</v>
      </c>
      <c r="D2311" t="s">
        <v>99</v>
      </c>
      <c r="E2311" t="s">
        <v>100</v>
      </c>
      <c r="F2311" t="s">
        <v>86</v>
      </c>
      <c r="G2311" t="s">
        <v>53</v>
      </c>
      <c r="H2311" t="s">
        <v>101</v>
      </c>
      <c r="I2311" t="s">
        <v>102</v>
      </c>
      <c r="J2311">
        <v>2987.3</v>
      </c>
      <c r="K2311">
        <v>17267</v>
      </c>
      <c r="L2311">
        <v>3283</v>
      </c>
      <c r="M2311">
        <v>1337.9</v>
      </c>
      <c r="N2311">
        <v>6138</v>
      </c>
      <c r="O2311">
        <v>473</v>
      </c>
      <c r="P2311">
        <v>0</v>
      </c>
      <c r="Q2311">
        <v>0</v>
      </c>
      <c r="R2311">
        <v>0</v>
      </c>
      <c r="S2311">
        <v>0</v>
      </c>
      <c r="T2311">
        <v>0</v>
      </c>
      <c r="U2311">
        <v>0</v>
      </c>
      <c r="V2311">
        <v>4325.2</v>
      </c>
      <c r="W2311">
        <v>23405</v>
      </c>
      <c r="X2311">
        <v>3756</v>
      </c>
      <c r="Y2311">
        <f t="shared" si="36"/>
        <v>23405</v>
      </c>
      <c r="Z2311" t="str">
        <f>IF(ISNUMBER(SEARCH("Adjustment",$C2311)),"excluded",IF($H2311="Behind the Meter","excluded",IF(NOT(OR($E2311="Bundled",$E2311="Energy")),"excluded",IF(OR($H2311="Retail Power Marketer",$H2311="Community Choice Aggregator",$E2311="Energy"),"procurement",IF(OR($H2311="Municipal",$H2311="Cooperative",$H2311="Federal",$H2311="State",$H2311="Political Subdivision"),"cost_service",IF($H2311="Investor Owned",IF(AND(COUNTIF(Parameters!$A$4:$A$33,$G2311)&gt;0,COUNTIF(Parameters!$B$4:$B$33,$B2311)=0),"procurement","cost_service"),"unclassified"))))))</f>
        <v>procurement</v>
      </c>
    </row>
    <row r="2312" spans="1:26" x14ac:dyDescent="0.25">
      <c r="A2312">
        <v>2024</v>
      </c>
      <c r="B2312">
        <v>60583</v>
      </c>
      <c r="C2312" t="s">
        <v>1584</v>
      </c>
      <c r="D2312" t="s">
        <v>99</v>
      </c>
      <c r="E2312" t="s">
        <v>100</v>
      </c>
      <c r="F2312" t="s">
        <v>86</v>
      </c>
      <c r="G2312" t="s">
        <v>54</v>
      </c>
      <c r="H2312" t="s">
        <v>101</v>
      </c>
      <c r="I2312" t="s">
        <v>92</v>
      </c>
      <c r="J2312">
        <v>1349.4</v>
      </c>
      <c r="K2312">
        <v>11870</v>
      </c>
      <c r="L2312">
        <v>1650</v>
      </c>
      <c r="M2312">
        <v>153</v>
      </c>
      <c r="N2312">
        <v>810</v>
      </c>
      <c r="O2312">
        <v>17</v>
      </c>
      <c r="P2312">
        <v>0</v>
      </c>
      <c r="Q2312">
        <v>0</v>
      </c>
      <c r="R2312">
        <v>0</v>
      </c>
      <c r="S2312">
        <v>0</v>
      </c>
      <c r="T2312">
        <v>0</v>
      </c>
      <c r="U2312">
        <v>0</v>
      </c>
      <c r="V2312">
        <v>1502.4</v>
      </c>
      <c r="W2312">
        <v>12680</v>
      </c>
      <c r="X2312">
        <v>1667</v>
      </c>
      <c r="Y2312">
        <f t="shared" si="36"/>
        <v>12680</v>
      </c>
      <c r="Z2312" t="str">
        <f>IF(ISNUMBER(SEARCH("Adjustment",$C2312)),"excluded",IF($H2312="Behind the Meter","excluded",IF(NOT(OR($E2312="Bundled",$E2312="Energy")),"excluded",IF(OR($H2312="Retail Power Marketer",$H2312="Community Choice Aggregator",$E2312="Energy"),"procurement",IF(OR($H2312="Municipal",$H2312="Cooperative",$H2312="Federal",$H2312="State",$H2312="Political Subdivision"),"cost_service",IF($H2312="Investor Owned",IF(AND(COUNTIF(Parameters!$A$4:$A$33,$G2312)&gt;0,COUNTIF(Parameters!$B$4:$B$33,$B2312)=0),"procurement","cost_service"),"unclassified"))))))</f>
        <v>procurement</v>
      </c>
    </row>
    <row r="2313" spans="1:26" x14ac:dyDescent="0.25">
      <c r="A2313">
        <v>2024</v>
      </c>
      <c r="B2313">
        <v>60583</v>
      </c>
      <c r="C2313" t="s">
        <v>1584</v>
      </c>
      <c r="D2313" t="s">
        <v>99</v>
      </c>
      <c r="E2313" t="s">
        <v>100</v>
      </c>
      <c r="F2313" t="s">
        <v>86</v>
      </c>
      <c r="G2313" t="s">
        <v>55</v>
      </c>
      <c r="H2313" t="s">
        <v>101</v>
      </c>
      <c r="I2313" t="s">
        <v>92</v>
      </c>
      <c r="J2313">
        <v>1227.3</v>
      </c>
      <c r="K2313">
        <v>6118</v>
      </c>
      <c r="L2313">
        <v>922</v>
      </c>
      <c r="M2313">
        <v>746.5</v>
      </c>
      <c r="N2313">
        <v>3404</v>
      </c>
      <c r="O2313">
        <v>112</v>
      </c>
      <c r="P2313">
        <v>0</v>
      </c>
      <c r="Q2313">
        <v>0</v>
      </c>
      <c r="R2313">
        <v>0</v>
      </c>
      <c r="S2313">
        <v>0</v>
      </c>
      <c r="T2313">
        <v>0</v>
      </c>
      <c r="U2313">
        <v>0</v>
      </c>
      <c r="V2313">
        <v>1973.8</v>
      </c>
      <c r="W2313">
        <v>9522</v>
      </c>
      <c r="X2313">
        <v>1034</v>
      </c>
      <c r="Y2313">
        <f t="shared" si="36"/>
        <v>9522</v>
      </c>
      <c r="Z2313" t="str">
        <f>IF(ISNUMBER(SEARCH("Adjustment",$C2313)),"excluded",IF($H2313="Behind the Meter","excluded",IF(NOT(OR($E2313="Bundled",$E2313="Energy")),"excluded",IF(OR($H2313="Retail Power Marketer",$H2313="Community Choice Aggregator",$E2313="Energy"),"procurement",IF(OR($H2313="Municipal",$H2313="Cooperative",$H2313="Federal",$H2313="State",$H2313="Political Subdivision"),"cost_service",IF($H2313="Investor Owned",IF(AND(COUNTIF(Parameters!$A$4:$A$33,$G2313)&gt;0,COUNTIF(Parameters!$B$4:$B$33,$B2313)=0),"procurement","cost_service"),"unclassified"))))))</f>
        <v>procurement</v>
      </c>
    </row>
    <row r="2314" spans="1:26" x14ac:dyDescent="0.25">
      <c r="A2314">
        <v>2024</v>
      </c>
      <c r="B2314">
        <v>60583</v>
      </c>
      <c r="C2314" t="s">
        <v>1584</v>
      </c>
      <c r="D2314" t="s">
        <v>150</v>
      </c>
      <c r="E2314" t="s">
        <v>85</v>
      </c>
      <c r="F2314" t="s">
        <v>86</v>
      </c>
      <c r="G2314" t="s">
        <v>57</v>
      </c>
      <c r="H2314" t="s">
        <v>101</v>
      </c>
      <c r="I2314" t="s">
        <v>151</v>
      </c>
      <c r="J2314">
        <v>953.2</v>
      </c>
      <c r="K2314">
        <v>7224</v>
      </c>
      <c r="L2314">
        <v>774</v>
      </c>
      <c r="M2314">
        <v>51.3</v>
      </c>
      <c r="N2314">
        <v>405</v>
      </c>
      <c r="O2314">
        <v>53</v>
      </c>
      <c r="P2314">
        <v>0</v>
      </c>
      <c r="Q2314">
        <v>0</v>
      </c>
      <c r="R2314">
        <v>0</v>
      </c>
      <c r="S2314">
        <v>0</v>
      </c>
      <c r="T2314">
        <v>0</v>
      </c>
      <c r="U2314">
        <v>0</v>
      </c>
      <c r="V2314">
        <v>1004.5</v>
      </c>
      <c r="W2314">
        <v>7629</v>
      </c>
      <c r="X2314">
        <v>827</v>
      </c>
      <c r="Y2314">
        <f t="shared" si="36"/>
        <v>7629</v>
      </c>
      <c r="Z2314" t="str">
        <f>IF(ISNUMBER(SEARCH("Adjustment",$C2314)),"excluded",IF($H2314="Behind the Meter","excluded",IF(NOT(OR($E2314="Bundled",$E2314="Energy")),"excluded",IF(OR($H2314="Retail Power Marketer",$H2314="Community Choice Aggregator",$E2314="Energy"),"procurement",IF(OR($H2314="Municipal",$H2314="Cooperative",$H2314="Federal",$H2314="State",$H2314="Political Subdivision"),"cost_service",IF($H2314="Investor Owned",IF(AND(COUNTIF(Parameters!$A$4:$A$33,$G2314)&gt;0,COUNTIF(Parameters!$B$4:$B$33,$B2314)=0),"procurement","cost_service"),"unclassified"))))))</f>
        <v>procurement</v>
      </c>
    </row>
    <row r="2315" spans="1:26" x14ac:dyDescent="0.25">
      <c r="A2315">
        <v>2024</v>
      </c>
      <c r="B2315">
        <v>60631</v>
      </c>
      <c r="C2315" t="s">
        <v>1585</v>
      </c>
      <c r="D2315" t="s">
        <v>84</v>
      </c>
      <c r="E2315" t="s">
        <v>85</v>
      </c>
      <c r="F2315" t="s">
        <v>86</v>
      </c>
      <c r="G2315" t="s">
        <v>140</v>
      </c>
      <c r="H2315" t="s">
        <v>109</v>
      </c>
      <c r="I2315" t="s">
        <v>96</v>
      </c>
      <c r="J2315">
        <v>33033.300000000003</v>
      </c>
      <c r="K2315">
        <v>223869</v>
      </c>
      <c r="L2315">
        <v>33252</v>
      </c>
      <c r="M2315">
        <v>17824</v>
      </c>
      <c r="N2315">
        <v>133191</v>
      </c>
      <c r="O2315">
        <v>3994</v>
      </c>
      <c r="P2315">
        <v>87396.4</v>
      </c>
      <c r="Q2315">
        <v>1454941</v>
      </c>
      <c r="R2315">
        <v>38</v>
      </c>
      <c r="S2315">
        <v>0</v>
      </c>
      <c r="T2315">
        <v>0</v>
      </c>
      <c r="U2315">
        <v>0</v>
      </c>
      <c r="V2315">
        <v>138253.70000000001</v>
      </c>
      <c r="W2315">
        <v>1812001</v>
      </c>
      <c r="X2315">
        <v>37284</v>
      </c>
      <c r="Y2315">
        <f t="shared" si="36"/>
        <v>1812001</v>
      </c>
      <c r="Z2315" t="str">
        <f>IF(ISNUMBER(SEARCH("Adjustment",$C2315)),"excluded",IF($H2315="Behind the Meter","excluded",IF(NOT(OR($E2315="Bundled",$E2315="Energy")),"excluded",IF(OR($H2315="Retail Power Marketer",$H2315="Community Choice Aggregator",$E2315="Energy"),"procurement",IF(OR($H2315="Municipal",$H2315="Cooperative",$H2315="Federal",$H2315="State",$H2315="Political Subdivision"),"cost_service",IF($H2315="Investor Owned",IF(AND(COUNTIF(Parameters!$A$4:$A$33,$G2315)&gt;0,COUNTIF(Parameters!$B$4:$B$33,$B2315)=0),"procurement","cost_service"),"unclassified"))))))</f>
        <v>cost_service</v>
      </c>
    </row>
    <row r="2316" spans="1:26" x14ac:dyDescent="0.25">
      <c r="A2316">
        <v>2024</v>
      </c>
      <c r="B2316">
        <v>60631</v>
      </c>
      <c r="C2316" t="s">
        <v>1585</v>
      </c>
      <c r="D2316" t="s">
        <v>167</v>
      </c>
      <c r="E2316" t="s">
        <v>168</v>
      </c>
      <c r="F2316" t="s">
        <v>86</v>
      </c>
      <c r="G2316" t="s">
        <v>140</v>
      </c>
      <c r="H2316" t="s">
        <v>109</v>
      </c>
      <c r="I2316" t="s">
        <v>96</v>
      </c>
      <c r="J2316">
        <v>0</v>
      </c>
      <c r="K2316">
        <v>0</v>
      </c>
      <c r="L2316">
        <v>0</v>
      </c>
      <c r="M2316">
        <v>1409.8</v>
      </c>
      <c r="N2316">
        <v>44247</v>
      </c>
      <c r="O2316">
        <v>57</v>
      </c>
      <c r="P2316">
        <v>952.6</v>
      </c>
      <c r="Q2316">
        <v>203354</v>
      </c>
      <c r="R2316">
        <v>18</v>
      </c>
      <c r="S2316">
        <v>0</v>
      </c>
      <c r="T2316">
        <v>0</v>
      </c>
      <c r="U2316">
        <v>0</v>
      </c>
      <c r="V2316">
        <v>2362.4</v>
      </c>
      <c r="W2316">
        <v>247601</v>
      </c>
      <c r="X2316">
        <v>75</v>
      </c>
      <c r="Y2316">
        <f t="shared" si="36"/>
        <v>247601</v>
      </c>
      <c r="Z2316" t="str">
        <f>IF(ISNUMBER(SEARCH("Adjustment",$C2316)),"excluded",IF($H2316="Behind the Meter","excluded",IF(NOT(OR($E2316="Bundled",$E2316="Energy")),"excluded",IF(OR($H2316="Retail Power Marketer",$H2316="Community Choice Aggregator",$E2316="Energy"),"procurement",IF(OR($H2316="Municipal",$H2316="Cooperative",$H2316="Federal",$H2316="State",$H2316="Political Subdivision"),"cost_service",IF($H2316="Investor Owned",IF(AND(COUNTIF(Parameters!$A$4:$A$33,$G2316)&gt;0,COUNTIF(Parameters!$B$4:$B$33,$B2316)=0),"procurement","cost_service"),"unclassified"))))))</f>
        <v>excluded</v>
      </c>
    </row>
    <row r="2317" spans="1:26" x14ac:dyDescent="0.25">
      <c r="A2317">
        <v>2024</v>
      </c>
      <c r="B2317">
        <v>60696</v>
      </c>
      <c r="C2317" t="s">
        <v>1586</v>
      </c>
      <c r="D2317" t="s">
        <v>99</v>
      </c>
      <c r="E2317" t="s">
        <v>100</v>
      </c>
      <c r="F2317" t="s">
        <v>86</v>
      </c>
      <c r="G2317" t="s">
        <v>46</v>
      </c>
      <c r="H2317" t="s">
        <v>101</v>
      </c>
      <c r="I2317" t="s">
        <v>92</v>
      </c>
      <c r="J2317">
        <v>5620.6</v>
      </c>
      <c r="K2317">
        <v>38186</v>
      </c>
      <c r="L2317">
        <v>7059</v>
      </c>
      <c r="M2317">
        <v>55.8</v>
      </c>
      <c r="N2317">
        <v>504</v>
      </c>
      <c r="O2317">
        <v>11</v>
      </c>
      <c r="P2317">
        <v>0</v>
      </c>
      <c r="Q2317">
        <v>0</v>
      </c>
      <c r="R2317">
        <v>0</v>
      </c>
      <c r="S2317">
        <v>0</v>
      </c>
      <c r="T2317">
        <v>0</v>
      </c>
      <c r="U2317">
        <v>0</v>
      </c>
      <c r="V2317">
        <v>5676.4</v>
      </c>
      <c r="W2317">
        <v>38690</v>
      </c>
      <c r="X2317">
        <v>7070</v>
      </c>
      <c r="Y2317">
        <f t="shared" si="36"/>
        <v>38690</v>
      </c>
      <c r="Z2317" t="str">
        <f>IF(ISNUMBER(SEARCH("Adjustment",$C2317)),"excluded",IF($H2317="Behind the Meter","excluded",IF(NOT(OR($E2317="Bundled",$E2317="Energy")),"excluded",IF(OR($H2317="Retail Power Marketer",$H2317="Community Choice Aggregator",$E2317="Energy"),"procurement",IF(OR($H2317="Municipal",$H2317="Cooperative",$H2317="Federal",$H2317="State",$H2317="Political Subdivision"),"cost_service",IF($H2317="Investor Owned",IF(AND(COUNTIF(Parameters!$A$4:$A$33,$G2317)&gt;0,COUNTIF(Parameters!$B$4:$B$33,$B2317)=0),"procurement","cost_service"),"unclassified"))))))</f>
        <v>procurement</v>
      </c>
    </row>
    <row r="2318" spans="1:26" x14ac:dyDescent="0.25">
      <c r="A2318">
        <v>2024</v>
      </c>
      <c r="B2318">
        <v>60696</v>
      </c>
      <c r="C2318" t="s">
        <v>1586</v>
      </c>
      <c r="D2318" t="s">
        <v>99</v>
      </c>
      <c r="E2318" t="s">
        <v>100</v>
      </c>
      <c r="F2318" t="s">
        <v>86</v>
      </c>
      <c r="G2318" t="s">
        <v>46</v>
      </c>
      <c r="H2318" t="s">
        <v>101</v>
      </c>
      <c r="I2318" t="s">
        <v>96</v>
      </c>
      <c r="J2318">
        <v>8703.2000000000007</v>
      </c>
      <c r="K2318">
        <v>68974</v>
      </c>
      <c r="L2318">
        <v>8227</v>
      </c>
      <c r="M2318">
        <v>0</v>
      </c>
      <c r="N2318">
        <v>0</v>
      </c>
      <c r="O2318">
        <v>0</v>
      </c>
      <c r="P2318">
        <v>0</v>
      </c>
      <c r="Q2318">
        <v>0</v>
      </c>
      <c r="R2318">
        <v>0</v>
      </c>
      <c r="S2318">
        <v>0</v>
      </c>
      <c r="T2318">
        <v>0</v>
      </c>
      <c r="U2318">
        <v>0</v>
      </c>
      <c r="V2318">
        <v>8703.2000000000007</v>
      </c>
      <c r="W2318">
        <v>68974</v>
      </c>
      <c r="X2318">
        <v>8227</v>
      </c>
      <c r="Y2318">
        <f t="shared" si="36"/>
        <v>68974</v>
      </c>
      <c r="Z2318" t="str">
        <f>IF(ISNUMBER(SEARCH("Adjustment",$C2318)),"excluded",IF($H2318="Behind the Meter","excluded",IF(NOT(OR($E2318="Bundled",$E2318="Energy")),"excluded",IF(OR($H2318="Retail Power Marketer",$H2318="Community Choice Aggregator",$E2318="Energy"),"procurement",IF(OR($H2318="Municipal",$H2318="Cooperative",$H2318="Federal",$H2318="State",$H2318="Political Subdivision"),"cost_service",IF($H2318="Investor Owned",IF(AND(COUNTIF(Parameters!$A$4:$A$33,$G2318)&gt;0,COUNTIF(Parameters!$B$4:$B$33,$B2318)=0),"procurement","cost_service"),"unclassified"))))))</f>
        <v>procurement</v>
      </c>
    </row>
    <row r="2319" spans="1:26" x14ac:dyDescent="0.25">
      <c r="A2319">
        <v>2024</v>
      </c>
      <c r="B2319">
        <v>60696</v>
      </c>
      <c r="C2319" t="s">
        <v>1586</v>
      </c>
      <c r="D2319" t="s">
        <v>99</v>
      </c>
      <c r="E2319" t="s">
        <v>100</v>
      </c>
      <c r="F2319" t="s">
        <v>86</v>
      </c>
      <c r="G2319" t="s">
        <v>52</v>
      </c>
      <c r="H2319" t="s">
        <v>101</v>
      </c>
      <c r="I2319" t="s">
        <v>92</v>
      </c>
      <c r="J2319">
        <v>139.1</v>
      </c>
      <c r="K2319">
        <v>673</v>
      </c>
      <c r="L2319">
        <v>134</v>
      </c>
      <c r="M2319">
        <v>0</v>
      </c>
      <c r="N2319">
        <v>0</v>
      </c>
      <c r="O2319">
        <v>0</v>
      </c>
      <c r="P2319">
        <v>0</v>
      </c>
      <c r="Q2319">
        <v>0</v>
      </c>
      <c r="R2319">
        <v>0</v>
      </c>
      <c r="S2319">
        <v>0</v>
      </c>
      <c r="T2319">
        <v>0</v>
      </c>
      <c r="U2319">
        <v>0</v>
      </c>
      <c r="V2319">
        <v>139.1</v>
      </c>
      <c r="W2319">
        <v>673</v>
      </c>
      <c r="X2319">
        <v>134</v>
      </c>
      <c r="Y2319">
        <f t="shared" si="36"/>
        <v>673</v>
      </c>
      <c r="Z2319" t="str">
        <f>IF(ISNUMBER(SEARCH("Adjustment",$C2319)),"excluded",IF($H2319="Behind the Meter","excluded",IF(NOT(OR($E2319="Bundled",$E2319="Energy")),"excluded",IF(OR($H2319="Retail Power Marketer",$H2319="Community Choice Aggregator",$E2319="Energy"),"procurement",IF(OR($H2319="Municipal",$H2319="Cooperative",$H2319="Federal",$H2319="State",$H2319="Political Subdivision"),"cost_service",IF($H2319="Investor Owned",IF(AND(COUNTIF(Parameters!$A$4:$A$33,$G2319)&gt;0,COUNTIF(Parameters!$B$4:$B$33,$B2319)=0),"procurement","cost_service"),"unclassified"))))))</f>
        <v>procurement</v>
      </c>
    </row>
    <row r="2320" spans="1:26" x14ac:dyDescent="0.25">
      <c r="A2320">
        <v>2024</v>
      </c>
      <c r="B2320">
        <v>60696</v>
      </c>
      <c r="C2320" t="s">
        <v>1586</v>
      </c>
      <c r="D2320" t="s">
        <v>99</v>
      </c>
      <c r="E2320" t="s">
        <v>100</v>
      </c>
      <c r="F2320" t="s">
        <v>86</v>
      </c>
      <c r="G2320" t="s">
        <v>54</v>
      </c>
      <c r="H2320" t="s">
        <v>101</v>
      </c>
      <c r="I2320" t="s">
        <v>92</v>
      </c>
      <c r="J2320">
        <v>2304.6999999999998</v>
      </c>
      <c r="K2320">
        <v>15853</v>
      </c>
      <c r="L2320">
        <v>2433</v>
      </c>
      <c r="M2320">
        <v>0</v>
      </c>
      <c r="N2320">
        <v>0</v>
      </c>
      <c r="O2320">
        <v>0</v>
      </c>
      <c r="P2320">
        <v>0</v>
      </c>
      <c r="Q2320">
        <v>0</v>
      </c>
      <c r="R2320">
        <v>0</v>
      </c>
      <c r="S2320">
        <v>0</v>
      </c>
      <c r="T2320">
        <v>0</v>
      </c>
      <c r="U2320">
        <v>0</v>
      </c>
      <c r="V2320">
        <v>2304.6999999999998</v>
      </c>
      <c r="W2320">
        <v>15853</v>
      </c>
      <c r="X2320">
        <v>2433</v>
      </c>
      <c r="Y2320">
        <f t="shared" si="36"/>
        <v>15853</v>
      </c>
      <c r="Z2320" t="str">
        <f>IF(ISNUMBER(SEARCH("Adjustment",$C2320)),"excluded",IF($H2320="Behind the Meter","excluded",IF(NOT(OR($E2320="Bundled",$E2320="Energy")),"excluded",IF(OR($H2320="Retail Power Marketer",$H2320="Community Choice Aggregator",$E2320="Energy"),"procurement",IF(OR($H2320="Municipal",$H2320="Cooperative",$H2320="Federal",$H2320="State",$H2320="Political Subdivision"),"cost_service",IF($H2320="Investor Owned",IF(AND(COUNTIF(Parameters!$A$4:$A$33,$G2320)&gt;0,COUNTIF(Parameters!$B$4:$B$33,$B2320)=0),"procurement","cost_service"),"unclassified"))))))</f>
        <v>procurement</v>
      </c>
    </row>
    <row r="2321" spans="1:26" x14ac:dyDescent="0.25">
      <c r="A2321">
        <v>2024</v>
      </c>
      <c r="B2321">
        <v>60696</v>
      </c>
      <c r="C2321" t="s">
        <v>1586</v>
      </c>
      <c r="D2321" t="s">
        <v>99</v>
      </c>
      <c r="E2321" t="s">
        <v>100</v>
      </c>
      <c r="F2321" t="s">
        <v>86</v>
      </c>
      <c r="G2321" t="s">
        <v>55</v>
      </c>
      <c r="H2321" t="s">
        <v>101</v>
      </c>
      <c r="I2321" t="s">
        <v>92</v>
      </c>
      <c r="J2321">
        <v>3239</v>
      </c>
      <c r="K2321">
        <v>20799</v>
      </c>
      <c r="L2321">
        <v>3059</v>
      </c>
      <c r="M2321">
        <v>93.6</v>
      </c>
      <c r="N2321">
        <v>916</v>
      </c>
      <c r="O2321">
        <v>25</v>
      </c>
      <c r="P2321">
        <v>0</v>
      </c>
      <c r="Q2321">
        <v>0</v>
      </c>
      <c r="R2321">
        <v>0</v>
      </c>
      <c r="S2321">
        <v>0</v>
      </c>
      <c r="T2321">
        <v>0</v>
      </c>
      <c r="U2321">
        <v>0</v>
      </c>
      <c r="V2321">
        <v>3332.6</v>
      </c>
      <c r="W2321">
        <v>21715</v>
      </c>
      <c r="X2321">
        <v>3084</v>
      </c>
      <c r="Y2321">
        <f t="shared" si="36"/>
        <v>21715</v>
      </c>
      <c r="Z2321" t="str">
        <f>IF(ISNUMBER(SEARCH("Adjustment",$C2321)),"excluded",IF($H2321="Behind the Meter","excluded",IF(NOT(OR($E2321="Bundled",$E2321="Energy")),"excluded",IF(OR($H2321="Retail Power Marketer",$H2321="Community Choice Aggregator",$E2321="Energy"),"procurement",IF(OR($H2321="Municipal",$H2321="Cooperative",$H2321="Federal",$H2321="State",$H2321="Political Subdivision"),"cost_service",IF($H2321="Investor Owned",IF(AND(COUNTIF(Parameters!$A$4:$A$33,$G2321)&gt;0,COUNTIF(Parameters!$B$4:$B$33,$B2321)=0),"procurement","cost_service"),"unclassified"))))))</f>
        <v>procurement</v>
      </c>
    </row>
    <row r="2322" spans="1:26" x14ac:dyDescent="0.25">
      <c r="A2322">
        <v>2024</v>
      </c>
      <c r="B2322">
        <v>60758</v>
      </c>
      <c r="C2322" t="s">
        <v>1587</v>
      </c>
      <c r="D2322" t="s">
        <v>99</v>
      </c>
      <c r="E2322" t="s">
        <v>100</v>
      </c>
      <c r="F2322" t="s">
        <v>86</v>
      </c>
      <c r="G2322" t="s">
        <v>115</v>
      </c>
      <c r="H2322" t="s">
        <v>1464</v>
      </c>
      <c r="I2322" t="s">
        <v>116</v>
      </c>
      <c r="J2322">
        <v>24604</v>
      </c>
      <c r="K2322">
        <v>149109</v>
      </c>
      <c r="L2322">
        <v>22941</v>
      </c>
      <c r="M2322">
        <v>8243</v>
      </c>
      <c r="N2322">
        <v>61714</v>
      </c>
      <c r="O2322">
        <v>2313</v>
      </c>
      <c r="P2322">
        <v>1757</v>
      </c>
      <c r="Q2322">
        <v>15213</v>
      </c>
      <c r="R2322">
        <v>72</v>
      </c>
      <c r="S2322">
        <v>0</v>
      </c>
      <c r="T2322">
        <v>0</v>
      </c>
      <c r="U2322">
        <v>0</v>
      </c>
      <c r="V2322">
        <v>34604</v>
      </c>
      <c r="W2322">
        <v>226036</v>
      </c>
      <c r="X2322">
        <v>25326</v>
      </c>
      <c r="Y2322">
        <f t="shared" si="36"/>
        <v>226036</v>
      </c>
      <c r="Z2322" t="str">
        <f>IF(ISNUMBER(SEARCH("Adjustment",$C2322)),"excluded",IF($H2322="Behind the Meter","excluded",IF(NOT(OR($E2322="Bundled",$E2322="Energy")),"excluded",IF(OR($H2322="Retail Power Marketer",$H2322="Community Choice Aggregator",$E2322="Energy"),"procurement",IF(OR($H2322="Municipal",$H2322="Cooperative",$H2322="Federal",$H2322="State",$H2322="Political Subdivision"),"cost_service",IF($H2322="Investor Owned",IF(AND(COUNTIF(Parameters!$A$4:$A$33,$G2322)&gt;0,COUNTIF(Parameters!$B$4:$B$33,$B2322)=0),"procurement","cost_service"),"unclassified"))))))</f>
        <v>procurement</v>
      </c>
    </row>
    <row r="2323" spans="1:26" x14ac:dyDescent="0.25">
      <c r="A2323">
        <v>2024</v>
      </c>
      <c r="B2323">
        <v>60759</v>
      </c>
      <c r="C2323" t="s">
        <v>1588</v>
      </c>
      <c r="D2323" t="s">
        <v>99</v>
      </c>
      <c r="E2323" t="s">
        <v>100</v>
      </c>
      <c r="F2323" t="s">
        <v>86</v>
      </c>
      <c r="G2323" t="s">
        <v>115</v>
      </c>
      <c r="H2323" t="s">
        <v>1464</v>
      </c>
      <c r="I2323" t="s">
        <v>116</v>
      </c>
      <c r="J2323">
        <v>190728.3</v>
      </c>
      <c r="K2323">
        <v>1324868</v>
      </c>
      <c r="L2323">
        <v>249951</v>
      </c>
      <c r="M2323">
        <v>264947.59999999998</v>
      </c>
      <c r="N2323">
        <v>1944042</v>
      </c>
      <c r="O2323">
        <v>25879</v>
      </c>
      <c r="P2323">
        <v>87121.3</v>
      </c>
      <c r="Q2323">
        <v>715955</v>
      </c>
      <c r="R2323">
        <v>865</v>
      </c>
      <c r="S2323">
        <v>0</v>
      </c>
      <c r="T2323">
        <v>0</v>
      </c>
      <c r="U2323">
        <v>0</v>
      </c>
      <c r="V2323">
        <v>542797.19999999995</v>
      </c>
      <c r="W2323">
        <v>3984865</v>
      </c>
      <c r="X2323">
        <v>276695</v>
      </c>
      <c r="Y2323">
        <f t="shared" si="36"/>
        <v>3984865</v>
      </c>
      <c r="Z2323" t="str">
        <f>IF(ISNUMBER(SEARCH("Adjustment",$C2323)),"excluded",IF($H2323="Behind the Meter","excluded",IF(NOT(OR($E2323="Bundled",$E2323="Energy")),"excluded",IF(OR($H2323="Retail Power Marketer",$H2323="Community Choice Aggregator",$E2323="Energy"),"procurement",IF(OR($H2323="Municipal",$H2323="Cooperative",$H2323="Federal",$H2323="State",$H2323="Political Subdivision"),"cost_service",IF($H2323="Investor Owned",IF(AND(COUNTIF(Parameters!$A$4:$A$33,$G2323)&gt;0,COUNTIF(Parameters!$B$4:$B$33,$B2323)=0),"procurement","cost_service"),"unclassified"))))))</f>
        <v>procurement</v>
      </c>
    </row>
    <row r="2324" spans="1:26" x14ac:dyDescent="0.25">
      <c r="A2324">
        <v>2024</v>
      </c>
      <c r="B2324">
        <v>60839</v>
      </c>
      <c r="C2324" t="s">
        <v>1589</v>
      </c>
      <c r="D2324" t="s">
        <v>84</v>
      </c>
      <c r="E2324" t="s">
        <v>85</v>
      </c>
      <c r="F2324" t="s">
        <v>86</v>
      </c>
      <c r="G2324" t="s">
        <v>134</v>
      </c>
      <c r="H2324" t="s">
        <v>91</v>
      </c>
      <c r="I2324" t="s">
        <v>135</v>
      </c>
      <c r="J2324">
        <v>18669</v>
      </c>
      <c r="K2324">
        <v>117680</v>
      </c>
      <c r="L2324">
        <v>12602</v>
      </c>
      <c r="M2324">
        <v>21270</v>
      </c>
      <c r="N2324">
        <v>149572</v>
      </c>
      <c r="O2324">
        <v>4435</v>
      </c>
      <c r="P2324">
        <v>27687</v>
      </c>
      <c r="Q2324">
        <v>484602</v>
      </c>
      <c r="R2324">
        <v>68</v>
      </c>
      <c r="S2324">
        <v>0</v>
      </c>
      <c r="T2324">
        <v>0</v>
      </c>
      <c r="U2324">
        <v>0</v>
      </c>
      <c r="V2324">
        <v>67626</v>
      </c>
      <c r="W2324">
        <v>751854</v>
      </c>
      <c r="X2324">
        <v>17105</v>
      </c>
      <c r="Y2324">
        <f t="shared" si="36"/>
        <v>751854</v>
      </c>
      <c r="Z2324" t="str">
        <f>IF(ISNUMBER(SEARCH("Adjustment",$C2324)),"excluded",IF($H2324="Behind the Meter","excluded",IF(NOT(OR($E2324="Bundled",$E2324="Energy")),"excluded",IF(OR($H2324="Retail Power Marketer",$H2324="Community Choice Aggregator",$E2324="Energy"),"procurement",IF(OR($H2324="Municipal",$H2324="Cooperative",$H2324="Federal",$H2324="State",$H2324="Political Subdivision"),"cost_service",IF($H2324="Investor Owned",IF(AND(COUNTIF(Parameters!$A$4:$A$33,$G2324)&gt;0,COUNTIF(Parameters!$B$4:$B$33,$B2324)=0),"procurement","cost_service"),"unclassified"))))))</f>
        <v>cost_service</v>
      </c>
    </row>
    <row r="2325" spans="1:26" x14ac:dyDescent="0.25">
      <c r="A2325">
        <v>2024</v>
      </c>
      <c r="B2325">
        <v>60868</v>
      </c>
      <c r="C2325" t="s">
        <v>1590</v>
      </c>
      <c r="D2325" t="s">
        <v>99</v>
      </c>
      <c r="E2325" t="s">
        <v>100</v>
      </c>
      <c r="F2325" t="s">
        <v>86</v>
      </c>
      <c r="G2325" t="s">
        <v>115</v>
      </c>
      <c r="H2325" t="s">
        <v>1464</v>
      </c>
      <c r="I2325" t="s">
        <v>116</v>
      </c>
      <c r="J2325">
        <v>34656.1</v>
      </c>
      <c r="K2325">
        <v>235696</v>
      </c>
      <c r="L2325">
        <v>51305</v>
      </c>
      <c r="M2325">
        <v>28010.6</v>
      </c>
      <c r="N2325">
        <v>202716</v>
      </c>
      <c r="O2325">
        <v>8654</v>
      </c>
      <c r="P2325">
        <v>11659.5</v>
      </c>
      <c r="Q2325">
        <v>89144</v>
      </c>
      <c r="R2325">
        <v>1759</v>
      </c>
      <c r="S2325">
        <v>0</v>
      </c>
      <c r="T2325">
        <v>0</v>
      </c>
      <c r="U2325">
        <v>0</v>
      </c>
      <c r="V2325">
        <v>74326.2</v>
      </c>
      <c r="W2325">
        <v>527556</v>
      </c>
      <c r="X2325">
        <v>61718</v>
      </c>
      <c r="Y2325">
        <f t="shared" si="36"/>
        <v>527556</v>
      </c>
      <c r="Z2325" t="str">
        <f>IF(ISNUMBER(SEARCH("Adjustment",$C2325)),"excluded",IF($H2325="Behind the Meter","excluded",IF(NOT(OR($E2325="Bundled",$E2325="Energy")),"excluded",IF(OR($H2325="Retail Power Marketer",$H2325="Community Choice Aggregator",$E2325="Energy"),"procurement",IF(OR($H2325="Municipal",$H2325="Cooperative",$H2325="Federal",$H2325="State",$H2325="Political Subdivision"),"cost_service",IF($H2325="Investor Owned",IF(AND(COUNTIF(Parameters!$A$4:$A$33,$G2325)&gt;0,COUNTIF(Parameters!$B$4:$B$33,$B2325)=0),"procurement","cost_service"),"unclassified"))))))</f>
        <v>procurement</v>
      </c>
    </row>
    <row r="2326" spans="1:26" x14ac:dyDescent="0.25">
      <c r="A2326">
        <v>2024</v>
      </c>
      <c r="B2326">
        <v>60914</v>
      </c>
      <c r="C2326" t="s">
        <v>1591</v>
      </c>
      <c r="D2326" t="s">
        <v>99</v>
      </c>
      <c r="E2326" t="s">
        <v>100</v>
      </c>
      <c r="F2326" t="s">
        <v>86</v>
      </c>
      <c r="G2326" t="s">
        <v>54</v>
      </c>
      <c r="H2326" t="s">
        <v>101</v>
      </c>
      <c r="I2326" t="s">
        <v>92</v>
      </c>
      <c r="J2326">
        <v>58.8</v>
      </c>
      <c r="K2326">
        <v>870</v>
      </c>
      <c r="L2326">
        <v>121</v>
      </c>
      <c r="M2326">
        <v>2395.6999999999998</v>
      </c>
      <c r="N2326">
        <v>38309</v>
      </c>
      <c r="O2326">
        <v>3410</v>
      </c>
      <c r="P2326">
        <v>0</v>
      </c>
      <c r="Q2326">
        <v>0</v>
      </c>
      <c r="R2326">
        <v>0</v>
      </c>
      <c r="S2326">
        <v>0</v>
      </c>
      <c r="T2326">
        <v>0</v>
      </c>
      <c r="U2326">
        <v>0</v>
      </c>
      <c r="V2326">
        <v>2454.5</v>
      </c>
      <c r="W2326">
        <v>39179</v>
      </c>
      <c r="X2326">
        <v>3531</v>
      </c>
      <c r="Y2326">
        <f t="shared" si="36"/>
        <v>39179</v>
      </c>
      <c r="Z2326" t="str">
        <f>IF(ISNUMBER(SEARCH("Adjustment",$C2326)),"excluded",IF($H2326="Behind the Meter","excluded",IF(NOT(OR($E2326="Bundled",$E2326="Energy")),"excluded",IF(OR($H2326="Retail Power Marketer",$H2326="Community Choice Aggregator",$E2326="Energy"),"procurement",IF(OR($H2326="Municipal",$H2326="Cooperative",$H2326="Federal",$H2326="State",$H2326="Political Subdivision"),"cost_service",IF($H2326="Investor Owned",IF(AND(COUNTIF(Parameters!$A$4:$A$33,$G2326)&gt;0,COUNTIF(Parameters!$B$4:$B$33,$B2326)=0),"procurement","cost_service"),"unclassified"))))))</f>
        <v>procurement</v>
      </c>
    </row>
    <row r="2327" spans="1:26" x14ac:dyDescent="0.25">
      <c r="A2327">
        <v>2024</v>
      </c>
      <c r="B2327">
        <v>60977</v>
      </c>
      <c r="C2327" t="s">
        <v>1592</v>
      </c>
      <c r="D2327" t="s">
        <v>99</v>
      </c>
      <c r="E2327" t="s">
        <v>100</v>
      </c>
      <c r="F2327" t="s">
        <v>86</v>
      </c>
      <c r="G2327" t="s">
        <v>54</v>
      </c>
      <c r="H2327" t="s">
        <v>101</v>
      </c>
      <c r="I2327" t="s">
        <v>92</v>
      </c>
      <c r="J2327">
        <v>1770.7</v>
      </c>
      <c r="K2327">
        <v>25444</v>
      </c>
      <c r="L2327">
        <v>2874</v>
      </c>
      <c r="M2327">
        <v>6.3</v>
      </c>
      <c r="N2327">
        <v>90</v>
      </c>
      <c r="O2327">
        <v>5</v>
      </c>
      <c r="P2327" t="s">
        <v>97</v>
      </c>
      <c r="Q2327" t="s">
        <v>97</v>
      </c>
      <c r="R2327" t="s">
        <v>97</v>
      </c>
      <c r="S2327" t="s">
        <v>97</v>
      </c>
      <c r="T2327" t="s">
        <v>97</v>
      </c>
      <c r="U2327" t="s">
        <v>97</v>
      </c>
      <c r="V2327">
        <v>1777</v>
      </c>
      <c r="W2327">
        <v>25534</v>
      </c>
      <c r="X2327">
        <v>2879</v>
      </c>
      <c r="Y2327">
        <f t="shared" si="36"/>
        <v>25534</v>
      </c>
      <c r="Z2327" t="str">
        <f>IF(ISNUMBER(SEARCH("Adjustment",$C2327)),"excluded",IF($H2327="Behind the Meter","excluded",IF(NOT(OR($E2327="Bundled",$E2327="Energy")),"excluded",IF(OR($H2327="Retail Power Marketer",$H2327="Community Choice Aggregator",$E2327="Energy"),"procurement",IF(OR($H2327="Municipal",$H2327="Cooperative",$H2327="Federal",$H2327="State",$H2327="Political Subdivision"),"cost_service",IF($H2327="Investor Owned",IF(AND(COUNTIF(Parameters!$A$4:$A$33,$G2327)&gt;0,COUNTIF(Parameters!$B$4:$B$33,$B2327)=0),"procurement","cost_service"),"unclassified"))))))</f>
        <v>procurement</v>
      </c>
    </row>
    <row r="2328" spans="1:26" x14ac:dyDescent="0.25">
      <c r="A2328">
        <v>2024</v>
      </c>
      <c r="B2328">
        <v>60981</v>
      </c>
      <c r="C2328" t="s">
        <v>1593</v>
      </c>
      <c r="D2328" t="s">
        <v>84</v>
      </c>
      <c r="E2328" t="s">
        <v>85</v>
      </c>
      <c r="F2328" t="s">
        <v>86</v>
      </c>
      <c r="G2328" t="s">
        <v>108</v>
      </c>
      <c r="H2328" t="s">
        <v>1475</v>
      </c>
      <c r="I2328" t="s">
        <v>110</v>
      </c>
      <c r="J2328">
        <v>0</v>
      </c>
      <c r="K2328">
        <v>0</v>
      </c>
      <c r="L2328">
        <v>0</v>
      </c>
      <c r="M2328">
        <v>1846</v>
      </c>
      <c r="N2328">
        <v>16628</v>
      </c>
      <c r="O2328">
        <v>29</v>
      </c>
      <c r="P2328">
        <v>0</v>
      </c>
      <c r="Q2328">
        <v>0</v>
      </c>
      <c r="R2328">
        <v>0</v>
      </c>
      <c r="S2328">
        <v>0</v>
      </c>
      <c r="T2328">
        <v>0</v>
      </c>
      <c r="U2328">
        <v>0</v>
      </c>
      <c r="V2328">
        <v>1846</v>
      </c>
      <c r="W2328">
        <v>16628</v>
      </c>
      <c r="X2328">
        <v>29</v>
      </c>
      <c r="Y2328">
        <f t="shared" si="36"/>
        <v>16628</v>
      </c>
      <c r="Z2328" t="str">
        <f>IF(ISNUMBER(SEARCH("Adjustment",$C2328)),"excluded",IF($H2328="Behind the Meter","excluded",IF(NOT(OR($E2328="Bundled",$E2328="Energy")),"excluded",IF(OR($H2328="Retail Power Marketer",$H2328="Community Choice Aggregator",$E2328="Energy"),"procurement",IF(OR($H2328="Municipal",$H2328="Cooperative",$H2328="Federal",$H2328="State",$H2328="Political Subdivision"),"cost_service",IF($H2328="Investor Owned",IF(AND(COUNTIF(Parameters!$A$4:$A$33,$G2328)&gt;0,COUNTIF(Parameters!$B$4:$B$33,$B2328)=0),"procurement","cost_service"),"unclassified"))))))</f>
        <v>excluded</v>
      </c>
    </row>
    <row r="2329" spans="1:26" x14ac:dyDescent="0.25">
      <c r="A2329">
        <v>2024</v>
      </c>
      <c r="B2329">
        <v>60981</v>
      </c>
      <c r="C2329" t="s">
        <v>1593</v>
      </c>
      <c r="D2329" t="s">
        <v>84</v>
      </c>
      <c r="E2329" t="s">
        <v>85</v>
      </c>
      <c r="F2329" t="s">
        <v>86</v>
      </c>
      <c r="G2329" t="s">
        <v>115</v>
      </c>
      <c r="H2329" t="s">
        <v>1475</v>
      </c>
      <c r="I2329" t="s">
        <v>116</v>
      </c>
      <c r="J2329">
        <v>0</v>
      </c>
      <c r="K2329">
        <v>0</v>
      </c>
      <c r="L2329">
        <v>0</v>
      </c>
      <c r="M2329">
        <v>5607</v>
      </c>
      <c r="N2329">
        <v>31551</v>
      </c>
      <c r="O2329">
        <v>81</v>
      </c>
      <c r="P2329">
        <v>0</v>
      </c>
      <c r="Q2329">
        <v>0</v>
      </c>
      <c r="R2329">
        <v>0</v>
      </c>
      <c r="S2329">
        <v>0</v>
      </c>
      <c r="T2329">
        <v>0</v>
      </c>
      <c r="U2329">
        <v>0</v>
      </c>
      <c r="V2329">
        <v>5607</v>
      </c>
      <c r="W2329">
        <v>31551</v>
      </c>
      <c r="X2329">
        <v>81</v>
      </c>
      <c r="Y2329">
        <f t="shared" si="36"/>
        <v>31551</v>
      </c>
      <c r="Z2329" t="str">
        <f>IF(ISNUMBER(SEARCH("Adjustment",$C2329)),"excluded",IF($H2329="Behind the Meter","excluded",IF(NOT(OR($E2329="Bundled",$E2329="Energy")),"excluded",IF(OR($H2329="Retail Power Marketer",$H2329="Community Choice Aggregator",$E2329="Energy"),"procurement",IF(OR($H2329="Municipal",$H2329="Cooperative",$H2329="Federal",$H2329="State",$H2329="Political Subdivision"),"cost_service",IF($H2329="Investor Owned",IF(AND(COUNTIF(Parameters!$A$4:$A$33,$G2329)&gt;0,COUNTIF(Parameters!$B$4:$B$33,$B2329)=0),"procurement","cost_service"),"unclassified"))))))</f>
        <v>excluded</v>
      </c>
    </row>
    <row r="2330" spans="1:26" x14ac:dyDescent="0.25">
      <c r="A2330">
        <v>2024</v>
      </c>
      <c r="B2330">
        <v>60981</v>
      </c>
      <c r="C2330" t="s">
        <v>1593</v>
      </c>
      <c r="D2330" t="s">
        <v>84</v>
      </c>
      <c r="E2330" t="s">
        <v>85</v>
      </c>
      <c r="F2330" t="s">
        <v>86</v>
      </c>
      <c r="G2330" t="s">
        <v>361</v>
      </c>
      <c r="H2330" t="s">
        <v>1475</v>
      </c>
      <c r="I2330" t="s">
        <v>523</v>
      </c>
      <c r="J2330">
        <v>0</v>
      </c>
      <c r="K2330">
        <v>0</v>
      </c>
      <c r="L2330">
        <v>0</v>
      </c>
      <c r="M2330">
        <v>101</v>
      </c>
      <c r="N2330">
        <v>1747</v>
      </c>
      <c r="O2330">
        <v>13</v>
      </c>
      <c r="P2330">
        <v>0</v>
      </c>
      <c r="Q2330">
        <v>0</v>
      </c>
      <c r="R2330">
        <v>0</v>
      </c>
      <c r="S2330">
        <v>0</v>
      </c>
      <c r="T2330">
        <v>0</v>
      </c>
      <c r="U2330">
        <v>0</v>
      </c>
      <c r="V2330">
        <v>101</v>
      </c>
      <c r="W2330">
        <v>1747</v>
      </c>
      <c r="X2330">
        <v>13</v>
      </c>
      <c r="Y2330">
        <f t="shared" si="36"/>
        <v>1747</v>
      </c>
      <c r="Z2330" t="str">
        <f>IF(ISNUMBER(SEARCH("Adjustment",$C2330)),"excluded",IF($H2330="Behind the Meter","excluded",IF(NOT(OR($E2330="Bundled",$E2330="Energy")),"excluded",IF(OR($H2330="Retail Power Marketer",$H2330="Community Choice Aggregator",$E2330="Energy"),"procurement",IF(OR($H2330="Municipal",$H2330="Cooperative",$H2330="Federal",$H2330="State",$H2330="Political Subdivision"),"cost_service",IF($H2330="Investor Owned",IF(AND(COUNTIF(Parameters!$A$4:$A$33,$G2330)&gt;0,COUNTIF(Parameters!$B$4:$B$33,$B2330)=0),"procurement","cost_service"),"unclassified"))))))</f>
        <v>excluded</v>
      </c>
    </row>
    <row r="2331" spans="1:26" x14ac:dyDescent="0.25">
      <c r="A2331">
        <v>2024</v>
      </c>
      <c r="B2331">
        <v>60981</v>
      </c>
      <c r="C2331" t="s">
        <v>1593</v>
      </c>
      <c r="D2331" t="s">
        <v>84</v>
      </c>
      <c r="E2331" t="s">
        <v>85</v>
      </c>
      <c r="F2331" t="s">
        <v>86</v>
      </c>
      <c r="G2331" t="s">
        <v>40</v>
      </c>
      <c r="H2331" t="s">
        <v>1475</v>
      </c>
      <c r="I2331" t="s">
        <v>189</v>
      </c>
      <c r="J2331">
        <v>0</v>
      </c>
      <c r="K2331">
        <v>0</v>
      </c>
      <c r="L2331">
        <v>0</v>
      </c>
      <c r="M2331">
        <v>172</v>
      </c>
      <c r="N2331">
        <v>1272</v>
      </c>
      <c r="O2331">
        <v>6</v>
      </c>
      <c r="P2331">
        <v>0</v>
      </c>
      <c r="Q2331">
        <v>0</v>
      </c>
      <c r="R2331">
        <v>0</v>
      </c>
      <c r="S2331">
        <v>0</v>
      </c>
      <c r="T2331">
        <v>0</v>
      </c>
      <c r="U2331">
        <v>0</v>
      </c>
      <c r="V2331">
        <v>172</v>
      </c>
      <c r="W2331">
        <v>1272</v>
      </c>
      <c r="X2331">
        <v>6</v>
      </c>
      <c r="Y2331">
        <f t="shared" si="36"/>
        <v>1272</v>
      </c>
      <c r="Z2331" t="str">
        <f>IF(ISNUMBER(SEARCH("Adjustment",$C2331)),"excluded",IF($H2331="Behind the Meter","excluded",IF(NOT(OR($E2331="Bundled",$E2331="Energy")),"excluded",IF(OR($H2331="Retail Power Marketer",$H2331="Community Choice Aggregator",$E2331="Energy"),"procurement",IF(OR($H2331="Municipal",$H2331="Cooperative",$H2331="Federal",$H2331="State",$H2331="Political Subdivision"),"cost_service",IF($H2331="Investor Owned",IF(AND(COUNTIF(Parameters!$A$4:$A$33,$G2331)&gt;0,COUNTIF(Parameters!$B$4:$B$33,$B2331)=0),"procurement","cost_service"),"unclassified"))))))</f>
        <v>excluded</v>
      </c>
    </row>
    <row r="2332" spans="1:26" x14ac:dyDescent="0.25">
      <c r="A2332">
        <v>2024</v>
      </c>
      <c r="B2332">
        <v>60981</v>
      </c>
      <c r="C2332" t="s">
        <v>1593</v>
      </c>
      <c r="D2332" t="s">
        <v>84</v>
      </c>
      <c r="E2332" t="s">
        <v>85</v>
      </c>
      <c r="F2332" t="s">
        <v>86</v>
      </c>
      <c r="G2332" t="s">
        <v>195</v>
      </c>
      <c r="H2332" t="s">
        <v>1475</v>
      </c>
      <c r="I2332" t="s">
        <v>196</v>
      </c>
      <c r="J2332">
        <v>0</v>
      </c>
      <c r="K2332">
        <v>0</v>
      </c>
      <c r="L2332">
        <v>0</v>
      </c>
      <c r="M2332">
        <v>195</v>
      </c>
      <c r="N2332">
        <v>679</v>
      </c>
      <c r="O2332">
        <v>3</v>
      </c>
      <c r="P2332">
        <v>0</v>
      </c>
      <c r="Q2332">
        <v>0</v>
      </c>
      <c r="R2332">
        <v>0</v>
      </c>
      <c r="S2332">
        <v>0</v>
      </c>
      <c r="T2332">
        <v>0</v>
      </c>
      <c r="U2332">
        <v>0</v>
      </c>
      <c r="V2332">
        <v>195</v>
      </c>
      <c r="W2332">
        <v>679</v>
      </c>
      <c r="X2332">
        <v>3</v>
      </c>
      <c r="Y2332">
        <f t="shared" si="36"/>
        <v>679</v>
      </c>
      <c r="Z2332" t="str">
        <f>IF(ISNUMBER(SEARCH("Adjustment",$C2332)),"excluded",IF($H2332="Behind the Meter","excluded",IF(NOT(OR($E2332="Bundled",$E2332="Energy")),"excluded",IF(OR($H2332="Retail Power Marketer",$H2332="Community Choice Aggregator",$E2332="Energy"),"procurement",IF(OR($H2332="Municipal",$H2332="Cooperative",$H2332="Federal",$H2332="State",$H2332="Political Subdivision"),"cost_service",IF($H2332="Investor Owned",IF(AND(COUNTIF(Parameters!$A$4:$A$33,$G2332)&gt;0,COUNTIF(Parameters!$B$4:$B$33,$B2332)=0),"procurement","cost_service"),"unclassified"))))))</f>
        <v>excluded</v>
      </c>
    </row>
    <row r="2333" spans="1:26" x14ac:dyDescent="0.25">
      <c r="A2333">
        <v>2024</v>
      </c>
      <c r="B2333">
        <v>60981</v>
      </c>
      <c r="C2333" t="s">
        <v>1593</v>
      </c>
      <c r="D2333" t="s">
        <v>84</v>
      </c>
      <c r="E2333" t="s">
        <v>85</v>
      </c>
      <c r="F2333" t="s">
        <v>86</v>
      </c>
      <c r="G2333" t="s">
        <v>123</v>
      </c>
      <c r="H2333" t="s">
        <v>1475</v>
      </c>
      <c r="I2333" t="s">
        <v>1217</v>
      </c>
      <c r="J2333">
        <v>0</v>
      </c>
      <c r="K2333">
        <v>0</v>
      </c>
      <c r="L2333">
        <v>0</v>
      </c>
      <c r="M2333">
        <v>904</v>
      </c>
      <c r="N2333">
        <v>5984</v>
      </c>
      <c r="O2333">
        <v>5</v>
      </c>
      <c r="P2333">
        <v>0</v>
      </c>
      <c r="Q2333">
        <v>0</v>
      </c>
      <c r="R2333">
        <v>0</v>
      </c>
      <c r="S2333">
        <v>0</v>
      </c>
      <c r="T2333">
        <v>0</v>
      </c>
      <c r="U2333">
        <v>0</v>
      </c>
      <c r="V2333">
        <v>904</v>
      </c>
      <c r="W2333">
        <v>5984</v>
      </c>
      <c r="X2333">
        <v>5</v>
      </c>
      <c r="Y2333">
        <f t="shared" si="36"/>
        <v>5984</v>
      </c>
      <c r="Z2333" t="str">
        <f>IF(ISNUMBER(SEARCH("Adjustment",$C2333)),"excluded",IF($H2333="Behind the Meter","excluded",IF(NOT(OR($E2333="Bundled",$E2333="Energy")),"excluded",IF(OR($H2333="Retail Power Marketer",$H2333="Community Choice Aggregator",$E2333="Energy"),"procurement",IF(OR($H2333="Municipal",$H2333="Cooperative",$H2333="Federal",$H2333="State",$H2333="Political Subdivision"),"cost_service",IF($H2333="Investor Owned",IF(AND(COUNTIF(Parameters!$A$4:$A$33,$G2333)&gt;0,COUNTIF(Parameters!$B$4:$B$33,$B2333)=0),"procurement","cost_service"),"unclassified"))))))</f>
        <v>excluded</v>
      </c>
    </row>
    <row r="2334" spans="1:26" x14ac:dyDescent="0.25">
      <c r="A2334">
        <v>2024</v>
      </c>
      <c r="B2334">
        <v>60981</v>
      </c>
      <c r="C2334" t="s">
        <v>1593</v>
      </c>
      <c r="D2334" t="s">
        <v>84</v>
      </c>
      <c r="E2334" t="s">
        <v>85</v>
      </c>
      <c r="F2334" t="s">
        <v>86</v>
      </c>
      <c r="G2334" t="s">
        <v>605</v>
      </c>
      <c r="H2334" t="s">
        <v>1475</v>
      </c>
      <c r="I2334" t="s">
        <v>1271</v>
      </c>
      <c r="J2334">
        <v>0</v>
      </c>
      <c r="K2334">
        <v>0</v>
      </c>
      <c r="L2334">
        <v>0</v>
      </c>
      <c r="M2334">
        <v>403</v>
      </c>
      <c r="N2334">
        <v>1520</v>
      </c>
      <c r="O2334">
        <v>6</v>
      </c>
      <c r="P2334">
        <v>0</v>
      </c>
      <c r="Q2334">
        <v>0</v>
      </c>
      <c r="R2334">
        <v>0</v>
      </c>
      <c r="S2334">
        <v>0</v>
      </c>
      <c r="T2334">
        <v>0</v>
      </c>
      <c r="U2334">
        <v>0</v>
      </c>
      <c r="V2334">
        <v>403</v>
      </c>
      <c r="W2334">
        <v>1520</v>
      </c>
      <c r="X2334">
        <v>6</v>
      </c>
      <c r="Y2334">
        <f t="shared" si="36"/>
        <v>1520</v>
      </c>
      <c r="Z2334" t="str">
        <f>IF(ISNUMBER(SEARCH("Adjustment",$C2334)),"excluded",IF($H2334="Behind the Meter","excluded",IF(NOT(OR($E2334="Bundled",$E2334="Energy")),"excluded",IF(OR($H2334="Retail Power Marketer",$H2334="Community Choice Aggregator",$E2334="Energy"),"procurement",IF(OR($H2334="Municipal",$H2334="Cooperative",$H2334="Federal",$H2334="State",$H2334="Political Subdivision"),"cost_service",IF($H2334="Investor Owned",IF(AND(COUNTIF(Parameters!$A$4:$A$33,$G2334)&gt;0,COUNTIF(Parameters!$B$4:$B$33,$B2334)=0),"procurement","cost_service"),"unclassified"))))))</f>
        <v>excluded</v>
      </c>
    </row>
    <row r="2335" spans="1:26" x14ac:dyDescent="0.25">
      <c r="A2335">
        <v>2024</v>
      </c>
      <c r="B2335">
        <v>60981</v>
      </c>
      <c r="C2335" t="s">
        <v>1593</v>
      </c>
      <c r="D2335" t="s">
        <v>84</v>
      </c>
      <c r="E2335" t="s">
        <v>85</v>
      </c>
      <c r="F2335" t="s">
        <v>86</v>
      </c>
      <c r="G2335" t="s">
        <v>48</v>
      </c>
      <c r="H2335" t="s">
        <v>1475</v>
      </c>
      <c r="I2335" t="s">
        <v>189</v>
      </c>
      <c r="J2335">
        <v>0</v>
      </c>
      <c r="K2335">
        <v>0</v>
      </c>
      <c r="L2335">
        <v>0</v>
      </c>
      <c r="M2335">
        <v>1891</v>
      </c>
      <c r="N2335">
        <v>17612</v>
      </c>
      <c r="O2335">
        <v>24</v>
      </c>
      <c r="P2335">
        <v>0</v>
      </c>
      <c r="Q2335">
        <v>0</v>
      </c>
      <c r="R2335">
        <v>0</v>
      </c>
      <c r="S2335">
        <v>0</v>
      </c>
      <c r="T2335">
        <v>0</v>
      </c>
      <c r="U2335">
        <v>0</v>
      </c>
      <c r="V2335">
        <v>1891</v>
      </c>
      <c r="W2335">
        <v>17612</v>
      </c>
      <c r="X2335">
        <v>24</v>
      </c>
      <c r="Y2335">
        <f t="shared" si="36"/>
        <v>17612</v>
      </c>
      <c r="Z2335" t="str">
        <f>IF(ISNUMBER(SEARCH("Adjustment",$C2335)),"excluded",IF($H2335="Behind the Meter","excluded",IF(NOT(OR($E2335="Bundled",$E2335="Energy")),"excluded",IF(OR($H2335="Retail Power Marketer",$H2335="Community Choice Aggregator",$E2335="Energy"),"procurement",IF(OR($H2335="Municipal",$H2335="Cooperative",$H2335="Federal",$H2335="State",$H2335="Political Subdivision"),"cost_service",IF($H2335="Investor Owned",IF(AND(COUNTIF(Parameters!$A$4:$A$33,$G2335)&gt;0,COUNTIF(Parameters!$B$4:$B$33,$B2335)=0),"procurement","cost_service"),"unclassified"))))))</f>
        <v>excluded</v>
      </c>
    </row>
    <row r="2336" spans="1:26" x14ac:dyDescent="0.25">
      <c r="A2336">
        <v>2024</v>
      </c>
      <c r="B2336">
        <v>60981</v>
      </c>
      <c r="C2336" t="s">
        <v>1593</v>
      </c>
      <c r="D2336" t="s">
        <v>84</v>
      </c>
      <c r="E2336" t="s">
        <v>85</v>
      </c>
      <c r="F2336" t="s">
        <v>86</v>
      </c>
      <c r="G2336" t="s">
        <v>49</v>
      </c>
      <c r="H2336" t="s">
        <v>1475</v>
      </c>
      <c r="I2336" t="s">
        <v>92</v>
      </c>
      <c r="J2336">
        <v>0</v>
      </c>
      <c r="K2336">
        <v>0</v>
      </c>
      <c r="L2336">
        <v>0</v>
      </c>
      <c r="M2336">
        <v>233</v>
      </c>
      <c r="N2336">
        <v>2604</v>
      </c>
      <c r="O2336">
        <v>7</v>
      </c>
      <c r="P2336">
        <v>0</v>
      </c>
      <c r="Q2336">
        <v>0</v>
      </c>
      <c r="R2336">
        <v>0</v>
      </c>
      <c r="S2336">
        <v>0</v>
      </c>
      <c r="T2336">
        <v>0</v>
      </c>
      <c r="U2336">
        <v>0</v>
      </c>
      <c r="V2336">
        <v>233</v>
      </c>
      <c r="W2336">
        <v>2604</v>
      </c>
      <c r="X2336">
        <v>7</v>
      </c>
      <c r="Y2336">
        <f t="shared" si="36"/>
        <v>2604</v>
      </c>
      <c r="Z2336" t="str">
        <f>IF(ISNUMBER(SEARCH("Adjustment",$C2336)),"excluded",IF($H2336="Behind the Meter","excluded",IF(NOT(OR($E2336="Bundled",$E2336="Energy")),"excluded",IF(OR($H2336="Retail Power Marketer",$H2336="Community Choice Aggregator",$E2336="Energy"),"procurement",IF(OR($H2336="Municipal",$H2336="Cooperative",$H2336="Federal",$H2336="State",$H2336="Political Subdivision"),"cost_service",IF($H2336="Investor Owned",IF(AND(COUNTIF(Parameters!$A$4:$A$33,$G2336)&gt;0,COUNTIF(Parameters!$B$4:$B$33,$B2336)=0),"procurement","cost_service"),"unclassified"))))))</f>
        <v>excluded</v>
      </c>
    </row>
    <row r="2337" spans="1:26" x14ac:dyDescent="0.25">
      <c r="A2337">
        <v>2024</v>
      </c>
      <c r="B2337">
        <v>60981</v>
      </c>
      <c r="C2337" t="s">
        <v>1593</v>
      </c>
      <c r="D2337" t="s">
        <v>84</v>
      </c>
      <c r="E2337" t="s">
        <v>85</v>
      </c>
      <c r="F2337" t="s">
        <v>86</v>
      </c>
      <c r="G2337" t="s">
        <v>51</v>
      </c>
      <c r="H2337" t="s">
        <v>1475</v>
      </c>
      <c r="I2337" t="s">
        <v>189</v>
      </c>
      <c r="J2337">
        <v>0</v>
      </c>
      <c r="K2337">
        <v>0</v>
      </c>
      <c r="L2337">
        <v>0</v>
      </c>
      <c r="M2337">
        <v>95</v>
      </c>
      <c r="N2337">
        <v>1105</v>
      </c>
      <c r="O2337">
        <v>1</v>
      </c>
      <c r="P2337">
        <v>0</v>
      </c>
      <c r="Q2337">
        <v>0</v>
      </c>
      <c r="R2337">
        <v>0</v>
      </c>
      <c r="S2337">
        <v>0</v>
      </c>
      <c r="T2337">
        <v>0</v>
      </c>
      <c r="U2337">
        <v>0</v>
      </c>
      <c r="V2337">
        <v>95</v>
      </c>
      <c r="W2337">
        <v>1105</v>
      </c>
      <c r="X2337">
        <v>1</v>
      </c>
      <c r="Y2337">
        <f t="shared" si="36"/>
        <v>1105</v>
      </c>
      <c r="Z2337" t="str">
        <f>IF(ISNUMBER(SEARCH("Adjustment",$C2337)),"excluded",IF($H2337="Behind the Meter","excluded",IF(NOT(OR($E2337="Bundled",$E2337="Energy")),"excluded",IF(OR($H2337="Retail Power Marketer",$H2337="Community Choice Aggregator",$E2337="Energy"),"procurement",IF(OR($H2337="Municipal",$H2337="Cooperative",$H2337="Federal",$H2337="State",$H2337="Political Subdivision"),"cost_service",IF($H2337="Investor Owned",IF(AND(COUNTIF(Parameters!$A$4:$A$33,$G2337)&gt;0,COUNTIF(Parameters!$B$4:$B$33,$B2337)=0),"procurement","cost_service"),"unclassified"))))))</f>
        <v>excluded</v>
      </c>
    </row>
    <row r="2338" spans="1:26" x14ac:dyDescent="0.25">
      <c r="A2338">
        <v>2024</v>
      </c>
      <c r="B2338">
        <v>60981</v>
      </c>
      <c r="C2338" t="s">
        <v>1593</v>
      </c>
      <c r="D2338" t="s">
        <v>84</v>
      </c>
      <c r="E2338" t="s">
        <v>85</v>
      </c>
      <c r="F2338" t="s">
        <v>86</v>
      </c>
      <c r="G2338" t="s">
        <v>52</v>
      </c>
      <c r="H2338" t="s">
        <v>1475</v>
      </c>
      <c r="I2338" t="s">
        <v>92</v>
      </c>
      <c r="J2338">
        <v>0</v>
      </c>
      <c r="K2338">
        <v>0</v>
      </c>
      <c r="L2338">
        <v>0</v>
      </c>
      <c r="M2338">
        <v>4462</v>
      </c>
      <c r="N2338">
        <v>34435</v>
      </c>
      <c r="O2338">
        <v>130</v>
      </c>
      <c r="P2338">
        <v>0</v>
      </c>
      <c r="Q2338">
        <v>0</v>
      </c>
      <c r="R2338">
        <v>0</v>
      </c>
      <c r="S2338">
        <v>0</v>
      </c>
      <c r="T2338">
        <v>0</v>
      </c>
      <c r="U2338">
        <v>0</v>
      </c>
      <c r="V2338">
        <v>4462</v>
      </c>
      <c r="W2338">
        <v>34435</v>
      </c>
      <c r="X2338">
        <v>130</v>
      </c>
      <c r="Y2338">
        <f t="shared" si="36"/>
        <v>34435</v>
      </c>
      <c r="Z2338" t="str">
        <f>IF(ISNUMBER(SEARCH("Adjustment",$C2338)),"excluded",IF($H2338="Behind the Meter","excluded",IF(NOT(OR($E2338="Bundled",$E2338="Energy")),"excluded",IF(OR($H2338="Retail Power Marketer",$H2338="Community Choice Aggregator",$E2338="Energy"),"procurement",IF(OR($H2338="Municipal",$H2338="Cooperative",$H2338="Federal",$H2338="State",$H2338="Political Subdivision"),"cost_service",IF($H2338="Investor Owned",IF(AND(COUNTIF(Parameters!$A$4:$A$33,$G2338)&gt;0,COUNTIF(Parameters!$B$4:$B$33,$B2338)=0),"procurement","cost_service"),"unclassified"))))))</f>
        <v>excluded</v>
      </c>
    </row>
    <row r="2339" spans="1:26" x14ac:dyDescent="0.25">
      <c r="A2339">
        <v>2024</v>
      </c>
      <c r="B2339">
        <v>60981</v>
      </c>
      <c r="C2339" t="s">
        <v>1593</v>
      </c>
      <c r="D2339" t="s">
        <v>84</v>
      </c>
      <c r="E2339" t="s">
        <v>85</v>
      </c>
      <c r="F2339" t="s">
        <v>86</v>
      </c>
      <c r="G2339" t="s">
        <v>53</v>
      </c>
      <c r="H2339" t="s">
        <v>1475</v>
      </c>
      <c r="I2339" t="s">
        <v>102</v>
      </c>
      <c r="J2339">
        <v>0</v>
      </c>
      <c r="K2339">
        <v>0</v>
      </c>
      <c r="L2339">
        <v>0</v>
      </c>
      <c r="M2339">
        <v>99</v>
      </c>
      <c r="N2339">
        <v>629</v>
      </c>
      <c r="O2339">
        <v>6</v>
      </c>
      <c r="P2339">
        <v>0</v>
      </c>
      <c r="Q2339">
        <v>0</v>
      </c>
      <c r="R2339">
        <v>0</v>
      </c>
      <c r="S2339">
        <v>0</v>
      </c>
      <c r="T2339">
        <v>0</v>
      </c>
      <c r="U2339">
        <v>0</v>
      </c>
      <c r="V2339">
        <v>99</v>
      </c>
      <c r="W2339">
        <v>629</v>
      </c>
      <c r="X2339">
        <v>6</v>
      </c>
      <c r="Y2339">
        <f t="shared" si="36"/>
        <v>629</v>
      </c>
      <c r="Z2339" t="str">
        <f>IF(ISNUMBER(SEARCH("Adjustment",$C2339)),"excluded",IF($H2339="Behind the Meter","excluded",IF(NOT(OR($E2339="Bundled",$E2339="Energy")),"excluded",IF(OR($H2339="Retail Power Marketer",$H2339="Community Choice Aggregator",$E2339="Energy"),"procurement",IF(OR($H2339="Municipal",$H2339="Cooperative",$H2339="Federal",$H2339="State",$H2339="Political Subdivision"),"cost_service",IF($H2339="Investor Owned",IF(AND(COUNTIF(Parameters!$A$4:$A$33,$G2339)&gt;0,COUNTIF(Parameters!$B$4:$B$33,$B2339)=0),"procurement","cost_service"),"unclassified"))))))</f>
        <v>excluded</v>
      </c>
    </row>
    <row r="2340" spans="1:26" x14ac:dyDescent="0.25">
      <c r="A2340">
        <v>2024</v>
      </c>
      <c r="B2340">
        <v>60981</v>
      </c>
      <c r="C2340" t="s">
        <v>1593</v>
      </c>
      <c r="D2340" t="s">
        <v>84</v>
      </c>
      <c r="E2340" t="s">
        <v>85</v>
      </c>
      <c r="F2340" t="s">
        <v>86</v>
      </c>
      <c r="G2340" t="s">
        <v>219</v>
      </c>
      <c r="H2340" t="s">
        <v>1475</v>
      </c>
      <c r="I2340" t="s">
        <v>972</v>
      </c>
      <c r="J2340">
        <v>0</v>
      </c>
      <c r="K2340">
        <v>0</v>
      </c>
      <c r="L2340">
        <v>0</v>
      </c>
      <c r="M2340">
        <v>87</v>
      </c>
      <c r="N2340">
        <v>1072</v>
      </c>
      <c r="O2340">
        <v>3</v>
      </c>
      <c r="P2340">
        <v>0</v>
      </c>
      <c r="Q2340">
        <v>0</v>
      </c>
      <c r="R2340">
        <v>0</v>
      </c>
      <c r="S2340">
        <v>0</v>
      </c>
      <c r="T2340">
        <v>0</v>
      </c>
      <c r="U2340">
        <v>0</v>
      </c>
      <c r="V2340">
        <v>87</v>
      </c>
      <c r="W2340">
        <v>1072</v>
      </c>
      <c r="X2340">
        <v>3</v>
      </c>
      <c r="Y2340">
        <f t="shared" si="36"/>
        <v>1072</v>
      </c>
      <c r="Z2340" t="str">
        <f>IF(ISNUMBER(SEARCH("Adjustment",$C2340)),"excluded",IF($H2340="Behind the Meter","excluded",IF(NOT(OR($E2340="Bundled",$E2340="Energy")),"excluded",IF(OR($H2340="Retail Power Marketer",$H2340="Community Choice Aggregator",$E2340="Energy"),"procurement",IF(OR($H2340="Municipal",$H2340="Cooperative",$H2340="Federal",$H2340="State",$H2340="Political Subdivision"),"cost_service",IF($H2340="Investor Owned",IF(AND(COUNTIF(Parameters!$A$4:$A$33,$G2340)&gt;0,COUNTIF(Parameters!$B$4:$B$33,$B2340)=0),"procurement","cost_service"),"unclassified"))))))</f>
        <v>excluded</v>
      </c>
    </row>
    <row r="2341" spans="1:26" x14ac:dyDescent="0.25">
      <c r="A2341">
        <v>2024</v>
      </c>
      <c r="B2341">
        <v>60981</v>
      </c>
      <c r="C2341" t="s">
        <v>1593</v>
      </c>
      <c r="D2341" t="s">
        <v>84</v>
      </c>
      <c r="E2341" t="s">
        <v>85</v>
      </c>
      <c r="F2341" t="s">
        <v>86</v>
      </c>
      <c r="G2341" t="s">
        <v>55</v>
      </c>
      <c r="H2341" t="s">
        <v>1475</v>
      </c>
      <c r="I2341" t="s">
        <v>92</v>
      </c>
      <c r="J2341">
        <v>0</v>
      </c>
      <c r="K2341">
        <v>0</v>
      </c>
      <c r="L2341">
        <v>0</v>
      </c>
      <c r="M2341">
        <v>306</v>
      </c>
      <c r="N2341">
        <v>3940</v>
      </c>
      <c r="O2341">
        <v>18</v>
      </c>
      <c r="P2341">
        <v>0</v>
      </c>
      <c r="Q2341">
        <v>0</v>
      </c>
      <c r="R2341">
        <v>0</v>
      </c>
      <c r="S2341">
        <v>0</v>
      </c>
      <c r="T2341">
        <v>0</v>
      </c>
      <c r="U2341">
        <v>0</v>
      </c>
      <c r="V2341">
        <v>306</v>
      </c>
      <c r="W2341">
        <v>3940</v>
      </c>
      <c r="X2341">
        <v>18</v>
      </c>
      <c r="Y2341">
        <f t="shared" si="36"/>
        <v>3940</v>
      </c>
      <c r="Z2341" t="str">
        <f>IF(ISNUMBER(SEARCH("Adjustment",$C2341)),"excluded",IF($H2341="Behind the Meter","excluded",IF(NOT(OR($E2341="Bundled",$E2341="Energy")),"excluded",IF(OR($H2341="Retail Power Marketer",$H2341="Community Choice Aggregator",$E2341="Energy"),"procurement",IF(OR($H2341="Municipal",$H2341="Cooperative",$H2341="Federal",$H2341="State",$H2341="Political Subdivision"),"cost_service",IF($H2341="Investor Owned",IF(AND(COUNTIF(Parameters!$A$4:$A$33,$G2341)&gt;0,COUNTIF(Parameters!$B$4:$B$33,$B2341)=0),"procurement","cost_service"),"unclassified"))))))</f>
        <v>excluded</v>
      </c>
    </row>
    <row r="2342" spans="1:26" x14ac:dyDescent="0.25">
      <c r="A2342">
        <v>2024</v>
      </c>
      <c r="B2342">
        <v>60981</v>
      </c>
      <c r="C2342" t="s">
        <v>1593</v>
      </c>
      <c r="D2342" t="s">
        <v>84</v>
      </c>
      <c r="E2342" t="s">
        <v>85</v>
      </c>
      <c r="F2342" t="s">
        <v>86</v>
      </c>
      <c r="G2342" t="s">
        <v>57</v>
      </c>
      <c r="H2342" t="s">
        <v>1475</v>
      </c>
      <c r="I2342" t="s">
        <v>151</v>
      </c>
      <c r="J2342">
        <v>0</v>
      </c>
      <c r="K2342">
        <v>0</v>
      </c>
      <c r="L2342">
        <v>0</v>
      </c>
      <c r="M2342">
        <v>67</v>
      </c>
      <c r="N2342">
        <v>991</v>
      </c>
      <c r="O2342">
        <v>2</v>
      </c>
      <c r="P2342">
        <v>0</v>
      </c>
      <c r="Q2342">
        <v>0</v>
      </c>
      <c r="R2342">
        <v>0</v>
      </c>
      <c r="S2342">
        <v>0</v>
      </c>
      <c r="T2342">
        <v>0</v>
      </c>
      <c r="U2342">
        <v>0</v>
      </c>
      <c r="V2342">
        <v>67</v>
      </c>
      <c r="W2342">
        <v>991</v>
      </c>
      <c r="X2342">
        <v>2</v>
      </c>
      <c r="Y2342">
        <f t="shared" si="36"/>
        <v>991</v>
      </c>
      <c r="Z2342" t="str">
        <f>IF(ISNUMBER(SEARCH("Adjustment",$C2342)),"excluded",IF($H2342="Behind the Meter","excluded",IF(NOT(OR($E2342="Bundled",$E2342="Energy")),"excluded",IF(OR($H2342="Retail Power Marketer",$H2342="Community Choice Aggregator",$E2342="Energy"),"procurement",IF(OR($H2342="Municipal",$H2342="Cooperative",$H2342="Federal",$H2342="State",$H2342="Political Subdivision"),"cost_service",IF($H2342="Investor Owned",IF(AND(COUNTIF(Parameters!$A$4:$A$33,$G2342)&gt;0,COUNTIF(Parameters!$B$4:$B$33,$B2342)=0),"procurement","cost_service"),"unclassified"))))))</f>
        <v>excluded</v>
      </c>
    </row>
    <row r="2343" spans="1:26" x14ac:dyDescent="0.25">
      <c r="A2343">
        <v>2024</v>
      </c>
      <c r="B2343">
        <v>60981</v>
      </c>
      <c r="C2343" t="s">
        <v>1593</v>
      </c>
      <c r="D2343" t="s">
        <v>84</v>
      </c>
      <c r="E2343" t="s">
        <v>85</v>
      </c>
      <c r="F2343" t="s">
        <v>86</v>
      </c>
      <c r="G2343" t="s">
        <v>269</v>
      </c>
      <c r="H2343" t="s">
        <v>1475</v>
      </c>
      <c r="I2343" t="s">
        <v>189</v>
      </c>
      <c r="J2343">
        <v>0</v>
      </c>
      <c r="K2343">
        <v>0</v>
      </c>
      <c r="L2343">
        <v>0</v>
      </c>
      <c r="M2343">
        <v>632</v>
      </c>
      <c r="N2343">
        <v>2352</v>
      </c>
      <c r="O2343">
        <v>2</v>
      </c>
      <c r="P2343">
        <v>0</v>
      </c>
      <c r="Q2343">
        <v>0</v>
      </c>
      <c r="R2343">
        <v>0</v>
      </c>
      <c r="S2343">
        <v>0</v>
      </c>
      <c r="T2343">
        <v>0</v>
      </c>
      <c r="U2343">
        <v>0</v>
      </c>
      <c r="V2343">
        <v>632</v>
      </c>
      <c r="W2343">
        <v>2352</v>
      </c>
      <c r="X2343">
        <v>2</v>
      </c>
      <c r="Y2343">
        <f t="shared" si="36"/>
        <v>2352</v>
      </c>
      <c r="Z2343" t="str">
        <f>IF(ISNUMBER(SEARCH("Adjustment",$C2343)),"excluded",IF($H2343="Behind the Meter","excluded",IF(NOT(OR($E2343="Bundled",$E2343="Energy")),"excluded",IF(OR($H2343="Retail Power Marketer",$H2343="Community Choice Aggregator",$E2343="Energy"),"procurement",IF(OR($H2343="Municipal",$H2343="Cooperative",$H2343="Federal",$H2343="State",$H2343="Political Subdivision"),"cost_service",IF($H2343="Investor Owned",IF(AND(COUNTIF(Parameters!$A$4:$A$33,$G2343)&gt;0,COUNTIF(Parameters!$B$4:$B$33,$B2343)=0),"procurement","cost_service"),"unclassified"))))))</f>
        <v>excluded</v>
      </c>
    </row>
    <row r="2344" spans="1:26" x14ac:dyDescent="0.25">
      <c r="A2344">
        <v>2024</v>
      </c>
      <c r="B2344">
        <v>61059</v>
      </c>
      <c r="C2344" t="s">
        <v>1594</v>
      </c>
      <c r="D2344" t="s">
        <v>99</v>
      </c>
      <c r="E2344" t="s">
        <v>100</v>
      </c>
      <c r="F2344" t="s">
        <v>86</v>
      </c>
      <c r="G2344" t="s">
        <v>42</v>
      </c>
      <c r="H2344" t="s">
        <v>101</v>
      </c>
      <c r="I2344" t="s">
        <v>92</v>
      </c>
      <c r="J2344">
        <v>131</v>
      </c>
      <c r="K2344">
        <v>957</v>
      </c>
      <c r="L2344">
        <v>153</v>
      </c>
      <c r="M2344">
        <v>0.7</v>
      </c>
      <c r="N2344">
        <v>6</v>
      </c>
      <c r="O2344">
        <v>1</v>
      </c>
      <c r="P2344">
        <v>0</v>
      </c>
      <c r="Q2344">
        <v>0</v>
      </c>
      <c r="R2344">
        <v>0</v>
      </c>
      <c r="S2344">
        <v>0</v>
      </c>
      <c r="T2344">
        <v>0</v>
      </c>
      <c r="U2344">
        <v>0</v>
      </c>
      <c r="V2344">
        <v>131.69999999999999</v>
      </c>
      <c r="W2344">
        <v>963</v>
      </c>
      <c r="X2344">
        <v>154</v>
      </c>
      <c r="Y2344">
        <f t="shared" si="36"/>
        <v>963</v>
      </c>
      <c r="Z2344" t="str">
        <f>IF(ISNUMBER(SEARCH("Adjustment",$C2344)),"excluded",IF($H2344="Behind the Meter","excluded",IF(NOT(OR($E2344="Bundled",$E2344="Energy")),"excluded",IF(OR($H2344="Retail Power Marketer",$H2344="Community Choice Aggregator",$E2344="Energy"),"procurement",IF(OR($H2344="Municipal",$H2344="Cooperative",$H2344="Federal",$H2344="State",$H2344="Political Subdivision"),"cost_service",IF($H2344="Investor Owned",IF(AND(COUNTIF(Parameters!$A$4:$A$33,$G2344)&gt;0,COUNTIF(Parameters!$B$4:$B$33,$B2344)=0),"procurement","cost_service"),"unclassified"))))))</f>
        <v>procurement</v>
      </c>
    </row>
    <row r="2345" spans="1:26" x14ac:dyDescent="0.25">
      <c r="A2345">
        <v>2024</v>
      </c>
      <c r="B2345">
        <v>61059</v>
      </c>
      <c r="C2345" t="s">
        <v>1594</v>
      </c>
      <c r="D2345" t="s">
        <v>99</v>
      </c>
      <c r="E2345" t="s">
        <v>100</v>
      </c>
      <c r="F2345" t="s">
        <v>86</v>
      </c>
      <c r="G2345" t="s">
        <v>48</v>
      </c>
      <c r="H2345" t="s">
        <v>101</v>
      </c>
      <c r="I2345" t="s">
        <v>189</v>
      </c>
      <c r="J2345">
        <v>4447.8999999999996</v>
      </c>
      <c r="K2345">
        <v>30190</v>
      </c>
      <c r="L2345">
        <v>4828</v>
      </c>
      <c r="M2345">
        <v>729.2</v>
      </c>
      <c r="N2345">
        <v>4612</v>
      </c>
      <c r="O2345">
        <v>203</v>
      </c>
      <c r="P2345">
        <v>0</v>
      </c>
      <c r="Q2345">
        <v>0</v>
      </c>
      <c r="R2345">
        <v>0</v>
      </c>
      <c r="S2345">
        <v>0</v>
      </c>
      <c r="T2345">
        <v>0</v>
      </c>
      <c r="U2345">
        <v>0</v>
      </c>
      <c r="V2345">
        <v>5177.1000000000004</v>
      </c>
      <c r="W2345">
        <v>34802</v>
      </c>
      <c r="X2345">
        <v>5031</v>
      </c>
      <c r="Y2345">
        <f t="shared" si="36"/>
        <v>34802</v>
      </c>
      <c r="Z2345" t="str">
        <f>IF(ISNUMBER(SEARCH("Adjustment",$C2345)),"excluded",IF($H2345="Behind the Meter","excluded",IF(NOT(OR($E2345="Bundled",$E2345="Energy")),"excluded",IF(OR($H2345="Retail Power Marketer",$H2345="Community Choice Aggregator",$E2345="Energy"),"procurement",IF(OR($H2345="Municipal",$H2345="Cooperative",$H2345="Federal",$H2345="State",$H2345="Political Subdivision"),"cost_service",IF($H2345="Investor Owned",IF(AND(COUNTIF(Parameters!$A$4:$A$33,$G2345)&gt;0,COUNTIF(Parameters!$B$4:$B$33,$B2345)=0),"procurement","cost_service"),"unclassified"))))))</f>
        <v>procurement</v>
      </c>
    </row>
    <row r="2346" spans="1:26" x14ac:dyDescent="0.25">
      <c r="A2346">
        <v>2024</v>
      </c>
      <c r="B2346">
        <v>61059</v>
      </c>
      <c r="C2346" t="s">
        <v>1594</v>
      </c>
      <c r="D2346" t="s">
        <v>99</v>
      </c>
      <c r="E2346" t="s">
        <v>100</v>
      </c>
      <c r="F2346" t="s">
        <v>86</v>
      </c>
      <c r="G2346" t="s">
        <v>53</v>
      </c>
      <c r="H2346" t="s">
        <v>101</v>
      </c>
      <c r="I2346" t="s">
        <v>102</v>
      </c>
      <c r="J2346">
        <v>1667.7</v>
      </c>
      <c r="K2346">
        <v>10715</v>
      </c>
      <c r="L2346">
        <v>2436</v>
      </c>
      <c r="M2346">
        <v>1285.2</v>
      </c>
      <c r="N2346">
        <v>7606</v>
      </c>
      <c r="O2346">
        <v>389</v>
      </c>
      <c r="P2346">
        <v>0</v>
      </c>
      <c r="Q2346">
        <v>0</v>
      </c>
      <c r="R2346">
        <v>0</v>
      </c>
      <c r="S2346">
        <v>0</v>
      </c>
      <c r="T2346">
        <v>0</v>
      </c>
      <c r="U2346">
        <v>0</v>
      </c>
      <c r="V2346">
        <v>2952.9</v>
      </c>
      <c r="W2346">
        <v>18321</v>
      </c>
      <c r="X2346">
        <v>2825</v>
      </c>
      <c r="Y2346">
        <f t="shared" si="36"/>
        <v>18321</v>
      </c>
      <c r="Z2346" t="str">
        <f>IF(ISNUMBER(SEARCH("Adjustment",$C2346)),"excluded",IF($H2346="Behind the Meter","excluded",IF(NOT(OR($E2346="Bundled",$E2346="Energy")),"excluded",IF(OR($H2346="Retail Power Marketer",$H2346="Community Choice Aggregator",$E2346="Energy"),"procurement",IF(OR($H2346="Municipal",$H2346="Cooperative",$H2346="Federal",$H2346="State",$H2346="Political Subdivision"),"cost_service",IF($H2346="Investor Owned",IF(AND(COUNTIF(Parameters!$A$4:$A$33,$G2346)&gt;0,COUNTIF(Parameters!$B$4:$B$33,$B2346)=0),"procurement","cost_service"),"unclassified"))))))</f>
        <v>procurement</v>
      </c>
    </row>
    <row r="2347" spans="1:26" x14ac:dyDescent="0.25">
      <c r="A2347">
        <v>2024</v>
      </c>
      <c r="B2347">
        <v>61059</v>
      </c>
      <c r="C2347" t="s">
        <v>1594</v>
      </c>
      <c r="D2347" t="s">
        <v>99</v>
      </c>
      <c r="E2347" t="s">
        <v>100</v>
      </c>
      <c r="F2347" t="s">
        <v>86</v>
      </c>
      <c r="G2347" t="s">
        <v>54</v>
      </c>
      <c r="H2347" t="s">
        <v>101</v>
      </c>
      <c r="I2347" t="s">
        <v>92</v>
      </c>
      <c r="J2347">
        <v>147.30000000000001</v>
      </c>
      <c r="K2347">
        <v>1373</v>
      </c>
      <c r="L2347">
        <v>359</v>
      </c>
      <c r="M2347">
        <v>17.7</v>
      </c>
      <c r="N2347">
        <v>196</v>
      </c>
      <c r="O2347">
        <v>19</v>
      </c>
      <c r="P2347">
        <v>0</v>
      </c>
      <c r="Q2347">
        <v>0</v>
      </c>
      <c r="R2347">
        <v>0</v>
      </c>
      <c r="S2347">
        <v>0</v>
      </c>
      <c r="T2347">
        <v>0</v>
      </c>
      <c r="U2347">
        <v>0</v>
      </c>
      <c r="V2347">
        <v>165</v>
      </c>
      <c r="W2347">
        <v>1569</v>
      </c>
      <c r="X2347">
        <v>378</v>
      </c>
      <c r="Y2347">
        <f t="shared" si="36"/>
        <v>1569</v>
      </c>
      <c r="Z2347" t="str">
        <f>IF(ISNUMBER(SEARCH("Adjustment",$C2347)),"excluded",IF($H2347="Behind the Meter","excluded",IF(NOT(OR($E2347="Bundled",$E2347="Energy")),"excluded",IF(OR($H2347="Retail Power Marketer",$H2347="Community Choice Aggregator",$E2347="Energy"),"procurement",IF(OR($H2347="Municipal",$H2347="Cooperative",$H2347="Federal",$H2347="State",$H2347="Political Subdivision"),"cost_service",IF($H2347="Investor Owned",IF(AND(COUNTIF(Parameters!$A$4:$A$33,$G2347)&gt;0,COUNTIF(Parameters!$B$4:$B$33,$B2347)=0),"procurement","cost_service"),"unclassified"))))))</f>
        <v>procurement</v>
      </c>
    </row>
    <row r="2348" spans="1:26" x14ac:dyDescent="0.25">
      <c r="A2348">
        <v>2024</v>
      </c>
      <c r="B2348">
        <v>61059</v>
      </c>
      <c r="C2348" t="s">
        <v>1594</v>
      </c>
      <c r="D2348" t="s">
        <v>99</v>
      </c>
      <c r="E2348" t="s">
        <v>100</v>
      </c>
      <c r="F2348" t="s">
        <v>86</v>
      </c>
      <c r="G2348" t="s">
        <v>55</v>
      </c>
      <c r="H2348" t="s">
        <v>101</v>
      </c>
      <c r="I2348" t="s">
        <v>92</v>
      </c>
      <c r="J2348">
        <v>1760.4</v>
      </c>
      <c r="K2348">
        <v>21697</v>
      </c>
      <c r="L2348">
        <v>5282</v>
      </c>
      <c r="M2348">
        <v>49.6</v>
      </c>
      <c r="N2348">
        <v>662</v>
      </c>
      <c r="O2348">
        <v>121</v>
      </c>
      <c r="P2348">
        <v>0</v>
      </c>
      <c r="Q2348">
        <v>0</v>
      </c>
      <c r="R2348">
        <v>0</v>
      </c>
      <c r="S2348">
        <v>0</v>
      </c>
      <c r="T2348">
        <v>0</v>
      </c>
      <c r="U2348">
        <v>0</v>
      </c>
      <c r="V2348">
        <v>1810</v>
      </c>
      <c r="W2348">
        <v>22359</v>
      </c>
      <c r="X2348">
        <v>5403</v>
      </c>
      <c r="Y2348">
        <f t="shared" si="36"/>
        <v>22359</v>
      </c>
      <c r="Z2348" t="str">
        <f>IF(ISNUMBER(SEARCH("Adjustment",$C2348)),"excluded",IF($H2348="Behind the Meter","excluded",IF(NOT(OR($E2348="Bundled",$E2348="Energy")),"excluded",IF(OR($H2348="Retail Power Marketer",$H2348="Community Choice Aggregator",$E2348="Energy"),"procurement",IF(OR($H2348="Municipal",$H2348="Cooperative",$H2348="Federal",$H2348="State",$H2348="Political Subdivision"),"cost_service",IF($H2348="Investor Owned",IF(AND(COUNTIF(Parameters!$A$4:$A$33,$G2348)&gt;0,COUNTIF(Parameters!$B$4:$B$33,$B2348)=0),"procurement","cost_service"),"unclassified"))))))</f>
        <v>procurement</v>
      </c>
    </row>
    <row r="2349" spans="1:26" x14ac:dyDescent="0.25">
      <c r="A2349">
        <v>2024</v>
      </c>
      <c r="B2349">
        <v>61083</v>
      </c>
      <c r="C2349" t="s">
        <v>1595</v>
      </c>
      <c r="D2349" t="s">
        <v>99</v>
      </c>
      <c r="E2349" t="s">
        <v>100</v>
      </c>
      <c r="F2349" t="s">
        <v>86</v>
      </c>
      <c r="G2349" t="s">
        <v>115</v>
      </c>
      <c r="H2349" t="s">
        <v>1464</v>
      </c>
      <c r="I2349" t="s">
        <v>116</v>
      </c>
      <c r="J2349">
        <v>13508</v>
      </c>
      <c r="K2349">
        <v>84710</v>
      </c>
      <c r="L2349">
        <v>15000</v>
      </c>
      <c r="M2349">
        <v>11335</v>
      </c>
      <c r="N2349">
        <v>86015</v>
      </c>
      <c r="O2349">
        <v>1743</v>
      </c>
      <c r="P2349">
        <v>3619</v>
      </c>
      <c r="Q2349">
        <v>31419</v>
      </c>
      <c r="R2349">
        <v>33</v>
      </c>
      <c r="S2349" t="s">
        <v>97</v>
      </c>
      <c r="T2349" t="s">
        <v>97</v>
      </c>
      <c r="U2349" t="s">
        <v>97</v>
      </c>
      <c r="V2349">
        <v>28462</v>
      </c>
      <c r="W2349">
        <v>202144</v>
      </c>
      <c r="X2349">
        <v>16776</v>
      </c>
      <c r="Y2349">
        <f t="shared" si="36"/>
        <v>202144</v>
      </c>
      <c r="Z2349" t="str">
        <f>IF(ISNUMBER(SEARCH("Adjustment",$C2349)),"excluded",IF($H2349="Behind the Meter","excluded",IF(NOT(OR($E2349="Bundled",$E2349="Energy")),"excluded",IF(OR($H2349="Retail Power Marketer",$H2349="Community Choice Aggregator",$E2349="Energy"),"procurement",IF(OR($H2349="Municipal",$H2349="Cooperative",$H2349="Federal",$H2349="State",$H2349="Political Subdivision"),"cost_service",IF($H2349="Investor Owned",IF(AND(COUNTIF(Parameters!$A$4:$A$33,$G2349)&gt;0,COUNTIF(Parameters!$B$4:$B$33,$B2349)=0),"procurement","cost_service"),"unclassified"))))))</f>
        <v>procurement</v>
      </c>
    </row>
    <row r="2350" spans="1:26" x14ac:dyDescent="0.25">
      <c r="A2350">
        <v>2024</v>
      </c>
      <c r="B2350">
        <v>61092</v>
      </c>
      <c r="C2350" t="s">
        <v>1596</v>
      </c>
      <c r="D2350" t="s">
        <v>99</v>
      </c>
      <c r="E2350" t="s">
        <v>100</v>
      </c>
      <c r="F2350" t="s">
        <v>86</v>
      </c>
      <c r="G2350" t="s">
        <v>46</v>
      </c>
      <c r="H2350" t="s">
        <v>101</v>
      </c>
      <c r="I2350" t="s">
        <v>92</v>
      </c>
      <c r="J2350">
        <v>2482</v>
      </c>
      <c r="K2350">
        <v>20042</v>
      </c>
      <c r="L2350">
        <v>2989</v>
      </c>
      <c r="M2350">
        <v>531</v>
      </c>
      <c r="N2350">
        <v>4795</v>
      </c>
      <c r="O2350">
        <v>163</v>
      </c>
      <c r="P2350">
        <v>0</v>
      </c>
      <c r="Q2350">
        <v>0</v>
      </c>
      <c r="R2350">
        <v>0</v>
      </c>
      <c r="S2350">
        <v>0</v>
      </c>
      <c r="T2350">
        <v>0</v>
      </c>
      <c r="U2350">
        <v>0</v>
      </c>
      <c r="V2350">
        <v>3013</v>
      </c>
      <c r="W2350">
        <v>24837</v>
      </c>
      <c r="X2350">
        <v>3152</v>
      </c>
      <c r="Y2350">
        <f t="shared" si="36"/>
        <v>24837</v>
      </c>
      <c r="Z2350" t="str">
        <f>IF(ISNUMBER(SEARCH("Adjustment",$C2350)),"excluded",IF($H2350="Behind the Meter","excluded",IF(NOT(OR($E2350="Bundled",$E2350="Energy")),"excluded",IF(OR($H2350="Retail Power Marketer",$H2350="Community Choice Aggregator",$E2350="Energy"),"procurement",IF(OR($H2350="Municipal",$H2350="Cooperative",$H2350="Federal",$H2350="State",$H2350="Political Subdivision"),"cost_service",IF($H2350="Investor Owned",IF(AND(COUNTIF(Parameters!$A$4:$A$33,$G2350)&gt;0,COUNTIF(Parameters!$B$4:$B$33,$B2350)=0),"procurement","cost_service"),"unclassified"))))))</f>
        <v>procurement</v>
      </c>
    </row>
    <row r="2351" spans="1:26" x14ac:dyDescent="0.25">
      <c r="A2351">
        <v>2024</v>
      </c>
      <c r="B2351">
        <v>61131</v>
      </c>
      <c r="C2351" t="s">
        <v>1597</v>
      </c>
      <c r="D2351" t="s">
        <v>99</v>
      </c>
      <c r="E2351" t="s">
        <v>100</v>
      </c>
      <c r="F2351" t="s">
        <v>86</v>
      </c>
      <c r="G2351" t="s">
        <v>42</v>
      </c>
      <c r="H2351" t="s">
        <v>101</v>
      </c>
      <c r="I2351" t="s">
        <v>92</v>
      </c>
      <c r="J2351">
        <v>0</v>
      </c>
      <c r="K2351">
        <v>0</v>
      </c>
      <c r="L2351">
        <v>0</v>
      </c>
      <c r="M2351">
        <v>13892</v>
      </c>
      <c r="N2351">
        <v>124749</v>
      </c>
      <c r="O2351">
        <v>103</v>
      </c>
      <c r="P2351">
        <v>0</v>
      </c>
      <c r="Q2351">
        <v>0</v>
      </c>
      <c r="R2351">
        <v>0</v>
      </c>
      <c r="S2351">
        <v>0</v>
      </c>
      <c r="T2351">
        <v>0</v>
      </c>
      <c r="U2351">
        <v>0</v>
      </c>
      <c r="V2351">
        <v>13892</v>
      </c>
      <c r="W2351">
        <v>124749</v>
      </c>
      <c r="X2351">
        <v>103</v>
      </c>
      <c r="Y2351">
        <f t="shared" si="36"/>
        <v>124749</v>
      </c>
      <c r="Z2351" t="str">
        <f>IF(ISNUMBER(SEARCH("Adjustment",$C2351)),"excluded",IF($H2351="Behind the Meter","excluded",IF(NOT(OR($E2351="Bundled",$E2351="Energy")),"excluded",IF(OR($H2351="Retail Power Marketer",$H2351="Community Choice Aggregator",$E2351="Energy"),"procurement",IF(OR($H2351="Municipal",$H2351="Cooperative",$H2351="Federal",$H2351="State",$H2351="Political Subdivision"),"cost_service",IF($H2351="Investor Owned",IF(AND(COUNTIF(Parameters!$A$4:$A$33,$G2351)&gt;0,COUNTIF(Parameters!$B$4:$B$33,$B2351)=0),"procurement","cost_service"),"unclassified"))))))</f>
        <v>procurement</v>
      </c>
    </row>
    <row r="2352" spans="1:26" x14ac:dyDescent="0.25">
      <c r="A2352">
        <v>2024</v>
      </c>
      <c r="B2352">
        <v>61131</v>
      </c>
      <c r="C2352" t="s">
        <v>1597</v>
      </c>
      <c r="D2352" t="s">
        <v>99</v>
      </c>
      <c r="E2352" t="s">
        <v>100</v>
      </c>
      <c r="F2352" t="s">
        <v>86</v>
      </c>
      <c r="G2352" t="s">
        <v>44</v>
      </c>
      <c r="H2352" t="s">
        <v>101</v>
      </c>
      <c r="I2352" t="s">
        <v>92</v>
      </c>
      <c r="J2352">
        <v>0</v>
      </c>
      <c r="K2352">
        <v>0</v>
      </c>
      <c r="L2352">
        <v>0</v>
      </c>
      <c r="M2352">
        <v>10164</v>
      </c>
      <c r="N2352">
        <v>108268</v>
      </c>
      <c r="O2352">
        <v>313</v>
      </c>
      <c r="P2352">
        <v>0</v>
      </c>
      <c r="Q2352">
        <v>0</v>
      </c>
      <c r="R2352">
        <v>0</v>
      </c>
      <c r="S2352">
        <v>0</v>
      </c>
      <c r="T2352">
        <v>0</v>
      </c>
      <c r="U2352">
        <v>0</v>
      </c>
      <c r="V2352">
        <v>10164</v>
      </c>
      <c r="W2352">
        <v>108268</v>
      </c>
      <c r="X2352">
        <v>313</v>
      </c>
      <c r="Y2352">
        <f t="shared" si="36"/>
        <v>108268</v>
      </c>
      <c r="Z2352" t="str">
        <f>IF(ISNUMBER(SEARCH("Adjustment",$C2352)),"excluded",IF($H2352="Behind the Meter","excluded",IF(NOT(OR($E2352="Bundled",$E2352="Energy")),"excluded",IF(OR($H2352="Retail Power Marketer",$H2352="Community Choice Aggregator",$E2352="Energy"),"procurement",IF(OR($H2352="Municipal",$H2352="Cooperative",$H2352="Federal",$H2352="State",$H2352="Political Subdivision"),"cost_service",IF($H2352="Investor Owned",IF(AND(COUNTIF(Parameters!$A$4:$A$33,$G2352)&gt;0,COUNTIF(Parameters!$B$4:$B$33,$B2352)=0),"procurement","cost_service"),"unclassified"))))))</f>
        <v>procurement</v>
      </c>
    </row>
    <row r="2353" spans="1:26" x14ac:dyDescent="0.25">
      <c r="A2353">
        <v>2024</v>
      </c>
      <c r="B2353">
        <v>61131</v>
      </c>
      <c r="C2353" t="s">
        <v>1597</v>
      </c>
      <c r="D2353" t="s">
        <v>99</v>
      </c>
      <c r="E2353" t="s">
        <v>100</v>
      </c>
      <c r="F2353" t="s">
        <v>86</v>
      </c>
      <c r="G2353" t="s">
        <v>46</v>
      </c>
      <c r="H2353" t="s">
        <v>101</v>
      </c>
      <c r="I2353" t="s">
        <v>92</v>
      </c>
      <c r="J2353">
        <v>0</v>
      </c>
      <c r="K2353">
        <v>0</v>
      </c>
      <c r="L2353">
        <v>0</v>
      </c>
      <c r="M2353">
        <v>40258</v>
      </c>
      <c r="N2353">
        <v>591065</v>
      </c>
      <c r="O2353">
        <v>1317</v>
      </c>
      <c r="P2353">
        <v>0</v>
      </c>
      <c r="Q2353">
        <v>0</v>
      </c>
      <c r="R2353">
        <v>0</v>
      </c>
      <c r="S2353">
        <v>0</v>
      </c>
      <c r="T2353">
        <v>0</v>
      </c>
      <c r="U2353">
        <v>0</v>
      </c>
      <c r="V2353">
        <v>40258</v>
      </c>
      <c r="W2353">
        <v>591065</v>
      </c>
      <c r="X2353">
        <v>1317</v>
      </c>
      <c r="Y2353">
        <f t="shared" si="36"/>
        <v>591065</v>
      </c>
      <c r="Z2353" t="str">
        <f>IF(ISNUMBER(SEARCH("Adjustment",$C2353)),"excluded",IF($H2353="Behind the Meter","excluded",IF(NOT(OR($E2353="Bundled",$E2353="Energy")),"excluded",IF(OR($H2353="Retail Power Marketer",$H2353="Community Choice Aggregator",$E2353="Energy"),"procurement",IF(OR($H2353="Municipal",$H2353="Cooperative",$H2353="Federal",$H2353="State",$H2353="Political Subdivision"),"cost_service",IF($H2353="Investor Owned",IF(AND(COUNTIF(Parameters!$A$4:$A$33,$G2353)&gt;0,COUNTIF(Parameters!$B$4:$B$33,$B2353)=0),"procurement","cost_service"),"unclassified"))))))</f>
        <v>procurement</v>
      </c>
    </row>
    <row r="2354" spans="1:26" x14ac:dyDescent="0.25">
      <c r="A2354">
        <v>2024</v>
      </c>
      <c r="B2354">
        <v>61131</v>
      </c>
      <c r="C2354" t="s">
        <v>1597</v>
      </c>
      <c r="D2354" t="s">
        <v>99</v>
      </c>
      <c r="E2354" t="s">
        <v>100</v>
      </c>
      <c r="F2354" t="s">
        <v>86</v>
      </c>
      <c r="G2354" t="s">
        <v>49</v>
      </c>
      <c r="H2354" t="s">
        <v>101</v>
      </c>
      <c r="I2354" t="s">
        <v>92</v>
      </c>
      <c r="J2354">
        <v>0</v>
      </c>
      <c r="K2354">
        <v>0</v>
      </c>
      <c r="L2354">
        <v>0</v>
      </c>
      <c r="M2354">
        <v>72613</v>
      </c>
      <c r="N2354">
        <v>738582</v>
      </c>
      <c r="O2354">
        <v>705</v>
      </c>
      <c r="P2354">
        <v>0</v>
      </c>
      <c r="Q2354">
        <v>0</v>
      </c>
      <c r="R2354">
        <v>0</v>
      </c>
      <c r="S2354">
        <v>0</v>
      </c>
      <c r="T2354">
        <v>0</v>
      </c>
      <c r="U2354">
        <v>0</v>
      </c>
      <c r="V2354">
        <v>72613</v>
      </c>
      <c r="W2354">
        <v>738582</v>
      </c>
      <c r="X2354">
        <v>705</v>
      </c>
      <c r="Y2354">
        <f t="shared" si="36"/>
        <v>738582</v>
      </c>
      <c r="Z2354" t="str">
        <f>IF(ISNUMBER(SEARCH("Adjustment",$C2354)),"excluded",IF($H2354="Behind the Meter","excluded",IF(NOT(OR($E2354="Bundled",$E2354="Energy")),"excluded",IF(OR($H2354="Retail Power Marketer",$H2354="Community Choice Aggregator",$E2354="Energy"),"procurement",IF(OR($H2354="Municipal",$H2354="Cooperative",$H2354="Federal",$H2354="State",$H2354="Political Subdivision"),"cost_service",IF($H2354="Investor Owned",IF(AND(COUNTIF(Parameters!$A$4:$A$33,$G2354)&gt;0,COUNTIF(Parameters!$B$4:$B$33,$B2354)=0),"procurement","cost_service"),"unclassified"))))))</f>
        <v>procurement</v>
      </c>
    </row>
    <row r="2355" spans="1:26" x14ac:dyDescent="0.25">
      <c r="A2355">
        <v>2024</v>
      </c>
      <c r="B2355">
        <v>61131</v>
      </c>
      <c r="C2355" t="s">
        <v>1597</v>
      </c>
      <c r="D2355" t="s">
        <v>99</v>
      </c>
      <c r="E2355" t="s">
        <v>100</v>
      </c>
      <c r="F2355" t="s">
        <v>86</v>
      </c>
      <c r="G2355" t="s">
        <v>52</v>
      </c>
      <c r="H2355" t="s">
        <v>101</v>
      </c>
      <c r="I2355" t="s">
        <v>92</v>
      </c>
      <c r="J2355">
        <v>0</v>
      </c>
      <c r="K2355">
        <v>0</v>
      </c>
      <c r="L2355">
        <v>0</v>
      </c>
      <c r="M2355">
        <v>63895</v>
      </c>
      <c r="N2355">
        <v>642866</v>
      </c>
      <c r="O2355">
        <v>440</v>
      </c>
      <c r="P2355">
        <v>0</v>
      </c>
      <c r="Q2355">
        <v>0</v>
      </c>
      <c r="R2355">
        <v>0</v>
      </c>
      <c r="S2355">
        <v>0</v>
      </c>
      <c r="T2355">
        <v>0</v>
      </c>
      <c r="U2355">
        <v>0</v>
      </c>
      <c r="V2355">
        <v>63895</v>
      </c>
      <c r="W2355">
        <v>642866</v>
      </c>
      <c r="X2355">
        <v>440</v>
      </c>
      <c r="Y2355">
        <f t="shared" si="36"/>
        <v>642866</v>
      </c>
      <c r="Z2355" t="str">
        <f>IF(ISNUMBER(SEARCH("Adjustment",$C2355)),"excluded",IF($H2355="Behind the Meter","excluded",IF(NOT(OR($E2355="Bundled",$E2355="Energy")),"excluded",IF(OR($H2355="Retail Power Marketer",$H2355="Community Choice Aggregator",$E2355="Energy"),"procurement",IF(OR($H2355="Municipal",$H2355="Cooperative",$H2355="Federal",$H2355="State",$H2355="Political Subdivision"),"cost_service",IF($H2355="Investor Owned",IF(AND(COUNTIF(Parameters!$A$4:$A$33,$G2355)&gt;0,COUNTIF(Parameters!$B$4:$B$33,$B2355)=0),"procurement","cost_service"),"unclassified"))))))</f>
        <v>procurement</v>
      </c>
    </row>
    <row r="2356" spans="1:26" x14ac:dyDescent="0.25">
      <c r="A2356">
        <v>2024</v>
      </c>
      <c r="B2356">
        <v>61131</v>
      </c>
      <c r="C2356" t="s">
        <v>1597</v>
      </c>
      <c r="D2356" t="s">
        <v>99</v>
      </c>
      <c r="E2356" t="s">
        <v>100</v>
      </c>
      <c r="F2356" t="s">
        <v>86</v>
      </c>
      <c r="G2356" t="s">
        <v>53</v>
      </c>
      <c r="H2356" t="s">
        <v>101</v>
      </c>
      <c r="I2356" t="s">
        <v>102</v>
      </c>
      <c r="J2356">
        <v>0</v>
      </c>
      <c r="K2356">
        <v>0</v>
      </c>
      <c r="L2356">
        <v>0</v>
      </c>
      <c r="M2356">
        <v>24018</v>
      </c>
      <c r="N2356">
        <v>260361</v>
      </c>
      <c r="O2356">
        <v>81</v>
      </c>
      <c r="P2356">
        <v>0</v>
      </c>
      <c r="Q2356">
        <v>0</v>
      </c>
      <c r="R2356">
        <v>0</v>
      </c>
      <c r="S2356">
        <v>0</v>
      </c>
      <c r="T2356">
        <v>0</v>
      </c>
      <c r="U2356">
        <v>0</v>
      </c>
      <c r="V2356">
        <v>24018</v>
      </c>
      <c r="W2356">
        <v>260361</v>
      </c>
      <c r="X2356">
        <v>81</v>
      </c>
      <c r="Y2356">
        <f t="shared" si="36"/>
        <v>260361</v>
      </c>
      <c r="Z2356" t="str">
        <f>IF(ISNUMBER(SEARCH("Adjustment",$C2356)),"excluded",IF($H2356="Behind the Meter","excluded",IF(NOT(OR($E2356="Bundled",$E2356="Energy")),"excluded",IF(OR($H2356="Retail Power Marketer",$H2356="Community Choice Aggregator",$E2356="Energy"),"procurement",IF(OR($H2356="Municipal",$H2356="Cooperative",$H2356="Federal",$H2356="State",$H2356="Political Subdivision"),"cost_service",IF($H2356="Investor Owned",IF(AND(COUNTIF(Parameters!$A$4:$A$33,$G2356)&gt;0,COUNTIF(Parameters!$B$4:$B$33,$B2356)=0),"procurement","cost_service"),"unclassified"))))))</f>
        <v>procurement</v>
      </c>
    </row>
    <row r="2357" spans="1:26" x14ac:dyDescent="0.25">
      <c r="A2357">
        <v>2024</v>
      </c>
      <c r="B2357">
        <v>61131</v>
      </c>
      <c r="C2357" t="s">
        <v>1597</v>
      </c>
      <c r="D2357" t="s">
        <v>99</v>
      </c>
      <c r="E2357" t="s">
        <v>100</v>
      </c>
      <c r="F2357" t="s">
        <v>86</v>
      </c>
      <c r="G2357" t="s">
        <v>54</v>
      </c>
      <c r="H2357" t="s">
        <v>101</v>
      </c>
      <c r="I2357" t="s">
        <v>92</v>
      </c>
      <c r="J2357">
        <v>0</v>
      </c>
      <c r="K2357">
        <v>0</v>
      </c>
      <c r="L2357">
        <v>0</v>
      </c>
      <c r="M2357">
        <v>195786</v>
      </c>
      <c r="N2357">
        <v>3463543</v>
      </c>
      <c r="O2357">
        <v>4607</v>
      </c>
      <c r="P2357">
        <v>0</v>
      </c>
      <c r="Q2357">
        <v>0</v>
      </c>
      <c r="R2357">
        <v>0</v>
      </c>
      <c r="S2357">
        <v>0</v>
      </c>
      <c r="T2357">
        <v>0</v>
      </c>
      <c r="U2357">
        <v>0</v>
      </c>
      <c r="V2357">
        <v>195786</v>
      </c>
      <c r="W2357">
        <v>3463543</v>
      </c>
      <c r="X2357">
        <v>4607</v>
      </c>
      <c r="Y2357">
        <f t="shared" si="36"/>
        <v>3463543</v>
      </c>
      <c r="Z2357" t="str">
        <f>IF(ISNUMBER(SEARCH("Adjustment",$C2357)),"excluded",IF($H2357="Behind the Meter","excluded",IF(NOT(OR($E2357="Bundled",$E2357="Energy")),"excluded",IF(OR($H2357="Retail Power Marketer",$H2357="Community Choice Aggregator",$E2357="Energy"),"procurement",IF(OR($H2357="Municipal",$H2357="Cooperative",$H2357="Federal",$H2357="State",$H2357="Political Subdivision"),"cost_service",IF($H2357="Investor Owned",IF(AND(COUNTIF(Parameters!$A$4:$A$33,$G2357)&gt;0,COUNTIF(Parameters!$B$4:$B$33,$B2357)=0),"procurement","cost_service"),"unclassified"))))))</f>
        <v>procurement</v>
      </c>
    </row>
    <row r="2358" spans="1:26" x14ac:dyDescent="0.25">
      <c r="A2358">
        <v>2024</v>
      </c>
      <c r="B2358">
        <v>61131</v>
      </c>
      <c r="C2358" t="s">
        <v>1597</v>
      </c>
      <c r="D2358" t="s">
        <v>99</v>
      </c>
      <c r="E2358" t="s">
        <v>100</v>
      </c>
      <c r="F2358" t="s">
        <v>86</v>
      </c>
      <c r="G2358" t="s">
        <v>55</v>
      </c>
      <c r="H2358" t="s">
        <v>101</v>
      </c>
      <c r="I2358" t="s">
        <v>92</v>
      </c>
      <c r="J2358">
        <v>0</v>
      </c>
      <c r="K2358">
        <v>0</v>
      </c>
      <c r="L2358">
        <v>0</v>
      </c>
      <c r="M2358">
        <v>254101</v>
      </c>
      <c r="N2358">
        <v>3036421</v>
      </c>
      <c r="O2358">
        <v>2745</v>
      </c>
      <c r="P2358">
        <v>0</v>
      </c>
      <c r="Q2358">
        <v>0</v>
      </c>
      <c r="R2358">
        <v>0</v>
      </c>
      <c r="S2358">
        <v>0</v>
      </c>
      <c r="T2358">
        <v>0</v>
      </c>
      <c r="U2358">
        <v>0</v>
      </c>
      <c r="V2358">
        <v>254101</v>
      </c>
      <c r="W2358">
        <v>3036421</v>
      </c>
      <c r="X2358">
        <v>2745</v>
      </c>
      <c r="Y2358">
        <f t="shared" si="36"/>
        <v>3036421</v>
      </c>
      <c r="Z2358" t="str">
        <f>IF(ISNUMBER(SEARCH("Adjustment",$C2358)),"excluded",IF($H2358="Behind the Meter","excluded",IF(NOT(OR($E2358="Bundled",$E2358="Energy")),"excluded",IF(OR($H2358="Retail Power Marketer",$H2358="Community Choice Aggregator",$E2358="Energy"),"procurement",IF(OR($H2358="Municipal",$H2358="Cooperative",$H2358="Federal",$H2358="State",$H2358="Political Subdivision"),"cost_service",IF($H2358="Investor Owned",IF(AND(COUNTIF(Parameters!$A$4:$A$33,$G2358)&gt;0,COUNTIF(Parameters!$B$4:$B$33,$B2358)=0),"procurement","cost_service"),"unclassified"))))))</f>
        <v>procurement</v>
      </c>
    </row>
    <row r="2359" spans="1:26" x14ac:dyDescent="0.25">
      <c r="A2359">
        <v>2024</v>
      </c>
      <c r="B2359">
        <v>61131</v>
      </c>
      <c r="C2359" t="s">
        <v>1597</v>
      </c>
      <c r="D2359" t="s">
        <v>150</v>
      </c>
      <c r="E2359" t="s">
        <v>85</v>
      </c>
      <c r="F2359" t="s">
        <v>86</v>
      </c>
      <c r="G2359" t="s">
        <v>57</v>
      </c>
      <c r="H2359" t="s">
        <v>101</v>
      </c>
      <c r="I2359" t="s">
        <v>151</v>
      </c>
      <c r="J2359">
        <v>0</v>
      </c>
      <c r="K2359">
        <v>0</v>
      </c>
      <c r="L2359">
        <v>0</v>
      </c>
      <c r="M2359">
        <v>188807</v>
      </c>
      <c r="N2359">
        <v>1787843</v>
      </c>
      <c r="O2359">
        <v>2474</v>
      </c>
      <c r="P2359">
        <v>0</v>
      </c>
      <c r="Q2359">
        <v>0</v>
      </c>
      <c r="R2359">
        <v>0</v>
      </c>
      <c r="S2359">
        <v>0</v>
      </c>
      <c r="T2359">
        <v>0</v>
      </c>
      <c r="U2359">
        <v>0</v>
      </c>
      <c r="V2359">
        <v>188807</v>
      </c>
      <c r="W2359">
        <v>1787843</v>
      </c>
      <c r="X2359">
        <v>2474</v>
      </c>
      <c r="Y2359">
        <f t="shared" si="36"/>
        <v>1787843</v>
      </c>
      <c r="Z2359" t="str">
        <f>IF(ISNUMBER(SEARCH("Adjustment",$C2359)),"excluded",IF($H2359="Behind the Meter","excluded",IF(NOT(OR($E2359="Bundled",$E2359="Energy")),"excluded",IF(OR($H2359="Retail Power Marketer",$H2359="Community Choice Aggregator",$E2359="Energy"),"procurement",IF(OR($H2359="Municipal",$H2359="Cooperative",$H2359="Federal",$H2359="State",$H2359="Political Subdivision"),"cost_service",IF($H2359="Investor Owned",IF(AND(COUNTIF(Parameters!$A$4:$A$33,$G2359)&gt;0,COUNTIF(Parameters!$B$4:$B$33,$B2359)=0),"procurement","cost_service"),"unclassified"))))))</f>
        <v>procurement</v>
      </c>
    </row>
    <row r="2360" spans="1:26" x14ac:dyDescent="0.25">
      <c r="A2360">
        <v>2024</v>
      </c>
      <c r="B2360">
        <v>61200</v>
      </c>
      <c r="C2360" t="s">
        <v>1598</v>
      </c>
      <c r="D2360" t="s">
        <v>99</v>
      </c>
      <c r="E2360" t="s">
        <v>100</v>
      </c>
      <c r="F2360" t="s">
        <v>86</v>
      </c>
      <c r="G2360" t="s">
        <v>48</v>
      </c>
      <c r="H2360" t="s">
        <v>101</v>
      </c>
      <c r="I2360" t="s">
        <v>189</v>
      </c>
      <c r="J2360">
        <v>465</v>
      </c>
      <c r="K2360">
        <v>893</v>
      </c>
      <c r="L2360">
        <v>174</v>
      </c>
      <c r="M2360">
        <v>318</v>
      </c>
      <c r="N2360">
        <v>583</v>
      </c>
      <c r="O2360">
        <v>60</v>
      </c>
      <c r="P2360">
        <v>0</v>
      </c>
      <c r="Q2360">
        <v>0</v>
      </c>
      <c r="R2360">
        <v>0</v>
      </c>
      <c r="S2360">
        <v>0</v>
      </c>
      <c r="T2360">
        <v>0</v>
      </c>
      <c r="U2360">
        <v>0</v>
      </c>
      <c r="V2360">
        <v>783</v>
      </c>
      <c r="W2360">
        <v>1476</v>
      </c>
      <c r="X2360">
        <v>234</v>
      </c>
      <c r="Y2360">
        <f t="shared" si="36"/>
        <v>1476</v>
      </c>
      <c r="Z2360" t="str">
        <f>IF(ISNUMBER(SEARCH("Adjustment",$C2360)),"excluded",IF($H2360="Behind the Meter","excluded",IF(NOT(OR($E2360="Bundled",$E2360="Energy")),"excluded",IF(OR($H2360="Retail Power Marketer",$H2360="Community Choice Aggregator",$E2360="Energy"),"procurement",IF(OR($H2360="Municipal",$H2360="Cooperative",$H2360="Federal",$H2360="State",$H2360="Political Subdivision"),"cost_service",IF($H2360="Investor Owned",IF(AND(COUNTIF(Parameters!$A$4:$A$33,$G2360)&gt;0,COUNTIF(Parameters!$B$4:$B$33,$B2360)=0),"procurement","cost_service"),"unclassified"))))))</f>
        <v>procurement</v>
      </c>
    </row>
    <row r="2361" spans="1:26" x14ac:dyDescent="0.25">
      <c r="A2361">
        <v>2024</v>
      </c>
      <c r="B2361">
        <v>61200</v>
      </c>
      <c r="C2361" t="s">
        <v>1598</v>
      </c>
      <c r="D2361" t="s">
        <v>99</v>
      </c>
      <c r="E2361" t="s">
        <v>100</v>
      </c>
      <c r="F2361" t="s">
        <v>86</v>
      </c>
      <c r="G2361" t="s">
        <v>51</v>
      </c>
      <c r="H2361" t="s">
        <v>101</v>
      </c>
      <c r="I2361" t="s">
        <v>189</v>
      </c>
      <c r="J2361">
        <v>8</v>
      </c>
      <c r="K2361">
        <v>16</v>
      </c>
      <c r="L2361">
        <v>17</v>
      </c>
      <c r="M2361">
        <v>6</v>
      </c>
      <c r="N2361">
        <v>17</v>
      </c>
      <c r="O2361">
        <v>6</v>
      </c>
      <c r="P2361">
        <v>0</v>
      </c>
      <c r="Q2361">
        <v>0</v>
      </c>
      <c r="R2361">
        <v>0</v>
      </c>
      <c r="S2361">
        <v>0</v>
      </c>
      <c r="T2361">
        <v>0</v>
      </c>
      <c r="U2361">
        <v>0</v>
      </c>
      <c r="V2361">
        <v>14</v>
      </c>
      <c r="W2361">
        <v>33</v>
      </c>
      <c r="X2361">
        <v>23</v>
      </c>
      <c r="Y2361">
        <f t="shared" si="36"/>
        <v>33</v>
      </c>
      <c r="Z2361" t="str">
        <f>IF(ISNUMBER(SEARCH("Adjustment",$C2361)),"excluded",IF($H2361="Behind the Meter","excluded",IF(NOT(OR($E2361="Bundled",$E2361="Energy")),"excluded",IF(OR($H2361="Retail Power Marketer",$H2361="Community Choice Aggregator",$E2361="Energy"),"procurement",IF(OR($H2361="Municipal",$H2361="Cooperative",$H2361="Federal",$H2361="State",$H2361="Political Subdivision"),"cost_service",IF($H2361="Investor Owned",IF(AND(COUNTIF(Parameters!$A$4:$A$33,$G2361)&gt;0,COUNTIF(Parameters!$B$4:$B$33,$B2361)=0),"procurement","cost_service"),"unclassified"))))))</f>
        <v>procurement</v>
      </c>
    </row>
    <row r="2362" spans="1:26" x14ac:dyDescent="0.25">
      <c r="A2362">
        <v>2024</v>
      </c>
      <c r="B2362">
        <v>61201</v>
      </c>
      <c r="C2362" t="s">
        <v>1599</v>
      </c>
      <c r="D2362" t="s">
        <v>99</v>
      </c>
      <c r="E2362" t="s">
        <v>100</v>
      </c>
      <c r="F2362" t="s">
        <v>86</v>
      </c>
      <c r="G2362" t="s">
        <v>44</v>
      </c>
      <c r="H2362" t="s">
        <v>101</v>
      </c>
      <c r="I2362" t="s">
        <v>92</v>
      </c>
      <c r="J2362">
        <v>271</v>
      </c>
      <c r="K2362">
        <v>1727</v>
      </c>
      <c r="L2362">
        <v>172</v>
      </c>
      <c r="M2362">
        <v>27</v>
      </c>
      <c r="N2362">
        <v>170</v>
      </c>
      <c r="O2362">
        <v>10</v>
      </c>
      <c r="P2362">
        <v>0</v>
      </c>
      <c r="Q2362">
        <v>0</v>
      </c>
      <c r="R2362">
        <v>0</v>
      </c>
      <c r="S2362">
        <v>0</v>
      </c>
      <c r="T2362">
        <v>0</v>
      </c>
      <c r="U2362">
        <v>0</v>
      </c>
      <c r="V2362">
        <v>298</v>
      </c>
      <c r="W2362">
        <v>1897</v>
      </c>
      <c r="X2362">
        <v>182</v>
      </c>
      <c r="Y2362">
        <f t="shared" si="36"/>
        <v>1897</v>
      </c>
      <c r="Z2362" t="str">
        <f>IF(ISNUMBER(SEARCH("Adjustment",$C2362)),"excluded",IF($H2362="Behind the Meter","excluded",IF(NOT(OR($E2362="Bundled",$E2362="Energy")),"excluded",IF(OR($H2362="Retail Power Marketer",$H2362="Community Choice Aggregator",$E2362="Energy"),"procurement",IF(OR($H2362="Municipal",$H2362="Cooperative",$H2362="Federal",$H2362="State",$H2362="Political Subdivision"),"cost_service",IF($H2362="Investor Owned",IF(AND(COUNTIF(Parameters!$A$4:$A$33,$G2362)&gt;0,COUNTIF(Parameters!$B$4:$B$33,$B2362)=0),"procurement","cost_service"),"unclassified"))))))</f>
        <v>procurement</v>
      </c>
    </row>
    <row r="2363" spans="1:26" x14ac:dyDescent="0.25">
      <c r="A2363">
        <v>2024</v>
      </c>
      <c r="B2363">
        <v>61206</v>
      </c>
      <c r="C2363" t="s">
        <v>1600</v>
      </c>
      <c r="D2363" t="s">
        <v>150</v>
      </c>
      <c r="E2363" t="s">
        <v>85</v>
      </c>
      <c r="F2363" t="s">
        <v>86</v>
      </c>
      <c r="G2363" t="s">
        <v>57</v>
      </c>
      <c r="H2363" t="s">
        <v>101</v>
      </c>
      <c r="I2363" t="s">
        <v>151</v>
      </c>
      <c r="J2363">
        <v>0</v>
      </c>
      <c r="K2363">
        <v>0</v>
      </c>
      <c r="L2363">
        <v>0</v>
      </c>
      <c r="M2363">
        <v>5943.5</v>
      </c>
      <c r="N2363">
        <v>156259</v>
      </c>
      <c r="O2363">
        <v>5</v>
      </c>
      <c r="P2363">
        <v>45135.5</v>
      </c>
      <c r="Q2363">
        <v>803035</v>
      </c>
      <c r="R2363">
        <v>6</v>
      </c>
      <c r="S2363">
        <v>0</v>
      </c>
      <c r="T2363">
        <v>0</v>
      </c>
      <c r="U2363">
        <v>0</v>
      </c>
      <c r="V2363">
        <v>51079</v>
      </c>
      <c r="W2363">
        <v>959294</v>
      </c>
      <c r="X2363">
        <v>11</v>
      </c>
      <c r="Y2363">
        <f t="shared" si="36"/>
        <v>959294</v>
      </c>
      <c r="Z2363" t="str">
        <f>IF(ISNUMBER(SEARCH("Adjustment",$C2363)),"excluded",IF($H2363="Behind the Meter","excluded",IF(NOT(OR($E2363="Bundled",$E2363="Energy")),"excluded",IF(OR($H2363="Retail Power Marketer",$H2363="Community Choice Aggregator",$E2363="Energy"),"procurement",IF(OR($H2363="Municipal",$H2363="Cooperative",$H2363="Federal",$H2363="State",$H2363="Political Subdivision"),"cost_service",IF($H2363="Investor Owned",IF(AND(COUNTIF(Parameters!$A$4:$A$33,$G2363)&gt;0,COUNTIF(Parameters!$B$4:$B$33,$B2363)=0),"procurement","cost_service"),"unclassified"))))))</f>
        <v>procurement</v>
      </c>
    </row>
    <row r="2364" spans="1:26" x14ac:dyDescent="0.25">
      <c r="A2364">
        <v>2024</v>
      </c>
      <c r="B2364">
        <v>61264</v>
      </c>
      <c r="C2364" t="s">
        <v>1601</v>
      </c>
      <c r="D2364" t="s">
        <v>150</v>
      </c>
      <c r="E2364" t="s">
        <v>85</v>
      </c>
      <c r="F2364" t="s">
        <v>86</v>
      </c>
      <c r="G2364" t="s">
        <v>57</v>
      </c>
      <c r="H2364" t="s">
        <v>101</v>
      </c>
      <c r="I2364" t="s">
        <v>151</v>
      </c>
      <c r="J2364">
        <v>6637.6</v>
      </c>
      <c r="K2364">
        <v>45874</v>
      </c>
      <c r="L2364">
        <v>3235</v>
      </c>
      <c r="M2364">
        <v>4181.1000000000004</v>
      </c>
      <c r="N2364">
        <v>32140</v>
      </c>
      <c r="O2364">
        <v>742</v>
      </c>
      <c r="P2364">
        <v>0</v>
      </c>
      <c r="Q2364">
        <v>0</v>
      </c>
      <c r="R2364">
        <v>0</v>
      </c>
      <c r="S2364">
        <v>0</v>
      </c>
      <c r="T2364">
        <v>0</v>
      </c>
      <c r="U2364">
        <v>0</v>
      </c>
      <c r="V2364">
        <v>10818.7</v>
      </c>
      <c r="W2364">
        <v>78014</v>
      </c>
      <c r="X2364">
        <v>3977</v>
      </c>
      <c r="Y2364">
        <f t="shared" si="36"/>
        <v>78014</v>
      </c>
      <c r="Z2364" t="str">
        <f>IF(ISNUMBER(SEARCH("Adjustment",$C2364)),"excluded",IF($H2364="Behind the Meter","excluded",IF(NOT(OR($E2364="Bundled",$E2364="Energy")),"excluded",IF(OR($H2364="Retail Power Marketer",$H2364="Community Choice Aggregator",$E2364="Energy"),"procurement",IF(OR($H2364="Municipal",$H2364="Cooperative",$H2364="Federal",$H2364="State",$H2364="Political Subdivision"),"cost_service",IF($H2364="Investor Owned",IF(AND(COUNTIF(Parameters!$A$4:$A$33,$G2364)&gt;0,COUNTIF(Parameters!$B$4:$B$33,$B2364)=0),"procurement","cost_service"),"unclassified"))))))</f>
        <v>procurement</v>
      </c>
    </row>
    <row r="2365" spans="1:26" x14ac:dyDescent="0.25">
      <c r="A2365">
        <v>2024</v>
      </c>
      <c r="B2365">
        <v>61265</v>
      </c>
      <c r="C2365" t="s">
        <v>1602</v>
      </c>
      <c r="D2365" t="s">
        <v>150</v>
      </c>
      <c r="E2365" t="s">
        <v>85</v>
      </c>
      <c r="F2365" t="s">
        <v>86</v>
      </c>
      <c r="G2365" t="s">
        <v>57</v>
      </c>
      <c r="H2365" t="s">
        <v>101</v>
      </c>
      <c r="I2365" t="s">
        <v>151</v>
      </c>
      <c r="J2365">
        <v>24458.2</v>
      </c>
      <c r="K2365">
        <v>144508</v>
      </c>
      <c r="L2365">
        <v>11517</v>
      </c>
      <c r="M2365">
        <v>0</v>
      </c>
      <c r="N2365">
        <v>0</v>
      </c>
      <c r="O2365">
        <v>0</v>
      </c>
      <c r="P2365">
        <v>0</v>
      </c>
      <c r="Q2365">
        <v>0</v>
      </c>
      <c r="R2365">
        <v>0</v>
      </c>
      <c r="S2365">
        <v>0</v>
      </c>
      <c r="T2365">
        <v>0</v>
      </c>
      <c r="U2365">
        <v>0</v>
      </c>
      <c r="V2365">
        <v>24458.2</v>
      </c>
      <c r="W2365">
        <v>144508</v>
      </c>
      <c r="X2365">
        <v>11517</v>
      </c>
      <c r="Y2365">
        <f t="shared" si="36"/>
        <v>144508</v>
      </c>
      <c r="Z2365" t="str">
        <f>IF(ISNUMBER(SEARCH("Adjustment",$C2365)),"excluded",IF($H2365="Behind the Meter","excluded",IF(NOT(OR($E2365="Bundled",$E2365="Energy")),"excluded",IF(OR($H2365="Retail Power Marketer",$H2365="Community Choice Aggregator",$E2365="Energy"),"procurement",IF(OR($H2365="Municipal",$H2365="Cooperative",$H2365="Federal",$H2365="State",$H2365="Political Subdivision"),"cost_service",IF($H2365="Investor Owned",IF(AND(COUNTIF(Parameters!$A$4:$A$33,$G2365)&gt;0,COUNTIF(Parameters!$B$4:$B$33,$B2365)=0),"procurement","cost_service"),"unclassified"))))))</f>
        <v>procurement</v>
      </c>
    </row>
    <row r="2366" spans="1:26" x14ac:dyDescent="0.25">
      <c r="A2366">
        <v>2024</v>
      </c>
      <c r="B2366">
        <v>61283</v>
      </c>
      <c r="C2366" t="s">
        <v>1603</v>
      </c>
      <c r="D2366" t="s">
        <v>99</v>
      </c>
      <c r="E2366" t="s">
        <v>100</v>
      </c>
      <c r="F2366" t="s">
        <v>86</v>
      </c>
      <c r="G2366" t="s">
        <v>42</v>
      </c>
      <c r="H2366" t="s">
        <v>101</v>
      </c>
      <c r="I2366" t="s">
        <v>92</v>
      </c>
      <c r="J2366">
        <v>1018.1</v>
      </c>
      <c r="K2366">
        <v>4618</v>
      </c>
      <c r="L2366">
        <v>868</v>
      </c>
      <c r="M2366">
        <v>319.10000000000002</v>
      </c>
      <c r="N2366">
        <v>3036</v>
      </c>
      <c r="O2366">
        <v>35</v>
      </c>
      <c r="P2366">
        <v>0</v>
      </c>
      <c r="Q2366">
        <v>0</v>
      </c>
      <c r="R2366">
        <v>0</v>
      </c>
      <c r="S2366">
        <v>0</v>
      </c>
      <c r="T2366">
        <v>0</v>
      </c>
      <c r="U2366">
        <v>0</v>
      </c>
      <c r="V2366">
        <v>1337.2</v>
      </c>
      <c r="W2366">
        <v>7654</v>
      </c>
      <c r="X2366">
        <v>903</v>
      </c>
      <c r="Y2366">
        <f t="shared" si="36"/>
        <v>7654</v>
      </c>
      <c r="Z2366" t="str">
        <f>IF(ISNUMBER(SEARCH("Adjustment",$C2366)),"excluded",IF($H2366="Behind the Meter","excluded",IF(NOT(OR($E2366="Bundled",$E2366="Energy")),"excluded",IF(OR($H2366="Retail Power Marketer",$H2366="Community Choice Aggregator",$E2366="Energy"),"procurement",IF(OR($H2366="Municipal",$H2366="Cooperative",$H2366="Federal",$H2366="State",$H2366="Political Subdivision"),"cost_service",IF($H2366="Investor Owned",IF(AND(COUNTIF(Parameters!$A$4:$A$33,$G2366)&gt;0,COUNTIF(Parameters!$B$4:$B$33,$B2366)=0),"procurement","cost_service"),"unclassified"))))))</f>
        <v>procurement</v>
      </c>
    </row>
    <row r="2367" spans="1:26" x14ac:dyDescent="0.25">
      <c r="A2367">
        <v>2024</v>
      </c>
      <c r="B2367">
        <v>61349</v>
      </c>
      <c r="C2367" t="s">
        <v>1604</v>
      </c>
      <c r="D2367" t="s">
        <v>99</v>
      </c>
      <c r="E2367" t="s">
        <v>100</v>
      </c>
      <c r="F2367" t="s">
        <v>86</v>
      </c>
      <c r="G2367" t="s">
        <v>44</v>
      </c>
      <c r="H2367" t="s">
        <v>101</v>
      </c>
      <c r="I2367" t="s">
        <v>92</v>
      </c>
      <c r="J2367">
        <v>428.4</v>
      </c>
      <c r="K2367">
        <v>2272</v>
      </c>
      <c r="L2367">
        <v>248</v>
      </c>
      <c r="M2367">
        <v>0</v>
      </c>
      <c r="N2367">
        <v>0</v>
      </c>
      <c r="O2367">
        <v>0</v>
      </c>
      <c r="P2367">
        <v>0</v>
      </c>
      <c r="Q2367">
        <v>0</v>
      </c>
      <c r="R2367">
        <v>0</v>
      </c>
      <c r="S2367">
        <v>0</v>
      </c>
      <c r="T2367">
        <v>0</v>
      </c>
      <c r="U2367">
        <v>0</v>
      </c>
      <c r="V2367">
        <v>428.4</v>
      </c>
      <c r="W2367">
        <v>2272</v>
      </c>
      <c r="X2367">
        <v>248</v>
      </c>
      <c r="Y2367">
        <f t="shared" si="36"/>
        <v>2272</v>
      </c>
      <c r="Z2367" t="str">
        <f>IF(ISNUMBER(SEARCH("Adjustment",$C2367)),"excluded",IF($H2367="Behind the Meter","excluded",IF(NOT(OR($E2367="Bundled",$E2367="Energy")),"excluded",IF(OR($H2367="Retail Power Marketer",$H2367="Community Choice Aggregator",$E2367="Energy"),"procurement",IF(OR($H2367="Municipal",$H2367="Cooperative",$H2367="Federal",$H2367="State",$H2367="Political Subdivision"),"cost_service",IF($H2367="Investor Owned",IF(AND(COUNTIF(Parameters!$A$4:$A$33,$G2367)&gt;0,COUNTIF(Parameters!$B$4:$B$33,$B2367)=0),"procurement","cost_service"),"unclassified"))))))</f>
        <v>procurement</v>
      </c>
    </row>
    <row r="2368" spans="1:26" x14ac:dyDescent="0.25">
      <c r="A2368">
        <v>2024</v>
      </c>
      <c r="B2368">
        <v>61353</v>
      </c>
      <c r="C2368" t="s">
        <v>1605</v>
      </c>
      <c r="D2368" t="s">
        <v>84</v>
      </c>
      <c r="E2368" t="s">
        <v>85</v>
      </c>
      <c r="F2368" t="s">
        <v>86</v>
      </c>
      <c r="G2368" t="s">
        <v>55</v>
      </c>
      <c r="H2368" t="s">
        <v>88</v>
      </c>
      <c r="I2368" t="s">
        <v>92</v>
      </c>
      <c r="J2368" t="s">
        <v>97</v>
      </c>
      <c r="K2368" t="s">
        <v>97</v>
      </c>
      <c r="L2368" t="s">
        <v>97</v>
      </c>
      <c r="M2368">
        <v>11857.8</v>
      </c>
      <c r="N2368">
        <v>92551</v>
      </c>
      <c r="O2368">
        <v>194</v>
      </c>
      <c r="P2368">
        <v>15834.3</v>
      </c>
      <c r="Q2368">
        <v>103276</v>
      </c>
      <c r="R2368">
        <v>8</v>
      </c>
      <c r="S2368" t="s">
        <v>97</v>
      </c>
      <c r="T2368" t="s">
        <v>97</v>
      </c>
      <c r="U2368" t="s">
        <v>97</v>
      </c>
      <c r="V2368">
        <v>27692.1</v>
      </c>
      <c r="W2368">
        <v>195827</v>
      </c>
      <c r="X2368">
        <v>202</v>
      </c>
      <c r="Y2368">
        <f t="shared" si="36"/>
        <v>195827</v>
      </c>
      <c r="Z2368" t="str">
        <f>IF(ISNUMBER(SEARCH("Adjustment",$C2368)),"excluded",IF($H2368="Behind the Meter","excluded",IF(NOT(OR($E2368="Bundled",$E2368="Energy")),"excluded",IF(OR($H2368="Retail Power Marketer",$H2368="Community Choice Aggregator",$E2368="Energy"),"procurement",IF(OR($H2368="Municipal",$H2368="Cooperative",$H2368="Federal",$H2368="State",$H2368="Political Subdivision"),"cost_service",IF($H2368="Investor Owned",IF(AND(COUNTIF(Parameters!$A$4:$A$33,$G2368)&gt;0,COUNTIF(Parameters!$B$4:$B$33,$B2368)=0),"procurement","cost_service"),"unclassified"))))))</f>
        <v>cost_service</v>
      </c>
    </row>
    <row r="2369" spans="1:26" x14ac:dyDescent="0.25">
      <c r="A2369">
        <v>2024</v>
      </c>
      <c r="B2369">
        <v>61367</v>
      </c>
      <c r="C2369" t="s">
        <v>1606</v>
      </c>
      <c r="D2369" t="s">
        <v>99</v>
      </c>
      <c r="E2369" t="s">
        <v>100</v>
      </c>
      <c r="F2369" t="s">
        <v>86</v>
      </c>
      <c r="G2369" t="s">
        <v>46</v>
      </c>
      <c r="H2369" t="s">
        <v>101</v>
      </c>
      <c r="I2369" t="s">
        <v>92</v>
      </c>
      <c r="J2369">
        <v>76</v>
      </c>
      <c r="K2369">
        <v>592</v>
      </c>
      <c r="L2369">
        <v>107</v>
      </c>
      <c r="M2369">
        <v>232</v>
      </c>
      <c r="N2369">
        <v>1886</v>
      </c>
      <c r="O2369">
        <v>78</v>
      </c>
      <c r="P2369">
        <v>0</v>
      </c>
      <c r="Q2369">
        <v>0</v>
      </c>
      <c r="R2369">
        <v>0</v>
      </c>
      <c r="S2369">
        <v>0</v>
      </c>
      <c r="T2369">
        <v>0</v>
      </c>
      <c r="U2369">
        <v>0</v>
      </c>
      <c r="V2369">
        <v>308</v>
      </c>
      <c r="W2369">
        <v>2478</v>
      </c>
      <c r="X2369">
        <v>185</v>
      </c>
      <c r="Y2369">
        <f t="shared" si="36"/>
        <v>2478</v>
      </c>
      <c r="Z2369" t="str">
        <f>IF(ISNUMBER(SEARCH("Adjustment",$C2369)),"excluded",IF($H2369="Behind the Meter","excluded",IF(NOT(OR($E2369="Bundled",$E2369="Energy")),"excluded",IF(OR($H2369="Retail Power Marketer",$H2369="Community Choice Aggregator",$E2369="Energy"),"procurement",IF(OR($H2369="Municipal",$H2369="Cooperative",$H2369="Federal",$H2369="State",$H2369="Political Subdivision"),"cost_service",IF($H2369="Investor Owned",IF(AND(COUNTIF(Parameters!$A$4:$A$33,$G2369)&gt;0,COUNTIF(Parameters!$B$4:$B$33,$B2369)=0),"procurement","cost_service"),"unclassified"))))))</f>
        <v>procurement</v>
      </c>
    </row>
    <row r="2370" spans="1:26" x14ac:dyDescent="0.25">
      <c r="A2370">
        <v>2024</v>
      </c>
      <c r="B2370">
        <v>61367</v>
      </c>
      <c r="C2370" t="s">
        <v>1606</v>
      </c>
      <c r="D2370" t="s">
        <v>99</v>
      </c>
      <c r="E2370" t="s">
        <v>100</v>
      </c>
      <c r="F2370" t="s">
        <v>86</v>
      </c>
      <c r="G2370" t="s">
        <v>52</v>
      </c>
      <c r="H2370" t="s">
        <v>101</v>
      </c>
      <c r="I2370" t="s">
        <v>92</v>
      </c>
      <c r="J2370">
        <v>1580</v>
      </c>
      <c r="K2370">
        <v>7948</v>
      </c>
      <c r="L2370">
        <v>1195</v>
      </c>
      <c r="M2370">
        <v>3627</v>
      </c>
      <c r="N2370">
        <v>17693</v>
      </c>
      <c r="O2370">
        <v>910</v>
      </c>
      <c r="P2370">
        <v>393</v>
      </c>
      <c r="Q2370">
        <v>1836</v>
      </c>
      <c r="R2370">
        <v>11</v>
      </c>
      <c r="S2370">
        <v>0</v>
      </c>
      <c r="T2370">
        <v>0</v>
      </c>
      <c r="U2370">
        <v>0</v>
      </c>
      <c r="V2370">
        <v>5600</v>
      </c>
      <c r="W2370">
        <v>27477</v>
      </c>
      <c r="X2370">
        <v>2116</v>
      </c>
      <c r="Y2370">
        <f t="shared" si="36"/>
        <v>27477</v>
      </c>
      <c r="Z2370" t="str">
        <f>IF(ISNUMBER(SEARCH("Adjustment",$C2370)),"excluded",IF($H2370="Behind the Meter","excluded",IF(NOT(OR($E2370="Bundled",$E2370="Energy")),"excluded",IF(OR($H2370="Retail Power Marketer",$H2370="Community Choice Aggregator",$E2370="Energy"),"procurement",IF(OR($H2370="Municipal",$H2370="Cooperative",$H2370="Federal",$H2370="State",$H2370="Political Subdivision"),"cost_service",IF($H2370="Investor Owned",IF(AND(COUNTIF(Parameters!$A$4:$A$33,$G2370)&gt;0,COUNTIF(Parameters!$B$4:$B$33,$B2370)=0),"procurement","cost_service"),"unclassified"))))))</f>
        <v>procurement</v>
      </c>
    </row>
    <row r="2371" spans="1:26" x14ac:dyDescent="0.25">
      <c r="A2371">
        <v>2024</v>
      </c>
      <c r="B2371">
        <v>61367</v>
      </c>
      <c r="C2371" t="s">
        <v>1606</v>
      </c>
      <c r="D2371" t="s">
        <v>99</v>
      </c>
      <c r="E2371" t="s">
        <v>100</v>
      </c>
      <c r="F2371" t="s">
        <v>86</v>
      </c>
      <c r="G2371" t="s">
        <v>53</v>
      </c>
      <c r="H2371" t="s">
        <v>101</v>
      </c>
      <c r="I2371" t="s">
        <v>102</v>
      </c>
      <c r="J2371">
        <v>1428.4</v>
      </c>
      <c r="K2371">
        <v>5875</v>
      </c>
      <c r="L2371">
        <v>1467</v>
      </c>
      <c r="M2371">
        <v>6145.5</v>
      </c>
      <c r="N2371">
        <v>27780</v>
      </c>
      <c r="O2371">
        <v>964</v>
      </c>
      <c r="P2371">
        <v>251.8</v>
      </c>
      <c r="Q2371">
        <v>1249</v>
      </c>
      <c r="R2371">
        <v>27</v>
      </c>
      <c r="S2371">
        <v>0</v>
      </c>
      <c r="T2371">
        <v>0</v>
      </c>
      <c r="U2371">
        <v>0</v>
      </c>
      <c r="V2371">
        <v>7825.7</v>
      </c>
      <c r="W2371">
        <v>34904</v>
      </c>
      <c r="X2371">
        <v>2458</v>
      </c>
      <c r="Y2371">
        <f t="shared" si="36"/>
        <v>34904</v>
      </c>
      <c r="Z2371" t="str">
        <f>IF(ISNUMBER(SEARCH("Adjustment",$C2371)),"excluded",IF($H2371="Behind the Meter","excluded",IF(NOT(OR($E2371="Bundled",$E2371="Energy")),"excluded",IF(OR($H2371="Retail Power Marketer",$H2371="Community Choice Aggregator",$E2371="Energy"),"procurement",IF(OR($H2371="Municipal",$H2371="Cooperative",$H2371="Federal",$H2371="State",$H2371="Political Subdivision"),"cost_service",IF($H2371="Investor Owned",IF(AND(COUNTIF(Parameters!$A$4:$A$33,$G2371)&gt;0,COUNTIF(Parameters!$B$4:$B$33,$B2371)=0),"procurement","cost_service"),"unclassified"))))))</f>
        <v>procurement</v>
      </c>
    </row>
    <row r="2372" spans="1:26" x14ac:dyDescent="0.25">
      <c r="A2372">
        <v>2024</v>
      </c>
      <c r="B2372">
        <v>61367</v>
      </c>
      <c r="C2372" t="s">
        <v>1606</v>
      </c>
      <c r="D2372" t="s">
        <v>99</v>
      </c>
      <c r="E2372" t="s">
        <v>100</v>
      </c>
      <c r="F2372" t="s">
        <v>86</v>
      </c>
      <c r="G2372" t="s">
        <v>54</v>
      </c>
      <c r="H2372" t="s">
        <v>101</v>
      </c>
      <c r="I2372" t="s">
        <v>92</v>
      </c>
      <c r="J2372">
        <v>94</v>
      </c>
      <c r="K2372">
        <v>718</v>
      </c>
      <c r="L2372">
        <v>95</v>
      </c>
      <c r="M2372">
        <v>148</v>
      </c>
      <c r="N2372">
        <v>1210</v>
      </c>
      <c r="O2372">
        <v>114</v>
      </c>
      <c r="P2372">
        <v>0</v>
      </c>
      <c r="Q2372">
        <v>0</v>
      </c>
      <c r="R2372">
        <v>0</v>
      </c>
      <c r="S2372">
        <v>0</v>
      </c>
      <c r="T2372">
        <v>0</v>
      </c>
      <c r="U2372">
        <v>0</v>
      </c>
      <c r="V2372">
        <v>242</v>
      </c>
      <c r="W2372">
        <v>1928</v>
      </c>
      <c r="X2372">
        <v>209</v>
      </c>
      <c r="Y2372">
        <f t="shared" ref="Y2372:Y2435" si="37">IF(ISNUMBER($W2372),$W2372,0)</f>
        <v>1928</v>
      </c>
      <c r="Z2372" t="str">
        <f>IF(ISNUMBER(SEARCH("Adjustment",$C2372)),"excluded",IF($H2372="Behind the Meter","excluded",IF(NOT(OR($E2372="Bundled",$E2372="Energy")),"excluded",IF(OR($H2372="Retail Power Marketer",$H2372="Community Choice Aggregator",$E2372="Energy"),"procurement",IF(OR($H2372="Municipal",$H2372="Cooperative",$H2372="Federal",$H2372="State",$H2372="Political Subdivision"),"cost_service",IF($H2372="Investor Owned",IF(AND(COUNTIF(Parameters!$A$4:$A$33,$G2372)&gt;0,COUNTIF(Parameters!$B$4:$B$33,$B2372)=0),"procurement","cost_service"),"unclassified"))))))</f>
        <v>procurement</v>
      </c>
    </row>
    <row r="2373" spans="1:26" x14ac:dyDescent="0.25">
      <c r="A2373">
        <v>2024</v>
      </c>
      <c r="B2373">
        <v>61367</v>
      </c>
      <c r="C2373" t="s">
        <v>1606</v>
      </c>
      <c r="D2373" t="s">
        <v>99</v>
      </c>
      <c r="E2373" t="s">
        <v>100</v>
      </c>
      <c r="F2373" t="s">
        <v>86</v>
      </c>
      <c r="G2373" t="s">
        <v>55</v>
      </c>
      <c r="H2373" t="s">
        <v>101</v>
      </c>
      <c r="I2373" t="s">
        <v>92</v>
      </c>
      <c r="J2373">
        <v>2034</v>
      </c>
      <c r="K2373">
        <v>13080</v>
      </c>
      <c r="L2373">
        <v>1704</v>
      </c>
      <c r="M2373">
        <v>986</v>
      </c>
      <c r="N2373">
        <v>6312</v>
      </c>
      <c r="O2373">
        <v>489</v>
      </c>
      <c r="P2373">
        <v>0</v>
      </c>
      <c r="Q2373">
        <v>0</v>
      </c>
      <c r="R2373">
        <v>0</v>
      </c>
      <c r="S2373">
        <v>0</v>
      </c>
      <c r="T2373">
        <v>0</v>
      </c>
      <c r="U2373">
        <v>0</v>
      </c>
      <c r="V2373">
        <v>3020</v>
      </c>
      <c r="W2373">
        <v>19392</v>
      </c>
      <c r="X2373">
        <v>2193</v>
      </c>
      <c r="Y2373">
        <f t="shared" si="37"/>
        <v>19392</v>
      </c>
      <c r="Z2373" t="str">
        <f>IF(ISNUMBER(SEARCH("Adjustment",$C2373)),"excluded",IF($H2373="Behind the Meter","excluded",IF(NOT(OR($E2373="Bundled",$E2373="Energy")),"excluded",IF(OR($H2373="Retail Power Marketer",$H2373="Community Choice Aggregator",$E2373="Energy"),"procurement",IF(OR($H2373="Municipal",$H2373="Cooperative",$H2373="Federal",$H2373="State",$H2373="Political Subdivision"),"cost_service",IF($H2373="Investor Owned",IF(AND(COUNTIF(Parameters!$A$4:$A$33,$G2373)&gt;0,COUNTIF(Parameters!$B$4:$B$33,$B2373)=0),"procurement","cost_service"),"unclassified"))))))</f>
        <v>procurement</v>
      </c>
    </row>
    <row r="2374" spans="1:26" x14ac:dyDescent="0.25">
      <c r="A2374">
        <v>2024</v>
      </c>
      <c r="B2374">
        <v>61431</v>
      </c>
      <c r="C2374" t="s">
        <v>1607</v>
      </c>
      <c r="D2374" t="s">
        <v>99</v>
      </c>
      <c r="E2374" t="s">
        <v>100</v>
      </c>
      <c r="F2374" t="s">
        <v>86</v>
      </c>
      <c r="G2374" t="s">
        <v>115</v>
      </c>
      <c r="H2374" t="s">
        <v>1464</v>
      </c>
      <c r="I2374" t="s">
        <v>116</v>
      </c>
      <c r="J2374">
        <v>141794</v>
      </c>
      <c r="K2374">
        <v>993284</v>
      </c>
      <c r="L2374">
        <v>144723</v>
      </c>
      <c r="M2374">
        <v>84394</v>
      </c>
      <c r="N2374">
        <v>605984</v>
      </c>
      <c r="O2374">
        <v>20290</v>
      </c>
      <c r="P2374">
        <v>16810</v>
      </c>
      <c r="Q2374">
        <v>137775</v>
      </c>
      <c r="R2374">
        <v>643</v>
      </c>
      <c r="S2374">
        <v>0</v>
      </c>
      <c r="T2374">
        <v>0</v>
      </c>
      <c r="U2374">
        <v>0</v>
      </c>
      <c r="V2374">
        <v>242998</v>
      </c>
      <c r="W2374">
        <v>1737043</v>
      </c>
      <c r="X2374">
        <v>165656</v>
      </c>
      <c r="Y2374">
        <f t="shared" si="37"/>
        <v>1737043</v>
      </c>
      <c r="Z2374" t="str">
        <f>IF(ISNUMBER(SEARCH("Adjustment",$C2374)),"excluded",IF($H2374="Behind the Meter","excluded",IF(NOT(OR($E2374="Bundled",$E2374="Energy")),"excluded",IF(OR($H2374="Retail Power Marketer",$H2374="Community Choice Aggregator",$E2374="Energy"),"procurement",IF(OR($H2374="Municipal",$H2374="Cooperative",$H2374="Federal",$H2374="State",$H2374="Political Subdivision"),"cost_service",IF($H2374="Investor Owned",IF(AND(COUNTIF(Parameters!$A$4:$A$33,$G2374)&gt;0,COUNTIF(Parameters!$B$4:$B$33,$B2374)=0),"procurement","cost_service"),"unclassified"))))))</f>
        <v>procurement</v>
      </c>
    </row>
    <row r="2375" spans="1:26" x14ac:dyDescent="0.25">
      <c r="A2375">
        <v>2024</v>
      </c>
      <c r="B2375">
        <v>61432</v>
      </c>
      <c r="C2375" t="s">
        <v>1608</v>
      </c>
      <c r="D2375" t="s">
        <v>99</v>
      </c>
      <c r="E2375" t="s">
        <v>100</v>
      </c>
      <c r="F2375" t="s">
        <v>86</v>
      </c>
      <c r="G2375" t="s">
        <v>115</v>
      </c>
      <c r="H2375" t="s">
        <v>1464</v>
      </c>
      <c r="I2375" t="s">
        <v>116</v>
      </c>
      <c r="J2375">
        <v>219250.9</v>
      </c>
      <c r="K2375">
        <v>1684832</v>
      </c>
      <c r="L2375">
        <v>383835</v>
      </c>
      <c r="M2375">
        <v>218621.4</v>
      </c>
      <c r="N2375">
        <v>1884745</v>
      </c>
      <c r="O2375">
        <v>56989</v>
      </c>
      <c r="P2375">
        <v>125433</v>
      </c>
      <c r="Q2375">
        <v>1123718</v>
      </c>
      <c r="R2375">
        <v>7225</v>
      </c>
      <c r="S2375">
        <v>0</v>
      </c>
      <c r="T2375">
        <v>0</v>
      </c>
      <c r="U2375">
        <v>0</v>
      </c>
      <c r="V2375">
        <v>563305.30000000005</v>
      </c>
      <c r="W2375">
        <v>4693295</v>
      </c>
      <c r="X2375">
        <v>448049</v>
      </c>
      <c r="Y2375">
        <f t="shared" si="37"/>
        <v>4693295</v>
      </c>
      <c r="Z2375" t="str">
        <f>IF(ISNUMBER(SEARCH("Adjustment",$C2375)),"excluded",IF($H2375="Behind the Meter","excluded",IF(NOT(OR($E2375="Bundled",$E2375="Energy")),"excluded",IF(OR($H2375="Retail Power Marketer",$H2375="Community Choice Aggregator",$E2375="Energy"),"procurement",IF(OR($H2375="Municipal",$H2375="Cooperative",$H2375="Federal",$H2375="State",$H2375="Political Subdivision"),"cost_service",IF($H2375="Investor Owned",IF(AND(COUNTIF(Parameters!$A$4:$A$33,$G2375)&gt;0,COUNTIF(Parameters!$B$4:$B$33,$B2375)=0),"procurement","cost_service"),"unclassified"))))))</f>
        <v>procurement</v>
      </c>
    </row>
    <row r="2376" spans="1:26" x14ac:dyDescent="0.25">
      <c r="A2376">
        <v>2024</v>
      </c>
      <c r="B2376">
        <v>61433</v>
      </c>
      <c r="C2376" t="s">
        <v>1609</v>
      </c>
      <c r="D2376" t="s">
        <v>99</v>
      </c>
      <c r="E2376" t="s">
        <v>100</v>
      </c>
      <c r="F2376" t="s">
        <v>86</v>
      </c>
      <c r="G2376" t="s">
        <v>115</v>
      </c>
      <c r="H2376" t="s">
        <v>1464</v>
      </c>
      <c r="I2376" t="s">
        <v>116</v>
      </c>
      <c r="J2376">
        <v>16164</v>
      </c>
      <c r="K2376">
        <v>97293</v>
      </c>
      <c r="L2376">
        <v>13558</v>
      </c>
      <c r="M2376">
        <v>5881</v>
      </c>
      <c r="N2376">
        <v>44351</v>
      </c>
      <c r="O2376">
        <v>1507</v>
      </c>
      <c r="P2376">
        <v>3523</v>
      </c>
      <c r="Q2376">
        <v>32140</v>
      </c>
      <c r="R2376">
        <v>43</v>
      </c>
      <c r="S2376">
        <v>0</v>
      </c>
      <c r="T2376">
        <v>0</v>
      </c>
      <c r="U2376">
        <v>0</v>
      </c>
      <c r="V2376">
        <v>25568</v>
      </c>
      <c r="W2376">
        <v>173784</v>
      </c>
      <c r="X2376">
        <v>15108</v>
      </c>
      <c r="Y2376">
        <f t="shared" si="37"/>
        <v>173784</v>
      </c>
      <c r="Z2376" t="str">
        <f>IF(ISNUMBER(SEARCH("Adjustment",$C2376)),"excluded",IF($H2376="Behind the Meter","excluded",IF(NOT(OR($E2376="Bundled",$E2376="Energy")),"excluded",IF(OR($H2376="Retail Power Marketer",$H2376="Community Choice Aggregator",$E2376="Energy"),"procurement",IF(OR($H2376="Municipal",$H2376="Cooperative",$H2376="Federal",$H2376="State",$H2376="Political Subdivision"),"cost_service",IF($H2376="Investor Owned",IF(AND(COUNTIF(Parameters!$A$4:$A$33,$G2376)&gt;0,COUNTIF(Parameters!$B$4:$B$33,$B2376)=0),"procurement","cost_service"),"unclassified"))))))</f>
        <v>procurement</v>
      </c>
    </row>
    <row r="2377" spans="1:26" x14ac:dyDescent="0.25">
      <c r="A2377">
        <v>2024</v>
      </c>
      <c r="B2377">
        <v>61462</v>
      </c>
      <c r="C2377" t="s">
        <v>1610</v>
      </c>
      <c r="D2377" t="s">
        <v>99</v>
      </c>
      <c r="E2377" t="s">
        <v>100</v>
      </c>
      <c r="F2377" t="s">
        <v>86</v>
      </c>
      <c r="G2377" t="s">
        <v>115</v>
      </c>
      <c r="H2377" t="s">
        <v>1464</v>
      </c>
      <c r="I2377" t="s">
        <v>116</v>
      </c>
      <c r="J2377">
        <v>42415.5</v>
      </c>
      <c r="K2377">
        <v>272616</v>
      </c>
      <c r="L2377">
        <v>54337</v>
      </c>
      <c r="M2377">
        <v>39176.199999999997</v>
      </c>
      <c r="N2377">
        <v>262265</v>
      </c>
      <c r="O2377">
        <v>6034</v>
      </c>
      <c r="P2377">
        <v>19332.7</v>
      </c>
      <c r="Q2377">
        <v>138748</v>
      </c>
      <c r="R2377">
        <v>1928</v>
      </c>
      <c r="S2377">
        <v>0</v>
      </c>
      <c r="T2377">
        <v>0</v>
      </c>
      <c r="U2377">
        <v>0</v>
      </c>
      <c r="V2377">
        <v>100924.4</v>
      </c>
      <c r="W2377">
        <v>673629</v>
      </c>
      <c r="X2377">
        <v>62299</v>
      </c>
      <c r="Y2377">
        <f t="shared" si="37"/>
        <v>673629</v>
      </c>
      <c r="Z2377" t="str">
        <f>IF(ISNUMBER(SEARCH("Adjustment",$C2377)),"excluded",IF($H2377="Behind the Meter","excluded",IF(NOT(OR($E2377="Bundled",$E2377="Energy")),"excluded",IF(OR($H2377="Retail Power Marketer",$H2377="Community Choice Aggregator",$E2377="Energy"),"procurement",IF(OR($H2377="Municipal",$H2377="Cooperative",$H2377="Federal",$H2377="State",$H2377="Political Subdivision"),"cost_service",IF($H2377="Investor Owned",IF(AND(COUNTIF(Parameters!$A$4:$A$33,$G2377)&gt;0,COUNTIF(Parameters!$B$4:$B$33,$B2377)=0),"procurement","cost_service"),"unclassified"))))))</f>
        <v>procurement</v>
      </c>
    </row>
    <row r="2378" spans="1:26" x14ac:dyDescent="0.25">
      <c r="A2378">
        <v>2024</v>
      </c>
      <c r="B2378">
        <v>61471</v>
      </c>
      <c r="C2378" t="s">
        <v>1611</v>
      </c>
      <c r="D2378" t="s">
        <v>99</v>
      </c>
      <c r="E2378" t="s">
        <v>100</v>
      </c>
      <c r="F2378" t="s">
        <v>86</v>
      </c>
      <c r="G2378" t="s">
        <v>115</v>
      </c>
      <c r="H2378" t="s">
        <v>1464</v>
      </c>
      <c r="I2378" t="s">
        <v>116</v>
      </c>
      <c r="J2378">
        <v>21525</v>
      </c>
      <c r="K2378">
        <v>128434</v>
      </c>
      <c r="L2378">
        <v>13079</v>
      </c>
      <c r="M2378">
        <v>9258</v>
      </c>
      <c r="N2378">
        <v>68775</v>
      </c>
      <c r="O2378">
        <v>1971</v>
      </c>
      <c r="P2378">
        <v>8602</v>
      </c>
      <c r="Q2378">
        <v>79094</v>
      </c>
      <c r="R2378">
        <v>83</v>
      </c>
      <c r="S2378">
        <v>0</v>
      </c>
      <c r="T2378">
        <v>0</v>
      </c>
      <c r="U2378">
        <v>0</v>
      </c>
      <c r="V2378">
        <v>39385</v>
      </c>
      <c r="W2378">
        <v>276303</v>
      </c>
      <c r="X2378">
        <v>15133</v>
      </c>
      <c r="Y2378">
        <f t="shared" si="37"/>
        <v>276303</v>
      </c>
      <c r="Z2378" t="str">
        <f>IF(ISNUMBER(SEARCH("Adjustment",$C2378)),"excluded",IF($H2378="Behind the Meter","excluded",IF(NOT(OR($E2378="Bundled",$E2378="Energy")),"excluded",IF(OR($H2378="Retail Power Marketer",$H2378="Community Choice Aggregator",$E2378="Energy"),"procurement",IF(OR($H2378="Municipal",$H2378="Cooperative",$H2378="Federal",$H2378="State",$H2378="Political Subdivision"),"cost_service",IF($H2378="Investor Owned",IF(AND(COUNTIF(Parameters!$A$4:$A$33,$G2378)&gt;0,COUNTIF(Parameters!$B$4:$B$33,$B2378)=0),"procurement","cost_service"),"unclassified"))))))</f>
        <v>procurement</v>
      </c>
    </row>
    <row r="2379" spans="1:26" x14ac:dyDescent="0.25">
      <c r="A2379">
        <v>2024</v>
      </c>
      <c r="B2379">
        <v>61475</v>
      </c>
      <c r="C2379" t="s">
        <v>1612</v>
      </c>
      <c r="D2379" t="s">
        <v>99</v>
      </c>
      <c r="E2379" t="s">
        <v>100</v>
      </c>
      <c r="F2379" t="s">
        <v>86</v>
      </c>
      <c r="G2379" t="s">
        <v>115</v>
      </c>
      <c r="H2379" t="s">
        <v>1464</v>
      </c>
      <c r="I2379" t="s">
        <v>116</v>
      </c>
      <c r="J2379">
        <v>351874</v>
      </c>
      <c r="K2379">
        <v>2405490</v>
      </c>
      <c r="L2379">
        <v>581804</v>
      </c>
      <c r="M2379">
        <v>393444</v>
      </c>
      <c r="N2379">
        <v>2805875</v>
      </c>
      <c r="O2379">
        <v>54677</v>
      </c>
      <c r="P2379">
        <v>132429</v>
      </c>
      <c r="Q2379">
        <v>964735</v>
      </c>
      <c r="R2379">
        <v>5707</v>
      </c>
      <c r="S2379">
        <v>0</v>
      </c>
      <c r="T2379">
        <v>0</v>
      </c>
      <c r="U2379">
        <v>0</v>
      </c>
      <c r="V2379">
        <v>877747</v>
      </c>
      <c r="W2379">
        <v>6176100</v>
      </c>
      <c r="X2379">
        <v>642188</v>
      </c>
      <c r="Y2379">
        <f t="shared" si="37"/>
        <v>6176100</v>
      </c>
      <c r="Z2379" t="str">
        <f>IF(ISNUMBER(SEARCH("Adjustment",$C2379)),"excluded",IF($H2379="Behind the Meter","excluded",IF(NOT(OR($E2379="Bundled",$E2379="Energy")),"excluded",IF(OR($H2379="Retail Power Marketer",$H2379="Community Choice Aggregator",$E2379="Energy"),"procurement",IF(OR($H2379="Municipal",$H2379="Cooperative",$H2379="Federal",$H2379="State",$H2379="Political Subdivision"),"cost_service",IF($H2379="Investor Owned",IF(AND(COUNTIF(Parameters!$A$4:$A$33,$G2379)&gt;0,COUNTIF(Parameters!$B$4:$B$33,$B2379)=0),"procurement","cost_service"),"unclassified"))))))</f>
        <v>procurement</v>
      </c>
    </row>
    <row r="2380" spans="1:26" x14ac:dyDescent="0.25">
      <c r="A2380">
        <v>2024</v>
      </c>
      <c r="B2380">
        <v>61479</v>
      </c>
      <c r="C2380" t="s">
        <v>1613</v>
      </c>
      <c r="D2380" t="s">
        <v>99</v>
      </c>
      <c r="E2380" t="s">
        <v>100</v>
      </c>
      <c r="F2380" t="s">
        <v>86</v>
      </c>
      <c r="G2380" t="s">
        <v>54</v>
      </c>
      <c r="H2380" t="s">
        <v>101</v>
      </c>
      <c r="I2380" t="s">
        <v>92</v>
      </c>
      <c r="J2380">
        <v>1022.2</v>
      </c>
      <c r="K2380">
        <v>8925</v>
      </c>
      <c r="L2380">
        <v>848</v>
      </c>
      <c r="M2380">
        <v>108.5</v>
      </c>
      <c r="N2380">
        <v>1021</v>
      </c>
      <c r="O2380">
        <v>60</v>
      </c>
      <c r="P2380">
        <v>0</v>
      </c>
      <c r="Q2380">
        <v>0</v>
      </c>
      <c r="R2380">
        <v>0</v>
      </c>
      <c r="S2380">
        <v>0</v>
      </c>
      <c r="T2380">
        <v>0</v>
      </c>
      <c r="U2380">
        <v>0</v>
      </c>
      <c r="V2380">
        <v>1130.7</v>
      </c>
      <c r="W2380">
        <v>9946</v>
      </c>
      <c r="X2380">
        <v>908</v>
      </c>
      <c r="Y2380">
        <f t="shared" si="37"/>
        <v>9946</v>
      </c>
      <c r="Z2380" t="str">
        <f>IF(ISNUMBER(SEARCH("Adjustment",$C2380)),"excluded",IF($H2380="Behind the Meter","excluded",IF(NOT(OR($E2380="Bundled",$E2380="Energy")),"excluded",IF(OR($H2380="Retail Power Marketer",$H2380="Community Choice Aggregator",$E2380="Energy"),"procurement",IF(OR($H2380="Municipal",$H2380="Cooperative",$H2380="Federal",$H2380="State",$H2380="Political Subdivision"),"cost_service",IF($H2380="Investor Owned",IF(AND(COUNTIF(Parameters!$A$4:$A$33,$G2380)&gt;0,COUNTIF(Parameters!$B$4:$B$33,$B2380)=0),"procurement","cost_service"),"unclassified"))))))</f>
        <v>procurement</v>
      </c>
    </row>
    <row r="2381" spans="1:26" x14ac:dyDescent="0.25">
      <c r="A2381">
        <v>2024</v>
      </c>
      <c r="B2381">
        <v>61526</v>
      </c>
      <c r="C2381" t="s">
        <v>1614</v>
      </c>
      <c r="D2381" t="s">
        <v>99</v>
      </c>
      <c r="E2381" t="s">
        <v>100</v>
      </c>
      <c r="F2381" t="s">
        <v>86</v>
      </c>
      <c r="G2381" t="s">
        <v>115</v>
      </c>
      <c r="H2381" t="s">
        <v>1464</v>
      </c>
      <c r="I2381" t="s">
        <v>116</v>
      </c>
      <c r="J2381">
        <v>814624.2</v>
      </c>
      <c r="K2381">
        <v>5098735</v>
      </c>
      <c r="L2381">
        <v>753633</v>
      </c>
      <c r="M2381">
        <v>540332.19999999995</v>
      </c>
      <c r="N2381">
        <v>3955143</v>
      </c>
      <c r="O2381">
        <v>66162</v>
      </c>
      <c r="P2381">
        <v>194491.5</v>
      </c>
      <c r="Q2381">
        <v>1595624</v>
      </c>
      <c r="R2381">
        <v>1369</v>
      </c>
      <c r="S2381">
        <v>0</v>
      </c>
      <c r="T2381">
        <v>0</v>
      </c>
      <c r="U2381">
        <v>0</v>
      </c>
      <c r="V2381">
        <v>1549447.9</v>
      </c>
      <c r="W2381">
        <v>10649502</v>
      </c>
      <c r="X2381">
        <v>821164</v>
      </c>
      <c r="Y2381">
        <f t="shared" si="37"/>
        <v>10649502</v>
      </c>
      <c r="Z2381" t="str">
        <f>IF(ISNUMBER(SEARCH("Adjustment",$C2381)),"excluded",IF($H2381="Behind the Meter","excluded",IF(NOT(OR($E2381="Bundled",$E2381="Energy")),"excluded",IF(OR($H2381="Retail Power Marketer",$H2381="Community Choice Aggregator",$E2381="Energy"),"procurement",IF(OR($H2381="Municipal",$H2381="Cooperative",$H2381="Federal",$H2381="State",$H2381="Political Subdivision"),"cost_service",IF($H2381="Investor Owned",IF(AND(COUNTIF(Parameters!$A$4:$A$33,$G2381)&gt;0,COUNTIF(Parameters!$B$4:$B$33,$B2381)=0),"procurement","cost_service"),"unclassified"))))))</f>
        <v>procurement</v>
      </c>
    </row>
    <row r="2382" spans="1:26" x14ac:dyDescent="0.25">
      <c r="A2382">
        <v>2024</v>
      </c>
      <c r="B2382">
        <v>61570</v>
      </c>
      <c r="C2382" t="s">
        <v>1615</v>
      </c>
      <c r="D2382" t="s">
        <v>99</v>
      </c>
      <c r="E2382" t="s">
        <v>100</v>
      </c>
      <c r="F2382" t="s">
        <v>86</v>
      </c>
      <c r="G2382" t="s">
        <v>115</v>
      </c>
      <c r="H2382" t="s">
        <v>1464</v>
      </c>
      <c r="I2382" t="s">
        <v>116</v>
      </c>
      <c r="J2382">
        <v>1644</v>
      </c>
      <c r="K2382">
        <v>10095</v>
      </c>
      <c r="L2382">
        <v>2838</v>
      </c>
      <c r="M2382">
        <v>2858</v>
      </c>
      <c r="N2382">
        <v>19394</v>
      </c>
      <c r="O2382">
        <v>569</v>
      </c>
      <c r="P2382">
        <v>637</v>
      </c>
      <c r="Q2382">
        <v>4379</v>
      </c>
      <c r="R2382">
        <v>37</v>
      </c>
      <c r="S2382">
        <v>0</v>
      </c>
      <c r="T2382">
        <v>0</v>
      </c>
      <c r="U2382">
        <v>0</v>
      </c>
      <c r="V2382">
        <v>5139</v>
      </c>
      <c r="W2382">
        <v>33868</v>
      </c>
      <c r="X2382">
        <v>3444</v>
      </c>
      <c r="Y2382">
        <f t="shared" si="37"/>
        <v>33868</v>
      </c>
      <c r="Z2382" t="str">
        <f>IF(ISNUMBER(SEARCH("Adjustment",$C2382)),"excluded",IF($H2382="Behind the Meter","excluded",IF(NOT(OR($E2382="Bundled",$E2382="Energy")),"excluded",IF(OR($H2382="Retail Power Marketer",$H2382="Community Choice Aggregator",$E2382="Energy"),"procurement",IF(OR($H2382="Municipal",$H2382="Cooperative",$H2382="Federal",$H2382="State",$H2382="Political Subdivision"),"cost_service",IF($H2382="Investor Owned",IF(AND(COUNTIF(Parameters!$A$4:$A$33,$G2382)&gt;0,COUNTIF(Parameters!$B$4:$B$33,$B2382)=0),"procurement","cost_service"),"unclassified"))))))</f>
        <v>procurement</v>
      </c>
    </row>
    <row r="2383" spans="1:26" x14ac:dyDescent="0.25">
      <c r="A2383">
        <v>2024</v>
      </c>
      <c r="B2383">
        <v>61823</v>
      </c>
      <c r="C2383" t="s">
        <v>1616</v>
      </c>
      <c r="D2383" t="s">
        <v>84</v>
      </c>
      <c r="E2383" t="s">
        <v>85</v>
      </c>
      <c r="F2383" t="s">
        <v>86</v>
      </c>
      <c r="G2383" t="s">
        <v>115</v>
      </c>
      <c r="H2383" t="s">
        <v>1475</v>
      </c>
      <c r="I2383" t="s">
        <v>116</v>
      </c>
      <c r="J2383" t="s">
        <v>97</v>
      </c>
      <c r="K2383" t="s">
        <v>97</v>
      </c>
      <c r="L2383" t="s">
        <v>97</v>
      </c>
      <c r="M2383">
        <v>1704.1</v>
      </c>
      <c r="N2383">
        <v>17498</v>
      </c>
      <c r="O2383">
        <v>4</v>
      </c>
      <c r="P2383" t="s">
        <v>97</v>
      </c>
      <c r="Q2383" t="s">
        <v>97</v>
      </c>
      <c r="R2383" t="s">
        <v>97</v>
      </c>
      <c r="S2383" t="s">
        <v>97</v>
      </c>
      <c r="T2383" t="s">
        <v>97</v>
      </c>
      <c r="U2383" t="s">
        <v>97</v>
      </c>
      <c r="V2383">
        <v>1704.1</v>
      </c>
      <c r="W2383">
        <v>17498</v>
      </c>
      <c r="X2383">
        <v>4</v>
      </c>
      <c r="Y2383">
        <f t="shared" si="37"/>
        <v>17498</v>
      </c>
      <c r="Z2383" t="str">
        <f>IF(ISNUMBER(SEARCH("Adjustment",$C2383)),"excluded",IF($H2383="Behind the Meter","excluded",IF(NOT(OR($E2383="Bundled",$E2383="Energy")),"excluded",IF(OR($H2383="Retail Power Marketer",$H2383="Community Choice Aggregator",$E2383="Energy"),"procurement",IF(OR($H2383="Municipal",$H2383="Cooperative",$H2383="Federal",$H2383="State",$H2383="Political Subdivision"),"cost_service",IF($H2383="Investor Owned",IF(AND(COUNTIF(Parameters!$A$4:$A$33,$G2383)&gt;0,COUNTIF(Parameters!$B$4:$B$33,$B2383)=0),"procurement","cost_service"),"unclassified"))))))</f>
        <v>excluded</v>
      </c>
    </row>
    <row r="2384" spans="1:26" x14ac:dyDescent="0.25">
      <c r="A2384">
        <v>2024</v>
      </c>
      <c r="B2384">
        <v>61823</v>
      </c>
      <c r="C2384" t="s">
        <v>1616</v>
      </c>
      <c r="D2384" t="s">
        <v>84</v>
      </c>
      <c r="E2384" t="s">
        <v>85</v>
      </c>
      <c r="F2384" t="s">
        <v>86</v>
      </c>
      <c r="G2384" t="s">
        <v>361</v>
      </c>
      <c r="H2384" t="s">
        <v>1475</v>
      </c>
      <c r="I2384" t="s">
        <v>259</v>
      </c>
      <c r="J2384" t="s">
        <v>97</v>
      </c>
      <c r="K2384" t="s">
        <v>97</v>
      </c>
      <c r="L2384" t="s">
        <v>97</v>
      </c>
      <c r="M2384">
        <v>70.8</v>
      </c>
      <c r="N2384">
        <v>1855</v>
      </c>
      <c r="O2384">
        <v>1</v>
      </c>
      <c r="P2384" t="s">
        <v>97</v>
      </c>
      <c r="Q2384" t="s">
        <v>97</v>
      </c>
      <c r="R2384" t="s">
        <v>97</v>
      </c>
      <c r="S2384" t="s">
        <v>97</v>
      </c>
      <c r="T2384" t="s">
        <v>97</v>
      </c>
      <c r="U2384" t="s">
        <v>97</v>
      </c>
      <c r="V2384">
        <v>70.8</v>
      </c>
      <c r="W2384">
        <v>1855</v>
      </c>
      <c r="X2384">
        <v>1</v>
      </c>
      <c r="Y2384">
        <f t="shared" si="37"/>
        <v>1855</v>
      </c>
      <c r="Z2384" t="str">
        <f>IF(ISNUMBER(SEARCH("Adjustment",$C2384)),"excluded",IF($H2384="Behind the Meter","excluded",IF(NOT(OR($E2384="Bundled",$E2384="Energy")),"excluded",IF(OR($H2384="Retail Power Marketer",$H2384="Community Choice Aggregator",$E2384="Energy"),"procurement",IF(OR($H2384="Municipal",$H2384="Cooperative",$H2384="Federal",$H2384="State",$H2384="Political Subdivision"),"cost_service",IF($H2384="Investor Owned",IF(AND(COUNTIF(Parameters!$A$4:$A$33,$G2384)&gt;0,COUNTIF(Parameters!$B$4:$B$33,$B2384)=0),"procurement","cost_service"),"unclassified"))))))</f>
        <v>excluded</v>
      </c>
    </row>
    <row r="2385" spans="1:26" x14ac:dyDescent="0.25">
      <c r="A2385">
        <v>2024</v>
      </c>
      <c r="B2385">
        <v>61823</v>
      </c>
      <c r="C2385" t="s">
        <v>1616</v>
      </c>
      <c r="D2385" t="s">
        <v>84</v>
      </c>
      <c r="E2385" t="s">
        <v>85</v>
      </c>
      <c r="F2385" t="s">
        <v>86</v>
      </c>
      <c r="G2385" t="s">
        <v>40</v>
      </c>
      <c r="H2385" t="s">
        <v>1475</v>
      </c>
      <c r="I2385" t="s">
        <v>189</v>
      </c>
      <c r="J2385" t="s">
        <v>97</v>
      </c>
      <c r="K2385" t="s">
        <v>97</v>
      </c>
      <c r="L2385" t="s">
        <v>97</v>
      </c>
      <c r="M2385">
        <v>4137</v>
      </c>
      <c r="N2385">
        <v>65816</v>
      </c>
      <c r="O2385">
        <v>29</v>
      </c>
      <c r="P2385" t="s">
        <v>97</v>
      </c>
      <c r="Q2385" t="s">
        <v>97</v>
      </c>
      <c r="R2385" t="s">
        <v>97</v>
      </c>
      <c r="S2385" t="s">
        <v>97</v>
      </c>
      <c r="T2385" t="s">
        <v>97</v>
      </c>
      <c r="U2385" t="s">
        <v>97</v>
      </c>
      <c r="V2385">
        <v>4137</v>
      </c>
      <c r="W2385">
        <v>65816</v>
      </c>
      <c r="X2385">
        <v>29</v>
      </c>
      <c r="Y2385">
        <f t="shared" si="37"/>
        <v>65816</v>
      </c>
      <c r="Z2385" t="str">
        <f>IF(ISNUMBER(SEARCH("Adjustment",$C2385)),"excluded",IF($H2385="Behind the Meter","excluded",IF(NOT(OR($E2385="Bundled",$E2385="Energy")),"excluded",IF(OR($H2385="Retail Power Marketer",$H2385="Community Choice Aggregator",$E2385="Energy"),"procurement",IF(OR($H2385="Municipal",$H2385="Cooperative",$H2385="Federal",$H2385="State",$H2385="Political Subdivision"),"cost_service",IF($H2385="Investor Owned",IF(AND(COUNTIF(Parameters!$A$4:$A$33,$G2385)&gt;0,COUNTIF(Parameters!$B$4:$B$33,$B2385)=0),"procurement","cost_service"),"unclassified"))))))</f>
        <v>excluded</v>
      </c>
    </row>
    <row r="2386" spans="1:26" x14ac:dyDescent="0.25">
      <c r="A2386">
        <v>2024</v>
      </c>
      <c r="B2386">
        <v>61823</v>
      </c>
      <c r="C2386" t="s">
        <v>1616</v>
      </c>
      <c r="D2386" t="s">
        <v>84</v>
      </c>
      <c r="E2386" t="s">
        <v>85</v>
      </c>
      <c r="F2386" t="s">
        <v>86</v>
      </c>
      <c r="G2386" t="s">
        <v>195</v>
      </c>
      <c r="H2386" t="s">
        <v>1475</v>
      </c>
      <c r="I2386" t="s">
        <v>546</v>
      </c>
      <c r="J2386" t="s">
        <v>97</v>
      </c>
      <c r="K2386" t="s">
        <v>97</v>
      </c>
      <c r="L2386" t="s">
        <v>97</v>
      </c>
      <c r="M2386">
        <v>784.3</v>
      </c>
      <c r="N2386">
        <v>2340</v>
      </c>
      <c r="O2386">
        <v>1</v>
      </c>
      <c r="P2386" t="s">
        <v>97</v>
      </c>
      <c r="Q2386" t="s">
        <v>97</v>
      </c>
      <c r="R2386" t="s">
        <v>97</v>
      </c>
      <c r="S2386" t="s">
        <v>97</v>
      </c>
      <c r="T2386" t="s">
        <v>97</v>
      </c>
      <c r="U2386" t="s">
        <v>97</v>
      </c>
      <c r="V2386">
        <v>784.3</v>
      </c>
      <c r="W2386">
        <v>2340</v>
      </c>
      <c r="X2386">
        <v>1</v>
      </c>
      <c r="Y2386">
        <f t="shared" si="37"/>
        <v>2340</v>
      </c>
      <c r="Z2386" t="str">
        <f>IF(ISNUMBER(SEARCH("Adjustment",$C2386)),"excluded",IF($H2386="Behind the Meter","excluded",IF(NOT(OR($E2386="Bundled",$E2386="Energy")),"excluded",IF(OR($H2386="Retail Power Marketer",$H2386="Community Choice Aggregator",$E2386="Energy"),"procurement",IF(OR($H2386="Municipal",$H2386="Cooperative",$H2386="Federal",$H2386="State",$H2386="Political Subdivision"),"cost_service",IF($H2386="Investor Owned",IF(AND(COUNTIF(Parameters!$A$4:$A$33,$G2386)&gt;0,COUNTIF(Parameters!$B$4:$B$33,$B2386)=0),"procurement","cost_service"),"unclassified"))))))</f>
        <v>excluded</v>
      </c>
    </row>
    <row r="2387" spans="1:26" x14ac:dyDescent="0.25">
      <c r="A2387">
        <v>2024</v>
      </c>
      <c r="B2387">
        <v>61823</v>
      </c>
      <c r="C2387" t="s">
        <v>1616</v>
      </c>
      <c r="D2387" t="s">
        <v>84</v>
      </c>
      <c r="E2387" t="s">
        <v>85</v>
      </c>
      <c r="F2387" t="s">
        <v>86</v>
      </c>
      <c r="G2387" t="s">
        <v>48</v>
      </c>
      <c r="H2387" t="s">
        <v>1475</v>
      </c>
      <c r="I2387" t="s">
        <v>189</v>
      </c>
      <c r="J2387" t="s">
        <v>97</v>
      </c>
      <c r="K2387" t="s">
        <v>97</v>
      </c>
      <c r="L2387" t="s">
        <v>97</v>
      </c>
      <c r="M2387">
        <v>2253.5</v>
      </c>
      <c r="N2387">
        <v>28912</v>
      </c>
      <c r="O2387">
        <v>2</v>
      </c>
      <c r="P2387" t="s">
        <v>97</v>
      </c>
      <c r="Q2387" t="s">
        <v>97</v>
      </c>
      <c r="R2387" t="s">
        <v>97</v>
      </c>
      <c r="S2387" t="s">
        <v>97</v>
      </c>
      <c r="T2387" t="s">
        <v>97</v>
      </c>
      <c r="U2387" t="s">
        <v>97</v>
      </c>
      <c r="V2387">
        <v>2253.5</v>
      </c>
      <c r="W2387">
        <v>28912</v>
      </c>
      <c r="X2387">
        <v>2</v>
      </c>
      <c r="Y2387">
        <f t="shared" si="37"/>
        <v>28912</v>
      </c>
      <c r="Z2387" t="str">
        <f>IF(ISNUMBER(SEARCH("Adjustment",$C2387)),"excluded",IF($H2387="Behind the Meter","excluded",IF(NOT(OR($E2387="Bundled",$E2387="Energy")),"excluded",IF(OR($H2387="Retail Power Marketer",$H2387="Community Choice Aggregator",$E2387="Energy"),"procurement",IF(OR($H2387="Municipal",$H2387="Cooperative",$H2387="Federal",$H2387="State",$H2387="Political Subdivision"),"cost_service",IF($H2387="Investor Owned",IF(AND(COUNTIF(Parameters!$A$4:$A$33,$G2387)&gt;0,COUNTIF(Parameters!$B$4:$B$33,$B2387)=0),"procurement","cost_service"),"unclassified"))))))</f>
        <v>excluded</v>
      </c>
    </row>
    <row r="2388" spans="1:26" x14ac:dyDescent="0.25">
      <c r="A2388">
        <v>2024</v>
      </c>
      <c r="B2388">
        <v>61823</v>
      </c>
      <c r="C2388" t="s">
        <v>1616</v>
      </c>
      <c r="D2388" t="s">
        <v>84</v>
      </c>
      <c r="E2388" t="s">
        <v>85</v>
      </c>
      <c r="F2388" t="s">
        <v>86</v>
      </c>
      <c r="G2388" t="s">
        <v>52</v>
      </c>
      <c r="H2388" t="s">
        <v>1475</v>
      </c>
      <c r="I2388" t="s">
        <v>92</v>
      </c>
      <c r="J2388" t="s">
        <v>97</v>
      </c>
      <c r="K2388" t="s">
        <v>97</v>
      </c>
      <c r="L2388" t="s">
        <v>97</v>
      </c>
      <c r="M2388">
        <v>995.7</v>
      </c>
      <c r="N2388">
        <v>35070</v>
      </c>
      <c r="O2388">
        <v>22</v>
      </c>
      <c r="P2388" t="s">
        <v>97</v>
      </c>
      <c r="Q2388" t="s">
        <v>97</v>
      </c>
      <c r="R2388" t="s">
        <v>97</v>
      </c>
      <c r="S2388" t="s">
        <v>97</v>
      </c>
      <c r="T2388" t="s">
        <v>97</v>
      </c>
      <c r="U2388" t="s">
        <v>97</v>
      </c>
      <c r="V2388">
        <v>995.7</v>
      </c>
      <c r="W2388">
        <v>35070</v>
      </c>
      <c r="X2388">
        <v>22</v>
      </c>
      <c r="Y2388">
        <f t="shared" si="37"/>
        <v>35070</v>
      </c>
      <c r="Z2388" t="str">
        <f>IF(ISNUMBER(SEARCH("Adjustment",$C2388)),"excluded",IF($H2388="Behind the Meter","excluded",IF(NOT(OR($E2388="Bundled",$E2388="Energy")),"excluded",IF(OR($H2388="Retail Power Marketer",$H2388="Community Choice Aggregator",$E2388="Energy"),"procurement",IF(OR($H2388="Municipal",$H2388="Cooperative",$H2388="Federal",$H2388="State",$H2388="Political Subdivision"),"cost_service",IF($H2388="Investor Owned",IF(AND(COUNTIF(Parameters!$A$4:$A$33,$G2388)&gt;0,COUNTIF(Parameters!$B$4:$B$33,$B2388)=0),"procurement","cost_service"),"unclassified"))))))</f>
        <v>excluded</v>
      </c>
    </row>
    <row r="2389" spans="1:26" x14ac:dyDescent="0.25">
      <c r="A2389">
        <v>2024</v>
      </c>
      <c r="B2389">
        <v>61823</v>
      </c>
      <c r="C2389" t="s">
        <v>1616</v>
      </c>
      <c r="D2389" t="s">
        <v>84</v>
      </c>
      <c r="E2389" t="s">
        <v>85</v>
      </c>
      <c r="F2389" t="s">
        <v>86</v>
      </c>
      <c r="G2389" t="s">
        <v>55</v>
      </c>
      <c r="H2389" t="s">
        <v>1475</v>
      </c>
      <c r="I2389" t="s">
        <v>92</v>
      </c>
      <c r="J2389" t="s">
        <v>97</v>
      </c>
      <c r="K2389" t="s">
        <v>97</v>
      </c>
      <c r="L2389" t="s">
        <v>97</v>
      </c>
      <c r="M2389">
        <v>29.4</v>
      </c>
      <c r="N2389">
        <v>423</v>
      </c>
      <c r="O2389">
        <v>1</v>
      </c>
      <c r="P2389" t="s">
        <v>97</v>
      </c>
      <c r="Q2389" t="s">
        <v>97</v>
      </c>
      <c r="R2389" t="s">
        <v>97</v>
      </c>
      <c r="S2389" t="s">
        <v>97</v>
      </c>
      <c r="T2389" t="s">
        <v>97</v>
      </c>
      <c r="U2389" t="s">
        <v>97</v>
      </c>
      <c r="V2389">
        <v>29.4</v>
      </c>
      <c r="W2389">
        <v>423</v>
      </c>
      <c r="X2389">
        <v>1</v>
      </c>
      <c r="Y2389">
        <f t="shared" si="37"/>
        <v>423</v>
      </c>
      <c r="Z2389" t="str">
        <f>IF(ISNUMBER(SEARCH("Adjustment",$C2389)),"excluded",IF($H2389="Behind the Meter","excluded",IF(NOT(OR($E2389="Bundled",$E2389="Energy")),"excluded",IF(OR($H2389="Retail Power Marketer",$H2389="Community Choice Aggregator",$E2389="Energy"),"procurement",IF(OR($H2389="Municipal",$H2389="Cooperative",$H2389="Federal",$H2389="State",$H2389="Political Subdivision"),"cost_service",IF($H2389="Investor Owned",IF(AND(COUNTIF(Parameters!$A$4:$A$33,$G2389)&gt;0,COUNTIF(Parameters!$B$4:$B$33,$B2389)=0),"procurement","cost_service"),"unclassified"))))))</f>
        <v>excluded</v>
      </c>
    </row>
    <row r="2390" spans="1:26" x14ac:dyDescent="0.25">
      <c r="A2390">
        <v>2024</v>
      </c>
      <c r="B2390">
        <v>61855</v>
      </c>
      <c r="C2390" t="s">
        <v>1617</v>
      </c>
      <c r="D2390" t="s">
        <v>150</v>
      </c>
      <c r="E2390" t="s">
        <v>85</v>
      </c>
      <c r="F2390" t="s">
        <v>86</v>
      </c>
      <c r="G2390" t="s">
        <v>57</v>
      </c>
      <c r="H2390" t="s">
        <v>101</v>
      </c>
      <c r="I2390" t="s">
        <v>151</v>
      </c>
      <c r="J2390">
        <v>220914.2</v>
      </c>
      <c r="K2390">
        <v>1499845</v>
      </c>
      <c r="L2390">
        <v>101940</v>
      </c>
      <c r="M2390">
        <v>17247.099999999999</v>
      </c>
      <c r="N2390">
        <v>122235</v>
      </c>
      <c r="O2390">
        <v>6024</v>
      </c>
      <c r="P2390">
        <v>0</v>
      </c>
      <c r="Q2390">
        <v>0</v>
      </c>
      <c r="R2390">
        <v>0</v>
      </c>
      <c r="S2390">
        <v>0</v>
      </c>
      <c r="T2390">
        <v>0</v>
      </c>
      <c r="U2390">
        <v>0</v>
      </c>
      <c r="V2390">
        <v>238161.3</v>
      </c>
      <c r="W2390">
        <v>1622080</v>
      </c>
      <c r="X2390">
        <v>107964</v>
      </c>
      <c r="Y2390">
        <f t="shared" si="37"/>
        <v>1622080</v>
      </c>
      <c r="Z2390" t="str">
        <f>IF(ISNUMBER(SEARCH("Adjustment",$C2390)),"excluded",IF($H2390="Behind the Meter","excluded",IF(NOT(OR($E2390="Bundled",$E2390="Energy")),"excluded",IF(OR($H2390="Retail Power Marketer",$H2390="Community Choice Aggregator",$E2390="Energy"),"procurement",IF(OR($H2390="Municipal",$H2390="Cooperative",$H2390="Federal",$H2390="State",$H2390="Political Subdivision"),"cost_service",IF($H2390="Investor Owned",IF(AND(COUNTIF(Parameters!$A$4:$A$33,$G2390)&gt;0,COUNTIF(Parameters!$B$4:$B$33,$B2390)=0),"procurement","cost_service"),"unclassified"))))))</f>
        <v>procurement</v>
      </c>
    </row>
    <row r="2391" spans="1:26" x14ac:dyDescent="0.25">
      <c r="A2391">
        <v>2024</v>
      </c>
      <c r="B2391">
        <v>61858</v>
      </c>
      <c r="C2391" t="s">
        <v>1618</v>
      </c>
      <c r="D2391" t="s">
        <v>99</v>
      </c>
      <c r="E2391" t="s">
        <v>100</v>
      </c>
      <c r="F2391" t="s">
        <v>86</v>
      </c>
      <c r="G2391" t="s">
        <v>115</v>
      </c>
      <c r="H2391" t="s">
        <v>1464</v>
      </c>
      <c r="I2391" t="s">
        <v>116</v>
      </c>
      <c r="J2391">
        <v>241420.3</v>
      </c>
      <c r="K2391">
        <v>1594382</v>
      </c>
      <c r="L2391">
        <v>326459</v>
      </c>
      <c r="M2391">
        <v>268217.09999999998</v>
      </c>
      <c r="N2391">
        <v>1807283</v>
      </c>
      <c r="O2391">
        <v>27891</v>
      </c>
      <c r="P2391">
        <v>45498</v>
      </c>
      <c r="Q2391">
        <v>326840</v>
      </c>
      <c r="R2391">
        <v>51</v>
      </c>
      <c r="S2391">
        <v>2016.2</v>
      </c>
      <c r="T2391">
        <v>15057</v>
      </c>
      <c r="U2391">
        <v>1</v>
      </c>
      <c r="V2391">
        <v>557151.6</v>
      </c>
      <c r="W2391">
        <v>3743562</v>
      </c>
      <c r="X2391">
        <v>354402</v>
      </c>
      <c r="Y2391">
        <f t="shared" si="37"/>
        <v>3743562</v>
      </c>
      <c r="Z2391" t="str">
        <f>IF(ISNUMBER(SEARCH("Adjustment",$C2391)),"excluded",IF($H2391="Behind the Meter","excluded",IF(NOT(OR($E2391="Bundled",$E2391="Energy")),"excluded",IF(OR($H2391="Retail Power Marketer",$H2391="Community Choice Aggregator",$E2391="Energy"),"procurement",IF(OR($H2391="Municipal",$H2391="Cooperative",$H2391="Federal",$H2391="State",$H2391="Political Subdivision"),"cost_service",IF($H2391="Investor Owned",IF(AND(COUNTIF(Parameters!$A$4:$A$33,$G2391)&gt;0,COUNTIF(Parameters!$B$4:$B$33,$B2391)=0),"procurement","cost_service"),"unclassified"))))))</f>
        <v>procurement</v>
      </c>
    </row>
    <row r="2392" spans="1:26" x14ac:dyDescent="0.25">
      <c r="A2392">
        <v>2024</v>
      </c>
      <c r="B2392">
        <v>61920</v>
      </c>
      <c r="C2392" t="s">
        <v>1619</v>
      </c>
      <c r="D2392" t="s">
        <v>99</v>
      </c>
      <c r="E2392" t="s">
        <v>100</v>
      </c>
      <c r="F2392" t="s">
        <v>86</v>
      </c>
      <c r="G2392" t="s">
        <v>52</v>
      </c>
      <c r="H2392" t="s">
        <v>101</v>
      </c>
      <c r="I2392" t="s">
        <v>92</v>
      </c>
      <c r="J2392">
        <v>292.60000000000002</v>
      </c>
      <c r="K2392">
        <v>814</v>
      </c>
      <c r="L2392">
        <v>123</v>
      </c>
      <c r="M2392">
        <v>2468.5</v>
      </c>
      <c r="N2392">
        <v>6659</v>
      </c>
      <c r="O2392">
        <v>283</v>
      </c>
      <c r="P2392" t="s">
        <v>97</v>
      </c>
      <c r="Q2392" t="s">
        <v>97</v>
      </c>
      <c r="R2392" t="s">
        <v>97</v>
      </c>
      <c r="S2392" t="s">
        <v>97</v>
      </c>
      <c r="T2392" t="s">
        <v>97</v>
      </c>
      <c r="U2392" t="s">
        <v>97</v>
      </c>
      <c r="V2392">
        <v>2761.1</v>
      </c>
      <c r="W2392">
        <v>7473</v>
      </c>
      <c r="X2392">
        <v>406</v>
      </c>
      <c r="Y2392">
        <f t="shared" si="37"/>
        <v>7473</v>
      </c>
      <c r="Z2392" t="str">
        <f>IF(ISNUMBER(SEARCH("Adjustment",$C2392)),"excluded",IF($H2392="Behind the Meter","excluded",IF(NOT(OR($E2392="Bundled",$E2392="Energy")),"excluded",IF(OR($H2392="Retail Power Marketer",$H2392="Community Choice Aggregator",$E2392="Energy"),"procurement",IF(OR($H2392="Municipal",$H2392="Cooperative",$H2392="Federal",$H2392="State",$H2392="Political Subdivision"),"cost_service",IF($H2392="Investor Owned",IF(AND(COUNTIF(Parameters!$A$4:$A$33,$G2392)&gt;0,COUNTIF(Parameters!$B$4:$B$33,$B2392)=0),"procurement","cost_service"),"unclassified"))))))</f>
        <v>procurement</v>
      </c>
    </row>
    <row r="2393" spans="1:26" x14ac:dyDescent="0.25">
      <c r="A2393">
        <v>2024</v>
      </c>
      <c r="B2393">
        <v>61920</v>
      </c>
      <c r="C2393" t="s">
        <v>1619</v>
      </c>
      <c r="D2393" t="s">
        <v>99</v>
      </c>
      <c r="E2393" t="s">
        <v>100</v>
      </c>
      <c r="F2393" t="s">
        <v>86</v>
      </c>
      <c r="G2393" t="s">
        <v>53</v>
      </c>
      <c r="H2393" t="s">
        <v>101</v>
      </c>
      <c r="I2393" t="s">
        <v>102</v>
      </c>
      <c r="J2393">
        <v>774.6</v>
      </c>
      <c r="K2393">
        <v>1865</v>
      </c>
      <c r="L2393">
        <v>396</v>
      </c>
      <c r="M2393">
        <v>7390.2</v>
      </c>
      <c r="N2393">
        <v>17456</v>
      </c>
      <c r="O2393">
        <v>1052</v>
      </c>
      <c r="P2393" t="s">
        <v>97</v>
      </c>
      <c r="Q2393" t="s">
        <v>97</v>
      </c>
      <c r="R2393" t="s">
        <v>97</v>
      </c>
      <c r="S2393" t="s">
        <v>97</v>
      </c>
      <c r="T2393" t="s">
        <v>97</v>
      </c>
      <c r="U2393" t="s">
        <v>97</v>
      </c>
      <c r="V2393">
        <v>8164.8</v>
      </c>
      <c r="W2393">
        <v>19321</v>
      </c>
      <c r="X2393">
        <v>1448</v>
      </c>
      <c r="Y2393">
        <f t="shared" si="37"/>
        <v>19321</v>
      </c>
      <c r="Z2393" t="str">
        <f>IF(ISNUMBER(SEARCH("Adjustment",$C2393)),"excluded",IF($H2393="Behind the Meter","excluded",IF(NOT(OR($E2393="Bundled",$E2393="Energy")),"excluded",IF(OR($H2393="Retail Power Marketer",$H2393="Community Choice Aggregator",$E2393="Energy"),"procurement",IF(OR($H2393="Municipal",$H2393="Cooperative",$H2393="Federal",$H2393="State",$H2393="Political Subdivision"),"cost_service",IF($H2393="Investor Owned",IF(AND(COUNTIF(Parameters!$A$4:$A$33,$G2393)&gt;0,COUNTIF(Parameters!$B$4:$B$33,$B2393)=0),"procurement","cost_service"),"unclassified"))))))</f>
        <v>procurement</v>
      </c>
    </row>
    <row r="2394" spans="1:26" x14ac:dyDescent="0.25">
      <c r="A2394">
        <v>2024</v>
      </c>
      <c r="B2394">
        <v>61920</v>
      </c>
      <c r="C2394" t="s">
        <v>1619</v>
      </c>
      <c r="D2394" t="s">
        <v>99</v>
      </c>
      <c r="E2394" t="s">
        <v>100</v>
      </c>
      <c r="F2394" t="s">
        <v>86</v>
      </c>
      <c r="G2394" t="s">
        <v>54</v>
      </c>
      <c r="H2394" t="s">
        <v>101</v>
      </c>
      <c r="I2394" t="s">
        <v>92</v>
      </c>
      <c r="J2394">
        <v>23.1</v>
      </c>
      <c r="K2394">
        <v>83</v>
      </c>
      <c r="L2394">
        <v>15</v>
      </c>
      <c r="M2394">
        <v>2.6</v>
      </c>
      <c r="N2394">
        <v>9</v>
      </c>
      <c r="O2394">
        <v>1</v>
      </c>
      <c r="P2394" t="s">
        <v>97</v>
      </c>
      <c r="Q2394" t="s">
        <v>97</v>
      </c>
      <c r="R2394" t="s">
        <v>97</v>
      </c>
      <c r="S2394" t="s">
        <v>97</v>
      </c>
      <c r="T2394" t="s">
        <v>97</v>
      </c>
      <c r="U2394" t="s">
        <v>97</v>
      </c>
      <c r="V2394">
        <v>25.7</v>
      </c>
      <c r="W2394">
        <v>92</v>
      </c>
      <c r="X2394">
        <v>16</v>
      </c>
      <c r="Y2394">
        <f t="shared" si="37"/>
        <v>92</v>
      </c>
      <c r="Z2394" t="str">
        <f>IF(ISNUMBER(SEARCH("Adjustment",$C2394)),"excluded",IF($H2394="Behind the Meter","excluded",IF(NOT(OR($E2394="Bundled",$E2394="Energy")),"excluded",IF(OR($H2394="Retail Power Marketer",$H2394="Community Choice Aggregator",$E2394="Energy"),"procurement",IF(OR($H2394="Municipal",$H2394="Cooperative",$H2394="Federal",$H2394="State",$H2394="Political Subdivision"),"cost_service",IF($H2394="Investor Owned",IF(AND(COUNTIF(Parameters!$A$4:$A$33,$G2394)&gt;0,COUNTIF(Parameters!$B$4:$B$33,$B2394)=0),"procurement","cost_service"),"unclassified"))))))</f>
        <v>procurement</v>
      </c>
    </row>
    <row r="2395" spans="1:26" x14ac:dyDescent="0.25">
      <c r="A2395">
        <v>2024</v>
      </c>
      <c r="B2395">
        <v>61920</v>
      </c>
      <c r="C2395" t="s">
        <v>1619</v>
      </c>
      <c r="D2395" t="s">
        <v>99</v>
      </c>
      <c r="E2395" t="s">
        <v>100</v>
      </c>
      <c r="F2395" t="s">
        <v>86</v>
      </c>
      <c r="G2395" t="s">
        <v>55</v>
      </c>
      <c r="H2395" t="s">
        <v>101</v>
      </c>
      <c r="I2395" t="s">
        <v>92</v>
      </c>
      <c r="J2395">
        <v>1570.7</v>
      </c>
      <c r="K2395">
        <v>5961</v>
      </c>
      <c r="L2395">
        <v>837</v>
      </c>
      <c r="M2395">
        <v>7998.3</v>
      </c>
      <c r="N2395">
        <v>31235</v>
      </c>
      <c r="O2395">
        <v>1056</v>
      </c>
      <c r="P2395" t="s">
        <v>97</v>
      </c>
      <c r="Q2395" t="s">
        <v>97</v>
      </c>
      <c r="R2395" t="s">
        <v>97</v>
      </c>
      <c r="S2395" t="s">
        <v>97</v>
      </c>
      <c r="T2395" t="s">
        <v>97</v>
      </c>
      <c r="U2395" t="s">
        <v>97</v>
      </c>
      <c r="V2395">
        <v>9569</v>
      </c>
      <c r="W2395">
        <v>37196</v>
      </c>
      <c r="X2395">
        <v>1893</v>
      </c>
      <c r="Y2395">
        <f t="shared" si="37"/>
        <v>37196</v>
      </c>
      <c r="Z2395" t="str">
        <f>IF(ISNUMBER(SEARCH("Adjustment",$C2395)),"excluded",IF($H2395="Behind the Meter","excluded",IF(NOT(OR($E2395="Bundled",$E2395="Energy")),"excluded",IF(OR($H2395="Retail Power Marketer",$H2395="Community Choice Aggregator",$E2395="Energy"),"procurement",IF(OR($H2395="Municipal",$H2395="Cooperative",$H2395="Federal",$H2395="State",$H2395="Political Subdivision"),"cost_service",IF($H2395="Investor Owned",IF(AND(COUNTIF(Parameters!$A$4:$A$33,$G2395)&gt;0,COUNTIF(Parameters!$B$4:$B$33,$B2395)=0),"procurement","cost_service"),"unclassified"))))))</f>
        <v>procurement</v>
      </c>
    </row>
    <row r="2396" spans="1:26" x14ac:dyDescent="0.25">
      <c r="A2396">
        <v>2024</v>
      </c>
      <c r="B2396">
        <v>61922</v>
      </c>
      <c r="C2396" t="s">
        <v>1620</v>
      </c>
      <c r="D2396" t="s">
        <v>99</v>
      </c>
      <c r="E2396" t="s">
        <v>100</v>
      </c>
      <c r="F2396" t="s">
        <v>86</v>
      </c>
      <c r="G2396" t="s">
        <v>46</v>
      </c>
      <c r="H2396" t="s">
        <v>101</v>
      </c>
      <c r="I2396" t="s">
        <v>92</v>
      </c>
      <c r="J2396">
        <v>1633.9</v>
      </c>
      <c r="K2396">
        <v>5993</v>
      </c>
      <c r="L2396">
        <v>1138</v>
      </c>
      <c r="M2396">
        <v>942.3</v>
      </c>
      <c r="N2396">
        <v>3993</v>
      </c>
      <c r="O2396">
        <v>278</v>
      </c>
      <c r="P2396" t="s">
        <v>97</v>
      </c>
      <c r="Q2396" t="s">
        <v>97</v>
      </c>
      <c r="R2396" t="s">
        <v>97</v>
      </c>
      <c r="S2396" t="s">
        <v>97</v>
      </c>
      <c r="T2396" t="s">
        <v>97</v>
      </c>
      <c r="U2396" t="s">
        <v>97</v>
      </c>
      <c r="V2396">
        <v>2576.1999999999998</v>
      </c>
      <c r="W2396">
        <v>9986</v>
      </c>
      <c r="X2396">
        <v>1416</v>
      </c>
      <c r="Y2396">
        <f t="shared" si="37"/>
        <v>9986</v>
      </c>
      <c r="Z2396" t="str">
        <f>IF(ISNUMBER(SEARCH("Adjustment",$C2396)),"excluded",IF($H2396="Behind the Meter","excluded",IF(NOT(OR($E2396="Bundled",$E2396="Energy")),"excluded",IF(OR($H2396="Retail Power Marketer",$H2396="Community Choice Aggregator",$E2396="Energy"),"procurement",IF(OR($H2396="Municipal",$H2396="Cooperative",$H2396="Federal",$H2396="State",$H2396="Political Subdivision"),"cost_service",IF($H2396="Investor Owned",IF(AND(COUNTIF(Parameters!$A$4:$A$33,$G2396)&gt;0,COUNTIF(Parameters!$B$4:$B$33,$B2396)=0),"procurement","cost_service"),"unclassified"))))))</f>
        <v>procurement</v>
      </c>
    </row>
    <row r="2397" spans="1:26" x14ac:dyDescent="0.25">
      <c r="A2397">
        <v>2024</v>
      </c>
      <c r="B2397">
        <v>61922</v>
      </c>
      <c r="C2397" t="s">
        <v>1620</v>
      </c>
      <c r="D2397" t="s">
        <v>99</v>
      </c>
      <c r="E2397" t="s">
        <v>100</v>
      </c>
      <c r="F2397" t="s">
        <v>86</v>
      </c>
      <c r="G2397" t="s">
        <v>52</v>
      </c>
      <c r="H2397" t="s">
        <v>101</v>
      </c>
      <c r="I2397" t="s">
        <v>92</v>
      </c>
      <c r="J2397">
        <v>3260.8</v>
      </c>
      <c r="K2397">
        <v>9466</v>
      </c>
      <c r="L2397">
        <v>1482</v>
      </c>
      <c r="M2397">
        <v>7461.7</v>
      </c>
      <c r="N2397">
        <v>22236</v>
      </c>
      <c r="O2397">
        <v>786</v>
      </c>
      <c r="P2397" t="s">
        <v>97</v>
      </c>
      <c r="Q2397" t="s">
        <v>97</v>
      </c>
      <c r="R2397" t="s">
        <v>97</v>
      </c>
      <c r="S2397" t="s">
        <v>97</v>
      </c>
      <c r="T2397" t="s">
        <v>97</v>
      </c>
      <c r="U2397" t="s">
        <v>97</v>
      </c>
      <c r="V2397">
        <v>10722.5</v>
      </c>
      <c r="W2397">
        <v>31702</v>
      </c>
      <c r="X2397">
        <v>2268</v>
      </c>
      <c r="Y2397">
        <f t="shared" si="37"/>
        <v>31702</v>
      </c>
      <c r="Z2397" t="str">
        <f>IF(ISNUMBER(SEARCH("Adjustment",$C2397)),"excluded",IF($H2397="Behind the Meter","excluded",IF(NOT(OR($E2397="Bundled",$E2397="Energy")),"excluded",IF(OR($H2397="Retail Power Marketer",$H2397="Community Choice Aggregator",$E2397="Energy"),"procurement",IF(OR($H2397="Municipal",$H2397="Cooperative",$H2397="Federal",$H2397="State",$H2397="Political Subdivision"),"cost_service",IF($H2397="Investor Owned",IF(AND(COUNTIF(Parameters!$A$4:$A$33,$G2397)&gt;0,COUNTIF(Parameters!$B$4:$B$33,$B2397)=0),"procurement","cost_service"),"unclassified"))))))</f>
        <v>procurement</v>
      </c>
    </row>
    <row r="2398" spans="1:26" x14ac:dyDescent="0.25">
      <c r="A2398">
        <v>2024</v>
      </c>
      <c r="B2398">
        <v>61922</v>
      </c>
      <c r="C2398" t="s">
        <v>1620</v>
      </c>
      <c r="D2398" t="s">
        <v>99</v>
      </c>
      <c r="E2398" t="s">
        <v>100</v>
      </c>
      <c r="F2398" t="s">
        <v>86</v>
      </c>
      <c r="G2398" t="s">
        <v>53</v>
      </c>
      <c r="H2398" t="s">
        <v>101</v>
      </c>
      <c r="I2398" t="s">
        <v>102</v>
      </c>
      <c r="J2398">
        <v>7185.8</v>
      </c>
      <c r="K2398">
        <v>18867</v>
      </c>
      <c r="L2398">
        <v>4633</v>
      </c>
      <c r="M2398">
        <v>3899.5</v>
      </c>
      <c r="N2398">
        <v>12643</v>
      </c>
      <c r="O2398">
        <v>224</v>
      </c>
      <c r="P2398" t="s">
        <v>97</v>
      </c>
      <c r="Q2398" t="s">
        <v>97</v>
      </c>
      <c r="R2398" t="s">
        <v>97</v>
      </c>
      <c r="S2398" t="s">
        <v>97</v>
      </c>
      <c r="T2398" t="s">
        <v>97</v>
      </c>
      <c r="U2398" t="s">
        <v>97</v>
      </c>
      <c r="V2398">
        <v>11085.3</v>
      </c>
      <c r="W2398">
        <v>31510</v>
      </c>
      <c r="X2398">
        <v>4857</v>
      </c>
      <c r="Y2398">
        <f t="shared" si="37"/>
        <v>31510</v>
      </c>
      <c r="Z2398" t="str">
        <f>IF(ISNUMBER(SEARCH("Adjustment",$C2398)),"excluded",IF($H2398="Behind the Meter","excluded",IF(NOT(OR($E2398="Bundled",$E2398="Energy")),"excluded",IF(OR($H2398="Retail Power Marketer",$H2398="Community Choice Aggregator",$E2398="Energy"),"procurement",IF(OR($H2398="Municipal",$H2398="Cooperative",$H2398="Federal",$H2398="State",$H2398="Political Subdivision"),"cost_service",IF($H2398="Investor Owned",IF(AND(COUNTIF(Parameters!$A$4:$A$33,$G2398)&gt;0,COUNTIF(Parameters!$B$4:$B$33,$B2398)=0),"procurement","cost_service"),"unclassified"))))))</f>
        <v>procurement</v>
      </c>
    </row>
    <row r="2399" spans="1:26" x14ac:dyDescent="0.25">
      <c r="A2399">
        <v>2024</v>
      </c>
      <c r="B2399">
        <v>61922</v>
      </c>
      <c r="C2399" t="s">
        <v>1620</v>
      </c>
      <c r="D2399" t="s">
        <v>99</v>
      </c>
      <c r="E2399" t="s">
        <v>100</v>
      </c>
      <c r="F2399" t="s">
        <v>86</v>
      </c>
      <c r="G2399" t="s">
        <v>54</v>
      </c>
      <c r="H2399" t="s">
        <v>101</v>
      </c>
      <c r="I2399" t="s">
        <v>92</v>
      </c>
      <c r="J2399">
        <v>340.2</v>
      </c>
      <c r="K2399">
        <v>1221</v>
      </c>
      <c r="L2399">
        <v>153</v>
      </c>
      <c r="M2399">
        <v>73</v>
      </c>
      <c r="N2399">
        <v>261</v>
      </c>
      <c r="O2399">
        <v>11</v>
      </c>
      <c r="P2399" t="s">
        <v>97</v>
      </c>
      <c r="Q2399" t="s">
        <v>97</v>
      </c>
      <c r="R2399" t="s">
        <v>97</v>
      </c>
      <c r="S2399" t="s">
        <v>97</v>
      </c>
      <c r="T2399" t="s">
        <v>97</v>
      </c>
      <c r="U2399" t="s">
        <v>97</v>
      </c>
      <c r="V2399">
        <v>413.2</v>
      </c>
      <c r="W2399">
        <v>1482</v>
      </c>
      <c r="X2399">
        <v>164</v>
      </c>
      <c r="Y2399">
        <f t="shared" si="37"/>
        <v>1482</v>
      </c>
      <c r="Z2399" t="str">
        <f>IF(ISNUMBER(SEARCH("Adjustment",$C2399)),"excluded",IF($H2399="Behind the Meter","excluded",IF(NOT(OR($E2399="Bundled",$E2399="Energy")),"excluded",IF(OR($H2399="Retail Power Marketer",$H2399="Community Choice Aggregator",$E2399="Energy"),"procurement",IF(OR($H2399="Municipal",$H2399="Cooperative",$H2399="Federal",$H2399="State",$H2399="Political Subdivision"),"cost_service",IF($H2399="Investor Owned",IF(AND(COUNTIF(Parameters!$A$4:$A$33,$G2399)&gt;0,COUNTIF(Parameters!$B$4:$B$33,$B2399)=0),"procurement","cost_service"),"unclassified"))))))</f>
        <v>procurement</v>
      </c>
    </row>
    <row r="2400" spans="1:26" x14ac:dyDescent="0.25">
      <c r="A2400">
        <v>2024</v>
      </c>
      <c r="B2400">
        <v>61922</v>
      </c>
      <c r="C2400" t="s">
        <v>1620</v>
      </c>
      <c r="D2400" t="s">
        <v>99</v>
      </c>
      <c r="E2400" t="s">
        <v>100</v>
      </c>
      <c r="F2400" t="s">
        <v>86</v>
      </c>
      <c r="G2400" t="s">
        <v>55</v>
      </c>
      <c r="H2400" t="s">
        <v>101</v>
      </c>
      <c r="I2400" t="s">
        <v>92</v>
      </c>
      <c r="J2400">
        <v>6822.4</v>
      </c>
      <c r="K2400">
        <v>21621</v>
      </c>
      <c r="L2400">
        <v>3140</v>
      </c>
      <c r="M2400">
        <v>8279.6</v>
      </c>
      <c r="N2400">
        <v>27811</v>
      </c>
      <c r="O2400">
        <v>1405</v>
      </c>
      <c r="P2400" t="s">
        <v>97</v>
      </c>
      <c r="Q2400" t="s">
        <v>97</v>
      </c>
      <c r="R2400" t="s">
        <v>97</v>
      </c>
      <c r="S2400" t="s">
        <v>97</v>
      </c>
      <c r="T2400" t="s">
        <v>97</v>
      </c>
      <c r="U2400" t="s">
        <v>97</v>
      </c>
      <c r="V2400">
        <v>15102</v>
      </c>
      <c r="W2400">
        <v>49432</v>
      </c>
      <c r="X2400">
        <v>4545</v>
      </c>
      <c r="Y2400">
        <f t="shared" si="37"/>
        <v>49432</v>
      </c>
      <c r="Z2400" t="str">
        <f>IF(ISNUMBER(SEARCH("Adjustment",$C2400)),"excluded",IF($H2400="Behind the Meter","excluded",IF(NOT(OR($E2400="Bundled",$E2400="Energy")),"excluded",IF(OR($H2400="Retail Power Marketer",$H2400="Community Choice Aggregator",$E2400="Energy"),"procurement",IF(OR($H2400="Municipal",$H2400="Cooperative",$H2400="Federal",$H2400="State",$H2400="Political Subdivision"),"cost_service",IF($H2400="Investor Owned",IF(AND(COUNTIF(Parameters!$A$4:$A$33,$G2400)&gt;0,COUNTIF(Parameters!$B$4:$B$33,$B2400)=0),"procurement","cost_service"),"unclassified"))))))</f>
        <v>procurement</v>
      </c>
    </row>
    <row r="2401" spans="1:26" x14ac:dyDescent="0.25">
      <c r="A2401">
        <v>2024</v>
      </c>
      <c r="B2401">
        <v>61972</v>
      </c>
      <c r="C2401" t="s">
        <v>1621</v>
      </c>
      <c r="D2401" t="s">
        <v>99</v>
      </c>
      <c r="E2401" t="s">
        <v>100</v>
      </c>
      <c r="F2401" t="s">
        <v>86</v>
      </c>
      <c r="G2401" t="s">
        <v>42</v>
      </c>
      <c r="H2401" t="s">
        <v>101</v>
      </c>
      <c r="I2401" t="s">
        <v>92</v>
      </c>
      <c r="J2401">
        <v>1995.5</v>
      </c>
      <c r="K2401">
        <v>7632</v>
      </c>
      <c r="L2401">
        <v>1512</v>
      </c>
      <c r="M2401">
        <v>221.3</v>
      </c>
      <c r="N2401">
        <v>825</v>
      </c>
      <c r="O2401">
        <v>78</v>
      </c>
      <c r="P2401" t="s">
        <v>97</v>
      </c>
      <c r="Q2401" t="s">
        <v>97</v>
      </c>
      <c r="R2401" t="s">
        <v>97</v>
      </c>
      <c r="S2401" t="s">
        <v>97</v>
      </c>
      <c r="T2401" t="s">
        <v>97</v>
      </c>
      <c r="U2401" t="s">
        <v>97</v>
      </c>
      <c r="V2401">
        <v>2216.8000000000002</v>
      </c>
      <c r="W2401">
        <v>8457</v>
      </c>
      <c r="X2401">
        <v>1590</v>
      </c>
      <c r="Y2401">
        <f t="shared" si="37"/>
        <v>8457</v>
      </c>
      <c r="Z2401" t="str">
        <f>IF(ISNUMBER(SEARCH("Adjustment",$C2401)),"excluded",IF($H2401="Behind the Meter","excluded",IF(NOT(OR($E2401="Bundled",$E2401="Energy")),"excluded",IF(OR($H2401="Retail Power Marketer",$H2401="Community Choice Aggregator",$E2401="Energy"),"procurement",IF(OR($H2401="Municipal",$H2401="Cooperative",$H2401="Federal",$H2401="State",$H2401="Political Subdivision"),"cost_service",IF($H2401="Investor Owned",IF(AND(COUNTIF(Parameters!$A$4:$A$33,$G2401)&gt;0,COUNTIF(Parameters!$B$4:$B$33,$B2401)=0),"procurement","cost_service"),"unclassified"))))))</f>
        <v>procurement</v>
      </c>
    </row>
    <row r="2402" spans="1:26" x14ac:dyDescent="0.25">
      <c r="A2402">
        <v>2024</v>
      </c>
      <c r="B2402">
        <v>61972</v>
      </c>
      <c r="C2402" t="s">
        <v>1621</v>
      </c>
      <c r="D2402" t="s">
        <v>99</v>
      </c>
      <c r="E2402" t="s">
        <v>100</v>
      </c>
      <c r="F2402" t="s">
        <v>86</v>
      </c>
      <c r="G2402" t="s">
        <v>52</v>
      </c>
      <c r="H2402" t="s">
        <v>101</v>
      </c>
      <c r="I2402" t="s">
        <v>92</v>
      </c>
      <c r="J2402">
        <v>2361</v>
      </c>
      <c r="K2402">
        <v>8869</v>
      </c>
      <c r="L2402">
        <v>1871</v>
      </c>
      <c r="M2402">
        <v>37.799999999999997</v>
      </c>
      <c r="N2402">
        <v>150</v>
      </c>
      <c r="O2402">
        <v>25</v>
      </c>
      <c r="P2402" t="s">
        <v>97</v>
      </c>
      <c r="Q2402" t="s">
        <v>97</v>
      </c>
      <c r="R2402" t="s">
        <v>97</v>
      </c>
      <c r="S2402" t="s">
        <v>97</v>
      </c>
      <c r="T2402" t="s">
        <v>97</v>
      </c>
      <c r="U2402" t="s">
        <v>97</v>
      </c>
      <c r="V2402">
        <v>2398.8000000000002</v>
      </c>
      <c r="W2402">
        <v>9019</v>
      </c>
      <c r="X2402">
        <v>1896</v>
      </c>
      <c r="Y2402">
        <f t="shared" si="37"/>
        <v>9019</v>
      </c>
      <c r="Z2402" t="str">
        <f>IF(ISNUMBER(SEARCH("Adjustment",$C2402)),"excluded",IF($H2402="Behind the Meter","excluded",IF(NOT(OR($E2402="Bundled",$E2402="Energy")),"excluded",IF(OR($H2402="Retail Power Marketer",$H2402="Community Choice Aggregator",$E2402="Energy"),"procurement",IF(OR($H2402="Municipal",$H2402="Cooperative",$H2402="Federal",$H2402="State",$H2402="Political Subdivision"),"cost_service",IF($H2402="Investor Owned",IF(AND(COUNTIF(Parameters!$A$4:$A$33,$G2402)&gt;0,COUNTIF(Parameters!$B$4:$B$33,$B2402)=0),"procurement","cost_service"),"unclassified"))))))</f>
        <v>procurement</v>
      </c>
    </row>
    <row r="2403" spans="1:26" x14ac:dyDescent="0.25">
      <c r="A2403">
        <v>2024</v>
      </c>
      <c r="B2403">
        <v>61972</v>
      </c>
      <c r="C2403" t="s">
        <v>1621</v>
      </c>
      <c r="D2403" t="s">
        <v>99</v>
      </c>
      <c r="E2403" t="s">
        <v>100</v>
      </c>
      <c r="F2403" t="s">
        <v>86</v>
      </c>
      <c r="G2403" t="s">
        <v>53</v>
      </c>
      <c r="H2403" t="s">
        <v>101</v>
      </c>
      <c r="I2403" t="s">
        <v>102</v>
      </c>
      <c r="J2403">
        <v>2386.1999999999998</v>
      </c>
      <c r="K2403">
        <v>8520</v>
      </c>
      <c r="L2403">
        <v>1808</v>
      </c>
      <c r="M2403">
        <v>0.5</v>
      </c>
      <c r="N2403">
        <v>2</v>
      </c>
      <c r="O2403">
        <v>1</v>
      </c>
      <c r="P2403" t="s">
        <v>97</v>
      </c>
      <c r="Q2403" t="s">
        <v>97</v>
      </c>
      <c r="R2403" t="s">
        <v>97</v>
      </c>
      <c r="S2403" t="s">
        <v>97</v>
      </c>
      <c r="T2403" t="s">
        <v>97</v>
      </c>
      <c r="U2403" t="s">
        <v>97</v>
      </c>
      <c r="V2403">
        <v>2386.6999999999998</v>
      </c>
      <c r="W2403">
        <v>8522</v>
      </c>
      <c r="X2403">
        <v>1809</v>
      </c>
      <c r="Y2403">
        <f t="shared" si="37"/>
        <v>8522</v>
      </c>
      <c r="Z2403" t="str">
        <f>IF(ISNUMBER(SEARCH("Adjustment",$C2403)),"excluded",IF($H2403="Behind the Meter","excluded",IF(NOT(OR($E2403="Bundled",$E2403="Energy")),"excluded",IF(OR($H2403="Retail Power Marketer",$H2403="Community Choice Aggregator",$E2403="Energy"),"procurement",IF(OR($H2403="Municipal",$H2403="Cooperative",$H2403="Federal",$H2403="State",$H2403="Political Subdivision"),"cost_service",IF($H2403="Investor Owned",IF(AND(COUNTIF(Parameters!$A$4:$A$33,$G2403)&gt;0,COUNTIF(Parameters!$B$4:$B$33,$B2403)=0),"procurement","cost_service"),"unclassified"))))))</f>
        <v>procurement</v>
      </c>
    </row>
    <row r="2404" spans="1:26" x14ac:dyDescent="0.25">
      <c r="A2404">
        <v>2024</v>
      </c>
      <c r="B2404">
        <v>61972</v>
      </c>
      <c r="C2404" t="s">
        <v>1621</v>
      </c>
      <c r="D2404" t="s">
        <v>99</v>
      </c>
      <c r="E2404" t="s">
        <v>100</v>
      </c>
      <c r="F2404" t="s">
        <v>86</v>
      </c>
      <c r="G2404" t="s">
        <v>54</v>
      </c>
      <c r="H2404" t="s">
        <v>101</v>
      </c>
      <c r="I2404" t="s">
        <v>92</v>
      </c>
      <c r="J2404">
        <v>1794.5</v>
      </c>
      <c r="K2404">
        <v>10600</v>
      </c>
      <c r="L2404">
        <v>1641</v>
      </c>
      <c r="M2404">
        <v>13</v>
      </c>
      <c r="N2404">
        <v>72</v>
      </c>
      <c r="O2404">
        <v>11</v>
      </c>
      <c r="P2404" t="s">
        <v>97</v>
      </c>
      <c r="Q2404" t="s">
        <v>97</v>
      </c>
      <c r="R2404" t="s">
        <v>97</v>
      </c>
      <c r="S2404" t="s">
        <v>97</v>
      </c>
      <c r="T2404" t="s">
        <v>97</v>
      </c>
      <c r="U2404" t="s">
        <v>97</v>
      </c>
      <c r="V2404">
        <v>1807.5</v>
      </c>
      <c r="W2404">
        <v>10672</v>
      </c>
      <c r="X2404">
        <v>1652</v>
      </c>
      <c r="Y2404">
        <f t="shared" si="37"/>
        <v>10672</v>
      </c>
      <c r="Z2404" t="str">
        <f>IF(ISNUMBER(SEARCH("Adjustment",$C2404)),"excluded",IF($H2404="Behind the Meter","excluded",IF(NOT(OR($E2404="Bundled",$E2404="Energy")),"excluded",IF(OR($H2404="Retail Power Marketer",$H2404="Community Choice Aggregator",$E2404="Energy"),"procurement",IF(OR($H2404="Municipal",$H2404="Cooperative",$H2404="Federal",$H2404="State",$H2404="Political Subdivision"),"cost_service",IF($H2404="Investor Owned",IF(AND(COUNTIF(Parameters!$A$4:$A$33,$G2404)&gt;0,COUNTIF(Parameters!$B$4:$B$33,$B2404)=0),"procurement","cost_service"),"unclassified"))))))</f>
        <v>procurement</v>
      </c>
    </row>
    <row r="2405" spans="1:26" x14ac:dyDescent="0.25">
      <c r="A2405">
        <v>2024</v>
      </c>
      <c r="B2405">
        <v>62094</v>
      </c>
      <c r="C2405" t="s">
        <v>1622</v>
      </c>
      <c r="D2405" t="s">
        <v>99</v>
      </c>
      <c r="E2405" t="s">
        <v>100</v>
      </c>
      <c r="F2405" t="s">
        <v>86</v>
      </c>
      <c r="G2405" t="s">
        <v>46</v>
      </c>
      <c r="H2405" t="s">
        <v>101</v>
      </c>
      <c r="I2405" t="s">
        <v>96</v>
      </c>
      <c r="J2405">
        <v>323.89999999999998</v>
      </c>
      <c r="K2405">
        <v>3170</v>
      </c>
      <c r="L2405">
        <v>385</v>
      </c>
      <c r="M2405">
        <v>7527.5</v>
      </c>
      <c r="N2405">
        <v>73761</v>
      </c>
      <c r="O2405">
        <v>1232</v>
      </c>
      <c r="P2405" t="s">
        <v>97</v>
      </c>
      <c r="Q2405" t="s">
        <v>97</v>
      </c>
      <c r="R2405" t="s">
        <v>97</v>
      </c>
      <c r="S2405" t="s">
        <v>97</v>
      </c>
      <c r="T2405" t="s">
        <v>97</v>
      </c>
      <c r="U2405" t="s">
        <v>97</v>
      </c>
      <c r="V2405">
        <v>7851.4</v>
      </c>
      <c r="W2405">
        <v>76931</v>
      </c>
      <c r="X2405">
        <v>1617</v>
      </c>
      <c r="Y2405">
        <f t="shared" si="37"/>
        <v>76931</v>
      </c>
      <c r="Z2405" t="str">
        <f>IF(ISNUMBER(SEARCH("Adjustment",$C2405)),"excluded",IF($H2405="Behind the Meter","excluded",IF(NOT(OR($E2405="Bundled",$E2405="Energy")),"excluded",IF(OR($H2405="Retail Power Marketer",$H2405="Community Choice Aggregator",$E2405="Energy"),"procurement",IF(OR($H2405="Municipal",$H2405="Cooperative",$H2405="Federal",$H2405="State",$H2405="Political Subdivision"),"cost_service",IF($H2405="Investor Owned",IF(AND(COUNTIF(Parameters!$A$4:$A$33,$G2405)&gt;0,COUNTIF(Parameters!$B$4:$B$33,$B2405)=0),"procurement","cost_service"),"unclassified"))))))</f>
        <v>procurement</v>
      </c>
    </row>
    <row r="2406" spans="1:26" x14ac:dyDescent="0.25">
      <c r="A2406">
        <v>2024</v>
      </c>
      <c r="B2406">
        <v>62117</v>
      </c>
      <c r="C2406" t="s">
        <v>1623</v>
      </c>
      <c r="D2406" t="s">
        <v>150</v>
      </c>
      <c r="E2406" t="s">
        <v>85</v>
      </c>
      <c r="F2406" t="s">
        <v>86</v>
      </c>
      <c r="G2406" t="s">
        <v>57</v>
      </c>
      <c r="H2406" t="s">
        <v>101</v>
      </c>
      <c r="I2406" t="s">
        <v>151</v>
      </c>
      <c r="J2406" t="s">
        <v>97</v>
      </c>
      <c r="K2406" t="s">
        <v>97</v>
      </c>
      <c r="L2406" t="s">
        <v>97</v>
      </c>
      <c r="M2406">
        <v>4379.5</v>
      </c>
      <c r="N2406">
        <v>34725</v>
      </c>
      <c r="O2406">
        <v>661</v>
      </c>
      <c r="P2406" t="s">
        <v>97</v>
      </c>
      <c r="Q2406" t="s">
        <v>97</v>
      </c>
      <c r="R2406" t="s">
        <v>97</v>
      </c>
      <c r="S2406" t="s">
        <v>97</v>
      </c>
      <c r="T2406" t="s">
        <v>97</v>
      </c>
      <c r="U2406" t="s">
        <v>97</v>
      </c>
      <c r="V2406">
        <v>4379.5</v>
      </c>
      <c r="W2406">
        <v>34725</v>
      </c>
      <c r="X2406">
        <v>661</v>
      </c>
      <c r="Y2406">
        <f t="shared" si="37"/>
        <v>34725</v>
      </c>
      <c r="Z2406" t="str">
        <f>IF(ISNUMBER(SEARCH("Adjustment",$C2406)),"excluded",IF($H2406="Behind the Meter","excluded",IF(NOT(OR($E2406="Bundled",$E2406="Energy")),"excluded",IF(OR($H2406="Retail Power Marketer",$H2406="Community Choice Aggregator",$E2406="Energy"),"procurement",IF(OR($H2406="Municipal",$H2406="Cooperative",$H2406="Federal",$H2406="State",$H2406="Political Subdivision"),"cost_service",IF($H2406="Investor Owned",IF(AND(COUNTIF(Parameters!$A$4:$A$33,$G2406)&gt;0,COUNTIF(Parameters!$B$4:$B$33,$B2406)=0),"procurement","cost_service"),"unclassified"))))))</f>
        <v>procurement</v>
      </c>
    </row>
    <row r="2407" spans="1:26" x14ac:dyDescent="0.25">
      <c r="A2407">
        <v>2024</v>
      </c>
      <c r="B2407">
        <v>62148</v>
      </c>
      <c r="C2407" t="s">
        <v>1624</v>
      </c>
      <c r="D2407" t="s">
        <v>99</v>
      </c>
      <c r="E2407" t="s">
        <v>100</v>
      </c>
      <c r="F2407" t="s">
        <v>86</v>
      </c>
      <c r="G2407" t="s">
        <v>49</v>
      </c>
      <c r="H2407" t="s">
        <v>101</v>
      </c>
      <c r="I2407" t="s">
        <v>92</v>
      </c>
      <c r="J2407">
        <v>429.8</v>
      </c>
      <c r="K2407">
        <v>3206</v>
      </c>
      <c r="L2407">
        <v>577</v>
      </c>
      <c r="M2407">
        <v>0</v>
      </c>
      <c r="N2407">
        <v>0</v>
      </c>
      <c r="O2407">
        <v>0</v>
      </c>
      <c r="P2407">
        <v>0</v>
      </c>
      <c r="Q2407">
        <v>0</v>
      </c>
      <c r="R2407">
        <v>0</v>
      </c>
      <c r="S2407">
        <v>0</v>
      </c>
      <c r="T2407">
        <v>0</v>
      </c>
      <c r="U2407">
        <v>0</v>
      </c>
      <c r="V2407">
        <v>429.8</v>
      </c>
      <c r="W2407">
        <v>3206</v>
      </c>
      <c r="X2407">
        <v>577</v>
      </c>
      <c r="Y2407">
        <f t="shared" si="37"/>
        <v>3206</v>
      </c>
      <c r="Z2407" t="str">
        <f>IF(ISNUMBER(SEARCH("Adjustment",$C2407)),"excluded",IF($H2407="Behind the Meter","excluded",IF(NOT(OR($E2407="Bundled",$E2407="Energy")),"excluded",IF(OR($H2407="Retail Power Marketer",$H2407="Community Choice Aggregator",$E2407="Energy"),"procurement",IF(OR($H2407="Municipal",$H2407="Cooperative",$H2407="Federal",$H2407="State",$H2407="Political Subdivision"),"cost_service",IF($H2407="Investor Owned",IF(AND(COUNTIF(Parameters!$A$4:$A$33,$G2407)&gt;0,COUNTIF(Parameters!$B$4:$B$33,$B2407)=0),"procurement","cost_service"),"unclassified"))))))</f>
        <v>procurement</v>
      </c>
    </row>
    <row r="2408" spans="1:26" x14ac:dyDescent="0.25">
      <c r="A2408">
        <v>2024</v>
      </c>
      <c r="B2408">
        <v>62148</v>
      </c>
      <c r="C2408" t="s">
        <v>1624</v>
      </c>
      <c r="D2408" t="s">
        <v>99</v>
      </c>
      <c r="E2408" t="s">
        <v>100</v>
      </c>
      <c r="F2408" t="s">
        <v>86</v>
      </c>
      <c r="G2408" t="s">
        <v>54</v>
      </c>
      <c r="H2408" t="s">
        <v>101</v>
      </c>
      <c r="I2408" t="s">
        <v>92</v>
      </c>
      <c r="J2408">
        <v>1164.5999999999999</v>
      </c>
      <c r="K2408">
        <v>16489</v>
      </c>
      <c r="L2408">
        <v>1138</v>
      </c>
      <c r="M2408">
        <v>38.4</v>
      </c>
      <c r="N2408">
        <v>558</v>
      </c>
      <c r="O2408">
        <v>23</v>
      </c>
      <c r="P2408">
        <v>0</v>
      </c>
      <c r="Q2408">
        <v>0</v>
      </c>
      <c r="R2408">
        <v>0</v>
      </c>
      <c r="S2408">
        <v>0</v>
      </c>
      <c r="T2408">
        <v>0</v>
      </c>
      <c r="U2408">
        <v>0</v>
      </c>
      <c r="V2408">
        <v>1203</v>
      </c>
      <c r="W2408">
        <v>17047</v>
      </c>
      <c r="X2408">
        <v>1161</v>
      </c>
      <c r="Y2408">
        <f t="shared" si="37"/>
        <v>17047</v>
      </c>
      <c r="Z2408" t="str">
        <f>IF(ISNUMBER(SEARCH("Adjustment",$C2408)),"excluded",IF($H2408="Behind the Meter","excluded",IF(NOT(OR($E2408="Bundled",$E2408="Energy")),"excluded",IF(OR($H2408="Retail Power Marketer",$H2408="Community Choice Aggregator",$E2408="Energy"),"procurement",IF(OR($H2408="Municipal",$H2408="Cooperative",$H2408="Federal",$H2408="State",$H2408="Political Subdivision"),"cost_service",IF($H2408="Investor Owned",IF(AND(COUNTIF(Parameters!$A$4:$A$33,$G2408)&gt;0,COUNTIF(Parameters!$B$4:$B$33,$B2408)=0),"procurement","cost_service"),"unclassified"))))))</f>
        <v>procurement</v>
      </c>
    </row>
    <row r="2409" spans="1:26" x14ac:dyDescent="0.25">
      <c r="A2409">
        <v>2024</v>
      </c>
      <c r="B2409">
        <v>62148</v>
      </c>
      <c r="C2409" t="s">
        <v>1624</v>
      </c>
      <c r="D2409" t="s">
        <v>99</v>
      </c>
      <c r="E2409" t="s">
        <v>100</v>
      </c>
      <c r="F2409" t="s">
        <v>86</v>
      </c>
      <c r="G2409" t="s">
        <v>55</v>
      </c>
      <c r="H2409" t="s">
        <v>101</v>
      </c>
      <c r="I2409" t="s">
        <v>92</v>
      </c>
      <c r="J2409">
        <v>2331</v>
      </c>
      <c r="K2409">
        <v>21532</v>
      </c>
      <c r="L2409">
        <v>2225</v>
      </c>
      <c r="M2409">
        <v>0</v>
      </c>
      <c r="N2409">
        <v>0</v>
      </c>
      <c r="O2409">
        <v>0</v>
      </c>
      <c r="P2409">
        <v>0</v>
      </c>
      <c r="Q2409">
        <v>0</v>
      </c>
      <c r="R2409">
        <v>0</v>
      </c>
      <c r="S2409">
        <v>0</v>
      </c>
      <c r="T2409">
        <v>0</v>
      </c>
      <c r="U2409">
        <v>0</v>
      </c>
      <c r="V2409">
        <v>2331</v>
      </c>
      <c r="W2409">
        <v>21532</v>
      </c>
      <c r="X2409">
        <v>2225</v>
      </c>
      <c r="Y2409">
        <f t="shared" si="37"/>
        <v>21532</v>
      </c>
      <c r="Z2409" t="str">
        <f>IF(ISNUMBER(SEARCH("Adjustment",$C2409)),"excluded",IF($H2409="Behind the Meter","excluded",IF(NOT(OR($E2409="Bundled",$E2409="Energy")),"excluded",IF(OR($H2409="Retail Power Marketer",$H2409="Community Choice Aggregator",$E2409="Energy"),"procurement",IF(OR($H2409="Municipal",$H2409="Cooperative",$H2409="Federal",$H2409="State",$H2409="Political Subdivision"),"cost_service",IF($H2409="Investor Owned",IF(AND(COUNTIF(Parameters!$A$4:$A$33,$G2409)&gt;0,COUNTIF(Parameters!$B$4:$B$33,$B2409)=0),"procurement","cost_service"),"unclassified"))))))</f>
        <v>procurement</v>
      </c>
    </row>
    <row r="2410" spans="1:26" x14ac:dyDescent="0.25">
      <c r="A2410">
        <v>2024</v>
      </c>
      <c r="B2410">
        <v>62154</v>
      </c>
      <c r="C2410" t="s">
        <v>1625</v>
      </c>
      <c r="D2410" t="s">
        <v>99</v>
      </c>
      <c r="E2410" t="s">
        <v>100</v>
      </c>
      <c r="F2410" t="s">
        <v>86</v>
      </c>
      <c r="G2410" t="s">
        <v>49</v>
      </c>
      <c r="H2410" t="s">
        <v>101</v>
      </c>
      <c r="I2410" t="s">
        <v>92</v>
      </c>
      <c r="J2410">
        <v>1962.9</v>
      </c>
      <c r="K2410">
        <v>17921</v>
      </c>
      <c r="L2410">
        <v>1758</v>
      </c>
      <c r="M2410">
        <v>23.7</v>
      </c>
      <c r="N2410">
        <v>204</v>
      </c>
      <c r="O2410">
        <v>3</v>
      </c>
      <c r="P2410" t="s">
        <v>97</v>
      </c>
      <c r="Q2410" t="s">
        <v>97</v>
      </c>
      <c r="R2410" t="s">
        <v>97</v>
      </c>
      <c r="S2410" t="s">
        <v>97</v>
      </c>
      <c r="T2410" t="s">
        <v>97</v>
      </c>
      <c r="U2410" t="s">
        <v>97</v>
      </c>
      <c r="V2410">
        <v>1986.6</v>
      </c>
      <c r="W2410">
        <v>18125</v>
      </c>
      <c r="X2410">
        <v>1761</v>
      </c>
      <c r="Y2410">
        <f t="shared" si="37"/>
        <v>18125</v>
      </c>
      <c r="Z2410" t="str">
        <f>IF(ISNUMBER(SEARCH("Adjustment",$C2410)),"excluded",IF($H2410="Behind the Meter","excluded",IF(NOT(OR($E2410="Bundled",$E2410="Energy")),"excluded",IF(OR($H2410="Retail Power Marketer",$H2410="Community Choice Aggregator",$E2410="Energy"),"procurement",IF(OR($H2410="Municipal",$H2410="Cooperative",$H2410="Federal",$H2410="State",$H2410="Political Subdivision"),"cost_service",IF($H2410="Investor Owned",IF(AND(COUNTIF(Parameters!$A$4:$A$33,$G2410)&gt;0,COUNTIF(Parameters!$B$4:$B$33,$B2410)=0),"procurement","cost_service"),"unclassified"))))))</f>
        <v>procurement</v>
      </c>
    </row>
    <row r="2411" spans="1:26" x14ac:dyDescent="0.25">
      <c r="A2411">
        <v>2024</v>
      </c>
      <c r="B2411">
        <v>62156</v>
      </c>
      <c r="C2411" t="s">
        <v>1626</v>
      </c>
      <c r="D2411" t="s">
        <v>99</v>
      </c>
      <c r="E2411" t="s">
        <v>100</v>
      </c>
      <c r="F2411" t="s">
        <v>86</v>
      </c>
      <c r="G2411" t="s">
        <v>52</v>
      </c>
      <c r="H2411" t="s">
        <v>101</v>
      </c>
      <c r="I2411" t="s">
        <v>92</v>
      </c>
      <c r="J2411">
        <v>255.7</v>
      </c>
      <c r="K2411">
        <v>713</v>
      </c>
      <c r="L2411">
        <v>38</v>
      </c>
      <c r="M2411">
        <v>2104.3000000000002</v>
      </c>
      <c r="N2411">
        <v>5894</v>
      </c>
      <c r="O2411">
        <v>404</v>
      </c>
      <c r="P2411" t="s">
        <v>97</v>
      </c>
      <c r="Q2411" t="s">
        <v>97</v>
      </c>
      <c r="R2411" t="s">
        <v>97</v>
      </c>
      <c r="S2411" t="s">
        <v>97</v>
      </c>
      <c r="T2411" t="s">
        <v>97</v>
      </c>
      <c r="U2411" t="s">
        <v>97</v>
      </c>
      <c r="V2411">
        <v>2360</v>
      </c>
      <c r="W2411">
        <v>6607</v>
      </c>
      <c r="X2411">
        <v>442</v>
      </c>
      <c r="Y2411">
        <f t="shared" si="37"/>
        <v>6607</v>
      </c>
      <c r="Z2411" t="str">
        <f>IF(ISNUMBER(SEARCH("Adjustment",$C2411)),"excluded",IF($H2411="Behind the Meter","excluded",IF(NOT(OR($E2411="Bundled",$E2411="Energy")),"excluded",IF(OR($H2411="Retail Power Marketer",$H2411="Community Choice Aggregator",$E2411="Energy"),"procurement",IF(OR($H2411="Municipal",$H2411="Cooperative",$H2411="Federal",$H2411="State",$H2411="Political Subdivision"),"cost_service",IF($H2411="Investor Owned",IF(AND(COUNTIF(Parameters!$A$4:$A$33,$G2411)&gt;0,COUNTIF(Parameters!$B$4:$B$33,$B2411)=0),"procurement","cost_service"),"unclassified"))))))</f>
        <v>procurement</v>
      </c>
    </row>
    <row r="2412" spans="1:26" x14ac:dyDescent="0.25">
      <c r="A2412">
        <v>2024</v>
      </c>
      <c r="B2412">
        <v>62156</v>
      </c>
      <c r="C2412" t="s">
        <v>1626</v>
      </c>
      <c r="D2412" t="s">
        <v>99</v>
      </c>
      <c r="E2412" t="s">
        <v>100</v>
      </c>
      <c r="F2412" t="s">
        <v>86</v>
      </c>
      <c r="G2412" t="s">
        <v>53</v>
      </c>
      <c r="H2412" t="s">
        <v>101</v>
      </c>
      <c r="I2412" t="s">
        <v>102</v>
      </c>
      <c r="J2412">
        <v>14.5</v>
      </c>
      <c r="K2412">
        <v>39</v>
      </c>
      <c r="L2412">
        <v>8</v>
      </c>
      <c r="M2412">
        <v>1057.4000000000001</v>
      </c>
      <c r="N2412">
        <v>2513</v>
      </c>
      <c r="O2412">
        <v>96</v>
      </c>
      <c r="P2412" t="s">
        <v>97</v>
      </c>
      <c r="Q2412" t="s">
        <v>97</v>
      </c>
      <c r="R2412" t="s">
        <v>97</v>
      </c>
      <c r="S2412" t="s">
        <v>97</v>
      </c>
      <c r="T2412" t="s">
        <v>97</v>
      </c>
      <c r="U2412" t="s">
        <v>97</v>
      </c>
      <c r="V2412">
        <v>1071.9000000000001</v>
      </c>
      <c r="W2412">
        <v>2552</v>
      </c>
      <c r="X2412">
        <v>104</v>
      </c>
      <c r="Y2412">
        <f t="shared" si="37"/>
        <v>2552</v>
      </c>
      <c r="Z2412" t="str">
        <f>IF(ISNUMBER(SEARCH("Adjustment",$C2412)),"excluded",IF($H2412="Behind the Meter","excluded",IF(NOT(OR($E2412="Bundled",$E2412="Energy")),"excluded",IF(OR($H2412="Retail Power Marketer",$H2412="Community Choice Aggregator",$E2412="Energy"),"procurement",IF(OR($H2412="Municipal",$H2412="Cooperative",$H2412="Federal",$H2412="State",$H2412="Political Subdivision"),"cost_service",IF($H2412="Investor Owned",IF(AND(COUNTIF(Parameters!$A$4:$A$33,$G2412)&gt;0,COUNTIF(Parameters!$B$4:$B$33,$B2412)=0),"procurement","cost_service"),"unclassified"))))))</f>
        <v>procurement</v>
      </c>
    </row>
    <row r="2413" spans="1:26" x14ac:dyDescent="0.25">
      <c r="A2413">
        <v>2024</v>
      </c>
      <c r="B2413">
        <v>62156</v>
      </c>
      <c r="C2413" t="s">
        <v>1626</v>
      </c>
      <c r="D2413" t="s">
        <v>99</v>
      </c>
      <c r="E2413" t="s">
        <v>100</v>
      </c>
      <c r="F2413" t="s">
        <v>86</v>
      </c>
      <c r="G2413" t="s">
        <v>55</v>
      </c>
      <c r="H2413" t="s">
        <v>101</v>
      </c>
      <c r="I2413" t="s">
        <v>92</v>
      </c>
      <c r="J2413">
        <v>17.600000000000001</v>
      </c>
      <c r="K2413">
        <v>55</v>
      </c>
      <c r="L2413">
        <v>10</v>
      </c>
      <c r="M2413">
        <v>3009.5</v>
      </c>
      <c r="N2413">
        <v>9867</v>
      </c>
      <c r="O2413">
        <v>331</v>
      </c>
      <c r="P2413" t="s">
        <v>97</v>
      </c>
      <c r="Q2413" t="s">
        <v>97</v>
      </c>
      <c r="R2413" t="s">
        <v>97</v>
      </c>
      <c r="S2413" t="s">
        <v>97</v>
      </c>
      <c r="T2413" t="s">
        <v>97</v>
      </c>
      <c r="U2413" t="s">
        <v>97</v>
      </c>
      <c r="V2413">
        <v>3027.1</v>
      </c>
      <c r="W2413">
        <v>9922</v>
      </c>
      <c r="X2413">
        <v>341</v>
      </c>
      <c r="Y2413">
        <f t="shared" si="37"/>
        <v>9922</v>
      </c>
      <c r="Z2413" t="str">
        <f>IF(ISNUMBER(SEARCH("Adjustment",$C2413)),"excluded",IF($H2413="Behind the Meter","excluded",IF(NOT(OR($E2413="Bundled",$E2413="Energy")),"excluded",IF(OR($H2413="Retail Power Marketer",$H2413="Community Choice Aggregator",$E2413="Energy"),"procurement",IF(OR($H2413="Municipal",$H2413="Cooperative",$H2413="Federal",$H2413="State",$H2413="Political Subdivision"),"cost_service",IF($H2413="Investor Owned",IF(AND(COUNTIF(Parameters!$A$4:$A$33,$G2413)&gt;0,COUNTIF(Parameters!$B$4:$B$33,$B2413)=0),"procurement","cost_service"),"unclassified"))))))</f>
        <v>procurement</v>
      </c>
    </row>
    <row r="2414" spans="1:26" x14ac:dyDescent="0.25">
      <c r="A2414">
        <v>2024</v>
      </c>
      <c r="B2414">
        <v>62790</v>
      </c>
      <c r="C2414" t="s">
        <v>1627</v>
      </c>
      <c r="D2414" t="s">
        <v>99</v>
      </c>
      <c r="E2414" t="s">
        <v>100</v>
      </c>
      <c r="F2414" t="s">
        <v>86</v>
      </c>
      <c r="G2414" t="s">
        <v>46</v>
      </c>
      <c r="H2414" t="s">
        <v>101</v>
      </c>
      <c r="I2414" t="s">
        <v>92</v>
      </c>
      <c r="J2414">
        <v>0</v>
      </c>
      <c r="K2414">
        <v>0</v>
      </c>
      <c r="L2414">
        <v>0</v>
      </c>
      <c r="M2414">
        <v>9913.2000000000007</v>
      </c>
      <c r="N2414">
        <v>147768</v>
      </c>
      <c r="O2414">
        <v>576</v>
      </c>
      <c r="P2414">
        <v>0</v>
      </c>
      <c r="Q2414">
        <v>0</v>
      </c>
      <c r="R2414">
        <v>0</v>
      </c>
      <c r="S2414">
        <v>0</v>
      </c>
      <c r="T2414">
        <v>0</v>
      </c>
      <c r="U2414">
        <v>0</v>
      </c>
      <c r="V2414">
        <v>9913.2000000000007</v>
      </c>
      <c r="W2414">
        <v>147768</v>
      </c>
      <c r="X2414">
        <v>576</v>
      </c>
      <c r="Y2414">
        <f t="shared" si="37"/>
        <v>147768</v>
      </c>
      <c r="Z2414" t="str">
        <f>IF(ISNUMBER(SEARCH("Adjustment",$C2414)),"excluded",IF($H2414="Behind the Meter","excluded",IF(NOT(OR($E2414="Bundled",$E2414="Energy")),"excluded",IF(OR($H2414="Retail Power Marketer",$H2414="Community Choice Aggregator",$E2414="Energy"),"procurement",IF(OR($H2414="Municipal",$H2414="Cooperative",$H2414="Federal",$H2414="State",$H2414="Political Subdivision"),"cost_service",IF($H2414="Investor Owned",IF(AND(COUNTIF(Parameters!$A$4:$A$33,$G2414)&gt;0,COUNTIF(Parameters!$B$4:$B$33,$B2414)=0),"procurement","cost_service"),"unclassified"))))))</f>
        <v>procurement</v>
      </c>
    </row>
    <row r="2415" spans="1:26" x14ac:dyDescent="0.25">
      <c r="A2415">
        <v>2024</v>
      </c>
      <c r="B2415">
        <v>62790</v>
      </c>
      <c r="C2415" t="s">
        <v>1627</v>
      </c>
      <c r="D2415" t="s">
        <v>99</v>
      </c>
      <c r="E2415" t="s">
        <v>100</v>
      </c>
      <c r="F2415" t="s">
        <v>86</v>
      </c>
      <c r="G2415" t="s">
        <v>54</v>
      </c>
      <c r="H2415" t="s">
        <v>101</v>
      </c>
      <c r="I2415" t="s">
        <v>92</v>
      </c>
      <c r="J2415">
        <v>89</v>
      </c>
      <c r="K2415">
        <v>971</v>
      </c>
      <c r="L2415">
        <v>99</v>
      </c>
      <c r="M2415">
        <v>12222.5</v>
      </c>
      <c r="N2415">
        <v>180302</v>
      </c>
      <c r="O2415">
        <v>1047</v>
      </c>
      <c r="P2415">
        <v>0</v>
      </c>
      <c r="Q2415">
        <v>0</v>
      </c>
      <c r="R2415">
        <v>0</v>
      </c>
      <c r="S2415">
        <v>0</v>
      </c>
      <c r="T2415">
        <v>0</v>
      </c>
      <c r="U2415">
        <v>0</v>
      </c>
      <c r="V2415">
        <v>12311.5</v>
      </c>
      <c r="W2415">
        <v>181273</v>
      </c>
      <c r="X2415">
        <v>1146</v>
      </c>
      <c r="Y2415">
        <f t="shared" si="37"/>
        <v>181273</v>
      </c>
      <c r="Z2415" t="str">
        <f>IF(ISNUMBER(SEARCH("Adjustment",$C2415)),"excluded",IF($H2415="Behind the Meter","excluded",IF(NOT(OR($E2415="Bundled",$E2415="Energy")),"excluded",IF(OR($H2415="Retail Power Marketer",$H2415="Community Choice Aggregator",$E2415="Energy"),"procurement",IF(OR($H2415="Municipal",$H2415="Cooperative",$H2415="Federal",$H2415="State",$H2415="Political Subdivision"),"cost_service",IF($H2415="Investor Owned",IF(AND(COUNTIF(Parameters!$A$4:$A$33,$G2415)&gt;0,COUNTIF(Parameters!$B$4:$B$33,$B2415)=0),"procurement","cost_service"),"unclassified"))))))</f>
        <v>procurement</v>
      </c>
    </row>
    <row r="2416" spans="1:26" x14ac:dyDescent="0.25">
      <c r="A2416">
        <v>2024</v>
      </c>
      <c r="B2416">
        <v>62790</v>
      </c>
      <c r="C2416" t="s">
        <v>1627</v>
      </c>
      <c r="D2416" t="s">
        <v>99</v>
      </c>
      <c r="E2416" t="s">
        <v>100</v>
      </c>
      <c r="F2416" t="s">
        <v>86</v>
      </c>
      <c r="G2416" t="s">
        <v>55</v>
      </c>
      <c r="H2416" t="s">
        <v>101</v>
      </c>
      <c r="I2416" t="s">
        <v>92</v>
      </c>
      <c r="J2416">
        <v>123.7</v>
      </c>
      <c r="K2416">
        <v>1309</v>
      </c>
      <c r="L2416">
        <v>39</v>
      </c>
      <c r="M2416">
        <v>3397.5</v>
      </c>
      <c r="N2416">
        <v>40454</v>
      </c>
      <c r="O2416">
        <v>335</v>
      </c>
      <c r="P2416">
        <v>0</v>
      </c>
      <c r="Q2416">
        <v>0</v>
      </c>
      <c r="R2416">
        <v>0</v>
      </c>
      <c r="S2416">
        <v>0</v>
      </c>
      <c r="T2416">
        <v>0</v>
      </c>
      <c r="U2416">
        <v>0</v>
      </c>
      <c r="V2416">
        <v>3521.2</v>
      </c>
      <c r="W2416">
        <v>41763</v>
      </c>
      <c r="X2416">
        <v>374</v>
      </c>
      <c r="Y2416">
        <f t="shared" si="37"/>
        <v>41763</v>
      </c>
      <c r="Z2416" t="str">
        <f>IF(ISNUMBER(SEARCH("Adjustment",$C2416)),"excluded",IF($H2416="Behind the Meter","excluded",IF(NOT(OR($E2416="Bundled",$E2416="Energy")),"excluded",IF(OR($H2416="Retail Power Marketer",$H2416="Community Choice Aggregator",$E2416="Energy"),"procurement",IF(OR($H2416="Municipal",$H2416="Cooperative",$H2416="Federal",$H2416="State",$H2416="Political Subdivision"),"cost_service",IF($H2416="Investor Owned",IF(AND(COUNTIF(Parameters!$A$4:$A$33,$G2416)&gt;0,COUNTIF(Parameters!$B$4:$B$33,$B2416)=0),"procurement","cost_service"),"unclassified"))))))</f>
        <v>procurement</v>
      </c>
    </row>
    <row r="2417" spans="1:26" x14ac:dyDescent="0.25">
      <c r="A2417">
        <v>2024</v>
      </c>
      <c r="B2417">
        <v>62862</v>
      </c>
      <c r="C2417" t="s">
        <v>1628</v>
      </c>
      <c r="D2417" t="s">
        <v>150</v>
      </c>
      <c r="E2417" t="s">
        <v>85</v>
      </c>
      <c r="F2417" t="s">
        <v>86</v>
      </c>
      <c r="G2417" t="s">
        <v>57</v>
      </c>
      <c r="H2417" t="s">
        <v>101</v>
      </c>
      <c r="I2417" t="s">
        <v>151</v>
      </c>
      <c r="J2417">
        <v>74506.3</v>
      </c>
      <c r="K2417">
        <v>451677</v>
      </c>
      <c r="L2417">
        <v>31360</v>
      </c>
      <c r="M2417">
        <v>14819.3</v>
      </c>
      <c r="N2417">
        <v>87637</v>
      </c>
      <c r="O2417">
        <v>1392</v>
      </c>
      <c r="P2417">
        <v>0</v>
      </c>
      <c r="Q2417">
        <v>0</v>
      </c>
      <c r="R2417">
        <v>0</v>
      </c>
      <c r="S2417">
        <v>0</v>
      </c>
      <c r="T2417">
        <v>0</v>
      </c>
      <c r="U2417">
        <v>0</v>
      </c>
      <c r="V2417">
        <v>89325.6</v>
      </c>
      <c r="W2417">
        <v>539314</v>
      </c>
      <c r="X2417">
        <v>32752</v>
      </c>
      <c r="Y2417">
        <f t="shared" si="37"/>
        <v>539314</v>
      </c>
      <c r="Z2417" t="str">
        <f>IF(ISNUMBER(SEARCH("Adjustment",$C2417)),"excluded",IF($H2417="Behind the Meter","excluded",IF(NOT(OR($E2417="Bundled",$E2417="Energy")),"excluded",IF(OR($H2417="Retail Power Marketer",$H2417="Community Choice Aggregator",$E2417="Energy"),"procurement",IF(OR($H2417="Municipal",$H2417="Cooperative",$H2417="Federal",$H2417="State",$H2417="Political Subdivision"),"cost_service",IF($H2417="Investor Owned",IF(AND(COUNTIF(Parameters!$A$4:$A$33,$G2417)&gt;0,COUNTIF(Parameters!$B$4:$B$33,$B2417)=0),"procurement","cost_service"),"unclassified"))))))</f>
        <v>procurement</v>
      </c>
    </row>
    <row r="2418" spans="1:26" x14ac:dyDescent="0.25">
      <c r="A2418">
        <v>2024</v>
      </c>
      <c r="B2418">
        <v>62914</v>
      </c>
      <c r="C2418" t="s">
        <v>1629</v>
      </c>
      <c r="D2418" t="s">
        <v>99</v>
      </c>
      <c r="E2418" t="s">
        <v>100</v>
      </c>
      <c r="F2418" t="s">
        <v>86</v>
      </c>
      <c r="G2418" t="s">
        <v>55</v>
      </c>
      <c r="H2418" t="s">
        <v>101</v>
      </c>
      <c r="I2418" t="s">
        <v>92</v>
      </c>
      <c r="J2418">
        <v>793.9</v>
      </c>
      <c r="K2418">
        <v>10464</v>
      </c>
      <c r="L2418">
        <v>1168</v>
      </c>
      <c r="M2418">
        <v>15.8</v>
      </c>
      <c r="N2418">
        <v>200</v>
      </c>
      <c r="O2418">
        <v>2</v>
      </c>
      <c r="P2418" t="s">
        <v>97</v>
      </c>
      <c r="Q2418" t="s">
        <v>97</v>
      </c>
      <c r="R2418" t="s">
        <v>97</v>
      </c>
      <c r="S2418" t="s">
        <v>97</v>
      </c>
      <c r="T2418" t="s">
        <v>97</v>
      </c>
      <c r="U2418" t="s">
        <v>97</v>
      </c>
      <c r="V2418">
        <v>809.7</v>
      </c>
      <c r="W2418">
        <v>10664</v>
      </c>
      <c r="X2418">
        <v>1170</v>
      </c>
      <c r="Y2418">
        <f t="shared" si="37"/>
        <v>10664</v>
      </c>
      <c r="Z2418" t="str">
        <f>IF(ISNUMBER(SEARCH("Adjustment",$C2418)),"excluded",IF($H2418="Behind the Meter","excluded",IF(NOT(OR($E2418="Bundled",$E2418="Energy")),"excluded",IF(OR($H2418="Retail Power Marketer",$H2418="Community Choice Aggregator",$E2418="Energy"),"procurement",IF(OR($H2418="Municipal",$H2418="Cooperative",$H2418="Federal",$H2418="State",$H2418="Political Subdivision"),"cost_service",IF($H2418="Investor Owned",IF(AND(COUNTIF(Parameters!$A$4:$A$33,$G2418)&gt;0,COUNTIF(Parameters!$B$4:$B$33,$B2418)=0),"procurement","cost_service"),"unclassified"))))))</f>
        <v>procurement</v>
      </c>
    </row>
    <row r="2419" spans="1:26" x14ac:dyDescent="0.25">
      <c r="A2419">
        <v>2024</v>
      </c>
      <c r="B2419">
        <v>62952</v>
      </c>
      <c r="C2419" t="s">
        <v>1630</v>
      </c>
      <c r="D2419" t="s">
        <v>150</v>
      </c>
      <c r="E2419" t="s">
        <v>85</v>
      </c>
      <c r="F2419" t="s">
        <v>86</v>
      </c>
      <c r="G2419" t="s">
        <v>57</v>
      </c>
      <c r="H2419" t="s">
        <v>101</v>
      </c>
      <c r="I2419" t="s">
        <v>151</v>
      </c>
      <c r="J2419">
        <v>26812</v>
      </c>
      <c r="K2419">
        <v>338947</v>
      </c>
      <c r="L2419">
        <v>19461</v>
      </c>
      <c r="M2419">
        <v>0</v>
      </c>
      <c r="N2419">
        <v>0</v>
      </c>
      <c r="O2419">
        <v>0</v>
      </c>
      <c r="P2419">
        <v>0</v>
      </c>
      <c r="Q2419">
        <v>0</v>
      </c>
      <c r="R2419">
        <v>0</v>
      </c>
      <c r="S2419">
        <v>0</v>
      </c>
      <c r="T2419">
        <v>0</v>
      </c>
      <c r="U2419">
        <v>0</v>
      </c>
      <c r="V2419">
        <v>26812</v>
      </c>
      <c r="W2419">
        <v>338947</v>
      </c>
      <c r="X2419">
        <v>19461</v>
      </c>
      <c r="Y2419">
        <f t="shared" si="37"/>
        <v>338947</v>
      </c>
      <c r="Z2419" t="str">
        <f>IF(ISNUMBER(SEARCH("Adjustment",$C2419)),"excluded",IF($H2419="Behind the Meter","excluded",IF(NOT(OR($E2419="Bundled",$E2419="Energy")),"excluded",IF(OR($H2419="Retail Power Marketer",$H2419="Community Choice Aggregator",$E2419="Energy"),"procurement",IF(OR($H2419="Municipal",$H2419="Cooperative",$H2419="Federal",$H2419="State",$H2419="Political Subdivision"),"cost_service",IF($H2419="Investor Owned",IF(AND(COUNTIF(Parameters!$A$4:$A$33,$G2419)&gt;0,COUNTIF(Parameters!$B$4:$B$33,$B2419)=0),"procurement","cost_service"),"unclassified"))))))</f>
        <v>procurement</v>
      </c>
    </row>
    <row r="2420" spans="1:26" x14ac:dyDescent="0.25">
      <c r="A2420">
        <v>2024</v>
      </c>
      <c r="B2420">
        <v>62987</v>
      </c>
      <c r="C2420" t="s">
        <v>1631</v>
      </c>
      <c r="D2420" t="s">
        <v>150</v>
      </c>
      <c r="E2420" t="s">
        <v>85</v>
      </c>
      <c r="F2420" t="s">
        <v>86</v>
      </c>
      <c r="G2420" t="s">
        <v>57</v>
      </c>
      <c r="H2420" t="s">
        <v>101</v>
      </c>
      <c r="I2420" t="s">
        <v>151</v>
      </c>
      <c r="J2420">
        <v>38522</v>
      </c>
      <c r="K2420">
        <v>305358</v>
      </c>
      <c r="L2420">
        <v>16024</v>
      </c>
      <c r="M2420" t="s">
        <v>97</v>
      </c>
      <c r="N2420" t="s">
        <v>97</v>
      </c>
      <c r="O2420" t="s">
        <v>97</v>
      </c>
      <c r="P2420" t="s">
        <v>97</v>
      </c>
      <c r="Q2420" t="s">
        <v>97</v>
      </c>
      <c r="R2420" t="s">
        <v>97</v>
      </c>
      <c r="S2420" t="s">
        <v>97</v>
      </c>
      <c r="T2420" t="s">
        <v>97</v>
      </c>
      <c r="U2420" t="s">
        <v>97</v>
      </c>
      <c r="V2420">
        <v>38522</v>
      </c>
      <c r="W2420">
        <v>305358</v>
      </c>
      <c r="X2420">
        <v>16024</v>
      </c>
      <c r="Y2420">
        <f t="shared" si="37"/>
        <v>305358</v>
      </c>
      <c r="Z2420" t="str">
        <f>IF(ISNUMBER(SEARCH("Adjustment",$C2420)),"excluded",IF($H2420="Behind the Meter","excluded",IF(NOT(OR($E2420="Bundled",$E2420="Energy")),"excluded",IF(OR($H2420="Retail Power Marketer",$H2420="Community Choice Aggregator",$E2420="Energy"),"procurement",IF(OR($H2420="Municipal",$H2420="Cooperative",$H2420="Federal",$H2420="State",$H2420="Political Subdivision"),"cost_service",IF($H2420="Investor Owned",IF(AND(COUNTIF(Parameters!$A$4:$A$33,$G2420)&gt;0,COUNTIF(Parameters!$B$4:$B$33,$B2420)=0),"procurement","cost_service"),"unclassified"))))))</f>
        <v>procurement</v>
      </c>
    </row>
    <row r="2421" spans="1:26" x14ac:dyDescent="0.25">
      <c r="A2421">
        <v>2024</v>
      </c>
      <c r="B2421">
        <v>63007</v>
      </c>
      <c r="C2421" t="s">
        <v>1632</v>
      </c>
      <c r="D2421" t="s">
        <v>99</v>
      </c>
      <c r="E2421" t="s">
        <v>100</v>
      </c>
      <c r="F2421" t="s">
        <v>86</v>
      </c>
      <c r="G2421" t="s">
        <v>53</v>
      </c>
      <c r="H2421" t="s">
        <v>101</v>
      </c>
      <c r="I2421" t="s">
        <v>102</v>
      </c>
      <c r="J2421">
        <v>1691.4</v>
      </c>
      <c r="K2421">
        <v>9998</v>
      </c>
      <c r="L2421">
        <v>186</v>
      </c>
      <c r="M2421">
        <v>43.3</v>
      </c>
      <c r="N2421">
        <v>379</v>
      </c>
      <c r="O2421">
        <v>23</v>
      </c>
      <c r="P2421">
        <v>0</v>
      </c>
      <c r="Q2421">
        <v>0</v>
      </c>
      <c r="R2421">
        <v>0</v>
      </c>
      <c r="S2421">
        <v>0</v>
      </c>
      <c r="T2421">
        <v>0</v>
      </c>
      <c r="U2421">
        <v>0</v>
      </c>
      <c r="V2421">
        <v>1734.7</v>
      </c>
      <c r="W2421">
        <v>10377</v>
      </c>
      <c r="X2421">
        <v>209</v>
      </c>
      <c r="Y2421">
        <f t="shared" si="37"/>
        <v>10377</v>
      </c>
      <c r="Z2421" t="str">
        <f>IF(ISNUMBER(SEARCH("Adjustment",$C2421)),"excluded",IF($H2421="Behind the Meter","excluded",IF(NOT(OR($E2421="Bundled",$E2421="Energy")),"excluded",IF(OR($H2421="Retail Power Marketer",$H2421="Community Choice Aggregator",$E2421="Energy"),"procurement",IF(OR($H2421="Municipal",$H2421="Cooperative",$H2421="Federal",$H2421="State",$H2421="Political Subdivision"),"cost_service",IF($H2421="Investor Owned",IF(AND(COUNTIF(Parameters!$A$4:$A$33,$G2421)&gt;0,COUNTIF(Parameters!$B$4:$B$33,$B2421)=0),"procurement","cost_service"),"unclassified"))))))</f>
        <v>procurement</v>
      </c>
    </row>
    <row r="2422" spans="1:26" x14ac:dyDescent="0.25">
      <c r="A2422">
        <v>2024</v>
      </c>
      <c r="B2422">
        <v>63008</v>
      </c>
      <c r="C2422" t="s">
        <v>1633</v>
      </c>
      <c r="D2422" t="s">
        <v>99</v>
      </c>
      <c r="E2422" t="s">
        <v>100</v>
      </c>
      <c r="F2422" t="s">
        <v>86</v>
      </c>
      <c r="G2422" t="s">
        <v>46</v>
      </c>
      <c r="H2422" t="s">
        <v>101</v>
      </c>
      <c r="I2422" t="s">
        <v>92</v>
      </c>
      <c r="J2422">
        <v>0</v>
      </c>
      <c r="K2422">
        <v>0</v>
      </c>
      <c r="L2422">
        <v>0</v>
      </c>
      <c r="M2422">
        <v>33232.400000000001</v>
      </c>
      <c r="N2422">
        <v>491687</v>
      </c>
      <c r="O2422">
        <v>653</v>
      </c>
      <c r="P2422">
        <v>0</v>
      </c>
      <c r="Q2422">
        <v>0</v>
      </c>
      <c r="R2422">
        <v>0</v>
      </c>
      <c r="S2422">
        <v>0</v>
      </c>
      <c r="T2422">
        <v>0</v>
      </c>
      <c r="U2422">
        <v>0</v>
      </c>
      <c r="V2422">
        <v>33232.400000000001</v>
      </c>
      <c r="W2422">
        <v>491687</v>
      </c>
      <c r="X2422">
        <v>653</v>
      </c>
      <c r="Y2422">
        <f t="shared" si="37"/>
        <v>491687</v>
      </c>
      <c r="Z2422" t="str">
        <f>IF(ISNUMBER(SEARCH("Adjustment",$C2422)),"excluded",IF($H2422="Behind the Meter","excluded",IF(NOT(OR($E2422="Bundled",$E2422="Energy")),"excluded",IF(OR($H2422="Retail Power Marketer",$H2422="Community Choice Aggregator",$E2422="Energy"),"procurement",IF(OR($H2422="Municipal",$H2422="Cooperative",$H2422="Federal",$H2422="State",$H2422="Political Subdivision"),"cost_service",IF($H2422="Investor Owned",IF(AND(COUNTIF(Parameters!$A$4:$A$33,$G2422)&gt;0,COUNTIF(Parameters!$B$4:$B$33,$B2422)=0),"procurement","cost_service"),"unclassified"))))))</f>
        <v>procurement</v>
      </c>
    </row>
    <row r="2423" spans="1:26" x14ac:dyDescent="0.25">
      <c r="A2423">
        <v>2024</v>
      </c>
      <c r="B2423">
        <v>63008</v>
      </c>
      <c r="C2423" t="s">
        <v>1633</v>
      </c>
      <c r="D2423" t="s">
        <v>99</v>
      </c>
      <c r="E2423" t="s">
        <v>100</v>
      </c>
      <c r="F2423" t="s">
        <v>86</v>
      </c>
      <c r="G2423" t="s">
        <v>49</v>
      </c>
      <c r="H2423" t="s">
        <v>101</v>
      </c>
      <c r="I2423" t="s">
        <v>92</v>
      </c>
      <c r="J2423">
        <v>0</v>
      </c>
      <c r="K2423">
        <v>0</v>
      </c>
      <c r="L2423">
        <v>0</v>
      </c>
      <c r="M2423">
        <v>2157.3000000000002</v>
      </c>
      <c r="N2423">
        <v>24308</v>
      </c>
      <c r="O2423">
        <v>39</v>
      </c>
      <c r="P2423">
        <v>0</v>
      </c>
      <c r="Q2423">
        <v>0</v>
      </c>
      <c r="R2423">
        <v>0</v>
      </c>
      <c r="S2423">
        <v>0</v>
      </c>
      <c r="T2423">
        <v>0</v>
      </c>
      <c r="U2423">
        <v>0</v>
      </c>
      <c r="V2423">
        <v>2157.3000000000002</v>
      </c>
      <c r="W2423">
        <v>24308</v>
      </c>
      <c r="X2423">
        <v>39</v>
      </c>
      <c r="Y2423">
        <f t="shared" si="37"/>
        <v>24308</v>
      </c>
      <c r="Z2423" t="str">
        <f>IF(ISNUMBER(SEARCH("Adjustment",$C2423)),"excluded",IF($H2423="Behind the Meter","excluded",IF(NOT(OR($E2423="Bundled",$E2423="Energy")),"excluded",IF(OR($H2423="Retail Power Marketer",$H2423="Community Choice Aggregator",$E2423="Energy"),"procurement",IF(OR($H2423="Municipal",$H2423="Cooperative",$H2423="Federal",$H2423="State",$H2423="Political Subdivision"),"cost_service",IF($H2423="Investor Owned",IF(AND(COUNTIF(Parameters!$A$4:$A$33,$G2423)&gt;0,COUNTIF(Parameters!$B$4:$B$33,$B2423)=0),"procurement","cost_service"),"unclassified"))))))</f>
        <v>procurement</v>
      </c>
    </row>
    <row r="2424" spans="1:26" x14ac:dyDescent="0.25">
      <c r="A2424">
        <v>2024</v>
      </c>
      <c r="B2424">
        <v>63008</v>
      </c>
      <c r="C2424" t="s">
        <v>1633</v>
      </c>
      <c r="D2424" t="s">
        <v>99</v>
      </c>
      <c r="E2424" t="s">
        <v>100</v>
      </c>
      <c r="F2424" t="s">
        <v>86</v>
      </c>
      <c r="G2424" t="s">
        <v>52</v>
      </c>
      <c r="H2424" t="s">
        <v>101</v>
      </c>
      <c r="I2424" t="s">
        <v>92</v>
      </c>
      <c r="J2424">
        <v>0</v>
      </c>
      <c r="K2424">
        <v>0</v>
      </c>
      <c r="L2424">
        <v>0</v>
      </c>
      <c r="M2424">
        <v>20937.5</v>
      </c>
      <c r="N2424">
        <v>178956</v>
      </c>
      <c r="O2424">
        <v>656</v>
      </c>
      <c r="P2424">
        <v>0</v>
      </c>
      <c r="Q2424">
        <v>0</v>
      </c>
      <c r="R2424">
        <v>0</v>
      </c>
      <c r="S2424">
        <v>0</v>
      </c>
      <c r="T2424">
        <v>0</v>
      </c>
      <c r="U2424">
        <v>0</v>
      </c>
      <c r="V2424">
        <v>20937.5</v>
      </c>
      <c r="W2424">
        <v>178956</v>
      </c>
      <c r="X2424">
        <v>656</v>
      </c>
      <c r="Y2424">
        <f t="shared" si="37"/>
        <v>178956</v>
      </c>
      <c r="Z2424" t="str">
        <f>IF(ISNUMBER(SEARCH("Adjustment",$C2424)),"excluded",IF($H2424="Behind the Meter","excluded",IF(NOT(OR($E2424="Bundled",$E2424="Energy")),"excluded",IF(OR($H2424="Retail Power Marketer",$H2424="Community Choice Aggregator",$E2424="Energy"),"procurement",IF(OR($H2424="Municipal",$H2424="Cooperative",$H2424="Federal",$H2424="State",$H2424="Political Subdivision"),"cost_service",IF($H2424="Investor Owned",IF(AND(COUNTIF(Parameters!$A$4:$A$33,$G2424)&gt;0,COUNTIF(Parameters!$B$4:$B$33,$B2424)=0),"procurement","cost_service"),"unclassified"))))))</f>
        <v>procurement</v>
      </c>
    </row>
    <row r="2425" spans="1:26" x14ac:dyDescent="0.25">
      <c r="A2425">
        <v>2024</v>
      </c>
      <c r="B2425">
        <v>63008</v>
      </c>
      <c r="C2425" t="s">
        <v>1633</v>
      </c>
      <c r="D2425" t="s">
        <v>99</v>
      </c>
      <c r="E2425" t="s">
        <v>100</v>
      </c>
      <c r="F2425" t="s">
        <v>86</v>
      </c>
      <c r="G2425" t="s">
        <v>53</v>
      </c>
      <c r="H2425" t="s">
        <v>101</v>
      </c>
      <c r="I2425" t="s">
        <v>102</v>
      </c>
      <c r="J2425">
        <v>0</v>
      </c>
      <c r="K2425">
        <v>0</v>
      </c>
      <c r="L2425">
        <v>0</v>
      </c>
      <c r="M2425">
        <v>174870.6</v>
      </c>
      <c r="N2425">
        <v>1323917</v>
      </c>
      <c r="O2425">
        <v>5375</v>
      </c>
      <c r="P2425">
        <v>0</v>
      </c>
      <c r="Q2425">
        <v>0</v>
      </c>
      <c r="R2425" t="s">
        <v>97</v>
      </c>
      <c r="S2425">
        <v>0</v>
      </c>
      <c r="T2425">
        <v>0</v>
      </c>
      <c r="U2425">
        <v>0</v>
      </c>
      <c r="V2425">
        <v>174870.6</v>
      </c>
      <c r="W2425">
        <v>1323917</v>
      </c>
      <c r="X2425">
        <v>5375</v>
      </c>
      <c r="Y2425">
        <f t="shared" si="37"/>
        <v>1323917</v>
      </c>
      <c r="Z2425" t="str">
        <f>IF(ISNUMBER(SEARCH("Adjustment",$C2425)),"excluded",IF($H2425="Behind the Meter","excluded",IF(NOT(OR($E2425="Bundled",$E2425="Energy")),"excluded",IF(OR($H2425="Retail Power Marketer",$H2425="Community Choice Aggregator",$E2425="Energy"),"procurement",IF(OR($H2425="Municipal",$H2425="Cooperative",$H2425="Federal",$H2425="State",$H2425="Political Subdivision"),"cost_service",IF($H2425="Investor Owned",IF(AND(COUNTIF(Parameters!$A$4:$A$33,$G2425)&gt;0,COUNTIF(Parameters!$B$4:$B$33,$B2425)=0),"procurement","cost_service"),"unclassified"))))))</f>
        <v>procurement</v>
      </c>
    </row>
    <row r="2426" spans="1:26" x14ac:dyDescent="0.25">
      <c r="A2426">
        <v>2024</v>
      </c>
      <c r="B2426">
        <v>63008</v>
      </c>
      <c r="C2426" t="s">
        <v>1633</v>
      </c>
      <c r="D2426" t="s">
        <v>99</v>
      </c>
      <c r="E2426" t="s">
        <v>100</v>
      </c>
      <c r="F2426" t="s">
        <v>86</v>
      </c>
      <c r="G2426" t="s">
        <v>54</v>
      </c>
      <c r="H2426" t="s">
        <v>101</v>
      </c>
      <c r="I2426" t="s">
        <v>92</v>
      </c>
      <c r="J2426">
        <v>0</v>
      </c>
      <c r="K2426">
        <v>0</v>
      </c>
      <c r="L2426">
        <v>0</v>
      </c>
      <c r="M2426">
        <v>2689.8</v>
      </c>
      <c r="N2426">
        <v>41788</v>
      </c>
      <c r="O2426">
        <v>147</v>
      </c>
      <c r="P2426">
        <v>0</v>
      </c>
      <c r="Q2426">
        <v>0</v>
      </c>
      <c r="R2426">
        <v>0</v>
      </c>
      <c r="S2426">
        <v>0</v>
      </c>
      <c r="T2426">
        <v>0</v>
      </c>
      <c r="U2426">
        <v>0</v>
      </c>
      <c r="V2426">
        <v>2689.8</v>
      </c>
      <c r="W2426">
        <v>41788</v>
      </c>
      <c r="X2426">
        <v>147</v>
      </c>
      <c r="Y2426">
        <f t="shared" si="37"/>
        <v>41788</v>
      </c>
      <c r="Z2426" t="str">
        <f>IF(ISNUMBER(SEARCH("Adjustment",$C2426)),"excluded",IF($H2426="Behind the Meter","excluded",IF(NOT(OR($E2426="Bundled",$E2426="Energy")),"excluded",IF(OR($H2426="Retail Power Marketer",$H2426="Community Choice Aggregator",$E2426="Energy"),"procurement",IF(OR($H2426="Municipal",$H2426="Cooperative",$H2426="Federal",$H2426="State",$H2426="Political Subdivision"),"cost_service",IF($H2426="Investor Owned",IF(AND(COUNTIF(Parameters!$A$4:$A$33,$G2426)&gt;0,COUNTIF(Parameters!$B$4:$B$33,$B2426)=0),"procurement","cost_service"),"unclassified"))))))</f>
        <v>procurement</v>
      </c>
    </row>
    <row r="2427" spans="1:26" x14ac:dyDescent="0.25">
      <c r="A2427">
        <v>2024</v>
      </c>
      <c r="B2427">
        <v>63008</v>
      </c>
      <c r="C2427" t="s">
        <v>1633</v>
      </c>
      <c r="D2427" t="s">
        <v>99</v>
      </c>
      <c r="E2427" t="s">
        <v>100</v>
      </c>
      <c r="F2427" t="s">
        <v>86</v>
      </c>
      <c r="G2427" t="s">
        <v>55</v>
      </c>
      <c r="H2427" t="s">
        <v>101</v>
      </c>
      <c r="I2427" t="s">
        <v>92</v>
      </c>
      <c r="J2427">
        <v>0</v>
      </c>
      <c r="K2427">
        <v>0</v>
      </c>
      <c r="L2427">
        <v>0</v>
      </c>
      <c r="M2427">
        <v>12600.9</v>
      </c>
      <c r="N2427">
        <v>166517</v>
      </c>
      <c r="O2427">
        <v>399</v>
      </c>
      <c r="P2427">
        <v>0</v>
      </c>
      <c r="Q2427">
        <v>0</v>
      </c>
      <c r="R2427">
        <v>0</v>
      </c>
      <c r="S2427">
        <v>0</v>
      </c>
      <c r="T2427">
        <v>0</v>
      </c>
      <c r="U2427">
        <v>0</v>
      </c>
      <c r="V2427">
        <v>12600.9</v>
      </c>
      <c r="W2427">
        <v>166517</v>
      </c>
      <c r="X2427">
        <v>399</v>
      </c>
      <c r="Y2427">
        <f t="shared" si="37"/>
        <v>166517</v>
      </c>
      <c r="Z2427" t="str">
        <f>IF(ISNUMBER(SEARCH("Adjustment",$C2427)),"excluded",IF($H2427="Behind the Meter","excluded",IF(NOT(OR($E2427="Bundled",$E2427="Energy")),"excluded",IF(OR($H2427="Retail Power Marketer",$H2427="Community Choice Aggregator",$E2427="Energy"),"procurement",IF(OR($H2427="Municipal",$H2427="Cooperative",$H2427="Federal",$H2427="State",$H2427="Political Subdivision"),"cost_service",IF($H2427="Investor Owned",IF(AND(COUNTIF(Parameters!$A$4:$A$33,$G2427)&gt;0,COUNTIF(Parameters!$B$4:$B$33,$B2427)=0),"procurement","cost_service"),"unclassified"))))))</f>
        <v>procurement</v>
      </c>
    </row>
    <row r="2428" spans="1:26" x14ac:dyDescent="0.25">
      <c r="A2428">
        <v>2024</v>
      </c>
      <c r="B2428">
        <v>63122</v>
      </c>
      <c r="C2428" t="s">
        <v>1634</v>
      </c>
      <c r="D2428" t="s">
        <v>99</v>
      </c>
      <c r="E2428" t="s">
        <v>100</v>
      </c>
      <c r="F2428" t="s">
        <v>86</v>
      </c>
      <c r="G2428" t="s">
        <v>52</v>
      </c>
      <c r="H2428" t="s">
        <v>101</v>
      </c>
      <c r="I2428" t="s">
        <v>92</v>
      </c>
      <c r="J2428">
        <v>4.2</v>
      </c>
      <c r="K2428">
        <v>39</v>
      </c>
      <c r="L2428">
        <v>2</v>
      </c>
      <c r="M2428">
        <v>44773.5</v>
      </c>
      <c r="N2428">
        <v>456363</v>
      </c>
      <c r="O2428">
        <v>3168</v>
      </c>
      <c r="P2428">
        <v>0</v>
      </c>
      <c r="Q2428">
        <v>0</v>
      </c>
      <c r="R2428">
        <v>0</v>
      </c>
      <c r="S2428">
        <v>0</v>
      </c>
      <c r="T2428">
        <v>0</v>
      </c>
      <c r="U2428">
        <v>0</v>
      </c>
      <c r="V2428">
        <v>44777.7</v>
      </c>
      <c r="W2428">
        <v>456402</v>
      </c>
      <c r="X2428">
        <v>3170</v>
      </c>
      <c r="Y2428">
        <f t="shared" si="37"/>
        <v>456402</v>
      </c>
      <c r="Z2428" t="str">
        <f>IF(ISNUMBER(SEARCH("Adjustment",$C2428)),"excluded",IF($H2428="Behind the Meter","excluded",IF(NOT(OR($E2428="Bundled",$E2428="Energy")),"excluded",IF(OR($H2428="Retail Power Marketer",$H2428="Community Choice Aggregator",$E2428="Energy"),"procurement",IF(OR($H2428="Municipal",$H2428="Cooperative",$H2428="Federal",$H2428="State",$H2428="Political Subdivision"),"cost_service",IF($H2428="Investor Owned",IF(AND(COUNTIF(Parameters!$A$4:$A$33,$G2428)&gt;0,COUNTIF(Parameters!$B$4:$B$33,$B2428)=0),"procurement","cost_service"),"unclassified"))))))</f>
        <v>procurement</v>
      </c>
    </row>
    <row r="2429" spans="1:26" x14ac:dyDescent="0.25">
      <c r="A2429">
        <v>2024</v>
      </c>
      <c r="B2429">
        <v>63122</v>
      </c>
      <c r="C2429" t="s">
        <v>1634</v>
      </c>
      <c r="D2429" t="s">
        <v>99</v>
      </c>
      <c r="E2429" t="s">
        <v>100</v>
      </c>
      <c r="F2429" t="s">
        <v>86</v>
      </c>
      <c r="G2429" t="s">
        <v>53</v>
      </c>
      <c r="H2429" t="s">
        <v>101</v>
      </c>
      <c r="I2429" t="s">
        <v>102</v>
      </c>
      <c r="J2429">
        <v>13</v>
      </c>
      <c r="K2429">
        <v>78</v>
      </c>
      <c r="L2429">
        <v>2</v>
      </c>
      <c r="M2429">
        <v>40348</v>
      </c>
      <c r="N2429">
        <v>313136</v>
      </c>
      <c r="O2429">
        <v>4012</v>
      </c>
      <c r="P2429">
        <v>0</v>
      </c>
      <c r="Q2429">
        <v>0</v>
      </c>
      <c r="R2429">
        <v>0</v>
      </c>
      <c r="S2429">
        <v>0</v>
      </c>
      <c r="T2429">
        <v>0</v>
      </c>
      <c r="U2429">
        <v>0</v>
      </c>
      <c r="V2429">
        <v>40361</v>
      </c>
      <c r="W2429">
        <v>313214</v>
      </c>
      <c r="X2429">
        <v>4014</v>
      </c>
      <c r="Y2429">
        <f t="shared" si="37"/>
        <v>313214</v>
      </c>
      <c r="Z2429" t="str">
        <f>IF(ISNUMBER(SEARCH("Adjustment",$C2429)),"excluded",IF($H2429="Behind the Meter","excluded",IF(NOT(OR($E2429="Bundled",$E2429="Energy")),"excluded",IF(OR($H2429="Retail Power Marketer",$H2429="Community Choice Aggregator",$E2429="Energy"),"procurement",IF(OR($H2429="Municipal",$H2429="Cooperative",$H2429="Federal",$H2429="State",$H2429="Political Subdivision"),"cost_service",IF($H2429="Investor Owned",IF(AND(COUNTIF(Parameters!$A$4:$A$33,$G2429)&gt;0,COUNTIF(Parameters!$B$4:$B$33,$B2429)=0),"procurement","cost_service"),"unclassified"))))))</f>
        <v>procurement</v>
      </c>
    </row>
    <row r="2430" spans="1:26" x14ac:dyDescent="0.25">
      <c r="A2430">
        <v>2024</v>
      </c>
      <c r="B2430">
        <v>63122</v>
      </c>
      <c r="C2430" t="s">
        <v>1634</v>
      </c>
      <c r="D2430" t="s">
        <v>99</v>
      </c>
      <c r="E2430" t="s">
        <v>100</v>
      </c>
      <c r="F2430" t="s">
        <v>86</v>
      </c>
      <c r="G2430" t="s">
        <v>54</v>
      </c>
      <c r="H2430" t="s">
        <v>101</v>
      </c>
      <c r="I2430" t="s">
        <v>92</v>
      </c>
      <c r="J2430">
        <v>0</v>
      </c>
      <c r="K2430">
        <v>0</v>
      </c>
      <c r="L2430">
        <v>0</v>
      </c>
      <c r="M2430">
        <v>49.7</v>
      </c>
      <c r="N2430">
        <v>788</v>
      </c>
      <c r="O2430">
        <v>1</v>
      </c>
      <c r="P2430">
        <v>0</v>
      </c>
      <c r="Q2430">
        <v>0</v>
      </c>
      <c r="R2430">
        <v>0</v>
      </c>
      <c r="S2430">
        <v>0</v>
      </c>
      <c r="T2430">
        <v>0</v>
      </c>
      <c r="U2430">
        <v>0</v>
      </c>
      <c r="V2430">
        <v>49.7</v>
      </c>
      <c r="W2430">
        <v>788</v>
      </c>
      <c r="X2430">
        <v>1</v>
      </c>
      <c r="Y2430">
        <f t="shared" si="37"/>
        <v>788</v>
      </c>
      <c r="Z2430" t="str">
        <f>IF(ISNUMBER(SEARCH("Adjustment",$C2430)),"excluded",IF($H2430="Behind the Meter","excluded",IF(NOT(OR($E2430="Bundled",$E2430="Energy")),"excluded",IF(OR($H2430="Retail Power Marketer",$H2430="Community Choice Aggregator",$E2430="Energy"),"procurement",IF(OR($H2430="Municipal",$H2430="Cooperative",$H2430="Federal",$H2430="State",$H2430="Political Subdivision"),"cost_service",IF($H2430="Investor Owned",IF(AND(COUNTIF(Parameters!$A$4:$A$33,$G2430)&gt;0,COUNTIF(Parameters!$B$4:$B$33,$B2430)=0),"procurement","cost_service"),"unclassified"))))))</f>
        <v>procurement</v>
      </c>
    </row>
    <row r="2431" spans="1:26" x14ac:dyDescent="0.25">
      <c r="A2431">
        <v>2024</v>
      </c>
      <c r="B2431">
        <v>63122</v>
      </c>
      <c r="C2431" t="s">
        <v>1634</v>
      </c>
      <c r="D2431" t="s">
        <v>99</v>
      </c>
      <c r="E2431" t="s">
        <v>100</v>
      </c>
      <c r="F2431" t="s">
        <v>86</v>
      </c>
      <c r="G2431" t="s">
        <v>55</v>
      </c>
      <c r="H2431" t="s">
        <v>101</v>
      </c>
      <c r="I2431" t="s">
        <v>92</v>
      </c>
      <c r="J2431">
        <v>0</v>
      </c>
      <c r="K2431">
        <v>0</v>
      </c>
      <c r="L2431">
        <v>0</v>
      </c>
      <c r="M2431">
        <v>2626.3</v>
      </c>
      <c r="N2431">
        <v>33455</v>
      </c>
      <c r="O2431">
        <v>190</v>
      </c>
      <c r="P2431">
        <v>0</v>
      </c>
      <c r="Q2431">
        <v>0</v>
      </c>
      <c r="R2431">
        <v>0</v>
      </c>
      <c r="S2431">
        <v>0</v>
      </c>
      <c r="T2431">
        <v>0</v>
      </c>
      <c r="U2431">
        <v>0</v>
      </c>
      <c r="V2431">
        <v>2626.3</v>
      </c>
      <c r="W2431">
        <v>33455</v>
      </c>
      <c r="X2431">
        <v>190</v>
      </c>
      <c r="Y2431">
        <f t="shared" si="37"/>
        <v>33455</v>
      </c>
      <c r="Z2431" t="str">
        <f>IF(ISNUMBER(SEARCH("Adjustment",$C2431)),"excluded",IF($H2431="Behind the Meter","excluded",IF(NOT(OR($E2431="Bundled",$E2431="Energy")),"excluded",IF(OR($H2431="Retail Power Marketer",$H2431="Community Choice Aggregator",$E2431="Energy"),"procurement",IF(OR($H2431="Municipal",$H2431="Cooperative",$H2431="Federal",$H2431="State",$H2431="Political Subdivision"),"cost_service",IF($H2431="Investor Owned",IF(AND(COUNTIF(Parameters!$A$4:$A$33,$G2431)&gt;0,COUNTIF(Parameters!$B$4:$B$33,$B2431)=0),"procurement","cost_service"),"unclassified"))))))</f>
        <v>procurement</v>
      </c>
    </row>
    <row r="2432" spans="1:26" x14ac:dyDescent="0.25">
      <c r="A2432">
        <v>2024</v>
      </c>
      <c r="B2432">
        <v>63168</v>
      </c>
      <c r="C2432" t="s">
        <v>1635</v>
      </c>
      <c r="D2432" t="s">
        <v>99</v>
      </c>
      <c r="E2432" t="s">
        <v>100</v>
      </c>
      <c r="F2432" t="s">
        <v>86</v>
      </c>
      <c r="G2432" t="s">
        <v>42</v>
      </c>
      <c r="H2432" t="s">
        <v>101</v>
      </c>
      <c r="I2432" t="s">
        <v>92</v>
      </c>
      <c r="J2432">
        <v>563</v>
      </c>
      <c r="K2432">
        <v>3420</v>
      </c>
      <c r="L2432">
        <v>491</v>
      </c>
      <c r="M2432">
        <v>0</v>
      </c>
      <c r="N2432">
        <v>0</v>
      </c>
      <c r="O2432">
        <v>0</v>
      </c>
      <c r="P2432">
        <v>0</v>
      </c>
      <c r="Q2432">
        <v>0</v>
      </c>
      <c r="R2432">
        <v>0</v>
      </c>
      <c r="S2432">
        <v>0</v>
      </c>
      <c r="T2432">
        <v>0</v>
      </c>
      <c r="U2432">
        <v>0</v>
      </c>
      <c r="V2432">
        <v>563</v>
      </c>
      <c r="W2432">
        <v>3420</v>
      </c>
      <c r="X2432">
        <v>491</v>
      </c>
      <c r="Y2432">
        <f t="shared" si="37"/>
        <v>3420</v>
      </c>
      <c r="Z2432" t="str">
        <f>IF(ISNUMBER(SEARCH("Adjustment",$C2432)),"excluded",IF($H2432="Behind the Meter","excluded",IF(NOT(OR($E2432="Bundled",$E2432="Energy")),"excluded",IF(OR($H2432="Retail Power Marketer",$H2432="Community Choice Aggregator",$E2432="Energy"),"procurement",IF(OR($H2432="Municipal",$H2432="Cooperative",$H2432="Federal",$H2432="State",$H2432="Political Subdivision"),"cost_service",IF($H2432="Investor Owned",IF(AND(COUNTIF(Parameters!$A$4:$A$33,$G2432)&gt;0,COUNTIF(Parameters!$B$4:$B$33,$B2432)=0),"procurement","cost_service"),"unclassified"))))))</f>
        <v>procurement</v>
      </c>
    </row>
    <row r="2433" spans="1:26" x14ac:dyDescent="0.25">
      <c r="A2433">
        <v>2024</v>
      </c>
      <c r="B2433">
        <v>63168</v>
      </c>
      <c r="C2433" t="s">
        <v>1635</v>
      </c>
      <c r="D2433" t="s">
        <v>99</v>
      </c>
      <c r="E2433" t="s">
        <v>100</v>
      </c>
      <c r="F2433" t="s">
        <v>86</v>
      </c>
      <c r="G2433" t="s">
        <v>49</v>
      </c>
      <c r="H2433" t="s">
        <v>101</v>
      </c>
      <c r="I2433" t="s">
        <v>92</v>
      </c>
      <c r="J2433">
        <v>1505.8</v>
      </c>
      <c r="K2433">
        <v>8474</v>
      </c>
      <c r="L2433">
        <v>1276</v>
      </c>
      <c r="M2433">
        <v>0</v>
      </c>
      <c r="N2433">
        <v>0</v>
      </c>
      <c r="O2433">
        <v>0</v>
      </c>
      <c r="P2433">
        <v>0</v>
      </c>
      <c r="Q2433">
        <v>0</v>
      </c>
      <c r="R2433">
        <v>0</v>
      </c>
      <c r="S2433">
        <v>0</v>
      </c>
      <c r="T2433">
        <v>0</v>
      </c>
      <c r="U2433">
        <v>0</v>
      </c>
      <c r="V2433">
        <v>1505.8</v>
      </c>
      <c r="W2433">
        <v>8474</v>
      </c>
      <c r="X2433">
        <v>1276</v>
      </c>
      <c r="Y2433">
        <f t="shared" si="37"/>
        <v>8474</v>
      </c>
      <c r="Z2433" t="str">
        <f>IF(ISNUMBER(SEARCH("Adjustment",$C2433)),"excluded",IF($H2433="Behind the Meter","excluded",IF(NOT(OR($E2433="Bundled",$E2433="Energy")),"excluded",IF(OR($H2433="Retail Power Marketer",$H2433="Community Choice Aggregator",$E2433="Energy"),"procurement",IF(OR($H2433="Municipal",$H2433="Cooperative",$H2433="Federal",$H2433="State",$H2433="Political Subdivision"),"cost_service",IF($H2433="Investor Owned",IF(AND(COUNTIF(Parameters!$A$4:$A$33,$G2433)&gt;0,COUNTIF(Parameters!$B$4:$B$33,$B2433)=0),"procurement","cost_service"),"unclassified"))))))</f>
        <v>procurement</v>
      </c>
    </row>
    <row r="2434" spans="1:26" x14ac:dyDescent="0.25">
      <c r="A2434">
        <v>2024</v>
      </c>
      <c r="B2434">
        <v>63168</v>
      </c>
      <c r="C2434" t="s">
        <v>1635</v>
      </c>
      <c r="D2434" t="s">
        <v>99</v>
      </c>
      <c r="E2434" t="s">
        <v>100</v>
      </c>
      <c r="F2434" t="s">
        <v>86</v>
      </c>
      <c r="G2434" t="s">
        <v>52</v>
      </c>
      <c r="H2434" t="s">
        <v>101</v>
      </c>
      <c r="I2434" t="s">
        <v>92</v>
      </c>
      <c r="J2434">
        <v>3219.3</v>
      </c>
      <c r="K2434">
        <v>15217</v>
      </c>
      <c r="L2434">
        <v>2335</v>
      </c>
      <c r="M2434">
        <v>0</v>
      </c>
      <c r="N2434">
        <v>0</v>
      </c>
      <c r="O2434">
        <v>0</v>
      </c>
      <c r="P2434">
        <v>0</v>
      </c>
      <c r="Q2434">
        <v>0</v>
      </c>
      <c r="R2434">
        <v>0</v>
      </c>
      <c r="S2434">
        <v>0</v>
      </c>
      <c r="T2434">
        <v>0</v>
      </c>
      <c r="U2434">
        <v>0</v>
      </c>
      <c r="V2434">
        <v>3219.3</v>
      </c>
      <c r="W2434">
        <v>15217</v>
      </c>
      <c r="X2434">
        <v>2335</v>
      </c>
      <c r="Y2434">
        <f t="shared" si="37"/>
        <v>15217</v>
      </c>
      <c r="Z2434" t="str">
        <f>IF(ISNUMBER(SEARCH("Adjustment",$C2434)),"excluded",IF($H2434="Behind the Meter","excluded",IF(NOT(OR($E2434="Bundled",$E2434="Energy")),"excluded",IF(OR($H2434="Retail Power Marketer",$H2434="Community Choice Aggregator",$E2434="Energy"),"procurement",IF(OR($H2434="Municipal",$H2434="Cooperative",$H2434="Federal",$H2434="State",$H2434="Political Subdivision"),"cost_service",IF($H2434="Investor Owned",IF(AND(COUNTIF(Parameters!$A$4:$A$33,$G2434)&gt;0,COUNTIF(Parameters!$B$4:$B$33,$B2434)=0),"procurement","cost_service"),"unclassified"))))))</f>
        <v>procurement</v>
      </c>
    </row>
    <row r="2435" spans="1:26" x14ac:dyDescent="0.25">
      <c r="A2435">
        <v>2024</v>
      </c>
      <c r="B2435">
        <v>63168</v>
      </c>
      <c r="C2435" t="s">
        <v>1635</v>
      </c>
      <c r="D2435" t="s">
        <v>99</v>
      </c>
      <c r="E2435" t="s">
        <v>100</v>
      </c>
      <c r="F2435" t="s">
        <v>86</v>
      </c>
      <c r="G2435" t="s">
        <v>53</v>
      </c>
      <c r="H2435" t="s">
        <v>101</v>
      </c>
      <c r="I2435" t="s">
        <v>102</v>
      </c>
      <c r="J2435">
        <v>3526.3</v>
      </c>
      <c r="K2435">
        <v>19229</v>
      </c>
      <c r="L2435">
        <v>4098</v>
      </c>
      <c r="M2435">
        <v>153.80000000000001</v>
      </c>
      <c r="N2435">
        <v>919</v>
      </c>
      <c r="O2435">
        <v>177</v>
      </c>
      <c r="P2435">
        <v>0</v>
      </c>
      <c r="Q2435">
        <v>0</v>
      </c>
      <c r="R2435">
        <v>0</v>
      </c>
      <c r="S2435">
        <v>0</v>
      </c>
      <c r="T2435">
        <v>0</v>
      </c>
      <c r="U2435">
        <v>0</v>
      </c>
      <c r="V2435">
        <v>3680.1</v>
      </c>
      <c r="W2435">
        <v>20148</v>
      </c>
      <c r="X2435">
        <v>4275</v>
      </c>
      <c r="Y2435">
        <f t="shared" si="37"/>
        <v>20148</v>
      </c>
      <c r="Z2435" t="str">
        <f>IF(ISNUMBER(SEARCH("Adjustment",$C2435)),"excluded",IF($H2435="Behind the Meter","excluded",IF(NOT(OR($E2435="Bundled",$E2435="Energy")),"excluded",IF(OR($H2435="Retail Power Marketer",$H2435="Community Choice Aggregator",$E2435="Energy"),"procurement",IF(OR($H2435="Municipal",$H2435="Cooperative",$H2435="Federal",$H2435="State",$H2435="Political Subdivision"),"cost_service",IF($H2435="Investor Owned",IF(AND(COUNTIF(Parameters!$A$4:$A$33,$G2435)&gt;0,COUNTIF(Parameters!$B$4:$B$33,$B2435)=0),"procurement","cost_service"),"unclassified"))))))</f>
        <v>procurement</v>
      </c>
    </row>
    <row r="2436" spans="1:26" x14ac:dyDescent="0.25">
      <c r="A2436">
        <v>2024</v>
      </c>
      <c r="B2436">
        <v>63168</v>
      </c>
      <c r="C2436" t="s">
        <v>1635</v>
      </c>
      <c r="D2436" t="s">
        <v>99</v>
      </c>
      <c r="E2436" t="s">
        <v>100</v>
      </c>
      <c r="F2436" t="s">
        <v>86</v>
      </c>
      <c r="G2436" t="s">
        <v>54</v>
      </c>
      <c r="H2436" t="s">
        <v>101</v>
      </c>
      <c r="I2436" t="s">
        <v>92</v>
      </c>
      <c r="J2436">
        <v>500.8</v>
      </c>
      <c r="K2436">
        <v>3933</v>
      </c>
      <c r="L2436">
        <v>565</v>
      </c>
      <c r="M2436">
        <v>0.1</v>
      </c>
      <c r="N2436">
        <v>1</v>
      </c>
      <c r="O2436">
        <v>1</v>
      </c>
      <c r="P2436">
        <v>0</v>
      </c>
      <c r="Q2436">
        <v>0</v>
      </c>
      <c r="R2436">
        <v>0</v>
      </c>
      <c r="S2436">
        <v>0</v>
      </c>
      <c r="T2436">
        <v>0</v>
      </c>
      <c r="U2436">
        <v>0</v>
      </c>
      <c r="V2436">
        <v>500.9</v>
      </c>
      <c r="W2436">
        <v>3934</v>
      </c>
      <c r="X2436">
        <v>566</v>
      </c>
      <c r="Y2436">
        <f t="shared" ref="Y2436:Y2499" si="38">IF(ISNUMBER($W2436),$W2436,0)</f>
        <v>3934</v>
      </c>
      <c r="Z2436" t="str">
        <f>IF(ISNUMBER(SEARCH("Adjustment",$C2436)),"excluded",IF($H2436="Behind the Meter","excluded",IF(NOT(OR($E2436="Bundled",$E2436="Energy")),"excluded",IF(OR($H2436="Retail Power Marketer",$H2436="Community Choice Aggregator",$E2436="Energy"),"procurement",IF(OR($H2436="Municipal",$H2436="Cooperative",$H2436="Federal",$H2436="State",$H2436="Political Subdivision"),"cost_service",IF($H2436="Investor Owned",IF(AND(COUNTIF(Parameters!$A$4:$A$33,$G2436)&gt;0,COUNTIF(Parameters!$B$4:$B$33,$B2436)=0),"procurement","cost_service"),"unclassified"))))))</f>
        <v>procurement</v>
      </c>
    </row>
    <row r="2437" spans="1:26" x14ac:dyDescent="0.25">
      <c r="A2437">
        <v>2024</v>
      </c>
      <c r="B2437">
        <v>63169</v>
      </c>
      <c r="C2437" t="s">
        <v>1636</v>
      </c>
      <c r="D2437" t="s">
        <v>99</v>
      </c>
      <c r="E2437" t="s">
        <v>100</v>
      </c>
      <c r="F2437" t="s">
        <v>86</v>
      </c>
      <c r="G2437" t="s">
        <v>55</v>
      </c>
      <c r="H2437" t="s">
        <v>101</v>
      </c>
      <c r="I2437" t="s">
        <v>92</v>
      </c>
      <c r="J2437">
        <v>1520</v>
      </c>
      <c r="K2437">
        <v>8599</v>
      </c>
      <c r="L2437">
        <v>1255</v>
      </c>
      <c r="M2437">
        <v>37.299999999999997</v>
      </c>
      <c r="N2437">
        <v>230</v>
      </c>
      <c r="O2437">
        <v>30</v>
      </c>
      <c r="P2437">
        <v>0</v>
      </c>
      <c r="Q2437">
        <v>0</v>
      </c>
      <c r="R2437">
        <v>0</v>
      </c>
      <c r="S2437">
        <v>0</v>
      </c>
      <c r="T2437">
        <v>0</v>
      </c>
      <c r="U2437">
        <v>0</v>
      </c>
      <c r="V2437">
        <v>1557.3</v>
      </c>
      <c r="W2437">
        <v>8829</v>
      </c>
      <c r="X2437">
        <v>1285</v>
      </c>
      <c r="Y2437">
        <f t="shared" si="38"/>
        <v>8829</v>
      </c>
      <c r="Z2437" t="str">
        <f>IF(ISNUMBER(SEARCH("Adjustment",$C2437)),"excluded",IF($H2437="Behind the Meter","excluded",IF(NOT(OR($E2437="Bundled",$E2437="Energy")),"excluded",IF(OR($H2437="Retail Power Marketer",$H2437="Community Choice Aggregator",$E2437="Energy"),"procurement",IF(OR($H2437="Municipal",$H2437="Cooperative",$H2437="Federal",$H2437="State",$H2437="Political Subdivision"),"cost_service",IF($H2437="Investor Owned",IF(AND(COUNTIF(Parameters!$A$4:$A$33,$G2437)&gt;0,COUNTIF(Parameters!$B$4:$B$33,$B2437)=0),"procurement","cost_service"),"unclassified"))))))</f>
        <v>procurement</v>
      </c>
    </row>
    <row r="2438" spans="1:26" x14ac:dyDescent="0.25">
      <c r="A2438">
        <v>2024</v>
      </c>
      <c r="B2438">
        <v>63232</v>
      </c>
      <c r="C2438" t="s">
        <v>1637</v>
      </c>
      <c r="D2438" t="s">
        <v>99</v>
      </c>
      <c r="E2438" t="s">
        <v>100</v>
      </c>
      <c r="F2438" t="s">
        <v>86</v>
      </c>
      <c r="G2438" t="s">
        <v>48</v>
      </c>
      <c r="H2438" t="s">
        <v>101</v>
      </c>
      <c r="I2438" t="s">
        <v>189</v>
      </c>
      <c r="J2438">
        <v>10778.2</v>
      </c>
      <c r="K2438">
        <v>53722</v>
      </c>
      <c r="L2438">
        <v>8269</v>
      </c>
      <c r="M2438">
        <v>719.1</v>
      </c>
      <c r="N2438">
        <v>5017</v>
      </c>
      <c r="O2438">
        <v>103</v>
      </c>
      <c r="P2438">
        <v>140</v>
      </c>
      <c r="Q2438">
        <v>1078</v>
      </c>
      <c r="R2438">
        <v>1</v>
      </c>
      <c r="S2438">
        <v>0</v>
      </c>
      <c r="T2438">
        <v>0</v>
      </c>
      <c r="U2438">
        <v>0</v>
      </c>
      <c r="V2438">
        <v>11637.3</v>
      </c>
      <c r="W2438">
        <v>59817</v>
      </c>
      <c r="X2438">
        <v>8373</v>
      </c>
      <c r="Y2438">
        <f t="shared" si="38"/>
        <v>59817</v>
      </c>
      <c r="Z2438" t="str">
        <f>IF(ISNUMBER(SEARCH("Adjustment",$C2438)),"excluded",IF($H2438="Behind the Meter","excluded",IF(NOT(OR($E2438="Bundled",$E2438="Energy")),"excluded",IF(OR($H2438="Retail Power Marketer",$H2438="Community Choice Aggregator",$E2438="Energy"),"procurement",IF(OR($H2438="Municipal",$H2438="Cooperative",$H2438="Federal",$H2438="State",$H2438="Political Subdivision"),"cost_service",IF($H2438="Investor Owned",IF(AND(COUNTIF(Parameters!$A$4:$A$33,$G2438)&gt;0,COUNTIF(Parameters!$B$4:$B$33,$B2438)=0),"procurement","cost_service"),"unclassified"))))))</f>
        <v>procurement</v>
      </c>
    </row>
    <row r="2439" spans="1:26" x14ac:dyDescent="0.25">
      <c r="A2439">
        <v>2024</v>
      </c>
      <c r="B2439">
        <v>63232</v>
      </c>
      <c r="C2439" t="s">
        <v>1637</v>
      </c>
      <c r="D2439" t="s">
        <v>99</v>
      </c>
      <c r="E2439" t="s">
        <v>100</v>
      </c>
      <c r="F2439" t="s">
        <v>86</v>
      </c>
      <c r="G2439" t="s">
        <v>49</v>
      </c>
      <c r="H2439" t="s">
        <v>101</v>
      </c>
      <c r="I2439" t="s">
        <v>92</v>
      </c>
      <c r="J2439">
        <v>1592.5</v>
      </c>
      <c r="K2439">
        <v>12270</v>
      </c>
      <c r="L2439">
        <v>1075</v>
      </c>
      <c r="M2439">
        <v>36.9</v>
      </c>
      <c r="N2439">
        <v>256</v>
      </c>
      <c r="O2439">
        <v>14</v>
      </c>
      <c r="P2439">
        <v>0</v>
      </c>
      <c r="Q2439">
        <v>0</v>
      </c>
      <c r="R2439">
        <v>0</v>
      </c>
      <c r="S2439">
        <v>0</v>
      </c>
      <c r="T2439">
        <v>0</v>
      </c>
      <c r="U2439">
        <v>0</v>
      </c>
      <c r="V2439">
        <v>1629.4</v>
      </c>
      <c r="W2439">
        <v>12526</v>
      </c>
      <c r="X2439">
        <v>1089</v>
      </c>
      <c r="Y2439">
        <f t="shared" si="38"/>
        <v>12526</v>
      </c>
      <c r="Z2439" t="str">
        <f>IF(ISNUMBER(SEARCH("Adjustment",$C2439)),"excluded",IF($H2439="Behind the Meter","excluded",IF(NOT(OR($E2439="Bundled",$E2439="Energy")),"excluded",IF(OR($H2439="Retail Power Marketer",$H2439="Community Choice Aggregator",$E2439="Energy"),"procurement",IF(OR($H2439="Municipal",$H2439="Cooperative",$H2439="Federal",$H2439="State",$H2439="Political Subdivision"),"cost_service",IF($H2439="Investor Owned",IF(AND(COUNTIF(Parameters!$A$4:$A$33,$G2439)&gt;0,COUNTIF(Parameters!$B$4:$B$33,$B2439)=0),"procurement","cost_service"),"unclassified"))))))</f>
        <v>procurement</v>
      </c>
    </row>
    <row r="2440" spans="1:26" x14ac:dyDescent="0.25">
      <c r="A2440">
        <v>2024</v>
      </c>
      <c r="B2440">
        <v>63232</v>
      </c>
      <c r="C2440" t="s">
        <v>1637</v>
      </c>
      <c r="D2440" t="s">
        <v>99</v>
      </c>
      <c r="E2440" t="s">
        <v>100</v>
      </c>
      <c r="F2440" t="s">
        <v>86</v>
      </c>
      <c r="G2440" t="s">
        <v>52</v>
      </c>
      <c r="H2440" t="s">
        <v>101</v>
      </c>
      <c r="I2440" t="s">
        <v>102</v>
      </c>
      <c r="J2440">
        <v>1574.3</v>
      </c>
      <c r="K2440">
        <v>8472</v>
      </c>
      <c r="L2440">
        <v>1278</v>
      </c>
      <c r="M2440">
        <v>2</v>
      </c>
      <c r="N2440">
        <v>20</v>
      </c>
      <c r="O2440">
        <v>1</v>
      </c>
      <c r="P2440">
        <v>0</v>
      </c>
      <c r="Q2440">
        <v>0</v>
      </c>
      <c r="R2440">
        <v>0</v>
      </c>
      <c r="S2440">
        <v>0</v>
      </c>
      <c r="T2440">
        <v>0</v>
      </c>
      <c r="U2440">
        <v>0</v>
      </c>
      <c r="V2440">
        <v>1576.3</v>
      </c>
      <c r="W2440">
        <v>8492</v>
      </c>
      <c r="X2440">
        <v>1279</v>
      </c>
      <c r="Y2440">
        <f t="shared" si="38"/>
        <v>8492</v>
      </c>
      <c r="Z2440" t="str">
        <f>IF(ISNUMBER(SEARCH("Adjustment",$C2440)),"excluded",IF($H2440="Behind the Meter","excluded",IF(NOT(OR($E2440="Bundled",$E2440="Energy")),"excluded",IF(OR($H2440="Retail Power Marketer",$H2440="Community Choice Aggregator",$E2440="Energy"),"procurement",IF(OR($H2440="Municipal",$H2440="Cooperative",$H2440="Federal",$H2440="State",$H2440="Political Subdivision"),"cost_service",IF($H2440="Investor Owned",IF(AND(COUNTIF(Parameters!$A$4:$A$33,$G2440)&gt;0,COUNTIF(Parameters!$B$4:$B$33,$B2440)=0),"procurement","cost_service"),"unclassified"))))))</f>
        <v>procurement</v>
      </c>
    </row>
    <row r="2441" spans="1:26" x14ac:dyDescent="0.25">
      <c r="A2441">
        <v>2024</v>
      </c>
      <c r="B2441">
        <v>63232</v>
      </c>
      <c r="C2441" t="s">
        <v>1637</v>
      </c>
      <c r="D2441" t="s">
        <v>99</v>
      </c>
      <c r="E2441" t="s">
        <v>100</v>
      </c>
      <c r="F2441" t="s">
        <v>86</v>
      </c>
      <c r="G2441" t="s">
        <v>54</v>
      </c>
      <c r="H2441" t="s">
        <v>101</v>
      </c>
      <c r="I2441" t="s">
        <v>92</v>
      </c>
      <c r="J2441">
        <v>1947</v>
      </c>
      <c r="K2441">
        <v>18170</v>
      </c>
      <c r="L2441">
        <v>1832</v>
      </c>
      <c r="M2441">
        <v>0.1</v>
      </c>
      <c r="N2441">
        <v>1</v>
      </c>
      <c r="O2441">
        <v>1</v>
      </c>
      <c r="P2441">
        <v>0</v>
      </c>
      <c r="Q2441">
        <v>0</v>
      </c>
      <c r="R2441">
        <v>0</v>
      </c>
      <c r="S2441">
        <v>0</v>
      </c>
      <c r="T2441">
        <v>0</v>
      </c>
      <c r="U2441">
        <v>0</v>
      </c>
      <c r="V2441">
        <v>1947.1</v>
      </c>
      <c r="W2441">
        <v>18171</v>
      </c>
      <c r="X2441">
        <v>1833</v>
      </c>
      <c r="Y2441">
        <f t="shared" si="38"/>
        <v>18171</v>
      </c>
      <c r="Z2441" t="str">
        <f>IF(ISNUMBER(SEARCH("Adjustment",$C2441)),"excluded",IF($H2441="Behind the Meter","excluded",IF(NOT(OR($E2441="Bundled",$E2441="Energy")),"excluded",IF(OR($H2441="Retail Power Marketer",$H2441="Community Choice Aggregator",$E2441="Energy"),"procurement",IF(OR($H2441="Municipal",$H2441="Cooperative",$H2441="Federal",$H2441="State",$H2441="Political Subdivision"),"cost_service",IF($H2441="Investor Owned",IF(AND(COUNTIF(Parameters!$A$4:$A$33,$G2441)&gt;0,COUNTIF(Parameters!$B$4:$B$33,$B2441)=0),"procurement","cost_service"),"unclassified"))))))</f>
        <v>procurement</v>
      </c>
    </row>
    <row r="2442" spans="1:26" x14ac:dyDescent="0.25">
      <c r="A2442">
        <v>2024</v>
      </c>
      <c r="B2442">
        <v>63232</v>
      </c>
      <c r="C2442" t="s">
        <v>1637</v>
      </c>
      <c r="D2442" t="s">
        <v>99</v>
      </c>
      <c r="E2442" t="s">
        <v>100</v>
      </c>
      <c r="F2442" t="s">
        <v>86</v>
      </c>
      <c r="G2442" t="s">
        <v>55</v>
      </c>
      <c r="H2442" t="s">
        <v>101</v>
      </c>
      <c r="I2442" t="s">
        <v>92</v>
      </c>
      <c r="J2442">
        <v>8994.7000000000007</v>
      </c>
      <c r="K2442">
        <v>76926</v>
      </c>
      <c r="L2442">
        <v>8378</v>
      </c>
      <c r="M2442">
        <v>42.6</v>
      </c>
      <c r="N2442">
        <v>375</v>
      </c>
      <c r="O2442">
        <v>17</v>
      </c>
      <c r="P2442">
        <v>0</v>
      </c>
      <c r="Q2442">
        <v>0</v>
      </c>
      <c r="R2442">
        <v>0</v>
      </c>
      <c r="S2442">
        <v>0</v>
      </c>
      <c r="T2442">
        <v>0</v>
      </c>
      <c r="U2442">
        <v>0</v>
      </c>
      <c r="V2442">
        <v>9037.2999999999993</v>
      </c>
      <c r="W2442">
        <v>77301</v>
      </c>
      <c r="X2442">
        <v>8395</v>
      </c>
      <c r="Y2442">
        <f t="shared" si="38"/>
        <v>77301</v>
      </c>
      <c r="Z2442" t="str">
        <f>IF(ISNUMBER(SEARCH("Adjustment",$C2442)),"excluded",IF($H2442="Behind the Meter","excluded",IF(NOT(OR($E2442="Bundled",$E2442="Energy")),"excluded",IF(OR($H2442="Retail Power Marketer",$H2442="Community Choice Aggregator",$E2442="Energy"),"procurement",IF(OR($H2442="Municipal",$H2442="Cooperative",$H2442="Federal",$H2442="State",$H2442="Political Subdivision"),"cost_service",IF($H2442="Investor Owned",IF(AND(COUNTIF(Parameters!$A$4:$A$33,$G2442)&gt;0,COUNTIF(Parameters!$B$4:$B$33,$B2442)=0),"procurement","cost_service"),"unclassified"))))))</f>
        <v>procurement</v>
      </c>
    </row>
    <row r="2443" spans="1:26" x14ac:dyDescent="0.25">
      <c r="A2443">
        <v>2024</v>
      </c>
      <c r="B2443">
        <v>63356</v>
      </c>
      <c r="C2443" t="s">
        <v>1638</v>
      </c>
      <c r="D2443" t="s">
        <v>99</v>
      </c>
      <c r="E2443" t="s">
        <v>100</v>
      </c>
      <c r="F2443" t="s">
        <v>86</v>
      </c>
      <c r="G2443" t="s">
        <v>40</v>
      </c>
      <c r="H2443" t="s">
        <v>101</v>
      </c>
      <c r="I2443" t="s">
        <v>189</v>
      </c>
      <c r="J2443">
        <v>0</v>
      </c>
      <c r="K2443">
        <v>0</v>
      </c>
      <c r="L2443">
        <v>0</v>
      </c>
      <c r="M2443">
        <v>6987.1</v>
      </c>
      <c r="N2443">
        <v>67098</v>
      </c>
      <c r="O2443">
        <v>61</v>
      </c>
      <c r="P2443">
        <v>0</v>
      </c>
      <c r="Q2443">
        <v>0</v>
      </c>
      <c r="R2443">
        <v>0</v>
      </c>
      <c r="S2443">
        <v>0</v>
      </c>
      <c r="T2443">
        <v>0</v>
      </c>
      <c r="U2443">
        <v>0</v>
      </c>
      <c r="V2443">
        <v>6987.1</v>
      </c>
      <c r="W2443">
        <v>67098</v>
      </c>
      <c r="X2443">
        <v>61</v>
      </c>
      <c r="Y2443">
        <f t="shared" si="38"/>
        <v>67098</v>
      </c>
      <c r="Z2443" t="str">
        <f>IF(ISNUMBER(SEARCH("Adjustment",$C2443)),"excluded",IF($H2443="Behind the Meter","excluded",IF(NOT(OR($E2443="Bundled",$E2443="Energy")),"excluded",IF(OR($H2443="Retail Power Marketer",$H2443="Community Choice Aggregator",$E2443="Energy"),"procurement",IF(OR($H2443="Municipal",$H2443="Cooperative",$H2443="Federal",$H2443="State",$H2443="Political Subdivision"),"cost_service",IF($H2443="Investor Owned",IF(AND(COUNTIF(Parameters!$A$4:$A$33,$G2443)&gt;0,COUNTIF(Parameters!$B$4:$B$33,$B2443)=0),"procurement","cost_service"),"unclassified"))))))</f>
        <v>procurement</v>
      </c>
    </row>
    <row r="2444" spans="1:26" x14ac:dyDescent="0.25">
      <c r="A2444">
        <v>2024</v>
      </c>
      <c r="B2444">
        <v>63356</v>
      </c>
      <c r="C2444" t="s">
        <v>1638</v>
      </c>
      <c r="D2444" t="s">
        <v>99</v>
      </c>
      <c r="E2444" t="s">
        <v>100</v>
      </c>
      <c r="F2444" t="s">
        <v>86</v>
      </c>
      <c r="G2444" t="s">
        <v>42</v>
      </c>
      <c r="H2444" t="s">
        <v>101</v>
      </c>
      <c r="I2444" t="s">
        <v>92</v>
      </c>
      <c r="J2444">
        <v>0</v>
      </c>
      <c r="K2444">
        <v>0</v>
      </c>
      <c r="L2444">
        <v>0</v>
      </c>
      <c r="M2444">
        <v>4712</v>
      </c>
      <c r="N2444">
        <v>38988</v>
      </c>
      <c r="O2444">
        <v>44</v>
      </c>
      <c r="P2444">
        <v>0</v>
      </c>
      <c r="Q2444">
        <v>0</v>
      </c>
      <c r="R2444">
        <v>0</v>
      </c>
      <c r="S2444">
        <v>0</v>
      </c>
      <c r="T2444">
        <v>0</v>
      </c>
      <c r="U2444">
        <v>0</v>
      </c>
      <c r="V2444">
        <v>4712</v>
      </c>
      <c r="W2444">
        <v>38988</v>
      </c>
      <c r="X2444">
        <v>44</v>
      </c>
      <c r="Y2444">
        <f t="shared" si="38"/>
        <v>38988</v>
      </c>
      <c r="Z2444" t="str">
        <f>IF(ISNUMBER(SEARCH("Adjustment",$C2444)),"excluded",IF($H2444="Behind the Meter","excluded",IF(NOT(OR($E2444="Bundled",$E2444="Energy")),"excluded",IF(OR($H2444="Retail Power Marketer",$H2444="Community Choice Aggregator",$E2444="Energy"),"procurement",IF(OR($H2444="Municipal",$H2444="Cooperative",$H2444="Federal",$H2444="State",$H2444="Political Subdivision"),"cost_service",IF($H2444="Investor Owned",IF(AND(COUNTIF(Parameters!$A$4:$A$33,$G2444)&gt;0,COUNTIF(Parameters!$B$4:$B$33,$B2444)=0),"procurement","cost_service"),"unclassified"))))))</f>
        <v>procurement</v>
      </c>
    </row>
    <row r="2445" spans="1:26" x14ac:dyDescent="0.25">
      <c r="A2445">
        <v>2024</v>
      </c>
      <c r="B2445">
        <v>63356</v>
      </c>
      <c r="C2445" t="s">
        <v>1638</v>
      </c>
      <c r="D2445" t="s">
        <v>99</v>
      </c>
      <c r="E2445" t="s">
        <v>100</v>
      </c>
      <c r="F2445" t="s">
        <v>86</v>
      </c>
      <c r="G2445" t="s">
        <v>44</v>
      </c>
      <c r="H2445" t="s">
        <v>101</v>
      </c>
      <c r="I2445" t="s">
        <v>92</v>
      </c>
      <c r="J2445">
        <v>0</v>
      </c>
      <c r="K2445">
        <v>0</v>
      </c>
      <c r="L2445">
        <v>0</v>
      </c>
      <c r="M2445">
        <v>3373</v>
      </c>
      <c r="N2445">
        <v>38937</v>
      </c>
      <c r="O2445">
        <v>49</v>
      </c>
      <c r="P2445">
        <v>0</v>
      </c>
      <c r="Q2445">
        <v>0</v>
      </c>
      <c r="R2445">
        <v>0</v>
      </c>
      <c r="S2445">
        <v>0</v>
      </c>
      <c r="T2445">
        <v>0</v>
      </c>
      <c r="U2445">
        <v>0</v>
      </c>
      <c r="V2445">
        <v>3373</v>
      </c>
      <c r="W2445">
        <v>38937</v>
      </c>
      <c r="X2445">
        <v>49</v>
      </c>
      <c r="Y2445">
        <f t="shared" si="38"/>
        <v>38937</v>
      </c>
      <c r="Z2445" t="str">
        <f>IF(ISNUMBER(SEARCH("Adjustment",$C2445)),"excluded",IF($H2445="Behind the Meter","excluded",IF(NOT(OR($E2445="Bundled",$E2445="Energy")),"excluded",IF(OR($H2445="Retail Power Marketer",$H2445="Community Choice Aggregator",$E2445="Energy"),"procurement",IF(OR($H2445="Municipal",$H2445="Cooperative",$H2445="Federal",$H2445="State",$H2445="Political Subdivision"),"cost_service",IF($H2445="Investor Owned",IF(AND(COUNTIF(Parameters!$A$4:$A$33,$G2445)&gt;0,COUNTIF(Parameters!$B$4:$B$33,$B2445)=0),"procurement","cost_service"),"unclassified"))))))</f>
        <v>procurement</v>
      </c>
    </row>
    <row r="2446" spans="1:26" x14ac:dyDescent="0.25">
      <c r="A2446">
        <v>2024</v>
      </c>
      <c r="B2446">
        <v>63356</v>
      </c>
      <c r="C2446" t="s">
        <v>1638</v>
      </c>
      <c r="D2446" t="s">
        <v>99</v>
      </c>
      <c r="E2446" t="s">
        <v>100</v>
      </c>
      <c r="F2446" t="s">
        <v>86</v>
      </c>
      <c r="G2446" t="s">
        <v>46</v>
      </c>
      <c r="H2446" t="s">
        <v>101</v>
      </c>
      <c r="I2446" t="s">
        <v>92</v>
      </c>
      <c r="J2446">
        <v>0</v>
      </c>
      <c r="K2446">
        <v>0</v>
      </c>
      <c r="L2446">
        <v>0</v>
      </c>
      <c r="M2446">
        <v>19699</v>
      </c>
      <c r="N2446">
        <v>296966</v>
      </c>
      <c r="O2446">
        <v>257</v>
      </c>
      <c r="P2446">
        <v>0</v>
      </c>
      <c r="Q2446">
        <v>0</v>
      </c>
      <c r="R2446">
        <v>0</v>
      </c>
      <c r="S2446">
        <v>0</v>
      </c>
      <c r="T2446">
        <v>0</v>
      </c>
      <c r="U2446">
        <v>0</v>
      </c>
      <c r="V2446">
        <v>19699</v>
      </c>
      <c r="W2446">
        <v>296966</v>
      </c>
      <c r="X2446">
        <v>257</v>
      </c>
      <c r="Y2446">
        <f t="shared" si="38"/>
        <v>296966</v>
      </c>
      <c r="Z2446" t="str">
        <f>IF(ISNUMBER(SEARCH("Adjustment",$C2446)),"excluded",IF($H2446="Behind the Meter","excluded",IF(NOT(OR($E2446="Bundled",$E2446="Energy")),"excluded",IF(OR($H2446="Retail Power Marketer",$H2446="Community Choice Aggregator",$E2446="Energy"),"procurement",IF(OR($H2446="Municipal",$H2446="Cooperative",$H2446="Federal",$H2446="State",$H2446="Political Subdivision"),"cost_service",IF($H2446="Investor Owned",IF(AND(COUNTIF(Parameters!$A$4:$A$33,$G2446)&gt;0,COUNTIF(Parameters!$B$4:$B$33,$B2446)=0),"procurement","cost_service"),"unclassified"))))))</f>
        <v>procurement</v>
      </c>
    </row>
    <row r="2447" spans="1:26" x14ac:dyDescent="0.25">
      <c r="A2447">
        <v>2024</v>
      </c>
      <c r="B2447">
        <v>63356</v>
      </c>
      <c r="C2447" t="s">
        <v>1638</v>
      </c>
      <c r="D2447" t="s">
        <v>99</v>
      </c>
      <c r="E2447" t="s">
        <v>100</v>
      </c>
      <c r="F2447" t="s">
        <v>86</v>
      </c>
      <c r="G2447" t="s">
        <v>48</v>
      </c>
      <c r="H2447" t="s">
        <v>101</v>
      </c>
      <c r="I2447" t="s">
        <v>189</v>
      </c>
      <c r="J2447">
        <v>0</v>
      </c>
      <c r="K2447">
        <v>0</v>
      </c>
      <c r="L2447">
        <v>0</v>
      </c>
      <c r="M2447">
        <v>5068</v>
      </c>
      <c r="N2447">
        <v>37719</v>
      </c>
      <c r="O2447">
        <v>30</v>
      </c>
      <c r="P2447">
        <v>0</v>
      </c>
      <c r="Q2447">
        <v>0</v>
      </c>
      <c r="R2447">
        <v>0</v>
      </c>
      <c r="S2447">
        <v>0</v>
      </c>
      <c r="T2447">
        <v>0</v>
      </c>
      <c r="U2447">
        <v>0</v>
      </c>
      <c r="V2447">
        <v>5068</v>
      </c>
      <c r="W2447">
        <v>37719</v>
      </c>
      <c r="X2447">
        <v>30</v>
      </c>
      <c r="Y2447">
        <f t="shared" si="38"/>
        <v>37719</v>
      </c>
      <c r="Z2447" t="str">
        <f>IF(ISNUMBER(SEARCH("Adjustment",$C2447)),"excluded",IF($H2447="Behind the Meter","excluded",IF(NOT(OR($E2447="Bundled",$E2447="Energy")),"excluded",IF(OR($H2447="Retail Power Marketer",$H2447="Community Choice Aggregator",$E2447="Energy"),"procurement",IF(OR($H2447="Municipal",$H2447="Cooperative",$H2447="Federal",$H2447="State",$H2447="Political Subdivision"),"cost_service",IF($H2447="Investor Owned",IF(AND(COUNTIF(Parameters!$A$4:$A$33,$G2447)&gt;0,COUNTIF(Parameters!$B$4:$B$33,$B2447)=0),"procurement","cost_service"),"unclassified"))))))</f>
        <v>procurement</v>
      </c>
    </row>
    <row r="2448" spans="1:26" x14ac:dyDescent="0.25">
      <c r="A2448">
        <v>2024</v>
      </c>
      <c r="B2448">
        <v>63356</v>
      </c>
      <c r="C2448" t="s">
        <v>1638</v>
      </c>
      <c r="D2448" t="s">
        <v>99</v>
      </c>
      <c r="E2448" t="s">
        <v>100</v>
      </c>
      <c r="F2448" t="s">
        <v>86</v>
      </c>
      <c r="G2448" t="s">
        <v>49</v>
      </c>
      <c r="H2448" t="s">
        <v>101</v>
      </c>
      <c r="I2448" t="s">
        <v>92</v>
      </c>
      <c r="J2448">
        <v>0</v>
      </c>
      <c r="K2448">
        <v>0</v>
      </c>
      <c r="L2448">
        <v>0</v>
      </c>
      <c r="M2448">
        <v>18117</v>
      </c>
      <c r="N2448">
        <v>177697</v>
      </c>
      <c r="O2448">
        <v>180</v>
      </c>
      <c r="P2448">
        <v>0</v>
      </c>
      <c r="Q2448">
        <v>0</v>
      </c>
      <c r="R2448">
        <v>0</v>
      </c>
      <c r="S2448">
        <v>0</v>
      </c>
      <c r="T2448">
        <v>0</v>
      </c>
      <c r="U2448">
        <v>0</v>
      </c>
      <c r="V2448">
        <v>18117</v>
      </c>
      <c r="W2448">
        <v>177697</v>
      </c>
      <c r="X2448">
        <v>180</v>
      </c>
      <c r="Y2448">
        <f t="shared" si="38"/>
        <v>177697</v>
      </c>
      <c r="Z2448" t="str">
        <f>IF(ISNUMBER(SEARCH("Adjustment",$C2448)),"excluded",IF($H2448="Behind the Meter","excluded",IF(NOT(OR($E2448="Bundled",$E2448="Energy")),"excluded",IF(OR($H2448="Retail Power Marketer",$H2448="Community Choice Aggregator",$E2448="Energy"),"procurement",IF(OR($H2448="Municipal",$H2448="Cooperative",$H2448="Federal",$H2448="State",$H2448="Political Subdivision"),"cost_service",IF($H2448="Investor Owned",IF(AND(COUNTIF(Parameters!$A$4:$A$33,$G2448)&gt;0,COUNTIF(Parameters!$B$4:$B$33,$B2448)=0),"procurement","cost_service"),"unclassified"))))))</f>
        <v>procurement</v>
      </c>
    </row>
    <row r="2449" spans="1:26" x14ac:dyDescent="0.25">
      <c r="A2449">
        <v>2024</v>
      </c>
      <c r="B2449">
        <v>63356</v>
      </c>
      <c r="C2449" t="s">
        <v>1638</v>
      </c>
      <c r="D2449" t="s">
        <v>99</v>
      </c>
      <c r="E2449" t="s">
        <v>100</v>
      </c>
      <c r="F2449" t="s">
        <v>86</v>
      </c>
      <c r="G2449" t="s">
        <v>52</v>
      </c>
      <c r="H2449" t="s">
        <v>101</v>
      </c>
      <c r="I2449" t="s">
        <v>92</v>
      </c>
      <c r="J2449">
        <v>0</v>
      </c>
      <c r="K2449">
        <v>0</v>
      </c>
      <c r="L2449">
        <v>0</v>
      </c>
      <c r="M2449">
        <v>38688</v>
      </c>
      <c r="N2449">
        <v>325599</v>
      </c>
      <c r="O2449">
        <v>242</v>
      </c>
      <c r="P2449">
        <v>0</v>
      </c>
      <c r="Q2449">
        <v>0</v>
      </c>
      <c r="R2449">
        <v>0</v>
      </c>
      <c r="S2449">
        <v>0</v>
      </c>
      <c r="T2449">
        <v>0</v>
      </c>
      <c r="U2449">
        <v>0</v>
      </c>
      <c r="V2449">
        <v>38688</v>
      </c>
      <c r="W2449">
        <v>325599</v>
      </c>
      <c r="X2449">
        <v>242</v>
      </c>
      <c r="Y2449">
        <f t="shared" si="38"/>
        <v>325599</v>
      </c>
      <c r="Z2449" t="str">
        <f>IF(ISNUMBER(SEARCH("Adjustment",$C2449)),"excluded",IF($H2449="Behind the Meter","excluded",IF(NOT(OR($E2449="Bundled",$E2449="Energy")),"excluded",IF(OR($H2449="Retail Power Marketer",$H2449="Community Choice Aggregator",$E2449="Energy"),"procurement",IF(OR($H2449="Municipal",$H2449="Cooperative",$H2449="Federal",$H2449="State",$H2449="Political Subdivision"),"cost_service",IF($H2449="Investor Owned",IF(AND(COUNTIF(Parameters!$A$4:$A$33,$G2449)&gt;0,COUNTIF(Parameters!$B$4:$B$33,$B2449)=0),"procurement","cost_service"),"unclassified"))))))</f>
        <v>procurement</v>
      </c>
    </row>
    <row r="2450" spans="1:26" x14ac:dyDescent="0.25">
      <c r="A2450">
        <v>2024</v>
      </c>
      <c r="B2450">
        <v>63356</v>
      </c>
      <c r="C2450" t="s">
        <v>1638</v>
      </c>
      <c r="D2450" t="s">
        <v>99</v>
      </c>
      <c r="E2450" t="s">
        <v>100</v>
      </c>
      <c r="F2450" t="s">
        <v>86</v>
      </c>
      <c r="G2450" t="s">
        <v>53</v>
      </c>
      <c r="H2450" t="s">
        <v>101</v>
      </c>
      <c r="I2450" t="s">
        <v>102</v>
      </c>
      <c r="J2450">
        <v>0</v>
      </c>
      <c r="K2450">
        <v>0</v>
      </c>
      <c r="L2450">
        <v>0</v>
      </c>
      <c r="M2450">
        <v>102612</v>
      </c>
      <c r="N2450">
        <v>904679</v>
      </c>
      <c r="O2450">
        <v>1302</v>
      </c>
      <c r="P2450">
        <v>0</v>
      </c>
      <c r="Q2450">
        <v>0</v>
      </c>
      <c r="R2450">
        <v>0</v>
      </c>
      <c r="S2450">
        <v>0</v>
      </c>
      <c r="T2450">
        <v>0</v>
      </c>
      <c r="U2450">
        <v>0</v>
      </c>
      <c r="V2450">
        <v>102612</v>
      </c>
      <c r="W2450">
        <v>904679</v>
      </c>
      <c r="X2450">
        <v>1302</v>
      </c>
      <c r="Y2450">
        <f t="shared" si="38"/>
        <v>904679</v>
      </c>
      <c r="Z2450" t="str">
        <f>IF(ISNUMBER(SEARCH("Adjustment",$C2450)),"excluded",IF($H2450="Behind the Meter","excluded",IF(NOT(OR($E2450="Bundled",$E2450="Energy")),"excluded",IF(OR($H2450="Retail Power Marketer",$H2450="Community Choice Aggregator",$E2450="Energy"),"procurement",IF(OR($H2450="Municipal",$H2450="Cooperative",$H2450="Federal",$H2450="State",$H2450="Political Subdivision"),"cost_service",IF($H2450="Investor Owned",IF(AND(COUNTIF(Parameters!$A$4:$A$33,$G2450)&gt;0,COUNTIF(Parameters!$B$4:$B$33,$B2450)=0),"procurement","cost_service"),"unclassified"))))))</f>
        <v>procurement</v>
      </c>
    </row>
    <row r="2451" spans="1:26" x14ac:dyDescent="0.25">
      <c r="A2451">
        <v>2024</v>
      </c>
      <c r="B2451">
        <v>63356</v>
      </c>
      <c r="C2451" t="s">
        <v>1638</v>
      </c>
      <c r="D2451" t="s">
        <v>99</v>
      </c>
      <c r="E2451" t="s">
        <v>100</v>
      </c>
      <c r="F2451" t="s">
        <v>86</v>
      </c>
      <c r="G2451" t="s">
        <v>54</v>
      </c>
      <c r="H2451" t="s">
        <v>101</v>
      </c>
      <c r="I2451" t="s">
        <v>92</v>
      </c>
      <c r="J2451">
        <v>0</v>
      </c>
      <c r="K2451">
        <v>0</v>
      </c>
      <c r="L2451">
        <v>0</v>
      </c>
      <c r="M2451">
        <v>30760</v>
      </c>
      <c r="N2451">
        <v>506075</v>
      </c>
      <c r="O2451">
        <v>402</v>
      </c>
      <c r="P2451">
        <v>0</v>
      </c>
      <c r="Q2451">
        <v>0</v>
      </c>
      <c r="R2451">
        <v>0</v>
      </c>
      <c r="S2451">
        <v>0</v>
      </c>
      <c r="T2451">
        <v>0</v>
      </c>
      <c r="U2451">
        <v>0</v>
      </c>
      <c r="V2451">
        <v>30760</v>
      </c>
      <c r="W2451">
        <v>506075</v>
      </c>
      <c r="X2451">
        <v>402</v>
      </c>
      <c r="Y2451">
        <f t="shared" si="38"/>
        <v>506075</v>
      </c>
      <c r="Z2451" t="str">
        <f>IF(ISNUMBER(SEARCH("Adjustment",$C2451)),"excluded",IF($H2451="Behind the Meter","excluded",IF(NOT(OR($E2451="Bundled",$E2451="Energy")),"excluded",IF(OR($H2451="Retail Power Marketer",$H2451="Community Choice Aggregator",$E2451="Energy"),"procurement",IF(OR($H2451="Municipal",$H2451="Cooperative",$H2451="Federal",$H2451="State",$H2451="Political Subdivision"),"cost_service",IF($H2451="Investor Owned",IF(AND(COUNTIF(Parameters!$A$4:$A$33,$G2451)&gt;0,COUNTIF(Parameters!$B$4:$B$33,$B2451)=0),"procurement","cost_service"),"unclassified"))))))</f>
        <v>procurement</v>
      </c>
    </row>
    <row r="2452" spans="1:26" x14ac:dyDescent="0.25">
      <c r="A2452">
        <v>2024</v>
      </c>
      <c r="B2452">
        <v>63356</v>
      </c>
      <c r="C2452" t="s">
        <v>1638</v>
      </c>
      <c r="D2452" t="s">
        <v>99</v>
      </c>
      <c r="E2452" t="s">
        <v>100</v>
      </c>
      <c r="F2452" t="s">
        <v>86</v>
      </c>
      <c r="G2452" t="s">
        <v>55</v>
      </c>
      <c r="H2452" t="s">
        <v>101</v>
      </c>
      <c r="I2452" t="s">
        <v>92</v>
      </c>
      <c r="J2452">
        <v>0</v>
      </c>
      <c r="K2452">
        <v>0</v>
      </c>
      <c r="L2452">
        <v>0</v>
      </c>
      <c r="M2452">
        <v>129068</v>
      </c>
      <c r="N2452">
        <v>1801466</v>
      </c>
      <c r="O2452">
        <v>949</v>
      </c>
      <c r="P2452">
        <v>0</v>
      </c>
      <c r="Q2452">
        <v>0</v>
      </c>
      <c r="R2452">
        <v>0</v>
      </c>
      <c r="S2452">
        <v>0</v>
      </c>
      <c r="T2452">
        <v>0</v>
      </c>
      <c r="U2452">
        <v>0</v>
      </c>
      <c r="V2452">
        <v>129068</v>
      </c>
      <c r="W2452">
        <v>1801466</v>
      </c>
      <c r="X2452">
        <v>949</v>
      </c>
      <c r="Y2452">
        <f t="shared" si="38"/>
        <v>1801466</v>
      </c>
      <c r="Z2452" t="str">
        <f>IF(ISNUMBER(SEARCH("Adjustment",$C2452)),"excluded",IF($H2452="Behind the Meter","excluded",IF(NOT(OR($E2452="Bundled",$E2452="Energy")),"excluded",IF(OR($H2452="Retail Power Marketer",$H2452="Community Choice Aggregator",$E2452="Energy"),"procurement",IF(OR($H2452="Municipal",$H2452="Cooperative",$H2452="Federal",$H2452="State",$H2452="Political Subdivision"),"cost_service",IF($H2452="Investor Owned",IF(AND(COUNTIF(Parameters!$A$4:$A$33,$G2452)&gt;0,COUNTIF(Parameters!$B$4:$B$33,$B2452)=0),"procurement","cost_service"),"unclassified"))))))</f>
        <v>procurement</v>
      </c>
    </row>
    <row r="2453" spans="1:26" x14ac:dyDescent="0.25">
      <c r="A2453">
        <v>2024</v>
      </c>
      <c r="B2453">
        <v>63356</v>
      </c>
      <c r="C2453" t="s">
        <v>1638</v>
      </c>
      <c r="D2453" t="s">
        <v>99</v>
      </c>
      <c r="E2453" t="s">
        <v>100</v>
      </c>
      <c r="F2453" t="s">
        <v>86</v>
      </c>
      <c r="G2453" t="s">
        <v>56</v>
      </c>
      <c r="H2453" t="s">
        <v>101</v>
      </c>
      <c r="I2453" t="s">
        <v>189</v>
      </c>
      <c r="J2453" t="s">
        <v>97</v>
      </c>
      <c r="K2453" t="s">
        <v>97</v>
      </c>
      <c r="L2453" t="s">
        <v>97</v>
      </c>
      <c r="M2453">
        <v>12</v>
      </c>
      <c r="N2453">
        <v>124</v>
      </c>
      <c r="O2453">
        <v>3</v>
      </c>
      <c r="P2453" t="s">
        <v>97</v>
      </c>
      <c r="Q2453" t="s">
        <v>97</v>
      </c>
      <c r="R2453" t="s">
        <v>97</v>
      </c>
      <c r="S2453" t="s">
        <v>97</v>
      </c>
      <c r="T2453" t="s">
        <v>97</v>
      </c>
      <c r="U2453" t="s">
        <v>97</v>
      </c>
      <c r="V2453">
        <v>12</v>
      </c>
      <c r="W2453">
        <v>124</v>
      </c>
      <c r="X2453">
        <v>3</v>
      </c>
      <c r="Y2453">
        <f t="shared" si="38"/>
        <v>124</v>
      </c>
      <c r="Z2453" t="str">
        <f>IF(ISNUMBER(SEARCH("Adjustment",$C2453)),"excluded",IF($H2453="Behind the Meter","excluded",IF(NOT(OR($E2453="Bundled",$E2453="Energy")),"excluded",IF(OR($H2453="Retail Power Marketer",$H2453="Community Choice Aggregator",$E2453="Energy"),"procurement",IF(OR($H2453="Municipal",$H2453="Cooperative",$H2453="Federal",$H2453="State",$H2453="Political Subdivision"),"cost_service",IF($H2453="Investor Owned",IF(AND(COUNTIF(Parameters!$A$4:$A$33,$G2453)&gt;0,COUNTIF(Parameters!$B$4:$B$33,$B2453)=0),"procurement","cost_service"),"unclassified"))))))</f>
        <v>procurement</v>
      </c>
    </row>
    <row r="2454" spans="1:26" x14ac:dyDescent="0.25">
      <c r="A2454">
        <v>2024</v>
      </c>
      <c r="B2454">
        <v>63364</v>
      </c>
      <c r="C2454" t="s">
        <v>1639</v>
      </c>
      <c r="D2454" t="s">
        <v>99</v>
      </c>
      <c r="E2454" t="s">
        <v>100</v>
      </c>
      <c r="F2454" t="s">
        <v>86</v>
      </c>
      <c r="G2454" t="s">
        <v>53</v>
      </c>
      <c r="H2454" t="s">
        <v>101</v>
      </c>
      <c r="I2454" t="s">
        <v>102</v>
      </c>
      <c r="J2454">
        <v>38.700000000000003</v>
      </c>
      <c r="K2454">
        <v>534</v>
      </c>
      <c r="L2454">
        <v>34</v>
      </c>
      <c r="M2454">
        <v>11787.4</v>
      </c>
      <c r="N2454">
        <v>165630</v>
      </c>
      <c r="O2454">
        <v>1636</v>
      </c>
      <c r="P2454">
        <v>2030.6</v>
      </c>
      <c r="Q2454">
        <v>30724</v>
      </c>
      <c r="R2454">
        <v>114</v>
      </c>
      <c r="S2454">
        <v>0</v>
      </c>
      <c r="T2454">
        <v>0</v>
      </c>
      <c r="U2454">
        <v>0</v>
      </c>
      <c r="V2454">
        <v>13856.7</v>
      </c>
      <c r="W2454">
        <v>196888</v>
      </c>
      <c r="X2454">
        <v>1784</v>
      </c>
      <c r="Y2454">
        <f t="shared" si="38"/>
        <v>196888</v>
      </c>
      <c r="Z2454" t="str">
        <f>IF(ISNUMBER(SEARCH("Adjustment",$C2454)),"excluded",IF($H2454="Behind the Meter","excluded",IF(NOT(OR($E2454="Bundled",$E2454="Energy")),"excluded",IF(OR($H2454="Retail Power Marketer",$H2454="Community Choice Aggregator",$E2454="Energy"),"procurement",IF(OR($H2454="Municipal",$H2454="Cooperative",$H2454="Federal",$H2454="State",$H2454="Political Subdivision"),"cost_service",IF($H2454="Investor Owned",IF(AND(COUNTIF(Parameters!$A$4:$A$33,$G2454)&gt;0,COUNTIF(Parameters!$B$4:$B$33,$B2454)=0),"procurement","cost_service"),"unclassified"))))))</f>
        <v>procurement</v>
      </c>
    </row>
    <row r="2455" spans="1:26" x14ac:dyDescent="0.25">
      <c r="A2455">
        <v>2024</v>
      </c>
      <c r="B2455">
        <v>63367</v>
      </c>
      <c r="C2455" t="s">
        <v>1640</v>
      </c>
      <c r="D2455" t="s">
        <v>99</v>
      </c>
      <c r="E2455" t="s">
        <v>100</v>
      </c>
      <c r="F2455" t="s">
        <v>86</v>
      </c>
      <c r="G2455" t="s">
        <v>115</v>
      </c>
      <c r="H2455" t="s">
        <v>101</v>
      </c>
      <c r="I2455" t="s">
        <v>116</v>
      </c>
      <c r="J2455">
        <v>0</v>
      </c>
      <c r="K2455">
        <v>0</v>
      </c>
      <c r="L2455">
        <v>0</v>
      </c>
      <c r="M2455">
        <v>41760</v>
      </c>
      <c r="N2455">
        <v>724909</v>
      </c>
      <c r="O2455">
        <v>1046</v>
      </c>
      <c r="P2455">
        <v>0</v>
      </c>
      <c r="Q2455">
        <v>0</v>
      </c>
      <c r="R2455">
        <v>0</v>
      </c>
      <c r="S2455">
        <v>0</v>
      </c>
      <c r="T2455">
        <v>0</v>
      </c>
      <c r="U2455">
        <v>0</v>
      </c>
      <c r="V2455">
        <v>41760</v>
      </c>
      <c r="W2455">
        <v>724909</v>
      </c>
      <c r="X2455">
        <v>1046</v>
      </c>
      <c r="Y2455">
        <f t="shared" si="38"/>
        <v>724909</v>
      </c>
      <c r="Z2455" t="str">
        <f>IF(ISNUMBER(SEARCH("Adjustment",$C2455)),"excluded",IF($H2455="Behind the Meter","excluded",IF(NOT(OR($E2455="Bundled",$E2455="Energy")),"excluded",IF(OR($H2455="Retail Power Marketer",$H2455="Community Choice Aggregator",$E2455="Energy"),"procurement",IF(OR($H2455="Municipal",$H2455="Cooperative",$H2455="Federal",$H2455="State",$H2455="Political Subdivision"),"cost_service",IF($H2455="Investor Owned",IF(AND(COUNTIF(Parameters!$A$4:$A$33,$G2455)&gt;0,COUNTIF(Parameters!$B$4:$B$33,$B2455)=0),"procurement","cost_service"),"unclassified"))))))</f>
        <v>procurement</v>
      </c>
    </row>
    <row r="2456" spans="1:26" x14ac:dyDescent="0.25">
      <c r="A2456">
        <v>2024</v>
      </c>
      <c r="B2456">
        <v>63422</v>
      </c>
      <c r="C2456" t="s">
        <v>1641</v>
      </c>
      <c r="D2456" t="s">
        <v>150</v>
      </c>
      <c r="E2456" t="s">
        <v>85</v>
      </c>
      <c r="F2456" t="s">
        <v>86</v>
      </c>
      <c r="G2456" t="s">
        <v>57</v>
      </c>
      <c r="H2456" t="s">
        <v>101</v>
      </c>
      <c r="I2456" t="s">
        <v>151</v>
      </c>
      <c r="J2456">
        <v>12923.5</v>
      </c>
      <c r="K2456">
        <v>91958</v>
      </c>
      <c r="L2456">
        <v>7180</v>
      </c>
      <c r="M2456">
        <v>151.30000000000001</v>
      </c>
      <c r="N2456">
        <v>1063</v>
      </c>
      <c r="O2456">
        <v>34</v>
      </c>
      <c r="P2456">
        <v>0</v>
      </c>
      <c r="Q2456">
        <v>0</v>
      </c>
      <c r="R2456">
        <v>0</v>
      </c>
      <c r="S2456">
        <v>0</v>
      </c>
      <c r="T2456">
        <v>0</v>
      </c>
      <c r="U2456">
        <v>0</v>
      </c>
      <c r="V2456">
        <v>13074.8</v>
      </c>
      <c r="W2456">
        <v>93021</v>
      </c>
      <c r="X2456">
        <v>7214</v>
      </c>
      <c r="Y2456">
        <f t="shared" si="38"/>
        <v>93021</v>
      </c>
      <c r="Z2456" t="str">
        <f>IF(ISNUMBER(SEARCH("Adjustment",$C2456)),"excluded",IF($H2456="Behind the Meter","excluded",IF(NOT(OR($E2456="Bundled",$E2456="Energy")),"excluded",IF(OR($H2456="Retail Power Marketer",$H2456="Community Choice Aggregator",$E2456="Energy"),"procurement",IF(OR($H2456="Municipal",$H2456="Cooperative",$H2456="Federal",$H2456="State",$H2456="Political Subdivision"),"cost_service",IF($H2456="Investor Owned",IF(AND(COUNTIF(Parameters!$A$4:$A$33,$G2456)&gt;0,COUNTIF(Parameters!$B$4:$B$33,$B2456)=0),"procurement","cost_service"),"unclassified"))))))</f>
        <v>procurement</v>
      </c>
    </row>
    <row r="2457" spans="1:26" x14ac:dyDescent="0.25">
      <c r="A2457">
        <v>2024</v>
      </c>
      <c r="B2457">
        <v>63546</v>
      </c>
      <c r="C2457" t="s">
        <v>1642</v>
      </c>
      <c r="D2457" t="s">
        <v>99</v>
      </c>
      <c r="E2457" t="s">
        <v>100</v>
      </c>
      <c r="F2457" t="s">
        <v>86</v>
      </c>
      <c r="G2457" t="s">
        <v>54</v>
      </c>
      <c r="H2457" t="s">
        <v>101</v>
      </c>
      <c r="I2457" t="s">
        <v>92</v>
      </c>
      <c r="J2457">
        <v>6435.8</v>
      </c>
      <c r="K2457">
        <v>65153</v>
      </c>
      <c r="L2457">
        <v>8165</v>
      </c>
      <c r="M2457">
        <v>137.4</v>
      </c>
      <c r="N2457">
        <v>1332</v>
      </c>
      <c r="O2457">
        <v>111</v>
      </c>
      <c r="P2457">
        <v>0</v>
      </c>
      <c r="Q2457">
        <v>0</v>
      </c>
      <c r="R2457">
        <v>0</v>
      </c>
      <c r="S2457">
        <v>0</v>
      </c>
      <c r="T2457">
        <v>0</v>
      </c>
      <c r="U2457">
        <v>0</v>
      </c>
      <c r="V2457">
        <v>6573.2</v>
      </c>
      <c r="W2457">
        <v>66485</v>
      </c>
      <c r="X2457">
        <v>8276</v>
      </c>
      <c r="Y2457">
        <f t="shared" si="38"/>
        <v>66485</v>
      </c>
      <c r="Z2457" t="str">
        <f>IF(ISNUMBER(SEARCH("Adjustment",$C2457)),"excluded",IF($H2457="Behind the Meter","excluded",IF(NOT(OR($E2457="Bundled",$E2457="Energy")),"excluded",IF(OR($H2457="Retail Power Marketer",$H2457="Community Choice Aggregator",$E2457="Energy"),"procurement",IF(OR($H2457="Municipal",$H2457="Cooperative",$H2457="Federal",$H2457="State",$H2457="Political Subdivision"),"cost_service",IF($H2457="Investor Owned",IF(AND(COUNTIF(Parameters!$A$4:$A$33,$G2457)&gt;0,COUNTIF(Parameters!$B$4:$B$33,$B2457)=0),"procurement","cost_service"),"unclassified"))))))</f>
        <v>procurement</v>
      </c>
    </row>
    <row r="2458" spans="1:26" x14ac:dyDescent="0.25">
      <c r="A2458">
        <v>2024</v>
      </c>
      <c r="B2458">
        <v>63570</v>
      </c>
      <c r="C2458" t="s">
        <v>1643</v>
      </c>
      <c r="D2458" t="s">
        <v>99</v>
      </c>
      <c r="E2458" t="s">
        <v>100</v>
      </c>
      <c r="F2458" t="s">
        <v>86</v>
      </c>
      <c r="G2458" t="s">
        <v>53</v>
      </c>
      <c r="H2458" t="s">
        <v>101</v>
      </c>
      <c r="I2458" t="s">
        <v>102</v>
      </c>
      <c r="J2458">
        <v>1646</v>
      </c>
      <c r="K2458">
        <v>13521</v>
      </c>
      <c r="L2458">
        <v>1029</v>
      </c>
      <c r="M2458">
        <v>5092</v>
      </c>
      <c r="N2458">
        <v>35189</v>
      </c>
      <c r="O2458">
        <v>750</v>
      </c>
      <c r="P2458">
        <v>0</v>
      </c>
      <c r="Q2458">
        <v>0</v>
      </c>
      <c r="R2458">
        <v>0</v>
      </c>
      <c r="S2458">
        <v>0</v>
      </c>
      <c r="T2458">
        <v>0</v>
      </c>
      <c r="U2458">
        <v>0</v>
      </c>
      <c r="V2458">
        <v>6738</v>
      </c>
      <c r="W2458">
        <v>48710</v>
      </c>
      <c r="X2458">
        <v>1779</v>
      </c>
      <c r="Y2458">
        <f t="shared" si="38"/>
        <v>48710</v>
      </c>
      <c r="Z2458" t="str">
        <f>IF(ISNUMBER(SEARCH("Adjustment",$C2458)),"excluded",IF($H2458="Behind the Meter","excluded",IF(NOT(OR($E2458="Bundled",$E2458="Energy")),"excluded",IF(OR($H2458="Retail Power Marketer",$H2458="Community Choice Aggregator",$E2458="Energy"),"procurement",IF(OR($H2458="Municipal",$H2458="Cooperative",$H2458="Federal",$H2458="State",$H2458="Political Subdivision"),"cost_service",IF($H2458="Investor Owned",IF(AND(COUNTIF(Parameters!$A$4:$A$33,$G2458)&gt;0,COUNTIF(Parameters!$B$4:$B$33,$B2458)=0),"procurement","cost_service"),"unclassified"))))))</f>
        <v>procurement</v>
      </c>
    </row>
    <row r="2459" spans="1:26" x14ac:dyDescent="0.25">
      <c r="A2459">
        <v>2024</v>
      </c>
      <c r="B2459">
        <v>63695</v>
      </c>
      <c r="C2459" t="s">
        <v>1644</v>
      </c>
      <c r="D2459" t="s">
        <v>99</v>
      </c>
      <c r="E2459" t="s">
        <v>100</v>
      </c>
      <c r="F2459" t="s">
        <v>86</v>
      </c>
      <c r="G2459" t="s">
        <v>42</v>
      </c>
      <c r="H2459" t="s">
        <v>101</v>
      </c>
      <c r="I2459" t="s">
        <v>92</v>
      </c>
      <c r="J2459">
        <v>119</v>
      </c>
      <c r="K2459">
        <v>466</v>
      </c>
      <c r="L2459">
        <v>82</v>
      </c>
      <c r="M2459">
        <v>0</v>
      </c>
      <c r="N2459">
        <v>0</v>
      </c>
      <c r="O2459">
        <v>0</v>
      </c>
      <c r="P2459">
        <v>0</v>
      </c>
      <c r="Q2459">
        <v>0</v>
      </c>
      <c r="R2459">
        <v>0</v>
      </c>
      <c r="S2459">
        <v>0</v>
      </c>
      <c r="T2459">
        <v>0</v>
      </c>
      <c r="U2459">
        <v>0</v>
      </c>
      <c r="V2459">
        <v>119</v>
      </c>
      <c r="W2459">
        <v>466</v>
      </c>
      <c r="X2459">
        <v>82</v>
      </c>
      <c r="Y2459">
        <f t="shared" si="38"/>
        <v>466</v>
      </c>
      <c r="Z2459" t="str">
        <f>IF(ISNUMBER(SEARCH("Adjustment",$C2459)),"excluded",IF($H2459="Behind the Meter","excluded",IF(NOT(OR($E2459="Bundled",$E2459="Energy")),"excluded",IF(OR($H2459="Retail Power Marketer",$H2459="Community Choice Aggregator",$E2459="Energy"),"procurement",IF(OR($H2459="Municipal",$H2459="Cooperative",$H2459="Federal",$H2459="State",$H2459="Political Subdivision"),"cost_service",IF($H2459="Investor Owned",IF(AND(COUNTIF(Parameters!$A$4:$A$33,$G2459)&gt;0,COUNTIF(Parameters!$B$4:$B$33,$B2459)=0),"procurement","cost_service"),"unclassified"))))))</f>
        <v>procurement</v>
      </c>
    </row>
    <row r="2460" spans="1:26" x14ac:dyDescent="0.25">
      <c r="A2460">
        <v>2024</v>
      </c>
      <c r="B2460">
        <v>63695</v>
      </c>
      <c r="C2460" t="s">
        <v>1644</v>
      </c>
      <c r="D2460" t="s">
        <v>99</v>
      </c>
      <c r="E2460" t="s">
        <v>100</v>
      </c>
      <c r="F2460" t="s">
        <v>86</v>
      </c>
      <c r="G2460" t="s">
        <v>44</v>
      </c>
      <c r="H2460" t="s">
        <v>101</v>
      </c>
      <c r="I2460" t="s">
        <v>92</v>
      </c>
      <c r="J2460">
        <v>178.5</v>
      </c>
      <c r="K2460">
        <v>842</v>
      </c>
      <c r="L2460">
        <v>129</v>
      </c>
      <c r="M2460">
        <v>0</v>
      </c>
      <c r="N2460">
        <v>0</v>
      </c>
      <c r="O2460">
        <v>0</v>
      </c>
      <c r="P2460">
        <v>0</v>
      </c>
      <c r="Q2460">
        <v>0</v>
      </c>
      <c r="R2460">
        <v>0</v>
      </c>
      <c r="S2460">
        <v>0</v>
      </c>
      <c r="T2460">
        <v>0</v>
      </c>
      <c r="U2460">
        <v>0</v>
      </c>
      <c r="V2460">
        <v>178.5</v>
      </c>
      <c r="W2460">
        <v>842</v>
      </c>
      <c r="X2460">
        <v>129</v>
      </c>
      <c r="Y2460">
        <f t="shared" si="38"/>
        <v>842</v>
      </c>
      <c r="Z2460" t="str">
        <f>IF(ISNUMBER(SEARCH("Adjustment",$C2460)),"excluded",IF($H2460="Behind the Meter","excluded",IF(NOT(OR($E2460="Bundled",$E2460="Energy")),"excluded",IF(OR($H2460="Retail Power Marketer",$H2460="Community Choice Aggregator",$E2460="Energy"),"procurement",IF(OR($H2460="Municipal",$H2460="Cooperative",$H2460="Federal",$H2460="State",$H2460="Political Subdivision"),"cost_service",IF($H2460="Investor Owned",IF(AND(COUNTIF(Parameters!$A$4:$A$33,$G2460)&gt;0,COUNTIF(Parameters!$B$4:$B$33,$B2460)=0),"procurement","cost_service"),"unclassified"))))))</f>
        <v>procurement</v>
      </c>
    </row>
    <row r="2461" spans="1:26" x14ac:dyDescent="0.25">
      <c r="A2461">
        <v>2024</v>
      </c>
      <c r="B2461">
        <v>63695</v>
      </c>
      <c r="C2461" t="s">
        <v>1644</v>
      </c>
      <c r="D2461" t="s">
        <v>99</v>
      </c>
      <c r="E2461" t="s">
        <v>100</v>
      </c>
      <c r="F2461" t="s">
        <v>86</v>
      </c>
      <c r="G2461" t="s">
        <v>46</v>
      </c>
      <c r="H2461" t="s">
        <v>101</v>
      </c>
      <c r="I2461" t="s">
        <v>92</v>
      </c>
      <c r="J2461">
        <v>5226</v>
      </c>
      <c r="K2461">
        <v>29551</v>
      </c>
      <c r="L2461">
        <v>5099</v>
      </c>
      <c r="M2461">
        <v>0</v>
      </c>
      <c r="N2461">
        <v>0</v>
      </c>
      <c r="O2461">
        <v>0</v>
      </c>
      <c r="P2461">
        <v>0</v>
      </c>
      <c r="Q2461">
        <v>0</v>
      </c>
      <c r="R2461">
        <v>0</v>
      </c>
      <c r="S2461">
        <v>0</v>
      </c>
      <c r="T2461">
        <v>0</v>
      </c>
      <c r="U2461">
        <v>0</v>
      </c>
      <c r="V2461">
        <v>5226</v>
      </c>
      <c r="W2461">
        <v>29551</v>
      </c>
      <c r="X2461">
        <v>5099</v>
      </c>
      <c r="Y2461">
        <f t="shared" si="38"/>
        <v>29551</v>
      </c>
      <c r="Z2461" t="str">
        <f>IF(ISNUMBER(SEARCH("Adjustment",$C2461)),"excluded",IF($H2461="Behind the Meter","excluded",IF(NOT(OR($E2461="Bundled",$E2461="Energy")),"excluded",IF(OR($H2461="Retail Power Marketer",$H2461="Community Choice Aggregator",$E2461="Energy"),"procurement",IF(OR($H2461="Municipal",$H2461="Cooperative",$H2461="Federal",$H2461="State",$H2461="Political Subdivision"),"cost_service",IF($H2461="Investor Owned",IF(AND(COUNTIF(Parameters!$A$4:$A$33,$G2461)&gt;0,COUNTIF(Parameters!$B$4:$B$33,$B2461)=0),"procurement","cost_service"),"unclassified"))))))</f>
        <v>procurement</v>
      </c>
    </row>
    <row r="2462" spans="1:26" x14ac:dyDescent="0.25">
      <c r="A2462">
        <v>2024</v>
      </c>
      <c r="B2462">
        <v>63695</v>
      </c>
      <c r="C2462" t="s">
        <v>1644</v>
      </c>
      <c r="D2462" t="s">
        <v>99</v>
      </c>
      <c r="E2462" t="s">
        <v>100</v>
      </c>
      <c r="F2462" t="s">
        <v>86</v>
      </c>
      <c r="G2462" t="s">
        <v>49</v>
      </c>
      <c r="H2462" t="s">
        <v>101</v>
      </c>
      <c r="I2462" t="s">
        <v>92</v>
      </c>
      <c r="J2462">
        <v>894</v>
      </c>
      <c r="K2462">
        <v>4703</v>
      </c>
      <c r="L2462">
        <v>729</v>
      </c>
      <c r="M2462">
        <v>0</v>
      </c>
      <c r="N2462">
        <v>0</v>
      </c>
      <c r="O2462">
        <v>0</v>
      </c>
      <c r="P2462">
        <v>0</v>
      </c>
      <c r="Q2462">
        <v>0</v>
      </c>
      <c r="R2462">
        <v>0</v>
      </c>
      <c r="S2462">
        <v>0</v>
      </c>
      <c r="T2462">
        <v>0</v>
      </c>
      <c r="U2462">
        <v>0</v>
      </c>
      <c r="V2462">
        <v>894</v>
      </c>
      <c r="W2462">
        <v>4703</v>
      </c>
      <c r="X2462">
        <v>729</v>
      </c>
      <c r="Y2462">
        <f t="shared" si="38"/>
        <v>4703</v>
      </c>
      <c r="Z2462" t="str">
        <f>IF(ISNUMBER(SEARCH("Adjustment",$C2462)),"excluded",IF($H2462="Behind the Meter","excluded",IF(NOT(OR($E2462="Bundled",$E2462="Energy")),"excluded",IF(OR($H2462="Retail Power Marketer",$H2462="Community Choice Aggregator",$E2462="Energy"),"procurement",IF(OR($H2462="Municipal",$H2462="Cooperative",$H2462="Federal",$H2462="State",$H2462="Political Subdivision"),"cost_service",IF($H2462="Investor Owned",IF(AND(COUNTIF(Parameters!$A$4:$A$33,$G2462)&gt;0,COUNTIF(Parameters!$B$4:$B$33,$B2462)=0),"procurement","cost_service"),"unclassified"))))))</f>
        <v>procurement</v>
      </c>
    </row>
    <row r="2463" spans="1:26" x14ac:dyDescent="0.25">
      <c r="A2463">
        <v>2024</v>
      </c>
      <c r="B2463">
        <v>63695</v>
      </c>
      <c r="C2463" t="s">
        <v>1644</v>
      </c>
      <c r="D2463" t="s">
        <v>99</v>
      </c>
      <c r="E2463" t="s">
        <v>100</v>
      </c>
      <c r="F2463" t="s">
        <v>86</v>
      </c>
      <c r="G2463" t="s">
        <v>52</v>
      </c>
      <c r="H2463" t="s">
        <v>101</v>
      </c>
      <c r="I2463" t="s">
        <v>92</v>
      </c>
      <c r="J2463">
        <v>1254.8</v>
      </c>
      <c r="K2463">
        <v>4614</v>
      </c>
      <c r="L2463">
        <v>976</v>
      </c>
      <c r="M2463">
        <v>9.5</v>
      </c>
      <c r="N2463">
        <v>68</v>
      </c>
      <c r="O2463">
        <v>7</v>
      </c>
      <c r="P2463">
        <v>0</v>
      </c>
      <c r="Q2463">
        <v>0</v>
      </c>
      <c r="R2463">
        <v>0</v>
      </c>
      <c r="S2463">
        <v>0</v>
      </c>
      <c r="T2463">
        <v>0</v>
      </c>
      <c r="U2463">
        <v>0</v>
      </c>
      <c r="V2463">
        <v>1264.3</v>
      </c>
      <c r="W2463">
        <v>4682</v>
      </c>
      <c r="X2463">
        <v>983</v>
      </c>
      <c r="Y2463">
        <f t="shared" si="38"/>
        <v>4682</v>
      </c>
      <c r="Z2463" t="str">
        <f>IF(ISNUMBER(SEARCH("Adjustment",$C2463)),"excluded",IF($H2463="Behind the Meter","excluded",IF(NOT(OR($E2463="Bundled",$E2463="Energy")),"excluded",IF(OR($H2463="Retail Power Marketer",$H2463="Community Choice Aggregator",$E2463="Energy"),"procurement",IF(OR($H2463="Municipal",$H2463="Cooperative",$H2463="Federal",$H2463="State",$H2463="Political Subdivision"),"cost_service",IF($H2463="Investor Owned",IF(AND(COUNTIF(Parameters!$A$4:$A$33,$G2463)&gt;0,COUNTIF(Parameters!$B$4:$B$33,$B2463)=0),"procurement","cost_service"),"unclassified"))))))</f>
        <v>procurement</v>
      </c>
    </row>
    <row r="2464" spans="1:26" x14ac:dyDescent="0.25">
      <c r="A2464">
        <v>2024</v>
      </c>
      <c r="B2464">
        <v>63695</v>
      </c>
      <c r="C2464" t="s">
        <v>1644</v>
      </c>
      <c r="D2464" t="s">
        <v>99</v>
      </c>
      <c r="E2464" t="s">
        <v>100</v>
      </c>
      <c r="F2464" t="s">
        <v>86</v>
      </c>
      <c r="G2464" t="s">
        <v>54</v>
      </c>
      <c r="H2464" t="s">
        <v>101</v>
      </c>
      <c r="I2464" t="s">
        <v>92</v>
      </c>
      <c r="J2464">
        <v>76.900000000000006</v>
      </c>
      <c r="K2464">
        <v>471</v>
      </c>
      <c r="L2464">
        <v>662</v>
      </c>
      <c r="M2464">
        <v>0</v>
      </c>
      <c r="N2464">
        <v>0</v>
      </c>
      <c r="O2464">
        <v>0</v>
      </c>
      <c r="P2464">
        <v>0</v>
      </c>
      <c r="Q2464">
        <v>0</v>
      </c>
      <c r="R2464">
        <v>0</v>
      </c>
      <c r="S2464">
        <v>0</v>
      </c>
      <c r="T2464">
        <v>0</v>
      </c>
      <c r="U2464">
        <v>0</v>
      </c>
      <c r="V2464">
        <v>76.900000000000006</v>
      </c>
      <c r="W2464">
        <v>471</v>
      </c>
      <c r="X2464">
        <v>662</v>
      </c>
      <c r="Y2464">
        <f t="shared" si="38"/>
        <v>471</v>
      </c>
      <c r="Z2464" t="str">
        <f>IF(ISNUMBER(SEARCH("Adjustment",$C2464)),"excluded",IF($H2464="Behind the Meter","excluded",IF(NOT(OR($E2464="Bundled",$E2464="Energy")),"excluded",IF(OR($H2464="Retail Power Marketer",$H2464="Community Choice Aggregator",$E2464="Energy"),"procurement",IF(OR($H2464="Municipal",$H2464="Cooperative",$H2464="Federal",$H2464="State",$H2464="Political Subdivision"),"cost_service",IF($H2464="Investor Owned",IF(AND(COUNTIF(Parameters!$A$4:$A$33,$G2464)&gt;0,COUNTIF(Parameters!$B$4:$B$33,$B2464)=0),"procurement","cost_service"),"unclassified"))))))</f>
        <v>procurement</v>
      </c>
    </row>
    <row r="2465" spans="1:26" x14ac:dyDescent="0.25">
      <c r="A2465">
        <v>2024</v>
      </c>
      <c r="B2465">
        <v>63695</v>
      </c>
      <c r="C2465" t="s">
        <v>1644</v>
      </c>
      <c r="D2465" t="s">
        <v>99</v>
      </c>
      <c r="E2465" t="s">
        <v>100</v>
      </c>
      <c r="F2465" t="s">
        <v>86</v>
      </c>
      <c r="G2465" t="s">
        <v>55</v>
      </c>
      <c r="H2465" t="s">
        <v>101</v>
      </c>
      <c r="I2465" t="s">
        <v>92</v>
      </c>
      <c r="J2465">
        <v>2502.5</v>
      </c>
      <c r="K2465">
        <v>10932</v>
      </c>
      <c r="L2465">
        <v>1818</v>
      </c>
      <c r="M2465">
        <v>4.5999999999999996</v>
      </c>
      <c r="N2465">
        <v>36</v>
      </c>
      <c r="O2465">
        <v>2</v>
      </c>
      <c r="P2465">
        <v>0</v>
      </c>
      <c r="Q2465">
        <v>0</v>
      </c>
      <c r="R2465">
        <v>0</v>
      </c>
      <c r="S2465">
        <v>0</v>
      </c>
      <c r="T2465">
        <v>0</v>
      </c>
      <c r="U2465">
        <v>0</v>
      </c>
      <c r="V2465">
        <v>2507.1</v>
      </c>
      <c r="W2465">
        <v>10968</v>
      </c>
      <c r="X2465">
        <v>1820</v>
      </c>
      <c r="Y2465">
        <f t="shared" si="38"/>
        <v>10968</v>
      </c>
      <c r="Z2465" t="str">
        <f>IF(ISNUMBER(SEARCH("Adjustment",$C2465)),"excluded",IF($H2465="Behind the Meter","excluded",IF(NOT(OR($E2465="Bundled",$E2465="Energy")),"excluded",IF(OR($H2465="Retail Power Marketer",$H2465="Community Choice Aggregator",$E2465="Energy"),"procurement",IF(OR($H2465="Municipal",$H2465="Cooperative",$H2465="Federal",$H2465="State",$H2465="Political Subdivision"),"cost_service",IF($H2465="Investor Owned",IF(AND(COUNTIF(Parameters!$A$4:$A$33,$G2465)&gt;0,COUNTIF(Parameters!$B$4:$B$33,$B2465)=0),"procurement","cost_service"),"unclassified"))))))</f>
        <v>procurement</v>
      </c>
    </row>
    <row r="2466" spans="1:26" x14ac:dyDescent="0.25">
      <c r="A2466">
        <v>2024</v>
      </c>
      <c r="B2466">
        <v>63725</v>
      </c>
      <c r="C2466" t="s">
        <v>1645</v>
      </c>
      <c r="D2466" t="s">
        <v>99</v>
      </c>
      <c r="E2466" t="s">
        <v>100</v>
      </c>
      <c r="F2466" t="s">
        <v>86</v>
      </c>
      <c r="G2466" t="s">
        <v>115</v>
      </c>
      <c r="H2466" t="s">
        <v>1464</v>
      </c>
      <c r="I2466" t="s">
        <v>116</v>
      </c>
      <c r="J2466">
        <v>34760</v>
      </c>
      <c r="K2466">
        <v>213516</v>
      </c>
      <c r="L2466">
        <v>36414</v>
      </c>
      <c r="M2466">
        <v>24154</v>
      </c>
      <c r="N2466">
        <v>177964</v>
      </c>
      <c r="O2466">
        <v>5309</v>
      </c>
      <c r="P2466">
        <v>1976</v>
      </c>
      <c r="Q2466">
        <v>16975</v>
      </c>
      <c r="R2466">
        <v>42</v>
      </c>
      <c r="S2466">
        <v>0</v>
      </c>
      <c r="T2466">
        <v>0</v>
      </c>
      <c r="U2466">
        <v>0</v>
      </c>
      <c r="V2466">
        <v>60890</v>
      </c>
      <c r="W2466">
        <v>408455</v>
      </c>
      <c r="X2466">
        <v>41765</v>
      </c>
      <c r="Y2466">
        <f t="shared" si="38"/>
        <v>408455</v>
      </c>
      <c r="Z2466" t="str">
        <f>IF(ISNUMBER(SEARCH("Adjustment",$C2466)),"excluded",IF($H2466="Behind the Meter","excluded",IF(NOT(OR($E2466="Bundled",$E2466="Energy")),"excluded",IF(OR($H2466="Retail Power Marketer",$H2466="Community Choice Aggregator",$E2466="Energy"),"procurement",IF(OR($H2466="Municipal",$H2466="Cooperative",$H2466="Federal",$H2466="State",$H2466="Political Subdivision"),"cost_service",IF($H2466="Investor Owned",IF(AND(COUNTIF(Parameters!$A$4:$A$33,$G2466)&gt;0,COUNTIF(Parameters!$B$4:$B$33,$B2466)=0),"procurement","cost_service"),"unclassified"))))))</f>
        <v>procurement</v>
      </c>
    </row>
    <row r="2467" spans="1:26" x14ac:dyDescent="0.25">
      <c r="A2467">
        <v>2024</v>
      </c>
      <c r="B2467">
        <v>63870</v>
      </c>
      <c r="C2467" t="s">
        <v>1646</v>
      </c>
      <c r="D2467" t="s">
        <v>99</v>
      </c>
      <c r="E2467" t="s">
        <v>100</v>
      </c>
      <c r="F2467" t="s">
        <v>86</v>
      </c>
      <c r="G2467" t="s">
        <v>55</v>
      </c>
      <c r="H2467" t="s">
        <v>101</v>
      </c>
      <c r="I2467" t="s">
        <v>92</v>
      </c>
      <c r="J2467">
        <v>403.6</v>
      </c>
      <c r="K2467">
        <v>2448</v>
      </c>
      <c r="L2467">
        <v>249</v>
      </c>
      <c r="M2467" t="s">
        <v>97</v>
      </c>
      <c r="N2467" t="s">
        <v>97</v>
      </c>
      <c r="O2467" t="s">
        <v>97</v>
      </c>
      <c r="P2467" t="s">
        <v>97</v>
      </c>
      <c r="Q2467" t="s">
        <v>97</v>
      </c>
      <c r="R2467" t="s">
        <v>97</v>
      </c>
      <c r="S2467" t="s">
        <v>97</v>
      </c>
      <c r="T2467" t="s">
        <v>97</v>
      </c>
      <c r="U2467" t="s">
        <v>97</v>
      </c>
      <c r="V2467">
        <v>403.6</v>
      </c>
      <c r="W2467">
        <v>2448</v>
      </c>
      <c r="X2467">
        <v>249</v>
      </c>
      <c r="Y2467">
        <f t="shared" si="38"/>
        <v>2448</v>
      </c>
      <c r="Z2467" t="str">
        <f>IF(ISNUMBER(SEARCH("Adjustment",$C2467)),"excluded",IF($H2467="Behind the Meter","excluded",IF(NOT(OR($E2467="Bundled",$E2467="Energy")),"excluded",IF(OR($H2467="Retail Power Marketer",$H2467="Community Choice Aggregator",$E2467="Energy"),"procurement",IF(OR($H2467="Municipal",$H2467="Cooperative",$H2467="Federal",$H2467="State",$H2467="Political Subdivision"),"cost_service",IF($H2467="Investor Owned",IF(AND(COUNTIF(Parameters!$A$4:$A$33,$G2467)&gt;0,COUNTIF(Parameters!$B$4:$B$33,$B2467)=0),"procurement","cost_service"),"unclassified"))))))</f>
        <v>procurement</v>
      </c>
    </row>
    <row r="2468" spans="1:26" x14ac:dyDescent="0.25">
      <c r="A2468">
        <v>2024</v>
      </c>
      <c r="B2468">
        <v>64011</v>
      </c>
      <c r="C2468" t="s">
        <v>1647</v>
      </c>
      <c r="D2468" t="s">
        <v>150</v>
      </c>
      <c r="E2468" t="s">
        <v>85</v>
      </c>
      <c r="F2468" t="s">
        <v>86</v>
      </c>
      <c r="G2468" t="s">
        <v>57</v>
      </c>
      <c r="H2468" t="s">
        <v>101</v>
      </c>
      <c r="I2468" t="s">
        <v>151</v>
      </c>
      <c r="J2468">
        <v>162524.29999999999</v>
      </c>
      <c r="K2468">
        <v>660084</v>
      </c>
      <c r="L2468">
        <v>99070</v>
      </c>
      <c r="M2468">
        <v>5209.3</v>
      </c>
      <c r="N2468">
        <v>32609</v>
      </c>
      <c r="O2468">
        <v>1099</v>
      </c>
      <c r="P2468">
        <v>0</v>
      </c>
      <c r="Q2468">
        <v>0</v>
      </c>
      <c r="R2468">
        <v>0</v>
      </c>
      <c r="S2468">
        <v>0</v>
      </c>
      <c r="T2468">
        <v>0</v>
      </c>
      <c r="U2468">
        <v>0</v>
      </c>
      <c r="V2468">
        <v>167733.6</v>
      </c>
      <c r="W2468">
        <v>692693</v>
      </c>
      <c r="X2468">
        <v>100169</v>
      </c>
      <c r="Y2468">
        <f t="shared" si="38"/>
        <v>692693</v>
      </c>
      <c r="Z2468" t="str">
        <f>IF(ISNUMBER(SEARCH("Adjustment",$C2468)),"excluded",IF($H2468="Behind the Meter","excluded",IF(NOT(OR($E2468="Bundled",$E2468="Energy")),"excluded",IF(OR($H2468="Retail Power Marketer",$H2468="Community Choice Aggregator",$E2468="Energy"),"procurement",IF(OR($H2468="Municipal",$H2468="Cooperative",$H2468="Federal",$H2468="State",$H2468="Political Subdivision"),"cost_service",IF($H2468="Investor Owned",IF(AND(COUNTIF(Parameters!$A$4:$A$33,$G2468)&gt;0,COUNTIF(Parameters!$B$4:$B$33,$B2468)=0),"procurement","cost_service"),"unclassified"))))))</f>
        <v>procurement</v>
      </c>
    </row>
    <row r="2469" spans="1:26" x14ac:dyDescent="0.25">
      <c r="A2469">
        <v>2024</v>
      </c>
      <c r="B2469">
        <v>64195</v>
      </c>
      <c r="C2469" t="s">
        <v>1648</v>
      </c>
      <c r="D2469" t="s">
        <v>99</v>
      </c>
      <c r="E2469" t="s">
        <v>100</v>
      </c>
      <c r="F2469" t="s">
        <v>86</v>
      </c>
      <c r="G2469" t="s">
        <v>115</v>
      </c>
      <c r="H2469" t="s">
        <v>1464</v>
      </c>
      <c r="I2469" t="s">
        <v>116</v>
      </c>
      <c r="J2469">
        <v>39973.300000000003</v>
      </c>
      <c r="K2469">
        <v>207316</v>
      </c>
      <c r="L2469">
        <v>28095</v>
      </c>
      <c r="M2469">
        <v>25010</v>
      </c>
      <c r="N2469">
        <v>144635</v>
      </c>
      <c r="O2469">
        <v>3970</v>
      </c>
      <c r="P2469">
        <v>3330.4</v>
      </c>
      <c r="Q2469">
        <v>22969</v>
      </c>
      <c r="R2469">
        <v>333</v>
      </c>
      <c r="S2469">
        <v>0</v>
      </c>
      <c r="T2469">
        <v>0</v>
      </c>
      <c r="U2469">
        <v>0</v>
      </c>
      <c r="V2469">
        <v>68313.7</v>
      </c>
      <c r="W2469">
        <v>374920</v>
      </c>
      <c r="X2469">
        <v>32398</v>
      </c>
      <c r="Y2469">
        <f t="shared" si="38"/>
        <v>374920</v>
      </c>
      <c r="Z2469" t="str">
        <f>IF(ISNUMBER(SEARCH("Adjustment",$C2469)),"excluded",IF($H2469="Behind the Meter","excluded",IF(NOT(OR($E2469="Bundled",$E2469="Energy")),"excluded",IF(OR($H2469="Retail Power Marketer",$H2469="Community Choice Aggregator",$E2469="Energy"),"procurement",IF(OR($H2469="Municipal",$H2469="Cooperative",$H2469="Federal",$H2469="State",$H2469="Political Subdivision"),"cost_service",IF($H2469="Investor Owned",IF(AND(COUNTIF(Parameters!$A$4:$A$33,$G2469)&gt;0,COUNTIF(Parameters!$B$4:$B$33,$B2469)=0),"procurement","cost_service"),"unclassified"))))))</f>
        <v>procurement</v>
      </c>
    </row>
    <row r="2470" spans="1:26" x14ac:dyDescent="0.25">
      <c r="A2470">
        <v>2024</v>
      </c>
      <c r="B2470">
        <v>64222</v>
      </c>
      <c r="C2470" t="s">
        <v>1649</v>
      </c>
      <c r="D2470" t="s">
        <v>99</v>
      </c>
      <c r="E2470" t="s">
        <v>100</v>
      </c>
      <c r="F2470" t="s">
        <v>86</v>
      </c>
      <c r="G2470" t="s">
        <v>40</v>
      </c>
      <c r="H2470" t="s">
        <v>101</v>
      </c>
      <c r="I2470" t="s">
        <v>189</v>
      </c>
      <c r="J2470">
        <v>0</v>
      </c>
      <c r="K2470">
        <v>0</v>
      </c>
      <c r="L2470">
        <v>0</v>
      </c>
      <c r="M2470">
        <v>298</v>
      </c>
      <c r="N2470">
        <v>2886</v>
      </c>
      <c r="O2470">
        <v>10</v>
      </c>
      <c r="P2470">
        <v>0</v>
      </c>
      <c r="Q2470">
        <v>0</v>
      </c>
      <c r="R2470">
        <v>0</v>
      </c>
      <c r="S2470">
        <v>0</v>
      </c>
      <c r="T2470">
        <v>0</v>
      </c>
      <c r="U2470">
        <v>0</v>
      </c>
      <c r="V2470">
        <v>298</v>
      </c>
      <c r="W2470">
        <v>2886</v>
      </c>
      <c r="X2470">
        <v>10</v>
      </c>
      <c r="Y2470">
        <f t="shared" si="38"/>
        <v>2886</v>
      </c>
      <c r="Z2470" t="str">
        <f>IF(ISNUMBER(SEARCH("Adjustment",$C2470)),"excluded",IF($H2470="Behind the Meter","excluded",IF(NOT(OR($E2470="Bundled",$E2470="Energy")),"excluded",IF(OR($H2470="Retail Power Marketer",$H2470="Community Choice Aggregator",$E2470="Energy"),"procurement",IF(OR($H2470="Municipal",$H2470="Cooperative",$H2470="Federal",$H2470="State",$H2470="Political Subdivision"),"cost_service",IF($H2470="Investor Owned",IF(AND(COUNTIF(Parameters!$A$4:$A$33,$G2470)&gt;0,COUNTIF(Parameters!$B$4:$B$33,$B2470)=0),"procurement","cost_service"),"unclassified"))))))</f>
        <v>procurement</v>
      </c>
    </row>
    <row r="2471" spans="1:26" x14ac:dyDescent="0.25">
      <c r="A2471">
        <v>2024</v>
      </c>
      <c r="B2471">
        <v>64222</v>
      </c>
      <c r="C2471" t="s">
        <v>1649</v>
      </c>
      <c r="D2471" t="s">
        <v>99</v>
      </c>
      <c r="E2471" t="s">
        <v>100</v>
      </c>
      <c r="F2471" t="s">
        <v>86</v>
      </c>
      <c r="G2471" t="s">
        <v>42</v>
      </c>
      <c r="H2471" t="s">
        <v>101</v>
      </c>
      <c r="I2471" t="s">
        <v>92</v>
      </c>
      <c r="J2471">
        <v>0</v>
      </c>
      <c r="K2471">
        <v>0</v>
      </c>
      <c r="L2471">
        <v>0</v>
      </c>
      <c r="M2471">
        <v>2314</v>
      </c>
      <c r="N2471">
        <v>20930</v>
      </c>
      <c r="O2471">
        <v>8</v>
      </c>
      <c r="P2471">
        <v>0</v>
      </c>
      <c r="Q2471">
        <v>0</v>
      </c>
      <c r="R2471">
        <v>0</v>
      </c>
      <c r="S2471">
        <v>0</v>
      </c>
      <c r="T2471">
        <v>0</v>
      </c>
      <c r="U2471">
        <v>0</v>
      </c>
      <c r="V2471">
        <v>2314</v>
      </c>
      <c r="W2471">
        <v>20930</v>
      </c>
      <c r="X2471">
        <v>8</v>
      </c>
      <c r="Y2471">
        <f t="shared" si="38"/>
        <v>20930</v>
      </c>
      <c r="Z2471" t="str">
        <f>IF(ISNUMBER(SEARCH("Adjustment",$C2471)),"excluded",IF($H2471="Behind the Meter","excluded",IF(NOT(OR($E2471="Bundled",$E2471="Energy")),"excluded",IF(OR($H2471="Retail Power Marketer",$H2471="Community Choice Aggregator",$E2471="Energy"),"procurement",IF(OR($H2471="Municipal",$H2471="Cooperative",$H2471="Federal",$H2471="State",$H2471="Political Subdivision"),"cost_service",IF($H2471="Investor Owned",IF(AND(COUNTIF(Parameters!$A$4:$A$33,$G2471)&gt;0,COUNTIF(Parameters!$B$4:$B$33,$B2471)=0),"procurement","cost_service"),"unclassified"))))))</f>
        <v>procurement</v>
      </c>
    </row>
    <row r="2472" spans="1:26" x14ac:dyDescent="0.25">
      <c r="A2472">
        <v>2024</v>
      </c>
      <c r="B2472">
        <v>64222</v>
      </c>
      <c r="C2472" t="s">
        <v>1649</v>
      </c>
      <c r="D2472" t="s">
        <v>99</v>
      </c>
      <c r="E2472" t="s">
        <v>100</v>
      </c>
      <c r="F2472" t="s">
        <v>86</v>
      </c>
      <c r="G2472" t="s">
        <v>46</v>
      </c>
      <c r="H2472" t="s">
        <v>101</v>
      </c>
      <c r="I2472" t="s">
        <v>92</v>
      </c>
      <c r="J2472">
        <v>0</v>
      </c>
      <c r="K2472">
        <v>0</v>
      </c>
      <c r="L2472">
        <v>0</v>
      </c>
      <c r="M2472">
        <v>7013</v>
      </c>
      <c r="N2472">
        <v>105141</v>
      </c>
      <c r="O2472">
        <v>83</v>
      </c>
      <c r="P2472">
        <v>0</v>
      </c>
      <c r="Q2472">
        <v>0</v>
      </c>
      <c r="R2472">
        <v>0</v>
      </c>
      <c r="S2472">
        <v>0</v>
      </c>
      <c r="T2472">
        <v>0</v>
      </c>
      <c r="U2472">
        <v>0</v>
      </c>
      <c r="V2472">
        <v>7013</v>
      </c>
      <c r="W2472">
        <v>105141</v>
      </c>
      <c r="X2472">
        <v>83</v>
      </c>
      <c r="Y2472">
        <f t="shared" si="38"/>
        <v>105141</v>
      </c>
      <c r="Z2472" t="str">
        <f>IF(ISNUMBER(SEARCH("Adjustment",$C2472)),"excluded",IF($H2472="Behind the Meter","excluded",IF(NOT(OR($E2472="Bundled",$E2472="Energy")),"excluded",IF(OR($H2472="Retail Power Marketer",$H2472="Community Choice Aggregator",$E2472="Energy"),"procurement",IF(OR($H2472="Municipal",$H2472="Cooperative",$H2472="Federal",$H2472="State",$H2472="Political Subdivision"),"cost_service",IF($H2472="Investor Owned",IF(AND(COUNTIF(Parameters!$A$4:$A$33,$G2472)&gt;0,COUNTIF(Parameters!$B$4:$B$33,$B2472)=0),"procurement","cost_service"),"unclassified"))))))</f>
        <v>procurement</v>
      </c>
    </row>
    <row r="2473" spans="1:26" x14ac:dyDescent="0.25">
      <c r="A2473">
        <v>2024</v>
      </c>
      <c r="B2473">
        <v>64222</v>
      </c>
      <c r="C2473" t="s">
        <v>1649</v>
      </c>
      <c r="D2473" t="s">
        <v>99</v>
      </c>
      <c r="E2473" t="s">
        <v>100</v>
      </c>
      <c r="F2473" t="s">
        <v>86</v>
      </c>
      <c r="G2473" t="s">
        <v>48</v>
      </c>
      <c r="H2473" t="s">
        <v>101</v>
      </c>
      <c r="I2473" t="s">
        <v>189</v>
      </c>
      <c r="J2473">
        <v>0</v>
      </c>
      <c r="K2473">
        <v>0</v>
      </c>
      <c r="L2473">
        <v>0</v>
      </c>
      <c r="M2473">
        <v>2822</v>
      </c>
      <c r="N2473">
        <v>18665</v>
      </c>
      <c r="O2473">
        <v>7</v>
      </c>
      <c r="P2473">
        <v>0</v>
      </c>
      <c r="Q2473">
        <v>0</v>
      </c>
      <c r="R2473">
        <v>0</v>
      </c>
      <c r="S2473">
        <v>0</v>
      </c>
      <c r="T2473">
        <v>0</v>
      </c>
      <c r="U2473">
        <v>0</v>
      </c>
      <c r="V2473">
        <v>2822</v>
      </c>
      <c r="W2473">
        <v>18665</v>
      </c>
      <c r="X2473">
        <v>7</v>
      </c>
      <c r="Y2473">
        <f t="shared" si="38"/>
        <v>18665</v>
      </c>
      <c r="Z2473" t="str">
        <f>IF(ISNUMBER(SEARCH("Adjustment",$C2473)),"excluded",IF($H2473="Behind the Meter","excluded",IF(NOT(OR($E2473="Bundled",$E2473="Energy")),"excluded",IF(OR($H2473="Retail Power Marketer",$H2473="Community Choice Aggregator",$E2473="Energy"),"procurement",IF(OR($H2473="Municipal",$H2473="Cooperative",$H2473="Federal",$H2473="State",$H2473="Political Subdivision"),"cost_service",IF($H2473="Investor Owned",IF(AND(COUNTIF(Parameters!$A$4:$A$33,$G2473)&gt;0,COUNTIF(Parameters!$B$4:$B$33,$B2473)=0),"procurement","cost_service"),"unclassified"))))))</f>
        <v>procurement</v>
      </c>
    </row>
    <row r="2474" spans="1:26" x14ac:dyDescent="0.25">
      <c r="A2474">
        <v>2024</v>
      </c>
      <c r="B2474">
        <v>64222</v>
      </c>
      <c r="C2474" t="s">
        <v>1649</v>
      </c>
      <c r="D2474" t="s">
        <v>99</v>
      </c>
      <c r="E2474" t="s">
        <v>100</v>
      </c>
      <c r="F2474" t="s">
        <v>86</v>
      </c>
      <c r="G2474" t="s">
        <v>52</v>
      </c>
      <c r="H2474" t="s">
        <v>101</v>
      </c>
      <c r="I2474" t="s">
        <v>102</v>
      </c>
      <c r="J2474">
        <v>0</v>
      </c>
      <c r="K2474">
        <v>0</v>
      </c>
      <c r="L2474">
        <v>0</v>
      </c>
      <c r="M2474">
        <v>4897</v>
      </c>
      <c r="N2474">
        <v>48728</v>
      </c>
      <c r="O2474">
        <v>35</v>
      </c>
      <c r="P2474">
        <v>0</v>
      </c>
      <c r="Q2474">
        <v>0</v>
      </c>
      <c r="R2474">
        <v>0</v>
      </c>
      <c r="S2474">
        <v>0</v>
      </c>
      <c r="T2474">
        <v>0</v>
      </c>
      <c r="U2474">
        <v>0</v>
      </c>
      <c r="V2474">
        <v>4897</v>
      </c>
      <c r="W2474">
        <v>48728</v>
      </c>
      <c r="X2474">
        <v>35</v>
      </c>
      <c r="Y2474">
        <f t="shared" si="38"/>
        <v>48728</v>
      </c>
      <c r="Z2474" t="str">
        <f>IF(ISNUMBER(SEARCH("Adjustment",$C2474)),"excluded",IF($H2474="Behind the Meter","excluded",IF(NOT(OR($E2474="Bundled",$E2474="Energy")),"excluded",IF(OR($H2474="Retail Power Marketer",$H2474="Community Choice Aggregator",$E2474="Energy"),"procurement",IF(OR($H2474="Municipal",$H2474="Cooperative",$H2474="Federal",$H2474="State",$H2474="Political Subdivision"),"cost_service",IF($H2474="Investor Owned",IF(AND(COUNTIF(Parameters!$A$4:$A$33,$G2474)&gt;0,COUNTIF(Parameters!$B$4:$B$33,$B2474)=0),"procurement","cost_service"),"unclassified"))))))</f>
        <v>procurement</v>
      </c>
    </row>
    <row r="2475" spans="1:26" x14ac:dyDescent="0.25">
      <c r="A2475">
        <v>2024</v>
      </c>
      <c r="B2475">
        <v>64222</v>
      </c>
      <c r="C2475" t="s">
        <v>1649</v>
      </c>
      <c r="D2475" t="s">
        <v>99</v>
      </c>
      <c r="E2475" t="s">
        <v>100</v>
      </c>
      <c r="F2475" t="s">
        <v>86</v>
      </c>
      <c r="G2475" t="s">
        <v>53</v>
      </c>
      <c r="H2475" t="s">
        <v>101</v>
      </c>
      <c r="I2475" t="s">
        <v>102</v>
      </c>
      <c r="J2475">
        <v>0</v>
      </c>
      <c r="K2475">
        <v>0</v>
      </c>
      <c r="L2475">
        <v>0</v>
      </c>
      <c r="M2475">
        <v>9030</v>
      </c>
      <c r="N2475">
        <v>75399</v>
      </c>
      <c r="O2475">
        <v>76</v>
      </c>
      <c r="P2475">
        <v>0</v>
      </c>
      <c r="Q2475">
        <v>0</v>
      </c>
      <c r="R2475">
        <v>0</v>
      </c>
      <c r="S2475">
        <v>0</v>
      </c>
      <c r="T2475">
        <v>0</v>
      </c>
      <c r="U2475">
        <v>0</v>
      </c>
      <c r="V2475">
        <v>9030</v>
      </c>
      <c r="W2475">
        <v>75399</v>
      </c>
      <c r="X2475">
        <v>76</v>
      </c>
      <c r="Y2475">
        <f t="shared" si="38"/>
        <v>75399</v>
      </c>
      <c r="Z2475" t="str">
        <f>IF(ISNUMBER(SEARCH("Adjustment",$C2475)),"excluded",IF($H2475="Behind the Meter","excluded",IF(NOT(OR($E2475="Bundled",$E2475="Energy")),"excluded",IF(OR($H2475="Retail Power Marketer",$H2475="Community Choice Aggregator",$E2475="Energy"),"procurement",IF(OR($H2475="Municipal",$H2475="Cooperative",$H2475="Federal",$H2475="State",$H2475="Political Subdivision"),"cost_service",IF($H2475="Investor Owned",IF(AND(COUNTIF(Parameters!$A$4:$A$33,$G2475)&gt;0,COUNTIF(Parameters!$B$4:$B$33,$B2475)=0),"procurement","cost_service"),"unclassified"))))))</f>
        <v>procurement</v>
      </c>
    </row>
    <row r="2476" spans="1:26" x14ac:dyDescent="0.25">
      <c r="A2476">
        <v>2024</v>
      </c>
      <c r="B2476">
        <v>64222</v>
      </c>
      <c r="C2476" t="s">
        <v>1649</v>
      </c>
      <c r="D2476" t="s">
        <v>99</v>
      </c>
      <c r="E2476" t="s">
        <v>100</v>
      </c>
      <c r="F2476" t="s">
        <v>86</v>
      </c>
      <c r="G2476" t="s">
        <v>54</v>
      </c>
      <c r="H2476" t="s">
        <v>101</v>
      </c>
      <c r="I2476" t="s">
        <v>92</v>
      </c>
      <c r="J2476">
        <v>0</v>
      </c>
      <c r="K2476">
        <v>0</v>
      </c>
      <c r="L2476">
        <v>0</v>
      </c>
      <c r="M2476">
        <v>3671</v>
      </c>
      <c r="N2476">
        <v>57605</v>
      </c>
      <c r="O2476">
        <v>38</v>
      </c>
      <c r="P2476">
        <v>0</v>
      </c>
      <c r="Q2476">
        <v>0</v>
      </c>
      <c r="R2476">
        <v>0</v>
      </c>
      <c r="S2476">
        <v>0</v>
      </c>
      <c r="T2476">
        <v>0</v>
      </c>
      <c r="U2476">
        <v>0</v>
      </c>
      <c r="V2476">
        <v>3671</v>
      </c>
      <c r="W2476">
        <v>57605</v>
      </c>
      <c r="X2476">
        <v>38</v>
      </c>
      <c r="Y2476">
        <f t="shared" si="38"/>
        <v>57605</v>
      </c>
      <c r="Z2476" t="str">
        <f>IF(ISNUMBER(SEARCH("Adjustment",$C2476)),"excluded",IF($H2476="Behind the Meter","excluded",IF(NOT(OR($E2476="Bundled",$E2476="Energy")),"excluded",IF(OR($H2476="Retail Power Marketer",$H2476="Community Choice Aggregator",$E2476="Energy"),"procurement",IF(OR($H2476="Municipal",$H2476="Cooperative",$H2476="Federal",$H2476="State",$H2476="Political Subdivision"),"cost_service",IF($H2476="Investor Owned",IF(AND(COUNTIF(Parameters!$A$4:$A$33,$G2476)&gt;0,COUNTIF(Parameters!$B$4:$B$33,$B2476)=0),"procurement","cost_service"),"unclassified"))))))</f>
        <v>procurement</v>
      </c>
    </row>
    <row r="2477" spans="1:26" x14ac:dyDescent="0.25">
      <c r="A2477">
        <v>2024</v>
      </c>
      <c r="B2477">
        <v>64222</v>
      </c>
      <c r="C2477" t="s">
        <v>1649</v>
      </c>
      <c r="D2477" t="s">
        <v>99</v>
      </c>
      <c r="E2477" t="s">
        <v>100</v>
      </c>
      <c r="F2477" t="s">
        <v>86</v>
      </c>
      <c r="G2477" t="s">
        <v>55</v>
      </c>
      <c r="H2477" t="s">
        <v>101</v>
      </c>
      <c r="I2477" t="s">
        <v>92</v>
      </c>
      <c r="J2477">
        <v>0</v>
      </c>
      <c r="K2477">
        <v>0</v>
      </c>
      <c r="L2477">
        <v>0</v>
      </c>
      <c r="M2477">
        <v>2992</v>
      </c>
      <c r="N2477">
        <v>39772</v>
      </c>
      <c r="O2477">
        <v>16</v>
      </c>
      <c r="P2477">
        <v>0</v>
      </c>
      <c r="Q2477">
        <v>0</v>
      </c>
      <c r="R2477">
        <v>0</v>
      </c>
      <c r="S2477">
        <v>0</v>
      </c>
      <c r="T2477">
        <v>0</v>
      </c>
      <c r="U2477">
        <v>0</v>
      </c>
      <c r="V2477">
        <v>2992</v>
      </c>
      <c r="W2477">
        <v>39772</v>
      </c>
      <c r="X2477">
        <v>16</v>
      </c>
      <c r="Y2477">
        <f t="shared" si="38"/>
        <v>39772</v>
      </c>
      <c r="Z2477" t="str">
        <f>IF(ISNUMBER(SEARCH("Adjustment",$C2477)),"excluded",IF($H2477="Behind the Meter","excluded",IF(NOT(OR($E2477="Bundled",$E2477="Energy")),"excluded",IF(OR($H2477="Retail Power Marketer",$H2477="Community Choice Aggregator",$E2477="Energy"),"procurement",IF(OR($H2477="Municipal",$H2477="Cooperative",$H2477="Federal",$H2477="State",$H2477="Political Subdivision"),"cost_service",IF($H2477="Investor Owned",IF(AND(COUNTIF(Parameters!$A$4:$A$33,$G2477)&gt;0,COUNTIF(Parameters!$B$4:$B$33,$B2477)=0),"procurement","cost_service"),"unclassified"))))))</f>
        <v>procurement</v>
      </c>
    </row>
    <row r="2478" spans="1:26" x14ac:dyDescent="0.25">
      <c r="A2478">
        <v>2024</v>
      </c>
      <c r="B2478">
        <v>64289</v>
      </c>
      <c r="C2478" t="s">
        <v>1650</v>
      </c>
      <c r="D2478" t="s">
        <v>99</v>
      </c>
      <c r="E2478" t="s">
        <v>100</v>
      </c>
      <c r="F2478" t="s">
        <v>86</v>
      </c>
      <c r="G2478" t="s">
        <v>115</v>
      </c>
      <c r="H2478" t="s">
        <v>1464</v>
      </c>
      <c r="I2478" t="s">
        <v>116</v>
      </c>
      <c r="J2478">
        <v>502883</v>
      </c>
      <c r="K2478">
        <v>3219990</v>
      </c>
      <c r="L2478">
        <v>852720</v>
      </c>
      <c r="M2478">
        <v>643536</v>
      </c>
      <c r="N2478">
        <v>4214163</v>
      </c>
      <c r="O2478">
        <v>86298</v>
      </c>
      <c r="P2478">
        <v>37416</v>
      </c>
      <c r="Q2478">
        <v>273665</v>
      </c>
      <c r="R2478">
        <v>3006</v>
      </c>
      <c r="S2478">
        <v>0</v>
      </c>
      <c r="T2478">
        <v>0</v>
      </c>
      <c r="U2478">
        <v>0</v>
      </c>
      <c r="V2478">
        <v>1183835</v>
      </c>
      <c r="W2478">
        <v>7707818</v>
      </c>
      <c r="X2478">
        <v>942024</v>
      </c>
      <c r="Y2478">
        <f t="shared" si="38"/>
        <v>7707818</v>
      </c>
      <c r="Z2478" t="str">
        <f>IF(ISNUMBER(SEARCH("Adjustment",$C2478)),"excluded",IF($H2478="Behind the Meter","excluded",IF(NOT(OR($E2478="Bundled",$E2478="Energy")),"excluded",IF(OR($H2478="Retail Power Marketer",$H2478="Community Choice Aggregator",$E2478="Energy"),"procurement",IF(OR($H2478="Municipal",$H2478="Cooperative",$H2478="Federal",$H2478="State",$H2478="Political Subdivision"),"cost_service",IF($H2478="Investor Owned",IF(AND(COUNTIF(Parameters!$A$4:$A$33,$G2478)&gt;0,COUNTIF(Parameters!$B$4:$B$33,$B2478)=0),"procurement","cost_service"),"unclassified"))))))</f>
        <v>procurement</v>
      </c>
    </row>
    <row r="2479" spans="1:26" x14ac:dyDescent="0.25">
      <c r="A2479">
        <v>2024</v>
      </c>
      <c r="B2479">
        <v>64312</v>
      </c>
      <c r="C2479" t="s">
        <v>1651</v>
      </c>
      <c r="D2479" t="s">
        <v>150</v>
      </c>
      <c r="E2479" t="s">
        <v>85</v>
      </c>
      <c r="F2479" t="s">
        <v>86</v>
      </c>
      <c r="G2479" t="s">
        <v>57</v>
      </c>
      <c r="H2479" t="s">
        <v>101</v>
      </c>
      <c r="I2479" t="s">
        <v>151</v>
      </c>
      <c r="J2479">
        <v>4851.6000000000004</v>
      </c>
      <c r="K2479">
        <v>42184</v>
      </c>
      <c r="L2479">
        <v>4058</v>
      </c>
      <c r="M2479">
        <v>906.1</v>
      </c>
      <c r="N2479">
        <v>9790</v>
      </c>
      <c r="O2479">
        <v>353</v>
      </c>
      <c r="P2479">
        <v>0</v>
      </c>
      <c r="Q2479">
        <v>0</v>
      </c>
      <c r="R2479">
        <v>0</v>
      </c>
      <c r="S2479">
        <v>0</v>
      </c>
      <c r="T2479">
        <v>0</v>
      </c>
      <c r="U2479">
        <v>0</v>
      </c>
      <c r="V2479">
        <v>5757.7</v>
      </c>
      <c r="W2479">
        <v>51974</v>
      </c>
      <c r="X2479">
        <v>4411</v>
      </c>
      <c r="Y2479">
        <f t="shared" si="38"/>
        <v>51974</v>
      </c>
      <c r="Z2479" t="str">
        <f>IF(ISNUMBER(SEARCH("Adjustment",$C2479)),"excluded",IF($H2479="Behind the Meter","excluded",IF(NOT(OR($E2479="Bundled",$E2479="Energy")),"excluded",IF(OR($H2479="Retail Power Marketer",$H2479="Community Choice Aggregator",$E2479="Energy"),"procurement",IF(OR($H2479="Municipal",$H2479="Cooperative",$H2479="Federal",$H2479="State",$H2479="Political Subdivision"),"cost_service",IF($H2479="Investor Owned",IF(AND(COUNTIF(Parameters!$A$4:$A$33,$G2479)&gt;0,COUNTIF(Parameters!$B$4:$B$33,$B2479)=0),"procurement","cost_service"),"unclassified"))))))</f>
        <v>procurement</v>
      </c>
    </row>
    <row r="2480" spans="1:26" x14ac:dyDescent="0.25">
      <c r="A2480">
        <v>2024</v>
      </c>
      <c r="B2480">
        <v>64314</v>
      </c>
      <c r="C2480" t="s">
        <v>1652</v>
      </c>
      <c r="D2480" t="s">
        <v>99</v>
      </c>
      <c r="E2480" t="s">
        <v>100</v>
      </c>
      <c r="F2480" t="s">
        <v>86</v>
      </c>
      <c r="G2480" t="s">
        <v>115</v>
      </c>
      <c r="H2480" t="s">
        <v>101</v>
      </c>
      <c r="I2480" t="s">
        <v>116</v>
      </c>
      <c r="J2480">
        <v>0</v>
      </c>
      <c r="K2480">
        <v>0</v>
      </c>
      <c r="L2480">
        <v>0</v>
      </c>
      <c r="M2480">
        <v>95422</v>
      </c>
      <c r="N2480">
        <v>635122</v>
      </c>
      <c r="O2480">
        <v>31</v>
      </c>
      <c r="P2480">
        <v>4695</v>
      </c>
      <c r="Q2480">
        <v>30631</v>
      </c>
      <c r="R2480">
        <v>3</v>
      </c>
      <c r="S2480">
        <v>0</v>
      </c>
      <c r="T2480">
        <v>0</v>
      </c>
      <c r="U2480">
        <v>0</v>
      </c>
      <c r="V2480">
        <v>100117</v>
      </c>
      <c r="W2480">
        <v>665753</v>
      </c>
      <c r="X2480">
        <v>34</v>
      </c>
      <c r="Y2480">
        <f t="shared" si="38"/>
        <v>665753</v>
      </c>
      <c r="Z2480" t="str">
        <f>IF(ISNUMBER(SEARCH("Adjustment",$C2480)),"excluded",IF($H2480="Behind the Meter","excluded",IF(NOT(OR($E2480="Bundled",$E2480="Energy")),"excluded",IF(OR($H2480="Retail Power Marketer",$H2480="Community Choice Aggregator",$E2480="Energy"),"procurement",IF(OR($H2480="Municipal",$H2480="Cooperative",$H2480="Federal",$H2480="State",$H2480="Political Subdivision"),"cost_service",IF($H2480="Investor Owned",IF(AND(COUNTIF(Parameters!$A$4:$A$33,$G2480)&gt;0,COUNTIF(Parameters!$B$4:$B$33,$B2480)=0),"procurement","cost_service"),"unclassified"))))))</f>
        <v>procurement</v>
      </c>
    </row>
    <row r="2481" spans="1:26" x14ac:dyDescent="0.25">
      <c r="A2481">
        <v>2024</v>
      </c>
      <c r="B2481">
        <v>64314</v>
      </c>
      <c r="C2481" t="s">
        <v>1652</v>
      </c>
      <c r="D2481" t="s">
        <v>99</v>
      </c>
      <c r="E2481" t="s">
        <v>100</v>
      </c>
      <c r="F2481" t="s">
        <v>86</v>
      </c>
      <c r="G2481" t="s">
        <v>40</v>
      </c>
      <c r="H2481" t="s">
        <v>101</v>
      </c>
      <c r="I2481" t="s">
        <v>189</v>
      </c>
      <c r="J2481">
        <v>0</v>
      </c>
      <c r="K2481">
        <v>0</v>
      </c>
      <c r="L2481">
        <v>0</v>
      </c>
      <c r="M2481">
        <v>72042</v>
      </c>
      <c r="N2481">
        <v>763479</v>
      </c>
      <c r="O2481">
        <v>180</v>
      </c>
      <c r="P2481">
        <v>19393</v>
      </c>
      <c r="Q2481">
        <v>214076</v>
      </c>
      <c r="R2481">
        <v>27</v>
      </c>
      <c r="S2481">
        <v>0</v>
      </c>
      <c r="T2481">
        <v>0</v>
      </c>
      <c r="U2481">
        <v>0</v>
      </c>
      <c r="V2481">
        <v>91435</v>
      </c>
      <c r="W2481">
        <v>977555</v>
      </c>
      <c r="X2481">
        <v>207</v>
      </c>
      <c r="Y2481">
        <f t="shared" si="38"/>
        <v>977555</v>
      </c>
      <c r="Z2481" t="str">
        <f>IF(ISNUMBER(SEARCH("Adjustment",$C2481)),"excluded",IF($H2481="Behind the Meter","excluded",IF(NOT(OR($E2481="Bundled",$E2481="Energy")),"excluded",IF(OR($H2481="Retail Power Marketer",$H2481="Community Choice Aggregator",$E2481="Energy"),"procurement",IF(OR($H2481="Municipal",$H2481="Cooperative",$H2481="Federal",$H2481="State",$H2481="Political Subdivision"),"cost_service",IF($H2481="Investor Owned",IF(AND(COUNTIF(Parameters!$A$4:$A$33,$G2481)&gt;0,COUNTIF(Parameters!$B$4:$B$33,$B2481)=0),"procurement","cost_service"),"unclassified"))))))</f>
        <v>procurement</v>
      </c>
    </row>
    <row r="2482" spans="1:26" x14ac:dyDescent="0.25">
      <c r="A2482">
        <v>2024</v>
      </c>
      <c r="B2482">
        <v>64314</v>
      </c>
      <c r="C2482" t="s">
        <v>1652</v>
      </c>
      <c r="D2482" t="s">
        <v>99</v>
      </c>
      <c r="E2482" t="s">
        <v>100</v>
      </c>
      <c r="F2482" t="s">
        <v>86</v>
      </c>
      <c r="G2482" t="s">
        <v>42</v>
      </c>
      <c r="H2482" t="s">
        <v>101</v>
      </c>
      <c r="I2482" t="s">
        <v>92</v>
      </c>
      <c r="J2482">
        <v>0</v>
      </c>
      <c r="K2482">
        <v>0</v>
      </c>
      <c r="L2482">
        <v>0</v>
      </c>
      <c r="M2482">
        <v>9410</v>
      </c>
      <c r="N2482">
        <v>84795</v>
      </c>
      <c r="O2482">
        <v>20</v>
      </c>
      <c r="P2482">
        <v>195</v>
      </c>
      <c r="Q2482">
        <v>1835</v>
      </c>
      <c r="R2482">
        <v>1</v>
      </c>
      <c r="S2482">
        <v>0</v>
      </c>
      <c r="T2482">
        <v>0</v>
      </c>
      <c r="U2482">
        <v>0</v>
      </c>
      <c r="V2482">
        <v>9605</v>
      </c>
      <c r="W2482">
        <v>86630</v>
      </c>
      <c r="X2482">
        <v>21</v>
      </c>
      <c r="Y2482">
        <f t="shared" si="38"/>
        <v>86630</v>
      </c>
      <c r="Z2482" t="str">
        <f>IF(ISNUMBER(SEARCH("Adjustment",$C2482)),"excluded",IF($H2482="Behind the Meter","excluded",IF(NOT(OR($E2482="Bundled",$E2482="Energy")),"excluded",IF(OR($H2482="Retail Power Marketer",$H2482="Community Choice Aggregator",$E2482="Energy"),"procurement",IF(OR($H2482="Municipal",$H2482="Cooperative",$H2482="Federal",$H2482="State",$H2482="Political Subdivision"),"cost_service",IF($H2482="Investor Owned",IF(AND(COUNTIF(Parameters!$A$4:$A$33,$G2482)&gt;0,COUNTIF(Parameters!$B$4:$B$33,$B2482)=0),"procurement","cost_service"),"unclassified"))))))</f>
        <v>procurement</v>
      </c>
    </row>
    <row r="2483" spans="1:26" x14ac:dyDescent="0.25">
      <c r="A2483">
        <v>2024</v>
      </c>
      <c r="B2483">
        <v>64314</v>
      </c>
      <c r="C2483" t="s">
        <v>1652</v>
      </c>
      <c r="D2483" t="s">
        <v>99</v>
      </c>
      <c r="E2483" t="s">
        <v>100</v>
      </c>
      <c r="F2483" t="s">
        <v>86</v>
      </c>
      <c r="G2483" t="s">
        <v>44</v>
      </c>
      <c r="H2483" t="s">
        <v>101</v>
      </c>
      <c r="I2483" t="s">
        <v>92</v>
      </c>
      <c r="J2483">
        <v>0</v>
      </c>
      <c r="K2483">
        <v>0</v>
      </c>
      <c r="L2483">
        <v>0</v>
      </c>
      <c r="M2483">
        <v>309</v>
      </c>
      <c r="N2483">
        <v>3157</v>
      </c>
      <c r="O2483">
        <v>2</v>
      </c>
      <c r="P2483">
        <v>5158</v>
      </c>
      <c r="Q2483">
        <v>76781</v>
      </c>
      <c r="R2483">
        <v>5</v>
      </c>
      <c r="S2483">
        <v>0</v>
      </c>
      <c r="T2483">
        <v>0</v>
      </c>
      <c r="U2483">
        <v>0</v>
      </c>
      <c r="V2483">
        <v>5467</v>
      </c>
      <c r="W2483">
        <v>79938</v>
      </c>
      <c r="X2483">
        <v>7</v>
      </c>
      <c r="Y2483">
        <f t="shared" si="38"/>
        <v>79938</v>
      </c>
      <c r="Z2483" t="str">
        <f>IF(ISNUMBER(SEARCH("Adjustment",$C2483)),"excluded",IF($H2483="Behind the Meter","excluded",IF(NOT(OR($E2483="Bundled",$E2483="Energy")),"excluded",IF(OR($H2483="Retail Power Marketer",$H2483="Community Choice Aggregator",$E2483="Energy"),"procurement",IF(OR($H2483="Municipal",$H2483="Cooperative",$H2483="Federal",$H2483="State",$H2483="Political Subdivision"),"cost_service",IF($H2483="Investor Owned",IF(AND(COUNTIF(Parameters!$A$4:$A$33,$G2483)&gt;0,COUNTIF(Parameters!$B$4:$B$33,$B2483)=0),"procurement","cost_service"),"unclassified"))))))</f>
        <v>procurement</v>
      </c>
    </row>
    <row r="2484" spans="1:26" x14ac:dyDescent="0.25">
      <c r="A2484">
        <v>2024</v>
      </c>
      <c r="B2484">
        <v>64314</v>
      </c>
      <c r="C2484" t="s">
        <v>1652</v>
      </c>
      <c r="D2484" t="s">
        <v>99</v>
      </c>
      <c r="E2484" t="s">
        <v>100</v>
      </c>
      <c r="F2484" t="s">
        <v>86</v>
      </c>
      <c r="G2484" t="s">
        <v>46</v>
      </c>
      <c r="H2484" t="s">
        <v>101</v>
      </c>
      <c r="I2484" t="s">
        <v>92</v>
      </c>
      <c r="J2484">
        <v>0</v>
      </c>
      <c r="K2484">
        <v>0</v>
      </c>
      <c r="L2484">
        <v>0</v>
      </c>
      <c r="M2484">
        <v>74782</v>
      </c>
      <c r="N2484">
        <v>1631791</v>
      </c>
      <c r="O2484">
        <v>75</v>
      </c>
      <c r="P2484">
        <v>79760</v>
      </c>
      <c r="Q2484">
        <v>1933555</v>
      </c>
      <c r="R2484">
        <v>27</v>
      </c>
      <c r="S2484">
        <v>0</v>
      </c>
      <c r="T2484">
        <v>0</v>
      </c>
      <c r="U2484">
        <v>0</v>
      </c>
      <c r="V2484">
        <v>154542</v>
      </c>
      <c r="W2484">
        <v>3565346</v>
      </c>
      <c r="X2484">
        <v>102</v>
      </c>
      <c r="Y2484">
        <f t="shared" si="38"/>
        <v>3565346</v>
      </c>
      <c r="Z2484" t="str">
        <f>IF(ISNUMBER(SEARCH("Adjustment",$C2484)),"excluded",IF($H2484="Behind the Meter","excluded",IF(NOT(OR($E2484="Bundled",$E2484="Energy")),"excluded",IF(OR($H2484="Retail Power Marketer",$H2484="Community Choice Aggregator",$E2484="Energy"),"procurement",IF(OR($H2484="Municipal",$H2484="Cooperative",$H2484="Federal",$H2484="State",$H2484="Political Subdivision"),"cost_service",IF($H2484="Investor Owned",IF(AND(COUNTIF(Parameters!$A$4:$A$33,$G2484)&gt;0,COUNTIF(Parameters!$B$4:$B$33,$B2484)=0),"procurement","cost_service"),"unclassified"))))))</f>
        <v>procurement</v>
      </c>
    </row>
    <row r="2485" spans="1:26" x14ac:dyDescent="0.25">
      <c r="A2485">
        <v>2024</v>
      </c>
      <c r="B2485">
        <v>64314</v>
      </c>
      <c r="C2485" t="s">
        <v>1652</v>
      </c>
      <c r="D2485" t="s">
        <v>99</v>
      </c>
      <c r="E2485" t="s">
        <v>100</v>
      </c>
      <c r="F2485" t="s">
        <v>86</v>
      </c>
      <c r="G2485" t="s">
        <v>48</v>
      </c>
      <c r="H2485" t="s">
        <v>101</v>
      </c>
      <c r="I2485" t="s">
        <v>189</v>
      </c>
      <c r="J2485">
        <v>0</v>
      </c>
      <c r="K2485">
        <v>0</v>
      </c>
      <c r="L2485">
        <v>0</v>
      </c>
      <c r="M2485">
        <v>220264</v>
      </c>
      <c r="N2485">
        <v>2070577</v>
      </c>
      <c r="O2485">
        <v>233</v>
      </c>
      <c r="P2485">
        <v>51001</v>
      </c>
      <c r="Q2485">
        <v>479413</v>
      </c>
      <c r="R2485">
        <v>66</v>
      </c>
      <c r="S2485">
        <v>0</v>
      </c>
      <c r="T2485">
        <v>0</v>
      </c>
      <c r="U2485">
        <v>0</v>
      </c>
      <c r="V2485">
        <v>271265</v>
      </c>
      <c r="W2485">
        <v>2549990</v>
      </c>
      <c r="X2485">
        <v>299</v>
      </c>
      <c r="Y2485">
        <f t="shared" si="38"/>
        <v>2549990</v>
      </c>
      <c r="Z2485" t="str">
        <f>IF(ISNUMBER(SEARCH("Adjustment",$C2485)),"excluded",IF($H2485="Behind the Meter","excluded",IF(NOT(OR($E2485="Bundled",$E2485="Energy")),"excluded",IF(OR($H2485="Retail Power Marketer",$H2485="Community Choice Aggregator",$E2485="Energy"),"procurement",IF(OR($H2485="Municipal",$H2485="Cooperative",$H2485="Federal",$H2485="State",$H2485="Political Subdivision"),"cost_service",IF($H2485="Investor Owned",IF(AND(COUNTIF(Parameters!$A$4:$A$33,$G2485)&gt;0,COUNTIF(Parameters!$B$4:$B$33,$B2485)=0),"procurement","cost_service"),"unclassified"))))))</f>
        <v>procurement</v>
      </c>
    </row>
    <row r="2486" spans="1:26" x14ac:dyDescent="0.25">
      <c r="A2486">
        <v>2024</v>
      </c>
      <c r="B2486">
        <v>64314</v>
      </c>
      <c r="C2486" t="s">
        <v>1652</v>
      </c>
      <c r="D2486" t="s">
        <v>99</v>
      </c>
      <c r="E2486" t="s">
        <v>100</v>
      </c>
      <c r="F2486" t="s">
        <v>86</v>
      </c>
      <c r="G2486" t="s">
        <v>49</v>
      </c>
      <c r="H2486" t="s">
        <v>101</v>
      </c>
      <c r="I2486" t="s">
        <v>92</v>
      </c>
      <c r="J2486">
        <v>0</v>
      </c>
      <c r="K2486">
        <v>0</v>
      </c>
      <c r="L2486">
        <v>0</v>
      </c>
      <c r="M2486">
        <v>15135</v>
      </c>
      <c r="N2486">
        <v>179649</v>
      </c>
      <c r="O2486">
        <v>36</v>
      </c>
      <c r="P2486">
        <v>4937</v>
      </c>
      <c r="Q2486">
        <v>58383</v>
      </c>
      <c r="R2486">
        <v>11</v>
      </c>
      <c r="S2486">
        <v>0</v>
      </c>
      <c r="T2486">
        <v>0</v>
      </c>
      <c r="U2486">
        <v>0</v>
      </c>
      <c r="V2486">
        <v>20072</v>
      </c>
      <c r="W2486">
        <v>238032</v>
      </c>
      <c r="X2486">
        <v>47</v>
      </c>
      <c r="Y2486">
        <f t="shared" si="38"/>
        <v>238032</v>
      </c>
      <c r="Z2486" t="str">
        <f>IF(ISNUMBER(SEARCH("Adjustment",$C2486)),"excluded",IF($H2486="Behind the Meter","excluded",IF(NOT(OR($E2486="Bundled",$E2486="Energy")),"excluded",IF(OR($H2486="Retail Power Marketer",$H2486="Community Choice Aggregator",$E2486="Energy"),"procurement",IF(OR($H2486="Municipal",$H2486="Cooperative",$H2486="Federal",$H2486="State",$H2486="Political Subdivision"),"cost_service",IF($H2486="Investor Owned",IF(AND(COUNTIF(Parameters!$A$4:$A$33,$G2486)&gt;0,COUNTIF(Parameters!$B$4:$B$33,$B2486)=0),"procurement","cost_service"),"unclassified"))))))</f>
        <v>procurement</v>
      </c>
    </row>
    <row r="2487" spans="1:26" x14ac:dyDescent="0.25">
      <c r="A2487">
        <v>2024</v>
      </c>
      <c r="B2487">
        <v>64314</v>
      </c>
      <c r="C2487" t="s">
        <v>1652</v>
      </c>
      <c r="D2487" t="s">
        <v>99</v>
      </c>
      <c r="E2487" t="s">
        <v>100</v>
      </c>
      <c r="F2487" t="s">
        <v>86</v>
      </c>
      <c r="G2487" t="s">
        <v>50</v>
      </c>
      <c r="H2487" t="s">
        <v>101</v>
      </c>
      <c r="I2487" t="s">
        <v>189</v>
      </c>
      <c r="J2487">
        <v>0</v>
      </c>
      <c r="K2487">
        <v>0</v>
      </c>
      <c r="L2487">
        <v>0</v>
      </c>
      <c r="M2487">
        <v>16952</v>
      </c>
      <c r="N2487">
        <v>186517</v>
      </c>
      <c r="O2487">
        <v>48</v>
      </c>
      <c r="P2487">
        <v>10675</v>
      </c>
      <c r="Q2487">
        <v>127794</v>
      </c>
      <c r="R2487">
        <v>12</v>
      </c>
      <c r="S2487">
        <v>0</v>
      </c>
      <c r="T2487">
        <v>0</v>
      </c>
      <c r="U2487">
        <v>0</v>
      </c>
      <c r="V2487">
        <v>27627</v>
      </c>
      <c r="W2487">
        <v>314311</v>
      </c>
      <c r="X2487">
        <v>60</v>
      </c>
      <c r="Y2487">
        <f t="shared" si="38"/>
        <v>314311</v>
      </c>
      <c r="Z2487" t="str">
        <f>IF(ISNUMBER(SEARCH("Adjustment",$C2487)),"excluded",IF($H2487="Behind the Meter","excluded",IF(NOT(OR($E2487="Bundled",$E2487="Energy")),"excluded",IF(OR($H2487="Retail Power Marketer",$H2487="Community Choice Aggregator",$E2487="Energy"),"procurement",IF(OR($H2487="Municipal",$H2487="Cooperative",$H2487="Federal",$H2487="State",$H2487="Political Subdivision"),"cost_service",IF($H2487="Investor Owned",IF(AND(COUNTIF(Parameters!$A$4:$A$33,$G2487)&gt;0,COUNTIF(Parameters!$B$4:$B$33,$B2487)=0),"procurement","cost_service"),"unclassified"))))))</f>
        <v>procurement</v>
      </c>
    </row>
    <row r="2488" spans="1:26" x14ac:dyDescent="0.25">
      <c r="A2488">
        <v>2024</v>
      </c>
      <c r="B2488">
        <v>64314</v>
      </c>
      <c r="C2488" t="s">
        <v>1652</v>
      </c>
      <c r="D2488" t="s">
        <v>99</v>
      </c>
      <c r="E2488" t="s">
        <v>100</v>
      </c>
      <c r="F2488" t="s">
        <v>86</v>
      </c>
      <c r="G2488" t="s">
        <v>51</v>
      </c>
      <c r="H2488" t="s">
        <v>101</v>
      </c>
      <c r="I2488" t="s">
        <v>189</v>
      </c>
      <c r="J2488">
        <v>0</v>
      </c>
      <c r="K2488">
        <v>0</v>
      </c>
      <c r="L2488">
        <v>0</v>
      </c>
      <c r="M2488">
        <v>20954</v>
      </c>
      <c r="N2488">
        <v>245616</v>
      </c>
      <c r="O2488">
        <v>35</v>
      </c>
      <c r="P2488">
        <v>10356</v>
      </c>
      <c r="Q2488">
        <v>123929</v>
      </c>
      <c r="R2488">
        <v>15</v>
      </c>
      <c r="S2488">
        <v>0</v>
      </c>
      <c r="T2488">
        <v>0</v>
      </c>
      <c r="U2488">
        <v>0</v>
      </c>
      <c r="V2488">
        <v>31310</v>
      </c>
      <c r="W2488">
        <v>369545</v>
      </c>
      <c r="X2488">
        <v>50</v>
      </c>
      <c r="Y2488">
        <f t="shared" si="38"/>
        <v>369545</v>
      </c>
      <c r="Z2488" t="str">
        <f>IF(ISNUMBER(SEARCH("Adjustment",$C2488)),"excluded",IF($H2488="Behind the Meter","excluded",IF(NOT(OR($E2488="Bundled",$E2488="Energy")),"excluded",IF(OR($H2488="Retail Power Marketer",$H2488="Community Choice Aggregator",$E2488="Energy"),"procurement",IF(OR($H2488="Municipal",$H2488="Cooperative",$H2488="Federal",$H2488="State",$H2488="Political Subdivision"),"cost_service",IF($H2488="Investor Owned",IF(AND(COUNTIF(Parameters!$A$4:$A$33,$G2488)&gt;0,COUNTIF(Parameters!$B$4:$B$33,$B2488)=0),"procurement","cost_service"),"unclassified"))))))</f>
        <v>procurement</v>
      </c>
    </row>
    <row r="2489" spans="1:26" x14ac:dyDescent="0.25">
      <c r="A2489">
        <v>2024</v>
      </c>
      <c r="B2489">
        <v>64314</v>
      </c>
      <c r="C2489" t="s">
        <v>1652</v>
      </c>
      <c r="D2489" t="s">
        <v>99</v>
      </c>
      <c r="E2489" t="s">
        <v>100</v>
      </c>
      <c r="F2489" t="s">
        <v>86</v>
      </c>
      <c r="G2489" t="s">
        <v>52</v>
      </c>
      <c r="H2489" t="s">
        <v>101</v>
      </c>
      <c r="I2489" t="s">
        <v>92</v>
      </c>
      <c r="J2489">
        <v>0</v>
      </c>
      <c r="K2489">
        <v>0</v>
      </c>
      <c r="L2489">
        <v>0</v>
      </c>
      <c r="M2489">
        <v>165673</v>
      </c>
      <c r="N2489">
        <v>1670322</v>
      </c>
      <c r="O2489">
        <v>188</v>
      </c>
      <c r="P2489">
        <v>27865</v>
      </c>
      <c r="Q2489">
        <v>337435</v>
      </c>
      <c r="R2489">
        <v>31</v>
      </c>
      <c r="S2489">
        <v>0</v>
      </c>
      <c r="T2489">
        <v>0</v>
      </c>
      <c r="U2489">
        <v>0</v>
      </c>
      <c r="V2489">
        <v>193538</v>
      </c>
      <c r="W2489">
        <v>2007757</v>
      </c>
      <c r="X2489">
        <v>219</v>
      </c>
      <c r="Y2489">
        <f t="shared" si="38"/>
        <v>2007757</v>
      </c>
      <c r="Z2489" t="str">
        <f>IF(ISNUMBER(SEARCH("Adjustment",$C2489)),"excluded",IF($H2489="Behind the Meter","excluded",IF(NOT(OR($E2489="Bundled",$E2489="Energy")),"excluded",IF(OR($H2489="Retail Power Marketer",$H2489="Community Choice Aggregator",$E2489="Energy"),"procurement",IF(OR($H2489="Municipal",$H2489="Cooperative",$H2489="Federal",$H2489="State",$H2489="Political Subdivision"),"cost_service",IF($H2489="Investor Owned",IF(AND(COUNTIF(Parameters!$A$4:$A$33,$G2489)&gt;0,COUNTIF(Parameters!$B$4:$B$33,$B2489)=0),"procurement","cost_service"),"unclassified"))))))</f>
        <v>procurement</v>
      </c>
    </row>
    <row r="2490" spans="1:26" x14ac:dyDescent="0.25">
      <c r="A2490">
        <v>2024</v>
      </c>
      <c r="B2490">
        <v>64314</v>
      </c>
      <c r="C2490" t="s">
        <v>1652</v>
      </c>
      <c r="D2490" t="s">
        <v>99</v>
      </c>
      <c r="E2490" t="s">
        <v>100</v>
      </c>
      <c r="F2490" t="s">
        <v>86</v>
      </c>
      <c r="G2490" t="s">
        <v>53</v>
      </c>
      <c r="H2490" t="s">
        <v>101</v>
      </c>
      <c r="I2490" t="s">
        <v>102</v>
      </c>
      <c r="J2490">
        <v>0</v>
      </c>
      <c r="K2490">
        <v>0</v>
      </c>
      <c r="L2490">
        <v>0</v>
      </c>
      <c r="M2490">
        <v>30753</v>
      </c>
      <c r="N2490">
        <v>333757</v>
      </c>
      <c r="O2490">
        <v>58</v>
      </c>
      <c r="P2490">
        <v>18342</v>
      </c>
      <c r="Q2490">
        <v>282316</v>
      </c>
      <c r="R2490">
        <v>14</v>
      </c>
      <c r="S2490">
        <v>0</v>
      </c>
      <c r="T2490">
        <v>0</v>
      </c>
      <c r="U2490">
        <v>0</v>
      </c>
      <c r="V2490">
        <v>49095</v>
      </c>
      <c r="W2490">
        <v>616073</v>
      </c>
      <c r="X2490">
        <v>72</v>
      </c>
      <c r="Y2490">
        <f t="shared" si="38"/>
        <v>616073</v>
      </c>
      <c r="Z2490" t="str">
        <f>IF(ISNUMBER(SEARCH("Adjustment",$C2490)),"excluded",IF($H2490="Behind the Meter","excluded",IF(NOT(OR($E2490="Bundled",$E2490="Energy")),"excluded",IF(OR($H2490="Retail Power Marketer",$H2490="Community Choice Aggregator",$E2490="Energy"),"procurement",IF(OR($H2490="Municipal",$H2490="Cooperative",$H2490="Federal",$H2490="State",$H2490="Political Subdivision"),"cost_service",IF($H2490="Investor Owned",IF(AND(COUNTIF(Parameters!$A$4:$A$33,$G2490)&gt;0,COUNTIF(Parameters!$B$4:$B$33,$B2490)=0),"procurement","cost_service"),"unclassified"))))))</f>
        <v>procurement</v>
      </c>
    </row>
    <row r="2491" spans="1:26" x14ac:dyDescent="0.25">
      <c r="A2491">
        <v>2024</v>
      </c>
      <c r="B2491">
        <v>64314</v>
      </c>
      <c r="C2491" t="s">
        <v>1652</v>
      </c>
      <c r="D2491" t="s">
        <v>99</v>
      </c>
      <c r="E2491" t="s">
        <v>100</v>
      </c>
      <c r="F2491" t="s">
        <v>86</v>
      </c>
      <c r="G2491" t="s">
        <v>54</v>
      </c>
      <c r="H2491" t="s">
        <v>101</v>
      </c>
      <c r="I2491" t="s">
        <v>92</v>
      </c>
      <c r="J2491">
        <v>0</v>
      </c>
      <c r="K2491">
        <v>0</v>
      </c>
      <c r="L2491">
        <v>0</v>
      </c>
      <c r="M2491">
        <v>29611</v>
      </c>
      <c r="N2491">
        <v>587401</v>
      </c>
      <c r="O2491">
        <v>61</v>
      </c>
      <c r="P2491">
        <v>214965</v>
      </c>
      <c r="Q2491">
        <v>5290718</v>
      </c>
      <c r="R2491">
        <v>50</v>
      </c>
      <c r="S2491">
        <v>0</v>
      </c>
      <c r="T2491">
        <v>0</v>
      </c>
      <c r="U2491">
        <v>0</v>
      </c>
      <c r="V2491">
        <v>244576</v>
      </c>
      <c r="W2491">
        <v>5878119</v>
      </c>
      <c r="X2491">
        <v>111</v>
      </c>
      <c r="Y2491">
        <f t="shared" si="38"/>
        <v>5878119</v>
      </c>
      <c r="Z2491" t="str">
        <f>IF(ISNUMBER(SEARCH("Adjustment",$C2491)),"excluded",IF($H2491="Behind the Meter","excluded",IF(NOT(OR($E2491="Bundled",$E2491="Energy")),"excluded",IF(OR($H2491="Retail Power Marketer",$H2491="Community Choice Aggregator",$E2491="Energy"),"procurement",IF(OR($H2491="Municipal",$H2491="Cooperative",$H2491="Federal",$H2491="State",$H2491="Political Subdivision"),"cost_service",IF($H2491="Investor Owned",IF(AND(COUNTIF(Parameters!$A$4:$A$33,$G2491)&gt;0,COUNTIF(Parameters!$B$4:$B$33,$B2491)=0),"procurement","cost_service"),"unclassified"))))))</f>
        <v>procurement</v>
      </c>
    </row>
    <row r="2492" spans="1:26" x14ac:dyDescent="0.25">
      <c r="A2492">
        <v>2024</v>
      </c>
      <c r="B2492">
        <v>64314</v>
      </c>
      <c r="C2492" t="s">
        <v>1652</v>
      </c>
      <c r="D2492" t="s">
        <v>99</v>
      </c>
      <c r="E2492" t="s">
        <v>100</v>
      </c>
      <c r="F2492" t="s">
        <v>86</v>
      </c>
      <c r="G2492" t="s">
        <v>55</v>
      </c>
      <c r="H2492" t="s">
        <v>101</v>
      </c>
      <c r="I2492" t="s">
        <v>92</v>
      </c>
      <c r="J2492">
        <v>0</v>
      </c>
      <c r="K2492">
        <v>0</v>
      </c>
      <c r="L2492">
        <v>0</v>
      </c>
      <c r="M2492">
        <v>63061</v>
      </c>
      <c r="N2492">
        <v>863440</v>
      </c>
      <c r="O2492">
        <v>138</v>
      </c>
      <c r="P2492">
        <v>91502</v>
      </c>
      <c r="Q2492">
        <v>1875558</v>
      </c>
      <c r="R2492">
        <v>37</v>
      </c>
      <c r="S2492">
        <v>0</v>
      </c>
      <c r="T2492">
        <v>0</v>
      </c>
      <c r="U2492">
        <v>0</v>
      </c>
      <c r="V2492">
        <v>154563</v>
      </c>
      <c r="W2492">
        <v>2738998</v>
      </c>
      <c r="X2492">
        <v>175</v>
      </c>
      <c r="Y2492">
        <f t="shared" si="38"/>
        <v>2738998</v>
      </c>
      <c r="Z2492" t="str">
        <f>IF(ISNUMBER(SEARCH("Adjustment",$C2492)),"excluded",IF($H2492="Behind the Meter","excluded",IF(NOT(OR($E2492="Bundled",$E2492="Energy")),"excluded",IF(OR($H2492="Retail Power Marketer",$H2492="Community Choice Aggregator",$E2492="Energy"),"procurement",IF(OR($H2492="Municipal",$H2492="Cooperative",$H2492="Federal",$H2492="State",$H2492="Political Subdivision"),"cost_service",IF($H2492="Investor Owned",IF(AND(COUNTIF(Parameters!$A$4:$A$33,$G2492)&gt;0,COUNTIF(Parameters!$B$4:$B$33,$B2492)=0),"procurement","cost_service"),"unclassified"))))))</f>
        <v>procurement</v>
      </c>
    </row>
    <row r="2493" spans="1:26" x14ac:dyDescent="0.25">
      <c r="A2493">
        <v>2024</v>
      </c>
      <c r="B2493">
        <v>64314</v>
      </c>
      <c r="C2493" t="s">
        <v>1652</v>
      </c>
      <c r="D2493" t="s">
        <v>99</v>
      </c>
      <c r="E2493" t="s">
        <v>100</v>
      </c>
      <c r="F2493" t="s">
        <v>86</v>
      </c>
      <c r="G2493" t="s">
        <v>56</v>
      </c>
      <c r="H2493" t="s">
        <v>101</v>
      </c>
      <c r="I2493" t="s">
        <v>189</v>
      </c>
      <c r="J2493">
        <v>0</v>
      </c>
      <c r="K2493">
        <v>0</v>
      </c>
      <c r="L2493">
        <v>0</v>
      </c>
      <c r="M2493">
        <v>13400</v>
      </c>
      <c r="N2493">
        <v>146442</v>
      </c>
      <c r="O2493">
        <v>41</v>
      </c>
      <c r="P2493">
        <v>2663</v>
      </c>
      <c r="Q2493">
        <v>29241</v>
      </c>
      <c r="R2493">
        <v>9</v>
      </c>
      <c r="S2493">
        <v>0</v>
      </c>
      <c r="T2493">
        <v>0</v>
      </c>
      <c r="U2493">
        <v>0</v>
      </c>
      <c r="V2493">
        <v>16063</v>
      </c>
      <c r="W2493">
        <v>175683</v>
      </c>
      <c r="X2493">
        <v>50</v>
      </c>
      <c r="Y2493">
        <f t="shared" si="38"/>
        <v>175683</v>
      </c>
      <c r="Z2493" t="str">
        <f>IF(ISNUMBER(SEARCH("Adjustment",$C2493)),"excluded",IF($H2493="Behind the Meter","excluded",IF(NOT(OR($E2493="Bundled",$E2493="Energy")),"excluded",IF(OR($H2493="Retail Power Marketer",$H2493="Community Choice Aggregator",$E2493="Energy"),"procurement",IF(OR($H2493="Municipal",$H2493="Cooperative",$H2493="Federal",$H2493="State",$H2493="Political Subdivision"),"cost_service",IF($H2493="Investor Owned",IF(AND(COUNTIF(Parameters!$A$4:$A$33,$G2493)&gt;0,COUNTIF(Parameters!$B$4:$B$33,$B2493)=0),"procurement","cost_service"),"unclassified"))))))</f>
        <v>procurement</v>
      </c>
    </row>
    <row r="2494" spans="1:26" x14ac:dyDescent="0.25">
      <c r="A2494">
        <v>2024</v>
      </c>
      <c r="B2494">
        <v>64314</v>
      </c>
      <c r="C2494" t="s">
        <v>1652</v>
      </c>
      <c r="D2494" t="s">
        <v>99</v>
      </c>
      <c r="E2494" t="s">
        <v>100</v>
      </c>
      <c r="F2494" t="s">
        <v>86</v>
      </c>
      <c r="G2494" t="s">
        <v>93</v>
      </c>
      <c r="H2494" t="s">
        <v>101</v>
      </c>
      <c r="I2494" t="s">
        <v>92</v>
      </c>
      <c r="J2494">
        <v>0</v>
      </c>
      <c r="K2494">
        <v>0</v>
      </c>
      <c r="L2494">
        <v>0</v>
      </c>
      <c r="M2494">
        <v>32523</v>
      </c>
      <c r="N2494">
        <v>672125</v>
      </c>
      <c r="O2494">
        <v>6</v>
      </c>
      <c r="P2494">
        <v>22958</v>
      </c>
      <c r="Q2494">
        <v>366657</v>
      </c>
      <c r="R2494">
        <v>4</v>
      </c>
      <c r="S2494">
        <v>0</v>
      </c>
      <c r="T2494">
        <v>0</v>
      </c>
      <c r="U2494">
        <v>0</v>
      </c>
      <c r="V2494">
        <v>55481</v>
      </c>
      <c r="W2494">
        <v>1038782</v>
      </c>
      <c r="X2494">
        <v>10</v>
      </c>
      <c r="Y2494">
        <f t="shared" si="38"/>
        <v>1038782</v>
      </c>
      <c r="Z2494" t="str">
        <f>IF(ISNUMBER(SEARCH("Adjustment",$C2494)),"excluded",IF($H2494="Behind the Meter","excluded",IF(NOT(OR($E2494="Bundled",$E2494="Energy")),"excluded",IF(OR($H2494="Retail Power Marketer",$H2494="Community Choice Aggregator",$E2494="Energy"),"procurement",IF(OR($H2494="Municipal",$H2494="Cooperative",$H2494="Federal",$H2494="State",$H2494="Political Subdivision"),"cost_service",IF($H2494="Investor Owned",IF(AND(COUNTIF(Parameters!$A$4:$A$33,$G2494)&gt;0,COUNTIF(Parameters!$B$4:$B$33,$B2494)=0),"procurement","cost_service"),"unclassified"))))))</f>
        <v>procurement</v>
      </c>
    </row>
    <row r="2495" spans="1:26" x14ac:dyDescent="0.25">
      <c r="A2495">
        <v>2024</v>
      </c>
      <c r="B2495">
        <v>64314</v>
      </c>
      <c r="C2495" t="s">
        <v>1652</v>
      </c>
      <c r="D2495" t="s">
        <v>150</v>
      </c>
      <c r="E2495" t="s">
        <v>85</v>
      </c>
      <c r="F2495" t="s">
        <v>86</v>
      </c>
      <c r="G2495" t="s">
        <v>57</v>
      </c>
      <c r="H2495" t="s">
        <v>101</v>
      </c>
      <c r="I2495" t="s">
        <v>151</v>
      </c>
      <c r="J2495">
        <v>0</v>
      </c>
      <c r="K2495">
        <v>0</v>
      </c>
      <c r="L2495">
        <v>0</v>
      </c>
      <c r="M2495">
        <v>741241</v>
      </c>
      <c r="N2495">
        <v>16891941</v>
      </c>
      <c r="O2495">
        <v>453</v>
      </c>
      <c r="P2495">
        <v>1206903</v>
      </c>
      <c r="Q2495">
        <v>23432998</v>
      </c>
      <c r="R2495">
        <v>200</v>
      </c>
      <c r="S2495">
        <v>0</v>
      </c>
      <c r="T2495">
        <v>0</v>
      </c>
      <c r="U2495">
        <v>0</v>
      </c>
      <c r="V2495">
        <v>1948144</v>
      </c>
      <c r="W2495">
        <v>40324939</v>
      </c>
      <c r="X2495">
        <v>653</v>
      </c>
      <c r="Y2495">
        <f t="shared" si="38"/>
        <v>40324939</v>
      </c>
      <c r="Z2495" t="str">
        <f>IF(ISNUMBER(SEARCH("Adjustment",$C2495)),"excluded",IF($H2495="Behind the Meter","excluded",IF(NOT(OR($E2495="Bundled",$E2495="Energy")),"excluded",IF(OR($H2495="Retail Power Marketer",$H2495="Community Choice Aggregator",$E2495="Energy"),"procurement",IF(OR($H2495="Municipal",$H2495="Cooperative",$H2495="Federal",$H2495="State",$H2495="Political Subdivision"),"cost_service",IF($H2495="Investor Owned",IF(AND(COUNTIF(Parameters!$A$4:$A$33,$G2495)&gt;0,COUNTIF(Parameters!$B$4:$B$33,$B2495)=0),"procurement","cost_service"),"unclassified"))))))</f>
        <v>procurement</v>
      </c>
    </row>
    <row r="2496" spans="1:26" x14ac:dyDescent="0.25">
      <c r="A2496">
        <v>2024</v>
      </c>
      <c r="B2496">
        <v>64425</v>
      </c>
      <c r="C2496" t="s">
        <v>1653</v>
      </c>
      <c r="D2496" t="s">
        <v>99</v>
      </c>
      <c r="E2496" t="s">
        <v>100</v>
      </c>
      <c r="F2496" t="s">
        <v>86</v>
      </c>
      <c r="G2496" t="s">
        <v>115</v>
      </c>
      <c r="H2496" t="s">
        <v>1464</v>
      </c>
      <c r="I2496" t="s">
        <v>116</v>
      </c>
      <c r="J2496">
        <v>126898</v>
      </c>
      <c r="K2496">
        <v>725846</v>
      </c>
      <c r="L2496">
        <v>181700</v>
      </c>
      <c r="M2496">
        <v>150616</v>
      </c>
      <c r="N2496">
        <v>1029766</v>
      </c>
      <c r="O2496">
        <v>26663</v>
      </c>
      <c r="P2496">
        <v>2571</v>
      </c>
      <c r="Q2496">
        <v>18931</v>
      </c>
      <c r="R2496">
        <v>248</v>
      </c>
      <c r="S2496">
        <v>0</v>
      </c>
      <c r="T2496">
        <v>0</v>
      </c>
      <c r="U2496">
        <v>0</v>
      </c>
      <c r="V2496">
        <v>280085</v>
      </c>
      <c r="W2496">
        <v>1774543</v>
      </c>
      <c r="X2496">
        <v>208611</v>
      </c>
      <c r="Y2496">
        <f t="shared" si="38"/>
        <v>1774543</v>
      </c>
      <c r="Z2496" t="str">
        <f>IF(ISNUMBER(SEARCH("Adjustment",$C2496)),"excluded",IF($H2496="Behind the Meter","excluded",IF(NOT(OR($E2496="Bundled",$E2496="Energy")),"excluded",IF(OR($H2496="Retail Power Marketer",$H2496="Community Choice Aggregator",$E2496="Energy"),"procurement",IF(OR($H2496="Municipal",$H2496="Cooperative",$H2496="Federal",$H2496="State",$H2496="Political Subdivision"),"cost_service",IF($H2496="Investor Owned",IF(AND(COUNTIF(Parameters!$A$4:$A$33,$G2496)&gt;0,COUNTIF(Parameters!$B$4:$B$33,$B2496)=0),"procurement","cost_service"),"unclassified"))))))</f>
        <v>procurement</v>
      </c>
    </row>
    <row r="2497" spans="1:26" x14ac:dyDescent="0.25">
      <c r="A2497">
        <v>2024</v>
      </c>
      <c r="B2497">
        <v>64521</v>
      </c>
      <c r="C2497" t="s">
        <v>1654</v>
      </c>
      <c r="D2497" t="s">
        <v>150</v>
      </c>
      <c r="E2497" t="s">
        <v>85</v>
      </c>
      <c r="F2497" t="s">
        <v>86</v>
      </c>
      <c r="G2497" t="s">
        <v>57</v>
      </c>
      <c r="H2497" t="s">
        <v>101</v>
      </c>
      <c r="I2497" t="s">
        <v>151</v>
      </c>
      <c r="J2497">
        <v>62141.3</v>
      </c>
      <c r="K2497">
        <v>751712</v>
      </c>
      <c r="L2497">
        <v>48611</v>
      </c>
      <c r="M2497">
        <v>22366.7</v>
      </c>
      <c r="N2497">
        <v>304359</v>
      </c>
      <c r="O2497">
        <v>5193</v>
      </c>
      <c r="P2497">
        <v>0</v>
      </c>
      <c r="Q2497">
        <v>0</v>
      </c>
      <c r="R2497">
        <v>0</v>
      </c>
      <c r="S2497">
        <v>0</v>
      </c>
      <c r="T2497">
        <v>0</v>
      </c>
      <c r="U2497">
        <v>0</v>
      </c>
      <c r="V2497">
        <v>84508</v>
      </c>
      <c r="W2497">
        <v>1056071</v>
      </c>
      <c r="X2497">
        <v>53804</v>
      </c>
      <c r="Y2497">
        <f t="shared" si="38"/>
        <v>1056071</v>
      </c>
      <c r="Z2497" t="str">
        <f>IF(ISNUMBER(SEARCH("Adjustment",$C2497)),"excluded",IF($H2497="Behind the Meter","excluded",IF(NOT(OR($E2497="Bundled",$E2497="Energy")),"excluded",IF(OR($H2497="Retail Power Marketer",$H2497="Community Choice Aggregator",$E2497="Energy"),"procurement",IF(OR($H2497="Municipal",$H2497="Cooperative",$H2497="Federal",$H2497="State",$H2497="Political Subdivision"),"cost_service",IF($H2497="Investor Owned",IF(AND(COUNTIF(Parameters!$A$4:$A$33,$G2497)&gt;0,COUNTIF(Parameters!$B$4:$B$33,$B2497)=0),"procurement","cost_service"),"unclassified"))))))</f>
        <v>procurement</v>
      </c>
    </row>
    <row r="2498" spans="1:26" x14ac:dyDescent="0.25">
      <c r="A2498">
        <v>2024</v>
      </c>
      <c r="B2498">
        <v>64543</v>
      </c>
      <c r="C2498" t="s">
        <v>1655</v>
      </c>
      <c r="D2498" t="s">
        <v>99</v>
      </c>
      <c r="E2498" t="s">
        <v>100</v>
      </c>
      <c r="F2498" t="s">
        <v>86</v>
      </c>
      <c r="G2498" t="s">
        <v>46</v>
      </c>
      <c r="H2498" t="s">
        <v>101</v>
      </c>
      <c r="I2498" t="s">
        <v>96</v>
      </c>
      <c r="J2498">
        <v>6.2</v>
      </c>
      <c r="K2498">
        <v>106</v>
      </c>
      <c r="L2498">
        <v>45</v>
      </c>
      <c r="M2498" t="s">
        <v>97</v>
      </c>
      <c r="N2498" t="s">
        <v>97</v>
      </c>
      <c r="O2498" t="s">
        <v>97</v>
      </c>
      <c r="P2498" t="s">
        <v>97</v>
      </c>
      <c r="Q2498" t="s">
        <v>97</v>
      </c>
      <c r="R2498" t="s">
        <v>97</v>
      </c>
      <c r="S2498" t="s">
        <v>97</v>
      </c>
      <c r="T2498" t="s">
        <v>97</v>
      </c>
      <c r="U2498" t="s">
        <v>97</v>
      </c>
      <c r="V2498">
        <v>6.2</v>
      </c>
      <c r="W2498">
        <v>106</v>
      </c>
      <c r="X2498">
        <v>45</v>
      </c>
      <c r="Y2498">
        <f t="shared" si="38"/>
        <v>106</v>
      </c>
      <c r="Z2498" t="str">
        <f>IF(ISNUMBER(SEARCH("Adjustment",$C2498)),"excluded",IF($H2498="Behind the Meter","excluded",IF(NOT(OR($E2498="Bundled",$E2498="Energy")),"excluded",IF(OR($H2498="Retail Power Marketer",$H2498="Community Choice Aggregator",$E2498="Energy"),"procurement",IF(OR($H2498="Municipal",$H2498="Cooperative",$H2498="Federal",$H2498="State",$H2498="Political Subdivision"),"cost_service",IF($H2498="Investor Owned",IF(AND(COUNTIF(Parameters!$A$4:$A$33,$G2498)&gt;0,COUNTIF(Parameters!$B$4:$B$33,$B2498)=0),"procurement","cost_service"),"unclassified"))))))</f>
        <v>procurement</v>
      </c>
    </row>
    <row r="2499" spans="1:26" x14ac:dyDescent="0.25">
      <c r="A2499">
        <v>2024</v>
      </c>
      <c r="B2499">
        <v>64554</v>
      </c>
      <c r="C2499" t="s">
        <v>1656</v>
      </c>
      <c r="D2499" t="s">
        <v>150</v>
      </c>
      <c r="E2499" t="s">
        <v>85</v>
      </c>
      <c r="F2499" t="s">
        <v>86</v>
      </c>
      <c r="G2499" t="s">
        <v>57</v>
      </c>
      <c r="H2499" t="s">
        <v>101</v>
      </c>
      <c r="I2499" t="s">
        <v>151</v>
      </c>
      <c r="J2499">
        <v>23971</v>
      </c>
      <c r="K2499">
        <v>172676</v>
      </c>
      <c r="L2499">
        <v>15567</v>
      </c>
      <c r="M2499" t="s">
        <v>97</v>
      </c>
      <c r="N2499" t="s">
        <v>97</v>
      </c>
      <c r="O2499" t="s">
        <v>97</v>
      </c>
      <c r="P2499" t="s">
        <v>97</v>
      </c>
      <c r="Q2499" t="s">
        <v>97</v>
      </c>
      <c r="R2499" t="s">
        <v>97</v>
      </c>
      <c r="S2499" t="s">
        <v>97</v>
      </c>
      <c r="T2499" t="s">
        <v>97</v>
      </c>
      <c r="U2499" t="s">
        <v>97</v>
      </c>
      <c r="V2499">
        <v>23971</v>
      </c>
      <c r="W2499">
        <v>172676</v>
      </c>
      <c r="X2499">
        <v>15567</v>
      </c>
      <c r="Y2499">
        <f t="shared" si="38"/>
        <v>172676</v>
      </c>
      <c r="Z2499" t="str">
        <f>IF(ISNUMBER(SEARCH("Adjustment",$C2499)),"excluded",IF($H2499="Behind the Meter","excluded",IF(NOT(OR($E2499="Bundled",$E2499="Energy")),"excluded",IF(OR($H2499="Retail Power Marketer",$H2499="Community Choice Aggregator",$E2499="Energy"),"procurement",IF(OR($H2499="Municipal",$H2499="Cooperative",$H2499="Federal",$H2499="State",$H2499="Political Subdivision"),"cost_service",IF($H2499="Investor Owned",IF(AND(COUNTIF(Parameters!$A$4:$A$33,$G2499)&gt;0,COUNTIF(Parameters!$B$4:$B$33,$B2499)=0),"procurement","cost_service"),"unclassified"))))))</f>
        <v>procurement</v>
      </c>
    </row>
    <row r="2500" spans="1:26" x14ac:dyDescent="0.25">
      <c r="A2500">
        <v>2024</v>
      </c>
      <c r="B2500">
        <v>64555</v>
      </c>
      <c r="C2500" t="s">
        <v>1657</v>
      </c>
      <c r="D2500" t="s">
        <v>99</v>
      </c>
      <c r="E2500" t="s">
        <v>100</v>
      </c>
      <c r="F2500" t="s">
        <v>86</v>
      </c>
      <c r="G2500" t="s">
        <v>115</v>
      </c>
      <c r="H2500" t="s">
        <v>1464</v>
      </c>
      <c r="I2500" t="s">
        <v>116</v>
      </c>
      <c r="J2500">
        <v>22840</v>
      </c>
      <c r="K2500">
        <v>129973</v>
      </c>
      <c r="L2500">
        <v>32140</v>
      </c>
      <c r="M2500">
        <v>25181</v>
      </c>
      <c r="N2500">
        <v>168677</v>
      </c>
      <c r="O2500">
        <v>6400</v>
      </c>
      <c r="P2500">
        <v>3846</v>
      </c>
      <c r="Q2500">
        <v>29988</v>
      </c>
      <c r="R2500">
        <v>42</v>
      </c>
      <c r="S2500">
        <v>0</v>
      </c>
      <c r="T2500">
        <v>0</v>
      </c>
      <c r="U2500">
        <v>0</v>
      </c>
      <c r="V2500">
        <v>51867</v>
      </c>
      <c r="W2500">
        <v>328638</v>
      </c>
      <c r="X2500">
        <v>38582</v>
      </c>
      <c r="Y2500">
        <f t="shared" ref="Y2500:Y2563" si="39">IF(ISNUMBER($W2500),$W2500,0)</f>
        <v>328638</v>
      </c>
      <c r="Z2500" t="str">
        <f>IF(ISNUMBER(SEARCH("Adjustment",$C2500)),"excluded",IF($H2500="Behind the Meter","excluded",IF(NOT(OR($E2500="Bundled",$E2500="Energy")),"excluded",IF(OR($H2500="Retail Power Marketer",$H2500="Community Choice Aggregator",$E2500="Energy"),"procurement",IF(OR($H2500="Municipal",$H2500="Cooperative",$H2500="Federal",$H2500="State",$H2500="Political Subdivision"),"cost_service",IF($H2500="Investor Owned",IF(AND(COUNTIF(Parameters!$A$4:$A$33,$G2500)&gt;0,COUNTIF(Parameters!$B$4:$B$33,$B2500)=0),"procurement","cost_service"),"unclassified"))))))</f>
        <v>procurement</v>
      </c>
    </row>
    <row r="2501" spans="1:26" x14ac:dyDescent="0.25">
      <c r="A2501">
        <v>2024</v>
      </c>
      <c r="B2501">
        <v>64601</v>
      </c>
      <c r="C2501" t="s">
        <v>1658</v>
      </c>
      <c r="D2501" t="s">
        <v>99</v>
      </c>
      <c r="E2501" t="s">
        <v>100</v>
      </c>
      <c r="F2501" t="s">
        <v>86</v>
      </c>
      <c r="G2501" t="s">
        <v>54</v>
      </c>
      <c r="H2501" t="s">
        <v>101</v>
      </c>
      <c r="I2501" t="s">
        <v>92</v>
      </c>
      <c r="J2501">
        <v>14467.6</v>
      </c>
      <c r="K2501">
        <v>122558</v>
      </c>
      <c r="L2501">
        <v>15418</v>
      </c>
      <c r="M2501">
        <v>0</v>
      </c>
      <c r="N2501">
        <v>0</v>
      </c>
      <c r="O2501">
        <v>0</v>
      </c>
      <c r="P2501">
        <v>0</v>
      </c>
      <c r="Q2501">
        <v>0</v>
      </c>
      <c r="R2501">
        <v>0</v>
      </c>
      <c r="S2501">
        <v>0</v>
      </c>
      <c r="T2501">
        <v>0</v>
      </c>
      <c r="U2501">
        <v>0</v>
      </c>
      <c r="V2501">
        <v>14467.6</v>
      </c>
      <c r="W2501">
        <v>122558</v>
      </c>
      <c r="X2501">
        <v>15418</v>
      </c>
      <c r="Y2501">
        <f t="shared" si="39"/>
        <v>122558</v>
      </c>
      <c r="Z2501" t="str">
        <f>IF(ISNUMBER(SEARCH("Adjustment",$C2501)),"excluded",IF($H2501="Behind the Meter","excluded",IF(NOT(OR($E2501="Bundled",$E2501="Energy")),"excluded",IF(OR($H2501="Retail Power Marketer",$H2501="Community Choice Aggregator",$E2501="Energy"),"procurement",IF(OR($H2501="Municipal",$H2501="Cooperative",$H2501="Federal",$H2501="State",$H2501="Political Subdivision"),"cost_service",IF($H2501="Investor Owned",IF(AND(COUNTIF(Parameters!$A$4:$A$33,$G2501)&gt;0,COUNTIF(Parameters!$B$4:$B$33,$B2501)=0),"procurement","cost_service"),"unclassified"))))))</f>
        <v>procurement</v>
      </c>
    </row>
    <row r="2502" spans="1:26" x14ac:dyDescent="0.25">
      <c r="A2502">
        <v>2024</v>
      </c>
      <c r="B2502">
        <v>64653</v>
      </c>
      <c r="C2502" t="s">
        <v>1659</v>
      </c>
      <c r="D2502" t="s">
        <v>150</v>
      </c>
      <c r="E2502" t="s">
        <v>85</v>
      </c>
      <c r="F2502" t="s">
        <v>86</v>
      </c>
      <c r="G2502" t="s">
        <v>57</v>
      </c>
      <c r="H2502" t="s">
        <v>101</v>
      </c>
      <c r="I2502" t="s">
        <v>151</v>
      </c>
      <c r="J2502">
        <v>24911.200000000001</v>
      </c>
      <c r="K2502">
        <v>180228</v>
      </c>
      <c r="L2502">
        <v>28854</v>
      </c>
      <c r="M2502">
        <v>1019.8</v>
      </c>
      <c r="N2502">
        <v>6098</v>
      </c>
      <c r="O2502">
        <v>1684</v>
      </c>
      <c r="P2502" t="s">
        <v>97</v>
      </c>
      <c r="Q2502" t="s">
        <v>97</v>
      </c>
      <c r="R2502" t="s">
        <v>97</v>
      </c>
      <c r="S2502" t="s">
        <v>97</v>
      </c>
      <c r="T2502" t="s">
        <v>97</v>
      </c>
      <c r="U2502" t="s">
        <v>97</v>
      </c>
      <c r="V2502">
        <v>25931</v>
      </c>
      <c r="W2502">
        <v>186326</v>
      </c>
      <c r="X2502">
        <v>30538</v>
      </c>
      <c r="Y2502">
        <f t="shared" si="39"/>
        <v>186326</v>
      </c>
      <c r="Z2502" t="str">
        <f>IF(ISNUMBER(SEARCH("Adjustment",$C2502)),"excluded",IF($H2502="Behind the Meter","excluded",IF(NOT(OR($E2502="Bundled",$E2502="Energy")),"excluded",IF(OR($H2502="Retail Power Marketer",$H2502="Community Choice Aggregator",$E2502="Energy"),"procurement",IF(OR($H2502="Municipal",$H2502="Cooperative",$H2502="Federal",$H2502="State",$H2502="Political Subdivision"),"cost_service",IF($H2502="Investor Owned",IF(AND(COUNTIF(Parameters!$A$4:$A$33,$G2502)&gt;0,COUNTIF(Parameters!$B$4:$B$33,$B2502)=0),"procurement","cost_service"),"unclassified"))))))</f>
        <v>procurement</v>
      </c>
    </row>
    <row r="2503" spans="1:26" x14ac:dyDescent="0.25">
      <c r="A2503">
        <v>2024</v>
      </c>
      <c r="B2503">
        <v>64682</v>
      </c>
      <c r="C2503" t="s">
        <v>1660</v>
      </c>
      <c r="D2503" t="s">
        <v>150</v>
      </c>
      <c r="E2503" t="s">
        <v>85</v>
      </c>
      <c r="F2503" t="s">
        <v>86</v>
      </c>
      <c r="G2503" t="s">
        <v>57</v>
      </c>
      <c r="H2503" t="s">
        <v>101</v>
      </c>
      <c r="I2503" t="s">
        <v>151</v>
      </c>
      <c r="J2503">
        <v>673339.7</v>
      </c>
      <c r="K2503">
        <v>3717575</v>
      </c>
      <c r="L2503">
        <v>259811</v>
      </c>
      <c r="M2503">
        <v>611223.4</v>
      </c>
      <c r="N2503">
        <v>8342871</v>
      </c>
      <c r="O2503">
        <v>67920</v>
      </c>
      <c r="P2503">
        <v>0</v>
      </c>
      <c r="Q2503">
        <v>0</v>
      </c>
      <c r="R2503">
        <v>0</v>
      </c>
      <c r="S2503">
        <v>0</v>
      </c>
      <c r="T2503">
        <v>0</v>
      </c>
      <c r="U2503">
        <v>0</v>
      </c>
      <c r="V2503">
        <v>1284563.1000000001</v>
      </c>
      <c r="W2503">
        <v>12060446</v>
      </c>
      <c r="X2503">
        <v>327731</v>
      </c>
      <c r="Y2503">
        <f t="shared" si="39"/>
        <v>12060446</v>
      </c>
      <c r="Z2503" t="str">
        <f>IF(ISNUMBER(SEARCH("Adjustment",$C2503)),"excluded",IF($H2503="Behind the Meter","excluded",IF(NOT(OR($E2503="Bundled",$E2503="Energy")),"excluded",IF(OR($H2503="Retail Power Marketer",$H2503="Community Choice Aggregator",$E2503="Energy"),"procurement",IF(OR($H2503="Municipal",$H2503="Cooperative",$H2503="Federal",$H2503="State",$H2503="Political Subdivision"),"cost_service",IF($H2503="Investor Owned",IF(AND(COUNTIF(Parameters!$A$4:$A$33,$G2503)&gt;0,COUNTIF(Parameters!$B$4:$B$33,$B2503)=0),"procurement","cost_service"),"unclassified"))))))</f>
        <v>procurement</v>
      </c>
    </row>
    <row r="2504" spans="1:26" x14ac:dyDescent="0.25">
      <c r="A2504">
        <v>2024</v>
      </c>
      <c r="B2504">
        <v>64705</v>
      </c>
      <c r="C2504" t="s">
        <v>1661</v>
      </c>
      <c r="D2504" t="s">
        <v>99</v>
      </c>
      <c r="E2504" t="s">
        <v>100</v>
      </c>
      <c r="F2504" t="s">
        <v>86</v>
      </c>
      <c r="G2504" t="s">
        <v>54</v>
      </c>
      <c r="H2504" t="s">
        <v>101</v>
      </c>
      <c r="I2504" t="s">
        <v>92</v>
      </c>
      <c r="J2504">
        <v>3903.3</v>
      </c>
      <c r="K2504">
        <v>23853</v>
      </c>
      <c r="L2504">
        <v>2625</v>
      </c>
      <c r="M2504">
        <v>11435.7</v>
      </c>
      <c r="N2504">
        <v>68852</v>
      </c>
      <c r="O2504">
        <v>2977</v>
      </c>
      <c r="P2504">
        <v>0</v>
      </c>
      <c r="Q2504">
        <v>0</v>
      </c>
      <c r="R2504">
        <v>0</v>
      </c>
      <c r="S2504">
        <v>0</v>
      </c>
      <c r="T2504">
        <v>0</v>
      </c>
      <c r="U2504">
        <v>0</v>
      </c>
      <c r="V2504">
        <v>15339</v>
      </c>
      <c r="W2504">
        <v>92705</v>
      </c>
      <c r="X2504">
        <v>5602</v>
      </c>
      <c r="Y2504">
        <f t="shared" si="39"/>
        <v>92705</v>
      </c>
      <c r="Z2504" t="str">
        <f>IF(ISNUMBER(SEARCH("Adjustment",$C2504)),"excluded",IF($H2504="Behind the Meter","excluded",IF(NOT(OR($E2504="Bundled",$E2504="Energy")),"excluded",IF(OR($H2504="Retail Power Marketer",$H2504="Community Choice Aggregator",$E2504="Energy"),"procurement",IF(OR($H2504="Municipal",$H2504="Cooperative",$H2504="Federal",$H2504="State",$H2504="Political Subdivision"),"cost_service",IF($H2504="Investor Owned",IF(AND(COUNTIF(Parameters!$A$4:$A$33,$G2504)&gt;0,COUNTIF(Parameters!$B$4:$B$33,$B2504)=0),"procurement","cost_service"),"unclassified"))))))</f>
        <v>procurement</v>
      </c>
    </row>
    <row r="2505" spans="1:26" x14ac:dyDescent="0.25">
      <c r="A2505">
        <v>2024</v>
      </c>
      <c r="B2505">
        <v>64705</v>
      </c>
      <c r="C2505" t="s">
        <v>1661</v>
      </c>
      <c r="D2505" t="s">
        <v>99</v>
      </c>
      <c r="E2505" t="s">
        <v>100</v>
      </c>
      <c r="F2505" t="s">
        <v>86</v>
      </c>
      <c r="G2505" t="s">
        <v>55</v>
      </c>
      <c r="H2505" t="s">
        <v>101</v>
      </c>
      <c r="I2505" t="s">
        <v>92</v>
      </c>
      <c r="J2505">
        <v>12404.5</v>
      </c>
      <c r="K2505">
        <v>67742</v>
      </c>
      <c r="L2505">
        <v>7379</v>
      </c>
      <c r="M2505">
        <v>33231</v>
      </c>
      <c r="N2505">
        <v>184113</v>
      </c>
      <c r="O2505">
        <v>9929</v>
      </c>
      <c r="P2505">
        <v>0</v>
      </c>
      <c r="Q2505">
        <v>0</v>
      </c>
      <c r="R2505">
        <v>0</v>
      </c>
      <c r="S2505">
        <v>0</v>
      </c>
      <c r="T2505">
        <v>0</v>
      </c>
      <c r="U2505">
        <v>0</v>
      </c>
      <c r="V2505">
        <v>45635.5</v>
      </c>
      <c r="W2505">
        <v>251855</v>
      </c>
      <c r="X2505">
        <v>17308</v>
      </c>
      <c r="Y2505">
        <f t="shared" si="39"/>
        <v>251855</v>
      </c>
      <c r="Z2505" t="str">
        <f>IF(ISNUMBER(SEARCH("Adjustment",$C2505)),"excluded",IF($H2505="Behind the Meter","excluded",IF(NOT(OR($E2505="Bundled",$E2505="Energy")),"excluded",IF(OR($H2505="Retail Power Marketer",$H2505="Community Choice Aggregator",$E2505="Energy"),"procurement",IF(OR($H2505="Municipal",$H2505="Cooperative",$H2505="Federal",$H2505="State",$H2505="Political Subdivision"),"cost_service",IF($H2505="Investor Owned",IF(AND(COUNTIF(Parameters!$A$4:$A$33,$G2505)&gt;0,COUNTIF(Parameters!$B$4:$B$33,$B2505)=0),"procurement","cost_service"),"unclassified"))))))</f>
        <v>procurement</v>
      </c>
    </row>
    <row r="2506" spans="1:26" x14ac:dyDescent="0.25">
      <c r="A2506">
        <v>2024</v>
      </c>
      <c r="B2506">
        <v>64727</v>
      </c>
      <c r="C2506" t="s">
        <v>1662</v>
      </c>
      <c r="D2506" t="s">
        <v>150</v>
      </c>
      <c r="E2506" t="s">
        <v>85</v>
      </c>
      <c r="F2506" t="s">
        <v>86</v>
      </c>
      <c r="G2506" t="s">
        <v>57</v>
      </c>
      <c r="H2506" t="s">
        <v>101</v>
      </c>
      <c r="I2506" t="s">
        <v>151</v>
      </c>
      <c r="J2506">
        <v>2690.6</v>
      </c>
      <c r="K2506">
        <v>17272</v>
      </c>
      <c r="L2506">
        <v>1243</v>
      </c>
      <c r="M2506">
        <v>0</v>
      </c>
      <c r="N2506">
        <v>0</v>
      </c>
      <c r="O2506">
        <v>0</v>
      </c>
      <c r="P2506">
        <v>0</v>
      </c>
      <c r="Q2506">
        <v>0</v>
      </c>
      <c r="R2506">
        <v>0</v>
      </c>
      <c r="S2506">
        <v>0</v>
      </c>
      <c r="T2506">
        <v>0</v>
      </c>
      <c r="U2506">
        <v>0</v>
      </c>
      <c r="V2506">
        <v>2690.6</v>
      </c>
      <c r="W2506">
        <v>17272</v>
      </c>
      <c r="X2506">
        <v>1243</v>
      </c>
      <c r="Y2506">
        <f t="shared" si="39"/>
        <v>17272</v>
      </c>
      <c r="Z2506" t="str">
        <f>IF(ISNUMBER(SEARCH("Adjustment",$C2506)),"excluded",IF($H2506="Behind the Meter","excluded",IF(NOT(OR($E2506="Bundled",$E2506="Energy")),"excluded",IF(OR($H2506="Retail Power Marketer",$H2506="Community Choice Aggregator",$E2506="Energy"),"procurement",IF(OR($H2506="Municipal",$H2506="Cooperative",$H2506="Federal",$H2506="State",$H2506="Political Subdivision"),"cost_service",IF($H2506="Investor Owned",IF(AND(COUNTIF(Parameters!$A$4:$A$33,$G2506)&gt;0,COUNTIF(Parameters!$B$4:$B$33,$B2506)=0),"procurement","cost_service"),"unclassified"))))))</f>
        <v>procurement</v>
      </c>
    </row>
    <row r="2507" spans="1:26" x14ac:dyDescent="0.25">
      <c r="A2507">
        <v>2024</v>
      </c>
      <c r="B2507">
        <v>64906</v>
      </c>
      <c r="C2507" t="s">
        <v>1663</v>
      </c>
      <c r="D2507" t="s">
        <v>150</v>
      </c>
      <c r="E2507" t="s">
        <v>85</v>
      </c>
      <c r="F2507" t="s">
        <v>86</v>
      </c>
      <c r="G2507" t="s">
        <v>57</v>
      </c>
      <c r="H2507" t="s">
        <v>101</v>
      </c>
      <c r="I2507" t="s">
        <v>151</v>
      </c>
      <c r="J2507">
        <v>145123</v>
      </c>
      <c r="K2507">
        <v>1029684</v>
      </c>
      <c r="L2507">
        <v>54612</v>
      </c>
      <c r="M2507">
        <v>120670</v>
      </c>
      <c r="N2507">
        <v>2720798</v>
      </c>
      <c r="O2507">
        <v>89</v>
      </c>
      <c r="P2507">
        <v>0</v>
      </c>
      <c r="Q2507">
        <v>0</v>
      </c>
      <c r="R2507">
        <v>0</v>
      </c>
      <c r="S2507">
        <v>0</v>
      </c>
      <c r="T2507">
        <v>0</v>
      </c>
      <c r="U2507">
        <v>0</v>
      </c>
      <c r="V2507">
        <v>265793</v>
      </c>
      <c r="W2507">
        <v>3750482</v>
      </c>
      <c r="X2507">
        <v>54701</v>
      </c>
      <c r="Y2507">
        <f t="shared" si="39"/>
        <v>3750482</v>
      </c>
      <c r="Z2507" t="str">
        <f>IF(ISNUMBER(SEARCH("Adjustment",$C2507)),"excluded",IF($H2507="Behind the Meter","excluded",IF(NOT(OR($E2507="Bundled",$E2507="Energy")),"excluded",IF(OR($H2507="Retail Power Marketer",$H2507="Community Choice Aggregator",$E2507="Energy"),"procurement",IF(OR($H2507="Municipal",$H2507="Cooperative",$H2507="Federal",$H2507="State",$H2507="Political Subdivision"),"cost_service",IF($H2507="Investor Owned",IF(AND(COUNTIF(Parameters!$A$4:$A$33,$G2507)&gt;0,COUNTIF(Parameters!$B$4:$B$33,$B2507)=0),"procurement","cost_service"),"unclassified"))))))</f>
        <v>procurement</v>
      </c>
    </row>
    <row r="2508" spans="1:26" x14ac:dyDescent="0.25">
      <c r="A2508">
        <v>2024</v>
      </c>
      <c r="B2508">
        <v>64923</v>
      </c>
      <c r="C2508" t="s">
        <v>1664</v>
      </c>
      <c r="D2508" t="s">
        <v>150</v>
      </c>
      <c r="E2508" t="s">
        <v>85</v>
      </c>
      <c r="F2508" t="s">
        <v>86</v>
      </c>
      <c r="G2508" t="s">
        <v>57</v>
      </c>
      <c r="H2508" t="s">
        <v>101</v>
      </c>
      <c r="I2508" t="s">
        <v>151</v>
      </c>
      <c r="J2508">
        <v>5334.5</v>
      </c>
      <c r="K2508">
        <v>39155</v>
      </c>
      <c r="L2508">
        <v>6214</v>
      </c>
      <c r="M2508">
        <v>282.2</v>
      </c>
      <c r="N2508">
        <v>2380</v>
      </c>
      <c r="O2508">
        <v>77</v>
      </c>
      <c r="P2508">
        <v>0</v>
      </c>
      <c r="Q2508">
        <v>0</v>
      </c>
      <c r="R2508">
        <v>0</v>
      </c>
      <c r="S2508">
        <v>0</v>
      </c>
      <c r="T2508">
        <v>0</v>
      </c>
      <c r="U2508">
        <v>0</v>
      </c>
      <c r="V2508">
        <v>5616.7</v>
      </c>
      <c r="W2508">
        <v>41535</v>
      </c>
      <c r="X2508">
        <v>6291</v>
      </c>
      <c r="Y2508">
        <f t="shared" si="39"/>
        <v>41535</v>
      </c>
      <c r="Z2508" t="str">
        <f>IF(ISNUMBER(SEARCH("Adjustment",$C2508)),"excluded",IF($H2508="Behind the Meter","excluded",IF(NOT(OR($E2508="Bundled",$E2508="Energy")),"excluded",IF(OR($H2508="Retail Power Marketer",$H2508="Community Choice Aggregator",$E2508="Energy"),"procurement",IF(OR($H2508="Municipal",$H2508="Cooperative",$H2508="Federal",$H2508="State",$H2508="Political Subdivision"),"cost_service",IF($H2508="Investor Owned",IF(AND(COUNTIF(Parameters!$A$4:$A$33,$G2508)&gt;0,COUNTIF(Parameters!$B$4:$B$33,$B2508)=0),"procurement","cost_service"),"unclassified"))))))</f>
        <v>procurement</v>
      </c>
    </row>
    <row r="2509" spans="1:26" x14ac:dyDescent="0.25">
      <c r="A2509">
        <v>2024</v>
      </c>
      <c r="B2509">
        <v>64928</v>
      </c>
      <c r="C2509" t="s">
        <v>1665</v>
      </c>
      <c r="D2509" t="s">
        <v>99</v>
      </c>
      <c r="E2509" t="s">
        <v>100</v>
      </c>
      <c r="F2509" t="s">
        <v>86</v>
      </c>
      <c r="G2509" t="s">
        <v>115</v>
      </c>
      <c r="H2509" t="s">
        <v>1464</v>
      </c>
      <c r="I2509" t="s">
        <v>116</v>
      </c>
      <c r="J2509">
        <v>144846</v>
      </c>
      <c r="K2509">
        <v>979674</v>
      </c>
      <c r="L2509">
        <v>187088</v>
      </c>
      <c r="M2509">
        <v>155546</v>
      </c>
      <c r="N2509">
        <v>1124554</v>
      </c>
      <c r="O2509">
        <v>28803</v>
      </c>
      <c r="P2509">
        <v>54351</v>
      </c>
      <c r="Q2509">
        <v>458698</v>
      </c>
      <c r="R2509">
        <v>205</v>
      </c>
      <c r="S2509">
        <v>0</v>
      </c>
      <c r="T2509">
        <v>0</v>
      </c>
      <c r="U2509">
        <v>0</v>
      </c>
      <c r="V2509">
        <v>354743</v>
      </c>
      <c r="W2509">
        <v>2562926</v>
      </c>
      <c r="X2509">
        <v>216096</v>
      </c>
      <c r="Y2509">
        <f t="shared" si="39"/>
        <v>2562926</v>
      </c>
      <c r="Z2509" t="str">
        <f>IF(ISNUMBER(SEARCH("Adjustment",$C2509)),"excluded",IF($H2509="Behind the Meter","excluded",IF(NOT(OR($E2509="Bundled",$E2509="Energy")),"excluded",IF(OR($H2509="Retail Power Marketer",$H2509="Community Choice Aggregator",$E2509="Energy"),"procurement",IF(OR($H2509="Municipal",$H2509="Cooperative",$H2509="Federal",$H2509="State",$H2509="Political Subdivision"),"cost_service",IF($H2509="Investor Owned",IF(AND(COUNTIF(Parameters!$A$4:$A$33,$G2509)&gt;0,COUNTIF(Parameters!$B$4:$B$33,$B2509)=0),"procurement","cost_service"),"unclassified"))))))</f>
        <v>procurement</v>
      </c>
    </row>
    <row r="2510" spans="1:26" x14ac:dyDescent="0.25">
      <c r="A2510">
        <v>2024</v>
      </c>
      <c r="B2510">
        <v>64929</v>
      </c>
      <c r="C2510" t="s">
        <v>1666</v>
      </c>
      <c r="D2510" t="s">
        <v>150</v>
      </c>
      <c r="E2510" t="s">
        <v>85</v>
      </c>
      <c r="F2510" t="s">
        <v>86</v>
      </c>
      <c r="G2510" t="s">
        <v>57</v>
      </c>
      <c r="H2510" t="s">
        <v>101</v>
      </c>
      <c r="I2510" t="s">
        <v>151</v>
      </c>
      <c r="J2510">
        <v>55123.7</v>
      </c>
      <c r="K2510">
        <v>412637</v>
      </c>
      <c r="L2510">
        <v>23272</v>
      </c>
      <c r="M2510" t="s">
        <v>97</v>
      </c>
      <c r="N2510" t="s">
        <v>97</v>
      </c>
      <c r="O2510" t="s">
        <v>97</v>
      </c>
      <c r="P2510" t="s">
        <v>97</v>
      </c>
      <c r="Q2510" t="s">
        <v>97</v>
      </c>
      <c r="R2510" t="s">
        <v>97</v>
      </c>
      <c r="S2510" t="s">
        <v>97</v>
      </c>
      <c r="T2510" t="s">
        <v>97</v>
      </c>
      <c r="U2510" t="s">
        <v>97</v>
      </c>
      <c r="V2510">
        <v>55123.7</v>
      </c>
      <c r="W2510">
        <v>412637</v>
      </c>
      <c r="X2510">
        <v>23272</v>
      </c>
      <c r="Y2510">
        <f t="shared" si="39"/>
        <v>412637</v>
      </c>
      <c r="Z2510" t="str">
        <f>IF(ISNUMBER(SEARCH("Adjustment",$C2510)),"excluded",IF($H2510="Behind the Meter","excluded",IF(NOT(OR($E2510="Bundled",$E2510="Energy")),"excluded",IF(OR($H2510="Retail Power Marketer",$H2510="Community Choice Aggregator",$E2510="Energy"),"procurement",IF(OR($H2510="Municipal",$H2510="Cooperative",$H2510="Federal",$H2510="State",$H2510="Political Subdivision"),"cost_service",IF($H2510="Investor Owned",IF(AND(COUNTIF(Parameters!$A$4:$A$33,$G2510)&gt;0,COUNTIF(Parameters!$B$4:$B$33,$B2510)=0),"procurement","cost_service"),"unclassified"))))))</f>
        <v>procurement</v>
      </c>
    </row>
    <row r="2511" spans="1:26" x14ac:dyDescent="0.25">
      <c r="A2511">
        <v>2024</v>
      </c>
      <c r="B2511">
        <v>64974</v>
      </c>
      <c r="C2511" t="s">
        <v>1667</v>
      </c>
      <c r="D2511" t="s">
        <v>99</v>
      </c>
      <c r="E2511" t="s">
        <v>100</v>
      </c>
      <c r="F2511" t="s">
        <v>86</v>
      </c>
      <c r="G2511" t="s">
        <v>44</v>
      </c>
      <c r="H2511" t="s">
        <v>101</v>
      </c>
      <c r="I2511" t="s">
        <v>92</v>
      </c>
      <c r="J2511">
        <v>0</v>
      </c>
      <c r="K2511">
        <v>0</v>
      </c>
      <c r="L2511">
        <v>0</v>
      </c>
      <c r="M2511">
        <v>0</v>
      </c>
      <c r="N2511">
        <v>0</v>
      </c>
      <c r="O2511">
        <v>0</v>
      </c>
      <c r="P2511">
        <v>12372.5</v>
      </c>
      <c r="Q2511">
        <v>475948</v>
      </c>
      <c r="R2511">
        <v>1</v>
      </c>
      <c r="S2511">
        <v>0</v>
      </c>
      <c r="T2511">
        <v>0</v>
      </c>
      <c r="U2511">
        <v>0</v>
      </c>
      <c r="V2511">
        <v>12372.5</v>
      </c>
      <c r="W2511">
        <v>475948</v>
      </c>
      <c r="X2511">
        <v>1</v>
      </c>
      <c r="Y2511">
        <f t="shared" si="39"/>
        <v>475948</v>
      </c>
      <c r="Z2511" t="str">
        <f>IF(ISNUMBER(SEARCH("Adjustment",$C2511)),"excluded",IF($H2511="Behind the Meter","excluded",IF(NOT(OR($E2511="Bundled",$E2511="Energy")),"excluded",IF(OR($H2511="Retail Power Marketer",$H2511="Community Choice Aggregator",$E2511="Energy"),"procurement",IF(OR($H2511="Municipal",$H2511="Cooperative",$H2511="Federal",$H2511="State",$H2511="Political Subdivision"),"cost_service",IF($H2511="Investor Owned",IF(AND(COUNTIF(Parameters!$A$4:$A$33,$G2511)&gt;0,COUNTIF(Parameters!$B$4:$B$33,$B2511)=0),"procurement","cost_service"),"unclassified"))))))</f>
        <v>procurement</v>
      </c>
    </row>
    <row r="2512" spans="1:26" x14ac:dyDescent="0.25">
      <c r="A2512">
        <v>2024</v>
      </c>
      <c r="B2512">
        <v>64974</v>
      </c>
      <c r="C2512" t="s">
        <v>1667</v>
      </c>
      <c r="D2512" t="s">
        <v>99</v>
      </c>
      <c r="E2512" t="s">
        <v>100</v>
      </c>
      <c r="F2512" t="s">
        <v>86</v>
      </c>
      <c r="G2512" t="s">
        <v>52</v>
      </c>
      <c r="H2512" t="s">
        <v>101</v>
      </c>
      <c r="I2512" t="s">
        <v>92</v>
      </c>
      <c r="J2512">
        <v>0</v>
      </c>
      <c r="K2512">
        <v>0</v>
      </c>
      <c r="L2512">
        <v>0</v>
      </c>
      <c r="M2512">
        <v>0</v>
      </c>
      <c r="N2512">
        <v>0</v>
      </c>
      <c r="O2512">
        <v>0</v>
      </c>
      <c r="P2512">
        <v>542.29999999999995</v>
      </c>
      <c r="Q2512">
        <v>19136</v>
      </c>
      <c r="R2512">
        <v>1</v>
      </c>
      <c r="S2512">
        <v>0</v>
      </c>
      <c r="T2512">
        <v>0</v>
      </c>
      <c r="U2512">
        <v>0</v>
      </c>
      <c r="V2512">
        <v>542.29999999999995</v>
      </c>
      <c r="W2512">
        <v>19136</v>
      </c>
      <c r="X2512">
        <v>1</v>
      </c>
      <c r="Y2512">
        <f t="shared" si="39"/>
        <v>19136</v>
      </c>
      <c r="Z2512" t="str">
        <f>IF(ISNUMBER(SEARCH("Adjustment",$C2512)),"excluded",IF($H2512="Behind the Meter","excluded",IF(NOT(OR($E2512="Bundled",$E2512="Energy")),"excluded",IF(OR($H2512="Retail Power Marketer",$H2512="Community Choice Aggregator",$E2512="Energy"),"procurement",IF(OR($H2512="Municipal",$H2512="Cooperative",$H2512="Federal",$H2512="State",$H2512="Political Subdivision"),"cost_service",IF($H2512="Investor Owned",IF(AND(COUNTIF(Parameters!$A$4:$A$33,$G2512)&gt;0,COUNTIF(Parameters!$B$4:$B$33,$B2512)=0),"procurement","cost_service"),"unclassified"))))))</f>
        <v>procurement</v>
      </c>
    </row>
    <row r="2513" spans="1:26" x14ac:dyDescent="0.25">
      <c r="A2513">
        <v>2024</v>
      </c>
      <c r="B2513">
        <v>64974</v>
      </c>
      <c r="C2513" t="s">
        <v>1667</v>
      </c>
      <c r="D2513" t="s">
        <v>99</v>
      </c>
      <c r="E2513" t="s">
        <v>100</v>
      </c>
      <c r="F2513" t="s">
        <v>86</v>
      </c>
      <c r="G2513" t="s">
        <v>54</v>
      </c>
      <c r="H2513" t="s">
        <v>101</v>
      </c>
      <c r="I2513" t="s">
        <v>92</v>
      </c>
      <c r="J2513">
        <v>0</v>
      </c>
      <c r="K2513">
        <v>0</v>
      </c>
      <c r="L2513">
        <v>0</v>
      </c>
      <c r="M2513">
        <v>0</v>
      </c>
      <c r="N2513">
        <v>0</v>
      </c>
      <c r="O2513">
        <v>0</v>
      </c>
      <c r="P2513">
        <v>17641.3</v>
      </c>
      <c r="Q2513">
        <v>515041</v>
      </c>
      <c r="R2513">
        <v>1</v>
      </c>
      <c r="S2513">
        <v>0</v>
      </c>
      <c r="T2513">
        <v>0</v>
      </c>
      <c r="U2513">
        <v>0</v>
      </c>
      <c r="V2513">
        <v>17641.3</v>
      </c>
      <c r="W2513">
        <v>515041</v>
      </c>
      <c r="X2513">
        <v>1</v>
      </c>
      <c r="Y2513">
        <f t="shared" si="39"/>
        <v>515041</v>
      </c>
      <c r="Z2513" t="str">
        <f>IF(ISNUMBER(SEARCH("Adjustment",$C2513)),"excluded",IF($H2513="Behind the Meter","excluded",IF(NOT(OR($E2513="Bundled",$E2513="Energy")),"excluded",IF(OR($H2513="Retail Power Marketer",$H2513="Community Choice Aggregator",$E2513="Energy"),"procurement",IF(OR($H2513="Municipal",$H2513="Cooperative",$H2513="Federal",$H2513="State",$H2513="Political Subdivision"),"cost_service",IF($H2513="Investor Owned",IF(AND(COUNTIF(Parameters!$A$4:$A$33,$G2513)&gt;0,COUNTIF(Parameters!$B$4:$B$33,$B2513)=0),"procurement","cost_service"),"unclassified"))))))</f>
        <v>procurement</v>
      </c>
    </row>
    <row r="2514" spans="1:26" x14ac:dyDescent="0.25">
      <c r="A2514">
        <v>2024</v>
      </c>
      <c r="B2514">
        <v>64977</v>
      </c>
      <c r="C2514" t="s">
        <v>1668</v>
      </c>
      <c r="D2514" t="s">
        <v>150</v>
      </c>
      <c r="E2514" t="s">
        <v>85</v>
      </c>
      <c r="F2514" t="s">
        <v>86</v>
      </c>
      <c r="G2514" t="s">
        <v>57</v>
      </c>
      <c r="H2514" t="s">
        <v>101</v>
      </c>
      <c r="I2514" t="s">
        <v>151</v>
      </c>
      <c r="J2514">
        <v>7103.6</v>
      </c>
      <c r="K2514">
        <v>51618</v>
      </c>
      <c r="L2514">
        <v>3960</v>
      </c>
      <c r="M2514">
        <v>491</v>
      </c>
      <c r="N2514">
        <v>4090</v>
      </c>
      <c r="O2514">
        <v>64</v>
      </c>
      <c r="P2514">
        <v>0</v>
      </c>
      <c r="Q2514">
        <v>0</v>
      </c>
      <c r="R2514">
        <v>0</v>
      </c>
      <c r="S2514">
        <v>0</v>
      </c>
      <c r="T2514">
        <v>0</v>
      </c>
      <c r="U2514">
        <v>0</v>
      </c>
      <c r="V2514">
        <v>7594.6</v>
      </c>
      <c r="W2514">
        <v>55708</v>
      </c>
      <c r="X2514">
        <v>4024</v>
      </c>
      <c r="Y2514">
        <f t="shared" si="39"/>
        <v>55708</v>
      </c>
      <c r="Z2514" t="str">
        <f>IF(ISNUMBER(SEARCH("Adjustment",$C2514)),"excluded",IF($H2514="Behind the Meter","excluded",IF(NOT(OR($E2514="Bundled",$E2514="Energy")),"excluded",IF(OR($H2514="Retail Power Marketer",$H2514="Community Choice Aggregator",$E2514="Energy"),"procurement",IF(OR($H2514="Municipal",$H2514="Cooperative",$H2514="Federal",$H2514="State",$H2514="Political Subdivision"),"cost_service",IF($H2514="Investor Owned",IF(AND(COUNTIF(Parameters!$A$4:$A$33,$G2514)&gt;0,COUNTIF(Parameters!$B$4:$B$33,$B2514)=0),"procurement","cost_service"),"unclassified"))))))</f>
        <v>procurement</v>
      </c>
    </row>
    <row r="2515" spans="1:26" x14ac:dyDescent="0.25">
      <c r="A2515">
        <v>2024</v>
      </c>
      <c r="B2515">
        <v>65242</v>
      </c>
      <c r="C2515" t="s">
        <v>1669</v>
      </c>
      <c r="D2515" t="s">
        <v>84</v>
      </c>
      <c r="E2515" t="s">
        <v>85</v>
      </c>
      <c r="F2515" t="s">
        <v>86</v>
      </c>
      <c r="G2515" t="s">
        <v>115</v>
      </c>
      <c r="H2515" t="s">
        <v>1475</v>
      </c>
      <c r="I2515" t="s">
        <v>116</v>
      </c>
      <c r="J2515" t="s">
        <v>97</v>
      </c>
      <c r="K2515" t="s">
        <v>97</v>
      </c>
      <c r="L2515" t="s">
        <v>97</v>
      </c>
      <c r="M2515">
        <v>423</v>
      </c>
      <c r="N2515">
        <v>2185</v>
      </c>
      <c r="O2515">
        <v>2</v>
      </c>
      <c r="P2515" t="s">
        <v>97</v>
      </c>
      <c r="Q2515" t="s">
        <v>97</v>
      </c>
      <c r="R2515" t="s">
        <v>97</v>
      </c>
      <c r="S2515" t="s">
        <v>97</v>
      </c>
      <c r="T2515" t="s">
        <v>97</v>
      </c>
      <c r="U2515" t="s">
        <v>97</v>
      </c>
      <c r="V2515">
        <v>423</v>
      </c>
      <c r="W2515">
        <v>2185</v>
      </c>
      <c r="X2515">
        <v>2</v>
      </c>
      <c r="Y2515">
        <f t="shared" si="39"/>
        <v>2185</v>
      </c>
      <c r="Z2515" t="str">
        <f>IF(ISNUMBER(SEARCH("Adjustment",$C2515)),"excluded",IF($H2515="Behind the Meter","excluded",IF(NOT(OR($E2515="Bundled",$E2515="Energy")),"excluded",IF(OR($H2515="Retail Power Marketer",$H2515="Community Choice Aggregator",$E2515="Energy"),"procurement",IF(OR($H2515="Municipal",$H2515="Cooperative",$H2515="Federal",$H2515="State",$H2515="Political Subdivision"),"cost_service",IF($H2515="Investor Owned",IF(AND(COUNTIF(Parameters!$A$4:$A$33,$G2515)&gt;0,COUNTIF(Parameters!$B$4:$B$33,$B2515)=0),"procurement","cost_service"),"unclassified"))))))</f>
        <v>excluded</v>
      </c>
    </row>
    <row r="2516" spans="1:26" x14ac:dyDescent="0.25">
      <c r="A2516">
        <v>2024</v>
      </c>
      <c r="B2516">
        <v>65242</v>
      </c>
      <c r="C2516" t="s">
        <v>1669</v>
      </c>
      <c r="D2516" t="s">
        <v>84</v>
      </c>
      <c r="E2516" t="s">
        <v>85</v>
      </c>
      <c r="F2516" t="s">
        <v>86</v>
      </c>
      <c r="G2516" t="s">
        <v>361</v>
      </c>
      <c r="H2516" t="s">
        <v>1475</v>
      </c>
      <c r="I2516" t="s">
        <v>523</v>
      </c>
      <c r="J2516" t="s">
        <v>97</v>
      </c>
      <c r="K2516" t="s">
        <v>97</v>
      </c>
      <c r="L2516" t="s">
        <v>97</v>
      </c>
      <c r="M2516">
        <v>332</v>
      </c>
      <c r="N2516">
        <v>3209</v>
      </c>
      <c r="O2516">
        <v>4</v>
      </c>
      <c r="P2516" t="s">
        <v>97</v>
      </c>
      <c r="Q2516" t="s">
        <v>97</v>
      </c>
      <c r="R2516" t="s">
        <v>97</v>
      </c>
      <c r="S2516" t="s">
        <v>97</v>
      </c>
      <c r="T2516" t="s">
        <v>97</v>
      </c>
      <c r="U2516" t="s">
        <v>97</v>
      </c>
      <c r="V2516">
        <v>332</v>
      </c>
      <c r="W2516">
        <v>3209</v>
      </c>
      <c r="X2516">
        <v>4</v>
      </c>
      <c r="Y2516">
        <f t="shared" si="39"/>
        <v>3209</v>
      </c>
      <c r="Z2516" t="str">
        <f>IF(ISNUMBER(SEARCH("Adjustment",$C2516)),"excluded",IF($H2516="Behind the Meter","excluded",IF(NOT(OR($E2516="Bundled",$E2516="Energy")),"excluded",IF(OR($H2516="Retail Power Marketer",$H2516="Community Choice Aggregator",$E2516="Energy"),"procurement",IF(OR($H2516="Municipal",$H2516="Cooperative",$H2516="Federal",$H2516="State",$H2516="Political Subdivision"),"cost_service",IF($H2516="Investor Owned",IF(AND(COUNTIF(Parameters!$A$4:$A$33,$G2516)&gt;0,COUNTIF(Parameters!$B$4:$B$33,$B2516)=0),"procurement","cost_service"),"unclassified"))))))</f>
        <v>excluded</v>
      </c>
    </row>
    <row r="2517" spans="1:26" x14ac:dyDescent="0.25">
      <c r="A2517">
        <v>2024</v>
      </c>
      <c r="B2517">
        <v>65242</v>
      </c>
      <c r="C2517" t="s">
        <v>1669</v>
      </c>
      <c r="D2517" t="s">
        <v>84</v>
      </c>
      <c r="E2517" t="s">
        <v>85</v>
      </c>
      <c r="F2517" t="s">
        <v>86</v>
      </c>
      <c r="G2517" t="s">
        <v>44</v>
      </c>
      <c r="H2517" t="s">
        <v>1475</v>
      </c>
      <c r="I2517" t="s">
        <v>92</v>
      </c>
      <c r="J2517" t="s">
        <v>97</v>
      </c>
      <c r="K2517" t="s">
        <v>97</v>
      </c>
      <c r="L2517" t="s">
        <v>97</v>
      </c>
      <c r="M2517">
        <v>3.2</v>
      </c>
      <c r="N2517">
        <v>31</v>
      </c>
      <c r="O2517">
        <v>1</v>
      </c>
      <c r="P2517" t="s">
        <v>97</v>
      </c>
      <c r="Q2517" t="s">
        <v>97</v>
      </c>
      <c r="R2517" t="s">
        <v>97</v>
      </c>
      <c r="S2517" t="s">
        <v>97</v>
      </c>
      <c r="T2517" t="s">
        <v>97</v>
      </c>
      <c r="U2517" t="s">
        <v>97</v>
      </c>
      <c r="V2517">
        <v>3.2</v>
      </c>
      <c r="W2517">
        <v>31</v>
      </c>
      <c r="X2517">
        <v>1</v>
      </c>
      <c r="Y2517">
        <f t="shared" si="39"/>
        <v>31</v>
      </c>
      <c r="Z2517" t="str">
        <f>IF(ISNUMBER(SEARCH("Adjustment",$C2517)),"excluded",IF($H2517="Behind the Meter","excluded",IF(NOT(OR($E2517="Bundled",$E2517="Energy")),"excluded",IF(OR($H2517="Retail Power Marketer",$H2517="Community Choice Aggregator",$E2517="Energy"),"procurement",IF(OR($H2517="Municipal",$H2517="Cooperative",$H2517="Federal",$H2517="State",$H2517="Political Subdivision"),"cost_service",IF($H2517="Investor Owned",IF(AND(COUNTIF(Parameters!$A$4:$A$33,$G2517)&gt;0,COUNTIF(Parameters!$B$4:$B$33,$B2517)=0),"procurement","cost_service"),"unclassified"))))))</f>
        <v>excluded</v>
      </c>
    </row>
    <row r="2518" spans="1:26" x14ac:dyDescent="0.25">
      <c r="A2518">
        <v>2024</v>
      </c>
      <c r="B2518">
        <v>65242</v>
      </c>
      <c r="C2518" t="s">
        <v>1669</v>
      </c>
      <c r="D2518" t="s">
        <v>84</v>
      </c>
      <c r="E2518" t="s">
        <v>85</v>
      </c>
      <c r="F2518" t="s">
        <v>86</v>
      </c>
      <c r="G2518" t="s">
        <v>52</v>
      </c>
      <c r="H2518" t="s">
        <v>1475</v>
      </c>
      <c r="I2518" t="s">
        <v>92</v>
      </c>
      <c r="J2518" t="s">
        <v>97</v>
      </c>
      <c r="K2518" t="s">
        <v>97</v>
      </c>
      <c r="L2518" t="s">
        <v>97</v>
      </c>
      <c r="M2518">
        <v>153.6</v>
      </c>
      <c r="N2518">
        <v>2092</v>
      </c>
      <c r="O2518">
        <v>1</v>
      </c>
      <c r="P2518" t="s">
        <v>97</v>
      </c>
      <c r="Q2518" t="s">
        <v>97</v>
      </c>
      <c r="R2518" t="s">
        <v>97</v>
      </c>
      <c r="S2518" t="s">
        <v>97</v>
      </c>
      <c r="T2518" t="s">
        <v>97</v>
      </c>
      <c r="U2518" t="s">
        <v>97</v>
      </c>
      <c r="V2518">
        <v>153.6</v>
      </c>
      <c r="W2518">
        <v>2092</v>
      </c>
      <c r="X2518">
        <v>1</v>
      </c>
      <c r="Y2518">
        <f t="shared" si="39"/>
        <v>2092</v>
      </c>
      <c r="Z2518" t="str">
        <f>IF(ISNUMBER(SEARCH("Adjustment",$C2518)),"excluded",IF($H2518="Behind the Meter","excluded",IF(NOT(OR($E2518="Bundled",$E2518="Energy")),"excluded",IF(OR($H2518="Retail Power Marketer",$H2518="Community Choice Aggregator",$E2518="Energy"),"procurement",IF(OR($H2518="Municipal",$H2518="Cooperative",$H2518="Federal",$H2518="State",$H2518="Political Subdivision"),"cost_service",IF($H2518="Investor Owned",IF(AND(COUNTIF(Parameters!$A$4:$A$33,$G2518)&gt;0,COUNTIF(Parameters!$B$4:$B$33,$B2518)=0),"procurement","cost_service"),"unclassified"))))))</f>
        <v>excluded</v>
      </c>
    </row>
    <row r="2519" spans="1:26" x14ac:dyDescent="0.25">
      <c r="A2519">
        <v>2024</v>
      </c>
      <c r="B2519">
        <v>65242</v>
      </c>
      <c r="C2519" t="s">
        <v>1669</v>
      </c>
      <c r="D2519" t="s">
        <v>84</v>
      </c>
      <c r="E2519" t="s">
        <v>85</v>
      </c>
      <c r="F2519" t="s">
        <v>86</v>
      </c>
      <c r="G2519" t="s">
        <v>219</v>
      </c>
      <c r="H2519" t="s">
        <v>1475</v>
      </c>
      <c r="I2519" t="s">
        <v>972</v>
      </c>
      <c r="J2519" t="s">
        <v>97</v>
      </c>
      <c r="K2519" t="s">
        <v>97</v>
      </c>
      <c r="L2519" t="s">
        <v>97</v>
      </c>
      <c r="M2519">
        <v>266</v>
      </c>
      <c r="N2519">
        <v>670</v>
      </c>
      <c r="O2519">
        <v>3</v>
      </c>
      <c r="P2519" t="s">
        <v>97</v>
      </c>
      <c r="Q2519" t="s">
        <v>97</v>
      </c>
      <c r="R2519" t="s">
        <v>97</v>
      </c>
      <c r="S2519" t="s">
        <v>97</v>
      </c>
      <c r="T2519" t="s">
        <v>97</v>
      </c>
      <c r="U2519" t="s">
        <v>97</v>
      </c>
      <c r="V2519">
        <v>266</v>
      </c>
      <c r="W2519">
        <v>670</v>
      </c>
      <c r="X2519">
        <v>3</v>
      </c>
      <c r="Y2519">
        <f t="shared" si="39"/>
        <v>670</v>
      </c>
      <c r="Z2519" t="str">
        <f>IF(ISNUMBER(SEARCH("Adjustment",$C2519)),"excluded",IF($H2519="Behind the Meter","excluded",IF(NOT(OR($E2519="Bundled",$E2519="Energy")),"excluded",IF(OR($H2519="Retail Power Marketer",$H2519="Community Choice Aggregator",$E2519="Energy"),"procurement",IF(OR($H2519="Municipal",$H2519="Cooperative",$H2519="Federal",$H2519="State",$H2519="Political Subdivision"),"cost_service",IF($H2519="Investor Owned",IF(AND(COUNTIF(Parameters!$A$4:$A$33,$G2519)&gt;0,COUNTIF(Parameters!$B$4:$B$33,$B2519)=0),"procurement","cost_service"),"unclassified"))))))</f>
        <v>excluded</v>
      </c>
    </row>
    <row r="2520" spans="1:26" x14ac:dyDescent="0.25">
      <c r="A2520">
        <v>2024</v>
      </c>
      <c r="B2520">
        <v>65242</v>
      </c>
      <c r="C2520" t="s">
        <v>1669</v>
      </c>
      <c r="D2520" t="s">
        <v>84</v>
      </c>
      <c r="E2520" t="s">
        <v>85</v>
      </c>
      <c r="F2520" t="s">
        <v>86</v>
      </c>
      <c r="G2520" t="s">
        <v>55</v>
      </c>
      <c r="H2520" t="s">
        <v>1475</v>
      </c>
      <c r="I2520" t="s">
        <v>92</v>
      </c>
      <c r="J2520" t="s">
        <v>97</v>
      </c>
      <c r="K2520" t="s">
        <v>97</v>
      </c>
      <c r="L2520" t="s">
        <v>97</v>
      </c>
      <c r="M2520">
        <v>4.9000000000000004</v>
      </c>
      <c r="N2520">
        <v>37</v>
      </c>
      <c r="O2520">
        <v>1</v>
      </c>
      <c r="P2520" t="s">
        <v>97</v>
      </c>
      <c r="Q2520" t="s">
        <v>97</v>
      </c>
      <c r="R2520" t="s">
        <v>97</v>
      </c>
      <c r="S2520" t="s">
        <v>97</v>
      </c>
      <c r="T2520" t="s">
        <v>97</v>
      </c>
      <c r="U2520" t="s">
        <v>97</v>
      </c>
      <c r="V2520">
        <v>4.9000000000000004</v>
      </c>
      <c r="W2520">
        <v>37</v>
      </c>
      <c r="X2520">
        <v>1</v>
      </c>
      <c r="Y2520">
        <f t="shared" si="39"/>
        <v>37</v>
      </c>
      <c r="Z2520" t="str">
        <f>IF(ISNUMBER(SEARCH("Adjustment",$C2520)),"excluded",IF($H2520="Behind the Meter","excluded",IF(NOT(OR($E2520="Bundled",$E2520="Energy")),"excluded",IF(OR($H2520="Retail Power Marketer",$H2520="Community Choice Aggregator",$E2520="Energy"),"procurement",IF(OR($H2520="Municipal",$H2520="Cooperative",$H2520="Federal",$H2520="State",$H2520="Political Subdivision"),"cost_service",IF($H2520="Investor Owned",IF(AND(COUNTIF(Parameters!$A$4:$A$33,$G2520)&gt;0,COUNTIF(Parameters!$B$4:$B$33,$B2520)=0),"procurement","cost_service"),"unclassified"))))))</f>
        <v>excluded</v>
      </c>
    </row>
    <row r="2521" spans="1:26" x14ac:dyDescent="0.25">
      <c r="A2521">
        <v>2024</v>
      </c>
      <c r="B2521">
        <v>65259</v>
      </c>
      <c r="C2521" t="s">
        <v>1670</v>
      </c>
      <c r="D2521" t="s">
        <v>99</v>
      </c>
      <c r="E2521" t="s">
        <v>100</v>
      </c>
      <c r="F2521" t="s">
        <v>86</v>
      </c>
      <c r="G2521" t="s">
        <v>115</v>
      </c>
      <c r="H2521" t="s">
        <v>1464</v>
      </c>
      <c r="I2521" t="s">
        <v>116</v>
      </c>
      <c r="J2521">
        <v>48705</v>
      </c>
      <c r="K2521">
        <v>294561</v>
      </c>
      <c r="L2521">
        <v>41057</v>
      </c>
      <c r="M2521">
        <v>21537</v>
      </c>
      <c r="N2521">
        <v>154046</v>
      </c>
      <c r="O2521">
        <v>4345</v>
      </c>
      <c r="P2521">
        <v>5227</v>
      </c>
      <c r="Q2521">
        <v>47662</v>
      </c>
      <c r="R2521">
        <v>50</v>
      </c>
      <c r="S2521">
        <v>0</v>
      </c>
      <c r="T2521">
        <v>0</v>
      </c>
      <c r="U2521">
        <v>0</v>
      </c>
      <c r="V2521">
        <v>75469</v>
      </c>
      <c r="W2521">
        <v>496269</v>
      </c>
      <c r="X2521">
        <v>45452</v>
      </c>
      <c r="Y2521">
        <f t="shared" si="39"/>
        <v>496269</v>
      </c>
      <c r="Z2521" t="str">
        <f>IF(ISNUMBER(SEARCH("Adjustment",$C2521)),"excluded",IF($H2521="Behind the Meter","excluded",IF(NOT(OR($E2521="Bundled",$E2521="Energy")),"excluded",IF(OR($H2521="Retail Power Marketer",$H2521="Community Choice Aggregator",$E2521="Energy"),"procurement",IF(OR($H2521="Municipal",$H2521="Cooperative",$H2521="Federal",$H2521="State",$H2521="Political Subdivision"),"cost_service",IF($H2521="Investor Owned",IF(AND(COUNTIF(Parameters!$A$4:$A$33,$G2521)&gt;0,COUNTIF(Parameters!$B$4:$B$33,$B2521)=0),"procurement","cost_service"),"unclassified"))))))</f>
        <v>procurement</v>
      </c>
    </row>
    <row r="2522" spans="1:26" x14ac:dyDescent="0.25">
      <c r="A2522">
        <v>2024</v>
      </c>
      <c r="B2522">
        <v>65261</v>
      </c>
      <c r="C2522" t="s">
        <v>1671</v>
      </c>
      <c r="D2522" t="s">
        <v>84</v>
      </c>
      <c r="E2522" t="s">
        <v>85</v>
      </c>
      <c r="F2522" t="s">
        <v>86</v>
      </c>
      <c r="G2522" t="s">
        <v>108</v>
      </c>
      <c r="H2522" t="s">
        <v>91</v>
      </c>
      <c r="I2522" t="s">
        <v>243</v>
      </c>
      <c r="J2522">
        <v>6709</v>
      </c>
      <c r="K2522">
        <v>47079</v>
      </c>
      <c r="L2522">
        <v>2682</v>
      </c>
      <c r="M2522">
        <v>29047</v>
      </c>
      <c r="N2522">
        <v>231658</v>
      </c>
      <c r="O2522">
        <v>751</v>
      </c>
      <c r="P2522">
        <v>0</v>
      </c>
      <c r="Q2522" t="s">
        <v>97</v>
      </c>
      <c r="R2522" t="s">
        <v>97</v>
      </c>
      <c r="S2522">
        <v>0</v>
      </c>
      <c r="T2522" t="s">
        <v>97</v>
      </c>
      <c r="U2522" t="s">
        <v>97</v>
      </c>
      <c r="V2522">
        <v>35756</v>
      </c>
      <c r="W2522">
        <v>278737</v>
      </c>
      <c r="X2522">
        <v>3433</v>
      </c>
      <c r="Y2522">
        <f t="shared" si="39"/>
        <v>278737</v>
      </c>
      <c r="Z2522" t="str">
        <f>IF(ISNUMBER(SEARCH("Adjustment",$C2522)),"excluded",IF($H2522="Behind the Meter","excluded",IF(NOT(OR($E2522="Bundled",$E2522="Energy")),"excluded",IF(OR($H2522="Retail Power Marketer",$H2522="Community Choice Aggregator",$E2522="Energy"),"procurement",IF(OR($H2522="Municipal",$H2522="Cooperative",$H2522="Federal",$H2522="State",$H2522="Political Subdivision"),"cost_service",IF($H2522="Investor Owned",IF(AND(COUNTIF(Parameters!$A$4:$A$33,$G2522)&gt;0,COUNTIF(Parameters!$B$4:$B$33,$B2522)=0),"procurement","cost_service"),"unclassified"))))))</f>
        <v>cost_service</v>
      </c>
    </row>
    <row r="2523" spans="1:26" x14ac:dyDescent="0.25">
      <c r="A2523">
        <v>2024</v>
      </c>
      <c r="B2523">
        <v>65262</v>
      </c>
      <c r="C2523" t="s">
        <v>1672</v>
      </c>
      <c r="D2523" t="s">
        <v>99</v>
      </c>
      <c r="E2523" t="s">
        <v>100</v>
      </c>
      <c r="F2523" t="s">
        <v>86</v>
      </c>
      <c r="G2523" t="s">
        <v>54</v>
      </c>
      <c r="H2523" t="s">
        <v>101</v>
      </c>
      <c r="I2523" t="s">
        <v>92</v>
      </c>
      <c r="J2523">
        <v>34321.699999999997</v>
      </c>
      <c r="K2523">
        <v>473975</v>
      </c>
      <c r="L2523">
        <v>40167</v>
      </c>
      <c r="M2523">
        <v>14067.6</v>
      </c>
      <c r="N2523">
        <v>202247</v>
      </c>
      <c r="O2523">
        <v>6470</v>
      </c>
      <c r="P2523">
        <v>0</v>
      </c>
      <c r="Q2523">
        <v>0</v>
      </c>
      <c r="R2523">
        <v>0</v>
      </c>
      <c r="S2523">
        <v>0</v>
      </c>
      <c r="T2523">
        <v>0</v>
      </c>
      <c r="U2523">
        <v>0</v>
      </c>
      <c r="V2523">
        <v>48389.3</v>
      </c>
      <c r="W2523">
        <v>676222</v>
      </c>
      <c r="X2523">
        <v>46637</v>
      </c>
      <c r="Y2523">
        <f t="shared" si="39"/>
        <v>676222</v>
      </c>
      <c r="Z2523" t="str">
        <f>IF(ISNUMBER(SEARCH("Adjustment",$C2523)),"excluded",IF($H2523="Behind the Meter","excluded",IF(NOT(OR($E2523="Bundled",$E2523="Energy")),"excluded",IF(OR($H2523="Retail Power Marketer",$H2523="Community Choice Aggregator",$E2523="Energy"),"procurement",IF(OR($H2523="Municipal",$H2523="Cooperative",$H2523="Federal",$H2523="State",$H2523="Political Subdivision"),"cost_service",IF($H2523="Investor Owned",IF(AND(COUNTIF(Parameters!$A$4:$A$33,$G2523)&gt;0,COUNTIF(Parameters!$B$4:$B$33,$B2523)=0),"procurement","cost_service"),"unclassified"))))))</f>
        <v>procurement</v>
      </c>
    </row>
    <row r="2524" spans="1:26" x14ac:dyDescent="0.25">
      <c r="A2524">
        <v>2024</v>
      </c>
      <c r="B2524">
        <v>65262</v>
      </c>
      <c r="C2524" t="s">
        <v>1672</v>
      </c>
      <c r="D2524" t="s">
        <v>99</v>
      </c>
      <c r="E2524" t="s">
        <v>100</v>
      </c>
      <c r="F2524" t="s">
        <v>86</v>
      </c>
      <c r="G2524" t="s">
        <v>56</v>
      </c>
      <c r="H2524" t="s">
        <v>101</v>
      </c>
      <c r="I2524" t="s">
        <v>189</v>
      </c>
      <c r="J2524">
        <v>442.6</v>
      </c>
      <c r="K2524">
        <v>3257</v>
      </c>
      <c r="L2524">
        <v>421</v>
      </c>
      <c r="M2524">
        <v>795.5</v>
      </c>
      <c r="N2524">
        <v>7284</v>
      </c>
      <c r="O2524">
        <v>99</v>
      </c>
      <c r="P2524">
        <v>406.8</v>
      </c>
      <c r="Q2524">
        <v>3849</v>
      </c>
      <c r="R2524">
        <v>7</v>
      </c>
      <c r="S2524" t="s">
        <v>97</v>
      </c>
      <c r="T2524" t="s">
        <v>97</v>
      </c>
      <c r="U2524" t="s">
        <v>97</v>
      </c>
      <c r="V2524">
        <v>1644.9</v>
      </c>
      <c r="W2524">
        <v>14390</v>
      </c>
      <c r="X2524">
        <v>527</v>
      </c>
      <c r="Y2524">
        <f t="shared" si="39"/>
        <v>14390</v>
      </c>
      <c r="Z2524" t="str">
        <f>IF(ISNUMBER(SEARCH("Adjustment",$C2524)),"excluded",IF($H2524="Behind the Meter","excluded",IF(NOT(OR($E2524="Bundled",$E2524="Energy")),"excluded",IF(OR($H2524="Retail Power Marketer",$H2524="Community Choice Aggregator",$E2524="Energy"),"procurement",IF(OR($H2524="Municipal",$H2524="Cooperative",$H2524="Federal",$H2524="State",$H2524="Political Subdivision"),"cost_service",IF($H2524="Investor Owned",IF(AND(COUNTIF(Parameters!$A$4:$A$33,$G2524)&gt;0,COUNTIF(Parameters!$B$4:$B$33,$B2524)=0),"procurement","cost_service"),"unclassified"))))))</f>
        <v>procurement</v>
      </c>
    </row>
    <row r="2525" spans="1:26" x14ac:dyDescent="0.25">
      <c r="A2525">
        <v>2024</v>
      </c>
      <c r="B2525">
        <v>65310</v>
      </c>
      <c r="C2525" t="s">
        <v>1673</v>
      </c>
      <c r="D2525" t="s">
        <v>99</v>
      </c>
      <c r="E2525" t="s">
        <v>100</v>
      </c>
      <c r="F2525" t="s">
        <v>86</v>
      </c>
      <c r="G2525" t="s">
        <v>40</v>
      </c>
      <c r="H2525" t="s">
        <v>101</v>
      </c>
      <c r="I2525" t="s">
        <v>189</v>
      </c>
      <c r="J2525">
        <v>29946.2</v>
      </c>
      <c r="K2525">
        <v>254845</v>
      </c>
      <c r="L2525">
        <v>26417</v>
      </c>
      <c r="M2525">
        <v>3841.7</v>
      </c>
      <c r="N2525">
        <v>36863</v>
      </c>
      <c r="O2525">
        <v>1121</v>
      </c>
      <c r="P2525">
        <v>0</v>
      </c>
      <c r="Q2525">
        <v>0</v>
      </c>
      <c r="R2525">
        <v>0</v>
      </c>
      <c r="S2525">
        <v>0</v>
      </c>
      <c r="T2525">
        <v>0</v>
      </c>
      <c r="U2525">
        <v>0</v>
      </c>
      <c r="V2525">
        <v>33787.9</v>
      </c>
      <c r="W2525">
        <v>291708</v>
      </c>
      <c r="X2525">
        <v>27538</v>
      </c>
      <c r="Y2525">
        <f t="shared" si="39"/>
        <v>291708</v>
      </c>
      <c r="Z2525" t="str">
        <f>IF(ISNUMBER(SEARCH("Adjustment",$C2525)),"excluded",IF($H2525="Behind the Meter","excluded",IF(NOT(OR($E2525="Bundled",$E2525="Energy")),"excluded",IF(OR($H2525="Retail Power Marketer",$H2525="Community Choice Aggregator",$E2525="Energy"),"procurement",IF(OR($H2525="Municipal",$H2525="Cooperative",$H2525="Federal",$H2525="State",$H2525="Political Subdivision"),"cost_service",IF($H2525="Investor Owned",IF(AND(COUNTIF(Parameters!$A$4:$A$33,$G2525)&gt;0,COUNTIF(Parameters!$B$4:$B$33,$B2525)=0),"procurement","cost_service"),"unclassified"))))))</f>
        <v>procurement</v>
      </c>
    </row>
    <row r="2526" spans="1:26" x14ac:dyDescent="0.25">
      <c r="A2526">
        <v>2024</v>
      </c>
      <c r="B2526">
        <v>65310</v>
      </c>
      <c r="C2526" t="s">
        <v>1673</v>
      </c>
      <c r="D2526" t="s">
        <v>99</v>
      </c>
      <c r="E2526" t="s">
        <v>100</v>
      </c>
      <c r="F2526" t="s">
        <v>86</v>
      </c>
      <c r="G2526" t="s">
        <v>42</v>
      </c>
      <c r="H2526" t="s">
        <v>101</v>
      </c>
      <c r="I2526" t="s">
        <v>92</v>
      </c>
      <c r="J2526">
        <v>330.5</v>
      </c>
      <c r="K2526">
        <v>3066</v>
      </c>
      <c r="L2526">
        <v>116</v>
      </c>
      <c r="M2526">
        <v>40.299999999999997</v>
      </c>
      <c r="N2526">
        <v>386</v>
      </c>
      <c r="O2526">
        <v>13</v>
      </c>
      <c r="P2526">
        <v>0</v>
      </c>
      <c r="Q2526">
        <v>0</v>
      </c>
      <c r="R2526">
        <v>0</v>
      </c>
      <c r="S2526">
        <v>0</v>
      </c>
      <c r="T2526">
        <v>0</v>
      </c>
      <c r="U2526">
        <v>0</v>
      </c>
      <c r="V2526">
        <v>370.8</v>
      </c>
      <c r="W2526">
        <v>3452</v>
      </c>
      <c r="X2526">
        <v>129</v>
      </c>
      <c r="Y2526">
        <f t="shared" si="39"/>
        <v>3452</v>
      </c>
      <c r="Z2526" t="str">
        <f>IF(ISNUMBER(SEARCH("Adjustment",$C2526)),"excluded",IF($H2526="Behind the Meter","excluded",IF(NOT(OR($E2526="Bundled",$E2526="Energy")),"excluded",IF(OR($H2526="Retail Power Marketer",$H2526="Community Choice Aggregator",$E2526="Energy"),"procurement",IF(OR($H2526="Municipal",$H2526="Cooperative",$H2526="Federal",$H2526="State",$H2526="Political Subdivision"),"cost_service",IF($H2526="Investor Owned",IF(AND(COUNTIF(Parameters!$A$4:$A$33,$G2526)&gt;0,COUNTIF(Parameters!$B$4:$B$33,$B2526)=0),"procurement","cost_service"),"unclassified"))))))</f>
        <v>procurement</v>
      </c>
    </row>
    <row r="2527" spans="1:26" x14ac:dyDescent="0.25">
      <c r="A2527">
        <v>2024</v>
      </c>
      <c r="B2527">
        <v>65310</v>
      </c>
      <c r="C2527" t="s">
        <v>1673</v>
      </c>
      <c r="D2527" t="s">
        <v>99</v>
      </c>
      <c r="E2527" t="s">
        <v>100</v>
      </c>
      <c r="F2527" t="s">
        <v>86</v>
      </c>
      <c r="G2527" t="s">
        <v>44</v>
      </c>
      <c r="H2527" t="s">
        <v>101</v>
      </c>
      <c r="I2527" t="s">
        <v>92</v>
      </c>
      <c r="J2527">
        <v>34.6</v>
      </c>
      <c r="K2527">
        <v>310</v>
      </c>
      <c r="L2527">
        <v>31</v>
      </c>
      <c r="M2527">
        <v>56.9</v>
      </c>
      <c r="N2527">
        <v>449</v>
      </c>
      <c r="O2527">
        <v>11</v>
      </c>
      <c r="P2527">
        <v>0</v>
      </c>
      <c r="Q2527">
        <v>0</v>
      </c>
      <c r="R2527">
        <v>0</v>
      </c>
      <c r="S2527">
        <v>0</v>
      </c>
      <c r="T2527">
        <v>0</v>
      </c>
      <c r="U2527">
        <v>0</v>
      </c>
      <c r="V2527">
        <v>91.5</v>
      </c>
      <c r="W2527">
        <v>759</v>
      </c>
      <c r="X2527">
        <v>42</v>
      </c>
      <c r="Y2527">
        <f t="shared" si="39"/>
        <v>759</v>
      </c>
      <c r="Z2527" t="str">
        <f>IF(ISNUMBER(SEARCH("Adjustment",$C2527)),"excluded",IF($H2527="Behind the Meter","excluded",IF(NOT(OR($E2527="Bundled",$E2527="Energy")),"excluded",IF(OR($H2527="Retail Power Marketer",$H2527="Community Choice Aggregator",$E2527="Energy"),"procurement",IF(OR($H2527="Municipal",$H2527="Cooperative",$H2527="Federal",$H2527="State",$H2527="Political Subdivision"),"cost_service",IF($H2527="Investor Owned",IF(AND(COUNTIF(Parameters!$A$4:$A$33,$G2527)&gt;0,COUNTIF(Parameters!$B$4:$B$33,$B2527)=0),"procurement","cost_service"),"unclassified"))))))</f>
        <v>procurement</v>
      </c>
    </row>
    <row r="2528" spans="1:26" x14ac:dyDescent="0.25">
      <c r="A2528">
        <v>2024</v>
      </c>
      <c r="B2528">
        <v>65310</v>
      </c>
      <c r="C2528" t="s">
        <v>1673</v>
      </c>
      <c r="D2528" t="s">
        <v>99</v>
      </c>
      <c r="E2528" t="s">
        <v>100</v>
      </c>
      <c r="F2528" t="s">
        <v>86</v>
      </c>
      <c r="G2528" t="s">
        <v>46</v>
      </c>
      <c r="H2528" t="s">
        <v>101</v>
      </c>
      <c r="I2528" t="s">
        <v>92</v>
      </c>
      <c r="J2528">
        <v>1548.9</v>
      </c>
      <c r="K2528">
        <v>17557</v>
      </c>
      <c r="L2528">
        <v>2218</v>
      </c>
      <c r="M2528">
        <v>259.3</v>
      </c>
      <c r="N2528">
        <v>2844</v>
      </c>
      <c r="O2528">
        <v>109</v>
      </c>
      <c r="P2528">
        <v>0</v>
      </c>
      <c r="Q2528">
        <v>0</v>
      </c>
      <c r="R2528">
        <v>0</v>
      </c>
      <c r="S2528">
        <v>0</v>
      </c>
      <c r="T2528">
        <v>0</v>
      </c>
      <c r="U2528">
        <v>0</v>
      </c>
      <c r="V2528">
        <v>1808.2</v>
      </c>
      <c r="W2528">
        <v>20401</v>
      </c>
      <c r="X2528">
        <v>2327</v>
      </c>
      <c r="Y2528">
        <f t="shared" si="39"/>
        <v>20401</v>
      </c>
      <c r="Z2528" t="str">
        <f>IF(ISNUMBER(SEARCH("Adjustment",$C2528)),"excluded",IF($H2528="Behind the Meter","excluded",IF(NOT(OR($E2528="Bundled",$E2528="Energy")),"excluded",IF(OR($H2528="Retail Power Marketer",$H2528="Community Choice Aggregator",$E2528="Energy"),"procurement",IF(OR($H2528="Municipal",$H2528="Cooperative",$H2528="Federal",$H2528="State",$H2528="Political Subdivision"),"cost_service",IF($H2528="Investor Owned",IF(AND(COUNTIF(Parameters!$A$4:$A$33,$G2528)&gt;0,COUNTIF(Parameters!$B$4:$B$33,$B2528)=0),"procurement","cost_service"),"unclassified"))))))</f>
        <v>procurement</v>
      </c>
    </row>
    <row r="2529" spans="1:26" x14ac:dyDescent="0.25">
      <c r="A2529">
        <v>2024</v>
      </c>
      <c r="B2529">
        <v>65310</v>
      </c>
      <c r="C2529" t="s">
        <v>1673</v>
      </c>
      <c r="D2529" t="s">
        <v>99</v>
      </c>
      <c r="E2529" t="s">
        <v>100</v>
      </c>
      <c r="F2529" t="s">
        <v>86</v>
      </c>
      <c r="G2529" t="s">
        <v>48</v>
      </c>
      <c r="H2529" t="s">
        <v>101</v>
      </c>
      <c r="I2529" t="s">
        <v>189</v>
      </c>
      <c r="J2529">
        <v>6094.1</v>
      </c>
      <c r="K2529">
        <v>40593</v>
      </c>
      <c r="L2529">
        <v>5108</v>
      </c>
      <c r="M2529">
        <v>2082.8000000000002</v>
      </c>
      <c r="N2529">
        <v>13469</v>
      </c>
      <c r="O2529">
        <v>627</v>
      </c>
      <c r="P2529">
        <v>0</v>
      </c>
      <c r="Q2529">
        <v>0</v>
      </c>
      <c r="R2529">
        <v>0</v>
      </c>
      <c r="S2529">
        <v>0</v>
      </c>
      <c r="T2529">
        <v>0</v>
      </c>
      <c r="U2529">
        <v>0</v>
      </c>
      <c r="V2529">
        <v>8176.9</v>
      </c>
      <c r="W2529">
        <v>54062</v>
      </c>
      <c r="X2529">
        <v>5735</v>
      </c>
      <c r="Y2529">
        <f t="shared" si="39"/>
        <v>54062</v>
      </c>
      <c r="Z2529" t="str">
        <f>IF(ISNUMBER(SEARCH("Adjustment",$C2529)),"excluded",IF($H2529="Behind the Meter","excluded",IF(NOT(OR($E2529="Bundled",$E2529="Energy")),"excluded",IF(OR($H2529="Retail Power Marketer",$H2529="Community Choice Aggregator",$E2529="Energy"),"procurement",IF(OR($H2529="Municipal",$H2529="Cooperative",$H2529="Federal",$H2529="State",$H2529="Political Subdivision"),"cost_service",IF($H2529="Investor Owned",IF(AND(COUNTIF(Parameters!$A$4:$A$33,$G2529)&gt;0,COUNTIF(Parameters!$B$4:$B$33,$B2529)=0),"procurement","cost_service"),"unclassified"))))))</f>
        <v>procurement</v>
      </c>
    </row>
    <row r="2530" spans="1:26" x14ac:dyDescent="0.25">
      <c r="A2530">
        <v>2024</v>
      </c>
      <c r="B2530">
        <v>65310</v>
      </c>
      <c r="C2530" t="s">
        <v>1673</v>
      </c>
      <c r="D2530" t="s">
        <v>99</v>
      </c>
      <c r="E2530" t="s">
        <v>100</v>
      </c>
      <c r="F2530" t="s">
        <v>86</v>
      </c>
      <c r="G2530" t="s">
        <v>49</v>
      </c>
      <c r="H2530" t="s">
        <v>101</v>
      </c>
      <c r="I2530" t="s">
        <v>92</v>
      </c>
      <c r="J2530">
        <v>1544.7</v>
      </c>
      <c r="K2530">
        <v>13876</v>
      </c>
      <c r="L2530">
        <v>1276</v>
      </c>
      <c r="M2530">
        <v>812</v>
      </c>
      <c r="N2530">
        <v>6279</v>
      </c>
      <c r="O2530">
        <v>199</v>
      </c>
      <c r="P2530">
        <v>0</v>
      </c>
      <c r="Q2530">
        <v>0</v>
      </c>
      <c r="R2530">
        <v>0</v>
      </c>
      <c r="S2530">
        <v>0</v>
      </c>
      <c r="T2530">
        <v>0</v>
      </c>
      <c r="U2530">
        <v>0</v>
      </c>
      <c r="V2530">
        <v>2356.6999999999998</v>
      </c>
      <c r="W2530">
        <v>20155</v>
      </c>
      <c r="X2530">
        <v>1475</v>
      </c>
      <c r="Y2530">
        <f t="shared" si="39"/>
        <v>20155</v>
      </c>
      <c r="Z2530" t="str">
        <f>IF(ISNUMBER(SEARCH("Adjustment",$C2530)),"excluded",IF($H2530="Behind the Meter","excluded",IF(NOT(OR($E2530="Bundled",$E2530="Energy")),"excluded",IF(OR($H2530="Retail Power Marketer",$H2530="Community Choice Aggregator",$E2530="Energy"),"procurement",IF(OR($H2530="Municipal",$H2530="Cooperative",$H2530="Federal",$H2530="State",$H2530="Political Subdivision"),"cost_service",IF($H2530="Investor Owned",IF(AND(COUNTIF(Parameters!$A$4:$A$33,$G2530)&gt;0,COUNTIF(Parameters!$B$4:$B$33,$B2530)=0),"procurement","cost_service"),"unclassified"))))))</f>
        <v>procurement</v>
      </c>
    </row>
    <row r="2531" spans="1:26" x14ac:dyDescent="0.25">
      <c r="A2531">
        <v>2024</v>
      </c>
      <c r="B2531">
        <v>65310</v>
      </c>
      <c r="C2531" t="s">
        <v>1673</v>
      </c>
      <c r="D2531" t="s">
        <v>99</v>
      </c>
      <c r="E2531" t="s">
        <v>100</v>
      </c>
      <c r="F2531" t="s">
        <v>86</v>
      </c>
      <c r="G2531" t="s">
        <v>50</v>
      </c>
      <c r="H2531" t="s">
        <v>101</v>
      </c>
      <c r="I2531" t="s">
        <v>189</v>
      </c>
      <c r="J2531">
        <v>3182.9</v>
      </c>
      <c r="K2531">
        <v>24466</v>
      </c>
      <c r="L2531">
        <v>3553</v>
      </c>
      <c r="M2531">
        <v>738.8</v>
      </c>
      <c r="N2531">
        <v>5746</v>
      </c>
      <c r="O2531">
        <v>233</v>
      </c>
      <c r="P2531">
        <v>0</v>
      </c>
      <c r="Q2531">
        <v>0</v>
      </c>
      <c r="R2531">
        <v>0</v>
      </c>
      <c r="S2531">
        <v>0</v>
      </c>
      <c r="T2531">
        <v>0</v>
      </c>
      <c r="U2531">
        <v>0</v>
      </c>
      <c r="V2531">
        <v>3921.7</v>
      </c>
      <c r="W2531">
        <v>30212</v>
      </c>
      <c r="X2531">
        <v>3786</v>
      </c>
      <c r="Y2531">
        <f t="shared" si="39"/>
        <v>30212</v>
      </c>
      <c r="Z2531" t="str">
        <f>IF(ISNUMBER(SEARCH("Adjustment",$C2531)),"excluded",IF($H2531="Behind the Meter","excluded",IF(NOT(OR($E2531="Bundled",$E2531="Energy")),"excluded",IF(OR($H2531="Retail Power Marketer",$H2531="Community Choice Aggregator",$E2531="Energy"),"procurement",IF(OR($H2531="Municipal",$H2531="Cooperative",$H2531="Federal",$H2531="State",$H2531="Political Subdivision"),"cost_service",IF($H2531="Investor Owned",IF(AND(COUNTIF(Parameters!$A$4:$A$33,$G2531)&gt;0,COUNTIF(Parameters!$B$4:$B$33,$B2531)=0),"procurement","cost_service"),"unclassified"))))))</f>
        <v>procurement</v>
      </c>
    </row>
    <row r="2532" spans="1:26" x14ac:dyDescent="0.25">
      <c r="A2532">
        <v>2024</v>
      </c>
      <c r="B2532">
        <v>65310</v>
      </c>
      <c r="C2532" t="s">
        <v>1673</v>
      </c>
      <c r="D2532" t="s">
        <v>99</v>
      </c>
      <c r="E2532" t="s">
        <v>100</v>
      </c>
      <c r="F2532" t="s">
        <v>86</v>
      </c>
      <c r="G2532" t="s">
        <v>51</v>
      </c>
      <c r="H2532" t="s">
        <v>101</v>
      </c>
      <c r="I2532" t="s">
        <v>189</v>
      </c>
      <c r="J2532">
        <v>3220.8</v>
      </c>
      <c r="K2532">
        <v>25449</v>
      </c>
      <c r="L2532">
        <v>2702</v>
      </c>
      <c r="M2532">
        <v>294.7</v>
      </c>
      <c r="N2532">
        <v>2437</v>
      </c>
      <c r="O2532">
        <v>80</v>
      </c>
      <c r="P2532">
        <v>0</v>
      </c>
      <c r="Q2532">
        <v>0</v>
      </c>
      <c r="R2532">
        <v>0</v>
      </c>
      <c r="S2532">
        <v>0</v>
      </c>
      <c r="T2532">
        <v>0</v>
      </c>
      <c r="U2532">
        <v>0</v>
      </c>
      <c r="V2532">
        <v>3515.5</v>
      </c>
      <c r="W2532">
        <v>27886</v>
      </c>
      <c r="X2532">
        <v>2782</v>
      </c>
      <c r="Y2532">
        <f t="shared" si="39"/>
        <v>27886</v>
      </c>
      <c r="Z2532" t="str">
        <f>IF(ISNUMBER(SEARCH("Adjustment",$C2532)),"excluded",IF($H2532="Behind the Meter","excluded",IF(NOT(OR($E2532="Bundled",$E2532="Energy")),"excluded",IF(OR($H2532="Retail Power Marketer",$H2532="Community Choice Aggregator",$E2532="Energy"),"procurement",IF(OR($H2532="Municipal",$H2532="Cooperative",$H2532="Federal",$H2532="State",$H2532="Political Subdivision"),"cost_service",IF($H2532="Investor Owned",IF(AND(COUNTIF(Parameters!$A$4:$A$33,$G2532)&gt;0,COUNTIF(Parameters!$B$4:$B$33,$B2532)=0),"procurement","cost_service"),"unclassified"))))))</f>
        <v>procurement</v>
      </c>
    </row>
    <row r="2533" spans="1:26" x14ac:dyDescent="0.25">
      <c r="A2533">
        <v>2024</v>
      </c>
      <c r="B2533">
        <v>65310</v>
      </c>
      <c r="C2533" t="s">
        <v>1673</v>
      </c>
      <c r="D2533" t="s">
        <v>99</v>
      </c>
      <c r="E2533" t="s">
        <v>100</v>
      </c>
      <c r="F2533" t="s">
        <v>86</v>
      </c>
      <c r="G2533" t="s">
        <v>52</v>
      </c>
      <c r="H2533" t="s">
        <v>101</v>
      </c>
      <c r="I2533" t="s">
        <v>92</v>
      </c>
      <c r="J2533">
        <v>1594.5</v>
      </c>
      <c r="K2533">
        <v>15085</v>
      </c>
      <c r="L2533">
        <v>1263</v>
      </c>
      <c r="M2533">
        <v>292.10000000000002</v>
      </c>
      <c r="N2533">
        <v>2781</v>
      </c>
      <c r="O2533">
        <v>187</v>
      </c>
      <c r="P2533">
        <v>0</v>
      </c>
      <c r="Q2533">
        <v>0</v>
      </c>
      <c r="R2533">
        <v>0</v>
      </c>
      <c r="S2533">
        <v>0</v>
      </c>
      <c r="T2533">
        <v>0</v>
      </c>
      <c r="U2533">
        <v>0</v>
      </c>
      <c r="V2533">
        <v>1886.6</v>
      </c>
      <c r="W2533">
        <v>17866</v>
      </c>
      <c r="X2533">
        <v>1450</v>
      </c>
      <c r="Y2533">
        <f t="shared" si="39"/>
        <v>17866</v>
      </c>
      <c r="Z2533" t="str">
        <f>IF(ISNUMBER(SEARCH("Adjustment",$C2533)),"excluded",IF($H2533="Behind the Meter","excluded",IF(NOT(OR($E2533="Bundled",$E2533="Energy")),"excluded",IF(OR($H2533="Retail Power Marketer",$H2533="Community Choice Aggregator",$E2533="Energy"),"procurement",IF(OR($H2533="Municipal",$H2533="Cooperative",$H2533="Federal",$H2533="State",$H2533="Political Subdivision"),"cost_service",IF($H2533="Investor Owned",IF(AND(COUNTIF(Parameters!$A$4:$A$33,$G2533)&gt;0,COUNTIF(Parameters!$B$4:$B$33,$B2533)=0),"procurement","cost_service"),"unclassified"))))))</f>
        <v>procurement</v>
      </c>
    </row>
    <row r="2534" spans="1:26" x14ac:dyDescent="0.25">
      <c r="A2534">
        <v>2024</v>
      </c>
      <c r="B2534">
        <v>65310</v>
      </c>
      <c r="C2534" t="s">
        <v>1673</v>
      </c>
      <c r="D2534" t="s">
        <v>99</v>
      </c>
      <c r="E2534" t="s">
        <v>100</v>
      </c>
      <c r="F2534" t="s">
        <v>86</v>
      </c>
      <c r="G2534" t="s">
        <v>53</v>
      </c>
      <c r="H2534" t="s">
        <v>101</v>
      </c>
      <c r="I2534" t="s">
        <v>102</v>
      </c>
      <c r="J2534">
        <v>1291.3</v>
      </c>
      <c r="K2534">
        <v>11331</v>
      </c>
      <c r="L2534">
        <v>1109</v>
      </c>
      <c r="M2534">
        <v>238.5</v>
      </c>
      <c r="N2534">
        <v>2088</v>
      </c>
      <c r="O2534">
        <v>104</v>
      </c>
      <c r="P2534">
        <v>0</v>
      </c>
      <c r="Q2534">
        <v>0</v>
      </c>
      <c r="R2534">
        <v>0</v>
      </c>
      <c r="S2534">
        <v>0</v>
      </c>
      <c r="T2534">
        <v>0</v>
      </c>
      <c r="U2534">
        <v>0</v>
      </c>
      <c r="V2534">
        <v>1529.8</v>
      </c>
      <c r="W2534">
        <v>13419</v>
      </c>
      <c r="X2534">
        <v>1213</v>
      </c>
      <c r="Y2534">
        <f t="shared" si="39"/>
        <v>13419</v>
      </c>
      <c r="Z2534" t="str">
        <f>IF(ISNUMBER(SEARCH("Adjustment",$C2534)),"excluded",IF($H2534="Behind the Meter","excluded",IF(NOT(OR($E2534="Bundled",$E2534="Energy")),"excluded",IF(OR($H2534="Retail Power Marketer",$H2534="Community Choice Aggregator",$E2534="Energy"),"procurement",IF(OR($H2534="Municipal",$H2534="Cooperative",$H2534="Federal",$H2534="State",$H2534="Political Subdivision"),"cost_service",IF($H2534="Investor Owned",IF(AND(COUNTIF(Parameters!$A$4:$A$33,$G2534)&gt;0,COUNTIF(Parameters!$B$4:$B$33,$B2534)=0),"procurement","cost_service"),"unclassified"))))))</f>
        <v>procurement</v>
      </c>
    </row>
    <row r="2535" spans="1:26" x14ac:dyDescent="0.25">
      <c r="A2535">
        <v>2024</v>
      </c>
      <c r="B2535">
        <v>65310</v>
      </c>
      <c r="C2535" t="s">
        <v>1673</v>
      </c>
      <c r="D2535" t="s">
        <v>99</v>
      </c>
      <c r="E2535" t="s">
        <v>100</v>
      </c>
      <c r="F2535" t="s">
        <v>86</v>
      </c>
      <c r="G2535" t="s">
        <v>54</v>
      </c>
      <c r="H2535" t="s">
        <v>101</v>
      </c>
      <c r="I2535" t="s">
        <v>92</v>
      </c>
      <c r="J2535">
        <v>2084.8000000000002</v>
      </c>
      <c r="K2535">
        <v>25228</v>
      </c>
      <c r="L2535">
        <v>2136</v>
      </c>
      <c r="M2535">
        <v>277.8</v>
      </c>
      <c r="N2535">
        <v>3444</v>
      </c>
      <c r="O2535">
        <v>169</v>
      </c>
      <c r="P2535">
        <v>0</v>
      </c>
      <c r="Q2535">
        <v>0</v>
      </c>
      <c r="R2535">
        <v>0</v>
      </c>
      <c r="S2535">
        <v>0</v>
      </c>
      <c r="T2535">
        <v>0</v>
      </c>
      <c r="U2535">
        <v>0</v>
      </c>
      <c r="V2535">
        <v>2362.6</v>
      </c>
      <c r="W2535">
        <v>28672</v>
      </c>
      <c r="X2535">
        <v>2305</v>
      </c>
      <c r="Y2535">
        <f t="shared" si="39"/>
        <v>28672</v>
      </c>
      <c r="Z2535" t="str">
        <f>IF(ISNUMBER(SEARCH("Adjustment",$C2535)),"excluded",IF($H2535="Behind the Meter","excluded",IF(NOT(OR($E2535="Bundled",$E2535="Energy")),"excluded",IF(OR($H2535="Retail Power Marketer",$H2535="Community Choice Aggregator",$E2535="Energy"),"procurement",IF(OR($H2535="Municipal",$H2535="Cooperative",$H2535="Federal",$H2535="State",$H2535="Political Subdivision"),"cost_service",IF($H2535="Investor Owned",IF(AND(COUNTIF(Parameters!$A$4:$A$33,$G2535)&gt;0,COUNTIF(Parameters!$B$4:$B$33,$B2535)=0),"procurement","cost_service"),"unclassified"))))))</f>
        <v>procurement</v>
      </c>
    </row>
    <row r="2536" spans="1:26" x14ac:dyDescent="0.25">
      <c r="A2536">
        <v>2024</v>
      </c>
      <c r="B2536">
        <v>65310</v>
      </c>
      <c r="C2536" t="s">
        <v>1673</v>
      </c>
      <c r="D2536" t="s">
        <v>99</v>
      </c>
      <c r="E2536" t="s">
        <v>100</v>
      </c>
      <c r="F2536" t="s">
        <v>86</v>
      </c>
      <c r="G2536" t="s">
        <v>55</v>
      </c>
      <c r="H2536" t="s">
        <v>101</v>
      </c>
      <c r="I2536" t="s">
        <v>92</v>
      </c>
      <c r="J2536">
        <v>8619.5</v>
      </c>
      <c r="K2536">
        <v>82288</v>
      </c>
      <c r="L2536">
        <v>7700</v>
      </c>
      <c r="M2536">
        <v>1686.8</v>
      </c>
      <c r="N2536">
        <v>14918</v>
      </c>
      <c r="O2536">
        <v>644</v>
      </c>
      <c r="P2536">
        <v>0</v>
      </c>
      <c r="Q2536">
        <v>0</v>
      </c>
      <c r="R2536">
        <v>0</v>
      </c>
      <c r="S2536">
        <v>0</v>
      </c>
      <c r="T2536">
        <v>0</v>
      </c>
      <c r="U2536">
        <v>0</v>
      </c>
      <c r="V2536">
        <v>10306.299999999999</v>
      </c>
      <c r="W2536">
        <v>97206</v>
      </c>
      <c r="X2536">
        <v>8344</v>
      </c>
      <c r="Y2536">
        <f t="shared" si="39"/>
        <v>97206</v>
      </c>
      <c r="Z2536" t="str">
        <f>IF(ISNUMBER(SEARCH("Adjustment",$C2536)),"excluded",IF($H2536="Behind the Meter","excluded",IF(NOT(OR($E2536="Bundled",$E2536="Energy")),"excluded",IF(OR($H2536="Retail Power Marketer",$H2536="Community Choice Aggregator",$E2536="Energy"),"procurement",IF(OR($H2536="Municipal",$H2536="Cooperative",$H2536="Federal",$H2536="State",$H2536="Political Subdivision"),"cost_service",IF($H2536="Investor Owned",IF(AND(COUNTIF(Parameters!$A$4:$A$33,$G2536)&gt;0,COUNTIF(Parameters!$B$4:$B$33,$B2536)=0),"procurement","cost_service"),"unclassified"))))))</f>
        <v>procurement</v>
      </c>
    </row>
    <row r="2537" spans="1:26" x14ac:dyDescent="0.25">
      <c r="A2537">
        <v>2024</v>
      </c>
      <c r="B2537">
        <v>65310</v>
      </c>
      <c r="C2537" t="s">
        <v>1673</v>
      </c>
      <c r="D2537" t="s">
        <v>99</v>
      </c>
      <c r="E2537" t="s">
        <v>100</v>
      </c>
      <c r="F2537" t="s">
        <v>86</v>
      </c>
      <c r="G2537" t="s">
        <v>56</v>
      </c>
      <c r="H2537" t="s">
        <v>101</v>
      </c>
      <c r="I2537" t="s">
        <v>189</v>
      </c>
      <c r="J2537">
        <v>919.6</v>
      </c>
      <c r="K2537">
        <v>6748</v>
      </c>
      <c r="L2537">
        <v>719</v>
      </c>
      <c r="M2537">
        <v>434.5</v>
      </c>
      <c r="N2537">
        <v>4028</v>
      </c>
      <c r="O2537">
        <v>40</v>
      </c>
      <c r="P2537">
        <v>0</v>
      </c>
      <c r="Q2537">
        <v>0</v>
      </c>
      <c r="R2537">
        <v>0</v>
      </c>
      <c r="S2537">
        <v>0</v>
      </c>
      <c r="T2537">
        <v>0</v>
      </c>
      <c r="U2537">
        <v>0</v>
      </c>
      <c r="V2537">
        <v>1354.1</v>
      </c>
      <c r="W2537">
        <v>10776</v>
      </c>
      <c r="X2537">
        <v>759</v>
      </c>
      <c r="Y2537">
        <f t="shared" si="39"/>
        <v>10776</v>
      </c>
      <c r="Z2537" t="str">
        <f>IF(ISNUMBER(SEARCH("Adjustment",$C2537)),"excluded",IF($H2537="Behind the Meter","excluded",IF(NOT(OR($E2537="Bundled",$E2537="Energy")),"excluded",IF(OR($H2537="Retail Power Marketer",$H2537="Community Choice Aggregator",$E2537="Energy"),"procurement",IF(OR($H2537="Municipal",$H2537="Cooperative",$H2537="Federal",$H2537="State",$H2537="Political Subdivision"),"cost_service",IF($H2537="Investor Owned",IF(AND(COUNTIF(Parameters!$A$4:$A$33,$G2537)&gt;0,COUNTIF(Parameters!$B$4:$B$33,$B2537)=0),"procurement","cost_service"),"unclassified"))))))</f>
        <v>procurement</v>
      </c>
    </row>
    <row r="2538" spans="1:26" x14ac:dyDescent="0.25">
      <c r="A2538">
        <v>2024</v>
      </c>
      <c r="B2538">
        <v>65314</v>
      </c>
      <c r="C2538" t="s">
        <v>1674</v>
      </c>
      <c r="D2538" t="s">
        <v>150</v>
      </c>
      <c r="E2538" t="s">
        <v>85</v>
      </c>
      <c r="F2538" t="s">
        <v>86</v>
      </c>
      <c r="G2538" t="s">
        <v>57</v>
      </c>
      <c r="H2538" t="s">
        <v>101</v>
      </c>
      <c r="I2538" t="s">
        <v>151</v>
      </c>
      <c r="J2538">
        <v>136831.5</v>
      </c>
      <c r="K2538">
        <v>959459</v>
      </c>
      <c r="L2538">
        <v>52764</v>
      </c>
      <c r="M2538">
        <v>1068.8</v>
      </c>
      <c r="N2538">
        <v>7424</v>
      </c>
      <c r="O2538">
        <v>324</v>
      </c>
      <c r="P2538">
        <v>0</v>
      </c>
      <c r="Q2538">
        <v>0</v>
      </c>
      <c r="R2538">
        <v>0</v>
      </c>
      <c r="S2538">
        <v>0</v>
      </c>
      <c r="T2538">
        <v>0</v>
      </c>
      <c r="U2538">
        <v>0</v>
      </c>
      <c r="V2538">
        <v>137900.29999999999</v>
      </c>
      <c r="W2538">
        <v>966883</v>
      </c>
      <c r="X2538">
        <v>53088</v>
      </c>
      <c r="Y2538">
        <f t="shared" si="39"/>
        <v>966883</v>
      </c>
      <c r="Z2538" t="str">
        <f>IF(ISNUMBER(SEARCH("Adjustment",$C2538)),"excluded",IF($H2538="Behind the Meter","excluded",IF(NOT(OR($E2538="Bundled",$E2538="Energy")),"excluded",IF(OR($H2538="Retail Power Marketer",$H2538="Community Choice Aggregator",$E2538="Energy"),"procurement",IF(OR($H2538="Municipal",$H2538="Cooperative",$H2538="Federal",$H2538="State",$H2538="Political Subdivision"),"cost_service",IF($H2538="Investor Owned",IF(AND(COUNTIF(Parameters!$A$4:$A$33,$G2538)&gt;0,COUNTIF(Parameters!$B$4:$B$33,$B2538)=0),"procurement","cost_service"),"unclassified"))))))</f>
        <v>procurement</v>
      </c>
    </row>
    <row r="2539" spans="1:26" x14ac:dyDescent="0.25">
      <c r="A2539">
        <v>2024</v>
      </c>
      <c r="B2539">
        <v>65335</v>
      </c>
      <c r="C2539" t="s">
        <v>1675</v>
      </c>
      <c r="D2539" t="s">
        <v>99</v>
      </c>
      <c r="E2539" t="s">
        <v>100</v>
      </c>
      <c r="F2539" t="s">
        <v>86</v>
      </c>
      <c r="G2539" t="s">
        <v>52</v>
      </c>
      <c r="H2539" t="s">
        <v>101</v>
      </c>
      <c r="I2539" t="s">
        <v>92</v>
      </c>
      <c r="J2539">
        <v>107.3</v>
      </c>
      <c r="K2539">
        <v>461</v>
      </c>
      <c r="L2539">
        <v>92</v>
      </c>
      <c r="M2539">
        <v>3104.2</v>
      </c>
      <c r="N2539">
        <v>14768</v>
      </c>
      <c r="O2539">
        <v>297</v>
      </c>
      <c r="P2539" t="s">
        <v>97</v>
      </c>
      <c r="Q2539" t="s">
        <v>97</v>
      </c>
      <c r="R2539" t="s">
        <v>97</v>
      </c>
      <c r="S2539" t="s">
        <v>97</v>
      </c>
      <c r="T2539" t="s">
        <v>97</v>
      </c>
      <c r="U2539" t="s">
        <v>97</v>
      </c>
      <c r="V2539">
        <v>3211.5</v>
      </c>
      <c r="W2539">
        <v>15229</v>
      </c>
      <c r="X2539">
        <v>389</v>
      </c>
      <c r="Y2539">
        <f t="shared" si="39"/>
        <v>15229</v>
      </c>
      <c r="Z2539" t="str">
        <f>IF(ISNUMBER(SEARCH("Adjustment",$C2539)),"excluded",IF($H2539="Behind the Meter","excluded",IF(NOT(OR($E2539="Bundled",$E2539="Energy")),"excluded",IF(OR($H2539="Retail Power Marketer",$H2539="Community Choice Aggregator",$E2539="Energy"),"procurement",IF(OR($H2539="Municipal",$H2539="Cooperative",$H2539="Federal",$H2539="State",$H2539="Political Subdivision"),"cost_service",IF($H2539="Investor Owned",IF(AND(COUNTIF(Parameters!$A$4:$A$33,$G2539)&gt;0,COUNTIF(Parameters!$B$4:$B$33,$B2539)=0),"procurement","cost_service"),"unclassified"))))))</f>
        <v>procurement</v>
      </c>
    </row>
    <row r="2540" spans="1:26" x14ac:dyDescent="0.25">
      <c r="A2540">
        <v>2024</v>
      </c>
      <c r="B2540">
        <v>65335</v>
      </c>
      <c r="C2540" t="s">
        <v>1675</v>
      </c>
      <c r="D2540" t="s">
        <v>99</v>
      </c>
      <c r="E2540" t="s">
        <v>100</v>
      </c>
      <c r="F2540" t="s">
        <v>86</v>
      </c>
      <c r="G2540" t="s">
        <v>53</v>
      </c>
      <c r="H2540" t="s">
        <v>101</v>
      </c>
      <c r="I2540" t="s">
        <v>102</v>
      </c>
      <c r="J2540">
        <v>45.8</v>
      </c>
      <c r="K2540">
        <v>199</v>
      </c>
      <c r="L2540">
        <v>44</v>
      </c>
      <c r="M2540">
        <v>10304</v>
      </c>
      <c r="N2540">
        <v>46522</v>
      </c>
      <c r="O2540">
        <v>1127</v>
      </c>
      <c r="P2540" t="s">
        <v>97</v>
      </c>
      <c r="Q2540" t="s">
        <v>97</v>
      </c>
      <c r="R2540" t="s">
        <v>97</v>
      </c>
      <c r="S2540" t="s">
        <v>97</v>
      </c>
      <c r="T2540" t="s">
        <v>97</v>
      </c>
      <c r="U2540" t="s">
        <v>97</v>
      </c>
      <c r="V2540">
        <v>10349.799999999999</v>
      </c>
      <c r="W2540">
        <v>46721</v>
      </c>
      <c r="X2540">
        <v>1171</v>
      </c>
      <c r="Y2540">
        <f t="shared" si="39"/>
        <v>46721</v>
      </c>
      <c r="Z2540" t="str">
        <f>IF(ISNUMBER(SEARCH("Adjustment",$C2540)),"excluded",IF($H2540="Behind the Meter","excluded",IF(NOT(OR($E2540="Bundled",$E2540="Energy")),"excluded",IF(OR($H2540="Retail Power Marketer",$H2540="Community Choice Aggregator",$E2540="Energy"),"procurement",IF(OR($H2540="Municipal",$H2540="Cooperative",$H2540="Federal",$H2540="State",$H2540="Political Subdivision"),"cost_service",IF($H2540="Investor Owned",IF(AND(COUNTIF(Parameters!$A$4:$A$33,$G2540)&gt;0,COUNTIF(Parameters!$B$4:$B$33,$B2540)=0),"procurement","cost_service"),"unclassified"))))))</f>
        <v>procurement</v>
      </c>
    </row>
    <row r="2541" spans="1:26" x14ac:dyDescent="0.25">
      <c r="A2541">
        <v>2024</v>
      </c>
      <c r="B2541">
        <v>65353</v>
      </c>
      <c r="C2541" t="s">
        <v>1676</v>
      </c>
      <c r="D2541" t="s">
        <v>150</v>
      </c>
      <c r="E2541" t="s">
        <v>85</v>
      </c>
      <c r="F2541" t="s">
        <v>86</v>
      </c>
      <c r="G2541" t="s">
        <v>57</v>
      </c>
      <c r="H2541" t="s">
        <v>101</v>
      </c>
      <c r="I2541" t="s">
        <v>151</v>
      </c>
      <c r="J2541">
        <v>1331</v>
      </c>
      <c r="K2541">
        <v>11485</v>
      </c>
      <c r="L2541">
        <v>825</v>
      </c>
      <c r="M2541">
        <v>0</v>
      </c>
      <c r="N2541">
        <v>0</v>
      </c>
      <c r="O2541">
        <v>0</v>
      </c>
      <c r="P2541">
        <v>0</v>
      </c>
      <c r="Q2541">
        <v>0</v>
      </c>
      <c r="R2541">
        <v>0</v>
      </c>
      <c r="S2541">
        <v>0</v>
      </c>
      <c r="T2541">
        <v>0</v>
      </c>
      <c r="U2541">
        <v>0</v>
      </c>
      <c r="V2541">
        <v>1331</v>
      </c>
      <c r="W2541">
        <v>11485</v>
      </c>
      <c r="X2541">
        <v>825</v>
      </c>
      <c r="Y2541">
        <f t="shared" si="39"/>
        <v>11485</v>
      </c>
      <c r="Z2541" t="str">
        <f>IF(ISNUMBER(SEARCH("Adjustment",$C2541)),"excluded",IF($H2541="Behind the Meter","excluded",IF(NOT(OR($E2541="Bundled",$E2541="Energy")),"excluded",IF(OR($H2541="Retail Power Marketer",$H2541="Community Choice Aggregator",$E2541="Energy"),"procurement",IF(OR($H2541="Municipal",$H2541="Cooperative",$H2541="Federal",$H2541="State",$H2541="Political Subdivision"),"cost_service",IF($H2541="Investor Owned",IF(AND(COUNTIF(Parameters!$A$4:$A$33,$G2541)&gt;0,COUNTIF(Parameters!$B$4:$B$33,$B2541)=0),"procurement","cost_service"),"unclassified"))))))</f>
        <v>procurement</v>
      </c>
    </row>
    <row r="2542" spans="1:26" x14ac:dyDescent="0.25">
      <c r="A2542">
        <v>2024</v>
      </c>
      <c r="B2542">
        <v>65413</v>
      </c>
      <c r="C2542" t="s">
        <v>1677</v>
      </c>
      <c r="D2542" t="s">
        <v>150</v>
      </c>
      <c r="E2542" t="s">
        <v>85</v>
      </c>
      <c r="F2542" t="s">
        <v>86</v>
      </c>
      <c r="G2542" t="s">
        <v>57</v>
      </c>
      <c r="H2542" t="s">
        <v>101</v>
      </c>
      <c r="I2542" t="s">
        <v>151</v>
      </c>
      <c r="J2542">
        <v>15448.3</v>
      </c>
      <c r="K2542">
        <v>116650</v>
      </c>
      <c r="L2542">
        <v>6348</v>
      </c>
      <c r="M2542">
        <v>10871.6</v>
      </c>
      <c r="N2542">
        <v>126820</v>
      </c>
      <c r="O2542">
        <v>151</v>
      </c>
      <c r="P2542">
        <v>138</v>
      </c>
      <c r="Q2542">
        <v>1480</v>
      </c>
      <c r="R2542">
        <v>4</v>
      </c>
      <c r="S2542">
        <v>0</v>
      </c>
      <c r="T2542">
        <v>0</v>
      </c>
      <c r="U2542">
        <v>0</v>
      </c>
      <c r="V2542">
        <v>26457.9</v>
      </c>
      <c r="W2542">
        <v>244950</v>
      </c>
      <c r="X2542">
        <v>6503</v>
      </c>
      <c r="Y2542">
        <f t="shared" si="39"/>
        <v>244950</v>
      </c>
      <c r="Z2542" t="str">
        <f>IF(ISNUMBER(SEARCH("Adjustment",$C2542)),"excluded",IF($H2542="Behind the Meter","excluded",IF(NOT(OR($E2542="Bundled",$E2542="Energy")),"excluded",IF(OR($H2542="Retail Power Marketer",$H2542="Community Choice Aggregator",$E2542="Energy"),"procurement",IF(OR($H2542="Municipal",$H2542="Cooperative",$H2542="Federal",$H2542="State",$H2542="Political Subdivision"),"cost_service",IF($H2542="Investor Owned",IF(AND(COUNTIF(Parameters!$A$4:$A$33,$G2542)&gt;0,COUNTIF(Parameters!$B$4:$B$33,$B2542)=0),"procurement","cost_service"),"unclassified"))))))</f>
        <v>procurement</v>
      </c>
    </row>
    <row r="2543" spans="1:26" x14ac:dyDescent="0.25">
      <c r="A2543">
        <v>2024</v>
      </c>
      <c r="B2543">
        <v>65439</v>
      </c>
      <c r="C2543" t="s">
        <v>1678</v>
      </c>
      <c r="D2543" t="s">
        <v>99</v>
      </c>
      <c r="E2543" t="s">
        <v>100</v>
      </c>
      <c r="F2543" t="s">
        <v>86</v>
      </c>
      <c r="G2543" t="s">
        <v>42</v>
      </c>
      <c r="H2543" t="s">
        <v>101</v>
      </c>
      <c r="I2543" t="s">
        <v>92</v>
      </c>
      <c r="J2543">
        <v>0</v>
      </c>
      <c r="K2543">
        <v>0</v>
      </c>
      <c r="L2543">
        <v>0</v>
      </c>
      <c r="M2543">
        <v>1805</v>
      </c>
      <c r="N2543">
        <v>15800</v>
      </c>
      <c r="O2543">
        <v>34</v>
      </c>
      <c r="P2543">
        <v>0</v>
      </c>
      <c r="Q2543">
        <v>0</v>
      </c>
      <c r="R2543">
        <v>0</v>
      </c>
      <c r="S2543">
        <v>0</v>
      </c>
      <c r="T2543">
        <v>0</v>
      </c>
      <c r="U2543">
        <v>0</v>
      </c>
      <c r="V2543">
        <v>1805</v>
      </c>
      <c r="W2543">
        <v>15800</v>
      </c>
      <c r="X2543">
        <v>34</v>
      </c>
      <c r="Y2543">
        <f t="shared" si="39"/>
        <v>15800</v>
      </c>
      <c r="Z2543" t="str">
        <f>IF(ISNUMBER(SEARCH("Adjustment",$C2543)),"excluded",IF($H2543="Behind the Meter","excluded",IF(NOT(OR($E2543="Bundled",$E2543="Energy")),"excluded",IF(OR($H2543="Retail Power Marketer",$H2543="Community Choice Aggregator",$E2543="Energy"),"procurement",IF(OR($H2543="Municipal",$H2543="Cooperative",$H2543="Federal",$H2543="State",$H2543="Political Subdivision"),"cost_service",IF($H2543="Investor Owned",IF(AND(COUNTIF(Parameters!$A$4:$A$33,$G2543)&gt;0,COUNTIF(Parameters!$B$4:$B$33,$B2543)=0),"procurement","cost_service"),"unclassified"))))))</f>
        <v>procurement</v>
      </c>
    </row>
    <row r="2544" spans="1:26" x14ac:dyDescent="0.25">
      <c r="A2544">
        <v>2024</v>
      </c>
      <c r="B2544">
        <v>65439</v>
      </c>
      <c r="C2544" t="s">
        <v>1678</v>
      </c>
      <c r="D2544" t="s">
        <v>99</v>
      </c>
      <c r="E2544" t="s">
        <v>100</v>
      </c>
      <c r="F2544" t="s">
        <v>86</v>
      </c>
      <c r="G2544" t="s">
        <v>44</v>
      </c>
      <c r="H2544" t="s">
        <v>101</v>
      </c>
      <c r="I2544" t="s">
        <v>92</v>
      </c>
      <c r="J2544">
        <v>0</v>
      </c>
      <c r="K2544">
        <v>0</v>
      </c>
      <c r="L2544">
        <v>0</v>
      </c>
      <c r="M2544">
        <v>1315</v>
      </c>
      <c r="N2544">
        <v>18300</v>
      </c>
      <c r="O2544">
        <v>32</v>
      </c>
      <c r="P2544">
        <v>0</v>
      </c>
      <c r="Q2544">
        <v>0</v>
      </c>
      <c r="R2544">
        <v>0</v>
      </c>
      <c r="S2544">
        <v>0</v>
      </c>
      <c r="T2544">
        <v>0</v>
      </c>
      <c r="U2544">
        <v>0</v>
      </c>
      <c r="V2544">
        <v>1315</v>
      </c>
      <c r="W2544">
        <v>18300</v>
      </c>
      <c r="X2544">
        <v>32</v>
      </c>
      <c r="Y2544">
        <f t="shared" si="39"/>
        <v>18300</v>
      </c>
      <c r="Z2544" t="str">
        <f>IF(ISNUMBER(SEARCH("Adjustment",$C2544)),"excluded",IF($H2544="Behind the Meter","excluded",IF(NOT(OR($E2544="Bundled",$E2544="Energy")),"excluded",IF(OR($H2544="Retail Power Marketer",$H2544="Community Choice Aggregator",$E2544="Energy"),"procurement",IF(OR($H2544="Municipal",$H2544="Cooperative",$H2544="Federal",$H2544="State",$H2544="Political Subdivision"),"cost_service",IF($H2544="Investor Owned",IF(AND(COUNTIF(Parameters!$A$4:$A$33,$G2544)&gt;0,COUNTIF(Parameters!$B$4:$B$33,$B2544)=0),"procurement","cost_service"),"unclassified"))))))</f>
        <v>procurement</v>
      </c>
    </row>
    <row r="2545" spans="1:26" x14ac:dyDescent="0.25">
      <c r="A2545">
        <v>2024</v>
      </c>
      <c r="B2545">
        <v>65439</v>
      </c>
      <c r="C2545" t="s">
        <v>1678</v>
      </c>
      <c r="D2545" t="s">
        <v>99</v>
      </c>
      <c r="E2545" t="s">
        <v>100</v>
      </c>
      <c r="F2545" t="s">
        <v>86</v>
      </c>
      <c r="G2545" t="s">
        <v>46</v>
      </c>
      <c r="H2545" t="s">
        <v>101</v>
      </c>
      <c r="I2545" t="s">
        <v>92</v>
      </c>
      <c r="J2545">
        <v>0</v>
      </c>
      <c r="K2545">
        <v>0</v>
      </c>
      <c r="L2545">
        <v>0</v>
      </c>
      <c r="M2545">
        <v>3385</v>
      </c>
      <c r="N2545">
        <v>56100</v>
      </c>
      <c r="O2545">
        <v>84</v>
      </c>
      <c r="P2545">
        <v>0</v>
      </c>
      <c r="Q2545">
        <v>0</v>
      </c>
      <c r="R2545">
        <v>0</v>
      </c>
      <c r="S2545">
        <v>0</v>
      </c>
      <c r="T2545">
        <v>0</v>
      </c>
      <c r="U2545">
        <v>0</v>
      </c>
      <c r="V2545">
        <v>3385</v>
      </c>
      <c r="W2545">
        <v>56100</v>
      </c>
      <c r="X2545">
        <v>84</v>
      </c>
      <c r="Y2545">
        <f t="shared" si="39"/>
        <v>56100</v>
      </c>
      <c r="Z2545" t="str">
        <f>IF(ISNUMBER(SEARCH("Adjustment",$C2545)),"excluded",IF($H2545="Behind the Meter","excluded",IF(NOT(OR($E2545="Bundled",$E2545="Energy")),"excluded",IF(OR($H2545="Retail Power Marketer",$H2545="Community Choice Aggregator",$E2545="Energy"),"procurement",IF(OR($H2545="Municipal",$H2545="Cooperative",$H2545="Federal",$H2545="State",$H2545="Political Subdivision"),"cost_service",IF($H2545="Investor Owned",IF(AND(COUNTIF(Parameters!$A$4:$A$33,$G2545)&gt;0,COUNTIF(Parameters!$B$4:$B$33,$B2545)=0),"procurement","cost_service"),"unclassified"))))))</f>
        <v>procurement</v>
      </c>
    </row>
    <row r="2546" spans="1:26" x14ac:dyDescent="0.25">
      <c r="A2546">
        <v>2024</v>
      </c>
      <c r="B2546">
        <v>65439</v>
      </c>
      <c r="C2546" t="s">
        <v>1678</v>
      </c>
      <c r="D2546" t="s">
        <v>99</v>
      </c>
      <c r="E2546" t="s">
        <v>100</v>
      </c>
      <c r="F2546" t="s">
        <v>86</v>
      </c>
      <c r="G2546" t="s">
        <v>49</v>
      </c>
      <c r="H2546" t="s">
        <v>101</v>
      </c>
      <c r="I2546" t="s">
        <v>92</v>
      </c>
      <c r="J2546" t="s">
        <v>97</v>
      </c>
      <c r="K2546" t="s">
        <v>97</v>
      </c>
      <c r="L2546" t="s">
        <v>97</v>
      </c>
      <c r="M2546">
        <v>3755</v>
      </c>
      <c r="N2546">
        <v>43875</v>
      </c>
      <c r="O2546">
        <v>278</v>
      </c>
      <c r="P2546" t="s">
        <v>97</v>
      </c>
      <c r="Q2546" t="s">
        <v>97</v>
      </c>
      <c r="R2546" t="s">
        <v>97</v>
      </c>
      <c r="S2546" t="s">
        <v>97</v>
      </c>
      <c r="T2546" t="s">
        <v>97</v>
      </c>
      <c r="U2546" t="s">
        <v>97</v>
      </c>
      <c r="V2546">
        <v>3755</v>
      </c>
      <c r="W2546">
        <v>43875</v>
      </c>
      <c r="X2546">
        <v>278</v>
      </c>
      <c r="Y2546">
        <f t="shared" si="39"/>
        <v>43875</v>
      </c>
      <c r="Z2546" t="str">
        <f>IF(ISNUMBER(SEARCH("Adjustment",$C2546)),"excluded",IF($H2546="Behind the Meter","excluded",IF(NOT(OR($E2546="Bundled",$E2546="Energy")),"excluded",IF(OR($H2546="Retail Power Marketer",$H2546="Community Choice Aggregator",$E2546="Energy"),"procurement",IF(OR($H2546="Municipal",$H2546="Cooperative",$H2546="Federal",$H2546="State",$H2546="Political Subdivision"),"cost_service",IF($H2546="Investor Owned",IF(AND(COUNTIF(Parameters!$A$4:$A$33,$G2546)&gt;0,COUNTIF(Parameters!$B$4:$B$33,$B2546)=0),"procurement","cost_service"),"unclassified"))))))</f>
        <v>procurement</v>
      </c>
    </row>
    <row r="2547" spans="1:26" x14ac:dyDescent="0.25">
      <c r="A2547">
        <v>2024</v>
      </c>
      <c r="B2547">
        <v>65439</v>
      </c>
      <c r="C2547" t="s">
        <v>1678</v>
      </c>
      <c r="D2547" t="s">
        <v>99</v>
      </c>
      <c r="E2547" t="s">
        <v>100</v>
      </c>
      <c r="F2547" t="s">
        <v>86</v>
      </c>
      <c r="G2547" t="s">
        <v>52</v>
      </c>
      <c r="H2547" t="s">
        <v>101</v>
      </c>
      <c r="I2547" t="s">
        <v>92</v>
      </c>
      <c r="J2547">
        <v>0</v>
      </c>
      <c r="K2547">
        <v>0</v>
      </c>
      <c r="L2547">
        <v>0</v>
      </c>
      <c r="M2547">
        <v>6705</v>
      </c>
      <c r="N2547">
        <v>69525</v>
      </c>
      <c r="O2547">
        <v>318</v>
      </c>
      <c r="P2547">
        <v>0</v>
      </c>
      <c r="Q2547">
        <v>0</v>
      </c>
      <c r="R2547">
        <v>0</v>
      </c>
      <c r="S2547">
        <v>0</v>
      </c>
      <c r="T2547">
        <v>0</v>
      </c>
      <c r="U2547">
        <v>0</v>
      </c>
      <c r="V2547">
        <v>6705</v>
      </c>
      <c r="W2547">
        <v>69525</v>
      </c>
      <c r="X2547">
        <v>318</v>
      </c>
      <c r="Y2547">
        <f t="shared" si="39"/>
        <v>69525</v>
      </c>
      <c r="Z2547" t="str">
        <f>IF(ISNUMBER(SEARCH("Adjustment",$C2547)),"excluded",IF($H2547="Behind the Meter","excluded",IF(NOT(OR($E2547="Bundled",$E2547="Energy")),"excluded",IF(OR($H2547="Retail Power Marketer",$H2547="Community Choice Aggregator",$E2547="Energy"),"procurement",IF(OR($H2547="Municipal",$H2547="Cooperative",$H2547="Federal",$H2547="State",$H2547="Political Subdivision"),"cost_service",IF($H2547="Investor Owned",IF(AND(COUNTIF(Parameters!$A$4:$A$33,$G2547)&gt;0,COUNTIF(Parameters!$B$4:$B$33,$B2547)=0),"procurement","cost_service"),"unclassified"))))))</f>
        <v>procurement</v>
      </c>
    </row>
    <row r="2548" spans="1:26" x14ac:dyDescent="0.25">
      <c r="A2548">
        <v>2024</v>
      </c>
      <c r="B2548">
        <v>65439</v>
      </c>
      <c r="C2548" t="s">
        <v>1678</v>
      </c>
      <c r="D2548" t="s">
        <v>99</v>
      </c>
      <c r="E2548" t="s">
        <v>100</v>
      </c>
      <c r="F2548" t="s">
        <v>86</v>
      </c>
      <c r="G2548" t="s">
        <v>54</v>
      </c>
      <c r="H2548" t="s">
        <v>101</v>
      </c>
      <c r="I2548" t="s">
        <v>92</v>
      </c>
      <c r="J2548">
        <v>0</v>
      </c>
      <c r="K2548">
        <v>0</v>
      </c>
      <c r="L2548">
        <v>0</v>
      </c>
      <c r="M2548">
        <v>3930</v>
      </c>
      <c r="N2548">
        <v>68200</v>
      </c>
      <c r="O2548">
        <v>155</v>
      </c>
      <c r="P2548">
        <v>0</v>
      </c>
      <c r="Q2548">
        <v>0</v>
      </c>
      <c r="R2548">
        <v>0</v>
      </c>
      <c r="S2548">
        <v>0</v>
      </c>
      <c r="T2548">
        <v>0</v>
      </c>
      <c r="U2548">
        <v>0</v>
      </c>
      <c r="V2548">
        <v>3930</v>
      </c>
      <c r="W2548">
        <v>68200</v>
      </c>
      <c r="X2548">
        <v>155</v>
      </c>
      <c r="Y2548">
        <f t="shared" si="39"/>
        <v>68200</v>
      </c>
      <c r="Z2548" t="str">
        <f>IF(ISNUMBER(SEARCH("Adjustment",$C2548)),"excluded",IF($H2548="Behind the Meter","excluded",IF(NOT(OR($E2548="Bundled",$E2548="Energy")),"excluded",IF(OR($H2548="Retail Power Marketer",$H2548="Community Choice Aggregator",$E2548="Energy"),"procurement",IF(OR($H2548="Municipal",$H2548="Cooperative",$H2548="Federal",$H2548="State",$H2548="Political Subdivision"),"cost_service",IF($H2548="Investor Owned",IF(AND(COUNTIF(Parameters!$A$4:$A$33,$G2548)&gt;0,COUNTIF(Parameters!$B$4:$B$33,$B2548)=0),"procurement","cost_service"),"unclassified"))))))</f>
        <v>procurement</v>
      </c>
    </row>
    <row r="2549" spans="1:26" x14ac:dyDescent="0.25">
      <c r="A2549">
        <v>2024</v>
      </c>
      <c r="B2549">
        <v>65439</v>
      </c>
      <c r="C2549" t="s">
        <v>1678</v>
      </c>
      <c r="D2549" t="s">
        <v>99</v>
      </c>
      <c r="E2549" t="s">
        <v>100</v>
      </c>
      <c r="F2549" t="s">
        <v>86</v>
      </c>
      <c r="G2549" t="s">
        <v>55</v>
      </c>
      <c r="H2549" t="s">
        <v>101</v>
      </c>
      <c r="I2549" t="s">
        <v>92</v>
      </c>
      <c r="J2549">
        <v>0</v>
      </c>
      <c r="K2549">
        <v>0</v>
      </c>
      <c r="L2549">
        <v>0</v>
      </c>
      <c r="M2549">
        <v>14575</v>
      </c>
      <c r="N2549">
        <v>208988</v>
      </c>
      <c r="O2549">
        <v>562</v>
      </c>
      <c r="P2549">
        <v>0</v>
      </c>
      <c r="Q2549">
        <v>0</v>
      </c>
      <c r="R2549">
        <v>0</v>
      </c>
      <c r="S2549">
        <v>0</v>
      </c>
      <c r="T2549">
        <v>0</v>
      </c>
      <c r="U2549">
        <v>0</v>
      </c>
      <c r="V2549">
        <v>14575</v>
      </c>
      <c r="W2549">
        <v>208988</v>
      </c>
      <c r="X2549">
        <v>562</v>
      </c>
      <c r="Y2549">
        <f t="shared" si="39"/>
        <v>208988</v>
      </c>
      <c r="Z2549" t="str">
        <f>IF(ISNUMBER(SEARCH("Adjustment",$C2549)),"excluded",IF($H2549="Behind the Meter","excluded",IF(NOT(OR($E2549="Bundled",$E2549="Energy")),"excluded",IF(OR($H2549="Retail Power Marketer",$H2549="Community Choice Aggregator",$E2549="Energy"),"procurement",IF(OR($H2549="Municipal",$H2549="Cooperative",$H2549="Federal",$H2549="State",$H2549="Political Subdivision"),"cost_service",IF($H2549="Investor Owned",IF(AND(COUNTIF(Parameters!$A$4:$A$33,$G2549)&gt;0,COUNTIF(Parameters!$B$4:$B$33,$B2549)=0),"procurement","cost_service"),"unclassified"))))))</f>
        <v>procurement</v>
      </c>
    </row>
    <row r="2550" spans="1:26" x14ac:dyDescent="0.25">
      <c r="A2550">
        <v>2024</v>
      </c>
      <c r="B2550">
        <v>65610</v>
      </c>
      <c r="C2550" t="s">
        <v>1679</v>
      </c>
      <c r="D2550" t="s">
        <v>150</v>
      </c>
      <c r="E2550" t="s">
        <v>85</v>
      </c>
      <c r="F2550" t="s">
        <v>86</v>
      </c>
      <c r="G2550" t="s">
        <v>57</v>
      </c>
      <c r="H2550" t="s">
        <v>101</v>
      </c>
      <c r="I2550" t="s">
        <v>151</v>
      </c>
      <c r="J2550">
        <v>0</v>
      </c>
      <c r="K2550">
        <v>0</v>
      </c>
      <c r="L2550">
        <v>0</v>
      </c>
      <c r="M2550">
        <v>10618</v>
      </c>
      <c r="N2550">
        <v>127732</v>
      </c>
      <c r="O2550">
        <v>66</v>
      </c>
      <c r="P2550">
        <v>0</v>
      </c>
      <c r="Q2550">
        <v>0</v>
      </c>
      <c r="R2550">
        <v>0</v>
      </c>
      <c r="S2550">
        <v>0</v>
      </c>
      <c r="T2550">
        <v>0</v>
      </c>
      <c r="U2550">
        <v>0</v>
      </c>
      <c r="V2550">
        <v>10618</v>
      </c>
      <c r="W2550">
        <v>127732</v>
      </c>
      <c r="X2550">
        <v>66</v>
      </c>
      <c r="Y2550">
        <f t="shared" si="39"/>
        <v>127732</v>
      </c>
      <c r="Z2550" t="str">
        <f>IF(ISNUMBER(SEARCH("Adjustment",$C2550)),"excluded",IF($H2550="Behind the Meter","excluded",IF(NOT(OR($E2550="Bundled",$E2550="Energy")),"excluded",IF(OR($H2550="Retail Power Marketer",$H2550="Community Choice Aggregator",$E2550="Energy"),"procurement",IF(OR($H2550="Municipal",$H2550="Cooperative",$H2550="Federal",$H2550="State",$H2550="Political Subdivision"),"cost_service",IF($H2550="Investor Owned",IF(AND(COUNTIF(Parameters!$A$4:$A$33,$G2550)&gt;0,COUNTIF(Parameters!$B$4:$B$33,$B2550)=0),"procurement","cost_service"),"unclassified"))))))</f>
        <v>procurement</v>
      </c>
    </row>
    <row r="2551" spans="1:26" x14ac:dyDescent="0.25">
      <c r="A2551">
        <v>2024</v>
      </c>
      <c r="B2551">
        <v>65613</v>
      </c>
      <c r="C2551" t="s">
        <v>1680</v>
      </c>
      <c r="D2551" t="s">
        <v>99</v>
      </c>
      <c r="E2551" t="s">
        <v>100</v>
      </c>
      <c r="F2551" t="s">
        <v>86</v>
      </c>
      <c r="G2551" t="s">
        <v>53</v>
      </c>
      <c r="H2551" t="s">
        <v>101</v>
      </c>
      <c r="I2551" t="s">
        <v>102</v>
      </c>
      <c r="J2551">
        <v>1.5</v>
      </c>
      <c r="K2551">
        <v>7</v>
      </c>
      <c r="L2551">
        <v>1</v>
      </c>
      <c r="M2551">
        <v>17546.099999999999</v>
      </c>
      <c r="N2551">
        <v>76386</v>
      </c>
      <c r="O2551">
        <v>692</v>
      </c>
      <c r="P2551" t="s">
        <v>97</v>
      </c>
      <c r="Q2551" t="s">
        <v>97</v>
      </c>
      <c r="R2551" t="s">
        <v>97</v>
      </c>
      <c r="S2551" t="s">
        <v>97</v>
      </c>
      <c r="T2551" t="s">
        <v>97</v>
      </c>
      <c r="U2551" t="s">
        <v>97</v>
      </c>
      <c r="V2551">
        <v>17547.599999999999</v>
      </c>
      <c r="W2551">
        <v>76393</v>
      </c>
      <c r="X2551">
        <v>693</v>
      </c>
      <c r="Y2551">
        <f t="shared" si="39"/>
        <v>76393</v>
      </c>
      <c r="Z2551" t="str">
        <f>IF(ISNUMBER(SEARCH("Adjustment",$C2551)),"excluded",IF($H2551="Behind the Meter","excluded",IF(NOT(OR($E2551="Bundled",$E2551="Energy")),"excluded",IF(OR($H2551="Retail Power Marketer",$H2551="Community Choice Aggregator",$E2551="Energy"),"procurement",IF(OR($H2551="Municipal",$H2551="Cooperative",$H2551="Federal",$H2551="State",$H2551="Political Subdivision"),"cost_service",IF($H2551="Investor Owned",IF(AND(COUNTIF(Parameters!$A$4:$A$33,$G2551)&gt;0,COUNTIF(Parameters!$B$4:$B$33,$B2551)=0),"procurement","cost_service"),"unclassified"))))))</f>
        <v>procurement</v>
      </c>
    </row>
    <row r="2552" spans="1:26" x14ac:dyDescent="0.25">
      <c r="A2552">
        <v>2024</v>
      </c>
      <c r="B2552">
        <v>65649</v>
      </c>
      <c r="C2552" t="s">
        <v>1681</v>
      </c>
      <c r="D2552" t="s">
        <v>99</v>
      </c>
      <c r="E2552" t="s">
        <v>100</v>
      </c>
      <c r="F2552" t="s">
        <v>86</v>
      </c>
      <c r="G2552" t="s">
        <v>51</v>
      </c>
      <c r="H2552" t="s">
        <v>1464</v>
      </c>
      <c r="I2552" t="s">
        <v>189</v>
      </c>
      <c r="J2552">
        <v>62411</v>
      </c>
      <c r="K2552">
        <v>716822</v>
      </c>
      <c r="L2552">
        <v>104562</v>
      </c>
      <c r="M2552">
        <v>25892.400000000001</v>
      </c>
      <c r="N2552">
        <v>292619</v>
      </c>
      <c r="O2552">
        <v>21670</v>
      </c>
      <c r="P2552">
        <v>165.3</v>
      </c>
      <c r="Q2552">
        <v>1908</v>
      </c>
      <c r="R2552">
        <v>96</v>
      </c>
      <c r="S2552">
        <v>0</v>
      </c>
      <c r="T2552">
        <v>0</v>
      </c>
      <c r="U2552">
        <v>0</v>
      </c>
      <c r="V2552">
        <v>88468.7</v>
      </c>
      <c r="W2552">
        <v>1011349</v>
      </c>
      <c r="X2552">
        <v>126328</v>
      </c>
      <c r="Y2552">
        <f t="shared" si="39"/>
        <v>1011349</v>
      </c>
      <c r="Z2552" t="str">
        <f>IF(ISNUMBER(SEARCH("Adjustment",$C2552)),"excluded",IF($H2552="Behind the Meter","excluded",IF(NOT(OR($E2552="Bundled",$E2552="Energy")),"excluded",IF(OR($H2552="Retail Power Marketer",$H2552="Community Choice Aggregator",$E2552="Energy"),"procurement",IF(OR($H2552="Municipal",$H2552="Cooperative",$H2552="Federal",$H2552="State",$H2552="Political Subdivision"),"cost_service",IF($H2552="Investor Owned",IF(AND(COUNTIF(Parameters!$A$4:$A$33,$G2552)&gt;0,COUNTIF(Parameters!$B$4:$B$33,$B2552)=0),"procurement","cost_service"),"unclassified"))))))</f>
        <v>procurement</v>
      </c>
    </row>
    <row r="2553" spans="1:26" x14ac:dyDescent="0.25">
      <c r="A2553">
        <v>2024</v>
      </c>
      <c r="B2553">
        <v>66017</v>
      </c>
      <c r="C2553" t="s">
        <v>1682</v>
      </c>
      <c r="D2553" t="s">
        <v>99</v>
      </c>
      <c r="E2553" t="s">
        <v>100</v>
      </c>
      <c r="F2553" t="s">
        <v>86</v>
      </c>
      <c r="G2553" t="s">
        <v>53</v>
      </c>
      <c r="H2553" t="s">
        <v>101</v>
      </c>
      <c r="I2553" t="s">
        <v>102</v>
      </c>
      <c r="J2553">
        <v>0</v>
      </c>
      <c r="K2553">
        <v>0</v>
      </c>
      <c r="L2553">
        <v>0</v>
      </c>
      <c r="M2553">
        <v>6739</v>
      </c>
      <c r="N2553">
        <v>43640</v>
      </c>
      <c r="O2553">
        <v>833</v>
      </c>
      <c r="P2553">
        <v>0</v>
      </c>
      <c r="Q2553">
        <v>0</v>
      </c>
      <c r="R2553">
        <v>0</v>
      </c>
      <c r="S2553">
        <v>0</v>
      </c>
      <c r="T2553">
        <v>0</v>
      </c>
      <c r="U2553">
        <v>0</v>
      </c>
      <c r="V2553">
        <v>6739</v>
      </c>
      <c r="W2553">
        <v>43640</v>
      </c>
      <c r="X2553">
        <v>833</v>
      </c>
      <c r="Y2553">
        <f t="shared" si="39"/>
        <v>43640</v>
      </c>
      <c r="Z2553" t="str">
        <f>IF(ISNUMBER(SEARCH("Adjustment",$C2553)),"excluded",IF($H2553="Behind the Meter","excluded",IF(NOT(OR($E2553="Bundled",$E2553="Energy")),"excluded",IF(OR($H2553="Retail Power Marketer",$H2553="Community Choice Aggregator",$E2553="Energy"),"procurement",IF(OR($H2553="Municipal",$H2553="Cooperative",$H2553="Federal",$H2553="State",$H2553="Political Subdivision"),"cost_service",IF($H2553="Investor Owned",IF(AND(COUNTIF(Parameters!$A$4:$A$33,$G2553)&gt;0,COUNTIF(Parameters!$B$4:$B$33,$B2553)=0),"procurement","cost_service"),"unclassified"))))))</f>
        <v>procurement</v>
      </c>
    </row>
    <row r="2554" spans="1:26" x14ac:dyDescent="0.25">
      <c r="A2554">
        <v>2024</v>
      </c>
      <c r="B2554">
        <v>66017</v>
      </c>
      <c r="C2554" t="s">
        <v>1682</v>
      </c>
      <c r="D2554" t="s">
        <v>99</v>
      </c>
      <c r="E2554" t="s">
        <v>100</v>
      </c>
      <c r="F2554" t="s">
        <v>86</v>
      </c>
      <c r="G2554" t="s">
        <v>55</v>
      </c>
      <c r="H2554" t="s">
        <v>101</v>
      </c>
      <c r="I2554" t="s">
        <v>92</v>
      </c>
      <c r="J2554">
        <v>147.4</v>
      </c>
      <c r="K2554">
        <v>1007</v>
      </c>
      <c r="L2554">
        <v>124</v>
      </c>
      <c r="M2554">
        <v>0</v>
      </c>
      <c r="N2554">
        <v>0</v>
      </c>
      <c r="O2554">
        <v>0</v>
      </c>
      <c r="P2554">
        <v>0</v>
      </c>
      <c r="Q2554">
        <v>0</v>
      </c>
      <c r="R2554">
        <v>0</v>
      </c>
      <c r="S2554">
        <v>0</v>
      </c>
      <c r="T2554">
        <v>0</v>
      </c>
      <c r="U2554">
        <v>0</v>
      </c>
      <c r="V2554">
        <v>147.4</v>
      </c>
      <c r="W2554">
        <v>1007</v>
      </c>
      <c r="X2554">
        <v>124</v>
      </c>
      <c r="Y2554">
        <f t="shared" si="39"/>
        <v>1007</v>
      </c>
      <c r="Z2554" t="str">
        <f>IF(ISNUMBER(SEARCH("Adjustment",$C2554)),"excluded",IF($H2554="Behind the Meter","excluded",IF(NOT(OR($E2554="Bundled",$E2554="Energy")),"excluded",IF(OR($H2554="Retail Power Marketer",$H2554="Community Choice Aggregator",$E2554="Energy"),"procurement",IF(OR($H2554="Municipal",$H2554="Cooperative",$H2554="Federal",$H2554="State",$H2554="Political Subdivision"),"cost_service",IF($H2554="Investor Owned",IF(AND(COUNTIF(Parameters!$A$4:$A$33,$G2554)&gt;0,COUNTIF(Parameters!$B$4:$B$33,$B2554)=0),"procurement","cost_service"),"unclassified"))))))</f>
        <v>procurement</v>
      </c>
    </row>
    <row r="2555" spans="1:26" x14ac:dyDescent="0.25">
      <c r="A2555">
        <v>2024</v>
      </c>
      <c r="B2555">
        <v>66026</v>
      </c>
      <c r="C2555" t="s">
        <v>1683</v>
      </c>
      <c r="D2555" t="s">
        <v>84</v>
      </c>
      <c r="E2555" t="s">
        <v>85</v>
      </c>
      <c r="F2555" t="s">
        <v>86</v>
      </c>
      <c r="G2555" t="s">
        <v>108</v>
      </c>
      <c r="H2555" t="s">
        <v>1475</v>
      </c>
      <c r="I2555" t="s">
        <v>110</v>
      </c>
      <c r="J2555">
        <v>1602</v>
      </c>
      <c r="K2555">
        <v>18078</v>
      </c>
      <c r="L2555">
        <v>147</v>
      </c>
      <c r="M2555" t="s">
        <v>97</v>
      </c>
      <c r="N2555" t="s">
        <v>97</v>
      </c>
      <c r="O2555" t="s">
        <v>97</v>
      </c>
      <c r="P2555" t="s">
        <v>97</v>
      </c>
      <c r="Q2555" t="s">
        <v>97</v>
      </c>
      <c r="R2555" t="s">
        <v>97</v>
      </c>
      <c r="S2555" t="s">
        <v>97</v>
      </c>
      <c r="T2555" t="s">
        <v>97</v>
      </c>
      <c r="U2555" t="s">
        <v>97</v>
      </c>
      <c r="V2555">
        <v>1602</v>
      </c>
      <c r="W2555">
        <v>18078</v>
      </c>
      <c r="X2555">
        <v>147</v>
      </c>
      <c r="Y2555">
        <f t="shared" si="39"/>
        <v>18078</v>
      </c>
      <c r="Z2555" t="str">
        <f>IF(ISNUMBER(SEARCH("Adjustment",$C2555)),"excluded",IF($H2555="Behind the Meter","excluded",IF(NOT(OR($E2555="Bundled",$E2555="Energy")),"excluded",IF(OR($H2555="Retail Power Marketer",$H2555="Community Choice Aggregator",$E2555="Energy"),"procurement",IF(OR($H2555="Municipal",$H2555="Cooperative",$H2555="Federal",$H2555="State",$H2555="Political Subdivision"),"cost_service",IF($H2555="Investor Owned",IF(AND(COUNTIF(Parameters!$A$4:$A$33,$G2555)&gt;0,COUNTIF(Parameters!$B$4:$B$33,$B2555)=0),"procurement","cost_service"),"unclassified"))))))</f>
        <v>excluded</v>
      </c>
    </row>
    <row r="2556" spans="1:26" x14ac:dyDescent="0.25">
      <c r="A2556">
        <v>2024</v>
      </c>
      <c r="B2556">
        <v>66026</v>
      </c>
      <c r="C2556" t="s">
        <v>1683</v>
      </c>
      <c r="D2556" t="s">
        <v>84</v>
      </c>
      <c r="E2556" t="s">
        <v>85</v>
      </c>
      <c r="F2556" t="s">
        <v>86</v>
      </c>
      <c r="G2556" t="s">
        <v>108</v>
      </c>
      <c r="H2556" t="s">
        <v>1475</v>
      </c>
      <c r="I2556" t="s">
        <v>1090</v>
      </c>
      <c r="J2556">
        <v>476.3</v>
      </c>
      <c r="K2556">
        <v>5373</v>
      </c>
      <c r="L2556">
        <v>44</v>
      </c>
      <c r="M2556" t="s">
        <v>97</v>
      </c>
      <c r="N2556" t="s">
        <v>97</v>
      </c>
      <c r="O2556" t="s">
        <v>97</v>
      </c>
      <c r="P2556" t="s">
        <v>97</v>
      </c>
      <c r="Q2556" t="s">
        <v>97</v>
      </c>
      <c r="R2556" t="s">
        <v>97</v>
      </c>
      <c r="S2556" t="s">
        <v>97</v>
      </c>
      <c r="T2556" t="s">
        <v>97</v>
      </c>
      <c r="U2556" t="s">
        <v>97</v>
      </c>
      <c r="V2556">
        <v>476.3</v>
      </c>
      <c r="W2556">
        <v>5373</v>
      </c>
      <c r="X2556">
        <v>44</v>
      </c>
      <c r="Y2556">
        <f t="shared" si="39"/>
        <v>5373</v>
      </c>
      <c r="Z2556" t="str">
        <f>IF(ISNUMBER(SEARCH("Adjustment",$C2556)),"excluded",IF($H2556="Behind the Meter","excluded",IF(NOT(OR($E2556="Bundled",$E2556="Energy")),"excluded",IF(OR($H2556="Retail Power Marketer",$H2556="Community Choice Aggregator",$E2556="Energy"),"procurement",IF(OR($H2556="Municipal",$H2556="Cooperative",$H2556="Federal",$H2556="State",$H2556="Political Subdivision"),"cost_service",IF($H2556="Investor Owned",IF(AND(COUNTIF(Parameters!$A$4:$A$33,$G2556)&gt;0,COUNTIF(Parameters!$B$4:$B$33,$B2556)=0),"procurement","cost_service"),"unclassified"))))))</f>
        <v>excluded</v>
      </c>
    </row>
    <row r="2557" spans="1:26" x14ac:dyDescent="0.25">
      <c r="A2557">
        <v>2024</v>
      </c>
      <c r="B2557">
        <v>66026</v>
      </c>
      <c r="C2557" t="s">
        <v>1683</v>
      </c>
      <c r="D2557" t="s">
        <v>84</v>
      </c>
      <c r="E2557" t="s">
        <v>85</v>
      </c>
      <c r="F2557" t="s">
        <v>86</v>
      </c>
      <c r="G2557" t="s">
        <v>108</v>
      </c>
      <c r="H2557" t="s">
        <v>1475</v>
      </c>
      <c r="I2557" t="s">
        <v>876</v>
      </c>
      <c r="J2557">
        <v>293.3</v>
      </c>
      <c r="K2557">
        <v>3309</v>
      </c>
      <c r="L2557">
        <v>27</v>
      </c>
      <c r="M2557" t="s">
        <v>97</v>
      </c>
      <c r="N2557" t="s">
        <v>97</v>
      </c>
      <c r="O2557" t="s">
        <v>97</v>
      </c>
      <c r="P2557" t="s">
        <v>97</v>
      </c>
      <c r="Q2557" t="s">
        <v>97</v>
      </c>
      <c r="R2557" t="s">
        <v>97</v>
      </c>
      <c r="S2557" t="s">
        <v>97</v>
      </c>
      <c r="T2557" t="s">
        <v>97</v>
      </c>
      <c r="U2557" t="s">
        <v>97</v>
      </c>
      <c r="V2557">
        <v>293.3</v>
      </c>
      <c r="W2557">
        <v>3309</v>
      </c>
      <c r="X2557">
        <v>27</v>
      </c>
      <c r="Y2557">
        <f t="shared" si="39"/>
        <v>3309</v>
      </c>
      <c r="Z2557" t="str">
        <f>IF(ISNUMBER(SEARCH("Adjustment",$C2557)),"excluded",IF($H2557="Behind the Meter","excluded",IF(NOT(OR($E2557="Bundled",$E2557="Energy")),"excluded",IF(OR($H2557="Retail Power Marketer",$H2557="Community Choice Aggregator",$E2557="Energy"),"procurement",IF(OR($H2557="Municipal",$H2557="Cooperative",$H2557="Federal",$H2557="State",$H2557="Political Subdivision"),"cost_service",IF($H2557="Investor Owned",IF(AND(COUNTIF(Parameters!$A$4:$A$33,$G2557)&gt;0,COUNTIF(Parameters!$B$4:$B$33,$B2557)=0),"procurement","cost_service"),"unclassified"))))))</f>
        <v>excluded</v>
      </c>
    </row>
    <row r="2558" spans="1:26" x14ac:dyDescent="0.25">
      <c r="A2558">
        <v>2024</v>
      </c>
      <c r="B2558">
        <v>66026</v>
      </c>
      <c r="C2558" t="s">
        <v>1683</v>
      </c>
      <c r="D2558" t="s">
        <v>84</v>
      </c>
      <c r="E2558" t="s">
        <v>85</v>
      </c>
      <c r="F2558" t="s">
        <v>86</v>
      </c>
      <c r="G2558" t="s">
        <v>108</v>
      </c>
      <c r="H2558" t="s">
        <v>1475</v>
      </c>
      <c r="I2558" t="s">
        <v>243</v>
      </c>
      <c r="J2558">
        <v>446.1</v>
      </c>
      <c r="K2558">
        <v>5036</v>
      </c>
      <c r="L2558">
        <v>41</v>
      </c>
      <c r="M2558" t="s">
        <v>97</v>
      </c>
      <c r="N2558" t="s">
        <v>97</v>
      </c>
      <c r="O2558" t="s">
        <v>97</v>
      </c>
      <c r="P2558" t="s">
        <v>97</v>
      </c>
      <c r="Q2558" t="s">
        <v>97</v>
      </c>
      <c r="R2558" t="s">
        <v>97</v>
      </c>
      <c r="S2558" t="s">
        <v>97</v>
      </c>
      <c r="T2558" t="s">
        <v>97</v>
      </c>
      <c r="U2558" t="s">
        <v>97</v>
      </c>
      <c r="V2558">
        <v>446.1</v>
      </c>
      <c r="W2558">
        <v>5036</v>
      </c>
      <c r="X2558">
        <v>41</v>
      </c>
      <c r="Y2558">
        <f t="shared" si="39"/>
        <v>5036</v>
      </c>
      <c r="Z2558" t="str">
        <f>IF(ISNUMBER(SEARCH("Adjustment",$C2558)),"excluded",IF($H2558="Behind the Meter","excluded",IF(NOT(OR($E2558="Bundled",$E2558="Energy")),"excluded",IF(OR($H2558="Retail Power Marketer",$H2558="Community Choice Aggregator",$E2558="Energy"),"procurement",IF(OR($H2558="Municipal",$H2558="Cooperative",$H2558="Federal",$H2558="State",$H2558="Political Subdivision"),"cost_service",IF($H2558="Investor Owned",IF(AND(COUNTIF(Parameters!$A$4:$A$33,$G2558)&gt;0,COUNTIF(Parameters!$B$4:$B$33,$B2558)=0),"procurement","cost_service"),"unclassified"))))))</f>
        <v>excluded</v>
      </c>
    </row>
    <row r="2559" spans="1:26" x14ac:dyDescent="0.25">
      <c r="A2559">
        <v>2024</v>
      </c>
      <c r="B2559">
        <v>66026</v>
      </c>
      <c r="C2559" t="s">
        <v>1683</v>
      </c>
      <c r="D2559" t="s">
        <v>84</v>
      </c>
      <c r="E2559" t="s">
        <v>85</v>
      </c>
      <c r="F2559" t="s">
        <v>86</v>
      </c>
      <c r="G2559" t="s">
        <v>115</v>
      </c>
      <c r="H2559" t="s">
        <v>1475</v>
      </c>
      <c r="I2559" t="s">
        <v>116</v>
      </c>
      <c r="J2559">
        <v>1717.2</v>
      </c>
      <c r="K2559">
        <v>7088</v>
      </c>
      <c r="L2559">
        <v>224</v>
      </c>
      <c r="M2559" t="s">
        <v>97</v>
      </c>
      <c r="N2559" t="s">
        <v>97</v>
      </c>
      <c r="O2559" t="s">
        <v>97</v>
      </c>
      <c r="P2559" t="s">
        <v>97</v>
      </c>
      <c r="Q2559" t="s">
        <v>97</v>
      </c>
      <c r="R2559" t="s">
        <v>97</v>
      </c>
      <c r="S2559" t="s">
        <v>97</v>
      </c>
      <c r="T2559" t="s">
        <v>97</v>
      </c>
      <c r="U2559" t="s">
        <v>97</v>
      </c>
      <c r="V2559">
        <v>1717.2</v>
      </c>
      <c r="W2559">
        <v>7088</v>
      </c>
      <c r="X2559">
        <v>224</v>
      </c>
      <c r="Y2559">
        <f t="shared" si="39"/>
        <v>7088</v>
      </c>
      <c r="Z2559" t="str">
        <f>IF(ISNUMBER(SEARCH("Adjustment",$C2559)),"excluded",IF($H2559="Behind the Meter","excluded",IF(NOT(OR($E2559="Bundled",$E2559="Energy")),"excluded",IF(OR($H2559="Retail Power Marketer",$H2559="Community Choice Aggregator",$E2559="Energy"),"procurement",IF(OR($H2559="Municipal",$H2559="Cooperative",$H2559="Federal",$H2559="State",$H2559="Political Subdivision"),"cost_service",IF($H2559="Investor Owned",IF(AND(COUNTIF(Parameters!$A$4:$A$33,$G2559)&gt;0,COUNTIF(Parameters!$B$4:$B$33,$B2559)=0),"procurement","cost_service"),"unclassified"))))))</f>
        <v>excluded</v>
      </c>
    </row>
    <row r="2560" spans="1:26" x14ac:dyDescent="0.25">
      <c r="A2560">
        <v>2024</v>
      </c>
      <c r="B2560">
        <v>66026</v>
      </c>
      <c r="C2560" t="s">
        <v>1683</v>
      </c>
      <c r="D2560" t="s">
        <v>84</v>
      </c>
      <c r="E2560" t="s">
        <v>85</v>
      </c>
      <c r="F2560" t="s">
        <v>86</v>
      </c>
      <c r="G2560" t="s">
        <v>115</v>
      </c>
      <c r="H2560" t="s">
        <v>1475</v>
      </c>
      <c r="I2560" t="s">
        <v>267</v>
      </c>
      <c r="J2560">
        <v>185.8</v>
      </c>
      <c r="K2560">
        <v>767</v>
      </c>
      <c r="L2560">
        <v>24</v>
      </c>
      <c r="M2560" t="s">
        <v>97</v>
      </c>
      <c r="N2560" t="s">
        <v>97</v>
      </c>
      <c r="O2560" t="s">
        <v>97</v>
      </c>
      <c r="P2560" t="s">
        <v>97</v>
      </c>
      <c r="Q2560" t="s">
        <v>97</v>
      </c>
      <c r="R2560" t="s">
        <v>97</v>
      </c>
      <c r="S2560" t="s">
        <v>97</v>
      </c>
      <c r="T2560" t="s">
        <v>97</v>
      </c>
      <c r="U2560" t="s">
        <v>97</v>
      </c>
      <c r="V2560">
        <v>185.8</v>
      </c>
      <c r="W2560">
        <v>767</v>
      </c>
      <c r="X2560">
        <v>24</v>
      </c>
      <c r="Y2560">
        <f t="shared" si="39"/>
        <v>767</v>
      </c>
      <c r="Z2560" t="str">
        <f>IF(ISNUMBER(SEARCH("Adjustment",$C2560)),"excluded",IF($H2560="Behind the Meter","excluded",IF(NOT(OR($E2560="Bundled",$E2560="Energy")),"excluded",IF(OR($H2560="Retail Power Marketer",$H2560="Community Choice Aggregator",$E2560="Energy"),"procurement",IF(OR($H2560="Municipal",$H2560="Cooperative",$H2560="Federal",$H2560="State",$H2560="Political Subdivision"),"cost_service",IF($H2560="Investor Owned",IF(AND(COUNTIF(Parameters!$A$4:$A$33,$G2560)&gt;0,COUNTIF(Parameters!$B$4:$B$33,$B2560)=0),"procurement","cost_service"),"unclassified"))))))</f>
        <v>excluded</v>
      </c>
    </row>
    <row r="2561" spans="1:26" x14ac:dyDescent="0.25">
      <c r="A2561">
        <v>2024</v>
      </c>
      <c r="B2561">
        <v>66026</v>
      </c>
      <c r="C2561" t="s">
        <v>1683</v>
      </c>
      <c r="D2561" t="s">
        <v>84</v>
      </c>
      <c r="E2561" t="s">
        <v>85</v>
      </c>
      <c r="F2561" t="s">
        <v>86</v>
      </c>
      <c r="G2561" t="s">
        <v>361</v>
      </c>
      <c r="H2561" t="s">
        <v>1475</v>
      </c>
      <c r="I2561" t="s">
        <v>523</v>
      </c>
      <c r="J2561">
        <v>53.8</v>
      </c>
      <c r="K2561">
        <v>348</v>
      </c>
      <c r="L2561">
        <v>9</v>
      </c>
      <c r="M2561" t="s">
        <v>97</v>
      </c>
      <c r="N2561" t="s">
        <v>97</v>
      </c>
      <c r="O2561" t="s">
        <v>97</v>
      </c>
      <c r="P2561" t="s">
        <v>97</v>
      </c>
      <c r="Q2561" t="s">
        <v>97</v>
      </c>
      <c r="R2561" t="s">
        <v>97</v>
      </c>
      <c r="S2561" t="s">
        <v>97</v>
      </c>
      <c r="T2561" t="s">
        <v>97</v>
      </c>
      <c r="U2561" t="s">
        <v>97</v>
      </c>
      <c r="V2561">
        <v>53.8</v>
      </c>
      <c r="W2561">
        <v>348</v>
      </c>
      <c r="X2561">
        <v>9</v>
      </c>
      <c r="Y2561">
        <f t="shared" si="39"/>
        <v>348</v>
      </c>
      <c r="Z2561" t="str">
        <f>IF(ISNUMBER(SEARCH("Adjustment",$C2561)),"excluded",IF($H2561="Behind the Meter","excluded",IF(NOT(OR($E2561="Bundled",$E2561="Energy")),"excluded",IF(OR($H2561="Retail Power Marketer",$H2561="Community Choice Aggregator",$E2561="Energy"),"procurement",IF(OR($H2561="Municipal",$H2561="Cooperative",$H2561="Federal",$H2561="State",$H2561="Political Subdivision"),"cost_service",IF($H2561="Investor Owned",IF(AND(COUNTIF(Parameters!$A$4:$A$33,$G2561)&gt;0,COUNTIF(Parameters!$B$4:$B$33,$B2561)=0),"procurement","cost_service"),"unclassified"))))))</f>
        <v>excluded</v>
      </c>
    </row>
    <row r="2562" spans="1:26" x14ac:dyDescent="0.25">
      <c r="A2562">
        <v>2024</v>
      </c>
      <c r="B2562">
        <v>66026</v>
      </c>
      <c r="C2562" t="s">
        <v>1683</v>
      </c>
      <c r="D2562" t="s">
        <v>84</v>
      </c>
      <c r="E2562" t="s">
        <v>85</v>
      </c>
      <c r="F2562" t="s">
        <v>86</v>
      </c>
      <c r="G2562" t="s">
        <v>361</v>
      </c>
      <c r="H2562" t="s">
        <v>1475</v>
      </c>
      <c r="I2562" t="s">
        <v>259</v>
      </c>
      <c r="J2562">
        <v>285.7</v>
      </c>
      <c r="K2562">
        <v>1850</v>
      </c>
      <c r="L2562">
        <v>50</v>
      </c>
      <c r="M2562" t="s">
        <v>97</v>
      </c>
      <c r="N2562" t="s">
        <v>97</v>
      </c>
      <c r="O2562" t="s">
        <v>97</v>
      </c>
      <c r="P2562" t="s">
        <v>97</v>
      </c>
      <c r="Q2562" t="s">
        <v>97</v>
      </c>
      <c r="R2562" t="s">
        <v>97</v>
      </c>
      <c r="S2562" t="s">
        <v>97</v>
      </c>
      <c r="T2562" t="s">
        <v>97</v>
      </c>
      <c r="U2562" t="s">
        <v>97</v>
      </c>
      <c r="V2562">
        <v>285.7</v>
      </c>
      <c r="W2562">
        <v>1850</v>
      </c>
      <c r="X2562">
        <v>50</v>
      </c>
      <c r="Y2562">
        <f t="shared" si="39"/>
        <v>1850</v>
      </c>
      <c r="Z2562" t="str">
        <f>IF(ISNUMBER(SEARCH("Adjustment",$C2562)),"excluded",IF($H2562="Behind the Meter","excluded",IF(NOT(OR($E2562="Bundled",$E2562="Energy")),"excluded",IF(OR($H2562="Retail Power Marketer",$H2562="Community Choice Aggregator",$E2562="Energy"),"procurement",IF(OR($H2562="Municipal",$H2562="Cooperative",$H2562="Federal",$H2562="State",$H2562="Political Subdivision"),"cost_service",IF($H2562="Investor Owned",IF(AND(COUNTIF(Parameters!$A$4:$A$33,$G2562)&gt;0,COUNTIF(Parameters!$B$4:$B$33,$B2562)=0),"procurement","cost_service"),"unclassified"))))))</f>
        <v>excluded</v>
      </c>
    </row>
    <row r="2563" spans="1:26" x14ac:dyDescent="0.25">
      <c r="A2563">
        <v>2024</v>
      </c>
      <c r="B2563">
        <v>66026</v>
      </c>
      <c r="C2563" t="s">
        <v>1683</v>
      </c>
      <c r="D2563" t="s">
        <v>84</v>
      </c>
      <c r="E2563" t="s">
        <v>85</v>
      </c>
      <c r="F2563" t="s">
        <v>86</v>
      </c>
      <c r="G2563" t="s">
        <v>40</v>
      </c>
      <c r="H2563" t="s">
        <v>1475</v>
      </c>
      <c r="I2563" t="s">
        <v>189</v>
      </c>
      <c r="J2563">
        <v>228.4</v>
      </c>
      <c r="K2563">
        <v>813</v>
      </c>
      <c r="L2563">
        <v>46</v>
      </c>
      <c r="M2563" t="s">
        <v>97</v>
      </c>
      <c r="N2563" t="s">
        <v>97</v>
      </c>
      <c r="O2563" t="s">
        <v>97</v>
      </c>
      <c r="P2563" t="s">
        <v>97</v>
      </c>
      <c r="Q2563" t="s">
        <v>97</v>
      </c>
      <c r="R2563" t="s">
        <v>97</v>
      </c>
      <c r="S2563" t="s">
        <v>97</v>
      </c>
      <c r="T2563" t="s">
        <v>97</v>
      </c>
      <c r="U2563" t="s">
        <v>97</v>
      </c>
      <c r="V2563">
        <v>228.4</v>
      </c>
      <c r="W2563">
        <v>813</v>
      </c>
      <c r="X2563">
        <v>46</v>
      </c>
      <c r="Y2563">
        <f t="shared" si="39"/>
        <v>813</v>
      </c>
      <c r="Z2563" t="str">
        <f>IF(ISNUMBER(SEARCH("Adjustment",$C2563)),"excluded",IF($H2563="Behind the Meter","excluded",IF(NOT(OR($E2563="Bundled",$E2563="Energy")),"excluded",IF(OR($H2563="Retail Power Marketer",$H2563="Community Choice Aggregator",$E2563="Energy"),"procurement",IF(OR($H2563="Municipal",$H2563="Cooperative",$H2563="Federal",$H2563="State",$H2563="Political Subdivision"),"cost_service",IF($H2563="Investor Owned",IF(AND(COUNTIF(Parameters!$A$4:$A$33,$G2563)&gt;0,COUNTIF(Parameters!$B$4:$B$33,$B2563)=0),"procurement","cost_service"),"unclassified"))))))</f>
        <v>excluded</v>
      </c>
    </row>
    <row r="2564" spans="1:26" x14ac:dyDescent="0.25">
      <c r="A2564">
        <v>2024</v>
      </c>
      <c r="B2564">
        <v>66026</v>
      </c>
      <c r="C2564" t="s">
        <v>1683</v>
      </c>
      <c r="D2564" t="s">
        <v>84</v>
      </c>
      <c r="E2564" t="s">
        <v>85</v>
      </c>
      <c r="F2564" t="s">
        <v>86</v>
      </c>
      <c r="G2564" t="s">
        <v>195</v>
      </c>
      <c r="H2564" t="s">
        <v>1475</v>
      </c>
      <c r="I2564" t="s">
        <v>514</v>
      </c>
      <c r="J2564">
        <v>340</v>
      </c>
      <c r="K2564">
        <v>2635</v>
      </c>
      <c r="L2564">
        <v>40</v>
      </c>
      <c r="M2564" t="s">
        <v>97</v>
      </c>
      <c r="N2564" t="s">
        <v>97</v>
      </c>
      <c r="O2564" t="s">
        <v>97</v>
      </c>
      <c r="P2564" t="s">
        <v>97</v>
      </c>
      <c r="Q2564" t="s">
        <v>97</v>
      </c>
      <c r="R2564" t="s">
        <v>97</v>
      </c>
      <c r="S2564" t="s">
        <v>97</v>
      </c>
      <c r="T2564" t="s">
        <v>97</v>
      </c>
      <c r="U2564" t="s">
        <v>97</v>
      </c>
      <c r="V2564">
        <v>340</v>
      </c>
      <c r="W2564">
        <v>2635</v>
      </c>
      <c r="X2564">
        <v>40</v>
      </c>
      <c r="Y2564">
        <f t="shared" ref="Y2564:Y2627" si="40">IF(ISNUMBER($W2564),$W2564,0)</f>
        <v>2635</v>
      </c>
      <c r="Z2564" t="str">
        <f>IF(ISNUMBER(SEARCH("Adjustment",$C2564)),"excluded",IF($H2564="Behind the Meter","excluded",IF(NOT(OR($E2564="Bundled",$E2564="Energy")),"excluded",IF(OR($H2564="Retail Power Marketer",$H2564="Community Choice Aggregator",$E2564="Energy"),"procurement",IF(OR($H2564="Municipal",$H2564="Cooperative",$H2564="Federal",$H2564="State",$H2564="Political Subdivision"),"cost_service",IF($H2564="Investor Owned",IF(AND(COUNTIF(Parameters!$A$4:$A$33,$G2564)&gt;0,COUNTIF(Parameters!$B$4:$B$33,$B2564)=0),"procurement","cost_service"),"unclassified"))))))</f>
        <v>excluded</v>
      </c>
    </row>
    <row r="2565" spans="1:26" x14ac:dyDescent="0.25">
      <c r="A2565">
        <v>2024</v>
      </c>
      <c r="B2565">
        <v>66026</v>
      </c>
      <c r="C2565" t="s">
        <v>1683</v>
      </c>
      <c r="D2565" t="s">
        <v>84</v>
      </c>
      <c r="E2565" t="s">
        <v>85</v>
      </c>
      <c r="F2565" t="s">
        <v>86</v>
      </c>
      <c r="G2565" t="s">
        <v>195</v>
      </c>
      <c r="H2565" t="s">
        <v>1475</v>
      </c>
      <c r="I2565" t="s">
        <v>196</v>
      </c>
      <c r="J2565">
        <v>311.5</v>
      </c>
      <c r="K2565">
        <v>2414</v>
      </c>
      <c r="L2565">
        <v>36</v>
      </c>
      <c r="M2565" t="s">
        <v>97</v>
      </c>
      <c r="N2565" t="s">
        <v>97</v>
      </c>
      <c r="O2565" t="s">
        <v>97</v>
      </c>
      <c r="P2565" t="s">
        <v>97</v>
      </c>
      <c r="Q2565" t="s">
        <v>97</v>
      </c>
      <c r="R2565" t="s">
        <v>97</v>
      </c>
      <c r="S2565" t="s">
        <v>97</v>
      </c>
      <c r="T2565" t="s">
        <v>97</v>
      </c>
      <c r="U2565" t="s">
        <v>97</v>
      </c>
      <c r="V2565">
        <v>311.5</v>
      </c>
      <c r="W2565">
        <v>2414</v>
      </c>
      <c r="X2565">
        <v>36</v>
      </c>
      <c r="Y2565">
        <f t="shared" si="40"/>
        <v>2414</v>
      </c>
      <c r="Z2565" t="str">
        <f>IF(ISNUMBER(SEARCH("Adjustment",$C2565)),"excluded",IF($H2565="Behind the Meter","excluded",IF(NOT(OR($E2565="Bundled",$E2565="Energy")),"excluded",IF(OR($H2565="Retail Power Marketer",$H2565="Community Choice Aggregator",$E2565="Energy"),"procurement",IF(OR($H2565="Municipal",$H2565="Cooperative",$H2565="Federal",$H2565="State",$H2565="Political Subdivision"),"cost_service",IF($H2565="Investor Owned",IF(AND(COUNTIF(Parameters!$A$4:$A$33,$G2565)&gt;0,COUNTIF(Parameters!$B$4:$B$33,$B2565)=0),"procurement","cost_service"),"unclassified"))))))</f>
        <v>excluded</v>
      </c>
    </row>
    <row r="2566" spans="1:26" x14ac:dyDescent="0.25">
      <c r="A2566">
        <v>2024</v>
      </c>
      <c r="B2566">
        <v>66026</v>
      </c>
      <c r="C2566" t="s">
        <v>1683</v>
      </c>
      <c r="D2566" t="s">
        <v>84</v>
      </c>
      <c r="E2566" t="s">
        <v>85</v>
      </c>
      <c r="F2566" t="s">
        <v>86</v>
      </c>
      <c r="G2566" t="s">
        <v>195</v>
      </c>
      <c r="H2566" t="s">
        <v>1475</v>
      </c>
      <c r="I2566" t="s">
        <v>1210</v>
      </c>
      <c r="J2566">
        <v>1346.6</v>
      </c>
      <c r="K2566">
        <v>10436</v>
      </c>
      <c r="L2566">
        <v>157</v>
      </c>
      <c r="M2566" t="s">
        <v>97</v>
      </c>
      <c r="N2566" t="s">
        <v>97</v>
      </c>
      <c r="O2566" t="s">
        <v>97</v>
      </c>
      <c r="P2566" t="s">
        <v>97</v>
      </c>
      <c r="Q2566" t="s">
        <v>97</v>
      </c>
      <c r="R2566" t="s">
        <v>97</v>
      </c>
      <c r="S2566" t="s">
        <v>97</v>
      </c>
      <c r="T2566" t="s">
        <v>97</v>
      </c>
      <c r="U2566" t="s">
        <v>97</v>
      </c>
      <c r="V2566">
        <v>1346.6</v>
      </c>
      <c r="W2566">
        <v>10436</v>
      </c>
      <c r="X2566">
        <v>157</v>
      </c>
      <c r="Y2566">
        <f t="shared" si="40"/>
        <v>10436</v>
      </c>
      <c r="Z2566" t="str">
        <f>IF(ISNUMBER(SEARCH("Adjustment",$C2566)),"excluded",IF($H2566="Behind the Meter","excluded",IF(NOT(OR($E2566="Bundled",$E2566="Energy")),"excluded",IF(OR($H2566="Retail Power Marketer",$H2566="Community Choice Aggregator",$E2566="Energy"),"procurement",IF(OR($H2566="Municipal",$H2566="Cooperative",$H2566="Federal",$H2566="State",$H2566="Political Subdivision"),"cost_service",IF($H2566="Investor Owned",IF(AND(COUNTIF(Parameters!$A$4:$A$33,$G2566)&gt;0,COUNTIF(Parameters!$B$4:$B$33,$B2566)=0),"procurement","cost_service"),"unclassified"))))))</f>
        <v>excluded</v>
      </c>
    </row>
    <row r="2567" spans="1:26" x14ac:dyDescent="0.25">
      <c r="A2567">
        <v>2024</v>
      </c>
      <c r="B2567">
        <v>66026</v>
      </c>
      <c r="C2567" t="s">
        <v>1683</v>
      </c>
      <c r="D2567" t="s">
        <v>84</v>
      </c>
      <c r="E2567" t="s">
        <v>85</v>
      </c>
      <c r="F2567" t="s">
        <v>86</v>
      </c>
      <c r="G2567" t="s">
        <v>195</v>
      </c>
      <c r="H2567" t="s">
        <v>1475</v>
      </c>
      <c r="I2567" t="s">
        <v>528</v>
      </c>
      <c r="J2567">
        <v>978</v>
      </c>
      <c r="K2567">
        <v>7580</v>
      </c>
      <c r="L2567">
        <v>114</v>
      </c>
      <c r="M2567" t="s">
        <v>97</v>
      </c>
      <c r="N2567" t="s">
        <v>97</v>
      </c>
      <c r="O2567" t="s">
        <v>97</v>
      </c>
      <c r="P2567" t="s">
        <v>97</v>
      </c>
      <c r="Q2567" t="s">
        <v>97</v>
      </c>
      <c r="R2567" t="s">
        <v>97</v>
      </c>
      <c r="S2567" t="s">
        <v>97</v>
      </c>
      <c r="T2567" t="s">
        <v>97</v>
      </c>
      <c r="U2567" t="s">
        <v>97</v>
      </c>
      <c r="V2567">
        <v>978</v>
      </c>
      <c r="W2567">
        <v>7580</v>
      </c>
      <c r="X2567">
        <v>114</v>
      </c>
      <c r="Y2567">
        <f t="shared" si="40"/>
        <v>7580</v>
      </c>
      <c r="Z2567" t="str">
        <f>IF(ISNUMBER(SEARCH("Adjustment",$C2567)),"excluded",IF($H2567="Behind the Meter","excluded",IF(NOT(OR($E2567="Bundled",$E2567="Energy")),"excluded",IF(OR($H2567="Retail Power Marketer",$H2567="Community Choice Aggregator",$E2567="Energy"),"procurement",IF(OR($H2567="Municipal",$H2567="Cooperative",$H2567="Federal",$H2567="State",$H2567="Political Subdivision"),"cost_service",IF($H2567="Investor Owned",IF(AND(COUNTIF(Parameters!$A$4:$A$33,$G2567)&gt;0,COUNTIF(Parameters!$B$4:$B$33,$B2567)=0),"procurement","cost_service"),"unclassified"))))))</f>
        <v>excluded</v>
      </c>
    </row>
    <row r="2568" spans="1:26" x14ac:dyDescent="0.25">
      <c r="A2568">
        <v>2024</v>
      </c>
      <c r="B2568">
        <v>66026</v>
      </c>
      <c r="C2568" t="s">
        <v>1683</v>
      </c>
      <c r="D2568" t="s">
        <v>84</v>
      </c>
      <c r="E2568" t="s">
        <v>85</v>
      </c>
      <c r="F2568" t="s">
        <v>86</v>
      </c>
      <c r="G2568" t="s">
        <v>123</v>
      </c>
      <c r="H2568" t="s">
        <v>1475</v>
      </c>
      <c r="I2568" t="s">
        <v>113</v>
      </c>
      <c r="J2568">
        <v>171.6</v>
      </c>
      <c r="K2568">
        <v>1354</v>
      </c>
      <c r="L2568">
        <v>32</v>
      </c>
      <c r="M2568" t="s">
        <v>97</v>
      </c>
      <c r="N2568" t="s">
        <v>97</v>
      </c>
      <c r="O2568" t="s">
        <v>97</v>
      </c>
      <c r="P2568" t="s">
        <v>97</v>
      </c>
      <c r="Q2568" t="s">
        <v>97</v>
      </c>
      <c r="R2568" t="s">
        <v>97</v>
      </c>
      <c r="S2568" t="s">
        <v>97</v>
      </c>
      <c r="T2568" t="s">
        <v>97</v>
      </c>
      <c r="U2568" t="s">
        <v>97</v>
      </c>
      <c r="V2568">
        <v>171.6</v>
      </c>
      <c r="W2568">
        <v>1354</v>
      </c>
      <c r="X2568">
        <v>32</v>
      </c>
      <c r="Y2568">
        <f t="shared" si="40"/>
        <v>1354</v>
      </c>
      <c r="Z2568" t="str">
        <f>IF(ISNUMBER(SEARCH("Adjustment",$C2568)),"excluded",IF($H2568="Behind the Meter","excluded",IF(NOT(OR($E2568="Bundled",$E2568="Energy")),"excluded",IF(OR($H2568="Retail Power Marketer",$H2568="Community Choice Aggregator",$E2568="Energy"),"procurement",IF(OR($H2568="Municipal",$H2568="Cooperative",$H2568="Federal",$H2568="State",$H2568="Political Subdivision"),"cost_service",IF($H2568="Investor Owned",IF(AND(COUNTIF(Parameters!$A$4:$A$33,$G2568)&gt;0,COUNTIF(Parameters!$B$4:$B$33,$B2568)=0),"procurement","cost_service"),"unclassified"))))))</f>
        <v>excluded</v>
      </c>
    </row>
    <row r="2569" spans="1:26" x14ac:dyDescent="0.25">
      <c r="A2569">
        <v>2024</v>
      </c>
      <c r="B2569">
        <v>66026</v>
      </c>
      <c r="C2569" t="s">
        <v>1683</v>
      </c>
      <c r="D2569" t="s">
        <v>84</v>
      </c>
      <c r="E2569" t="s">
        <v>85</v>
      </c>
      <c r="F2569" t="s">
        <v>86</v>
      </c>
      <c r="G2569" t="s">
        <v>46</v>
      </c>
      <c r="H2569" t="s">
        <v>1475</v>
      </c>
      <c r="I2569" t="s">
        <v>92</v>
      </c>
      <c r="J2569">
        <v>90</v>
      </c>
      <c r="K2569">
        <v>300</v>
      </c>
      <c r="L2569">
        <v>44</v>
      </c>
      <c r="M2569" t="s">
        <v>97</v>
      </c>
      <c r="N2569" t="s">
        <v>97</v>
      </c>
      <c r="O2569" t="s">
        <v>97</v>
      </c>
      <c r="P2569" t="s">
        <v>97</v>
      </c>
      <c r="Q2569" t="s">
        <v>97</v>
      </c>
      <c r="R2569" t="s">
        <v>97</v>
      </c>
      <c r="S2569" t="s">
        <v>97</v>
      </c>
      <c r="T2569" t="s">
        <v>97</v>
      </c>
      <c r="U2569" t="s">
        <v>97</v>
      </c>
      <c r="V2569">
        <v>90</v>
      </c>
      <c r="W2569">
        <v>300</v>
      </c>
      <c r="X2569">
        <v>44</v>
      </c>
      <c r="Y2569">
        <f t="shared" si="40"/>
        <v>300</v>
      </c>
      <c r="Z2569" t="str">
        <f>IF(ISNUMBER(SEARCH("Adjustment",$C2569)),"excluded",IF($H2569="Behind the Meter","excluded",IF(NOT(OR($E2569="Bundled",$E2569="Energy")),"excluded",IF(OR($H2569="Retail Power Marketer",$H2569="Community Choice Aggregator",$E2569="Energy"),"procurement",IF(OR($H2569="Municipal",$H2569="Cooperative",$H2569="Federal",$H2569="State",$H2569="Political Subdivision"),"cost_service",IF($H2569="Investor Owned",IF(AND(COUNTIF(Parameters!$A$4:$A$33,$G2569)&gt;0,COUNTIF(Parameters!$B$4:$B$33,$B2569)=0),"procurement","cost_service"),"unclassified"))))))</f>
        <v>excluded</v>
      </c>
    </row>
    <row r="2570" spans="1:26" x14ac:dyDescent="0.25">
      <c r="A2570">
        <v>2024</v>
      </c>
      <c r="B2570">
        <v>66026</v>
      </c>
      <c r="C2570" t="s">
        <v>1683</v>
      </c>
      <c r="D2570" t="s">
        <v>84</v>
      </c>
      <c r="E2570" t="s">
        <v>85</v>
      </c>
      <c r="F2570" t="s">
        <v>86</v>
      </c>
      <c r="G2570" t="s">
        <v>46</v>
      </c>
      <c r="H2570" t="s">
        <v>1475</v>
      </c>
      <c r="I2570" t="s">
        <v>96</v>
      </c>
      <c r="J2570">
        <v>47.1</v>
      </c>
      <c r="K2570">
        <v>157</v>
      </c>
      <c r="L2570">
        <v>23</v>
      </c>
      <c r="M2570" t="s">
        <v>97</v>
      </c>
      <c r="N2570" t="s">
        <v>97</v>
      </c>
      <c r="O2570" t="s">
        <v>97</v>
      </c>
      <c r="P2570" t="s">
        <v>97</v>
      </c>
      <c r="Q2570" t="s">
        <v>97</v>
      </c>
      <c r="R2570" t="s">
        <v>97</v>
      </c>
      <c r="S2570" t="s">
        <v>97</v>
      </c>
      <c r="T2570" t="s">
        <v>97</v>
      </c>
      <c r="U2570" t="s">
        <v>97</v>
      </c>
      <c r="V2570">
        <v>47.1</v>
      </c>
      <c r="W2570">
        <v>157</v>
      </c>
      <c r="X2570">
        <v>23</v>
      </c>
      <c r="Y2570">
        <f t="shared" si="40"/>
        <v>157</v>
      </c>
      <c r="Z2570" t="str">
        <f>IF(ISNUMBER(SEARCH("Adjustment",$C2570)),"excluded",IF($H2570="Behind the Meter","excluded",IF(NOT(OR($E2570="Bundled",$E2570="Energy")),"excluded",IF(OR($H2570="Retail Power Marketer",$H2570="Community Choice Aggregator",$E2570="Energy"),"procurement",IF(OR($H2570="Municipal",$H2570="Cooperative",$H2570="Federal",$H2570="State",$H2570="Political Subdivision"),"cost_service",IF($H2570="Investor Owned",IF(AND(COUNTIF(Parameters!$A$4:$A$33,$G2570)&gt;0,COUNTIF(Parameters!$B$4:$B$33,$B2570)=0),"procurement","cost_service"),"unclassified"))))))</f>
        <v>excluded</v>
      </c>
    </row>
    <row r="2571" spans="1:26" x14ac:dyDescent="0.25">
      <c r="A2571">
        <v>2024</v>
      </c>
      <c r="B2571">
        <v>66026</v>
      </c>
      <c r="C2571" t="s">
        <v>1683</v>
      </c>
      <c r="D2571" t="s">
        <v>84</v>
      </c>
      <c r="E2571" t="s">
        <v>85</v>
      </c>
      <c r="F2571" t="s">
        <v>86</v>
      </c>
      <c r="G2571" t="s">
        <v>134</v>
      </c>
      <c r="H2571" t="s">
        <v>1475</v>
      </c>
      <c r="I2571" t="s">
        <v>135</v>
      </c>
      <c r="J2571">
        <v>36.200000000000003</v>
      </c>
      <c r="K2571">
        <v>209</v>
      </c>
      <c r="L2571">
        <v>7</v>
      </c>
      <c r="M2571" t="s">
        <v>97</v>
      </c>
      <c r="N2571" t="s">
        <v>97</v>
      </c>
      <c r="O2571" t="s">
        <v>97</v>
      </c>
      <c r="P2571" t="s">
        <v>97</v>
      </c>
      <c r="Q2571" t="s">
        <v>97</v>
      </c>
      <c r="R2571" t="s">
        <v>97</v>
      </c>
      <c r="S2571" t="s">
        <v>97</v>
      </c>
      <c r="T2571" t="s">
        <v>97</v>
      </c>
      <c r="U2571" t="s">
        <v>97</v>
      </c>
      <c r="V2571">
        <v>36.200000000000003</v>
      </c>
      <c r="W2571">
        <v>209</v>
      </c>
      <c r="X2571">
        <v>7</v>
      </c>
      <c r="Y2571">
        <f t="shared" si="40"/>
        <v>209</v>
      </c>
      <c r="Z2571" t="str">
        <f>IF(ISNUMBER(SEARCH("Adjustment",$C2571)),"excluded",IF($H2571="Behind the Meter","excluded",IF(NOT(OR($E2571="Bundled",$E2571="Energy")),"excluded",IF(OR($H2571="Retail Power Marketer",$H2571="Community Choice Aggregator",$E2571="Energy"),"procurement",IF(OR($H2571="Municipal",$H2571="Cooperative",$H2571="Federal",$H2571="State",$H2571="Political Subdivision"),"cost_service",IF($H2571="Investor Owned",IF(AND(COUNTIF(Parameters!$A$4:$A$33,$G2571)&gt;0,COUNTIF(Parameters!$B$4:$B$33,$B2571)=0),"procurement","cost_service"),"unclassified"))))))</f>
        <v>excluded</v>
      </c>
    </row>
    <row r="2572" spans="1:26" x14ac:dyDescent="0.25">
      <c r="A2572">
        <v>2024</v>
      </c>
      <c r="B2572">
        <v>66026</v>
      </c>
      <c r="C2572" t="s">
        <v>1683</v>
      </c>
      <c r="D2572" t="s">
        <v>84</v>
      </c>
      <c r="E2572" t="s">
        <v>85</v>
      </c>
      <c r="F2572" t="s">
        <v>86</v>
      </c>
      <c r="G2572" t="s">
        <v>48</v>
      </c>
      <c r="H2572" t="s">
        <v>1475</v>
      </c>
      <c r="I2572" t="s">
        <v>189</v>
      </c>
      <c r="J2572">
        <v>612.4</v>
      </c>
      <c r="K2572">
        <v>3020</v>
      </c>
      <c r="L2572">
        <v>52</v>
      </c>
      <c r="M2572" t="s">
        <v>97</v>
      </c>
      <c r="N2572" t="s">
        <v>97</v>
      </c>
      <c r="O2572" t="s">
        <v>97</v>
      </c>
      <c r="P2572" t="s">
        <v>97</v>
      </c>
      <c r="Q2572" t="s">
        <v>97</v>
      </c>
      <c r="R2572" t="s">
        <v>97</v>
      </c>
      <c r="S2572" t="s">
        <v>97</v>
      </c>
      <c r="T2572" t="s">
        <v>97</v>
      </c>
      <c r="U2572" t="s">
        <v>97</v>
      </c>
      <c r="V2572">
        <v>612.4</v>
      </c>
      <c r="W2572">
        <v>3020</v>
      </c>
      <c r="X2572">
        <v>52</v>
      </c>
      <c r="Y2572">
        <f t="shared" si="40"/>
        <v>3020</v>
      </c>
      <c r="Z2572" t="str">
        <f>IF(ISNUMBER(SEARCH("Adjustment",$C2572)),"excluded",IF($H2572="Behind the Meter","excluded",IF(NOT(OR($E2572="Bundled",$E2572="Energy")),"excluded",IF(OR($H2572="Retail Power Marketer",$H2572="Community Choice Aggregator",$E2572="Energy"),"procurement",IF(OR($H2572="Municipal",$H2572="Cooperative",$H2572="Federal",$H2572="State",$H2572="Political Subdivision"),"cost_service",IF($H2572="Investor Owned",IF(AND(COUNTIF(Parameters!$A$4:$A$33,$G2572)&gt;0,COUNTIF(Parameters!$B$4:$B$33,$B2572)=0),"procurement","cost_service"),"unclassified"))))))</f>
        <v>excluded</v>
      </c>
    </row>
    <row r="2573" spans="1:26" x14ac:dyDescent="0.25">
      <c r="A2573">
        <v>2024</v>
      </c>
      <c r="B2573">
        <v>66026</v>
      </c>
      <c r="C2573" t="s">
        <v>1683</v>
      </c>
      <c r="D2573" t="s">
        <v>84</v>
      </c>
      <c r="E2573" t="s">
        <v>85</v>
      </c>
      <c r="F2573" t="s">
        <v>86</v>
      </c>
      <c r="G2573" t="s">
        <v>49</v>
      </c>
      <c r="H2573" t="s">
        <v>1475</v>
      </c>
      <c r="I2573" t="s">
        <v>92</v>
      </c>
      <c r="J2573">
        <v>50.6</v>
      </c>
      <c r="K2573">
        <v>197</v>
      </c>
      <c r="L2573">
        <v>5</v>
      </c>
      <c r="M2573" t="s">
        <v>97</v>
      </c>
      <c r="N2573" t="s">
        <v>97</v>
      </c>
      <c r="O2573" t="s">
        <v>97</v>
      </c>
      <c r="P2573" t="s">
        <v>97</v>
      </c>
      <c r="Q2573" t="s">
        <v>97</v>
      </c>
      <c r="R2573" t="s">
        <v>97</v>
      </c>
      <c r="S2573" t="s">
        <v>97</v>
      </c>
      <c r="T2573" t="s">
        <v>97</v>
      </c>
      <c r="U2573" t="s">
        <v>97</v>
      </c>
      <c r="V2573">
        <v>50.6</v>
      </c>
      <c r="W2573">
        <v>197</v>
      </c>
      <c r="X2573">
        <v>5</v>
      </c>
      <c r="Y2573">
        <f t="shared" si="40"/>
        <v>197</v>
      </c>
      <c r="Z2573" t="str">
        <f>IF(ISNUMBER(SEARCH("Adjustment",$C2573)),"excluded",IF($H2573="Behind the Meter","excluded",IF(NOT(OR($E2573="Bundled",$E2573="Energy")),"excluded",IF(OR($H2573="Retail Power Marketer",$H2573="Community Choice Aggregator",$E2573="Energy"),"procurement",IF(OR($H2573="Municipal",$H2573="Cooperative",$H2573="Federal",$H2573="State",$H2573="Political Subdivision"),"cost_service",IF($H2573="Investor Owned",IF(AND(COUNTIF(Parameters!$A$4:$A$33,$G2573)&gt;0,COUNTIF(Parameters!$B$4:$B$33,$B2573)=0),"procurement","cost_service"),"unclassified"))))))</f>
        <v>excluded</v>
      </c>
    </row>
    <row r="2574" spans="1:26" x14ac:dyDescent="0.25">
      <c r="A2574">
        <v>2024</v>
      </c>
      <c r="B2574">
        <v>66026</v>
      </c>
      <c r="C2574" t="s">
        <v>1683</v>
      </c>
      <c r="D2574" t="s">
        <v>84</v>
      </c>
      <c r="E2574" t="s">
        <v>85</v>
      </c>
      <c r="F2574" t="s">
        <v>86</v>
      </c>
      <c r="G2574" t="s">
        <v>50</v>
      </c>
      <c r="H2574" t="s">
        <v>1475</v>
      </c>
      <c r="I2574" t="s">
        <v>189</v>
      </c>
      <c r="J2574">
        <v>21.2</v>
      </c>
      <c r="K2574">
        <v>51</v>
      </c>
      <c r="L2574">
        <v>8</v>
      </c>
      <c r="M2574" t="s">
        <v>97</v>
      </c>
      <c r="N2574" t="s">
        <v>97</v>
      </c>
      <c r="O2574" t="s">
        <v>97</v>
      </c>
      <c r="P2574" t="s">
        <v>97</v>
      </c>
      <c r="Q2574" t="s">
        <v>97</v>
      </c>
      <c r="R2574" t="s">
        <v>97</v>
      </c>
      <c r="S2574" t="s">
        <v>97</v>
      </c>
      <c r="T2574" t="s">
        <v>97</v>
      </c>
      <c r="U2574" t="s">
        <v>97</v>
      </c>
      <c r="V2574">
        <v>21.2</v>
      </c>
      <c r="W2574">
        <v>51</v>
      </c>
      <c r="X2574">
        <v>8</v>
      </c>
      <c r="Y2574">
        <f t="shared" si="40"/>
        <v>51</v>
      </c>
      <c r="Z2574" t="str">
        <f>IF(ISNUMBER(SEARCH("Adjustment",$C2574)),"excluded",IF($H2574="Behind the Meter","excluded",IF(NOT(OR($E2574="Bundled",$E2574="Energy")),"excluded",IF(OR($H2574="Retail Power Marketer",$H2574="Community Choice Aggregator",$E2574="Energy"),"procurement",IF(OR($H2574="Municipal",$H2574="Cooperative",$H2574="Federal",$H2574="State",$H2574="Political Subdivision"),"cost_service",IF($H2574="Investor Owned",IF(AND(COUNTIF(Parameters!$A$4:$A$33,$G2574)&gt;0,COUNTIF(Parameters!$B$4:$B$33,$B2574)=0),"procurement","cost_service"),"unclassified"))))))</f>
        <v>excluded</v>
      </c>
    </row>
    <row r="2575" spans="1:26" x14ac:dyDescent="0.25">
      <c r="A2575">
        <v>2024</v>
      </c>
      <c r="B2575">
        <v>66026</v>
      </c>
      <c r="C2575" t="s">
        <v>1683</v>
      </c>
      <c r="D2575" t="s">
        <v>84</v>
      </c>
      <c r="E2575" t="s">
        <v>85</v>
      </c>
      <c r="F2575" t="s">
        <v>86</v>
      </c>
      <c r="G2575" t="s">
        <v>140</v>
      </c>
      <c r="H2575" t="s">
        <v>1475</v>
      </c>
      <c r="I2575" t="s">
        <v>96</v>
      </c>
      <c r="J2575">
        <v>10.3</v>
      </c>
      <c r="K2575">
        <v>33</v>
      </c>
      <c r="L2575">
        <v>4</v>
      </c>
      <c r="M2575" t="s">
        <v>97</v>
      </c>
      <c r="N2575" t="s">
        <v>97</v>
      </c>
      <c r="O2575" t="s">
        <v>97</v>
      </c>
      <c r="P2575" t="s">
        <v>97</v>
      </c>
      <c r="Q2575" t="s">
        <v>97</v>
      </c>
      <c r="R2575" t="s">
        <v>97</v>
      </c>
      <c r="S2575" t="s">
        <v>97</v>
      </c>
      <c r="T2575" t="s">
        <v>97</v>
      </c>
      <c r="U2575" t="s">
        <v>97</v>
      </c>
      <c r="V2575">
        <v>10.3</v>
      </c>
      <c r="W2575">
        <v>33</v>
      </c>
      <c r="X2575">
        <v>4</v>
      </c>
      <c r="Y2575">
        <f t="shared" si="40"/>
        <v>33</v>
      </c>
      <c r="Z2575" t="str">
        <f>IF(ISNUMBER(SEARCH("Adjustment",$C2575)),"excluded",IF($H2575="Behind the Meter","excluded",IF(NOT(OR($E2575="Bundled",$E2575="Energy")),"excluded",IF(OR($H2575="Retail Power Marketer",$H2575="Community Choice Aggregator",$E2575="Energy"),"procurement",IF(OR($H2575="Municipal",$H2575="Cooperative",$H2575="Federal",$H2575="State",$H2575="Political Subdivision"),"cost_service",IF($H2575="Investor Owned",IF(AND(COUNTIF(Parameters!$A$4:$A$33,$G2575)&gt;0,COUNTIF(Parameters!$B$4:$B$33,$B2575)=0),"procurement","cost_service"),"unclassified"))))))</f>
        <v>excluded</v>
      </c>
    </row>
    <row r="2576" spans="1:26" x14ac:dyDescent="0.25">
      <c r="A2576">
        <v>2024</v>
      </c>
      <c r="B2576">
        <v>66026</v>
      </c>
      <c r="C2576" t="s">
        <v>1683</v>
      </c>
      <c r="D2576" t="s">
        <v>84</v>
      </c>
      <c r="E2576" t="s">
        <v>85</v>
      </c>
      <c r="F2576" t="s">
        <v>86</v>
      </c>
      <c r="G2576" t="s">
        <v>125</v>
      </c>
      <c r="H2576" t="s">
        <v>1475</v>
      </c>
      <c r="I2576" t="s">
        <v>163</v>
      </c>
      <c r="J2576">
        <v>33.6</v>
      </c>
      <c r="K2576">
        <v>215</v>
      </c>
      <c r="L2576">
        <v>6</v>
      </c>
      <c r="M2576" t="s">
        <v>97</v>
      </c>
      <c r="N2576" t="s">
        <v>97</v>
      </c>
      <c r="O2576" t="s">
        <v>97</v>
      </c>
      <c r="P2576" t="s">
        <v>97</v>
      </c>
      <c r="Q2576" t="s">
        <v>97</v>
      </c>
      <c r="R2576" t="s">
        <v>97</v>
      </c>
      <c r="S2576" t="s">
        <v>97</v>
      </c>
      <c r="T2576" t="s">
        <v>97</v>
      </c>
      <c r="U2576" t="s">
        <v>97</v>
      </c>
      <c r="V2576">
        <v>33.6</v>
      </c>
      <c r="W2576">
        <v>215</v>
      </c>
      <c r="X2576">
        <v>6</v>
      </c>
      <c r="Y2576">
        <f t="shared" si="40"/>
        <v>215</v>
      </c>
      <c r="Z2576" t="str">
        <f>IF(ISNUMBER(SEARCH("Adjustment",$C2576)),"excluded",IF($H2576="Behind the Meter","excluded",IF(NOT(OR($E2576="Bundled",$E2576="Energy")),"excluded",IF(OR($H2576="Retail Power Marketer",$H2576="Community Choice Aggregator",$E2576="Energy"),"procurement",IF(OR($H2576="Municipal",$H2576="Cooperative",$H2576="Federal",$H2576="State",$H2576="Political Subdivision"),"cost_service",IF($H2576="Investor Owned",IF(AND(COUNTIF(Parameters!$A$4:$A$33,$G2576)&gt;0,COUNTIF(Parameters!$B$4:$B$33,$B2576)=0),"procurement","cost_service"),"unclassified"))))))</f>
        <v>excluded</v>
      </c>
    </row>
    <row r="2577" spans="1:26" x14ac:dyDescent="0.25">
      <c r="A2577">
        <v>2024</v>
      </c>
      <c r="B2577">
        <v>66026</v>
      </c>
      <c r="C2577" t="s">
        <v>1683</v>
      </c>
      <c r="D2577" t="s">
        <v>84</v>
      </c>
      <c r="E2577" t="s">
        <v>85</v>
      </c>
      <c r="F2577" t="s">
        <v>86</v>
      </c>
      <c r="G2577" t="s">
        <v>125</v>
      </c>
      <c r="H2577" t="s">
        <v>1475</v>
      </c>
      <c r="I2577" t="s">
        <v>126</v>
      </c>
      <c r="J2577">
        <v>24</v>
      </c>
      <c r="K2577">
        <v>154</v>
      </c>
      <c r="L2577">
        <v>4</v>
      </c>
      <c r="M2577" t="s">
        <v>97</v>
      </c>
      <c r="N2577" t="s">
        <v>97</v>
      </c>
      <c r="O2577" t="s">
        <v>97</v>
      </c>
      <c r="P2577" t="s">
        <v>97</v>
      </c>
      <c r="Q2577" t="s">
        <v>97</v>
      </c>
      <c r="R2577" t="s">
        <v>97</v>
      </c>
      <c r="S2577" t="s">
        <v>97</v>
      </c>
      <c r="T2577" t="s">
        <v>97</v>
      </c>
      <c r="U2577" t="s">
        <v>97</v>
      </c>
      <c r="V2577">
        <v>24</v>
      </c>
      <c r="W2577">
        <v>154</v>
      </c>
      <c r="X2577">
        <v>4</v>
      </c>
      <c r="Y2577">
        <f t="shared" si="40"/>
        <v>154</v>
      </c>
      <c r="Z2577" t="str">
        <f>IF(ISNUMBER(SEARCH("Adjustment",$C2577)),"excluded",IF($H2577="Behind the Meter","excluded",IF(NOT(OR($E2577="Bundled",$E2577="Energy")),"excluded",IF(OR($H2577="Retail Power Marketer",$H2577="Community Choice Aggregator",$E2577="Energy"),"procurement",IF(OR($H2577="Municipal",$H2577="Cooperative",$H2577="Federal",$H2577="State",$H2577="Political Subdivision"),"cost_service",IF($H2577="Investor Owned",IF(AND(COUNTIF(Parameters!$A$4:$A$33,$G2577)&gt;0,COUNTIF(Parameters!$B$4:$B$33,$B2577)=0),"procurement","cost_service"),"unclassified"))))))</f>
        <v>excluded</v>
      </c>
    </row>
    <row r="2578" spans="1:26" x14ac:dyDescent="0.25">
      <c r="A2578">
        <v>2024</v>
      </c>
      <c r="B2578">
        <v>66026</v>
      </c>
      <c r="C2578" t="s">
        <v>1683</v>
      </c>
      <c r="D2578" t="s">
        <v>84</v>
      </c>
      <c r="E2578" t="s">
        <v>85</v>
      </c>
      <c r="F2578" t="s">
        <v>86</v>
      </c>
      <c r="G2578" t="s">
        <v>51</v>
      </c>
      <c r="H2578" t="s">
        <v>1475</v>
      </c>
      <c r="I2578" t="s">
        <v>189</v>
      </c>
      <c r="J2578">
        <v>41</v>
      </c>
      <c r="K2578">
        <v>146</v>
      </c>
      <c r="L2578">
        <v>3</v>
      </c>
      <c r="M2578" t="s">
        <v>97</v>
      </c>
      <c r="N2578" t="s">
        <v>97</v>
      </c>
      <c r="O2578" t="s">
        <v>97</v>
      </c>
      <c r="P2578" t="s">
        <v>97</v>
      </c>
      <c r="Q2578" t="s">
        <v>97</v>
      </c>
      <c r="R2578" t="s">
        <v>97</v>
      </c>
      <c r="S2578" t="s">
        <v>97</v>
      </c>
      <c r="T2578" t="s">
        <v>97</v>
      </c>
      <c r="U2578" t="s">
        <v>97</v>
      </c>
      <c r="V2578">
        <v>41</v>
      </c>
      <c r="W2578">
        <v>146</v>
      </c>
      <c r="X2578">
        <v>3</v>
      </c>
      <c r="Y2578">
        <f t="shared" si="40"/>
        <v>146</v>
      </c>
      <c r="Z2578" t="str">
        <f>IF(ISNUMBER(SEARCH("Adjustment",$C2578)),"excluded",IF($H2578="Behind the Meter","excluded",IF(NOT(OR($E2578="Bundled",$E2578="Energy")),"excluded",IF(OR($H2578="Retail Power Marketer",$H2578="Community Choice Aggregator",$E2578="Energy"),"procurement",IF(OR($H2578="Municipal",$H2578="Cooperative",$H2578="Federal",$H2578="State",$H2578="Political Subdivision"),"cost_service",IF($H2578="Investor Owned",IF(AND(COUNTIF(Parameters!$A$4:$A$33,$G2578)&gt;0,COUNTIF(Parameters!$B$4:$B$33,$B2578)=0),"procurement","cost_service"),"unclassified"))))))</f>
        <v>excluded</v>
      </c>
    </row>
    <row r="2579" spans="1:26" x14ac:dyDescent="0.25">
      <c r="A2579">
        <v>2024</v>
      </c>
      <c r="B2579">
        <v>66026</v>
      </c>
      <c r="C2579" t="s">
        <v>1683</v>
      </c>
      <c r="D2579" t="s">
        <v>84</v>
      </c>
      <c r="E2579" t="s">
        <v>85</v>
      </c>
      <c r="F2579" t="s">
        <v>86</v>
      </c>
      <c r="G2579" t="s">
        <v>52</v>
      </c>
      <c r="H2579" t="s">
        <v>1475</v>
      </c>
      <c r="I2579" t="s">
        <v>92</v>
      </c>
      <c r="J2579">
        <v>29.6</v>
      </c>
      <c r="K2579">
        <v>144</v>
      </c>
      <c r="L2579">
        <v>8</v>
      </c>
      <c r="M2579" t="s">
        <v>97</v>
      </c>
      <c r="N2579" t="s">
        <v>97</v>
      </c>
      <c r="O2579" t="s">
        <v>97</v>
      </c>
      <c r="P2579" t="s">
        <v>97</v>
      </c>
      <c r="Q2579" t="s">
        <v>97</v>
      </c>
      <c r="R2579" t="s">
        <v>97</v>
      </c>
      <c r="S2579" t="s">
        <v>97</v>
      </c>
      <c r="T2579" t="s">
        <v>97</v>
      </c>
      <c r="U2579" t="s">
        <v>97</v>
      </c>
      <c r="V2579">
        <v>29.6</v>
      </c>
      <c r="W2579">
        <v>144</v>
      </c>
      <c r="X2579">
        <v>8</v>
      </c>
      <c r="Y2579">
        <f t="shared" si="40"/>
        <v>144</v>
      </c>
      <c r="Z2579" t="str">
        <f>IF(ISNUMBER(SEARCH("Adjustment",$C2579)),"excluded",IF($H2579="Behind the Meter","excluded",IF(NOT(OR($E2579="Bundled",$E2579="Energy")),"excluded",IF(OR($H2579="Retail Power Marketer",$H2579="Community Choice Aggregator",$E2579="Energy"),"procurement",IF(OR($H2579="Municipal",$H2579="Cooperative",$H2579="Federal",$H2579="State",$H2579="Political Subdivision"),"cost_service",IF($H2579="Investor Owned",IF(AND(COUNTIF(Parameters!$A$4:$A$33,$G2579)&gt;0,COUNTIF(Parameters!$B$4:$B$33,$B2579)=0),"procurement","cost_service"),"unclassified"))))))</f>
        <v>excluded</v>
      </c>
    </row>
    <row r="2580" spans="1:26" x14ac:dyDescent="0.25">
      <c r="A2580">
        <v>2024</v>
      </c>
      <c r="B2580">
        <v>66026</v>
      </c>
      <c r="C2580" t="s">
        <v>1683</v>
      </c>
      <c r="D2580" t="s">
        <v>84</v>
      </c>
      <c r="E2580" t="s">
        <v>85</v>
      </c>
      <c r="F2580" t="s">
        <v>86</v>
      </c>
      <c r="G2580" t="s">
        <v>308</v>
      </c>
      <c r="H2580" t="s">
        <v>1475</v>
      </c>
      <c r="I2580" t="s">
        <v>309</v>
      </c>
      <c r="J2580">
        <v>126.2</v>
      </c>
      <c r="K2580">
        <v>1209</v>
      </c>
      <c r="L2580">
        <v>10</v>
      </c>
      <c r="M2580" t="s">
        <v>97</v>
      </c>
      <c r="N2580" t="s">
        <v>97</v>
      </c>
      <c r="O2580" t="s">
        <v>97</v>
      </c>
      <c r="P2580" t="s">
        <v>97</v>
      </c>
      <c r="Q2580" t="s">
        <v>97</v>
      </c>
      <c r="R2580" t="s">
        <v>97</v>
      </c>
      <c r="S2580" t="s">
        <v>97</v>
      </c>
      <c r="T2580" t="s">
        <v>97</v>
      </c>
      <c r="U2580" t="s">
        <v>97</v>
      </c>
      <c r="V2580">
        <v>126.2</v>
      </c>
      <c r="W2580">
        <v>1209</v>
      </c>
      <c r="X2580">
        <v>10</v>
      </c>
      <c r="Y2580">
        <f t="shared" si="40"/>
        <v>1209</v>
      </c>
      <c r="Z2580" t="str">
        <f>IF(ISNUMBER(SEARCH("Adjustment",$C2580)),"excluded",IF($H2580="Behind the Meter","excluded",IF(NOT(OR($E2580="Bundled",$E2580="Energy")),"excluded",IF(OR($H2580="Retail Power Marketer",$H2580="Community Choice Aggregator",$E2580="Energy"),"procurement",IF(OR($H2580="Municipal",$H2580="Cooperative",$H2580="Federal",$H2580="State",$H2580="Political Subdivision"),"cost_service",IF($H2580="Investor Owned",IF(AND(COUNTIF(Parameters!$A$4:$A$33,$G2580)&gt;0,COUNTIF(Parameters!$B$4:$B$33,$B2580)=0),"procurement","cost_service"),"unclassified"))))))</f>
        <v>excluded</v>
      </c>
    </row>
    <row r="2581" spans="1:26" x14ac:dyDescent="0.25">
      <c r="A2581">
        <v>2024</v>
      </c>
      <c r="B2581">
        <v>66026</v>
      </c>
      <c r="C2581" t="s">
        <v>1683</v>
      </c>
      <c r="D2581" t="s">
        <v>84</v>
      </c>
      <c r="E2581" t="s">
        <v>85</v>
      </c>
      <c r="F2581" t="s">
        <v>86</v>
      </c>
      <c r="G2581" t="s">
        <v>242</v>
      </c>
      <c r="H2581" t="s">
        <v>1475</v>
      </c>
      <c r="I2581" t="s">
        <v>390</v>
      </c>
      <c r="J2581">
        <v>0.8</v>
      </c>
      <c r="K2581">
        <v>2</v>
      </c>
      <c r="L2581">
        <v>1</v>
      </c>
      <c r="M2581" t="s">
        <v>97</v>
      </c>
      <c r="N2581" t="s">
        <v>97</v>
      </c>
      <c r="O2581" t="s">
        <v>97</v>
      </c>
      <c r="P2581" t="s">
        <v>97</v>
      </c>
      <c r="Q2581" t="s">
        <v>97</v>
      </c>
      <c r="R2581" t="s">
        <v>97</v>
      </c>
      <c r="S2581" t="s">
        <v>97</v>
      </c>
      <c r="T2581" t="s">
        <v>97</v>
      </c>
      <c r="U2581" t="s">
        <v>97</v>
      </c>
      <c r="V2581">
        <v>0.8</v>
      </c>
      <c r="W2581">
        <v>2</v>
      </c>
      <c r="X2581">
        <v>1</v>
      </c>
      <c r="Y2581">
        <f t="shared" si="40"/>
        <v>2</v>
      </c>
      <c r="Z2581" t="str">
        <f>IF(ISNUMBER(SEARCH("Adjustment",$C2581)),"excluded",IF($H2581="Behind the Meter","excluded",IF(NOT(OR($E2581="Bundled",$E2581="Energy")),"excluded",IF(OR($H2581="Retail Power Marketer",$H2581="Community Choice Aggregator",$E2581="Energy"),"procurement",IF(OR($H2581="Municipal",$H2581="Cooperative",$H2581="Federal",$H2581="State",$H2581="Political Subdivision"),"cost_service",IF($H2581="Investor Owned",IF(AND(COUNTIF(Parameters!$A$4:$A$33,$G2581)&gt;0,COUNTIF(Parameters!$B$4:$B$33,$B2581)=0),"procurement","cost_service"),"unclassified"))))))</f>
        <v>excluded</v>
      </c>
    </row>
    <row r="2582" spans="1:26" x14ac:dyDescent="0.25">
      <c r="A2582">
        <v>2024</v>
      </c>
      <c r="B2582">
        <v>66026</v>
      </c>
      <c r="C2582" t="s">
        <v>1683</v>
      </c>
      <c r="D2582" t="s">
        <v>84</v>
      </c>
      <c r="E2582" t="s">
        <v>85</v>
      </c>
      <c r="F2582" t="s">
        <v>86</v>
      </c>
      <c r="G2582" t="s">
        <v>53</v>
      </c>
      <c r="H2582" t="s">
        <v>1475</v>
      </c>
      <c r="I2582" t="s">
        <v>102</v>
      </c>
      <c r="J2582">
        <v>366.2</v>
      </c>
      <c r="K2582">
        <v>2199</v>
      </c>
      <c r="L2582">
        <v>56</v>
      </c>
      <c r="M2582" t="s">
        <v>97</v>
      </c>
      <c r="N2582" t="s">
        <v>97</v>
      </c>
      <c r="O2582" t="s">
        <v>97</v>
      </c>
      <c r="P2582" t="s">
        <v>97</v>
      </c>
      <c r="Q2582" t="s">
        <v>97</v>
      </c>
      <c r="R2582" t="s">
        <v>97</v>
      </c>
      <c r="S2582" t="s">
        <v>97</v>
      </c>
      <c r="T2582" t="s">
        <v>97</v>
      </c>
      <c r="U2582" t="s">
        <v>97</v>
      </c>
      <c r="V2582">
        <v>366.2</v>
      </c>
      <c r="W2582">
        <v>2199</v>
      </c>
      <c r="X2582">
        <v>56</v>
      </c>
      <c r="Y2582">
        <f t="shared" si="40"/>
        <v>2199</v>
      </c>
      <c r="Z2582" t="str">
        <f>IF(ISNUMBER(SEARCH("Adjustment",$C2582)),"excluded",IF($H2582="Behind the Meter","excluded",IF(NOT(OR($E2582="Bundled",$E2582="Energy")),"excluded",IF(OR($H2582="Retail Power Marketer",$H2582="Community Choice Aggregator",$E2582="Energy"),"procurement",IF(OR($H2582="Municipal",$H2582="Cooperative",$H2582="Federal",$H2582="State",$H2582="Political Subdivision"),"cost_service",IF($H2582="Investor Owned",IF(AND(COUNTIF(Parameters!$A$4:$A$33,$G2582)&gt;0,COUNTIF(Parameters!$B$4:$B$33,$B2582)=0),"procurement","cost_service"),"unclassified"))))))</f>
        <v>excluded</v>
      </c>
    </row>
    <row r="2583" spans="1:26" x14ac:dyDescent="0.25">
      <c r="A2583">
        <v>2024</v>
      </c>
      <c r="B2583">
        <v>66026</v>
      </c>
      <c r="C2583" t="s">
        <v>1683</v>
      </c>
      <c r="D2583" t="s">
        <v>84</v>
      </c>
      <c r="E2583" t="s">
        <v>85</v>
      </c>
      <c r="F2583" t="s">
        <v>86</v>
      </c>
      <c r="G2583" t="s">
        <v>54</v>
      </c>
      <c r="H2583" t="s">
        <v>1475</v>
      </c>
      <c r="I2583" t="s">
        <v>92</v>
      </c>
      <c r="J2583">
        <v>112</v>
      </c>
      <c r="K2583">
        <v>583</v>
      </c>
      <c r="L2583">
        <v>21</v>
      </c>
      <c r="M2583" t="s">
        <v>97</v>
      </c>
      <c r="N2583" t="s">
        <v>97</v>
      </c>
      <c r="O2583" t="s">
        <v>97</v>
      </c>
      <c r="P2583" t="s">
        <v>97</v>
      </c>
      <c r="Q2583" t="s">
        <v>97</v>
      </c>
      <c r="R2583" t="s">
        <v>97</v>
      </c>
      <c r="S2583" t="s">
        <v>97</v>
      </c>
      <c r="T2583" t="s">
        <v>97</v>
      </c>
      <c r="U2583" t="s">
        <v>97</v>
      </c>
      <c r="V2583">
        <v>112</v>
      </c>
      <c r="W2583">
        <v>583</v>
      </c>
      <c r="X2583">
        <v>21</v>
      </c>
      <c r="Y2583">
        <f t="shared" si="40"/>
        <v>583</v>
      </c>
      <c r="Z2583" t="str">
        <f>IF(ISNUMBER(SEARCH("Adjustment",$C2583)),"excluded",IF($H2583="Behind the Meter","excluded",IF(NOT(OR($E2583="Bundled",$E2583="Energy")),"excluded",IF(OR($H2583="Retail Power Marketer",$H2583="Community Choice Aggregator",$E2583="Energy"),"procurement",IF(OR($H2583="Municipal",$H2583="Cooperative",$H2583="Federal",$H2583="State",$H2583="Political Subdivision"),"cost_service",IF($H2583="Investor Owned",IF(AND(COUNTIF(Parameters!$A$4:$A$33,$G2583)&gt;0,COUNTIF(Parameters!$B$4:$B$33,$B2583)=0),"procurement","cost_service"),"unclassified"))))))</f>
        <v>excluded</v>
      </c>
    </row>
    <row r="2584" spans="1:26" x14ac:dyDescent="0.25">
      <c r="A2584">
        <v>2024</v>
      </c>
      <c r="B2584">
        <v>66026</v>
      </c>
      <c r="C2584" t="s">
        <v>1683</v>
      </c>
      <c r="D2584" t="s">
        <v>84</v>
      </c>
      <c r="E2584" t="s">
        <v>85</v>
      </c>
      <c r="F2584" t="s">
        <v>86</v>
      </c>
      <c r="G2584" t="s">
        <v>136</v>
      </c>
      <c r="H2584" t="s">
        <v>1475</v>
      </c>
      <c r="I2584" t="s">
        <v>135</v>
      </c>
      <c r="J2584">
        <v>123.9</v>
      </c>
      <c r="K2584">
        <v>1004</v>
      </c>
      <c r="L2584">
        <v>18</v>
      </c>
      <c r="M2584" t="s">
        <v>97</v>
      </c>
      <c r="N2584" t="s">
        <v>97</v>
      </c>
      <c r="O2584" t="s">
        <v>97</v>
      </c>
      <c r="P2584" t="s">
        <v>97</v>
      </c>
      <c r="Q2584" t="s">
        <v>97</v>
      </c>
      <c r="R2584" t="s">
        <v>97</v>
      </c>
      <c r="S2584" t="s">
        <v>97</v>
      </c>
      <c r="T2584" t="s">
        <v>97</v>
      </c>
      <c r="U2584" t="s">
        <v>97</v>
      </c>
      <c r="V2584">
        <v>123.9</v>
      </c>
      <c r="W2584">
        <v>1004</v>
      </c>
      <c r="X2584">
        <v>18</v>
      </c>
      <c r="Y2584">
        <f t="shared" si="40"/>
        <v>1004</v>
      </c>
      <c r="Z2584" t="str">
        <f>IF(ISNUMBER(SEARCH("Adjustment",$C2584)),"excluded",IF($H2584="Behind the Meter","excluded",IF(NOT(OR($E2584="Bundled",$E2584="Energy")),"excluded",IF(OR($H2584="Retail Power Marketer",$H2584="Community Choice Aggregator",$E2584="Energy"),"procurement",IF(OR($H2584="Municipal",$H2584="Cooperative",$H2584="Federal",$H2584="State",$H2584="Political Subdivision"),"cost_service",IF($H2584="Investor Owned",IF(AND(COUNTIF(Parameters!$A$4:$A$33,$G2584)&gt;0,COUNTIF(Parameters!$B$4:$B$33,$B2584)=0),"procurement","cost_service"),"unclassified"))))))</f>
        <v>excluded</v>
      </c>
    </row>
    <row r="2585" spans="1:26" x14ac:dyDescent="0.25">
      <c r="A2585">
        <v>2024</v>
      </c>
      <c r="B2585">
        <v>66026</v>
      </c>
      <c r="C2585" t="s">
        <v>1683</v>
      </c>
      <c r="D2585" t="s">
        <v>84</v>
      </c>
      <c r="E2585" t="s">
        <v>85</v>
      </c>
      <c r="F2585" t="s">
        <v>86</v>
      </c>
      <c r="G2585" t="s">
        <v>55</v>
      </c>
      <c r="H2585" t="s">
        <v>1475</v>
      </c>
      <c r="I2585" t="s">
        <v>92</v>
      </c>
      <c r="J2585">
        <v>430.9</v>
      </c>
      <c r="K2585">
        <v>2730</v>
      </c>
      <c r="L2585">
        <v>43</v>
      </c>
      <c r="M2585" t="s">
        <v>97</v>
      </c>
      <c r="N2585" t="s">
        <v>97</v>
      </c>
      <c r="O2585" t="s">
        <v>97</v>
      </c>
      <c r="P2585" t="s">
        <v>97</v>
      </c>
      <c r="Q2585" t="s">
        <v>97</v>
      </c>
      <c r="R2585" t="s">
        <v>97</v>
      </c>
      <c r="S2585" t="s">
        <v>97</v>
      </c>
      <c r="T2585" t="s">
        <v>97</v>
      </c>
      <c r="U2585" t="s">
        <v>97</v>
      </c>
      <c r="V2585">
        <v>430.9</v>
      </c>
      <c r="W2585">
        <v>2730</v>
      </c>
      <c r="X2585">
        <v>43</v>
      </c>
      <c r="Y2585">
        <f t="shared" si="40"/>
        <v>2730</v>
      </c>
      <c r="Z2585" t="str">
        <f>IF(ISNUMBER(SEARCH("Adjustment",$C2585)),"excluded",IF($H2585="Behind the Meter","excluded",IF(NOT(OR($E2585="Bundled",$E2585="Energy")),"excluded",IF(OR($H2585="Retail Power Marketer",$H2585="Community Choice Aggregator",$E2585="Energy"),"procurement",IF(OR($H2585="Municipal",$H2585="Cooperative",$H2585="Federal",$H2585="State",$H2585="Political Subdivision"),"cost_service",IF($H2585="Investor Owned",IF(AND(COUNTIF(Parameters!$A$4:$A$33,$G2585)&gt;0,COUNTIF(Parameters!$B$4:$B$33,$B2585)=0),"procurement","cost_service"),"unclassified"))))))</f>
        <v>excluded</v>
      </c>
    </row>
    <row r="2586" spans="1:26" x14ac:dyDescent="0.25">
      <c r="A2586">
        <v>2024</v>
      </c>
      <c r="B2586">
        <v>66026</v>
      </c>
      <c r="C2586" t="s">
        <v>1683</v>
      </c>
      <c r="D2586" t="s">
        <v>84</v>
      </c>
      <c r="E2586" t="s">
        <v>85</v>
      </c>
      <c r="F2586" t="s">
        <v>86</v>
      </c>
      <c r="G2586" t="s">
        <v>56</v>
      </c>
      <c r="H2586" t="s">
        <v>1475</v>
      </c>
      <c r="I2586" t="s">
        <v>189</v>
      </c>
      <c r="J2586">
        <v>7.9</v>
      </c>
      <c r="K2586">
        <v>14</v>
      </c>
      <c r="L2586">
        <v>2</v>
      </c>
      <c r="M2586" t="s">
        <v>97</v>
      </c>
      <c r="N2586" t="s">
        <v>97</v>
      </c>
      <c r="O2586" t="s">
        <v>97</v>
      </c>
      <c r="P2586" t="s">
        <v>97</v>
      </c>
      <c r="Q2586" t="s">
        <v>97</v>
      </c>
      <c r="R2586" t="s">
        <v>97</v>
      </c>
      <c r="S2586" t="s">
        <v>97</v>
      </c>
      <c r="T2586" t="s">
        <v>97</v>
      </c>
      <c r="U2586" t="s">
        <v>97</v>
      </c>
      <c r="V2586">
        <v>7.9</v>
      </c>
      <c r="W2586">
        <v>14</v>
      </c>
      <c r="X2586">
        <v>2</v>
      </c>
      <c r="Y2586">
        <f t="shared" si="40"/>
        <v>14</v>
      </c>
      <c r="Z2586" t="str">
        <f>IF(ISNUMBER(SEARCH("Adjustment",$C2586)),"excluded",IF($H2586="Behind the Meter","excluded",IF(NOT(OR($E2586="Bundled",$E2586="Energy")),"excluded",IF(OR($H2586="Retail Power Marketer",$H2586="Community Choice Aggregator",$E2586="Energy"),"procurement",IF(OR($H2586="Municipal",$H2586="Cooperative",$H2586="Federal",$H2586="State",$H2586="Political Subdivision"),"cost_service",IF($H2586="Investor Owned",IF(AND(COUNTIF(Parameters!$A$4:$A$33,$G2586)&gt;0,COUNTIF(Parameters!$B$4:$B$33,$B2586)=0),"procurement","cost_service"),"unclassified"))))))</f>
        <v>excluded</v>
      </c>
    </row>
    <row r="2587" spans="1:26" x14ac:dyDescent="0.25">
      <c r="A2587">
        <v>2024</v>
      </c>
      <c r="B2587">
        <v>66026</v>
      </c>
      <c r="C2587" t="s">
        <v>1683</v>
      </c>
      <c r="D2587" t="s">
        <v>84</v>
      </c>
      <c r="E2587" t="s">
        <v>85</v>
      </c>
      <c r="F2587" t="s">
        <v>86</v>
      </c>
      <c r="G2587" t="s">
        <v>57</v>
      </c>
      <c r="H2587" t="s">
        <v>1475</v>
      </c>
      <c r="I2587" t="s">
        <v>151</v>
      </c>
      <c r="J2587">
        <v>2129.8000000000002</v>
      </c>
      <c r="K2587">
        <v>20363</v>
      </c>
      <c r="L2587">
        <v>162</v>
      </c>
      <c r="M2587" t="s">
        <v>97</v>
      </c>
      <c r="N2587" t="s">
        <v>97</v>
      </c>
      <c r="O2587" t="s">
        <v>97</v>
      </c>
      <c r="P2587" t="s">
        <v>97</v>
      </c>
      <c r="Q2587" t="s">
        <v>97</v>
      </c>
      <c r="R2587" t="s">
        <v>97</v>
      </c>
      <c r="S2587" t="s">
        <v>97</v>
      </c>
      <c r="T2587" t="s">
        <v>97</v>
      </c>
      <c r="U2587" t="s">
        <v>97</v>
      </c>
      <c r="V2587">
        <v>2129.8000000000002</v>
      </c>
      <c r="W2587">
        <v>20363</v>
      </c>
      <c r="X2587">
        <v>162</v>
      </c>
      <c r="Y2587">
        <f t="shared" si="40"/>
        <v>20363</v>
      </c>
      <c r="Z2587" t="str">
        <f>IF(ISNUMBER(SEARCH("Adjustment",$C2587)),"excluded",IF($H2587="Behind the Meter","excluded",IF(NOT(OR($E2587="Bundled",$E2587="Energy")),"excluded",IF(OR($H2587="Retail Power Marketer",$H2587="Community Choice Aggregator",$E2587="Energy"),"procurement",IF(OR($H2587="Municipal",$H2587="Cooperative",$H2587="Federal",$H2587="State",$H2587="Political Subdivision"),"cost_service",IF($H2587="Investor Owned",IF(AND(COUNTIF(Parameters!$A$4:$A$33,$G2587)&gt;0,COUNTIF(Parameters!$B$4:$B$33,$B2587)=0),"procurement","cost_service"),"unclassified"))))))</f>
        <v>excluded</v>
      </c>
    </row>
    <row r="2588" spans="1:26" x14ac:dyDescent="0.25">
      <c r="A2588">
        <v>2024</v>
      </c>
      <c r="B2588">
        <v>66036</v>
      </c>
      <c r="C2588" t="s">
        <v>1684</v>
      </c>
      <c r="D2588" t="s">
        <v>84</v>
      </c>
      <c r="E2588" t="s">
        <v>85</v>
      </c>
      <c r="F2588" t="s">
        <v>86</v>
      </c>
      <c r="G2588" t="s">
        <v>173</v>
      </c>
      <c r="H2588" t="s">
        <v>1475</v>
      </c>
      <c r="I2588" t="s">
        <v>96</v>
      </c>
      <c r="J2588">
        <v>0.6</v>
      </c>
      <c r="K2588">
        <v>3</v>
      </c>
      <c r="L2588">
        <v>2</v>
      </c>
      <c r="M2588" t="s">
        <v>97</v>
      </c>
      <c r="N2588" t="s">
        <v>97</v>
      </c>
      <c r="O2588" t="s">
        <v>97</v>
      </c>
      <c r="P2588" t="s">
        <v>97</v>
      </c>
      <c r="Q2588" t="s">
        <v>97</v>
      </c>
      <c r="R2588" t="s">
        <v>97</v>
      </c>
      <c r="S2588" t="s">
        <v>97</v>
      </c>
      <c r="T2588" t="s">
        <v>97</v>
      </c>
      <c r="U2588" t="s">
        <v>97</v>
      </c>
      <c r="V2588">
        <v>0.6</v>
      </c>
      <c r="W2588">
        <v>3</v>
      </c>
      <c r="X2588">
        <v>2</v>
      </c>
      <c r="Y2588">
        <f t="shared" si="40"/>
        <v>3</v>
      </c>
      <c r="Z2588" t="str">
        <f>IF(ISNUMBER(SEARCH("Adjustment",$C2588)),"excluded",IF($H2588="Behind the Meter","excluded",IF(NOT(OR($E2588="Bundled",$E2588="Energy")),"excluded",IF(OR($H2588="Retail Power Marketer",$H2588="Community Choice Aggregator",$E2588="Energy"),"procurement",IF(OR($H2588="Municipal",$H2588="Cooperative",$H2588="Federal",$H2588="State",$H2588="Political Subdivision"),"cost_service",IF($H2588="Investor Owned",IF(AND(COUNTIF(Parameters!$A$4:$A$33,$G2588)&gt;0,COUNTIF(Parameters!$B$4:$B$33,$B2588)=0),"procurement","cost_service"),"unclassified"))))))</f>
        <v>excluded</v>
      </c>
    </row>
    <row r="2589" spans="1:26" x14ac:dyDescent="0.25">
      <c r="A2589">
        <v>2024</v>
      </c>
      <c r="B2589">
        <v>66036</v>
      </c>
      <c r="C2589" t="s">
        <v>1684</v>
      </c>
      <c r="D2589" t="s">
        <v>84</v>
      </c>
      <c r="E2589" t="s">
        <v>85</v>
      </c>
      <c r="F2589" t="s">
        <v>86</v>
      </c>
      <c r="G2589" t="s">
        <v>108</v>
      </c>
      <c r="H2589" t="s">
        <v>1475</v>
      </c>
      <c r="I2589" t="s">
        <v>110</v>
      </c>
      <c r="J2589">
        <v>1491.6</v>
      </c>
      <c r="K2589">
        <v>15149</v>
      </c>
      <c r="L2589">
        <v>998</v>
      </c>
      <c r="M2589" t="s">
        <v>97</v>
      </c>
      <c r="N2589" t="s">
        <v>97</v>
      </c>
      <c r="O2589" t="s">
        <v>97</v>
      </c>
      <c r="P2589" t="s">
        <v>97</v>
      </c>
      <c r="Q2589" t="s">
        <v>97</v>
      </c>
      <c r="R2589" t="s">
        <v>97</v>
      </c>
      <c r="S2589" t="s">
        <v>97</v>
      </c>
      <c r="T2589" t="s">
        <v>97</v>
      </c>
      <c r="U2589" t="s">
        <v>97</v>
      </c>
      <c r="V2589">
        <v>1491.6</v>
      </c>
      <c r="W2589">
        <v>15149</v>
      </c>
      <c r="X2589">
        <v>998</v>
      </c>
      <c r="Y2589">
        <f t="shared" si="40"/>
        <v>15149</v>
      </c>
      <c r="Z2589" t="str">
        <f>IF(ISNUMBER(SEARCH("Adjustment",$C2589)),"excluded",IF($H2589="Behind the Meter","excluded",IF(NOT(OR($E2589="Bundled",$E2589="Energy")),"excluded",IF(OR($H2589="Retail Power Marketer",$H2589="Community Choice Aggregator",$E2589="Energy"),"procurement",IF(OR($H2589="Municipal",$H2589="Cooperative",$H2589="Federal",$H2589="State",$H2589="Political Subdivision"),"cost_service",IF($H2589="Investor Owned",IF(AND(COUNTIF(Parameters!$A$4:$A$33,$G2589)&gt;0,COUNTIF(Parameters!$B$4:$B$33,$B2589)=0),"procurement","cost_service"),"unclassified"))))))</f>
        <v>excluded</v>
      </c>
    </row>
    <row r="2590" spans="1:26" x14ac:dyDescent="0.25">
      <c r="A2590">
        <v>2024</v>
      </c>
      <c r="B2590">
        <v>66036</v>
      </c>
      <c r="C2590" t="s">
        <v>1684</v>
      </c>
      <c r="D2590" t="s">
        <v>84</v>
      </c>
      <c r="E2590" t="s">
        <v>85</v>
      </c>
      <c r="F2590" t="s">
        <v>86</v>
      </c>
      <c r="G2590" t="s">
        <v>115</v>
      </c>
      <c r="H2590" t="s">
        <v>1475</v>
      </c>
      <c r="I2590" t="s">
        <v>116</v>
      </c>
      <c r="J2590">
        <v>19656.400000000001</v>
      </c>
      <c r="K2590">
        <v>100101</v>
      </c>
      <c r="L2590">
        <v>11488</v>
      </c>
      <c r="M2590" t="s">
        <v>97</v>
      </c>
      <c r="N2590" t="s">
        <v>97</v>
      </c>
      <c r="O2590" t="s">
        <v>97</v>
      </c>
      <c r="P2590" t="s">
        <v>97</v>
      </c>
      <c r="Q2590" t="s">
        <v>97</v>
      </c>
      <c r="R2590" t="s">
        <v>97</v>
      </c>
      <c r="S2590" t="s">
        <v>97</v>
      </c>
      <c r="T2590" t="s">
        <v>97</v>
      </c>
      <c r="U2590" t="s">
        <v>97</v>
      </c>
      <c r="V2590">
        <v>19656.400000000001</v>
      </c>
      <c r="W2590">
        <v>100101</v>
      </c>
      <c r="X2590">
        <v>11488</v>
      </c>
      <c r="Y2590">
        <f t="shared" si="40"/>
        <v>100101</v>
      </c>
      <c r="Z2590" t="str">
        <f>IF(ISNUMBER(SEARCH("Adjustment",$C2590)),"excluded",IF($H2590="Behind the Meter","excluded",IF(NOT(OR($E2590="Bundled",$E2590="Energy")),"excluded",IF(OR($H2590="Retail Power Marketer",$H2590="Community Choice Aggregator",$E2590="Energy"),"procurement",IF(OR($H2590="Municipal",$H2590="Cooperative",$H2590="Federal",$H2590="State",$H2590="Political Subdivision"),"cost_service",IF($H2590="Investor Owned",IF(AND(COUNTIF(Parameters!$A$4:$A$33,$G2590)&gt;0,COUNTIF(Parameters!$B$4:$B$33,$B2590)=0),"procurement","cost_service"),"unclassified"))))))</f>
        <v>excluded</v>
      </c>
    </row>
    <row r="2591" spans="1:26" x14ac:dyDescent="0.25">
      <c r="A2591">
        <v>2024</v>
      </c>
      <c r="B2591">
        <v>66036</v>
      </c>
      <c r="C2591" t="s">
        <v>1684</v>
      </c>
      <c r="D2591" t="s">
        <v>84</v>
      </c>
      <c r="E2591" t="s">
        <v>85</v>
      </c>
      <c r="F2591" t="s">
        <v>86</v>
      </c>
      <c r="G2591" t="s">
        <v>361</v>
      </c>
      <c r="H2591" t="s">
        <v>1475</v>
      </c>
      <c r="I2591" t="s">
        <v>523</v>
      </c>
      <c r="J2591">
        <v>194.9</v>
      </c>
      <c r="K2591">
        <v>1611</v>
      </c>
      <c r="L2591">
        <v>287</v>
      </c>
      <c r="M2591" t="s">
        <v>97</v>
      </c>
      <c r="N2591" t="s">
        <v>97</v>
      </c>
      <c r="O2591" t="s">
        <v>97</v>
      </c>
      <c r="P2591" t="s">
        <v>97</v>
      </c>
      <c r="Q2591" t="s">
        <v>97</v>
      </c>
      <c r="R2591" t="s">
        <v>97</v>
      </c>
      <c r="S2591" t="s">
        <v>97</v>
      </c>
      <c r="T2591" t="s">
        <v>97</v>
      </c>
      <c r="U2591" t="s">
        <v>97</v>
      </c>
      <c r="V2591">
        <v>194.9</v>
      </c>
      <c r="W2591">
        <v>1611</v>
      </c>
      <c r="X2591">
        <v>287</v>
      </c>
      <c r="Y2591">
        <f t="shared" si="40"/>
        <v>1611</v>
      </c>
      <c r="Z2591" t="str">
        <f>IF(ISNUMBER(SEARCH("Adjustment",$C2591)),"excluded",IF($H2591="Behind the Meter","excluded",IF(NOT(OR($E2591="Bundled",$E2591="Energy")),"excluded",IF(OR($H2591="Retail Power Marketer",$H2591="Community Choice Aggregator",$E2591="Energy"),"procurement",IF(OR($H2591="Municipal",$H2591="Cooperative",$H2591="Federal",$H2591="State",$H2591="Political Subdivision"),"cost_service",IF($H2591="Investor Owned",IF(AND(COUNTIF(Parameters!$A$4:$A$33,$G2591)&gt;0,COUNTIF(Parameters!$B$4:$B$33,$B2591)=0),"procurement","cost_service"),"unclassified"))))))</f>
        <v>excluded</v>
      </c>
    </row>
    <row r="2592" spans="1:26" x14ac:dyDescent="0.25">
      <c r="A2592">
        <v>2024</v>
      </c>
      <c r="B2592">
        <v>66036</v>
      </c>
      <c r="C2592" t="s">
        <v>1684</v>
      </c>
      <c r="D2592" t="s">
        <v>84</v>
      </c>
      <c r="E2592" t="s">
        <v>85</v>
      </c>
      <c r="F2592" t="s">
        <v>86</v>
      </c>
      <c r="G2592" t="s">
        <v>40</v>
      </c>
      <c r="H2592" t="s">
        <v>1475</v>
      </c>
      <c r="I2592" t="s">
        <v>189</v>
      </c>
      <c r="J2592">
        <v>704.3</v>
      </c>
      <c r="K2592">
        <v>3955</v>
      </c>
      <c r="L2592">
        <v>489</v>
      </c>
      <c r="M2592" t="s">
        <v>97</v>
      </c>
      <c r="N2592" t="s">
        <v>97</v>
      </c>
      <c r="O2592" t="s">
        <v>97</v>
      </c>
      <c r="P2592" t="s">
        <v>97</v>
      </c>
      <c r="Q2592" t="s">
        <v>97</v>
      </c>
      <c r="R2592" t="s">
        <v>97</v>
      </c>
      <c r="S2592" t="s">
        <v>97</v>
      </c>
      <c r="T2592" t="s">
        <v>97</v>
      </c>
      <c r="U2592" t="s">
        <v>97</v>
      </c>
      <c r="V2592">
        <v>704.3</v>
      </c>
      <c r="W2592">
        <v>3955</v>
      </c>
      <c r="X2592">
        <v>489</v>
      </c>
      <c r="Y2592">
        <f t="shared" si="40"/>
        <v>3955</v>
      </c>
      <c r="Z2592" t="str">
        <f>IF(ISNUMBER(SEARCH("Adjustment",$C2592)),"excluded",IF($H2592="Behind the Meter","excluded",IF(NOT(OR($E2592="Bundled",$E2592="Energy")),"excluded",IF(OR($H2592="Retail Power Marketer",$H2592="Community Choice Aggregator",$E2592="Energy"),"procurement",IF(OR($H2592="Municipal",$H2592="Cooperative",$H2592="Federal",$H2592="State",$H2592="Political Subdivision"),"cost_service",IF($H2592="Investor Owned",IF(AND(COUNTIF(Parameters!$A$4:$A$33,$G2592)&gt;0,COUNTIF(Parameters!$B$4:$B$33,$B2592)=0),"procurement","cost_service"),"unclassified"))))))</f>
        <v>excluded</v>
      </c>
    </row>
    <row r="2593" spans="1:26" x14ac:dyDescent="0.25">
      <c r="A2593">
        <v>2024</v>
      </c>
      <c r="B2593">
        <v>66036</v>
      </c>
      <c r="C2593" t="s">
        <v>1684</v>
      </c>
      <c r="D2593" t="s">
        <v>84</v>
      </c>
      <c r="E2593" t="s">
        <v>85</v>
      </c>
      <c r="F2593" t="s">
        <v>86</v>
      </c>
      <c r="G2593" t="s">
        <v>46</v>
      </c>
      <c r="H2593" t="s">
        <v>1475</v>
      </c>
      <c r="I2593" t="s">
        <v>92</v>
      </c>
      <c r="J2593">
        <v>3636.2</v>
      </c>
      <c r="K2593">
        <v>30153</v>
      </c>
      <c r="L2593">
        <v>3246</v>
      </c>
      <c r="M2593" t="s">
        <v>97</v>
      </c>
      <c r="N2593" t="s">
        <v>97</v>
      </c>
      <c r="O2593" t="s">
        <v>97</v>
      </c>
      <c r="P2593" t="s">
        <v>97</v>
      </c>
      <c r="Q2593" t="s">
        <v>97</v>
      </c>
      <c r="R2593" t="s">
        <v>97</v>
      </c>
      <c r="S2593" t="s">
        <v>97</v>
      </c>
      <c r="T2593" t="s">
        <v>97</v>
      </c>
      <c r="U2593" t="s">
        <v>97</v>
      </c>
      <c r="V2593">
        <v>3636.2</v>
      </c>
      <c r="W2593">
        <v>30153</v>
      </c>
      <c r="X2593">
        <v>3246</v>
      </c>
      <c r="Y2593">
        <f t="shared" si="40"/>
        <v>30153</v>
      </c>
      <c r="Z2593" t="str">
        <f>IF(ISNUMBER(SEARCH("Adjustment",$C2593)),"excluded",IF($H2593="Behind the Meter","excluded",IF(NOT(OR($E2593="Bundled",$E2593="Energy")),"excluded",IF(OR($H2593="Retail Power Marketer",$H2593="Community Choice Aggregator",$E2593="Energy"),"procurement",IF(OR($H2593="Municipal",$H2593="Cooperative",$H2593="Federal",$H2593="State",$H2593="Political Subdivision"),"cost_service",IF($H2593="Investor Owned",IF(AND(COUNTIF(Parameters!$A$4:$A$33,$G2593)&gt;0,COUNTIF(Parameters!$B$4:$B$33,$B2593)=0),"procurement","cost_service"),"unclassified"))))))</f>
        <v>excluded</v>
      </c>
    </row>
    <row r="2594" spans="1:26" x14ac:dyDescent="0.25">
      <c r="A2594">
        <v>2024</v>
      </c>
      <c r="B2594">
        <v>66036</v>
      </c>
      <c r="C2594" t="s">
        <v>1684</v>
      </c>
      <c r="D2594" t="s">
        <v>84</v>
      </c>
      <c r="E2594" t="s">
        <v>85</v>
      </c>
      <c r="F2594" t="s">
        <v>86</v>
      </c>
      <c r="G2594" t="s">
        <v>48</v>
      </c>
      <c r="H2594" t="s">
        <v>1475</v>
      </c>
      <c r="I2594" t="s">
        <v>189</v>
      </c>
      <c r="J2594">
        <v>2312.1999999999998</v>
      </c>
      <c r="K2594">
        <v>10964</v>
      </c>
      <c r="L2594">
        <v>1401</v>
      </c>
      <c r="M2594" t="s">
        <v>97</v>
      </c>
      <c r="N2594" t="s">
        <v>97</v>
      </c>
      <c r="O2594" t="s">
        <v>97</v>
      </c>
      <c r="P2594" t="s">
        <v>97</v>
      </c>
      <c r="Q2594" t="s">
        <v>97</v>
      </c>
      <c r="R2594" t="s">
        <v>97</v>
      </c>
      <c r="S2594" t="s">
        <v>97</v>
      </c>
      <c r="T2594" t="s">
        <v>97</v>
      </c>
      <c r="U2594" t="s">
        <v>97</v>
      </c>
      <c r="V2594">
        <v>2312.1999999999998</v>
      </c>
      <c r="W2594">
        <v>10964</v>
      </c>
      <c r="X2594">
        <v>1401</v>
      </c>
      <c r="Y2594">
        <f t="shared" si="40"/>
        <v>10964</v>
      </c>
      <c r="Z2594" t="str">
        <f>IF(ISNUMBER(SEARCH("Adjustment",$C2594)),"excluded",IF($H2594="Behind the Meter","excluded",IF(NOT(OR($E2594="Bundled",$E2594="Energy")),"excluded",IF(OR($H2594="Retail Power Marketer",$H2594="Community Choice Aggregator",$E2594="Energy"),"procurement",IF(OR($H2594="Municipal",$H2594="Cooperative",$H2594="Federal",$H2594="State",$H2594="Political Subdivision"),"cost_service",IF($H2594="Investor Owned",IF(AND(COUNTIF(Parameters!$A$4:$A$33,$G2594)&gt;0,COUNTIF(Parameters!$B$4:$B$33,$B2594)=0),"procurement","cost_service"),"unclassified"))))))</f>
        <v>excluded</v>
      </c>
    </row>
    <row r="2595" spans="1:26" x14ac:dyDescent="0.25">
      <c r="A2595">
        <v>2024</v>
      </c>
      <c r="B2595">
        <v>66036</v>
      </c>
      <c r="C2595" t="s">
        <v>1684</v>
      </c>
      <c r="D2595" t="s">
        <v>84</v>
      </c>
      <c r="E2595" t="s">
        <v>85</v>
      </c>
      <c r="F2595" t="s">
        <v>86</v>
      </c>
      <c r="G2595" t="s">
        <v>49</v>
      </c>
      <c r="H2595" t="s">
        <v>1475</v>
      </c>
      <c r="I2595" t="s">
        <v>92</v>
      </c>
      <c r="J2595">
        <v>266.10000000000002</v>
      </c>
      <c r="K2595">
        <v>2088</v>
      </c>
      <c r="L2595">
        <v>350</v>
      </c>
      <c r="M2595" t="s">
        <v>97</v>
      </c>
      <c r="N2595" t="s">
        <v>97</v>
      </c>
      <c r="O2595" t="s">
        <v>97</v>
      </c>
      <c r="P2595" t="s">
        <v>97</v>
      </c>
      <c r="Q2595" t="s">
        <v>97</v>
      </c>
      <c r="R2595" t="s">
        <v>97</v>
      </c>
      <c r="S2595" t="s">
        <v>97</v>
      </c>
      <c r="T2595" t="s">
        <v>97</v>
      </c>
      <c r="U2595" t="s">
        <v>97</v>
      </c>
      <c r="V2595">
        <v>266.10000000000002</v>
      </c>
      <c r="W2595">
        <v>2088</v>
      </c>
      <c r="X2595">
        <v>350</v>
      </c>
      <c r="Y2595">
        <f t="shared" si="40"/>
        <v>2088</v>
      </c>
      <c r="Z2595" t="str">
        <f>IF(ISNUMBER(SEARCH("Adjustment",$C2595)),"excluded",IF($H2595="Behind the Meter","excluded",IF(NOT(OR($E2595="Bundled",$E2595="Energy")),"excluded",IF(OR($H2595="Retail Power Marketer",$H2595="Community Choice Aggregator",$E2595="Energy"),"procurement",IF(OR($H2595="Municipal",$H2595="Cooperative",$H2595="Federal",$H2595="State",$H2595="Political Subdivision"),"cost_service",IF($H2595="Investor Owned",IF(AND(COUNTIF(Parameters!$A$4:$A$33,$G2595)&gt;0,COUNTIF(Parameters!$B$4:$B$33,$B2595)=0),"procurement","cost_service"),"unclassified"))))))</f>
        <v>excluded</v>
      </c>
    </row>
    <row r="2596" spans="1:26" x14ac:dyDescent="0.25">
      <c r="A2596">
        <v>2024</v>
      </c>
      <c r="B2596">
        <v>66036</v>
      </c>
      <c r="C2596" t="s">
        <v>1684</v>
      </c>
      <c r="D2596" t="s">
        <v>84</v>
      </c>
      <c r="E2596" t="s">
        <v>85</v>
      </c>
      <c r="F2596" t="s">
        <v>86</v>
      </c>
      <c r="G2596" t="s">
        <v>50</v>
      </c>
      <c r="H2596" t="s">
        <v>1475</v>
      </c>
      <c r="I2596" t="s">
        <v>189</v>
      </c>
      <c r="J2596">
        <v>779.7</v>
      </c>
      <c r="K2596">
        <v>4132</v>
      </c>
      <c r="L2596">
        <v>504</v>
      </c>
      <c r="M2596" t="s">
        <v>97</v>
      </c>
      <c r="N2596" t="s">
        <v>97</v>
      </c>
      <c r="O2596" t="s">
        <v>97</v>
      </c>
      <c r="P2596" t="s">
        <v>97</v>
      </c>
      <c r="Q2596" t="s">
        <v>97</v>
      </c>
      <c r="R2596" t="s">
        <v>97</v>
      </c>
      <c r="S2596" t="s">
        <v>97</v>
      </c>
      <c r="T2596" t="s">
        <v>97</v>
      </c>
      <c r="U2596" t="s">
        <v>97</v>
      </c>
      <c r="V2596">
        <v>779.7</v>
      </c>
      <c r="W2596">
        <v>4132</v>
      </c>
      <c r="X2596">
        <v>504</v>
      </c>
      <c r="Y2596">
        <f t="shared" si="40"/>
        <v>4132</v>
      </c>
      <c r="Z2596" t="str">
        <f>IF(ISNUMBER(SEARCH("Adjustment",$C2596)),"excluded",IF($H2596="Behind the Meter","excluded",IF(NOT(OR($E2596="Bundled",$E2596="Energy")),"excluded",IF(OR($H2596="Retail Power Marketer",$H2596="Community Choice Aggregator",$E2596="Energy"),"procurement",IF(OR($H2596="Municipal",$H2596="Cooperative",$H2596="Federal",$H2596="State",$H2596="Political Subdivision"),"cost_service",IF($H2596="Investor Owned",IF(AND(COUNTIF(Parameters!$A$4:$A$33,$G2596)&gt;0,COUNTIF(Parameters!$B$4:$B$33,$B2596)=0),"procurement","cost_service"),"unclassified"))))))</f>
        <v>excluded</v>
      </c>
    </row>
    <row r="2597" spans="1:26" x14ac:dyDescent="0.25">
      <c r="A2597">
        <v>2024</v>
      </c>
      <c r="B2597">
        <v>66036</v>
      </c>
      <c r="C2597" t="s">
        <v>1684</v>
      </c>
      <c r="D2597" t="s">
        <v>84</v>
      </c>
      <c r="E2597" t="s">
        <v>85</v>
      </c>
      <c r="F2597" t="s">
        <v>86</v>
      </c>
      <c r="G2597" t="s">
        <v>51</v>
      </c>
      <c r="H2597" t="s">
        <v>1475</v>
      </c>
      <c r="I2597" t="s">
        <v>189</v>
      </c>
      <c r="J2597">
        <v>153.1</v>
      </c>
      <c r="K2597">
        <v>807</v>
      </c>
      <c r="L2597">
        <v>100</v>
      </c>
      <c r="M2597" t="s">
        <v>97</v>
      </c>
      <c r="N2597" t="s">
        <v>97</v>
      </c>
      <c r="O2597" t="s">
        <v>97</v>
      </c>
      <c r="P2597" t="s">
        <v>97</v>
      </c>
      <c r="Q2597" t="s">
        <v>97</v>
      </c>
      <c r="R2597" t="s">
        <v>97</v>
      </c>
      <c r="S2597" t="s">
        <v>97</v>
      </c>
      <c r="T2597" t="s">
        <v>97</v>
      </c>
      <c r="U2597" t="s">
        <v>97</v>
      </c>
      <c r="V2597">
        <v>153.1</v>
      </c>
      <c r="W2597">
        <v>807</v>
      </c>
      <c r="X2597">
        <v>100</v>
      </c>
      <c r="Y2597">
        <f t="shared" si="40"/>
        <v>807</v>
      </c>
      <c r="Z2597" t="str">
        <f>IF(ISNUMBER(SEARCH("Adjustment",$C2597)),"excluded",IF($H2597="Behind the Meter","excluded",IF(NOT(OR($E2597="Bundled",$E2597="Energy")),"excluded",IF(OR($H2597="Retail Power Marketer",$H2597="Community Choice Aggregator",$E2597="Energy"),"procurement",IF(OR($H2597="Municipal",$H2597="Cooperative",$H2597="Federal",$H2597="State",$H2597="Political Subdivision"),"cost_service",IF($H2597="Investor Owned",IF(AND(COUNTIF(Parameters!$A$4:$A$33,$G2597)&gt;0,COUNTIF(Parameters!$B$4:$B$33,$B2597)=0),"procurement","cost_service"),"unclassified"))))))</f>
        <v>excluded</v>
      </c>
    </row>
    <row r="2598" spans="1:26" x14ac:dyDescent="0.25">
      <c r="A2598">
        <v>2024</v>
      </c>
      <c r="B2598">
        <v>66036</v>
      </c>
      <c r="C2598" t="s">
        <v>1684</v>
      </c>
      <c r="D2598" t="s">
        <v>84</v>
      </c>
      <c r="E2598" t="s">
        <v>85</v>
      </c>
      <c r="F2598" t="s">
        <v>86</v>
      </c>
      <c r="G2598" t="s">
        <v>52</v>
      </c>
      <c r="H2598" t="s">
        <v>1475</v>
      </c>
      <c r="I2598" t="s">
        <v>92</v>
      </c>
      <c r="J2598">
        <v>137.30000000000001</v>
      </c>
      <c r="K2598">
        <v>1104</v>
      </c>
      <c r="L2598">
        <v>160</v>
      </c>
      <c r="M2598" t="s">
        <v>97</v>
      </c>
      <c r="N2598" t="s">
        <v>97</v>
      </c>
      <c r="O2598" t="s">
        <v>97</v>
      </c>
      <c r="P2598" t="s">
        <v>97</v>
      </c>
      <c r="Q2598" t="s">
        <v>97</v>
      </c>
      <c r="R2598" t="s">
        <v>97</v>
      </c>
      <c r="S2598" t="s">
        <v>97</v>
      </c>
      <c r="T2598" t="s">
        <v>97</v>
      </c>
      <c r="U2598" t="s">
        <v>97</v>
      </c>
      <c r="V2598">
        <v>137.30000000000001</v>
      </c>
      <c r="W2598">
        <v>1104</v>
      </c>
      <c r="X2598">
        <v>160</v>
      </c>
      <c r="Y2598">
        <f t="shared" si="40"/>
        <v>1104</v>
      </c>
      <c r="Z2598" t="str">
        <f>IF(ISNUMBER(SEARCH("Adjustment",$C2598)),"excluded",IF($H2598="Behind the Meter","excluded",IF(NOT(OR($E2598="Bundled",$E2598="Energy")),"excluded",IF(OR($H2598="Retail Power Marketer",$H2598="Community Choice Aggregator",$E2598="Energy"),"procurement",IF(OR($H2598="Municipal",$H2598="Cooperative",$H2598="Federal",$H2598="State",$H2598="Political Subdivision"),"cost_service",IF($H2598="Investor Owned",IF(AND(COUNTIF(Parameters!$A$4:$A$33,$G2598)&gt;0,COUNTIF(Parameters!$B$4:$B$33,$B2598)=0),"procurement","cost_service"),"unclassified"))))))</f>
        <v>excluded</v>
      </c>
    </row>
    <row r="2599" spans="1:26" x14ac:dyDescent="0.25">
      <c r="A2599">
        <v>2024</v>
      </c>
      <c r="B2599">
        <v>66036</v>
      </c>
      <c r="C2599" t="s">
        <v>1684</v>
      </c>
      <c r="D2599" t="s">
        <v>84</v>
      </c>
      <c r="E2599" t="s">
        <v>85</v>
      </c>
      <c r="F2599" t="s">
        <v>86</v>
      </c>
      <c r="G2599" t="s">
        <v>54</v>
      </c>
      <c r="H2599" t="s">
        <v>1475</v>
      </c>
      <c r="I2599" t="s">
        <v>92</v>
      </c>
      <c r="J2599">
        <v>288</v>
      </c>
      <c r="K2599">
        <v>1877</v>
      </c>
      <c r="L2599">
        <v>267</v>
      </c>
      <c r="M2599" t="s">
        <v>97</v>
      </c>
      <c r="N2599" t="s">
        <v>97</v>
      </c>
      <c r="O2599" t="s">
        <v>97</v>
      </c>
      <c r="P2599" t="s">
        <v>97</v>
      </c>
      <c r="Q2599" t="s">
        <v>97</v>
      </c>
      <c r="R2599" t="s">
        <v>97</v>
      </c>
      <c r="S2599" t="s">
        <v>97</v>
      </c>
      <c r="T2599" t="s">
        <v>97</v>
      </c>
      <c r="U2599" t="s">
        <v>97</v>
      </c>
      <c r="V2599">
        <v>288</v>
      </c>
      <c r="W2599">
        <v>1877</v>
      </c>
      <c r="X2599">
        <v>267</v>
      </c>
      <c r="Y2599">
        <f t="shared" si="40"/>
        <v>1877</v>
      </c>
      <c r="Z2599" t="str">
        <f>IF(ISNUMBER(SEARCH("Adjustment",$C2599)),"excluded",IF($H2599="Behind the Meter","excluded",IF(NOT(OR($E2599="Bundled",$E2599="Energy")),"excluded",IF(OR($H2599="Retail Power Marketer",$H2599="Community Choice Aggregator",$E2599="Energy"),"procurement",IF(OR($H2599="Municipal",$H2599="Cooperative",$H2599="Federal",$H2599="State",$H2599="Political Subdivision"),"cost_service",IF($H2599="Investor Owned",IF(AND(COUNTIF(Parameters!$A$4:$A$33,$G2599)&gt;0,COUNTIF(Parameters!$B$4:$B$33,$B2599)=0),"procurement","cost_service"),"unclassified"))))))</f>
        <v>excluded</v>
      </c>
    </row>
    <row r="2600" spans="1:26" x14ac:dyDescent="0.25">
      <c r="A2600">
        <v>2024</v>
      </c>
      <c r="B2600">
        <v>66036</v>
      </c>
      <c r="C2600" t="s">
        <v>1684</v>
      </c>
      <c r="D2600" t="s">
        <v>84</v>
      </c>
      <c r="E2600" t="s">
        <v>85</v>
      </c>
      <c r="F2600" t="s">
        <v>86</v>
      </c>
      <c r="G2600" t="s">
        <v>56</v>
      </c>
      <c r="H2600" t="s">
        <v>1475</v>
      </c>
      <c r="I2600" t="s">
        <v>189</v>
      </c>
      <c r="J2600">
        <v>122.7</v>
      </c>
      <c r="K2600">
        <v>590</v>
      </c>
      <c r="L2600">
        <v>81</v>
      </c>
      <c r="M2600" t="s">
        <v>97</v>
      </c>
      <c r="N2600" t="s">
        <v>97</v>
      </c>
      <c r="O2600" t="s">
        <v>97</v>
      </c>
      <c r="P2600" t="s">
        <v>97</v>
      </c>
      <c r="Q2600" t="s">
        <v>97</v>
      </c>
      <c r="R2600" t="s">
        <v>97</v>
      </c>
      <c r="S2600" t="s">
        <v>97</v>
      </c>
      <c r="T2600" t="s">
        <v>97</v>
      </c>
      <c r="U2600" t="s">
        <v>97</v>
      </c>
      <c r="V2600">
        <v>122.7</v>
      </c>
      <c r="W2600">
        <v>590</v>
      </c>
      <c r="X2600">
        <v>81</v>
      </c>
      <c r="Y2600">
        <f t="shared" si="40"/>
        <v>590</v>
      </c>
      <c r="Z2600" t="str">
        <f>IF(ISNUMBER(SEARCH("Adjustment",$C2600)),"excluded",IF($H2600="Behind the Meter","excluded",IF(NOT(OR($E2600="Bundled",$E2600="Energy")),"excluded",IF(OR($H2600="Retail Power Marketer",$H2600="Community Choice Aggregator",$E2600="Energy"),"procurement",IF(OR($H2600="Municipal",$H2600="Cooperative",$H2600="Federal",$H2600="State",$H2600="Political Subdivision"),"cost_service",IF($H2600="Investor Owned",IF(AND(COUNTIF(Parameters!$A$4:$A$33,$G2600)&gt;0,COUNTIF(Parameters!$B$4:$B$33,$B2600)=0),"procurement","cost_service"),"unclassified"))))))</f>
        <v>excluded</v>
      </c>
    </row>
    <row r="2601" spans="1:26" x14ac:dyDescent="0.25">
      <c r="A2601">
        <v>2024</v>
      </c>
      <c r="B2601">
        <v>66036</v>
      </c>
      <c r="C2601" t="s">
        <v>1684</v>
      </c>
      <c r="D2601" t="s">
        <v>84</v>
      </c>
      <c r="E2601" t="s">
        <v>85</v>
      </c>
      <c r="F2601" t="s">
        <v>86</v>
      </c>
      <c r="G2601" t="s">
        <v>57</v>
      </c>
      <c r="H2601" t="s">
        <v>1475</v>
      </c>
      <c r="I2601" t="s">
        <v>151</v>
      </c>
      <c r="J2601">
        <v>3832.6</v>
      </c>
      <c r="K2601">
        <v>27620</v>
      </c>
      <c r="L2601">
        <v>2269</v>
      </c>
      <c r="M2601" t="s">
        <v>97</v>
      </c>
      <c r="N2601" t="s">
        <v>97</v>
      </c>
      <c r="O2601" t="s">
        <v>97</v>
      </c>
      <c r="P2601" t="s">
        <v>97</v>
      </c>
      <c r="Q2601" t="s">
        <v>97</v>
      </c>
      <c r="R2601" t="s">
        <v>97</v>
      </c>
      <c r="S2601" t="s">
        <v>97</v>
      </c>
      <c r="T2601" t="s">
        <v>97</v>
      </c>
      <c r="U2601" t="s">
        <v>97</v>
      </c>
      <c r="V2601">
        <v>3832.6</v>
      </c>
      <c r="W2601">
        <v>27620</v>
      </c>
      <c r="X2601">
        <v>2269</v>
      </c>
      <c r="Y2601">
        <f t="shared" si="40"/>
        <v>27620</v>
      </c>
      <c r="Z2601" t="str">
        <f>IF(ISNUMBER(SEARCH("Adjustment",$C2601)),"excluded",IF($H2601="Behind the Meter","excluded",IF(NOT(OR($E2601="Bundled",$E2601="Energy")),"excluded",IF(OR($H2601="Retail Power Marketer",$H2601="Community Choice Aggregator",$E2601="Energy"),"procurement",IF(OR($H2601="Municipal",$H2601="Cooperative",$H2601="Federal",$H2601="State",$H2601="Political Subdivision"),"cost_service",IF($H2601="Investor Owned",IF(AND(COUNTIF(Parameters!$A$4:$A$33,$G2601)&gt;0,COUNTIF(Parameters!$B$4:$B$33,$B2601)=0),"procurement","cost_service"),"unclassified"))))))</f>
        <v>excluded</v>
      </c>
    </row>
    <row r="2602" spans="1:26" x14ac:dyDescent="0.25">
      <c r="A2602">
        <v>2024</v>
      </c>
      <c r="B2602">
        <v>66073</v>
      </c>
      <c r="C2602" t="s">
        <v>1685</v>
      </c>
      <c r="D2602" t="s">
        <v>84</v>
      </c>
      <c r="E2602" t="s">
        <v>85</v>
      </c>
      <c r="F2602" t="s">
        <v>86</v>
      </c>
      <c r="G2602" t="s">
        <v>106</v>
      </c>
      <c r="H2602" t="s">
        <v>91</v>
      </c>
      <c r="I2602" t="s">
        <v>106</v>
      </c>
      <c r="J2602">
        <v>54936</v>
      </c>
      <c r="K2602">
        <v>501964</v>
      </c>
      <c r="L2602">
        <v>31874</v>
      </c>
      <c r="M2602">
        <v>37587</v>
      </c>
      <c r="N2602">
        <v>476280</v>
      </c>
      <c r="O2602">
        <v>6715</v>
      </c>
      <c r="P2602">
        <v>54669</v>
      </c>
      <c r="Q2602">
        <v>767621</v>
      </c>
      <c r="R2602">
        <v>23</v>
      </c>
      <c r="S2602" t="s">
        <v>97</v>
      </c>
      <c r="T2602" t="s">
        <v>97</v>
      </c>
      <c r="U2602" t="s">
        <v>97</v>
      </c>
      <c r="V2602">
        <v>147192</v>
      </c>
      <c r="W2602">
        <v>1745865</v>
      </c>
      <c r="X2602">
        <v>38612</v>
      </c>
      <c r="Y2602">
        <f t="shared" si="40"/>
        <v>1745865</v>
      </c>
      <c r="Z2602" t="str">
        <f>IF(ISNUMBER(SEARCH("Adjustment",$C2602)),"excluded",IF($H2602="Behind the Meter","excluded",IF(NOT(OR($E2602="Bundled",$E2602="Energy")),"excluded",IF(OR($H2602="Retail Power Marketer",$H2602="Community Choice Aggregator",$E2602="Energy"),"procurement",IF(OR($H2602="Municipal",$H2602="Cooperative",$H2602="Federal",$H2602="State",$H2602="Political Subdivision"),"cost_service",IF($H2602="Investor Owned",IF(AND(COUNTIF(Parameters!$A$4:$A$33,$G2602)&gt;0,COUNTIF(Parameters!$B$4:$B$33,$B2602)=0),"procurement","cost_service"),"unclassified"))))))</f>
        <v>cost_service</v>
      </c>
    </row>
    <row r="2603" spans="1:26" x14ac:dyDescent="0.25">
      <c r="A2603">
        <v>2024</v>
      </c>
      <c r="B2603">
        <v>66082</v>
      </c>
      <c r="C2603" t="s">
        <v>1686</v>
      </c>
      <c r="D2603" t="s">
        <v>99</v>
      </c>
      <c r="E2603" t="s">
        <v>100</v>
      </c>
      <c r="F2603" t="s">
        <v>86</v>
      </c>
      <c r="G2603" t="s">
        <v>115</v>
      </c>
      <c r="H2603" t="s">
        <v>205</v>
      </c>
      <c r="I2603" t="s">
        <v>116</v>
      </c>
      <c r="J2603" t="s">
        <v>97</v>
      </c>
      <c r="K2603" t="s">
        <v>97</v>
      </c>
      <c r="L2603" t="s">
        <v>97</v>
      </c>
      <c r="M2603" t="s">
        <v>97</v>
      </c>
      <c r="N2603" t="s">
        <v>97</v>
      </c>
      <c r="O2603" t="s">
        <v>97</v>
      </c>
      <c r="P2603">
        <v>2294.8000000000002</v>
      </c>
      <c r="Q2603">
        <v>37949</v>
      </c>
      <c r="R2603">
        <v>4</v>
      </c>
      <c r="S2603" t="s">
        <v>97</v>
      </c>
      <c r="T2603" t="s">
        <v>97</v>
      </c>
      <c r="U2603" t="s">
        <v>97</v>
      </c>
      <c r="V2603">
        <v>2294.8000000000002</v>
      </c>
      <c r="W2603">
        <v>37949</v>
      </c>
      <c r="X2603">
        <v>4</v>
      </c>
      <c r="Y2603">
        <f t="shared" si="40"/>
        <v>37949</v>
      </c>
      <c r="Z2603" t="str">
        <f>IF(ISNUMBER(SEARCH("Adjustment",$C2603)),"excluded",IF($H2603="Behind the Meter","excluded",IF(NOT(OR($E2603="Bundled",$E2603="Energy")),"excluded",IF(OR($H2603="Retail Power Marketer",$H2603="Community Choice Aggregator",$E2603="Energy"),"procurement",IF(OR($H2603="Municipal",$H2603="Cooperative",$H2603="Federal",$H2603="State",$H2603="Political Subdivision"),"cost_service",IF($H2603="Investor Owned",IF(AND(COUNTIF(Parameters!$A$4:$A$33,$G2603)&gt;0,COUNTIF(Parameters!$B$4:$B$33,$B2603)=0),"procurement","cost_service"),"unclassified"))))))</f>
        <v>procurement</v>
      </c>
    </row>
    <row r="2604" spans="1:26" x14ac:dyDescent="0.25">
      <c r="A2604">
        <v>2024</v>
      </c>
      <c r="B2604">
        <v>66101</v>
      </c>
      <c r="C2604" t="s">
        <v>1687</v>
      </c>
      <c r="D2604" t="s">
        <v>84</v>
      </c>
      <c r="E2604" t="s">
        <v>85</v>
      </c>
      <c r="F2604" t="s">
        <v>86</v>
      </c>
      <c r="G2604" t="s">
        <v>53</v>
      </c>
      <c r="H2604" t="s">
        <v>109</v>
      </c>
      <c r="I2604" t="s">
        <v>92</v>
      </c>
      <c r="J2604">
        <v>4578.3</v>
      </c>
      <c r="K2604">
        <v>30246</v>
      </c>
      <c r="L2604">
        <v>3355</v>
      </c>
      <c r="M2604">
        <v>2831.8</v>
      </c>
      <c r="N2604">
        <v>21020</v>
      </c>
      <c r="O2604">
        <v>439</v>
      </c>
      <c r="P2604">
        <v>530.1</v>
      </c>
      <c r="Q2604">
        <v>4022</v>
      </c>
      <c r="R2604">
        <v>1</v>
      </c>
      <c r="S2604">
        <v>0</v>
      </c>
      <c r="T2604">
        <v>0</v>
      </c>
      <c r="U2604">
        <v>0</v>
      </c>
      <c r="V2604">
        <v>7940.2</v>
      </c>
      <c r="W2604">
        <v>55288</v>
      </c>
      <c r="X2604">
        <v>3795</v>
      </c>
      <c r="Y2604">
        <f t="shared" si="40"/>
        <v>55288</v>
      </c>
      <c r="Z2604" t="str">
        <f>IF(ISNUMBER(SEARCH("Adjustment",$C2604)),"excluded",IF($H2604="Behind the Meter","excluded",IF(NOT(OR($E2604="Bundled",$E2604="Energy")),"excluded",IF(OR($H2604="Retail Power Marketer",$H2604="Community Choice Aggregator",$E2604="Energy"),"procurement",IF(OR($H2604="Municipal",$H2604="Cooperative",$H2604="Federal",$H2604="State",$H2604="Political Subdivision"),"cost_service",IF($H2604="Investor Owned",IF(AND(COUNTIF(Parameters!$A$4:$A$33,$G2604)&gt;0,COUNTIF(Parameters!$B$4:$B$33,$B2604)=0),"procurement","cost_service"),"unclassified"))))))</f>
        <v>procurement</v>
      </c>
    </row>
    <row r="2605" spans="1:26" x14ac:dyDescent="0.25">
      <c r="A2605">
        <v>2024</v>
      </c>
      <c r="B2605">
        <v>66101</v>
      </c>
      <c r="C2605" t="s">
        <v>1687</v>
      </c>
      <c r="D2605" t="s">
        <v>84</v>
      </c>
      <c r="E2605" t="s">
        <v>85</v>
      </c>
      <c r="F2605" t="s">
        <v>86</v>
      </c>
      <c r="G2605" t="s">
        <v>55</v>
      </c>
      <c r="H2605" t="s">
        <v>109</v>
      </c>
      <c r="I2605" t="s">
        <v>92</v>
      </c>
      <c r="J2605">
        <v>2615650.7999999998</v>
      </c>
      <c r="K2605">
        <v>15056029</v>
      </c>
      <c r="L2605">
        <v>1464054</v>
      </c>
      <c r="M2605">
        <v>444909.3</v>
      </c>
      <c r="N2605">
        <v>2932558</v>
      </c>
      <c r="O2605">
        <v>170218</v>
      </c>
      <c r="P2605">
        <v>63189.2</v>
      </c>
      <c r="Q2605">
        <v>707946</v>
      </c>
      <c r="R2605">
        <v>629</v>
      </c>
      <c r="S2605">
        <v>992</v>
      </c>
      <c r="T2605">
        <v>10662</v>
      </c>
      <c r="U2605">
        <v>1</v>
      </c>
      <c r="V2605">
        <v>3124741.3</v>
      </c>
      <c r="W2605">
        <v>18707195</v>
      </c>
      <c r="X2605">
        <v>1634902</v>
      </c>
      <c r="Y2605">
        <f t="shared" si="40"/>
        <v>18707195</v>
      </c>
      <c r="Z2605" t="str">
        <f>IF(ISNUMBER(SEARCH("Adjustment",$C2605)),"excluded",IF($H2605="Behind the Meter","excluded",IF(NOT(OR($E2605="Bundled",$E2605="Energy")),"excluded",IF(OR($H2605="Retail Power Marketer",$H2605="Community Choice Aggregator",$E2605="Energy"),"procurement",IF(OR($H2605="Municipal",$H2605="Cooperative",$H2605="Federal",$H2605="State",$H2605="Political Subdivision"),"cost_service",IF($H2605="Investor Owned",IF(AND(COUNTIF(Parameters!$A$4:$A$33,$G2605)&gt;0,COUNTIF(Parameters!$B$4:$B$33,$B2605)=0),"procurement","cost_service"),"unclassified"))))))</f>
        <v>procurement</v>
      </c>
    </row>
    <row r="2606" spans="1:26" x14ac:dyDescent="0.25">
      <c r="A2606">
        <v>2024</v>
      </c>
      <c r="B2606">
        <v>66101</v>
      </c>
      <c r="C2606" t="s">
        <v>1687</v>
      </c>
      <c r="D2606" t="s">
        <v>167</v>
      </c>
      <c r="E2606" t="s">
        <v>168</v>
      </c>
      <c r="F2606" t="s">
        <v>86</v>
      </c>
      <c r="G2606" t="s">
        <v>53</v>
      </c>
      <c r="H2606" t="s">
        <v>109</v>
      </c>
      <c r="I2606" t="s">
        <v>92</v>
      </c>
      <c r="J2606">
        <v>19.5</v>
      </c>
      <c r="K2606">
        <v>310</v>
      </c>
      <c r="L2606">
        <v>45</v>
      </c>
      <c r="M2606">
        <v>275.7</v>
      </c>
      <c r="N2606">
        <v>9013</v>
      </c>
      <c r="O2606">
        <v>40</v>
      </c>
      <c r="P2606">
        <v>0</v>
      </c>
      <c r="Q2606">
        <v>0</v>
      </c>
      <c r="R2606">
        <v>0</v>
      </c>
      <c r="S2606">
        <v>0</v>
      </c>
      <c r="T2606">
        <v>0</v>
      </c>
      <c r="U2606">
        <v>0</v>
      </c>
      <c r="V2606">
        <v>295.2</v>
      </c>
      <c r="W2606">
        <v>9323</v>
      </c>
      <c r="X2606">
        <v>85</v>
      </c>
      <c r="Y2606">
        <f t="shared" si="40"/>
        <v>9323</v>
      </c>
      <c r="Z2606" t="str">
        <f>IF(ISNUMBER(SEARCH("Adjustment",$C2606)),"excluded",IF($H2606="Behind the Meter","excluded",IF(NOT(OR($E2606="Bundled",$E2606="Energy")),"excluded",IF(OR($H2606="Retail Power Marketer",$H2606="Community Choice Aggregator",$E2606="Energy"),"procurement",IF(OR($H2606="Municipal",$H2606="Cooperative",$H2606="Federal",$H2606="State",$H2606="Political Subdivision"),"cost_service",IF($H2606="Investor Owned",IF(AND(COUNTIF(Parameters!$A$4:$A$33,$G2606)&gt;0,COUNTIF(Parameters!$B$4:$B$33,$B2606)=0),"procurement","cost_service"),"unclassified"))))))</f>
        <v>excluded</v>
      </c>
    </row>
    <row r="2607" spans="1:26" x14ac:dyDescent="0.25">
      <c r="A2607">
        <v>2024</v>
      </c>
      <c r="B2607">
        <v>66101</v>
      </c>
      <c r="C2607" t="s">
        <v>1687</v>
      </c>
      <c r="D2607" t="s">
        <v>167</v>
      </c>
      <c r="E2607" t="s">
        <v>168</v>
      </c>
      <c r="F2607" t="s">
        <v>86</v>
      </c>
      <c r="G2607" t="s">
        <v>55</v>
      </c>
      <c r="H2607" t="s">
        <v>109</v>
      </c>
      <c r="I2607" t="s">
        <v>92</v>
      </c>
      <c r="J2607">
        <v>250282.9</v>
      </c>
      <c r="K2607">
        <v>3493217</v>
      </c>
      <c r="L2607">
        <v>338558</v>
      </c>
      <c r="M2607">
        <v>188484.6</v>
      </c>
      <c r="N2607">
        <v>6563200</v>
      </c>
      <c r="O2607">
        <v>108948</v>
      </c>
      <c r="P2607">
        <v>213686.8</v>
      </c>
      <c r="Q2607">
        <v>22048432</v>
      </c>
      <c r="R2607">
        <v>4157</v>
      </c>
      <c r="S2607">
        <v>0</v>
      </c>
      <c r="T2607">
        <v>0</v>
      </c>
      <c r="U2607">
        <v>0</v>
      </c>
      <c r="V2607">
        <v>652454.30000000005</v>
      </c>
      <c r="W2607">
        <v>32104849</v>
      </c>
      <c r="X2607">
        <v>451663</v>
      </c>
      <c r="Y2607">
        <f t="shared" si="40"/>
        <v>32104849</v>
      </c>
      <c r="Z2607" t="str">
        <f>IF(ISNUMBER(SEARCH("Adjustment",$C2607)),"excluded",IF($H2607="Behind the Meter","excluded",IF(NOT(OR($E2607="Bundled",$E2607="Energy")),"excluded",IF(OR($H2607="Retail Power Marketer",$H2607="Community Choice Aggregator",$E2607="Energy"),"procurement",IF(OR($H2607="Municipal",$H2607="Cooperative",$H2607="Federal",$H2607="State",$H2607="Political Subdivision"),"cost_service",IF($H2607="Investor Owned",IF(AND(COUNTIF(Parameters!$A$4:$A$33,$G2607)&gt;0,COUNTIF(Parameters!$B$4:$B$33,$B2607)=0),"procurement","cost_service"),"unclassified"))))))</f>
        <v>excluded</v>
      </c>
    </row>
    <row r="2608" spans="1:26" x14ac:dyDescent="0.25">
      <c r="A2608">
        <v>2024</v>
      </c>
      <c r="B2608">
        <v>66113</v>
      </c>
      <c r="C2608" t="s">
        <v>1688</v>
      </c>
      <c r="D2608" t="s">
        <v>99</v>
      </c>
      <c r="E2608" t="s">
        <v>100</v>
      </c>
      <c r="F2608" t="s">
        <v>86</v>
      </c>
      <c r="G2608" t="s">
        <v>46</v>
      </c>
      <c r="H2608" t="s">
        <v>101</v>
      </c>
      <c r="I2608" t="s">
        <v>92</v>
      </c>
      <c r="J2608">
        <v>2068.5</v>
      </c>
      <c r="K2608">
        <v>28974</v>
      </c>
      <c r="L2608">
        <v>4803</v>
      </c>
      <c r="M2608">
        <v>0</v>
      </c>
      <c r="N2608">
        <v>0</v>
      </c>
      <c r="O2608">
        <v>0</v>
      </c>
      <c r="P2608">
        <v>0</v>
      </c>
      <c r="Q2608">
        <v>0</v>
      </c>
      <c r="R2608">
        <v>0</v>
      </c>
      <c r="S2608">
        <v>0</v>
      </c>
      <c r="T2608">
        <v>0</v>
      </c>
      <c r="U2608">
        <v>0</v>
      </c>
      <c r="V2608">
        <v>2068.5</v>
      </c>
      <c r="W2608">
        <v>28974</v>
      </c>
      <c r="X2608">
        <v>4803</v>
      </c>
      <c r="Y2608">
        <f t="shared" si="40"/>
        <v>28974</v>
      </c>
      <c r="Z2608" t="str">
        <f>IF(ISNUMBER(SEARCH("Adjustment",$C2608)),"excluded",IF($H2608="Behind the Meter","excluded",IF(NOT(OR($E2608="Bundled",$E2608="Energy")),"excluded",IF(OR($H2608="Retail Power Marketer",$H2608="Community Choice Aggregator",$E2608="Energy"),"procurement",IF(OR($H2608="Municipal",$H2608="Cooperative",$H2608="Federal",$H2608="State",$H2608="Political Subdivision"),"cost_service",IF($H2608="Investor Owned",IF(AND(COUNTIF(Parameters!$A$4:$A$33,$G2608)&gt;0,COUNTIF(Parameters!$B$4:$B$33,$B2608)=0),"procurement","cost_service"),"unclassified"))))))</f>
        <v>procurement</v>
      </c>
    </row>
    <row r="2609" spans="1:26" x14ac:dyDescent="0.25">
      <c r="A2609">
        <v>2024</v>
      </c>
      <c r="B2609">
        <v>66113</v>
      </c>
      <c r="C2609" t="s">
        <v>1688</v>
      </c>
      <c r="D2609" t="s">
        <v>99</v>
      </c>
      <c r="E2609" t="s">
        <v>100</v>
      </c>
      <c r="F2609" t="s">
        <v>86</v>
      </c>
      <c r="G2609" t="s">
        <v>52</v>
      </c>
      <c r="H2609" t="s">
        <v>101</v>
      </c>
      <c r="I2609" t="s">
        <v>92</v>
      </c>
      <c r="J2609">
        <v>225.4</v>
      </c>
      <c r="K2609">
        <v>2618</v>
      </c>
      <c r="L2609">
        <v>400</v>
      </c>
      <c r="M2609">
        <v>0</v>
      </c>
      <c r="N2609">
        <v>0</v>
      </c>
      <c r="O2609">
        <v>0</v>
      </c>
      <c r="P2609">
        <v>0</v>
      </c>
      <c r="Q2609">
        <v>0</v>
      </c>
      <c r="R2609">
        <v>0</v>
      </c>
      <c r="S2609">
        <v>0</v>
      </c>
      <c r="T2609">
        <v>0</v>
      </c>
      <c r="U2609">
        <v>0</v>
      </c>
      <c r="V2609">
        <v>225.4</v>
      </c>
      <c r="W2609">
        <v>2618</v>
      </c>
      <c r="X2609">
        <v>400</v>
      </c>
      <c r="Y2609">
        <f t="shared" si="40"/>
        <v>2618</v>
      </c>
      <c r="Z2609" t="str">
        <f>IF(ISNUMBER(SEARCH("Adjustment",$C2609)),"excluded",IF($H2609="Behind the Meter","excluded",IF(NOT(OR($E2609="Bundled",$E2609="Energy")),"excluded",IF(OR($H2609="Retail Power Marketer",$H2609="Community Choice Aggregator",$E2609="Energy"),"procurement",IF(OR($H2609="Municipal",$H2609="Cooperative",$H2609="Federal",$H2609="State",$H2609="Political Subdivision"),"cost_service",IF($H2609="Investor Owned",IF(AND(COUNTIF(Parameters!$A$4:$A$33,$G2609)&gt;0,COUNTIF(Parameters!$B$4:$B$33,$B2609)=0),"procurement","cost_service"),"unclassified"))))))</f>
        <v>procurement</v>
      </c>
    </row>
    <row r="2610" spans="1:26" x14ac:dyDescent="0.25">
      <c r="A2610">
        <v>2024</v>
      </c>
      <c r="B2610">
        <v>66113</v>
      </c>
      <c r="C2610" t="s">
        <v>1688</v>
      </c>
      <c r="D2610" t="s">
        <v>99</v>
      </c>
      <c r="E2610" t="s">
        <v>100</v>
      </c>
      <c r="F2610" t="s">
        <v>86</v>
      </c>
      <c r="G2610" t="s">
        <v>54</v>
      </c>
      <c r="H2610" t="s">
        <v>101</v>
      </c>
      <c r="I2610" t="s">
        <v>92</v>
      </c>
      <c r="J2610">
        <v>656.6</v>
      </c>
      <c r="K2610">
        <v>8003</v>
      </c>
      <c r="L2610">
        <v>771</v>
      </c>
      <c r="M2610">
        <v>0</v>
      </c>
      <c r="N2610">
        <v>0</v>
      </c>
      <c r="O2610">
        <v>0</v>
      </c>
      <c r="P2610">
        <v>0</v>
      </c>
      <c r="Q2610">
        <v>0</v>
      </c>
      <c r="R2610">
        <v>0</v>
      </c>
      <c r="S2610">
        <v>0</v>
      </c>
      <c r="T2610">
        <v>0</v>
      </c>
      <c r="U2610">
        <v>0</v>
      </c>
      <c r="V2610">
        <v>656.6</v>
      </c>
      <c r="W2610">
        <v>8003</v>
      </c>
      <c r="X2610">
        <v>771</v>
      </c>
      <c r="Y2610">
        <f t="shared" si="40"/>
        <v>8003</v>
      </c>
      <c r="Z2610" t="str">
        <f>IF(ISNUMBER(SEARCH("Adjustment",$C2610)),"excluded",IF($H2610="Behind the Meter","excluded",IF(NOT(OR($E2610="Bundled",$E2610="Energy")),"excluded",IF(OR($H2610="Retail Power Marketer",$H2610="Community Choice Aggregator",$E2610="Energy"),"procurement",IF(OR($H2610="Municipal",$H2610="Cooperative",$H2610="Federal",$H2610="State",$H2610="Political Subdivision"),"cost_service",IF($H2610="Investor Owned",IF(AND(COUNTIF(Parameters!$A$4:$A$33,$G2610)&gt;0,COUNTIF(Parameters!$B$4:$B$33,$B2610)=0),"procurement","cost_service"),"unclassified"))))))</f>
        <v>procurement</v>
      </c>
    </row>
    <row r="2611" spans="1:26" x14ac:dyDescent="0.25">
      <c r="A2611">
        <v>2024</v>
      </c>
      <c r="B2611">
        <v>66113</v>
      </c>
      <c r="C2611" t="s">
        <v>1688</v>
      </c>
      <c r="D2611" t="s">
        <v>99</v>
      </c>
      <c r="E2611" t="s">
        <v>100</v>
      </c>
      <c r="F2611" t="s">
        <v>86</v>
      </c>
      <c r="G2611" t="s">
        <v>55</v>
      </c>
      <c r="H2611" t="s">
        <v>101</v>
      </c>
      <c r="I2611" t="s">
        <v>92</v>
      </c>
      <c r="J2611">
        <v>3991.1</v>
      </c>
      <c r="K2611">
        <v>44482</v>
      </c>
      <c r="L2611">
        <v>4679</v>
      </c>
      <c r="M2611">
        <v>0</v>
      </c>
      <c r="N2611">
        <v>0</v>
      </c>
      <c r="O2611">
        <v>0</v>
      </c>
      <c r="P2611">
        <v>0</v>
      </c>
      <c r="Q2611">
        <v>0</v>
      </c>
      <c r="R2611">
        <v>0</v>
      </c>
      <c r="S2611">
        <v>0</v>
      </c>
      <c r="T2611">
        <v>0</v>
      </c>
      <c r="U2611">
        <v>0</v>
      </c>
      <c r="V2611">
        <v>3991.1</v>
      </c>
      <c r="W2611">
        <v>44482</v>
      </c>
      <c r="X2611">
        <v>4679</v>
      </c>
      <c r="Y2611">
        <f t="shared" si="40"/>
        <v>44482</v>
      </c>
      <c r="Z2611" t="str">
        <f>IF(ISNUMBER(SEARCH("Adjustment",$C2611)),"excluded",IF($H2611="Behind the Meter","excluded",IF(NOT(OR($E2611="Bundled",$E2611="Energy")),"excluded",IF(OR($H2611="Retail Power Marketer",$H2611="Community Choice Aggregator",$E2611="Energy"),"procurement",IF(OR($H2611="Municipal",$H2611="Cooperative",$H2611="Federal",$H2611="State",$H2611="Political Subdivision"),"cost_service",IF($H2611="Investor Owned",IF(AND(COUNTIF(Parameters!$A$4:$A$33,$G2611)&gt;0,COUNTIF(Parameters!$B$4:$B$33,$B2611)=0),"procurement","cost_service"),"unclassified"))))))</f>
        <v>procurement</v>
      </c>
    </row>
    <row r="2612" spans="1:26" x14ac:dyDescent="0.25">
      <c r="A2612">
        <v>2024</v>
      </c>
      <c r="B2612">
        <v>66116</v>
      </c>
      <c r="C2612" t="s">
        <v>1689</v>
      </c>
      <c r="D2612" t="s">
        <v>99</v>
      </c>
      <c r="E2612" t="s">
        <v>100</v>
      </c>
      <c r="F2612" t="s">
        <v>86</v>
      </c>
      <c r="G2612" t="s">
        <v>55</v>
      </c>
      <c r="H2612" t="s">
        <v>101</v>
      </c>
      <c r="I2612" t="s">
        <v>92</v>
      </c>
      <c r="J2612">
        <v>0</v>
      </c>
      <c r="K2612">
        <v>0</v>
      </c>
      <c r="L2612">
        <v>0</v>
      </c>
      <c r="M2612">
        <v>3125</v>
      </c>
      <c r="N2612">
        <v>40047</v>
      </c>
      <c r="O2612">
        <v>49</v>
      </c>
      <c r="P2612">
        <v>1105</v>
      </c>
      <c r="Q2612">
        <v>14167</v>
      </c>
      <c r="R2612">
        <v>8</v>
      </c>
      <c r="S2612">
        <v>0</v>
      </c>
      <c r="T2612">
        <v>0</v>
      </c>
      <c r="U2612">
        <v>0</v>
      </c>
      <c r="V2612">
        <v>4230</v>
      </c>
      <c r="W2612">
        <v>54214</v>
      </c>
      <c r="X2612">
        <v>57</v>
      </c>
      <c r="Y2612">
        <f t="shared" si="40"/>
        <v>54214</v>
      </c>
      <c r="Z2612" t="str">
        <f>IF(ISNUMBER(SEARCH("Adjustment",$C2612)),"excluded",IF($H2612="Behind the Meter","excluded",IF(NOT(OR($E2612="Bundled",$E2612="Energy")),"excluded",IF(OR($H2612="Retail Power Marketer",$H2612="Community Choice Aggregator",$E2612="Energy"),"procurement",IF(OR($H2612="Municipal",$H2612="Cooperative",$H2612="Federal",$H2612="State",$H2612="Political Subdivision"),"cost_service",IF($H2612="Investor Owned",IF(AND(COUNTIF(Parameters!$A$4:$A$33,$G2612)&gt;0,COUNTIF(Parameters!$B$4:$B$33,$B2612)=0),"procurement","cost_service"),"unclassified"))))))</f>
        <v>procurement</v>
      </c>
    </row>
    <row r="2613" spans="1:26" x14ac:dyDescent="0.25">
      <c r="A2613">
        <v>2024</v>
      </c>
      <c r="B2613">
        <v>66118</v>
      </c>
      <c r="C2613" t="s">
        <v>1690</v>
      </c>
      <c r="D2613" t="s">
        <v>99</v>
      </c>
      <c r="E2613" t="s">
        <v>100</v>
      </c>
      <c r="F2613" t="s">
        <v>86</v>
      </c>
      <c r="G2613" t="s">
        <v>52</v>
      </c>
      <c r="H2613" t="s">
        <v>101</v>
      </c>
      <c r="I2613" t="s">
        <v>92</v>
      </c>
      <c r="J2613">
        <v>0.5</v>
      </c>
      <c r="K2613">
        <v>3</v>
      </c>
      <c r="L2613">
        <v>6</v>
      </c>
      <c r="M2613">
        <v>15.9</v>
      </c>
      <c r="N2613">
        <v>83</v>
      </c>
      <c r="O2613">
        <v>3</v>
      </c>
      <c r="P2613">
        <v>0</v>
      </c>
      <c r="Q2613">
        <v>0</v>
      </c>
      <c r="R2613">
        <v>0</v>
      </c>
      <c r="S2613">
        <v>0</v>
      </c>
      <c r="T2613">
        <v>0</v>
      </c>
      <c r="U2613">
        <v>0</v>
      </c>
      <c r="V2613">
        <v>16.399999999999999</v>
      </c>
      <c r="W2613">
        <v>86</v>
      </c>
      <c r="X2613">
        <v>9</v>
      </c>
      <c r="Y2613">
        <f t="shared" si="40"/>
        <v>86</v>
      </c>
      <c r="Z2613" t="str">
        <f>IF(ISNUMBER(SEARCH("Adjustment",$C2613)),"excluded",IF($H2613="Behind the Meter","excluded",IF(NOT(OR($E2613="Bundled",$E2613="Energy")),"excluded",IF(OR($H2613="Retail Power Marketer",$H2613="Community Choice Aggregator",$E2613="Energy"),"procurement",IF(OR($H2613="Municipal",$H2613="Cooperative",$H2613="Federal",$H2613="State",$H2613="Political Subdivision"),"cost_service",IF($H2613="Investor Owned",IF(AND(COUNTIF(Parameters!$A$4:$A$33,$G2613)&gt;0,COUNTIF(Parameters!$B$4:$B$33,$B2613)=0),"procurement","cost_service"),"unclassified"))))))</f>
        <v>procurement</v>
      </c>
    </row>
    <row r="2614" spans="1:26" x14ac:dyDescent="0.25">
      <c r="A2614">
        <v>2024</v>
      </c>
      <c r="B2614">
        <v>66118</v>
      </c>
      <c r="C2614" t="s">
        <v>1690</v>
      </c>
      <c r="D2614" t="s">
        <v>99</v>
      </c>
      <c r="E2614" t="s">
        <v>100</v>
      </c>
      <c r="F2614" t="s">
        <v>86</v>
      </c>
      <c r="G2614" t="s">
        <v>55</v>
      </c>
      <c r="H2614" t="s">
        <v>101</v>
      </c>
      <c r="I2614" t="s">
        <v>92</v>
      </c>
      <c r="J2614">
        <v>113</v>
      </c>
      <c r="K2614">
        <v>607</v>
      </c>
      <c r="L2614">
        <v>192</v>
      </c>
      <c r="M2614">
        <v>3331.4</v>
      </c>
      <c r="N2614">
        <v>19415</v>
      </c>
      <c r="O2614">
        <v>791</v>
      </c>
      <c r="P2614">
        <v>0</v>
      </c>
      <c r="Q2614">
        <v>0</v>
      </c>
      <c r="R2614">
        <v>0</v>
      </c>
      <c r="S2614">
        <v>0</v>
      </c>
      <c r="T2614">
        <v>0</v>
      </c>
      <c r="U2614">
        <v>0</v>
      </c>
      <c r="V2614">
        <v>3444.4</v>
      </c>
      <c r="W2614">
        <v>20022</v>
      </c>
      <c r="X2614">
        <v>983</v>
      </c>
      <c r="Y2614">
        <f t="shared" si="40"/>
        <v>20022</v>
      </c>
      <c r="Z2614" t="str">
        <f>IF(ISNUMBER(SEARCH("Adjustment",$C2614)),"excluded",IF($H2614="Behind the Meter","excluded",IF(NOT(OR($E2614="Bundled",$E2614="Energy")),"excluded",IF(OR($H2614="Retail Power Marketer",$H2614="Community Choice Aggregator",$E2614="Energy"),"procurement",IF(OR($H2614="Municipal",$H2614="Cooperative",$H2614="Federal",$H2614="State",$H2614="Political Subdivision"),"cost_service",IF($H2614="Investor Owned",IF(AND(COUNTIF(Parameters!$A$4:$A$33,$G2614)&gt;0,COUNTIF(Parameters!$B$4:$B$33,$B2614)=0),"procurement","cost_service"),"unclassified"))))))</f>
        <v>procurement</v>
      </c>
    </row>
    <row r="2615" spans="1:26" x14ac:dyDescent="0.25">
      <c r="A2615">
        <v>2024</v>
      </c>
      <c r="B2615">
        <v>66164</v>
      </c>
      <c r="C2615" t="s">
        <v>1691</v>
      </c>
      <c r="D2615" t="s">
        <v>150</v>
      </c>
      <c r="E2615" t="s">
        <v>85</v>
      </c>
      <c r="F2615" t="s">
        <v>86</v>
      </c>
      <c r="G2615" t="s">
        <v>57</v>
      </c>
      <c r="H2615" t="s">
        <v>101</v>
      </c>
      <c r="I2615" t="s">
        <v>151</v>
      </c>
      <c r="J2615">
        <v>0</v>
      </c>
      <c r="K2615">
        <v>0</v>
      </c>
      <c r="L2615">
        <v>0</v>
      </c>
      <c r="M2615">
        <v>56043</v>
      </c>
      <c r="N2615">
        <v>939575</v>
      </c>
      <c r="O2615">
        <v>1</v>
      </c>
      <c r="P2615">
        <v>0</v>
      </c>
      <c r="Q2615">
        <v>0</v>
      </c>
      <c r="R2615">
        <v>0</v>
      </c>
      <c r="S2615">
        <v>0</v>
      </c>
      <c r="T2615">
        <v>0</v>
      </c>
      <c r="U2615">
        <v>0</v>
      </c>
      <c r="V2615">
        <v>56043</v>
      </c>
      <c r="W2615">
        <v>939575</v>
      </c>
      <c r="X2615">
        <v>1</v>
      </c>
      <c r="Y2615">
        <f t="shared" si="40"/>
        <v>939575</v>
      </c>
      <c r="Z2615" t="str">
        <f>IF(ISNUMBER(SEARCH("Adjustment",$C2615)),"excluded",IF($H2615="Behind the Meter","excluded",IF(NOT(OR($E2615="Bundled",$E2615="Energy")),"excluded",IF(OR($H2615="Retail Power Marketer",$H2615="Community Choice Aggregator",$E2615="Energy"),"procurement",IF(OR($H2615="Municipal",$H2615="Cooperative",$H2615="Federal",$H2615="State",$H2615="Political Subdivision"),"cost_service",IF($H2615="Investor Owned",IF(AND(COUNTIF(Parameters!$A$4:$A$33,$G2615)&gt;0,COUNTIF(Parameters!$B$4:$B$33,$B2615)=0),"procurement","cost_service"),"unclassified"))))))</f>
        <v>procurement</v>
      </c>
    </row>
    <row r="2616" spans="1:26" x14ac:dyDescent="0.25">
      <c r="A2616">
        <v>2024</v>
      </c>
      <c r="B2616">
        <v>66173</v>
      </c>
      <c r="C2616" t="s">
        <v>1692</v>
      </c>
      <c r="D2616" t="s">
        <v>99</v>
      </c>
      <c r="E2616" t="s">
        <v>100</v>
      </c>
      <c r="F2616" t="s">
        <v>86</v>
      </c>
      <c r="G2616" t="s">
        <v>53</v>
      </c>
      <c r="H2616" t="s">
        <v>101</v>
      </c>
      <c r="I2616" t="s">
        <v>102</v>
      </c>
      <c r="J2616">
        <v>1403.6</v>
      </c>
      <c r="K2616">
        <v>7652</v>
      </c>
      <c r="L2616">
        <v>969</v>
      </c>
      <c r="M2616">
        <v>10087.1</v>
      </c>
      <c r="N2616">
        <v>77618</v>
      </c>
      <c r="O2616">
        <v>743</v>
      </c>
      <c r="P2616" t="s">
        <v>97</v>
      </c>
      <c r="Q2616" t="s">
        <v>97</v>
      </c>
      <c r="R2616" t="s">
        <v>97</v>
      </c>
      <c r="S2616" t="s">
        <v>97</v>
      </c>
      <c r="T2616" t="s">
        <v>97</v>
      </c>
      <c r="U2616" t="s">
        <v>97</v>
      </c>
      <c r="V2616">
        <v>11490.7</v>
      </c>
      <c r="W2616">
        <v>85270</v>
      </c>
      <c r="X2616">
        <v>1712</v>
      </c>
      <c r="Y2616">
        <f t="shared" si="40"/>
        <v>85270</v>
      </c>
      <c r="Z2616" t="str">
        <f>IF(ISNUMBER(SEARCH("Adjustment",$C2616)),"excluded",IF($H2616="Behind the Meter","excluded",IF(NOT(OR($E2616="Bundled",$E2616="Energy")),"excluded",IF(OR($H2616="Retail Power Marketer",$H2616="Community Choice Aggregator",$E2616="Energy"),"procurement",IF(OR($H2616="Municipal",$H2616="Cooperative",$H2616="Federal",$H2616="State",$H2616="Political Subdivision"),"cost_service",IF($H2616="Investor Owned",IF(AND(COUNTIF(Parameters!$A$4:$A$33,$G2616)&gt;0,COUNTIF(Parameters!$B$4:$B$33,$B2616)=0),"procurement","cost_service"),"unclassified"))))))</f>
        <v>procurement</v>
      </c>
    </row>
    <row r="2617" spans="1:26" x14ac:dyDescent="0.25">
      <c r="A2617">
        <v>2024</v>
      </c>
      <c r="B2617">
        <v>66332</v>
      </c>
      <c r="C2617" t="s">
        <v>1693</v>
      </c>
      <c r="D2617" t="s">
        <v>150</v>
      </c>
      <c r="E2617" t="s">
        <v>85</v>
      </c>
      <c r="F2617" t="s">
        <v>86</v>
      </c>
      <c r="G2617" t="s">
        <v>57</v>
      </c>
      <c r="H2617" t="s">
        <v>101</v>
      </c>
      <c r="I2617" t="s">
        <v>151</v>
      </c>
      <c r="J2617">
        <v>285.2</v>
      </c>
      <c r="K2617">
        <v>2456</v>
      </c>
      <c r="L2617">
        <v>297</v>
      </c>
      <c r="M2617">
        <v>2.2999999999999998</v>
      </c>
      <c r="N2617">
        <v>20</v>
      </c>
      <c r="O2617">
        <v>3</v>
      </c>
      <c r="P2617" t="s">
        <v>97</v>
      </c>
      <c r="Q2617" t="s">
        <v>97</v>
      </c>
      <c r="R2617" t="s">
        <v>97</v>
      </c>
      <c r="S2617" t="s">
        <v>97</v>
      </c>
      <c r="T2617" t="s">
        <v>97</v>
      </c>
      <c r="U2617" t="s">
        <v>97</v>
      </c>
      <c r="V2617">
        <v>287.5</v>
      </c>
      <c r="W2617">
        <v>2476</v>
      </c>
      <c r="X2617">
        <v>300</v>
      </c>
      <c r="Y2617">
        <f t="shared" si="40"/>
        <v>2476</v>
      </c>
      <c r="Z2617" t="str">
        <f>IF(ISNUMBER(SEARCH("Adjustment",$C2617)),"excluded",IF($H2617="Behind the Meter","excluded",IF(NOT(OR($E2617="Bundled",$E2617="Energy")),"excluded",IF(OR($H2617="Retail Power Marketer",$H2617="Community Choice Aggregator",$E2617="Energy"),"procurement",IF(OR($H2617="Municipal",$H2617="Cooperative",$H2617="Federal",$H2617="State",$H2617="Political Subdivision"),"cost_service",IF($H2617="Investor Owned",IF(AND(COUNTIF(Parameters!$A$4:$A$33,$G2617)&gt;0,COUNTIF(Parameters!$B$4:$B$33,$B2617)=0),"procurement","cost_service"),"unclassified"))))))</f>
        <v>procurement</v>
      </c>
    </row>
    <row r="2618" spans="1:26" x14ac:dyDescent="0.25">
      <c r="A2618">
        <v>2024</v>
      </c>
      <c r="B2618">
        <v>66333</v>
      </c>
      <c r="C2618" t="s">
        <v>1694</v>
      </c>
      <c r="D2618" t="s">
        <v>150</v>
      </c>
      <c r="E2618" t="s">
        <v>85</v>
      </c>
      <c r="F2618" t="s">
        <v>86</v>
      </c>
      <c r="G2618" t="s">
        <v>57</v>
      </c>
      <c r="H2618" t="s">
        <v>101</v>
      </c>
      <c r="I2618" t="s">
        <v>151</v>
      </c>
      <c r="J2618">
        <v>53.7</v>
      </c>
      <c r="K2618">
        <v>223</v>
      </c>
      <c r="L2618">
        <v>119</v>
      </c>
      <c r="M2618">
        <v>0</v>
      </c>
      <c r="N2618">
        <v>0</v>
      </c>
      <c r="O2618">
        <v>0</v>
      </c>
      <c r="P2618">
        <v>0</v>
      </c>
      <c r="Q2618">
        <v>0</v>
      </c>
      <c r="R2618">
        <v>0</v>
      </c>
      <c r="S2618">
        <v>0</v>
      </c>
      <c r="T2618">
        <v>0</v>
      </c>
      <c r="U2618">
        <v>0</v>
      </c>
      <c r="V2618">
        <v>53.7</v>
      </c>
      <c r="W2618">
        <v>223</v>
      </c>
      <c r="X2618">
        <v>119</v>
      </c>
      <c r="Y2618">
        <f t="shared" si="40"/>
        <v>223</v>
      </c>
      <c r="Z2618" t="str">
        <f>IF(ISNUMBER(SEARCH("Adjustment",$C2618)),"excluded",IF($H2618="Behind the Meter","excluded",IF(NOT(OR($E2618="Bundled",$E2618="Energy")),"excluded",IF(OR($H2618="Retail Power Marketer",$H2618="Community Choice Aggregator",$E2618="Energy"),"procurement",IF(OR($H2618="Municipal",$H2618="Cooperative",$H2618="Federal",$H2618="State",$H2618="Political Subdivision"),"cost_service",IF($H2618="Investor Owned",IF(AND(COUNTIF(Parameters!$A$4:$A$33,$G2618)&gt;0,COUNTIF(Parameters!$B$4:$B$33,$B2618)=0),"procurement","cost_service"),"unclassified"))))))</f>
        <v>procurement</v>
      </c>
    </row>
    <row r="2619" spans="1:26" x14ac:dyDescent="0.25">
      <c r="A2619">
        <v>2024</v>
      </c>
      <c r="B2619">
        <v>66398</v>
      </c>
      <c r="C2619" t="s">
        <v>1695</v>
      </c>
      <c r="D2619" t="s">
        <v>99</v>
      </c>
      <c r="E2619" t="s">
        <v>100</v>
      </c>
      <c r="F2619" t="s">
        <v>86</v>
      </c>
      <c r="G2619" t="s">
        <v>51</v>
      </c>
      <c r="H2619" t="s">
        <v>101</v>
      </c>
      <c r="I2619" t="s">
        <v>189</v>
      </c>
      <c r="J2619">
        <v>0</v>
      </c>
      <c r="K2619">
        <v>0</v>
      </c>
      <c r="L2619">
        <v>0</v>
      </c>
      <c r="M2619">
        <v>0</v>
      </c>
      <c r="N2619">
        <v>0</v>
      </c>
      <c r="O2619">
        <v>0</v>
      </c>
      <c r="P2619">
        <v>1658</v>
      </c>
      <c r="Q2619">
        <v>36302</v>
      </c>
      <c r="R2619">
        <v>1</v>
      </c>
      <c r="S2619">
        <v>0</v>
      </c>
      <c r="T2619">
        <v>0</v>
      </c>
      <c r="U2619">
        <v>0</v>
      </c>
      <c r="V2619">
        <v>1658</v>
      </c>
      <c r="W2619">
        <v>36302</v>
      </c>
      <c r="X2619">
        <v>1</v>
      </c>
      <c r="Y2619">
        <f t="shared" si="40"/>
        <v>36302</v>
      </c>
      <c r="Z2619" t="str">
        <f>IF(ISNUMBER(SEARCH("Adjustment",$C2619)),"excluded",IF($H2619="Behind the Meter","excluded",IF(NOT(OR($E2619="Bundled",$E2619="Energy")),"excluded",IF(OR($H2619="Retail Power Marketer",$H2619="Community Choice Aggregator",$E2619="Energy"),"procurement",IF(OR($H2619="Municipal",$H2619="Cooperative",$H2619="Federal",$H2619="State",$H2619="Political Subdivision"),"cost_service",IF($H2619="Investor Owned",IF(AND(COUNTIF(Parameters!$A$4:$A$33,$G2619)&gt;0,COUNTIF(Parameters!$B$4:$B$33,$B2619)=0),"procurement","cost_service"),"unclassified"))))))</f>
        <v>procurement</v>
      </c>
    </row>
    <row r="2620" spans="1:26" x14ac:dyDescent="0.25">
      <c r="A2620">
        <v>2024</v>
      </c>
      <c r="B2620">
        <v>66398</v>
      </c>
      <c r="C2620" t="s">
        <v>1695</v>
      </c>
      <c r="D2620" t="s">
        <v>99</v>
      </c>
      <c r="E2620" t="s">
        <v>100</v>
      </c>
      <c r="F2620" t="s">
        <v>86</v>
      </c>
      <c r="G2620" t="s">
        <v>53</v>
      </c>
      <c r="H2620" t="s">
        <v>101</v>
      </c>
      <c r="I2620" t="s">
        <v>102</v>
      </c>
      <c r="J2620">
        <v>0</v>
      </c>
      <c r="K2620">
        <v>0</v>
      </c>
      <c r="L2620">
        <v>0</v>
      </c>
      <c r="M2620">
        <v>0</v>
      </c>
      <c r="N2620">
        <v>0</v>
      </c>
      <c r="O2620">
        <v>0</v>
      </c>
      <c r="P2620">
        <v>2749</v>
      </c>
      <c r="Q2620">
        <v>50062</v>
      </c>
      <c r="R2620">
        <v>1</v>
      </c>
      <c r="S2620">
        <v>0</v>
      </c>
      <c r="T2620">
        <v>0</v>
      </c>
      <c r="U2620">
        <v>0</v>
      </c>
      <c r="V2620">
        <v>2749</v>
      </c>
      <c r="W2620">
        <v>50062</v>
      </c>
      <c r="X2620">
        <v>1</v>
      </c>
      <c r="Y2620">
        <f t="shared" si="40"/>
        <v>50062</v>
      </c>
      <c r="Z2620" t="str">
        <f>IF(ISNUMBER(SEARCH("Adjustment",$C2620)),"excluded",IF($H2620="Behind the Meter","excluded",IF(NOT(OR($E2620="Bundled",$E2620="Energy")),"excluded",IF(OR($H2620="Retail Power Marketer",$H2620="Community Choice Aggregator",$E2620="Energy"),"procurement",IF(OR($H2620="Municipal",$H2620="Cooperative",$H2620="Federal",$H2620="State",$H2620="Political Subdivision"),"cost_service",IF($H2620="Investor Owned",IF(AND(COUNTIF(Parameters!$A$4:$A$33,$G2620)&gt;0,COUNTIF(Parameters!$B$4:$B$33,$B2620)=0),"procurement","cost_service"),"unclassified"))))))</f>
        <v>procurement</v>
      </c>
    </row>
    <row r="2621" spans="1:26" x14ac:dyDescent="0.25">
      <c r="A2621">
        <v>2024</v>
      </c>
      <c r="B2621">
        <v>66399</v>
      </c>
      <c r="C2621" t="s">
        <v>1696</v>
      </c>
      <c r="D2621" t="s">
        <v>99</v>
      </c>
      <c r="E2621" t="s">
        <v>100</v>
      </c>
      <c r="F2621" t="s">
        <v>86</v>
      </c>
      <c r="G2621" t="s">
        <v>49</v>
      </c>
      <c r="H2621" t="s">
        <v>101</v>
      </c>
      <c r="I2621" t="s">
        <v>92</v>
      </c>
      <c r="J2621">
        <v>0</v>
      </c>
      <c r="K2621">
        <v>0</v>
      </c>
      <c r="L2621">
        <v>0</v>
      </c>
      <c r="M2621">
        <v>709.2</v>
      </c>
      <c r="N2621">
        <v>9520</v>
      </c>
      <c r="O2621">
        <v>1</v>
      </c>
      <c r="P2621">
        <v>0</v>
      </c>
      <c r="Q2621">
        <v>0</v>
      </c>
      <c r="R2621">
        <v>0</v>
      </c>
      <c r="S2621">
        <v>0</v>
      </c>
      <c r="T2621">
        <v>0</v>
      </c>
      <c r="U2621">
        <v>0</v>
      </c>
      <c r="V2621">
        <v>709.2</v>
      </c>
      <c r="W2621">
        <v>9520</v>
      </c>
      <c r="X2621">
        <v>1</v>
      </c>
      <c r="Y2621">
        <f t="shared" si="40"/>
        <v>9520</v>
      </c>
      <c r="Z2621" t="str">
        <f>IF(ISNUMBER(SEARCH("Adjustment",$C2621)),"excluded",IF($H2621="Behind the Meter","excluded",IF(NOT(OR($E2621="Bundled",$E2621="Energy")),"excluded",IF(OR($H2621="Retail Power Marketer",$H2621="Community Choice Aggregator",$E2621="Energy"),"procurement",IF(OR($H2621="Municipal",$H2621="Cooperative",$H2621="Federal",$H2621="State",$H2621="Political Subdivision"),"cost_service",IF($H2621="Investor Owned",IF(AND(COUNTIF(Parameters!$A$4:$A$33,$G2621)&gt;0,COUNTIF(Parameters!$B$4:$B$33,$B2621)=0),"procurement","cost_service"),"unclassified"))))))</f>
        <v>procurement</v>
      </c>
    </row>
    <row r="2622" spans="1:26" x14ac:dyDescent="0.25">
      <c r="A2622">
        <v>2024</v>
      </c>
      <c r="B2622">
        <v>66399</v>
      </c>
      <c r="C2622" t="s">
        <v>1696</v>
      </c>
      <c r="D2622" t="s">
        <v>99</v>
      </c>
      <c r="E2622" t="s">
        <v>100</v>
      </c>
      <c r="F2622" t="s">
        <v>86</v>
      </c>
      <c r="G2622" t="s">
        <v>242</v>
      </c>
      <c r="H2622" t="s">
        <v>101</v>
      </c>
      <c r="I2622" t="s">
        <v>390</v>
      </c>
      <c r="J2622">
        <v>0</v>
      </c>
      <c r="K2622">
        <v>0</v>
      </c>
      <c r="L2622">
        <v>0</v>
      </c>
      <c r="M2622">
        <v>12159.3</v>
      </c>
      <c r="N2622">
        <v>144754</v>
      </c>
      <c r="O2622">
        <v>1</v>
      </c>
      <c r="P2622">
        <v>0</v>
      </c>
      <c r="Q2622">
        <v>0</v>
      </c>
      <c r="R2622">
        <v>0</v>
      </c>
      <c r="S2622">
        <v>0</v>
      </c>
      <c r="T2622">
        <v>0</v>
      </c>
      <c r="U2622">
        <v>0</v>
      </c>
      <c r="V2622">
        <v>12159.3</v>
      </c>
      <c r="W2622">
        <v>144754</v>
      </c>
      <c r="X2622">
        <v>1</v>
      </c>
      <c r="Y2622">
        <f t="shared" si="40"/>
        <v>144754</v>
      </c>
      <c r="Z2622" t="str">
        <f>IF(ISNUMBER(SEARCH("Adjustment",$C2622)),"excluded",IF($H2622="Behind the Meter","excluded",IF(NOT(OR($E2622="Bundled",$E2622="Energy")),"excluded",IF(OR($H2622="Retail Power Marketer",$H2622="Community Choice Aggregator",$E2622="Energy"),"procurement",IF(OR($H2622="Municipal",$H2622="Cooperative",$H2622="Federal",$H2622="State",$H2622="Political Subdivision"),"cost_service",IF($H2622="Investor Owned",IF(AND(COUNTIF(Parameters!$A$4:$A$33,$G2622)&gt;0,COUNTIF(Parameters!$B$4:$B$33,$B2622)=0),"procurement","cost_service"),"unclassified"))))))</f>
        <v>procurement</v>
      </c>
    </row>
    <row r="2623" spans="1:26" x14ac:dyDescent="0.25">
      <c r="A2623">
        <v>2024</v>
      </c>
      <c r="B2623">
        <v>66399</v>
      </c>
      <c r="C2623" t="s">
        <v>1696</v>
      </c>
      <c r="D2623" t="s">
        <v>99</v>
      </c>
      <c r="E2623" t="s">
        <v>100</v>
      </c>
      <c r="F2623" t="s">
        <v>86</v>
      </c>
      <c r="G2623" t="s">
        <v>53</v>
      </c>
      <c r="H2623" t="s">
        <v>101</v>
      </c>
      <c r="I2623" t="s">
        <v>102</v>
      </c>
      <c r="J2623">
        <v>0</v>
      </c>
      <c r="K2623">
        <v>0</v>
      </c>
      <c r="L2623">
        <v>0</v>
      </c>
      <c r="M2623">
        <v>24340.1</v>
      </c>
      <c r="N2623">
        <v>269093</v>
      </c>
      <c r="O2623">
        <v>6</v>
      </c>
      <c r="P2623">
        <v>0</v>
      </c>
      <c r="Q2623">
        <v>0</v>
      </c>
      <c r="R2623">
        <v>0</v>
      </c>
      <c r="S2623">
        <v>0</v>
      </c>
      <c r="T2623">
        <v>0</v>
      </c>
      <c r="U2623">
        <v>0</v>
      </c>
      <c r="V2623">
        <v>24340.1</v>
      </c>
      <c r="W2623">
        <v>269093</v>
      </c>
      <c r="X2623">
        <v>6</v>
      </c>
      <c r="Y2623">
        <f t="shared" si="40"/>
        <v>269093</v>
      </c>
      <c r="Z2623" t="str">
        <f>IF(ISNUMBER(SEARCH("Adjustment",$C2623)),"excluded",IF($H2623="Behind the Meter","excluded",IF(NOT(OR($E2623="Bundled",$E2623="Energy")),"excluded",IF(OR($H2623="Retail Power Marketer",$H2623="Community Choice Aggregator",$E2623="Energy"),"procurement",IF(OR($H2623="Municipal",$H2623="Cooperative",$H2623="Federal",$H2623="State",$H2623="Political Subdivision"),"cost_service",IF($H2623="Investor Owned",IF(AND(COUNTIF(Parameters!$A$4:$A$33,$G2623)&gt;0,COUNTIF(Parameters!$B$4:$B$33,$B2623)=0),"procurement","cost_service"),"unclassified"))))))</f>
        <v>procurement</v>
      </c>
    </row>
    <row r="2624" spans="1:26" x14ac:dyDescent="0.25">
      <c r="A2624">
        <v>2024</v>
      </c>
      <c r="B2624">
        <v>66399</v>
      </c>
      <c r="C2624" t="s">
        <v>1696</v>
      </c>
      <c r="D2624" t="s">
        <v>99</v>
      </c>
      <c r="E2624" t="s">
        <v>100</v>
      </c>
      <c r="F2624" t="s">
        <v>86</v>
      </c>
      <c r="G2624" t="s">
        <v>219</v>
      </c>
      <c r="H2624" t="s">
        <v>101</v>
      </c>
      <c r="I2624" t="s">
        <v>396</v>
      </c>
      <c r="J2624">
        <v>0</v>
      </c>
      <c r="K2624">
        <v>0</v>
      </c>
      <c r="L2624">
        <v>0</v>
      </c>
      <c r="M2624">
        <v>0</v>
      </c>
      <c r="N2624">
        <v>0</v>
      </c>
      <c r="O2624">
        <v>0</v>
      </c>
      <c r="P2624">
        <v>3645.5</v>
      </c>
      <c r="Q2624">
        <v>61239</v>
      </c>
      <c r="R2624">
        <v>1</v>
      </c>
      <c r="S2624">
        <v>0</v>
      </c>
      <c r="T2624">
        <v>0</v>
      </c>
      <c r="U2624">
        <v>0</v>
      </c>
      <c r="V2624">
        <v>3645.5</v>
      </c>
      <c r="W2624">
        <v>61239</v>
      </c>
      <c r="X2624">
        <v>1</v>
      </c>
      <c r="Y2624">
        <f t="shared" si="40"/>
        <v>61239</v>
      </c>
      <c r="Z2624" t="str">
        <f>IF(ISNUMBER(SEARCH("Adjustment",$C2624)),"excluded",IF($H2624="Behind the Meter","excluded",IF(NOT(OR($E2624="Bundled",$E2624="Energy")),"excluded",IF(OR($H2624="Retail Power Marketer",$H2624="Community Choice Aggregator",$E2624="Energy"),"procurement",IF(OR($H2624="Municipal",$H2624="Cooperative",$H2624="Federal",$H2624="State",$H2624="Political Subdivision"),"cost_service",IF($H2624="Investor Owned",IF(AND(COUNTIF(Parameters!$A$4:$A$33,$G2624)&gt;0,COUNTIF(Parameters!$B$4:$B$33,$B2624)=0),"procurement","cost_service"),"unclassified"))))))</f>
        <v>procurement</v>
      </c>
    </row>
    <row r="2625" spans="1:26" x14ac:dyDescent="0.25">
      <c r="A2625">
        <v>2024</v>
      </c>
      <c r="B2625">
        <v>66399</v>
      </c>
      <c r="C2625" t="s">
        <v>1696</v>
      </c>
      <c r="D2625" t="s">
        <v>99</v>
      </c>
      <c r="E2625" t="s">
        <v>100</v>
      </c>
      <c r="F2625" t="s">
        <v>86</v>
      </c>
      <c r="G2625" t="s">
        <v>148</v>
      </c>
      <c r="H2625" t="s">
        <v>101</v>
      </c>
      <c r="I2625" t="s">
        <v>149</v>
      </c>
      <c r="J2625">
        <v>0</v>
      </c>
      <c r="K2625">
        <v>0</v>
      </c>
      <c r="L2625">
        <v>0</v>
      </c>
      <c r="M2625">
        <v>0</v>
      </c>
      <c r="N2625">
        <v>0</v>
      </c>
      <c r="O2625">
        <v>0</v>
      </c>
      <c r="P2625">
        <v>18078.599999999999</v>
      </c>
      <c r="Q2625">
        <v>338886</v>
      </c>
      <c r="R2625">
        <v>1</v>
      </c>
      <c r="S2625">
        <v>0</v>
      </c>
      <c r="T2625">
        <v>0</v>
      </c>
      <c r="U2625">
        <v>0</v>
      </c>
      <c r="V2625">
        <v>18078.599999999999</v>
      </c>
      <c r="W2625">
        <v>338886</v>
      </c>
      <c r="X2625">
        <v>1</v>
      </c>
      <c r="Y2625">
        <f t="shared" si="40"/>
        <v>338886</v>
      </c>
      <c r="Z2625" t="str">
        <f>IF(ISNUMBER(SEARCH("Adjustment",$C2625)),"excluded",IF($H2625="Behind the Meter","excluded",IF(NOT(OR($E2625="Bundled",$E2625="Energy")),"excluded",IF(OR($H2625="Retail Power Marketer",$H2625="Community Choice Aggregator",$E2625="Energy"),"procurement",IF(OR($H2625="Municipal",$H2625="Cooperative",$H2625="Federal",$H2625="State",$H2625="Political Subdivision"),"cost_service",IF($H2625="Investor Owned",IF(AND(COUNTIF(Parameters!$A$4:$A$33,$G2625)&gt;0,COUNTIF(Parameters!$B$4:$B$33,$B2625)=0),"procurement","cost_service"),"unclassified"))))))</f>
        <v>procurement</v>
      </c>
    </row>
    <row r="2626" spans="1:26" x14ac:dyDescent="0.25">
      <c r="A2626">
        <v>2024</v>
      </c>
      <c r="B2626">
        <v>66435</v>
      </c>
      <c r="C2626" t="s">
        <v>1697</v>
      </c>
      <c r="D2626" t="s">
        <v>150</v>
      </c>
      <c r="E2626" t="s">
        <v>85</v>
      </c>
      <c r="F2626" t="s">
        <v>86</v>
      </c>
      <c r="G2626" t="s">
        <v>57</v>
      </c>
      <c r="H2626" t="s">
        <v>101</v>
      </c>
      <c r="I2626" t="s">
        <v>151</v>
      </c>
      <c r="J2626">
        <v>0</v>
      </c>
      <c r="K2626">
        <v>0</v>
      </c>
      <c r="L2626">
        <v>0</v>
      </c>
      <c r="M2626">
        <v>46564.7</v>
      </c>
      <c r="N2626">
        <v>1350240</v>
      </c>
      <c r="O2626">
        <v>13</v>
      </c>
      <c r="P2626">
        <v>0</v>
      </c>
      <c r="Q2626">
        <v>0</v>
      </c>
      <c r="R2626">
        <v>0</v>
      </c>
      <c r="S2626">
        <v>0</v>
      </c>
      <c r="T2626">
        <v>0</v>
      </c>
      <c r="U2626">
        <v>0</v>
      </c>
      <c r="V2626">
        <v>46564.7</v>
      </c>
      <c r="W2626">
        <v>1350240</v>
      </c>
      <c r="X2626">
        <v>13</v>
      </c>
      <c r="Y2626">
        <f t="shared" si="40"/>
        <v>1350240</v>
      </c>
      <c r="Z2626" t="str">
        <f>IF(ISNUMBER(SEARCH("Adjustment",$C2626)),"excluded",IF($H2626="Behind the Meter","excluded",IF(NOT(OR($E2626="Bundled",$E2626="Energy")),"excluded",IF(OR($H2626="Retail Power Marketer",$H2626="Community Choice Aggregator",$E2626="Energy"),"procurement",IF(OR($H2626="Municipal",$H2626="Cooperative",$H2626="Federal",$H2626="State",$H2626="Political Subdivision"),"cost_service",IF($H2626="Investor Owned",IF(AND(COUNTIF(Parameters!$A$4:$A$33,$G2626)&gt;0,COUNTIF(Parameters!$B$4:$B$33,$B2626)=0),"procurement","cost_service"),"unclassified"))))))</f>
        <v>procurement</v>
      </c>
    </row>
    <row r="2627" spans="1:26" x14ac:dyDescent="0.25">
      <c r="A2627">
        <v>2024</v>
      </c>
      <c r="B2627">
        <v>66436</v>
      </c>
      <c r="C2627" t="s">
        <v>1698</v>
      </c>
      <c r="D2627" t="s">
        <v>150</v>
      </c>
      <c r="E2627" t="s">
        <v>85</v>
      </c>
      <c r="F2627" t="s">
        <v>86</v>
      </c>
      <c r="G2627" t="s">
        <v>57</v>
      </c>
      <c r="H2627" t="s">
        <v>101</v>
      </c>
      <c r="I2627" t="s">
        <v>151</v>
      </c>
      <c r="J2627">
        <v>65.900000000000006</v>
      </c>
      <c r="K2627">
        <v>431</v>
      </c>
      <c r="L2627">
        <v>90</v>
      </c>
      <c r="M2627">
        <v>3.8</v>
      </c>
      <c r="N2627">
        <v>25</v>
      </c>
      <c r="O2627">
        <v>7</v>
      </c>
      <c r="P2627">
        <v>0</v>
      </c>
      <c r="Q2627">
        <v>0</v>
      </c>
      <c r="R2627">
        <v>0</v>
      </c>
      <c r="S2627">
        <v>0</v>
      </c>
      <c r="T2627">
        <v>0</v>
      </c>
      <c r="U2627">
        <v>0</v>
      </c>
      <c r="V2627">
        <v>69.7</v>
      </c>
      <c r="W2627">
        <v>456</v>
      </c>
      <c r="X2627">
        <v>97</v>
      </c>
      <c r="Y2627">
        <f t="shared" si="40"/>
        <v>456</v>
      </c>
      <c r="Z2627" t="str">
        <f>IF(ISNUMBER(SEARCH("Adjustment",$C2627)),"excluded",IF($H2627="Behind the Meter","excluded",IF(NOT(OR($E2627="Bundled",$E2627="Energy")),"excluded",IF(OR($H2627="Retail Power Marketer",$H2627="Community Choice Aggregator",$E2627="Energy"),"procurement",IF(OR($H2627="Municipal",$H2627="Cooperative",$H2627="Federal",$H2627="State",$H2627="Political Subdivision"),"cost_service",IF($H2627="Investor Owned",IF(AND(COUNTIF(Parameters!$A$4:$A$33,$G2627)&gt;0,COUNTIF(Parameters!$B$4:$B$33,$B2627)=0),"procurement","cost_service"),"unclassified"))))))</f>
        <v>procurement</v>
      </c>
    </row>
    <row r="2628" spans="1:26" x14ac:dyDescent="0.25">
      <c r="A2628">
        <v>2024</v>
      </c>
      <c r="B2628">
        <v>66582</v>
      </c>
      <c r="C2628" t="s">
        <v>1699</v>
      </c>
      <c r="D2628" t="s">
        <v>150</v>
      </c>
      <c r="E2628" t="s">
        <v>85</v>
      </c>
      <c r="F2628" t="s">
        <v>86</v>
      </c>
      <c r="G2628" t="s">
        <v>57</v>
      </c>
      <c r="H2628" t="s">
        <v>101</v>
      </c>
      <c r="I2628" t="s">
        <v>151</v>
      </c>
      <c r="J2628">
        <v>0</v>
      </c>
      <c r="K2628">
        <v>0</v>
      </c>
      <c r="L2628">
        <v>0</v>
      </c>
      <c r="M2628">
        <v>11651.8</v>
      </c>
      <c r="N2628">
        <v>249968</v>
      </c>
      <c r="O2628">
        <v>75</v>
      </c>
      <c r="P2628">
        <v>59400.5</v>
      </c>
      <c r="Q2628">
        <v>904899</v>
      </c>
      <c r="R2628">
        <v>935</v>
      </c>
      <c r="S2628">
        <v>0</v>
      </c>
      <c r="T2628">
        <v>0</v>
      </c>
      <c r="U2628">
        <v>0</v>
      </c>
      <c r="V2628">
        <v>71052.3</v>
      </c>
      <c r="W2628">
        <v>1154867</v>
      </c>
      <c r="X2628">
        <v>1010</v>
      </c>
      <c r="Y2628">
        <f t="shared" ref="Y2628:Y2691" si="41">IF(ISNUMBER($W2628),$W2628,0)</f>
        <v>1154867</v>
      </c>
      <c r="Z2628" t="str">
        <f>IF(ISNUMBER(SEARCH("Adjustment",$C2628)),"excluded",IF($H2628="Behind the Meter","excluded",IF(NOT(OR($E2628="Bundled",$E2628="Energy")),"excluded",IF(OR($H2628="Retail Power Marketer",$H2628="Community Choice Aggregator",$E2628="Energy"),"procurement",IF(OR($H2628="Municipal",$H2628="Cooperative",$H2628="Federal",$H2628="State",$H2628="Political Subdivision"),"cost_service",IF($H2628="Investor Owned",IF(AND(COUNTIF(Parameters!$A$4:$A$33,$G2628)&gt;0,COUNTIF(Parameters!$B$4:$B$33,$B2628)=0),"procurement","cost_service"),"unclassified"))))))</f>
        <v>procurement</v>
      </c>
    </row>
    <row r="2629" spans="1:26" x14ac:dyDescent="0.25">
      <c r="A2629">
        <v>2024</v>
      </c>
      <c r="B2629">
        <v>66678</v>
      </c>
      <c r="C2629" t="s">
        <v>1700</v>
      </c>
      <c r="D2629" t="s">
        <v>99</v>
      </c>
      <c r="E2629" t="s">
        <v>100</v>
      </c>
      <c r="F2629" t="s">
        <v>86</v>
      </c>
      <c r="G2629" t="s">
        <v>52</v>
      </c>
      <c r="H2629" t="s">
        <v>101</v>
      </c>
      <c r="I2629" t="s">
        <v>92</v>
      </c>
      <c r="J2629">
        <v>88.4</v>
      </c>
      <c r="K2629">
        <v>886</v>
      </c>
      <c r="L2629">
        <v>39</v>
      </c>
      <c r="M2629">
        <v>4118.2</v>
      </c>
      <c r="N2629">
        <v>38540</v>
      </c>
      <c r="O2629">
        <v>148</v>
      </c>
      <c r="P2629">
        <v>0</v>
      </c>
      <c r="Q2629">
        <v>0</v>
      </c>
      <c r="R2629">
        <v>0</v>
      </c>
      <c r="S2629">
        <v>0</v>
      </c>
      <c r="T2629">
        <v>0</v>
      </c>
      <c r="U2629">
        <v>0</v>
      </c>
      <c r="V2629">
        <v>4206.6000000000004</v>
      </c>
      <c r="W2629">
        <v>39426</v>
      </c>
      <c r="X2629">
        <v>187</v>
      </c>
      <c r="Y2629">
        <f t="shared" si="41"/>
        <v>39426</v>
      </c>
      <c r="Z2629" t="str">
        <f>IF(ISNUMBER(SEARCH("Adjustment",$C2629)),"excluded",IF($H2629="Behind the Meter","excluded",IF(NOT(OR($E2629="Bundled",$E2629="Energy")),"excluded",IF(OR($H2629="Retail Power Marketer",$H2629="Community Choice Aggregator",$E2629="Energy"),"procurement",IF(OR($H2629="Municipal",$H2629="Cooperative",$H2629="Federal",$H2629="State",$H2629="Political Subdivision"),"cost_service",IF($H2629="Investor Owned",IF(AND(COUNTIF(Parameters!$A$4:$A$33,$G2629)&gt;0,COUNTIF(Parameters!$B$4:$B$33,$B2629)=0),"procurement","cost_service"),"unclassified"))))))</f>
        <v>procurement</v>
      </c>
    </row>
    <row r="2630" spans="1:26" x14ac:dyDescent="0.25">
      <c r="A2630">
        <v>2024</v>
      </c>
      <c r="B2630">
        <v>66678</v>
      </c>
      <c r="C2630" t="s">
        <v>1700</v>
      </c>
      <c r="D2630" t="s">
        <v>99</v>
      </c>
      <c r="E2630" t="s">
        <v>100</v>
      </c>
      <c r="F2630" t="s">
        <v>86</v>
      </c>
      <c r="G2630" t="s">
        <v>53</v>
      </c>
      <c r="H2630" t="s">
        <v>101</v>
      </c>
      <c r="I2630" t="s">
        <v>102</v>
      </c>
      <c r="J2630">
        <v>1542.8</v>
      </c>
      <c r="K2630">
        <v>13443</v>
      </c>
      <c r="L2630">
        <v>257</v>
      </c>
      <c r="M2630">
        <v>8916.6</v>
      </c>
      <c r="N2630">
        <v>75369</v>
      </c>
      <c r="O2630">
        <v>1039</v>
      </c>
      <c r="P2630">
        <v>0</v>
      </c>
      <c r="Q2630">
        <v>0</v>
      </c>
      <c r="R2630">
        <v>0</v>
      </c>
      <c r="S2630">
        <v>0</v>
      </c>
      <c r="T2630">
        <v>0</v>
      </c>
      <c r="U2630">
        <v>0</v>
      </c>
      <c r="V2630">
        <v>10459.4</v>
      </c>
      <c r="W2630">
        <v>88812</v>
      </c>
      <c r="X2630">
        <v>1296</v>
      </c>
      <c r="Y2630">
        <f t="shared" si="41"/>
        <v>88812</v>
      </c>
      <c r="Z2630" t="str">
        <f>IF(ISNUMBER(SEARCH("Adjustment",$C2630)),"excluded",IF($H2630="Behind the Meter","excluded",IF(NOT(OR($E2630="Bundled",$E2630="Energy")),"excluded",IF(OR($H2630="Retail Power Marketer",$H2630="Community Choice Aggregator",$E2630="Energy"),"procurement",IF(OR($H2630="Municipal",$H2630="Cooperative",$H2630="Federal",$H2630="State",$H2630="Political Subdivision"),"cost_service",IF($H2630="Investor Owned",IF(AND(COUNTIF(Parameters!$A$4:$A$33,$G2630)&gt;0,COUNTIF(Parameters!$B$4:$B$33,$B2630)=0),"procurement","cost_service"),"unclassified"))))))</f>
        <v>procurement</v>
      </c>
    </row>
    <row r="2631" spans="1:26" x14ac:dyDescent="0.25">
      <c r="A2631">
        <v>2024</v>
      </c>
      <c r="B2631">
        <v>66678</v>
      </c>
      <c r="C2631" t="s">
        <v>1700</v>
      </c>
      <c r="D2631" t="s">
        <v>99</v>
      </c>
      <c r="E2631" t="s">
        <v>100</v>
      </c>
      <c r="F2631" t="s">
        <v>86</v>
      </c>
      <c r="G2631" t="s">
        <v>55</v>
      </c>
      <c r="H2631" t="s">
        <v>101</v>
      </c>
      <c r="I2631" t="s">
        <v>92</v>
      </c>
      <c r="J2631">
        <v>510.8</v>
      </c>
      <c r="K2631">
        <v>6543</v>
      </c>
      <c r="L2631">
        <v>496</v>
      </c>
      <c r="M2631">
        <v>1719.6</v>
      </c>
      <c r="N2631">
        <v>18741</v>
      </c>
      <c r="O2631">
        <v>113</v>
      </c>
      <c r="P2631">
        <v>0</v>
      </c>
      <c r="Q2631">
        <v>0</v>
      </c>
      <c r="R2631">
        <v>0</v>
      </c>
      <c r="S2631">
        <v>0</v>
      </c>
      <c r="T2631">
        <v>0</v>
      </c>
      <c r="U2631">
        <v>0</v>
      </c>
      <c r="V2631">
        <v>2230.4</v>
      </c>
      <c r="W2631">
        <v>25284</v>
      </c>
      <c r="X2631">
        <v>609</v>
      </c>
      <c r="Y2631">
        <f t="shared" si="41"/>
        <v>25284</v>
      </c>
      <c r="Z2631" t="str">
        <f>IF(ISNUMBER(SEARCH("Adjustment",$C2631)),"excluded",IF($H2631="Behind the Meter","excluded",IF(NOT(OR($E2631="Bundled",$E2631="Energy")),"excluded",IF(OR($H2631="Retail Power Marketer",$H2631="Community Choice Aggregator",$E2631="Energy"),"procurement",IF(OR($H2631="Municipal",$H2631="Cooperative",$H2631="Federal",$H2631="State",$H2631="Political Subdivision"),"cost_service",IF($H2631="Investor Owned",IF(AND(COUNTIF(Parameters!$A$4:$A$33,$G2631)&gt;0,COUNTIF(Parameters!$B$4:$B$33,$B2631)=0),"procurement","cost_service"),"unclassified"))))))</f>
        <v>procurement</v>
      </c>
    </row>
    <row r="2632" spans="1:26" x14ac:dyDescent="0.25">
      <c r="A2632">
        <v>2024</v>
      </c>
      <c r="B2632">
        <v>66851</v>
      </c>
      <c r="C2632" t="s">
        <v>1701</v>
      </c>
      <c r="D2632" t="s">
        <v>150</v>
      </c>
      <c r="E2632" t="s">
        <v>85</v>
      </c>
      <c r="F2632" t="s">
        <v>86</v>
      </c>
      <c r="G2632" t="s">
        <v>57</v>
      </c>
      <c r="H2632" t="s">
        <v>101</v>
      </c>
      <c r="I2632" t="s">
        <v>151</v>
      </c>
      <c r="J2632">
        <v>0</v>
      </c>
      <c r="K2632">
        <v>0</v>
      </c>
      <c r="L2632">
        <v>0</v>
      </c>
      <c r="M2632">
        <v>4247</v>
      </c>
      <c r="N2632">
        <v>56824</v>
      </c>
      <c r="O2632">
        <v>69</v>
      </c>
      <c r="P2632">
        <v>151</v>
      </c>
      <c r="Q2632">
        <v>1353</v>
      </c>
      <c r="R2632">
        <v>4</v>
      </c>
      <c r="S2632">
        <v>0</v>
      </c>
      <c r="T2632">
        <v>0</v>
      </c>
      <c r="U2632">
        <v>0</v>
      </c>
      <c r="V2632">
        <v>4398</v>
      </c>
      <c r="W2632">
        <v>58177</v>
      </c>
      <c r="X2632">
        <v>73</v>
      </c>
      <c r="Y2632">
        <f t="shared" si="41"/>
        <v>58177</v>
      </c>
      <c r="Z2632" t="str">
        <f>IF(ISNUMBER(SEARCH("Adjustment",$C2632)),"excluded",IF($H2632="Behind the Meter","excluded",IF(NOT(OR($E2632="Bundled",$E2632="Energy")),"excluded",IF(OR($H2632="Retail Power Marketer",$H2632="Community Choice Aggregator",$E2632="Energy"),"procurement",IF(OR($H2632="Municipal",$H2632="Cooperative",$H2632="Federal",$H2632="State",$H2632="Political Subdivision"),"cost_service",IF($H2632="Investor Owned",IF(AND(COUNTIF(Parameters!$A$4:$A$33,$G2632)&gt;0,COUNTIF(Parameters!$B$4:$B$33,$B2632)=0),"procurement","cost_service"),"unclassified"))))))</f>
        <v>procurement</v>
      </c>
    </row>
    <row r="2633" spans="1:26" x14ac:dyDescent="0.25">
      <c r="A2633">
        <v>2024</v>
      </c>
      <c r="B2633">
        <v>66867</v>
      </c>
      <c r="C2633" t="s">
        <v>1702</v>
      </c>
      <c r="D2633" t="s">
        <v>99</v>
      </c>
      <c r="E2633" t="s">
        <v>100</v>
      </c>
      <c r="F2633" t="s">
        <v>86</v>
      </c>
      <c r="G2633" t="s">
        <v>48</v>
      </c>
      <c r="H2633" t="s">
        <v>101</v>
      </c>
      <c r="I2633" t="s">
        <v>189</v>
      </c>
      <c r="J2633">
        <v>0</v>
      </c>
      <c r="K2633">
        <v>0</v>
      </c>
      <c r="L2633">
        <v>0</v>
      </c>
      <c r="M2633">
        <v>369.3</v>
      </c>
      <c r="N2633">
        <v>3060</v>
      </c>
      <c r="O2633">
        <v>36</v>
      </c>
      <c r="P2633">
        <v>0</v>
      </c>
      <c r="Q2633">
        <v>0</v>
      </c>
      <c r="R2633">
        <v>0</v>
      </c>
      <c r="S2633">
        <v>0</v>
      </c>
      <c r="T2633">
        <v>0</v>
      </c>
      <c r="U2633">
        <v>0</v>
      </c>
      <c r="V2633">
        <v>369.3</v>
      </c>
      <c r="W2633">
        <v>3060</v>
      </c>
      <c r="X2633">
        <v>36</v>
      </c>
      <c r="Y2633">
        <f t="shared" si="41"/>
        <v>3060</v>
      </c>
      <c r="Z2633" t="str">
        <f>IF(ISNUMBER(SEARCH("Adjustment",$C2633)),"excluded",IF($H2633="Behind the Meter","excluded",IF(NOT(OR($E2633="Bundled",$E2633="Energy")),"excluded",IF(OR($H2633="Retail Power Marketer",$H2633="Community Choice Aggregator",$E2633="Energy"),"procurement",IF(OR($H2633="Municipal",$H2633="Cooperative",$H2633="Federal",$H2633="State",$H2633="Political Subdivision"),"cost_service",IF($H2633="Investor Owned",IF(AND(COUNTIF(Parameters!$A$4:$A$33,$G2633)&gt;0,COUNTIF(Parameters!$B$4:$B$33,$B2633)=0),"procurement","cost_service"),"unclassified"))))))</f>
        <v>procurement</v>
      </c>
    </row>
    <row r="2634" spans="1:26" x14ac:dyDescent="0.25">
      <c r="A2634">
        <v>2024</v>
      </c>
      <c r="B2634">
        <v>66867</v>
      </c>
      <c r="C2634" t="s">
        <v>1702</v>
      </c>
      <c r="D2634" t="s">
        <v>99</v>
      </c>
      <c r="E2634" t="s">
        <v>100</v>
      </c>
      <c r="F2634" t="s">
        <v>86</v>
      </c>
      <c r="G2634" t="s">
        <v>52</v>
      </c>
      <c r="H2634" t="s">
        <v>101</v>
      </c>
      <c r="I2634" t="s">
        <v>92</v>
      </c>
      <c r="J2634">
        <v>0</v>
      </c>
      <c r="K2634">
        <v>0</v>
      </c>
      <c r="L2634">
        <v>0</v>
      </c>
      <c r="M2634">
        <v>1288.5999999999999</v>
      </c>
      <c r="N2634">
        <v>12428</v>
      </c>
      <c r="O2634">
        <v>74</v>
      </c>
      <c r="P2634">
        <v>0</v>
      </c>
      <c r="Q2634">
        <v>0</v>
      </c>
      <c r="R2634">
        <v>0</v>
      </c>
      <c r="S2634">
        <v>0</v>
      </c>
      <c r="T2634">
        <v>0</v>
      </c>
      <c r="U2634">
        <v>0</v>
      </c>
      <c r="V2634">
        <v>1288.5999999999999</v>
      </c>
      <c r="W2634">
        <v>12428</v>
      </c>
      <c r="X2634">
        <v>74</v>
      </c>
      <c r="Y2634">
        <f t="shared" si="41"/>
        <v>12428</v>
      </c>
      <c r="Z2634" t="str">
        <f>IF(ISNUMBER(SEARCH("Adjustment",$C2634)),"excluded",IF($H2634="Behind the Meter","excluded",IF(NOT(OR($E2634="Bundled",$E2634="Energy")),"excluded",IF(OR($H2634="Retail Power Marketer",$H2634="Community Choice Aggregator",$E2634="Energy"),"procurement",IF(OR($H2634="Municipal",$H2634="Cooperative",$H2634="Federal",$H2634="State",$H2634="Political Subdivision"),"cost_service",IF($H2634="Investor Owned",IF(AND(COUNTIF(Parameters!$A$4:$A$33,$G2634)&gt;0,COUNTIF(Parameters!$B$4:$B$33,$B2634)=0),"procurement","cost_service"),"unclassified"))))))</f>
        <v>procurement</v>
      </c>
    </row>
    <row r="2635" spans="1:26" x14ac:dyDescent="0.25">
      <c r="A2635">
        <v>2024</v>
      </c>
      <c r="B2635">
        <v>66867</v>
      </c>
      <c r="C2635" t="s">
        <v>1702</v>
      </c>
      <c r="D2635" t="s">
        <v>99</v>
      </c>
      <c r="E2635" t="s">
        <v>100</v>
      </c>
      <c r="F2635" t="s">
        <v>86</v>
      </c>
      <c r="G2635" t="s">
        <v>53</v>
      </c>
      <c r="H2635" t="s">
        <v>101</v>
      </c>
      <c r="I2635" t="s">
        <v>102</v>
      </c>
      <c r="J2635">
        <v>0</v>
      </c>
      <c r="K2635">
        <v>0</v>
      </c>
      <c r="L2635">
        <v>0</v>
      </c>
      <c r="M2635">
        <v>13118.5</v>
      </c>
      <c r="N2635">
        <v>118858</v>
      </c>
      <c r="O2635">
        <v>677</v>
      </c>
      <c r="P2635">
        <v>0</v>
      </c>
      <c r="Q2635">
        <v>0</v>
      </c>
      <c r="R2635">
        <v>0</v>
      </c>
      <c r="S2635">
        <v>0</v>
      </c>
      <c r="T2635">
        <v>0</v>
      </c>
      <c r="U2635">
        <v>0</v>
      </c>
      <c r="V2635">
        <v>13118.5</v>
      </c>
      <c r="W2635">
        <v>118858</v>
      </c>
      <c r="X2635">
        <v>677</v>
      </c>
      <c r="Y2635">
        <f t="shared" si="41"/>
        <v>118858</v>
      </c>
      <c r="Z2635" t="str">
        <f>IF(ISNUMBER(SEARCH("Adjustment",$C2635)),"excluded",IF($H2635="Behind the Meter","excluded",IF(NOT(OR($E2635="Bundled",$E2635="Energy")),"excluded",IF(OR($H2635="Retail Power Marketer",$H2635="Community Choice Aggregator",$E2635="Energy"),"procurement",IF(OR($H2635="Municipal",$H2635="Cooperative",$H2635="Federal",$H2635="State",$H2635="Political Subdivision"),"cost_service",IF($H2635="Investor Owned",IF(AND(COUNTIF(Parameters!$A$4:$A$33,$G2635)&gt;0,COUNTIF(Parameters!$B$4:$B$33,$B2635)=0),"procurement","cost_service"),"unclassified"))))))</f>
        <v>procurement</v>
      </c>
    </row>
    <row r="2636" spans="1:26" x14ac:dyDescent="0.25">
      <c r="A2636">
        <v>2024</v>
      </c>
      <c r="B2636">
        <v>66867</v>
      </c>
      <c r="C2636" t="s">
        <v>1702</v>
      </c>
      <c r="D2636" t="s">
        <v>150</v>
      </c>
      <c r="E2636" t="s">
        <v>85</v>
      </c>
      <c r="F2636" t="s">
        <v>86</v>
      </c>
      <c r="G2636" t="s">
        <v>57</v>
      </c>
      <c r="H2636" t="s">
        <v>101</v>
      </c>
      <c r="I2636" t="s">
        <v>151</v>
      </c>
      <c r="J2636">
        <v>1256.9000000000001</v>
      </c>
      <c r="K2636">
        <v>10770</v>
      </c>
      <c r="L2636">
        <v>1267</v>
      </c>
      <c r="M2636">
        <v>1683.5</v>
      </c>
      <c r="N2636">
        <v>16262</v>
      </c>
      <c r="O2636">
        <v>87</v>
      </c>
      <c r="P2636" t="s">
        <v>97</v>
      </c>
      <c r="Q2636" t="s">
        <v>97</v>
      </c>
      <c r="R2636" t="s">
        <v>97</v>
      </c>
      <c r="S2636" t="s">
        <v>97</v>
      </c>
      <c r="T2636" t="s">
        <v>97</v>
      </c>
      <c r="U2636" t="s">
        <v>97</v>
      </c>
      <c r="V2636">
        <v>2940.4</v>
      </c>
      <c r="W2636">
        <v>27032</v>
      </c>
      <c r="X2636">
        <v>1354</v>
      </c>
      <c r="Y2636">
        <f t="shared" si="41"/>
        <v>27032</v>
      </c>
      <c r="Z2636" t="str">
        <f>IF(ISNUMBER(SEARCH("Adjustment",$C2636)),"excluded",IF($H2636="Behind the Meter","excluded",IF(NOT(OR($E2636="Bundled",$E2636="Energy")),"excluded",IF(OR($H2636="Retail Power Marketer",$H2636="Community Choice Aggregator",$E2636="Energy"),"procurement",IF(OR($H2636="Municipal",$H2636="Cooperative",$H2636="Federal",$H2636="State",$H2636="Political Subdivision"),"cost_service",IF($H2636="Investor Owned",IF(AND(COUNTIF(Parameters!$A$4:$A$33,$G2636)&gt;0,COUNTIF(Parameters!$B$4:$B$33,$B2636)=0),"procurement","cost_service"),"unclassified"))))))</f>
        <v>procurement</v>
      </c>
    </row>
    <row r="2637" spans="1:26" x14ac:dyDescent="0.25">
      <c r="A2637">
        <v>2024</v>
      </c>
      <c r="B2637">
        <v>67076</v>
      </c>
      <c r="C2637" t="s">
        <v>1703</v>
      </c>
      <c r="D2637" t="s">
        <v>150</v>
      </c>
      <c r="E2637" t="s">
        <v>85</v>
      </c>
      <c r="F2637" t="s">
        <v>86</v>
      </c>
      <c r="G2637" t="s">
        <v>57</v>
      </c>
      <c r="H2637" t="s">
        <v>101</v>
      </c>
      <c r="I2637" t="s">
        <v>151</v>
      </c>
      <c r="J2637" t="s">
        <v>97</v>
      </c>
      <c r="K2637" t="s">
        <v>97</v>
      </c>
      <c r="L2637" t="s">
        <v>97</v>
      </c>
      <c r="M2637">
        <v>4388</v>
      </c>
      <c r="N2637">
        <v>149784</v>
      </c>
      <c r="O2637">
        <v>2</v>
      </c>
      <c r="P2637" t="s">
        <v>97</v>
      </c>
      <c r="Q2637" t="s">
        <v>97</v>
      </c>
      <c r="R2637" t="s">
        <v>97</v>
      </c>
      <c r="S2637" t="s">
        <v>97</v>
      </c>
      <c r="T2637" t="s">
        <v>97</v>
      </c>
      <c r="U2637" t="s">
        <v>97</v>
      </c>
      <c r="V2637">
        <v>4388</v>
      </c>
      <c r="W2637">
        <v>149784</v>
      </c>
      <c r="X2637">
        <v>2</v>
      </c>
      <c r="Y2637">
        <f t="shared" si="41"/>
        <v>149784</v>
      </c>
      <c r="Z2637" t="str">
        <f>IF(ISNUMBER(SEARCH("Adjustment",$C2637)),"excluded",IF($H2637="Behind the Meter","excluded",IF(NOT(OR($E2637="Bundled",$E2637="Energy")),"excluded",IF(OR($H2637="Retail Power Marketer",$H2637="Community Choice Aggregator",$E2637="Energy"),"procurement",IF(OR($H2637="Municipal",$H2637="Cooperative",$H2637="Federal",$H2637="State",$H2637="Political Subdivision"),"cost_service",IF($H2637="Investor Owned",IF(AND(COUNTIF(Parameters!$A$4:$A$33,$G2637)&gt;0,COUNTIF(Parameters!$B$4:$B$33,$B2637)=0),"procurement","cost_service"),"unclassified"))))))</f>
        <v>procurement</v>
      </c>
    </row>
    <row r="2638" spans="1:26" x14ac:dyDescent="0.25">
      <c r="A2638">
        <v>2024</v>
      </c>
      <c r="B2638">
        <v>67122</v>
      </c>
      <c r="C2638" t="s">
        <v>1704</v>
      </c>
      <c r="D2638" t="s">
        <v>150</v>
      </c>
      <c r="E2638" t="s">
        <v>85</v>
      </c>
      <c r="F2638" t="s">
        <v>86</v>
      </c>
      <c r="G2638" t="s">
        <v>57</v>
      </c>
      <c r="H2638" t="s">
        <v>101</v>
      </c>
      <c r="I2638" t="s">
        <v>151</v>
      </c>
      <c r="J2638">
        <v>0</v>
      </c>
      <c r="K2638">
        <v>0</v>
      </c>
      <c r="L2638">
        <v>0</v>
      </c>
      <c r="M2638">
        <v>1368.9</v>
      </c>
      <c r="N2638">
        <v>44505</v>
      </c>
      <c r="O2638">
        <v>1</v>
      </c>
      <c r="P2638">
        <v>0</v>
      </c>
      <c r="Q2638">
        <v>0</v>
      </c>
      <c r="R2638">
        <v>0</v>
      </c>
      <c r="S2638">
        <v>0</v>
      </c>
      <c r="T2638">
        <v>0</v>
      </c>
      <c r="U2638">
        <v>0</v>
      </c>
      <c r="V2638">
        <v>1368.9</v>
      </c>
      <c r="W2638">
        <v>44505</v>
      </c>
      <c r="X2638">
        <v>1</v>
      </c>
      <c r="Y2638">
        <f t="shared" si="41"/>
        <v>44505</v>
      </c>
      <c r="Z2638" t="str">
        <f>IF(ISNUMBER(SEARCH("Adjustment",$C2638)),"excluded",IF($H2638="Behind the Meter","excluded",IF(NOT(OR($E2638="Bundled",$E2638="Energy")),"excluded",IF(OR($H2638="Retail Power Marketer",$H2638="Community Choice Aggregator",$E2638="Energy"),"procurement",IF(OR($H2638="Municipal",$H2638="Cooperative",$H2638="Federal",$H2638="State",$H2638="Political Subdivision"),"cost_service",IF($H2638="Investor Owned",IF(AND(COUNTIF(Parameters!$A$4:$A$33,$G2638)&gt;0,COUNTIF(Parameters!$B$4:$B$33,$B2638)=0),"procurement","cost_service"),"unclassified"))))))</f>
        <v>procurement</v>
      </c>
    </row>
    <row r="2639" spans="1:26" x14ac:dyDescent="0.25">
      <c r="A2639">
        <v>2024</v>
      </c>
      <c r="B2639">
        <v>88888</v>
      </c>
      <c r="C2639" t="s">
        <v>1705</v>
      </c>
      <c r="D2639" t="s">
        <v>150</v>
      </c>
      <c r="E2639" t="s">
        <v>85</v>
      </c>
      <c r="F2639" t="s">
        <v>86</v>
      </c>
      <c r="G2639" t="s">
        <v>57</v>
      </c>
      <c r="H2639" t="s">
        <v>101</v>
      </c>
      <c r="I2639" t="s">
        <v>151</v>
      </c>
      <c r="J2639" t="s">
        <v>97</v>
      </c>
      <c r="K2639" t="s">
        <v>97</v>
      </c>
      <c r="L2639" t="s">
        <v>97</v>
      </c>
      <c r="M2639" t="s">
        <v>97</v>
      </c>
      <c r="N2639" t="s">
        <v>97</v>
      </c>
      <c r="O2639" t="s">
        <v>97</v>
      </c>
      <c r="P2639">
        <v>9260</v>
      </c>
      <c r="Q2639">
        <v>221996</v>
      </c>
      <c r="R2639">
        <v>2</v>
      </c>
      <c r="S2639" t="s">
        <v>97</v>
      </c>
      <c r="T2639" t="s">
        <v>97</v>
      </c>
      <c r="U2639" t="s">
        <v>97</v>
      </c>
      <c r="V2639">
        <v>9260</v>
      </c>
      <c r="W2639">
        <v>221996</v>
      </c>
      <c r="X2639">
        <v>2</v>
      </c>
      <c r="Y2639">
        <f t="shared" si="41"/>
        <v>221996</v>
      </c>
      <c r="Z2639" t="str">
        <f>IF(ISNUMBER(SEARCH("Adjustment",$C2639)),"excluded",IF($H2639="Behind the Meter","excluded",IF(NOT(OR($E2639="Bundled",$E2639="Energy")),"excluded",IF(OR($H2639="Retail Power Marketer",$H2639="Community Choice Aggregator",$E2639="Energy"),"procurement",IF(OR($H2639="Municipal",$H2639="Cooperative",$H2639="Federal",$H2639="State",$H2639="Political Subdivision"),"cost_service",IF($H2639="Investor Owned",IF(AND(COUNTIF(Parameters!$A$4:$A$33,$G2639)&gt;0,COUNTIF(Parameters!$B$4:$B$33,$B2639)=0),"procurement","cost_service"),"unclassified"))))))</f>
        <v>procurement</v>
      </c>
    </row>
    <row r="2640" spans="1:26" x14ac:dyDescent="0.25">
      <c r="A2640">
        <v>2024</v>
      </c>
      <c r="B2640">
        <v>88888</v>
      </c>
      <c r="C2640" t="s">
        <v>1705</v>
      </c>
      <c r="D2640" t="s">
        <v>150</v>
      </c>
      <c r="E2640" t="s">
        <v>85</v>
      </c>
      <c r="F2640" t="s">
        <v>86</v>
      </c>
      <c r="G2640" t="s">
        <v>57</v>
      </c>
      <c r="H2640" t="s">
        <v>101</v>
      </c>
      <c r="I2640" t="s">
        <v>151</v>
      </c>
      <c r="J2640" t="s">
        <v>97</v>
      </c>
      <c r="K2640" t="s">
        <v>97</v>
      </c>
      <c r="L2640" t="s">
        <v>97</v>
      </c>
      <c r="M2640" t="s">
        <v>97</v>
      </c>
      <c r="N2640" t="s">
        <v>97</v>
      </c>
      <c r="O2640" t="s">
        <v>97</v>
      </c>
      <c r="P2640">
        <v>135342</v>
      </c>
      <c r="Q2640">
        <v>3167844</v>
      </c>
      <c r="R2640">
        <v>11</v>
      </c>
      <c r="S2640" t="s">
        <v>97</v>
      </c>
      <c r="T2640" t="s">
        <v>97</v>
      </c>
      <c r="U2640" t="s">
        <v>97</v>
      </c>
      <c r="V2640">
        <v>135342</v>
      </c>
      <c r="W2640">
        <v>3167844</v>
      </c>
      <c r="X2640">
        <v>11</v>
      </c>
      <c r="Y2640">
        <f t="shared" si="41"/>
        <v>3167844</v>
      </c>
      <c r="Z2640" t="str">
        <f>IF(ISNUMBER(SEARCH("Adjustment",$C2640)),"excluded",IF($H2640="Behind the Meter","excluded",IF(NOT(OR($E2640="Bundled",$E2640="Energy")),"excluded",IF(OR($H2640="Retail Power Marketer",$H2640="Community Choice Aggregator",$E2640="Energy"),"procurement",IF(OR($H2640="Municipal",$H2640="Cooperative",$H2640="Federal",$H2640="State",$H2640="Political Subdivision"),"cost_service",IF($H2640="Investor Owned",IF(AND(COUNTIF(Parameters!$A$4:$A$33,$G2640)&gt;0,COUNTIF(Parameters!$B$4:$B$33,$B2640)=0),"procurement","cost_service"),"unclassified"))))))</f>
        <v>procurement</v>
      </c>
    </row>
    <row r="2641" spans="1:26" x14ac:dyDescent="0.25">
      <c r="A2641">
        <v>2024</v>
      </c>
      <c r="B2641">
        <v>88888</v>
      </c>
      <c r="C2641" t="s">
        <v>1705</v>
      </c>
      <c r="D2641" t="s">
        <v>150</v>
      </c>
      <c r="E2641" t="s">
        <v>85</v>
      </c>
      <c r="F2641" t="s">
        <v>86</v>
      </c>
      <c r="G2641" t="s">
        <v>57</v>
      </c>
      <c r="H2641" t="s">
        <v>101</v>
      </c>
      <c r="I2641" t="s">
        <v>151</v>
      </c>
      <c r="J2641">
        <v>0</v>
      </c>
      <c r="K2641">
        <v>0</v>
      </c>
      <c r="L2641">
        <v>0</v>
      </c>
      <c r="M2641">
        <v>0</v>
      </c>
      <c r="N2641">
        <v>0</v>
      </c>
      <c r="O2641">
        <v>0</v>
      </c>
      <c r="P2641">
        <v>100686</v>
      </c>
      <c r="Q2641">
        <v>2385999</v>
      </c>
      <c r="R2641">
        <v>14</v>
      </c>
      <c r="S2641">
        <v>0</v>
      </c>
      <c r="T2641">
        <v>0</v>
      </c>
      <c r="U2641">
        <v>0</v>
      </c>
      <c r="V2641">
        <v>100686</v>
      </c>
      <c r="W2641">
        <v>2385999</v>
      </c>
      <c r="X2641">
        <v>14</v>
      </c>
      <c r="Y2641">
        <f t="shared" si="41"/>
        <v>2385999</v>
      </c>
      <c r="Z2641" t="str">
        <f>IF(ISNUMBER(SEARCH("Adjustment",$C2641)),"excluded",IF($H2641="Behind the Meter","excluded",IF(NOT(OR($E2641="Bundled",$E2641="Energy")),"excluded",IF(OR($H2641="Retail Power Marketer",$H2641="Community Choice Aggregator",$E2641="Energy"),"procurement",IF(OR($H2641="Municipal",$H2641="Cooperative",$H2641="Federal",$H2641="State",$H2641="Political Subdivision"),"cost_service",IF($H2641="Investor Owned",IF(AND(COUNTIF(Parameters!$A$4:$A$33,$G2641)&gt;0,COUNTIF(Parameters!$B$4:$B$33,$B2641)=0),"procurement","cost_service"),"unclassified"))))))</f>
        <v>procurement</v>
      </c>
    </row>
    <row r="2642" spans="1:26" x14ac:dyDescent="0.25">
      <c r="A2642">
        <v>2024</v>
      </c>
      <c r="B2642">
        <v>99999</v>
      </c>
      <c r="C2642" t="s">
        <v>1706</v>
      </c>
      <c r="D2642" t="s">
        <v>84</v>
      </c>
      <c r="E2642" t="s">
        <v>85</v>
      </c>
      <c r="F2642" t="s">
        <v>1707</v>
      </c>
      <c r="G2642" t="s">
        <v>118</v>
      </c>
      <c r="I2642" t="s">
        <v>119</v>
      </c>
      <c r="J2642">
        <v>54870.8</v>
      </c>
      <c r="K2642">
        <v>178666</v>
      </c>
      <c r="L2642">
        <v>25316</v>
      </c>
      <c r="M2642">
        <v>102901.5</v>
      </c>
      <c r="N2642">
        <v>341017</v>
      </c>
      <c r="O2642">
        <v>10437</v>
      </c>
      <c r="P2642">
        <v>28400.3</v>
      </c>
      <c r="Q2642">
        <v>111920</v>
      </c>
      <c r="R2642">
        <v>308</v>
      </c>
      <c r="S2642">
        <v>0</v>
      </c>
      <c r="T2642">
        <v>0</v>
      </c>
      <c r="U2642">
        <v>0</v>
      </c>
      <c r="V2642">
        <v>186172.6</v>
      </c>
      <c r="W2642">
        <v>631603</v>
      </c>
      <c r="X2642">
        <v>36061</v>
      </c>
      <c r="Y2642">
        <f t="shared" si="41"/>
        <v>631603</v>
      </c>
      <c r="Z2642" t="str">
        <f>IF(ISNUMBER(SEARCH("Adjustment",$C2642)),"excluded",IF($H2642="Behind the Meter","excluded",IF(NOT(OR($E2642="Bundled",$E2642="Energy")),"excluded",IF(OR($H2642="Retail Power Marketer",$H2642="Community Choice Aggregator",$E2642="Energy"),"procurement",IF(OR($H2642="Municipal",$H2642="Cooperative",$H2642="Federal",$H2642="State",$H2642="Political Subdivision"),"cost_service",IF($H2642="Investor Owned",IF(AND(COUNTIF(Parameters!$A$4:$A$33,$G2642)&gt;0,COUNTIF(Parameters!$B$4:$B$33,$B2642)=0),"procurement","cost_service"),"unclassified"))))))</f>
        <v>excluded</v>
      </c>
    </row>
    <row r="2643" spans="1:26" x14ac:dyDescent="0.25">
      <c r="A2643">
        <v>2024</v>
      </c>
      <c r="B2643">
        <v>99999</v>
      </c>
      <c r="C2643" t="s">
        <v>1706</v>
      </c>
      <c r="D2643" t="s">
        <v>84</v>
      </c>
      <c r="E2643" t="s">
        <v>85</v>
      </c>
      <c r="F2643" t="s">
        <v>1707</v>
      </c>
      <c r="G2643" t="s">
        <v>118</v>
      </c>
      <c r="I2643" t="s">
        <v>1708</v>
      </c>
      <c r="J2643">
        <v>118.8</v>
      </c>
      <c r="K2643">
        <v>264</v>
      </c>
      <c r="L2643">
        <v>39</v>
      </c>
      <c r="M2643">
        <v>167.9</v>
      </c>
      <c r="N2643">
        <v>407</v>
      </c>
      <c r="O2643">
        <v>30</v>
      </c>
      <c r="P2643">
        <v>14.3</v>
      </c>
      <c r="Q2643">
        <v>32</v>
      </c>
      <c r="R2643">
        <v>1</v>
      </c>
      <c r="S2643">
        <v>0</v>
      </c>
      <c r="T2643">
        <v>0</v>
      </c>
      <c r="U2643">
        <v>0</v>
      </c>
      <c r="V2643">
        <v>301</v>
      </c>
      <c r="W2643">
        <v>703</v>
      </c>
      <c r="X2643">
        <v>70</v>
      </c>
      <c r="Y2643">
        <f t="shared" si="41"/>
        <v>703</v>
      </c>
      <c r="Z2643" t="str">
        <f>IF(ISNUMBER(SEARCH("Adjustment",$C2643)),"excluded",IF($H2643="Behind the Meter","excluded",IF(NOT(OR($E2643="Bundled",$E2643="Energy")),"excluded",IF(OR($H2643="Retail Power Marketer",$H2643="Community Choice Aggregator",$E2643="Energy"),"procurement",IF(OR($H2643="Municipal",$H2643="Cooperative",$H2643="Federal",$H2643="State",$H2643="Political Subdivision"),"cost_service",IF($H2643="Investor Owned",IF(AND(COUNTIF(Parameters!$A$4:$A$33,$G2643)&gt;0,COUNTIF(Parameters!$B$4:$B$33,$B2643)=0),"procurement","cost_service"),"unclassified"))))))</f>
        <v>excluded</v>
      </c>
    </row>
    <row r="2644" spans="1:26" x14ac:dyDescent="0.25">
      <c r="A2644">
        <v>2024</v>
      </c>
      <c r="B2644">
        <v>99999</v>
      </c>
      <c r="C2644" t="s">
        <v>1706</v>
      </c>
      <c r="D2644" t="s">
        <v>84</v>
      </c>
      <c r="E2644" t="s">
        <v>85</v>
      </c>
      <c r="F2644" t="s">
        <v>1707</v>
      </c>
      <c r="G2644" t="s">
        <v>112</v>
      </c>
      <c r="I2644" t="s">
        <v>113</v>
      </c>
      <c r="J2644">
        <v>106478.9</v>
      </c>
      <c r="K2644">
        <v>736636</v>
      </c>
      <c r="L2644">
        <v>61619</v>
      </c>
      <c r="M2644">
        <v>40386.9</v>
      </c>
      <c r="N2644">
        <v>311301</v>
      </c>
      <c r="O2644">
        <v>8600</v>
      </c>
      <c r="P2644">
        <v>33218.400000000001</v>
      </c>
      <c r="Q2644">
        <v>382274</v>
      </c>
      <c r="R2644">
        <v>478</v>
      </c>
      <c r="S2644">
        <v>0</v>
      </c>
      <c r="T2644">
        <v>0</v>
      </c>
      <c r="U2644">
        <v>0</v>
      </c>
      <c r="V2644">
        <v>180084.2</v>
      </c>
      <c r="W2644">
        <v>1430211</v>
      </c>
      <c r="X2644">
        <v>70697</v>
      </c>
      <c r="Y2644">
        <f t="shared" si="41"/>
        <v>1430211</v>
      </c>
      <c r="Z2644" t="str">
        <f>IF(ISNUMBER(SEARCH("Adjustment",$C2644)),"excluded",IF($H2644="Behind the Meter","excluded",IF(NOT(OR($E2644="Bundled",$E2644="Energy")),"excluded",IF(OR($H2644="Retail Power Marketer",$H2644="Community Choice Aggregator",$E2644="Energy"),"procurement",IF(OR($H2644="Municipal",$H2644="Cooperative",$H2644="Federal",$H2644="State",$H2644="Political Subdivision"),"cost_service",IF($H2644="Investor Owned",IF(AND(COUNTIF(Parameters!$A$4:$A$33,$G2644)&gt;0,COUNTIF(Parameters!$B$4:$B$33,$B2644)=0),"procurement","cost_service"),"unclassified"))))))</f>
        <v>excluded</v>
      </c>
    </row>
    <row r="2645" spans="1:26" x14ac:dyDescent="0.25">
      <c r="A2645">
        <v>2024</v>
      </c>
      <c r="B2645">
        <v>99999</v>
      </c>
      <c r="C2645" t="s">
        <v>1706</v>
      </c>
      <c r="D2645" t="s">
        <v>84</v>
      </c>
      <c r="E2645" t="s">
        <v>85</v>
      </c>
      <c r="F2645" t="s">
        <v>1707</v>
      </c>
      <c r="G2645" t="s">
        <v>112</v>
      </c>
      <c r="I2645" t="s">
        <v>89</v>
      </c>
      <c r="J2645">
        <v>0</v>
      </c>
      <c r="K2645">
        <v>0</v>
      </c>
      <c r="L2645">
        <v>0</v>
      </c>
      <c r="M2645">
        <v>1813</v>
      </c>
      <c r="N2645">
        <v>16949</v>
      </c>
      <c r="O2645">
        <v>1</v>
      </c>
      <c r="P2645">
        <v>0</v>
      </c>
      <c r="Q2645">
        <v>0</v>
      </c>
      <c r="R2645">
        <v>0</v>
      </c>
      <c r="S2645">
        <v>0</v>
      </c>
      <c r="T2645">
        <v>0</v>
      </c>
      <c r="U2645">
        <v>0</v>
      </c>
      <c r="V2645">
        <v>1813</v>
      </c>
      <c r="W2645">
        <v>16949</v>
      </c>
      <c r="X2645">
        <v>1</v>
      </c>
      <c r="Y2645">
        <f t="shared" si="41"/>
        <v>16949</v>
      </c>
      <c r="Z2645" t="str">
        <f>IF(ISNUMBER(SEARCH("Adjustment",$C2645)),"excluded",IF($H2645="Behind the Meter","excluded",IF(NOT(OR($E2645="Bundled",$E2645="Energy")),"excluded",IF(OR($H2645="Retail Power Marketer",$H2645="Community Choice Aggregator",$E2645="Energy"),"procurement",IF(OR($H2645="Municipal",$H2645="Cooperative",$H2645="Federal",$H2645="State",$H2645="Political Subdivision"),"cost_service",IF($H2645="Investor Owned",IF(AND(COUNTIF(Parameters!$A$4:$A$33,$G2645)&gt;0,COUNTIF(Parameters!$B$4:$B$33,$B2645)=0),"procurement","cost_service"),"unclassified"))))))</f>
        <v>excluded</v>
      </c>
    </row>
    <row r="2646" spans="1:26" x14ac:dyDescent="0.25">
      <c r="A2646">
        <v>2024</v>
      </c>
      <c r="B2646">
        <v>99999</v>
      </c>
      <c r="C2646" t="s">
        <v>1706</v>
      </c>
      <c r="D2646" t="s">
        <v>84</v>
      </c>
      <c r="E2646" t="s">
        <v>85</v>
      </c>
      <c r="F2646" t="s">
        <v>1707</v>
      </c>
      <c r="G2646" t="s">
        <v>173</v>
      </c>
      <c r="J2646">
        <v>0</v>
      </c>
      <c r="K2646">
        <v>0</v>
      </c>
      <c r="L2646">
        <v>0</v>
      </c>
      <c r="M2646">
        <v>398</v>
      </c>
      <c r="N2646">
        <v>2057</v>
      </c>
      <c r="O2646">
        <v>1</v>
      </c>
      <c r="P2646">
        <v>0</v>
      </c>
      <c r="Q2646">
        <v>0</v>
      </c>
      <c r="R2646">
        <v>0</v>
      </c>
      <c r="S2646">
        <v>0</v>
      </c>
      <c r="T2646">
        <v>0</v>
      </c>
      <c r="U2646">
        <v>0</v>
      </c>
      <c r="V2646">
        <v>398</v>
      </c>
      <c r="W2646">
        <v>2057</v>
      </c>
      <c r="X2646">
        <v>1</v>
      </c>
      <c r="Y2646">
        <f t="shared" si="41"/>
        <v>2057</v>
      </c>
      <c r="Z2646" t="str">
        <f>IF(ISNUMBER(SEARCH("Adjustment",$C2646)),"excluded",IF($H2646="Behind the Meter","excluded",IF(NOT(OR($E2646="Bundled",$E2646="Energy")),"excluded",IF(OR($H2646="Retail Power Marketer",$H2646="Community Choice Aggregator",$E2646="Energy"),"procurement",IF(OR($H2646="Municipal",$H2646="Cooperative",$H2646="Federal",$H2646="State",$H2646="Political Subdivision"),"cost_service",IF($H2646="Investor Owned",IF(AND(COUNTIF(Parameters!$A$4:$A$33,$G2646)&gt;0,COUNTIF(Parameters!$B$4:$B$33,$B2646)=0),"procurement","cost_service"),"unclassified"))))))</f>
        <v>excluded</v>
      </c>
    </row>
    <row r="2647" spans="1:26" x14ac:dyDescent="0.25">
      <c r="A2647">
        <v>2024</v>
      </c>
      <c r="B2647">
        <v>99999</v>
      </c>
      <c r="C2647" t="s">
        <v>1706</v>
      </c>
      <c r="D2647" t="s">
        <v>84</v>
      </c>
      <c r="E2647" t="s">
        <v>85</v>
      </c>
      <c r="F2647" t="s">
        <v>1707</v>
      </c>
      <c r="G2647" t="s">
        <v>173</v>
      </c>
      <c r="I2647" t="s">
        <v>980</v>
      </c>
      <c r="J2647">
        <v>2632.1</v>
      </c>
      <c r="K2647">
        <v>18369</v>
      </c>
      <c r="L2647">
        <v>1890</v>
      </c>
      <c r="M2647">
        <v>2043.9</v>
      </c>
      <c r="N2647">
        <v>15328</v>
      </c>
      <c r="O2647">
        <v>367</v>
      </c>
      <c r="P2647">
        <v>1202</v>
      </c>
      <c r="Q2647">
        <v>17420</v>
      </c>
      <c r="R2647">
        <v>1</v>
      </c>
      <c r="S2647">
        <v>0</v>
      </c>
      <c r="T2647">
        <v>0</v>
      </c>
      <c r="U2647">
        <v>0</v>
      </c>
      <c r="V2647">
        <v>5878</v>
      </c>
      <c r="W2647">
        <v>51117</v>
      </c>
      <c r="X2647">
        <v>2258</v>
      </c>
      <c r="Y2647">
        <f t="shared" si="41"/>
        <v>51117</v>
      </c>
      <c r="Z2647" t="str">
        <f>IF(ISNUMBER(SEARCH("Adjustment",$C2647)),"excluded",IF($H2647="Behind the Meter","excluded",IF(NOT(OR($E2647="Bundled",$E2647="Energy")),"excluded",IF(OR($H2647="Retail Power Marketer",$H2647="Community Choice Aggregator",$E2647="Energy"),"procurement",IF(OR($H2647="Municipal",$H2647="Cooperative",$H2647="Federal",$H2647="State",$H2647="Political Subdivision"),"cost_service",IF($H2647="Investor Owned",IF(AND(COUNTIF(Parameters!$A$4:$A$33,$G2647)&gt;0,COUNTIF(Parameters!$B$4:$B$33,$B2647)=0),"procurement","cost_service"),"unclassified"))))))</f>
        <v>excluded</v>
      </c>
    </row>
    <row r="2648" spans="1:26" x14ac:dyDescent="0.25">
      <c r="A2648">
        <v>2024</v>
      </c>
      <c r="B2648">
        <v>99999</v>
      </c>
      <c r="C2648" t="s">
        <v>1706</v>
      </c>
      <c r="D2648" t="s">
        <v>84</v>
      </c>
      <c r="E2648" t="s">
        <v>85</v>
      </c>
      <c r="F2648" t="s">
        <v>1707</v>
      </c>
      <c r="G2648" t="s">
        <v>173</v>
      </c>
      <c r="I2648" t="s">
        <v>96</v>
      </c>
      <c r="J2648">
        <v>37287.9</v>
      </c>
      <c r="K2648">
        <v>302974</v>
      </c>
      <c r="L2648">
        <v>22158</v>
      </c>
      <c r="M2648">
        <v>14454.4</v>
      </c>
      <c r="N2648">
        <v>154979</v>
      </c>
      <c r="O2648">
        <v>2564</v>
      </c>
      <c r="P2648">
        <v>18651.900000000001</v>
      </c>
      <c r="Q2648">
        <v>142518</v>
      </c>
      <c r="R2648">
        <v>452</v>
      </c>
      <c r="S2648">
        <v>0</v>
      </c>
      <c r="T2648">
        <v>0</v>
      </c>
      <c r="U2648">
        <v>0</v>
      </c>
      <c r="V2648">
        <v>70394.2</v>
      </c>
      <c r="W2648">
        <v>600471</v>
      </c>
      <c r="X2648">
        <v>25174</v>
      </c>
      <c r="Y2648">
        <f t="shared" si="41"/>
        <v>600471</v>
      </c>
      <c r="Z2648" t="str">
        <f>IF(ISNUMBER(SEARCH("Adjustment",$C2648)),"excluded",IF($H2648="Behind the Meter","excluded",IF(NOT(OR($E2648="Bundled",$E2648="Energy")),"excluded",IF(OR($H2648="Retail Power Marketer",$H2648="Community Choice Aggregator",$E2648="Energy"),"procurement",IF(OR($H2648="Municipal",$H2648="Cooperative",$H2648="Federal",$H2648="State",$H2648="Political Subdivision"),"cost_service",IF($H2648="Investor Owned",IF(AND(COUNTIF(Parameters!$A$4:$A$33,$G2648)&gt;0,COUNTIF(Parameters!$B$4:$B$33,$B2648)=0),"procurement","cost_service"),"unclassified"))))))</f>
        <v>excluded</v>
      </c>
    </row>
    <row r="2649" spans="1:26" x14ac:dyDescent="0.25">
      <c r="A2649">
        <v>2024</v>
      </c>
      <c r="B2649">
        <v>99999</v>
      </c>
      <c r="C2649" t="s">
        <v>1706</v>
      </c>
      <c r="D2649" t="s">
        <v>84</v>
      </c>
      <c r="E2649" t="s">
        <v>85</v>
      </c>
      <c r="F2649" t="s">
        <v>1707</v>
      </c>
      <c r="G2649" t="s">
        <v>173</v>
      </c>
      <c r="I2649" t="s">
        <v>135</v>
      </c>
      <c r="J2649">
        <v>2262.4</v>
      </c>
      <c r="K2649">
        <v>19868</v>
      </c>
      <c r="L2649">
        <v>1601</v>
      </c>
      <c r="M2649">
        <v>1641.2</v>
      </c>
      <c r="N2649">
        <v>20057</v>
      </c>
      <c r="O2649">
        <v>267</v>
      </c>
      <c r="P2649">
        <v>922.4</v>
      </c>
      <c r="Q2649">
        <v>9607</v>
      </c>
      <c r="R2649">
        <v>11</v>
      </c>
      <c r="S2649">
        <v>0</v>
      </c>
      <c r="T2649">
        <v>0</v>
      </c>
      <c r="U2649">
        <v>0</v>
      </c>
      <c r="V2649">
        <v>4826</v>
      </c>
      <c r="W2649">
        <v>49532</v>
      </c>
      <c r="X2649">
        <v>1879</v>
      </c>
      <c r="Y2649">
        <f t="shared" si="41"/>
        <v>49532</v>
      </c>
      <c r="Z2649" t="str">
        <f>IF(ISNUMBER(SEARCH("Adjustment",$C2649)),"excluded",IF($H2649="Behind the Meter","excluded",IF(NOT(OR($E2649="Bundled",$E2649="Energy")),"excluded",IF(OR($H2649="Retail Power Marketer",$H2649="Community Choice Aggregator",$E2649="Energy"),"procurement",IF(OR($H2649="Municipal",$H2649="Cooperative",$H2649="Federal",$H2649="State",$H2649="Political Subdivision"),"cost_service",IF($H2649="Investor Owned",IF(AND(COUNTIF(Parameters!$A$4:$A$33,$G2649)&gt;0,COUNTIF(Parameters!$B$4:$B$33,$B2649)=0),"procurement","cost_service"),"unclassified"))))))</f>
        <v>excluded</v>
      </c>
    </row>
    <row r="2650" spans="1:26" x14ac:dyDescent="0.25">
      <c r="A2650">
        <v>2024</v>
      </c>
      <c r="B2650">
        <v>99999</v>
      </c>
      <c r="C2650" t="s">
        <v>1706</v>
      </c>
      <c r="D2650" t="s">
        <v>84</v>
      </c>
      <c r="E2650" t="s">
        <v>85</v>
      </c>
      <c r="F2650" t="s">
        <v>1707</v>
      </c>
      <c r="G2650" t="s">
        <v>108</v>
      </c>
      <c r="I2650" t="s">
        <v>110</v>
      </c>
      <c r="J2650">
        <v>7270.7</v>
      </c>
      <c r="K2650">
        <v>58707</v>
      </c>
      <c r="L2650">
        <v>-69490</v>
      </c>
      <c r="M2650">
        <v>17202.5</v>
      </c>
      <c r="N2650">
        <v>151892</v>
      </c>
      <c r="O2650">
        <v>1410</v>
      </c>
      <c r="P2650">
        <v>29670.1</v>
      </c>
      <c r="Q2650">
        <v>354508</v>
      </c>
      <c r="R2650">
        <v>668</v>
      </c>
      <c r="S2650">
        <v>0</v>
      </c>
      <c r="T2650">
        <v>0</v>
      </c>
      <c r="U2650">
        <v>0</v>
      </c>
      <c r="V2650">
        <v>54143.3</v>
      </c>
      <c r="W2650">
        <v>565107</v>
      </c>
      <c r="X2650">
        <v>-67412</v>
      </c>
      <c r="Y2650">
        <f t="shared" si="41"/>
        <v>565107</v>
      </c>
      <c r="Z2650" t="str">
        <f>IF(ISNUMBER(SEARCH("Adjustment",$C2650)),"excluded",IF($H2650="Behind the Meter","excluded",IF(NOT(OR($E2650="Bundled",$E2650="Energy")),"excluded",IF(OR($H2650="Retail Power Marketer",$H2650="Community Choice Aggregator",$E2650="Energy"),"procurement",IF(OR($H2650="Municipal",$H2650="Cooperative",$H2650="Federal",$H2650="State",$H2650="Political Subdivision"),"cost_service",IF($H2650="Investor Owned",IF(AND(COUNTIF(Parameters!$A$4:$A$33,$G2650)&gt;0,COUNTIF(Parameters!$B$4:$B$33,$B2650)=0),"procurement","cost_service"),"unclassified"))))))</f>
        <v>excluded</v>
      </c>
    </row>
    <row r="2651" spans="1:26" x14ac:dyDescent="0.25">
      <c r="A2651">
        <v>2024</v>
      </c>
      <c r="B2651">
        <v>99999</v>
      </c>
      <c r="C2651" t="s">
        <v>1706</v>
      </c>
      <c r="D2651" t="s">
        <v>84</v>
      </c>
      <c r="E2651" t="s">
        <v>85</v>
      </c>
      <c r="F2651" t="s">
        <v>1707</v>
      </c>
      <c r="G2651" t="s">
        <v>108</v>
      </c>
      <c r="I2651" t="s">
        <v>116</v>
      </c>
      <c r="J2651">
        <v>0</v>
      </c>
      <c r="K2651">
        <v>0</v>
      </c>
      <c r="L2651">
        <v>-212</v>
      </c>
      <c r="M2651">
        <v>0</v>
      </c>
      <c r="N2651">
        <v>0</v>
      </c>
      <c r="O2651">
        <v>0</v>
      </c>
      <c r="P2651">
        <v>0</v>
      </c>
      <c r="Q2651">
        <v>0</v>
      </c>
      <c r="R2651">
        <v>0</v>
      </c>
      <c r="S2651">
        <v>0</v>
      </c>
      <c r="T2651">
        <v>0</v>
      </c>
      <c r="U2651">
        <v>0</v>
      </c>
      <c r="V2651">
        <v>0</v>
      </c>
      <c r="W2651">
        <v>0</v>
      </c>
      <c r="X2651">
        <v>-212</v>
      </c>
      <c r="Y2651">
        <f t="shared" si="41"/>
        <v>0</v>
      </c>
      <c r="Z2651" t="str">
        <f>IF(ISNUMBER(SEARCH("Adjustment",$C2651)),"excluded",IF($H2651="Behind the Meter","excluded",IF(NOT(OR($E2651="Bundled",$E2651="Energy")),"excluded",IF(OR($H2651="Retail Power Marketer",$H2651="Community Choice Aggregator",$E2651="Energy"),"procurement",IF(OR($H2651="Municipal",$H2651="Cooperative",$H2651="Federal",$H2651="State",$H2651="Political Subdivision"),"cost_service",IF($H2651="Investor Owned",IF(AND(COUNTIF(Parameters!$A$4:$A$33,$G2651)&gt;0,COUNTIF(Parameters!$B$4:$B$33,$B2651)=0),"procurement","cost_service"),"unclassified"))))))</f>
        <v>excluded</v>
      </c>
    </row>
    <row r="2652" spans="1:26" x14ac:dyDescent="0.25">
      <c r="A2652">
        <v>2024</v>
      </c>
      <c r="B2652">
        <v>99999</v>
      </c>
      <c r="C2652" t="s">
        <v>1706</v>
      </c>
      <c r="D2652" t="s">
        <v>84</v>
      </c>
      <c r="E2652" t="s">
        <v>85</v>
      </c>
      <c r="F2652" t="s">
        <v>1707</v>
      </c>
      <c r="G2652" t="s">
        <v>108</v>
      </c>
      <c r="I2652" t="s">
        <v>523</v>
      </c>
      <c r="J2652">
        <v>0</v>
      </c>
      <c r="K2652">
        <v>0</v>
      </c>
      <c r="L2652">
        <v>-6</v>
      </c>
      <c r="M2652">
        <v>0</v>
      </c>
      <c r="N2652">
        <v>0</v>
      </c>
      <c r="O2652">
        <v>0</v>
      </c>
      <c r="P2652">
        <v>0</v>
      </c>
      <c r="Q2652">
        <v>0</v>
      </c>
      <c r="R2652">
        <v>0</v>
      </c>
      <c r="S2652">
        <v>0</v>
      </c>
      <c r="T2652">
        <v>0</v>
      </c>
      <c r="U2652">
        <v>0</v>
      </c>
      <c r="V2652">
        <v>0</v>
      </c>
      <c r="W2652">
        <v>0</v>
      </c>
      <c r="X2652">
        <v>-6</v>
      </c>
      <c r="Y2652">
        <f t="shared" si="41"/>
        <v>0</v>
      </c>
      <c r="Z2652" t="str">
        <f>IF(ISNUMBER(SEARCH("Adjustment",$C2652)),"excluded",IF($H2652="Behind the Meter","excluded",IF(NOT(OR($E2652="Bundled",$E2652="Energy")),"excluded",IF(OR($H2652="Retail Power Marketer",$H2652="Community Choice Aggregator",$E2652="Energy"),"procurement",IF(OR($H2652="Municipal",$H2652="Cooperative",$H2652="Federal",$H2652="State",$H2652="Political Subdivision"),"cost_service",IF($H2652="Investor Owned",IF(AND(COUNTIF(Parameters!$A$4:$A$33,$G2652)&gt;0,COUNTIF(Parameters!$B$4:$B$33,$B2652)=0),"procurement","cost_service"),"unclassified"))))))</f>
        <v>excluded</v>
      </c>
    </row>
    <row r="2653" spans="1:26" x14ac:dyDescent="0.25">
      <c r="A2653">
        <v>2024</v>
      </c>
      <c r="B2653">
        <v>99999</v>
      </c>
      <c r="C2653" t="s">
        <v>1706</v>
      </c>
      <c r="D2653" t="s">
        <v>84</v>
      </c>
      <c r="E2653" t="s">
        <v>85</v>
      </c>
      <c r="F2653" t="s">
        <v>1707</v>
      </c>
      <c r="G2653" t="s">
        <v>108</v>
      </c>
      <c r="I2653" t="s">
        <v>309</v>
      </c>
      <c r="J2653">
        <v>388.5</v>
      </c>
      <c r="K2653">
        <v>2359</v>
      </c>
      <c r="L2653">
        <v>454</v>
      </c>
      <c r="M2653">
        <v>60</v>
      </c>
      <c r="N2653">
        <v>402</v>
      </c>
      <c r="O2653">
        <v>42</v>
      </c>
      <c r="P2653">
        <v>324</v>
      </c>
      <c r="Q2653">
        <v>2542</v>
      </c>
      <c r="R2653">
        <v>23</v>
      </c>
      <c r="S2653">
        <v>0</v>
      </c>
      <c r="T2653">
        <v>0</v>
      </c>
      <c r="U2653">
        <v>0</v>
      </c>
      <c r="V2653">
        <v>772.5</v>
      </c>
      <c r="W2653">
        <v>5303</v>
      </c>
      <c r="X2653">
        <v>519</v>
      </c>
      <c r="Y2653">
        <f t="shared" si="41"/>
        <v>5303</v>
      </c>
      <c r="Z2653" t="str">
        <f>IF(ISNUMBER(SEARCH("Adjustment",$C2653)),"excluded",IF($H2653="Behind the Meter","excluded",IF(NOT(OR($E2653="Bundled",$E2653="Energy")),"excluded",IF(OR($H2653="Retail Power Marketer",$H2653="Community Choice Aggregator",$E2653="Energy"),"procurement",IF(OR($H2653="Municipal",$H2653="Cooperative",$H2653="Federal",$H2653="State",$H2653="Political Subdivision"),"cost_service",IF($H2653="Investor Owned",IF(AND(COUNTIF(Parameters!$A$4:$A$33,$G2653)&gt;0,COUNTIF(Parameters!$B$4:$B$33,$B2653)=0),"procurement","cost_service"),"unclassified"))))))</f>
        <v>excluded</v>
      </c>
    </row>
    <row r="2654" spans="1:26" x14ac:dyDescent="0.25">
      <c r="A2654">
        <v>2024</v>
      </c>
      <c r="B2654">
        <v>99999</v>
      </c>
      <c r="C2654" t="s">
        <v>1706</v>
      </c>
      <c r="D2654" t="s">
        <v>84</v>
      </c>
      <c r="E2654" t="s">
        <v>85</v>
      </c>
      <c r="F2654" t="s">
        <v>1707</v>
      </c>
      <c r="G2654" t="s">
        <v>108</v>
      </c>
      <c r="I2654" t="s">
        <v>1090</v>
      </c>
      <c r="J2654">
        <v>171.1</v>
      </c>
      <c r="K2654">
        <v>1111</v>
      </c>
      <c r="L2654">
        <v>-8759</v>
      </c>
      <c r="M2654">
        <v>51828.6</v>
      </c>
      <c r="N2654">
        <v>707784</v>
      </c>
      <c r="O2654">
        <v>46</v>
      </c>
      <c r="P2654">
        <v>5076.3</v>
      </c>
      <c r="Q2654">
        <v>61076</v>
      </c>
      <c r="R2654">
        <v>340</v>
      </c>
      <c r="S2654">
        <v>0</v>
      </c>
      <c r="T2654">
        <v>0</v>
      </c>
      <c r="U2654">
        <v>0</v>
      </c>
      <c r="V2654">
        <v>57076</v>
      </c>
      <c r="W2654">
        <v>769971</v>
      </c>
      <c r="X2654">
        <v>-8373</v>
      </c>
      <c r="Y2654">
        <f t="shared" si="41"/>
        <v>769971</v>
      </c>
      <c r="Z2654" t="str">
        <f>IF(ISNUMBER(SEARCH("Adjustment",$C2654)),"excluded",IF($H2654="Behind the Meter","excluded",IF(NOT(OR($E2654="Bundled",$E2654="Energy")),"excluded",IF(OR($H2654="Retail Power Marketer",$H2654="Community Choice Aggregator",$E2654="Energy"),"procurement",IF(OR($H2654="Municipal",$H2654="Cooperative",$H2654="Federal",$H2654="State",$H2654="Political Subdivision"),"cost_service",IF($H2654="Investor Owned",IF(AND(COUNTIF(Parameters!$A$4:$A$33,$G2654)&gt;0,COUNTIF(Parameters!$B$4:$B$33,$B2654)=0),"procurement","cost_service"),"unclassified"))))))</f>
        <v>excluded</v>
      </c>
    </row>
    <row r="2655" spans="1:26" x14ac:dyDescent="0.25">
      <c r="A2655">
        <v>2024</v>
      </c>
      <c r="B2655">
        <v>99999</v>
      </c>
      <c r="C2655" t="s">
        <v>1706</v>
      </c>
      <c r="D2655" t="s">
        <v>84</v>
      </c>
      <c r="E2655" t="s">
        <v>85</v>
      </c>
      <c r="F2655" t="s">
        <v>1707</v>
      </c>
      <c r="G2655" t="s">
        <v>108</v>
      </c>
      <c r="I2655" t="s">
        <v>876</v>
      </c>
      <c r="J2655">
        <v>0</v>
      </c>
      <c r="K2655">
        <v>0</v>
      </c>
      <c r="L2655">
        <v>-16701</v>
      </c>
      <c r="M2655">
        <v>2894</v>
      </c>
      <c r="N2655">
        <v>23657</v>
      </c>
      <c r="O2655">
        <v>-412</v>
      </c>
      <c r="P2655">
        <v>0</v>
      </c>
      <c r="Q2655">
        <v>0</v>
      </c>
      <c r="R2655">
        <v>0</v>
      </c>
      <c r="S2655">
        <v>0</v>
      </c>
      <c r="T2655">
        <v>0</v>
      </c>
      <c r="U2655">
        <v>0</v>
      </c>
      <c r="V2655">
        <v>2894</v>
      </c>
      <c r="W2655">
        <v>23657</v>
      </c>
      <c r="X2655">
        <v>-17113</v>
      </c>
      <c r="Y2655">
        <f t="shared" si="41"/>
        <v>23657</v>
      </c>
      <c r="Z2655" t="str">
        <f>IF(ISNUMBER(SEARCH("Adjustment",$C2655)),"excluded",IF($H2655="Behind the Meter","excluded",IF(NOT(OR($E2655="Bundled",$E2655="Energy")),"excluded",IF(OR($H2655="Retail Power Marketer",$H2655="Community Choice Aggregator",$E2655="Energy"),"procurement",IF(OR($H2655="Municipal",$H2655="Cooperative",$H2655="Federal",$H2655="State",$H2655="Political Subdivision"),"cost_service",IF($H2655="Investor Owned",IF(AND(COUNTIF(Parameters!$A$4:$A$33,$G2655)&gt;0,COUNTIF(Parameters!$B$4:$B$33,$B2655)=0),"procurement","cost_service"),"unclassified"))))))</f>
        <v>excluded</v>
      </c>
    </row>
    <row r="2656" spans="1:26" x14ac:dyDescent="0.25">
      <c r="A2656">
        <v>2024</v>
      </c>
      <c r="B2656">
        <v>99999</v>
      </c>
      <c r="C2656" t="s">
        <v>1706</v>
      </c>
      <c r="D2656" t="s">
        <v>84</v>
      </c>
      <c r="E2656" t="s">
        <v>85</v>
      </c>
      <c r="F2656" t="s">
        <v>1707</v>
      </c>
      <c r="G2656" t="s">
        <v>108</v>
      </c>
      <c r="I2656" t="s">
        <v>243</v>
      </c>
      <c r="J2656">
        <v>42485.599999999999</v>
      </c>
      <c r="K2656">
        <v>335749</v>
      </c>
      <c r="L2656">
        <v>29185</v>
      </c>
      <c r="M2656">
        <v>35164.9</v>
      </c>
      <c r="N2656">
        <v>285852</v>
      </c>
      <c r="O2656">
        <v>6003</v>
      </c>
      <c r="P2656">
        <v>17397</v>
      </c>
      <c r="Q2656">
        <v>222393</v>
      </c>
      <c r="R2656">
        <v>1699</v>
      </c>
      <c r="S2656">
        <v>0</v>
      </c>
      <c r="T2656">
        <v>0</v>
      </c>
      <c r="U2656">
        <v>0</v>
      </c>
      <c r="V2656">
        <v>95047.5</v>
      </c>
      <c r="W2656">
        <v>843994</v>
      </c>
      <c r="X2656">
        <v>36887</v>
      </c>
      <c r="Y2656">
        <f t="shared" si="41"/>
        <v>843994</v>
      </c>
      <c r="Z2656" t="str">
        <f>IF(ISNUMBER(SEARCH("Adjustment",$C2656)),"excluded",IF($H2656="Behind the Meter","excluded",IF(NOT(OR($E2656="Bundled",$E2656="Energy")),"excluded",IF(OR($H2656="Retail Power Marketer",$H2656="Community Choice Aggregator",$E2656="Energy"),"procurement",IF(OR($H2656="Municipal",$H2656="Cooperative",$H2656="Federal",$H2656="State",$H2656="Political Subdivision"),"cost_service",IF($H2656="Investor Owned",IF(AND(COUNTIF(Parameters!$A$4:$A$33,$G2656)&gt;0,COUNTIF(Parameters!$B$4:$B$33,$B2656)=0),"procurement","cost_service"),"unclassified"))))))</f>
        <v>excluded</v>
      </c>
    </row>
    <row r="2657" spans="1:26" x14ac:dyDescent="0.25">
      <c r="A2657">
        <v>2024</v>
      </c>
      <c r="B2657">
        <v>99999</v>
      </c>
      <c r="C2657" t="s">
        <v>1706</v>
      </c>
      <c r="D2657" t="s">
        <v>84</v>
      </c>
      <c r="E2657" t="s">
        <v>85</v>
      </c>
      <c r="F2657" t="s">
        <v>1707</v>
      </c>
      <c r="G2657" t="s">
        <v>115</v>
      </c>
      <c r="I2657" t="s">
        <v>116</v>
      </c>
      <c r="J2657">
        <v>93234.6</v>
      </c>
      <c r="K2657">
        <v>408285</v>
      </c>
      <c r="L2657">
        <v>-524322</v>
      </c>
      <c r="M2657">
        <v>192856.7</v>
      </c>
      <c r="N2657">
        <v>1310338</v>
      </c>
      <c r="O2657">
        <v>6439</v>
      </c>
      <c r="P2657">
        <v>114717</v>
      </c>
      <c r="Q2657">
        <v>1560345</v>
      </c>
      <c r="R2657">
        <v>673</v>
      </c>
      <c r="S2657">
        <v>0</v>
      </c>
      <c r="T2657">
        <v>0</v>
      </c>
      <c r="U2657">
        <v>0</v>
      </c>
      <c r="V2657">
        <v>400808.3</v>
      </c>
      <c r="W2657">
        <v>3278968</v>
      </c>
      <c r="X2657">
        <v>-517210</v>
      </c>
      <c r="Y2657">
        <f t="shared" si="41"/>
        <v>3278968</v>
      </c>
      <c r="Z2657" t="str">
        <f>IF(ISNUMBER(SEARCH("Adjustment",$C2657)),"excluded",IF($H2657="Behind the Meter","excluded",IF(NOT(OR($E2657="Bundled",$E2657="Energy")),"excluded",IF(OR($H2657="Retail Power Marketer",$H2657="Community Choice Aggregator",$E2657="Energy"),"procurement",IF(OR($H2657="Municipal",$H2657="Cooperative",$H2657="Federal",$H2657="State",$H2657="Political Subdivision"),"cost_service",IF($H2657="Investor Owned",IF(AND(COUNTIF(Parameters!$A$4:$A$33,$G2657)&gt;0,COUNTIF(Parameters!$B$4:$B$33,$B2657)=0),"procurement","cost_service"),"unclassified"))))))</f>
        <v>excluded</v>
      </c>
    </row>
    <row r="2658" spans="1:26" x14ac:dyDescent="0.25">
      <c r="A2658">
        <v>2024</v>
      </c>
      <c r="B2658">
        <v>99999</v>
      </c>
      <c r="C2658" t="s">
        <v>1706</v>
      </c>
      <c r="D2658" t="s">
        <v>84</v>
      </c>
      <c r="E2658" t="s">
        <v>85</v>
      </c>
      <c r="F2658" t="s">
        <v>1707</v>
      </c>
      <c r="G2658" t="s">
        <v>115</v>
      </c>
      <c r="I2658" t="s">
        <v>642</v>
      </c>
      <c r="J2658">
        <v>0</v>
      </c>
      <c r="K2658">
        <v>0</v>
      </c>
      <c r="L2658">
        <v>-3672</v>
      </c>
      <c r="M2658">
        <v>0</v>
      </c>
      <c r="N2658">
        <v>0</v>
      </c>
      <c r="O2658">
        <v>-1</v>
      </c>
      <c r="P2658">
        <v>426</v>
      </c>
      <c r="Q2658">
        <v>4943</v>
      </c>
      <c r="R2658">
        <v>2</v>
      </c>
      <c r="S2658">
        <v>0</v>
      </c>
      <c r="T2658">
        <v>0</v>
      </c>
      <c r="U2658">
        <v>0</v>
      </c>
      <c r="V2658">
        <v>426</v>
      </c>
      <c r="W2658">
        <v>4943</v>
      </c>
      <c r="X2658">
        <v>-3671</v>
      </c>
      <c r="Y2658">
        <f t="shared" si="41"/>
        <v>4943</v>
      </c>
      <c r="Z2658" t="str">
        <f>IF(ISNUMBER(SEARCH("Adjustment",$C2658)),"excluded",IF($H2658="Behind the Meter","excluded",IF(NOT(OR($E2658="Bundled",$E2658="Energy")),"excluded",IF(OR($H2658="Retail Power Marketer",$H2658="Community Choice Aggregator",$E2658="Energy"),"procurement",IF(OR($H2658="Municipal",$H2658="Cooperative",$H2658="Federal",$H2658="State",$H2658="Political Subdivision"),"cost_service",IF($H2658="Investor Owned",IF(AND(COUNTIF(Parameters!$A$4:$A$33,$G2658)&gt;0,COUNTIF(Parameters!$B$4:$B$33,$B2658)=0),"procurement","cost_service"),"unclassified"))))))</f>
        <v>excluded</v>
      </c>
    </row>
    <row r="2659" spans="1:26" x14ac:dyDescent="0.25">
      <c r="A2659">
        <v>2024</v>
      </c>
      <c r="B2659">
        <v>99999</v>
      </c>
      <c r="C2659" t="s">
        <v>1706</v>
      </c>
      <c r="D2659" t="s">
        <v>84</v>
      </c>
      <c r="E2659" t="s">
        <v>85</v>
      </c>
      <c r="F2659" t="s">
        <v>1707</v>
      </c>
      <c r="G2659" t="s">
        <v>115</v>
      </c>
      <c r="I2659" t="s">
        <v>267</v>
      </c>
      <c r="J2659">
        <v>0</v>
      </c>
      <c r="K2659">
        <v>0</v>
      </c>
      <c r="L2659">
        <v>-20153</v>
      </c>
      <c r="M2659">
        <v>425</v>
      </c>
      <c r="N2659">
        <v>4222</v>
      </c>
      <c r="O2659">
        <v>-68</v>
      </c>
      <c r="P2659">
        <v>0</v>
      </c>
      <c r="Q2659">
        <v>0</v>
      </c>
      <c r="R2659">
        <v>0</v>
      </c>
      <c r="S2659">
        <v>0</v>
      </c>
      <c r="T2659">
        <v>0</v>
      </c>
      <c r="U2659">
        <v>0</v>
      </c>
      <c r="V2659">
        <v>425</v>
      </c>
      <c r="W2659">
        <v>4222</v>
      </c>
      <c r="X2659">
        <v>-20221</v>
      </c>
      <c r="Y2659">
        <f t="shared" si="41"/>
        <v>4222</v>
      </c>
      <c r="Z2659" t="str">
        <f>IF(ISNUMBER(SEARCH("Adjustment",$C2659)),"excluded",IF($H2659="Behind the Meter","excluded",IF(NOT(OR($E2659="Bundled",$E2659="Energy")),"excluded",IF(OR($H2659="Retail Power Marketer",$H2659="Community Choice Aggregator",$E2659="Energy"),"procurement",IF(OR($H2659="Municipal",$H2659="Cooperative",$H2659="Federal",$H2659="State",$H2659="Political Subdivision"),"cost_service",IF($H2659="Investor Owned",IF(AND(COUNTIF(Parameters!$A$4:$A$33,$G2659)&gt;0,COUNTIF(Parameters!$B$4:$B$33,$B2659)=0),"procurement","cost_service"),"unclassified"))))))</f>
        <v>excluded</v>
      </c>
    </row>
    <row r="2660" spans="1:26" x14ac:dyDescent="0.25">
      <c r="A2660">
        <v>2024</v>
      </c>
      <c r="B2660">
        <v>99999</v>
      </c>
      <c r="C2660" t="s">
        <v>1706</v>
      </c>
      <c r="D2660" t="s">
        <v>84</v>
      </c>
      <c r="E2660" t="s">
        <v>85</v>
      </c>
      <c r="F2660" t="s">
        <v>1707</v>
      </c>
      <c r="G2660" t="s">
        <v>115</v>
      </c>
      <c r="I2660" t="s">
        <v>390</v>
      </c>
      <c r="J2660">
        <v>21785.1</v>
      </c>
      <c r="K2660">
        <v>95038</v>
      </c>
      <c r="L2660">
        <v>13090</v>
      </c>
      <c r="M2660">
        <v>15819.2</v>
      </c>
      <c r="N2660">
        <v>73459</v>
      </c>
      <c r="O2660">
        <v>1699</v>
      </c>
      <c r="P2660">
        <v>0</v>
      </c>
      <c r="Q2660">
        <v>0</v>
      </c>
      <c r="R2660">
        <v>0</v>
      </c>
      <c r="S2660">
        <v>0</v>
      </c>
      <c r="T2660">
        <v>0</v>
      </c>
      <c r="U2660">
        <v>0</v>
      </c>
      <c r="V2660">
        <v>37604.300000000003</v>
      </c>
      <c r="W2660">
        <v>168497</v>
      </c>
      <c r="X2660">
        <v>14789</v>
      </c>
      <c r="Y2660">
        <f t="shared" si="41"/>
        <v>168497</v>
      </c>
      <c r="Z2660" t="str">
        <f>IF(ISNUMBER(SEARCH("Adjustment",$C2660)),"excluded",IF($H2660="Behind the Meter","excluded",IF(NOT(OR($E2660="Bundled",$E2660="Energy")),"excluded",IF(OR($H2660="Retail Power Marketer",$H2660="Community Choice Aggregator",$E2660="Energy"),"procurement",IF(OR($H2660="Municipal",$H2660="Cooperative",$H2660="Federal",$H2660="State",$H2660="Political Subdivision"),"cost_service",IF($H2660="Investor Owned",IF(AND(COUNTIF(Parameters!$A$4:$A$33,$G2660)&gt;0,COUNTIF(Parameters!$B$4:$B$33,$B2660)=0),"procurement","cost_service"),"unclassified"))))))</f>
        <v>excluded</v>
      </c>
    </row>
    <row r="2661" spans="1:26" x14ac:dyDescent="0.25">
      <c r="A2661">
        <v>2024</v>
      </c>
      <c r="B2661">
        <v>99999</v>
      </c>
      <c r="C2661" t="s">
        <v>1706</v>
      </c>
      <c r="D2661" t="s">
        <v>84</v>
      </c>
      <c r="E2661" t="s">
        <v>85</v>
      </c>
      <c r="F2661" t="s">
        <v>1707</v>
      </c>
      <c r="G2661" t="s">
        <v>115</v>
      </c>
      <c r="I2661" t="s">
        <v>972</v>
      </c>
      <c r="J2661">
        <v>0</v>
      </c>
      <c r="K2661">
        <v>0</v>
      </c>
      <c r="L2661">
        <v>-44</v>
      </c>
      <c r="M2661">
        <v>0</v>
      </c>
      <c r="N2661">
        <v>0</v>
      </c>
      <c r="O2661">
        <v>-1</v>
      </c>
      <c r="P2661">
        <v>0</v>
      </c>
      <c r="Q2661">
        <v>0</v>
      </c>
      <c r="R2661">
        <v>0</v>
      </c>
      <c r="S2661">
        <v>0</v>
      </c>
      <c r="T2661">
        <v>0</v>
      </c>
      <c r="U2661">
        <v>0</v>
      </c>
      <c r="V2661">
        <v>0</v>
      </c>
      <c r="W2661">
        <v>0</v>
      </c>
      <c r="X2661">
        <v>-45</v>
      </c>
      <c r="Y2661">
        <f t="shared" si="41"/>
        <v>0</v>
      </c>
      <c r="Z2661" t="str">
        <f>IF(ISNUMBER(SEARCH("Adjustment",$C2661)),"excluded",IF($H2661="Behind the Meter","excluded",IF(NOT(OR($E2661="Bundled",$E2661="Energy")),"excluded",IF(OR($H2661="Retail Power Marketer",$H2661="Community Choice Aggregator",$E2661="Energy"),"procurement",IF(OR($H2661="Municipal",$H2661="Cooperative",$H2661="Federal",$H2661="State",$H2661="Political Subdivision"),"cost_service",IF($H2661="Investor Owned",IF(AND(COUNTIF(Parameters!$A$4:$A$33,$G2661)&gt;0,COUNTIF(Parameters!$B$4:$B$33,$B2661)=0),"procurement","cost_service"),"unclassified"))))))</f>
        <v>excluded</v>
      </c>
    </row>
    <row r="2662" spans="1:26" x14ac:dyDescent="0.25">
      <c r="A2662">
        <v>2024</v>
      </c>
      <c r="B2662">
        <v>99999</v>
      </c>
      <c r="C2662" t="s">
        <v>1706</v>
      </c>
      <c r="D2662" t="s">
        <v>84</v>
      </c>
      <c r="E2662" t="s">
        <v>85</v>
      </c>
      <c r="F2662" t="s">
        <v>1707</v>
      </c>
      <c r="G2662" t="s">
        <v>115</v>
      </c>
      <c r="J2662">
        <v>0</v>
      </c>
      <c r="K2662">
        <v>0</v>
      </c>
      <c r="L2662">
        <v>0</v>
      </c>
      <c r="M2662">
        <v>98</v>
      </c>
      <c r="N2662">
        <v>554</v>
      </c>
      <c r="O2662">
        <v>1</v>
      </c>
      <c r="P2662">
        <v>0</v>
      </c>
      <c r="Q2662">
        <v>0</v>
      </c>
      <c r="R2662">
        <v>0</v>
      </c>
      <c r="S2662">
        <v>0</v>
      </c>
      <c r="T2662">
        <v>0</v>
      </c>
      <c r="U2662">
        <v>0</v>
      </c>
      <c r="V2662">
        <v>98</v>
      </c>
      <c r="W2662">
        <v>554</v>
      </c>
      <c r="X2662">
        <v>1</v>
      </c>
      <c r="Y2662">
        <f t="shared" si="41"/>
        <v>554</v>
      </c>
      <c r="Z2662" t="str">
        <f>IF(ISNUMBER(SEARCH("Adjustment",$C2662)),"excluded",IF($H2662="Behind the Meter","excluded",IF(NOT(OR($E2662="Bundled",$E2662="Energy")),"excluded",IF(OR($H2662="Retail Power Marketer",$H2662="Community Choice Aggregator",$E2662="Energy"),"procurement",IF(OR($H2662="Municipal",$H2662="Cooperative",$H2662="Federal",$H2662="State",$H2662="Political Subdivision"),"cost_service",IF($H2662="Investor Owned",IF(AND(COUNTIF(Parameters!$A$4:$A$33,$G2662)&gt;0,COUNTIF(Parameters!$B$4:$B$33,$B2662)=0),"procurement","cost_service"),"unclassified"))))))</f>
        <v>excluded</v>
      </c>
    </row>
    <row r="2663" spans="1:26" x14ac:dyDescent="0.25">
      <c r="A2663">
        <v>2024</v>
      </c>
      <c r="B2663">
        <v>99999</v>
      </c>
      <c r="C2663" t="s">
        <v>1706</v>
      </c>
      <c r="D2663" t="s">
        <v>84</v>
      </c>
      <c r="E2663" t="s">
        <v>85</v>
      </c>
      <c r="F2663" t="s">
        <v>1707</v>
      </c>
      <c r="G2663" t="s">
        <v>115</v>
      </c>
      <c r="J2663">
        <v>0</v>
      </c>
      <c r="K2663">
        <v>0</v>
      </c>
      <c r="L2663">
        <v>0</v>
      </c>
      <c r="M2663">
        <v>221</v>
      </c>
      <c r="N2663">
        <v>7927</v>
      </c>
      <c r="O2663">
        <v>1</v>
      </c>
      <c r="P2663">
        <v>0</v>
      </c>
      <c r="Q2663">
        <v>0</v>
      </c>
      <c r="R2663">
        <v>0</v>
      </c>
      <c r="S2663">
        <v>0</v>
      </c>
      <c r="T2663">
        <v>0</v>
      </c>
      <c r="U2663">
        <v>0</v>
      </c>
      <c r="V2663">
        <v>221</v>
      </c>
      <c r="W2663">
        <v>7927</v>
      </c>
      <c r="X2663">
        <v>1</v>
      </c>
      <c r="Y2663">
        <f t="shared" si="41"/>
        <v>7927</v>
      </c>
      <c r="Z2663" t="str">
        <f>IF(ISNUMBER(SEARCH("Adjustment",$C2663)),"excluded",IF($H2663="Behind the Meter","excluded",IF(NOT(OR($E2663="Bundled",$E2663="Energy")),"excluded",IF(OR($H2663="Retail Power Marketer",$H2663="Community Choice Aggregator",$E2663="Energy"),"procurement",IF(OR($H2663="Municipal",$H2663="Cooperative",$H2663="Federal",$H2663="State",$H2663="Political Subdivision"),"cost_service",IF($H2663="Investor Owned",IF(AND(COUNTIF(Parameters!$A$4:$A$33,$G2663)&gt;0,COUNTIF(Parameters!$B$4:$B$33,$B2663)=0),"procurement","cost_service"),"unclassified"))))))</f>
        <v>excluded</v>
      </c>
    </row>
    <row r="2664" spans="1:26" x14ac:dyDescent="0.25">
      <c r="A2664">
        <v>2024</v>
      </c>
      <c r="B2664">
        <v>99999</v>
      </c>
      <c r="C2664" t="s">
        <v>1706</v>
      </c>
      <c r="D2664" t="s">
        <v>84</v>
      </c>
      <c r="E2664" t="s">
        <v>85</v>
      </c>
      <c r="F2664" t="s">
        <v>1707</v>
      </c>
      <c r="G2664" t="s">
        <v>115</v>
      </c>
      <c r="J2664">
        <v>0</v>
      </c>
      <c r="K2664">
        <v>0</v>
      </c>
      <c r="L2664">
        <v>0</v>
      </c>
      <c r="M2664">
        <v>3769</v>
      </c>
      <c r="N2664">
        <v>40317</v>
      </c>
      <c r="O2664">
        <v>11</v>
      </c>
      <c r="P2664">
        <v>0</v>
      </c>
      <c r="Q2664">
        <v>0</v>
      </c>
      <c r="R2664">
        <v>0</v>
      </c>
      <c r="S2664">
        <v>0</v>
      </c>
      <c r="T2664">
        <v>0</v>
      </c>
      <c r="U2664">
        <v>0</v>
      </c>
      <c r="V2664">
        <v>3769</v>
      </c>
      <c r="W2664">
        <v>40317</v>
      </c>
      <c r="X2664">
        <v>11</v>
      </c>
      <c r="Y2664">
        <f t="shared" si="41"/>
        <v>40317</v>
      </c>
      <c r="Z2664" t="str">
        <f>IF(ISNUMBER(SEARCH("Adjustment",$C2664)),"excluded",IF($H2664="Behind the Meter","excluded",IF(NOT(OR($E2664="Bundled",$E2664="Energy")),"excluded",IF(OR($H2664="Retail Power Marketer",$H2664="Community Choice Aggregator",$E2664="Energy"),"procurement",IF(OR($H2664="Municipal",$H2664="Cooperative",$H2664="Federal",$H2664="State",$H2664="Political Subdivision"),"cost_service",IF($H2664="Investor Owned",IF(AND(COUNTIF(Parameters!$A$4:$A$33,$G2664)&gt;0,COUNTIF(Parameters!$B$4:$B$33,$B2664)=0),"procurement","cost_service"),"unclassified"))))))</f>
        <v>excluded</v>
      </c>
    </row>
    <row r="2665" spans="1:26" x14ac:dyDescent="0.25">
      <c r="A2665">
        <v>2024</v>
      </c>
      <c r="B2665">
        <v>99999</v>
      </c>
      <c r="C2665" t="s">
        <v>1706</v>
      </c>
      <c r="D2665" t="s">
        <v>84</v>
      </c>
      <c r="E2665" t="s">
        <v>85</v>
      </c>
      <c r="F2665" t="s">
        <v>1707</v>
      </c>
      <c r="G2665" t="s">
        <v>115</v>
      </c>
      <c r="I2665" t="s">
        <v>1251</v>
      </c>
      <c r="J2665">
        <v>0</v>
      </c>
      <c r="K2665">
        <v>0</v>
      </c>
      <c r="L2665">
        <v>-719</v>
      </c>
      <c r="M2665">
        <v>0</v>
      </c>
      <c r="N2665">
        <v>0</v>
      </c>
      <c r="O2665">
        <v>-1</v>
      </c>
      <c r="P2665">
        <v>0</v>
      </c>
      <c r="Q2665">
        <v>0</v>
      </c>
      <c r="R2665">
        <v>0</v>
      </c>
      <c r="S2665">
        <v>0</v>
      </c>
      <c r="T2665">
        <v>0</v>
      </c>
      <c r="U2665">
        <v>0</v>
      </c>
      <c r="V2665">
        <v>0</v>
      </c>
      <c r="W2665">
        <v>0</v>
      </c>
      <c r="X2665">
        <v>-720</v>
      </c>
      <c r="Y2665">
        <f t="shared" si="41"/>
        <v>0</v>
      </c>
      <c r="Z2665" t="str">
        <f>IF(ISNUMBER(SEARCH("Adjustment",$C2665)),"excluded",IF($H2665="Behind the Meter","excluded",IF(NOT(OR($E2665="Bundled",$E2665="Energy")),"excluded",IF(OR($H2665="Retail Power Marketer",$H2665="Community Choice Aggregator",$E2665="Energy"),"procurement",IF(OR($H2665="Municipal",$H2665="Cooperative",$H2665="Federal",$H2665="State",$H2665="Political Subdivision"),"cost_service",IF($H2665="Investor Owned",IF(AND(COUNTIF(Parameters!$A$4:$A$33,$G2665)&gt;0,COUNTIF(Parameters!$B$4:$B$33,$B2665)=0),"procurement","cost_service"),"unclassified"))))))</f>
        <v>excluded</v>
      </c>
    </row>
    <row r="2666" spans="1:26" x14ac:dyDescent="0.25">
      <c r="A2666">
        <v>2024</v>
      </c>
      <c r="B2666">
        <v>99999</v>
      </c>
      <c r="C2666" t="s">
        <v>1706</v>
      </c>
      <c r="D2666" t="s">
        <v>84</v>
      </c>
      <c r="E2666" t="s">
        <v>85</v>
      </c>
      <c r="F2666" t="s">
        <v>1707</v>
      </c>
      <c r="G2666" t="s">
        <v>115</v>
      </c>
      <c r="I2666" t="s">
        <v>243</v>
      </c>
      <c r="J2666">
        <v>25812.1</v>
      </c>
      <c r="K2666">
        <v>133454</v>
      </c>
      <c r="L2666">
        <v>8619</v>
      </c>
      <c r="M2666">
        <v>5545.4</v>
      </c>
      <c r="N2666">
        <v>29142</v>
      </c>
      <c r="O2666">
        <v>1166</v>
      </c>
      <c r="P2666">
        <v>244.7</v>
      </c>
      <c r="Q2666">
        <v>2130</v>
      </c>
      <c r="R2666">
        <v>26</v>
      </c>
      <c r="S2666">
        <v>0</v>
      </c>
      <c r="T2666">
        <v>0</v>
      </c>
      <c r="U2666">
        <v>0</v>
      </c>
      <c r="V2666">
        <v>31602.2</v>
      </c>
      <c r="W2666">
        <v>164726</v>
      </c>
      <c r="X2666">
        <v>9811</v>
      </c>
      <c r="Y2666">
        <f t="shared" si="41"/>
        <v>164726</v>
      </c>
      <c r="Z2666" t="str">
        <f>IF(ISNUMBER(SEARCH("Adjustment",$C2666)),"excluded",IF($H2666="Behind the Meter","excluded",IF(NOT(OR($E2666="Bundled",$E2666="Energy")),"excluded",IF(OR($H2666="Retail Power Marketer",$H2666="Community Choice Aggregator",$E2666="Energy"),"procurement",IF(OR($H2666="Municipal",$H2666="Cooperative",$H2666="Federal",$H2666="State",$H2666="Political Subdivision"),"cost_service",IF($H2666="Investor Owned",IF(AND(COUNTIF(Parameters!$A$4:$A$33,$G2666)&gt;0,COUNTIF(Parameters!$B$4:$B$33,$B2666)=0),"procurement","cost_service"),"unclassified"))))))</f>
        <v>excluded</v>
      </c>
    </row>
    <row r="2667" spans="1:26" x14ac:dyDescent="0.25">
      <c r="A2667">
        <v>2024</v>
      </c>
      <c r="B2667">
        <v>99999</v>
      </c>
      <c r="C2667" t="s">
        <v>1706</v>
      </c>
      <c r="D2667" t="s">
        <v>84</v>
      </c>
      <c r="E2667" t="s">
        <v>85</v>
      </c>
      <c r="F2667" t="s">
        <v>1707</v>
      </c>
      <c r="G2667" t="s">
        <v>115</v>
      </c>
      <c r="I2667" t="s">
        <v>839</v>
      </c>
      <c r="J2667">
        <v>7270.1</v>
      </c>
      <c r="K2667">
        <v>72875</v>
      </c>
      <c r="L2667">
        <v>-16088</v>
      </c>
      <c r="M2667">
        <v>3817.8</v>
      </c>
      <c r="N2667">
        <v>37164</v>
      </c>
      <c r="O2667">
        <v>1312</v>
      </c>
      <c r="P2667">
        <v>718.1</v>
      </c>
      <c r="Q2667">
        <v>10770</v>
      </c>
      <c r="R2667">
        <v>1</v>
      </c>
      <c r="S2667">
        <v>0</v>
      </c>
      <c r="T2667">
        <v>0</v>
      </c>
      <c r="U2667">
        <v>0</v>
      </c>
      <c r="V2667">
        <v>11806</v>
      </c>
      <c r="W2667">
        <v>120809</v>
      </c>
      <c r="X2667">
        <v>-14775</v>
      </c>
      <c r="Y2667">
        <f t="shared" si="41"/>
        <v>120809</v>
      </c>
      <c r="Z2667" t="str">
        <f>IF(ISNUMBER(SEARCH("Adjustment",$C2667)),"excluded",IF($H2667="Behind the Meter","excluded",IF(NOT(OR($E2667="Bundled",$E2667="Energy")),"excluded",IF(OR($H2667="Retail Power Marketer",$H2667="Community Choice Aggregator",$E2667="Energy"),"procurement",IF(OR($H2667="Municipal",$H2667="Cooperative",$H2667="Federal",$H2667="State",$H2667="Political Subdivision"),"cost_service",IF($H2667="Investor Owned",IF(AND(COUNTIF(Parameters!$A$4:$A$33,$G2667)&gt;0,COUNTIF(Parameters!$B$4:$B$33,$B2667)=0),"procurement","cost_service"),"unclassified"))))))</f>
        <v>excluded</v>
      </c>
    </row>
    <row r="2668" spans="1:26" x14ac:dyDescent="0.25">
      <c r="A2668">
        <v>2024</v>
      </c>
      <c r="B2668">
        <v>99999</v>
      </c>
      <c r="C2668" t="s">
        <v>1706</v>
      </c>
      <c r="D2668" t="s">
        <v>84</v>
      </c>
      <c r="E2668" t="s">
        <v>85</v>
      </c>
      <c r="F2668" t="s">
        <v>1707</v>
      </c>
      <c r="G2668" t="s">
        <v>361</v>
      </c>
      <c r="I2668" t="s">
        <v>246</v>
      </c>
      <c r="J2668">
        <v>0</v>
      </c>
      <c r="K2668">
        <v>0</v>
      </c>
      <c r="L2668">
        <v>-1051</v>
      </c>
      <c r="M2668">
        <v>0</v>
      </c>
      <c r="N2668">
        <v>0</v>
      </c>
      <c r="O2668">
        <v>0</v>
      </c>
      <c r="P2668">
        <v>5068.2</v>
      </c>
      <c r="Q2668">
        <v>41600</v>
      </c>
      <c r="R2668">
        <v>1</v>
      </c>
      <c r="S2668">
        <v>0</v>
      </c>
      <c r="T2668">
        <v>0</v>
      </c>
      <c r="U2668">
        <v>0</v>
      </c>
      <c r="V2668">
        <v>5068.2</v>
      </c>
      <c r="W2668">
        <v>41600</v>
      </c>
      <c r="X2668">
        <v>-1050</v>
      </c>
      <c r="Y2668">
        <f t="shared" si="41"/>
        <v>41600</v>
      </c>
      <c r="Z2668" t="str">
        <f>IF(ISNUMBER(SEARCH("Adjustment",$C2668)),"excluded",IF($H2668="Behind the Meter","excluded",IF(NOT(OR($E2668="Bundled",$E2668="Energy")),"excluded",IF(OR($H2668="Retail Power Marketer",$H2668="Community Choice Aggregator",$E2668="Energy"),"procurement",IF(OR($H2668="Municipal",$H2668="Cooperative",$H2668="Federal",$H2668="State",$H2668="Political Subdivision"),"cost_service",IF($H2668="Investor Owned",IF(AND(COUNTIF(Parameters!$A$4:$A$33,$G2668)&gt;0,COUNTIF(Parameters!$B$4:$B$33,$B2668)=0),"procurement","cost_service"),"unclassified"))))))</f>
        <v>excluded</v>
      </c>
    </row>
    <row r="2669" spans="1:26" x14ac:dyDescent="0.25">
      <c r="A2669">
        <v>2024</v>
      </c>
      <c r="B2669">
        <v>99999</v>
      </c>
      <c r="C2669" t="s">
        <v>1706</v>
      </c>
      <c r="D2669" t="s">
        <v>84</v>
      </c>
      <c r="E2669" t="s">
        <v>85</v>
      </c>
      <c r="F2669" t="s">
        <v>1707</v>
      </c>
      <c r="G2669" t="s">
        <v>361</v>
      </c>
      <c r="I2669" t="s">
        <v>523</v>
      </c>
      <c r="J2669">
        <v>31994.5</v>
      </c>
      <c r="K2669">
        <v>215168</v>
      </c>
      <c r="L2669">
        <v>-5087</v>
      </c>
      <c r="M2669">
        <v>49587.199999999997</v>
      </c>
      <c r="N2669">
        <v>401912</v>
      </c>
      <c r="O2669">
        <v>7200</v>
      </c>
      <c r="P2669">
        <v>9750.2999999999993</v>
      </c>
      <c r="Q2669">
        <v>104437</v>
      </c>
      <c r="R2669">
        <v>286</v>
      </c>
      <c r="S2669">
        <v>0</v>
      </c>
      <c r="T2669">
        <v>0</v>
      </c>
      <c r="U2669">
        <v>0</v>
      </c>
      <c r="V2669">
        <v>91332</v>
      </c>
      <c r="W2669">
        <v>721517</v>
      </c>
      <c r="X2669">
        <v>2399</v>
      </c>
      <c r="Y2669">
        <f t="shared" si="41"/>
        <v>721517</v>
      </c>
      <c r="Z2669" t="str">
        <f>IF(ISNUMBER(SEARCH("Adjustment",$C2669)),"excluded",IF($H2669="Behind the Meter","excluded",IF(NOT(OR($E2669="Bundled",$E2669="Energy")),"excluded",IF(OR($H2669="Retail Power Marketer",$H2669="Community Choice Aggregator",$E2669="Energy"),"procurement",IF(OR($H2669="Municipal",$H2669="Cooperative",$H2669="Federal",$H2669="State",$H2669="Political Subdivision"),"cost_service",IF($H2669="Investor Owned",IF(AND(COUNTIF(Parameters!$A$4:$A$33,$G2669)&gt;0,COUNTIF(Parameters!$B$4:$B$33,$B2669)=0),"procurement","cost_service"),"unclassified"))))))</f>
        <v>excluded</v>
      </c>
    </row>
    <row r="2670" spans="1:26" x14ac:dyDescent="0.25">
      <c r="A2670">
        <v>2024</v>
      </c>
      <c r="B2670">
        <v>99999</v>
      </c>
      <c r="C2670" t="s">
        <v>1706</v>
      </c>
      <c r="D2670" t="s">
        <v>84</v>
      </c>
      <c r="E2670" t="s">
        <v>85</v>
      </c>
      <c r="F2670" t="s">
        <v>1707</v>
      </c>
      <c r="G2670" t="s">
        <v>361</v>
      </c>
      <c r="I2670" t="s">
        <v>259</v>
      </c>
      <c r="J2670">
        <v>58325.9</v>
      </c>
      <c r="K2670">
        <v>343492</v>
      </c>
      <c r="L2670">
        <v>43222</v>
      </c>
      <c r="M2670">
        <v>33151.199999999997</v>
      </c>
      <c r="N2670">
        <v>255700</v>
      </c>
      <c r="O2670">
        <v>7146</v>
      </c>
      <c r="P2670">
        <v>3358.3</v>
      </c>
      <c r="Q2670">
        <v>17517</v>
      </c>
      <c r="R2670">
        <v>168</v>
      </c>
      <c r="S2670">
        <v>0</v>
      </c>
      <c r="T2670">
        <v>0</v>
      </c>
      <c r="U2670">
        <v>0</v>
      </c>
      <c r="V2670">
        <v>94835.4</v>
      </c>
      <c r="W2670">
        <v>616709</v>
      </c>
      <c r="X2670">
        <v>50536</v>
      </c>
      <c r="Y2670">
        <f t="shared" si="41"/>
        <v>616709</v>
      </c>
      <c r="Z2670" t="str">
        <f>IF(ISNUMBER(SEARCH("Adjustment",$C2670)),"excluded",IF($H2670="Behind the Meter","excluded",IF(NOT(OR($E2670="Bundled",$E2670="Energy")),"excluded",IF(OR($H2670="Retail Power Marketer",$H2670="Community Choice Aggregator",$E2670="Energy"),"procurement",IF(OR($H2670="Municipal",$H2670="Cooperative",$H2670="Federal",$H2670="State",$H2670="Political Subdivision"),"cost_service",IF($H2670="Investor Owned",IF(AND(COUNTIF(Parameters!$A$4:$A$33,$G2670)&gt;0,COUNTIF(Parameters!$B$4:$B$33,$B2670)=0),"procurement","cost_service"),"unclassified"))))))</f>
        <v>excluded</v>
      </c>
    </row>
    <row r="2671" spans="1:26" x14ac:dyDescent="0.25">
      <c r="A2671">
        <v>2024</v>
      </c>
      <c r="B2671">
        <v>99999</v>
      </c>
      <c r="C2671" t="s">
        <v>1706</v>
      </c>
      <c r="D2671" t="s">
        <v>84</v>
      </c>
      <c r="E2671" t="s">
        <v>85</v>
      </c>
      <c r="F2671" t="s">
        <v>1707</v>
      </c>
      <c r="G2671" t="s">
        <v>361</v>
      </c>
      <c r="I2671" t="s">
        <v>135</v>
      </c>
      <c r="J2671">
        <v>0</v>
      </c>
      <c r="K2671">
        <v>0</v>
      </c>
      <c r="L2671">
        <v>0</v>
      </c>
      <c r="M2671">
        <v>231</v>
      </c>
      <c r="N2671">
        <v>3000</v>
      </c>
      <c r="O2671">
        <v>1</v>
      </c>
      <c r="P2671">
        <v>0</v>
      </c>
      <c r="Q2671">
        <v>0</v>
      </c>
      <c r="R2671">
        <v>0</v>
      </c>
      <c r="S2671">
        <v>0</v>
      </c>
      <c r="T2671">
        <v>0</v>
      </c>
      <c r="U2671">
        <v>0</v>
      </c>
      <c r="V2671">
        <v>231</v>
      </c>
      <c r="W2671">
        <v>3000</v>
      </c>
      <c r="X2671">
        <v>1</v>
      </c>
      <c r="Y2671">
        <f t="shared" si="41"/>
        <v>3000</v>
      </c>
      <c r="Z2671" t="str">
        <f>IF(ISNUMBER(SEARCH("Adjustment",$C2671)),"excluded",IF($H2671="Behind the Meter","excluded",IF(NOT(OR($E2671="Bundled",$E2671="Energy")),"excluded",IF(OR($H2671="Retail Power Marketer",$H2671="Community Choice Aggregator",$E2671="Energy"),"procurement",IF(OR($H2671="Municipal",$H2671="Cooperative",$H2671="Federal",$H2671="State",$H2671="Political Subdivision"),"cost_service",IF($H2671="Investor Owned",IF(AND(COUNTIF(Parameters!$A$4:$A$33,$G2671)&gt;0,COUNTIF(Parameters!$B$4:$B$33,$B2671)=0),"procurement","cost_service"),"unclassified"))))))</f>
        <v>excluded</v>
      </c>
    </row>
    <row r="2672" spans="1:26" x14ac:dyDescent="0.25">
      <c r="A2672">
        <v>2024</v>
      </c>
      <c r="B2672">
        <v>99999</v>
      </c>
      <c r="C2672" t="s">
        <v>1706</v>
      </c>
      <c r="D2672" t="s">
        <v>84</v>
      </c>
      <c r="E2672" t="s">
        <v>85</v>
      </c>
      <c r="F2672" t="s">
        <v>1707</v>
      </c>
      <c r="G2672" t="s">
        <v>40</v>
      </c>
      <c r="I2672" t="s">
        <v>189</v>
      </c>
      <c r="J2672">
        <v>17505.8</v>
      </c>
      <c r="K2672">
        <v>95807</v>
      </c>
      <c r="L2672">
        <v>-41027</v>
      </c>
      <c r="M2672">
        <v>41506.699999999997</v>
      </c>
      <c r="N2672">
        <v>325752</v>
      </c>
      <c r="O2672">
        <v>1982</v>
      </c>
      <c r="P2672">
        <v>3615.6</v>
      </c>
      <c r="Q2672">
        <v>22410</v>
      </c>
      <c r="R2672">
        <v>48</v>
      </c>
      <c r="S2672">
        <v>0</v>
      </c>
      <c r="T2672">
        <v>0</v>
      </c>
      <c r="U2672">
        <v>0</v>
      </c>
      <c r="V2672">
        <v>62628.1</v>
      </c>
      <c r="W2672">
        <v>443969</v>
      </c>
      <c r="X2672">
        <v>-38997</v>
      </c>
      <c r="Y2672">
        <f t="shared" si="41"/>
        <v>443969</v>
      </c>
      <c r="Z2672" t="str">
        <f>IF(ISNUMBER(SEARCH("Adjustment",$C2672)),"excluded",IF($H2672="Behind the Meter","excluded",IF(NOT(OR($E2672="Bundled",$E2672="Energy")),"excluded",IF(OR($H2672="Retail Power Marketer",$H2672="Community Choice Aggregator",$E2672="Energy"),"procurement",IF(OR($H2672="Municipal",$H2672="Cooperative",$H2672="Federal",$H2672="State",$H2672="Political Subdivision"),"cost_service",IF($H2672="Investor Owned",IF(AND(COUNTIF(Parameters!$A$4:$A$33,$G2672)&gt;0,COUNTIF(Parameters!$B$4:$B$33,$B2672)=0),"procurement","cost_service"),"unclassified"))))))</f>
        <v>excluded</v>
      </c>
    </row>
    <row r="2673" spans="1:26" x14ac:dyDescent="0.25">
      <c r="A2673">
        <v>2024</v>
      </c>
      <c r="B2673">
        <v>99999</v>
      </c>
      <c r="C2673" t="s">
        <v>1706</v>
      </c>
      <c r="D2673" t="s">
        <v>84</v>
      </c>
      <c r="E2673" t="s">
        <v>85</v>
      </c>
      <c r="F2673" t="s">
        <v>1707</v>
      </c>
      <c r="G2673" t="s">
        <v>42</v>
      </c>
      <c r="I2673" t="s">
        <v>92</v>
      </c>
      <c r="J2673">
        <v>0</v>
      </c>
      <c r="K2673">
        <v>0</v>
      </c>
      <c r="L2673">
        <v>-622</v>
      </c>
      <c r="M2673">
        <v>492</v>
      </c>
      <c r="N2673">
        <v>9774</v>
      </c>
      <c r="O2673">
        <v>-1</v>
      </c>
      <c r="P2673">
        <v>0</v>
      </c>
      <c r="Q2673">
        <v>0</v>
      </c>
      <c r="R2673">
        <v>0</v>
      </c>
      <c r="S2673">
        <v>0</v>
      </c>
      <c r="T2673">
        <v>0</v>
      </c>
      <c r="U2673">
        <v>0</v>
      </c>
      <c r="V2673">
        <v>492</v>
      </c>
      <c r="W2673">
        <v>9774</v>
      </c>
      <c r="X2673">
        <v>-623</v>
      </c>
      <c r="Y2673">
        <f t="shared" si="41"/>
        <v>9774</v>
      </c>
      <c r="Z2673" t="str">
        <f>IF(ISNUMBER(SEARCH("Adjustment",$C2673)),"excluded",IF($H2673="Behind the Meter","excluded",IF(NOT(OR($E2673="Bundled",$E2673="Energy")),"excluded",IF(OR($H2673="Retail Power Marketer",$H2673="Community Choice Aggregator",$E2673="Energy"),"procurement",IF(OR($H2673="Municipal",$H2673="Cooperative",$H2673="Federal",$H2673="State",$H2673="Political Subdivision"),"cost_service",IF($H2673="Investor Owned",IF(AND(COUNTIF(Parameters!$A$4:$A$33,$G2673)&gt;0,COUNTIF(Parameters!$B$4:$B$33,$B2673)=0),"procurement","cost_service"),"unclassified"))))))</f>
        <v>excluded</v>
      </c>
    </row>
    <row r="2674" spans="1:26" x14ac:dyDescent="0.25">
      <c r="A2674">
        <v>2024</v>
      </c>
      <c r="B2674">
        <v>99999</v>
      </c>
      <c r="C2674" t="s">
        <v>1706</v>
      </c>
      <c r="D2674" t="s">
        <v>84</v>
      </c>
      <c r="E2674" t="s">
        <v>85</v>
      </c>
      <c r="F2674" t="s">
        <v>1707</v>
      </c>
      <c r="G2674" t="s">
        <v>44</v>
      </c>
      <c r="I2674" t="s">
        <v>92</v>
      </c>
      <c r="J2674">
        <v>28522.3</v>
      </c>
      <c r="K2674">
        <v>168789</v>
      </c>
      <c r="L2674">
        <v>13254</v>
      </c>
      <c r="M2674">
        <v>14452.8</v>
      </c>
      <c r="N2674">
        <v>98945</v>
      </c>
      <c r="O2674">
        <v>2402</v>
      </c>
      <c r="P2674">
        <v>18293.400000000001</v>
      </c>
      <c r="Q2674">
        <v>145064</v>
      </c>
      <c r="R2674">
        <v>229</v>
      </c>
      <c r="S2674">
        <v>0</v>
      </c>
      <c r="T2674">
        <v>0</v>
      </c>
      <c r="U2674">
        <v>0</v>
      </c>
      <c r="V2674">
        <v>61268.5</v>
      </c>
      <c r="W2674">
        <v>412798</v>
      </c>
      <c r="X2674">
        <v>15885</v>
      </c>
      <c r="Y2674">
        <f t="shared" si="41"/>
        <v>412798</v>
      </c>
      <c r="Z2674" t="str">
        <f>IF(ISNUMBER(SEARCH("Adjustment",$C2674)),"excluded",IF($H2674="Behind the Meter","excluded",IF(NOT(OR($E2674="Bundled",$E2674="Energy")),"excluded",IF(OR($H2674="Retail Power Marketer",$H2674="Community Choice Aggregator",$E2674="Energy"),"procurement",IF(OR($H2674="Municipal",$H2674="Cooperative",$H2674="Federal",$H2674="State",$H2674="Political Subdivision"),"cost_service",IF($H2674="Investor Owned",IF(AND(COUNTIF(Parameters!$A$4:$A$33,$G2674)&gt;0,COUNTIF(Parameters!$B$4:$B$33,$B2674)=0),"procurement","cost_service"),"unclassified"))))))</f>
        <v>excluded</v>
      </c>
    </row>
    <row r="2675" spans="1:26" x14ac:dyDescent="0.25">
      <c r="A2675">
        <v>2024</v>
      </c>
      <c r="B2675">
        <v>99999</v>
      </c>
      <c r="C2675" t="s">
        <v>1706</v>
      </c>
      <c r="D2675" t="s">
        <v>84</v>
      </c>
      <c r="E2675" t="s">
        <v>85</v>
      </c>
      <c r="F2675" t="s">
        <v>1707</v>
      </c>
      <c r="G2675" t="s">
        <v>195</v>
      </c>
      <c r="I2675" t="s">
        <v>514</v>
      </c>
      <c r="J2675">
        <v>4042.7</v>
      </c>
      <c r="K2675">
        <v>32447</v>
      </c>
      <c r="L2675">
        <v>-8273</v>
      </c>
      <c r="M2675">
        <v>6291.7</v>
      </c>
      <c r="N2675">
        <v>49738</v>
      </c>
      <c r="O2675">
        <v>896</v>
      </c>
      <c r="P2675">
        <v>0</v>
      </c>
      <c r="Q2675">
        <v>0</v>
      </c>
      <c r="R2675">
        <v>0</v>
      </c>
      <c r="S2675">
        <v>0</v>
      </c>
      <c r="T2675">
        <v>0</v>
      </c>
      <c r="U2675">
        <v>0</v>
      </c>
      <c r="V2675">
        <v>10334.4</v>
      </c>
      <c r="W2675">
        <v>82185</v>
      </c>
      <c r="X2675">
        <v>-7377</v>
      </c>
      <c r="Y2675">
        <f t="shared" si="41"/>
        <v>82185</v>
      </c>
      <c r="Z2675" t="str">
        <f>IF(ISNUMBER(SEARCH("Adjustment",$C2675)),"excluded",IF($H2675="Behind the Meter","excluded",IF(NOT(OR($E2675="Bundled",$E2675="Energy")),"excluded",IF(OR($H2675="Retail Power Marketer",$H2675="Community Choice Aggregator",$E2675="Energy"),"procurement",IF(OR($H2675="Municipal",$H2675="Cooperative",$H2675="Federal",$H2675="State",$H2675="Political Subdivision"),"cost_service",IF($H2675="Investor Owned",IF(AND(COUNTIF(Parameters!$A$4:$A$33,$G2675)&gt;0,COUNTIF(Parameters!$B$4:$B$33,$B2675)=0),"procurement","cost_service"),"unclassified"))))))</f>
        <v>excluded</v>
      </c>
    </row>
    <row r="2676" spans="1:26" x14ac:dyDescent="0.25">
      <c r="A2676">
        <v>2024</v>
      </c>
      <c r="B2676">
        <v>99999</v>
      </c>
      <c r="C2676" t="s">
        <v>1706</v>
      </c>
      <c r="D2676" t="s">
        <v>84</v>
      </c>
      <c r="E2676" t="s">
        <v>85</v>
      </c>
      <c r="F2676" t="s">
        <v>1707</v>
      </c>
      <c r="G2676" t="s">
        <v>195</v>
      </c>
      <c r="I2676" t="s">
        <v>196</v>
      </c>
      <c r="J2676">
        <v>41892.199999999997</v>
      </c>
      <c r="K2676">
        <v>342123</v>
      </c>
      <c r="L2676">
        <v>14456</v>
      </c>
      <c r="M2676">
        <v>40115</v>
      </c>
      <c r="N2676">
        <v>398246</v>
      </c>
      <c r="O2676">
        <v>5965</v>
      </c>
      <c r="P2676">
        <v>5612.1</v>
      </c>
      <c r="Q2676">
        <v>39979</v>
      </c>
      <c r="R2676">
        <v>154</v>
      </c>
      <c r="S2676">
        <v>0</v>
      </c>
      <c r="T2676">
        <v>0</v>
      </c>
      <c r="U2676">
        <v>0</v>
      </c>
      <c r="V2676">
        <v>87619.3</v>
      </c>
      <c r="W2676">
        <v>780348</v>
      </c>
      <c r="X2676">
        <v>20575</v>
      </c>
      <c r="Y2676">
        <f t="shared" si="41"/>
        <v>780348</v>
      </c>
      <c r="Z2676" t="str">
        <f>IF(ISNUMBER(SEARCH("Adjustment",$C2676)),"excluded",IF($H2676="Behind the Meter","excluded",IF(NOT(OR($E2676="Bundled",$E2676="Energy")),"excluded",IF(OR($H2676="Retail Power Marketer",$H2676="Community Choice Aggregator",$E2676="Energy"),"procurement",IF(OR($H2676="Municipal",$H2676="Cooperative",$H2676="Federal",$H2676="State",$H2676="Political Subdivision"),"cost_service",IF($H2676="Investor Owned",IF(AND(COUNTIF(Parameters!$A$4:$A$33,$G2676)&gt;0,COUNTIF(Parameters!$B$4:$B$33,$B2676)=0),"procurement","cost_service"),"unclassified"))))))</f>
        <v>excluded</v>
      </c>
    </row>
    <row r="2677" spans="1:26" x14ac:dyDescent="0.25">
      <c r="A2677">
        <v>2024</v>
      </c>
      <c r="B2677">
        <v>99999</v>
      </c>
      <c r="C2677" t="s">
        <v>1706</v>
      </c>
      <c r="D2677" t="s">
        <v>84</v>
      </c>
      <c r="E2677" t="s">
        <v>85</v>
      </c>
      <c r="F2677" t="s">
        <v>1707</v>
      </c>
      <c r="G2677" t="s">
        <v>195</v>
      </c>
      <c r="I2677" t="s">
        <v>546</v>
      </c>
      <c r="J2677">
        <v>0</v>
      </c>
      <c r="K2677">
        <v>0</v>
      </c>
      <c r="L2677">
        <v>-19</v>
      </c>
      <c r="M2677">
        <v>0</v>
      </c>
      <c r="N2677">
        <v>0</v>
      </c>
      <c r="O2677">
        <v>-2</v>
      </c>
      <c r="P2677">
        <v>0</v>
      </c>
      <c r="Q2677">
        <v>0</v>
      </c>
      <c r="R2677">
        <v>0</v>
      </c>
      <c r="S2677">
        <v>0</v>
      </c>
      <c r="T2677">
        <v>0</v>
      </c>
      <c r="U2677">
        <v>0</v>
      </c>
      <c r="V2677">
        <v>0</v>
      </c>
      <c r="W2677">
        <v>0</v>
      </c>
      <c r="X2677">
        <v>-21</v>
      </c>
      <c r="Y2677">
        <f t="shared" si="41"/>
        <v>0</v>
      </c>
      <c r="Z2677" t="str">
        <f>IF(ISNUMBER(SEARCH("Adjustment",$C2677)),"excluded",IF($H2677="Behind the Meter","excluded",IF(NOT(OR($E2677="Bundled",$E2677="Energy")),"excluded",IF(OR($H2677="Retail Power Marketer",$H2677="Community Choice Aggregator",$E2677="Energy"),"procurement",IF(OR($H2677="Municipal",$H2677="Cooperative",$H2677="Federal",$H2677="State",$H2677="Political Subdivision"),"cost_service",IF($H2677="Investor Owned",IF(AND(COUNTIF(Parameters!$A$4:$A$33,$G2677)&gt;0,COUNTIF(Parameters!$B$4:$B$33,$B2677)=0),"procurement","cost_service"),"unclassified"))))))</f>
        <v>excluded</v>
      </c>
    </row>
    <row r="2678" spans="1:26" x14ac:dyDescent="0.25">
      <c r="A2678">
        <v>2024</v>
      </c>
      <c r="B2678">
        <v>99999</v>
      </c>
      <c r="C2678" t="s">
        <v>1706</v>
      </c>
      <c r="D2678" t="s">
        <v>84</v>
      </c>
      <c r="E2678" t="s">
        <v>85</v>
      </c>
      <c r="F2678" t="s">
        <v>1707</v>
      </c>
      <c r="G2678" t="s">
        <v>195</v>
      </c>
      <c r="I2678" t="s">
        <v>624</v>
      </c>
      <c r="J2678">
        <v>0</v>
      </c>
      <c r="K2678">
        <v>0</v>
      </c>
      <c r="L2678">
        <v>-242</v>
      </c>
      <c r="M2678">
        <v>0</v>
      </c>
      <c r="N2678">
        <v>0</v>
      </c>
      <c r="O2678">
        <v>0</v>
      </c>
      <c r="P2678">
        <v>0</v>
      </c>
      <c r="Q2678">
        <v>0</v>
      </c>
      <c r="R2678">
        <v>0</v>
      </c>
      <c r="S2678">
        <v>0</v>
      </c>
      <c r="T2678">
        <v>0</v>
      </c>
      <c r="U2678">
        <v>0</v>
      </c>
      <c r="V2678">
        <v>0</v>
      </c>
      <c r="W2678">
        <v>0</v>
      </c>
      <c r="X2678">
        <v>-242</v>
      </c>
      <c r="Y2678">
        <f t="shared" si="41"/>
        <v>0</v>
      </c>
      <c r="Z2678" t="str">
        <f>IF(ISNUMBER(SEARCH("Adjustment",$C2678)),"excluded",IF($H2678="Behind the Meter","excluded",IF(NOT(OR($E2678="Bundled",$E2678="Energy")),"excluded",IF(OR($H2678="Retail Power Marketer",$H2678="Community Choice Aggregator",$E2678="Energy"),"procurement",IF(OR($H2678="Municipal",$H2678="Cooperative",$H2678="Federal",$H2678="State",$H2678="Political Subdivision"),"cost_service",IF($H2678="Investor Owned",IF(AND(COUNTIF(Parameters!$A$4:$A$33,$G2678)&gt;0,COUNTIF(Parameters!$B$4:$B$33,$B2678)=0),"procurement","cost_service"),"unclassified"))))))</f>
        <v>excluded</v>
      </c>
    </row>
    <row r="2679" spans="1:26" x14ac:dyDescent="0.25">
      <c r="A2679">
        <v>2024</v>
      </c>
      <c r="B2679">
        <v>99999</v>
      </c>
      <c r="C2679" t="s">
        <v>1706</v>
      </c>
      <c r="D2679" t="s">
        <v>84</v>
      </c>
      <c r="E2679" t="s">
        <v>85</v>
      </c>
      <c r="F2679" t="s">
        <v>1707</v>
      </c>
      <c r="G2679" t="s">
        <v>195</v>
      </c>
      <c r="I2679" t="s">
        <v>518</v>
      </c>
      <c r="J2679">
        <v>0</v>
      </c>
      <c r="K2679">
        <v>0</v>
      </c>
      <c r="L2679">
        <v>-121</v>
      </c>
      <c r="M2679">
        <v>0</v>
      </c>
      <c r="N2679">
        <v>0</v>
      </c>
      <c r="O2679">
        <v>0</v>
      </c>
      <c r="P2679">
        <v>0</v>
      </c>
      <c r="Q2679">
        <v>0</v>
      </c>
      <c r="R2679">
        <v>0</v>
      </c>
      <c r="S2679">
        <v>0</v>
      </c>
      <c r="T2679">
        <v>0</v>
      </c>
      <c r="U2679">
        <v>0</v>
      </c>
      <c r="V2679">
        <v>0</v>
      </c>
      <c r="W2679">
        <v>0</v>
      </c>
      <c r="X2679">
        <v>-121</v>
      </c>
      <c r="Y2679">
        <f t="shared" si="41"/>
        <v>0</v>
      </c>
      <c r="Z2679" t="str">
        <f>IF(ISNUMBER(SEARCH("Adjustment",$C2679)),"excluded",IF($H2679="Behind the Meter","excluded",IF(NOT(OR($E2679="Bundled",$E2679="Energy")),"excluded",IF(OR($H2679="Retail Power Marketer",$H2679="Community Choice Aggregator",$E2679="Energy"),"procurement",IF(OR($H2679="Municipal",$H2679="Cooperative",$H2679="Federal",$H2679="State",$H2679="Political Subdivision"),"cost_service",IF($H2679="Investor Owned",IF(AND(COUNTIF(Parameters!$A$4:$A$33,$G2679)&gt;0,COUNTIF(Parameters!$B$4:$B$33,$B2679)=0),"procurement","cost_service"),"unclassified"))))))</f>
        <v>excluded</v>
      </c>
    </row>
    <row r="2680" spans="1:26" x14ac:dyDescent="0.25">
      <c r="A2680">
        <v>2024</v>
      </c>
      <c r="B2680">
        <v>99999</v>
      </c>
      <c r="C2680" t="s">
        <v>1706</v>
      </c>
      <c r="D2680" t="s">
        <v>84</v>
      </c>
      <c r="E2680" t="s">
        <v>85</v>
      </c>
      <c r="F2680" t="s">
        <v>1707</v>
      </c>
      <c r="G2680" t="s">
        <v>195</v>
      </c>
      <c r="I2680" t="s">
        <v>113</v>
      </c>
      <c r="J2680">
        <v>1573.9</v>
      </c>
      <c r="K2680">
        <v>10412</v>
      </c>
      <c r="L2680">
        <v>994</v>
      </c>
      <c r="M2680">
        <v>2979.1</v>
      </c>
      <c r="N2680">
        <v>19927</v>
      </c>
      <c r="O2680">
        <v>58</v>
      </c>
      <c r="P2680">
        <v>0</v>
      </c>
      <c r="Q2680">
        <v>0</v>
      </c>
      <c r="R2680">
        <v>0</v>
      </c>
      <c r="S2680">
        <v>0</v>
      </c>
      <c r="T2680">
        <v>0</v>
      </c>
      <c r="U2680">
        <v>0</v>
      </c>
      <c r="V2680">
        <v>4553</v>
      </c>
      <c r="W2680">
        <v>30339</v>
      </c>
      <c r="X2680">
        <v>1052</v>
      </c>
      <c r="Y2680">
        <f t="shared" si="41"/>
        <v>30339</v>
      </c>
      <c r="Z2680" t="str">
        <f>IF(ISNUMBER(SEARCH("Adjustment",$C2680)),"excluded",IF($H2680="Behind the Meter","excluded",IF(NOT(OR($E2680="Bundled",$E2680="Energy")),"excluded",IF(OR($H2680="Retail Power Marketer",$H2680="Community Choice Aggregator",$E2680="Energy"),"procurement",IF(OR($H2680="Municipal",$H2680="Cooperative",$H2680="Federal",$H2680="State",$H2680="Political Subdivision"),"cost_service",IF($H2680="Investor Owned",IF(AND(COUNTIF(Parameters!$A$4:$A$33,$G2680)&gt;0,COUNTIF(Parameters!$B$4:$B$33,$B2680)=0),"procurement","cost_service"),"unclassified"))))))</f>
        <v>excluded</v>
      </c>
    </row>
    <row r="2681" spans="1:26" x14ac:dyDescent="0.25">
      <c r="A2681">
        <v>2024</v>
      </c>
      <c r="B2681">
        <v>99999</v>
      </c>
      <c r="C2681" t="s">
        <v>1706</v>
      </c>
      <c r="D2681" t="s">
        <v>84</v>
      </c>
      <c r="E2681" t="s">
        <v>85</v>
      </c>
      <c r="F2681" t="s">
        <v>1707</v>
      </c>
      <c r="G2681" t="s">
        <v>195</v>
      </c>
      <c r="I2681" t="s">
        <v>1210</v>
      </c>
      <c r="J2681">
        <v>0</v>
      </c>
      <c r="K2681">
        <v>0</v>
      </c>
      <c r="L2681">
        <v>-3651</v>
      </c>
      <c r="M2681">
        <v>450</v>
      </c>
      <c r="N2681">
        <v>2373</v>
      </c>
      <c r="O2681">
        <v>1</v>
      </c>
      <c r="P2681">
        <v>0</v>
      </c>
      <c r="Q2681">
        <v>0</v>
      </c>
      <c r="R2681">
        <v>0</v>
      </c>
      <c r="S2681">
        <v>0</v>
      </c>
      <c r="T2681">
        <v>0</v>
      </c>
      <c r="U2681">
        <v>0</v>
      </c>
      <c r="V2681">
        <v>450</v>
      </c>
      <c r="W2681">
        <v>2373</v>
      </c>
      <c r="X2681">
        <v>-3650</v>
      </c>
      <c r="Y2681">
        <f t="shared" si="41"/>
        <v>2373</v>
      </c>
      <c r="Z2681" t="str">
        <f>IF(ISNUMBER(SEARCH("Adjustment",$C2681)),"excluded",IF($H2681="Behind the Meter","excluded",IF(NOT(OR($E2681="Bundled",$E2681="Energy")),"excluded",IF(OR($H2681="Retail Power Marketer",$H2681="Community Choice Aggregator",$E2681="Energy"),"procurement",IF(OR($H2681="Municipal",$H2681="Cooperative",$H2681="Federal",$H2681="State",$H2681="Political Subdivision"),"cost_service",IF($H2681="Investor Owned",IF(AND(COUNTIF(Parameters!$A$4:$A$33,$G2681)&gt;0,COUNTIF(Parameters!$B$4:$B$33,$B2681)=0),"procurement","cost_service"),"unclassified"))))))</f>
        <v>excluded</v>
      </c>
    </row>
    <row r="2682" spans="1:26" x14ac:dyDescent="0.25">
      <c r="A2682">
        <v>2024</v>
      </c>
      <c r="B2682">
        <v>99999</v>
      </c>
      <c r="C2682" t="s">
        <v>1706</v>
      </c>
      <c r="D2682" t="s">
        <v>84</v>
      </c>
      <c r="E2682" t="s">
        <v>85</v>
      </c>
      <c r="F2682" t="s">
        <v>1707</v>
      </c>
      <c r="G2682" t="s">
        <v>195</v>
      </c>
      <c r="I2682" t="s">
        <v>299</v>
      </c>
      <c r="J2682">
        <v>0</v>
      </c>
      <c r="K2682">
        <v>0</v>
      </c>
      <c r="L2682">
        <v>-1055</v>
      </c>
      <c r="M2682">
        <v>0</v>
      </c>
      <c r="N2682">
        <v>0</v>
      </c>
      <c r="O2682">
        <v>0</v>
      </c>
      <c r="P2682">
        <v>0</v>
      </c>
      <c r="Q2682">
        <v>0</v>
      </c>
      <c r="R2682">
        <v>0</v>
      </c>
      <c r="S2682">
        <v>0</v>
      </c>
      <c r="T2682">
        <v>0</v>
      </c>
      <c r="U2682">
        <v>0</v>
      </c>
      <c r="V2682">
        <v>0</v>
      </c>
      <c r="W2682">
        <v>0</v>
      </c>
      <c r="X2682">
        <v>-1055</v>
      </c>
      <c r="Y2682">
        <f t="shared" si="41"/>
        <v>0</v>
      </c>
      <c r="Z2682" t="str">
        <f>IF(ISNUMBER(SEARCH("Adjustment",$C2682)),"excluded",IF($H2682="Behind the Meter","excluded",IF(NOT(OR($E2682="Bundled",$E2682="Energy")),"excluded",IF(OR($H2682="Retail Power Marketer",$H2682="Community Choice Aggregator",$E2682="Energy"),"procurement",IF(OR($H2682="Municipal",$H2682="Cooperative",$H2682="Federal",$H2682="State",$H2682="Political Subdivision"),"cost_service",IF($H2682="Investor Owned",IF(AND(COUNTIF(Parameters!$A$4:$A$33,$G2682)&gt;0,COUNTIF(Parameters!$B$4:$B$33,$B2682)=0),"procurement","cost_service"),"unclassified"))))))</f>
        <v>excluded</v>
      </c>
    </row>
    <row r="2683" spans="1:26" x14ac:dyDescent="0.25">
      <c r="A2683">
        <v>2024</v>
      </c>
      <c r="B2683">
        <v>99999</v>
      </c>
      <c r="C2683" t="s">
        <v>1706</v>
      </c>
      <c r="D2683" t="s">
        <v>84</v>
      </c>
      <c r="E2683" t="s">
        <v>85</v>
      </c>
      <c r="F2683" t="s">
        <v>1707</v>
      </c>
      <c r="G2683" t="s">
        <v>195</v>
      </c>
      <c r="I2683" t="s">
        <v>528</v>
      </c>
      <c r="J2683">
        <v>6272.4</v>
      </c>
      <c r="K2683">
        <v>51648</v>
      </c>
      <c r="L2683">
        <v>3619</v>
      </c>
      <c r="M2683">
        <v>7236.6</v>
      </c>
      <c r="N2683">
        <v>58473</v>
      </c>
      <c r="O2683">
        <v>785</v>
      </c>
      <c r="P2683">
        <v>0</v>
      </c>
      <c r="Q2683">
        <v>0</v>
      </c>
      <c r="R2683">
        <v>0</v>
      </c>
      <c r="S2683">
        <v>0</v>
      </c>
      <c r="T2683">
        <v>0</v>
      </c>
      <c r="U2683">
        <v>0</v>
      </c>
      <c r="V2683">
        <v>13509</v>
      </c>
      <c r="W2683">
        <v>110121</v>
      </c>
      <c r="X2683">
        <v>4404</v>
      </c>
      <c r="Y2683">
        <f t="shared" si="41"/>
        <v>110121</v>
      </c>
      <c r="Z2683" t="str">
        <f>IF(ISNUMBER(SEARCH("Adjustment",$C2683)),"excluded",IF($H2683="Behind the Meter","excluded",IF(NOT(OR($E2683="Bundled",$E2683="Energy")),"excluded",IF(OR($H2683="Retail Power Marketer",$H2683="Community Choice Aggregator",$E2683="Energy"),"procurement",IF(OR($H2683="Municipal",$H2683="Cooperative",$H2683="Federal",$H2683="State",$H2683="Political Subdivision"),"cost_service",IF($H2683="Investor Owned",IF(AND(COUNTIF(Parameters!$A$4:$A$33,$G2683)&gt;0,COUNTIF(Parameters!$B$4:$B$33,$B2683)=0),"procurement","cost_service"),"unclassified"))))))</f>
        <v>excluded</v>
      </c>
    </row>
    <row r="2684" spans="1:26" x14ac:dyDescent="0.25">
      <c r="A2684">
        <v>2024</v>
      </c>
      <c r="B2684">
        <v>99999</v>
      </c>
      <c r="C2684" t="s">
        <v>1706</v>
      </c>
      <c r="D2684" t="s">
        <v>84</v>
      </c>
      <c r="E2684" t="s">
        <v>85</v>
      </c>
      <c r="F2684" t="s">
        <v>1707</v>
      </c>
      <c r="G2684" t="s">
        <v>123</v>
      </c>
      <c r="I2684" t="s">
        <v>113</v>
      </c>
      <c r="J2684">
        <v>238214.8</v>
      </c>
      <c r="K2684">
        <v>1716637</v>
      </c>
      <c r="L2684">
        <v>137130</v>
      </c>
      <c r="M2684">
        <v>134310.70000000001</v>
      </c>
      <c r="N2684">
        <v>1184648</v>
      </c>
      <c r="O2684">
        <v>17516</v>
      </c>
      <c r="P2684">
        <v>79299.3</v>
      </c>
      <c r="Q2684">
        <v>782598</v>
      </c>
      <c r="R2684">
        <v>4093</v>
      </c>
      <c r="S2684">
        <v>0</v>
      </c>
      <c r="T2684">
        <v>0</v>
      </c>
      <c r="U2684">
        <v>0</v>
      </c>
      <c r="V2684">
        <v>451824.8</v>
      </c>
      <c r="W2684">
        <v>3683883</v>
      </c>
      <c r="X2684">
        <v>158739</v>
      </c>
      <c r="Y2684">
        <f t="shared" si="41"/>
        <v>3683883</v>
      </c>
      <c r="Z2684" t="str">
        <f>IF(ISNUMBER(SEARCH("Adjustment",$C2684)),"excluded",IF($H2684="Behind the Meter","excluded",IF(NOT(OR($E2684="Bundled",$E2684="Energy")),"excluded",IF(OR($H2684="Retail Power Marketer",$H2684="Community Choice Aggregator",$E2684="Energy"),"procurement",IF(OR($H2684="Municipal",$H2684="Cooperative",$H2684="Federal",$H2684="State",$H2684="Political Subdivision"),"cost_service",IF($H2684="Investor Owned",IF(AND(COUNTIF(Parameters!$A$4:$A$33,$G2684)&gt;0,COUNTIF(Parameters!$B$4:$B$33,$B2684)=0),"procurement","cost_service"),"unclassified"))))))</f>
        <v>excluded</v>
      </c>
    </row>
    <row r="2685" spans="1:26" x14ac:dyDescent="0.25">
      <c r="A2685">
        <v>2024</v>
      </c>
      <c r="B2685">
        <v>99999</v>
      </c>
      <c r="C2685" t="s">
        <v>1706</v>
      </c>
      <c r="D2685" t="s">
        <v>84</v>
      </c>
      <c r="E2685" t="s">
        <v>85</v>
      </c>
      <c r="F2685" t="s">
        <v>1707</v>
      </c>
      <c r="G2685" t="s">
        <v>123</v>
      </c>
      <c r="I2685" t="s">
        <v>1217</v>
      </c>
      <c r="J2685">
        <v>5482.1</v>
      </c>
      <c r="K2685">
        <v>44776</v>
      </c>
      <c r="L2685">
        <v>4225</v>
      </c>
      <c r="M2685">
        <v>5517.7</v>
      </c>
      <c r="N2685">
        <v>48459</v>
      </c>
      <c r="O2685">
        <v>674</v>
      </c>
      <c r="P2685">
        <v>2675.3</v>
      </c>
      <c r="Q2685">
        <v>40418</v>
      </c>
      <c r="R2685">
        <v>8</v>
      </c>
      <c r="S2685">
        <v>0</v>
      </c>
      <c r="T2685">
        <v>0</v>
      </c>
      <c r="U2685">
        <v>0</v>
      </c>
      <c r="V2685">
        <v>13675.1</v>
      </c>
      <c r="W2685">
        <v>133653</v>
      </c>
      <c r="X2685">
        <v>4907</v>
      </c>
      <c r="Y2685">
        <f t="shared" si="41"/>
        <v>133653</v>
      </c>
      <c r="Z2685" t="str">
        <f>IF(ISNUMBER(SEARCH("Adjustment",$C2685)),"excluded",IF($H2685="Behind the Meter","excluded",IF(NOT(OR($E2685="Bundled",$E2685="Energy")),"excluded",IF(OR($H2685="Retail Power Marketer",$H2685="Community Choice Aggregator",$E2685="Energy"),"procurement",IF(OR($H2685="Municipal",$H2685="Cooperative",$H2685="Federal",$H2685="State",$H2685="Political Subdivision"),"cost_service",IF($H2685="Investor Owned",IF(AND(COUNTIF(Parameters!$A$4:$A$33,$G2685)&gt;0,COUNTIF(Parameters!$B$4:$B$33,$B2685)=0),"procurement","cost_service"),"unclassified"))))))</f>
        <v>excluded</v>
      </c>
    </row>
    <row r="2686" spans="1:26" x14ac:dyDescent="0.25">
      <c r="A2686">
        <v>2024</v>
      </c>
      <c r="B2686">
        <v>99999</v>
      </c>
      <c r="C2686" t="s">
        <v>1706</v>
      </c>
      <c r="D2686" t="s">
        <v>84</v>
      </c>
      <c r="E2686" t="s">
        <v>85</v>
      </c>
      <c r="F2686" t="s">
        <v>1707</v>
      </c>
      <c r="G2686" t="s">
        <v>605</v>
      </c>
      <c r="I2686" t="s">
        <v>119</v>
      </c>
      <c r="J2686">
        <v>0</v>
      </c>
      <c r="K2686">
        <v>0</v>
      </c>
      <c r="L2686">
        <v>-1140</v>
      </c>
      <c r="M2686">
        <v>4053</v>
      </c>
      <c r="N2686">
        <v>56337</v>
      </c>
      <c r="O2686">
        <v>-18</v>
      </c>
      <c r="P2686">
        <v>2436</v>
      </c>
      <c r="Q2686">
        <v>7143</v>
      </c>
      <c r="R2686">
        <v>1</v>
      </c>
      <c r="S2686">
        <v>0</v>
      </c>
      <c r="T2686">
        <v>0</v>
      </c>
      <c r="U2686">
        <v>0</v>
      </c>
      <c r="V2686">
        <v>6489</v>
      </c>
      <c r="W2686">
        <v>63480</v>
      </c>
      <c r="X2686">
        <v>-1157</v>
      </c>
      <c r="Y2686">
        <f t="shared" si="41"/>
        <v>63480</v>
      </c>
      <c r="Z2686" t="str">
        <f>IF(ISNUMBER(SEARCH("Adjustment",$C2686)),"excluded",IF($H2686="Behind the Meter","excluded",IF(NOT(OR($E2686="Bundled",$E2686="Energy")),"excluded",IF(OR($H2686="Retail Power Marketer",$H2686="Community Choice Aggregator",$E2686="Energy"),"procurement",IF(OR($H2686="Municipal",$H2686="Cooperative",$H2686="Federal",$H2686="State",$H2686="Political Subdivision"),"cost_service",IF($H2686="Investor Owned",IF(AND(COUNTIF(Parameters!$A$4:$A$33,$G2686)&gt;0,COUNTIF(Parameters!$B$4:$B$33,$B2686)=0),"procurement","cost_service"),"unclassified"))))))</f>
        <v>excluded</v>
      </c>
    </row>
    <row r="2687" spans="1:26" x14ac:dyDescent="0.25">
      <c r="A2687">
        <v>2024</v>
      </c>
      <c r="B2687">
        <v>99999</v>
      </c>
      <c r="C2687" t="s">
        <v>1706</v>
      </c>
      <c r="D2687" t="s">
        <v>84</v>
      </c>
      <c r="E2687" t="s">
        <v>85</v>
      </c>
      <c r="F2687" t="s">
        <v>1707</v>
      </c>
      <c r="G2687" t="s">
        <v>605</v>
      </c>
      <c r="I2687" t="s">
        <v>1271</v>
      </c>
      <c r="J2687">
        <v>0</v>
      </c>
      <c r="K2687">
        <v>0</v>
      </c>
      <c r="L2687">
        <v>-18799</v>
      </c>
      <c r="M2687">
        <v>534</v>
      </c>
      <c r="N2687">
        <v>5457</v>
      </c>
      <c r="O2687">
        <v>-2360</v>
      </c>
      <c r="P2687">
        <v>284</v>
      </c>
      <c r="Q2687">
        <v>1386</v>
      </c>
      <c r="R2687">
        <v>1</v>
      </c>
      <c r="S2687">
        <v>0</v>
      </c>
      <c r="T2687">
        <v>0</v>
      </c>
      <c r="U2687">
        <v>0</v>
      </c>
      <c r="V2687">
        <v>818</v>
      </c>
      <c r="W2687">
        <v>6843</v>
      </c>
      <c r="X2687">
        <v>-21158</v>
      </c>
      <c r="Y2687">
        <f t="shared" si="41"/>
        <v>6843</v>
      </c>
      <c r="Z2687" t="str">
        <f>IF(ISNUMBER(SEARCH("Adjustment",$C2687)),"excluded",IF($H2687="Behind the Meter","excluded",IF(NOT(OR($E2687="Bundled",$E2687="Energy")),"excluded",IF(OR($H2687="Retail Power Marketer",$H2687="Community Choice Aggregator",$E2687="Energy"),"procurement",IF(OR($H2687="Municipal",$H2687="Cooperative",$H2687="Federal",$H2687="State",$H2687="Political Subdivision"),"cost_service",IF($H2687="Investor Owned",IF(AND(COUNTIF(Parameters!$A$4:$A$33,$G2687)&gt;0,COUNTIF(Parameters!$B$4:$B$33,$B2687)=0),"procurement","cost_service"),"unclassified"))))))</f>
        <v>excluded</v>
      </c>
    </row>
    <row r="2688" spans="1:26" x14ac:dyDescent="0.25">
      <c r="A2688">
        <v>2024</v>
      </c>
      <c r="B2688">
        <v>99999</v>
      </c>
      <c r="C2688" t="s">
        <v>1706</v>
      </c>
      <c r="D2688" t="s">
        <v>84</v>
      </c>
      <c r="E2688" t="s">
        <v>85</v>
      </c>
      <c r="F2688" t="s">
        <v>1707</v>
      </c>
      <c r="G2688" t="s">
        <v>146</v>
      </c>
      <c r="I2688" t="s">
        <v>227</v>
      </c>
      <c r="J2688">
        <v>23180.3</v>
      </c>
      <c r="K2688">
        <v>138061</v>
      </c>
      <c r="L2688">
        <v>12681</v>
      </c>
      <c r="M2688">
        <v>6920.2</v>
      </c>
      <c r="N2688">
        <v>58139</v>
      </c>
      <c r="O2688">
        <v>1733</v>
      </c>
      <c r="P2688">
        <v>2038.6</v>
      </c>
      <c r="Q2688">
        <v>18607</v>
      </c>
      <c r="R2688">
        <v>47</v>
      </c>
      <c r="S2688">
        <v>0</v>
      </c>
      <c r="T2688">
        <v>0</v>
      </c>
      <c r="U2688">
        <v>0</v>
      </c>
      <c r="V2688">
        <v>32139.1</v>
      </c>
      <c r="W2688">
        <v>214807</v>
      </c>
      <c r="X2688">
        <v>14461</v>
      </c>
      <c r="Y2688">
        <f t="shared" si="41"/>
        <v>214807</v>
      </c>
      <c r="Z2688" t="str">
        <f>IF(ISNUMBER(SEARCH("Adjustment",$C2688)),"excluded",IF($H2688="Behind the Meter","excluded",IF(NOT(OR($E2688="Bundled",$E2688="Energy")),"excluded",IF(OR($H2688="Retail Power Marketer",$H2688="Community Choice Aggregator",$E2688="Energy"),"procurement",IF(OR($H2688="Municipal",$H2688="Cooperative",$H2688="Federal",$H2688="State",$H2688="Political Subdivision"),"cost_service",IF($H2688="Investor Owned",IF(AND(COUNTIF(Parameters!$A$4:$A$33,$G2688)&gt;0,COUNTIF(Parameters!$B$4:$B$33,$B2688)=0),"procurement","cost_service"),"unclassified"))))))</f>
        <v>excluded</v>
      </c>
    </row>
    <row r="2689" spans="1:26" x14ac:dyDescent="0.25">
      <c r="A2689">
        <v>2024</v>
      </c>
      <c r="B2689">
        <v>99999</v>
      </c>
      <c r="C2689" t="s">
        <v>1706</v>
      </c>
      <c r="D2689" t="s">
        <v>84</v>
      </c>
      <c r="E2689" t="s">
        <v>85</v>
      </c>
      <c r="F2689" t="s">
        <v>1707</v>
      </c>
      <c r="G2689" t="s">
        <v>146</v>
      </c>
      <c r="I2689" t="s">
        <v>96</v>
      </c>
      <c r="J2689">
        <v>223484</v>
      </c>
      <c r="K2689">
        <v>1657590</v>
      </c>
      <c r="L2689">
        <v>159287</v>
      </c>
      <c r="M2689">
        <v>122756.5</v>
      </c>
      <c r="N2689">
        <v>1194399</v>
      </c>
      <c r="O2689">
        <v>23756</v>
      </c>
      <c r="P2689">
        <v>84731.9</v>
      </c>
      <c r="Q2689">
        <v>974663</v>
      </c>
      <c r="R2689">
        <v>1173</v>
      </c>
      <c r="S2689">
        <v>0</v>
      </c>
      <c r="T2689">
        <v>0</v>
      </c>
      <c r="U2689">
        <v>0</v>
      </c>
      <c r="V2689">
        <v>430972.4</v>
      </c>
      <c r="W2689">
        <v>3826652</v>
      </c>
      <c r="X2689">
        <v>184216</v>
      </c>
      <c r="Y2689">
        <f t="shared" si="41"/>
        <v>3826652</v>
      </c>
      <c r="Z2689" t="str">
        <f>IF(ISNUMBER(SEARCH("Adjustment",$C2689)),"excluded",IF($H2689="Behind the Meter","excluded",IF(NOT(OR($E2689="Bundled",$E2689="Energy")),"excluded",IF(OR($H2689="Retail Power Marketer",$H2689="Community Choice Aggregator",$E2689="Energy"),"procurement",IF(OR($H2689="Municipal",$H2689="Cooperative",$H2689="Federal",$H2689="State",$H2689="Political Subdivision"),"cost_service",IF($H2689="Investor Owned",IF(AND(COUNTIF(Parameters!$A$4:$A$33,$G2689)&gt;0,COUNTIF(Parameters!$B$4:$B$33,$B2689)=0),"procurement","cost_service"),"unclassified"))))))</f>
        <v>excluded</v>
      </c>
    </row>
    <row r="2690" spans="1:26" x14ac:dyDescent="0.25">
      <c r="A2690">
        <v>2024</v>
      </c>
      <c r="B2690">
        <v>99999</v>
      </c>
      <c r="C2690" t="s">
        <v>1706</v>
      </c>
      <c r="D2690" t="s">
        <v>84</v>
      </c>
      <c r="E2690" t="s">
        <v>85</v>
      </c>
      <c r="F2690" t="s">
        <v>1707</v>
      </c>
      <c r="G2690" t="s">
        <v>146</v>
      </c>
      <c r="I2690" t="s">
        <v>135</v>
      </c>
      <c r="J2690">
        <v>73068.7</v>
      </c>
      <c r="K2690">
        <v>667592</v>
      </c>
      <c r="L2690">
        <v>33563</v>
      </c>
      <c r="M2690">
        <v>31379.5</v>
      </c>
      <c r="N2690">
        <v>378809</v>
      </c>
      <c r="O2690">
        <v>4421</v>
      </c>
      <c r="P2690">
        <v>37542</v>
      </c>
      <c r="Q2690">
        <v>491907</v>
      </c>
      <c r="R2690">
        <v>2628</v>
      </c>
      <c r="S2690">
        <v>0</v>
      </c>
      <c r="T2690">
        <v>0</v>
      </c>
      <c r="U2690">
        <v>0</v>
      </c>
      <c r="V2690">
        <v>141990.20000000001</v>
      </c>
      <c r="W2690">
        <v>1538308</v>
      </c>
      <c r="X2690">
        <v>40612</v>
      </c>
      <c r="Y2690">
        <f t="shared" si="41"/>
        <v>1538308</v>
      </c>
      <c r="Z2690" t="str">
        <f>IF(ISNUMBER(SEARCH("Adjustment",$C2690)),"excluded",IF($H2690="Behind the Meter","excluded",IF(NOT(OR($E2690="Bundled",$E2690="Energy")),"excluded",IF(OR($H2690="Retail Power Marketer",$H2690="Community Choice Aggregator",$E2690="Energy"),"procurement",IF(OR($H2690="Municipal",$H2690="Cooperative",$H2690="Federal",$H2690="State",$H2690="Political Subdivision"),"cost_service",IF($H2690="Investor Owned",IF(AND(COUNTIF(Parameters!$A$4:$A$33,$G2690)&gt;0,COUNTIF(Parameters!$B$4:$B$33,$B2690)=0),"procurement","cost_service"),"unclassified"))))))</f>
        <v>excluded</v>
      </c>
    </row>
    <row r="2691" spans="1:26" x14ac:dyDescent="0.25">
      <c r="A2691">
        <v>2024</v>
      </c>
      <c r="B2691">
        <v>99999</v>
      </c>
      <c r="C2691" t="s">
        <v>1706</v>
      </c>
      <c r="D2691" t="s">
        <v>84</v>
      </c>
      <c r="E2691" t="s">
        <v>85</v>
      </c>
      <c r="F2691" t="s">
        <v>1707</v>
      </c>
      <c r="G2691" t="s">
        <v>490</v>
      </c>
      <c r="I2691" t="s">
        <v>206</v>
      </c>
      <c r="J2691">
        <v>18994.900000000001</v>
      </c>
      <c r="K2691">
        <v>225033</v>
      </c>
      <c r="L2691">
        <v>15749</v>
      </c>
      <c r="M2691">
        <v>15043.4</v>
      </c>
      <c r="N2691">
        <v>223504</v>
      </c>
      <c r="O2691">
        <v>2602</v>
      </c>
      <c r="P2691">
        <v>6247.8</v>
      </c>
      <c r="Q2691">
        <v>102873</v>
      </c>
      <c r="R2691">
        <v>151</v>
      </c>
      <c r="S2691">
        <v>0</v>
      </c>
      <c r="T2691">
        <v>0</v>
      </c>
      <c r="U2691">
        <v>0</v>
      </c>
      <c r="V2691">
        <v>40286.1</v>
      </c>
      <c r="W2691">
        <v>551410</v>
      </c>
      <c r="X2691">
        <v>18502</v>
      </c>
      <c r="Y2691">
        <f t="shared" si="41"/>
        <v>551410</v>
      </c>
      <c r="Z2691" t="str">
        <f>IF(ISNUMBER(SEARCH("Adjustment",$C2691)),"excluded",IF($H2691="Behind the Meter","excluded",IF(NOT(OR($E2691="Bundled",$E2691="Energy")),"excluded",IF(OR($H2691="Retail Power Marketer",$H2691="Community Choice Aggregator",$E2691="Energy"),"procurement",IF(OR($H2691="Municipal",$H2691="Cooperative",$H2691="Federal",$H2691="State",$H2691="Political Subdivision"),"cost_service",IF($H2691="Investor Owned",IF(AND(COUNTIF(Parameters!$A$4:$A$33,$G2691)&gt;0,COUNTIF(Parameters!$B$4:$B$33,$B2691)=0),"procurement","cost_service"),"unclassified"))))))</f>
        <v>excluded</v>
      </c>
    </row>
    <row r="2692" spans="1:26" x14ac:dyDescent="0.25">
      <c r="A2692">
        <v>2024</v>
      </c>
      <c r="B2692">
        <v>99999</v>
      </c>
      <c r="C2692" t="s">
        <v>1706</v>
      </c>
      <c r="D2692" t="s">
        <v>84</v>
      </c>
      <c r="E2692" t="s">
        <v>85</v>
      </c>
      <c r="F2692" t="s">
        <v>1707</v>
      </c>
      <c r="G2692" t="s">
        <v>490</v>
      </c>
      <c r="I2692" t="s">
        <v>640</v>
      </c>
      <c r="J2692">
        <v>1772</v>
      </c>
      <c r="K2692">
        <v>22549</v>
      </c>
      <c r="L2692">
        <v>618</v>
      </c>
      <c r="M2692">
        <v>0</v>
      </c>
      <c r="N2692">
        <v>0</v>
      </c>
      <c r="O2692">
        <v>0</v>
      </c>
      <c r="P2692">
        <v>0</v>
      </c>
      <c r="Q2692">
        <v>0</v>
      </c>
      <c r="R2692">
        <v>0</v>
      </c>
      <c r="S2692">
        <v>0</v>
      </c>
      <c r="T2692">
        <v>0</v>
      </c>
      <c r="U2692">
        <v>0</v>
      </c>
      <c r="V2692">
        <v>1772</v>
      </c>
      <c r="W2692">
        <v>22549</v>
      </c>
      <c r="X2692">
        <v>618</v>
      </c>
      <c r="Y2692">
        <f t="shared" ref="Y2692:Y2755" si="42">IF(ISNUMBER($W2692),$W2692,0)</f>
        <v>22549</v>
      </c>
      <c r="Z2692" t="str">
        <f>IF(ISNUMBER(SEARCH("Adjustment",$C2692)),"excluded",IF($H2692="Behind the Meter","excluded",IF(NOT(OR($E2692="Bundled",$E2692="Energy")),"excluded",IF(OR($H2692="Retail Power Marketer",$H2692="Community Choice Aggregator",$E2692="Energy"),"procurement",IF(OR($H2692="Municipal",$H2692="Cooperative",$H2692="Federal",$H2692="State",$H2692="Political Subdivision"),"cost_service",IF($H2692="Investor Owned",IF(AND(COUNTIF(Parameters!$A$4:$A$33,$G2692)&gt;0,COUNTIF(Parameters!$B$4:$B$33,$B2692)=0),"procurement","cost_service"),"unclassified"))))))</f>
        <v>excluded</v>
      </c>
    </row>
    <row r="2693" spans="1:26" x14ac:dyDescent="0.25">
      <c r="A2693">
        <v>2024</v>
      </c>
      <c r="B2693">
        <v>99999</v>
      </c>
      <c r="C2693" t="s">
        <v>1706</v>
      </c>
      <c r="D2693" t="s">
        <v>84</v>
      </c>
      <c r="E2693" t="s">
        <v>85</v>
      </c>
      <c r="F2693" t="s">
        <v>1707</v>
      </c>
      <c r="G2693" t="s">
        <v>490</v>
      </c>
      <c r="I2693" t="s">
        <v>844</v>
      </c>
      <c r="J2693">
        <v>21</v>
      </c>
      <c r="K2693">
        <v>148</v>
      </c>
      <c r="L2693">
        <v>30</v>
      </c>
      <c r="M2693">
        <v>0</v>
      </c>
      <c r="N2693">
        <v>0</v>
      </c>
      <c r="O2693">
        <v>0</v>
      </c>
      <c r="P2693">
        <v>0</v>
      </c>
      <c r="Q2693">
        <v>0</v>
      </c>
      <c r="R2693">
        <v>0</v>
      </c>
      <c r="S2693">
        <v>0</v>
      </c>
      <c r="T2693">
        <v>0</v>
      </c>
      <c r="U2693">
        <v>0</v>
      </c>
      <c r="V2693">
        <v>21</v>
      </c>
      <c r="W2693">
        <v>148</v>
      </c>
      <c r="X2693">
        <v>30</v>
      </c>
      <c r="Y2693">
        <f t="shared" si="42"/>
        <v>148</v>
      </c>
      <c r="Z2693" t="str">
        <f>IF(ISNUMBER(SEARCH("Adjustment",$C2693)),"excluded",IF($H2693="Behind the Meter","excluded",IF(NOT(OR($E2693="Bundled",$E2693="Energy")),"excluded",IF(OR($H2693="Retail Power Marketer",$H2693="Community Choice Aggregator",$E2693="Energy"),"procurement",IF(OR($H2693="Municipal",$H2693="Cooperative",$H2693="Federal",$H2693="State",$H2693="Political Subdivision"),"cost_service",IF($H2693="Investor Owned",IF(AND(COUNTIF(Parameters!$A$4:$A$33,$G2693)&gt;0,COUNTIF(Parameters!$B$4:$B$33,$B2693)=0),"procurement","cost_service"),"unclassified"))))))</f>
        <v>excluded</v>
      </c>
    </row>
    <row r="2694" spans="1:26" x14ac:dyDescent="0.25">
      <c r="A2694">
        <v>2024</v>
      </c>
      <c r="B2694">
        <v>99999</v>
      </c>
      <c r="C2694" t="s">
        <v>1706</v>
      </c>
      <c r="D2694" t="s">
        <v>84</v>
      </c>
      <c r="E2694" t="s">
        <v>85</v>
      </c>
      <c r="F2694" t="s">
        <v>1707</v>
      </c>
      <c r="G2694" t="s">
        <v>490</v>
      </c>
      <c r="I2694" t="s">
        <v>246</v>
      </c>
      <c r="J2694">
        <v>4842</v>
      </c>
      <c r="K2694">
        <v>50391</v>
      </c>
      <c r="L2694">
        <v>3623</v>
      </c>
      <c r="M2694">
        <v>1026.7</v>
      </c>
      <c r="N2694">
        <v>10652</v>
      </c>
      <c r="O2694">
        <v>551</v>
      </c>
      <c r="P2694">
        <v>4411.8</v>
      </c>
      <c r="Q2694">
        <v>56400</v>
      </c>
      <c r="R2694">
        <v>687</v>
      </c>
      <c r="S2694">
        <v>0</v>
      </c>
      <c r="T2694">
        <v>0</v>
      </c>
      <c r="U2694">
        <v>0</v>
      </c>
      <c r="V2694">
        <v>10280.5</v>
      </c>
      <c r="W2694">
        <v>117443</v>
      </c>
      <c r="X2694">
        <v>4861</v>
      </c>
      <c r="Y2694">
        <f t="shared" si="42"/>
        <v>117443</v>
      </c>
      <c r="Z2694" t="str">
        <f>IF(ISNUMBER(SEARCH("Adjustment",$C2694)),"excluded",IF($H2694="Behind the Meter","excluded",IF(NOT(OR($E2694="Bundled",$E2694="Energy")),"excluded",IF(OR($H2694="Retail Power Marketer",$H2694="Community Choice Aggregator",$E2694="Energy"),"procurement",IF(OR($H2694="Municipal",$H2694="Cooperative",$H2694="Federal",$H2694="State",$H2694="Political Subdivision"),"cost_service",IF($H2694="Investor Owned",IF(AND(COUNTIF(Parameters!$A$4:$A$33,$G2694)&gt;0,COUNTIF(Parameters!$B$4:$B$33,$B2694)=0),"procurement","cost_service"),"unclassified"))))))</f>
        <v>excluded</v>
      </c>
    </row>
    <row r="2695" spans="1:26" x14ac:dyDescent="0.25">
      <c r="A2695">
        <v>2024</v>
      </c>
      <c r="B2695">
        <v>99999</v>
      </c>
      <c r="C2695" t="s">
        <v>1706</v>
      </c>
      <c r="D2695" t="s">
        <v>84</v>
      </c>
      <c r="E2695" t="s">
        <v>85</v>
      </c>
      <c r="F2695" t="s">
        <v>1707</v>
      </c>
      <c r="G2695" t="s">
        <v>490</v>
      </c>
      <c r="I2695" t="s">
        <v>707</v>
      </c>
      <c r="J2695">
        <v>22999.5</v>
      </c>
      <c r="K2695">
        <v>188186</v>
      </c>
      <c r="L2695">
        <v>14834</v>
      </c>
      <c r="M2695">
        <v>4627.7</v>
      </c>
      <c r="N2695">
        <v>53290</v>
      </c>
      <c r="O2695">
        <v>1338</v>
      </c>
      <c r="P2695">
        <v>2550.3000000000002</v>
      </c>
      <c r="Q2695">
        <v>42736</v>
      </c>
      <c r="R2695">
        <v>29</v>
      </c>
      <c r="S2695">
        <v>0</v>
      </c>
      <c r="T2695">
        <v>0</v>
      </c>
      <c r="U2695">
        <v>0</v>
      </c>
      <c r="V2695">
        <v>30177.5</v>
      </c>
      <c r="W2695">
        <v>284212</v>
      </c>
      <c r="X2695">
        <v>16201</v>
      </c>
      <c r="Y2695">
        <f t="shared" si="42"/>
        <v>284212</v>
      </c>
      <c r="Z2695" t="str">
        <f>IF(ISNUMBER(SEARCH("Adjustment",$C2695)),"excluded",IF($H2695="Behind the Meter","excluded",IF(NOT(OR($E2695="Bundled",$E2695="Energy")),"excluded",IF(OR($H2695="Retail Power Marketer",$H2695="Community Choice Aggregator",$E2695="Energy"),"procurement",IF(OR($H2695="Municipal",$H2695="Cooperative",$H2695="Federal",$H2695="State",$H2695="Political Subdivision"),"cost_service",IF($H2695="Investor Owned",IF(AND(COUNTIF(Parameters!$A$4:$A$33,$G2695)&gt;0,COUNTIF(Parameters!$B$4:$B$33,$B2695)=0),"procurement","cost_service"),"unclassified"))))))</f>
        <v>excluded</v>
      </c>
    </row>
    <row r="2696" spans="1:26" x14ac:dyDescent="0.25">
      <c r="A2696">
        <v>2024</v>
      </c>
      <c r="B2696">
        <v>99999</v>
      </c>
      <c r="C2696" t="s">
        <v>1706</v>
      </c>
      <c r="D2696" t="s">
        <v>84</v>
      </c>
      <c r="E2696" t="s">
        <v>85</v>
      </c>
      <c r="F2696" t="s">
        <v>1707</v>
      </c>
      <c r="G2696" t="s">
        <v>46</v>
      </c>
      <c r="I2696" t="s">
        <v>92</v>
      </c>
      <c r="J2696">
        <v>11129.8</v>
      </c>
      <c r="K2696">
        <v>78775</v>
      </c>
      <c r="L2696">
        <v>-31240</v>
      </c>
      <c r="M2696">
        <v>7330.2</v>
      </c>
      <c r="N2696">
        <v>76322</v>
      </c>
      <c r="O2696">
        <v>749</v>
      </c>
      <c r="P2696">
        <v>8226</v>
      </c>
      <c r="Q2696">
        <v>453147</v>
      </c>
      <c r="R2696">
        <v>1</v>
      </c>
      <c r="S2696">
        <v>0</v>
      </c>
      <c r="T2696">
        <v>0</v>
      </c>
      <c r="U2696">
        <v>0</v>
      </c>
      <c r="V2696">
        <v>26686</v>
      </c>
      <c r="W2696">
        <v>608244</v>
      </c>
      <c r="X2696">
        <v>-30490</v>
      </c>
      <c r="Y2696">
        <f t="shared" si="42"/>
        <v>608244</v>
      </c>
      <c r="Z2696" t="str">
        <f>IF(ISNUMBER(SEARCH("Adjustment",$C2696)),"excluded",IF($H2696="Behind the Meter","excluded",IF(NOT(OR($E2696="Bundled",$E2696="Energy")),"excluded",IF(OR($H2696="Retail Power Marketer",$H2696="Community Choice Aggregator",$E2696="Energy"),"procurement",IF(OR($H2696="Municipal",$H2696="Cooperative",$H2696="Federal",$H2696="State",$H2696="Political Subdivision"),"cost_service",IF($H2696="Investor Owned",IF(AND(COUNTIF(Parameters!$A$4:$A$33,$G2696)&gt;0,COUNTIF(Parameters!$B$4:$B$33,$B2696)=0),"procurement","cost_service"),"unclassified"))))))</f>
        <v>excluded</v>
      </c>
    </row>
    <row r="2697" spans="1:26" x14ac:dyDescent="0.25">
      <c r="A2697">
        <v>2024</v>
      </c>
      <c r="B2697">
        <v>99999</v>
      </c>
      <c r="C2697" t="s">
        <v>1706</v>
      </c>
      <c r="D2697" t="s">
        <v>84</v>
      </c>
      <c r="E2697" t="s">
        <v>85</v>
      </c>
      <c r="F2697" t="s">
        <v>1707</v>
      </c>
      <c r="G2697" t="s">
        <v>46</v>
      </c>
      <c r="I2697" t="s">
        <v>96</v>
      </c>
      <c r="J2697">
        <v>287351.09999999998</v>
      </c>
      <c r="K2697">
        <v>1739339</v>
      </c>
      <c r="L2697">
        <v>153495</v>
      </c>
      <c r="M2697">
        <v>104256.6</v>
      </c>
      <c r="N2697">
        <v>788026</v>
      </c>
      <c r="O2697">
        <v>16517</v>
      </c>
      <c r="P2697">
        <v>53856.1</v>
      </c>
      <c r="Q2697">
        <v>490228</v>
      </c>
      <c r="R2697">
        <v>583</v>
      </c>
      <c r="S2697">
        <v>0</v>
      </c>
      <c r="T2697">
        <v>0</v>
      </c>
      <c r="U2697">
        <v>0</v>
      </c>
      <c r="V2697">
        <v>445463.8</v>
      </c>
      <c r="W2697">
        <v>3017593</v>
      </c>
      <c r="X2697">
        <v>170595</v>
      </c>
      <c r="Y2697">
        <f t="shared" si="42"/>
        <v>3017593</v>
      </c>
      <c r="Z2697" t="str">
        <f>IF(ISNUMBER(SEARCH("Adjustment",$C2697)),"excluded",IF($H2697="Behind the Meter","excluded",IF(NOT(OR($E2697="Bundled",$E2697="Energy")),"excluded",IF(OR($H2697="Retail Power Marketer",$H2697="Community Choice Aggregator",$E2697="Energy"),"procurement",IF(OR($H2697="Municipal",$H2697="Cooperative",$H2697="Federal",$H2697="State",$H2697="Political Subdivision"),"cost_service",IF($H2697="Investor Owned",IF(AND(COUNTIF(Parameters!$A$4:$A$33,$G2697)&gt;0,COUNTIF(Parameters!$B$4:$B$33,$B2697)=0),"procurement","cost_service"),"unclassified"))))))</f>
        <v>excluded</v>
      </c>
    </row>
    <row r="2698" spans="1:26" x14ac:dyDescent="0.25">
      <c r="A2698">
        <v>2024</v>
      </c>
      <c r="B2698">
        <v>99999</v>
      </c>
      <c r="C2698" t="s">
        <v>1706</v>
      </c>
      <c r="D2698" t="s">
        <v>84</v>
      </c>
      <c r="E2698" t="s">
        <v>85</v>
      </c>
      <c r="F2698" t="s">
        <v>1707</v>
      </c>
      <c r="G2698" t="s">
        <v>130</v>
      </c>
      <c r="I2698" t="s">
        <v>92</v>
      </c>
      <c r="J2698">
        <v>48287.6</v>
      </c>
      <c r="K2698">
        <v>367232</v>
      </c>
      <c r="L2698">
        <v>30479</v>
      </c>
      <c r="M2698">
        <v>24054.400000000001</v>
      </c>
      <c r="N2698">
        <v>203629</v>
      </c>
      <c r="O2698">
        <v>3882</v>
      </c>
      <c r="P2698">
        <v>19462</v>
      </c>
      <c r="Q2698">
        <v>192438</v>
      </c>
      <c r="R2698">
        <v>248</v>
      </c>
      <c r="S2698">
        <v>0</v>
      </c>
      <c r="T2698">
        <v>0</v>
      </c>
      <c r="U2698">
        <v>0</v>
      </c>
      <c r="V2698">
        <v>91804</v>
      </c>
      <c r="W2698">
        <v>763299</v>
      </c>
      <c r="X2698">
        <v>34609</v>
      </c>
      <c r="Y2698">
        <f t="shared" si="42"/>
        <v>763299</v>
      </c>
      <c r="Z2698" t="str">
        <f>IF(ISNUMBER(SEARCH("Adjustment",$C2698)),"excluded",IF($H2698="Behind the Meter","excluded",IF(NOT(OR($E2698="Bundled",$E2698="Energy")),"excluded",IF(OR($H2698="Retail Power Marketer",$H2698="Community Choice Aggregator",$E2698="Energy"),"procurement",IF(OR($H2698="Municipal",$H2698="Cooperative",$H2698="Federal",$H2698="State",$H2698="Political Subdivision"),"cost_service",IF($H2698="Investor Owned",IF(AND(COUNTIF(Parameters!$A$4:$A$33,$G2698)&gt;0,COUNTIF(Parameters!$B$4:$B$33,$B2698)=0),"procurement","cost_service"),"unclassified"))))))</f>
        <v>excluded</v>
      </c>
    </row>
    <row r="2699" spans="1:26" x14ac:dyDescent="0.25">
      <c r="A2699">
        <v>2024</v>
      </c>
      <c r="B2699">
        <v>99999</v>
      </c>
      <c r="C2699" t="s">
        <v>1706</v>
      </c>
      <c r="D2699" t="s">
        <v>84</v>
      </c>
      <c r="E2699" t="s">
        <v>85</v>
      </c>
      <c r="F2699" t="s">
        <v>1707</v>
      </c>
      <c r="G2699" t="s">
        <v>130</v>
      </c>
      <c r="I2699" t="s">
        <v>96</v>
      </c>
      <c r="J2699">
        <v>231861.2</v>
      </c>
      <c r="K2699">
        <v>1566705</v>
      </c>
      <c r="L2699">
        <v>127558</v>
      </c>
      <c r="M2699">
        <v>84079</v>
      </c>
      <c r="N2699">
        <v>648847</v>
      </c>
      <c r="O2699">
        <v>16066</v>
      </c>
      <c r="P2699">
        <v>109781.4</v>
      </c>
      <c r="Q2699">
        <v>1050370</v>
      </c>
      <c r="R2699">
        <v>1412</v>
      </c>
      <c r="S2699">
        <v>0</v>
      </c>
      <c r="T2699">
        <v>0</v>
      </c>
      <c r="U2699">
        <v>0</v>
      </c>
      <c r="V2699">
        <v>425721.59999999998</v>
      </c>
      <c r="W2699">
        <v>3265922</v>
      </c>
      <c r="X2699">
        <v>145036</v>
      </c>
      <c r="Y2699">
        <f t="shared" si="42"/>
        <v>3265922</v>
      </c>
      <c r="Z2699" t="str">
        <f>IF(ISNUMBER(SEARCH("Adjustment",$C2699)),"excluded",IF($H2699="Behind the Meter","excluded",IF(NOT(OR($E2699="Bundled",$E2699="Energy")),"excluded",IF(OR($H2699="Retail Power Marketer",$H2699="Community Choice Aggregator",$E2699="Energy"),"procurement",IF(OR($H2699="Municipal",$H2699="Cooperative",$H2699="Federal",$H2699="State",$H2699="Political Subdivision"),"cost_service",IF($H2699="Investor Owned",IF(AND(COUNTIF(Parameters!$A$4:$A$33,$G2699)&gt;0,COUNTIF(Parameters!$B$4:$B$33,$B2699)=0),"procurement","cost_service"),"unclassified"))))))</f>
        <v>excluded</v>
      </c>
    </row>
    <row r="2700" spans="1:26" x14ac:dyDescent="0.25">
      <c r="A2700">
        <v>2024</v>
      </c>
      <c r="B2700">
        <v>99999</v>
      </c>
      <c r="C2700" t="s">
        <v>1706</v>
      </c>
      <c r="D2700" t="s">
        <v>84</v>
      </c>
      <c r="E2700" t="s">
        <v>85</v>
      </c>
      <c r="F2700" t="s">
        <v>1707</v>
      </c>
      <c r="G2700" t="s">
        <v>134</v>
      </c>
      <c r="I2700" t="s">
        <v>96</v>
      </c>
      <c r="J2700">
        <v>183</v>
      </c>
      <c r="K2700">
        <v>1238</v>
      </c>
      <c r="L2700">
        <v>145</v>
      </c>
      <c r="M2700">
        <v>0</v>
      </c>
      <c r="N2700">
        <v>0</v>
      </c>
      <c r="O2700">
        <v>0</v>
      </c>
      <c r="P2700">
        <v>0</v>
      </c>
      <c r="Q2700">
        <v>0</v>
      </c>
      <c r="R2700">
        <v>0</v>
      </c>
      <c r="S2700">
        <v>0</v>
      </c>
      <c r="T2700">
        <v>0</v>
      </c>
      <c r="U2700">
        <v>0</v>
      </c>
      <c r="V2700">
        <v>183</v>
      </c>
      <c r="W2700">
        <v>1238</v>
      </c>
      <c r="X2700">
        <v>145</v>
      </c>
      <c r="Y2700">
        <f t="shared" si="42"/>
        <v>1238</v>
      </c>
      <c r="Z2700" t="str">
        <f>IF(ISNUMBER(SEARCH("Adjustment",$C2700)),"excluded",IF($H2700="Behind the Meter","excluded",IF(NOT(OR($E2700="Bundled",$E2700="Energy")),"excluded",IF(OR($H2700="Retail Power Marketer",$H2700="Community Choice Aggregator",$E2700="Energy"),"procurement",IF(OR($H2700="Municipal",$H2700="Cooperative",$H2700="Federal",$H2700="State",$H2700="Political Subdivision"),"cost_service",IF($H2700="Investor Owned",IF(AND(COUNTIF(Parameters!$A$4:$A$33,$G2700)&gt;0,COUNTIF(Parameters!$B$4:$B$33,$B2700)=0),"procurement","cost_service"),"unclassified"))))))</f>
        <v>excluded</v>
      </c>
    </row>
    <row r="2701" spans="1:26" x14ac:dyDescent="0.25">
      <c r="A2701">
        <v>2024</v>
      </c>
      <c r="B2701">
        <v>99999</v>
      </c>
      <c r="C2701" t="s">
        <v>1706</v>
      </c>
      <c r="D2701" t="s">
        <v>84</v>
      </c>
      <c r="E2701" t="s">
        <v>85</v>
      </c>
      <c r="F2701" t="s">
        <v>1707</v>
      </c>
      <c r="G2701" t="s">
        <v>134</v>
      </c>
      <c r="I2701" t="s">
        <v>135</v>
      </c>
      <c r="J2701">
        <v>311635.09999999998</v>
      </c>
      <c r="K2701">
        <v>2019673</v>
      </c>
      <c r="L2701">
        <v>201849</v>
      </c>
      <c r="M2701">
        <v>187630.8</v>
      </c>
      <c r="N2701">
        <v>1513351</v>
      </c>
      <c r="O2701">
        <v>41128</v>
      </c>
      <c r="P2701">
        <v>63306.2</v>
      </c>
      <c r="Q2701">
        <v>621600</v>
      </c>
      <c r="R2701">
        <v>3801</v>
      </c>
      <c r="S2701">
        <v>0</v>
      </c>
      <c r="T2701">
        <v>0</v>
      </c>
      <c r="U2701">
        <v>0</v>
      </c>
      <c r="V2701">
        <v>562572.1</v>
      </c>
      <c r="W2701">
        <v>4154624</v>
      </c>
      <c r="X2701">
        <v>246778</v>
      </c>
      <c r="Y2701">
        <f t="shared" si="42"/>
        <v>4154624</v>
      </c>
      <c r="Z2701" t="str">
        <f>IF(ISNUMBER(SEARCH("Adjustment",$C2701)),"excluded",IF($H2701="Behind the Meter","excluded",IF(NOT(OR($E2701="Bundled",$E2701="Energy")),"excluded",IF(OR($H2701="Retail Power Marketer",$H2701="Community Choice Aggregator",$E2701="Energy"),"procurement",IF(OR($H2701="Municipal",$H2701="Cooperative",$H2701="Federal",$H2701="State",$H2701="Political Subdivision"),"cost_service",IF($H2701="Investor Owned",IF(AND(COUNTIF(Parameters!$A$4:$A$33,$G2701)&gt;0,COUNTIF(Parameters!$B$4:$B$33,$B2701)=0),"procurement","cost_service"),"unclassified"))))))</f>
        <v>excluded</v>
      </c>
    </row>
    <row r="2702" spans="1:26" x14ac:dyDescent="0.25">
      <c r="A2702">
        <v>2024</v>
      </c>
      <c r="B2702">
        <v>99999</v>
      </c>
      <c r="C2702" t="s">
        <v>1706</v>
      </c>
      <c r="D2702" t="s">
        <v>84</v>
      </c>
      <c r="E2702" t="s">
        <v>85</v>
      </c>
      <c r="F2702" t="s">
        <v>1707</v>
      </c>
      <c r="G2702" t="s">
        <v>209</v>
      </c>
      <c r="I2702" t="s">
        <v>534</v>
      </c>
      <c r="J2702">
        <v>30753.200000000001</v>
      </c>
      <c r="K2702">
        <v>285780</v>
      </c>
      <c r="L2702">
        <v>24602</v>
      </c>
      <c r="M2702">
        <v>16005.6</v>
      </c>
      <c r="N2702">
        <v>154290</v>
      </c>
      <c r="O2702">
        <v>5545</v>
      </c>
      <c r="P2702">
        <v>23335.200000000001</v>
      </c>
      <c r="Q2702">
        <v>269133</v>
      </c>
      <c r="R2702">
        <v>312</v>
      </c>
      <c r="S2702">
        <v>0</v>
      </c>
      <c r="T2702">
        <v>0</v>
      </c>
      <c r="U2702">
        <v>0</v>
      </c>
      <c r="V2702">
        <v>70094</v>
      </c>
      <c r="W2702">
        <v>709203</v>
      </c>
      <c r="X2702">
        <v>30459</v>
      </c>
      <c r="Y2702">
        <f t="shared" si="42"/>
        <v>709203</v>
      </c>
      <c r="Z2702" t="str">
        <f>IF(ISNUMBER(SEARCH("Adjustment",$C2702)),"excluded",IF($H2702="Behind the Meter","excluded",IF(NOT(OR($E2702="Bundled",$E2702="Energy")),"excluded",IF(OR($H2702="Retail Power Marketer",$H2702="Community Choice Aggregator",$E2702="Energy"),"procurement",IF(OR($H2702="Municipal",$H2702="Cooperative",$H2702="Federal",$H2702="State",$H2702="Political Subdivision"),"cost_service",IF($H2702="Investor Owned",IF(AND(COUNTIF(Parameters!$A$4:$A$33,$G2702)&gt;0,COUNTIF(Parameters!$B$4:$B$33,$B2702)=0),"procurement","cost_service"),"unclassified"))))))</f>
        <v>excluded</v>
      </c>
    </row>
    <row r="2703" spans="1:26" x14ac:dyDescent="0.25">
      <c r="A2703">
        <v>2024</v>
      </c>
      <c r="B2703">
        <v>99999</v>
      </c>
      <c r="C2703" t="s">
        <v>1706</v>
      </c>
      <c r="D2703" t="s">
        <v>84</v>
      </c>
      <c r="E2703" t="s">
        <v>85</v>
      </c>
      <c r="F2703" t="s">
        <v>1707</v>
      </c>
      <c r="G2703" t="s">
        <v>209</v>
      </c>
      <c r="I2703" t="s">
        <v>92</v>
      </c>
      <c r="J2703">
        <v>8220.7000000000007</v>
      </c>
      <c r="K2703">
        <v>55369</v>
      </c>
      <c r="L2703">
        <v>4626</v>
      </c>
      <c r="M2703">
        <v>3780.4</v>
      </c>
      <c r="N2703">
        <v>24671</v>
      </c>
      <c r="O2703">
        <v>874</v>
      </c>
      <c r="P2703">
        <v>3126.5</v>
      </c>
      <c r="Q2703">
        <v>29930</v>
      </c>
      <c r="R2703">
        <v>29</v>
      </c>
      <c r="S2703">
        <v>0</v>
      </c>
      <c r="T2703">
        <v>0</v>
      </c>
      <c r="U2703">
        <v>0</v>
      </c>
      <c r="V2703">
        <v>15127.6</v>
      </c>
      <c r="W2703">
        <v>109970</v>
      </c>
      <c r="X2703">
        <v>5529</v>
      </c>
      <c r="Y2703">
        <f t="shared" si="42"/>
        <v>109970</v>
      </c>
      <c r="Z2703" t="str">
        <f>IF(ISNUMBER(SEARCH("Adjustment",$C2703)),"excluded",IF($H2703="Behind the Meter","excluded",IF(NOT(OR($E2703="Bundled",$E2703="Energy")),"excluded",IF(OR($H2703="Retail Power Marketer",$H2703="Community Choice Aggregator",$E2703="Energy"),"procurement",IF(OR($H2703="Municipal",$H2703="Cooperative",$H2703="Federal",$H2703="State",$H2703="Political Subdivision"),"cost_service",IF($H2703="Investor Owned",IF(AND(COUNTIF(Parameters!$A$4:$A$33,$G2703)&gt;0,COUNTIF(Parameters!$B$4:$B$33,$B2703)=0),"procurement","cost_service"),"unclassified"))))))</f>
        <v>excluded</v>
      </c>
    </row>
    <row r="2704" spans="1:26" x14ac:dyDescent="0.25">
      <c r="A2704">
        <v>2024</v>
      </c>
      <c r="B2704">
        <v>99999</v>
      </c>
      <c r="C2704" t="s">
        <v>1706</v>
      </c>
      <c r="D2704" t="s">
        <v>84</v>
      </c>
      <c r="E2704" t="s">
        <v>85</v>
      </c>
      <c r="F2704" t="s">
        <v>1707</v>
      </c>
      <c r="G2704" t="s">
        <v>209</v>
      </c>
      <c r="I2704" t="s">
        <v>89</v>
      </c>
      <c r="J2704">
        <v>0</v>
      </c>
      <c r="K2704">
        <v>0</v>
      </c>
      <c r="L2704">
        <v>0</v>
      </c>
      <c r="M2704">
        <v>0</v>
      </c>
      <c r="N2704">
        <v>0</v>
      </c>
      <c r="O2704">
        <v>0</v>
      </c>
      <c r="P2704">
        <v>7418</v>
      </c>
      <c r="Q2704">
        <v>129710</v>
      </c>
      <c r="R2704">
        <v>3</v>
      </c>
      <c r="S2704">
        <v>0</v>
      </c>
      <c r="T2704">
        <v>0</v>
      </c>
      <c r="U2704">
        <v>0</v>
      </c>
      <c r="V2704">
        <v>7418</v>
      </c>
      <c r="W2704">
        <v>129710</v>
      </c>
      <c r="X2704">
        <v>3</v>
      </c>
      <c r="Y2704">
        <f t="shared" si="42"/>
        <v>129710</v>
      </c>
      <c r="Z2704" t="str">
        <f>IF(ISNUMBER(SEARCH("Adjustment",$C2704)),"excluded",IF($H2704="Behind the Meter","excluded",IF(NOT(OR($E2704="Bundled",$E2704="Energy")),"excluded",IF(OR($H2704="Retail Power Marketer",$H2704="Community Choice Aggregator",$E2704="Energy"),"procurement",IF(OR($H2704="Municipal",$H2704="Cooperative",$H2704="Federal",$H2704="State",$H2704="Political Subdivision"),"cost_service",IF($H2704="Investor Owned",IF(AND(COUNTIF(Parameters!$A$4:$A$33,$G2704)&gt;0,COUNTIF(Parameters!$B$4:$B$33,$B2704)=0),"procurement","cost_service"),"unclassified"))))))</f>
        <v>excluded</v>
      </c>
    </row>
    <row r="2705" spans="1:26" x14ac:dyDescent="0.25">
      <c r="A2705">
        <v>2024</v>
      </c>
      <c r="B2705">
        <v>99999</v>
      </c>
      <c r="C2705" t="s">
        <v>1706</v>
      </c>
      <c r="D2705" t="s">
        <v>84</v>
      </c>
      <c r="E2705" t="s">
        <v>85</v>
      </c>
      <c r="F2705" t="s">
        <v>1707</v>
      </c>
      <c r="G2705" t="s">
        <v>138</v>
      </c>
      <c r="I2705" t="s">
        <v>96</v>
      </c>
      <c r="J2705">
        <v>59063.199999999997</v>
      </c>
      <c r="K2705">
        <v>510084</v>
      </c>
      <c r="L2705">
        <v>37455</v>
      </c>
      <c r="M2705">
        <v>39919.4</v>
      </c>
      <c r="N2705">
        <v>354533</v>
      </c>
      <c r="O2705">
        <v>6981</v>
      </c>
      <c r="P2705">
        <v>13766.6</v>
      </c>
      <c r="Q2705">
        <v>148908</v>
      </c>
      <c r="R2705">
        <v>213</v>
      </c>
      <c r="S2705">
        <v>0</v>
      </c>
      <c r="T2705">
        <v>0</v>
      </c>
      <c r="U2705">
        <v>0</v>
      </c>
      <c r="V2705">
        <v>112749.2</v>
      </c>
      <c r="W2705">
        <v>1013525</v>
      </c>
      <c r="X2705">
        <v>44649</v>
      </c>
      <c r="Y2705">
        <f t="shared" si="42"/>
        <v>1013525</v>
      </c>
      <c r="Z2705" t="str">
        <f>IF(ISNUMBER(SEARCH("Adjustment",$C2705)),"excluded",IF($H2705="Behind the Meter","excluded",IF(NOT(OR($E2705="Bundled",$E2705="Energy")),"excluded",IF(OR($H2705="Retail Power Marketer",$H2705="Community Choice Aggregator",$E2705="Energy"),"procurement",IF(OR($H2705="Municipal",$H2705="Cooperative",$H2705="Federal",$H2705="State",$H2705="Political Subdivision"),"cost_service",IF($H2705="Investor Owned",IF(AND(COUNTIF(Parameters!$A$4:$A$33,$G2705)&gt;0,COUNTIF(Parameters!$B$4:$B$33,$B2705)=0),"procurement","cost_service"),"unclassified"))))))</f>
        <v>excluded</v>
      </c>
    </row>
    <row r="2706" spans="1:26" x14ac:dyDescent="0.25">
      <c r="A2706">
        <v>2024</v>
      </c>
      <c r="B2706">
        <v>99999</v>
      </c>
      <c r="C2706" t="s">
        <v>1706</v>
      </c>
      <c r="D2706" t="s">
        <v>84</v>
      </c>
      <c r="E2706" t="s">
        <v>85</v>
      </c>
      <c r="F2706" t="s">
        <v>1707</v>
      </c>
      <c r="G2706" t="s">
        <v>138</v>
      </c>
      <c r="I2706" t="s">
        <v>135</v>
      </c>
      <c r="J2706">
        <v>0</v>
      </c>
      <c r="K2706">
        <v>0</v>
      </c>
      <c r="L2706">
        <v>-6</v>
      </c>
      <c r="M2706">
        <v>0</v>
      </c>
      <c r="N2706">
        <v>0</v>
      </c>
      <c r="O2706">
        <v>0</v>
      </c>
      <c r="P2706">
        <v>0</v>
      </c>
      <c r="Q2706">
        <v>0</v>
      </c>
      <c r="R2706">
        <v>0</v>
      </c>
      <c r="S2706">
        <v>0</v>
      </c>
      <c r="T2706">
        <v>0</v>
      </c>
      <c r="U2706">
        <v>0</v>
      </c>
      <c r="V2706">
        <v>0</v>
      </c>
      <c r="W2706">
        <v>0</v>
      </c>
      <c r="X2706">
        <v>-6</v>
      </c>
      <c r="Y2706">
        <f t="shared" si="42"/>
        <v>0</v>
      </c>
      <c r="Z2706" t="str">
        <f>IF(ISNUMBER(SEARCH("Adjustment",$C2706)),"excluded",IF($H2706="Behind the Meter","excluded",IF(NOT(OR($E2706="Bundled",$E2706="Energy")),"excluded",IF(OR($H2706="Retail Power Marketer",$H2706="Community Choice Aggregator",$E2706="Energy"),"procurement",IF(OR($H2706="Municipal",$H2706="Cooperative",$H2706="Federal",$H2706="State",$H2706="Political Subdivision"),"cost_service",IF($H2706="Investor Owned",IF(AND(COUNTIF(Parameters!$A$4:$A$33,$G2706)&gt;0,COUNTIF(Parameters!$B$4:$B$33,$B2706)=0),"procurement","cost_service"),"unclassified"))))))</f>
        <v>excluded</v>
      </c>
    </row>
    <row r="2707" spans="1:26" x14ac:dyDescent="0.25">
      <c r="A2707">
        <v>2024</v>
      </c>
      <c r="B2707">
        <v>99999</v>
      </c>
      <c r="C2707" t="s">
        <v>1706</v>
      </c>
      <c r="D2707" t="s">
        <v>84</v>
      </c>
      <c r="E2707" t="s">
        <v>85</v>
      </c>
      <c r="F2707" t="s">
        <v>1707</v>
      </c>
      <c r="G2707" t="s">
        <v>48</v>
      </c>
      <c r="I2707" t="s">
        <v>189</v>
      </c>
      <c r="J2707">
        <v>185237.8</v>
      </c>
      <c r="K2707">
        <v>960409</v>
      </c>
      <c r="L2707">
        <v>13197</v>
      </c>
      <c r="M2707">
        <v>127858.7</v>
      </c>
      <c r="N2707">
        <v>701424</v>
      </c>
      <c r="O2707">
        <v>15069</v>
      </c>
      <c r="P2707">
        <v>72192.100000000006</v>
      </c>
      <c r="Q2707">
        <v>427388</v>
      </c>
      <c r="R2707">
        <v>1078</v>
      </c>
      <c r="S2707">
        <v>0</v>
      </c>
      <c r="T2707">
        <v>0</v>
      </c>
      <c r="U2707">
        <v>0</v>
      </c>
      <c r="V2707">
        <v>385288.6</v>
      </c>
      <c r="W2707">
        <v>2089221</v>
      </c>
      <c r="X2707">
        <v>29344</v>
      </c>
      <c r="Y2707">
        <f t="shared" si="42"/>
        <v>2089221</v>
      </c>
      <c r="Z2707" t="str">
        <f>IF(ISNUMBER(SEARCH("Adjustment",$C2707)),"excluded",IF($H2707="Behind the Meter","excluded",IF(NOT(OR($E2707="Bundled",$E2707="Energy")),"excluded",IF(OR($H2707="Retail Power Marketer",$H2707="Community Choice Aggregator",$E2707="Energy"),"procurement",IF(OR($H2707="Municipal",$H2707="Cooperative",$H2707="Federal",$H2707="State",$H2707="Political Subdivision"),"cost_service",IF($H2707="Investor Owned",IF(AND(COUNTIF(Parameters!$A$4:$A$33,$G2707)&gt;0,COUNTIF(Parameters!$B$4:$B$33,$B2707)=0),"procurement","cost_service"),"unclassified"))))))</f>
        <v>excluded</v>
      </c>
    </row>
    <row r="2708" spans="1:26" x14ac:dyDescent="0.25">
      <c r="A2708">
        <v>2024</v>
      </c>
      <c r="B2708">
        <v>99999</v>
      </c>
      <c r="C2708" t="s">
        <v>1706</v>
      </c>
      <c r="D2708" t="s">
        <v>84</v>
      </c>
      <c r="E2708" t="s">
        <v>85</v>
      </c>
      <c r="F2708" t="s">
        <v>1707</v>
      </c>
      <c r="G2708" t="s">
        <v>49</v>
      </c>
      <c r="I2708" t="s">
        <v>92</v>
      </c>
      <c r="J2708">
        <v>8171.4</v>
      </c>
      <c r="K2708">
        <v>73672</v>
      </c>
      <c r="L2708">
        <v>-52142</v>
      </c>
      <c r="M2708">
        <v>29866.6</v>
      </c>
      <c r="N2708">
        <v>313237</v>
      </c>
      <c r="O2708">
        <v>812</v>
      </c>
      <c r="P2708">
        <v>4416.8</v>
      </c>
      <c r="Q2708">
        <v>45812</v>
      </c>
      <c r="R2708">
        <v>142</v>
      </c>
      <c r="S2708">
        <v>0</v>
      </c>
      <c r="T2708">
        <v>0</v>
      </c>
      <c r="U2708">
        <v>0</v>
      </c>
      <c r="V2708">
        <v>42454.8</v>
      </c>
      <c r="W2708">
        <v>432721</v>
      </c>
      <c r="X2708">
        <v>-51188</v>
      </c>
      <c r="Y2708">
        <f t="shared" si="42"/>
        <v>432721</v>
      </c>
      <c r="Z2708" t="str">
        <f>IF(ISNUMBER(SEARCH("Adjustment",$C2708)),"excluded",IF($H2708="Behind the Meter","excluded",IF(NOT(OR($E2708="Bundled",$E2708="Energy")),"excluded",IF(OR($H2708="Retail Power Marketer",$H2708="Community Choice Aggregator",$E2708="Energy"),"procurement",IF(OR($H2708="Municipal",$H2708="Cooperative",$H2708="Federal",$H2708="State",$H2708="Political Subdivision"),"cost_service",IF($H2708="Investor Owned",IF(AND(COUNTIF(Parameters!$A$4:$A$33,$G2708)&gt;0,COUNTIF(Parameters!$B$4:$B$33,$B2708)=0),"procurement","cost_service"),"unclassified"))))))</f>
        <v>excluded</v>
      </c>
    </row>
    <row r="2709" spans="1:26" x14ac:dyDescent="0.25">
      <c r="A2709">
        <v>2024</v>
      </c>
      <c r="B2709">
        <v>99999</v>
      </c>
      <c r="C2709" t="s">
        <v>1706</v>
      </c>
      <c r="D2709" t="s">
        <v>84</v>
      </c>
      <c r="E2709" t="s">
        <v>85</v>
      </c>
      <c r="F2709" t="s">
        <v>1707</v>
      </c>
      <c r="G2709" t="s">
        <v>50</v>
      </c>
      <c r="I2709" t="s">
        <v>119</v>
      </c>
      <c r="J2709">
        <v>92</v>
      </c>
      <c r="K2709">
        <v>172</v>
      </c>
      <c r="L2709">
        <v>134</v>
      </c>
      <c r="M2709">
        <v>0</v>
      </c>
      <c r="N2709">
        <v>0</v>
      </c>
      <c r="O2709">
        <v>-1</v>
      </c>
      <c r="P2709">
        <v>0</v>
      </c>
      <c r="Q2709">
        <v>0</v>
      </c>
      <c r="R2709">
        <v>0</v>
      </c>
      <c r="S2709">
        <v>0</v>
      </c>
      <c r="T2709">
        <v>0</v>
      </c>
      <c r="U2709">
        <v>0</v>
      </c>
      <c r="V2709">
        <v>92</v>
      </c>
      <c r="W2709">
        <v>172</v>
      </c>
      <c r="X2709">
        <v>133</v>
      </c>
      <c r="Y2709">
        <f t="shared" si="42"/>
        <v>172</v>
      </c>
      <c r="Z2709" t="str">
        <f>IF(ISNUMBER(SEARCH("Adjustment",$C2709)),"excluded",IF($H2709="Behind the Meter","excluded",IF(NOT(OR($E2709="Bundled",$E2709="Energy")),"excluded",IF(OR($H2709="Retail Power Marketer",$H2709="Community Choice Aggregator",$E2709="Energy"),"procurement",IF(OR($H2709="Municipal",$H2709="Cooperative",$H2709="Federal",$H2709="State",$H2709="Political Subdivision"),"cost_service",IF($H2709="Investor Owned",IF(AND(COUNTIF(Parameters!$A$4:$A$33,$G2709)&gt;0,COUNTIF(Parameters!$B$4:$B$33,$B2709)=0),"procurement","cost_service"),"unclassified"))))))</f>
        <v>excluded</v>
      </c>
    </row>
    <row r="2710" spans="1:26" x14ac:dyDescent="0.25">
      <c r="A2710">
        <v>2024</v>
      </c>
      <c r="B2710">
        <v>99999</v>
      </c>
      <c r="C2710" t="s">
        <v>1706</v>
      </c>
      <c r="D2710" t="s">
        <v>84</v>
      </c>
      <c r="E2710" t="s">
        <v>85</v>
      </c>
      <c r="F2710" t="s">
        <v>1707</v>
      </c>
      <c r="G2710" t="s">
        <v>50</v>
      </c>
      <c r="I2710" t="s">
        <v>188</v>
      </c>
      <c r="J2710">
        <v>981.1</v>
      </c>
      <c r="K2710">
        <v>8995</v>
      </c>
      <c r="L2710">
        <v>1108</v>
      </c>
      <c r="M2710">
        <v>1383.7</v>
      </c>
      <c r="N2710">
        <v>12413</v>
      </c>
      <c r="O2710">
        <v>247</v>
      </c>
      <c r="P2710">
        <v>6805.2</v>
      </c>
      <c r="Q2710">
        <v>114917</v>
      </c>
      <c r="R2710">
        <v>19</v>
      </c>
      <c r="S2710">
        <v>0</v>
      </c>
      <c r="T2710">
        <v>0</v>
      </c>
      <c r="U2710">
        <v>0</v>
      </c>
      <c r="V2710">
        <v>9170</v>
      </c>
      <c r="W2710">
        <v>136325</v>
      </c>
      <c r="X2710">
        <v>1374</v>
      </c>
      <c r="Y2710">
        <f t="shared" si="42"/>
        <v>136325</v>
      </c>
      <c r="Z2710" t="str">
        <f>IF(ISNUMBER(SEARCH("Adjustment",$C2710)),"excluded",IF($H2710="Behind the Meter","excluded",IF(NOT(OR($E2710="Bundled",$E2710="Energy")),"excluded",IF(OR($H2710="Retail Power Marketer",$H2710="Community Choice Aggregator",$E2710="Energy"),"procurement",IF(OR($H2710="Municipal",$H2710="Cooperative",$H2710="Federal",$H2710="State",$H2710="Political Subdivision"),"cost_service",IF($H2710="Investor Owned",IF(AND(COUNTIF(Parameters!$A$4:$A$33,$G2710)&gt;0,COUNTIF(Parameters!$B$4:$B$33,$B2710)=0),"procurement","cost_service"),"unclassified"))))))</f>
        <v>excluded</v>
      </c>
    </row>
    <row r="2711" spans="1:26" x14ac:dyDescent="0.25">
      <c r="A2711">
        <v>2024</v>
      </c>
      <c r="B2711">
        <v>99999</v>
      </c>
      <c r="C2711" t="s">
        <v>1706</v>
      </c>
      <c r="D2711" t="s">
        <v>84</v>
      </c>
      <c r="E2711" t="s">
        <v>85</v>
      </c>
      <c r="F2711" t="s">
        <v>1707</v>
      </c>
      <c r="G2711" t="s">
        <v>50</v>
      </c>
      <c r="I2711" t="s">
        <v>189</v>
      </c>
      <c r="J2711">
        <v>10934.1</v>
      </c>
      <c r="K2711">
        <v>73484</v>
      </c>
      <c r="L2711">
        <v>7731</v>
      </c>
      <c r="M2711">
        <v>7351.3</v>
      </c>
      <c r="N2711">
        <v>65350</v>
      </c>
      <c r="O2711">
        <v>1422</v>
      </c>
      <c r="P2711">
        <v>1535.9</v>
      </c>
      <c r="Q2711">
        <v>9094</v>
      </c>
      <c r="R2711">
        <v>4</v>
      </c>
      <c r="S2711">
        <v>0</v>
      </c>
      <c r="T2711">
        <v>0</v>
      </c>
      <c r="U2711">
        <v>0</v>
      </c>
      <c r="V2711">
        <v>19821.3</v>
      </c>
      <c r="W2711">
        <v>147928</v>
      </c>
      <c r="X2711">
        <v>9157</v>
      </c>
      <c r="Y2711">
        <f t="shared" si="42"/>
        <v>147928</v>
      </c>
      <c r="Z2711" t="str">
        <f>IF(ISNUMBER(SEARCH("Adjustment",$C2711)),"excluded",IF($H2711="Behind the Meter","excluded",IF(NOT(OR($E2711="Bundled",$E2711="Energy")),"excluded",IF(OR($H2711="Retail Power Marketer",$H2711="Community Choice Aggregator",$E2711="Energy"),"procurement",IF(OR($H2711="Municipal",$H2711="Cooperative",$H2711="Federal",$H2711="State",$H2711="Political Subdivision"),"cost_service",IF($H2711="Investor Owned",IF(AND(COUNTIF(Parameters!$A$4:$A$33,$G2711)&gt;0,COUNTIF(Parameters!$B$4:$B$33,$B2711)=0),"procurement","cost_service"),"unclassified"))))))</f>
        <v>excluded</v>
      </c>
    </row>
    <row r="2712" spans="1:26" x14ac:dyDescent="0.25">
      <c r="A2712">
        <v>2024</v>
      </c>
      <c r="B2712">
        <v>99999</v>
      </c>
      <c r="C2712" t="s">
        <v>1706</v>
      </c>
      <c r="D2712" t="s">
        <v>84</v>
      </c>
      <c r="E2712" t="s">
        <v>85</v>
      </c>
      <c r="F2712" t="s">
        <v>1707</v>
      </c>
      <c r="G2712" t="s">
        <v>140</v>
      </c>
      <c r="I2712" t="s">
        <v>92</v>
      </c>
      <c r="J2712">
        <v>18580.3</v>
      </c>
      <c r="K2712">
        <v>121660</v>
      </c>
      <c r="L2712">
        <v>17203</v>
      </c>
      <c r="M2712">
        <v>17930.599999999999</v>
      </c>
      <c r="N2712">
        <v>150161</v>
      </c>
      <c r="O2712">
        <v>2982</v>
      </c>
      <c r="P2712">
        <v>9317.7000000000007</v>
      </c>
      <c r="Q2712">
        <v>93719</v>
      </c>
      <c r="R2712">
        <v>82</v>
      </c>
      <c r="S2712">
        <v>0</v>
      </c>
      <c r="T2712">
        <v>0</v>
      </c>
      <c r="U2712">
        <v>0</v>
      </c>
      <c r="V2712">
        <v>45828.6</v>
      </c>
      <c r="W2712">
        <v>365540</v>
      </c>
      <c r="X2712">
        <v>20267</v>
      </c>
      <c r="Y2712">
        <f t="shared" si="42"/>
        <v>365540</v>
      </c>
      <c r="Z2712" t="str">
        <f>IF(ISNUMBER(SEARCH("Adjustment",$C2712)),"excluded",IF($H2712="Behind the Meter","excluded",IF(NOT(OR($E2712="Bundled",$E2712="Energy")),"excluded",IF(OR($H2712="Retail Power Marketer",$H2712="Community Choice Aggregator",$E2712="Energy"),"procurement",IF(OR($H2712="Municipal",$H2712="Cooperative",$H2712="Federal",$H2712="State",$H2712="Political Subdivision"),"cost_service",IF($H2712="Investor Owned",IF(AND(COUNTIF(Parameters!$A$4:$A$33,$G2712)&gt;0,COUNTIF(Parameters!$B$4:$B$33,$B2712)=0),"procurement","cost_service"),"unclassified"))))))</f>
        <v>excluded</v>
      </c>
    </row>
    <row r="2713" spans="1:26" x14ac:dyDescent="0.25">
      <c r="A2713">
        <v>2024</v>
      </c>
      <c r="B2713">
        <v>99999</v>
      </c>
      <c r="C2713" t="s">
        <v>1706</v>
      </c>
      <c r="D2713" t="s">
        <v>84</v>
      </c>
      <c r="E2713" t="s">
        <v>85</v>
      </c>
      <c r="F2713" t="s">
        <v>1707</v>
      </c>
      <c r="G2713" t="s">
        <v>140</v>
      </c>
      <c r="I2713" t="s">
        <v>96</v>
      </c>
      <c r="J2713">
        <v>69294.399999999994</v>
      </c>
      <c r="K2713">
        <v>461514</v>
      </c>
      <c r="L2713">
        <v>63488</v>
      </c>
      <c r="M2713">
        <v>59022.400000000001</v>
      </c>
      <c r="N2713">
        <v>507146</v>
      </c>
      <c r="O2713">
        <v>10187</v>
      </c>
      <c r="P2713">
        <v>50832.7</v>
      </c>
      <c r="Q2713">
        <v>768489</v>
      </c>
      <c r="R2713">
        <v>228</v>
      </c>
      <c r="S2713">
        <v>0</v>
      </c>
      <c r="T2713">
        <v>0</v>
      </c>
      <c r="U2713">
        <v>0</v>
      </c>
      <c r="V2713">
        <v>179149.5</v>
      </c>
      <c r="W2713">
        <v>1737149</v>
      </c>
      <c r="X2713">
        <v>73903</v>
      </c>
      <c r="Y2713">
        <f t="shared" si="42"/>
        <v>1737149</v>
      </c>
      <c r="Z2713" t="str">
        <f>IF(ISNUMBER(SEARCH("Adjustment",$C2713)),"excluded",IF($H2713="Behind the Meter","excluded",IF(NOT(OR($E2713="Bundled",$E2713="Energy")),"excluded",IF(OR($H2713="Retail Power Marketer",$H2713="Community Choice Aggregator",$E2713="Energy"),"procurement",IF(OR($H2713="Municipal",$H2713="Cooperative",$H2713="Federal",$H2713="State",$H2713="Political Subdivision"),"cost_service",IF($H2713="Investor Owned",IF(AND(COUNTIF(Parameters!$A$4:$A$33,$G2713)&gt;0,COUNTIF(Parameters!$B$4:$B$33,$B2713)=0),"procurement","cost_service"),"unclassified"))))))</f>
        <v>excluded</v>
      </c>
    </row>
    <row r="2714" spans="1:26" x14ac:dyDescent="0.25">
      <c r="A2714">
        <v>2024</v>
      </c>
      <c r="B2714">
        <v>99999</v>
      </c>
      <c r="C2714" t="s">
        <v>1706</v>
      </c>
      <c r="D2714" t="s">
        <v>84</v>
      </c>
      <c r="E2714" t="s">
        <v>85</v>
      </c>
      <c r="F2714" t="s">
        <v>1707</v>
      </c>
      <c r="G2714" t="s">
        <v>104</v>
      </c>
      <c r="I2714" t="s">
        <v>96</v>
      </c>
      <c r="J2714">
        <v>353057.9</v>
      </c>
      <c r="K2714">
        <v>2488482</v>
      </c>
      <c r="L2714">
        <v>243873</v>
      </c>
      <c r="M2714">
        <v>226455.8</v>
      </c>
      <c r="N2714">
        <v>1990416</v>
      </c>
      <c r="O2714">
        <v>36988</v>
      </c>
      <c r="P2714">
        <v>150357.79999999999</v>
      </c>
      <c r="Q2714">
        <v>1506860</v>
      </c>
      <c r="R2714">
        <v>2087</v>
      </c>
      <c r="S2714">
        <v>0</v>
      </c>
      <c r="T2714">
        <v>0</v>
      </c>
      <c r="U2714">
        <v>0</v>
      </c>
      <c r="V2714">
        <v>729871.5</v>
      </c>
      <c r="W2714">
        <v>5985758</v>
      </c>
      <c r="X2714">
        <v>282948</v>
      </c>
      <c r="Y2714">
        <f t="shared" si="42"/>
        <v>5985758</v>
      </c>
      <c r="Z2714" t="str">
        <f>IF(ISNUMBER(SEARCH("Adjustment",$C2714)),"excluded",IF($H2714="Behind the Meter","excluded",IF(NOT(OR($E2714="Bundled",$E2714="Energy")),"excluded",IF(OR($H2714="Retail Power Marketer",$H2714="Community Choice Aggregator",$E2714="Energy"),"procurement",IF(OR($H2714="Municipal",$H2714="Cooperative",$H2714="Federal",$H2714="State",$H2714="Political Subdivision"),"cost_service",IF($H2714="Investor Owned",IF(AND(COUNTIF(Parameters!$A$4:$A$33,$G2714)&gt;0,COUNTIF(Parameters!$B$4:$B$33,$B2714)=0),"procurement","cost_service"),"unclassified"))))))</f>
        <v>excluded</v>
      </c>
    </row>
    <row r="2715" spans="1:26" x14ac:dyDescent="0.25">
      <c r="A2715">
        <v>2024</v>
      </c>
      <c r="B2715">
        <v>99999</v>
      </c>
      <c r="C2715" t="s">
        <v>1706</v>
      </c>
      <c r="D2715" t="s">
        <v>84</v>
      </c>
      <c r="E2715" t="s">
        <v>85</v>
      </c>
      <c r="F2715" t="s">
        <v>1707</v>
      </c>
      <c r="G2715" t="s">
        <v>104</v>
      </c>
      <c r="I2715" t="s">
        <v>135</v>
      </c>
      <c r="J2715">
        <v>17593.3</v>
      </c>
      <c r="K2715">
        <v>141571</v>
      </c>
      <c r="L2715">
        <v>7692</v>
      </c>
      <c r="M2715">
        <v>7524.3</v>
      </c>
      <c r="N2715">
        <v>73747</v>
      </c>
      <c r="O2715">
        <v>813</v>
      </c>
      <c r="P2715">
        <v>3617</v>
      </c>
      <c r="Q2715">
        <v>44630</v>
      </c>
      <c r="R2715">
        <v>23</v>
      </c>
      <c r="S2715">
        <v>0</v>
      </c>
      <c r="T2715">
        <v>0</v>
      </c>
      <c r="U2715">
        <v>0</v>
      </c>
      <c r="V2715">
        <v>28734.6</v>
      </c>
      <c r="W2715">
        <v>259948</v>
      </c>
      <c r="X2715">
        <v>8528</v>
      </c>
      <c r="Y2715">
        <f t="shared" si="42"/>
        <v>259948</v>
      </c>
      <c r="Z2715" t="str">
        <f>IF(ISNUMBER(SEARCH("Adjustment",$C2715)),"excluded",IF($H2715="Behind the Meter","excluded",IF(NOT(OR($E2715="Bundled",$E2715="Energy")),"excluded",IF(OR($H2715="Retail Power Marketer",$H2715="Community Choice Aggregator",$E2715="Energy"),"procurement",IF(OR($H2715="Municipal",$H2715="Cooperative",$H2715="Federal",$H2715="State",$H2715="Political Subdivision"),"cost_service",IF($H2715="Investor Owned",IF(AND(COUNTIF(Parameters!$A$4:$A$33,$G2715)&gt;0,COUNTIF(Parameters!$B$4:$B$33,$B2715)=0),"procurement","cost_service"),"unclassified"))))))</f>
        <v>excluded</v>
      </c>
    </row>
    <row r="2716" spans="1:26" x14ac:dyDescent="0.25">
      <c r="A2716">
        <v>2024</v>
      </c>
      <c r="B2716">
        <v>99999</v>
      </c>
      <c r="C2716" t="s">
        <v>1706</v>
      </c>
      <c r="D2716" t="s">
        <v>84</v>
      </c>
      <c r="E2716" t="s">
        <v>85</v>
      </c>
      <c r="F2716" t="s">
        <v>1707</v>
      </c>
      <c r="G2716" t="s">
        <v>226</v>
      </c>
      <c r="I2716" t="s">
        <v>227</v>
      </c>
      <c r="J2716">
        <v>225828.9</v>
      </c>
      <c r="K2716">
        <v>1543933</v>
      </c>
      <c r="L2716">
        <v>122153</v>
      </c>
      <c r="M2716">
        <v>88705.9</v>
      </c>
      <c r="N2716">
        <v>762883</v>
      </c>
      <c r="O2716">
        <v>18269</v>
      </c>
      <c r="P2716">
        <v>49295.3</v>
      </c>
      <c r="Q2716">
        <v>509815</v>
      </c>
      <c r="R2716">
        <v>2114</v>
      </c>
      <c r="S2716">
        <v>0</v>
      </c>
      <c r="T2716">
        <v>0</v>
      </c>
      <c r="U2716">
        <v>0</v>
      </c>
      <c r="V2716">
        <v>363830.1</v>
      </c>
      <c r="W2716">
        <v>2816631</v>
      </c>
      <c r="X2716">
        <v>142536</v>
      </c>
      <c r="Y2716">
        <f t="shared" si="42"/>
        <v>2816631</v>
      </c>
      <c r="Z2716" t="str">
        <f>IF(ISNUMBER(SEARCH("Adjustment",$C2716)),"excluded",IF($H2716="Behind the Meter","excluded",IF(NOT(OR($E2716="Bundled",$E2716="Energy")),"excluded",IF(OR($H2716="Retail Power Marketer",$H2716="Community Choice Aggregator",$E2716="Energy"),"procurement",IF(OR($H2716="Municipal",$H2716="Cooperative",$H2716="Federal",$H2716="State",$H2716="Political Subdivision"),"cost_service",IF($H2716="Investor Owned",IF(AND(COUNTIF(Parameters!$A$4:$A$33,$G2716)&gt;0,COUNTIF(Parameters!$B$4:$B$33,$B2716)=0),"procurement","cost_service"),"unclassified"))))))</f>
        <v>excluded</v>
      </c>
    </row>
    <row r="2717" spans="1:26" x14ac:dyDescent="0.25">
      <c r="A2717">
        <v>2024</v>
      </c>
      <c r="B2717">
        <v>99999</v>
      </c>
      <c r="C2717" t="s">
        <v>1706</v>
      </c>
      <c r="D2717" t="s">
        <v>84</v>
      </c>
      <c r="E2717" t="s">
        <v>85</v>
      </c>
      <c r="F2717" t="s">
        <v>1707</v>
      </c>
      <c r="G2717" t="s">
        <v>226</v>
      </c>
      <c r="I2717" t="s">
        <v>980</v>
      </c>
      <c r="J2717">
        <v>1537.3</v>
      </c>
      <c r="K2717">
        <v>15356</v>
      </c>
      <c r="L2717">
        <v>1514</v>
      </c>
      <c r="M2717">
        <v>2156.4</v>
      </c>
      <c r="N2717">
        <v>21929</v>
      </c>
      <c r="O2717">
        <v>413</v>
      </c>
      <c r="P2717">
        <v>0</v>
      </c>
      <c r="Q2717">
        <v>0</v>
      </c>
      <c r="R2717">
        <v>0</v>
      </c>
      <c r="S2717">
        <v>0</v>
      </c>
      <c r="T2717">
        <v>0</v>
      </c>
      <c r="U2717">
        <v>0</v>
      </c>
      <c r="V2717">
        <v>3693.7</v>
      </c>
      <c r="W2717">
        <v>37285</v>
      </c>
      <c r="X2717">
        <v>1927</v>
      </c>
      <c r="Y2717">
        <f t="shared" si="42"/>
        <v>37285</v>
      </c>
      <c r="Z2717" t="str">
        <f>IF(ISNUMBER(SEARCH("Adjustment",$C2717)),"excluded",IF($H2717="Behind the Meter","excluded",IF(NOT(OR($E2717="Bundled",$E2717="Energy")),"excluded",IF(OR($H2717="Retail Power Marketer",$H2717="Community Choice Aggregator",$E2717="Energy"),"procurement",IF(OR($H2717="Municipal",$H2717="Cooperative",$H2717="Federal",$H2717="State",$H2717="Political Subdivision"),"cost_service",IF($H2717="Investor Owned",IF(AND(COUNTIF(Parameters!$A$4:$A$33,$G2717)&gt;0,COUNTIF(Parameters!$B$4:$B$33,$B2717)=0),"procurement","cost_service"),"unclassified"))))))</f>
        <v>excluded</v>
      </c>
    </row>
    <row r="2718" spans="1:26" x14ac:dyDescent="0.25">
      <c r="A2718">
        <v>2024</v>
      </c>
      <c r="B2718">
        <v>99999</v>
      </c>
      <c r="C2718" t="s">
        <v>1706</v>
      </c>
      <c r="D2718" t="s">
        <v>84</v>
      </c>
      <c r="E2718" t="s">
        <v>85</v>
      </c>
      <c r="F2718" t="s">
        <v>1707</v>
      </c>
      <c r="G2718" t="s">
        <v>226</v>
      </c>
      <c r="I2718" t="s">
        <v>96</v>
      </c>
      <c r="J2718">
        <v>25019.9</v>
      </c>
      <c r="K2718">
        <v>206548</v>
      </c>
      <c r="L2718">
        <v>17762</v>
      </c>
      <c r="M2718">
        <v>12227.6</v>
      </c>
      <c r="N2718">
        <v>111958</v>
      </c>
      <c r="O2718">
        <v>2891</v>
      </c>
      <c r="P2718">
        <v>6113.5</v>
      </c>
      <c r="Q2718">
        <v>64979</v>
      </c>
      <c r="R2718">
        <v>116</v>
      </c>
      <c r="S2718">
        <v>0</v>
      </c>
      <c r="T2718">
        <v>0</v>
      </c>
      <c r="U2718">
        <v>0</v>
      </c>
      <c r="V2718">
        <v>43361</v>
      </c>
      <c r="W2718">
        <v>383485</v>
      </c>
      <c r="X2718">
        <v>20769</v>
      </c>
      <c r="Y2718">
        <f t="shared" si="42"/>
        <v>383485</v>
      </c>
      <c r="Z2718" t="str">
        <f>IF(ISNUMBER(SEARCH("Adjustment",$C2718)),"excluded",IF($H2718="Behind the Meter","excluded",IF(NOT(OR($E2718="Bundled",$E2718="Energy")),"excluded",IF(OR($H2718="Retail Power Marketer",$H2718="Community Choice Aggregator",$E2718="Energy"),"procurement",IF(OR($H2718="Municipal",$H2718="Cooperative",$H2718="Federal",$H2718="State",$H2718="Political Subdivision"),"cost_service",IF($H2718="Investor Owned",IF(AND(COUNTIF(Parameters!$A$4:$A$33,$G2718)&gt;0,COUNTIF(Parameters!$B$4:$B$33,$B2718)=0),"procurement","cost_service"),"unclassified"))))))</f>
        <v>excluded</v>
      </c>
    </row>
    <row r="2719" spans="1:26" x14ac:dyDescent="0.25">
      <c r="A2719">
        <v>2024</v>
      </c>
      <c r="B2719">
        <v>99999</v>
      </c>
      <c r="C2719" t="s">
        <v>1706</v>
      </c>
      <c r="D2719" t="s">
        <v>84</v>
      </c>
      <c r="E2719" t="s">
        <v>85</v>
      </c>
      <c r="F2719" t="s">
        <v>1707</v>
      </c>
      <c r="G2719" t="s">
        <v>226</v>
      </c>
      <c r="I2719" t="s">
        <v>135</v>
      </c>
      <c r="J2719">
        <v>83696.100000000006</v>
      </c>
      <c r="K2719">
        <v>690501</v>
      </c>
      <c r="L2719">
        <v>60868</v>
      </c>
      <c r="M2719">
        <v>53094.7</v>
      </c>
      <c r="N2719">
        <v>512154</v>
      </c>
      <c r="O2719">
        <v>11166</v>
      </c>
      <c r="P2719">
        <v>29994.3</v>
      </c>
      <c r="Q2719">
        <v>290417</v>
      </c>
      <c r="R2719">
        <v>782</v>
      </c>
      <c r="S2719">
        <v>0</v>
      </c>
      <c r="T2719">
        <v>0</v>
      </c>
      <c r="U2719">
        <v>0</v>
      </c>
      <c r="V2719">
        <v>166785.1</v>
      </c>
      <c r="W2719">
        <v>1493072</v>
      </c>
      <c r="X2719">
        <v>72816</v>
      </c>
      <c r="Y2719">
        <f t="shared" si="42"/>
        <v>1493072</v>
      </c>
      <c r="Z2719" t="str">
        <f>IF(ISNUMBER(SEARCH("Adjustment",$C2719)),"excluded",IF($H2719="Behind the Meter","excluded",IF(NOT(OR($E2719="Bundled",$E2719="Energy")),"excluded",IF(OR($H2719="Retail Power Marketer",$H2719="Community Choice Aggregator",$E2719="Energy"),"procurement",IF(OR($H2719="Municipal",$H2719="Cooperative",$H2719="Federal",$H2719="State",$H2719="Political Subdivision"),"cost_service",IF($H2719="Investor Owned",IF(AND(COUNTIF(Parameters!$A$4:$A$33,$G2719)&gt;0,COUNTIF(Parameters!$B$4:$B$33,$B2719)=0),"procurement","cost_service"),"unclassified"))))))</f>
        <v>excluded</v>
      </c>
    </row>
    <row r="2720" spans="1:26" x14ac:dyDescent="0.25">
      <c r="A2720">
        <v>2024</v>
      </c>
      <c r="B2720">
        <v>99999</v>
      </c>
      <c r="C2720" t="s">
        <v>1706</v>
      </c>
      <c r="D2720" t="s">
        <v>84</v>
      </c>
      <c r="E2720" t="s">
        <v>85</v>
      </c>
      <c r="F2720" t="s">
        <v>1707</v>
      </c>
      <c r="G2720" t="s">
        <v>87</v>
      </c>
      <c r="I2720" t="s">
        <v>113</v>
      </c>
      <c r="J2720">
        <v>2751.5</v>
      </c>
      <c r="K2720">
        <v>20279</v>
      </c>
      <c r="L2720">
        <v>962</v>
      </c>
      <c r="M2720">
        <v>3271</v>
      </c>
      <c r="N2720">
        <v>25034</v>
      </c>
      <c r="O2720">
        <v>406</v>
      </c>
      <c r="P2720">
        <v>58.8</v>
      </c>
      <c r="Q2720">
        <v>444</v>
      </c>
      <c r="R2720">
        <v>4</v>
      </c>
      <c r="S2720">
        <v>0</v>
      </c>
      <c r="T2720">
        <v>0</v>
      </c>
      <c r="U2720">
        <v>0</v>
      </c>
      <c r="V2720">
        <v>6081.3</v>
      </c>
      <c r="W2720">
        <v>45757</v>
      </c>
      <c r="X2720">
        <v>1372</v>
      </c>
      <c r="Y2720">
        <f t="shared" si="42"/>
        <v>45757</v>
      </c>
      <c r="Z2720" t="str">
        <f>IF(ISNUMBER(SEARCH("Adjustment",$C2720)),"excluded",IF($H2720="Behind the Meter","excluded",IF(NOT(OR($E2720="Bundled",$E2720="Energy")),"excluded",IF(OR($H2720="Retail Power Marketer",$H2720="Community Choice Aggregator",$E2720="Energy"),"procurement",IF(OR($H2720="Municipal",$H2720="Cooperative",$H2720="Federal",$H2720="State",$H2720="Political Subdivision"),"cost_service",IF($H2720="Investor Owned",IF(AND(COUNTIF(Parameters!$A$4:$A$33,$G2720)&gt;0,COUNTIF(Parameters!$B$4:$B$33,$B2720)=0),"procurement","cost_service"),"unclassified"))))))</f>
        <v>excluded</v>
      </c>
    </row>
    <row r="2721" spans="1:26" x14ac:dyDescent="0.25">
      <c r="A2721">
        <v>2024</v>
      </c>
      <c r="B2721">
        <v>99999</v>
      </c>
      <c r="C2721" t="s">
        <v>1706</v>
      </c>
      <c r="D2721" t="s">
        <v>84</v>
      </c>
      <c r="E2721" t="s">
        <v>85</v>
      </c>
      <c r="F2721" t="s">
        <v>1707</v>
      </c>
      <c r="G2721" t="s">
        <v>87</v>
      </c>
      <c r="I2721" t="s">
        <v>96</v>
      </c>
      <c r="J2721">
        <v>54018</v>
      </c>
      <c r="K2721">
        <v>404519</v>
      </c>
      <c r="L2721">
        <v>35288</v>
      </c>
      <c r="M2721">
        <v>31308.2</v>
      </c>
      <c r="N2721">
        <v>237114</v>
      </c>
      <c r="O2721">
        <v>7060</v>
      </c>
      <c r="P2721">
        <v>17158.099999999999</v>
      </c>
      <c r="Q2721">
        <v>135701</v>
      </c>
      <c r="R2721">
        <v>1758</v>
      </c>
      <c r="S2721">
        <v>0</v>
      </c>
      <c r="T2721">
        <v>0</v>
      </c>
      <c r="U2721">
        <v>0</v>
      </c>
      <c r="V2721">
        <v>102484.3</v>
      </c>
      <c r="W2721">
        <v>777334</v>
      </c>
      <c r="X2721">
        <v>44106</v>
      </c>
      <c r="Y2721">
        <f t="shared" si="42"/>
        <v>777334</v>
      </c>
      <c r="Z2721" t="str">
        <f>IF(ISNUMBER(SEARCH("Adjustment",$C2721)),"excluded",IF($H2721="Behind the Meter","excluded",IF(NOT(OR($E2721="Bundled",$E2721="Energy")),"excluded",IF(OR($H2721="Retail Power Marketer",$H2721="Community Choice Aggregator",$E2721="Energy"),"procurement",IF(OR($H2721="Municipal",$H2721="Cooperative",$H2721="Federal",$H2721="State",$H2721="Political Subdivision"),"cost_service",IF($H2721="Investor Owned",IF(AND(COUNTIF(Parameters!$A$4:$A$33,$G2721)&gt;0,COUNTIF(Parameters!$B$4:$B$33,$B2721)=0),"procurement","cost_service"),"unclassified"))))))</f>
        <v>excluded</v>
      </c>
    </row>
    <row r="2722" spans="1:26" x14ac:dyDescent="0.25">
      <c r="A2722">
        <v>2024</v>
      </c>
      <c r="B2722">
        <v>99999</v>
      </c>
      <c r="C2722" t="s">
        <v>1706</v>
      </c>
      <c r="D2722" t="s">
        <v>84</v>
      </c>
      <c r="E2722" t="s">
        <v>85</v>
      </c>
      <c r="F2722" t="s">
        <v>1707</v>
      </c>
      <c r="G2722" t="s">
        <v>491</v>
      </c>
      <c r="I2722" t="s">
        <v>206</v>
      </c>
      <c r="J2722">
        <v>11722.6</v>
      </c>
      <c r="K2722">
        <v>103050</v>
      </c>
      <c r="L2722">
        <v>6802</v>
      </c>
      <c r="M2722">
        <v>3658.5</v>
      </c>
      <c r="N2722">
        <v>41938</v>
      </c>
      <c r="O2722">
        <v>986</v>
      </c>
      <c r="P2722">
        <v>603.79999999999995</v>
      </c>
      <c r="Q2722">
        <v>5821</v>
      </c>
      <c r="R2722">
        <v>12</v>
      </c>
      <c r="S2722">
        <v>0</v>
      </c>
      <c r="T2722">
        <v>0</v>
      </c>
      <c r="U2722">
        <v>0</v>
      </c>
      <c r="V2722">
        <v>15984.9</v>
      </c>
      <c r="W2722">
        <v>150809</v>
      </c>
      <c r="X2722">
        <v>7800</v>
      </c>
      <c r="Y2722">
        <f t="shared" si="42"/>
        <v>150809</v>
      </c>
      <c r="Z2722" t="str">
        <f>IF(ISNUMBER(SEARCH("Adjustment",$C2722)),"excluded",IF($H2722="Behind the Meter","excluded",IF(NOT(OR($E2722="Bundled",$E2722="Energy")),"excluded",IF(OR($H2722="Retail Power Marketer",$H2722="Community Choice Aggregator",$E2722="Energy"),"procurement",IF(OR($H2722="Municipal",$H2722="Cooperative",$H2722="Federal",$H2722="State",$H2722="Political Subdivision"),"cost_service",IF($H2722="Investor Owned",IF(AND(COUNTIF(Parameters!$A$4:$A$33,$G2722)&gt;0,COUNTIF(Parameters!$B$4:$B$33,$B2722)=0),"procurement","cost_service"),"unclassified"))))))</f>
        <v>excluded</v>
      </c>
    </row>
    <row r="2723" spans="1:26" x14ac:dyDescent="0.25">
      <c r="A2723">
        <v>2024</v>
      </c>
      <c r="B2723">
        <v>99999</v>
      </c>
      <c r="C2723" t="s">
        <v>1706</v>
      </c>
      <c r="D2723" t="s">
        <v>84</v>
      </c>
      <c r="E2723" t="s">
        <v>85</v>
      </c>
      <c r="F2723" t="s">
        <v>1707</v>
      </c>
      <c r="G2723" t="s">
        <v>491</v>
      </c>
      <c r="I2723" t="s">
        <v>844</v>
      </c>
      <c r="J2723">
        <v>75116.600000000006</v>
      </c>
      <c r="K2723">
        <v>639293</v>
      </c>
      <c r="L2723">
        <v>54670</v>
      </c>
      <c r="M2723">
        <v>25024.9</v>
      </c>
      <c r="N2723">
        <v>253714</v>
      </c>
      <c r="O2723">
        <v>6141</v>
      </c>
      <c r="P2723">
        <v>25447.5</v>
      </c>
      <c r="Q2723">
        <v>291203</v>
      </c>
      <c r="R2723">
        <v>2637</v>
      </c>
      <c r="S2723">
        <v>0</v>
      </c>
      <c r="T2723">
        <v>0</v>
      </c>
      <c r="U2723">
        <v>0</v>
      </c>
      <c r="V2723">
        <v>125589</v>
      </c>
      <c r="W2723">
        <v>1184210</v>
      </c>
      <c r="X2723">
        <v>63448</v>
      </c>
      <c r="Y2723">
        <f t="shared" si="42"/>
        <v>1184210</v>
      </c>
      <c r="Z2723" t="str">
        <f>IF(ISNUMBER(SEARCH("Adjustment",$C2723)),"excluded",IF($H2723="Behind the Meter","excluded",IF(NOT(OR($E2723="Bundled",$E2723="Energy")),"excluded",IF(OR($H2723="Retail Power Marketer",$H2723="Community Choice Aggregator",$E2723="Energy"),"procurement",IF(OR($H2723="Municipal",$H2723="Cooperative",$H2723="Federal",$H2723="State",$H2723="Political Subdivision"),"cost_service",IF($H2723="Investor Owned",IF(AND(COUNTIF(Parameters!$A$4:$A$33,$G2723)&gt;0,COUNTIF(Parameters!$B$4:$B$33,$B2723)=0),"procurement","cost_service"),"unclassified"))))))</f>
        <v>excluded</v>
      </c>
    </row>
    <row r="2724" spans="1:26" x14ac:dyDescent="0.25">
      <c r="A2724">
        <v>2024</v>
      </c>
      <c r="B2724">
        <v>99999</v>
      </c>
      <c r="C2724" t="s">
        <v>1706</v>
      </c>
      <c r="D2724" t="s">
        <v>84</v>
      </c>
      <c r="E2724" t="s">
        <v>85</v>
      </c>
      <c r="F2724" t="s">
        <v>1707</v>
      </c>
      <c r="G2724" t="s">
        <v>491</v>
      </c>
      <c r="I2724" t="s">
        <v>559</v>
      </c>
      <c r="J2724">
        <v>20930</v>
      </c>
      <c r="K2724">
        <v>135832</v>
      </c>
      <c r="L2724">
        <v>12765</v>
      </c>
      <c r="M2724">
        <v>6147.6</v>
      </c>
      <c r="N2724">
        <v>51354</v>
      </c>
      <c r="O2724">
        <v>1273</v>
      </c>
      <c r="P2724">
        <v>10163.4</v>
      </c>
      <c r="Q2724">
        <v>84014</v>
      </c>
      <c r="R2724">
        <v>1932</v>
      </c>
      <c r="S2724">
        <v>0</v>
      </c>
      <c r="T2724">
        <v>0</v>
      </c>
      <c r="U2724">
        <v>0</v>
      </c>
      <c r="V2724">
        <v>37241</v>
      </c>
      <c r="W2724">
        <v>271200</v>
      </c>
      <c r="X2724">
        <v>15970</v>
      </c>
      <c r="Y2724">
        <f t="shared" si="42"/>
        <v>271200</v>
      </c>
      <c r="Z2724" t="str">
        <f>IF(ISNUMBER(SEARCH("Adjustment",$C2724)),"excluded",IF($H2724="Behind the Meter","excluded",IF(NOT(OR($E2724="Bundled",$E2724="Energy")),"excluded",IF(OR($H2724="Retail Power Marketer",$H2724="Community Choice Aggregator",$E2724="Energy"),"procurement",IF(OR($H2724="Municipal",$H2724="Cooperative",$H2724="Federal",$H2724="State",$H2724="Political Subdivision"),"cost_service",IF($H2724="Investor Owned",IF(AND(COUNTIF(Parameters!$A$4:$A$33,$G2724)&gt;0,COUNTIF(Parameters!$B$4:$B$33,$B2724)=0),"procurement","cost_service"),"unclassified"))))))</f>
        <v>excluded</v>
      </c>
    </row>
    <row r="2725" spans="1:26" x14ac:dyDescent="0.25">
      <c r="A2725">
        <v>2024</v>
      </c>
      <c r="B2725">
        <v>99999</v>
      </c>
      <c r="C2725" t="s">
        <v>1706</v>
      </c>
      <c r="D2725" t="s">
        <v>84</v>
      </c>
      <c r="E2725" t="s">
        <v>85</v>
      </c>
      <c r="F2725" t="s">
        <v>1707</v>
      </c>
      <c r="G2725" t="s">
        <v>491</v>
      </c>
      <c r="I2725" t="s">
        <v>259</v>
      </c>
      <c r="J2725">
        <v>46.4</v>
      </c>
      <c r="K2725">
        <v>242</v>
      </c>
      <c r="L2725">
        <v>37</v>
      </c>
      <c r="M2725">
        <v>376.6</v>
      </c>
      <c r="N2725">
        <v>2412</v>
      </c>
      <c r="O2725">
        <v>33</v>
      </c>
      <c r="P2725">
        <v>1985</v>
      </c>
      <c r="Q2725">
        <v>16070</v>
      </c>
      <c r="R2725">
        <v>1</v>
      </c>
      <c r="S2725">
        <v>0</v>
      </c>
      <c r="T2725">
        <v>0</v>
      </c>
      <c r="U2725">
        <v>0</v>
      </c>
      <c r="V2725">
        <v>2408</v>
      </c>
      <c r="W2725">
        <v>18724</v>
      </c>
      <c r="X2725">
        <v>71</v>
      </c>
      <c r="Y2725">
        <f t="shared" si="42"/>
        <v>18724</v>
      </c>
      <c r="Z2725" t="str">
        <f>IF(ISNUMBER(SEARCH("Adjustment",$C2725)),"excluded",IF($H2725="Behind the Meter","excluded",IF(NOT(OR($E2725="Bundled",$E2725="Energy")),"excluded",IF(OR($H2725="Retail Power Marketer",$H2725="Community Choice Aggregator",$E2725="Energy"),"procurement",IF(OR($H2725="Municipal",$H2725="Cooperative",$H2725="Federal",$H2725="State",$H2725="Political Subdivision"),"cost_service",IF($H2725="Investor Owned",IF(AND(COUNTIF(Parameters!$A$4:$A$33,$G2725)&gt;0,COUNTIF(Parameters!$B$4:$B$33,$B2725)=0),"procurement","cost_service"),"unclassified"))))))</f>
        <v>excluded</v>
      </c>
    </row>
    <row r="2726" spans="1:26" x14ac:dyDescent="0.25">
      <c r="A2726">
        <v>2024</v>
      </c>
      <c r="B2726">
        <v>99999</v>
      </c>
      <c r="C2726" t="s">
        <v>1706</v>
      </c>
      <c r="D2726" t="s">
        <v>84</v>
      </c>
      <c r="E2726" t="s">
        <v>85</v>
      </c>
      <c r="F2726" t="s">
        <v>1707</v>
      </c>
      <c r="G2726" t="s">
        <v>491</v>
      </c>
      <c r="I2726" t="s">
        <v>135</v>
      </c>
      <c r="J2726">
        <v>7828.8</v>
      </c>
      <c r="K2726">
        <v>68901</v>
      </c>
      <c r="L2726">
        <v>4166</v>
      </c>
      <c r="M2726">
        <v>12715.1</v>
      </c>
      <c r="N2726">
        <v>90039</v>
      </c>
      <c r="O2726">
        <v>854</v>
      </c>
      <c r="P2726">
        <v>2966</v>
      </c>
      <c r="Q2726">
        <v>17154</v>
      </c>
      <c r="R2726">
        <v>1553</v>
      </c>
      <c r="S2726">
        <v>0</v>
      </c>
      <c r="T2726">
        <v>0</v>
      </c>
      <c r="U2726">
        <v>0</v>
      </c>
      <c r="V2726">
        <v>23509.9</v>
      </c>
      <c r="W2726">
        <v>176094</v>
      </c>
      <c r="X2726">
        <v>6573</v>
      </c>
      <c r="Y2726">
        <f t="shared" si="42"/>
        <v>176094</v>
      </c>
      <c r="Z2726" t="str">
        <f>IF(ISNUMBER(SEARCH("Adjustment",$C2726)),"excluded",IF($H2726="Behind the Meter","excluded",IF(NOT(OR($E2726="Bundled",$E2726="Energy")),"excluded",IF(OR($H2726="Retail Power Marketer",$H2726="Community Choice Aggregator",$E2726="Energy"),"procurement",IF(OR($H2726="Municipal",$H2726="Cooperative",$H2726="Federal",$H2726="State",$H2726="Political Subdivision"),"cost_service",IF($H2726="Investor Owned",IF(AND(COUNTIF(Parameters!$A$4:$A$33,$G2726)&gt;0,COUNTIF(Parameters!$B$4:$B$33,$B2726)=0),"procurement","cost_service"),"unclassified"))))))</f>
        <v>excluded</v>
      </c>
    </row>
    <row r="2727" spans="1:26" x14ac:dyDescent="0.25">
      <c r="A2727">
        <v>2024</v>
      </c>
      <c r="B2727">
        <v>99999</v>
      </c>
      <c r="C2727" t="s">
        <v>1706</v>
      </c>
      <c r="D2727" t="s">
        <v>84</v>
      </c>
      <c r="E2727" t="s">
        <v>85</v>
      </c>
      <c r="F2727" t="s">
        <v>1707</v>
      </c>
      <c r="G2727" t="s">
        <v>125</v>
      </c>
      <c r="I2727" t="s">
        <v>163</v>
      </c>
      <c r="J2727">
        <v>136234.1</v>
      </c>
      <c r="K2727">
        <v>923815</v>
      </c>
      <c r="L2727">
        <v>77652</v>
      </c>
      <c r="M2727">
        <v>89046.5</v>
      </c>
      <c r="N2727">
        <v>784575</v>
      </c>
      <c r="O2727">
        <v>12832</v>
      </c>
      <c r="P2727">
        <v>11334.8</v>
      </c>
      <c r="Q2727">
        <v>104622</v>
      </c>
      <c r="R2727">
        <v>63</v>
      </c>
      <c r="S2727">
        <v>0</v>
      </c>
      <c r="T2727">
        <v>0</v>
      </c>
      <c r="U2727">
        <v>0</v>
      </c>
      <c r="V2727">
        <v>236615.4</v>
      </c>
      <c r="W2727">
        <v>1813012</v>
      </c>
      <c r="X2727">
        <v>90547</v>
      </c>
      <c r="Y2727">
        <f t="shared" si="42"/>
        <v>1813012</v>
      </c>
      <c r="Z2727" t="str">
        <f>IF(ISNUMBER(SEARCH("Adjustment",$C2727)),"excluded",IF($H2727="Behind the Meter","excluded",IF(NOT(OR($E2727="Bundled",$E2727="Energy")),"excluded",IF(OR($H2727="Retail Power Marketer",$H2727="Community Choice Aggregator",$E2727="Energy"),"procurement",IF(OR($H2727="Municipal",$H2727="Cooperative",$H2727="Federal",$H2727="State",$H2727="Political Subdivision"),"cost_service",IF($H2727="Investor Owned",IF(AND(COUNTIF(Parameters!$A$4:$A$33,$G2727)&gt;0,COUNTIF(Parameters!$B$4:$B$33,$B2727)=0),"procurement","cost_service"),"unclassified"))))))</f>
        <v>excluded</v>
      </c>
    </row>
    <row r="2728" spans="1:26" x14ac:dyDescent="0.25">
      <c r="A2728">
        <v>2024</v>
      </c>
      <c r="B2728">
        <v>99999</v>
      </c>
      <c r="C2728" t="s">
        <v>1706</v>
      </c>
      <c r="D2728" t="s">
        <v>84</v>
      </c>
      <c r="E2728" t="s">
        <v>85</v>
      </c>
      <c r="F2728" t="s">
        <v>1707</v>
      </c>
      <c r="G2728" t="s">
        <v>125</v>
      </c>
      <c r="I2728" t="s">
        <v>126</v>
      </c>
      <c r="J2728">
        <v>62168.9</v>
      </c>
      <c r="K2728">
        <v>491688</v>
      </c>
      <c r="L2728">
        <v>47235</v>
      </c>
      <c r="M2728">
        <v>61991</v>
      </c>
      <c r="N2728">
        <v>609840</v>
      </c>
      <c r="O2728">
        <v>9371</v>
      </c>
      <c r="P2728">
        <v>18976.400000000001</v>
      </c>
      <c r="Q2728">
        <v>209434</v>
      </c>
      <c r="R2728">
        <v>167</v>
      </c>
      <c r="S2728">
        <v>0</v>
      </c>
      <c r="T2728">
        <v>0</v>
      </c>
      <c r="U2728">
        <v>0</v>
      </c>
      <c r="V2728">
        <v>143136.29999999999</v>
      </c>
      <c r="W2728">
        <v>1310962</v>
      </c>
      <c r="X2728">
        <v>56773</v>
      </c>
      <c r="Y2728">
        <f t="shared" si="42"/>
        <v>1310962</v>
      </c>
      <c r="Z2728" t="str">
        <f>IF(ISNUMBER(SEARCH("Adjustment",$C2728)),"excluded",IF($H2728="Behind the Meter","excluded",IF(NOT(OR($E2728="Bundled",$E2728="Energy")),"excluded",IF(OR($H2728="Retail Power Marketer",$H2728="Community Choice Aggregator",$E2728="Energy"),"procurement",IF(OR($H2728="Municipal",$H2728="Cooperative",$H2728="Federal",$H2728="State",$H2728="Political Subdivision"),"cost_service",IF($H2728="Investor Owned",IF(AND(COUNTIF(Parameters!$A$4:$A$33,$G2728)&gt;0,COUNTIF(Parameters!$B$4:$B$33,$B2728)=0),"procurement","cost_service"),"unclassified"))))))</f>
        <v>excluded</v>
      </c>
    </row>
    <row r="2729" spans="1:26" x14ac:dyDescent="0.25">
      <c r="A2729">
        <v>2024</v>
      </c>
      <c r="B2729">
        <v>99999</v>
      </c>
      <c r="C2729" t="s">
        <v>1706</v>
      </c>
      <c r="D2729" t="s">
        <v>84</v>
      </c>
      <c r="E2729" t="s">
        <v>85</v>
      </c>
      <c r="F2729" t="s">
        <v>1707</v>
      </c>
      <c r="G2729" t="s">
        <v>125</v>
      </c>
      <c r="I2729" t="s">
        <v>92</v>
      </c>
      <c r="J2729">
        <v>20524</v>
      </c>
      <c r="K2729">
        <v>131767</v>
      </c>
      <c r="L2729">
        <v>10626</v>
      </c>
      <c r="M2729">
        <v>8428.6</v>
      </c>
      <c r="N2729">
        <v>69120</v>
      </c>
      <c r="O2729">
        <v>1822</v>
      </c>
      <c r="P2729">
        <v>1500.8</v>
      </c>
      <c r="Q2729">
        <v>17354</v>
      </c>
      <c r="R2729">
        <v>2</v>
      </c>
      <c r="S2729">
        <v>0</v>
      </c>
      <c r="T2729">
        <v>0</v>
      </c>
      <c r="U2729">
        <v>0</v>
      </c>
      <c r="V2729">
        <v>30453.4</v>
      </c>
      <c r="W2729">
        <v>218241</v>
      </c>
      <c r="X2729">
        <v>12450</v>
      </c>
      <c r="Y2729">
        <f t="shared" si="42"/>
        <v>218241</v>
      </c>
      <c r="Z2729" t="str">
        <f>IF(ISNUMBER(SEARCH("Adjustment",$C2729)),"excluded",IF($H2729="Behind the Meter","excluded",IF(NOT(OR($E2729="Bundled",$E2729="Energy")),"excluded",IF(OR($H2729="Retail Power Marketer",$H2729="Community Choice Aggregator",$E2729="Energy"),"procurement",IF(OR($H2729="Municipal",$H2729="Cooperative",$H2729="Federal",$H2729="State",$H2729="Political Subdivision"),"cost_service",IF($H2729="Investor Owned",IF(AND(COUNTIF(Parameters!$A$4:$A$33,$G2729)&gt;0,COUNTIF(Parameters!$B$4:$B$33,$B2729)=0),"procurement","cost_service"),"unclassified"))))))</f>
        <v>excluded</v>
      </c>
    </row>
    <row r="2730" spans="1:26" x14ac:dyDescent="0.25">
      <c r="A2730">
        <v>2024</v>
      </c>
      <c r="B2730">
        <v>99999</v>
      </c>
      <c r="C2730" t="s">
        <v>1706</v>
      </c>
      <c r="D2730" t="s">
        <v>84</v>
      </c>
      <c r="E2730" t="s">
        <v>85</v>
      </c>
      <c r="F2730" t="s">
        <v>1707</v>
      </c>
      <c r="G2730" t="s">
        <v>198</v>
      </c>
      <c r="I2730" t="s">
        <v>259</v>
      </c>
      <c r="J2730">
        <v>301.60000000000002</v>
      </c>
      <c r="K2730">
        <v>2398</v>
      </c>
      <c r="L2730">
        <v>227</v>
      </c>
      <c r="M2730">
        <v>151.5</v>
      </c>
      <c r="N2730">
        <v>1577</v>
      </c>
      <c r="O2730">
        <v>27</v>
      </c>
      <c r="P2730">
        <v>0</v>
      </c>
      <c r="Q2730">
        <v>0</v>
      </c>
      <c r="R2730">
        <v>0</v>
      </c>
      <c r="S2730">
        <v>0</v>
      </c>
      <c r="T2730">
        <v>0</v>
      </c>
      <c r="U2730">
        <v>0</v>
      </c>
      <c r="V2730">
        <v>453.1</v>
      </c>
      <c r="W2730">
        <v>3975</v>
      </c>
      <c r="X2730">
        <v>254</v>
      </c>
      <c r="Y2730">
        <f t="shared" si="42"/>
        <v>3975</v>
      </c>
      <c r="Z2730" t="str">
        <f>IF(ISNUMBER(SEARCH("Adjustment",$C2730)),"excluded",IF($H2730="Behind the Meter","excluded",IF(NOT(OR($E2730="Bundled",$E2730="Energy")),"excluded",IF(OR($H2730="Retail Power Marketer",$H2730="Community Choice Aggregator",$E2730="Energy"),"procurement",IF(OR($H2730="Municipal",$H2730="Cooperative",$H2730="Federal",$H2730="State",$H2730="Political Subdivision"),"cost_service",IF($H2730="Investor Owned",IF(AND(COUNTIF(Parameters!$A$4:$A$33,$G2730)&gt;0,COUNTIF(Parameters!$B$4:$B$33,$B2730)=0),"procurement","cost_service"),"unclassified"))))))</f>
        <v>excluded</v>
      </c>
    </row>
    <row r="2731" spans="1:26" x14ac:dyDescent="0.25">
      <c r="A2731">
        <v>2024</v>
      </c>
      <c r="B2731">
        <v>99999</v>
      </c>
      <c r="C2731" t="s">
        <v>1706</v>
      </c>
      <c r="D2731" t="s">
        <v>84</v>
      </c>
      <c r="E2731" t="s">
        <v>85</v>
      </c>
      <c r="F2731" t="s">
        <v>1707</v>
      </c>
      <c r="G2731" t="s">
        <v>198</v>
      </c>
      <c r="I2731" t="s">
        <v>96</v>
      </c>
      <c r="J2731">
        <v>11666.1</v>
      </c>
      <c r="K2731">
        <v>93507</v>
      </c>
      <c r="L2731">
        <v>6514</v>
      </c>
      <c r="M2731">
        <v>5207.2</v>
      </c>
      <c r="N2731">
        <v>85513</v>
      </c>
      <c r="O2731">
        <v>1005</v>
      </c>
      <c r="P2731">
        <v>2876.1</v>
      </c>
      <c r="Q2731">
        <v>27011</v>
      </c>
      <c r="R2731">
        <v>81</v>
      </c>
      <c r="S2731">
        <v>0</v>
      </c>
      <c r="T2731">
        <v>0</v>
      </c>
      <c r="U2731">
        <v>0</v>
      </c>
      <c r="V2731">
        <v>19749.400000000001</v>
      </c>
      <c r="W2731">
        <v>206031</v>
      </c>
      <c r="X2731">
        <v>7600</v>
      </c>
      <c r="Y2731">
        <f t="shared" si="42"/>
        <v>206031</v>
      </c>
      <c r="Z2731" t="str">
        <f>IF(ISNUMBER(SEARCH("Adjustment",$C2731)),"excluded",IF($H2731="Behind the Meter","excluded",IF(NOT(OR($E2731="Bundled",$E2731="Energy")),"excluded",IF(OR($H2731="Retail Power Marketer",$H2731="Community Choice Aggregator",$E2731="Energy"),"procurement",IF(OR($H2731="Municipal",$H2731="Cooperative",$H2731="Federal",$H2731="State",$H2731="Political Subdivision"),"cost_service",IF($H2731="Investor Owned",IF(AND(COUNTIF(Parameters!$A$4:$A$33,$G2731)&gt;0,COUNTIF(Parameters!$B$4:$B$33,$B2731)=0),"procurement","cost_service"),"unclassified"))))))</f>
        <v>excluded</v>
      </c>
    </row>
    <row r="2732" spans="1:26" x14ac:dyDescent="0.25">
      <c r="A2732">
        <v>2024</v>
      </c>
      <c r="B2732">
        <v>99999</v>
      </c>
      <c r="C2732" t="s">
        <v>1706</v>
      </c>
      <c r="D2732" t="s">
        <v>84</v>
      </c>
      <c r="E2732" t="s">
        <v>85</v>
      </c>
      <c r="F2732" t="s">
        <v>1707</v>
      </c>
      <c r="G2732" t="s">
        <v>198</v>
      </c>
      <c r="I2732" t="s">
        <v>135</v>
      </c>
      <c r="J2732">
        <v>26879.599999999999</v>
      </c>
      <c r="K2732">
        <v>219400</v>
      </c>
      <c r="L2732">
        <v>17005</v>
      </c>
      <c r="M2732">
        <v>23596.2</v>
      </c>
      <c r="N2732">
        <v>217215</v>
      </c>
      <c r="O2732">
        <v>3176</v>
      </c>
      <c r="P2732">
        <v>3738.6</v>
      </c>
      <c r="Q2732">
        <v>30553</v>
      </c>
      <c r="R2732">
        <v>287</v>
      </c>
      <c r="S2732">
        <v>0</v>
      </c>
      <c r="T2732">
        <v>0</v>
      </c>
      <c r="U2732">
        <v>0</v>
      </c>
      <c r="V2732">
        <v>54214.400000000001</v>
      </c>
      <c r="W2732">
        <v>467168</v>
      </c>
      <c r="X2732">
        <v>20468</v>
      </c>
      <c r="Y2732">
        <f t="shared" si="42"/>
        <v>467168</v>
      </c>
      <c r="Z2732" t="str">
        <f>IF(ISNUMBER(SEARCH("Adjustment",$C2732)),"excluded",IF($H2732="Behind the Meter","excluded",IF(NOT(OR($E2732="Bundled",$E2732="Energy")),"excluded",IF(OR($H2732="Retail Power Marketer",$H2732="Community Choice Aggregator",$E2732="Energy"),"procurement",IF(OR($H2732="Municipal",$H2732="Cooperative",$H2732="Federal",$H2732="State",$H2732="Political Subdivision"),"cost_service",IF($H2732="Investor Owned",IF(AND(COUNTIF(Parameters!$A$4:$A$33,$G2732)&gt;0,COUNTIF(Parameters!$B$4:$B$33,$B2732)=0),"procurement","cost_service"),"unclassified"))))))</f>
        <v>excluded</v>
      </c>
    </row>
    <row r="2733" spans="1:26" x14ac:dyDescent="0.25">
      <c r="A2733">
        <v>2024</v>
      </c>
      <c r="B2733">
        <v>99999</v>
      </c>
      <c r="C2733" t="s">
        <v>1706</v>
      </c>
      <c r="D2733" t="s">
        <v>84</v>
      </c>
      <c r="E2733" t="s">
        <v>85</v>
      </c>
      <c r="F2733" t="s">
        <v>1707</v>
      </c>
      <c r="G2733" t="s">
        <v>271</v>
      </c>
      <c r="I2733" t="s">
        <v>259</v>
      </c>
      <c r="J2733">
        <v>42508.5</v>
      </c>
      <c r="K2733">
        <v>301347</v>
      </c>
      <c r="L2733">
        <v>24224</v>
      </c>
      <c r="M2733">
        <v>21498</v>
      </c>
      <c r="N2733">
        <v>177286</v>
      </c>
      <c r="O2733">
        <v>5999</v>
      </c>
      <c r="P2733">
        <v>47789.5</v>
      </c>
      <c r="Q2733">
        <v>353050</v>
      </c>
      <c r="R2733">
        <v>4794</v>
      </c>
      <c r="S2733">
        <v>0</v>
      </c>
      <c r="T2733">
        <v>0</v>
      </c>
      <c r="U2733">
        <v>0</v>
      </c>
      <c r="V2733">
        <v>111796</v>
      </c>
      <c r="W2733">
        <v>831683</v>
      </c>
      <c r="X2733">
        <v>35017</v>
      </c>
      <c r="Y2733">
        <f t="shared" si="42"/>
        <v>831683</v>
      </c>
      <c r="Z2733" t="str">
        <f>IF(ISNUMBER(SEARCH("Adjustment",$C2733)),"excluded",IF($H2733="Behind the Meter","excluded",IF(NOT(OR($E2733="Bundled",$E2733="Energy")),"excluded",IF(OR($H2733="Retail Power Marketer",$H2733="Community Choice Aggregator",$E2733="Energy"),"procurement",IF(OR($H2733="Municipal",$H2733="Cooperative",$H2733="Federal",$H2733="State",$H2733="Political Subdivision"),"cost_service",IF($H2733="Investor Owned",IF(AND(COUNTIF(Parameters!$A$4:$A$33,$G2733)&gt;0,COUNTIF(Parameters!$B$4:$B$33,$B2733)=0),"procurement","cost_service"),"unclassified"))))))</f>
        <v>excluded</v>
      </c>
    </row>
    <row r="2734" spans="1:26" x14ac:dyDescent="0.25">
      <c r="A2734">
        <v>2024</v>
      </c>
      <c r="B2734">
        <v>99999</v>
      </c>
      <c r="C2734" t="s">
        <v>1706</v>
      </c>
      <c r="D2734" t="s">
        <v>84</v>
      </c>
      <c r="E2734" t="s">
        <v>85</v>
      </c>
      <c r="F2734" t="s">
        <v>1707</v>
      </c>
      <c r="G2734" t="s">
        <v>271</v>
      </c>
      <c r="I2734" t="s">
        <v>135</v>
      </c>
      <c r="J2734">
        <v>179636.2</v>
      </c>
      <c r="K2734">
        <v>1542271</v>
      </c>
      <c r="L2734">
        <v>123900</v>
      </c>
      <c r="M2734">
        <v>118551</v>
      </c>
      <c r="N2734">
        <v>1154111</v>
      </c>
      <c r="O2734">
        <v>27354</v>
      </c>
      <c r="P2734">
        <v>123893.5</v>
      </c>
      <c r="Q2734">
        <v>1265803</v>
      </c>
      <c r="R2734">
        <v>13304</v>
      </c>
      <c r="S2734">
        <v>0</v>
      </c>
      <c r="T2734">
        <v>0</v>
      </c>
      <c r="U2734">
        <v>0</v>
      </c>
      <c r="V2734">
        <v>422080.7</v>
      </c>
      <c r="W2734">
        <v>3962185</v>
      </c>
      <c r="X2734">
        <v>164558</v>
      </c>
      <c r="Y2734">
        <f t="shared" si="42"/>
        <v>3962185</v>
      </c>
      <c r="Z2734" t="str">
        <f>IF(ISNUMBER(SEARCH("Adjustment",$C2734)),"excluded",IF($H2734="Behind the Meter","excluded",IF(NOT(OR($E2734="Bundled",$E2734="Energy")),"excluded",IF(OR($H2734="Retail Power Marketer",$H2734="Community Choice Aggregator",$E2734="Energy"),"procurement",IF(OR($H2734="Municipal",$H2734="Cooperative",$H2734="Federal",$H2734="State",$H2734="Political Subdivision"),"cost_service",IF($H2734="Investor Owned",IF(AND(COUNTIF(Parameters!$A$4:$A$33,$G2734)&gt;0,COUNTIF(Parameters!$B$4:$B$33,$B2734)=0),"procurement","cost_service"),"unclassified"))))))</f>
        <v>excluded</v>
      </c>
    </row>
    <row r="2735" spans="1:26" x14ac:dyDescent="0.25">
      <c r="A2735">
        <v>2024</v>
      </c>
      <c r="B2735">
        <v>99999</v>
      </c>
      <c r="C2735" t="s">
        <v>1706</v>
      </c>
      <c r="D2735" t="s">
        <v>84</v>
      </c>
      <c r="E2735" t="s">
        <v>85</v>
      </c>
      <c r="F2735" t="s">
        <v>1707</v>
      </c>
      <c r="G2735" t="s">
        <v>51</v>
      </c>
      <c r="I2735" t="s">
        <v>189</v>
      </c>
      <c r="J2735">
        <v>12250.4</v>
      </c>
      <c r="K2735">
        <v>79886</v>
      </c>
      <c r="L2735">
        <v>5105</v>
      </c>
      <c r="M2735">
        <v>8417.2000000000007</v>
      </c>
      <c r="N2735">
        <v>47171</v>
      </c>
      <c r="O2735">
        <v>2430</v>
      </c>
      <c r="P2735">
        <v>9507.1</v>
      </c>
      <c r="Q2735">
        <v>62859</v>
      </c>
      <c r="R2735">
        <v>64</v>
      </c>
      <c r="S2735">
        <v>0</v>
      </c>
      <c r="T2735">
        <v>0</v>
      </c>
      <c r="U2735">
        <v>0</v>
      </c>
      <c r="V2735">
        <v>30174.7</v>
      </c>
      <c r="W2735">
        <v>189916</v>
      </c>
      <c r="X2735">
        <v>7599</v>
      </c>
      <c r="Y2735">
        <f t="shared" si="42"/>
        <v>189916</v>
      </c>
      <c r="Z2735" t="str">
        <f>IF(ISNUMBER(SEARCH("Adjustment",$C2735)),"excluded",IF($H2735="Behind the Meter","excluded",IF(NOT(OR($E2735="Bundled",$E2735="Energy")),"excluded",IF(OR($H2735="Retail Power Marketer",$H2735="Community Choice Aggregator",$E2735="Energy"),"procurement",IF(OR($H2735="Municipal",$H2735="Cooperative",$H2735="Federal",$H2735="State",$H2735="Political Subdivision"),"cost_service",IF($H2735="Investor Owned",IF(AND(COUNTIF(Parameters!$A$4:$A$33,$G2735)&gt;0,COUNTIF(Parameters!$B$4:$B$33,$B2735)=0),"procurement","cost_service"),"unclassified"))))))</f>
        <v>excluded</v>
      </c>
    </row>
    <row r="2736" spans="1:26" x14ac:dyDescent="0.25">
      <c r="A2736">
        <v>2024</v>
      </c>
      <c r="B2736">
        <v>99999</v>
      </c>
      <c r="C2736" t="s">
        <v>1706</v>
      </c>
      <c r="D2736" t="s">
        <v>84</v>
      </c>
      <c r="E2736" t="s">
        <v>85</v>
      </c>
      <c r="F2736" t="s">
        <v>1707</v>
      </c>
      <c r="G2736" t="s">
        <v>52</v>
      </c>
      <c r="I2736" t="s">
        <v>102</v>
      </c>
      <c r="J2736">
        <v>0</v>
      </c>
      <c r="K2736">
        <v>0</v>
      </c>
      <c r="L2736">
        <v>-18</v>
      </c>
      <c r="M2736">
        <v>0</v>
      </c>
      <c r="N2736">
        <v>0</v>
      </c>
      <c r="O2736">
        <v>0</v>
      </c>
      <c r="P2736">
        <v>235</v>
      </c>
      <c r="Q2736">
        <v>4553</v>
      </c>
      <c r="R2736">
        <v>1</v>
      </c>
      <c r="S2736">
        <v>0</v>
      </c>
      <c r="T2736">
        <v>0</v>
      </c>
      <c r="U2736">
        <v>0</v>
      </c>
      <c r="V2736">
        <v>235</v>
      </c>
      <c r="W2736">
        <v>4553</v>
      </c>
      <c r="X2736">
        <v>-17</v>
      </c>
      <c r="Y2736">
        <f t="shared" si="42"/>
        <v>4553</v>
      </c>
      <c r="Z2736" t="str">
        <f>IF(ISNUMBER(SEARCH("Adjustment",$C2736)),"excluded",IF($H2736="Behind the Meter","excluded",IF(NOT(OR($E2736="Bundled",$E2736="Energy")),"excluded",IF(OR($H2736="Retail Power Marketer",$H2736="Community Choice Aggregator",$E2736="Energy"),"procurement",IF(OR($H2736="Municipal",$H2736="Cooperative",$H2736="Federal",$H2736="State",$H2736="Political Subdivision"),"cost_service",IF($H2736="Investor Owned",IF(AND(COUNTIF(Parameters!$A$4:$A$33,$G2736)&gt;0,COUNTIF(Parameters!$B$4:$B$33,$B2736)=0),"procurement","cost_service"),"unclassified"))))))</f>
        <v>excluded</v>
      </c>
    </row>
    <row r="2737" spans="1:26" x14ac:dyDescent="0.25">
      <c r="A2737">
        <v>2024</v>
      </c>
      <c r="B2737">
        <v>99999</v>
      </c>
      <c r="C2737" t="s">
        <v>1706</v>
      </c>
      <c r="D2737" t="s">
        <v>84</v>
      </c>
      <c r="E2737" t="s">
        <v>85</v>
      </c>
      <c r="F2737" t="s">
        <v>1707</v>
      </c>
      <c r="G2737" t="s">
        <v>52</v>
      </c>
      <c r="I2737" t="s">
        <v>92</v>
      </c>
      <c r="J2737">
        <v>62263.9</v>
      </c>
      <c r="K2737">
        <v>421421</v>
      </c>
      <c r="L2737">
        <v>-51710</v>
      </c>
      <c r="M2737">
        <v>65567.399999999994</v>
      </c>
      <c r="N2737">
        <v>669053</v>
      </c>
      <c r="O2737">
        <v>4986</v>
      </c>
      <c r="P2737">
        <v>11975.4</v>
      </c>
      <c r="Q2737">
        <v>133233</v>
      </c>
      <c r="R2737">
        <v>37</v>
      </c>
      <c r="S2737">
        <v>0</v>
      </c>
      <c r="T2737">
        <v>0</v>
      </c>
      <c r="U2737">
        <v>0</v>
      </c>
      <c r="V2737">
        <v>139806.70000000001</v>
      </c>
      <c r="W2737">
        <v>1223707</v>
      </c>
      <c r="X2737">
        <v>-46687</v>
      </c>
      <c r="Y2737">
        <f t="shared" si="42"/>
        <v>1223707</v>
      </c>
      <c r="Z2737" t="str">
        <f>IF(ISNUMBER(SEARCH("Adjustment",$C2737)),"excluded",IF($H2737="Behind the Meter","excluded",IF(NOT(OR($E2737="Bundled",$E2737="Energy")),"excluded",IF(OR($H2737="Retail Power Marketer",$H2737="Community Choice Aggregator",$E2737="Energy"),"procurement",IF(OR($H2737="Municipal",$H2737="Cooperative",$H2737="Federal",$H2737="State",$H2737="Political Subdivision"),"cost_service",IF($H2737="Investor Owned",IF(AND(COUNTIF(Parameters!$A$4:$A$33,$G2737)&gt;0,COUNTIF(Parameters!$B$4:$B$33,$B2737)=0),"procurement","cost_service"),"unclassified"))))))</f>
        <v>excluded</v>
      </c>
    </row>
    <row r="2738" spans="1:26" x14ac:dyDescent="0.25">
      <c r="A2738">
        <v>2024</v>
      </c>
      <c r="B2738">
        <v>99999</v>
      </c>
      <c r="C2738" t="s">
        <v>1706</v>
      </c>
      <c r="D2738" t="s">
        <v>84</v>
      </c>
      <c r="E2738" t="s">
        <v>85</v>
      </c>
      <c r="F2738" t="s">
        <v>1707</v>
      </c>
      <c r="G2738" t="s">
        <v>308</v>
      </c>
      <c r="I2738" t="s">
        <v>468</v>
      </c>
      <c r="J2738">
        <v>0</v>
      </c>
      <c r="K2738">
        <v>0</v>
      </c>
      <c r="L2738">
        <v>-23</v>
      </c>
      <c r="M2738">
        <v>0</v>
      </c>
      <c r="N2738">
        <v>0</v>
      </c>
      <c r="O2738">
        <v>-3</v>
      </c>
      <c r="P2738">
        <v>0</v>
      </c>
      <c r="Q2738">
        <v>0</v>
      </c>
      <c r="R2738">
        <v>0</v>
      </c>
      <c r="S2738">
        <v>0</v>
      </c>
      <c r="T2738">
        <v>0</v>
      </c>
      <c r="U2738">
        <v>0</v>
      </c>
      <c r="V2738">
        <v>0</v>
      </c>
      <c r="W2738">
        <v>0</v>
      </c>
      <c r="X2738">
        <v>-26</v>
      </c>
      <c r="Y2738">
        <f t="shared" si="42"/>
        <v>0</v>
      </c>
      <c r="Z2738" t="str">
        <f>IF(ISNUMBER(SEARCH("Adjustment",$C2738)),"excluded",IF($H2738="Behind the Meter","excluded",IF(NOT(OR($E2738="Bundled",$E2738="Energy")),"excluded",IF(OR($H2738="Retail Power Marketer",$H2738="Community Choice Aggregator",$E2738="Energy"),"procurement",IF(OR($H2738="Municipal",$H2738="Cooperative",$H2738="Federal",$H2738="State",$H2738="Political Subdivision"),"cost_service",IF($H2738="Investor Owned",IF(AND(COUNTIF(Parameters!$A$4:$A$33,$G2738)&gt;0,COUNTIF(Parameters!$B$4:$B$33,$B2738)=0),"procurement","cost_service"),"unclassified"))))))</f>
        <v>excluded</v>
      </c>
    </row>
    <row r="2739" spans="1:26" x14ac:dyDescent="0.25">
      <c r="A2739">
        <v>2024</v>
      </c>
      <c r="B2739">
        <v>99999</v>
      </c>
      <c r="C2739" t="s">
        <v>1706</v>
      </c>
      <c r="D2739" t="s">
        <v>84</v>
      </c>
      <c r="E2739" t="s">
        <v>85</v>
      </c>
      <c r="F2739" t="s">
        <v>1707</v>
      </c>
      <c r="G2739" t="s">
        <v>308</v>
      </c>
      <c r="I2739" t="s">
        <v>523</v>
      </c>
      <c r="J2739">
        <v>3392.6</v>
      </c>
      <c r="K2739">
        <v>19317</v>
      </c>
      <c r="L2739">
        <v>3649</v>
      </c>
      <c r="M2739">
        <v>1344.1</v>
      </c>
      <c r="N2739">
        <v>9355</v>
      </c>
      <c r="O2739">
        <v>569</v>
      </c>
      <c r="P2739">
        <v>1286.0999999999999</v>
      </c>
      <c r="Q2739">
        <v>10021</v>
      </c>
      <c r="R2739">
        <v>30</v>
      </c>
      <c r="S2739">
        <v>0</v>
      </c>
      <c r="T2739">
        <v>0</v>
      </c>
      <c r="U2739">
        <v>0</v>
      </c>
      <c r="V2739">
        <v>6022.8</v>
      </c>
      <c r="W2739">
        <v>38693</v>
      </c>
      <c r="X2739">
        <v>4248</v>
      </c>
      <c r="Y2739">
        <f t="shared" si="42"/>
        <v>38693</v>
      </c>
      <c r="Z2739" t="str">
        <f>IF(ISNUMBER(SEARCH("Adjustment",$C2739)),"excluded",IF($H2739="Behind the Meter","excluded",IF(NOT(OR($E2739="Bundled",$E2739="Energy")),"excluded",IF(OR($H2739="Retail Power Marketer",$H2739="Community Choice Aggregator",$E2739="Energy"),"procurement",IF(OR($H2739="Municipal",$H2739="Cooperative",$H2739="Federal",$H2739="State",$H2739="Political Subdivision"),"cost_service",IF($H2739="Investor Owned",IF(AND(COUNTIF(Parameters!$A$4:$A$33,$G2739)&gt;0,COUNTIF(Parameters!$B$4:$B$33,$B2739)=0),"procurement","cost_service"),"unclassified"))))))</f>
        <v>excluded</v>
      </c>
    </row>
    <row r="2740" spans="1:26" x14ac:dyDescent="0.25">
      <c r="A2740">
        <v>2024</v>
      </c>
      <c r="B2740">
        <v>99999</v>
      </c>
      <c r="C2740" t="s">
        <v>1706</v>
      </c>
      <c r="D2740" t="s">
        <v>84</v>
      </c>
      <c r="E2740" t="s">
        <v>85</v>
      </c>
      <c r="F2740" t="s">
        <v>1707</v>
      </c>
      <c r="G2740" t="s">
        <v>308</v>
      </c>
      <c r="I2740" t="s">
        <v>309</v>
      </c>
      <c r="J2740">
        <v>49492.2</v>
      </c>
      <c r="K2740">
        <v>305989</v>
      </c>
      <c r="L2740">
        <v>39879</v>
      </c>
      <c r="M2740">
        <v>45123.1</v>
      </c>
      <c r="N2740">
        <v>413573</v>
      </c>
      <c r="O2740">
        <v>6907</v>
      </c>
      <c r="P2740">
        <v>10828.7</v>
      </c>
      <c r="Q2740">
        <v>86280</v>
      </c>
      <c r="R2740">
        <v>446</v>
      </c>
      <c r="S2740">
        <v>0</v>
      </c>
      <c r="T2740">
        <v>0</v>
      </c>
      <c r="U2740">
        <v>0</v>
      </c>
      <c r="V2740">
        <v>105444</v>
      </c>
      <c r="W2740">
        <v>805842</v>
      </c>
      <c r="X2740">
        <v>47232</v>
      </c>
      <c r="Y2740">
        <f t="shared" si="42"/>
        <v>805842</v>
      </c>
      <c r="Z2740" t="str">
        <f>IF(ISNUMBER(SEARCH("Adjustment",$C2740)),"excluded",IF($H2740="Behind the Meter","excluded",IF(NOT(OR($E2740="Bundled",$E2740="Energy")),"excluded",IF(OR($H2740="Retail Power Marketer",$H2740="Community Choice Aggregator",$E2740="Energy"),"procurement",IF(OR($H2740="Municipal",$H2740="Cooperative",$H2740="Federal",$H2740="State",$H2740="Political Subdivision"),"cost_service",IF($H2740="Investor Owned",IF(AND(COUNTIF(Parameters!$A$4:$A$33,$G2740)&gt;0,COUNTIF(Parameters!$B$4:$B$33,$B2740)=0),"procurement","cost_service"),"unclassified"))))))</f>
        <v>excluded</v>
      </c>
    </row>
    <row r="2741" spans="1:26" x14ac:dyDescent="0.25">
      <c r="A2741">
        <v>2024</v>
      </c>
      <c r="B2741">
        <v>99999</v>
      </c>
      <c r="C2741" t="s">
        <v>1706</v>
      </c>
      <c r="D2741" t="s">
        <v>84</v>
      </c>
      <c r="E2741" t="s">
        <v>85</v>
      </c>
      <c r="F2741" t="s">
        <v>1707</v>
      </c>
      <c r="G2741" t="s">
        <v>308</v>
      </c>
      <c r="I2741" t="s">
        <v>243</v>
      </c>
      <c r="J2741">
        <v>368.5</v>
      </c>
      <c r="K2741">
        <v>2615</v>
      </c>
      <c r="L2741">
        <v>236</v>
      </c>
      <c r="M2741">
        <v>41.8</v>
      </c>
      <c r="N2741">
        <v>309</v>
      </c>
      <c r="O2741">
        <v>32</v>
      </c>
      <c r="P2741">
        <v>175.8</v>
      </c>
      <c r="Q2741">
        <v>1153</v>
      </c>
      <c r="R2741">
        <v>71</v>
      </c>
      <c r="S2741">
        <v>0</v>
      </c>
      <c r="T2741">
        <v>0</v>
      </c>
      <c r="U2741">
        <v>0</v>
      </c>
      <c r="V2741">
        <v>586.1</v>
      </c>
      <c r="W2741">
        <v>4077</v>
      </c>
      <c r="X2741">
        <v>339</v>
      </c>
      <c r="Y2741">
        <f t="shared" si="42"/>
        <v>4077</v>
      </c>
      <c r="Z2741" t="str">
        <f>IF(ISNUMBER(SEARCH("Adjustment",$C2741)),"excluded",IF($H2741="Behind the Meter","excluded",IF(NOT(OR($E2741="Bundled",$E2741="Energy")),"excluded",IF(OR($H2741="Retail Power Marketer",$H2741="Community Choice Aggregator",$E2741="Energy"),"procurement",IF(OR($H2741="Municipal",$H2741="Cooperative",$H2741="Federal",$H2741="State",$H2741="Political Subdivision"),"cost_service",IF($H2741="Investor Owned",IF(AND(COUNTIF(Parameters!$A$4:$A$33,$G2741)&gt;0,COUNTIF(Parameters!$B$4:$B$33,$B2741)=0),"procurement","cost_service"),"unclassified"))))))</f>
        <v>excluded</v>
      </c>
    </row>
    <row r="2742" spans="1:26" x14ac:dyDescent="0.25">
      <c r="A2742">
        <v>2024</v>
      </c>
      <c r="B2742">
        <v>99999</v>
      </c>
      <c r="C2742" t="s">
        <v>1706</v>
      </c>
      <c r="D2742" t="s">
        <v>84</v>
      </c>
      <c r="E2742" t="s">
        <v>85</v>
      </c>
      <c r="F2742" t="s">
        <v>1707</v>
      </c>
      <c r="G2742" t="s">
        <v>308</v>
      </c>
      <c r="I2742" t="s">
        <v>259</v>
      </c>
      <c r="J2742">
        <v>2463.1</v>
      </c>
      <c r="K2742">
        <v>15947</v>
      </c>
      <c r="L2742">
        <v>2675</v>
      </c>
      <c r="M2742">
        <v>3360.9</v>
      </c>
      <c r="N2742">
        <v>24381</v>
      </c>
      <c r="O2742">
        <v>512</v>
      </c>
      <c r="P2742">
        <v>0</v>
      </c>
      <c r="Q2742">
        <v>0</v>
      </c>
      <c r="R2742">
        <v>0</v>
      </c>
      <c r="S2742">
        <v>0</v>
      </c>
      <c r="T2742">
        <v>0</v>
      </c>
      <c r="U2742">
        <v>0</v>
      </c>
      <c r="V2742">
        <v>5824</v>
      </c>
      <c r="W2742">
        <v>40328</v>
      </c>
      <c r="X2742">
        <v>3187</v>
      </c>
      <c r="Y2742">
        <f t="shared" si="42"/>
        <v>40328</v>
      </c>
      <c r="Z2742" t="str">
        <f>IF(ISNUMBER(SEARCH("Adjustment",$C2742)),"excluded",IF($H2742="Behind the Meter","excluded",IF(NOT(OR($E2742="Bundled",$E2742="Energy")),"excluded",IF(OR($H2742="Retail Power Marketer",$H2742="Community Choice Aggregator",$E2742="Energy"),"procurement",IF(OR($H2742="Municipal",$H2742="Cooperative",$H2742="Federal",$H2742="State",$H2742="Political Subdivision"),"cost_service",IF($H2742="Investor Owned",IF(AND(COUNTIF(Parameters!$A$4:$A$33,$G2742)&gt;0,COUNTIF(Parameters!$B$4:$B$33,$B2742)=0),"procurement","cost_service"),"unclassified"))))))</f>
        <v>excluded</v>
      </c>
    </row>
    <row r="2743" spans="1:26" x14ac:dyDescent="0.25">
      <c r="A2743">
        <v>2024</v>
      </c>
      <c r="B2743">
        <v>99999</v>
      </c>
      <c r="C2743" t="s">
        <v>1706</v>
      </c>
      <c r="D2743" t="s">
        <v>84</v>
      </c>
      <c r="E2743" t="s">
        <v>85</v>
      </c>
      <c r="F2743" t="s">
        <v>1707</v>
      </c>
      <c r="G2743" t="s">
        <v>308</v>
      </c>
      <c r="I2743" t="s">
        <v>135</v>
      </c>
      <c r="J2743">
        <v>0</v>
      </c>
      <c r="K2743">
        <v>0</v>
      </c>
      <c r="L2743">
        <v>-12</v>
      </c>
      <c r="M2743">
        <v>0</v>
      </c>
      <c r="N2743">
        <v>0</v>
      </c>
      <c r="O2743">
        <v>0</v>
      </c>
      <c r="P2743">
        <v>0</v>
      </c>
      <c r="Q2743">
        <v>0</v>
      </c>
      <c r="R2743">
        <v>0</v>
      </c>
      <c r="S2743">
        <v>0</v>
      </c>
      <c r="T2743">
        <v>0</v>
      </c>
      <c r="U2743">
        <v>0</v>
      </c>
      <c r="V2743">
        <v>0</v>
      </c>
      <c r="W2743">
        <v>0</v>
      </c>
      <c r="X2743">
        <v>-12</v>
      </c>
      <c r="Y2743">
        <f t="shared" si="42"/>
        <v>0</v>
      </c>
      <c r="Z2743" t="str">
        <f>IF(ISNUMBER(SEARCH("Adjustment",$C2743)),"excluded",IF($H2743="Behind the Meter","excluded",IF(NOT(OR($E2743="Bundled",$E2743="Energy")),"excluded",IF(OR($H2743="Retail Power Marketer",$H2743="Community Choice Aggregator",$E2743="Energy"),"procurement",IF(OR($H2743="Municipal",$H2743="Cooperative",$H2743="Federal",$H2743="State",$H2743="Political Subdivision"),"cost_service",IF($H2743="Investor Owned",IF(AND(COUNTIF(Parameters!$A$4:$A$33,$G2743)&gt;0,COUNTIF(Parameters!$B$4:$B$33,$B2743)=0),"procurement","cost_service"),"unclassified"))))))</f>
        <v>excluded</v>
      </c>
    </row>
    <row r="2744" spans="1:26" x14ac:dyDescent="0.25">
      <c r="A2744">
        <v>2024</v>
      </c>
      <c r="B2744">
        <v>99999</v>
      </c>
      <c r="C2744" t="s">
        <v>1706</v>
      </c>
      <c r="D2744" t="s">
        <v>84</v>
      </c>
      <c r="E2744" t="s">
        <v>85</v>
      </c>
      <c r="F2744" t="s">
        <v>1707</v>
      </c>
      <c r="G2744" t="s">
        <v>242</v>
      </c>
      <c r="I2744" t="s">
        <v>206</v>
      </c>
      <c r="J2744">
        <v>1248</v>
      </c>
      <c r="K2744">
        <v>14818</v>
      </c>
      <c r="L2744">
        <v>586</v>
      </c>
      <c r="M2744">
        <v>755.6</v>
      </c>
      <c r="N2744">
        <v>8843</v>
      </c>
      <c r="O2744">
        <v>235</v>
      </c>
      <c r="P2744">
        <v>5553.1</v>
      </c>
      <c r="Q2744">
        <v>92226</v>
      </c>
      <c r="R2744">
        <v>558</v>
      </c>
      <c r="S2744">
        <v>0</v>
      </c>
      <c r="T2744">
        <v>0</v>
      </c>
      <c r="U2744">
        <v>0</v>
      </c>
      <c r="V2744">
        <v>7556.7</v>
      </c>
      <c r="W2744">
        <v>115887</v>
      </c>
      <c r="X2744">
        <v>1379</v>
      </c>
      <c r="Y2744">
        <f t="shared" si="42"/>
        <v>115887</v>
      </c>
      <c r="Z2744" t="str">
        <f>IF(ISNUMBER(SEARCH("Adjustment",$C2744)),"excluded",IF($H2744="Behind the Meter","excluded",IF(NOT(OR($E2744="Bundled",$E2744="Energy")),"excluded",IF(OR($H2744="Retail Power Marketer",$H2744="Community Choice Aggregator",$E2744="Energy"),"procurement",IF(OR($H2744="Municipal",$H2744="Cooperative",$H2744="Federal",$H2744="State",$H2744="Political Subdivision"),"cost_service",IF($H2744="Investor Owned",IF(AND(COUNTIF(Parameters!$A$4:$A$33,$G2744)&gt;0,COUNTIF(Parameters!$B$4:$B$33,$B2744)=0),"procurement","cost_service"),"unclassified"))))))</f>
        <v>excluded</v>
      </c>
    </row>
    <row r="2745" spans="1:26" x14ac:dyDescent="0.25">
      <c r="A2745">
        <v>2024</v>
      </c>
      <c r="B2745">
        <v>99999</v>
      </c>
      <c r="C2745" t="s">
        <v>1706</v>
      </c>
      <c r="D2745" t="s">
        <v>84</v>
      </c>
      <c r="E2745" t="s">
        <v>85</v>
      </c>
      <c r="F2745" t="s">
        <v>1707</v>
      </c>
      <c r="G2745" t="s">
        <v>242</v>
      </c>
      <c r="I2745" t="s">
        <v>116</v>
      </c>
      <c r="J2745">
        <v>1120.2</v>
      </c>
      <c r="K2745">
        <v>4793</v>
      </c>
      <c r="L2745">
        <v>445</v>
      </c>
      <c r="M2745">
        <v>12.7</v>
      </c>
      <c r="N2745">
        <v>47</v>
      </c>
      <c r="O2745">
        <v>7</v>
      </c>
      <c r="P2745">
        <v>13.1</v>
      </c>
      <c r="Q2745">
        <v>73</v>
      </c>
      <c r="R2745">
        <v>2</v>
      </c>
      <c r="S2745">
        <v>0</v>
      </c>
      <c r="T2745">
        <v>0</v>
      </c>
      <c r="U2745">
        <v>0</v>
      </c>
      <c r="V2745">
        <v>1146</v>
      </c>
      <c r="W2745">
        <v>4913</v>
      </c>
      <c r="X2745">
        <v>454</v>
      </c>
      <c r="Y2745">
        <f t="shared" si="42"/>
        <v>4913</v>
      </c>
      <c r="Z2745" t="str">
        <f>IF(ISNUMBER(SEARCH("Adjustment",$C2745)),"excluded",IF($H2745="Behind the Meter","excluded",IF(NOT(OR($E2745="Bundled",$E2745="Energy")),"excluded",IF(OR($H2745="Retail Power Marketer",$H2745="Community Choice Aggregator",$E2745="Energy"),"procurement",IF(OR($H2745="Municipal",$H2745="Cooperative",$H2745="Federal",$H2745="State",$H2745="Political Subdivision"),"cost_service",IF($H2745="Investor Owned",IF(AND(COUNTIF(Parameters!$A$4:$A$33,$G2745)&gt;0,COUNTIF(Parameters!$B$4:$B$33,$B2745)=0),"procurement","cost_service"),"unclassified"))))))</f>
        <v>excluded</v>
      </c>
    </row>
    <row r="2746" spans="1:26" x14ac:dyDescent="0.25">
      <c r="A2746">
        <v>2024</v>
      </c>
      <c r="B2746">
        <v>99999</v>
      </c>
      <c r="C2746" t="s">
        <v>1706</v>
      </c>
      <c r="D2746" t="s">
        <v>84</v>
      </c>
      <c r="E2746" t="s">
        <v>85</v>
      </c>
      <c r="F2746" t="s">
        <v>1707</v>
      </c>
      <c r="G2746" t="s">
        <v>242</v>
      </c>
      <c r="I2746" t="s">
        <v>390</v>
      </c>
      <c r="J2746">
        <v>9731.9</v>
      </c>
      <c r="K2746">
        <v>65586</v>
      </c>
      <c r="L2746">
        <v>-37013</v>
      </c>
      <c r="M2746">
        <v>11103</v>
      </c>
      <c r="N2746">
        <v>86182</v>
      </c>
      <c r="O2746">
        <v>1501</v>
      </c>
      <c r="P2746">
        <v>5342.8</v>
      </c>
      <c r="Q2746">
        <v>37583</v>
      </c>
      <c r="R2746">
        <v>192</v>
      </c>
      <c r="S2746">
        <v>0</v>
      </c>
      <c r="T2746">
        <v>0</v>
      </c>
      <c r="U2746">
        <v>0</v>
      </c>
      <c r="V2746">
        <v>26177.7</v>
      </c>
      <c r="W2746">
        <v>189351</v>
      </c>
      <c r="X2746">
        <v>-35320</v>
      </c>
      <c r="Y2746">
        <f t="shared" si="42"/>
        <v>189351</v>
      </c>
      <c r="Z2746" t="str">
        <f>IF(ISNUMBER(SEARCH("Adjustment",$C2746)),"excluded",IF($H2746="Behind the Meter","excluded",IF(NOT(OR($E2746="Bundled",$E2746="Energy")),"excluded",IF(OR($H2746="Retail Power Marketer",$H2746="Community Choice Aggregator",$E2746="Energy"),"procurement",IF(OR($H2746="Municipal",$H2746="Cooperative",$H2746="Federal",$H2746="State",$H2746="Political Subdivision"),"cost_service",IF($H2746="Investor Owned",IF(AND(COUNTIF(Parameters!$A$4:$A$33,$G2746)&gt;0,COUNTIF(Parameters!$B$4:$B$33,$B2746)=0),"procurement","cost_service"),"unclassified"))))))</f>
        <v>excluded</v>
      </c>
    </row>
    <row r="2747" spans="1:26" x14ac:dyDescent="0.25">
      <c r="A2747">
        <v>2024</v>
      </c>
      <c r="B2747">
        <v>99999</v>
      </c>
      <c r="C2747" t="s">
        <v>1706</v>
      </c>
      <c r="D2747" t="s">
        <v>84</v>
      </c>
      <c r="E2747" t="s">
        <v>85</v>
      </c>
      <c r="F2747" t="s">
        <v>1707</v>
      </c>
      <c r="G2747" t="s">
        <v>242</v>
      </c>
      <c r="I2747" t="s">
        <v>243</v>
      </c>
      <c r="J2747">
        <v>244</v>
      </c>
      <c r="K2747">
        <v>2079</v>
      </c>
      <c r="L2747">
        <v>206</v>
      </c>
      <c r="M2747">
        <v>1904.6</v>
      </c>
      <c r="N2747">
        <v>15908</v>
      </c>
      <c r="O2747">
        <v>73</v>
      </c>
      <c r="P2747">
        <v>53.4</v>
      </c>
      <c r="Q2747">
        <v>405</v>
      </c>
      <c r="R2747">
        <v>5</v>
      </c>
      <c r="S2747">
        <v>0</v>
      </c>
      <c r="T2747">
        <v>0</v>
      </c>
      <c r="U2747">
        <v>0</v>
      </c>
      <c r="V2747">
        <v>2202</v>
      </c>
      <c r="W2747">
        <v>18392</v>
      </c>
      <c r="X2747">
        <v>284</v>
      </c>
      <c r="Y2747">
        <f t="shared" si="42"/>
        <v>18392</v>
      </c>
      <c r="Z2747" t="str">
        <f>IF(ISNUMBER(SEARCH("Adjustment",$C2747)),"excluded",IF($H2747="Behind the Meter","excluded",IF(NOT(OR($E2747="Bundled",$E2747="Energy")),"excluded",IF(OR($H2747="Retail Power Marketer",$H2747="Community Choice Aggregator",$E2747="Energy"),"procurement",IF(OR($H2747="Municipal",$H2747="Cooperative",$H2747="Federal",$H2747="State",$H2747="Political Subdivision"),"cost_service",IF($H2747="Investor Owned",IF(AND(COUNTIF(Parameters!$A$4:$A$33,$G2747)&gt;0,COUNTIF(Parameters!$B$4:$B$33,$B2747)=0),"procurement","cost_service"),"unclassified"))))))</f>
        <v>excluded</v>
      </c>
    </row>
    <row r="2748" spans="1:26" x14ac:dyDescent="0.25">
      <c r="A2748">
        <v>2024</v>
      </c>
      <c r="B2748">
        <v>99999</v>
      </c>
      <c r="C2748" t="s">
        <v>1706</v>
      </c>
      <c r="D2748" t="s">
        <v>84</v>
      </c>
      <c r="E2748" t="s">
        <v>85</v>
      </c>
      <c r="F2748" t="s">
        <v>1707</v>
      </c>
      <c r="G2748" t="s">
        <v>53</v>
      </c>
      <c r="I2748" t="s">
        <v>119</v>
      </c>
      <c r="J2748">
        <v>2368.6999999999998</v>
      </c>
      <c r="K2748">
        <v>5983</v>
      </c>
      <c r="L2748">
        <v>1838</v>
      </c>
      <c r="M2748">
        <v>163.1</v>
      </c>
      <c r="N2748">
        <v>591</v>
      </c>
      <c r="O2748">
        <v>22</v>
      </c>
      <c r="P2748">
        <v>0</v>
      </c>
      <c r="Q2748">
        <v>0</v>
      </c>
      <c r="R2748">
        <v>0</v>
      </c>
      <c r="S2748">
        <v>0</v>
      </c>
      <c r="T2748">
        <v>0</v>
      </c>
      <c r="U2748">
        <v>0</v>
      </c>
      <c r="V2748">
        <v>2531.8000000000002</v>
      </c>
      <c r="W2748">
        <v>6574</v>
      </c>
      <c r="X2748">
        <v>1860</v>
      </c>
      <c r="Y2748">
        <f t="shared" si="42"/>
        <v>6574</v>
      </c>
      <c r="Z2748" t="str">
        <f>IF(ISNUMBER(SEARCH("Adjustment",$C2748)),"excluded",IF($H2748="Behind the Meter","excluded",IF(NOT(OR($E2748="Bundled",$E2748="Energy")),"excluded",IF(OR($H2748="Retail Power Marketer",$H2748="Community Choice Aggregator",$E2748="Energy"),"procurement",IF(OR($H2748="Municipal",$H2748="Cooperative",$H2748="Federal",$H2748="State",$H2748="Political Subdivision"),"cost_service",IF($H2748="Investor Owned",IF(AND(COUNTIF(Parameters!$A$4:$A$33,$G2748)&gt;0,COUNTIF(Parameters!$B$4:$B$33,$B2748)=0),"procurement","cost_service"),"unclassified"))))))</f>
        <v>excluded</v>
      </c>
    </row>
    <row r="2749" spans="1:26" x14ac:dyDescent="0.25">
      <c r="A2749">
        <v>2024</v>
      </c>
      <c r="B2749">
        <v>99999</v>
      </c>
      <c r="C2749" t="s">
        <v>1706</v>
      </c>
      <c r="D2749" t="s">
        <v>84</v>
      </c>
      <c r="E2749" t="s">
        <v>85</v>
      </c>
      <c r="F2749" t="s">
        <v>1707</v>
      </c>
      <c r="G2749" t="s">
        <v>53</v>
      </c>
      <c r="I2749" t="s">
        <v>189</v>
      </c>
      <c r="J2749">
        <v>0</v>
      </c>
      <c r="K2749">
        <v>0</v>
      </c>
      <c r="L2749">
        <v>-5636</v>
      </c>
      <c r="M2749">
        <v>840</v>
      </c>
      <c r="N2749">
        <v>11680</v>
      </c>
      <c r="O2749">
        <v>6</v>
      </c>
      <c r="P2749">
        <v>0</v>
      </c>
      <c r="Q2749">
        <v>0</v>
      </c>
      <c r="R2749">
        <v>0</v>
      </c>
      <c r="S2749">
        <v>0</v>
      </c>
      <c r="T2749">
        <v>0</v>
      </c>
      <c r="U2749">
        <v>0</v>
      </c>
      <c r="V2749">
        <v>840</v>
      </c>
      <c r="W2749">
        <v>11680</v>
      </c>
      <c r="X2749">
        <v>-5630</v>
      </c>
      <c r="Y2749">
        <f t="shared" si="42"/>
        <v>11680</v>
      </c>
      <c r="Z2749" t="str">
        <f>IF(ISNUMBER(SEARCH("Adjustment",$C2749)),"excluded",IF($H2749="Behind the Meter","excluded",IF(NOT(OR($E2749="Bundled",$E2749="Energy")),"excluded",IF(OR($H2749="Retail Power Marketer",$H2749="Community Choice Aggregator",$E2749="Energy"),"procurement",IF(OR($H2749="Municipal",$H2749="Cooperative",$H2749="Federal",$H2749="State",$H2749="Political Subdivision"),"cost_service",IF($H2749="Investor Owned",IF(AND(COUNTIF(Parameters!$A$4:$A$33,$G2749)&gt;0,COUNTIF(Parameters!$B$4:$B$33,$B2749)=0),"procurement","cost_service"),"unclassified"))))))</f>
        <v>excluded</v>
      </c>
    </row>
    <row r="2750" spans="1:26" x14ac:dyDescent="0.25">
      <c r="A2750">
        <v>2024</v>
      </c>
      <c r="B2750">
        <v>99999</v>
      </c>
      <c r="C2750" t="s">
        <v>1706</v>
      </c>
      <c r="D2750" t="s">
        <v>84</v>
      </c>
      <c r="E2750" t="s">
        <v>85</v>
      </c>
      <c r="F2750" t="s">
        <v>1707</v>
      </c>
      <c r="G2750" t="s">
        <v>53</v>
      </c>
      <c r="I2750" t="s">
        <v>102</v>
      </c>
      <c r="J2750">
        <v>95646.7</v>
      </c>
      <c r="K2750">
        <v>1166282</v>
      </c>
      <c r="L2750">
        <v>24217</v>
      </c>
      <c r="M2750">
        <v>75407.199999999997</v>
      </c>
      <c r="N2750">
        <v>977056</v>
      </c>
      <c r="O2750">
        <v>13759</v>
      </c>
      <c r="P2750">
        <v>32370.400000000001</v>
      </c>
      <c r="Q2750">
        <v>597203</v>
      </c>
      <c r="R2750">
        <v>1153</v>
      </c>
      <c r="S2750">
        <v>0</v>
      </c>
      <c r="T2750">
        <v>0</v>
      </c>
      <c r="U2750">
        <v>0</v>
      </c>
      <c r="V2750">
        <v>203424.3</v>
      </c>
      <c r="W2750">
        <v>2740541</v>
      </c>
      <c r="X2750">
        <v>39129</v>
      </c>
      <c r="Y2750">
        <f t="shared" si="42"/>
        <v>2740541</v>
      </c>
      <c r="Z2750" t="str">
        <f>IF(ISNUMBER(SEARCH("Adjustment",$C2750)),"excluded",IF($H2750="Behind the Meter","excluded",IF(NOT(OR($E2750="Bundled",$E2750="Energy")),"excluded",IF(OR($H2750="Retail Power Marketer",$H2750="Community Choice Aggregator",$E2750="Energy"),"procurement",IF(OR($H2750="Municipal",$H2750="Cooperative",$H2750="Federal",$H2750="State",$H2750="Political Subdivision"),"cost_service",IF($H2750="Investor Owned",IF(AND(COUNTIF(Parameters!$A$4:$A$33,$G2750)&gt;0,COUNTIF(Parameters!$B$4:$B$33,$B2750)=0),"procurement","cost_service"),"unclassified"))))))</f>
        <v>excluded</v>
      </c>
    </row>
    <row r="2751" spans="1:26" x14ac:dyDescent="0.25">
      <c r="A2751">
        <v>2024</v>
      </c>
      <c r="B2751">
        <v>99999</v>
      </c>
      <c r="C2751" t="s">
        <v>1706</v>
      </c>
      <c r="D2751" t="s">
        <v>84</v>
      </c>
      <c r="E2751" t="s">
        <v>85</v>
      </c>
      <c r="F2751" t="s">
        <v>1707</v>
      </c>
      <c r="G2751" t="s">
        <v>53</v>
      </c>
      <c r="I2751" t="s">
        <v>92</v>
      </c>
      <c r="J2751">
        <v>0</v>
      </c>
      <c r="K2751">
        <v>0</v>
      </c>
      <c r="L2751">
        <v>-2415</v>
      </c>
      <c r="M2751">
        <v>0</v>
      </c>
      <c r="N2751">
        <v>0</v>
      </c>
      <c r="O2751">
        <v>0</v>
      </c>
      <c r="P2751">
        <v>0</v>
      </c>
      <c r="Q2751">
        <v>0</v>
      </c>
      <c r="R2751">
        <v>0</v>
      </c>
      <c r="S2751">
        <v>0</v>
      </c>
      <c r="T2751">
        <v>0</v>
      </c>
      <c r="U2751">
        <v>0</v>
      </c>
      <c r="V2751">
        <v>0</v>
      </c>
      <c r="W2751">
        <v>0</v>
      </c>
      <c r="X2751">
        <v>-2415</v>
      </c>
      <c r="Y2751">
        <f t="shared" si="42"/>
        <v>0</v>
      </c>
      <c r="Z2751" t="str">
        <f>IF(ISNUMBER(SEARCH("Adjustment",$C2751)),"excluded",IF($H2751="Behind the Meter","excluded",IF(NOT(OR($E2751="Bundled",$E2751="Energy")),"excluded",IF(OR($H2751="Retail Power Marketer",$H2751="Community Choice Aggregator",$E2751="Energy"),"procurement",IF(OR($H2751="Municipal",$H2751="Cooperative",$H2751="Federal",$H2751="State",$H2751="Political Subdivision"),"cost_service",IF($H2751="Investor Owned",IF(AND(COUNTIF(Parameters!$A$4:$A$33,$G2751)&gt;0,COUNTIF(Parameters!$B$4:$B$33,$B2751)=0),"procurement","cost_service"),"unclassified"))))))</f>
        <v>excluded</v>
      </c>
    </row>
    <row r="2752" spans="1:26" x14ac:dyDescent="0.25">
      <c r="A2752">
        <v>2024</v>
      </c>
      <c r="B2752">
        <v>99999</v>
      </c>
      <c r="C2752" t="s">
        <v>1706</v>
      </c>
      <c r="D2752" t="s">
        <v>84</v>
      </c>
      <c r="E2752" t="s">
        <v>85</v>
      </c>
      <c r="F2752" t="s">
        <v>1707</v>
      </c>
      <c r="G2752" t="s">
        <v>54</v>
      </c>
      <c r="I2752" t="s">
        <v>92</v>
      </c>
      <c r="J2752">
        <v>300340</v>
      </c>
      <c r="K2752">
        <v>1996594</v>
      </c>
      <c r="L2752">
        <v>179369</v>
      </c>
      <c r="M2752">
        <v>125851.3</v>
      </c>
      <c r="N2752">
        <v>954770</v>
      </c>
      <c r="O2752">
        <v>24101</v>
      </c>
      <c r="P2752">
        <v>151033</v>
      </c>
      <c r="Q2752">
        <v>1641695</v>
      </c>
      <c r="R2752">
        <v>964</v>
      </c>
      <c r="S2752">
        <v>0</v>
      </c>
      <c r="T2752">
        <v>0</v>
      </c>
      <c r="U2752">
        <v>0</v>
      </c>
      <c r="V2752">
        <v>577224.30000000005</v>
      </c>
      <c r="W2752">
        <v>4593059</v>
      </c>
      <c r="X2752">
        <v>204434</v>
      </c>
      <c r="Y2752">
        <f t="shared" si="42"/>
        <v>4593059</v>
      </c>
      <c r="Z2752" t="str">
        <f>IF(ISNUMBER(SEARCH("Adjustment",$C2752)),"excluded",IF($H2752="Behind the Meter","excluded",IF(NOT(OR($E2752="Bundled",$E2752="Energy")),"excluded",IF(OR($H2752="Retail Power Marketer",$H2752="Community Choice Aggregator",$E2752="Energy"),"procurement",IF(OR($H2752="Municipal",$H2752="Cooperative",$H2752="Federal",$H2752="State",$H2752="Political Subdivision"),"cost_service",IF($H2752="Investor Owned",IF(AND(COUNTIF(Parameters!$A$4:$A$33,$G2752)&gt;0,COUNTIF(Parameters!$B$4:$B$33,$B2752)=0),"procurement","cost_service"),"unclassified"))))))</f>
        <v>excluded</v>
      </c>
    </row>
    <row r="2753" spans="1:26" x14ac:dyDescent="0.25">
      <c r="A2753">
        <v>2024</v>
      </c>
      <c r="B2753">
        <v>99999</v>
      </c>
      <c r="C2753" t="s">
        <v>1706</v>
      </c>
      <c r="D2753" t="s">
        <v>84</v>
      </c>
      <c r="E2753" t="s">
        <v>85</v>
      </c>
      <c r="F2753" t="s">
        <v>1707</v>
      </c>
      <c r="G2753" t="s">
        <v>136</v>
      </c>
      <c r="I2753" t="s">
        <v>227</v>
      </c>
      <c r="J2753">
        <v>2471.6</v>
      </c>
      <c r="K2753">
        <v>23057</v>
      </c>
      <c r="L2753">
        <v>1915</v>
      </c>
      <c r="M2753">
        <v>3222.1</v>
      </c>
      <c r="N2753">
        <v>28356</v>
      </c>
      <c r="O2753">
        <v>416</v>
      </c>
      <c r="P2753">
        <v>0</v>
      </c>
      <c r="Q2753">
        <v>0</v>
      </c>
      <c r="R2753">
        <v>0</v>
      </c>
      <c r="S2753">
        <v>0</v>
      </c>
      <c r="T2753">
        <v>0</v>
      </c>
      <c r="U2753">
        <v>0</v>
      </c>
      <c r="V2753">
        <v>5693.7</v>
      </c>
      <c r="W2753">
        <v>51413</v>
      </c>
      <c r="X2753">
        <v>2331</v>
      </c>
      <c r="Y2753">
        <f t="shared" si="42"/>
        <v>51413</v>
      </c>
      <c r="Z2753" t="str">
        <f>IF(ISNUMBER(SEARCH("Adjustment",$C2753)),"excluded",IF($H2753="Behind the Meter","excluded",IF(NOT(OR($E2753="Bundled",$E2753="Energy")),"excluded",IF(OR($H2753="Retail Power Marketer",$H2753="Community Choice Aggregator",$E2753="Energy"),"procurement",IF(OR($H2753="Municipal",$H2753="Cooperative",$H2753="Federal",$H2753="State",$H2753="Political Subdivision"),"cost_service",IF($H2753="Investor Owned",IF(AND(COUNTIF(Parameters!$A$4:$A$33,$G2753)&gt;0,COUNTIF(Parameters!$B$4:$B$33,$B2753)=0),"procurement","cost_service"),"unclassified"))))))</f>
        <v>excluded</v>
      </c>
    </row>
    <row r="2754" spans="1:26" x14ac:dyDescent="0.25">
      <c r="A2754">
        <v>2024</v>
      </c>
      <c r="B2754">
        <v>99999</v>
      </c>
      <c r="C2754" t="s">
        <v>1706</v>
      </c>
      <c r="D2754" t="s">
        <v>84</v>
      </c>
      <c r="E2754" t="s">
        <v>85</v>
      </c>
      <c r="F2754" t="s">
        <v>1707</v>
      </c>
      <c r="G2754" t="s">
        <v>136</v>
      </c>
      <c r="I2754" t="s">
        <v>980</v>
      </c>
      <c r="J2754">
        <v>5680.7</v>
      </c>
      <c r="K2754">
        <v>40370</v>
      </c>
      <c r="L2754">
        <v>3699</v>
      </c>
      <c r="M2754">
        <v>4974.3999999999996</v>
      </c>
      <c r="N2754">
        <v>39927</v>
      </c>
      <c r="O2754">
        <v>841</v>
      </c>
      <c r="P2754">
        <v>0</v>
      </c>
      <c r="Q2754">
        <v>0</v>
      </c>
      <c r="R2754">
        <v>0</v>
      </c>
      <c r="S2754">
        <v>0</v>
      </c>
      <c r="T2754">
        <v>0</v>
      </c>
      <c r="U2754">
        <v>0</v>
      </c>
      <c r="V2754">
        <v>10655.1</v>
      </c>
      <c r="W2754">
        <v>80297</v>
      </c>
      <c r="X2754">
        <v>4540</v>
      </c>
      <c r="Y2754">
        <f t="shared" si="42"/>
        <v>80297</v>
      </c>
      <c r="Z2754" t="str">
        <f>IF(ISNUMBER(SEARCH("Adjustment",$C2754)),"excluded",IF($H2754="Behind the Meter","excluded",IF(NOT(OR($E2754="Bundled",$E2754="Energy")),"excluded",IF(OR($H2754="Retail Power Marketer",$H2754="Community Choice Aggregator",$E2754="Energy"),"procurement",IF(OR($H2754="Municipal",$H2754="Cooperative",$H2754="Federal",$H2754="State",$H2754="Political Subdivision"),"cost_service",IF($H2754="Investor Owned",IF(AND(COUNTIF(Parameters!$A$4:$A$33,$G2754)&gt;0,COUNTIF(Parameters!$B$4:$B$33,$B2754)=0),"procurement","cost_service"),"unclassified"))))))</f>
        <v>excluded</v>
      </c>
    </row>
    <row r="2755" spans="1:26" x14ac:dyDescent="0.25">
      <c r="A2755">
        <v>2024</v>
      </c>
      <c r="B2755">
        <v>99999</v>
      </c>
      <c r="C2755" t="s">
        <v>1706</v>
      </c>
      <c r="D2755" t="s">
        <v>84</v>
      </c>
      <c r="E2755" t="s">
        <v>85</v>
      </c>
      <c r="F2755" t="s">
        <v>1707</v>
      </c>
      <c r="G2755" t="s">
        <v>136</v>
      </c>
      <c r="I2755" t="s">
        <v>96</v>
      </c>
      <c r="J2755">
        <v>535.4</v>
      </c>
      <c r="K2755">
        <v>5452</v>
      </c>
      <c r="L2755">
        <v>498</v>
      </c>
      <c r="M2755">
        <v>46.6</v>
      </c>
      <c r="N2755">
        <v>526</v>
      </c>
      <c r="O2755">
        <v>20</v>
      </c>
      <c r="P2755">
        <v>0</v>
      </c>
      <c r="Q2755">
        <v>0</v>
      </c>
      <c r="R2755">
        <v>0</v>
      </c>
      <c r="S2755">
        <v>0</v>
      </c>
      <c r="T2755">
        <v>0</v>
      </c>
      <c r="U2755">
        <v>0</v>
      </c>
      <c r="V2755">
        <v>582</v>
      </c>
      <c r="W2755">
        <v>5978</v>
      </c>
      <c r="X2755">
        <v>518</v>
      </c>
      <c r="Y2755">
        <f t="shared" si="42"/>
        <v>5978</v>
      </c>
      <c r="Z2755" t="str">
        <f>IF(ISNUMBER(SEARCH("Adjustment",$C2755)),"excluded",IF($H2755="Behind the Meter","excluded",IF(NOT(OR($E2755="Bundled",$E2755="Energy")),"excluded",IF(OR($H2755="Retail Power Marketer",$H2755="Community Choice Aggregator",$E2755="Energy"),"procurement",IF(OR($H2755="Municipal",$H2755="Cooperative",$H2755="Federal",$H2755="State",$H2755="Political Subdivision"),"cost_service",IF($H2755="Investor Owned",IF(AND(COUNTIF(Parameters!$A$4:$A$33,$G2755)&gt;0,COUNTIF(Parameters!$B$4:$B$33,$B2755)=0),"procurement","cost_service"),"unclassified"))))))</f>
        <v>excluded</v>
      </c>
    </row>
    <row r="2756" spans="1:26" x14ac:dyDescent="0.25">
      <c r="A2756">
        <v>2024</v>
      </c>
      <c r="B2756">
        <v>99999</v>
      </c>
      <c r="C2756" t="s">
        <v>1706</v>
      </c>
      <c r="D2756" t="s">
        <v>84</v>
      </c>
      <c r="E2756" t="s">
        <v>85</v>
      </c>
      <c r="F2756" t="s">
        <v>1707</v>
      </c>
      <c r="G2756" t="s">
        <v>136</v>
      </c>
      <c r="I2756" t="s">
        <v>135</v>
      </c>
      <c r="J2756">
        <v>130371.7</v>
      </c>
      <c r="K2756">
        <v>1043440</v>
      </c>
      <c r="L2756">
        <v>98298</v>
      </c>
      <c r="M2756">
        <v>90844.1</v>
      </c>
      <c r="N2756">
        <v>860166</v>
      </c>
      <c r="O2756">
        <v>17417</v>
      </c>
      <c r="P2756">
        <v>35803.4</v>
      </c>
      <c r="Q2756">
        <v>438508</v>
      </c>
      <c r="R2756">
        <v>604</v>
      </c>
      <c r="S2756">
        <v>0</v>
      </c>
      <c r="T2756">
        <v>0</v>
      </c>
      <c r="U2756">
        <v>0</v>
      </c>
      <c r="V2756">
        <v>257019.2</v>
      </c>
      <c r="W2756">
        <v>2342114</v>
      </c>
      <c r="X2756">
        <v>116319</v>
      </c>
      <c r="Y2756">
        <f t="shared" ref="Y2756:Y2819" si="43">IF(ISNUMBER($W2756),$W2756,0)</f>
        <v>2342114</v>
      </c>
      <c r="Z2756" t="str">
        <f>IF(ISNUMBER(SEARCH("Adjustment",$C2756)),"excluded",IF($H2756="Behind the Meter","excluded",IF(NOT(OR($E2756="Bundled",$E2756="Energy")),"excluded",IF(OR($H2756="Retail Power Marketer",$H2756="Community Choice Aggregator",$E2756="Energy"),"procurement",IF(OR($H2756="Municipal",$H2756="Cooperative",$H2756="Federal",$H2756="State",$H2756="Political Subdivision"),"cost_service",IF($H2756="Investor Owned",IF(AND(COUNTIF(Parameters!$A$4:$A$33,$G2756)&gt;0,COUNTIF(Parameters!$B$4:$B$33,$B2756)=0),"procurement","cost_service"),"unclassified"))))))</f>
        <v>excluded</v>
      </c>
    </row>
    <row r="2757" spans="1:26" x14ac:dyDescent="0.25">
      <c r="A2757">
        <v>2024</v>
      </c>
      <c r="B2757">
        <v>99999</v>
      </c>
      <c r="C2757" t="s">
        <v>1706</v>
      </c>
      <c r="D2757" t="s">
        <v>84</v>
      </c>
      <c r="E2757" t="s">
        <v>85</v>
      </c>
      <c r="F2757" t="s">
        <v>1707</v>
      </c>
      <c r="G2757" t="s">
        <v>219</v>
      </c>
      <c r="I2757" t="s">
        <v>206</v>
      </c>
      <c r="J2757">
        <v>79930.7</v>
      </c>
      <c r="K2757">
        <v>636498</v>
      </c>
      <c r="L2757">
        <v>48809</v>
      </c>
      <c r="M2757">
        <v>29675.8</v>
      </c>
      <c r="N2757">
        <v>302805</v>
      </c>
      <c r="O2757">
        <v>6302</v>
      </c>
      <c r="P2757">
        <v>27741</v>
      </c>
      <c r="Q2757">
        <v>382196</v>
      </c>
      <c r="R2757">
        <v>2706</v>
      </c>
      <c r="S2757">
        <v>0</v>
      </c>
      <c r="T2757">
        <v>0</v>
      </c>
      <c r="U2757">
        <v>0</v>
      </c>
      <c r="V2757">
        <v>137347.5</v>
      </c>
      <c r="W2757">
        <v>1321499</v>
      </c>
      <c r="X2757">
        <v>57817</v>
      </c>
      <c r="Y2757">
        <f t="shared" si="43"/>
        <v>1321499</v>
      </c>
      <c r="Z2757" t="str">
        <f>IF(ISNUMBER(SEARCH("Adjustment",$C2757)),"excluded",IF($H2757="Behind the Meter","excluded",IF(NOT(OR($E2757="Bundled",$E2757="Energy")),"excluded",IF(OR($H2757="Retail Power Marketer",$H2757="Community Choice Aggregator",$E2757="Energy"),"procurement",IF(OR($H2757="Municipal",$H2757="Cooperative",$H2757="Federal",$H2757="State",$H2757="Political Subdivision"),"cost_service",IF($H2757="Investor Owned",IF(AND(COUNTIF(Parameters!$A$4:$A$33,$G2757)&gt;0,COUNTIF(Parameters!$B$4:$B$33,$B2757)=0),"procurement","cost_service"),"unclassified"))))))</f>
        <v>excluded</v>
      </c>
    </row>
    <row r="2758" spans="1:26" x14ac:dyDescent="0.25">
      <c r="A2758">
        <v>2024</v>
      </c>
      <c r="B2758">
        <v>99999</v>
      </c>
      <c r="C2758" t="s">
        <v>1706</v>
      </c>
      <c r="D2758" t="s">
        <v>84</v>
      </c>
      <c r="E2758" t="s">
        <v>85</v>
      </c>
      <c r="F2758" t="s">
        <v>1707</v>
      </c>
      <c r="G2758" t="s">
        <v>219</v>
      </c>
      <c r="I2758" t="s">
        <v>972</v>
      </c>
      <c r="J2758">
        <v>8919.4</v>
      </c>
      <c r="K2758">
        <v>80210</v>
      </c>
      <c r="L2758">
        <v>10111</v>
      </c>
      <c r="M2758">
        <v>6176.9</v>
      </c>
      <c r="N2758">
        <v>58691</v>
      </c>
      <c r="O2758">
        <v>1418</v>
      </c>
      <c r="P2758">
        <v>2455.6999999999998</v>
      </c>
      <c r="Q2758">
        <v>29234</v>
      </c>
      <c r="R2758">
        <v>169</v>
      </c>
      <c r="S2758">
        <v>0</v>
      </c>
      <c r="T2758">
        <v>0</v>
      </c>
      <c r="U2758">
        <v>0</v>
      </c>
      <c r="V2758">
        <v>17552</v>
      </c>
      <c r="W2758">
        <v>168135</v>
      </c>
      <c r="X2758">
        <v>11698</v>
      </c>
      <c r="Y2758">
        <f t="shared" si="43"/>
        <v>168135</v>
      </c>
      <c r="Z2758" t="str">
        <f>IF(ISNUMBER(SEARCH("Adjustment",$C2758)),"excluded",IF($H2758="Behind the Meter","excluded",IF(NOT(OR($E2758="Bundled",$E2758="Energy")),"excluded",IF(OR($H2758="Retail Power Marketer",$H2758="Community Choice Aggregator",$E2758="Energy"),"procurement",IF(OR($H2758="Municipal",$H2758="Cooperative",$H2758="Federal",$H2758="State",$H2758="Political Subdivision"),"cost_service",IF($H2758="Investor Owned",IF(AND(COUNTIF(Parameters!$A$4:$A$33,$G2758)&gt;0,COUNTIF(Parameters!$B$4:$B$33,$B2758)=0),"procurement","cost_service"),"unclassified"))))))</f>
        <v>excluded</v>
      </c>
    </row>
    <row r="2759" spans="1:26" x14ac:dyDescent="0.25">
      <c r="A2759">
        <v>2024</v>
      </c>
      <c r="B2759">
        <v>99999</v>
      </c>
      <c r="C2759" t="s">
        <v>1706</v>
      </c>
      <c r="D2759" t="s">
        <v>84</v>
      </c>
      <c r="E2759" t="s">
        <v>85</v>
      </c>
      <c r="F2759" t="s">
        <v>1707</v>
      </c>
      <c r="G2759" t="s">
        <v>219</v>
      </c>
      <c r="I2759" t="s">
        <v>396</v>
      </c>
      <c r="J2759">
        <v>7392.9</v>
      </c>
      <c r="K2759">
        <v>76378</v>
      </c>
      <c r="L2759">
        <v>3733</v>
      </c>
      <c r="M2759">
        <v>5399.2</v>
      </c>
      <c r="N2759">
        <v>84157</v>
      </c>
      <c r="O2759">
        <v>776</v>
      </c>
      <c r="P2759">
        <v>2347.9</v>
      </c>
      <c r="Q2759">
        <v>33747</v>
      </c>
      <c r="R2759">
        <v>13</v>
      </c>
      <c r="S2759">
        <v>0</v>
      </c>
      <c r="T2759">
        <v>0</v>
      </c>
      <c r="U2759">
        <v>0</v>
      </c>
      <c r="V2759">
        <v>15140</v>
      </c>
      <c r="W2759">
        <v>194282</v>
      </c>
      <c r="X2759">
        <v>4522</v>
      </c>
      <c r="Y2759">
        <f t="shared" si="43"/>
        <v>194282</v>
      </c>
      <c r="Z2759" t="str">
        <f>IF(ISNUMBER(SEARCH("Adjustment",$C2759)),"excluded",IF($H2759="Behind the Meter","excluded",IF(NOT(OR($E2759="Bundled",$E2759="Energy")),"excluded",IF(OR($H2759="Retail Power Marketer",$H2759="Community Choice Aggregator",$E2759="Energy"),"procurement",IF(OR($H2759="Municipal",$H2759="Cooperative",$H2759="Federal",$H2759="State",$H2759="Political Subdivision"),"cost_service",IF($H2759="Investor Owned",IF(AND(COUNTIF(Parameters!$A$4:$A$33,$G2759)&gt;0,COUNTIF(Parameters!$B$4:$B$33,$B2759)=0),"procurement","cost_service"),"unclassified"))))))</f>
        <v>excluded</v>
      </c>
    </row>
    <row r="2760" spans="1:26" x14ac:dyDescent="0.25">
      <c r="A2760">
        <v>2024</v>
      </c>
      <c r="B2760">
        <v>99999</v>
      </c>
      <c r="C2760" t="s">
        <v>1706</v>
      </c>
      <c r="D2760" t="s">
        <v>84</v>
      </c>
      <c r="E2760" t="s">
        <v>85</v>
      </c>
      <c r="F2760" t="s">
        <v>1707</v>
      </c>
      <c r="G2760" t="s">
        <v>55</v>
      </c>
      <c r="I2760" t="s">
        <v>92</v>
      </c>
      <c r="J2760">
        <v>143069.4</v>
      </c>
      <c r="K2760">
        <v>816508</v>
      </c>
      <c r="L2760">
        <v>77309</v>
      </c>
      <c r="M2760">
        <v>71374.399999999994</v>
      </c>
      <c r="N2760">
        <v>653378</v>
      </c>
      <c r="O2760">
        <v>12056</v>
      </c>
      <c r="P2760">
        <v>33567.199999999997</v>
      </c>
      <c r="Q2760">
        <v>270448</v>
      </c>
      <c r="R2760">
        <v>776</v>
      </c>
      <c r="S2760">
        <v>0</v>
      </c>
      <c r="T2760">
        <v>0</v>
      </c>
      <c r="U2760">
        <v>0</v>
      </c>
      <c r="V2760">
        <v>248011</v>
      </c>
      <c r="W2760">
        <v>1740334</v>
      </c>
      <c r="X2760">
        <v>90141</v>
      </c>
      <c r="Y2760">
        <f t="shared" si="43"/>
        <v>1740334</v>
      </c>
      <c r="Z2760" t="str">
        <f>IF(ISNUMBER(SEARCH("Adjustment",$C2760)),"excluded",IF($H2760="Behind the Meter","excluded",IF(NOT(OR($E2760="Bundled",$E2760="Energy")),"excluded",IF(OR($H2760="Retail Power Marketer",$H2760="Community Choice Aggregator",$E2760="Energy"),"procurement",IF(OR($H2760="Municipal",$H2760="Cooperative",$H2760="Federal",$H2760="State",$H2760="Political Subdivision"),"cost_service",IF($H2760="Investor Owned",IF(AND(COUNTIF(Parameters!$A$4:$A$33,$G2760)&gt;0,COUNTIF(Parameters!$B$4:$B$33,$B2760)=0),"procurement","cost_service"),"unclassified"))))))</f>
        <v>excluded</v>
      </c>
    </row>
    <row r="2761" spans="1:26" x14ac:dyDescent="0.25">
      <c r="A2761">
        <v>2024</v>
      </c>
      <c r="B2761">
        <v>99999</v>
      </c>
      <c r="C2761" t="s">
        <v>1706</v>
      </c>
      <c r="D2761" t="s">
        <v>84</v>
      </c>
      <c r="E2761" t="s">
        <v>85</v>
      </c>
      <c r="F2761" t="s">
        <v>1707</v>
      </c>
      <c r="G2761" t="s">
        <v>56</v>
      </c>
      <c r="I2761" t="s">
        <v>189</v>
      </c>
      <c r="J2761">
        <v>0</v>
      </c>
      <c r="K2761">
        <v>0</v>
      </c>
      <c r="L2761">
        <v>-5676</v>
      </c>
      <c r="M2761">
        <v>4302</v>
      </c>
      <c r="N2761">
        <v>30839</v>
      </c>
      <c r="O2761">
        <v>-215</v>
      </c>
      <c r="P2761">
        <v>0</v>
      </c>
      <c r="Q2761">
        <v>0</v>
      </c>
      <c r="R2761">
        <v>0</v>
      </c>
      <c r="S2761">
        <v>0</v>
      </c>
      <c r="T2761">
        <v>0</v>
      </c>
      <c r="U2761">
        <v>0</v>
      </c>
      <c r="V2761">
        <v>4302</v>
      </c>
      <c r="W2761">
        <v>30839</v>
      </c>
      <c r="X2761">
        <v>-5891</v>
      </c>
      <c r="Y2761">
        <f t="shared" si="43"/>
        <v>30839</v>
      </c>
      <c r="Z2761" t="str">
        <f>IF(ISNUMBER(SEARCH("Adjustment",$C2761)),"excluded",IF($H2761="Behind the Meter","excluded",IF(NOT(OR($E2761="Bundled",$E2761="Energy")),"excluded",IF(OR($H2761="Retail Power Marketer",$H2761="Community Choice Aggregator",$E2761="Energy"),"procurement",IF(OR($H2761="Municipal",$H2761="Cooperative",$H2761="Federal",$H2761="State",$H2761="Political Subdivision"),"cost_service",IF($H2761="Investor Owned",IF(AND(COUNTIF(Parameters!$A$4:$A$33,$G2761)&gt;0,COUNTIF(Parameters!$B$4:$B$33,$B2761)=0),"procurement","cost_service"),"unclassified"))))))</f>
        <v>excluded</v>
      </c>
    </row>
    <row r="2762" spans="1:26" x14ac:dyDescent="0.25">
      <c r="A2762">
        <v>2024</v>
      </c>
      <c r="B2762">
        <v>99999</v>
      </c>
      <c r="C2762" t="s">
        <v>1706</v>
      </c>
      <c r="D2762" t="s">
        <v>84</v>
      </c>
      <c r="E2762" t="s">
        <v>85</v>
      </c>
      <c r="F2762" t="s">
        <v>1707</v>
      </c>
      <c r="G2762" t="s">
        <v>106</v>
      </c>
      <c r="I2762" t="s">
        <v>163</v>
      </c>
      <c r="J2762">
        <v>16213.9</v>
      </c>
      <c r="K2762">
        <v>103851</v>
      </c>
      <c r="L2762">
        <v>10300</v>
      </c>
      <c r="M2762">
        <v>10664.9</v>
      </c>
      <c r="N2762">
        <v>66021</v>
      </c>
      <c r="O2762">
        <v>1371</v>
      </c>
      <c r="P2762">
        <v>0</v>
      </c>
      <c r="Q2762">
        <v>0</v>
      </c>
      <c r="R2762">
        <v>0</v>
      </c>
      <c r="S2762">
        <v>0</v>
      </c>
      <c r="T2762">
        <v>0</v>
      </c>
      <c r="U2762">
        <v>0</v>
      </c>
      <c r="V2762">
        <v>26878.799999999999</v>
      </c>
      <c r="W2762">
        <v>169872</v>
      </c>
      <c r="X2762">
        <v>11671</v>
      </c>
      <c r="Y2762">
        <f t="shared" si="43"/>
        <v>169872</v>
      </c>
      <c r="Z2762" t="str">
        <f>IF(ISNUMBER(SEARCH("Adjustment",$C2762)),"excluded",IF($H2762="Behind the Meter","excluded",IF(NOT(OR($E2762="Bundled",$E2762="Energy")),"excluded",IF(OR($H2762="Retail Power Marketer",$H2762="Community Choice Aggregator",$E2762="Energy"),"procurement",IF(OR($H2762="Municipal",$H2762="Cooperative",$H2762="Federal",$H2762="State",$H2762="Political Subdivision"),"cost_service",IF($H2762="Investor Owned",IF(AND(COUNTIF(Parameters!$A$4:$A$33,$G2762)&gt;0,COUNTIF(Parameters!$B$4:$B$33,$B2762)=0),"procurement","cost_service"),"unclassified"))))))</f>
        <v>excluded</v>
      </c>
    </row>
    <row r="2763" spans="1:26" x14ac:dyDescent="0.25">
      <c r="A2763">
        <v>2024</v>
      </c>
      <c r="B2763">
        <v>99999</v>
      </c>
      <c r="C2763" t="s">
        <v>1706</v>
      </c>
      <c r="D2763" t="s">
        <v>84</v>
      </c>
      <c r="E2763" t="s">
        <v>85</v>
      </c>
      <c r="F2763" t="s">
        <v>1707</v>
      </c>
      <c r="G2763" t="s">
        <v>106</v>
      </c>
      <c r="I2763" t="s">
        <v>126</v>
      </c>
      <c r="J2763">
        <v>73124.899999999994</v>
      </c>
      <c r="K2763">
        <v>464979</v>
      </c>
      <c r="L2763">
        <v>40212</v>
      </c>
      <c r="M2763">
        <v>49191.3</v>
      </c>
      <c r="N2763">
        <v>366158</v>
      </c>
      <c r="O2763">
        <v>8000</v>
      </c>
      <c r="P2763">
        <v>14178.6</v>
      </c>
      <c r="Q2763">
        <v>112458</v>
      </c>
      <c r="R2763">
        <v>41</v>
      </c>
      <c r="S2763">
        <v>0</v>
      </c>
      <c r="T2763">
        <v>0</v>
      </c>
      <c r="U2763">
        <v>0</v>
      </c>
      <c r="V2763">
        <v>136494.79999999999</v>
      </c>
      <c r="W2763">
        <v>943595</v>
      </c>
      <c r="X2763">
        <v>48253</v>
      </c>
      <c r="Y2763">
        <f t="shared" si="43"/>
        <v>943595</v>
      </c>
      <c r="Z2763" t="str">
        <f>IF(ISNUMBER(SEARCH("Adjustment",$C2763)),"excluded",IF($H2763="Behind the Meter","excluded",IF(NOT(OR($E2763="Bundled",$E2763="Energy")),"excluded",IF(OR($H2763="Retail Power Marketer",$H2763="Community Choice Aggregator",$E2763="Energy"),"procurement",IF(OR($H2763="Municipal",$H2763="Cooperative",$H2763="Federal",$H2763="State",$H2763="Political Subdivision"),"cost_service",IF($H2763="Investor Owned",IF(AND(COUNTIF(Parameters!$A$4:$A$33,$G2763)&gt;0,COUNTIF(Parameters!$B$4:$B$33,$B2763)=0),"procurement","cost_service"),"unclassified"))))))</f>
        <v>excluded</v>
      </c>
    </row>
    <row r="2764" spans="1:26" x14ac:dyDescent="0.25">
      <c r="A2764">
        <v>2024</v>
      </c>
      <c r="B2764">
        <v>99999</v>
      </c>
      <c r="C2764" t="s">
        <v>1706</v>
      </c>
      <c r="D2764" t="s">
        <v>84</v>
      </c>
      <c r="E2764" t="s">
        <v>85</v>
      </c>
      <c r="F2764" t="s">
        <v>1707</v>
      </c>
      <c r="G2764" t="s">
        <v>106</v>
      </c>
      <c r="I2764" t="s">
        <v>953</v>
      </c>
      <c r="J2764">
        <v>6927.4</v>
      </c>
      <c r="K2764">
        <v>39906</v>
      </c>
      <c r="L2764">
        <v>-183</v>
      </c>
      <c r="M2764">
        <v>4433.1000000000004</v>
      </c>
      <c r="N2764">
        <v>28045</v>
      </c>
      <c r="O2764">
        <v>708</v>
      </c>
      <c r="P2764">
        <v>54.8</v>
      </c>
      <c r="Q2764">
        <v>3436</v>
      </c>
      <c r="R2764">
        <v>6</v>
      </c>
      <c r="S2764">
        <v>0</v>
      </c>
      <c r="T2764">
        <v>0</v>
      </c>
      <c r="U2764">
        <v>0</v>
      </c>
      <c r="V2764">
        <v>11415.3</v>
      </c>
      <c r="W2764">
        <v>71387</v>
      </c>
      <c r="X2764">
        <v>531</v>
      </c>
      <c r="Y2764">
        <f t="shared" si="43"/>
        <v>71387</v>
      </c>
      <c r="Z2764" t="str">
        <f>IF(ISNUMBER(SEARCH("Adjustment",$C2764)),"excluded",IF($H2764="Behind the Meter","excluded",IF(NOT(OR($E2764="Bundled",$E2764="Energy")),"excluded",IF(OR($H2764="Retail Power Marketer",$H2764="Community Choice Aggregator",$E2764="Energy"),"procurement",IF(OR($H2764="Municipal",$H2764="Cooperative",$H2764="Federal",$H2764="State",$H2764="Political Subdivision"),"cost_service",IF($H2764="Investor Owned",IF(AND(COUNTIF(Parameters!$A$4:$A$33,$G2764)&gt;0,COUNTIF(Parameters!$B$4:$B$33,$B2764)=0),"procurement","cost_service"),"unclassified"))))))</f>
        <v>excluded</v>
      </c>
    </row>
    <row r="2765" spans="1:26" x14ac:dyDescent="0.25">
      <c r="A2765">
        <v>2024</v>
      </c>
      <c r="B2765">
        <v>99999</v>
      </c>
      <c r="C2765" t="s">
        <v>1706</v>
      </c>
      <c r="D2765" t="s">
        <v>84</v>
      </c>
      <c r="E2765" t="s">
        <v>85</v>
      </c>
      <c r="F2765" t="s">
        <v>1707</v>
      </c>
      <c r="G2765" t="s">
        <v>106</v>
      </c>
      <c r="I2765" t="s">
        <v>106</v>
      </c>
      <c r="J2765">
        <v>39566.199999999997</v>
      </c>
      <c r="K2765">
        <v>250958</v>
      </c>
      <c r="L2765">
        <v>20807</v>
      </c>
      <c r="M2765">
        <v>18909.2</v>
      </c>
      <c r="N2765">
        <v>150167</v>
      </c>
      <c r="O2765">
        <v>3425</v>
      </c>
      <c r="P2765">
        <v>1344.6</v>
      </c>
      <c r="Q2765">
        <v>11358</v>
      </c>
      <c r="R2765">
        <v>6</v>
      </c>
      <c r="S2765">
        <v>0</v>
      </c>
      <c r="T2765">
        <v>0</v>
      </c>
      <c r="U2765">
        <v>0</v>
      </c>
      <c r="V2765">
        <v>59820</v>
      </c>
      <c r="W2765">
        <v>412483</v>
      </c>
      <c r="X2765">
        <v>24238</v>
      </c>
      <c r="Y2765">
        <f t="shared" si="43"/>
        <v>412483</v>
      </c>
      <c r="Z2765" t="str">
        <f>IF(ISNUMBER(SEARCH("Adjustment",$C2765)),"excluded",IF($H2765="Behind the Meter","excluded",IF(NOT(OR($E2765="Bundled",$E2765="Energy")),"excluded",IF(OR($H2765="Retail Power Marketer",$H2765="Community Choice Aggregator",$E2765="Energy"),"procurement",IF(OR($H2765="Municipal",$H2765="Cooperative",$H2765="Federal",$H2765="State",$H2765="Political Subdivision"),"cost_service",IF($H2765="Investor Owned",IF(AND(COUNTIF(Parameters!$A$4:$A$33,$G2765)&gt;0,COUNTIF(Parameters!$B$4:$B$33,$B2765)=0),"procurement","cost_service"),"unclassified"))))))</f>
        <v>excluded</v>
      </c>
    </row>
    <row r="2766" spans="1:26" x14ac:dyDescent="0.25">
      <c r="A2766">
        <v>2024</v>
      </c>
      <c r="B2766">
        <v>99999</v>
      </c>
      <c r="C2766" t="s">
        <v>1706</v>
      </c>
      <c r="D2766" t="s">
        <v>84</v>
      </c>
      <c r="E2766" t="s">
        <v>85</v>
      </c>
      <c r="F2766" t="s">
        <v>1707</v>
      </c>
      <c r="G2766" t="s">
        <v>224</v>
      </c>
      <c r="I2766" t="s">
        <v>259</v>
      </c>
      <c r="J2766">
        <v>28030.1</v>
      </c>
      <c r="K2766">
        <v>213102</v>
      </c>
      <c r="L2766">
        <v>15270</v>
      </c>
      <c r="M2766">
        <v>13302</v>
      </c>
      <c r="N2766">
        <v>121237</v>
      </c>
      <c r="O2766">
        <v>1846</v>
      </c>
      <c r="P2766">
        <v>9839.6</v>
      </c>
      <c r="Q2766">
        <v>115653</v>
      </c>
      <c r="R2766">
        <v>298</v>
      </c>
      <c r="S2766">
        <v>0</v>
      </c>
      <c r="T2766">
        <v>0</v>
      </c>
      <c r="U2766">
        <v>0</v>
      </c>
      <c r="V2766">
        <v>51171.7</v>
      </c>
      <c r="W2766">
        <v>449992</v>
      </c>
      <c r="X2766">
        <v>17414</v>
      </c>
      <c r="Y2766">
        <f t="shared" si="43"/>
        <v>449992</v>
      </c>
      <c r="Z2766" t="str">
        <f>IF(ISNUMBER(SEARCH("Adjustment",$C2766)),"excluded",IF($H2766="Behind the Meter","excluded",IF(NOT(OR($E2766="Bundled",$E2766="Energy")),"excluded",IF(OR($H2766="Retail Power Marketer",$H2766="Community Choice Aggregator",$E2766="Energy"),"procurement",IF(OR($H2766="Municipal",$H2766="Cooperative",$H2766="Federal",$H2766="State",$H2766="Political Subdivision"),"cost_service",IF($H2766="Investor Owned",IF(AND(COUNTIF(Parameters!$A$4:$A$33,$G2766)&gt;0,COUNTIF(Parameters!$B$4:$B$33,$B2766)=0),"procurement","cost_service"),"unclassified"))))))</f>
        <v>excluded</v>
      </c>
    </row>
    <row r="2767" spans="1:26" x14ac:dyDescent="0.25">
      <c r="A2767">
        <v>2024</v>
      </c>
      <c r="B2767">
        <v>99999</v>
      </c>
      <c r="C2767" t="s">
        <v>1706</v>
      </c>
      <c r="D2767" t="s">
        <v>84</v>
      </c>
      <c r="E2767" t="s">
        <v>85</v>
      </c>
      <c r="F2767" t="s">
        <v>1707</v>
      </c>
      <c r="G2767" t="s">
        <v>224</v>
      </c>
      <c r="I2767" t="s">
        <v>96</v>
      </c>
      <c r="J2767">
        <v>4551</v>
      </c>
      <c r="K2767">
        <v>34038</v>
      </c>
      <c r="L2767">
        <v>4040</v>
      </c>
      <c r="M2767">
        <v>12259.8</v>
      </c>
      <c r="N2767">
        <v>111810</v>
      </c>
      <c r="O2767">
        <v>1404</v>
      </c>
      <c r="P2767">
        <v>784.1</v>
      </c>
      <c r="Q2767">
        <v>8883</v>
      </c>
      <c r="R2767">
        <v>12</v>
      </c>
      <c r="S2767">
        <v>0</v>
      </c>
      <c r="T2767">
        <v>0</v>
      </c>
      <c r="U2767">
        <v>0</v>
      </c>
      <c r="V2767">
        <v>17594.900000000001</v>
      </c>
      <c r="W2767">
        <v>154731</v>
      </c>
      <c r="X2767">
        <v>5456</v>
      </c>
      <c r="Y2767">
        <f t="shared" si="43"/>
        <v>154731</v>
      </c>
      <c r="Z2767" t="str">
        <f>IF(ISNUMBER(SEARCH("Adjustment",$C2767)),"excluded",IF($H2767="Behind the Meter","excluded",IF(NOT(OR($E2767="Bundled",$E2767="Energy")),"excluded",IF(OR($H2767="Retail Power Marketer",$H2767="Community Choice Aggregator",$E2767="Energy"),"procurement",IF(OR($H2767="Municipal",$H2767="Cooperative",$H2767="Federal",$H2767="State",$H2767="Political Subdivision"),"cost_service",IF($H2767="Investor Owned",IF(AND(COUNTIF(Parameters!$A$4:$A$33,$G2767)&gt;0,COUNTIF(Parameters!$B$4:$B$33,$B2767)=0),"procurement","cost_service"),"unclassified"))))))</f>
        <v>excluded</v>
      </c>
    </row>
    <row r="2768" spans="1:26" x14ac:dyDescent="0.25">
      <c r="A2768">
        <v>2024</v>
      </c>
      <c r="B2768">
        <v>99999</v>
      </c>
      <c r="C2768" t="s">
        <v>1706</v>
      </c>
      <c r="D2768" t="s">
        <v>84</v>
      </c>
      <c r="E2768" t="s">
        <v>85</v>
      </c>
      <c r="F2768" t="s">
        <v>1707</v>
      </c>
      <c r="G2768" t="s">
        <v>224</v>
      </c>
      <c r="I2768" t="s">
        <v>135</v>
      </c>
      <c r="J2768">
        <v>134494.1</v>
      </c>
      <c r="K2768">
        <v>1100435</v>
      </c>
      <c r="L2768">
        <v>66398</v>
      </c>
      <c r="M2768">
        <v>76386.399999999994</v>
      </c>
      <c r="N2768">
        <v>763642</v>
      </c>
      <c r="O2768">
        <v>9577</v>
      </c>
      <c r="P2768">
        <v>23360.1</v>
      </c>
      <c r="Q2768">
        <v>278068</v>
      </c>
      <c r="R2768">
        <v>1939</v>
      </c>
      <c r="S2768">
        <v>0</v>
      </c>
      <c r="T2768">
        <v>0</v>
      </c>
      <c r="U2768">
        <v>0</v>
      </c>
      <c r="V2768">
        <v>234240.6</v>
      </c>
      <c r="W2768">
        <v>2142145</v>
      </c>
      <c r="X2768">
        <v>77914</v>
      </c>
      <c r="Y2768">
        <f t="shared" si="43"/>
        <v>2142145</v>
      </c>
      <c r="Z2768" t="str">
        <f>IF(ISNUMBER(SEARCH("Adjustment",$C2768)),"excluded",IF($H2768="Behind the Meter","excluded",IF(NOT(OR($E2768="Bundled",$E2768="Energy")),"excluded",IF(OR($H2768="Retail Power Marketer",$H2768="Community Choice Aggregator",$E2768="Energy"),"procurement",IF(OR($H2768="Municipal",$H2768="Cooperative",$H2768="Federal",$H2768="State",$H2768="Political Subdivision"),"cost_service",IF($H2768="Investor Owned",IF(AND(COUNTIF(Parameters!$A$4:$A$33,$G2768)&gt;0,COUNTIF(Parameters!$B$4:$B$33,$B2768)=0),"procurement","cost_service"),"unclassified"))))))</f>
        <v>excluded</v>
      </c>
    </row>
    <row r="2769" spans="1:26" x14ac:dyDescent="0.25">
      <c r="A2769">
        <v>2024</v>
      </c>
      <c r="B2769">
        <v>99999</v>
      </c>
      <c r="C2769" t="s">
        <v>1706</v>
      </c>
      <c r="D2769" t="s">
        <v>84</v>
      </c>
      <c r="E2769" t="s">
        <v>85</v>
      </c>
      <c r="F2769" t="s">
        <v>1707</v>
      </c>
      <c r="G2769" t="s">
        <v>156</v>
      </c>
      <c r="I2769" t="s">
        <v>92</v>
      </c>
      <c r="J2769">
        <v>0</v>
      </c>
      <c r="K2769">
        <v>0</v>
      </c>
      <c r="L2769">
        <v>0</v>
      </c>
      <c r="M2769">
        <v>0</v>
      </c>
      <c r="N2769">
        <v>0</v>
      </c>
      <c r="O2769">
        <v>-15</v>
      </c>
      <c r="P2769">
        <v>3145</v>
      </c>
      <c r="Q2769">
        <v>45121</v>
      </c>
      <c r="R2769">
        <v>1</v>
      </c>
      <c r="S2769">
        <v>0</v>
      </c>
      <c r="T2769">
        <v>0</v>
      </c>
      <c r="U2769">
        <v>0</v>
      </c>
      <c r="V2769">
        <v>3145</v>
      </c>
      <c r="W2769">
        <v>45121</v>
      </c>
      <c r="X2769">
        <v>-14</v>
      </c>
      <c r="Y2769">
        <f t="shared" si="43"/>
        <v>45121</v>
      </c>
      <c r="Z2769" t="str">
        <f>IF(ISNUMBER(SEARCH("Adjustment",$C2769)),"excluded",IF($H2769="Behind the Meter","excluded",IF(NOT(OR($E2769="Bundled",$E2769="Energy")),"excluded",IF(OR($H2769="Retail Power Marketer",$H2769="Community Choice Aggregator",$E2769="Energy"),"procurement",IF(OR($H2769="Municipal",$H2769="Cooperative",$H2769="Federal",$H2769="State",$H2769="Political Subdivision"),"cost_service",IF($H2769="Investor Owned",IF(AND(COUNTIF(Parameters!$A$4:$A$33,$G2769)&gt;0,COUNTIF(Parameters!$B$4:$B$33,$B2769)=0),"procurement","cost_service"),"unclassified"))))))</f>
        <v>excluded</v>
      </c>
    </row>
    <row r="2770" spans="1:26" x14ac:dyDescent="0.25">
      <c r="A2770">
        <v>2024</v>
      </c>
      <c r="B2770">
        <v>99999</v>
      </c>
      <c r="C2770" t="s">
        <v>1706</v>
      </c>
      <c r="D2770" t="s">
        <v>84</v>
      </c>
      <c r="E2770" t="s">
        <v>85</v>
      </c>
      <c r="F2770" t="s">
        <v>1707</v>
      </c>
      <c r="G2770" t="s">
        <v>156</v>
      </c>
      <c r="I2770" t="s">
        <v>89</v>
      </c>
      <c r="J2770">
        <v>0</v>
      </c>
      <c r="K2770">
        <v>0</v>
      </c>
      <c r="L2770">
        <v>0</v>
      </c>
      <c r="M2770">
        <v>0</v>
      </c>
      <c r="N2770">
        <v>0</v>
      </c>
      <c r="O2770">
        <v>0</v>
      </c>
      <c r="P2770">
        <v>76</v>
      </c>
      <c r="Q2770">
        <v>11709</v>
      </c>
      <c r="R2770">
        <v>1</v>
      </c>
      <c r="S2770">
        <v>0</v>
      </c>
      <c r="T2770">
        <v>0</v>
      </c>
      <c r="U2770">
        <v>0</v>
      </c>
      <c r="V2770">
        <v>76</v>
      </c>
      <c r="W2770">
        <v>11709</v>
      </c>
      <c r="X2770">
        <v>1</v>
      </c>
      <c r="Y2770">
        <f t="shared" si="43"/>
        <v>11709</v>
      </c>
      <c r="Z2770" t="str">
        <f>IF(ISNUMBER(SEARCH("Adjustment",$C2770)),"excluded",IF($H2770="Behind the Meter","excluded",IF(NOT(OR($E2770="Bundled",$E2770="Energy")),"excluded",IF(OR($H2770="Retail Power Marketer",$H2770="Community Choice Aggregator",$E2770="Energy"),"procurement",IF(OR($H2770="Municipal",$H2770="Cooperative",$H2770="Federal",$H2770="State",$H2770="Political Subdivision"),"cost_service",IF($H2770="Investor Owned",IF(AND(COUNTIF(Parameters!$A$4:$A$33,$G2770)&gt;0,COUNTIF(Parameters!$B$4:$B$33,$B2770)=0),"procurement","cost_service"),"unclassified"))))))</f>
        <v>excluded</v>
      </c>
    </row>
    <row r="2771" spans="1:26" x14ac:dyDescent="0.25">
      <c r="A2771">
        <v>2024</v>
      </c>
      <c r="B2771">
        <v>99999</v>
      </c>
      <c r="C2771" t="s">
        <v>1706</v>
      </c>
      <c r="D2771" t="s">
        <v>84</v>
      </c>
      <c r="E2771" t="s">
        <v>85</v>
      </c>
      <c r="F2771" t="s">
        <v>1707</v>
      </c>
      <c r="G2771" t="s">
        <v>57</v>
      </c>
      <c r="I2771" t="s">
        <v>468</v>
      </c>
      <c r="J2771">
        <v>0</v>
      </c>
      <c r="K2771">
        <v>0</v>
      </c>
      <c r="L2771">
        <v>-1218</v>
      </c>
      <c r="M2771">
        <v>0</v>
      </c>
      <c r="N2771">
        <v>0</v>
      </c>
      <c r="O2771">
        <v>-2</v>
      </c>
      <c r="P2771">
        <v>0</v>
      </c>
      <c r="Q2771">
        <v>0</v>
      </c>
      <c r="R2771">
        <v>0</v>
      </c>
      <c r="S2771">
        <v>0</v>
      </c>
      <c r="T2771">
        <v>0</v>
      </c>
      <c r="U2771">
        <v>0</v>
      </c>
      <c r="V2771">
        <v>0</v>
      </c>
      <c r="W2771">
        <v>0</v>
      </c>
      <c r="X2771">
        <v>-1220</v>
      </c>
      <c r="Y2771">
        <f t="shared" si="43"/>
        <v>0</v>
      </c>
      <c r="Z2771" t="str">
        <f>IF(ISNUMBER(SEARCH("Adjustment",$C2771)),"excluded",IF($H2771="Behind the Meter","excluded",IF(NOT(OR($E2771="Bundled",$E2771="Energy")),"excluded",IF(OR($H2771="Retail Power Marketer",$H2771="Community Choice Aggregator",$E2771="Energy"),"procurement",IF(OR($H2771="Municipal",$H2771="Cooperative",$H2771="Federal",$H2771="State",$H2771="Political Subdivision"),"cost_service",IF($H2771="Investor Owned",IF(AND(COUNTIF(Parameters!$A$4:$A$33,$G2771)&gt;0,COUNTIF(Parameters!$B$4:$B$33,$B2771)=0),"procurement","cost_service"),"unclassified"))))))</f>
        <v>excluded</v>
      </c>
    </row>
    <row r="2772" spans="1:26" x14ac:dyDescent="0.25">
      <c r="A2772">
        <v>2024</v>
      </c>
      <c r="B2772">
        <v>99999</v>
      </c>
      <c r="C2772" t="s">
        <v>1706</v>
      </c>
      <c r="D2772" t="s">
        <v>84</v>
      </c>
      <c r="E2772" t="s">
        <v>85</v>
      </c>
      <c r="F2772" t="s">
        <v>1707</v>
      </c>
      <c r="G2772" t="s">
        <v>57</v>
      </c>
      <c r="I2772" t="s">
        <v>151</v>
      </c>
      <c r="J2772">
        <v>165403.9</v>
      </c>
      <c r="K2772">
        <v>1318185</v>
      </c>
      <c r="L2772">
        <v>81631</v>
      </c>
      <c r="M2772">
        <v>165471.1</v>
      </c>
      <c r="N2772">
        <v>2983246</v>
      </c>
      <c r="O2772">
        <v>23015</v>
      </c>
      <c r="P2772">
        <v>277419.7</v>
      </c>
      <c r="Q2772">
        <v>8766007</v>
      </c>
      <c r="R2772">
        <v>528</v>
      </c>
      <c r="S2772">
        <v>0</v>
      </c>
      <c r="T2772">
        <v>0</v>
      </c>
      <c r="U2772">
        <v>0</v>
      </c>
      <c r="V2772">
        <v>608294.69999999995</v>
      </c>
      <c r="W2772">
        <v>13067438</v>
      </c>
      <c r="X2772">
        <v>105174</v>
      </c>
      <c r="Y2772">
        <f t="shared" si="43"/>
        <v>13067438</v>
      </c>
      <c r="Z2772" t="str">
        <f>IF(ISNUMBER(SEARCH("Adjustment",$C2772)),"excluded",IF($H2772="Behind the Meter","excluded",IF(NOT(OR($E2772="Bundled",$E2772="Energy")),"excluded",IF(OR($H2772="Retail Power Marketer",$H2772="Community Choice Aggregator",$E2772="Energy"),"procurement",IF(OR($H2772="Municipal",$H2772="Cooperative",$H2772="Federal",$H2772="State",$H2772="Political Subdivision"),"cost_service",IF($H2772="Investor Owned",IF(AND(COUNTIF(Parameters!$A$4:$A$33,$G2772)&gt;0,COUNTIF(Parameters!$B$4:$B$33,$B2772)=0),"procurement","cost_service"),"unclassified"))))))</f>
        <v>excluded</v>
      </c>
    </row>
    <row r="2773" spans="1:26" x14ac:dyDescent="0.25">
      <c r="A2773">
        <v>2024</v>
      </c>
      <c r="B2773">
        <v>99999</v>
      </c>
      <c r="C2773" t="s">
        <v>1706</v>
      </c>
      <c r="D2773" t="s">
        <v>84</v>
      </c>
      <c r="E2773" t="s">
        <v>85</v>
      </c>
      <c r="F2773" t="s">
        <v>1707</v>
      </c>
      <c r="G2773" t="s">
        <v>57</v>
      </c>
      <c r="I2773" t="s">
        <v>96</v>
      </c>
      <c r="J2773">
        <v>18895.2</v>
      </c>
      <c r="K2773">
        <v>157308</v>
      </c>
      <c r="L2773">
        <v>13911</v>
      </c>
      <c r="M2773">
        <v>25295.8</v>
      </c>
      <c r="N2773">
        <v>248711</v>
      </c>
      <c r="O2773">
        <v>4436</v>
      </c>
      <c r="P2773">
        <v>21158.7</v>
      </c>
      <c r="Q2773">
        <v>126578</v>
      </c>
      <c r="R2773">
        <v>23</v>
      </c>
      <c r="S2773">
        <v>0</v>
      </c>
      <c r="T2773">
        <v>0</v>
      </c>
      <c r="U2773">
        <v>0</v>
      </c>
      <c r="V2773">
        <v>65349.7</v>
      </c>
      <c r="W2773">
        <v>532597</v>
      </c>
      <c r="X2773">
        <v>18370</v>
      </c>
      <c r="Y2773">
        <f t="shared" si="43"/>
        <v>532597</v>
      </c>
      <c r="Z2773" t="str">
        <f>IF(ISNUMBER(SEARCH("Adjustment",$C2773)),"excluded",IF($H2773="Behind the Meter","excluded",IF(NOT(OR($E2773="Bundled",$E2773="Energy")),"excluded",IF(OR($H2773="Retail Power Marketer",$H2773="Community Choice Aggregator",$E2773="Energy"),"procurement",IF(OR($H2773="Municipal",$H2773="Cooperative",$H2773="Federal",$H2773="State",$H2773="Political Subdivision"),"cost_service",IF($H2773="Investor Owned",IF(AND(COUNTIF(Parameters!$A$4:$A$33,$G2773)&gt;0,COUNTIF(Parameters!$B$4:$B$33,$B2773)=0),"procurement","cost_service"),"unclassified"))))))</f>
        <v>excluded</v>
      </c>
    </row>
    <row r="2774" spans="1:26" x14ac:dyDescent="0.25">
      <c r="A2774">
        <v>2024</v>
      </c>
      <c r="B2774">
        <v>99999</v>
      </c>
      <c r="C2774" t="s">
        <v>1706</v>
      </c>
      <c r="D2774" t="s">
        <v>84</v>
      </c>
      <c r="E2774" t="s">
        <v>85</v>
      </c>
      <c r="F2774" t="s">
        <v>1707</v>
      </c>
      <c r="G2774" t="s">
        <v>57</v>
      </c>
      <c r="I2774" t="s">
        <v>135</v>
      </c>
      <c r="J2774">
        <v>17002.8</v>
      </c>
      <c r="K2774">
        <v>123796</v>
      </c>
      <c r="L2774">
        <v>12770</v>
      </c>
      <c r="M2774">
        <v>15425.7</v>
      </c>
      <c r="N2774">
        <v>132949</v>
      </c>
      <c r="O2774">
        <v>2909</v>
      </c>
      <c r="P2774">
        <v>12599.2</v>
      </c>
      <c r="Q2774">
        <v>121185</v>
      </c>
      <c r="R2774">
        <v>4096</v>
      </c>
      <c r="S2774">
        <v>0</v>
      </c>
      <c r="T2774">
        <v>0</v>
      </c>
      <c r="U2774">
        <v>0</v>
      </c>
      <c r="V2774">
        <v>45027.7</v>
      </c>
      <c r="W2774">
        <v>377930</v>
      </c>
      <c r="X2774">
        <v>19775</v>
      </c>
      <c r="Y2774">
        <f t="shared" si="43"/>
        <v>377930</v>
      </c>
      <c r="Z2774" t="str">
        <f>IF(ISNUMBER(SEARCH("Adjustment",$C2774)),"excluded",IF($H2774="Behind the Meter","excluded",IF(NOT(OR($E2774="Bundled",$E2774="Energy")),"excluded",IF(OR($H2774="Retail Power Marketer",$H2774="Community Choice Aggregator",$E2774="Energy"),"procurement",IF(OR($H2774="Municipal",$H2774="Cooperative",$H2774="Federal",$H2774="State",$H2774="Political Subdivision"),"cost_service",IF($H2774="Investor Owned",IF(AND(COUNTIF(Parameters!$A$4:$A$33,$G2774)&gt;0,COUNTIF(Parameters!$B$4:$B$33,$B2774)=0),"procurement","cost_service"),"unclassified"))))))</f>
        <v>excluded</v>
      </c>
    </row>
    <row r="2775" spans="1:26" x14ac:dyDescent="0.25">
      <c r="A2775">
        <v>2024</v>
      </c>
      <c r="B2775">
        <v>99999</v>
      </c>
      <c r="C2775" t="s">
        <v>1706</v>
      </c>
      <c r="D2775" t="s">
        <v>84</v>
      </c>
      <c r="E2775" t="s">
        <v>85</v>
      </c>
      <c r="F2775" t="s">
        <v>1707</v>
      </c>
      <c r="G2775" t="s">
        <v>245</v>
      </c>
      <c r="I2775" t="s">
        <v>206</v>
      </c>
      <c r="J2775">
        <v>0</v>
      </c>
      <c r="K2775">
        <v>0</v>
      </c>
      <c r="L2775">
        <v>-2</v>
      </c>
      <c r="M2775">
        <v>0</v>
      </c>
      <c r="N2775">
        <v>0</v>
      </c>
      <c r="O2775">
        <v>0</v>
      </c>
      <c r="P2775">
        <v>0</v>
      </c>
      <c r="Q2775">
        <v>0</v>
      </c>
      <c r="R2775">
        <v>0</v>
      </c>
      <c r="S2775">
        <v>0</v>
      </c>
      <c r="T2775">
        <v>0</v>
      </c>
      <c r="U2775">
        <v>0</v>
      </c>
      <c r="V2775">
        <v>0</v>
      </c>
      <c r="W2775">
        <v>0</v>
      </c>
      <c r="X2775">
        <v>-2</v>
      </c>
      <c r="Y2775">
        <f t="shared" si="43"/>
        <v>0</v>
      </c>
      <c r="Z2775" t="str">
        <f>IF(ISNUMBER(SEARCH("Adjustment",$C2775)),"excluded",IF($H2775="Behind the Meter","excluded",IF(NOT(OR($E2775="Bundled",$E2775="Energy")),"excluded",IF(OR($H2775="Retail Power Marketer",$H2775="Community Choice Aggregator",$E2775="Energy"),"procurement",IF(OR($H2775="Municipal",$H2775="Cooperative",$H2775="Federal",$H2775="State",$H2775="Political Subdivision"),"cost_service",IF($H2775="Investor Owned",IF(AND(COUNTIF(Parameters!$A$4:$A$33,$G2775)&gt;0,COUNTIF(Parameters!$B$4:$B$33,$B2775)=0),"procurement","cost_service"),"unclassified"))))))</f>
        <v>excluded</v>
      </c>
    </row>
    <row r="2776" spans="1:26" x14ac:dyDescent="0.25">
      <c r="A2776">
        <v>2024</v>
      </c>
      <c r="B2776">
        <v>99999</v>
      </c>
      <c r="C2776" t="s">
        <v>1706</v>
      </c>
      <c r="D2776" t="s">
        <v>84</v>
      </c>
      <c r="E2776" t="s">
        <v>85</v>
      </c>
      <c r="F2776" t="s">
        <v>1707</v>
      </c>
      <c r="G2776" t="s">
        <v>245</v>
      </c>
      <c r="I2776" t="s">
        <v>246</v>
      </c>
      <c r="J2776">
        <v>109450.4</v>
      </c>
      <c r="K2776">
        <v>877343</v>
      </c>
      <c r="L2776">
        <v>95416</v>
      </c>
      <c r="M2776">
        <v>65421</v>
      </c>
      <c r="N2776">
        <v>575684</v>
      </c>
      <c r="O2776">
        <v>11569</v>
      </c>
      <c r="P2776">
        <v>26550.5</v>
      </c>
      <c r="Q2776">
        <v>300291</v>
      </c>
      <c r="R2776">
        <v>321</v>
      </c>
      <c r="S2776">
        <v>0</v>
      </c>
      <c r="T2776">
        <v>0</v>
      </c>
      <c r="U2776">
        <v>0</v>
      </c>
      <c r="V2776">
        <v>201421.9</v>
      </c>
      <c r="W2776">
        <v>1753318</v>
      </c>
      <c r="X2776">
        <v>107306</v>
      </c>
      <c r="Y2776">
        <f t="shared" si="43"/>
        <v>1753318</v>
      </c>
      <c r="Z2776" t="str">
        <f>IF(ISNUMBER(SEARCH("Adjustment",$C2776)),"excluded",IF($H2776="Behind the Meter","excluded",IF(NOT(OR($E2776="Bundled",$E2776="Energy")),"excluded",IF(OR($H2776="Retail Power Marketer",$H2776="Community Choice Aggregator",$E2776="Energy"),"procurement",IF(OR($H2776="Municipal",$H2776="Cooperative",$H2776="Federal",$H2776="State",$H2776="Political Subdivision"),"cost_service",IF($H2776="Investor Owned",IF(AND(COUNTIF(Parameters!$A$4:$A$33,$G2776)&gt;0,COUNTIF(Parameters!$B$4:$B$33,$B2776)=0),"procurement","cost_service"),"unclassified"))))))</f>
        <v>excluded</v>
      </c>
    </row>
    <row r="2777" spans="1:26" x14ac:dyDescent="0.25">
      <c r="A2777">
        <v>2024</v>
      </c>
      <c r="B2777">
        <v>99999</v>
      </c>
      <c r="C2777" t="s">
        <v>1706</v>
      </c>
      <c r="D2777" t="s">
        <v>84</v>
      </c>
      <c r="E2777" t="s">
        <v>85</v>
      </c>
      <c r="F2777" t="s">
        <v>1707</v>
      </c>
      <c r="G2777" t="s">
        <v>245</v>
      </c>
      <c r="I2777" t="s">
        <v>243</v>
      </c>
      <c r="J2777">
        <v>88.6</v>
      </c>
      <c r="K2777">
        <v>107</v>
      </c>
      <c r="L2777">
        <v>87</v>
      </c>
      <c r="M2777">
        <v>218.5</v>
      </c>
      <c r="N2777">
        <v>473</v>
      </c>
      <c r="O2777">
        <v>8</v>
      </c>
      <c r="P2777">
        <v>0</v>
      </c>
      <c r="Q2777">
        <v>0</v>
      </c>
      <c r="R2777">
        <v>0</v>
      </c>
      <c r="S2777">
        <v>0</v>
      </c>
      <c r="T2777">
        <v>0</v>
      </c>
      <c r="U2777">
        <v>0</v>
      </c>
      <c r="V2777">
        <v>307.10000000000002</v>
      </c>
      <c r="W2777">
        <v>580</v>
      </c>
      <c r="X2777">
        <v>95</v>
      </c>
      <c r="Y2777">
        <f t="shared" si="43"/>
        <v>580</v>
      </c>
      <c r="Z2777" t="str">
        <f>IF(ISNUMBER(SEARCH("Adjustment",$C2777)),"excluded",IF($H2777="Behind the Meter","excluded",IF(NOT(OR($E2777="Bundled",$E2777="Energy")),"excluded",IF(OR($H2777="Retail Power Marketer",$H2777="Community Choice Aggregator",$E2777="Energy"),"procurement",IF(OR($H2777="Municipal",$H2777="Cooperative",$H2777="Federal",$H2777="State",$H2777="Political Subdivision"),"cost_service",IF($H2777="Investor Owned",IF(AND(COUNTIF(Parameters!$A$4:$A$33,$G2777)&gt;0,COUNTIF(Parameters!$B$4:$B$33,$B2777)=0),"procurement","cost_service"),"unclassified"))))))</f>
        <v>excluded</v>
      </c>
    </row>
    <row r="2778" spans="1:26" x14ac:dyDescent="0.25">
      <c r="A2778">
        <v>2024</v>
      </c>
      <c r="B2778">
        <v>99999</v>
      </c>
      <c r="C2778" t="s">
        <v>1706</v>
      </c>
      <c r="D2778" t="s">
        <v>84</v>
      </c>
      <c r="E2778" t="s">
        <v>85</v>
      </c>
      <c r="F2778" t="s">
        <v>1707</v>
      </c>
      <c r="G2778" t="s">
        <v>245</v>
      </c>
      <c r="I2778" t="s">
        <v>259</v>
      </c>
      <c r="J2778">
        <v>1718.3</v>
      </c>
      <c r="K2778">
        <v>9487</v>
      </c>
      <c r="L2778">
        <v>1904</v>
      </c>
      <c r="M2778">
        <v>744.7</v>
      </c>
      <c r="N2778">
        <v>7464</v>
      </c>
      <c r="O2778">
        <v>265</v>
      </c>
      <c r="P2778">
        <v>76.599999999999994</v>
      </c>
      <c r="Q2778">
        <v>592</v>
      </c>
      <c r="R2778">
        <v>36</v>
      </c>
      <c r="S2778">
        <v>0</v>
      </c>
      <c r="T2778">
        <v>0</v>
      </c>
      <c r="U2778">
        <v>0</v>
      </c>
      <c r="V2778">
        <v>2539.6</v>
      </c>
      <c r="W2778">
        <v>17543</v>
      </c>
      <c r="X2778">
        <v>2205</v>
      </c>
      <c r="Y2778">
        <f t="shared" si="43"/>
        <v>17543</v>
      </c>
      <c r="Z2778" t="str">
        <f>IF(ISNUMBER(SEARCH("Adjustment",$C2778)),"excluded",IF($H2778="Behind the Meter","excluded",IF(NOT(OR($E2778="Bundled",$E2778="Energy")),"excluded",IF(OR($H2778="Retail Power Marketer",$H2778="Community Choice Aggregator",$E2778="Energy"),"procurement",IF(OR($H2778="Municipal",$H2778="Cooperative",$H2778="Federal",$H2778="State",$H2778="Political Subdivision"),"cost_service",IF($H2778="Investor Owned",IF(AND(COUNTIF(Parameters!$A$4:$A$33,$G2778)&gt;0,COUNTIF(Parameters!$B$4:$B$33,$B2778)=0),"procurement","cost_service"),"unclassified"))))))</f>
        <v>excluded</v>
      </c>
    </row>
    <row r="2779" spans="1:26" x14ac:dyDescent="0.25">
      <c r="A2779">
        <v>2024</v>
      </c>
      <c r="B2779">
        <v>99999</v>
      </c>
      <c r="C2779" t="s">
        <v>1706</v>
      </c>
      <c r="D2779" t="s">
        <v>84</v>
      </c>
      <c r="E2779" t="s">
        <v>85</v>
      </c>
      <c r="F2779" t="s">
        <v>1707</v>
      </c>
      <c r="G2779" t="s">
        <v>93</v>
      </c>
      <c r="I2779" t="s">
        <v>534</v>
      </c>
      <c r="J2779">
        <v>0</v>
      </c>
      <c r="K2779">
        <v>0</v>
      </c>
      <c r="L2779">
        <v>0</v>
      </c>
      <c r="M2779">
        <v>340</v>
      </c>
      <c r="N2779">
        <v>4925</v>
      </c>
      <c r="O2779">
        <v>1</v>
      </c>
      <c r="P2779">
        <v>0</v>
      </c>
      <c r="Q2779">
        <v>0</v>
      </c>
      <c r="R2779">
        <v>0</v>
      </c>
      <c r="S2779">
        <v>0</v>
      </c>
      <c r="T2779">
        <v>0</v>
      </c>
      <c r="U2779">
        <v>0</v>
      </c>
      <c r="V2779">
        <v>340</v>
      </c>
      <c r="W2779">
        <v>4925</v>
      </c>
      <c r="X2779">
        <v>1</v>
      </c>
      <c r="Y2779">
        <f t="shared" si="43"/>
        <v>4925</v>
      </c>
      <c r="Z2779" t="str">
        <f>IF(ISNUMBER(SEARCH("Adjustment",$C2779)),"excluded",IF($H2779="Behind the Meter","excluded",IF(NOT(OR($E2779="Bundled",$E2779="Energy")),"excluded",IF(OR($H2779="Retail Power Marketer",$H2779="Community Choice Aggregator",$E2779="Energy"),"procurement",IF(OR($H2779="Municipal",$H2779="Cooperative",$H2779="Federal",$H2779="State",$H2779="Political Subdivision"),"cost_service",IF($H2779="Investor Owned",IF(AND(COUNTIF(Parameters!$A$4:$A$33,$G2779)&gt;0,COUNTIF(Parameters!$B$4:$B$33,$B2779)=0),"procurement","cost_service"),"unclassified"))))))</f>
        <v>excluded</v>
      </c>
    </row>
    <row r="2780" spans="1:26" x14ac:dyDescent="0.25">
      <c r="A2780">
        <v>2024</v>
      </c>
      <c r="B2780">
        <v>99999</v>
      </c>
      <c r="C2780" t="s">
        <v>1706</v>
      </c>
      <c r="D2780" t="s">
        <v>84</v>
      </c>
      <c r="E2780" t="s">
        <v>85</v>
      </c>
      <c r="F2780" t="s">
        <v>1707</v>
      </c>
      <c r="G2780" t="s">
        <v>93</v>
      </c>
      <c r="I2780" t="s">
        <v>92</v>
      </c>
      <c r="J2780">
        <v>127043.1</v>
      </c>
      <c r="K2780">
        <v>871390</v>
      </c>
      <c r="L2780">
        <v>70076</v>
      </c>
      <c r="M2780">
        <v>54151.199999999997</v>
      </c>
      <c r="N2780">
        <v>468246</v>
      </c>
      <c r="O2780">
        <v>10156</v>
      </c>
      <c r="P2780">
        <v>19925.8</v>
      </c>
      <c r="Q2780">
        <v>179697</v>
      </c>
      <c r="R2780">
        <v>65</v>
      </c>
      <c r="S2780">
        <v>0</v>
      </c>
      <c r="T2780">
        <v>0</v>
      </c>
      <c r="U2780">
        <v>0</v>
      </c>
      <c r="V2780">
        <v>201120.1</v>
      </c>
      <c r="W2780">
        <v>1519333</v>
      </c>
      <c r="X2780">
        <v>80297</v>
      </c>
      <c r="Y2780">
        <f t="shared" si="43"/>
        <v>1519333</v>
      </c>
      <c r="Z2780" t="str">
        <f>IF(ISNUMBER(SEARCH("Adjustment",$C2780)),"excluded",IF($H2780="Behind the Meter","excluded",IF(NOT(OR($E2780="Bundled",$E2780="Energy")),"excluded",IF(OR($H2780="Retail Power Marketer",$H2780="Community Choice Aggregator",$E2780="Energy"),"procurement",IF(OR($H2780="Municipal",$H2780="Cooperative",$H2780="Federal",$H2780="State",$H2780="Political Subdivision"),"cost_service",IF($H2780="Investor Owned",IF(AND(COUNTIF(Parameters!$A$4:$A$33,$G2780)&gt;0,COUNTIF(Parameters!$B$4:$B$33,$B2780)=0),"procurement","cost_service"),"unclassified"))))))</f>
        <v>excluded</v>
      </c>
    </row>
    <row r="2781" spans="1:26" x14ac:dyDescent="0.25">
      <c r="A2781">
        <v>2024</v>
      </c>
      <c r="B2781">
        <v>99999</v>
      </c>
      <c r="C2781" t="s">
        <v>1706</v>
      </c>
      <c r="D2781" t="s">
        <v>84</v>
      </c>
      <c r="E2781" t="s">
        <v>85</v>
      </c>
      <c r="F2781" t="s">
        <v>1707</v>
      </c>
      <c r="G2781" t="s">
        <v>269</v>
      </c>
      <c r="I2781" t="s">
        <v>189</v>
      </c>
      <c r="J2781">
        <v>57181.7</v>
      </c>
      <c r="K2781">
        <v>279347</v>
      </c>
      <c r="L2781">
        <v>39156</v>
      </c>
      <c r="M2781">
        <v>27350.6</v>
      </c>
      <c r="N2781">
        <v>155767</v>
      </c>
      <c r="O2781">
        <v>6424</v>
      </c>
      <c r="P2781">
        <v>15397.2</v>
      </c>
      <c r="Q2781">
        <v>91103</v>
      </c>
      <c r="R2781">
        <v>141</v>
      </c>
      <c r="S2781">
        <v>0</v>
      </c>
      <c r="T2781">
        <v>0</v>
      </c>
      <c r="U2781">
        <v>0</v>
      </c>
      <c r="V2781">
        <v>99929.5</v>
      </c>
      <c r="W2781">
        <v>526217</v>
      </c>
      <c r="X2781">
        <v>45721</v>
      </c>
      <c r="Y2781">
        <f t="shared" si="43"/>
        <v>526217</v>
      </c>
      <c r="Z2781" t="str">
        <f>IF(ISNUMBER(SEARCH("Adjustment",$C2781)),"excluded",IF($H2781="Behind the Meter","excluded",IF(NOT(OR($E2781="Bundled",$E2781="Energy")),"excluded",IF(OR($H2781="Retail Power Marketer",$H2781="Community Choice Aggregator",$E2781="Energy"),"procurement",IF(OR($H2781="Municipal",$H2781="Cooperative",$H2781="Federal",$H2781="State",$H2781="Political Subdivision"),"cost_service",IF($H2781="Investor Owned",IF(AND(COUNTIF(Parameters!$A$4:$A$33,$G2781)&gt;0,COUNTIF(Parameters!$B$4:$B$33,$B2781)=0),"procurement","cost_service"),"unclassified"))))))</f>
        <v>excluded</v>
      </c>
    </row>
    <row r="2782" spans="1:26" x14ac:dyDescent="0.25">
      <c r="A2782">
        <v>2024</v>
      </c>
      <c r="B2782">
        <v>99999</v>
      </c>
      <c r="C2782" t="s">
        <v>1706</v>
      </c>
      <c r="D2782" t="s">
        <v>84</v>
      </c>
      <c r="E2782" t="s">
        <v>85</v>
      </c>
      <c r="F2782" t="s">
        <v>1707</v>
      </c>
      <c r="G2782" t="s">
        <v>148</v>
      </c>
      <c r="I2782" t="s">
        <v>206</v>
      </c>
      <c r="J2782">
        <v>80772.7</v>
      </c>
      <c r="K2782">
        <v>691271</v>
      </c>
      <c r="L2782">
        <v>50106</v>
      </c>
      <c r="M2782">
        <v>35249.699999999997</v>
      </c>
      <c r="N2782">
        <v>376884</v>
      </c>
      <c r="O2782">
        <v>6044</v>
      </c>
      <c r="P2782">
        <v>7714.9</v>
      </c>
      <c r="Q2782">
        <v>83854</v>
      </c>
      <c r="R2782">
        <v>148</v>
      </c>
      <c r="S2782">
        <v>0</v>
      </c>
      <c r="T2782">
        <v>0</v>
      </c>
      <c r="U2782">
        <v>0</v>
      </c>
      <c r="V2782">
        <v>123737.3</v>
      </c>
      <c r="W2782">
        <v>1152009</v>
      </c>
      <c r="X2782">
        <v>56298</v>
      </c>
      <c r="Y2782">
        <f t="shared" si="43"/>
        <v>1152009</v>
      </c>
      <c r="Z2782" t="str">
        <f>IF(ISNUMBER(SEARCH("Adjustment",$C2782)),"excluded",IF($H2782="Behind the Meter","excluded",IF(NOT(OR($E2782="Bundled",$E2782="Energy")),"excluded",IF(OR($H2782="Retail Power Marketer",$H2782="Community Choice Aggregator",$E2782="Energy"),"procurement",IF(OR($H2782="Municipal",$H2782="Cooperative",$H2782="Federal",$H2782="State",$H2782="Political Subdivision"),"cost_service",IF($H2782="Investor Owned",IF(AND(COUNTIF(Parameters!$A$4:$A$33,$G2782)&gt;0,COUNTIF(Parameters!$B$4:$B$33,$B2782)=0),"procurement","cost_service"),"unclassified"))))))</f>
        <v>excluded</v>
      </c>
    </row>
    <row r="2783" spans="1:26" x14ac:dyDescent="0.25">
      <c r="A2783">
        <v>2024</v>
      </c>
      <c r="B2783">
        <v>99999</v>
      </c>
      <c r="C2783" t="s">
        <v>1706</v>
      </c>
      <c r="D2783" t="s">
        <v>84</v>
      </c>
      <c r="E2783" t="s">
        <v>85</v>
      </c>
      <c r="F2783" t="s">
        <v>1707</v>
      </c>
      <c r="G2783" t="s">
        <v>148</v>
      </c>
      <c r="I2783" t="s">
        <v>149</v>
      </c>
      <c r="J2783">
        <v>2932.4</v>
      </c>
      <c r="K2783">
        <v>34589</v>
      </c>
      <c r="L2783">
        <v>4026</v>
      </c>
      <c r="M2783">
        <v>4515.8999999999996</v>
      </c>
      <c r="N2783">
        <v>55537</v>
      </c>
      <c r="O2783">
        <v>715</v>
      </c>
      <c r="P2783">
        <v>2442.8000000000002</v>
      </c>
      <c r="Q2783">
        <v>29154</v>
      </c>
      <c r="R2783">
        <v>36</v>
      </c>
      <c r="S2783">
        <v>0</v>
      </c>
      <c r="T2783">
        <v>0</v>
      </c>
      <c r="U2783">
        <v>0</v>
      </c>
      <c r="V2783">
        <v>9891.1</v>
      </c>
      <c r="W2783">
        <v>119280</v>
      </c>
      <c r="X2783">
        <v>4777</v>
      </c>
      <c r="Y2783">
        <f t="shared" si="43"/>
        <v>119280</v>
      </c>
      <c r="Z2783" t="str">
        <f>IF(ISNUMBER(SEARCH("Adjustment",$C2783)),"excluded",IF($H2783="Behind the Meter","excluded",IF(NOT(OR($E2783="Bundled",$E2783="Energy")),"excluded",IF(OR($H2783="Retail Power Marketer",$H2783="Community Choice Aggregator",$E2783="Energy"),"procurement",IF(OR($H2783="Municipal",$H2783="Cooperative",$H2783="Federal",$H2783="State",$H2783="Political Subdivision"),"cost_service",IF($H2783="Investor Owned",IF(AND(COUNTIF(Parameters!$A$4:$A$33,$G2783)&gt;0,COUNTIF(Parameters!$B$4:$B$33,$B2783)=0),"procurement","cost_service"),"unclassified"))))))</f>
        <v>excluded</v>
      </c>
    </row>
    <row r="2784" spans="1:26" x14ac:dyDescent="0.25">
      <c r="A2784">
        <v>2024</v>
      </c>
      <c r="B2784">
        <v>99999</v>
      </c>
      <c r="C2784" t="s">
        <v>1706</v>
      </c>
      <c r="D2784" t="s">
        <v>84</v>
      </c>
      <c r="E2784" t="s">
        <v>85</v>
      </c>
      <c r="F2784" t="s">
        <v>1707</v>
      </c>
      <c r="G2784" t="s">
        <v>148</v>
      </c>
      <c r="I2784" t="s">
        <v>1204</v>
      </c>
      <c r="J2784">
        <v>1404</v>
      </c>
      <c r="K2784">
        <v>10314</v>
      </c>
      <c r="L2784">
        <v>605</v>
      </c>
      <c r="M2784">
        <v>0</v>
      </c>
      <c r="N2784">
        <v>0</v>
      </c>
      <c r="O2784">
        <v>0</v>
      </c>
      <c r="P2784">
        <v>0</v>
      </c>
      <c r="Q2784">
        <v>0</v>
      </c>
      <c r="R2784">
        <v>0</v>
      </c>
      <c r="S2784">
        <v>0</v>
      </c>
      <c r="T2784">
        <v>0</v>
      </c>
      <c r="U2784">
        <v>0</v>
      </c>
      <c r="V2784">
        <v>1404</v>
      </c>
      <c r="W2784">
        <v>10314</v>
      </c>
      <c r="X2784">
        <v>605</v>
      </c>
      <c r="Y2784">
        <f t="shared" si="43"/>
        <v>10314</v>
      </c>
      <c r="Z2784" t="str">
        <f>IF(ISNUMBER(SEARCH("Adjustment",$C2784)),"excluded",IF($H2784="Behind the Meter","excluded",IF(NOT(OR($E2784="Bundled",$E2784="Energy")),"excluded",IF(OR($H2784="Retail Power Marketer",$H2784="Community Choice Aggregator",$E2784="Energy"),"procurement",IF(OR($H2784="Municipal",$H2784="Cooperative",$H2784="Federal",$H2784="State",$H2784="Political Subdivision"),"cost_service",IF($H2784="Investor Owned",IF(AND(COUNTIF(Parameters!$A$4:$A$33,$G2784)&gt;0,COUNTIF(Parameters!$B$4:$B$33,$B2784)=0),"procurement","cost_service"),"unclassified"))))))</f>
        <v>excluded</v>
      </c>
    </row>
    <row r="2785" spans="1:26" x14ac:dyDescent="0.25">
      <c r="A2785">
        <v>2024</v>
      </c>
      <c r="B2785">
        <v>99999</v>
      </c>
      <c r="C2785" t="s">
        <v>1706</v>
      </c>
      <c r="D2785" t="s">
        <v>84</v>
      </c>
      <c r="E2785" t="s">
        <v>85</v>
      </c>
      <c r="F2785" t="s">
        <v>1707</v>
      </c>
      <c r="G2785" t="s">
        <v>148</v>
      </c>
      <c r="I2785" t="s">
        <v>707</v>
      </c>
      <c r="J2785">
        <v>7437.4</v>
      </c>
      <c r="K2785">
        <v>75203</v>
      </c>
      <c r="L2785">
        <v>7811</v>
      </c>
      <c r="M2785">
        <v>5665.1</v>
      </c>
      <c r="N2785">
        <v>80438</v>
      </c>
      <c r="O2785">
        <v>820</v>
      </c>
      <c r="P2785">
        <v>1606.4</v>
      </c>
      <c r="Q2785">
        <v>23955</v>
      </c>
      <c r="R2785">
        <v>10</v>
      </c>
      <c r="S2785">
        <v>0</v>
      </c>
      <c r="T2785">
        <v>0</v>
      </c>
      <c r="U2785">
        <v>0</v>
      </c>
      <c r="V2785">
        <v>14708.9</v>
      </c>
      <c r="W2785">
        <v>179596</v>
      </c>
      <c r="X2785">
        <v>8641</v>
      </c>
      <c r="Y2785">
        <f t="shared" si="43"/>
        <v>179596</v>
      </c>
      <c r="Z2785" t="str">
        <f>IF(ISNUMBER(SEARCH("Adjustment",$C2785)),"excluded",IF($H2785="Behind the Meter","excluded",IF(NOT(OR($E2785="Bundled",$E2785="Energy")),"excluded",IF(OR($H2785="Retail Power Marketer",$H2785="Community Choice Aggregator",$E2785="Energy"),"procurement",IF(OR($H2785="Municipal",$H2785="Cooperative",$H2785="Federal",$H2785="State",$H2785="Political Subdivision"),"cost_service",IF($H2785="Investor Owned",IF(AND(COUNTIF(Parameters!$A$4:$A$33,$G2785)&gt;0,COUNTIF(Parameters!$B$4:$B$33,$B2785)=0),"procurement","cost_service"),"unclassified"))))))</f>
        <v>excluded</v>
      </c>
    </row>
    <row r="2786" spans="1:26" x14ac:dyDescent="0.25">
      <c r="A2786">
        <v>2024</v>
      </c>
      <c r="B2786">
        <v>99999</v>
      </c>
      <c r="C2786" t="s">
        <v>1706</v>
      </c>
      <c r="D2786" t="s">
        <v>84</v>
      </c>
      <c r="E2786" t="s">
        <v>85</v>
      </c>
      <c r="F2786" t="s">
        <v>1707</v>
      </c>
      <c r="G2786" t="s">
        <v>95</v>
      </c>
      <c r="I2786" t="s">
        <v>96</v>
      </c>
      <c r="J2786">
        <v>259070.2</v>
      </c>
      <c r="K2786">
        <v>1639244</v>
      </c>
      <c r="L2786">
        <v>170766</v>
      </c>
      <c r="M2786">
        <v>84292.2</v>
      </c>
      <c r="N2786">
        <v>718040</v>
      </c>
      <c r="O2786">
        <v>15797</v>
      </c>
      <c r="P2786">
        <v>83223.100000000006</v>
      </c>
      <c r="Q2786">
        <v>879929</v>
      </c>
      <c r="R2786">
        <v>791</v>
      </c>
      <c r="S2786">
        <v>0</v>
      </c>
      <c r="T2786">
        <v>0</v>
      </c>
      <c r="U2786">
        <v>0</v>
      </c>
      <c r="V2786">
        <v>426585.5</v>
      </c>
      <c r="W2786">
        <v>3237213</v>
      </c>
      <c r="X2786">
        <v>187354</v>
      </c>
      <c r="Y2786">
        <f t="shared" si="43"/>
        <v>3237213</v>
      </c>
      <c r="Z2786" t="str">
        <f>IF(ISNUMBER(SEARCH("Adjustment",$C2786)),"excluded",IF($H2786="Behind the Meter","excluded",IF(NOT(OR($E2786="Bundled",$E2786="Energy")),"excluded",IF(OR($H2786="Retail Power Marketer",$H2786="Community Choice Aggregator",$E2786="Energy"),"procurement",IF(OR($H2786="Municipal",$H2786="Cooperative",$H2786="Federal",$H2786="State",$H2786="Political Subdivision"),"cost_service",IF($H2786="Investor Owned",IF(AND(COUNTIF(Parameters!$A$4:$A$33,$G2786)&gt;0,COUNTIF(Parameters!$B$4:$B$33,$B2786)=0),"procurement","cost_service"),"unclassified"))))))</f>
        <v>excluded</v>
      </c>
    </row>
    <row r="2787" spans="1:26" x14ac:dyDescent="0.25">
      <c r="A2787">
        <v>2024</v>
      </c>
      <c r="B2787">
        <v>99999</v>
      </c>
      <c r="C2787" t="s">
        <v>1706</v>
      </c>
      <c r="D2787" t="s">
        <v>84</v>
      </c>
      <c r="E2787" t="s">
        <v>85</v>
      </c>
      <c r="F2787" t="s">
        <v>1707</v>
      </c>
      <c r="G2787" t="s">
        <v>166</v>
      </c>
      <c r="I2787" t="s">
        <v>92</v>
      </c>
      <c r="J2787">
        <v>14633.1</v>
      </c>
      <c r="K2787">
        <v>89316</v>
      </c>
      <c r="L2787">
        <v>9785</v>
      </c>
      <c r="M2787">
        <v>8335.9</v>
      </c>
      <c r="N2787">
        <v>64985</v>
      </c>
      <c r="O2787">
        <v>1826</v>
      </c>
      <c r="P2787">
        <v>18.7</v>
      </c>
      <c r="Q2787">
        <v>204</v>
      </c>
      <c r="R2787">
        <v>114</v>
      </c>
      <c r="S2787">
        <v>0</v>
      </c>
      <c r="T2787">
        <v>0</v>
      </c>
      <c r="U2787">
        <v>0</v>
      </c>
      <c r="V2787">
        <v>22987.7</v>
      </c>
      <c r="W2787">
        <v>154505</v>
      </c>
      <c r="X2787">
        <v>11725</v>
      </c>
      <c r="Y2787">
        <f t="shared" si="43"/>
        <v>154505</v>
      </c>
      <c r="Z2787" t="str">
        <f>IF(ISNUMBER(SEARCH("Adjustment",$C2787)),"excluded",IF($H2787="Behind the Meter","excluded",IF(NOT(OR($E2787="Bundled",$E2787="Energy")),"excluded",IF(OR($H2787="Retail Power Marketer",$H2787="Community Choice Aggregator",$E2787="Energy"),"procurement",IF(OR($H2787="Municipal",$H2787="Cooperative",$H2787="Federal",$H2787="State",$H2787="Political Subdivision"),"cost_service",IF($H2787="Investor Owned",IF(AND(COUNTIF(Parameters!$A$4:$A$33,$G2787)&gt;0,COUNTIF(Parameters!$B$4:$B$33,$B2787)=0),"procurement","cost_service"),"unclassified"))))))</f>
        <v>excluded</v>
      </c>
    </row>
    <row r="2788" spans="1:26" x14ac:dyDescent="0.25">
      <c r="A2788">
        <v>2024</v>
      </c>
      <c r="B2788">
        <v>99999</v>
      </c>
      <c r="C2788" t="s">
        <v>1706</v>
      </c>
      <c r="D2788" t="s">
        <v>84</v>
      </c>
      <c r="E2788" t="s">
        <v>85</v>
      </c>
      <c r="F2788" t="s">
        <v>1707</v>
      </c>
      <c r="G2788" t="s">
        <v>323</v>
      </c>
      <c r="I2788" t="s">
        <v>844</v>
      </c>
      <c r="J2788">
        <v>1178.8</v>
      </c>
      <c r="K2788">
        <v>8658</v>
      </c>
      <c r="L2788">
        <v>739</v>
      </c>
      <c r="M2788">
        <v>407.7</v>
      </c>
      <c r="N2788">
        <v>3449</v>
      </c>
      <c r="O2788">
        <v>120</v>
      </c>
      <c r="P2788">
        <v>0</v>
      </c>
      <c r="Q2788">
        <v>0</v>
      </c>
      <c r="R2788">
        <v>0</v>
      </c>
      <c r="S2788">
        <v>0</v>
      </c>
      <c r="T2788">
        <v>0</v>
      </c>
      <c r="U2788">
        <v>0</v>
      </c>
      <c r="V2788">
        <v>1586.5</v>
      </c>
      <c r="W2788">
        <v>12107</v>
      </c>
      <c r="X2788">
        <v>859</v>
      </c>
      <c r="Y2788">
        <f t="shared" si="43"/>
        <v>12107</v>
      </c>
      <c r="Z2788" t="str">
        <f>IF(ISNUMBER(SEARCH("Adjustment",$C2788)),"excluded",IF($H2788="Behind the Meter","excluded",IF(NOT(OR($E2788="Bundled",$E2788="Energy")),"excluded",IF(OR($H2788="Retail Power Marketer",$H2788="Community Choice Aggregator",$E2788="Energy"),"procurement",IF(OR($H2788="Municipal",$H2788="Cooperative",$H2788="Federal",$H2788="State",$H2788="Political Subdivision"),"cost_service",IF($H2788="Investor Owned",IF(AND(COUNTIF(Parameters!$A$4:$A$33,$G2788)&gt;0,COUNTIF(Parameters!$B$4:$B$33,$B2788)=0),"procurement","cost_service"),"unclassified"))))))</f>
        <v>excluded</v>
      </c>
    </row>
    <row r="2789" spans="1:26" x14ac:dyDescent="0.25">
      <c r="A2789">
        <v>2024</v>
      </c>
      <c r="B2789">
        <v>99999</v>
      </c>
      <c r="C2789" t="s">
        <v>1706</v>
      </c>
      <c r="D2789" t="s">
        <v>84</v>
      </c>
      <c r="E2789" t="s">
        <v>85</v>
      </c>
      <c r="F2789" t="s">
        <v>1707</v>
      </c>
      <c r="G2789" t="s">
        <v>323</v>
      </c>
      <c r="I2789" t="s">
        <v>246</v>
      </c>
      <c r="J2789">
        <v>1199.4000000000001</v>
      </c>
      <c r="K2789">
        <v>6753</v>
      </c>
      <c r="L2789">
        <v>814</v>
      </c>
      <c r="M2789">
        <v>394.9</v>
      </c>
      <c r="N2789">
        <v>2467</v>
      </c>
      <c r="O2789">
        <v>133</v>
      </c>
      <c r="P2789">
        <v>588.4</v>
      </c>
      <c r="Q2789">
        <v>3968</v>
      </c>
      <c r="R2789">
        <v>9</v>
      </c>
      <c r="S2789">
        <v>0</v>
      </c>
      <c r="T2789">
        <v>0</v>
      </c>
      <c r="U2789">
        <v>0</v>
      </c>
      <c r="V2789">
        <v>2182.6999999999998</v>
      </c>
      <c r="W2789">
        <v>13188</v>
      </c>
      <c r="X2789">
        <v>956</v>
      </c>
      <c r="Y2789">
        <f t="shared" si="43"/>
        <v>13188</v>
      </c>
      <c r="Z2789" t="str">
        <f>IF(ISNUMBER(SEARCH("Adjustment",$C2789)),"excluded",IF($H2789="Behind the Meter","excluded",IF(NOT(OR($E2789="Bundled",$E2789="Energy")),"excluded",IF(OR($H2789="Retail Power Marketer",$H2789="Community Choice Aggregator",$E2789="Energy"),"procurement",IF(OR($H2789="Municipal",$H2789="Cooperative",$H2789="Federal",$H2789="State",$H2789="Political Subdivision"),"cost_service",IF($H2789="Investor Owned",IF(AND(COUNTIF(Parameters!$A$4:$A$33,$G2789)&gt;0,COUNTIF(Parameters!$B$4:$B$33,$B2789)=0),"procurement","cost_service"),"unclassified"))))))</f>
        <v>excluded</v>
      </c>
    </row>
    <row r="2790" spans="1:26" x14ac:dyDescent="0.25">
      <c r="A2790">
        <v>2024</v>
      </c>
      <c r="B2790">
        <v>99999</v>
      </c>
      <c r="C2790" t="s">
        <v>1706</v>
      </c>
      <c r="D2790" t="s">
        <v>84</v>
      </c>
      <c r="E2790" t="s">
        <v>85</v>
      </c>
      <c r="F2790" t="s">
        <v>1707</v>
      </c>
      <c r="G2790" t="s">
        <v>323</v>
      </c>
      <c r="I2790" t="s">
        <v>559</v>
      </c>
      <c r="J2790">
        <v>21.8</v>
      </c>
      <c r="K2790">
        <v>185</v>
      </c>
      <c r="L2790">
        <v>12</v>
      </c>
      <c r="M2790">
        <v>11.2</v>
      </c>
      <c r="N2790">
        <v>119</v>
      </c>
      <c r="O2790">
        <v>2</v>
      </c>
      <c r="P2790">
        <v>0</v>
      </c>
      <c r="Q2790">
        <v>0</v>
      </c>
      <c r="R2790">
        <v>0</v>
      </c>
      <c r="S2790">
        <v>0</v>
      </c>
      <c r="T2790">
        <v>0</v>
      </c>
      <c r="U2790">
        <v>0</v>
      </c>
      <c r="V2790">
        <v>33</v>
      </c>
      <c r="W2790">
        <v>304</v>
      </c>
      <c r="X2790">
        <v>14</v>
      </c>
      <c r="Y2790">
        <f t="shared" si="43"/>
        <v>304</v>
      </c>
      <c r="Z2790" t="str">
        <f>IF(ISNUMBER(SEARCH("Adjustment",$C2790)),"excluded",IF($H2790="Behind the Meter","excluded",IF(NOT(OR($E2790="Bundled",$E2790="Energy")),"excluded",IF(OR($H2790="Retail Power Marketer",$H2790="Community Choice Aggregator",$E2790="Energy"),"procurement",IF(OR($H2790="Municipal",$H2790="Cooperative",$H2790="Federal",$H2790="State",$H2790="Political Subdivision"),"cost_service",IF($H2790="Investor Owned",IF(AND(COUNTIF(Parameters!$A$4:$A$33,$G2790)&gt;0,COUNTIF(Parameters!$B$4:$B$33,$B2790)=0),"procurement","cost_service"),"unclassified"))))))</f>
        <v>excluded</v>
      </c>
    </row>
    <row r="2791" spans="1:26" x14ac:dyDescent="0.25">
      <c r="A2791">
        <v>2024</v>
      </c>
      <c r="B2791">
        <v>99999</v>
      </c>
      <c r="C2791" t="s">
        <v>1706</v>
      </c>
      <c r="D2791" t="s">
        <v>84</v>
      </c>
      <c r="E2791" t="s">
        <v>85</v>
      </c>
      <c r="F2791" t="s">
        <v>1707</v>
      </c>
      <c r="G2791" t="s">
        <v>323</v>
      </c>
      <c r="I2791" t="s">
        <v>259</v>
      </c>
      <c r="J2791">
        <v>48313.4</v>
      </c>
      <c r="K2791">
        <v>315247</v>
      </c>
      <c r="L2791">
        <v>38329</v>
      </c>
      <c r="M2791">
        <v>36128.1</v>
      </c>
      <c r="N2791">
        <v>300006</v>
      </c>
      <c r="O2791">
        <v>8724</v>
      </c>
      <c r="P2791">
        <v>55329</v>
      </c>
      <c r="Q2791">
        <v>509252</v>
      </c>
      <c r="R2791">
        <v>2964</v>
      </c>
      <c r="S2791">
        <v>0</v>
      </c>
      <c r="T2791">
        <v>0</v>
      </c>
      <c r="U2791">
        <v>0</v>
      </c>
      <c r="V2791">
        <v>139770.5</v>
      </c>
      <c r="W2791">
        <v>1124505</v>
      </c>
      <c r="X2791">
        <v>50017</v>
      </c>
      <c r="Y2791">
        <f t="shared" si="43"/>
        <v>1124505</v>
      </c>
      <c r="Z2791" t="str">
        <f>IF(ISNUMBER(SEARCH("Adjustment",$C2791)),"excluded",IF($H2791="Behind the Meter","excluded",IF(NOT(OR($E2791="Bundled",$E2791="Energy")),"excluded",IF(OR($H2791="Retail Power Marketer",$H2791="Community Choice Aggregator",$E2791="Energy"),"procurement",IF(OR($H2791="Municipal",$H2791="Cooperative",$H2791="Federal",$H2791="State",$H2791="Political Subdivision"),"cost_service",IF($H2791="Investor Owned",IF(AND(COUNTIF(Parameters!$A$4:$A$33,$G2791)&gt;0,COUNTIF(Parameters!$B$4:$B$33,$B2791)=0),"procurement","cost_service"),"unclassified"))))))</f>
        <v>excluded</v>
      </c>
    </row>
    <row r="2792" spans="1:26" x14ac:dyDescent="0.25">
      <c r="A2792">
        <v>2024</v>
      </c>
      <c r="B2792">
        <v>99999</v>
      </c>
      <c r="C2792" t="s">
        <v>1706</v>
      </c>
      <c r="D2792" t="s">
        <v>99</v>
      </c>
      <c r="E2792" t="s">
        <v>100</v>
      </c>
      <c r="F2792" t="s">
        <v>1707</v>
      </c>
      <c r="G2792" t="s">
        <v>115</v>
      </c>
      <c r="I2792" t="s">
        <v>116</v>
      </c>
      <c r="J2792">
        <v>-71016.2</v>
      </c>
      <c r="K2792">
        <v>-453810</v>
      </c>
      <c r="L2792">
        <v>237746</v>
      </c>
      <c r="M2792">
        <v>-135185.79999999999</v>
      </c>
      <c r="N2792">
        <v>-1076114</v>
      </c>
      <c r="O2792">
        <v>107644</v>
      </c>
      <c r="P2792">
        <v>400592.7</v>
      </c>
      <c r="Q2792">
        <v>3212719</v>
      </c>
      <c r="R2792">
        <v>-5800</v>
      </c>
      <c r="S2792">
        <v>-569.29999999999995</v>
      </c>
      <c r="T2792">
        <v>-5241</v>
      </c>
      <c r="U2792">
        <v>-1</v>
      </c>
      <c r="V2792">
        <v>193821.3</v>
      </c>
      <c r="W2792">
        <v>1677554</v>
      </c>
      <c r="X2792">
        <v>339589</v>
      </c>
      <c r="Y2792">
        <f t="shared" si="43"/>
        <v>1677554</v>
      </c>
      <c r="Z2792" t="str">
        <f>IF(ISNUMBER(SEARCH("Adjustment",$C2792)),"excluded",IF($H2792="Behind the Meter","excluded",IF(NOT(OR($E2792="Bundled",$E2792="Energy")),"excluded",IF(OR($H2792="Retail Power Marketer",$H2792="Community Choice Aggregator",$E2792="Energy"),"procurement",IF(OR($H2792="Municipal",$H2792="Cooperative",$H2792="Federal",$H2792="State",$H2792="Political Subdivision"),"cost_service",IF($H2792="Investor Owned",IF(AND(COUNTIF(Parameters!$A$4:$A$33,$G2792)&gt;0,COUNTIF(Parameters!$B$4:$B$33,$B2792)=0),"procurement","cost_service"),"unclassified"))))))</f>
        <v>excluded</v>
      </c>
    </row>
    <row r="2793" spans="1:26" x14ac:dyDescent="0.25">
      <c r="A2793">
        <v>2024</v>
      </c>
      <c r="B2793">
        <v>99999</v>
      </c>
      <c r="C2793" t="s">
        <v>1706</v>
      </c>
      <c r="D2793" t="s">
        <v>99</v>
      </c>
      <c r="E2793" t="s">
        <v>100</v>
      </c>
      <c r="F2793" t="s">
        <v>1707</v>
      </c>
      <c r="G2793" t="s">
        <v>40</v>
      </c>
      <c r="I2793" t="s">
        <v>189</v>
      </c>
      <c r="J2793">
        <v>18746.5</v>
      </c>
      <c r="K2793">
        <v>147916</v>
      </c>
      <c r="L2793">
        <v>12681</v>
      </c>
      <c r="M2793">
        <v>123434.4</v>
      </c>
      <c r="N2793">
        <v>1244808</v>
      </c>
      <c r="O2793">
        <v>4120</v>
      </c>
      <c r="P2793">
        <v>-129329.4</v>
      </c>
      <c r="Q2793">
        <v>-1304956</v>
      </c>
      <c r="R2793">
        <v>865</v>
      </c>
      <c r="S2793">
        <v>14084.2</v>
      </c>
      <c r="T2793">
        <v>119370</v>
      </c>
      <c r="U2793">
        <v>1</v>
      </c>
      <c r="V2793">
        <v>26935.8</v>
      </c>
      <c r="W2793">
        <v>207138</v>
      </c>
      <c r="X2793">
        <v>17667</v>
      </c>
      <c r="Y2793">
        <f t="shared" si="43"/>
        <v>207138</v>
      </c>
      <c r="Z2793" t="str">
        <f>IF(ISNUMBER(SEARCH("Adjustment",$C2793)),"excluded",IF($H2793="Behind the Meter","excluded",IF(NOT(OR($E2793="Bundled",$E2793="Energy")),"excluded",IF(OR($H2793="Retail Power Marketer",$H2793="Community Choice Aggregator",$E2793="Energy"),"procurement",IF(OR($H2793="Municipal",$H2793="Cooperative",$H2793="Federal",$H2793="State",$H2793="Political Subdivision"),"cost_service",IF($H2793="Investor Owned",IF(AND(COUNTIF(Parameters!$A$4:$A$33,$G2793)&gt;0,COUNTIF(Parameters!$B$4:$B$33,$B2793)=0),"procurement","cost_service"),"unclassified"))))))</f>
        <v>excluded</v>
      </c>
    </row>
    <row r="2794" spans="1:26" x14ac:dyDescent="0.25">
      <c r="A2794">
        <v>2024</v>
      </c>
      <c r="B2794">
        <v>99999</v>
      </c>
      <c r="C2794" t="s">
        <v>1706</v>
      </c>
      <c r="D2794" t="s">
        <v>99</v>
      </c>
      <c r="E2794" t="s">
        <v>100</v>
      </c>
      <c r="F2794" t="s">
        <v>1707</v>
      </c>
      <c r="G2794" t="s">
        <v>42</v>
      </c>
      <c r="I2794" t="s">
        <v>92</v>
      </c>
      <c r="J2794">
        <v>37104.6</v>
      </c>
      <c r="K2794">
        <v>209769</v>
      </c>
      <c r="L2794">
        <v>4296</v>
      </c>
      <c r="M2794">
        <v>45567.5</v>
      </c>
      <c r="N2794">
        <v>473019</v>
      </c>
      <c r="O2794">
        <v>480</v>
      </c>
      <c r="P2794">
        <v>-30775.1</v>
      </c>
      <c r="Q2794">
        <v>-312206</v>
      </c>
      <c r="R2794">
        <v>-92</v>
      </c>
      <c r="S2794">
        <v>253.6</v>
      </c>
      <c r="T2794">
        <v>7035</v>
      </c>
      <c r="U2794">
        <v>2</v>
      </c>
      <c r="V2794">
        <v>52150.6</v>
      </c>
      <c r="W2794">
        <v>377617</v>
      </c>
      <c r="X2794">
        <v>4686</v>
      </c>
      <c r="Y2794">
        <f t="shared" si="43"/>
        <v>377617</v>
      </c>
      <c r="Z2794" t="str">
        <f>IF(ISNUMBER(SEARCH("Adjustment",$C2794)),"excluded",IF($H2794="Behind the Meter","excluded",IF(NOT(OR($E2794="Bundled",$E2794="Energy")),"excluded",IF(OR($H2794="Retail Power Marketer",$H2794="Community Choice Aggregator",$E2794="Energy"),"procurement",IF(OR($H2794="Municipal",$H2794="Cooperative",$H2794="Federal",$H2794="State",$H2794="Political Subdivision"),"cost_service",IF($H2794="Investor Owned",IF(AND(COUNTIF(Parameters!$A$4:$A$33,$G2794)&gt;0,COUNTIF(Parameters!$B$4:$B$33,$B2794)=0),"procurement","cost_service"),"unclassified"))))))</f>
        <v>excluded</v>
      </c>
    </row>
    <row r="2795" spans="1:26" x14ac:dyDescent="0.25">
      <c r="A2795">
        <v>2024</v>
      </c>
      <c r="B2795">
        <v>99999</v>
      </c>
      <c r="C2795" t="s">
        <v>1706</v>
      </c>
      <c r="D2795" t="s">
        <v>99</v>
      </c>
      <c r="E2795" t="s">
        <v>100</v>
      </c>
      <c r="F2795" t="s">
        <v>1707</v>
      </c>
      <c r="G2795" t="s">
        <v>44</v>
      </c>
      <c r="I2795" t="s">
        <v>92</v>
      </c>
      <c r="J2795">
        <v>1777.6</v>
      </c>
      <c r="K2795">
        <v>13075</v>
      </c>
      <c r="L2795">
        <v>-228</v>
      </c>
      <c r="M2795">
        <v>15478.6</v>
      </c>
      <c r="N2795">
        <v>236352</v>
      </c>
      <c r="O2795">
        <v>1666</v>
      </c>
      <c r="P2795">
        <v>-18639.900000000001</v>
      </c>
      <c r="Q2795">
        <v>-286732</v>
      </c>
      <c r="R2795">
        <v>-16</v>
      </c>
      <c r="S2795">
        <v>0</v>
      </c>
      <c r="T2795">
        <v>0</v>
      </c>
      <c r="U2795">
        <v>0</v>
      </c>
      <c r="V2795">
        <v>-1383.7</v>
      </c>
      <c r="W2795">
        <v>-37305</v>
      </c>
      <c r="X2795">
        <v>1422</v>
      </c>
      <c r="Y2795">
        <f t="shared" si="43"/>
        <v>-37305</v>
      </c>
      <c r="Z2795" t="str">
        <f>IF(ISNUMBER(SEARCH("Adjustment",$C2795)),"excluded",IF($H2795="Behind the Meter","excluded",IF(NOT(OR($E2795="Bundled",$E2795="Energy")),"excluded",IF(OR($H2795="Retail Power Marketer",$H2795="Community Choice Aggregator",$E2795="Energy"),"procurement",IF(OR($H2795="Municipal",$H2795="Cooperative",$H2795="Federal",$H2795="State",$H2795="Political Subdivision"),"cost_service",IF($H2795="Investor Owned",IF(AND(COUNTIF(Parameters!$A$4:$A$33,$G2795)&gt;0,COUNTIF(Parameters!$B$4:$B$33,$B2795)=0),"procurement","cost_service"),"unclassified"))))))</f>
        <v>excluded</v>
      </c>
    </row>
    <row r="2796" spans="1:26" x14ac:dyDescent="0.25">
      <c r="A2796">
        <v>2024</v>
      </c>
      <c r="B2796">
        <v>99999</v>
      </c>
      <c r="C2796" t="s">
        <v>1706</v>
      </c>
      <c r="D2796" t="s">
        <v>99</v>
      </c>
      <c r="E2796" t="s">
        <v>100</v>
      </c>
      <c r="F2796" t="s">
        <v>1707</v>
      </c>
      <c r="G2796" t="s">
        <v>46</v>
      </c>
      <c r="I2796" t="s">
        <v>92</v>
      </c>
      <c r="J2796">
        <v>98439.7</v>
      </c>
      <c r="K2796">
        <v>1018608</v>
      </c>
      <c r="L2796">
        <v>80795</v>
      </c>
      <c r="M2796">
        <v>-615656.69999999995</v>
      </c>
      <c r="N2796">
        <v>-10453976</v>
      </c>
      <c r="O2796">
        <v>55644</v>
      </c>
      <c r="P2796">
        <v>1298361.7</v>
      </c>
      <c r="Q2796">
        <v>21739498</v>
      </c>
      <c r="R2796">
        <v>1055</v>
      </c>
      <c r="S2796">
        <v>-1516</v>
      </c>
      <c r="T2796">
        <v>-33521</v>
      </c>
      <c r="U2796">
        <v>0</v>
      </c>
      <c r="V2796">
        <v>779628.7</v>
      </c>
      <c r="W2796">
        <v>12270609</v>
      </c>
      <c r="X2796">
        <v>137494</v>
      </c>
      <c r="Y2796">
        <f t="shared" si="43"/>
        <v>12270609</v>
      </c>
      <c r="Z2796" t="str">
        <f>IF(ISNUMBER(SEARCH("Adjustment",$C2796)),"excluded",IF($H2796="Behind the Meter","excluded",IF(NOT(OR($E2796="Bundled",$E2796="Energy")),"excluded",IF(OR($H2796="Retail Power Marketer",$H2796="Community Choice Aggregator",$E2796="Energy"),"procurement",IF(OR($H2796="Municipal",$H2796="Cooperative",$H2796="Federal",$H2796="State",$H2796="Political Subdivision"),"cost_service",IF($H2796="Investor Owned",IF(AND(COUNTIF(Parameters!$A$4:$A$33,$G2796)&gt;0,COUNTIF(Parameters!$B$4:$B$33,$B2796)=0),"procurement","cost_service"),"unclassified"))))))</f>
        <v>excluded</v>
      </c>
    </row>
    <row r="2797" spans="1:26" x14ac:dyDescent="0.25">
      <c r="A2797">
        <v>2024</v>
      </c>
      <c r="B2797">
        <v>99999</v>
      </c>
      <c r="C2797" t="s">
        <v>1706</v>
      </c>
      <c r="D2797" t="s">
        <v>99</v>
      </c>
      <c r="E2797" t="s">
        <v>100</v>
      </c>
      <c r="F2797" t="s">
        <v>1707</v>
      </c>
      <c r="G2797" t="s">
        <v>46</v>
      </c>
      <c r="I2797" t="s">
        <v>96</v>
      </c>
      <c r="J2797">
        <v>-32662.2</v>
      </c>
      <c r="K2797">
        <v>-324533</v>
      </c>
      <c r="L2797">
        <v>-110320</v>
      </c>
      <c r="M2797">
        <v>-750412.2</v>
      </c>
      <c r="N2797">
        <v>-10756646</v>
      </c>
      <c r="O2797">
        <v>27249</v>
      </c>
      <c r="P2797">
        <v>180428.4</v>
      </c>
      <c r="Q2797">
        <v>2747690</v>
      </c>
      <c r="R2797">
        <v>-404</v>
      </c>
      <c r="S2797">
        <v>0</v>
      </c>
      <c r="T2797">
        <v>0</v>
      </c>
      <c r="U2797">
        <v>0</v>
      </c>
      <c r="V2797">
        <v>-602646</v>
      </c>
      <c r="W2797">
        <v>-8333489</v>
      </c>
      <c r="X2797">
        <v>-83475</v>
      </c>
      <c r="Y2797">
        <f t="shared" si="43"/>
        <v>-8333489</v>
      </c>
      <c r="Z2797" t="str">
        <f>IF(ISNUMBER(SEARCH("Adjustment",$C2797)),"excluded",IF($H2797="Behind the Meter","excluded",IF(NOT(OR($E2797="Bundled",$E2797="Energy")),"excluded",IF(OR($H2797="Retail Power Marketer",$H2797="Community Choice Aggregator",$E2797="Energy"),"procurement",IF(OR($H2797="Municipal",$H2797="Cooperative",$H2797="Federal",$H2797="State",$H2797="Political Subdivision"),"cost_service",IF($H2797="Investor Owned",IF(AND(COUNTIF(Parameters!$A$4:$A$33,$G2797)&gt;0,COUNTIF(Parameters!$B$4:$B$33,$B2797)=0),"procurement","cost_service"),"unclassified"))))))</f>
        <v>excluded</v>
      </c>
    </row>
    <row r="2798" spans="1:26" x14ac:dyDescent="0.25">
      <c r="A2798">
        <v>2024</v>
      </c>
      <c r="B2798">
        <v>99999</v>
      </c>
      <c r="C2798" t="s">
        <v>1706</v>
      </c>
      <c r="D2798" t="s">
        <v>99</v>
      </c>
      <c r="E2798" t="s">
        <v>100</v>
      </c>
      <c r="F2798" t="s">
        <v>1707</v>
      </c>
      <c r="G2798" t="s">
        <v>48</v>
      </c>
      <c r="I2798" t="s">
        <v>189</v>
      </c>
      <c r="J2798">
        <v>-159027</v>
      </c>
      <c r="K2798">
        <v>-1024939</v>
      </c>
      <c r="L2798">
        <v>9763</v>
      </c>
      <c r="M2798">
        <v>208556.79999999999</v>
      </c>
      <c r="N2798">
        <v>1767950</v>
      </c>
      <c r="O2798">
        <v>78466</v>
      </c>
      <c r="P2798">
        <v>-86093.8</v>
      </c>
      <c r="Q2798">
        <v>-737312</v>
      </c>
      <c r="R2798">
        <v>3042</v>
      </c>
      <c r="S2798">
        <v>-8344.2999999999993</v>
      </c>
      <c r="T2798">
        <v>-105742</v>
      </c>
      <c r="U2798">
        <v>-2</v>
      </c>
      <c r="V2798">
        <v>-44908.4</v>
      </c>
      <c r="W2798">
        <v>-100043</v>
      </c>
      <c r="X2798">
        <v>91269</v>
      </c>
      <c r="Y2798">
        <f t="shared" si="43"/>
        <v>-100043</v>
      </c>
      <c r="Z2798" t="str">
        <f>IF(ISNUMBER(SEARCH("Adjustment",$C2798)),"excluded",IF($H2798="Behind the Meter","excluded",IF(NOT(OR($E2798="Bundled",$E2798="Energy")),"excluded",IF(OR($H2798="Retail Power Marketer",$H2798="Community Choice Aggregator",$E2798="Energy"),"procurement",IF(OR($H2798="Municipal",$H2798="Cooperative",$H2798="Federal",$H2798="State",$H2798="Political Subdivision"),"cost_service",IF($H2798="Investor Owned",IF(AND(COUNTIF(Parameters!$A$4:$A$33,$G2798)&gt;0,COUNTIF(Parameters!$B$4:$B$33,$B2798)=0),"procurement","cost_service"),"unclassified"))))))</f>
        <v>excluded</v>
      </c>
    </row>
    <row r="2799" spans="1:26" x14ac:dyDescent="0.25">
      <c r="A2799">
        <v>2024</v>
      </c>
      <c r="B2799">
        <v>99999</v>
      </c>
      <c r="C2799" t="s">
        <v>1706</v>
      </c>
      <c r="D2799" t="s">
        <v>99</v>
      </c>
      <c r="E2799" t="s">
        <v>100</v>
      </c>
      <c r="F2799" t="s">
        <v>1707</v>
      </c>
      <c r="G2799" t="s">
        <v>49</v>
      </c>
      <c r="I2799" t="s">
        <v>92</v>
      </c>
      <c r="J2799">
        <v>13749.5</v>
      </c>
      <c r="K2799">
        <v>101999</v>
      </c>
      <c r="L2799">
        <v>759</v>
      </c>
      <c r="M2799">
        <v>232666.1</v>
      </c>
      <c r="N2799">
        <v>2924478</v>
      </c>
      <c r="O2799">
        <v>11136</v>
      </c>
      <c r="P2799">
        <v>-123751.7</v>
      </c>
      <c r="Q2799">
        <v>-1554157</v>
      </c>
      <c r="R2799">
        <v>2337</v>
      </c>
      <c r="S2799">
        <v>8966.2000000000007</v>
      </c>
      <c r="T2799">
        <v>96262</v>
      </c>
      <c r="U2799">
        <v>2</v>
      </c>
      <c r="V2799">
        <v>131630.1</v>
      </c>
      <c r="W2799">
        <v>1568582</v>
      </c>
      <c r="X2799">
        <v>14234</v>
      </c>
      <c r="Y2799">
        <f t="shared" si="43"/>
        <v>1568582</v>
      </c>
      <c r="Z2799" t="str">
        <f>IF(ISNUMBER(SEARCH("Adjustment",$C2799)),"excluded",IF($H2799="Behind the Meter","excluded",IF(NOT(OR($E2799="Bundled",$E2799="Energy")),"excluded",IF(OR($H2799="Retail Power Marketer",$H2799="Community Choice Aggregator",$E2799="Energy"),"procurement",IF(OR($H2799="Municipal",$H2799="Cooperative",$H2799="Federal",$H2799="State",$H2799="Political Subdivision"),"cost_service",IF($H2799="Investor Owned",IF(AND(COUNTIF(Parameters!$A$4:$A$33,$G2799)&gt;0,COUNTIF(Parameters!$B$4:$B$33,$B2799)=0),"procurement","cost_service"),"unclassified"))))))</f>
        <v>excluded</v>
      </c>
    </row>
    <row r="2800" spans="1:26" x14ac:dyDescent="0.25">
      <c r="A2800">
        <v>2024</v>
      </c>
      <c r="B2800">
        <v>99999</v>
      </c>
      <c r="C2800" t="s">
        <v>1706</v>
      </c>
      <c r="D2800" t="s">
        <v>99</v>
      </c>
      <c r="E2800" t="s">
        <v>100</v>
      </c>
      <c r="F2800" t="s">
        <v>1707</v>
      </c>
      <c r="G2800" t="s">
        <v>50</v>
      </c>
      <c r="I2800" t="s">
        <v>188</v>
      </c>
      <c r="J2800">
        <v>15.3</v>
      </c>
      <c r="K2800">
        <v>193</v>
      </c>
      <c r="L2800">
        <v>29</v>
      </c>
      <c r="M2800">
        <v>-538.5</v>
      </c>
      <c r="N2800">
        <v>-5454</v>
      </c>
      <c r="O2800">
        <v>136</v>
      </c>
      <c r="P2800">
        <v>429.6</v>
      </c>
      <c r="Q2800">
        <v>4259</v>
      </c>
      <c r="R2800">
        <v>-1</v>
      </c>
      <c r="S2800">
        <v>0</v>
      </c>
      <c r="T2800">
        <v>0</v>
      </c>
      <c r="U2800">
        <v>0</v>
      </c>
      <c r="V2800">
        <v>-93.6</v>
      </c>
      <c r="W2800">
        <v>-1002</v>
      </c>
      <c r="X2800">
        <v>164</v>
      </c>
      <c r="Y2800">
        <f t="shared" si="43"/>
        <v>-1002</v>
      </c>
      <c r="Z2800" t="str">
        <f>IF(ISNUMBER(SEARCH("Adjustment",$C2800)),"excluded",IF($H2800="Behind the Meter","excluded",IF(NOT(OR($E2800="Bundled",$E2800="Energy")),"excluded",IF(OR($H2800="Retail Power Marketer",$H2800="Community Choice Aggregator",$E2800="Energy"),"procurement",IF(OR($H2800="Municipal",$H2800="Cooperative",$H2800="Federal",$H2800="State",$H2800="Political Subdivision"),"cost_service",IF($H2800="Investor Owned",IF(AND(COUNTIF(Parameters!$A$4:$A$33,$G2800)&gt;0,COUNTIF(Parameters!$B$4:$B$33,$B2800)=0),"procurement","cost_service"),"unclassified"))))))</f>
        <v>excluded</v>
      </c>
    </row>
    <row r="2801" spans="1:26" x14ac:dyDescent="0.25">
      <c r="A2801">
        <v>2024</v>
      </c>
      <c r="B2801">
        <v>99999</v>
      </c>
      <c r="C2801" t="s">
        <v>1706</v>
      </c>
      <c r="D2801" t="s">
        <v>99</v>
      </c>
      <c r="E2801" t="s">
        <v>100</v>
      </c>
      <c r="F2801" t="s">
        <v>1707</v>
      </c>
      <c r="G2801" t="s">
        <v>50</v>
      </c>
      <c r="I2801" t="s">
        <v>189</v>
      </c>
      <c r="J2801">
        <v>-1382.3</v>
      </c>
      <c r="K2801">
        <v>-8793</v>
      </c>
      <c r="L2801">
        <v>-1101</v>
      </c>
      <c r="M2801">
        <v>-47037.5</v>
      </c>
      <c r="N2801">
        <v>-510573</v>
      </c>
      <c r="O2801">
        <v>6455</v>
      </c>
      <c r="P2801">
        <v>16328.5</v>
      </c>
      <c r="Q2801">
        <v>156909</v>
      </c>
      <c r="R2801">
        <v>371</v>
      </c>
      <c r="S2801">
        <v>0</v>
      </c>
      <c r="T2801">
        <v>0</v>
      </c>
      <c r="U2801">
        <v>0</v>
      </c>
      <c r="V2801">
        <v>-32091.3</v>
      </c>
      <c r="W2801">
        <v>-362457</v>
      </c>
      <c r="X2801">
        <v>5725</v>
      </c>
      <c r="Y2801">
        <f t="shared" si="43"/>
        <v>-362457</v>
      </c>
      <c r="Z2801" t="str">
        <f>IF(ISNUMBER(SEARCH("Adjustment",$C2801)),"excluded",IF($H2801="Behind the Meter","excluded",IF(NOT(OR($E2801="Bundled",$E2801="Energy")),"excluded",IF(OR($H2801="Retail Power Marketer",$H2801="Community Choice Aggregator",$E2801="Energy"),"procurement",IF(OR($H2801="Municipal",$H2801="Cooperative",$H2801="Federal",$H2801="State",$H2801="Political Subdivision"),"cost_service",IF($H2801="Investor Owned",IF(AND(COUNTIF(Parameters!$A$4:$A$33,$G2801)&gt;0,COUNTIF(Parameters!$B$4:$B$33,$B2801)=0),"procurement","cost_service"),"unclassified"))))))</f>
        <v>excluded</v>
      </c>
    </row>
    <row r="2802" spans="1:26" x14ac:dyDescent="0.25">
      <c r="A2802">
        <v>2024</v>
      </c>
      <c r="B2802">
        <v>99999</v>
      </c>
      <c r="C2802" t="s">
        <v>1706</v>
      </c>
      <c r="D2802" t="s">
        <v>99</v>
      </c>
      <c r="E2802" t="s">
        <v>100</v>
      </c>
      <c r="F2802" t="s">
        <v>1707</v>
      </c>
      <c r="G2802" t="s">
        <v>140</v>
      </c>
      <c r="I2802" t="s">
        <v>92</v>
      </c>
      <c r="J2802">
        <v>0</v>
      </c>
      <c r="K2802">
        <v>0</v>
      </c>
      <c r="L2802">
        <v>0</v>
      </c>
      <c r="M2802">
        <v>-3023.8</v>
      </c>
      <c r="N2802">
        <v>-41682</v>
      </c>
      <c r="O2802">
        <v>-23</v>
      </c>
      <c r="P2802">
        <v>2966.6</v>
      </c>
      <c r="Q2802">
        <v>40944</v>
      </c>
      <c r="R2802">
        <v>15</v>
      </c>
      <c r="S2802">
        <v>0</v>
      </c>
      <c r="T2802">
        <v>0</v>
      </c>
      <c r="U2802">
        <v>0</v>
      </c>
      <c r="V2802">
        <v>-57.2</v>
      </c>
      <c r="W2802">
        <v>-738</v>
      </c>
      <c r="X2802">
        <v>-8</v>
      </c>
      <c r="Y2802">
        <f t="shared" si="43"/>
        <v>-738</v>
      </c>
      <c r="Z2802" t="str">
        <f>IF(ISNUMBER(SEARCH("Adjustment",$C2802)),"excluded",IF($H2802="Behind the Meter","excluded",IF(NOT(OR($E2802="Bundled",$E2802="Energy")),"excluded",IF(OR($H2802="Retail Power Marketer",$H2802="Community Choice Aggregator",$E2802="Energy"),"procurement",IF(OR($H2802="Municipal",$H2802="Cooperative",$H2802="Federal",$H2802="State",$H2802="Political Subdivision"),"cost_service",IF($H2802="Investor Owned",IF(AND(COUNTIF(Parameters!$A$4:$A$33,$G2802)&gt;0,COUNTIF(Parameters!$B$4:$B$33,$B2802)=0),"procurement","cost_service"),"unclassified"))))))</f>
        <v>excluded</v>
      </c>
    </row>
    <row r="2803" spans="1:26" x14ac:dyDescent="0.25">
      <c r="A2803">
        <v>2024</v>
      </c>
      <c r="B2803">
        <v>99999</v>
      </c>
      <c r="C2803" t="s">
        <v>1706</v>
      </c>
      <c r="D2803" t="s">
        <v>99</v>
      </c>
      <c r="E2803" t="s">
        <v>100</v>
      </c>
      <c r="F2803" t="s">
        <v>1707</v>
      </c>
      <c r="G2803" t="s">
        <v>140</v>
      </c>
      <c r="I2803" t="s">
        <v>96</v>
      </c>
      <c r="J2803">
        <v>14.3</v>
      </c>
      <c r="K2803">
        <v>145</v>
      </c>
      <c r="L2803">
        <v>21</v>
      </c>
      <c r="M2803">
        <v>-20269.400000000001</v>
      </c>
      <c r="N2803">
        <v>-294500</v>
      </c>
      <c r="O2803">
        <v>1966</v>
      </c>
      <c r="P2803">
        <v>-1059</v>
      </c>
      <c r="Q2803">
        <v>-25539</v>
      </c>
      <c r="R2803">
        <v>-132</v>
      </c>
      <c r="S2803">
        <v>0</v>
      </c>
      <c r="T2803">
        <v>0</v>
      </c>
      <c r="U2803">
        <v>0</v>
      </c>
      <c r="V2803">
        <v>-21314.1</v>
      </c>
      <c r="W2803">
        <v>-319894</v>
      </c>
      <c r="X2803">
        <v>1855</v>
      </c>
      <c r="Y2803">
        <f t="shared" si="43"/>
        <v>-319894</v>
      </c>
      <c r="Z2803" t="str">
        <f>IF(ISNUMBER(SEARCH("Adjustment",$C2803)),"excluded",IF($H2803="Behind the Meter","excluded",IF(NOT(OR($E2803="Bundled",$E2803="Energy")),"excluded",IF(OR($H2803="Retail Power Marketer",$H2803="Community Choice Aggregator",$E2803="Energy"),"procurement",IF(OR($H2803="Municipal",$H2803="Cooperative",$H2803="Federal",$H2803="State",$H2803="Political Subdivision"),"cost_service",IF($H2803="Investor Owned",IF(AND(COUNTIF(Parameters!$A$4:$A$33,$G2803)&gt;0,COUNTIF(Parameters!$B$4:$B$33,$B2803)=0),"procurement","cost_service"),"unclassified"))))))</f>
        <v>excluded</v>
      </c>
    </row>
    <row r="2804" spans="1:26" x14ac:dyDescent="0.25">
      <c r="A2804">
        <v>2024</v>
      </c>
      <c r="B2804">
        <v>99999</v>
      </c>
      <c r="C2804" t="s">
        <v>1706</v>
      </c>
      <c r="D2804" t="s">
        <v>99</v>
      </c>
      <c r="E2804" t="s">
        <v>100</v>
      </c>
      <c r="F2804" t="s">
        <v>1707</v>
      </c>
      <c r="G2804" t="s">
        <v>491</v>
      </c>
      <c r="I2804" t="s">
        <v>844</v>
      </c>
      <c r="J2804">
        <v>0.4</v>
      </c>
      <c r="K2804">
        <v>5</v>
      </c>
      <c r="L2804">
        <v>2</v>
      </c>
      <c r="M2804">
        <v>8889.2000000000007</v>
      </c>
      <c r="N2804">
        <v>96223</v>
      </c>
      <c r="O2804">
        <v>397</v>
      </c>
      <c r="P2804">
        <v>158377.5</v>
      </c>
      <c r="Q2804">
        <v>2556513</v>
      </c>
      <c r="R2804">
        <v>31</v>
      </c>
      <c r="S2804">
        <v>0</v>
      </c>
      <c r="T2804">
        <v>0</v>
      </c>
      <c r="U2804">
        <v>0</v>
      </c>
      <c r="V2804">
        <v>167267.1</v>
      </c>
      <c r="W2804">
        <v>2652741</v>
      </c>
      <c r="X2804">
        <v>430</v>
      </c>
      <c r="Y2804">
        <f t="shared" si="43"/>
        <v>2652741</v>
      </c>
      <c r="Z2804" t="str">
        <f>IF(ISNUMBER(SEARCH("Adjustment",$C2804)),"excluded",IF($H2804="Behind the Meter","excluded",IF(NOT(OR($E2804="Bundled",$E2804="Energy")),"excluded",IF(OR($H2804="Retail Power Marketer",$H2804="Community Choice Aggregator",$E2804="Energy"),"procurement",IF(OR($H2804="Municipal",$H2804="Cooperative",$H2804="Federal",$H2804="State",$H2804="Political Subdivision"),"cost_service",IF($H2804="Investor Owned",IF(AND(COUNTIF(Parameters!$A$4:$A$33,$G2804)&gt;0,COUNTIF(Parameters!$B$4:$B$33,$B2804)=0),"procurement","cost_service"),"unclassified"))))))</f>
        <v>excluded</v>
      </c>
    </row>
    <row r="2805" spans="1:26" x14ac:dyDescent="0.25">
      <c r="A2805">
        <v>2024</v>
      </c>
      <c r="B2805">
        <v>99999</v>
      </c>
      <c r="C2805" t="s">
        <v>1706</v>
      </c>
      <c r="D2805" t="s">
        <v>99</v>
      </c>
      <c r="E2805" t="s">
        <v>100</v>
      </c>
      <c r="F2805" t="s">
        <v>1707</v>
      </c>
      <c r="G2805" t="s">
        <v>51</v>
      </c>
      <c r="I2805" t="s">
        <v>189</v>
      </c>
      <c r="J2805">
        <v>410.8</v>
      </c>
      <c r="K2805">
        <v>6883</v>
      </c>
      <c r="L2805">
        <v>-3151</v>
      </c>
      <c r="M2805">
        <v>-63307.6</v>
      </c>
      <c r="N2805">
        <v>-667215</v>
      </c>
      <c r="O2805">
        <v>3002</v>
      </c>
      <c r="P2805">
        <v>64643.7</v>
      </c>
      <c r="Q2805">
        <v>680477</v>
      </c>
      <c r="R2805">
        <v>1250</v>
      </c>
      <c r="S2805">
        <v>0</v>
      </c>
      <c r="T2805">
        <v>0</v>
      </c>
      <c r="U2805">
        <v>0</v>
      </c>
      <c r="V2805">
        <v>1746.9</v>
      </c>
      <c r="W2805">
        <v>20145</v>
      </c>
      <c r="X2805">
        <v>1101</v>
      </c>
      <c r="Y2805">
        <f t="shared" si="43"/>
        <v>20145</v>
      </c>
      <c r="Z2805" t="str">
        <f>IF(ISNUMBER(SEARCH("Adjustment",$C2805)),"excluded",IF($H2805="Behind the Meter","excluded",IF(NOT(OR($E2805="Bundled",$E2805="Energy")),"excluded",IF(OR($H2805="Retail Power Marketer",$H2805="Community Choice Aggregator",$E2805="Energy"),"procurement",IF(OR($H2805="Municipal",$H2805="Cooperative",$H2805="Federal",$H2805="State",$H2805="Political Subdivision"),"cost_service",IF($H2805="Investor Owned",IF(AND(COUNTIF(Parameters!$A$4:$A$33,$G2805)&gt;0,COUNTIF(Parameters!$B$4:$B$33,$B2805)=0),"procurement","cost_service"),"unclassified"))))))</f>
        <v>excluded</v>
      </c>
    </row>
    <row r="2806" spans="1:26" x14ac:dyDescent="0.25">
      <c r="A2806">
        <v>2024</v>
      </c>
      <c r="B2806">
        <v>99999</v>
      </c>
      <c r="C2806" t="s">
        <v>1706</v>
      </c>
      <c r="D2806" t="s">
        <v>99</v>
      </c>
      <c r="E2806" t="s">
        <v>100</v>
      </c>
      <c r="F2806" t="s">
        <v>1707</v>
      </c>
      <c r="G2806" t="s">
        <v>52</v>
      </c>
      <c r="I2806" t="s">
        <v>102</v>
      </c>
      <c r="J2806">
        <v>-755</v>
      </c>
      <c r="K2806">
        <v>-4046</v>
      </c>
      <c r="L2806">
        <v>-807</v>
      </c>
      <c r="M2806">
        <v>-1826.8</v>
      </c>
      <c r="N2806">
        <v>-17897</v>
      </c>
      <c r="O2806">
        <v>106</v>
      </c>
      <c r="P2806">
        <v>275.7</v>
      </c>
      <c r="Q2806">
        <v>2759</v>
      </c>
      <c r="R2806">
        <v>3</v>
      </c>
      <c r="S2806">
        <v>0</v>
      </c>
      <c r="T2806">
        <v>0</v>
      </c>
      <c r="U2806">
        <v>0</v>
      </c>
      <c r="V2806">
        <v>-2306.1</v>
      </c>
      <c r="W2806">
        <v>-19184</v>
      </c>
      <c r="X2806">
        <v>-698</v>
      </c>
      <c r="Y2806">
        <f t="shared" si="43"/>
        <v>-19184</v>
      </c>
      <c r="Z2806" t="str">
        <f>IF(ISNUMBER(SEARCH("Adjustment",$C2806)),"excluded",IF($H2806="Behind the Meter","excluded",IF(NOT(OR($E2806="Bundled",$E2806="Energy")),"excluded",IF(OR($H2806="Retail Power Marketer",$H2806="Community Choice Aggregator",$E2806="Energy"),"procurement",IF(OR($H2806="Municipal",$H2806="Cooperative",$H2806="Federal",$H2806="State",$H2806="Political Subdivision"),"cost_service",IF($H2806="Investor Owned",IF(AND(COUNTIF(Parameters!$A$4:$A$33,$G2806)&gt;0,COUNTIF(Parameters!$B$4:$B$33,$B2806)=0),"procurement","cost_service"),"unclassified"))))))</f>
        <v>excluded</v>
      </c>
    </row>
    <row r="2807" spans="1:26" x14ac:dyDescent="0.25">
      <c r="A2807">
        <v>2024</v>
      </c>
      <c r="B2807">
        <v>99999</v>
      </c>
      <c r="C2807" t="s">
        <v>1706</v>
      </c>
      <c r="D2807" t="s">
        <v>99</v>
      </c>
      <c r="E2807" t="s">
        <v>100</v>
      </c>
      <c r="F2807" t="s">
        <v>1707</v>
      </c>
      <c r="G2807" t="s">
        <v>52</v>
      </c>
      <c r="I2807" t="s">
        <v>92</v>
      </c>
      <c r="J2807">
        <v>9966.2999999999993</v>
      </c>
      <c r="K2807">
        <v>58183</v>
      </c>
      <c r="L2807">
        <v>2342</v>
      </c>
      <c r="M2807">
        <v>89509.4</v>
      </c>
      <c r="N2807">
        <v>971466</v>
      </c>
      <c r="O2807">
        <v>28046</v>
      </c>
      <c r="P2807">
        <v>-73729.7</v>
      </c>
      <c r="Q2807">
        <v>-803405</v>
      </c>
      <c r="R2807">
        <v>1876</v>
      </c>
      <c r="S2807">
        <v>17438.400000000001</v>
      </c>
      <c r="T2807">
        <v>197287</v>
      </c>
      <c r="U2807">
        <v>4</v>
      </c>
      <c r="V2807">
        <v>43184.4</v>
      </c>
      <c r="W2807">
        <v>423531</v>
      </c>
      <c r="X2807">
        <v>32268</v>
      </c>
      <c r="Y2807">
        <f t="shared" si="43"/>
        <v>423531</v>
      </c>
      <c r="Z2807" t="str">
        <f>IF(ISNUMBER(SEARCH("Adjustment",$C2807)),"excluded",IF($H2807="Behind the Meter","excluded",IF(NOT(OR($E2807="Bundled",$E2807="Energy")),"excluded",IF(OR($H2807="Retail Power Marketer",$H2807="Community Choice Aggregator",$E2807="Energy"),"procurement",IF(OR($H2807="Municipal",$H2807="Cooperative",$H2807="Federal",$H2807="State",$H2807="Political Subdivision"),"cost_service",IF($H2807="Investor Owned",IF(AND(COUNTIF(Parameters!$A$4:$A$33,$G2807)&gt;0,COUNTIF(Parameters!$B$4:$B$33,$B2807)=0),"procurement","cost_service"),"unclassified"))))))</f>
        <v>excluded</v>
      </c>
    </row>
    <row r="2808" spans="1:26" x14ac:dyDescent="0.25">
      <c r="A2808">
        <v>2024</v>
      </c>
      <c r="B2808">
        <v>99999</v>
      </c>
      <c r="C2808" t="s">
        <v>1706</v>
      </c>
      <c r="D2808" t="s">
        <v>99</v>
      </c>
      <c r="E2808" t="s">
        <v>100</v>
      </c>
      <c r="F2808" t="s">
        <v>1707</v>
      </c>
      <c r="G2808" t="s">
        <v>242</v>
      </c>
      <c r="I2808" t="s">
        <v>390</v>
      </c>
      <c r="J2808">
        <v>0</v>
      </c>
      <c r="K2808">
        <v>0</v>
      </c>
      <c r="L2808">
        <v>0</v>
      </c>
      <c r="M2808">
        <v>-2381.1</v>
      </c>
      <c r="N2808">
        <v>-152936</v>
      </c>
      <c r="O2808">
        <v>171</v>
      </c>
      <c r="P2808">
        <v>92195.8</v>
      </c>
      <c r="Q2808">
        <v>1485046</v>
      </c>
      <c r="R2808">
        <v>4</v>
      </c>
      <c r="S2808">
        <v>0</v>
      </c>
      <c r="T2808">
        <v>0</v>
      </c>
      <c r="U2808">
        <v>0</v>
      </c>
      <c r="V2808">
        <v>89814.7</v>
      </c>
      <c r="W2808">
        <v>1332110</v>
      </c>
      <c r="X2808">
        <v>175</v>
      </c>
      <c r="Y2808">
        <f t="shared" si="43"/>
        <v>1332110</v>
      </c>
      <c r="Z2808" t="str">
        <f>IF(ISNUMBER(SEARCH("Adjustment",$C2808)),"excluded",IF($H2808="Behind the Meter","excluded",IF(NOT(OR($E2808="Bundled",$E2808="Energy")),"excluded",IF(OR($H2808="Retail Power Marketer",$H2808="Community Choice Aggregator",$E2808="Energy"),"procurement",IF(OR($H2808="Municipal",$H2808="Cooperative",$H2808="Federal",$H2808="State",$H2808="Political Subdivision"),"cost_service",IF($H2808="Investor Owned",IF(AND(COUNTIF(Parameters!$A$4:$A$33,$G2808)&gt;0,COUNTIF(Parameters!$B$4:$B$33,$B2808)=0),"procurement","cost_service"),"unclassified"))))))</f>
        <v>excluded</v>
      </c>
    </row>
    <row r="2809" spans="1:26" x14ac:dyDescent="0.25">
      <c r="A2809">
        <v>2024</v>
      </c>
      <c r="B2809">
        <v>99999</v>
      </c>
      <c r="C2809" t="s">
        <v>1706</v>
      </c>
      <c r="D2809" t="s">
        <v>99</v>
      </c>
      <c r="E2809" t="s">
        <v>100</v>
      </c>
      <c r="F2809" t="s">
        <v>1707</v>
      </c>
      <c r="G2809" t="s">
        <v>53</v>
      </c>
      <c r="I2809" t="s">
        <v>102</v>
      </c>
      <c r="J2809">
        <v>1267.3</v>
      </c>
      <c r="K2809">
        <v>8199</v>
      </c>
      <c r="L2809">
        <v>9218</v>
      </c>
      <c r="M2809">
        <v>622650.69999999995</v>
      </c>
      <c r="N2809">
        <v>7694499</v>
      </c>
      <c r="O2809">
        <v>74996</v>
      </c>
      <c r="P2809">
        <v>-623837.1</v>
      </c>
      <c r="Q2809">
        <v>-7703194</v>
      </c>
      <c r="R2809">
        <v>2735</v>
      </c>
      <c r="S2809">
        <v>-27545.1</v>
      </c>
      <c r="T2809">
        <v>-315649</v>
      </c>
      <c r="U2809">
        <v>-1</v>
      </c>
      <c r="V2809">
        <v>-27464.1</v>
      </c>
      <c r="W2809">
        <v>-316145</v>
      </c>
      <c r="X2809">
        <v>86948</v>
      </c>
      <c r="Y2809">
        <f t="shared" si="43"/>
        <v>-316145</v>
      </c>
      <c r="Z2809" t="str">
        <f>IF(ISNUMBER(SEARCH("Adjustment",$C2809)),"excluded",IF($H2809="Behind the Meter","excluded",IF(NOT(OR($E2809="Bundled",$E2809="Energy")),"excluded",IF(OR($H2809="Retail Power Marketer",$H2809="Community Choice Aggregator",$E2809="Energy"),"procurement",IF(OR($H2809="Municipal",$H2809="Cooperative",$H2809="Federal",$H2809="State",$H2809="Political Subdivision"),"cost_service",IF($H2809="Investor Owned",IF(AND(COUNTIF(Parameters!$A$4:$A$33,$G2809)&gt;0,COUNTIF(Parameters!$B$4:$B$33,$B2809)=0),"procurement","cost_service"),"unclassified"))))))</f>
        <v>excluded</v>
      </c>
    </row>
    <row r="2810" spans="1:26" x14ac:dyDescent="0.25">
      <c r="A2810">
        <v>2024</v>
      </c>
      <c r="B2810">
        <v>99999</v>
      </c>
      <c r="C2810" t="s">
        <v>1706</v>
      </c>
      <c r="D2810" t="s">
        <v>99</v>
      </c>
      <c r="E2810" t="s">
        <v>100</v>
      </c>
      <c r="F2810" t="s">
        <v>1707</v>
      </c>
      <c r="G2810" t="s">
        <v>53</v>
      </c>
      <c r="I2810" t="s">
        <v>92</v>
      </c>
      <c r="J2810">
        <v>31</v>
      </c>
      <c r="K2810">
        <v>310</v>
      </c>
      <c r="L2810">
        <v>45</v>
      </c>
      <c r="M2810">
        <v>955.5</v>
      </c>
      <c r="N2810">
        <v>9013</v>
      </c>
      <c r="O2810">
        <v>40</v>
      </c>
      <c r="P2810">
        <v>0</v>
      </c>
      <c r="Q2810">
        <v>0</v>
      </c>
      <c r="R2810">
        <v>0</v>
      </c>
      <c r="S2810">
        <v>0</v>
      </c>
      <c r="T2810">
        <v>0</v>
      </c>
      <c r="U2810">
        <v>0</v>
      </c>
      <c r="V2810">
        <v>986.5</v>
      </c>
      <c r="W2810">
        <v>9323</v>
      </c>
      <c r="X2810">
        <v>85</v>
      </c>
      <c r="Y2810">
        <f t="shared" si="43"/>
        <v>9323</v>
      </c>
      <c r="Z2810" t="str">
        <f>IF(ISNUMBER(SEARCH("Adjustment",$C2810)),"excluded",IF($H2810="Behind the Meter","excluded",IF(NOT(OR($E2810="Bundled",$E2810="Energy")),"excluded",IF(OR($H2810="Retail Power Marketer",$H2810="Community Choice Aggregator",$E2810="Energy"),"procurement",IF(OR($H2810="Municipal",$H2810="Cooperative",$H2810="Federal",$H2810="State",$H2810="Political Subdivision"),"cost_service",IF($H2810="Investor Owned",IF(AND(COUNTIF(Parameters!$A$4:$A$33,$G2810)&gt;0,COUNTIF(Parameters!$B$4:$B$33,$B2810)=0),"procurement","cost_service"),"unclassified"))))))</f>
        <v>excluded</v>
      </c>
    </row>
    <row r="2811" spans="1:26" x14ac:dyDescent="0.25">
      <c r="A2811">
        <v>2024</v>
      </c>
      <c r="B2811">
        <v>99999</v>
      </c>
      <c r="C2811" t="s">
        <v>1706</v>
      </c>
      <c r="D2811" t="s">
        <v>99</v>
      </c>
      <c r="E2811" t="s">
        <v>100</v>
      </c>
      <c r="F2811" t="s">
        <v>1707</v>
      </c>
      <c r="G2811" t="s">
        <v>54</v>
      </c>
      <c r="I2811" t="s">
        <v>92</v>
      </c>
      <c r="J2811">
        <v>169113.5</v>
      </c>
      <c r="K2811">
        <v>2279910</v>
      </c>
      <c r="L2811">
        <v>-21228</v>
      </c>
      <c r="M2811">
        <v>-1029889.8</v>
      </c>
      <c r="N2811">
        <v>-20418077</v>
      </c>
      <c r="O2811">
        <v>111726</v>
      </c>
      <c r="P2811">
        <v>1164793.5</v>
      </c>
      <c r="Q2811">
        <v>23089795</v>
      </c>
      <c r="R2811">
        <v>7566</v>
      </c>
      <c r="S2811">
        <v>854.6</v>
      </c>
      <c r="T2811">
        <v>17168</v>
      </c>
      <c r="U2811">
        <v>-1</v>
      </c>
      <c r="V2811">
        <v>304871.90000000002</v>
      </c>
      <c r="W2811">
        <v>4968796</v>
      </c>
      <c r="X2811">
        <v>98063</v>
      </c>
      <c r="Y2811">
        <f t="shared" si="43"/>
        <v>4968796</v>
      </c>
      <c r="Z2811" t="str">
        <f>IF(ISNUMBER(SEARCH("Adjustment",$C2811)),"excluded",IF($H2811="Behind the Meter","excluded",IF(NOT(OR($E2811="Bundled",$E2811="Energy")),"excluded",IF(OR($H2811="Retail Power Marketer",$H2811="Community Choice Aggregator",$E2811="Energy"),"procurement",IF(OR($H2811="Municipal",$H2811="Cooperative",$H2811="Federal",$H2811="State",$H2811="Political Subdivision"),"cost_service",IF($H2811="Investor Owned",IF(AND(COUNTIF(Parameters!$A$4:$A$33,$G2811)&gt;0,COUNTIF(Parameters!$B$4:$B$33,$B2811)=0),"procurement","cost_service"),"unclassified"))))))</f>
        <v>excluded</v>
      </c>
    </row>
    <row r="2812" spans="1:26" x14ac:dyDescent="0.25">
      <c r="A2812">
        <v>2024</v>
      </c>
      <c r="B2812">
        <v>99999</v>
      </c>
      <c r="C2812" t="s">
        <v>1706</v>
      </c>
      <c r="D2812" t="s">
        <v>99</v>
      </c>
      <c r="E2812" t="s">
        <v>100</v>
      </c>
      <c r="F2812" t="s">
        <v>1707</v>
      </c>
      <c r="G2812" t="s">
        <v>219</v>
      </c>
      <c r="I2812" t="s">
        <v>972</v>
      </c>
      <c r="J2812">
        <v>0</v>
      </c>
      <c r="K2812">
        <v>0</v>
      </c>
      <c r="L2812">
        <v>0</v>
      </c>
      <c r="M2812">
        <v>-9061.2000000000007</v>
      </c>
      <c r="N2812">
        <v>-136568</v>
      </c>
      <c r="O2812">
        <v>33</v>
      </c>
      <c r="P2812">
        <v>26171.5</v>
      </c>
      <c r="Q2812">
        <v>403362</v>
      </c>
      <c r="R2812">
        <v>5</v>
      </c>
      <c r="S2812">
        <v>0</v>
      </c>
      <c r="T2812">
        <v>0</v>
      </c>
      <c r="U2812">
        <v>0</v>
      </c>
      <c r="V2812">
        <v>17110.3</v>
      </c>
      <c r="W2812">
        <v>266794</v>
      </c>
      <c r="X2812">
        <v>38</v>
      </c>
      <c r="Y2812">
        <f t="shared" si="43"/>
        <v>266794</v>
      </c>
      <c r="Z2812" t="str">
        <f>IF(ISNUMBER(SEARCH("Adjustment",$C2812)),"excluded",IF($H2812="Behind the Meter","excluded",IF(NOT(OR($E2812="Bundled",$E2812="Energy")),"excluded",IF(OR($H2812="Retail Power Marketer",$H2812="Community Choice Aggregator",$E2812="Energy"),"procurement",IF(OR($H2812="Municipal",$H2812="Cooperative",$H2812="Federal",$H2812="State",$H2812="Political Subdivision"),"cost_service",IF($H2812="Investor Owned",IF(AND(COUNTIF(Parameters!$A$4:$A$33,$G2812)&gt;0,COUNTIF(Parameters!$B$4:$B$33,$B2812)=0),"procurement","cost_service"),"unclassified"))))))</f>
        <v>excluded</v>
      </c>
    </row>
    <row r="2813" spans="1:26" x14ac:dyDescent="0.25">
      <c r="A2813">
        <v>2024</v>
      </c>
      <c r="B2813">
        <v>99999</v>
      </c>
      <c r="C2813" t="s">
        <v>1706</v>
      </c>
      <c r="D2813" t="s">
        <v>99</v>
      </c>
      <c r="E2813" t="s">
        <v>100</v>
      </c>
      <c r="F2813" t="s">
        <v>1707</v>
      </c>
      <c r="G2813" t="s">
        <v>219</v>
      </c>
      <c r="I2813" t="s">
        <v>396</v>
      </c>
      <c r="J2813">
        <v>0</v>
      </c>
      <c r="K2813">
        <v>0</v>
      </c>
      <c r="L2813">
        <v>0</v>
      </c>
      <c r="M2813">
        <v>-100676.3</v>
      </c>
      <c r="N2813">
        <v>-1264923</v>
      </c>
      <c r="O2813">
        <v>321</v>
      </c>
      <c r="P2813">
        <v>107590</v>
      </c>
      <c r="Q2813">
        <v>1349986</v>
      </c>
      <c r="R2813">
        <v>44</v>
      </c>
      <c r="S2813">
        <v>0</v>
      </c>
      <c r="T2813">
        <v>0</v>
      </c>
      <c r="U2813">
        <v>0</v>
      </c>
      <c r="V2813">
        <v>6913.8</v>
      </c>
      <c r="W2813">
        <v>85063</v>
      </c>
      <c r="X2813">
        <v>365</v>
      </c>
      <c r="Y2813">
        <f t="shared" si="43"/>
        <v>85063</v>
      </c>
      <c r="Z2813" t="str">
        <f>IF(ISNUMBER(SEARCH("Adjustment",$C2813)),"excluded",IF($H2813="Behind the Meter","excluded",IF(NOT(OR($E2813="Bundled",$E2813="Energy")),"excluded",IF(OR($H2813="Retail Power Marketer",$H2813="Community Choice Aggregator",$E2813="Energy"),"procurement",IF(OR($H2813="Municipal",$H2813="Cooperative",$H2813="Federal",$H2813="State",$H2813="Political Subdivision"),"cost_service",IF($H2813="Investor Owned",IF(AND(COUNTIF(Parameters!$A$4:$A$33,$G2813)&gt;0,COUNTIF(Parameters!$B$4:$B$33,$B2813)=0),"procurement","cost_service"),"unclassified"))))))</f>
        <v>excluded</v>
      </c>
    </row>
    <row r="2814" spans="1:26" x14ac:dyDescent="0.25">
      <c r="A2814">
        <v>2024</v>
      </c>
      <c r="B2814">
        <v>99999</v>
      </c>
      <c r="C2814" t="s">
        <v>1706</v>
      </c>
      <c r="D2814" t="s">
        <v>99</v>
      </c>
      <c r="E2814" t="s">
        <v>100</v>
      </c>
      <c r="F2814" t="s">
        <v>1707</v>
      </c>
      <c r="G2814" t="s">
        <v>55</v>
      </c>
      <c r="I2814" t="s">
        <v>102</v>
      </c>
      <c r="J2814">
        <v>10.7</v>
      </c>
      <c r="K2814">
        <v>85</v>
      </c>
      <c r="L2814">
        <v>-16</v>
      </c>
      <c r="M2814">
        <v>-19.5</v>
      </c>
      <c r="N2814">
        <v>-115</v>
      </c>
      <c r="O2814">
        <v>103</v>
      </c>
      <c r="P2814">
        <v>0</v>
      </c>
      <c r="Q2814">
        <v>0</v>
      </c>
      <c r="R2814">
        <v>0</v>
      </c>
      <c r="S2814">
        <v>0</v>
      </c>
      <c r="T2814">
        <v>0</v>
      </c>
      <c r="U2814">
        <v>0</v>
      </c>
      <c r="V2814">
        <v>-8.8000000000000007</v>
      </c>
      <c r="W2814">
        <v>-30</v>
      </c>
      <c r="X2814">
        <v>87</v>
      </c>
      <c r="Y2814">
        <f t="shared" si="43"/>
        <v>-30</v>
      </c>
      <c r="Z2814" t="str">
        <f>IF(ISNUMBER(SEARCH("Adjustment",$C2814)),"excluded",IF($H2814="Behind the Meter","excluded",IF(NOT(OR($E2814="Bundled",$E2814="Energy")),"excluded",IF(OR($H2814="Retail Power Marketer",$H2814="Community Choice Aggregator",$E2814="Energy"),"procurement",IF(OR($H2814="Municipal",$H2814="Cooperative",$H2814="Federal",$H2814="State",$H2814="Political Subdivision"),"cost_service",IF($H2814="Investor Owned",IF(AND(COUNTIF(Parameters!$A$4:$A$33,$G2814)&gt;0,COUNTIF(Parameters!$B$4:$B$33,$B2814)=0),"procurement","cost_service"),"unclassified"))))))</f>
        <v>excluded</v>
      </c>
    </row>
    <row r="2815" spans="1:26" x14ac:dyDescent="0.25">
      <c r="A2815">
        <v>2024</v>
      </c>
      <c r="B2815">
        <v>99999</v>
      </c>
      <c r="C2815" t="s">
        <v>1706</v>
      </c>
      <c r="D2815" t="s">
        <v>99</v>
      </c>
      <c r="E2815" t="s">
        <v>100</v>
      </c>
      <c r="F2815" t="s">
        <v>1707</v>
      </c>
      <c r="G2815" t="s">
        <v>55</v>
      </c>
      <c r="I2815" t="s">
        <v>92</v>
      </c>
      <c r="J2815">
        <v>35401.9</v>
      </c>
      <c r="K2815">
        <v>298470</v>
      </c>
      <c r="L2815">
        <v>4765</v>
      </c>
      <c r="M2815">
        <v>-1972761.1</v>
      </c>
      <c r="N2815">
        <v>-28185531</v>
      </c>
      <c r="O2815">
        <v>62240</v>
      </c>
      <c r="P2815">
        <v>2069972.3</v>
      </c>
      <c r="Q2815">
        <v>29589865</v>
      </c>
      <c r="R2815">
        <v>6624</v>
      </c>
      <c r="S2815">
        <v>27861.1</v>
      </c>
      <c r="T2815">
        <v>335590</v>
      </c>
      <c r="U2815">
        <v>3</v>
      </c>
      <c r="V2815">
        <v>160474.29999999999</v>
      </c>
      <c r="W2815">
        <v>2038394</v>
      </c>
      <c r="X2815">
        <v>73632</v>
      </c>
      <c r="Y2815">
        <f t="shared" si="43"/>
        <v>2038394</v>
      </c>
      <c r="Z2815" t="str">
        <f>IF(ISNUMBER(SEARCH("Adjustment",$C2815)),"excluded",IF($H2815="Behind the Meter","excluded",IF(NOT(OR($E2815="Bundled",$E2815="Energy")),"excluded",IF(OR($H2815="Retail Power Marketer",$H2815="Community Choice Aggregator",$E2815="Energy"),"procurement",IF(OR($H2815="Municipal",$H2815="Cooperative",$H2815="Federal",$H2815="State",$H2815="Political Subdivision"),"cost_service",IF($H2815="Investor Owned",IF(AND(COUNTIF(Parameters!$A$4:$A$33,$G2815)&gt;0,COUNTIF(Parameters!$B$4:$B$33,$B2815)=0),"procurement","cost_service"),"unclassified"))))))</f>
        <v>excluded</v>
      </c>
    </row>
    <row r="2816" spans="1:26" x14ac:dyDescent="0.25">
      <c r="A2816">
        <v>2024</v>
      </c>
      <c r="B2816">
        <v>99999</v>
      </c>
      <c r="C2816" t="s">
        <v>1706</v>
      </c>
      <c r="D2816" t="s">
        <v>99</v>
      </c>
      <c r="E2816" t="s">
        <v>100</v>
      </c>
      <c r="F2816" t="s">
        <v>1707</v>
      </c>
      <c r="G2816" t="s">
        <v>56</v>
      </c>
      <c r="I2816" t="s">
        <v>189</v>
      </c>
      <c r="J2816">
        <v>50201.8</v>
      </c>
      <c r="K2816">
        <v>279711</v>
      </c>
      <c r="L2816">
        <v>4409</v>
      </c>
      <c r="M2816">
        <v>49287.3</v>
      </c>
      <c r="N2816">
        <v>515683</v>
      </c>
      <c r="O2816">
        <v>7706</v>
      </c>
      <c r="P2816">
        <v>-40998.6</v>
      </c>
      <c r="Q2816">
        <v>-425230</v>
      </c>
      <c r="R2816">
        <v>357</v>
      </c>
      <c r="S2816">
        <v>-307.7</v>
      </c>
      <c r="T2816">
        <v>-3079</v>
      </c>
      <c r="U2816">
        <v>0</v>
      </c>
      <c r="V2816">
        <v>58182.8</v>
      </c>
      <c r="W2816">
        <v>367085</v>
      </c>
      <c r="X2816">
        <v>12472</v>
      </c>
      <c r="Y2816">
        <f t="shared" si="43"/>
        <v>367085</v>
      </c>
      <c r="Z2816" t="str">
        <f>IF(ISNUMBER(SEARCH("Adjustment",$C2816)),"excluded",IF($H2816="Behind the Meter","excluded",IF(NOT(OR($E2816="Bundled",$E2816="Energy")),"excluded",IF(OR($H2816="Retail Power Marketer",$H2816="Community Choice Aggregator",$E2816="Energy"),"procurement",IF(OR($H2816="Municipal",$H2816="Cooperative",$H2816="Federal",$H2816="State",$H2816="Political Subdivision"),"cost_service",IF($H2816="Investor Owned",IF(AND(COUNTIF(Parameters!$A$4:$A$33,$G2816)&gt;0,COUNTIF(Parameters!$B$4:$B$33,$B2816)=0),"procurement","cost_service"),"unclassified"))))))</f>
        <v>excluded</v>
      </c>
    </row>
    <row r="2817" spans="1:26" x14ac:dyDescent="0.25">
      <c r="A2817">
        <v>2024</v>
      </c>
      <c r="B2817">
        <v>99999</v>
      </c>
      <c r="C2817" t="s">
        <v>1706</v>
      </c>
      <c r="D2817" t="s">
        <v>99</v>
      </c>
      <c r="E2817" t="s">
        <v>100</v>
      </c>
      <c r="F2817" t="s">
        <v>1707</v>
      </c>
      <c r="G2817" t="s">
        <v>93</v>
      </c>
      <c r="I2817" t="s">
        <v>92</v>
      </c>
      <c r="J2817">
        <v>0</v>
      </c>
      <c r="K2817">
        <v>0</v>
      </c>
      <c r="L2817">
        <v>0</v>
      </c>
      <c r="M2817">
        <v>14498.1</v>
      </c>
      <c r="N2817">
        <v>251829</v>
      </c>
      <c r="O2817">
        <v>-924</v>
      </c>
      <c r="P2817">
        <v>10488.9</v>
      </c>
      <c r="Q2817">
        <v>139953</v>
      </c>
      <c r="R2817">
        <v>-43</v>
      </c>
      <c r="S2817">
        <v>0</v>
      </c>
      <c r="T2817">
        <v>0</v>
      </c>
      <c r="U2817">
        <v>0</v>
      </c>
      <c r="V2817">
        <v>24987</v>
      </c>
      <c r="W2817">
        <v>391782</v>
      </c>
      <c r="X2817">
        <v>-967</v>
      </c>
      <c r="Y2817">
        <f t="shared" si="43"/>
        <v>391782</v>
      </c>
      <c r="Z2817" t="str">
        <f>IF(ISNUMBER(SEARCH("Adjustment",$C2817)),"excluded",IF($H2817="Behind the Meter","excluded",IF(NOT(OR($E2817="Bundled",$E2817="Energy")),"excluded",IF(OR($H2817="Retail Power Marketer",$H2817="Community Choice Aggregator",$E2817="Energy"),"procurement",IF(OR($H2817="Municipal",$H2817="Cooperative",$H2817="Federal",$H2817="State",$H2817="Political Subdivision"),"cost_service",IF($H2817="Investor Owned",IF(AND(COUNTIF(Parameters!$A$4:$A$33,$G2817)&gt;0,COUNTIF(Parameters!$B$4:$B$33,$B2817)=0),"procurement","cost_service"),"unclassified"))))))</f>
        <v>excluded</v>
      </c>
    </row>
    <row r="2818" spans="1:26" x14ac:dyDescent="0.25">
      <c r="A2818">
        <v>2024</v>
      </c>
      <c r="B2818">
        <v>99999</v>
      </c>
      <c r="C2818" t="s">
        <v>1706</v>
      </c>
      <c r="D2818" t="s">
        <v>99</v>
      </c>
      <c r="E2818" t="s">
        <v>100</v>
      </c>
      <c r="F2818" t="s">
        <v>1707</v>
      </c>
      <c r="G2818" t="s">
        <v>148</v>
      </c>
      <c r="I2818" t="s">
        <v>149</v>
      </c>
      <c r="J2818">
        <v>0</v>
      </c>
      <c r="K2818">
        <v>0</v>
      </c>
      <c r="L2818">
        <v>0</v>
      </c>
      <c r="M2818">
        <v>17599</v>
      </c>
      <c r="N2818">
        <v>277998</v>
      </c>
      <c r="O2818">
        <v>101</v>
      </c>
      <c r="P2818">
        <v>39472.5</v>
      </c>
      <c r="Q2818">
        <v>587453</v>
      </c>
      <c r="R2818">
        <v>8</v>
      </c>
      <c r="S2818">
        <v>0</v>
      </c>
      <c r="T2818">
        <v>0</v>
      </c>
      <c r="U2818">
        <v>0</v>
      </c>
      <c r="V2818">
        <v>57071.5</v>
      </c>
      <c r="W2818">
        <v>865451</v>
      </c>
      <c r="X2818">
        <v>109</v>
      </c>
      <c r="Y2818">
        <f t="shared" si="43"/>
        <v>865451</v>
      </c>
      <c r="Z2818" t="str">
        <f>IF(ISNUMBER(SEARCH("Adjustment",$C2818)),"excluded",IF($H2818="Behind the Meter","excluded",IF(NOT(OR($E2818="Bundled",$E2818="Energy")),"excluded",IF(OR($H2818="Retail Power Marketer",$H2818="Community Choice Aggregator",$E2818="Energy"),"procurement",IF(OR($H2818="Municipal",$H2818="Cooperative",$H2818="Federal",$H2818="State",$H2818="Political Subdivision"),"cost_service",IF($H2818="Investor Owned",IF(AND(COUNTIF(Parameters!$A$4:$A$33,$G2818)&gt;0,COUNTIF(Parameters!$B$4:$B$33,$B2818)=0),"procurement","cost_service"),"unclassified"))))))</f>
        <v>excluded</v>
      </c>
    </row>
    <row r="2819" spans="1:26" x14ac:dyDescent="0.25">
      <c r="A2819" t="s">
        <v>1709</v>
      </c>
      <c r="Y2819">
        <f t="shared" si="43"/>
        <v>0</v>
      </c>
      <c r="Z2819" t="str">
        <f>IF(ISNUMBER(SEARCH("Adjustment",$C2819)),"excluded",IF($H2819="Behind the Meter","excluded",IF(NOT(OR($E2819="Bundled",$E2819="Energy")),"excluded",IF(OR($H2819="Retail Power Marketer",$H2819="Community Choice Aggregator",$E2819="Energy"),"procurement",IF(OR($H2819="Municipal",$H2819="Cooperative",$H2819="Federal",$H2819="State",$H2819="Political Subdivision"),"cost_service",IF($H2819="Investor Owned",IF(AND(COUNTIF(Parameters!$A$4:$A$33,$G2819)&gt;0,COUNTIF(Parameters!$B$4:$B$33,$B2819)=0),"procurement","cost_service"),"unclassified"))))))</f>
        <v>excluded</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G52"/>
  <sheetViews>
    <sheetView workbookViewId="0">
      <pane ySplit="1" topLeftCell="A2" activePane="bottomLeft" state="frozen"/>
      <selection pane="bottomLeft"/>
    </sheetView>
  </sheetViews>
  <sheetFormatPr defaultRowHeight="15" x14ac:dyDescent="0.25"/>
  <cols>
    <col min="2" max="7" width="17" customWidth="1"/>
  </cols>
  <sheetData>
    <row r="1" spans="1:7" x14ac:dyDescent="0.25">
      <c r="A1" s="6" t="s">
        <v>1710</v>
      </c>
      <c r="B1" s="6" t="s">
        <v>1711</v>
      </c>
      <c r="C1" s="6" t="s">
        <v>1712</v>
      </c>
      <c r="D1" s="6" t="s">
        <v>1713</v>
      </c>
      <c r="E1" s="6" t="s">
        <v>1714</v>
      </c>
      <c r="F1" s="6" t="s">
        <v>1715</v>
      </c>
      <c r="G1" s="6" t="s">
        <v>1716</v>
      </c>
    </row>
    <row r="2" spans="1:7" x14ac:dyDescent="0.25">
      <c r="A2" t="s">
        <v>118</v>
      </c>
      <c r="B2">
        <f>SUMIFS('EIA-861 Sales 2024'!$Y$4:$Y$2819,'EIA-861 Sales 2024'!$G$4:$G$2819,$A2,'EIA-861 Sales 2024'!$Z$4:$Z$2819,"cost_service")</f>
        <v>5414197</v>
      </c>
      <c r="C2">
        <f>SUMIFS('EIA-861 Sales 2024'!$Y$4:$Y$2819,'EIA-861 Sales 2024'!$G$4:$G$2819,$A2,'EIA-861 Sales 2024'!$Z$4:$Z$2819,"procurement")</f>
        <v>0</v>
      </c>
      <c r="D2">
        <f>SUMIFS('EIA-861 Sales 2024'!$Y$4:$Y$2819,'EIA-861 Sales 2024'!$G$4:$G$2819,$A2,'EIA-861 Sales 2024'!$Z$4:$Z$2819,"unclassified")</f>
        <v>0</v>
      </c>
      <c r="E2">
        <f t="shared" ref="E2:E33" si="0">B2+C2+D2</f>
        <v>5414197</v>
      </c>
      <c r="F2">
        <f t="shared" ref="F2:F33" si="1">IF($E2=0,0,B2/$E2)</f>
        <v>1</v>
      </c>
      <c r="G2">
        <f t="shared" ref="G2:G33" si="2">IF($E2=0,0,C2/$E2)</f>
        <v>0</v>
      </c>
    </row>
    <row r="3" spans="1:7" x14ac:dyDescent="0.25">
      <c r="A3" t="s">
        <v>112</v>
      </c>
      <c r="B3">
        <f>SUMIFS('EIA-861 Sales 2024'!$Y$4:$Y$2819,'EIA-861 Sales 2024'!$G$4:$G$2819,$A3,'EIA-861 Sales 2024'!$Z$4:$Z$2819,"cost_service")</f>
        <v>86075772</v>
      </c>
      <c r="C3">
        <f>SUMIFS('EIA-861 Sales 2024'!$Y$4:$Y$2819,'EIA-861 Sales 2024'!$G$4:$G$2819,$A3,'EIA-861 Sales 2024'!$Z$4:$Z$2819,"procurement")</f>
        <v>0</v>
      </c>
      <c r="D3">
        <f>SUMIFS('EIA-861 Sales 2024'!$Y$4:$Y$2819,'EIA-861 Sales 2024'!$G$4:$G$2819,$A3,'EIA-861 Sales 2024'!$Z$4:$Z$2819,"unclassified")</f>
        <v>0</v>
      </c>
      <c r="E3">
        <f t="shared" si="0"/>
        <v>86075772</v>
      </c>
      <c r="F3">
        <f t="shared" si="1"/>
        <v>1</v>
      </c>
      <c r="G3">
        <f t="shared" si="2"/>
        <v>0</v>
      </c>
    </row>
    <row r="4" spans="1:7" x14ac:dyDescent="0.25">
      <c r="A4" t="s">
        <v>173</v>
      </c>
      <c r="B4">
        <f>SUMIFS('EIA-861 Sales 2024'!$Y$4:$Y$2819,'EIA-861 Sales 2024'!$G$4:$G$2819,$A4,'EIA-861 Sales 2024'!$Z$4:$Z$2819,"cost_service")</f>
        <v>49188526</v>
      </c>
      <c r="C4">
        <f>SUMIFS('EIA-861 Sales 2024'!$Y$4:$Y$2819,'EIA-861 Sales 2024'!$G$4:$G$2819,$A4,'EIA-861 Sales 2024'!$Z$4:$Z$2819,"procurement")</f>
        <v>0</v>
      </c>
      <c r="D4">
        <f>SUMIFS('EIA-861 Sales 2024'!$Y$4:$Y$2819,'EIA-861 Sales 2024'!$G$4:$G$2819,$A4,'EIA-861 Sales 2024'!$Z$4:$Z$2819,"unclassified")</f>
        <v>0</v>
      </c>
      <c r="E4">
        <f t="shared" si="0"/>
        <v>49188526</v>
      </c>
      <c r="F4">
        <f t="shared" si="1"/>
        <v>1</v>
      </c>
      <c r="G4">
        <f t="shared" si="2"/>
        <v>0</v>
      </c>
    </row>
    <row r="5" spans="1:7" x14ac:dyDescent="0.25">
      <c r="A5" t="s">
        <v>108</v>
      </c>
      <c r="B5">
        <f>SUMIFS('EIA-861 Sales 2024'!$Y$4:$Y$2819,'EIA-861 Sales 2024'!$G$4:$G$2819,$A5,'EIA-861 Sales 2024'!$Z$4:$Z$2819,"cost_service")</f>
        <v>87228368</v>
      </c>
      <c r="C5">
        <f>SUMIFS('EIA-861 Sales 2024'!$Y$4:$Y$2819,'EIA-861 Sales 2024'!$G$4:$G$2819,$A5,'EIA-861 Sales 2024'!$Z$4:$Z$2819,"procurement")</f>
        <v>0</v>
      </c>
      <c r="D5">
        <f>SUMIFS('EIA-861 Sales 2024'!$Y$4:$Y$2819,'EIA-861 Sales 2024'!$G$4:$G$2819,$A5,'EIA-861 Sales 2024'!$Z$4:$Z$2819,"unclassified")</f>
        <v>0</v>
      </c>
      <c r="E5">
        <f t="shared" si="0"/>
        <v>87228368</v>
      </c>
      <c r="F5">
        <f t="shared" si="1"/>
        <v>1</v>
      </c>
      <c r="G5">
        <f t="shared" si="2"/>
        <v>0</v>
      </c>
    </row>
    <row r="6" spans="1:7" x14ac:dyDescent="0.25">
      <c r="A6" t="s">
        <v>115</v>
      </c>
      <c r="B6">
        <f>SUMIFS('EIA-861 Sales 2024'!$Y$4:$Y$2819,'EIA-861 Sales 2024'!$G$4:$G$2819,$A6,'EIA-861 Sales 2024'!$Z$4:$Z$2819,"cost_service")</f>
        <v>147133678</v>
      </c>
      <c r="C6">
        <f>SUMIFS('EIA-861 Sales 2024'!$Y$4:$Y$2819,'EIA-861 Sales 2024'!$G$4:$G$2819,$A6,'EIA-861 Sales 2024'!$Z$4:$Z$2819,"procurement")</f>
        <v>87940406</v>
      </c>
      <c r="D6">
        <f>SUMIFS('EIA-861 Sales 2024'!$Y$4:$Y$2819,'EIA-861 Sales 2024'!$G$4:$G$2819,$A6,'EIA-861 Sales 2024'!$Z$4:$Z$2819,"unclassified")</f>
        <v>0</v>
      </c>
      <c r="E6">
        <f t="shared" si="0"/>
        <v>235074084</v>
      </c>
      <c r="F6">
        <f t="shared" si="1"/>
        <v>0.62590344072126636</v>
      </c>
      <c r="G6">
        <f t="shared" si="2"/>
        <v>0.37409655927873359</v>
      </c>
    </row>
    <row r="7" spans="1:7" x14ac:dyDescent="0.25">
      <c r="A7" t="s">
        <v>361</v>
      </c>
      <c r="B7">
        <f>SUMIFS('EIA-861 Sales 2024'!$Y$4:$Y$2819,'EIA-861 Sales 2024'!$G$4:$G$2819,$A7,'EIA-861 Sales 2024'!$Z$4:$Z$2819,"cost_service")</f>
        <v>55242525</v>
      </c>
      <c r="C7">
        <f>SUMIFS('EIA-861 Sales 2024'!$Y$4:$Y$2819,'EIA-861 Sales 2024'!$G$4:$G$2819,$A7,'EIA-861 Sales 2024'!$Z$4:$Z$2819,"procurement")</f>
        <v>0</v>
      </c>
      <c r="D7">
        <f>SUMIFS('EIA-861 Sales 2024'!$Y$4:$Y$2819,'EIA-861 Sales 2024'!$G$4:$G$2819,$A7,'EIA-861 Sales 2024'!$Z$4:$Z$2819,"unclassified")</f>
        <v>0</v>
      </c>
      <c r="E7">
        <f t="shared" si="0"/>
        <v>55242525</v>
      </c>
      <c r="F7">
        <f t="shared" si="1"/>
        <v>1</v>
      </c>
      <c r="G7">
        <f t="shared" si="2"/>
        <v>0</v>
      </c>
    </row>
    <row r="8" spans="1:7" x14ac:dyDescent="0.25">
      <c r="A8" t="s">
        <v>40</v>
      </c>
      <c r="B8">
        <f>SUMIFS('EIA-861 Sales 2024'!$Y$4:$Y$2819,'EIA-861 Sales 2024'!$G$4:$G$2819,$A8,'EIA-861 Sales 2024'!$Z$4:$Z$2819,"cost_service")</f>
        <v>1420820</v>
      </c>
      <c r="C8">
        <f>SUMIFS('EIA-861 Sales 2024'!$Y$4:$Y$2819,'EIA-861 Sales 2024'!$G$4:$G$2819,$A8,'EIA-861 Sales 2024'!$Z$4:$Z$2819,"procurement")</f>
        <v>24787246</v>
      </c>
      <c r="D8">
        <f>SUMIFS('EIA-861 Sales 2024'!$Y$4:$Y$2819,'EIA-861 Sales 2024'!$G$4:$G$2819,$A8,'EIA-861 Sales 2024'!$Z$4:$Z$2819,"unclassified")</f>
        <v>0</v>
      </c>
      <c r="E8">
        <f t="shared" si="0"/>
        <v>26208066</v>
      </c>
      <c r="F8">
        <f t="shared" si="1"/>
        <v>5.421308081260174E-2</v>
      </c>
      <c r="G8">
        <f t="shared" si="2"/>
        <v>0.94578691918739821</v>
      </c>
    </row>
    <row r="9" spans="1:7" x14ac:dyDescent="0.25">
      <c r="A9" t="s">
        <v>42</v>
      </c>
      <c r="B9">
        <f>SUMIFS('EIA-861 Sales 2024'!$Y$4:$Y$2819,'EIA-861 Sales 2024'!$G$4:$G$2819,$A9,'EIA-861 Sales 2024'!$Z$4:$Z$2819,"cost_service")</f>
        <v>0</v>
      </c>
      <c r="C9">
        <f>SUMIFS('EIA-861 Sales 2024'!$Y$4:$Y$2819,'EIA-861 Sales 2024'!$G$4:$G$2819,$A9,'EIA-861 Sales 2024'!$Z$4:$Z$2819,"procurement")</f>
        <v>9751813</v>
      </c>
      <c r="D9">
        <f>SUMIFS('EIA-861 Sales 2024'!$Y$4:$Y$2819,'EIA-861 Sales 2024'!$G$4:$G$2819,$A9,'EIA-861 Sales 2024'!$Z$4:$Z$2819,"unclassified")</f>
        <v>0</v>
      </c>
      <c r="E9">
        <f t="shared" si="0"/>
        <v>9751813</v>
      </c>
      <c r="F9">
        <f t="shared" si="1"/>
        <v>0</v>
      </c>
      <c r="G9">
        <f t="shared" si="2"/>
        <v>1</v>
      </c>
    </row>
    <row r="10" spans="1:7" x14ac:dyDescent="0.25">
      <c r="A10" t="s">
        <v>44</v>
      </c>
      <c r="B10">
        <f>SUMIFS('EIA-861 Sales 2024'!$Y$4:$Y$2819,'EIA-861 Sales 2024'!$G$4:$G$2819,$A10,'EIA-861 Sales 2024'!$Z$4:$Z$2819,"cost_service")</f>
        <v>3256100</v>
      </c>
      <c r="C10">
        <f>SUMIFS('EIA-861 Sales 2024'!$Y$4:$Y$2819,'EIA-861 Sales 2024'!$G$4:$G$2819,$A10,'EIA-861 Sales 2024'!$Z$4:$Z$2819,"procurement")</f>
        <v>7710796</v>
      </c>
      <c r="D10">
        <f>SUMIFS('EIA-861 Sales 2024'!$Y$4:$Y$2819,'EIA-861 Sales 2024'!$G$4:$G$2819,$A10,'EIA-861 Sales 2024'!$Z$4:$Z$2819,"unclassified")</f>
        <v>0</v>
      </c>
      <c r="E10">
        <f t="shared" si="0"/>
        <v>10966896</v>
      </c>
      <c r="F10">
        <f t="shared" si="1"/>
        <v>0.29690260580569017</v>
      </c>
      <c r="G10">
        <f t="shared" si="2"/>
        <v>0.70309739419430983</v>
      </c>
    </row>
    <row r="11" spans="1:7" x14ac:dyDescent="0.25">
      <c r="A11" t="s">
        <v>195</v>
      </c>
      <c r="B11">
        <f>SUMIFS('EIA-861 Sales 2024'!$Y$4:$Y$2819,'EIA-861 Sales 2024'!$G$4:$G$2819,$A11,'EIA-861 Sales 2024'!$Z$4:$Z$2819,"cost_service")</f>
        <v>253722435</v>
      </c>
      <c r="C11">
        <f>SUMIFS('EIA-861 Sales 2024'!$Y$4:$Y$2819,'EIA-861 Sales 2024'!$G$4:$G$2819,$A11,'EIA-861 Sales 2024'!$Z$4:$Z$2819,"procurement")</f>
        <v>0</v>
      </c>
      <c r="D11">
        <f>SUMIFS('EIA-861 Sales 2024'!$Y$4:$Y$2819,'EIA-861 Sales 2024'!$G$4:$G$2819,$A11,'EIA-861 Sales 2024'!$Z$4:$Z$2819,"unclassified")</f>
        <v>0</v>
      </c>
      <c r="E11">
        <f t="shared" si="0"/>
        <v>253722435</v>
      </c>
      <c r="F11">
        <f t="shared" si="1"/>
        <v>1</v>
      </c>
      <c r="G11">
        <f t="shared" si="2"/>
        <v>0</v>
      </c>
    </row>
    <row r="12" spans="1:7" x14ac:dyDescent="0.25">
      <c r="A12" t="s">
        <v>123</v>
      </c>
      <c r="B12">
        <f>SUMIFS('EIA-861 Sales 2024'!$Y$4:$Y$2819,'EIA-861 Sales 2024'!$G$4:$G$2819,$A12,'EIA-861 Sales 2024'!$Z$4:$Z$2819,"cost_service")</f>
        <v>146179036</v>
      </c>
      <c r="C12">
        <f>SUMIFS('EIA-861 Sales 2024'!$Y$4:$Y$2819,'EIA-861 Sales 2024'!$G$4:$G$2819,$A12,'EIA-861 Sales 2024'!$Z$4:$Z$2819,"procurement")</f>
        <v>0</v>
      </c>
      <c r="D12">
        <f>SUMIFS('EIA-861 Sales 2024'!$Y$4:$Y$2819,'EIA-861 Sales 2024'!$G$4:$G$2819,$A12,'EIA-861 Sales 2024'!$Z$4:$Z$2819,"unclassified")</f>
        <v>0</v>
      </c>
      <c r="E12">
        <f t="shared" si="0"/>
        <v>146179036</v>
      </c>
      <c r="F12">
        <f t="shared" si="1"/>
        <v>1</v>
      </c>
      <c r="G12">
        <f t="shared" si="2"/>
        <v>0</v>
      </c>
    </row>
    <row r="13" spans="1:7" x14ac:dyDescent="0.25">
      <c r="A13" t="s">
        <v>605</v>
      </c>
      <c r="B13">
        <f>SUMIFS('EIA-861 Sales 2024'!$Y$4:$Y$2819,'EIA-861 Sales 2024'!$G$4:$G$2819,$A13,'EIA-861 Sales 2024'!$Z$4:$Z$2819,"cost_service")</f>
        <v>8691377</v>
      </c>
      <c r="C13">
        <f>SUMIFS('EIA-861 Sales 2024'!$Y$4:$Y$2819,'EIA-861 Sales 2024'!$G$4:$G$2819,$A13,'EIA-861 Sales 2024'!$Z$4:$Z$2819,"procurement")</f>
        <v>0</v>
      </c>
      <c r="D13">
        <f>SUMIFS('EIA-861 Sales 2024'!$Y$4:$Y$2819,'EIA-861 Sales 2024'!$G$4:$G$2819,$A13,'EIA-861 Sales 2024'!$Z$4:$Z$2819,"unclassified")</f>
        <v>0</v>
      </c>
      <c r="E13">
        <f t="shared" si="0"/>
        <v>8691377</v>
      </c>
      <c r="F13">
        <f t="shared" si="1"/>
        <v>1</v>
      </c>
      <c r="G13">
        <f t="shared" si="2"/>
        <v>0</v>
      </c>
    </row>
    <row r="14" spans="1:7" x14ac:dyDescent="0.25">
      <c r="A14" t="s">
        <v>146</v>
      </c>
      <c r="B14">
        <f>SUMIFS('EIA-861 Sales 2024'!$Y$4:$Y$2819,'EIA-861 Sales 2024'!$G$4:$G$2819,$A14,'EIA-861 Sales 2024'!$Z$4:$Z$2819,"cost_service")</f>
        <v>49350655</v>
      </c>
      <c r="C14">
        <f>SUMIFS('EIA-861 Sales 2024'!$Y$4:$Y$2819,'EIA-861 Sales 2024'!$G$4:$G$2819,$A14,'EIA-861 Sales 2024'!$Z$4:$Z$2819,"procurement")</f>
        <v>0</v>
      </c>
      <c r="D14">
        <f>SUMIFS('EIA-861 Sales 2024'!$Y$4:$Y$2819,'EIA-861 Sales 2024'!$G$4:$G$2819,$A14,'EIA-861 Sales 2024'!$Z$4:$Z$2819,"unclassified")</f>
        <v>0</v>
      </c>
      <c r="E14">
        <f t="shared" si="0"/>
        <v>49350655</v>
      </c>
      <c r="F14">
        <f t="shared" si="1"/>
        <v>1</v>
      </c>
      <c r="G14">
        <f t="shared" si="2"/>
        <v>0</v>
      </c>
    </row>
    <row r="15" spans="1:7" x14ac:dyDescent="0.25">
      <c r="A15" t="s">
        <v>490</v>
      </c>
      <c r="B15">
        <f>SUMIFS('EIA-861 Sales 2024'!$Y$4:$Y$2819,'EIA-861 Sales 2024'!$G$4:$G$2819,$A15,'EIA-861 Sales 2024'!$Z$4:$Z$2819,"cost_service")</f>
        <v>25393769</v>
      </c>
      <c r="C15">
        <f>SUMIFS('EIA-861 Sales 2024'!$Y$4:$Y$2819,'EIA-861 Sales 2024'!$G$4:$G$2819,$A15,'EIA-861 Sales 2024'!$Z$4:$Z$2819,"procurement")</f>
        <v>0</v>
      </c>
      <c r="D15">
        <f>SUMIFS('EIA-861 Sales 2024'!$Y$4:$Y$2819,'EIA-861 Sales 2024'!$G$4:$G$2819,$A15,'EIA-861 Sales 2024'!$Z$4:$Z$2819,"unclassified")</f>
        <v>0</v>
      </c>
      <c r="E15">
        <f t="shared" si="0"/>
        <v>25393769</v>
      </c>
      <c r="F15">
        <f t="shared" si="1"/>
        <v>1</v>
      </c>
      <c r="G15">
        <f t="shared" si="2"/>
        <v>0</v>
      </c>
    </row>
    <row r="16" spans="1:7" x14ac:dyDescent="0.25">
      <c r="A16" t="s">
        <v>46</v>
      </c>
      <c r="B16">
        <f>SUMIFS('EIA-861 Sales 2024'!$Y$4:$Y$2819,'EIA-861 Sales 2024'!$G$4:$G$2819,$A16,'EIA-861 Sales 2024'!$Z$4:$Z$2819,"cost_service")</f>
        <v>9232567</v>
      </c>
      <c r="C16">
        <f>SUMIFS('EIA-861 Sales 2024'!$Y$4:$Y$2819,'EIA-861 Sales 2024'!$G$4:$G$2819,$A16,'EIA-861 Sales 2024'!$Z$4:$Z$2819,"procurement")</f>
        <v>116112449</v>
      </c>
      <c r="D16">
        <f>SUMIFS('EIA-861 Sales 2024'!$Y$4:$Y$2819,'EIA-861 Sales 2024'!$G$4:$G$2819,$A16,'EIA-861 Sales 2024'!$Z$4:$Z$2819,"unclassified")</f>
        <v>0</v>
      </c>
      <c r="E16">
        <f t="shared" si="0"/>
        <v>125345016</v>
      </c>
      <c r="F16">
        <f t="shared" si="1"/>
        <v>7.3657232609870976E-2</v>
      </c>
      <c r="G16">
        <f t="shared" si="2"/>
        <v>0.926342767390129</v>
      </c>
    </row>
    <row r="17" spans="1:7" x14ac:dyDescent="0.25">
      <c r="A17" t="s">
        <v>130</v>
      </c>
      <c r="B17">
        <f>SUMIFS('EIA-861 Sales 2024'!$Y$4:$Y$2819,'EIA-861 Sales 2024'!$G$4:$G$2819,$A17,'EIA-861 Sales 2024'!$Z$4:$Z$2819,"cost_service")</f>
        <v>95187777</v>
      </c>
      <c r="C17">
        <f>SUMIFS('EIA-861 Sales 2024'!$Y$4:$Y$2819,'EIA-861 Sales 2024'!$G$4:$G$2819,$A17,'EIA-861 Sales 2024'!$Z$4:$Z$2819,"procurement")</f>
        <v>0</v>
      </c>
      <c r="D17">
        <f>SUMIFS('EIA-861 Sales 2024'!$Y$4:$Y$2819,'EIA-861 Sales 2024'!$G$4:$G$2819,$A17,'EIA-861 Sales 2024'!$Z$4:$Z$2819,"unclassified")</f>
        <v>0</v>
      </c>
      <c r="E17">
        <f t="shared" si="0"/>
        <v>95187777</v>
      </c>
      <c r="F17">
        <f t="shared" si="1"/>
        <v>1</v>
      </c>
      <c r="G17">
        <f t="shared" si="2"/>
        <v>0</v>
      </c>
    </row>
    <row r="18" spans="1:7" x14ac:dyDescent="0.25">
      <c r="A18" t="s">
        <v>134</v>
      </c>
      <c r="B18">
        <f>SUMIFS('EIA-861 Sales 2024'!$Y$4:$Y$2819,'EIA-861 Sales 2024'!$G$4:$G$2819,$A18,'EIA-861 Sales 2024'!$Z$4:$Z$2819,"cost_service")</f>
        <v>37102139</v>
      </c>
      <c r="C18">
        <f>SUMIFS('EIA-861 Sales 2024'!$Y$4:$Y$2819,'EIA-861 Sales 2024'!$G$4:$G$2819,$A18,'EIA-861 Sales 2024'!$Z$4:$Z$2819,"procurement")</f>
        <v>0</v>
      </c>
      <c r="D18">
        <f>SUMIFS('EIA-861 Sales 2024'!$Y$4:$Y$2819,'EIA-861 Sales 2024'!$G$4:$G$2819,$A18,'EIA-861 Sales 2024'!$Z$4:$Z$2819,"unclassified")</f>
        <v>0</v>
      </c>
      <c r="E18">
        <f t="shared" si="0"/>
        <v>37102139</v>
      </c>
      <c r="F18">
        <f t="shared" si="1"/>
        <v>1</v>
      </c>
      <c r="G18">
        <f t="shared" si="2"/>
        <v>0</v>
      </c>
    </row>
    <row r="19" spans="1:7" x14ac:dyDescent="0.25">
      <c r="A19" t="s">
        <v>209</v>
      </c>
      <c r="B19">
        <f>SUMIFS('EIA-861 Sales 2024'!$Y$4:$Y$2819,'EIA-861 Sales 2024'!$G$4:$G$2819,$A19,'EIA-861 Sales 2024'!$Z$4:$Z$2819,"cost_service")</f>
        <v>73456988</v>
      </c>
      <c r="C19">
        <f>SUMIFS('EIA-861 Sales 2024'!$Y$4:$Y$2819,'EIA-861 Sales 2024'!$G$4:$G$2819,$A19,'EIA-861 Sales 2024'!$Z$4:$Z$2819,"procurement")</f>
        <v>0</v>
      </c>
      <c r="D19">
        <f>SUMIFS('EIA-861 Sales 2024'!$Y$4:$Y$2819,'EIA-861 Sales 2024'!$G$4:$G$2819,$A19,'EIA-861 Sales 2024'!$Z$4:$Z$2819,"unclassified")</f>
        <v>0</v>
      </c>
      <c r="E19">
        <f t="shared" si="0"/>
        <v>73456988</v>
      </c>
      <c r="F19">
        <f t="shared" si="1"/>
        <v>1</v>
      </c>
      <c r="G19">
        <f t="shared" si="2"/>
        <v>0</v>
      </c>
    </row>
    <row r="20" spans="1:7" x14ac:dyDescent="0.25">
      <c r="A20" t="s">
        <v>138</v>
      </c>
      <c r="B20">
        <f>SUMIFS('EIA-861 Sales 2024'!$Y$4:$Y$2819,'EIA-861 Sales 2024'!$G$4:$G$2819,$A20,'EIA-861 Sales 2024'!$Z$4:$Z$2819,"cost_service")</f>
        <v>94342564</v>
      </c>
      <c r="C20">
        <f>SUMIFS('EIA-861 Sales 2024'!$Y$4:$Y$2819,'EIA-861 Sales 2024'!$G$4:$G$2819,$A20,'EIA-861 Sales 2024'!$Z$4:$Z$2819,"procurement")</f>
        <v>0</v>
      </c>
      <c r="D20">
        <f>SUMIFS('EIA-861 Sales 2024'!$Y$4:$Y$2819,'EIA-861 Sales 2024'!$G$4:$G$2819,$A20,'EIA-861 Sales 2024'!$Z$4:$Z$2819,"unclassified")</f>
        <v>0</v>
      </c>
      <c r="E20">
        <f t="shared" si="0"/>
        <v>94342564</v>
      </c>
      <c r="F20">
        <f t="shared" si="1"/>
        <v>1</v>
      </c>
      <c r="G20">
        <f t="shared" si="2"/>
        <v>0</v>
      </c>
    </row>
    <row r="21" spans="1:7" x14ac:dyDescent="0.25">
      <c r="A21" t="s">
        <v>48</v>
      </c>
      <c r="B21">
        <f>SUMIFS('EIA-861 Sales 2024'!$Y$4:$Y$2819,'EIA-861 Sales 2024'!$G$4:$G$2819,$A21,'EIA-861 Sales 2024'!$Z$4:$Z$2819,"cost_service")</f>
        <v>5520859</v>
      </c>
      <c r="C21">
        <f>SUMIFS('EIA-861 Sales 2024'!$Y$4:$Y$2819,'EIA-861 Sales 2024'!$G$4:$G$2819,$A21,'EIA-861 Sales 2024'!$Z$4:$Z$2819,"procurement")</f>
        <v>41105207</v>
      </c>
      <c r="D21">
        <f>SUMIFS('EIA-861 Sales 2024'!$Y$4:$Y$2819,'EIA-861 Sales 2024'!$G$4:$G$2819,$A21,'EIA-861 Sales 2024'!$Z$4:$Z$2819,"unclassified")</f>
        <v>0</v>
      </c>
      <c r="E21">
        <f t="shared" si="0"/>
        <v>46626066</v>
      </c>
      <c r="F21">
        <f t="shared" si="1"/>
        <v>0.11840713732957869</v>
      </c>
      <c r="G21">
        <f t="shared" si="2"/>
        <v>0.88159286267042125</v>
      </c>
    </row>
    <row r="22" spans="1:7" x14ac:dyDescent="0.25">
      <c r="A22" t="s">
        <v>49</v>
      </c>
      <c r="B22">
        <f>SUMIFS('EIA-861 Sales 2024'!$Y$4:$Y$2819,'EIA-861 Sales 2024'!$G$4:$G$2819,$A22,'EIA-861 Sales 2024'!$Z$4:$Z$2819,"cost_service")</f>
        <v>4978996</v>
      </c>
      <c r="C22">
        <f>SUMIFS('EIA-861 Sales 2024'!$Y$4:$Y$2819,'EIA-861 Sales 2024'!$G$4:$G$2819,$A22,'EIA-861 Sales 2024'!$Z$4:$Z$2819,"procurement")</f>
        <v>51534058</v>
      </c>
      <c r="D22">
        <f>SUMIFS('EIA-861 Sales 2024'!$Y$4:$Y$2819,'EIA-861 Sales 2024'!$G$4:$G$2819,$A22,'EIA-861 Sales 2024'!$Z$4:$Z$2819,"unclassified")</f>
        <v>0</v>
      </c>
      <c r="E22">
        <f t="shared" si="0"/>
        <v>56513054</v>
      </c>
      <c r="F22">
        <f t="shared" si="1"/>
        <v>8.8103467209540653E-2</v>
      </c>
      <c r="G22">
        <f t="shared" si="2"/>
        <v>0.91189653279045935</v>
      </c>
    </row>
    <row r="23" spans="1:7" x14ac:dyDescent="0.25">
      <c r="A23" t="s">
        <v>50</v>
      </c>
      <c r="B23">
        <f>SUMIFS('EIA-861 Sales 2024'!$Y$4:$Y$2819,'EIA-861 Sales 2024'!$G$4:$G$2819,$A23,'EIA-861 Sales 2024'!$Z$4:$Z$2819,"cost_service")</f>
        <v>207007</v>
      </c>
      <c r="C23">
        <f>SUMIFS('EIA-861 Sales 2024'!$Y$4:$Y$2819,'EIA-861 Sales 2024'!$G$4:$G$2819,$A23,'EIA-861 Sales 2024'!$Z$4:$Z$2819,"procurement")</f>
        <v>11200390</v>
      </c>
      <c r="D23">
        <f>SUMIFS('EIA-861 Sales 2024'!$Y$4:$Y$2819,'EIA-861 Sales 2024'!$G$4:$G$2819,$A23,'EIA-861 Sales 2024'!$Z$4:$Z$2819,"unclassified")</f>
        <v>0</v>
      </c>
      <c r="E23">
        <f t="shared" si="0"/>
        <v>11407397</v>
      </c>
      <c r="F23">
        <f t="shared" si="1"/>
        <v>1.8146734088416491E-2</v>
      </c>
      <c r="G23">
        <f t="shared" si="2"/>
        <v>0.98185326591158351</v>
      </c>
    </row>
    <row r="24" spans="1:7" x14ac:dyDescent="0.25">
      <c r="A24" t="s">
        <v>140</v>
      </c>
      <c r="B24">
        <f>SUMIFS('EIA-861 Sales 2024'!$Y$4:$Y$2819,'EIA-861 Sales 2024'!$G$4:$G$2819,$A24,'EIA-861 Sales 2024'!$Z$4:$Z$2819,"cost_service")</f>
        <v>88361953</v>
      </c>
      <c r="C24">
        <f>SUMIFS('EIA-861 Sales 2024'!$Y$4:$Y$2819,'EIA-861 Sales 2024'!$G$4:$G$2819,$A24,'EIA-861 Sales 2024'!$Z$4:$Z$2819,"procurement")</f>
        <v>8846799</v>
      </c>
      <c r="D24">
        <f>SUMIFS('EIA-861 Sales 2024'!$Y$4:$Y$2819,'EIA-861 Sales 2024'!$G$4:$G$2819,$A24,'EIA-861 Sales 2024'!$Z$4:$Z$2819,"unclassified")</f>
        <v>0</v>
      </c>
      <c r="E24">
        <f t="shared" si="0"/>
        <v>97208752</v>
      </c>
      <c r="F24">
        <f t="shared" si="1"/>
        <v>0.90899174387096338</v>
      </c>
      <c r="G24">
        <f t="shared" si="2"/>
        <v>9.100825612903661E-2</v>
      </c>
    </row>
    <row r="25" spans="1:7" x14ac:dyDescent="0.25">
      <c r="A25" t="s">
        <v>104</v>
      </c>
      <c r="B25">
        <f>SUMIFS('EIA-861 Sales 2024'!$Y$4:$Y$2819,'EIA-861 Sales 2024'!$G$4:$G$2819,$A25,'EIA-861 Sales 2024'!$Z$4:$Z$2819,"cost_service")</f>
        <v>58316402</v>
      </c>
      <c r="C25">
        <f>SUMIFS('EIA-861 Sales 2024'!$Y$4:$Y$2819,'EIA-861 Sales 2024'!$G$4:$G$2819,$A25,'EIA-861 Sales 2024'!$Z$4:$Z$2819,"procurement")</f>
        <v>0</v>
      </c>
      <c r="D25">
        <f>SUMIFS('EIA-861 Sales 2024'!$Y$4:$Y$2819,'EIA-861 Sales 2024'!$G$4:$G$2819,$A25,'EIA-861 Sales 2024'!$Z$4:$Z$2819,"unclassified")</f>
        <v>0</v>
      </c>
      <c r="E25">
        <f t="shared" si="0"/>
        <v>58316402</v>
      </c>
      <c r="F25">
        <f t="shared" si="1"/>
        <v>1</v>
      </c>
      <c r="G25">
        <f t="shared" si="2"/>
        <v>0</v>
      </c>
    </row>
    <row r="26" spans="1:7" x14ac:dyDescent="0.25">
      <c r="A26" t="s">
        <v>226</v>
      </c>
      <c r="B26">
        <f>SUMIFS('EIA-861 Sales 2024'!$Y$4:$Y$2819,'EIA-861 Sales 2024'!$G$4:$G$2819,$A26,'EIA-861 Sales 2024'!$Z$4:$Z$2819,"cost_service")</f>
        <v>73045553</v>
      </c>
      <c r="C26">
        <f>SUMIFS('EIA-861 Sales 2024'!$Y$4:$Y$2819,'EIA-861 Sales 2024'!$G$4:$G$2819,$A26,'EIA-861 Sales 2024'!$Z$4:$Z$2819,"procurement")</f>
        <v>0</v>
      </c>
      <c r="D26">
        <f>SUMIFS('EIA-861 Sales 2024'!$Y$4:$Y$2819,'EIA-861 Sales 2024'!$G$4:$G$2819,$A26,'EIA-861 Sales 2024'!$Z$4:$Z$2819,"unclassified")</f>
        <v>0</v>
      </c>
      <c r="E26">
        <f t="shared" si="0"/>
        <v>73045553</v>
      </c>
      <c r="F26">
        <f t="shared" si="1"/>
        <v>1</v>
      </c>
      <c r="G26">
        <f t="shared" si="2"/>
        <v>0</v>
      </c>
    </row>
    <row r="27" spans="1:7" x14ac:dyDescent="0.25">
      <c r="A27" t="s">
        <v>87</v>
      </c>
      <c r="B27">
        <f>SUMIFS('EIA-861 Sales 2024'!$Y$4:$Y$2819,'EIA-861 Sales 2024'!$G$4:$G$2819,$A27,'EIA-861 Sales 2024'!$Z$4:$Z$2819,"cost_service")</f>
        <v>47861521</v>
      </c>
      <c r="C27">
        <f>SUMIFS('EIA-861 Sales 2024'!$Y$4:$Y$2819,'EIA-861 Sales 2024'!$G$4:$G$2819,$A27,'EIA-861 Sales 2024'!$Z$4:$Z$2819,"procurement")</f>
        <v>0</v>
      </c>
      <c r="D27">
        <f>SUMIFS('EIA-861 Sales 2024'!$Y$4:$Y$2819,'EIA-861 Sales 2024'!$G$4:$G$2819,$A27,'EIA-861 Sales 2024'!$Z$4:$Z$2819,"unclassified")</f>
        <v>0</v>
      </c>
      <c r="E27">
        <f t="shared" si="0"/>
        <v>47861521</v>
      </c>
      <c r="F27">
        <f t="shared" si="1"/>
        <v>1</v>
      </c>
      <c r="G27">
        <f t="shared" si="2"/>
        <v>0</v>
      </c>
    </row>
    <row r="28" spans="1:7" x14ac:dyDescent="0.25">
      <c r="A28" t="s">
        <v>491</v>
      </c>
      <c r="B28">
        <f>SUMIFS('EIA-861 Sales 2024'!$Y$4:$Y$2819,'EIA-861 Sales 2024'!$G$4:$G$2819,$A28,'EIA-861 Sales 2024'!$Z$4:$Z$2819,"cost_service")</f>
        <v>10681060</v>
      </c>
      <c r="C28">
        <f>SUMIFS('EIA-861 Sales 2024'!$Y$4:$Y$2819,'EIA-861 Sales 2024'!$G$4:$G$2819,$A28,'EIA-861 Sales 2024'!$Z$4:$Z$2819,"procurement")</f>
        <v>432175</v>
      </c>
      <c r="D28">
        <f>SUMIFS('EIA-861 Sales 2024'!$Y$4:$Y$2819,'EIA-861 Sales 2024'!$G$4:$G$2819,$A28,'EIA-861 Sales 2024'!$Z$4:$Z$2819,"unclassified")</f>
        <v>0</v>
      </c>
      <c r="E28">
        <f t="shared" si="0"/>
        <v>11113235</v>
      </c>
      <c r="F28">
        <f t="shared" si="1"/>
        <v>0.96111168350169862</v>
      </c>
      <c r="G28">
        <f t="shared" si="2"/>
        <v>3.8888316498301351E-2</v>
      </c>
    </row>
    <row r="29" spans="1:7" x14ac:dyDescent="0.25">
      <c r="A29" t="s">
        <v>125</v>
      </c>
      <c r="B29">
        <f>SUMIFS('EIA-861 Sales 2024'!$Y$4:$Y$2819,'EIA-861 Sales 2024'!$G$4:$G$2819,$A29,'EIA-861 Sales 2024'!$Z$4:$Z$2819,"cost_service")</f>
        <v>133560392</v>
      </c>
      <c r="C29">
        <f>SUMIFS('EIA-861 Sales 2024'!$Y$4:$Y$2819,'EIA-861 Sales 2024'!$G$4:$G$2819,$A29,'EIA-861 Sales 2024'!$Z$4:$Z$2819,"procurement")</f>
        <v>0</v>
      </c>
      <c r="D29">
        <f>SUMIFS('EIA-861 Sales 2024'!$Y$4:$Y$2819,'EIA-861 Sales 2024'!$G$4:$G$2819,$A29,'EIA-861 Sales 2024'!$Z$4:$Z$2819,"unclassified")</f>
        <v>0</v>
      </c>
      <c r="E29">
        <f t="shared" si="0"/>
        <v>133560392</v>
      </c>
      <c r="F29">
        <f t="shared" si="1"/>
        <v>1</v>
      </c>
      <c r="G29">
        <f t="shared" si="2"/>
        <v>0</v>
      </c>
    </row>
    <row r="30" spans="1:7" x14ac:dyDescent="0.25">
      <c r="A30" t="s">
        <v>198</v>
      </c>
      <c r="B30">
        <f>SUMIFS('EIA-861 Sales 2024'!$Y$4:$Y$2819,'EIA-861 Sales 2024'!$G$4:$G$2819,$A30,'EIA-861 Sales 2024'!$Z$4:$Z$2819,"cost_service")</f>
        <v>29092524</v>
      </c>
      <c r="C30">
        <f>SUMIFS('EIA-861 Sales 2024'!$Y$4:$Y$2819,'EIA-861 Sales 2024'!$G$4:$G$2819,$A30,'EIA-861 Sales 2024'!$Z$4:$Z$2819,"procurement")</f>
        <v>0</v>
      </c>
      <c r="D30">
        <f>SUMIFS('EIA-861 Sales 2024'!$Y$4:$Y$2819,'EIA-861 Sales 2024'!$G$4:$G$2819,$A30,'EIA-861 Sales 2024'!$Z$4:$Z$2819,"unclassified")</f>
        <v>0</v>
      </c>
      <c r="E30">
        <f t="shared" si="0"/>
        <v>29092524</v>
      </c>
      <c r="F30">
        <f t="shared" si="1"/>
        <v>1</v>
      </c>
      <c r="G30">
        <f t="shared" si="2"/>
        <v>0</v>
      </c>
    </row>
    <row r="31" spans="1:7" x14ac:dyDescent="0.25">
      <c r="A31" t="s">
        <v>271</v>
      </c>
      <c r="B31">
        <f>SUMIFS('EIA-861 Sales 2024'!$Y$4:$Y$2819,'EIA-861 Sales 2024'!$G$4:$G$2819,$A31,'EIA-861 Sales 2024'!$Z$4:$Z$2819,"cost_service")</f>
        <v>30397177</v>
      </c>
      <c r="C31">
        <f>SUMIFS('EIA-861 Sales 2024'!$Y$4:$Y$2819,'EIA-861 Sales 2024'!$G$4:$G$2819,$A31,'EIA-861 Sales 2024'!$Z$4:$Z$2819,"procurement")</f>
        <v>0</v>
      </c>
      <c r="D31">
        <f>SUMIFS('EIA-861 Sales 2024'!$Y$4:$Y$2819,'EIA-861 Sales 2024'!$G$4:$G$2819,$A31,'EIA-861 Sales 2024'!$Z$4:$Z$2819,"unclassified")</f>
        <v>0</v>
      </c>
      <c r="E31">
        <f t="shared" si="0"/>
        <v>30397177</v>
      </c>
      <c r="F31">
        <f t="shared" si="1"/>
        <v>1</v>
      </c>
      <c r="G31">
        <f t="shared" si="2"/>
        <v>0</v>
      </c>
    </row>
    <row r="32" spans="1:7" x14ac:dyDescent="0.25">
      <c r="A32" t="s">
        <v>51</v>
      </c>
      <c r="B32">
        <f>SUMIFS('EIA-861 Sales 2024'!$Y$4:$Y$2819,'EIA-861 Sales 2024'!$G$4:$G$2819,$A32,'EIA-861 Sales 2024'!$Z$4:$Z$2819,"cost_service")</f>
        <v>650032</v>
      </c>
      <c r="C32">
        <f>SUMIFS('EIA-861 Sales 2024'!$Y$4:$Y$2819,'EIA-861 Sales 2024'!$G$4:$G$2819,$A32,'EIA-861 Sales 2024'!$Z$4:$Z$2819,"procurement")</f>
        <v>10008957</v>
      </c>
      <c r="D32">
        <f>SUMIFS('EIA-861 Sales 2024'!$Y$4:$Y$2819,'EIA-861 Sales 2024'!$G$4:$G$2819,$A32,'EIA-861 Sales 2024'!$Z$4:$Z$2819,"unclassified")</f>
        <v>0</v>
      </c>
      <c r="E32">
        <f t="shared" si="0"/>
        <v>10658989</v>
      </c>
      <c r="F32">
        <f t="shared" si="1"/>
        <v>6.0984395424369044E-2</v>
      </c>
      <c r="G32">
        <f t="shared" si="2"/>
        <v>0.93901560457563094</v>
      </c>
    </row>
    <row r="33" spans="1:7" x14ac:dyDescent="0.25">
      <c r="A33" t="s">
        <v>52</v>
      </c>
      <c r="B33">
        <f>SUMIFS('EIA-861 Sales 2024'!$Y$4:$Y$2819,'EIA-861 Sales 2024'!$G$4:$G$2819,$A33,'EIA-861 Sales 2024'!$Z$4:$Z$2819,"cost_service")</f>
        <v>707739</v>
      </c>
      <c r="C33">
        <f>SUMIFS('EIA-861 Sales 2024'!$Y$4:$Y$2819,'EIA-861 Sales 2024'!$G$4:$G$2819,$A33,'EIA-861 Sales 2024'!$Z$4:$Z$2819,"procurement")</f>
        <v>70349024</v>
      </c>
      <c r="D33">
        <f>SUMIFS('EIA-861 Sales 2024'!$Y$4:$Y$2819,'EIA-861 Sales 2024'!$G$4:$G$2819,$A33,'EIA-861 Sales 2024'!$Z$4:$Z$2819,"unclassified")</f>
        <v>0</v>
      </c>
      <c r="E33">
        <f t="shared" si="0"/>
        <v>71056763</v>
      </c>
      <c r="F33">
        <f t="shared" si="1"/>
        <v>9.9601919665268171E-3</v>
      </c>
      <c r="G33">
        <f t="shared" si="2"/>
        <v>0.99003980803347313</v>
      </c>
    </row>
    <row r="34" spans="1:7" x14ac:dyDescent="0.25">
      <c r="A34" t="s">
        <v>308</v>
      </c>
      <c r="B34">
        <f>SUMIFS('EIA-861 Sales 2024'!$Y$4:$Y$2819,'EIA-861 Sales 2024'!$G$4:$G$2819,$A34,'EIA-861 Sales 2024'!$Z$4:$Z$2819,"cost_service")</f>
        <v>29354032</v>
      </c>
      <c r="C34">
        <f>SUMIFS('EIA-861 Sales 2024'!$Y$4:$Y$2819,'EIA-861 Sales 2024'!$G$4:$G$2819,$A34,'EIA-861 Sales 2024'!$Z$4:$Z$2819,"procurement")</f>
        <v>0</v>
      </c>
      <c r="D34">
        <f>SUMIFS('EIA-861 Sales 2024'!$Y$4:$Y$2819,'EIA-861 Sales 2024'!$G$4:$G$2819,$A34,'EIA-861 Sales 2024'!$Z$4:$Z$2819,"unclassified")</f>
        <v>0</v>
      </c>
      <c r="E34">
        <f t="shared" ref="E34:E65" si="3">B34+C34+D34</f>
        <v>29354032</v>
      </c>
      <c r="F34">
        <f t="shared" ref="F34:F52" si="4">IF($E34=0,0,B34/$E34)</f>
        <v>1</v>
      </c>
      <c r="G34">
        <f t="shared" ref="G34:G52" si="5">IF($E34=0,0,C34/$E34)</f>
        <v>0</v>
      </c>
    </row>
    <row r="35" spans="1:7" x14ac:dyDescent="0.25">
      <c r="A35" t="s">
        <v>242</v>
      </c>
      <c r="B35">
        <f>SUMIFS('EIA-861 Sales 2024'!$Y$4:$Y$2819,'EIA-861 Sales 2024'!$G$4:$G$2819,$A35,'EIA-861 Sales 2024'!$Z$4:$Z$2819,"cost_service")</f>
        <v>33232781</v>
      </c>
      <c r="C35">
        <f>SUMIFS('EIA-861 Sales 2024'!$Y$4:$Y$2819,'EIA-861 Sales 2024'!$G$4:$G$2819,$A35,'EIA-861 Sales 2024'!$Z$4:$Z$2819,"procurement")</f>
        <v>5303922</v>
      </c>
      <c r="D35">
        <f>SUMIFS('EIA-861 Sales 2024'!$Y$4:$Y$2819,'EIA-861 Sales 2024'!$G$4:$G$2819,$A35,'EIA-861 Sales 2024'!$Z$4:$Z$2819,"unclassified")</f>
        <v>0</v>
      </c>
      <c r="E35">
        <f t="shared" si="3"/>
        <v>38536703</v>
      </c>
      <c r="F35">
        <f t="shared" si="4"/>
        <v>0.8623670011417427</v>
      </c>
      <c r="G35">
        <f t="shared" si="5"/>
        <v>0.13763299885825728</v>
      </c>
    </row>
    <row r="36" spans="1:7" x14ac:dyDescent="0.25">
      <c r="A36" t="s">
        <v>53</v>
      </c>
      <c r="B36">
        <f>SUMIFS('EIA-861 Sales 2024'!$Y$4:$Y$2819,'EIA-861 Sales 2024'!$G$4:$G$2819,$A36,'EIA-861 Sales 2024'!$Z$4:$Z$2819,"cost_service")</f>
        <v>20138126</v>
      </c>
      <c r="C36">
        <f>SUMIFS('EIA-861 Sales 2024'!$Y$4:$Y$2819,'EIA-861 Sales 2024'!$G$4:$G$2819,$A36,'EIA-861 Sales 2024'!$Z$4:$Z$2819,"procurement")</f>
        <v>117324257</v>
      </c>
      <c r="D36">
        <f>SUMIFS('EIA-861 Sales 2024'!$Y$4:$Y$2819,'EIA-861 Sales 2024'!$G$4:$G$2819,$A36,'EIA-861 Sales 2024'!$Z$4:$Z$2819,"unclassified")</f>
        <v>0</v>
      </c>
      <c r="E36">
        <f t="shared" si="3"/>
        <v>137462383</v>
      </c>
      <c r="F36">
        <f t="shared" si="4"/>
        <v>0.14649917716034358</v>
      </c>
      <c r="G36">
        <f t="shared" si="5"/>
        <v>0.85350082283965645</v>
      </c>
    </row>
    <row r="37" spans="1:7" x14ac:dyDescent="0.25">
      <c r="A37" t="s">
        <v>54</v>
      </c>
      <c r="B37">
        <f>SUMIFS('EIA-861 Sales 2024'!$Y$4:$Y$2819,'EIA-861 Sales 2024'!$G$4:$G$2819,$A37,'EIA-861 Sales 2024'!$Z$4:$Z$2819,"cost_service")</f>
        <v>13980042</v>
      </c>
      <c r="C37">
        <f>SUMIFS('EIA-861 Sales 2024'!$Y$4:$Y$2819,'EIA-861 Sales 2024'!$G$4:$G$2819,$A37,'EIA-861 Sales 2024'!$Z$4:$Z$2819,"procurement")</f>
        <v>130157464</v>
      </c>
      <c r="D37">
        <f>SUMIFS('EIA-861 Sales 2024'!$Y$4:$Y$2819,'EIA-861 Sales 2024'!$G$4:$G$2819,$A37,'EIA-861 Sales 2024'!$Z$4:$Z$2819,"unclassified")</f>
        <v>0</v>
      </c>
      <c r="E37">
        <f t="shared" si="3"/>
        <v>144137506</v>
      </c>
      <c r="F37">
        <f t="shared" si="4"/>
        <v>9.6991008017025079E-2</v>
      </c>
      <c r="G37">
        <f t="shared" si="5"/>
        <v>0.90300899198297491</v>
      </c>
    </row>
    <row r="38" spans="1:7" x14ac:dyDescent="0.25">
      <c r="A38" t="s">
        <v>136</v>
      </c>
      <c r="B38">
        <f>SUMIFS('EIA-861 Sales 2024'!$Y$4:$Y$2819,'EIA-861 Sales 2024'!$G$4:$G$2819,$A38,'EIA-861 Sales 2024'!$Z$4:$Z$2819,"cost_service")</f>
        <v>69602888</v>
      </c>
      <c r="C38">
        <f>SUMIFS('EIA-861 Sales 2024'!$Y$4:$Y$2819,'EIA-861 Sales 2024'!$G$4:$G$2819,$A38,'EIA-861 Sales 2024'!$Z$4:$Z$2819,"procurement")</f>
        <v>0</v>
      </c>
      <c r="D38">
        <f>SUMIFS('EIA-861 Sales 2024'!$Y$4:$Y$2819,'EIA-861 Sales 2024'!$G$4:$G$2819,$A38,'EIA-861 Sales 2024'!$Z$4:$Z$2819,"unclassified")</f>
        <v>0</v>
      </c>
      <c r="E38">
        <f t="shared" si="3"/>
        <v>69602888</v>
      </c>
      <c r="F38">
        <f t="shared" si="4"/>
        <v>1</v>
      </c>
      <c r="G38">
        <f t="shared" si="5"/>
        <v>0</v>
      </c>
    </row>
    <row r="39" spans="1:7" x14ac:dyDescent="0.25">
      <c r="A39" t="s">
        <v>219</v>
      </c>
      <c r="B39">
        <f>SUMIFS('EIA-861 Sales 2024'!$Y$4:$Y$2819,'EIA-861 Sales 2024'!$G$4:$G$2819,$A39,'EIA-861 Sales 2024'!$Z$4:$Z$2819,"cost_service")</f>
        <v>54773135</v>
      </c>
      <c r="C39">
        <f>SUMIFS('EIA-861 Sales 2024'!$Y$4:$Y$2819,'EIA-861 Sales 2024'!$G$4:$G$2819,$A39,'EIA-861 Sales 2024'!$Z$4:$Z$2819,"procurement")</f>
        <v>2844017</v>
      </c>
      <c r="D39">
        <f>SUMIFS('EIA-861 Sales 2024'!$Y$4:$Y$2819,'EIA-861 Sales 2024'!$G$4:$G$2819,$A39,'EIA-861 Sales 2024'!$Z$4:$Z$2819,"unclassified")</f>
        <v>0</v>
      </c>
      <c r="E39">
        <f t="shared" si="3"/>
        <v>57617152</v>
      </c>
      <c r="F39">
        <f t="shared" si="4"/>
        <v>0.95063940334989139</v>
      </c>
      <c r="G39">
        <f t="shared" si="5"/>
        <v>4.9360596650108633E-2</v>
      </c>
    </row>
    <row r="40" spans="1:7" x14ac:dyDescent="0.25">
      <c r="A40" t="s">
        <v>55</v>
      </c>
      <c r="B40">
        <f>SUMIFS('EIA-861 Sales 2024'!$Y$4:$Y$2819,'EIA-861 Sales 2024'!$G$4:$G$2819,$A40,'EIA-861 Sales 2024'!$Z$4:$Z$2819,"cost_service")</f>
        <v>3270757</v>
      </c>
      <c r="C40">
        <f>SUMIFS('EIA-861 Sales 2024'!$Y$4:$Y$2819,'EIA-861 Sales 2024'!$G$4:$G$2819,$A40,'EIA-861 Sales 2024'!$Z$4:$Z$2819,"procurement")</f>
        <v>134880213</v>
      </c>
      <c r="D40">
        <f>SUMIFS('EIA-861 Sales 2024'!$Y$4:$Y$2819,'EIA-861 Sales 2024'!$G$4:$G$2819,$A40,'EIA-861 Sales 2024'!$Z$4:$Z$2819,"unclassified")</f>
        <v>0</v>
      </c>
      <c r="E40">
        <f t="shared" si="3"/>
        <v>138150970</v>
      </c>
      <c r="F40">
        <f t="shared" si="4"/>
        <v>2.3675237314656566E-2</v>
      </c>
      <c r="G40">
        <f t="shared" si="5"/>
        <v>0.97632476268534341</v>
      </c>
    </row>
    <row r="41" spans="1:7" x14ac:dyDescent="0.25">
      <c r="A41" t="s">
        <v>56</v>
      </c>
      <c r="B41">
        <f>SUMIFS('EIA-861 Sales 2024'!$Y$4:$Y$2819,'EIA-861 Sales 2024'!$G$4:$G$2819,$A41,'EIA-861 Sales 2024'!$Z$4:$Z$2819,"cost_service")</f>
        <v>69825</v>
      </c>
      <c r="C41">
        <f>SUMIFS('EIA-861 Sales 2024'!$Y$4:$Y$2819,'EIA-861 Sales 2024'!$G$4:$G$2819,$A41,'EIA-861 Sales 2024'!$Z$4:$Z$2819,"procurement")</f>
        <v>6894306</v>
      </c>
      <c r="D41">
        <f>SUMIFS('EIA-861 Sales 2024'!$Y$4:$Y$2819,'EIA-861 Sales 2024'!$G$4:$G$2819,$A41,'EIA-861 Sales 2024'!$Z$4:$Z$2819,"unclassified")</f>
        <v>0</v>
      </c>
      <c r="E41">
        <f t="shared" si="3"/>
        <v>6964131</v>
      </c>
      <c r="F41">
        <f t="shared" si="4"/>
        <v>1.0026376585966001E-2</v>
      </c>
      <c r="G41">
        <f t="shared" si="5"/>
        <v>0.98997362341403394</v>
      </c>
    </row>
    <row r="42" spans="1:7" x14ac:dyDescent="0.25">
      <c r="A42" t="s">
        <v>106</v>
      </c>
      <c r="B42">
        <f>SUMIFS('EIA-861 Sales 2024'!$Y$4:$Y$2819,'EIA-861 Sales 2024'!$G$4:$G$2819,$A42,'EIA-861 Sales 2024'!$Z$4:$Z$2819,"cost_service")</f>
        <v>82292168</v>
      </c>
      <c r="C42">
        <f>SUMIFS('EIA-861 Sales 2024'!$Y$4:$Y$2819,'EIA-861 Sales 2024'!$G$4:$G$2819,$A42,'EIA-861 Sales 2024'!$Z$4:$Z$2819,"procurement")</f>
        <v>0</v>
      </c>
      <c r="D42">
        <f>SUMIFS('EIA-861 Sales 2024'!$Y$4:$Y$2819,'EIA-861 Sales 2024'!$G$4:$G$2819,$A42,'EIA-861 Sales 2024'!$Z$4:$Z$2819,"unclassified")</f>
        <v>0</v>
      </c>
      <c r="E42">
        <f t="shared" si="3"/>
        <v>82292168</v>
      </c>
      <c r="F42">
        <f t="shared" si="4"/>
        <v>1</v>
      </c>
      <c r="G42">
        <f t="shared" si="5"/>
        <v>0</v>
      </c>
    </row>
    <row r="43" spans="1:7" x14ac:dyDescent="0.25">
      <c r="A43" t="s">
        <v>224</v>
      </c>
      <c r="B43">
        <f>SUMIFS('EIA-861 Sales 2024'!$Y$4:$Y$2819,'EIA-861 Sales 2024'!$G$4:$G$2819,$A43,'EIA-861 Sales 2024'!$Z$4:$Z$2819,"cost_service")</f>
        <v>10890336</v>
      </c>
      <c r="C43">
        <f>SUMIFS('EIA-861 Sales 2024'!$Y$4:$Y$2819,'EIA-861 Sales 2024'!$G$4:$G$2819,$A43,'EIA-861 Sales 2024'!$Z$4:$Z$2819,"procurement")</f>
        <v>0</v>
      </c>
      <c r="D43">
        <f>SUMIFS('EIA-861 Sales 2024'!$Y$4:$Y$2819,'EIA-861 Sales 2024'!$G$4:$G$2819,$A43,'EIA-861 Sales 2024'!$Z$4:$Z$2819,"unclassified")</f>
        <v>0</v>
      </c>
      <c r="E43">
        <f t="shared" si="3"/>
        <v>10890336</v>
      </c>
      <c r="F43">
        <f t="shared" si="4"/>
        <v>1</v>
      </c>
      <c r="G43">
        <f t="shared" si="5"/>
        <v>0</v>
      </c>
    </row>
    <row r="44" spans="1:7" x14ac:dyDescent="0.25">
      <c r="A44" t="s">
        <v>156</v>
      </c>
      <c r="B44">
        <f>SUMIFS('EIA-861 Sales 2024'!$Y$4:$Y$2819,'EIA-861 Sales 2024'!$G$4:$G$2819,$A44,'EIA-861 Sales 2024'!$Z$4:$Z$2819,"cost_service")</f>
        <v>102900580</v>
      </c>
      <c r="C44">
        <f>SUMIFS('EIA-861 Sales 2024'!$Y$4:$Y$2819,'EIA-861 Sales 2024'!$G$4:$G$2819,$A44,'EIA-861 Sales 2024'!$Z$4:$Z$2819,"procurement")</f>
        <v>0</v>
      </c>
      <c r="D44">
        <f>SUMIFS('EIA-861 Sales 2024'!$Y$4:$Y$2819,'EIA-861 Sales 2024'!$G$4:$G$2819,$A44,'EIA-861 Sales 2024'!$Z$4:$Z$2819,"unclassified")</f>
        <v>0</v>
      </c>
      <c r="E44">
        <f t="shared" si="3"/>
        <v>102900580</v>
      </c>
      <c r="F44">
        <f t="shared" si="4"/>
        <v>1</v>
      </c>
      <c r="G44">
        <f t="shared" si="5"/>
        <v>0</v>
      </c>
    </row>
    <row r="45" spans="1:7" x14ac:dyDescent="0.25">
      <c r="A45" t="s">
        <v>57</v>
      </c>
      <c r="B45">
        <f>SUMIFS('EIA-861 Sales 2024'!$Y$4:$Y$2819,'EIA-861 Sales 2024'!$G$4:$G$2819,$A45,'EIA-861 Sales 2024'!$Z$4:$Z$2819,"cost_service")</f>
        <v>169512277</v>
      </c>
      <c r="C45">
        <f>SUMIFS('EIA-861 Sales 2024'!$Y$4:$Y$2819,'EIA-861 Sales 2024'!$G$4:$G$2819,$A45,'EIA-861 Sales 2024'!$Z$4:$Z$2819,"procurement")</f>
        <v>321659114</v>
      </c>
      <c r="D45">
        <f>SUMIFS('EIA-861 Sales 2024'!$Y$4:$Y$2819,'EIA-861 Sales 2024'!$G$4:$G$2819,$A45,'EIA-861 Sales 2024'!$Z$4:$Z$2819,"unclassified")</f>
        <v>0</v>
      </c>
      <c r="E45">
        <f t="shared" si="3"/>
        <v>491171391</v>
      </c>
      <c r="F45">
        <f t="shared" si="4"/>
        <v>0.34511838455183969</v>
      </c>
      <c r="G45">
        <f t="shared" si="5"/>
        <v>0.65488161544816037</v>
      </c>
    </row>
    <row r="46" spans="1:7" x14ac:dyDescent="0.25">
      <c r="A46" t="s">
        <v>245</v>
      </c>
      <c r="B46">
        <f>SUMIFS('EIA-861 Sales 2024'!$Y$4:$Y$2819,'EIA-861 Sales 2024'!$G$4:$G$2819,$A46,'EIA-861 Sales 2024'!$Z$4:$Z$2819,"cost_service")</f>
        <v>32907458</v>
      </c>
      <c r="C46">
        <f>SUMIFS('EIA-861 Sales 2024'!$Y$4:$Y$2819,'EIA-861 Sales 2024'!$G$4:$G$2819,$A46,'EIA-861 Sales 2024'!$Z$4:$Z$2819,"procurement")</f>
        <v>0</v>
      </c>
      <c r="D46">
        <f>SUMIFS('EIA-861 Sales 2024'!$Y$4:$Y$2819,'EIA-861 Sales 2024'!$G$4:$G$2819,$A46,'EIA-861 Sales 2024'!$Z$4:$Z$2819,"unclassified")</f>
        <v>0</v>
      </c>
      <c r="E46">
        <f t="shared" si="3"/>
        <v>32907458</v>
      </c>
      <c r="F46">
        <f t="shared" si="4"/>
        <v>1</v>
      </c>
      <c r="G46">
        <f t="shared" si="5"/>
        <v>0</v>
      </c>
    </row>
    <row r="47" spans="1:7" x14ac:dyDescent="0.25">
      <c r="A47" t="s">
        <v>93</v>
      </c>
      <c r="B47">
        <f>SUMIFS('EIA-861 Sales 2024'!$Y$4:$Y$2819,'EIA-861 Sales 2024'!$G$4:$G$2819,$A47,'EIA-861 Sales 2024'!$Z$4:$Z$2819,"cost_service")</f>
        <v>130530594</v>
      </c>
      <c r="C47">
        <f>SUMIFS('EIA-861 Sales 2024'!$Y$4:$Y$2819,'EIA-861 Sales 2024'!$G$4:$G$2819,$A47,'EIA-861 Sales 2024'!$Z$4:$Z$2819,"procurement")</f>
        <v>5597616</v>
      </c>
      <c r="D47">
        <f>SUMIFS('EIA-861 Sales 2024'!$Y$4:$Y$2819,'EIA-861 Sales 2024'!$G$4:$G$2819,$A47,'EIA-861 Sales 2024'!$Z$4:$Z$2819,"unclassified")</f>
        <v>0</v>
      </c>
      <c r="E47">
        <f t="shared" si="3"/>
        <v>136128210</v>
      </c>
      <c r="F47">
        <f t="shared" si="4"/>
        <v>0.95887982366035662</v>
      </c>
      <c r="G47">
        <f t="shared" si="5"/>
        <v>4.1120176339643343E-2</v>
      </c>
    </row>
    <row r="48" spans="1:7" x14ac:dyDescent="0.25">
      <c r="A48" t="s">
        <v>269</v>
      </c>
      <c r="B48">
        <f>SUMIFS('EIA-861 Sales 2024'!$Y$4:$Y$2819,'EIA-861 Sales 2024'!$G$4:$G$2819,$A48,'EIA-861 Sales 2024'!$Z$4:$Z$2819,"cost_service")</f>
        <v>4882670</v>
      </c>
      <c r="C48">
        <f>SUMIFS('EIA-861 Sales 2024'!$Y$4:$Y$2819,'EIA-861 Sales 2024'!$G$4:$G$2819,$A48,'EIA-861 Sales 2024'!$Z$4:$Z$2819,"procurement")</f>
        <v>0</v>
      </c>
      <c r="D48">
        <f>SUMIFS('EIA-861 Sales 2024'!$Y$4:$Y$2819,'EIA-861 Sales 2024'!$G$4:$G$2819,$A48,'EIA-861 Sales 2024'!$Z$4:$Z$2819,"unclassified")</f>
        <v>0</v>
      </c>
      <c r="E48">
        <f t="shared" si="3"/>
        <v>4882670</v>
      </c>
      <c r="F48">
        <f t="shared" si="4"/>
        <v>1</v>
      </c>
      <c r="G48">
        <f t="shared" si="5"/>
        <v>0</v>
      </c>
    </row>
    <row r="49" spans="1:7" x14ac:dyDescent="0.25">
      <c r="A49" t="s">
        <v>148</v>
      </c>
      <c r="B49">
        <f>SUMIFS('EIA-861 Sales 2024'!$Y$4:$Y$2819,'EIA-861 Sales 2024'!$G$4:$G$2819,$A49,'EIA-861 Sales 2024'!$Z$4:$Z$2819,"cost_service")</f>
        <v>86212133</v>
      </c>
      <c r="C49">
        <f>SUMIFS('EIA-861 Sales 2024'!$Y$4:$Y$2819,'EIA-861 Sales 2024'!$G$4:$G$2819,$A49,'EIA-861 Sales 2024'!$Z$4:$Z$2819,"procurement")</f>
        <v>1442361</v>
      </c>
      <c r="D49">
        <f>SUMIFS('EIA-861 Sales 2024'!$Y$4:$Y$2819,'EIA-861 Sales 2024'!$G$4:$G$2819,$A49,'EIA-861 Sales 2024'!$Z$4:$Z$2819,"unclassified")</f>
        <v>0</v>
      </c>
      <c r="E49">
        <f t="shared" si="3"/>
        <v>87654494</v>
      </c>
      <c r="F49">
        <f t="shared" si="4"/>
        <v>0.98354492811287009</v>
      </c>
      <c r="G49">
        <f t="shared" si="5"/>
        <v>1.6455071887129941E-2</v>
      </c>
    </row>
    <row r="50" spans="1:7" x14ac:dyDescent="0.25">
      <c r="A50" t="s">
        <v>95</v>
      </c>
      <c r="B50">
        <f>SUMIFS('EIA-861 Sales 2024'!$Y$4:$Y$2819,'EIA-861 Sales 2024'!$G$4:$G$2819,$A50,'EIA-861 Sales 2024'!$Z$4:$Z$2819,"cost_service")</f>
        <v>65054211</v>
      </c>
      <c r="C50">
        <f>SUMIFS('EIA-861 Sales 2024'!$Y$4:$Y$2819,'EIA-861 Sales 2024'!$G$4:$G$2819,$A50,'EIA-861 Sales 2024'!$Z$4:$Z$2819,"procurement")</f>
        <v>0</v>
      </c>
      <c r="D50">
        <f>SUMIFS('EIA-861 Sales 2024'!$Y$4:$Y$2819,'EIA-861 Sales 2024'!$G$4:$G$2819,$A50,'EIA-861 Sales 2024'!$Z$4:$Z$2819,"unclassified")</f>
        <v>0</v>
      </c>
      <c r="E50">
        <f t="shared" si="3"/>
        <v>65054211</v>
      </c>
      <c r="F50">
        <f t="shared" si="4"/>
        <v>1</v>
      </c>
      <c r="G50">
        <f t="shared" si="5"/>
        <v>0</v>
      </c>
    </row>
    <row r="51" spans="1:7" x14ac:dyDescent="0.25">
      <c r="A51" t="s">
        <v>166</v>
      </c>
      <c r="B51">
        <f>SUMIFS('EIA-861 Sales 2024'!$Y$4:$Y$2819,'EIA-861 Sales 2024'!$G$4:$G$2819,$A51,'EIA-861 Sales 2024'!$Z$4:$Z$2819,"cost_service")</f>
        <v>32836065</v>
      </c>
      <c r="C51">
        <f>SUMIFS('EIA-861 Sales 2024'!$Y$4:$Y$2819,'EIA-861 Sales 2024'!$G$4:$G$2819,$A51,'EIA-861 Sales 2024'!$Z$4:$Z$2819,"procurement")</f>
        <v>0</v>
      </c>
      <c r="D51">
        <f>SUMIFS('EIA-861 Sales 2024'!$Y$4:$Y$2819,'EIA-861 Sales 2024'!$G$4:$G$2819,$A51,'EIA-861 Sales 2024'!$Z$4:$Z$2819,"unclassified")</f>
        <v>0</v>
      </c>
      <c r="E51">
        <f t="shared" si="3"/>
        <v>32836065</v>
      </c>
      <c r="F51">
        <f t="shared" si="4"/>
        <v>1</v>
      </c>
      <c r="G51">
        <f t="shared" si="5"/>
        <v>0</v>
      </c>
    </row>
    <row r="52" spans="1:7" x14ac:dyDescent="0.25">
      <c r="A52" t="s">
        <v>323</v>
      </c>
      <c r="B52">
        <f>SUMIFS('EIA-861 Sales 2024'!$Y$4:$Y$2819,'EIA-861 Sales 2024'!$G$4:$G$2819,$A52,'EIA-861 Sales 2024'!$Z$4:$Z$2819,"cost_service")</f>
        <v>16066797</v>
      </c>
      <c r="C52">
        <f>SUMIFS('EIA-861 Sales 2024'!$Y$4:$Y$2819,'EIA-861 Sales 2024'!$G$4:$G$2819,$A52,'EIA-861 Sales 2024'!$Z$4:$Z$2819,"procurement")</f>
        <v>0</v>
      </c>
      <c r="D52">
        <f>SUMIFS('EIA-861 Sales 2024'!$Y$4:$Y$2819,'EIA-861 Sales 2024'!$G$4:$G$2819,$A52,'EIA-861 Sales 2024'!$Z$4:$Z$2819,"unclassified")</f>
        <v>0</v>
      </c>
      <c r="E52">
        <f t="shared" si="3"/>
        <v>16066797</v>
      </c>
      <c r="F52">
        <f t="shared" si="4"/>
        <v>1</v>
      </c>
      <c r="G52">
        <f t="shared" si="5"/>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G2"/>
  <sheetViews>
    <sheetView workbookViewId="0">
      <pane ySplit="1" topLeftCell="A2" activePane="bottomLeft" state="frozen"/>
      <selection pane="bottomLeft"/>
    </sheetView>
  </sheetViews>
  <sheetFormatPr defaultRowHeight="15" x14ac:dyDescent="0.25"/>
  <cols>
    <col min="2" max="7" width="17" customWidth="1"/>
  </cols>
  <sheetData>
    <row r="1" spans="1:7" x14ac:dyDescent="0.25">
      <c r="A1" s="6" t="s">
        <v>1717</v>
      </c>
      <c r="B1" s="6" t="s">
        <v>1711</v>
      </c>
      <c r="C1" s="6" t="s">
        <v>1712</v>
      </c>
      <c r="D1" s="6" t="s">
        <v>1718</v>
      </c>
      <c r="E1" s="6" t="s">
        <v>1714</v>
      </c>
      <c r="F1" s="6" t="s">
        <v>1715</v>
      </c>
      <c r="G1" s="6" t="s">
        <v>1716</v>
      </c>
    </row>
    <row r="2" spans="1:7" x14ac:dyDescent="0.25">
      <c r="A2" t="s">
        <v>1719</v>
      </c>
      <c r="B2">
        <f>SUMIFS('EIA-861 Sales 2024'!$Y$4:$Y$2819,'EIA-861 Sales 2024'!$Z$4:$Z$2819,"cost_service")</f>
        <v>2669507383</v>
      </c>
      <c r="C2">
        <f>SUMIFS('EIA-861 Sales 2024'!$Y$4:$Y$2819,'EIA-861 Sales 2024'!$Z$4:$Z$2819,"procurement")</f>
        <v>1165882590</v>
      </c>
      <c r="D2">
        <f>SUMIFS('EIA-861 Sales 2024'!$Y$4:$Y$2819,'EIA-861 Sales 2024'!$Z$4:$Z$2819,"excluded")</f>
        <v>733508256</v>
      </c>
      <c r="E2">
        <f>B2+C2</f>
        <v>3835389973</v>
      </c>
      <c r="F2">
        <f>IF($E2=0,0,B2/$E2)</f>
        <v>0.69601980549371378</v>
      </c>
      <c r="G2">
        <f>IF($E2=0,0,C2/$E2)</f>
        <v>0.30398019450628627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E2"/>
  <sheetViews>
    <sheetView workbookViewId="0">
      <pane xSplit="1" ySplit="1" topLeftCell="B2" activePane="bottomRight" state="frozen"/>
      <selection pane="topRight"/>
      <selection pane="bottomLeft"/>
      <selection pane="bottomRight"/>
    </sheetView>
  </sheetViews>
  <sheetFormatPr defaultRowHeight="15" x14ac:dyDescent="0.25"/>
  <sheetData>
    <row r="1" spans="1:31" x14ac:dyDescent="0.25">
      <c r="A1" t="s">
        <v>1720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1721</v>
      </c>
      <c r="B2">
        <f>ROUND('US National'!$F$2,3)</f>
        <v>0.69599999999999995</v>
      </c>
      <c r="C2">
        <f>ROUND('US National'!$F$2,3)</f>
        <v>0.69599999999999995</v>
      </c>
      <c r="D2">
        <f>ROUND('US National'!$F$2,3)</f>
        <v>0.69599999999999995</v>
      </c>
      <c r="E2">
        <f>ROUND('US National'!$F$2,3)</f>
        <v>0.69599999999999995</v>
      </c>
      <c r="F2">
        <f>ROUND('US National'!$F$2,3)</f>
        <v>0.69599999999999995</v>
      </c>
      <c r="G2">
        <f>ROUND('US National'!$F$2,3)</f>
        <v>0.69599999999999995</v>
      </c>
      <c r="H2">
        <f>ROUND('US National'!$F$2,3)</f>
        <v>0.69599999999999995</v>
      </c>
      <c r="I2">
        <f>ROUND('US National'!$F$2,3)</f>
        <v>0.69599999999999995</v>
      </c>
      <c r="J2">
        <f>ROUND('US National'!$F$2,3)</f>
        <v>0.69599999999999995</v>
      </c>
      <c r="K2">
        <f>ROUND('US National'!$F$2,3)</f>
        <v>0.69599999999999995</v>
      </c>
      <c r="L2">
        <f>ROUND('US National'!$F$2,3)</f>
        <v>0.69599999999999995</v>
      </c>
      <c r="M2">
        <f>ROUND('US National'!$F$2,3)</f>
        <v>0.69599999999999995</v>
      </c>
      <c r="N2">
        <f>ROUND('US National'!$F$2,3)</f>
        <v>0.69599999999999995</v>
      </c>
      <c r="O2">
        <f>ROUND('US National'!$F$2,3)</f>
        <v>0.69599999999999995</v>
      </c>
      <c r="P2">
        <f>ROUND('US National'!$F$2,3)</f>
        <v>0.69599999999999995</v>
      </c>
      <c r="Q2">
        <f>ROUND('US National'!$F$2,3)</f>
        <v>0.69599999999999995</v>
      </c>
      <c r="R2">
        <f>ROUND('US National'!$F$2,3)</f>
        <v>0.69599999999999995</v>
      </c>
      <c r="S2">
        <f>ROUND('US National'!$F$2,3)</f>
        <v>0.69599999999999995</v>
      </c>
      <c r="T2">
        <f>ROUND('US National'!$F$2,3)</f>
        <v>0.69599999999999995</v>
      </c>
      <c r="U2">
        <f>ROUND('US National'!$F$2,3)</f>
        <v>0.69599999999999995</v>
      </c>
      <c r="V2">
        <f>ROUND('US National'!$F$2,3)</f>
        <v>0.69599999999999995</v>
      </c>
      <c r="W2">
        <f>ROUND('US National'!$F$2,3)</f>
        <v>0.69599999999999995</v>
      </c>
      <c r="X2">
        <f>ROUND('US National'!$F$2,3)</f>
        <v>0.69599999999999995</v>
      </c>
      <c r="Y2">
        <f>ROUND('US National'!$F$2,3)</f>
        <v>0.69599999999999995</v>
      </c>
      <c r="Z2">
        <f>ROUND('US National'!$F$2,3)</f>
        <v>0.69599999999999995</v>
      </c>
      <c r="AA2">
        <f>ROUND('US National'!$F$2,3)</f>
        <v>0.69599999999999995</v>
      </c>
      <c r="AB2">
        <f>ROUND('US National'!$F$2,3)</f>
        <v>0.69599999999999995</v>
      </c>
      <c r="AC2">
        <f>ROUND('US National'!$F$2,3)</f>
        <v>0.69599999999999995</v>
      </c>
      <c r="AD2">
        <f>ROUND('US National'!$F$2,3)</f>
        <v>0.69599999999999995</v>
      </c>
      <c r="AE2">
        <f>ROUND('US National'!$F$2,3)</f>
        <v>0.69599999999999995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Parameters</vt:lpstr>
      <vt:lpstr>EIA-861 Sales 2024</vt:lpstr>
      <vt:lpstr>State Shares</vt:lpstr>
      <vt:lpstr>US National</vt:lpstr>
      <vt:lpstr>SoEDtICoS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Megan Mahajan</cp:lastModifiedBy>
  <dcterms:created xsi:type="dcterms:W3CDTF">2026-06-01T20:46:25Z</dcterms:created>
  <dcterms:modified xsi:type="dcterms:W3CDTF">2026-08-25T16:35:41Z</dcterms:modified>
</cp:coreProperties>
</file>