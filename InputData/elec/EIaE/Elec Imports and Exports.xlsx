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MeganMahajan\Documents\eps-us\InputData\elec\EIaE\"/>
    </mc:Choice>
  </mc:AlternateContent>
  <xr:revisionPtr revIDLastSave="0" documentId="13_ncr:1_{8A6DAB35-7C71-4D66-8DDB-53E994AA5254}" xr6:coauthVersionLast="47" xr6:coauthVersionMax="47" xr10:uidLastSave="{00000000-0000-0000-0000-000000000000}"/>
  <bookViews>
    <workbookView xWindow="-120" yWindow="-120" windowWidth="29040" windowHeight="17520" firstSheet="6" activeTab="11" xr2:uid="{00000000-000D-0000-FFFF-FFFF00000000}"/>
  </bookViews>
  <sheets>
    <sheet name="About" sheetId="1" r:id="rId1"/>
    <sheet name="Source Data&gt;" sheetId="2" r:id="rId2"/>
    <sheet name="AEO Table 10 2025" sheetId="3" r:id="rId3"/>
    <sheet name="Canada Generation Projection" sheetId="4" r:id="rId4"/>
    <sheet name="Canada NG Gen by Turbine Type" sheetId="5" r:id="rId5"/>
    <sheet name="Canada Elec Mix" sheetId="6" r:id="rId6"/>
    <sheet name="AEO Table 3 2025" sheetId="7" r:id="rId7"/>
    <sheet name="Calcs&gt;" sheetId="8" r:id="rId8"/>
    <sheet name="calcs" sheetId="9" r:id="rId9"/>
    <sheet name="EIaE-BIE" sheetId="10" r:id="rId10"/>
    <sheet name="EIaE-BEE" sheetId="11" r:id="rId11"/>
    <sheet name="EIaE-IEP" sheetId="12" r:id="rId12"/>
    <sheet name="AEO Table 10 2026" sheetId="13" r:id="rId13"/>
    <sheet name="AEO Table 3 2026" sheetId="14" r:id="rId14"/>
  </sheets>
  <externalReferences>
    <externalReference r:id="rId15"/>
  </externalReferences>
  <definedNames>
    <definedName name="lignite_multiplier">'[1]Hard Coal and Lig Multipliers'!$N$16</definedName>
    <definedName name="nonlignite_multiplier">'[1]Hard Coal and Lig Multipliers'!$N$17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9" l="1"/>
  <c r="E31" i="9"/>
  <c r="F31" i="9"/>
  <c r="G31" i="9"/>
  <c r="H31" i="9"/>
  <c r="I31" i="9"/>
  <c r="J31" i="9"/>
  <c r="K31" i="9"/>
  <c r="L31" i="9"/>
  <c r="M31" i="9"/>
  <c r="N31" i="9"/>
  <c r="O31" i="9"/>
  <c r="P31" i="9"/>
  <c r="Q31" i="9"/>
  <c r="R31" i="9"/>
  <c r="S31" i="9"/>
  <c r="T31" i="9"/>
  <c r="U31" i="9"/>
  <c r="V31" i="9"/>
  <c r="W31" i="9"/>
  <c r="X31" i="9"/>
  <c r="Y31" i="9"/>
  <c r="Z31" i="9"/>
  <c r="AA31" i="9"/>
  <c r="AB31" i="9"/>
  <c r="C31" i="9"/>
  <c r="AA2" i="12" l="1"/>
  <c r="Z2" i="12"/>
  <c r="Y2" i="12"/>
  <c r="X2" i="12"/>
  <c r="S2" i="12"/>
  <c r="R2" i="12"/>
  <c r="Q2" i="12"/>
  <c r="P2" i="12"/>
  <c r="M2" i="12"/>
  <c r="H2" i="12"/>
  <c r="E2" i="12"/>
  <c r="D2" i="12"/>
  <c r="C2" i="12"/>
  <c r="B2" i="12"/>
  <c r="X2" i="11"/>
  <c r="W2" i="11"/>
  <c r="V2" i="11"/>
  <c r="U2" i="11"/>
  <c r="R2" i="11"/>
  <c r="M2" i="11"/>
  <c r="J2" i="11"/>
  <c r="I2" i="11"/>
  <c r="H2" i="11"/>
  <c r="G2" i="11"/>
  <c r="B2" i="11"/>
  <c r="AB25" i="10"/>
  <c r="AA25" i="10"/>
  <c r="Z25" i="10"/>
  <c r="Y25" i="10"/>
  <c r="X25" i="10"/>
  <c r="W25" i="10"/>
  <c r="V25" i="10"/>
  <c r="U25" i="10"/>
  <c r="T25" i="10"/>
  <c r="S25" i="10"/>
  <c r="R25" i="10"/>
  <c r="Q25" i="10"/>
  <c r="P25" i="10"/>
  <c r="O25" i="10"/>
  <c r="N25" i="10"/>
  <c r="M25" i="10"/>
  <c r="L25" i="10"/>
  <c r="K25" i="10"/>
  <c r="J25" i="10"/>
  <c r="I25" i="10"/>
  <c r="H25" i="10"/>
  <c r="G25" i="10"/>
  <c r="F25" i="10"/>
  <c r="E25" i="10"/>
  <c r="D25" i="10"/>
  <c r="C25" i="10"/>
  <c r="B25"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B24"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B23"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B22"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B21"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B20" i="10"/>
  <c r="AB19" i="10"/>
  <c r="AA19" i="10"/>
  <c r="Z19" i="10"/>
  <c r="Y19" i="10"/>
  <c r="X19" i="10"/>
  <c r="W19" i="10"/>
  <c r="V19" i="10"/>
  <c r="U19" i="10"/>
  <c r="T19" i="10"/>
  <c r="S19" i="10"/>
  <c r="R19" i="10"/>
  <c r="Q19" i="10"/>
  <c r="P19" i="10"/>
  <c r="O19" i="10"/>
  <c r="N19" i="10"/>
  <c r="M19" i="10"/>
  <c r="L19" i="10"/>
  <c r="K19" i="10"/>
  <c r="J19" i="10"/>
  <c r="I19" i="10"/>
  <c r="H19" i="10"/>
  <c r="G19" i="10"/>
  <c r="F19" i="10"/>
  <c r="E19" i="10"/>
  <c r="D19" i="10"/>
  <c r="C19" i="10"/>
  <c r="B19" i="10"/>
  <c r="AB18" i="10"/>
  <c r="AA18" i="10"/>
  <c r="Z18" i="10"/>
  <c r="T18" i="10"/>
  <c r="S18" i="10"/>
  <c r="R18" i="10"/>
  <c r="Q18" i="10"/>
  <c r="O18" i="10"/>
  <c r="N18" i="10"/>
  <c r="H18" i="10"/>
  <c r="F18" i="10"/>
  <c r="E18" i="10"/>
  <c r="D18" i="10"/>
  <c r="C18" i="10"/>
  <c r="B18" i="10"/>
  <c r="Y17" i="10"/>
  <c r="X17" i="10"/>
  <c r="W17" i="10"/>
  <c r="V17" i="10"/>
  <c r="T17" i="10"/>
  <c r="S17" i="10"/>
  <c r="M17" i="10"/>
  <c r="K17" i="10"/>
  <c r="J17" i="10"/>
  <c r="I17" i="10"/>
  <c r="H17" i="10"/>
  <c r="C17" i="10"/>
  <c r="B17" i="10"/>
  <c r="AB16" i="10"/>
  <c r="AA16" i="10"/>
  <c r="Y16" i="10"/>
  <c r="X16" i="10"/>
  <c r="R16" i="10"/>
  <c r="P16" i="10"/>
  <c r="O16" i="10"/>
  <c r="N16" i="10"/>
  <c r="M16" i="10"/>
  <c r="G16" i="10"/>
  <c r="F16" i="10"/>
  <c r="E16" i="10"/>
  <c r="C16" i="10"/>
  <c r="B16" i="10"/>
  <c r="U15" i="10"/>
  <c r="T15" i="10"/>
  <c r="S15" i="10"/>
  <c r="R15" i="10"/>
  <c r="L15" i="10"/>
  <c r="K15" i="10"/>
  <c r="J15" i="10"/>
  <c r="H15" i="10"/>
  <c r="G15" i="10"/>
  <c r="Z14" i="10"/>
  <c r="Y14" i="10"/>
  <c r="X14" i="10"/>
  <c r="W14" i="10"/>
  <c r="V14" i="10"/>
  <c r="Q14" i="10"/>
  <c r="P14" i="10"/>
  <c r="O14" i="10"/>
  <c r="M14" i="10"/>
  <c r="L14" i="10"/>
  <c r="D14" i="10"/>
  <c r="C14" i="10"/>
  <c r="B14" i="10"/>
  <c r="L12" i="10"/>
  <c r="K12" i="10"/>
  <c r="J12" i="10"/>
  <c r="D12" i="10"/>
  <c r="C12" i="10"/>
  <c r="AB11" i="10"/>
  <c r="AA11" i="10"/>
  <c r="S11" i="10"/>
  <c r="R11" i="10"/>
  <c r="Q11" i="10"/>
  <c r="P11" i="10"/>
  <c r="J11" i="10"/>
  <c r="I11" i="10"/>
  <c r="H11" i="10"/>
  <c r="F11" i="10"/>
  <c r="E11" i="10"/>
  <c r="T10" i="10"/>
  <c r="O10" i="10"/>
  <c r="AB9" i="10"/>
  <c r="AA9" i="10"/>
  <c r="Y9" i="10"/>
  <c r="T9" i="10"/>
  <c r="S9" i="10"/>
  <c r="R9" i="10"/>
  <c r="P9" i="10"/>
  <c r="O9" i="10"/>
  <c r="J9" i="10"/>
  <c r="G9" i="10"/>
  <c r="F9" i="10"/>
  <c r="E9" i="10"/>
  <c r="Y8" i="10"/>
  <c r="W8" i="10"/>
  <c r="O8" i="10"/>
  <c r="J8" i="10"/>
  <c r="C8" i="10"/>
  <c r="B8" i="10"/>
  <c r="T7" i="10"/>
  <c r="O7" i="10"/>
  <c r="Y6" i="10"/>
  <c r="T6" i="10"/>
  <c r="C6" i="10"/>
  <c r="X5" i="10"/>
  <c r="C5" i="10"/>
  <c r="R2" i="10"/>
  <c r="I2" i="10"/>
  <c r="AB2" i="12"/>
  <c r="W2" i="12"/>
  <c r="V2" i="12"/>
  <c r="U2" i="12"/>
  <c r="T2" i="12"/>
  <c r="O2" i="12"/>
  <c r="N2" i="12"/>
  <c r="L2" i="12"/>
  <c r="K2" i="12"/>
  <c r="J2" i="12"/>
  <c r="I2" i="12"/>
  <c r="G2" i="12"/>
  <c r="F2" i="12"/>
  <c r="B31" i="9"/>
  <c r="AB28" i="9"/>
  <c r="AB2" i="11" s="1"/>
  <c r="AA28" i="9"/>
  <c r="AA2" i="11" s="1"/>
  <c r="Z28" i="9"/>
  <c r="Z2" i="11" s="1"/>
  <c r="Y28" i="9"/>
  <c r="Y2" i="11" s="1"/>
  <c r="X28" i="9"/>
  <c r="W28" i="9"/>
  <c r="V28" i="9"/>
  <c r="U28" i="9"/>
  <c r="T28" i="9"/>
  <c r="T2" i="11" s="1"/>
  <c r="S28" i="9"/>
  <c r="S2" i="11" s="1"/>
  <c r="R28" i="9"/>
  <c r="Q28" i="9"/>
  <c r="Q2" i="11" s="1"/>
  <c r="P28" i="9"/>
  <c r="P2" i="11" s="1"/>
  <c r="O28" i="9"/>
  <c r="O2" i="11" s="1"/>
  <c r="N28" i="9"/>
  <c r="N2" i="11" s="1"/>
  <c r="M28" i="9"/>
  <c r="L28" i="9"/>
  <c r="L2" i="11" s="1"/>
  <c r="K28" i="9"/>
  <c r="K2" i="11" s="1"/>
  <c r="J28" i="9"/>
  <c r="I28" i="9"/>
  <c r="H28" i="9"/>
  <c r="G28" i="9"/>
  <c r="F28" i="9"/>
  <c r="F2" i="11" s="1"/>
  <c r="E28" i="9"/>
  <c r="E2" i="11" s="1"/>
  <c r="D28" i="9"/>
  <c r="D2" i="11" s="1"/>
  <c r="C28" i="9"/>
  <c r="C2" i="11" s="1"/>
  <c r="B28" i="9"/>
  <c r="AB18" i="9"/>
  <c r="AA18" i="9"/>
  <c r="Z18" i="9"/>
  <c r="Y18" i="9"/>
  <c r="Y18" i="10" s="1"/>
  <c r="X18" i="9"/>
  <c r="X18" i="10" s="1"/>
  <c r="W18" i="9"/>
  <c r="W18" i="10" s="1"/>
  <c r="V18" i="9"/>
  <c r="V18" i="10" s="1"/>
  <c r="U18" i="9"/>
  <c r="U18" i="10" s="1"/>
  <c r="T18" i="9"/>
  <c r="S18" i="9"/>
  <c r="R18" i="9"/>
  <c r="Q18" i="9"/>
  <c r="P18" i="9"/>
  <c r="P18" i="10" s="1"/>
  <c r="O18" i="9"/>
  <c r="N18" i="9"/>
  <c r="M18" i="9"/>
  <c r="M18" i="10" s="1"/>
  <c r="L18" i="9"/>
  <c r="L18" i="10" s="1"/>
  <c r="K18" i="9"/>
  <c r="K18" i="10" s="1"/>
  <c r="J18" i="9"/>
  <c r="J18" i="10" s="1"/>
  <c r="I18" i="9"/>
  <c r="I18" i="10" s="1"/>
  <c r="H18" i="9"/>
  <c r="G18" i="9"/>
  <c r="G18" i="10" s="1"/>
  <c r="F18" i="9"/>
  <c r="E18" i="9"/>
  <c r="D18" i="9"/>
  <c r="C18" i="9"/>
  <c r="B18" i="9"/>
  <c r="AB17" i="9"/>
  <c r="AB17" i="10" s="1"/>
  <c r="AA17" i="9"/>
  <c r="AA17" i="10" s="1"/>
  <c r="Z17" i="9"/>
  <c r="Z17" i="10" s="1"/>
  <c r="Y17" i="9"/>
  <c r="X17" i="9"/>
  <c r="W17" i="9"/>
  <c r="V17" i="9"/>
  <c r="U17" i="9"/>
  <c r="U17" i="10" s="1"/>
  <c r="T17" i="9"/>
  <c r="S17" i="9"/>
  <c r="R17" i="9"/>
  <c r="R17" i="10" s="1"/>
  <c r="Q17" i="9"/>
  <c r="Q17" i="10" s="1"/>
  <c r="P17" i="9"/>
  <c r="P17" i="10" s="1"/>
  <c r="O17" i="9"/>
  <c r="O17" i="10" s="1"/>
  <c r="N17" i="9"/>
  <c r="N17" i="10" s="1"/>
  <c r="M17" i="9"/>
  <c r="L17" i="9"/>
  <c r="L17" i="10" s="1"/>
  <c r="K17" i="9"/>
  <c r="J17" i="9"/>
  <c r="I17" i="9"/>
  <c r="H17" i="9"/>
  <c r="G17" i="9"/>
  <c r="G17" i="10" s="1"/>
  <c r="F17" i="9"/>
  <c r="F17" i="10" s="1"/>
  <c r="E17" i="9"/>
  <c r="E17" i="10" s="1"/>
  <c r="D17" i="9"/>
  <c r="D17" i="10" s="1"/>
  <c r="C17" i="9"/>
  <c r="B17" i="9"/>
  <c r="AB16" i="9"/>
  <c r="AA16" i="9"/>
  <c r="Z16" i="9"/>
  <c r="Z16" i="10" s="1"/>
  <c r="Y16" i="9"/>
  <c r="X16" i="9"/>
  <c r="W16" i="9"/>
  <c r="W16" i="10" s="1"/>
  <c r="V16" i="9"/>
  <c r="V16" i="10" s="1"/>
  <c r="U16" i="9"/>
  <c r="U16" i="10" s="1"/>
  <c r="T16" i="9"/>
  <c r="T16" i="10" s="1"/>
  <c r="S16" i="9"/>
  <c r="S16" i="10" s="1"/>
  <c r="R16" i="9"/>
  <c r="Q16" i="9"/>
  <c r="Q16" i="10" s="1"/>
  <c r="P16" i="9"/>
  <c r="O16" i="9"/>
  <c r="N16" i="9"/>
  <c r="M16" i="9"/>
  <c r="L16" i="9"/>
  <c r="L16" i="10" s="1"/>
  <c r="K16" i="9"/>
  <c r="K16" i="10" s="1"/>
  <c r="J16" i="9"/>
  <c r="J16" i="10" s="1"/>
  <c r="I16" i="9"/>
  <c r="I16" i="10" s="1"/>
  <c r="H16" i="9"/>
  <c r="H16" i="10" s="1"/>
  <c r="G16" i="9"/>
  <c r="F16" i="9"/>
  <c r="E16" i="9"/>
  <c r="D16" i="9"/>
  <c r="D16" i="10" s="1"/>
  <c r="C16" i="9"/>
  <c r="B16" i="9"/>
  <c r="AB15" i="9"/>
  <c r="AB15" i="10" s="1"/>
  <c r="AA15" i="9"/>
  <c r="AA15" i="10" s="1"/>
  <c r="Z15" i="9"/>
  <c r="Z15" i="10" s="1"/>
  <c r="Y15" i="9"/>
  <c r="Y15" i="10" s="1"/>
  <c r="X15" i="9"/>
  <c r="X15" i="10" s="1"/>
  <c r="W15" i="9"/>
  <c r="W15" i="10" s="1"/>
  <c r="V15" i="9"/>
  <c r="V15" i="10" s="1"/>
  <c r="U15" i="9"/>
  <c r="T15" i="9"/>
  <c r="S15" i="9"/>
  <c r="R15" i="9"/>
  <c r="Q15" i="9"/>
  <c r="Q15" i="10" s="1"/>
  <c r="P15" i="9"/>
  <c r="P15" i="10" s="1"/>
  <c r="O15" i="9"/>
  <c r="O15" i="10" s="1"/>
  <c r="N15" i="9"/>
  <c r="N15" i="10" s="1"/>
  <c r="M15" i="9"/>
  <c r="M15" i="10" s="1"/>
  <c r="L15" i="9"/>
  <c r="K15" i="9"/>
  <c r="J15" i="9"/>
  <c r="I15" i="9"/>
  <c r="I15" i="10" s="1"/>
  <c r="H15" i="9"/>
  <c r="G15" i="9"/>
  <c r="F15" i="9"/>
  <c r="F15" i="10" s="1"/>
  <c r="E15" i="9"/>
  <c r="E15" i="10" s="1"/>
  <c r="D15" i="9"/>
  <c r="D15" i="10" s="1"/>
  <c r="C15" i="9"/>
  <c r="C15" i="10" s="1"/>
  <c r="B15" i="9"/>
  <c r="B15" i="10" s="1"/>
  <c r="AB14" i="9"/>
  <c r="AB14" i="10" s="1"/>
  <c r="AA14" i="9"/>
  <c r="AA14" i="10" s="1"/>
  <c r="Z14" i="9"/>
  <c r="Y14" i="9"/>
  <c r="X14" i="9"/>
  <c r="W14" i="9"/>
  <c r="V14" i="9"/>
  <c r="U14" i="9"/>
  <c r="U14" i="10" s="1"/>
  <c r="T14" i="9"/>
  <c r="T14" i="10" s="1"/>
  <c r="S14" i="9"/>
  <c r="S14" i="10" s="1"/>
  <c r="R14" i="9"/>
  <c r="R14" i="10" s="1"/>
  <c r="Q14" i="9"/>
  <c r="P14" i="9"/>
  <c r="O14" i="9"/>
  <c r="N14" i="9"/>
  <c r="N14" i="10" s="1"/>
  <c r="M14" i="9"/>
  <c r="L14" i="9"/>
  <c r="K14" i="9"/>
  <c r="K14" i="10" s="1"/>
  <c r="J14" i="9"/>
  <c r="J14" i="10" s="1"/>
  <c r="I14" i="9"/>
  <c r="I14" i="10" s="1"/>
  <c r="H14" i="9"/>
  <c r="H14" i="10" s="1"/>
  <c r="G14" i="9"/>
  <c r="G14" i="10" s="1"/>
  <c r="F14" i="9"/>
  <c r="F14" i="10" s="1"/>
  <c r="E14" i="9"/>
  <c r="E14" i="10" s="1"/>
  <c r="D14" i="9"/>
  <c r="C14" i="9"/>
  <c r="B14" i="9"/>
  <c r="X12" i="9"/>
  <c r="X12" i="10" s="1"/>
  <c r="T12" i="9"/>
  <c r="T12" i="10" s="1"/>
  <c r="S12" i="9"/>
  <c r="S12" i="10" s="1"/>
  <c r="R12" i="9"/>
  <c r="R12" i="10" s="1"/>
  <c r="L12" i="9"/>
  <c r="K12" i="9"/>
  <c r="J12" i="9"/>
  <c r="B12" i="9"/>
  <c r="B12" i="10" s="1"/>
  <c r="AB11" i="9"/>
  <c r="AA11" i="9"/>
  <c r="Z11" i="9"/>
  <c r="Z11" i="10" s="1"/>
  <c r="Y11" i="9"/>
  <c r="Y11" i="10" s="1"/>
  <c r="X11" i="9"/>
  <c r="X11" i="10" s="1"/>
  <c r="W11" i="9"/>
  <c r="W11" i="10" s="1"/>
  <c r="V11" i="9"/>
  <c r="V11" i="10" s="1"/>
  <c r="U11" i="9"/>
  <c r="U11" i="10" s="1"/>
  <c r="T11" i="9"/>
  <c r="T11" i="10" s="1"/>
  <c r="S11" i="9"/>
  <c r="R11" i="9"/>
  <c r="Q11" i="9"/>
  <c r="P11" i="9"/>
  <c r="O11" i="9"/>
  <c r="O11" i="10" s="1"/>
  <c r="N11" i="9"/>
  <c r="N11" i="10" s="1"/>
  <c r="M11" i="9"/>
  <c r="M11" i="10" s="1"/>
  <c r="L11" i="9"/>
  <c r="L11" i="10" s="1"/>
  <c r="K11" i="9"/>
  <c r="K11" i="10" s="1"/>
  <c r="J11" i="9"/>
  <c r="I11" i="9"/>
  <c r="H11" i="9"/>
  <c r="G11" i="9"/>
  <c r="G11" i="10" s="1"/>
  <c r="F11" i="9"/>
  <c r="E11" i="9"/>
  <c r="D11" i="9"/>
  <c r="D11" i="10" s="1"/>
  <c r="C11" i="9"/>
  <c r="C11" i="10" s="1"/>
  <c r="B11" i="9"/>
  <c r="B11" i="10" s="1"/>
  <c r="T10" i="9"/>
  <c r="O10" i="9"/>
  <c r="E10" i="9"/>
  <c r="E10" i="10" s="1"/>
  <c r="AB9" i="9"/>
  <c r="AA9" i="9"/>
  <c r="Z9" i="9"/>
  <c r="Z9" i="10" s="1"/>
  <c r="Y9" i="9"/>
  <c r="X9" i="9"/>
  <c r="X9" i="10" s="1"/>
  <c r="W9" i="9"/>
  <c r="W9" i="10" s="1"/>
  <c r="V9" i="9"/>
  <c r="V9" i="10" s="1"/>
  <c r="U9" i="9"/>
  <c r="U9" i="10" s="1"/>
  <c r="T9" i="9"/>
  <c r="S9" i="9"/>
  <c r="R9" i="9"/>
  <c r="Q9" i="9"/>
  <c r="Q9" i="10" s="1"/>
  <c r="P9" i="9"/>
  <c r="O9" i="9"/>
  <c r="N9" i="9"/>
  <c r="N9" i="10" s="1"/>
  <c r="M9" i="9"/>
  <c r="M9" i="10" s="1"/>
  <c r="L9" i="9"/>
  <c r="L9" i="10" s="1"/>
  <c r="K9" i="9"/>
  <c r="K9" i="10" s="1"/>
  <c r="J9" i="9"/>
  <c r="I9" i="9"/>
  <c r="I9" i="10" s="1"/>
  <c r="H9" i="9"/>
  <c r="H9" i="10" s="1"/>
  <c r="G9" i="9"/>
  <c r="F9" i="9"/>
  <c r="E9" i="9"/>
  <c r="D9" i="9"/>
  <c r="D9" i="10" s="1"/>
  <c r="C9" i="9"/>
  <c r="C9" i="10" s="1"/>
  <c r="B9" i="9"/>
  <c r="B9" i="10" s="1"/>
  <c r="Z8" i="9"/>
  <c r="Z8" i="10" s="1"/>
  <c r="Y8" i="9"/>
  <c r="V8" i="9"/>
  <c r="V8" i="10" s="1"/>
  <c r="O8" i="9"/>
  <c r="J8" i="9"/>
  <c r="D8" i="9"/>
  <c r="D8" i="10" s="1"/>
  <c r="C8" i="9"/>
  <c r="AA7" i="9"/>
  <c r="AA7" i="10" s="1"/>
  <c r="T7" i="9"/>
  <c r="O7" i="9"/>
  <c r="K7" i="9"/>
  <c r="K7" i="10" s="1"/>
  <c r="E7" i="9"/>
  <c r="E7" i="10" s="1"/>
  <c r="AA6" i="9"/>
  <c r="AA6" i="10" s="1"/>
  <c r="Z6" i="9"/>
  <c r="Z6" i="10" s="1"/>
  <c r="Y6" i="9"/>
  <c r="T6" i="9"/>
  <c r="S6" i="9"/>
  <c r="S6" i="10" s="1"/>
  <c r="R6" i="9"/>
  <c r="R6" i="10" s="1"/>
  <c r="O6" i="9"/>
  <c r="O6" i="10" s="1"/>
  <c r="E6" i="9"/>
  <c r="E6" i="10" s="1"/>
  <c r="D6" i="9"/>
  <c r="D6" i="10" s="1"/>
  <c r="C6" i="9"/>
  <c r="X5" i="9"/>
  <c r="O5" i="9"/>
  <c r="O5" i="10" s="1"/>
  <c r="K5" i="9"/>
  <c r="K5" i="10" s="1"/>
  <c r="Z4" i="9"/>
  <c r="Z4" i="10" s="1"/>
  <c r="T4" i="9"/>
  <c r="T4" i="10" s="1"/>
  <c r="N4" i="9"/>
  <c r="N4" i="10" s="1"/>
  <c r="D4" i="9"/>
  <c r="D4" i="10" s="1"/>
  <c r="AA2" i="9"/>
  <c r="AA2" i="10" s="1"/>
  <c r="Z2" i="9"/>
  <c r="Z2" i="10" s="1"/>
  <c r="Y2" i="9"/>
  <c r="Y2" i="10" s="1"/>
  <c r="R2" i="9"/>
  <c r="P2" i="9"/>
  <c r="P2" i="10" s="1"/>
  <c r="E2" i="9"/>
  <c r="E2" i="10" s="1"/>
  <c r="D2" i="9"/>
  <c r="D2" i="10" s="1"/>
  <c r="C2" i="9"/>
  <c r="C2" i="10" s="1"/>
  <c r="AF20" i="6"/>
  <c r="AF4" i="6" s="1"/>
  <c r="AB4" i="9" s="1"/>
  <c r="AB4" i="10" s="1"/>
  <c r="AE20" i="6"/>
  <c r="AD20" i="6"/>
  <c r="AC20" i="6"/>
  <c r="AB20" i="6"/>
  <c r="AB5" i="6" s="1"/>
  <c r="AA20" i="6"/>
  <c r="AA12" i="6" s="1"/>
  <c r="W12" i="9" s="1"/>
  <c r="W12" i="10" s="1"/>
  <c r="Z20" i="6"/>
  <c r="Y20" i="6"/>
  <c r="X20" i="6"/>
  <c r="W20" i="6"/>
  <c r="V20" i="6"/>
  <c r="V4" i="6" s="1"/>
  <c r="R4" i="9" s="1"/>
  <c r="R4" i="10" s="1"/>
  <c r="U20" i="6"/>
  <c r="U10" i="6" s="1"/>
  <c r="Q10" i="9" s="1"/>
  <c r="Q10" i="10" s="1"/>
  <c r="T20" i="6"/>
  <c r="T10" i="6" s="1"/>
  <c r="P10" i="9" s="1"/>
  <c r="P10" i="10" s="1"/>
  <c r="S20" i="6"/>
  <c r="R20" i="6"/>
  <c r="R2" i="6" s="1"/>
  <c r="N2" i="9" s="1"/>
  <c r="N2" i="10" s="1"/>
  <c r="Q20" i="6"/>
  <c r="Q10" i="6" s="1"/>
  <c r="M10" i="9" s="1"/>
  <c r="M10" i="10" s="1"/>
  <c r="P20" i="6"/>
  <c r="P7" i="6" s="1"/>
  <c r="L7" i="9" s="1"/>
  <c r="L7" i="10" s="1"/>
  <c r="O20" i="6"/>
  <c r="N20" i="6"/>
  <c r="N10" i="6" s="1"/>
  <c r="J10" i="9" s="1"/>
  <c r="J10" i="10" s="1"/>
  <c r="M20" i="6"/>
  <c r="M5" i="6" s="1"/>
  <c r="I5" i="9" s="1"/>
  <c r="I5" i="10" s="1"/>
  <c r="L20" i="6"/>
  <c r="K20" i="6"/>
  <c r="K7" i="6" s="1"/>
  <c r="G7" i="9" s="1"/>
  <c r="G7" i="10" s="1"/>
  <c r="J20" i="6"/>
  <c r="I20" i="6"/>
  <c r="H20" i="6"/>
  <c r="G20" i="6"/>
  <c r="F20" i="6"/>
  <c r="F8" i="6" s="1"/>
  <c r="B8" i="9" s="1"/>
  <c r="E20" i="6"/>
  <c r="E12" i="6" s="1"/>
  <c r="D20" i="6"/>
  <c r="C20" i="6"/>
  <c r="B20" i="6"/>
  <c r="AE12" i="6"/>
  <c r="AA12" i="9" s="1"/>
  <c r="AA12" i="10" s="1"/>
  <c r="AD12" i="6"/>
  <c r="Z12" i="9" s="1"/>
  <c r="Z12" i="10" s="1"/>
  <c r="AC12" i="6"/>
  <c r="Y12" i="9" s="1"/>
  <c r="Y12" i="10" s="1"/>
  <c r="AB12" i="6"/>
  <c r="X12" i="6"/>
  <c r="W12" i="6"/>
  <c r="V12" i="6"/>
  <c r="U12" i="6"/>
  <c r="Q12" i="9" s="1"/>
  <c r="Q12" i="10" s="1"/>
  <c r="S12" i="6"/>
  <c r="O12" i="9" s="1"/>
  <c r="O12" i="10" s="1"/>
  <c r="P12" i="6"/>
  <c r="O12" i="6"/>
  <c r="N12" i="6"/>
  <c r="M12" i="6"/>
  <c r="I12" i="9" s="1"/>
  <c r="I12" i="10" s="1"/>
  <c r="I12" i="6"/>
  <c r="E12" i="9" s="1"/>
  <c r="E12" i="10" s="1"/>
  <c r="H12" i="6"/>
  <c r="D12" i="9" s="1"/>
  <c r="G12" i="6"/>
  <c r="C12" i="9" s="1"/>
  <c r="F12" i="6"/>
  <c r="B12" i="6"/>
  <c r="AE10" i="6"/>
  <c r="AA10" i="9" s="1"/>
  <c r="AA10" i="10" s="1"/>
  <c r="AD10" i="6"/>
  <c r="Z10" i="9" s="1"/>
  <c r="Z10" i="10" s="1"/>
  <c r="AC10" i="6"/>
  <c r="Y10" i="9" s="1"/>
  <c r="Y10" i="10" s="1"/>
  <c r="AB10" i="6"/>
  <c r="X10" i="9" s="1"/>
  <c r="X10" i="10" s="1"/>
  <c r="X10" i="6"/>
  <c r="W10" i="6"/>
  <c r="S10" i="9" s="1"/>
  <c r="S10" i="10" s="1"/>
  <c r="V10" i="6"/>
  <c r="R10" i="9" s="1"/>
  <c r="R10" i="10" s="1"/>
  <c r="S10" i="6"/>
  <c r="R10" i="6"/>
  <c r="N10" i="9" s="1"/>
  <c r="N10" i="10" s="1"/>
  <c r="P10" i="6"/>
  <c r="L10" i="9" s="1"/>
  <c r="L10" i="10" s="1"/>
  <c r="O10" i="6"/>
  <c r="K10" i="9" s="1"/>
  <c r="K10" i="10" s="1"/>
  <c r="I10" i="6"/>
  <c r="H10" i="6"/>
  <c r="D10" i="9" s="1"/>
  <c r="D10" i="10" s="1"/>
  <c r="G10" i="6"/>
  <c r="C10" i="9" s="1"/>
  <c r="C10" i="10" s="1"/>
  <c r="F10" i="6"/>
  <c r="B10" i="9" s="1"/>
  <c r="B10" i="10" s="1"/>
  <c r="B10" i="6"/>
  <c r="AE8" i="6"/>
  <c r="AA8" i="9" s="1"/>
  <c r="AA8" i="10" s="1"/>
  <c r="AD8" i="6"/>
  <c r="AC8" i="6"/>
  <c r="AB8" i="6"/>
  <c r="X8" i="9" s="1"/>
  <c r="X8" i="10" s="1"/>
  <c r="AA8" i="6"/>
  <c r="W8" i="9" s="1"/>
  <c r="Z8" i="6"/>
  <c r="Y8" i="6"/>
  <c r="U8" i="9" s="1"/>
  <c r="U8" i="10" s="1"/>
  <c r="X8" i="6"/>
  <c r="T8" i="9" s="1"/>
  <c r="T8" i="10" s="1"/>
  <c r="S8" i="6"/>
  <c r="R8" i="6"/>
  <c r="N8" i="9" s="1"/>
  <c r="N8" i="10" s="1"/>
  <c r="Q8" i="6"/>
  <c r="M8" i="9" s="1"/>
  <c r="M8" i="10" s="1"/>
  <c r="O8" i="6"/>
  <c r="K8" i="9" s="1"/>
  <c r="K8" i="10" s="1"/>
  <c r="N8" i="6"/>
  <c r="I8" i="6"/>
  <c r="E8" i="9" s="1"/>
  <c r="E8" i="10" s="1"/>
  <c r="H8" i="6"/>
  <c r="G8" i="6"/>
  <c r="E8" i="6"/>
  <c r="D8" i="6"/>
  <c r="B8" i="6"/>
  <c r="AE7" i="6"/>
  <c r="AD7" i="6"/>
  <c r="Z7" i="9" s="1"/>
  <c r="Z7" i="10" s="1"/>
  <c r="AC7" i="6"/>
  <c r="Y7" i="9" s="1"/>
  <c r="Y7" i="10" s="1"/>
  <c r="AB7" i="6"/>
  <c r="X7" i="9" s="1"/>
  <c r="X7" i="10" s="1"/>
  <c r="AA7" i="6"/>
  <c r="W7" i="9" s="1"/>
  <c r="W7" i="10" s="1"/>
  <c r="Z7" i="6"/>
  <c r="V7" i="9" s="1"/>
  <c r="V7" i="10" s="1"/>
  <c r="X7" i="6"/>
  <c r="W7" i="6"/>
  <c r="S7" i="9" s="1"/>
  <c r="S7" i="10" s="1"/>
  <c r="U7" i="6"/>
  <c r="Q7" i="9" s="1"/>
  <c r="Q7" i="10" s="1"/>
  <c r="S7" i="6"/>
  <c r="R7" i="6"/>
  <c r="N7" i="9" s="1"/>
  <c r="N7" i="10" s="1"/>
  <c r="O7" i="6"/>
  <c r="N7" i="6"/>
  <c r="J7" i="9" s="1"/>
  <c r="J7" i="10" s="1"/>
  <c r="M7" i="6"/>
  <c r="I7" i="9" s="1"/>
  <c r="I7" i="10" s="1"/>
  <c r="I7" i="6"/>
  <c r="H7" i="6"/>
  <c r="D7" i="9" s="1"/>
  <c r="D7" i="10" s="1"/>
  <c r="G7" i="6"/>
  <c r="C7" i="9" s="1"/>
  <c r="C7" i="10" s="1"/>
  <c r="F7" i="6"/>
  <c r="B7" i="9" s="1"/>
  <c r="B7" i="10" s="1"/>
  <c r="E7" i="6"/>
  <c r="B7" i="6"/>
  <c r="AE6" i="6"/>
  <c r="AD6" i="6"/>
  <c r="AC6" i="6"/>
  <c r="AB6" i="6"/>
  <c r="X6" i="9" s="1"/>
  <c r="X6" i="10" s="1"/>
  <c r="AA6" i="6"/>
  <c r="W6" i="9" s="1"/>
  <c r="W6" i="10" s="1"/>
  <c r="X6" i="6"/>
  <c r="W6" i="6"/>
  <c r="V6" i="6"/>
  <c r="U6" i="6"/>
  <c r="Q6" i="9" s="1"/>
  <c r="Q6" i="10" s="1"/>
  <c r="T6" i="6"/>
  <c r="P6" i="9" s="1"/>
  <c r="P6" i="10" s="1"/>
  <c r="S6" i="6"/>
  <c r="P6" i="6"/>
  <c r="L6" i="9" s="1"/>
  <c r="L6" i="10" s="1"/>
  <c r="O6" i="6"/>
  <c r="K6" i="9" s="1"/>
  <c r="K6" i="10" s="1"/>
  <c r="N6" i="6"/>
  <c r="J6" i="9" s="1"/>
  <c r="J6" i="10" s="1"/>
  <c r="M6" i="6"/>
  <c r="I6" i="9" s="1"/>
  <c r="I6" i="10" s="1"/>
  <c r="I6" i="6"/>
  <c r="H6" i="6"/>
  <c r="G6" i="6"/>
  <c r="F6" i="6"/>
  <c r="B6" i="9" s="1"/>
  <c r="B6" i="10" s="1"/>
  <c r="E6" i="6"/>
  <c r="B6" i="6"/>
  <c r="AE5" i="6"/>
  <c r="AA5" i="9" s="1"/>
  <c r="AA5" i="10" s="1"/>
  <c r="AD5" i="6"/>
  <c r="Z5" i="9" s="1"/>
  <c r="Z5" i="10" s="1"/>
  <c r="AC5" i="6"/>
  <c r="Y5" i="9" s="1"/>
  <c r="Y5" i="10" s="1"/>
  <c r="X5" i="6"/>
  <c r="T5" i="9" s="1"/>
  <c r="T5" i="10" s="1"/>
  <c r="W5" i="6"/>
  <c r="S5" i="9" s="1"/>
  <c r="S5" i="10" s="1"/>
  <c r="V5" i="6"/>
  <c r="R5" i="9" s="1"/>
  <c r="R5" i="10" s="1"/>
  <c r="S5" i="6"/>
  <c r="O5" i="6"/>
  <c r="N5" i="6"/>
  <c r="J5" i="9" s="1"/>
  <c r="J5" i="10" s="1"/>
  <c r="J5" i="6"/>
  <c r="F5" i="9" s="1"/>
  <c r="F5" i="10" s="1"/>
  <c r="I5" i="6"/>
  <c r="E5" i="9" s="1"/>
  <c r="E5" i="10" s="1"/>
  <c r="H5" i="6"/>
  <c r="D5" i="9" s="1"/>
  <c r="D5" i="10" s="1"/>
  <c r="G5" i="6"/>
  <c r="C5" i="9" s="1"/>
  <c r="B5" i="6"/>
  <c r="AE4" i="6"/>
  <c r="AA4" i="9" s="1"/>
  <c r="AA4" i="10" s="1"/>
  <c r="AD4" i="6"/>
  <c r="AC4" i="6"/>
  <c r="Y4" i="9" s="1"/>
  <c r="Y4" i="10" s="1"/>
  <c r="AB4" i="6"/>
  <c r="X4" i="9" s="1"/>
  <c r="X4" i="10" s="1"/>
  <c r="X4" i="6"/>
  <c r="W4" i="6"/>
  <c r="S4" i="9" s="1"/>
  <c r="S4" i="10" s="1"/>
  <c r="S4" i="6"/>
  <c r="O4" i="9" s="1"/>
  <c r="O4" i="10" s="1"/>
  <c r="R4" i="6"/>
  <c r="P4" i="6"/>
  <c r="L4" i="9" s="1"/>
  <c r="L4" i="10" s="1"/>
  <c r="O4" i="6"/>
  <c r="K4" i="9" s="1"/>
  <c r="K4" i="10" s="1"/>
  <c r="I4" i="6"/>
  <c r="E4" i="9" s="1"/>
  <c r="E4" i="10" s="1"/>
  <c r="H4" i="6"/>
  <c r="G4" i="6"/>
  <c r="C4" i="9" s="1"/>
  <c r="C4" i="10" s="1"/>
  <c r="F4" i="6"/>
  <c r="B4" i="9" s="1"/>
  <c r="B4" i="10" s="1"/>
  <c r="B4" i="6"/>
  <c r="AE2" i="6"/>
  <c r="AD2" i="6"/>
  <c r="AC2" i="6"/>
  <c r="AB2" i="6"/>
  <c r="X2" i="9" s="1"/>
  <c r="X2" i="10" s="1"/>
  <c r="AA2" i="6"/>
  <c r="W2" i="9" s="1"/>
  <c r="W2" i="10" s="1"/>
  <c r="X2" i="6"/>
  <c r="T2" i="9" s="1"/>
  <c r="T2" i="10" s="1"/>
  <c r="V2" i="6"/>
  <c r="T2" i="6"/>
  <c r="S2" i="6"/>
  <c r="O2" i="9" s="1"/>
  <c r="O2" i="10" s="1"/>
  <c r="P2" i="6"/>
  <c r="L2" i="9" s="1"/>
  <c r="L2" i="10" s="1"/>
  <c r="O2" i="6"/>
  <c r="K2" i="9" s="1"/>
  <c r="K2" i="10" s="1"/>
  <c r="N2" i="6"/>
  <c r="J2" i="9" s="1"/>
  <c r="J2" i="10" s="1"/>
  <c r="M2" i="6"/>
  <c r="I2" i="9" s="1"/>
  <c r="I2" i="6"/>
  <c r="H2" i="6"/>
  <c r="G2" i="6"/>
  <c r="F2" i="6"/>
  <c r="B2" i="9" s="1"/>
  <c r="B2" i="10" s="1"/>
  <c r="E2" i="6"/>
  <c r="B2" i="6"/>
  <c r="N22" i="5"/>
  <c r="N21" i="5"/>
  <c r="N20" i="5"/>
  <c r="N18" i="5"/>
  <c r="N17" i="5"/>
  <c r="N16" i="5"/>
  <c r="N15" i="5"/>
  <c r="N14" i="5"/>
  <c r="N13" i="5"/>
  <c r="J12" i="6" l="1"/>
  <c r="F12" i="9" s="1"/>
  <c r="F12" i="10" s="1"/>
  <c r="J7" i="6"/>
  <c r="F7" i="9" s="1"/>
  <c r="F7" i="10" s="1"/>
  <c r="J10" i="6"/>
  <c r="F10" i="9" s="1"/>
  <c r="F10" i="10" s="1"/>
  <c r="J2" i="6"/>
  <c r="F2" i="9" s="1"/>
  <c r="F2" i="10" s="1"/>
  <c r="J6" i="6"/>
  <c r="F6" i="9" s="1"/>
  <c r="F6" i="10" s="1"/>
  <c r="J8" i="6"/>
  <c r="F8" i="9" s="1"/>
  <c r="F8" i="10" s="1"/>
  <c r="AF12" i="6"/>
  <c r="AB12" i="9" s="1"/>
  <c r="AB12" i="10" s="1"/>
  <c r="AF7" i="6"/>
  <c r="AB7" i="9" s="1"/>
  <c r="AB7" i="10" s="1"/>
  <c r="AF10" i="6"/>
  <c r="AB10" i="9" s="1"/>
  <c r="AB10" i="10" s="1"/>
  <c r="AF2" i="6"/>
  <c r="AB2" i="9" s="1"/>
  <c r="AB2" i="10" s="1"/>
  <c r="AF6" i="6"/>
  <c r="AB6" i="9" s="1"/>
  <c r="AB6" i="10" s="1"/>
  <c r="AF8" i="6"/>
  <c r="AB8" i="9" s="1"/>
  <c r="AB8" i="10" s="1"/>
  <c r="K12" i="6"/>
  <c r="G12" i="9" s="1"/>
  <c r="G12" i="10" s="1"/>
  <c r="K5" i="6"/>
  <c r="G5" i="9" s="1"/>
  <c r="G5" i="10" s="1"/>
  <c r="K2" i="6"/>
  <c r="G2" i="9" s="1"/>
  <c r="G2" i="10" s="1"/>
  <c r="K4" i="6"/>
  <c r="G4" i="9" s="1"/>
  <c r="G4" i="10" s="1"/>
  <c r="K10" i="6"/>
  <c r="G10" i="9" s="1"/>
  <c r="G10" i="10" s="1"/>
  <c r="K6" i="6"/>
  <c r="G6" i="9" s="1"/>
  <c r="G6" i="10" s="1"/>
  <c r="K8" i="6"/>
  <c r="G8" i="9" s="1"/>
  <c r="G8" i="10" s="1"/>
  <c r="L12" i="6"/>
  <c r="H12" i="9" s="1"/>
  <c r="H12" i="10" s="1"/>
  <c r="L5" i="6"/>
  <c r="H5" i="9" s="1"/>
  <c r="H5" i="10" s="1"/>
  <c r="L4" i="6"/>
  <c r="H4" i="9" s="1"/>
  <c r="H4" i="10" s="1"/>
  <c r="L10" i="6"/>
  <c r="H10" i="9" s="1"/>
  <c r="H10" i="10" s="1"/>
  <c r="L6" i="6"/>
  <c r="H6" i="9" s="1"/>
  <c r="H6" i="10" s="1"/>
  <c r="L8" i="6"/>
  <c r="H8" i="9" s="1"/>
  <c r="H8" i="10" s="1"/>
  <c r="L2" i="6"/>
  <c r="H2" i="9" s="1"/>
  <c r="H2" i="10" s="1"/>
  <c r="L7" i="6"/>
  <c r="H7" i="9" s="1"/>
  <c r="H7" i="10" s="1"/>
  <c r="Q7" i="6"/>
  <c r="M7" i="9" s="1"/>
  <c r="M7" i="10" s="1"/>
  <c r="Q2" i="6"/>
  <c r="M2" i="9" s="1"/>
  <c r="M2" i="10" s="1"/>
  <c r="Q6" i="6"/>
  <c r="M6" i="9" s="1"/>
  <c r="M6" i="10" s="1"/>
  <c r="Q3" i="6"/>
  <c r="M3" i="9" s="1"/>
  <c r="M3" i="10" s="1"/>
  <c r="Q12" i="6"/>
  <c r="M12" i="9" s="1"/>
  <c r="M12" i="10" s="1"/>
  <c r="Q5" i="6"/>
  <c r="M5" i="9" s="1"/>
  <c r="M5" i="10" s="1"/>
  <c r="C6" i="6"/>
  <c r="C5" i="6"/>
  <c r="C12" i="6"/>
  <c r="C7" i="6"/>
  <c r="C2" i="6"/>
  <c r="C10" i="6"/>
  <c r="C4" i="6"/>
  <c r="D6" i="6"/>
  <c r="D12" i="6"/>
  <c r="D5" i="6"/>
  <c r="D2" i="6"/>
  <c r="D10" i="6"/>
  <c r="D4" i="6"/>
  <c r="Z6" i="6"/>
  <c r="V6" i="9" s="1"/>
  <c r="V6" i="10" s="1"/>
  <c r="Z12" i="6"/>
  <c r="V12" i="9" s="1"/>
  <c r="V12" i="10" s="1"/>
  <c r="Z5" i="6"/>
  <c r="V5" i="9" s="1"/>
  <c r="V5" i="10" s="1"/>
  <c r="Z2" i="6"/>
  <c r="V2" i="9" s="1"/>
  <c r="V2" i="10" s="1"/>
  <c r="Z10" i="6"/>
  <c r="V10" i="9" s="1"/>
  <c r="V10" i="10" s="1"/>
  <c r="Z4" i="6"/>
  <c r="V4" i="9" s="1"/>
  <c r="V4" i="10" s="1"/>
  <c r="B55" i="5"/>
  <c r="F13" i="6" s="1"/>
  <c r="B13" i="9" s="1"/>
  <c r="B13" i="10" s="1"/>
  <c r="B53" i="5"/>
  <c r="M3" i="6" s="1"/>
  <c r="I3" i="9" s="1"/>
  <c r="I3" i="10" s="1"/>
  <c r="J4" i="6"/>
  <c r="F4" i="9" s="1"/>
  <c r="F4" i="10" s="1"/>
  <c r="D7" i="6"/>
  <c r="Q4" i="6"/>
  <c r="M4" i="9" s="1"/>
  <c r="M4" i="10" s="1"/>
  <c r="Y13" i="6"/>
  <c r="U13" i="9" s="1"/>
  <c r="U13" i="10" s="1"/>
  <c r="Y6" i="6"/>
  <c r="U6" i="9" s="1"/>
  <c r="U6" i="10" s="1"/>
  <c r="Y5" i="6"/>
  <c r="U5" i="9" s="1"/>
  <c r="U5" i="10" s="1"/>
  <c r="Y12" i="6"/>
  <c r="U12" i="9" s="1"/>
  <c r="U12" i="10" s="1"/>
  <c r="Y7" i="6"/>
  <c r="U7" i="9" s="1"/>
  <c r="U7" i="10" s="1"/>
  <c r="Y2" i="6"/>
  <c r="U2" i="9" s="1"/>
  <c r="U2" i="10" s="1"/>
  <c r="Y10" i="6"/>
  <c r="U10" i="9" s="1"/>
  <c r="U10" i="10" s="1"/>
  <c r="Y4" i="6"/>
  <c r="U4" i="9" s="1"/>
  <c r="U4" i="10" s="1"/>
  <c r="AF5" i="6"/>
  <c r="AB5" i="9" s="1"/>
  <c r="AB5" i="10" s="1"/>
  <c r="C8" i="6"/>
  <c r="U2" i="6"/>
  <c r="Q2" i="9" s="1"/>
  <c r="Q2" i="10" s="1"/>
  <c r="P5" i="6"/>
  <c r="L5" i="9" s="1"/>
  <c r="L5" i="10" s="1"/>
  <c r="T7" i="6"/>
  <c r="P7" i="9" s="1"/>
  <c r="P7" i="10" s="1"/>
  <c r="W2" i="6"/>
  <c r="S2" i="9" s="1"/>
  <c r="S2" i="10" s="1"/>
  <c r="E4" i="6"/>
  <c r="AA4" i="6"/>
  <c r="W4" i="9" s="1"/>
  <c r="W4" i="10" s="1"/>
  <c r="R5" i="6"/>
  <c r="N5" i="9" s="1"/>
  <c r="N5" i="10" s="1"/>
  <c r="V7" i="6"/>
  <c r="R7" i="9" s="1"/>
  <c r="R7" i="10" s="1"/>
  <c r="M8" i="6"/>
  <c r="I8" i="9" s="1"/>
  <c r="I8" i="10" s="1"/>
  <c r="E10" i="6"/>
  <c r="AA10" i="6"/>
  <c r="W10" i="9" s="1"/>
  <c r="W10" i="10" s="1"/>
  <c r="R12" i="6"/>
  <c r="N12" i="9" s="1"/>
  <c r="N12" i="10" s="1"/>
  <c r="T5" i="6"/>
  <c r="P5" i="9" s="1"/>
  <c r="P5" i="10" s="1"/>
  <c r="U5" i="6"/>
  <c r="Q5" i="9" s="1"/>
  <c r="Q5" i="10" s="1"/>
  <c r="P8" i="6"/>
  <c r="L8" i="9" s="1"/>
  <c r="L8" i="10" s="1"/>
  <c r="T12" i="6"/>
  <c r="P12" i="9" s="1"/>
  <c r="P12" i="10" s="1"/>
  <c r="T8" i="6"/>
  <c r="P8" i="9" s="1"/>
  <c r="P8" i="10" s="1"/>
  <c r="M4" i="6"/>
  <c r="I4" i="9" s="1"/>
  <c r="I4" i="10" s="1"/>
  <c r="U8" i="6"/>
  <c r="Q8" i="9" s="1"/>
  <c r="Q8" i="10" s="1"/>
  <c r="U3" i="6"/>
  <c r="Q3" i="9" s="1"/>
  <c r="Q3" i="10" s="1"/>
  <c r="W3" i="6"/>
  <c r="S3" i="9" s="1"/>
  <c r="S3" i="10" s="1"/>
  <c r="N4" i="6"/>
  <c r="J4" i="9" s="1"/>
  <c r="J4" i="10" s="1"/>
  <c r="E5" i="6"/>
  <c r="AA5" i="6"/>
  <c r="W5" i="9" s="1"/>
  <c r="W5" i="10" s="1"/>
  <c r="R6" i="6"/>
  <c r="N6" i="9" s="1"/>
  <c r="N6" i="10" s="1"/>
  <c r="V8" i="6"/>
  <c r="R8" i="9" s="1"/>
  <c r="R8" i="10" s="1"/>
  <c r="M10" i="6"/>
  <c r="I10" i="9" s="1"/>
  <c r="I10" i="10" s="1"/>
  <c r="F5" i="6"/>
  <c r="B5" i="9" s="1"/>
  <c r="B5" i="10" s="1"/>
  <c r="W8" i="6"/>
  <c r="S8" i="9" s="1"/>
  <c r="S8" i="10" s="1"/>
  <c r="T4" i="6"/>
  <c r="P4" i="9" s="1"/>
  <c r="P4" i="10" s="1"/>
  <c r="U4" i="6"/>
  <c r="Q4" i="9" s="1"/>
  <c r="Q4" i="10" s="1"/>
  <c r="K3" i="6" l="1"/>
  <c r="G3" i="9" s="1"/>
  <c r="G3" i="10" s="1"/>
  <c r="K13" i="6"/>
  <c r="G13" i="9" s="1"/>
  <c r="G13" i="10" s="1"/>
  <c r="C13" i="6"/>
  <c r="AB13" i="6"/>
  <c r="X13" i="9" s="1"/>
  <c r="X13" i="10" s="1"/>
  <c r="AE3" i="6"/>
  <c r="AA3" i="9" s="1"/>
  <c r="AA3" i="10" s="1"/>
  <c r="I3" i="6"/>
  <c r="E3" i="9" s="1"/>
  <c r="E3" i="10" s="1"/>
  <c r="AC3" i="6"/>
  <c r="Y3" i="9" s="1"/>
  <c r="Y3" i="10" s="1"/>
  <c r="AD3" i="6"/>
  <c r="Z3" i="9" s="1"/>
  <c r="Z3" i="10" s="1"/>
  <c r="H3" i="6"/>
  <c r="D3" i="9" s="1"/>
  <c r="D3" i="10" s="1"/>
  <c r="G3" i="6"/>
  <c r="C3" i="9" s="1"/>
  <c r="C3" i="10" s="1"/>
  <c r="X3" i="6"/>
  <c r="T3" i="9" s="1"/>
  <c r="T3" i="10" s="1"/>
  <c r="B3" i="6"/>
  <c r="T3" i="6"/>
  <c r="P3" i="9" s="1"/>
  <c r="P3" i="10" s="1"/>
  <c r="P3" i="6"/>
  <c r="L3" i="9" s="1"/>
  <c r="L3" i="10" s="1"/>
  <c r="O3" i="6"/>
  <c r="K3" i="9" s="1"/>
  <c r="K3" i="10" s="1"/>
  <c r="N3" i="6"/>
  <c r="J3" i="9" s="1"/>
  <c r="J3" i="10" s="1"/>
  <c r="F3" i="6"/>
  <c r="B3" i="9" s="1"/>
  <c r="B3" i="10" s="1"/>
  <c r="E3" i="6"/>
  <c r="AF3" i="6"/>
  <c r="AB3" i="9" s="1"/>
  <c r="AB3" i="10" s="1"/>
  <c r="AA3" i="6"/>
  <c r="W3" i="9" s="1"/>
  <c r="W3" i="10" s="1"/>
  <c r="Z3" i="6"/>
  <c r="V3" i="9" s="1"/>
  <c r="V3" i="10" s="1"/>
  <c r="Y3" i="6"/>
  <c r="U3" i="9" s="1"/>
  <c r="U3" i="10" s="1"/>
  <c r="J3" i="6"/>
  <c r="F3" i="9" s="1"/>
  <c r="F3" i="10" s="1"/>
  <c r="AB3" i="6"/>
  <c r="X3" i="9" s="1"/>
  <c r="X3" i="10" s="1"/>
  <c r="S3" i="6"/>
  <c r="O3" i="9" s="1"/>
  <c r="O3" i="10" s="1"/>
  <c r="R3" i="6"/>
  <c r="N3" i="9" s="1"/>
  <c r="N3" i="10" s="1"/>
  <c r="Q13" i="6"/>
  <c r="M13" i="9" s="1"/>
  <c r="M13" i="10" s="1"/>
  <c r="V3" i="6"/>
  <c r="R3" i="9" s="1"/>
  <c r="R3" i="10" s="1"/>
  <c r="AF13" i="6"/>
  <c r="AB13" i="9" s="1"/>
  <c r="AB13" i="10" s="1"/>
  <c r="W13" i="6"/>
  <c r="S13" i="9" s="1"/>
  <c r="S13" i="10" s="1"/>
  <c r="AA13" i="6"/>
  <c r="W13" i="9" s="1"/>
  <c r="W13" i="10" s="1"/>
  <c r="D3" i="6"/>
  <c r="L3" i="6"/>
  <c r="H3" i="9" s="1"/>
  <c r="H3" i="10" s="1"/>
  <c r="P13" i="6"/>
  <c r="L13" i="9" s="1"/>
  <c r="L13" i="10" s="1"/>
  <c r="C3" i="6"/>
  <c r="J13" i="6"/>
  <c r="F13" i="9" s="1"/>
  <c r="F13" i="10" s="1"/>
  <c r="V13" i="6"/>
  <c r="R13" i="9" s="1"/>
  <c r="R13" i="10" s="1"/>
  <c r="X13" i="6"/>
  <c r="T13" i="9" s="1"/>
  <c r="T13" i="10" s="1"/>
  <c r="B13" i="6"/>
  <c r="O13" i="6"/>
  <c r="K13" i="9" s="1"/>
  <c r="K13" i="10" s="1"/>
  <c r="N13" i="6"/>
  <c r="J13" i="9" s="1"/>
  <c r="J13" i="10" s="1"/>
  <c r="AE13" i="6"/>
  <c r="AA13" i="9" s="1"/>
  <c r="AA13" i="10" s="1"/>
  <c r="I13" i="6"/>
  <c r="E13" i="9" s="1"/>
  <c r="E13" i="10" s="1"/>
  <c r="AD13" i="6"/>
  <c r="Z13" i="9" s="1"/>
  <c r="Z13" i="10" s="1"/>
  <c r="H13" i="6"/>
  <c r="D13" i="9" s="1"/>
  <c r="D13" i="10" s="1"/>
  <c r="AC13" i="6"/>
  <c r="Y13" i="9" s="1"/>
  <c r="Y13" i="10" s="1"/>
  <c r="G13" i="6"/>
  <c r="C13" i="9" s="1"/>
  <c r="C13" i="10" s="1"/>
  <c r="Z13" i="6"/>
  <c r="V13" i="9" s="1"/>
  <c r="V13" i="10" s="1"/>
  <c r="U13" i="6"/>
  <c r="Q13" i="9" s="1"/>
  <c r="Q13" i="10" s="1"/>
  <c r="L13" i="6"/>
  <c r="H13" i="9" s="1"/>
  <c r="H13" i="10" s="1"/>
  <c r="D13" i="6"/>
  <c r="T13" i="6"/>
  <c r="P13" i="9" s="1"/>
  <c r="P13" i="10" s="1"/>
  <c r="S13" i="6"/>
  <c r="O13" i="9" s="1"/>
  <c r="O13" i="10" s="1"/>
  <c r="M13" i="6"/>
  <c r="I13" i="9" s="1"/>
  <c r="I13" i="10" s="1"/>
  <c r="R13" i="6"/>
  <c r="N13" i="9" s="1"/>
  <c r="N13" i="10" s="1"/>
  <c r="E13" i="6"/>
</calcChain>
</file>

<file path=xl/sharedStrings.xml><?xml version="1.0" encoding="utf-8"?>
<sst xmlns="http://schemas.openxmlformats.org/spreadsheetml/2006/main" count="2062" uniqueCount="733">
  <si>
    <t>EIaE BAU Imported Electricity</t>
  </si>
  <si>
    <t>EIaE BAU Exported Electricity</t>
  </si>
  <si>
    <t>EIaE Imported Electricity Price</t>
  </si>
  <si>
    <t>EIaE BAU Exported Electricity Price</t>
  </si>
  <si>
    <t>Source:</t>
  </si>
  <si>
    <t>Quantity of Imports and Exports</t>
  </si>
  <si>
    <t>U.S. Energy Information Administration</t>
  </si>
  <si>
    <t>https://www.eia.gov/outlooks/aeo/tables_side_xls.php</t>
  </si>
  <si>
    <t>Canadian Electricity Generation by Type</t>
  </si>
  <si>
    <t>National Energy Board, Government of Canada</t>
  </si>
  <si>
    <t>Canada's Energy Future 2021, Appendices</t>
  </si>
  <si>
    <t>https://apps.neb-one.gc.ca/ftrppndc/dflt.aspx?GoCTemplateCulture=en-CA</t>
  </si>
  <si>
    <t>Table "Electricity Generation," Reference Case, Canada</t>
  </si>
  <si>
    <t>Imported and Exported Electricity Prices</t>
  </si>
  <si>
    <t>Canada NG Generation by Turbine Type</t>
  </si>
  <si>
    <t>Statistics Canada</t>
  </si>
  <si>
    <t>Electric power generation, monthly generation by type of electricity</t>
  </si>
  <si>
    <t>https://www150.statcan.gc.ca/t1/tbl1/en/tv.action?pid=2510001501&amp;pickMembers%5B0%5D=1.1&amp;pickMembers%5B1%5D=2.2&amp;cubeTimeFrame.startMonth=01&amp;cubeTimeFrame.startYear=2015&amp;cubeTimeFrame.endMonth=12&amp;cubeTimeFrame.endYear=2015&amp;referencePeriods=20150101%2C20151201</t>
  </si>
  <si>
    <t>Data after 2015 does not break out turbine types, so we use data from 2015.</t>
  </si>
  <si>
    <t>Notes</t>
  </si>
  <si>
    <t>We need to know the mix of imported electricity types if we will be including</t>
  </si>
  <si>
    <t>pollutant emissions associated with imported electricity into the totals, which</t>
  </si>
  <si>
    <t>is managed by a control lever.  If these emissions will not be included in the</t>
  </si>
  <si>
    <t>emissions totals, the breakdown is unimportant, and you may assign all</t>
  </si>
  <si>
    <t>imported electricity emissions to any one electricity source, if you prefer.</t>
  </si>
  <si>
    <t>Electricity exports are supplied by power plants in the modeled region and</t>
  </si>
  <si>
    <t>hence do not need their electricity source to be specified here.</t>
  </si>
  <si>
    <t>Since electricity imported to the U.S. comes overwhelmingly from Canada,</t>
  </si>
  <si>
    <t>we use Canada's electricity generation mix to approximate the mix</t>
  </si>
  <si>
    <t>of all imported electricity.</t>
  </si>
  <si>
    <t>All Canadian natural gas was assigned to the "natural gas nonpeaker" plant type</t>
  </si>
  <si>
    <t>because the breakdown between NG peaker and NG nonpeaker for imported</t>
  </si>
  <si>
    <t>electricity is not important.</t>
  </si>
  <si>
    <t>Electricity Prices</t>
  </si>
  <si>
    <t>We do not have explicit data on the prices of electricity imported to or exported</t>
  </si>
  <si>
    <t>from the United States (i.e. via transmission lines to Canada and Mexico), so we</t>
  </si>
  <si>
    <t>use the average U.S. electricity price to all consumers from AEO Table 3.</t>
  </si>
  <si>
    <t>Conversion Factors</t>
  </si>
  <si>
    <t>MWh/BTU</t>
  </si>
  <si>
    <t>2012 USD/2020 USD</t>
  </si>
  <si>
    <t>2012 USD/2024 USD</t>
  </si>
  <si>
    <t>Table 10.  Electricity Trade</t>
  </si>
  <si>
    <t>https://www.eia.gov/outlooks/aeo/data/browser/#/?id=10-AEO2025&amp;cases=highZTC&amp;sourcekey=0</t>
  </si>
  <si>
    <t>Tue Dec 02 2025 13:19:25 GMT-0800 (Pacific Standard Time)</t>
  </si>
  <si>
    <t>Source: U.S. Energy Information Administration</t>
  </si>
  <si>
    <t>full name</t>
  </si>
  <si>
    <t>api key</t>
  </si>
  <si>
    <t>units</t>
  </si>
  <si>
    <t>Growth (2024-2050)</t>
  </si>
  <si>
    <t>Interregional Electricity Trade</t>
  </si>
  <si>
    <t>Gross Domestic Sales</t>
  </si>
  <si>
    <t>Firm Power</t>
  </si>
  <si>
    <t>Electricity Trade: Gross Domestic Sales: Firm Power: High Zero-Carbon Technology Cost</t>
  </si>
  <si>
    <t>AEO.2025.HIGHZTC.TRAD_FPW_ELEP_GDSE_SAL_NA_USA_BLNKWH.A</t>
  </si>
  <si>
    <t>BkWh</t>
  </si>
  <si>
    <t>Economy</t>
  </si>
  <si>
    <t>Electricity Trade: Gross Domestic Sales: Economy: High Zero-Carbon Technology Cost</t>
  </si>
  <si>
    <t>AEO.2025.HIGHZTC.TRAD_ECN_ELEP_GDSE_SAL_NA_USA_BLNKWH.A</t>
  </si>
  <si>
    <t>Total Gross Domestic Sales</t>
  </si>
  <si>
    <t>Electricity Trade: Gross Domestic Sales: Total: High Zero-Carbon Technology Cost</t>
  </si>
  <si>
    <t>AEO.2025.HIGHZTC.TRAD_TOT_ELEP_GDSE_SAL_NA_USA_BLNKWH.A</t>
  </si>
  <si>
    <t>Gross Domestic Sales (million 2024 dollars)</t>
  </si>
  <si>
    <t>AEO.2025.HIGHZTC.KEI_FPW_ELEP_GDSE_SAL_NA_USA_MILLY13DLR.A</t>
  </si>
  <si>
    <t>million 2024 $</t>
  </si>
  <si>
    <t>AEO.2025.HIGHZTC.KEI_ECN_ELEP_GDSE_SAL_NA_USA_MILLY13DLR.A</t>
  </si>
  <si>
    <t>AEO.2025.HIGHZTC.KEI_TOT_ELEP_GDSE_SAL_NA_USA_MILLY13DLR.A</t>
  </si>
  <si>
    <t>International Electricity Trade</t>
  </si>
  <si>
    <t>Imports from Canada and Mexico</t>
  </si>
  <si>
    <t>Electricity Trade: Imports from Canada and Mexico: Firm Power: High Zero-Carbon Technology Cost</t>
  </si>
  <si>
    <t>AEO.2025.HIGHZTC.TRAD_FPW_ELEP_ICME_IMP_CANMEX_USA_BLNKWH.A</t>
  </si>
  <si>
    <t>Electricity Trade: Imports from Canada and Mexico: Economy: High Zero-Carbon Technology Cost</t>
  </si>
  <si>
    <t>AEO.2025.HIGHZTC.TRAD_ECN_ELEP_ICME_IMP_CANMEX_USA_BLNKWH.A</t>
  </si>
  <si>
    <t>Total Imports from Canada and Mexico</t>
  </si>
  <si>
    <t>Electricity Trade: Imports from Canada and Mexico: Total: High Zero-Carbon Technology Cost</t>
  </si>
  <si>
    <t>AEO.2025.HIGHZTC.TRAD_TOT_ELEP_ICME_IMP_CANMEX_USA_BLNKWH.A</t>
  </si>
  <si>
    <t>Exports to Canada and Mexico</t>
  </si>
  <si>
    <t>Electricity Trade: Exports to Canada and Mexico: Firm Power: High Zero-Carbon Technology Cost</t>
  </si>
  <si>
    <t>AEO.2025.HIGHZTC.TRAD_FPW_ELEP_EXCM_IMP_CANMEX_USA_BLNKWH.A</t>
  </si>
  <si>
    <t>Electricity Trade: Exports to Canada and Mexico: Economy: High Zero-Carbon Technology Cost</t>
  </si>
  <si>
    <t>AEO.2025.HIGHZTC.TRAD_ECN_ELEP_EXCM_IMP_CANMEX_USA_BLNKWH.A</t>
  </si>
  <si>
    <t>Total Exports to Canada and Mexico</t>
  </si>
  <si>
    <t>Electricity Trade: Exports to Canada and Mexico: Total: High Zero-Carbon Technology Cost</t>
  </si>
  <si>
    <t>AEO.2025.HIGHZTC.TRAD_TOT_ELEP_EXCM_IMP_CANMEX_USA_BLNKWH.A</t>
  </si>
  <si>
    <t>Select Report Version: Canada’s Energy Future 2021</t>
  </si>
  <si>
    <t>Select Appendices: Electricity Generation</t>
  </si>
  <si>
    <t>Select Case: Evolving Policies</t>
  </si>
  <si>
    <t>Select Type: Primary Fuel</t>
  </si>
  <si>
    <t>Canada</t>
  </si>
  <si>
    <t>_</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</si>
  <si>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</si>
  <si>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</si>
  <si>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</si>
  <si>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</si>
  <si>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</si>
  <si>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</si>
  <si>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</si>
  <si>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</si>
  <si>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</si>
  <si>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</si>
  <si>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</si>
  <si>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</si>
  <si>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</si>
  <si>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</si>
  <si>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</si>
  <si>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</si>
  <si>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</si>
  <si>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</si>
  <si>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</si>
  <si>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</si>
  <si>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</si>
  <si>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</si>
  <si>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</si>
  <si>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</si>
  <si>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</si>
  <si>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</si>
  <si>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</si>
  <si>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</si>
  <si>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</si>
  <si>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</si>
  <si>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</si>
  <si>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</si>
  <si>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</si>
  <si>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</si>
  <si>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</si>
  <si>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</si>
  <si>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</si>
  <si>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</si>
  <si>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</si>
  <si>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</si>
  <si>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</si>
  <si>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</si>
  <si>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</si>
  <si>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</si>
  <si>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</si>
  <si>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</si>
  <si>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Hydro / Wave / Tidal</t>
  </si>
  <si>
    <t>Wind</t>
  </si>
  <si>
    <t>Biomass / Geothermal</t>
  </si>
  <si>
    <t>Solar</t>
  </si>
  <si>
    <t>Uranium</t>
  </si>
  <si>
    <t>Coal &amp; Coke</t>
  </si>
  <si>
    <t>Natural Gas</t>
  </si>
  <si>
    <t>Oil</t>
  </si>
  <si>
    <t>Newfoundland and Labrador</t>
  </si>
  <si>
    <t>Prince Edward Island</t>
  </si>
  <si>
    <t>Nova Scotia</t>
  </si>
  <si>
    <t>New Brunswick</t>
  </si>
  <si>
    <t>Quebec</t>
  </si>
  <si>
    <t>Ontario</t>
  </si>
  <si>
    <t>Manitoba</t>
  </si>
  <si>
    <t>Alberta</t>
  </si>
  <si>
    <t>British Columbia</t>
  </si>
  <si>
    <t>Saskatchewan</t>
  </si>
  <si>
    <t>Yukon</t>
  </si>
  <si>
    <t>Northwest Territories</t>
  </si>
  <si>
    <t>Nunavut</t>
  </si>
  <si>
    <t>Electric power generation, monthly generation by type of electricity 1 2</t>
  </si>
  <si>
    <t>Frequency: Monthly</t>
  </si>
  <si>
    <t>Table: 25-10-0015-01 (formerly CANSIM 127-0002)</t>
  </si>
  <si>
    <t>Release date: 2022-08-08</t>
  </si>
  <si>
    <t>Geography: Canada, Province or territory</t>
  </si>
  <si>
    <t>Geography</t>
  </si>
  <si>
    <t>Class of electricity producer</t>
  </si>
  <si>
    <t>Electricity producers, electric utilities 3</t>
  </si>
  <si>
    <t>Type of electricity generation</t>
  </si>
  <si>
    <t>2015 Total</t>
  </si>
  <si>
    <t>Megawatt hours</t>
  </si>
  <si>
    <t>Total all types of electricity generation</t>
  </si>
  <si>
    <t>Hydraulic turbine 4</t>
  </si>
  <si>
    <t>Conventional steam turbine 5</t>
  </si>
  <si>
    <t>Nuclear steam turbine 6</t>
  </si>
  <si>
    <t>Internal combustion turbine 7</t>
  </si>
  <si>
    <t>Combustion turbine 8</t>
  </si>
  <si>
    <t>Total electricity production from combustible fuels 9</t>
  </si>
  <si>
    <t>..</t>
  </si>
  <si>
    <t>Tidal power turbine 10</t>
  </si>
  <si>
    <t>Wind power turbine 11</t>
  </si>
  <si>
    <t>Solar 12</t>
  </si>
  <si>
    <t>Other types of electricity generation</t>
  </si>
  <si>
    <t>Symbol legend:</t>
  </si>
  <si>
    <t xml:space="preserve"> not available for a specific reference period</t>
  </si>
  <si>
    <t>r</t>
  </si>
  <si>
    <t xml:space="preserve"> revised</t>
  </si>
  <si>
    <t>Footnotes:</t>
  </si>
  <si>
    <t>For monthly data prior to January 2008, please see table 25-10-0001-01 (terminated). For current monthly data on Electric power receipts and deliveries, see table 25-10-0016-01.</t>
  </si>
  <si>
    <t>The target population for the Monthly Electricity Supply and Disposition Survey has been expanded to improve coverage of renewable energy in Canada, particularly wind and solar power. As a result of this change, users will have to use caution when comparing data for historical purposes. For wind power, significant changes occurred in British Columbia, Alberta, Ontario, Quebec and Prince Edward Island. For solar power, significant changes occurred in Ontario.</t>
  </si>
  <si>
    <t>A utility is an organization that, as its prime purpose, generates, transmits and/or distributes electric energy for sale. It can be private or public (provincial or municipal).</t>
  </si>
  <si>
    <t>Electric power generated from a plant in which the turbine generators are driven by flowing water. Prior to January 2008, hydro included wind and tidal generation. From January 2008 on, wind and tidal generation are reported separately.</t>
  </si>
  <si>
    <t>A power plant in which the prime mover is a steam turbine. The steam used to drive the turbine is produced in a boiler where fossil fuels or other combustible materials are burned. From January 2016 on, this generation is reported as part of combustible fuel generation.</t>
  </si>
  <si>
    <t>Electricity generated at an electric power plant whose turbines are driven by steam generated in a reactor by heat from the fission of nuclear fuel.</t>
  </si>
  <si>
    <t>A power plant in which the prime mover is an internal combustion turbine. Electric power is generated by converting energy obtained by the rapid burning of a fuel-air mixture into mechanical energy. From January 2016 on, this generation is reported as part of combustible fuel generation.</t>
  </si>
  <si>
    <t>A power plant in which the prime mover is a combustion turbine. Electric power is generated by converting energy obtained by burning fuel into mechanical energy. From January 2016 on, this generation is reported as part of combustible fuel generation.</t>
  </si>
  <si>
    <t xml:space="preserve">Total combustible generation includes non-renewable combustible fuels (coal, natural gas, petroleum and other non-renewable combustible fuels) and biomass (wood, spent pulping liquor, methane, municipal waste, other waste and other types of biomass). 
</t>
  </si>
  <si>
    <t>Electric power generated from a plant in which the turbine generators are driven by moving water from tidal flows.</t>
  </si>
  <si>
    <t>A power plant in which the prime mover is a wind turbine. Electric power is generated by the conversion of wind power into mechanical energy.</t>
  </si>
  <si>
    <t>Electricity created by converting solar radiation through photovoltaic processes or transforming solar radiation captured by concentrating thermal systems.</t>
  </si>
  <si>
    <t>How to cite: Statistics Canada. Table 25-10-0015-01  Electric power generation, monthly generation by type of electricity</t>
  </si>
  <si>
    <t>https://www150.statcan.gc.ca/t1/tbl1/en/tv.action?pid=2510001501</t>
  </si>
  <si>
    <t>NG Breakdown by EPS Plant Type</t>
  </si>
  <si>
    <t>natural gas steam turbine</t>
  </si>
  <si>
    <t>natural gas combined cycle</t>
  </si>
  <si>
    <t>natural gas peaker</t>
  </si>
  <si>
    <t>hard coal</t>
  </si>
  <si>
    <t>nuclear</t>
  </si>
  <si>
    <t>hydro</t>
  </si>
  <si>
    <t>onshore wind</t>
  </si>
  <si>
    <t>solar PV</t>
  </si>
  <si>
    <t>solar thermal</t>
  </si>
  <si>
    <t>biomass</t>
  </si>
  <si>
    <t>geothermal</t>
  </si>
  <si>
    <t>petroleum</t>
  </si>
  <si>
    <t>lignite</t>
  </si>
  <si>
    <t>offshore wind</t>
  </si>
  <si>
    <t>crude oil</t>
  </si>
  <si>
    <t>heavy or residual fuel oil</t>
  </si>
  <si>
    <t>municipal solid waste</t>
  </si>
  <si>
    <t>Sum of Canada Generation</t>
  </si>
  <si>
    <t>Table 3.  Energy Prices by Sector and Source</t>
  </si>
  <si>
    <t>https://www.eia.gov/outlooks/aeo/data/browser/#/?id=3-AEO2025&amp;cases=highZTC&amp;sourcekey=0</t>
  </si>
  <si>
    <t>Tue Dec 02 2025 13:12:56 GMT-0800 (Pacific Standard Time)</t>
  </si>
  <si>
    <t>Residential</t>
  </si>
  <si>
    <t>Propane</t>
  </si>
  <si>
    <t>Energy Prices: Residential: Propane: High Zero-Carbon Technology Cost</t>
  </si>
  <si>
    <t>AEO.2025.HIGHZTC.PRCE_REAL_RESD_NA_PROP_NA_NA_Y13DLRPMMBTU.A</t>
  </si>
  <si>
    <t>2024 $/MMBtu</t>
  </si>
  <si>
    <t>Distillate Fuel Oil</t>
  </si>
  <si>
    <t>Energy Prices: Residential: Distillate Fuel Oil: High Zero-Carbon Technology Cost</t>
  </si>
  <si>
    <t>AEO.2025.HIGHZTC.PRCE_REAL_RESD_NA_DFO_NA_NA_Y13DLRPMMBTU.A</t>
  </si>
  <si>
    <t>Energy Prices: Residential: Natural Gas: High Zero-Carbon Technology Cost</t>
  </si>
  <si>
    <t>AEO.2025.HIGHZTC.PRCE_REAL_RESD_NA_NG_NA_NA_Y13DLRPMMBTU.A</t>
  </si>
  <si>
    <t>Electricity</t>
  </si>
  <si>
    <t>Energy Prices: Residential: Electricity: High Zero-Carbon Technology Cost</t>
  </si>
  <si>
    <t>AEO.2025.HIGHZTC.PRCE_REAL_RESD_NA_ELC_NA_NA_Y13DLRPMMBTU.A</t>
  </si>
  <si>
    <t>Commercial</t>
  </si>
  <si>
    <t>Energy Prices: Commercial: Propane: High Zero-Carbon Technology Cost</t>
  </si>
  <si>
    <t>AEO.2025.HIGHZTC.PRCE_REAL_COMM_NA_PROP_NA_NA_Y13DLRPMMBTU.A</t>
  </si>
  <si>
    <t>Energy Prices: Commercial: Distillate Fuel Oil: High Zero-Carbon Technology Cost</t>
  </si>
  <si>
    <t>AEO.2025.HIGHZTC.PRCE_REAL_COMM_NA_DFO_NA_NA_Y13DLRPMMBTU.A</t>
  </si>
  <si>
    <t>Residual Fuel Oil</t>
  </si>
  <si>
    <t>Energy Prices: Commercial: Residual Fuel: High Zero-Carbon Technology Cost</t>
  </si>
  <si>
    <t>AEO.2025.HIGHZTC.PRCE_REAL_COMM_NA_RFL_NA_NA_Y13DLRPMMBTU.A</t>
  </si>
  <si>
    <t>Energy Prices: Commercial: Natural Gas: High Zero-Carbon Technology Cost</t>
  </si>
  <si>
    <t>AEO.2025.HIGHZTC.PRCE_REAL_COMM_NA_NG_NA_NA_Y13DLRPMMBTU.A</t>
  </si>
  <si>
    <t>Energy Prices: Commercial: Electricity: High Zero-Carbon Technology Cost</t>
  </si>
  <si>
    <t>AEO.2025.HIGHZTC.PRCE_REAL_COMM_NA_ELC_NA_NA_Y13DLRPMMBTU.A</t>
  </si>
  <si>
    <t>Industrial</t>
  </si>
  <si>
    <t>Energy Prices: Industrial: Propane: High Zero-Carbon Technology Cost</t>
  </si>
  <si>
    <t>AEO.2025.HIGHZTC.PRCE_REAL_IDAL_NA_PROP_NA_NA_Y13DLRPMMBTU.A</t>
  </si>
  <si>
    <t>Energy Prices: Industrial: Distillate Fuel Oil: High Zero-Carbon Technology Cost</t>
  </si>
  <si>
    <t>AEO.2025.HIGHZTC.PRCE_REAL_IDAL_NA_DFO_NA_NA_Y13DLRPMMBTU.A</t>
  </si>
  <si>
    <t>Energy Prices: Industrial: Residual Fuel Oil: High Zero-Carbon Technology Cost</t>
  </si>
  <si>
    <t>AEO.2025.HIGHZTC.PRCE_REAL_IDAL_NA_RFO_NA_NA_Y13DLRPMMBTU.A</t>
  </si>
  <si>
    <t>Energy Prices: Industrial: Natural Gas: High Zero-Carbon Technology Cost</t>
  </si>
  <si>
    <t>AEO.2025.HIGHZTC.PRCE_REAL_IDAL_NA_NG_NA_NA_Y13DLRPMMBTU.A</t>
  </si>
  <si>
    <t>Metallurgical Coal</t>
  </si>
  <si>
    <t>Energy Prices: Industrial: Metallurgical Coal: High Zero-Carbon Technology Cost</t>
  </si>
  <si>
    <t>AEO.2025.HIGHZTC.PRCE_REAL_IDAL_NA_MTC_NA_NA_Y13DLRPMMBTU.A</t>
  </si>
  <si>
    <t>Other Industrial Coal</t>
  </si>
  <si>
    <t>Energy Prices: Industrial: Other Industrial Coal: High Zero-Carbon Technology Cost</t>
  </si>
  <si>
    <t>AEO.2025.HIGHZTC.PRCE_REAL_IDAL_NA_OIC_NA_NA_Y13DLRPMMBTU.A</t>
  </si>
  <si>
    <t>Hydrogen</t>
  </si>
  <si>
    <t>Energy Prices: Industrial: Hydrogen: High Zero-Carbon Technology Cost</t>
  </si>
  <si>
    <t>AEO.2025.HIGHZTC.PRCE_REAL_IDAL_NA_HDG_NA_NA_Y13DLRPMMBTU.A</t>
  </si>
  <si>
    <t>Energy Prices: Industrial: Electricity: High Zero-Carbon Technology Cost</t>
  </si>
  <si>
    <t>AEO.2025.HIGHZTC.PRCE_REAL_IDAL_NA_ELC_NA_NA_Y13DLRPMMBTU.A</t>
  </si>
  <si>
    <t>Transportation</t>
  </si>
  <si>
    <t>Energy Prices: Transportation: Propane: High Zero-Carbon Technology Cost</t>
  </si>
  <si>
    <t>AEO.2025.HIGHZTC.PRCE_REAL_TRN_NA_PROP_NA_NA_Y13DLRPMMBTU.A</t>
  </si>
  <si>
    <t>E85</t>
  </si>
  <si>
    <t>Energy Prices: Transportation: E85: High Zero-Carbon Technology Cost</t>
  </si>
  <si>
    <t>AEO.2025.HIGHZTC.PRCE_REAL_TRN_NA_E85_NA_NA_Y13DLRPMMBTU.A</t>
  </si>
  <si>
    <t>Motor Gasoline</t>
  </si>
  <si>
    <t>Energy Prices: Transportation: Motor Gasoline: High Zero-Carbon Technology Cost</t>
  </si>
  <si>
    <t>AEO.2025.HIGHZTC.PRCE_REAL_TRN_NA_MGS_NA_NA_Y13DLRPMMBTU.A</t>
  </si>
  <si>
    <t>Jet Fuel</t>
  </si>
  <si>
    <t>Energy Prices: Transportation: Jet Fuel: High Zero-Carbon Technology Cost</t>
  </si>
  <si>
    <t>AEO.2025.HIGHZTC.PRCE_REAL_TRN_NA_JFL_NA_NA_Y13DLRPMMBTU.A</t>
  </si>
  <si>
    <t>Diesel Fuel (distillate fuel oil)</t>
  </si>
  <si>
    <t>Energy Prices: Transportation: Diesel Fuel: High Zero-Carbon Technology Cost</t>
  </si>
  <si>
    <t>AEO.2025.HIGHZTC.PRCE_REAL_TRN_NA_DFU_NA_NA_Y13DLRPMMBTU.A</t>
  </si>
  <si>
    <t>Energy Prices: Transportation: Residual Fuel Oil: High Zero-Carbon Technology Cost</t>
  </si>
  <si>
    <t>AEO.2025.HIGHZTC.PRCE_REAL_TRN_NA_RFO_NA_NA_Y13DLRPMMBTU.A</t>
  </si>
  <si>
    <t>Energy Prices: Transportation: Natural Gas: High Zero-Carbon Technology Cost</t>
  </si>
  <si>
    <t>AEO.2025.HIGHZTC.PRCE_REAL_TRN_NA_NG_NA_NA_Y13DLRPMMBTU.A</t>
  </si>
  <si>
    <t>Energy Prices: Transportation: Hydrogen: High Zero-Carbon Technology Cost</t>
  </si>
  <si>
    <t>AEO.2025.HIGHZTC.PRCE_REAL_TRN_NA_HDG_NA_NA_Y13DLRPMMBTU.A</t>
  </si>
  <si>
    <t>Energy Prices: Transportation: Electricity: High Zero-Carbon Technology Cost</t>
  </si>
  <si>
    <t>AEO.2025.HIGHZTC.PRCE_REAL_TRN_NA_ELC_NA_NA_Y13DLRPMMBTU.A</t>
  </si>
  <si>
    <t>Electric Power</t>
  </si>
  <si>
    <t>Energy Prices: Electric Power: Distillate Fuel Oil: High Zero-Carbon Technology Cost</t>
  </si>
  <si>
    <t>AEO.2025.HIGHZTC.PRCE_REAL_ELEP_NA_DFO_NA_NA_Y13DLRPMMBTU.A</t>
  </si>
  <si>
    <t>Energy Prices: Electric Power: Residual Fuel Oil: High Zero-Carbon Technology Cost</t>
  </si>
  <si>
    <t>AEO.2025.HIGHZTC.PRCE_REAL_ELEP_NA_RFO_NA_NA_Y13DLRPMMBTU.A</t>
  </si>
  <si>
    <t>Energy Prices: Electric Power: Natural Gas: High Zero-Carbon Technology Cost</t>
  </si>
  <si>
    <t>AEO.2025.HIGHZTC.PRCE_REAL_ELEP_NA_NG_NA_NA_Y13DLRPMMBTU.A</t>
  </si>
  <si>
    <t>Steam Coal</t>
  </si>
  <si>
    <t>Energy Prices: Electric Power: Steam Coal: High Zero-Carbon Technology Cost</t>
  </si>
  <si>
    <t>AEO.2025.HIGHZTC.PRCE_REAL_ELEP_NA_STC_NA_NA_Y13DLRPMMBTU.A</t>
  </si>
  <si>
    <t>Energy Prices: Electric Power: Uranium: High Zero-Carbon Technology Cost</t>
  </si>
  <si>
    <t>AEO.2025.HIGHZTC.PRCE_REAL_ELEP_NA_U_NA_NA_Y13DLRPMMBTU.A</t>
  </si>
  <si>
    <t>Energy Prices: Electric Power: Hydrogen: High Zero-Carbon Technology Cost</t>
  </si>
  <si>
    <t>AEO.2025.HIGHZTC.PRCE_REAL_ELEP_NA_HDG_NA_NA_Y13DLRPMMBTU.A</t>
  </si>
  <si>
    <t>Average Price to All Users</t>
  </si>
  <si>
    <t>Energy Prices: Average Price to All Users: Propane: High Zero-Carbon Technology Cost</t>
  </si>
  <si>
    <t>AEO.2025.HIGHZTC.PRCE_REAL_TEN_NA_PROP_NA_NA_Y13DLRPMMBTU.A</t>
  </si>
  <si>
    <t>Energy Prices: Average Price to All Users: E85: High Zero-Carbon Technology Cost</t>
  </si>
  <si>
    <t>AEO.2025.HIGHZTC.PRCE_REAL_TEN_NA_E85_NA_NA_Y13DLRPMMBTU.A</t>
  </si>
  <si>
    <t>Energy Prices: Average Price to All Users: Motor Gasoline: High Zero-Carbon Technology Cost</t>
  </si>
  <si>
    <t>AEO.2025.HIGHZTC.PRCE_REAL_TEN_NA_MGS_NA_NA_Y13DLRPMMBTU.A</t>
  </si>
  <si>
    <t>Energy Prices: Average Price to All Users: Jet Fuel: High Zero-Carbon Technology Cost</t>
  </si>
  <si>
    <t>AEO.2025.HIGHZTC.PRCE_REAL_TEN_NA_JFL_NA_NA_Y13DLRPMMBTU.A</t>
  </si>
  <si>
    <t>Energy Prices: Average Price to All Users: Distillate Fuel Oil: High Zero-Carbon Technology Cost</t>
  </si>
  <si>
    <t>AEO.2025.HIGHZTC.PRCE_REAL_TEN_NA_DFO_NA_NA_Y13DLRPMMBTU.A</t>
  </si>
  <si>
    <t>Energy Prices: Average Price to All Users: Residual Fuel Oil: High Zero-Carbon Technology Cost</t>
  </si>
  <si>
    <t>AEO.2025.HIGHZTC.PRCE_REAL_TEN_NA_RFO_NA_NA_Y13DLRPMMBTU.A</t>
  </si>
  <si>
    <t>Energy Prices: Average Price to All Users: Natural Gas: High Zero-Carbon Technology Cost</t>
  </si>
  <si>
    <t>AEO.2025.HIGHZTC.PRCE_REAL_TEN_NA_NG_NA_NA_Y13DLRPMMBTU.A</t>
  </si>
  <si>
    <t>Energy Prices: Average Price to All Users: Metallurgical Coal: High Zero-Carbon Technology Cost</t>
  </si>
  <si>
    <t>AEO.2025.HIGHZTC.PRCE_REAL_TEN_NA_MTC_NA_NA_Y13DLRPMMBTU.A</t>
  </si>
  <si>
    <t>Other Coal</t>
  </si>
  <si>
    <t>Energy Prices: Average Price to All Users: Other Coal: High Zero-Carbon Technology Cost</t>
  </si>
  <si>
    <t>AEO.2025.HIGHZTC.PRCE_REAL_TEN_NA_OCA_NA_NA_Y13DLRPMMBTU.A</t>
  </si>
  <si>
    <t>Energy Prices: Average Price to All Users: Hydrogen: High Zero-Carbon Technology Cost</t>
  </si>
  <si>
    <t>AEO.2025.HIGHZTC.PRCE_REAL_TEN_NA_HDG_NA_NA_Y13DLRPMMBTU.A</t>
  </si>
  <si>
    <t>Energy Prices: Average Price to All Users: Electricity: High Zero-Carbon Technology Cost</t>
  </si>
  <si>
    <t>AEO.2025.HIGHZTC.PRCE_REAL_TEN_NA_ELC_NA_NA_Y13DLRPMMBTU.A</t>
  </si>
  <si>
    <t>Non-Renewable Energy Expenditures by Sector</t>
  </si>
  <si>
    <t>(billion 2024 dollars)</t>
  </si>
  <si>
    <t>Energy Expenditures: Non-Renewable Residential: High Zero-Carbon Technology Cost</t>
  </si>
  <si>
    <t>AEO.2025.HIGHZTC.EXPD_REAL_RESD_NA_NRN_NA_NA_BLNY13DLR.A</t>
  </si>
  <si>
    <t>billion 2024 $</t>
  </si>
  <si>
    <t>Energy Expenditures: Non-Renewable Commercial: High Zero-Carbon Technology Cost</t>
  </si>
  <si>
    <t>AEO.2025.HIGHZTC.EXPD_REAL_COMM_NA_NRN_NA_NA_BLNY13DLR.A</t>
  </si>
  <si>
    <t>Energy Expenditures: Non-Renewable Industrial: High Zero-Carbon Technology Cost</t>
  </si>
  <si>
    <t>AEO.2025.HIGHZTC.EXPD_REAL_IDAL_NA_NRN_NA_NA_BLNY13DLR.A</t>
  </si>
  <si>
    <t>Energy Expenditures: Non-Renewable Transportation: High Zero-Carbon Technology Cost</t>
  </si>
  <si>
    <t>AEO.2025.HIGHZTC.EXPD_REAL_TRN_NA_NRN_NA_NA_BLNY13DLR.A</t>
  </si>
  <si>
    <t>Total Non-Renewable Expenditures</t>
  </si>
  <si>
    <t>Energy Expenditures: Total Non-Renewable: High Zero-Carbon Technology Cost</t>
  </si>
  <si>
    <t>AEO.2025.HIGHZTC.EXPD_REAL_TEN_NA_NRN_NA_NA_BLNY13DLR.A</t>
  </si>
  <si>
    <t>Transportation Renewable Expenditures</t>
  </si>
  <si>
    <t>Energy Expenditures: Renewable Transportation: High Zero-Carbon Technology Cost</t>
  </si>
  <si>
    <t>AEO.2025.HIGHZTC.EXPD_REAL_TRN_NA_RNW_NA_NA_BLNY13DLR.A</t>
  </si>
  <si>
    <t>Total Expenditures</t>
  </si>
  <si>
    <t>Energy Expenditures: High Zero-Carbon Technology Cost</t>
  </si>
  <si>
    <t>AEO.2025.HIGHZTC.EXPD_REAL_TEN_NA_NA_NA_NA_BLNY13DLR.A</t>
  </si>
  <si>
    <t>Prices in Nominal Dollars</t>
  </si>
  <si>
    <t>Energy Prices: Nominal: Residential: Propane: High Zero-Carbon Technology Cost</t>
  </si>
  <si>
    <t>AEO.2025.HIGHZTC.PRCE_NOM_RESD_NA_PROP_NA_NA_NDLRPMBTU.A</t>
  </si>
  <si>
    <t>nom $/MMBtu</t>
  </si>
  <si>
    <t>Energy Prices: Nominal: Residential: Distillate Fuel Oil: High Zero-Carbon Technology Cost</t>
  </si>
  <si>
    <t>AEO.2025.HIGHZTC.PRCE_NOM_RESD_NA_DFO_NA_NA_NDLRPMBTU.A</t>
  </si>
  <si>
    <t>Energy Prices: Nominal: Residential: Natural Gas: High Zero-Carbon Technology Cost</t>
  </si>
  <si>
    <t>AEO.2025.HIGHZTC.PRCE_NOM_RESD_NA_NG_NA_NA_NDLRPMBTU.A</t>
  </si>
  <si>
    <t>Energy Prices: Nominal: Residential: Electricity: High Zero-Carbon Technology Cost</t>
  </si>
  <si>
    <t>AEO.2025.HIGHZTC.PRCE_NOM_RESD_NA_ELC_NA_NA_NDLRPMBTU.A</t>
  </si>
  <si>
    <t>Energy Prices: Nominal: Commercial: Propane: High Zero-Carbon Technology Cost</t>
  </si>
  <si>
    <t>AEO.2025.HIGHZTC.PRCE_NOM_COMM_NA_PROP_NA_NA_NDLRPMBTU.A</t>
  </si>
  <si>
    <t>Energy Prices: Nominal: Commercial: Distillate Fuel Oil: High Zero-Carbon Technology Cost</t>
  </si>
  <si>
    <t>AEO.2025.HIGHZTC.PRCE_NOM_COMM_NA_DFO_NA_NA_NDLRPMBTU.A</t>
  </si>
  <si>
    <t>Energy Prices: Nominal: Commercial: Residual Fuel: High Zero-Carbon Technology Cost</t>
  </si>
  <si>
    <t>AEO.2025.HIGHZTC.PRCE_NOM_COMM_NA_RFL_NA_NA_NDLRPMBTU.A</t>
  </si>
  <si>
    <t>Energy Prices: Nominal: Commercial: Natural Gas: High Zero-Carbon Technology Cost</t>
  </si>
  <si>
    <t>AEO.2025.HIGHZTC.PRCE_NOM_COMM_NA_NG_NA_NA_NDLRPMBTU.A</t>
  </si>
  <si>
    <t>Energy Prices: Nominal: Commercial: Electricity: High Zero-Carbon Technology Cost</t>
  </si>
  <si>
    <t>AEO.2025.HIGHZTC.PRCE_NOM_COMM_NA_ELC_NA_NA_NDLRPMBTU.A</t>
  </si>
  <si>
    <t>Energy Prices: Nominal: Industrial: Propane: High Zero-Carbon Technology Cost</t>
  </si>
  <si>
    <t>AEO.2025.HIGHZTC.PRCE_NOM_IDAL_NA_PROP_NA_NA_NDLRPMBTU.A</t>
  </si>
  <si>
    <t>Energy Prices: Nominal: Industrial: Distillate Fuel Oil: High Zero-Carbon Technology Cost</t>
  </si>
  <si>
    <t>AEO.2025.HIGHZTC.PRCE_NOM_IDAL_NA_DFO_NA_NA_NDLRPMBTU.A</t>
  </si>
  <si>
    <t>Energy Prices: Nominal: Industrial: Residual Fuel Oil: High Zero-Carbon Technology Cost</t>
  </si>
  <si>
    <t>AEO.2025.HIGHZTC.PRCE_NOM_IDAL_NA_RFO_NA_NA_NDLRPMBTU.A</t>
  </si>
  <si>
    <t>Energy Prices: Nominal: Industrial: Natural Gas: High Zero-Carbon Technology Cost</t>
  </si>
  <si>
    <t>AEO.2025.HIGHZTC.PRCE_NOM_IDAL_NA_NG_NA_NA_NDLRPMBTU.A</t>
  </si>
  <si>
    <t>Energy Prices: Nominal: Industrial: Metallurgical Coal: High Zero-Carbon Technology Cost</t>
  </si>
  <si>
    <t>AEO.2025.HIGHZTC.PRCE_NOM_IDAL_NA_MTC_NA_NA_NDLRPMBTU.A</t>
  </si>
  <si>
    <t>Energy Prices: Nominal: Industrial: Other Industrial Coal: High Zero-Carbon Technology Cost</t>
  </si>
  <si>
    <t>AEO.2025.HIGHZTC.PRCE_NOM_IDAL_NA_OIC_NA_NA_NDLRPMBTU.A</t>
  </si>
  <si>
    <t>Energy Prices: Nominal: Industrial: Hydrogen: High Zero-Carbon Technology Cost</t>
  </si>
  <si>
    <t>AEO.2025.HIGHZTC.PRCE_NOM_IDAL_NA_HDG_NA_NA_NDLRPMBTU.A</t>
  </si>
  <si>
    <t>Energy Prices: Nominal: Industrial: Electricity: High Zero-Carbon Technology Cost</t>
  </si>
  <si>
    <t>AEO.2025.HIGHZTC.PRCE_NOM_IDAL_NA_ELC_NA_NA_NDLRPMBTU.A</t>
  </si>
  <si>
    <t>Energy Prices: Nominal: Transportation: Propane: High Zero-Carbon Technology Cost</t>
  </si>
  <si>
    <t>AEO.2025.HIGHZTC.PRCE_NOM_TRN_NA_PROP_NA_NA_NDLRPMBTU.A</t>
  </si>
  <si>
    <t>Energy Prices: Nominal: Transportation: E85: High Zero-Carbon Technology Cost</t>
  </si>
  <si>
    <t>AEO.2025.HIGHZTC.PRCE_NOM_TRN_NA_E85_NA_NA_NDLRPMBTU.A</t>
  </si>
  <si>
    <t>Energy Prices: Nominal: Transportation: Motor Gasoline: High Zero-Carbon Technology Cost</t>
  </si>
  <si>
    <t>AEO.2025.HIGHZTC.PRCE_NOM_TRN_NA_MGS_NA_NA_NDLRPMBTU.A</t>
  </si>
  <si>
    <t>Energy Prices: Nominal: Transportation: Jet Fuel: High Zero-Carbon Technology Cost</t>
  </si>
  <si>
    <t>AEO.2025.HIGHZTC.PRCE_NOM_TRN_NA_JFL_NA_NA_NDLRPMBTU.A</t>
  </si>
  <si>
    <t>Energy Prices: Nominal: Transportation: Diesel Fuel: High Zero-Carbon Technology Cost</t>
  </si>
  <si>
    <t>AEO.2025.HIGHZTC.PRCE_NOM_TRN_NA_DFU_NA_NA_NDLRPMBTU.A</t>
  </si>
  <si>
    <t>Energy Prices: Nominal: Transportation: Residual Fuel Oil: High Zero-Carbon Technology Cost</t>
  </si>
  <si>
    <t>AEO.2025.HIGHZTC.PRCE_NOM_TRN_NA_RFO_NA_NA_NDLRPMBTU.A</t>
  </si>
  <si>
    <t>Energy Prices: Nominal: Transportation: Natural Gas: High Zero-Carbon Technology Cost</t>
  </si>
  <si>
    <t>AEO.2025.HIGHZTC.PRCE_NOM_TRN_NA_NG_NA_NA_NDLRPMBTU.A</t>
  </si>
  <si>
    <t>Energy Prices: Nominal: Transportation: Electricity: High Zero-Carbon Technology Cost</t>
  </si>
  <si>
    <t>AEO.2025.HIGHZTC.PRCE_NOM_TRN_NA_ELC_NA_NA_NDLRPMBTU.A</t>
  </si>
  <si>
    <t>Energy Prices: Nominal: Electric Power: Distillate Fuel Oil: High Zero-Carbon Technology Cost</t>
  </si>
  <si>
    <t>AEO.2025.HIGHZTC.PRCE_NOM_ELEP_NA_DFO_NA_NA_NDLRPMBTU.A</t>
  </si>
  <si>
    <t>Energy Prices: Nominal: Electric Power: Residual Fuel Oil: High Zero-Carbon Technology Cost</t>
  </si>
  <si>
    <t>AEO.2025.HIGHZTC.PRCE_NOM_ELEP_NA_RFO_NA_NA_NDLRPMBTU.A</t>
  </si>
  <si>
    <t>Energy Prices: Nominal: Electric Power: Natural Gas: High Zero-Carbon Technology Cost</t>
  </si>
  <si>
    <t>AEO.2025.HIGHZTC.PRCE_NOM_ELEP_NA_NG_NA_NA_NDLRPMBTU.A</t>
  </si>
  <si>
    <t>Energy Prices: Nominal: Electric Power: Steam Coal: High Zero-Carbon Technology Cost</t>
  </si>
  <si>
    <t>AEO.2025.HIGHZTC.PRCE_NOM_ELEP_NA_STC_NA_NA_NDLRPMBTU.A</t>
  </si>
  <si>
    <t>Energy Prices: Nominal: Electric Power: Uranium: High Zero-Carbon Technology Cost</t>
  </si>
  <si>
    <t>AEO.2025.HIGHZTC.PRCE_NOM_ELEP_NA_U_NA_NA_NDLRPMBTU.A</t>
  </si>
  <si>
    <t>AEO.2025.HIGHZTC.NA_NOM_ELEP_NA_HDG_NA_NA_NDLRPMBTU.A</t>
  </si>
  <si>
    <t>Energy Prices: Nominal: Average Price to All Users: Propane: High Zero-Carbon Technology Cost</t>
  </si>
  <si>
    <t>AEO.2025.HIGHZTC.PRCE_NOM_TEN_NA_PROP_NA_NA_NDLRPMBTU.A</t>
  </si>
  <si>
    <t>Energy Prices: Nominal: Average Price to All Users: E85: High Zero-Carbon Technology Cost</t>
  </si>
  <si>
    <t>AEO.2025.HIGHZTC.PRCE_NOM_TEN_NA_E85_NA_NA_NDLRPMBTU.A</t>
  </si>
  <si>
    <t>Energy Prices: Nominal: Average Price to All Users: Motor Gasoline: High Zero-Carbon Technology Cost</t>
  </si>
  <si>
    <t>AEO.2025.HIGHZTC.PRCE_NOM_TEN_NA_MGS_NA_NA_NDLRPMBTU.A</t>
  </si>
  <si>
    <t>Energy Prices: Nominal: Average Price to All Users: Jet Fuel: High Zero-Carbon Technology Cost</t>
  </si>
  <si>
    <t>AEO.2025.HIGHZTC.PRCE_NOM_TEN_NA_JFL_NA_NA_NDLRPMBTU.A</t>
  </si>
  <si>
    <t>Energy Prices: Nominal: Average Price to All Users: Distillate Fuel Oil: High Zero-Carbon Technology Cost</t>
  </si>
  <si>
    <t>AEO.2025.HIGHZTC.PRCE_NOM_TEN_NA_DFO_NA_NA_NDLRPMBTU.A</t>
  </si>
  <si>
    <t>Energy Prices: Nominal: Average Price to All Users: Residual Fuel Oil: High Zero-Carbon Technology Cost</t>
  </si>
  <si>
    <t>AEO.2025.HIGHZTC.PRCE_NOM_TEN_NA_RFO_NA_NA_NDLRPMBTU.A</t>
  </si>
  <si>
    <t>Energy Prices: Nominal: Average Price to All Users: Natural Gas: High Zero-Carbon Technology Cost</t>
  </si>
  <si>
    <t>AEO.2025.HIGHZTC.PRCE_NOM_TEN_NA_NG_NA_NA_NDLRPMBTU.A</t>
  </si>
  <si>
    <t>Energy Prices: Nominal: Average Price to All Users: Metallurgical Coal: High Zero-Carbon Technology Cost</t>
  </si>
  <si>
    <t>AEO.2025.HIGHZTC.PRCE_NOM_TEN_NA_MTC_NA_NA_NDLRPMBTU.A</t>
  </si>
  <si>
    <t>Energy Prices: Nominal: Average Price to All Users: Other Coal: High Zero-Carbon Technology Cost</t>
  </si>
  <si>
    <t>AEO.2025.HIGHZTC.PRCE_NOM_TEN_NA_OCA_NA_NA_NDLRPMBTU.A</t>
  </si>
  <si>
    <t>AEO.2025.HIGHZTC.PRCE_NOM_TEN_NA_HDG_NA_NA_NDLRPMBTU.A</t>
  </si>
  <si>
    <t>Energy Prices: Nominal: Average Price to All Users: Electricity: High Zero-Carbon Technology Cost</t>
  </si>
  <si>
    <t>AEO.2025.HIGHZTC.PRCE_NOM_TEN_NA_ELC_NA_NA_NDLRPMBTU.A</t>
  </si>
  <si>
    <t>(billion nominal dollars)</t>
  </si>
  <si>
    <t>Energy Expenditures: Nominal: Non-Renewable Residential: High Zero-Carbon Technology Cost</t>
  </si>
  <si>
    <t>AEO.2025.HIGHZTC.EXPD_NOM_RESD_NA_NRN_NA_NA_BLNNOMDLR.A</t>
  </si>
  <si>
    <t>billion nom $</t>
  </si>
  <si>
    <t>Energy Expenditures: Nominal: Non-Renewable Commercial: High Zero-Carbon Technology Cost</t>
  </si>
  <si>
    <t>AEO.2025.HIGHZTC.EXPD_NOM_COMM_NA_NRN_NA_NA_BLNNOMDLR.A</t>
  </si>
  <si>
    <t>Energy Expenditures: Nominal: Non-Renewable Industrial: High Zero-Carbon Technology Cost</t>
  </si>
  <si>
    <t>AEO.2025.HIGHZTC.EXPD_NOM_IDAL_NA_NRN_NA_NA_BLNNOMDLR.A</t>
  </si>
  <si>
    <t>Energy Expenditures: Nominal: Non-Renewable Transportation: High Zero-Carbon Technology Cost</t>
  </si>
  <si>
    <t>AEO.2025.HIGHZTC.EXPD_NOM_TRN_NA_NRN_NA_NA_BLNNOMDLR.A</t>
  </si>
  <si>
    <t>Energy Expenditures: Nominal: Total Non-Renewable: High Zero-Carbon Technology Cost</t>
  </si>
  <si>
    <t>AEO.2025.HIGHZTC.EXPD_NOM_TEN_NA_NRN_NA_NA_BLNNOMDLR.A</t>
  </si>
  <si>
    <t>Energy Expenditures: Nominal: Renewable Transportation: High Zero-Carbon Technology Cost</t>
  </si>
  <si>
    <t>AEO.2025.HIGHZTC.EXPD_NOM_TRN_NA_RNW_NA_NA_BLNNOMDLR.A</t>
  </si>
  <si>
    <t>Energy Expenditures: Nominal: High Zero-Carbon Technology Cost</t>
  </si>
  <si>
    <t>AEO.2025.HIGHZTC.EXPD_NOM_TEN_NA_NA_NA_NA_BLNNOMDLR.A</t>
  </si>
  <si>
    <t>Imported Electricity (MW*hour)</t>
  </si>
  <si>
    <t>hard coal w CCS</t>
  </si>
  <si>
    <t>natural gas combined cycle w CCS</t>
  </si>
  <si>
    <t>biomass w CCS</t>
  </si>
  <si>
    <t>lignite w CCS</t>
  </si>
  <si>
    <t>small modular reactor</t>
  </si>
  <si>
    <t>hydrogen combustion turbine</t>
  </si>
  <si>
    <t>hydrogen combined cycle</t>
  </si>
  <si>
    <t>Exported Electricity (MW*hour)</t>
  </si>
  <si>
    <t>Electricity Exports (MWh)</t>
  </si>
  <si>
    <t>Unit: 2012 USD/MWh</t>
  </si>
  <si>
    <t>Imported Electricity Price</t>
  </si>
  <si>
    <t>https://www.eia.gov/outlooks/aeo/data/browser/#/?id=10-AEO2026&amp;cases=electrnp&amp;sourcekey=0</t>
  </si>
  <si>
    <t>Thu Apr 23 2026 14:58:31 GMT-0700 (Pacific Daylight Time)</t>
  </si>
  <si>
    <t>Growth (2025-2050)</t>
  </si>
  <si>
    <t>Electricity Trade: Gross Domestic Sales: Firm Power: Alternative Electricity and Transportation</t>
  </si>
  <si>
    <t>AEO.2026.ELECTRNP.TRAD_FPW_ELEP_GDSE_SAL_NA_USA_BLNKWH.A</t>
  </si>
  <si>
    <t>-1.6%</t>
  </si>
  <si>
    <t>Electricity Trade: Gross Domestic Sales: Economy: Alternative Electricity and Transportation</t>
  </si>
  <si>
    <t>AEO.2026.ELECTRNP.TRAD_ECN_ELEP_GDSE_SAL_NA_USA_BLNKWH.A</t>
  </si>
  <si>
    <t>1.6%</t>
  </si>
  <si>
    <t>Electricity Trade: Gross Domestic Sales: Total: Alternative Electricity and Transportation</t>
  </si>
  <si>
    <t>AEO.2026.ELECTRNP.TRAD_TOT_ELEP_GDSE_SAL_NA_USA_BLNKWH.A</t>
  </si>
  <si>
    <t>1.3%</t>
  </si>
  <si>
    <t>Gross Domestic Sales (million 2025 dollars)</t>
  </si>
  <si>
    <t>AEO.2026.ELECTRNP.KEI_FPW_ELEP_GDSE_SAL_NA_USA_MILLY13DLR.A</t>
  </si>
  <si>
    <t>million 2025 $</t>
  </si>
  <si>
    <t>AEO.2026.ELECTRNP.KEI_ECN_ELEP_GDSE_SAL_NA_USA_MILLY13DLR.A</t>
  </si>
  <si>
    <t>1.8%</t>
  </si>
  <si>
    <t>AEO.2026.ELECTRNP.KEI_TOT_ELEP_GDSE_SAL_NA_USA_MILLY13DLR.A</t>
  </si>
  <si>
    <t>1.1%</t>
  </si>
  <si>
    <t>Electricity Trade: Imports from Canada and Mexico: Firm Power: Alternative Electricity and Transportation</t>
  </si>
  <si>
    <t>AEO.2026.ELECTRNP.TRAD_FPW_ELEP_ICME_IMP_CANMEX_USA_BLNKWH.A</t>
  </si>
  <si>
    <t>2.0%</t>
  </si>
  <si>
    <t>Electricity Trade: Imports from Canada and Mexico: Economy: Alternative Electricity and Transportation</t>
  </si>
  <si>
    <t>AEO.2026.ELECTRNP.TRAD_ECN_ELEP_ICME_IMP_CANMEX_USA_BLNKWH.A</t>
  </si>
  <si>
    <t>3.0%</t>
  </si>
  <si>
    <t>Electricity Trade: Imports from Canada and Mexico: Total: Alternative Electricity and Transportation</t>
  </si>
  <si>
    <t>AEO.2026.ELECTRNP.TRAD_TOT_ELEP_ICME_IMP_CANMEX_USA_BLNKWH.A</t>
  </si>
  <si>
    <t>2.6%</t>
  </si>
  <si>
    <t>Electricity Trade: Exports to Canada and Mexico: Firm Power: Alternative Electricity and Transportation</t>
  </si>
  <si>
    <t>AEO.2026.ELECTRNP.TRAD_FPW_ELEP_EXCM_IMP_CANMEX_USA_BLNKWH.A</t>
  </si>
  <si>
    <t>-100.0%</t>
  </si>
  <si>
    <t>Electricity Trade: Exports to Canada and Mexico: Economy: Alternative Electricity and Transportation</t>
  </si>
  <si>
    <t>AEO.2026.ELECTRNP.TRAD_ECN_ELEP_EXCM_IMP_CANMEX_USA_BLNKWH.A</t>
  </si>
  <si>
    <t>0.3%</t>
  </si>
  <si>
    <t>Electricity Trade: Exports to Canada and Mexico: Total: Alternative Electricity and Transportation</t>
  </si>
  <si>
    <t>AEO.2026.ELECTRNP.TRAD_TOT_ELEP_EXCM_IMP_CANMEX_USA_BLNKWH.A</t>
  </si>
  <si>
    <t>0.0%</t>
  </si>
  <si>
    <t>https://www.eia.gov/outlooks/aeo/data/browser/#/?id=3-AEO2026&amp;cases=electrnp&amp;sourcekey=0</t>
  </si>
  <si>
    <t>Thu Apr 23 2026 14:57:36 GMT-0700 (Pacific Daylight Time)</t>
  </si>
  <si>
    <t>Energy Prices: Residential: Propane: Alternative Electricity and Transportation</t>
  </si>
  <si>
    <t>AEO.2026.ELECTRNP.PRCE_REAL_RESD_NA_PROP_NA_NA_Y13DLRPMMBTU.A</t>
  </si>
  <si>
    <t>2025 $/MMBtu</t>
  </si>
  <si>
    <t>Energy Prices: Residential: Distillate Fuel Oil: Alternative Electricity and Transportation</t>
  </si>
  <si>
    <t>AEO.2026.ELECTRNP.PRCE_REAL_RESD_NA_DFO_NA_NA_Y13DLRPMMBTU.A</t>
  </si>
  <si>
    <t>0.6%</t>
  </si>
  <si>
    <t>Energy Prices: Residential: Natural Gas: Alternative Electricity and Transportation</t>
  </si>
  <si>
    <t>AEO.2026.ELECTRNP.PRCE_REAL_RESD_NA_NG_NA_NA_Y13DLRPMMBTU.A</t>
  </si>
  <si>
    <t>Energy Prices: Residential: Electricity: Alternative Electricity and Transportation</t>
  </si>
  <si>
    <t>AEO.2026.ELECTRNP.PRCE_REAL_RESD_NA_ELC_NA_NA_Y13DLRPMMBTU.A</t>
  </si>
  <si>
    <t>Energy Prices: Commercial: Propane: Alternative Electricity and Transportation</t>
  </si>
  <si>
    <t>AEO.2026.ELECTRNP.PRCE_REAL_COMM_NA_PROP_NA_NA_Y13DLRPMMBTU.A</t>
  </si>
  <si>
    <t>1.2%</t>
  </si>
  <si>
    <t>Energy Prices: Commercial: Distillate Fuel Oil: Alternative Electricity and Transportation</t>
  </si>
  <si>
    <t>AEO.2026.ELECTRNP.PRCE_REAL_COMM_NA_DFO_NA_NA_Y13DLRPMMBTU.A</t>
  </si>
  <si>
    <t>-0.2%</t>
  </si>
  <si>
    <t>Energy Prices: Commercial: Residual Fuel: Alternative Electricity and Transportation</t>
  </si>
  <si>
    <t>AEO.2026.ELECTRNP.PRCE_REAL_COMM_NA_RFL_NA_NA_Y13DLRPMMBTU.A</t>
  </si>
  <si>
    <t>2.8%</t>
  </si>
  <si>
    <t>Energy Prices: Commercial: Natural Gas: Alternative Electricity and Transportation</t>
  </si>
  <si>
    <t>AEO.2026.ELECTRNP.PRCE_REAL_COMM_NA_NG_NA_NA_Y13DLRPMMBTU.A</t>
  </si>
  <si>
    <t>0.9%</t>
  </si>
  <si>
    <t>Energy Prices: Commercial: Electricity: Alternative Electricity and Transportation</t>
  </si>
  <si>
    <t>AEO.2026.ELECTRNP.PRCE_REAL_COMM_NA_ELC_NA_NA_Y13DLRPMMBTU.A</t>
  </si>
  <si>
    <t>-0.0%</t>
  </si>
  <si>
    <t>Energy Prices: Industrial: Propane: Alternative Electricity and Transportation</t>
  </si>
  <si>
    <t>AEO.2026.ELECTRNP.PRCE_REAL_IDAL_NA_PROP_NA_NA_Y13DLRPMMBTU.A</t>
  </si>
  <si>
    <t>Energy Prices: Industrial: Distillate Fuel Oil: Alternative Electricity and Transportation</t>
  </si>
  <si>
    <t>AEO.2026.ELECTRNP.PRCE_REAL_IDAL_NA_DFO_NA_NA_Y13DLRPMMBTU.A</t>
  </si>
  <si>
    <t>-0.3%</t>
  </si>
  <si>
    <t>Energy Prices: Industrial: Residual Fuel Oil: Alternative Electricity and Transportation</t>
  </si>
  <si>
    <t>AEO.2026.ELECTRNP.PRCE_REAL_IDAL_NA_RFO_NA_NA_Y13DLRPMMBTU.A</t>
  </si>
  <si>
    <t>2.7%</t>
  </si>
  <si>
    <t>Energy Prices: Industrial: Natural Gas: Alternative Electricity and Transportation</t>
  </si>
  <si>
    <t>AEO.2026.ELECTRNP.PRCE_REAL_IDAL_NA_NG_NA_NA_Y13DLRPMMBTU.A</t>
  </si>
  <si>
    <t>0.7%</t>
  </si>
  <si>
    <t>Energy Prices: Industrial: Metallurgical Coal: Alternative Electricity and Transportation</t>
  </si>
  <si>
    <t>AEO.2026.ELECTRNP.PRCE_REAL_IDAL_NA_MTC_NA_NA_Y13DLRPMMBTU.A</t>
  </si>
  <si>
    <t>-0.1%</t>
  </si>
  <si>
    <t>Energy Prices: Industrial: Other Industrial Coal: Alternative Electricity and Transportation</t>
  </si>
  <si>
    <t>AEO.2026.ELECTRNP.PRCE_REAL_IDAL_NA_OIC_NA_NA_Y13DLRPMMBTU.A</t>
  </si>
  <si>
    <t>Energy Prices: Industrial: Hydrogen: Alternative Electricity and Transportation</t>
  </si>
  <si>
    <t>AEO.2026.ELECTRNP.PRCE_REAL_IDAL_NA_HDG_NA_NA_Y13DLRPMMBTU.A</t>
  </si>
  <si>
    <t>0.4%</t>
  </si>
  <si>
    <t>Energy Prices: Industrial: Electricity: Alternative Electricity and Transportation</t>
  </si>
  <si>
    <t>AEO.2026.ELECTRNP.PRCE_REAL_IDAL_NA_ELC_NA_NA_Y13DLRPMMBTU.A</t>
  </si>
  <si>
    <t>Energy Prices: Transportation: Propane: Alternative Electricity and Transportation</t>
  </si>
  <si>
    <t>AEO.2026.ELECTRNP.PRCE_REAL_TRN_NA_PROP_NA_NA_Y13DLRPMMBTU.A</t>
  </si>
  <si>
    <t>Energy Prices: Transportation: E85: Alternative Electricity and Transportation</t>
  </si>
  <si>
    <t>AEO.2026.ELECTRNP.PRCE_REAL_TRN_NA_E85_NA_NA_Y13DLRPMMBTU.A</t>
  </si>
  <si>
    <t>0.2%</t>
  </si>
  <si>
    <t>Energy Prices: Transportation: Motor Gasoline: Alternative Electricity and Transportation</t>
  </si>
  <si>
    <t>AEO.2026.ELECTRNP.PRCE_REAL_TRN_NA_MGS_NA_NA_Y13DLRPMMBTU.A</t>
  </si>
  <si>
    <t>Energy Prices: Transportation: Jet Fuel: Alternative Electricity and Transportation</t>
  </si>
  <si>
    <t>AEO.2026.ELECTRNP.PRCE_REAL_TRN_NA_JFL_NA_NA_Y13DLRPMMBTU.A</t>
  </si>
  <si>
    <t>Energy Prices: Transportation: Diesel Fuel: Alternative Electricity and Transportation</t>
  </si>
  <si>
    <t>AEO.2026.ELECTRNP.PRCE_REAL_TRN_NA_DFU_NA_NA_Y13DLRPMMBTU.A</t>
  </si>
  <si>
    <t>0.5%</t>
  </si>
  <si>
    <t>Energy Prices: Transportation: Residual Fuel Oil: Alternative Electricity and Transportation</t>
  </si>
  <si>
    <t>AEO.2026.ELECTRNP.PRCE_REAL_TRN_NA_RFO_NA_NA_Y13DLRPMMBTU.A</t>
  </si>
  <si>
    <t>0.8%</t>
  </si>
  <si>
    <t>Energy Prices: Transportation: Natural Gas: Alternative Electricity and Transportation</t>
  </si>
  <si>
    <t>AEO.2026.ELECTRNP.PRCE_REAL_TRN_NA_NG_NA_NA_Y13DLRPMMBTU.A</t>
  </si>
  <si>
    <t>Energy Prices: Transportation: Hydrogen: Alternative Electricity and Transportation</t>
  </si>
  <si>
    <t>AEO.2026.ELECTRNP.PRCE_REAL_TRN_NA_HDG_NA_NA_Y13DLRPMMBTU.A</t>
  </si>
  <si>
    <t>0.1%</t>
  </si>
  <si>
    <t>Energy Prices: Transportation: Electricity: Alternative Electricity and Transportation</t>
  </si>
  <si>
    <t>AEO.2026.ELECTRNP.PRCE_REAL_TRN_NA_ELC_NA_NA_Y13DLRPMMBTU.A</t>
  </si>
  <si>
    <t>Energy Prices: Electric Power: Distillate Fuel Oil: Alternative Electricity and Transportation</t>
  </si>
  <si>
    <t>AEO.2026.ELECTRNP.PRCE_REAL_ELEP_NA_DFO_NA_NA_Y13DLRPMMBTU.A</t>
  </si>
  <si>
    <t>-0.4%</t>
  </si>
  <si>
    <t>Energy Prices: Electric Power: Residual Fuel Oil: Alternative Electricity and Transportation</t>
  </si>
  <si>
    <t>AEO.2026.ELECTRNP.PRCE_REAL_ELEP_NA_RFO_NA_NA_Y13DLRPMMBTU.A</t>
  </si>
  <si>
    <t>Energy Prices: Electric Power: Natural Gas: Alternative Electricity and Transportation</t>
  </si>
  <si>
    <t>AEO.2026.ELECTRNP.PRCE_REAL_ELEP_NA_NG_NA_NA_Y13DLRPMMBTU.A</t>
  </si>
  <si>
    <t>Energy Prices: Electric Power: Steam Coal: Alternative Electricity and Transportation</t>
  </si>
  <si>
    <t>AEO.2026.ELECTRNP.PRCE_REAL_ELEP_NA_STC_NA_NA_Y13DLRPMMBTU.A</t>
  </si>
  <si>
    <t>Nuclear Fuel</t>
  </si>
  <si>
    <t>Energy Prices: Electric Power: Nuclear Fuel: Alternative Electricity and Transportation</t>
  </si>
  <si>
    <t>AEO.2026.ELECTRNP.PRCE_REAL_ELEP_NA_U_NA_NA_Y13DLRPMMBTU.A</t>
  </si>
  <si>
    <t>-0.6%</t>
  </si>
  <si>
    <t>Energy Prices: Electric Power: Hydrogen: Alternative Electricity and Transportation</t>
  </si>
  <si>
    <t>AEO.2026.ELECTRNP.PRCE_REAL_ELEP_NA_HDG_NA_NA_Y13DLRPMMBTU.A</t>
  </si>
  <si>
    <t>Energy Prices: Average Price to All Users: Propane: Alternative Electricity and Transportation</t>
  </si>
  <si>
    <t>AEO.2026.ELECTRNP.PRCE_REAL_TEN_NA_PROP_NA_NA_Y13DLRPMMBTU.A</t>
  </si>
  <si>
    <t>1.0%</t>
  </si>
  <si>
    <t>Energy Prices: Average Price to All Users: E85: Alternative Electricity and Transportation</t>
  </si>
  <si>
    <t>AEO.2026.ELECTRNP.PRCE_REAL_TEN_NA_E85_NA_NA_Y13DLRPMMBTU.A</t>
  </si>
  <si>
    <t>Energy Prices: Average Price to All Users: Motor Gasoline: Alternative Electricity and Transportation</t>
  </si>
  <si>
    <t>AEO.2026.ELECTRNP.PRCE_REAL_TEN_NA_MGS_NA_NA_Y13DLRPMMBTU.A</t>
  </si>
  <si>
    <t>Energy Prices: Average Price to All Users: Jet Fuel: Alternative Electricity and Transportation</t>
  </si>
  <si>
    <t>AEO.2026.ELECTRNP.PRCE_REAL_TEN_NA_JFL_NA_NA_Y13DLRPMMBTU.A</t>
  </si>
  <si>
    <t>Energy Prices: Average Price to All Users: Distillate Fuel Oil: Alternative Electricity and Transportation</t>
  </si>
  <si>
    <t>AEO.2026.ELECTRNP.PRCE_REAL_TEN_NA_DFO_NA_NA_Y13DLRPMMBTU.A</t>
  </si>
  <si>
    <t>Energy Prices: Average Price to All Users: Residual Fuel Oil: Alternative Electricity and Transportation</t>
  </si>
  <si>
    <t>AEO.2026.ELECTRNP.PRCE_REAL_TEN_NA_RFO_NA_NA_Y13DLRPMMBTU.A</t>
  </si>
  <si>
    <t>Energy Prices: Average Price to All Users: Natural Gas: Alternative Electricity and Transportation</t>
  </si>
  <si>
    <t>AEO.2026.ELECTRNP.PRCE_REAL_TEN_NA_NG_NA_NA_Y13DLRPMMBTU.A</t>
  </si>
  <si>
    <t>Energy Prices: Average Price to All Users: Metallurgical Coal: Alternative Electricity and Transportation</t>
  </si>
  <si>
    <t>AEO.2026.ELECTRNP.PRCE_REAL_TEN_NA_MTC_NA_NA_Y13DLRPMMBTU.A</t>
  </si>
  <si>
    <t>Energy Prices: Average Price to All Users: Other Coal: Alternative Electricity and Transportation</t>
  </si>
  <si>
    <t>AEO.2026.ELECTRNP.PRCE_REAL_TEN_NA_OCA_NA_NA_Y13DLRPMMBTU.A</t>
  </si>
  <si>
    <t>Energy Prices: Average Price to All Users: Hydrogen: Alternative Electricity and Transportation</t>
  </si>
  <si>
    <t>AEO.2026.ELECTRNP.PRCE_REAL_TEN_NA_HDG_NA_NA_Y13DLRPMMBTU.A</t>
  </si>
  <si>
    <t>Energy Prices: Average Price to All Users: Electricity: Alternative Electricity and Transportation</t>
  </si>
  <si>
    <t>AEO.2026.ELECTRNP.PRCE_REAL_TEN_NA_ELC_NA_NA_Y13DLRPMMBTU.A</t>
  </si>
  <si>
    <t>(billion 2025 dollars)</t>
  </si>
  <si>
    <t>Energy Expenditures: Non-Renewable Residential: Alternative Electricity and Transportation</t>
  </si>
  <si>
    <t>AEO.2026.ELECTRNP.EXPD_REAL_RESD_NA_NRN_NA_NA_BLNY13DLR.A</t>
  </si>
  <si>
    <t>billion 2025 $</t>
  </si>
  <si>
    <t>Energy Expenditures: Non-Renewable Commercial: Alternative Electricity and Transportation</t>
  </si>
  <si>
    <t>AEO.2026.ELECTRNP.EXPD_REAL_COMM_NA_NRN_NA_NA_BLNY13DLR.A</t>
  </si>
  <si>
    <t>Energy Expenditures: Non-Renewable Industrial: Alternative Electricity and Transportation</t>
  </si>
  <si>
    <t>AEO.2026.ELECTRNP.EXPD_REAL_IDAL_NA_NRN_NA_NA_BLNY13DLR.A</t>
  </si>
  <si>
    <t>Energy Expenditures: Non-Renewable Transportation: Alternative Electricity and Transportation</t>
  </si>
  <si>
    <t>AEO.2026.ELECTRNP.EXPD_REAL_TRN_NA_NRN_NA_NA_BLNY13DLR.A</t>
  </si>
  <si>
    <t>Energy Expenditures: Total Non-Renewable: Alternative Electricity and Transportation</t>
  </si>
  <si>
    <t>AEO.2026.ELECTRNP.EXPD_REAL_TEN_NA_NRN_NA_NA_BLNY13DLR.A</t>
  </si>
  <si>
    <t>Energy Expenditures: Renewable Transportation: Alternative Electricity and Transportation</t>
  </si>
  <si>
    <t>AEO.2026.ELECTRNP.EXPD_REAL_TRN_NA_RNW_NA_NA_BLNY13DLR.A</t>
  </si>
  <si>
    <t>-7.1%</t>
  </si>
  <si>
    <t>Energy Expenditures: Alternative Electricity and Transportation</t>
  </si>
  <si>
    <t>AEO.2026.ELECTRNP.EXPD_REAL_TEN_NA_NA_NA_NA_BLNY13DLR.A</t>
  </si>
  <si>
    <t>Energy Prices: Nominal: Residential: Propane: Alternative Electricity and Transportation</t>
  </si>
  <si>
    <t>AEO.2026.ELECTRNP.PRCE_NOM_RESD_NA_PROP_NA_NA_NDLRPMBTU.A</t>
  </si>
  <si>
    <t>3.1%</t>
  </si>
  <si>
    <t>Energy Prices: Nominal: Residential: Distillate Fuel Oil: Alternative Electricity and Transportation</t>
  </si>
  <si>
    <t>AEO.2026.ELECTRNP.PRCE_NOM_RESD_NA_DFO_NA_NA_NDLRPMBTU.A</t>
  </si>
  <si>
    <t>Energy Prices: Nominal: Residential: Natural Gas: Alternative Electricity and Transportation</t>
  </si>
  <si>
    <t>AEO.2026.ELECTRNP.PRCE_NOM_RESD_NA_NG_NA_NA_NDLRPMBTU.A</t>
  </si>
  <si>
    <t>2.3%</t>
  </si>
  <si>
    <t>Energy Prices: Nominal: Residential: Electricity: Alternative Electricity and Transportation</t>
  </si>
  <si>
    <t>AEO.2026.ELECTRNP.PRCE_NOM_RESD_NA_ELC_NA_NA_NDLRPMBTU.A</t>
  </si>
  <si>
    <t>2.2%</t>
  </si>
  <si>
    <t>Energy Prices: Nominal: Commercial: Propane: Alternative Electricity and Transportation</t>
  </si>
  <si>
    <t>AEO.2026.ELECTRNP.PRCE_NOM_COMM_NA_PROP_NA_NA_NDLRPMBTU.A</t>
  </si>
  <si>
    <t>3.2%</t>
  </si>
  <si>
    <t>Energy Prices: Nominal: Commercial: Distillate Fuel Oil: Alternative Electricity and Transportation</t>
  </si>
  <si>
    <t>AEO.2026.ELECTRNP.PRCE_NOM_COMM_NA_DFO_NA_NA_NDLRPMBTU.A</t>
  </si>
  <si>
    <t>Energy Prices: Nominal: Commercial: Residual Fuel: Alternative Electricity and Transportation</t>
  </si>
  <si>
    <t>AEO.2026.ELECTRNP.PRCE_NOM_COMM_NA_RFL_NA_NA_NDLRPMBTU.A</t>
  </si>
  <si>
    <t>4.8%</t>
  </si>
  <si>
    <t>Energy Prices: Nominal: Commercial: Natural Gas: Alternative Electricity and Transportation</t>
  </si>
  <si>
    <t>AEO.2026.ELECTRNP.PRCE_NOM_COMM_NA_NG_NA_NA_NDLRPMBTU.A</t>
  </si>
  <si>
    <t>2.9%</t>
  </si>
  <si>
    <t>Energy Prices: Nominal: Commercial: Electricity: Alternative Electricity and Transportation</t>
  </si>
  <si>
    <t>AEO.2026.ELECTRNP.PRCE_NOM_COMM_NA_ELC_NA_NA_NDLRPMBTU.A</t>
  </si>
  <si>
    <t>Energy Prices: Nominal: Industrial: Propane: Alternative Electricity and Transportation</t>
  </si>
  <si>
    <t>AEO.2026.ELECTRNP.PRCE_NOM_IDAL_NA_PROP_NA_NA_NDLRPMBTU.A</t>
  </si>
  <si>
    <t>3.8%</t>
  </si>
  <si>
    <t>Energy Prices: Nominal: Industrial: Distillate Fuel Oil: Alternative Electricity and Transportation</t>
  </si>
  <si>
    <t>AEO.2026.ELECTRNP.PRCE_NOM_IDAL_NA_DFO_NA_NA_NDLRPMBTU.A</t>
  </si>
  <si>
    <t>1.7%</t>
  </si>
  <si>
    <t>Energy Prices: Nominal: Industrial: Residual Fuel Oil: Alternative Electricity and Transportation</t>
  </si>
  <si>
    <t>AEO.2026.ELECTRNP.PRCE_NOM_IDAL_NA_RFO_NA_NA_NDLRPMBTU.A</t>
  </si>
  <si>
    <t>Energy Prices: Nominal: Industrial: Natural Gas: Alternative Electricity and Transportation</t>
  </si>
  <si>
    <t>AEO.2026.ELECTRNP.PRCE_NOM_IDAL_NA_NG_NA_NA_NDLRPMBTU.A</t>
  </si>
  <si>
    <t>Energy Prices: Nominal: Industrial: Metallurgical Coal: Alternative Electricity and Transportation</t>
  </si>
  <si>
    <t>AEO.2026.ELECTRNP.PRCE_NOM_IDAL_NA_MTC_NA_NA_NDLRPMBTU.A</t>
  </si>
  <si>
    <t>1.9%</t>
  </si>
  <si>
    <t>Energy Prices: Nominal: Industrial: Other Industrial Coal: Alternative Electricity and Transportation</t>
  </si>
  <si>
    <t>AEO.2026.ELECTRNP.PRCE_NOM_IDAL_NA_OIC_NA_NA_NDLRPMBTU.A</t>
  </si>
  <si>
    <t>Energy Prices: Nominal: Industrial: Hydrogen: Alternative Electricity and Transportation</t>
  </si>
  <si>
    <t>AEO.2026.ELECTRNP.PRCE_NOM_IDAL_NA_HDG_NA_NA_NDLRPMBTU.A</t>
  </si>
  <si>
    <t>2.4%</t>
  </si>
  <si>
    <t>Energy Prices: Nominal: Industrial: Electricity: Alternative Electricity and Transportation</t>
  </si>
  <si>
    <t>AEO.2026.ELECTRNP.PRCE_NOM_IDAL_NA_ELC_NA_NA_NDLRPMBTU.A</t>
  </si>
  <si>
    <t>Energy Prices: Nominal: Transportation: Propane: Alternative Electricity and Transportation</t>
  </si>
  <si>
    <t>AEO.2026.ELECTRNP.PRCE_NOM_TRN_NA_PROP_NA_NA_NDLRPMBTU.A</t>
  </si>
  <si>
    <t>Energy Prices: Nominal: Transportation: E85: Alternative Electricity and Transportation</t>
  </si>
  <si>
    <t>AEO.2026.ELECTRNP.PRCE_NOM_TRN_NA_E85_NA_NA_NDLRPMBTU.A</t>
  </si>
  <si>
    <t>2.1%</t>
  </si>
  <si>
    <t>Energy Prices: Nominal: Transportation: Motor Gasoline: Alternative Electricity and Transportation</t>
  </si>
  <si>
    <t>AEO.2026.ELECTRNP.PRCE_NOM_TRN_NA_MGS_NA_NA_NDLRPMBTU.A</t>
  </si>
  <si>
    <t>Energy Prices: Nominal: Transportation: Jet Fuel: Alternative Electricity and Transportation</t>
  </si>
  <si>
    <t>AEO.2026.ELECTRNP.PRCE_NOM_TRN_NA_JFL_NA_NA_NDLRPMBTU.A</t>
  </si>
  <si>
    <t>Energy Prices: Nominal: Transportation: Diesel Fuel: Alternative Electricity and Transportation</t>
  </si>
  <si>
    <t>AEO.2026.ELECTRNP.PRCE_NOM_TRN_NA_DFU_NA_NA_NDLRPMBTU.A</t>
  </si>
  <si>
    <t>2.5%</t>
  </si>
  <si>
    <t>Energy Prices: Nominal: Transportation: Residual Fuel Oil: Alternative Electricity and Transportation</t>
  </si>
  <si>
    <t>AEO.2026.ELECTRNP.PRCE_NOM_TRN_NA_RFO_NA_NA_NDLRPMBTU.A</t>
  </si>
  <si>
    <t>Energy Prices: Nominal: Transportation: Natural Gas: Alternative Electricity and Transportation</t>
  </si>
  <si>
    <t>AEO.2026.ELECTRNP.PRCE_NOM_TRN_NA_NG_NA_NA_NDLRPMBTU.A</t>
  </si>
  <si>
    <t>Energy Prices: Nominal: Transportation: Electricity: Alternative Electricity and Transportation</t>
  </si>
  <si>
    <t>AEO.2026.ELECTRNP.PRCE_NOM_TRN_NA_ELC_NA_NA_NDLRPMBTU.A</t>
  </si>
  <si>
    <t>Energy Prices: Nominal: Electric Power: Distillate Fuel Oil: Alternative Electricity and Transportation</t>
  </si>
  <si>
    <t>AEO.2026.ELECTRNP.PRCE_NOM_ELEP_NA_DFO_NA_NA_NDLRPMBTU.A</t>
  </si>
  <si>
    <t>Energy Prices: Nominal: Electric Power: Residual Fuel Oil: Alternative Electricity and Transportation</t>
  </si>
  <si>
    <t>AEO.2026.ELECTRNP.PRCE_NOM_ELEP_NA_RFO_NA_NA_NDLRPMBTU.A</t>
  </si>
  <si>
    <t>Energy Prices: Nominal: Electric Power: Natural Gas: Alternative Electricity and Transportation</t>
  </si>
  <si>
    <t>AEO.2026.ELECTRNP.PRCE_NOM_ELEP_NA_NG_NA_NA_NDLRPMBTU.A</t>
  </si>
  <si>
    <t>Energy Prices: Nominal: Electric Power: Steam Coal: Alternative Electricity and Transportation</t>
  </si>
  <si>
    <t>AEO.2026.ELECTRNP.PRCE_NOM_ELEP_NA_STC_NA_NA_NDLRPMBTU.A</t>
  </si>
  <si>
    <t>Energy Prices: Nominal: Electric Power: Uranium: Alternative Electricity and Transportation</t>
  </si>
  <si>
    <t>AEO.2026.ELECTRNP.PRCE_NOM_ELEP_NA_U_NA_NA_NDLRPMBTU.A</t>
  </si>
  <si>
    <t>AEO.2026.ELECTRNP.NA_NOM_ELEP_NA_HDG_NA_NA_NDLRPMBTU.A</t>
  </si>
  <si>
    <t>Energy Prices: Nominal: Average Price to All Users: Propane: Alternative Electricity and Transportation</t>
  </si>
  <si>
    <t>AEO.2026.ELECTRNP.PRCE_NOM_TEN_NA_PROP_NA_NA_NDLRPMBTU.A</t>
  </si>
  <si>
    <t>Energy Prices: Nominal: Average Price to All Users: E85: Alternative Electricity and Transportation</t>
  </si>
  <si>
    <t>AEO.2026.ELECTRNP.PRCE_NOM_TEN_NA_E85_NA_NA_NDLRPMBTU.A</t>
  </si>
  <si>
    <t>Energy Prices: Nominal: Average Price to All Users: Motor Gasoline: Alternative Electricity and Transportation</t>
  </si>
  <si>
    <t>AEO.2026.ELECTRNP.PRCE_NOM_TEN_NA_MGS_NA_NA_NDLRPMBTU.A</t>
  </si>
  <si>
    <t>Energy Prices: Nominal: Average Price to All Users: Jet Fuel: Alternative Electricity and Transportation</t>
  </si>
  <si>
    <t>AEO.2026.ELECTRNP.PRCE_NOM_TEN_NA_JFL_NA_NA_NDLRPMBTU.A</t>
  </si>
  <si>
    <t>Energy Prices: Nominal: Average Price to All Users: Distillate Fuel Oil: Alternative Electricity and Transportation</t>
  </si>
  <si>
    <t>AEO.2026.ELECTRNP.PRCE_NOM_TEN_NA_DFO_NA_NA_NDLRPMBTU.A</t>
  </si>
  <si>
    <t>Energy Prices: Nominal: Average Price to All Users: Residual Fuel Oil: Alternative Electricity and Transportation</t>
  </si>
  <si>
    <t>AEO.2026.ELECTRNP.PRCE_NOM_TEN_NA_RFO_NA_NA_NDLRPMBTU.A</t>
  </si>
  <si>
    <t>Energy Prices: Nominal: Average Price to All Users: Natural Gas: Alternative Electricity and Transportation</t>
  </si>
  <si>
    <t>AEO.2026.ELECTRNP.PRCE_NOM_TEN_NA_NG_NA_NA_NDLRPMBTU.A</t>
  </si>
  <si>
    <t>Energy Prices: Nominal: Average Price to All Users: Metallurgical Coal: Alternative Electricity and Transportation</t>
  </si>
  <si>
    <t>AEO.2026.ELECTRNP.PRCE_NOM_TEN_NA_MTC_NA_NA_NDLRPMBTU.A</t>
  </si>
  <si>
    <t>Energy Prices: Nominal: Average Price to All Users: Other Coal: Alternative Electricity and Transportation</t>
  </si>
  <si>
    <t>AEO.2026.ELECTRNP.PRCE_NOM_TEN_NA_OCA_NA_NA_NDLRPMBTU.A</t>
  </si>
  <si>
    <t>AEO.2026.ELECTRNP.PRCE_NOM_TEN_NA_HDG_NA_NA_NDLRPMBTU.A</t>
  </si>
  <si>
    <t>Energy Prices: Nominal: Average Price to All Users: Electricity: Alternative Electricity and Transportation</t>
  </si>
  <si>
    <t>AEO.2026.ELECTRNP.PRCE_NOM_TEN_NA_ELC_NA_NA_NDLRPMBTU.A</t>
  </si>
  <si>
    <t>Energy Expenditures: Nominal: Non-Renewable Residential: Alternative Electricity and Transportation</t>
  </si>
  <si>
    <t>AEO.2026.ELECTRNP.EXPD_NOM_RESD_NA_NRN_NA_NA_BLNNOMDLR.A</t>
  </si>
  <si>
    <t>Energy Expenditures: Nominal: Non-Renewable Commercial: Alternative Electricity and Transportation</t>
  </si>
  <si>
    <t>AEO.2026.ELECTRNP.EXPD_NOM_COMM_NA_NRN_NA_NA_BLNNOMDLR.A</t>
  </si>
  <si>
    <t>Energy Expenditures: Nominal: Non-Renewable Industrial: Alternative Electricity and Transportation</t>
  </si>
  <si>
    <t>AEO.2026.ELECTRNP.EXPD_NOM_IDAL_NA_NRN_NA_NA_BLNNOMDLR.A</t>
  </si>
  <si>
    <t>3.3%</t>
  </si>
  <si>
    <t>Energy Expenditures: Nominal: Non-Renewable Transportation: Alternative Electricity and Transportation</t>
  </si>
  <si>
    <t>AEO.2026.ELECTRNP.EXPD_NOM_TRN_NA_NRN_NA_NA_BLNNOMDLR.A</t>
  </si>
  <si>
    <t>Energy Expenditures: Nominal: Total Non-Renewable: Alternative Electricity and Transportation</t>
  </si>
  <si>
    <t>AEO.2026.ELECTRNP.EXPD_NOM_TEN_NA_NRN_NA_NA_BLNNOMDLR.A</t>
  </si>
  <si>
    <t>Energy Expenditures: Nominal: Renewable Transportation: Alternative Electricity and Transportation</t>
  </si>
  <si>
    <t>AEO.2026.ELECTRNP.EXPD_NOM_TRN_NA_RNW_NA_NA_BLNNOMDLR.A</t>
  </si>
  <si>
    <t>-5.3%</t>
  </si>
  <si>
    <t>Energy Expenditures: Nominal: Alternative Electricity and Transportation</t>
  </si>
  <si>
    <t>AEO.2026.ELECTRNP.EXPD_NOM_TEN_NA_NA_NA_NA_BLNNOMDLR.A</t>
  </si>
  <si>
    <t>2012 USD/2025 USD</t>
  </si>
  <si>
    <t>Annual Energy Outlook 2026</t>
  </si>
  <si>
    <t>Alternative electricity and transportation: Table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</si>
</sst>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6" formatCode="0.00000"/>
  </numFmts>
  <fonts count="12"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sz val="11"/>
      <color rgb="FF000000"/>
      <name val="Calibri"/>
      <family val="2"/>
    </font>
    <font>
      <b/>
      <sz val="16"/>
      <color rgb="FF000000"/>
      <name val="Calibri"/>
      <family val="2"/>
    </font>
    <font>
      <b/>
      <sz val="14"/>
      <color rgb="FF000000"/>
      <name val="Calibri"/>
      <family val="2"/>
    </font>
    <font>
      <u/>
      <sz val="11"/>
      <color theme="10"/>
      <name val="Calibri"/>
      <family val="2"/>
      <scheme val="minor"/>
    </font>
    <font>
      <sz val="11"/>
      <color theme="1"/>
      <name val="Calibri"/>
      <family val="2"/>
      <scheme val="minor"/>
    </font>
    <font>
      <i/>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00"/>
        <bgColor indexed="64"/>
      </patternFill>
    </fill>
  </fills>
  <borders count="5">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s>
  <cellStyleXfs count="38">
    <xf numFmtId="0" fontId="0" fillId="0" borderId="0"/>
    <xf numFmtId="0" fontId="2" fillId="0" borderId="0"/>
    <xf numFmtId="0" fontId="3" fillId="0" borderId="1">
      <alignment wrapText="1"/>
    </xf>
    <xf numFmtId="0" fontId="4" fillId="0" borderId="0">
      <alignment horizontal="left"/>
    </xf>
    <xf numFmtId="0" fontId="3" fillId="0" borderId="2">
      <alignment wrapText="1"/>
    </xf>
    <xf numFmtId="0" fontId="2" fillId="0" borderId="3">
      <alignment wrapText="1"/>
    </xf>
    <xf numFmtId="0" fontId="2" fillId="0" borderId="4">
      <alignment wrapText="1"/>
    </xf>
    <xf numFmtId="0" fontId="2" fillId="0" borderId="0"/>
    <xf numFmtId="0" fontId="5" fillId="0" borderId="0"/>
    <xf numFmtId="0" fontId="8" fillId="0" borderId="0"/>
    <xf numFmtId="43" fontId="9" fillId="0" borderId="0"/>
    <xf numFmtId="0" fontId="2" fillId="0" borderId="0"/>
    <xf numFmtId="0" fontId="3" fillId="0" borderId="1">
      <alignment wrapText="1"/>
    </xf>
    <xf numFmtId="0" fontId="4" fillId="0" borderId="0">
      <alignment horizontal="left"/>
    </xf>
    <xf numFmtId="0" fontId="3" fillId="0" borderId="2">
      <alignment wrapText="1"/>
    </xf>
    <xf numFmtId="0" fontId="2" fillId="0" borderId="3">
      <alignment wrapText="1"/>
    </xf>
    <xf numFmtId="0" fontId="2" fillId="0" borderId="4">
      <alignment wrapText="1"/>
    </xf>
    <xf numFmtId="0" fontId="2" fillId="0" borderId="3">
      <alignment wrapText="1"/>
    </xf>
    <xf numFmtId="0" fontId="2" fillId="0" borderId="0"/>
    <xf numFmtId="0" fontId="2" fillId="0" borderId="4">
      <alignment wrapText="1"/>
    </xf>
    <xf numFmtId="0" fontId="3" fillId="0" borderId="1">
      <alignment wrapText="1"/>
    </xf>
    <xf numFmtId="0" fontId="3" fillId="0" borderId="2">
      <alignment wrapText="1"/>
    </xf>
    <xf numFmtId="0" fontId="4" fillId="0" borderId="0">
      <alignment horizontal="left"/>
    </xf>
    <xf numFmtId="0" fontId="9" fillId="0" borderId="0"/>
    <xf numFmtId="0" fontId="2" fillId="0" borderId="0"/>
    <xf numFmtId="0" fontId="2" fillId="0" borderId="3">
      <alignment wrapText="1"/>
    </xf>
    <xf numFmtId="0" fontId="2" fillId="0" borderId="0"/>
    <xf numFmtId="0" fontId="2" fillId="0" borderId="4">
      <alignment wrapText="1"/>
    </xf>
    <xf numFmtId="0" fontId="3" fillId="0" borderId="1">
      <alignment wrapText="1"/>
    </xf>
    <xf numFmtId="0" fontId="3" fillId="0" borderId="2">
      <alignment wrapText="1"/>
    </xf>
    <xf numFmtId="0" fontId="4" fillId="0" borderId="0">
      <alignment horizontal="left"/>
    </xf>
    <xf numFmtId="0" fontId="9" fillId="0" borderId="0"/>
    <xf numFmtId="0" fontId="2" fillId="0" borderId="3">
      <alignment wrapText="1"/>
    </xf>
    <xf numFmtId="0" fontId="2" fillId="0" borderId="0"/>
    <xf numFmtId="0" fontId="2" fillId="0" borderId="4">
      <alignment wrapText="1"/>
    </xf>
    <xf numFmtId="0" fontId="3" fillId="0" borderId="1">
      <alignment wrapText="1"/>
    </xf>
    <xf numFmtId="0" fontId="3" fillId="0" borderId="2">
      <alignment wrapText="1"/>
    </xf>
    <xf numFmtId="0" fontId="4" fillId="0" borderId="0">
      <alignment horizontal="left"/>
    </xf>
  </cellStyleXfs>
  <cellXfs count="25">
    <xf numFmtId="0" fontId="0" fillId="0" borderId="0" xfId="0"/>
    <xf numFmtId="0" fontId="1" fillId="0" borderId="0" xfId="0" applyFont="1"/>
    <xf numFmtId="0" fontId="0" fillId="0" borderId="0" xfId="0" applyAlignment="1">
      <alignment horizontal="left"/>
    </xf>
    <xf numFmtId="0" fontId="1" fillId="2" borderId="0" xfId="0" applyFont="1" applyFill="1"/>
    <xf numFmtId="0" fontId="8" fillId="0" borderId="0" xfId="9"/>
    <xf numFmtId="1" fontId="0" fillId="0" borderId="0" xfId="0" applyNumberFormat="1"/>
    <xf numFmtId="0" fontId="1" fillId="0" borderId="0" xfId="0" applyFont="1" applyAlignment="1">
      <alignment horizontal="left" wrapText="1"/>
    </xf>
    <xf numFmtId="0" fontId="1" fillId="0" borderId="0" xfId="0" applyFont="1" applyAlignment="1">
      <alignment wrapText="1"/>
    </xf>
    <xf numFmtId="11" fontId="0" fillId="0" borderId="0" xfId="0" applyNumberFormat="1"/>
    <xf numFmtId="164" fontId="0" fillId="0" borderId="0" xfId="0" applyNumberFormat="1"/>
    <xf numFmtId="2" fontId="0" fillId="0" borderId="0" xfId="10" applyNumberFormat="1" applyFont="1"/>
    <xf numFmtId="0" fontId="6" fillId="0" borderId="0" xfId="0" applyFont="1"/>
    <xf numFmtId="0" fontId="7" fillId="0" borderId="0" xfId="0" applyFont="1"/>
    <xf numFmtId="17" fontId="0" fillId="0" borderId="0" xfId="0" applyNumberFormat="1"/>
    <xf numFmtId="3" fontId="0" fillId="0" borderId="0" xfId="0" applyNumberFormat="1"/>
    <xf numFmtId="0" fontId="0" fillId="0" borderId="0" xfId="0" applyAlignment="1">
      <alignment horizontal="right"/>
    </xf>
    <xf numFmtId="0" fontId="1" fillId="3" borderId="0" xfId="0" applyFont="1" applyFill="1"/>
    <xf numFmtId="0" fontId="0" fillId="3" borderId="0" xfId="0" applyFill="1"/>
    <xf numFmtId="0" fontId="1" fillId="3" borderId="0" xfId="0" applyFont="1" applyFill="1" applyAlignment="1">
      <alignment horizontal="right"/>
    </xf>
    <xf numFmtId="3" fontId="0" fillId="3" borderId="0" xfId="0" applyNumberFormat="1" applyFill="1"/>
    <xf numFmtId="0" fontId="10" fillId="0" borderId="0" xfId="0" applyFont="1"/>
    <xf numFmtId="0" fontId="11" fillId="0" borderId="0" xfId="0" applyFont="1" applyAlignment="1">
      <alignment vertical="center"/>
    </xf>
    <xf numFmtId="10" fontId="0" fillId="0" borderId="0" xfId="0" applyNumberFormat="1"/>
    <xf numFmtId="10" fontId="0" fillId="3" borderId="0" xfId="0" applyNumberFormat="1" applyFill="1"/>
    <xf numFmtId="166" fontId="0" fillId="0" borderId="0" xfId="10" applyNumberFormat="1" applyFont="1"/>
  </cellXfs>
  <cellStyles count="38">
    <cellStyle name="Body: normal cell" xfId="5" xr:uid="{00000000-0005-0000-0000-000005000000}"/>
    <cellStyle name="Body: normal cell 2" xfId="15" xr:uid="{00000000-0005-0000-0000-00000F000000}"/>
    <cellStyle name="Body: normal cell 2 2" xfId="32" xr:uid="{00000000-0005-0000-0000-000020000000}"/>
    <cellStyle name="Body: normal cell 3" xfId="25" xr:uid="{00000000-0005-0000-0000-000019000000}"/>
    <cellStyle name="Body: normal cell 4" xfId="17" xr:uid="{00000000-0005-0000-0000-000011000000}"/>
    <cellStyle name="Comma" xfId="10" builtinId="3"/>
    <cellStyle name="Font: Calibri, 9pt regular" xfId="1" xr:uid="{00000000-0005-0000-0000-000001000000}"/>
    <cellStyle name="Font: Calibri, 9pt regular 2" xfId="11" xr:uid="{00000000-0005-0000-0000-00000B000000}"/>
    <cellStyle name="Font: Calibri, 9pt regular 2 2" xfId="33" xr:uid="{00000000-0005-0000-0000-000021000000}"/>
    <cellStyle name="Font: Calibri, 9pt regular 3" xfId="26" xr:uid="{00000000-0005-0000-0000-00001A000000}"/>
    <cellStyle name="Font: Calibri, 9pt regular 4" xfId="18" xr:uid="{00000000-0005-0000-0000-000012000000}"/>
    <cellStyle name="Footnotes: top row" xfId="6" xr:uid="{00000000-0005-0000-0000-000006000000}"/>
    <cellStyle name="Footnotes: top row 2" xfId="16" xr:uid="{00000000-0005-0000-0000-000010000000}"/>
    <cellStyle name="Footnotes: top row 2 2" xfId="34" xr:uid="{00000000-0005-0000-0000-000022000000}"/>
    <cellStyle name="Footnotes: top row 3" xfId="27" xr:uid="{00000000-0005-0000-0000-00001B000000}"/>
    <cellStyle name="Footnotes: top row 4" xfId="19" xr:uid="{00000000-0005-0000-0000-000013000000}"/>
    <cellStyle name="Header: bottom row" xfId="2" xr:uid="{00000000-0005-0000-0000-000002000000}"/>
    <cellStyle name="Header: bottom row 2" xfId="12" xr:uid="{00000000-0005-0000-0000-00000C000000}"/>
    <cellStyle name="Header: bottom row 2 2" xfId="35" xr:uid="{00000000-0005-0000-0000-000023000000}"/>
    <cellStyle name="Header: bottom row 3" xfId="28" xr:uid="{00000000-0005-0000-0000-00001C000000}"/>
    <cellStyle name="Header: bottom row 4" xfId="20" xr:uid="{00000000-0005-0000-0000-000014000000}"/>
    <cellStyle name="Hyperlink" xfId="9" builtinId="8"/>
    <cellStyle name="Normal" xfId="0" builtinId="0"/>
    <cellStyle name="Normal 2" xfId="7" xr:uid="{00000000-0005-0000-0000-000007000000}"/>
    <cellStyle name="Normal 2 2" xfId="8" xr:uid="{00000000-0005-0000-0000-000008000000}"/>
    <cellStyle name="Normal 3" xfId="31" xr:uid="{00000000-0005-0000-0000-00001F000000}"/>
    <cellStyle name="Normal 4" xfId="24" xr:uid="{00000000-0005-0000-0000-000018000000}"/>
    <cellStyle name="Normal 5" xfId="23" xr:uid="{00000000-0005-0000-0000-000017000000}"/>
    <cellStyle name="Parent row" xfId="4" xr:uid="{00000000-0005-0000-0000-000004000000}"/>
    <cellStyle name="Parent row 2" xfId="14" xr:uid="{00000000-0005-0000-0000-00000E000000}"/>
    <cellStyle name="Parent row 2 2" xfId="36" xr:uid="{00000000-0005-0000-0000-000024000000}"/>
    <cellStyle name="Parent row 3" xfId="29" xr:uid="{00000000-0005-0000-0000-00001D000000}"/>
    <cellStyle name="Parent row 4" xfId="21" xr:uid="{00000000-0005-0000-0000-000015000000}"/>
    <cellStyle name="Table title" xfId="3" xr:uid="{00000000-0005-0000-0000-000003000000}"/>
    <cellStyle name="Table title 2" xfId="13" xr:uid="{00000000-0005-0000-0000-00000D000000}"/>
    <cellStyle name="Table title 2 2" xfId="37" xr:uid="{00000000-0005-0000-0000-000025000000}"/>
    <cellStyle name="Table title 3" xfId="30" xr:uid="{00000000-0005-0000-0000-00001E000000}"/>
    <cellStyle name="Table title 4" xfId="22"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jeff-nonadmin/CodeRepositories/eps-us/InputData/fuels/BFCpUEbS/BAU%20Fuel%20Cost%20per%20Unit%20Energy%20by%20Sector.xlsx" TargetMode="External"/><Relationship Id="rId1" Type="http://schemas.openxmlformats.org/officeDocument/2006/relationships/externalLinkPath" Target="/Users/jeff-nonadmin/CodeRepositories/eps-us/InputData/fuels/BFCpUEbS/BAU%20Fuel%20Cost%20per%20Unit%20Energy%20by%20Secto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Table 2"/>
      <sheetName val="AEO Table 3"/>
      <sheetName val="AEO Table 12"/>
      <sheetName val="Natural Gas Adjustment"/>
      <sheetName val="Hard Coal and Lig Multipliers"/>
      <sheetName val="Hydrogen"/>
      <sheetName val="Other Fuels"/>
      <sheetName val="BFCpUEbS-electricity"/>
      <sheetName val="BFCpUEbS-coal"/>
      <sheetName val="BFCpUEbS-natural-gas"/>
      <sheetName val="BFCpUEbS-nuclear"/>
      <sheetName val="BFCpUEbS-hydro"/>
      <sheetName val="BFCpUEbS-wind"/>
      <sheetName val="BFCpUEbS-solar"/>
      <sheetName val="BFCpUEbS-biomass"/>
      <sheetName val="BFCpUEbS-petroleum-gasoline"/>
      <sheetName val="BFCpUEbS-petroleum-diesel"/>
      <sheetName val="BFCpUEbS-biofuel-gasoline"/>
      <sheetName val="BFCpUEbS-biofuel-diesel"/>
      <sheetName val="BFCpUEbS-jet-fuel-or-kerosene"/>
      <sheetName val="BFCpUEbS-heat"/>
      <sheetName val="BFCpUEbS-lignite"/>
      <sheetName val="BFCpUEbS-geothermal"/>
      <sheetName val="BFCpUEbS-crude-oil"/>
      <sheetName val="BFCpUEbS-heavy-fuel-oil"/>
      <sheetName val="BFCpUEbS-lpg-propane-or-butane"/>
      <sheetName val="BFCpUEbS-municipal-solid-waste"/>
      <sheetName val="BFCpUEbS-hydrogen"/>
    </sheetNames>
    <sheetDataSet>
      <sheetData sheetId="0"/>
      <sheetData sheetId="1"/>
      <sheetData sheetId="2"/>
      <sheetData sheetId="3"/>
      <sheetData sheetId="4"/>
      <sheetData sheetId="5">
        <row r="16">
          <cell r="N16">
            <v>0.92062879123815489</v>
          </cell>
        </row>
        <row r="17">
          <cell r="N17">
            <v>1.0036394752510358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5" displayName="Table15" ref="A8:AU16" totalsRowShown="0">
  <tableColumns count="47">
    <tableColumn id="1" xr3:uid="{00000000-0010-0000-0000-000001000000}" name="_"/>
    <tableColumn id="2" xr3:uid="{00000000-0010-0000-0000-000002000000}" name="2005"/>
    <tableColumn id="3" xr3:uid="{00000000-0010-0000-0000-000003000000}" name="2006"/>
    <tableColumn id="4" xr3:uid="{00000000-0010-0000-0000-000004000000}" name="2007"/>
    <tableColumn id="5" xr3:uid="{00000000-0010-0000-0000-000005000000}" name="2008"/>
    <tableColumn id="6" xr3:uid="{00000000-0010-0000-0000-000006000000}" name="2009"/>
    <tableColumn id="7" xr3:uid="{00000000-0010-0000-0000-000007000000}" name="2010"/>
    <tableColumn id="8" xr3:uid="{00000000-0010-0000-0000-000008000000}" name="2011"/>
    <tableColumn id="9" xr3:uid="{00000000-0010-0000-0000-000009000000}" name="2012"/>
    <tableColumn id="10" xr3:uid="{00000000-0010-0000-0000-00000A000000}" name="2013"/>
    <tableColumn id="11" xr3:uid="{00000000-0010-0000-0000-00000B000000}" name="2014"/>
    <tableColumn id="12" xr3:uid="{00000000-0010-0000-0000-00000C000000}" name="2015"/>
    <tableColumn id="13" xr3:uid="{00000000-0010-0000-0000-00000D000000}" name="2016"/>
    <tableColumn id="14" xr3:uid="{00000000-0010-0000-0000-00000E000000}" name="2017"/>
    <tableColumn id="15" xr3:uid="{00000000-0010-0000-0000-00000F000000}" name="2018"/>
    <tableColumn id="16" xr3:uid="{00000000-0010-0000-0000-000010000000}" name="2019"/>
    <tableColumn id="17" xr3:uid="{00000000-0010-0000-0000-000011000000}" name="2020"/>
    <tableColumn id="18" xr3:uid="{00000000-0010-0000-0000-000012000000}" name="2021"/>
    <tableColumn id="19" xr3:uid="{00000000-0010-0000-0000-000013000000}" name="2022"/>
    <tableColumn id="20" xr3:uid="{00000000-0010-0000-0000-000014000000}" name="2023"/>
    <tableColumn id="21" xr3:uid="{00000000-0010-0000-0000-000015000000}" name="2024"/>
    <tableColumn id="22" xr3:uid="{00000000-0010-0000-0000-000016000000}" name="2025"/>
    <tableColumn id="23" xr3:uid="{00000000-0010-0000-0000-000017000000}" name="2026"/>
    <tableColumn id="24" xr3:uid="{00000000-0010-0000-0000-000018000000}" name="2027"/>
    <tableColumn id="25" xr3:uid="{00000000-0010-0000-0000-000019000000}" name="2028"/>
    <tableColumn id="26" xr3:uid="{00000000-0010-0000-0000-00001A000000}" name="2029"/>
    <tableColumn id="27" xr3:uid="{00000000-0010-0000-0000-00001B000000}" name="2030"/>
    <tableColumn id="28" xr3:uid="{00000000-0010-0000-0000-00001C000000}" name="2031"/>
    <tableColumn id="29" xr3:uid="{00000000-0010-0000-0000-00001D000000}" name="2032"/>
    <tableColumn id="30" xr3:uid="{00000000-0010-0000-0000-00001E000000}" name="2033"/>
    <tableColumn id="31" xr3:uid="{00000000-0010-0000-0000-00001F000000}" name="2034"/>
    <tableColumn id="32" xr3:uid="{00000000-0010-0000-0000-000020000000}" name="2035"/>
    <tableColumn id="33" xr3:uid="{00000000-0010-0000-0000-000021000000}" name="2036"/>
    <tableColumn id="34" xr3:uid="{00000000-0010-0000-0000-000022000000}" name="2037"/>
    <tableColumn id="35" xr3:uid="{00000000-0010-0000-0000-000023000000}" name="2038"/>
    <tableColumn id="36" xr3:uid="{00000000-0010-0000-0000-000024000000}" name="2039"/>
    <tableColumn id="37" xr3:uid="{00000000-0010-0000-0000-000025000000}" name="2040"/>
    <tableColumn id="38" xr3:uid="{00000000-0010-0000-0000-000026000000}" name="2041"/>
    <tableColumn id="39" xr3:uid="{00000000-0010-0000-0000-000027000000}" name="2042"/>
    <tableColumn id="40" xr3:uid="{00000000-0010-0000-0000-000028000000}" name="2043"/>
    <tableColumn id="41" xr3:uid="{00000000-0010-0000-0000-000029000000}" name="2044"/>
    <tableColumn id="42" xr3:uid="{00000000-0010-0000-0000-00002A000000}" name="2045"/>
    <tableColumn id="43" xr3:uid="{00000000-0010-0000-0000-00002B000000}" name="2046"/>
    <tableColumn id="44" xr3:uid="{00000000-0010-0000-0000-00002C000000}" name="2047"/>
    <tableColumn id="45" xr3:uid="{00000000-0010-0000-0000-00002D000000}" name="2048"/>
    <tableColumn id="46" xr3:uid="{00000000-0010-0000-0000-00002E000000}" name="2049"/>
    <tableColumn id="47" xr3:uid="{00000000-0010-0000-0000-00002F000000}" name="205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3" displayName="Table23" ref="A19:AU27" totalsRowShown="0">
  <tableColumns count="47">
    <tableColumn id="1" xr3:uid="{00000000-0010-0000-0100-000001000000}" name="_"/>
    <tableColumn id="2" xr3:uid="{00000000-0010-0000-0100-000002000000}" name="2005"/>
    <tableColumn id="3" xr3:uid="{00000000-0010-0000-0100-000003000000}" name="2006"/>
    <tableColumn id="4" xr3:uid="{00000000-0010-0000-0100-000004000000}" name="2007"/>
    <tableColumn id="5" xr3:uid="{00000000-0010-0000-0100-000005000000}" name="2008"/>
    <tableColumn id="6" xr3:uid="{00000000-0010-0000-0100-000006000000}" name="2009"/>
    <tableColumn id="7" xr3:uid="{00000000-0010-0000-0100-000007000000}" name="2010"/>
    <tableColumn id="8" xr3:uid="{00000000-0010-0000-0100-000008000000}" name="2011"/>
    <tableColumn id="9" xr3:uid="{00000000-0010-0000-0100-000009000000}" name="2012"/>
    <tableColumn id="10" xr3:uid="{00000000-0010-0000-0100-00000A000000}" name="2013"/>
    <tableColumn id="11" xr3:uid="{00000000-0010-0000-0100-00000B000000}" name="2014"/>
    <tableColumn id="12" xr3:uid="{00000000-0010-0000-0100-00000C000000}" name="2015"/>
    <tableColumn id="13" xr3:uid="{00000000-0010-0000-0100-00000D000000}" name="2016"/>
    <tableColumn id="14" xr3:uid="{00000000-0010-0000-0100-00000E000000}" name="2017"/>
    <tableColumn id="15" xr3:uid="{00000000-0010-0000-0100-00000F000000}" name="2018"/>
    <tableColumn id="16" xr3:uid="{00000000-0010-0000-0100-000010000000}" name="2019"/>
    <tableColumn id="17" xr3:uid="{00000000-0010-0000-0100-000011000000}" name="2020"/>
    <tableColumn id="18" xr3:uid="{00000000-0010-0000-0100-000012000000}" name="2021"/>
    <tableColumn id="19" xr3:uid="{00000000-0010-0000-0100-000013000000}" name="2022"/>
    <tableColumn id="20" xr3:uid="{00000000-0010-0000-0100-000014000000}" name="2023"/>
    <tableColumn id="21" xr3:uid="{00000000-0010-0000-0100-000015000000}" name="2024"/>
    <tableColumn id="22" xr3:uid="{00000000-0010-0000-0100-000016000000}" name="2025"/>
    <tableColumn id="23" xr3:uid="{00000000-0010-0000-0100-000017000000}" name="2026"/>
    <tableColumn id="24" xr3:uid="{00000000-0010-0000-0100-000018000000}" name="2027"/>
    <tableColumn id="25" xr3:uid="{00000000-0010-0000-0100-000019000000}" name="2028"/>
    <tableColumn id="26" xr3:uid="{00000000-0010-0000-0100-00001A000000}" name="2029"/>
    <tableColumn id="27" xr3:uid="{00000000-0010-0000-0100-00001B000000}" name="2030"/>
    <tableColumn id="28" xr3:uid="{00000000-0010-0000-0100-00001C000000}" name="2031"/>
    <tableColumn id="29" xr3:uid="{00000000-0010-0000-0100-00001D000000}" name="2032"/>
    <tableColumn id="30" xr3:uid="{00000000-0010-0000-0100-00001E000000}" name="2033"/>
    <tableColumn id="31" xr3:uid="{00000000-0010-0000-0100-00001F000000}" name="2034"/>
    <tableColumn id="32" xr3:uid="{00000000-0010-0000-0100-000020000000}" name="2035"/>
    <tableColumn id="33" xr3:uid="{00000000-0010-0000-0100-000021000000}" name="2036"/>
    <tableColumn id="34" xr3:uid="{00000000-0010-0000-0100-000022000000}" name="2037"/>
    <tableColumn id="35" xr3:uid="{00000000-0010-0000-0100-000023000000}" name="2038"/>
    <tableColumn id="36" xr3:uid="{00000000-0010-0000-0100-000024000000}" name="2039"/>
    <tableColumn id="37" xr3:uid="{00000000-0010-0000-0100-000025000000}" name="2040"/>
    <tableColumn id="38" xr3:uid="{00000000-0010-0000-0100-000026000000}" name="2041"/>
    <tableColumn id="39" xr3:uid="{00000000-0010-0000-0100-000027000000}" name="2042"/>
    <tableColumn id="40" xr3:uid="{00000000-0010-0000-0100-000028000000}" name="2043"/>
    <tableColumn id="41" xr3:uid="{00000000-0010-0000-0100-000029000000}" name="2044"/>
    <tableColumn id="42" xr3:uid="{00000000-0010-0000-0100-00002A000000}" name="2045"/>
    <tableColumn id="43" xr3:uid="{00000000-0010-0000-0100-00002B000000}" name="2046"/>
    <tableColumn id="44" xr3:uid="{00000000-0010-0000-0100-00002C000000}" name="2047"/>
    <tableColumn id="45" xr3:uid="{00000000-0010-0000-0100-00002D000000}" name="2048"/>
    <tableColumn id="46" xr3:uid="{00000000-0010-0000-0100-00002E000000}" name="2049"/>
    <tableColumn id="47" xr3:uid="{00000000-0010-0000-0100-00002F000000}" name="2050"/>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4" displayName="Table34" ref="A30:AU38" totalsRowShown="0">
  <tableColumns count="47">
    <tableColumn id="1" xr3:uid="{00000000-0010-0000-0200-000001000000}" name="_"/>
    <tableColumn id="2" xr3:uid="{00000000-0010-0000-0200-000002000000}" name="2005"/>
    <tableColumn id="3" xr3:uid="{00000000-0010-0000-0200-000003000000}" name="2006"/>
    <tableColumn id="4" xr3:uid="{00000000-0010-0000-0200-000004000000}" name="2007"/>
    <tableColumn id="5" xr3:uid="{00000000-0010-0000-0200-000005000000}" name="2008"/>
    <tableColumn id="6" xr3:uid="{00000000-0010-0000-0200-000006000000}" name="2009"/>
    <tableColumn id="7" xr3:uid="{00000000-0010-0000-0200-000007000000}" name="2010"/>
    <tableColumn id="8" xr3:uid="{00000000-0010-0000-0200-000008000000}" name="2011"/>
    <tableColumn id="9" xr3:uid="{00000000-0010-0000-0200-000009000000}" name="2012"/>
    <tableColumn id="10" xr3:uid="{00000000-0010-0000-0200-00000A000000}" name="2013"/>
    <tableColumn id="11" xr3:uid="{00000000-0010-0000-0200-00000B000000}" name="2014"/>
    <tableColumn id="12" xr3:uid="{00000000-0010-0000-0200-00000C000000}" name="2015"/>
    <tableColumn id="13" xr3:uid="{00000000-0010-0000-0200-00000D000000}" name="2016"/>
    <tableColumn id="14" xr3:uid="{00000000-0010-0000-0200-00000E000000}" name="2017"/>
    <tableColumn id="15" xr3:uid="{00000000-0010-0000-0200-00000F000000}" name="2018"/>
    <tableColumn id="16" xr3:uid="{00000000-0010-0000-0200-000010000000}" name="2019"/>
    <tableColumn id="17" xr3:uid="{00000000-0010-0000-0200-000011000000}" name="2020"/>
    <tableColumn id="18" xr3:uid="{00000000-0010-0000-0200-000012000000}" name="2021"/>
    <tableColumn id="19" xr3:uid="{00000000-0010-0000-0200-000013000000}" name="2022"/>
    <tableColumn id="20" xr3:uid="{00000000-0010-0000-0200-000014000000}" name="2023"/>
    <tableColumn id="21" xr3:uid="{00000000-0010-0000-0200-000015000000}" name="2024"/>
    <tableColumn id="22" xr3:uid="{00000000-0010-0000-0200-000016000000}" name="2025"/>
    <tableColumn id="23" xr3:uid="{00000000-0010-0000-0200-000017000000}" name="2026"/>
    <tableColumn id="24" xr3:uid="{00000000-0010-0000-0200-000018000000}" name="2027"/>
    <tableColumn id="25" xr3:uid="{00000000-0010-0000-0200-000019000000}" name="2028"/>
    <tableColumn id="26" xr3:uid="{00000000-0010-0000-0200-00001A000000}" name="2029"/>
    <tableColumn id="27" xr3:uid="{00000000-0010-0000-0200-00001B000000}" name="2030"/>
    <tableColumn id="28" xr3:uid="{00000000-0010-0000-0200-00001C000000}" name="2031"/>
    <tableColumn id="29" xr3:uid="{00000000-0010-0000-0200-00001D000000}" name="2032"/>
    <tableColumn id="30" xr3:uid="{00000000-0010-0000-0200-00001E000000}" name="2033"/>
    <tableColumn id="31" xr3:uid="{00000000-0010-0000-0200-00001F000000}" name="2034"/>
    <tableColumn id="32" xr3:uid="{00000000-0010-0000-0200-000020000000}" name="2035"/>
    <tableColumn id="33" xr3:uid="{00000000-0010-0000-0200-000021000000}" name="2036"/>
    <tableColumn id="34" xr3:uid="{00000000-0010-0000-0200-000022000000}" name="2037"/>
    <tableColumn id="35" xr3:uid="{00000000-0010-0000-0200-000023000000}" name="2038"/>
    <tableColumn id="36" xr3:uid="{00000000-0010-0000-0200-000024000000}" name="2039"/>
    <tableColumn id="37" xr3:uid="{00000000-0010-0000-0200-000025000000}" name="2040"/>
    <tableColumn id="38" xr3:uid="{00000000-0010-0000-0200-000026000000}" name="2041"/>
    <tableColumn id="39" xr3:uid="{00000000-0010-0000-0200-000027000000}" name="2042"/>
    <tableColumn id="40" xr3:uid="{00000000-0010-0000-0200-000028000000}" name="2043"/>
    <tableColumn id="41" xr3:uid="{00000000-0010-0000-0200-000029000000}" name="2044"/>
    <tableColumn id="42" xr3:uid="{00000000-0010-0000-0200-00002A000000}" name="2045"/>
    <tableColumn id="43" xr3:uid="{00000000-0010-0000-0200-00002B000000}" name="2046"/>
    <tableColumn id="44" xr3:uid="{00000000-0010-0000-0200-00002C000000}" name="2047"/>
    <tableColumn id="45" xr3:uid="{00000000-0010-0000-0200-00002D000000}" name="2048"/>
    <tableColumn id="46" xr3:uid="{00000000-0010-0000-0200-00002E000000}" name="2049"/>
    <tableColumn id="47" xr3:uid="{00000000-0010-0000-0200-00002F000000}" name="205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5" displayName="Table45" ref="A41:AU49" totalsRowShown="0">
  <tableColumns count="47">
    <tableColumn id="1" xr3:uid="{00000000-0010-0000-0300-000001000000}" name="_"/>
    <tableColumn id="2" xr3:uid="{00000000-0010-0000-0300-000002000000}" name="2005"/>
    <tableColumn id="3" xr3:uid="{00000000-0010-0000-0300-000003000000}" name="2006"/>
    <tableColumn id="4" xr3:uid="{00000000-0010-0000-0300-000004000000}" name="2007"/>
    <tableColumn id="5" xr3:uid="{00000000-0010-0000-0300-000005000000}" name="2008"/>
    <tableColumn id="6" xr3:uid="{00000000-0010-0000-0300-000006000000}" name="2009"/>
    <tableColumn id="7" xr3:uid="{00000000-0010-0000-0300-000007000000}" name="2010"/>
    <tableColumn id="8" xr3:uid="{00000000-0010-0000-0300-000008000000}" name="2011"/>
    <tableColumn id="9" xr3:uid="{00000000-0010-0000-0300-000009000000}" name="2012"/>
    <tableColumn id="10" xr3:uid="{00000000-0010-0000-0300-00000A000000}" name="2013"/>
    <tableColumn id="11" xr3:uid="{00000000-0010-0000-0300-00000B000000}" name="2014"/>
    <tableColumn id="12" xr3:uid="{00000000-0010-0000-0300-00000C000000}" name="2015"/>
    <tableColumn id="13" xr3:uid="{00000000-0010-0000-0300-00000D000000}" name="2016"/>
    <tableColumn id="14" xr3:uid="{00000000-0010-0000-0300-00000E000000}" name="2017"/>
    <tableColumn id="15" xr3:uid="{00000000-0010-0000-0300-00000F000000}" name="2018"/>
    <tableColumn id="16" xr3:uid="{00000000-0010-0000-0300-000010000000}" name="2019"/>
    <tableColumn id="17" xr3:uid="{00000000-0010-0000-0300-000011000000}" name="2020"/>
    <tableColumn id="18" xr3:uid="{00000000-0010-0000-0300-000012000000}" name="2021"/>
    <tableColumn id="19" xr3:uid="{00000000-0010-0000-0300-000013000000}" name="2022"/>
    <tableColumn id="20" xr3:uid="{00000000-0010-0000-0300-000014000000}" name="2023"/>
    <tableColumn id="21" xr3:uid="{00000000-0010-0000-0300-000015000000}" name="2024"/>
    <tableColumn id="22" xr3:uid="{00000000-0010-0000-0300-000016000000}" name="2025"/>
    <tableColumn id="23" xr3:uid="{00000000-0010-0000-0300-000017000000}" name="2026"/>
    <tableColumn id="24" xr3:uid="{00000000-0010-0000-0300-000018000000}" name="2027"/>
    <tableColumn id="25" xr3:uid="{00000000-0010-0000-0300-000019000000}" name="2028"/>
    <tableColumn id="26" xr3:uid="{00000000-0010-0000-0300-00001A000000}" name="2029"/>
    <tableColumn id="27" xr3:uid="{00000000-0010-0000-0300-00001B000000}" name="2030"/>
    <tableColumn id="28" xr3:uid="{00000000-0010-0000-0300-00001C000000}" name="2031"/>
    <tableColumn id="29" xr3:uid="{00000000-0010-0000-0300-00001D000000}" name="2032"/>
    <tableColumn id="30" xr3:uid="{00000000-0010-0000-0300-00001E000000}" name="2033"/>
    <tableColumn id="31" xr3:uid="{00000000-0010-0000-0300-00001F000000}" name="2034"/>
    <tableColumn id="32" xr3:uid="{00000000-0010-0000-0300-000020000000}" name="2035"/>
    <tableColumn id="33" xr3:uid="{00000000-0010-0000-0300-000021000000}" name="2036"/>
    <tableColumn id="34" xr3:uid="{00000000-0010-0000-0300-000022000000}" name="2037"/>
    <tableColumn id="35" xr3:uid="{00000000-0010-0000-0300-000023000000}" name="2038"/>
    <tableColumn id="36" xr3:uid="{00000000-0010-0000-0300-000024000000}" name="2039"/>
    <tableColumn id="37" xr3:uid="{00000000-0010-0000-0300-000025000000}" name="2040"/>
    <tableColumn id="38" xr3:uid="{00000000-0010-0000-0300-000026000000}" name="2041"/>
    <tableColumn id="39" xr3:uid="{00000000-0010-0000-0300-000027000000}" name="2042"/>
    <tableColumn id="40" xr3:uid="{00000000-0010-0000-0300-000028000000}" name="2043"/>
    <tableColumn id="41" xr3:uid="{00000000-0010-0000-0300-000029000000}" name="2044"/>
    <tableColumn id="42" xr3:uid="{00000000-0010-0000-0300-00002A000000}" name="2045"/>
    <tableColumn id="43" xr3:uid="{00000000-0010-0000-0300-00002B000000}" name="2046"/>
    <tableColumn id="44" xr3:uid="{00000000-0010-0000-0300-00002C000000}" name="2047"/>
    <tableColumn id="45" xr3:uid="{00000000-0010-0000-0300-00002D000000}" name="2048"/>
    <tableColumn id="46" xr3:uid="{00000000-0010-0000-0300-00002E000000}" name="2049"/>
    <tableColumn id="47" xr3:uid="{00000000-0010-0000-0300-00002F000000}" name="205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6" displayName="Table56" ref="A52:AU60" totalsRowShown="0">
  <tableColumns count="47">
    <tableColumn id="1" xr3:uid="{00000000-0010-0000-0400-000001000000}" name="_"/>
    <tableColumn id="2" xr3:uid="{00000000-0010-0000-0400-000002000000}" name="2005"/>
    <tableColumn id="3" xr3:uid="{00000000-0010-0000-0400-000003000000}" name="2006"/>
    <tableColumn id="4" xr3:uid="{00000000-0010-0000-0400-000004000000}" name="2007"/>
    <tableColumn id="5" xr3:uid="{00000000-0010-0000-0400-000005000000}" name="2008"/>
    <tableColumn id="6" xr3:uid="{00000000-0010-0000-0400-000006000000}" name="2009"/>
    <tableColumn id="7" xr3:uid="{00000000-0010-0000-0400-000007000000}" name="2010"/>
    <tableColumn id="8" xr3:uid="{00000000-0010-0000-0400-000008000000}" name="2011"/>
    <tableColumn id="9" xr3:uid="{00000000-0010-0000-0400-000009000000}" name="2012"/>
    <tableColumn id="10" xr3:uid="{00000000-0010-0000-0400-00000A000000}" name="2013"/>
    <tableColumn id="11" xr3:uid="{00000000-0010-0000-0400-00000B000000}" name="2014"/>
    <tableColumn id="12" xr3:uid="{00000000-0010-0000-0400-00000C000000}" name="2015"/>
    <tableColumn id="13" xr3:uid="{00000000-0010-0000-0400-00000D000000}" name="2016"/>
    <tableColumn id="14" xr3:uid="{00000000-0010-0000-0400-00000E000000}" name="2017"/>
    <tableColumn id="15" xr3:uid="{00000000-0010-0000-0400-00000F000000}" name="2018"/>
    <tableColumn id="16" xr3:uid="{00000000-0010-0000-0400-000010000000}" name="2019"/>
    <tableColumn id="17" xr3:uid="{00000000-0010-0000-0400-000011000000}" name="2020"/>
    <tableColumn id="18" xr3:uid="{00000000-0010-0000-0400-000012000000}" name="2021"/>
    <tableColumn id="19" xr3:uid="{00000000-0010-0000-0400-000013000000}" name="2022"/>
    <tableColumn id="20" xr3:uid="{00000000-0010-0000-0400-000014000000}" name="2023"/>
    <tableColumn id="21" xr3:uid="{00000000-0010-0000-0400-000015000000}" name="2024"/>
    <tableColumn id="22" xr3:uid="{00000000-0010-0000-0400-000016000000}" name="2025"/>
    <tableColumn id="23" xr3:uid="{00000000-0010-0000-0400-000017000000}" name="2026"/>
    <tableColumn id="24" xr3:uid="{00000000-0010-0000-0400-000018000000}" name="2027"/>
    <tableColumn id="25" xr3:uid="{00000000-0010-0000-0400-000019000000}" name="2028"/>
    <tableColumn id="26" xr3:uid="{00000000-0010-0000-0400-00001A000000}" name="2029"/>
    <tableColumn id="27" xr3:uid="{00000000-0010-0000-0400-00001B000000}" name="2030"/>
    <tableColumn id="28" xr3:uid="{00000000-0010-0000-0400-00001C000000}" name="2031"/>
    <tableColumn id="29" xr3:uid="{00000000-0010-0000-0400-00001D000000}" name="2032"/>
    <tableColumn id="30" xr3:uid="{00000000-0010-0000-0400-00001E000000}" name="2033"/>
    <tableColumn id="31" xr3:uid="{00000000-0010-0000-0400-00001F000000}" name="2034"/>
    <tableColumn id="32" xr3:uid="{00000000-0010-0000-0400-000020000000}" name="2035"/>
    <tableColumn id="33" xr3:uid="{00000000-0010-0000-0400-000021000000}" name="2036"/>
    <tableColumn id="34" xr3:uid="{00000000-0010-0000-0400-000022000000}" name="2037"/>
    <tableColumn id="35" xr3:uid="{00000000-0010-0000-0400-000023000000}" name="2038"/>
    <tableColumn id="36" xr3:uid="{00000000-0010-0000-0400-000024000000}" name="2039"/>
    <tableColumn id="37" xr3:uid="{00000000-0010-0000-0400-000025000000}" name="2040"/>
    <tableColumn id="38" xr3:uid="{00000000-0010-0000-0400-000026000000}" name="2041"/>
    <tableColumn id="39" xr3:uid="{00000000-0010-0000-0400-000027000000}" name="2042"/>
    <tableColumn id="40" xr3:uid="{00000000-0010-0000-0400-000028000000}" name="2043"/>
    <tableColumn id="41" xr3:uid="{00000000-0010-0000-0400-000029000000}" name="2044"/>
    <tableColumn id="42" xr3:uid="{00000000-0010-0000-0400-00002A000000}" name="2045"/>
    <tableColumn id="43" xr3:uid="{00000000-0010-0000-0400-00002B000000}" name="2046"/>
    <tableColumn id="44" xr3:uid="{00000000-0010-0000-0400-00002C000000}" name="2047"/>
    <tableColumn id="45" xr3:uid="{00000000-0010-0000-0400-00002D000000}" name="2048"/>
    <tableColumn id="46" xr3:uid="{00000000-0010-0000-0400-00002E000000}" name="2049"/>
    <tableColumn id="47" xr3:uid="{00000000-0010-0000-0400-00002F000000}" name="2050"/>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7" displayName="Table67" ref="A63:AU71" totalsRowShown="0">
  <tableColumns count="47">
    <tableColumn id="1" xr3:uid="{00000000-0010-0000-0500-000001000000}" name="_"/>
    <tableColumn id="2" xr3:uid="{00000000-0010-0000-0500-000002000000}" name="2005"/>
    <tableColumn id="3" xr3:uid="{00000000-0010-0000-0500-000003000000}" name="2006"/>
    <tableColumn id="4" xr3:uid="{00000000-0010-0000-0500-000004000000}" name="2007"/>
    <tableColumn id="5" xr3:uid="{00000000-0010-0000-0500-000005000000}" name="2008"/>
    <tableColumn id="6" xr3:uid="{00000000-0010-0000-0500-000006000000}" name="2009"/>
    <tableColumn id="7" xr3:uid="{00000000-0010-0000-0500-000007000000}" name="2010"/>
    <tableColumn id="8" xr3:uid="{00000000-0010-0000-0500-000008000000}" name="2011"/>
    <tableColumn id="9" xr3:uid="{00000000-0010-0000-0500-000009000000}" name="2012"/>
    <tableColumn id="10" xr3:uid="{00000000-0010-0000-0500-00000A000000}" name="2013"/>
    <tableColumn id="11" xr3:uid="{00000000-0010-0000-0500-00000B000000}" name="2014"/>
    <tableColumn id="12" xr3:uid="{00000000-0010-0000-0500-00000C000000}" name="2015"/>
    <tableColumn id="13" xr3:uid="{00000000-0010-0000-0500-00000D000000}" name="2016"/>
    <tableColumn id="14" xr3:uid="{00000000-0010-0000-0500-00000E000000}" name="2017"/>
    <tableColumn id="15" xr3:uid="{00000000-0010-0000-0500-00000F000000}" name="2018"/>
    <tableColumn id="16" xr3:uid="{00000000-0010-0000-0500-000010000000}" name="2019"/>
    <tableColumn id="17" xr3:uid="{00000000-0010-0000-0500-000011000000}" name="2020"/>
    <tableColumn id="18" xr3:uid="{00000000-0010-0000-0500-000012000000}" name="2021"/>
    <tableColumn id="19" xr3:uid="{00000000-0010-0000-0500-000013000000}" name="2022"/>
    <tableColumn id="20" xr3:uid="{00000000-0010-0000-0500-000014000000}" name="2023"/>
    <tableColumn id="21" xr3:uid="{00000000-0010-0000-0500-000015000000}" name="2024"/>
    <tableColumn id="22" xr3:uid="{00000000-0010-0000-0500-000016000000}" name="2025"/>
    <tableColumn id="23" xr3:uid="{00000000-0010-0000-0500-000017000000}" name="2026"/>
    <tableColumn id="24" xr3:uid="{00000000-0010-0000-0500-000018000000}" name="2027"/>
    <tableColumn id="25" xr3:uid="{00000000-0010-0000-0500-000019000000}" name="2028"/>
    <tableColumn id="26" xr3:uid="{00000000-0010-0000-0500-00001A000000}" name="2029"/>
    <tableColumn id="27" xr3:uid="{00000000-0010-0000-0500-00001B000000}" name="2030"/>
    <tableColumn id="28" xr3:uid="{00000000-0010-0000-0500-00001C000000}" name="2031"/>
    <tableColumn id="29" xr3:uid="{00000000-0010-0000-0500-00001D000000}" name="2032"/>
    <tableColumn id="30" xr3:uid="{00000000-0010-0000-0500-00001E000000}" name="2033"/>
    <tableColumn id="31" xr3:uid="{00000000-0010-0000-0500-00001F000000}" name="2034"/>
    <tableColumn id="32" xr3:uid="{00000000-0010-0000-0500-000020000000}" name="2035"/>
    <tableColumn id="33" xr3:uid="{00000000-0010-0000-0500-000021000000}" name="2036"/>
    <tableColumn id="34" xr3:uid="{00000000-0010-0000-0500-000022000000}" name="2037"/>
    <tableColumn id="35" xr3:uid="{00000000-0010-0000-0500-000023000000}" name="2038"/>
    <tableColumn id="36" xr3:uid="{00000000-0010-0000-0500-000024000000}" name="2039"/>
    <tableColumn id="37" xr3:uid="{00000000-0010-0000-0500-000025000000}" name="2040"/>
    <tableColumn id="38" xr3:uid="{00000000-0010-0000-0500-000026000000}" name="2041"/>
    <tableColumn id="39" xr3:uid="{00000000-0010-0000-0500-000027000000}" name="2042"/>
    <tableColumn id="40" xr3:uid="{00000000-0010-0000-0500-000028000000}" name="2043"/>
    <tableColumn id="41" xr3:uid="{00000000-0010-0000-0500-000029000000}" name="2044"/>
    <tableColumn id="42" xr3:uid="{00000000-0010-0000-0500-00002A000000}" name="2045"/>
    <tableColumn id="43" xr3:uid="{00000000-0010-0000-0500-00002B000000}" name="2046"/>
    <tableColumn id="44" xr3:uid="{00000000-0010-0000-0500-00002C000000}" name="2047"/>
    <tableColumn id="45" xr3:uid="{00000000-0010-0000-0500-00002D000000}" name="2048"/>
    <tableColumn id="46" xr3:uid="{00000000-0010-0000-0500-00002E000000}" name="2049"/>
    <tableColumn id="47" xr3:uid="{00000000-0010-0000-0500-00002F000000}" name="2050"/>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8" displayName="Table78" ref="A74:AU82" totalsRowShown="0">
  <tableColumns count="47">
    <tableColumn id="1" xr3:uid="{00000000-0010-0000-0600-000001000000}" name="_"/>
    <tableColumn id="2" xr3:uid="{00000000-0010-0000-0600-000002000000}" name="2005"/>
    <tableColumn id="3" xr3:uid="{00000000-0010-0000-0600-000003000000}" name="2006"/>
    <tableColumn id="4" xr3:uid="{00000000-0010-0000-0600-000004000000}" name="2007"/>
    <tableColumn id="5" xr3:uid="{00000000-0010-0000-0600-000005000000}" name="2008"/>
    <tableColumn id="6" xr3:uid="{00000000-0010-0000-0600-000006000000}" name="2009"/>
    <tableColumn id="7" xr3:uid="{00000000-0010-0000-0600-000007000000}" name="2010"/>
    <tableColumn id="8" xr3:uid="{00000000-0010-0000-0600-000008000000}" name="2011"/>
    <tableColumn id="9" xr3:uid="{00000000-0010-0000-0600-000009000000}" name="2012"/>
    <tableColumn id="10" xr3:uid="{00000000-0010-0000-0600-00000A000000}" name="2013"/>
    <tableColumn id="11" xr3:uid="{00000000-0010-0000-0600-00000B000000}" name="2014"/>
    <tableColumn id="12" xr3:uid="{00000000-0010-0000-0600-00000C000000}" name="2015"/>
    <tableColumn id="13" xr3:uid="{00000000-0010-0000-0600-00000D000000}" name="2016"/>
    <tableColumn id="14" xr3:uid="{00000000-0010-0000-0600-00000E000000}" name="2017"/>
    <tableColumn id="15" xr3:uid="{00000000-0010-0000-0600-00000F000000}" name="2018"/>
    <tableColumn id="16" xr3:uid="{00000000-0010-0000-0600-000010000000}" name="2019"/>
    <tableColumn id="17" xr3:uid="{00000000-0010-0000-0600-000011000000}" name="2020"/>
    <tableColumn id="18" xr3:uid="{00000000-0010-0000-0600-000012000000}" name="2021"/>
    <tableColumn id="19" xr3:uid="{00000000-0010-0000-0600-000013000000}" name="2022"/>
    <tableColumn id="20" xr3:uid="{00000000-0010-0000-0600-000014000000}" name="2023"/>
    <tableColumn id="21" xr3:uid="{00000000-0010-0000-0600-000015000000}" name="2024"/>
    <tableColumn id="22" xr3:uid="{00000000-0010-0000-0600-000016000000}" name="2025"/>
    <tableColumn id="23" xr3:uid="{00000000-0010-0000-0600-000017000000}" name="2026"/>
    <tableColumn id="24" xr3:uid="{00000000-0010-0000-0600-000018000000}" name="2027"/>
    <tableColumn id="25" xr3:uid="{00000000-0010-0000-0600-000019000000}" name="2028"/>
    <tableColumn id="26" xr3:uid="{00000000-0010-0000-0600-00001A000000}" name="2029"/>
    <tableColumn id="27" xr3:uid="{00000000-0010-0000-0600-00001B000000}" name="2030"/>
    <tableColumn id="28" xr3:uid="{00000000-0010-0000-0600-00001C000000}" name="2031"/>
    <tableColumn id="29" xr3:uid="{00000000-0010-0000-0600-00001D000000}" name="2032"/>
    <tableColumn id="30" xr3:uid="{00000000-0010-0000-0600-00001E000000}" name="2033"/>
    <tableColumn id="31" xr3:uid="{00000000-0010-0000-0600-00001F000000}" name="2034"/>
    <tableColumn id="32" xr3:uid="{00000000-0010-0000-0600-000020000000}" name="2035"/>
    <tableColumn id="33" xr3:uid="{00000000-0010-0000-0600-000021000000}" name="2036"/>
    <tableColumn id="34" xr3:uid="{00000000-0010-0000-0600-000022000000}" name="2037"/>
    <tableColumn id="35" xr3:uid="{00000000-0010-0000-0600-000023000000}" name="2038"/>
    <tableColumn id="36" xr3:uid="{00000000-0010-0000-0600-000024000000}" name="2039"/>
    <tableColumn id="37" xr3:uid="{00000000-0010-0000-0600-000025000000}" name="2040"/>
    <tableColumn id="38" xr3:uid="{00000000-0010-0000-0600-000026000000}" name="2041"/>
    <tableColumn id="39" xr3:uid="{00000000-0010-0000-0600-000027000000}" name="2042"/>
    <tableColumn id="40" xr3:uid="{00000000-0010-0000-0600-000028000000}" name="2043"/>
    <tableColumn id="41" xr3:uid="{00000000-0010-0000-0600-000029000000}" name="2044"/>
    <tableColumn id="42" xr3:uid="{00000000-0010-0000-0600-00002A000000}" name="2045"/>
    <tableColumn id="43" xr3:uid="{00000000-0010-0000-0600-00002B000000}" name="2046"/>
    <tableColumn id="44" xr3:uid="{00000000-0010-0000-0600-00002C000000}" name="2047"/>
    <tableColumn id="45" xr3:uid="{00000000-0010-0000-0600-00002D000000}" name="2048"/>
    <tableColumn id="46" xr3:uid="{00000000-0010-0000-0600-00002E000000}" name="2049"/>
    <tableColumn id="47" xr3:uid="{00000000-0010-0000-0600-00002F000000}" name="205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9" displayName="Table89" ref="A85:AU93" totalsRowShown="0">
  <tableColumns count="47">
    <tableColumn id="1" xr3:uid="{00000000-0010-0000-0700-000001000000}" name="_"/>
    <tableColumn id="2" xr3:uid="{00000000-0010-0000-0700-000002000000}" name="2005"/>
    <tableColumn id="3" xr3:uid="{00000000-0010-0000-0700-000003000000}" name="2006"/>
    <tableColumn id="4" xr3:uid="{00000000-0010-0000-0700-000004000000}" name="2007"/>
    <tableColumn id="5" xr3:uid="{00000000-0010-0000-0700-000005000000}" name="2008"/>
    <tableColumn id="6" xr3:uid="{00000000-0010-0000-0700-000006000000}" name="2009"/>
    <tableColumn id="7" xr3:uid="{00000000-0010-0000-0700-000007000000}" name="2010"/>
    <tableColumn id="8" xr3:uid="{00000000-0010-0000-0700-000008000000}" name="2011"/>
    <tableColumn id="9" xr3:uid="{00000000-0010-0000-0700-000009000000}" name="2012"/>
    <tableColumn id="10" xr3:uid="{00000000-0010-0000-0700-00000A000000}" name="2013"/>
    <tableColumn id="11" xr3:uid="{00000000-0010-0000-0700-00000B000000}" name="2014"/>
    <tableColumn id="12" xr3:uid="{00000000-0010-0000-0700-00000C000000}" name="2015"/>
    <tableColumn id="13" xr3:uid="{00000000-0010-0000-0700-00000D000000}" name="2016"/>
    <tableColumn id="14" xr3:uid="{00000000-0010-0000-0700-00000E000000}" name="2017"/>
    <tableColumn id="15" xr3:uid="{00000000-0010-0000-0700-00000F000000}" name="2018"/>
    <tableColumn id="16" xr3:uid="{00000000-0010-0000-0700-000010000000}" name="2019"/>
    <tableColumn id="17" xr3:uid="{00000000-0010-0000-0700-000011000000}" name="2020"/>
    <tableColumn id="18" xr3:uid="{00000000-0010-0000-0700-000012000000}" name="2021"/>
    <tableColumn id="19" xr3:uid="{00000000-0010-0000-0700-000013000000}" name="2022"/>
    <tableColumn id="20" xr3:uid="{00000000-0010-0000-0700-000014000000}" name="2023"/>
    <tableColumn id="21" xr3:uid="{00000000-0010-0000-0700-000015000000}" name="2024"/>
    <tableColumn id="22" xr3:uid="{00000000-0010-0000-0700-000016000000}" name="2025"/>
    <tableColumn id="23" xr3:uid="{00000000-0010-0000-0700-000017000000}" name="2026"/>
    <tableColumn id="24" xr3:uid="{00000000-0010-0000-0700-000018000000}" name="2027"/>
    <tableColumn id="25" xr3:uid="{00000000-0010-0000-0700-000019000000}" name="2028"/>
    <tableColumn id="26" xr3:uid="{00000000-0010-0000-0700-00001A000000}" name="2029"/>
    <tableColumn id="27" xr3:uid="{00000000-0010-0000-0700-00001B000000}" name="2030"/>
    <tableColumn id="28" xr3:uid="{00000000-0010-0000-0700-00001C000000}" name="2031"/>
    <tableColumn id="29" xr3:uid="{00000000-0010-0000-0700-00001D000000}" name="2032"/>
    <tableColumn id="30" xr3:uid="{00000000-0010-0000-0700-00001E000000}" name="2033"/>
    <tableColumn id="31" xr3:uid="{00000000-0010-0000-0700-00001F000000}" name="2034"/>
    <tableColumn id="32" xr3:uid="{00000000-0010-0000-0700-000020000000}" name="2035"/>
    <tableColumn id="33" xr3:uid="{00000000-0010-0000-0700-000021000000}" name="2036"/>
    <tableColumn id="34" xr3:uid="{00000000-0010-0000-0700-000022000000}" name="2037"/>
    <tableColumn id="35" xr3:uid="{00000000-0010-0000-0700-000023000000}" name="2038"/>
    <tableColumn id="36" xr3:uid="{00000000-0010-0000-0700-000024000000}" name="2039"/>
    <tableColumn id="37" xr3:uid="{00000000-0010-0000-0700-000025000000}" name="2040"/>
    <tableColumn id="38" xr3:uid="{00000000-0010-0000-0700-000026000000}" name="2041"/>
    <tableColumn id="39" xr3:uid="{00000000-0010-0000-0700-000027000000}" name="2042"/>
    <tableColumn id="40" xr3:uid="{00000000-0010-0000-0700-000028000000}" name="2043"/>
    <tableColumn id="41" xr3:uid="{00000000-0010-0000-0700-000029000000}" name="2044"/>
    <tableColumn id="42" xr3:uid="{00000000-0010-0000-0700-00002A000000}" name="2045"/>
    <tableColumn id="43" xr3:uid="{00000000-0010-0000-0700-00002B000000}" name="2046"/>
    <tableColumn id="44" xr3:uid="{00000000-0010-0000-0700-00002C000000}" name="2047"/>
    <tableColumn id="45" xr3:uid="{00000000-0010-0000-0700-00002D000000}" name="2048"/>
    <tableColumn id="46" xr3:uid="{00000000-0010-0000-0700-00002E000000}" name="2049"/>
    <tableColumn id="47" xr3:uid="{00000000-0010-0000-0700-00002F000000}" name="2050"/>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10" displayName="Table910" ref="A96:AU104" totalsRowShown="0">
  <tableColumns count="47">
    <tableColumn id="1" xr3:uid="{00000000-0010-0000-0800-000001000000}" name="_"/>
    <tableColumn id="2" xr3:uid="{00000000-0010-0000-0800-000002000000}" name="2005"/>
    <tableColumn id="3" xr3:uid="{00000000-0010-0000-0800-000003000000}" name="2006"/>
    <tableColumn id="4" xr3:uid="{00000000-0010-0000-0800-000004000000}" name="2007"/>
    <tableColumn id="5" xr3:uid="{00000000-0010-0000-0800-000005000000}" name="2008"/>
    <tableColumn id="6" xr3:uid="{00000000-0010-0000-0800-000006000000}" name="2009"/>
    <tableColumn id="7" xr3:uid="{00000000-0010-0000-0800-000007000000}" name="2010"/>
    <tableColumn id="8" xr3:uid="{00000000-0010-0000-0800-000008000000}" name="2011"/>
    <tableColumn id="9" xr3:uid="{00000000-0010-0000-0800-000009000000}" name="2012"/>
    <tableColumn id="10" xr3:uid="{00000000-0010-0000-0800-00000A000000}" name="2013"/>
    <tableColumn id="11" xr3:uid="{00000000-0010-0000-0800-00000B000000}" name="2014"/>
    <tableColumn id="12" xr3:uid="{00000000-0010-0000-0800-00000C000000}" name="2015"/>
    <tableColumn id="13" xr3:uid="{00000000-0010-0000-0800-00000D000000}" name="2016"/>
    <tableColumn id="14" xr3:uid="{00000000-0010-0000-0800-00000E000000}" name="2017"/>
    <tableColumn id="15" xr3:uid="{00000000-0010-0000-0800-00000F000000}" name="2018"/>
    <tableColumn id="16" xr3:uid="{00000000-0010-0000-0800-000010000000}" name="2019"/>
    <tableColumn id="17" xr3:uid="{00000000-0010-0000-0800-000011000000}" name="2020"/>
    <tableColumn id="18" xr3:uid="{00000000-0010-0000-0800-000012000000}" name="2021"/>
    <tableColumn id="19" xr3:uid="{00000000-0010-0000-0800-000013000000}" name="2022"/>
    <tableColumn id="20" xr3:uid="{00000000-0010-0000-0800-000014000000}" name="2023"/>
    <tableColumn id="21" xr3:uid="{00000000-0010-0000-0800-000015000000}" name="2024"/>
    <tableColumn id="22" xr3:uid="{00000000-0010-0000-0800-000016000000}" name="2025"/>
    <tableColumn id="23" xr3:uid="{00000000-0010-0000-0800-000017000000}" name="2026"/>
    <tableColumn id="24" xr3:uid="{00000000-0010-0000-0800-000018000000}" name="2027"/>
    <tableColumn id="25" xr3:uid="{00000000-0010-0000-0800-000019000000}" name="2028"/>
    <tableColumn id="26" xr3:uid="{00000000-0010-0000-0800-00001A000000}" name="2029"/>
    <tableColumn id="27" xr3:uid="{00000000-0010-0000-0800-00001B000000}" name="2030"/>
    <tableColumn id="28" xr3:uid="{00000000-0010-0000-0800-00001C000000}" name="2031"/>
    <tableColumn id="29" xr3:uid="{00000000-0010-0000-0800-00001D000000}" name="2032"/>
    <tableColumn id="30" xr3:uid="{00000000-0010-0000-0800-00001E000000}" name="2033"/>
    <tableColumn id="31" xr3:uid="{00000000-0010-0000-0800-00001F000000}" name="2034"/>
    <tableColumn id="32" xr3:uid="{00000000-0010-0000-0800-000020000000}" name="2035"/>
    <tableColumn id="33" xr3:uid="{00000000-0010-0000-0800-000021000000}" name="2036"/>
    <tableColumn id="34" xr3:uid="{00000000-0010-0000-0800-000022000000}" name="2037"/>
    <tableColumn id="35" xr3:uid="{00000000-0010-0000-0800-000023000000}" name="2038"/>
    <tableColumn id="36" xr3:uid="{00000000-0010-0000-0800-000024000000}" name="2039"/>
    <tableColumn id="37" xr3:uid="{00000000-0010-0000-0800-000025000000}" name="2040"/>
    <tableColumn id="38" xr3:uid="{00000000-0010-0000-0800-000026000000}" name="2041"/>
    <tableColumn id="39" xr3:uid="{00000000-0010-0000-0800-000027000000}" name="2042"/>
    <tableColumn id="40" xr3:uid="{00000000-0010-0000-0800-000028000000}" name="2043"/>
    <tableColumn id="41" xr3:uid="{00000000-0010-0000-0800-000029000000}" name="2044"/>
    <tableColumn id="42" xr3:uid="{00000000-0010-0000-0800-00002A000000}" name="2045"/>
    <tableColumn id="43" xr3:uid="{00000000-0010-0000-0800-00002B000000}" name="2046"/>
    <tableColumn id="44" xr3:uid="{00000000-0010-0000-0800-00002C000000}" name="2047"/>
    <tableColumn id="45" xr3:uid="{00000000-0010-0000-0800-00002D000000}" name="2048"/>
    <tableColumn id="46" xr3:uid="{00000000-0010-0000-0800-00002E000000}" name="2049"/>
    <tableColumn id="47" xr3:uid="{00000000-0010-0000-0800-00002F000000}" name="2050"/>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11" displayName="Table1011" ref="A107:AU115" totalsRowShown="0">
  <tableColumns count="47">
    <tableColumn id="1" xr3:uid="{00000000-0010-0000-0900-000001000000}" name="_"/>
    <tableColumn id="2" xr3:uid="{00000000-0010-0000-0900-000002000000}" name="2005"/>
    <tableColumn id="3" xr3:uid="{00000000-0010-0000-0900-000003000000}" name="2006"/>
    <tableColumn id="4" xr3:uid="{00000000-0010-0000-0900-000004000000}" name="2007"/>
    <tableColumn id="5" xr3:uid="{00000000-0010-0000-0900-000005000000}" name="2008"/>
    <tableColumn id="6" xr3:uid="{00000000-0010-0000-0900-000006000000}" name="2009"/>
    <tableColumn id="7" xr3:uid="{00000000-0010-0000-0900-000007000000}" name="2010"/>
    <tableColumn id="8" xr3:uid="{00000000-0010-0000-0900-000008000000}" name="2011"/>
    <tableColumn id="9" xr3:uid="{00000000-0010-0000-0900-000009000000}" name="2012"/>
    <tableColumn id="10" xr3:uid="{00000000-0010-0000-0900-00000A000000}" name="2013"/>
    <tableColumn id="11" xr3:uid="{00000000-0010-0000-0900-00000B000000}" name="2014"/>
    <tableColumn id="12" xr3:uid="{00000000-0010-0000-0900-00000C000000}" name="2015"/>
    <tableColumn id="13" xr3:uid="{00000000-0010-0000-0900-00000D000000}" name="2016"/>
    <tableColumn id="14" xr3:uid="{00000000-0010-0000-0900-00000E000000}" name="2017"/>
    <tableColumn id="15" xr3:uid="{00000000-0010-0000-0900-00000F000000}" name="2018"/>
    <tableColumn id="16" xr3:uid="{00000000-0010-0000-0900-000010000000}" name="2019"/>
    <tableColumn id="17" xr3:uid="{00000000-0010-0000-0900-000011000000}" name="2020"/>
    <tableColumn id="18" xr3:uid="{00000000-0010-0000-0900-000012000000}" name="2021"/>
    <tableColumn id="19" xr3:uid="{00000000-0010-0000-0900-000013000000}" name="2022"/>
    <tableColumn id="20" xr3:uid="{00000000-0010-0000-0900-000014000000}" name="2023"/>
    <tableColumn id="21" xr3:uid="{00000000-0010-0000-0900-000015000000}" name="2024"/>
    <tableColumn id="22" xr3:uid="{00000000-0010-0000-0900-000016000000}" name="2025"/>
    <tableColumn id="23" xr3:uid="{00000000-0010-0000-0900-000017000000}" name="2026"/>
    <tableColumn id="24" xr3:uid="{00000000-0010-0000-0900-000018000000}" name="2027"/>
    <tableColumn id="25" xr3:uid="{00000000-0010-0000-0900-000019000000}" name="2028"/>
    <tableColumn id="26" xr3:uid="{00000000-0010-0000-0900-00001A000000}" name="2029"/>
    <tableColumn id="27" xr3:uid="{00000000-0010-0000-0900-00001B000000}" name="2030"/>
    <tableColumn id="28" xr3:uid="{00000000-0010-0000-0900-00001C000000}" name="2031"/>
    <tableColumn id="29" xr3:uid="{00000000-0010-0000-0900-00001D000000}" name="2032"/>
    <tableColumn id="30" xr3:uid="{00000000-0010-0000-0900-00001E000000}" name="2033"/>
    <tableColumn id="31" xr3:uid="{00000000-0010-0000-0900-00001F000000}" name="2034"/>
    <tableColumn id="32" xr3:uid="{00000000-0010-0000-0900-000020000000}" name="2035"/>
    <tableColumn id="33" xr3:uid="{00000000-0010-0000-0900-000021000000}" name="2036"/>
    <tableColumn id="34" xr3:uid="{00000000-0010-0000-0900-000022000000}" name="2037"/>
    <tableColumn id="35" xr3:uid="{00000000-0010-0000-0900-000023000000}" name="2038"/>
    <tableColumn id="36" xr3:uid="{00000000-0010-0000-0900-000024000000}" name="2039"/>
    <tableColumn id="37" xr3:uid="{00000000-0010-0000-0900-000025000000}" name="2040"/>
    <tableColumn id="38" xr3:uid="{00000000-0010-0000-0900-000026000000}" name="2041"/>
    <tableColumn id="39" xr3:uid="{00000000-0010-0000-0900-000027000000}" name="2042"/>
    <tableColumn id="40" xr3:uid="{00000000-0010-0000-0900-000028000000}" name="2043"/>
    <tableColumn id="41" xr3:uid="{00000000-0010-0000-0900-000029000000}" name="2044"/>
    <tableColumn id="42" xr3:uid="{00000000-0010-0000-0900-00002A000000}" name="2045"/>
    <tableColumn id="43" xr3:uid="{00000000-0010-0000-0900-00002B000000}" name="2046"/>
    <tableColumn id="44" xr3:uid="{00000000-0010-0000-0900-00002C000000}" name="2047"/>
    <tableColumn id="45" xr3:uid="{00000000-0010-0000-0900-00002D000000}" name="2048"/>
    <tableColumn id="46" xr3:uid="{00000000-0010-0000-0900-00002E000000}" name="2049"/>
    <tableColumn id="47" xr3:uid="{00000000-0010-0000-0900-00002F000000}" name="2050"/>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12" displayName="Table1112" ref="A118:AU126" totalsRowShown="0">
  <tableColumns count="47">
    <tableColumn id="1" xr3:uid="{00000000-0010-0000-0A00-000001000000}" name="_"/>
    <tableColumn id="2" xr3:uid="{00000000-0010-0000-0A00-000002000000}" name="2005"/>
    <tableColumn id="3" xr3:uid="{00000000-0010-0000-0A00-000003000000}" name="2006"/>
    <tableColumn id="4" xr3:uid="{00000000-0010-0000-0A00-000004000000}" name="2007"/>
    <tableColumn id="5" xr3:uid="{00000000-0010-0000-0A00-000005000000}" name="2008"/>
    <tableColumn id="6" xr3:uid="{00000000-0010-0000-0A00-000006000000}" name="2009"/>
    <tableColumn id="7" xr3:uid="{00000000-0010-0000-0A00-000007000000}" name="2010"/>
    <tableColumn id="8" xr3:uid="{00000000-0010-0000-0A00-000008000000}" name="2011"/>
    <tableColumn id="9" xr3:uid="{00000000-0010-0000-0A00-000009000000}" name="2012"/>
    <tableColumn id="10" xr3:uid="{00000000-0010-0000-0A00-00000A000000}" name="2013"/>
    <tableColumn id="11" xr3:uid="{00000000-0010-0000-0A00-00000B000000}" name="2014"/>
    <tableColumn id="12" xr3:uid="{00000000-0010-0000-0A00-00000C000000}" name="2015"/>
    <tableColumn id="13" xr3:uid="{00000000-0010-0000-0A00-00000D000000}" name="2016"/>
    <tableColumn id="14" xr3:uid="{00000000-0010-0000-0A00-00000E000000}" name="2017"/>
    <tableColumn id="15" xr3:uid="{00000000-0010-0000-0A00-00000F000000}" name="2018"/>
    <tableColumn id="16" xr3:uid="{00000000-0010-0000-0A00-000010000000}" name="2019"/>
    <tableColumn id="17" xr3:uid="{00000000-0010-0000-0A00-000011000000}" name="2020"/>
    <tableColumn id="18" xr3:uid="{00000000-0010-0000-0A00-000012000000}" name="2021"/>
    <tableColumn id="19" xr3:uid="{00000000-0010-0000-0A00-000013000000}" name="2022"/>
    <tableColumn id="20" xr3:uid="{00000000-0010-0000-0A00-000014000000}" name="2023"/>
    <tableColumn id="21" xr3:uid="{00000000-0010-0000-0A00-000015000000}" name="2024"/>
    <tableColumn id="22" xr3:uid="{00000000-0010-0000-0A00-000016000000}" name="2025"/>
    <tableColumn id="23" xr3:uid="{00000000-0010-0000-0A00-000017000000}" name="2026"/>
    <tableColumn id="24" xr3:uid="{00000000-0010-0000-0A00-000018000000}" name="2027"/>
    <tableColumn id="25" xr3:uid="{00000000-0010-0000-0A00-000019000000}" name="2028"/>
    <tableColumn id="26" xr3:uid="{00000000-0010-0000-0A00-00001A000000}" name="2029"/>
    <tableColumn id="27" xr3:uid="{00000000-0010-0000-0A00-00001B000000}" name="2030"/>
    <tableColumn id="28" xr3:uid="{00000000-0010-0000-0A00-00001C000000}" name="2031"/>
    <tableColumn id="29" xr3:uid="{00000000-0010-0000-0A00-00001D000000}" name="2032"/>
    <tableColumn id="30" xr3:uid="{00000000-0010-0000-0A00-00001E000000}" name="2033"/>
    <tableColumn id="31" xr3:uid="{00000000-0010-0000-0A00-00001F000000}" name="2034"/>
    <tableColumn id="32" xr3:uid="{00000000-0010-0000-0A00-000020000000}" name="2035"/>
    <tableColumn id="33" xr3:uid="{00000000-0010-0000-0A00-000021000000}" name="2036"/>
    <tableColumn id="34" xr3:uid="{00000000-0010-0000-0A00-000022000000}" name="2037"/>
    <tableColumn id="35" xr3:uid="{00000000-0010-0000-0A00-000023000000}" name="2038"/>
    <tableColumn id="36" xr3:uid="{00000000-0010-0000-0A00-000024000000}" name="2039"/>
    <tableColumn id="37" xr3:uid="{00000000-0010-0000-0A00-000025000000}" name="2040"/>
    <tableColumn id="38" xr3:uid="{00000000-0010-0000-0A00-000026000000}" name="2041"/>
    <tableColumn id="39" xr3:uid="{00000000-0010-0000-0A00-000027000000}" name="2042"/>
    <tableColumn id="40" xr3:uid="{00000000-0010-0000-0A00-000028000000}" name="2043"/>
    <tableColumn id="41" xr3:uid="{00000000-0010-0000-0A00-000029000000}" name="2044"/>
    <tableColumn id="42" xr3:uid="{00000000-0010-0000-0A00-00002A000000}" name="2045"/>
    <tableColumn id="43" xr3:uid="{00000000-0010-0000-0A00-00002B000000}" name="2046"/>
    <tableColumn id="44" xr3:uid="{00000000-0010-0000-0A00-00002C000000}" name="2047"/>
    <tableColumn id="45" xr3:uid="{00000000-0010-0000-0A00-00002D000000}" name="2048"/>
    <tableColumn id="46" xr3:uid="{00000000-0010-0000-0A00-00002E000000}" name="2049"/>
    <tableColumn id="47" xr3:uid="{00000000-0010-0000-0A00-00002F000000}" name="2050"/>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13" displayName="Table1213" ref="A129:AU137" totalsRowShown="0">
  <tableColumns count="47">
    <tableColumn id="1" xr3:uid="{00000000-0010-0000-0B00-000001000000}" name="_"/>
    <tableColumn id="2" xr3:uid="{00000000-0010-0000-0B00-000002000000}" name="2005"/>
    <tableColumn id="3" xr3:uid="{00000000-0010-0000-0B00-000003000000}" name="2006"/>
    <tableColumn id="4" xr3:uid="{00000000-0010-0000-0B00-000004000000}" name="2007"/>
    <tableColumn id="5" xr3:uid="{00000000-0010-0000-0B00-000005000000}" name="2008"/>
    <tableColumn id="6" xr3:uid="{00000000-0010-0000-0B00-000006000000}" name="2009"/>
    <tableColumn id="7" xr3:uid="{00000000-0010-0000-0B00-000007000000}" name="2010"/>
    <tableColumn id="8" xr3:uid="{00000000-0010-0000-0B00-000008000000}" name="2011"/>
    <tableColumn id="9" xr3:uid="{00000000-0010-0000-0B00-000009000000}" name="2012"/>
    <tableColumn id="10" xr3:uid="{00000000-0010-0000-0B00-00000A000000}" name="2013"/>
    <tableColumn id="11" xr3:uid="{00000000-0010-0000-0B00-00000B000000}" name="2014"/>
    <tableColumn id="12" xr3:uid="{00000000-0010-0000-0B00-00000C000000}" name="2015"/>
    <tableColumn id="13" xr3:uid="{00000000-0010-0000-0B00-00000D000000}" name="2016"/>
    <tableColumn id="14" xr3:uid="{00000000-0010-0000-0B00-00000E000000}" name="2017"/>
    <tableColumn id="15" xr3:uid="{00000000-0010-0000-0B00-00000F000000}" name="2018"/>
    <tableColumn id="16" xr3:uid="{00000000-0010-0000-0B00-000010000000}" name="2019"/>
    <tableColumn id="17" xr3:uid="{00000000-0010-0000-0B00-000011000000}" name="2020"/>
    <tableColumn id="18" xr3:uid="{00000000-0010-0000-0B00-000012000000}" name="2021"/>
    <tableColumn id="19" xr3:uid="{00000000-0010-0000-0B00-000013000000}" name="2022"/>
    <tableColumn id="20" xr3:uid="{00000000-0010-0000-0B00-000014000000}" name="2023"/>
    <tableColumn id="21" xr3:uid="{00000000-0010-0000-0B00-000015000000}" name="2024"/>
    <tableColumn id="22" xr3:uid="{00000000-0010-0000-0B00-000016000000}" name="2025"/>
    <tableColumn id="23" xr3:uid="{00000000-0010-0000-0B00-000017000000}" name="2026"/>
    <tableColumn id="24" xr3:uid="{00000000-0010-0000-0B00-000018000000}" name="2027"/>
    <tableColumn id="25" xr3:uid="{00000000-0010-0000-0B00-000019000000}" name="2028"/>
    <tableColumn id="26" xr3:uid="{00000000-0010-0000-0B00-00001A000000}" name="2029"/>
    <tableColumn id="27" xr3:uid="{00000000-0010-0000-0B00-00001B000000}" name="2030"/>
    <tableColumn id="28" xr3:uid="{00000000-0010-0000-0B00-00001C000000}" name="2031"/>
    <tableColumn id="29" xr3:uid="{00000000-0010-0000-0B00-00001D000000}" name="2032"/>
    <tableColumn id="30" xr3:uid="{00000000-0010-0000-0B00-00001E000000}" name="2033"/>
    <tableColumn id="31" xr3:uid="{00000000-0010-0000-0B00-00001F000000}" name="2034"/>
    <tableColumn id="32" xr3:uid="{00000000-0010-0000-0B00-000020000000}" name="2035"/>
    <tableColumn id="33" xr3:uid="{00000000-0010-0000-0B00-000021000000}" name="2036"/>
    <tableColumn id="34" xr3:uid="{00000000-0010-0000-0B00-000022000000}" name="2037"/>
    <tableColumn id="35" xr3:uid="{00000000-0010-0000-0B00-000023000000}" name="2038"/>
    <tableColumn id="36" xr3:uid="{00000000-0010-0000-0B00-000024000000}" name="2039"/>
    <tableColumn id="37" xr3:uid="{00000000-0010-0000-0B00-000025000000}" name="2040"/>
    <tableColumn id="38" xr3:uid="{00000000-0010-0000-0B00-000026000000}" name="2041"/>
    <tableColumn id="39" xr3:uid="{00000000-0010-0000-0B00-000027000000}" name="2042"/>
    <tableColumn id="40" xr3:uid="{00000000-0010-0000-0B00-000028000000}" name="2043"/>
    <tableColumn id="41" xr3:uid="{00000000-0010-0000-0B00-000029000000}" name="2044"/>
    <tableColumn id="42" xr3:uid="{00000000-0010-0000-0B00-00002A000000}" name="2045"/>
    <tableColumn id="43" xr3:uid="{00000000-0010-0000-0B00-00002B000000}" name="2046"/>
    <tableColumn id="44" xr3:uid="{00000000-0010-0000-0B00-00002C000000}" name="2047"/>
    <tableColumn id="45" xr3:uid="{00000000-0010-0000-0B00-00002D000000}" name="2048"/>
    <tableColumn id="46" xr3:uid="{00000000-0010-0000-0B00-00002E000000}" name="2049"/>
    <tableColumn id="47" xr3:uid="{00000000-0010-0000-0B00-00002F000000}" name="2050"/>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14" displayName="Table1314" ref="A140:AU148" totalsRowShown="0">
  <tableColumns count="47">
    <tableColumn id="1" xr3:uid="{00000000-0010-0000-0C00-000001000000}" name="_"/>
    <tableColumn id="2" xr3:uid="{00000000-0010-0000-0C00-000002000000}" name="2005"/>
    <tableColumn id="3" xr3:uid="{00000000-0010-0000-0C00-000003000000}" name="2006"/>
    <tableColumn id="4" xr3:uid="{00000000-0010-0000-0C00-000004000000}" name="2007"/>
    <tableColumn id="5" xr3:uid="{00000000-0010-0000-0C00-000005000000}" name="2008"/>
    <tableColumn id="6" xr3:uid="{00000000-0010-0000-0C00-000006000000}" name="2009"/>
    <tableColumn id="7" xr3:uid="{00000000-0010-0000-0C00-000007000000}" name="2010"/>
    <tableColumn id="8" xr3:uid="{00000000-0010-0000-0C00-000008000000}" name="2011"/>
    <tableColumn id="9" xr3:uid="{00000000-0010-0000-0C00-000009000000}" name="2012"/>
    <tableColumn id="10" xr3:uid="{00000000-0010-0000-0C00-00000A000000}" name="2013"/>
    <tableColumn id="11" xr3:uid="{00000000-0010-0000-0C00-00000B000000}" name="2014"/>
    <tableColumn id="12" xr3:uid="{00000000-0010-0000-0C00-00000C000000}" name="2015"/>
    <tableColumn id="13" xr3:uid="{00000000-0010-0000-0C00-00000D000000}" name="2016"/>
    <tableColumn id="14" xr3:uid="{00000000-0010-0000-0C00-00000E000000}" name="2017"/>
    <tableColumn id="15" xr3:uid="{00000000-0010-0000-0C00-00000F000000}" name="2018"/>
    <tableColumn id="16" xr3:uid="{00000000-0010-0000-0C00-000010000000}" name="2019"/>
    <tableColumn id="17" xr3:uid="{00000000-0010-0000-0C00-000011000000}" name="2020"/>
    <tableColumn id="18" xr3:uid="{00000000-0010-0000-0C00-000012000000}" name="2021"/>
    <tableColumn id="19" xr3:uid="{00000000-0010-0000-0C00-000013000000}" name="2022"/>
    <tableColumn id="20" xr3:uid="{00000000-0010-0000-0C00-000014000000}" name="2023"/>
    <tableColumn id="21" xr3:uid="{00000000-0010-0000-0C00-000015000000}" name="2024"/>
    <tableColumn id="22" xr3:uid="{00000000-0010-0000-0C00-000016000000}" name="2025"/>
    <tableColumn id="23" xr3:uid="{00000000-0010-0000-0C00-000017000000}" name="2026"/>
    <tableColumn id="24" xr3:uid="{00000000-0010-0000-0C00-000018000000}" name="2027"/>
    <tableColumn id="25" xr3:uid="{00000000-0010-0000-0C00-000019000000}" name="2028"/>
    <tableColumn id="26" xr3:uid="{00000000-0010-0000-0C00-00001A000000}" name="2029"/>
    <tableColumn id="27" xr3:uid="{00000000-0010-0000-0C00-00001B000000}" name="2030"/>
    <tableColumn id="28" xr3:uid="{00000000-0010-0000-0C00-00001C000000}" name="2031"/>
    <tableColumn id="29" xr3:uid="{00000000-0010-0000-0C00-00001D000000}" name="2032"/>
    <tableColumn id="30" xr3:uid="{00000000-0010-0000-0C00-00001E000000}" name="2033"/>
    <tableColumn id="31" xr3:uid="{00000000-0010-0000-0C00-00001F000000}" name="2034"/>
    <tableColumn id="32" xr3:uid="{00000000-0010-0000-0C00-000020000000}" name="2035"/>
    <tableColumn id="33" xr3:uid="{00000000-0010-0000-0C00-000021000000}" name="2036"/>
    <tableColumn id="34" xr3:uid="{00000000-0010-0000-0C00-000022000000}" name="2037"/>
    <tableColumn id="35" xr3:uid="{00000000-0010-0000-0C00-000023000000}" name="2038"/>
    <tableColumn id="36" xr3:uid="{00000000-0010-0000-0C00-000024000000}" name="2039"/>
    <tableColumn id="37" xr3:uid="{00000000-0010-0000-0C00-000025000000}" name="2040"/>
    <tableColumn id="38" xr3:uid="{00000000-0010-0000-0C00-000026000000}" name="2041"/>
    <tableColumn id="39" xr3:uid="{00000000-0010-0000-0C00-000027000000}" name="2042"/>
    <tableColumn id="40" xr3:uid="{00000000-0010-0000-0C00-000028000000}" name="2043"/>
    <tableColumn id="41" xr3:uid="{00000000-0010-0000-0C00-000029000000}" name="2044"/>
    <tableColumn id="42" xr3:uid="{00000000-0010-0000-0C00-00002A000000}" name="2045"/>
    <tableColumn id="43" xr3:uid="{00000000-0010-0000-0C00-00002B000000}" name="2046"/>
    <tableColumn id="44" xr3:uid="{00000000-0010-0000-0C00-00002C000000}" name="2047"/>
    <tableColumn id="45" xr3:uid="{00000000-0010-0000-0C00-00002D000000}" name="2048"/>
    <tableColumn id="46" xr3:uid="{00000000-0010-0000-0C00-00002E000000}" name="2049"/>
    <tableColumn id="47" xr3:uid="{00000000-0010-0000-0C00-00002F000000}" name="2050"/>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15" displayName="Table1415" ref="A151:AU159" totalsRowShown="0">
  <tableColumns count="47">
    <tableColumn id="1" xr3:uid="{00000000-0010-0000-0D00-000001000000}" name="_"/>
    <tableColumn id="2" xr3:uid="{00000000-0010-0000-0D00-000002000000}" name="2005"/>
    <tableColumn id="3" xr3:uid="{00000000-0010-0000-0D00-000003000000}" name="2006"/>
    <tableColumn id="4" xr3:uid="{00000000-0010-0000-0D00-000004000000}" name="2007"/>
    <tableColumn id="5" xr3:uid="{00000000-0010-0000-0D00-000005000000}" name="2008"/>
    <tableColumn id="6" xr3:uid="{00000000-0010-0000-0D00-000006000000}" name="2009"/>
    <tableColumn id="7" xr3:uid="{00000000-0010-0000-0D00-000007000000}" name="2010"/>
    <tableColumn id="8" xr3:uid="{00000000-0010-0000-0D00-000008000000}" name="2011"/>
    <tableColumn id="9" xr3:uid="{00000000-0010-0000-0D00-000009000000}" name="2012"/>
    <tableColumn id="10" xr3:uid="{00000000-0010-0000-0D00-00000A000000}" name="2013"/>
    <tableColumn id="11" xr3:uid="{00000000-0010-0000-0D00-00000B000000}" name="2014"/>
    <tableColumn id="12" xr3:uid="{00000000-0010-0000-0D00-00000C000000}" name="2015"/>
    <tableColumn id="13" xr3:uid="{00000000-0010-0000-0D00-00000D000000}" name="2016"/>
    <tableColumn id="14" xr3:uid="{00000000-0010-0000-0D00-00000E000000}" name="2017"/>
    <tableColumn id="15" xr3:uid="{00000000-0010-0000-0D00-00000F000000}" name="2018"/>
    <tableColumn id="16" xr3:uid="{00000000-0010-0000-0D00-000010000000}" name="2019"/>
    <tableColumn id="17" xr3:uid="{00000000-0010-0000-0D00-000011000000}" name="2020"/>
    <tableColumn id="18" xr3:uid="{00000000-0010-0000-0D00-000012000000}" name="2021"/>
    <tableColumn id="19" xr3:uid="{00000000-0010-0000-0D00-000013000000}" name="2022"/>
    <tableColumn id="20" xr3:uid="{00000000-0010-0000-0D00-000014000000}" name="2023"/>
    <tableColumn id="21" xr3:uid="{00000000-0010-0000-0D00-000015000000}" name="2024"/>
    <tableColumn id="22" xr3:uid="{00000000-0010-0000-0D00-000016000000}" name="2025"/>
    <tableColumn id="23" xr3:uid="{00000000-0010-0000-0D00-000017000000}" name="2026"/>
    <tableColumn id="24" xr3:uid="{00000000-0010-0000-0D00-000018000000}" name="2027"/>
    <tableColumn id="25" xr3:uid="{00000000-0010-0000-0D00-000019000000}" name="2028"/>
    <tableColumn id="26" xr3:uid="{00000000-0010-0000-0D00-00001A000000}" name="2029"/>
    <tableColumn id="27" xr3:uid="{00000000-0010-0000-0D00-00001B000000}" name="2030"/>
    <tableColumn id="28" xr3:uid="{00000000-0010-0000-0D00-00001C000000}" name="2031"/>
    <tableColumn id="29" xr3:uid="{00000000-0010-0000-0D00-00001D000000}" name="2032"/>
    <tableColumn id="30" xr3:uid="{00000000-0010-0000-0D00-00001E000000}" name="2033"/>
    <tableColumn id="31" xr3:uid="{00000000-0010-0000-0D00-00001F000000}" name="2034"/>
    <tableColumn id="32" xr3:uid="{00000000-0010-0000-0D00-000020000000}" name="2035"/>
    <tableColumn id="33" xr3:uid="{00000000-0010-0000-0D00-000021000000}" name="2036"/>
    <tableColumn id="34" xr3:uid="{00000000-0010-0000-0D00-000022000000}" name="2037"/>
    <tableColumn id="35" xr3:uid="{00000000-0010-0000-0D00-000023000000}" name="2038"/>
    <tableColumn id="36" xr3:uid="{00000000-0010-0000-0D00-000024000000}" name="2039"/>
    <tableColumn id="37" xr3:uid="{00000000-0010-0000-0D00-000025000000}" name="2040"/>
    <tableColumn id="38" xr3:uid="{00000000-0010-0000-0D00-000026000000}" name="2041"/>
    <tableColumn id="39" xr3:uid="{00000000-0010-0000-0D00-000027000000}" name="2042"/>
    <tableColumn id="40" xr3:uid="{00000000-0010-0000-0D00-000028000000}" name="2043"/>
    <tableColumn id="41" xr3:uid="{00000000-0010-0000-0D00-000029000000}" name="2044"/>
    <tableColumn id="42" xr3:uid="{00000000-0010-0000-0D00-00002A000000}" name="2045"/>
    <tableColumn id="43" xr3:uid="{00000000-0010-0000-0D00-00002B000000}" name="2046"/>
    <tableColumn id="44" xr3:uid="{00000000-0010-0000-0D00-00002C000000}" name="2047"/>
    <tableColumn id="45" xr3:uid="{00000000-0010-0000-0D00-00002D000000}" name="2048"/>
    <tableColumn id="46" xr3:uid="{00000000-0010-0000-0D00-00002E000000}" name="2049"/>
    <tableColumn id="47" xr3:uid="{00000000-0010-0000-0D00-00002F000000}" name="205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150.statcan.gc.ca/t1/tbl1/en/tv.action?pid=2510001501&amp;pickMembers%5B0%5D=1.1&amp;pickMembers%5B1%5D=2.2&amp;cubeTimeFrame.startMonth=01&amp;cubeTimeFrame.startYear=2015&amp;cubeTimeFrame.endMonth=12&amp;cubeTimeFrame.endYear=2015&amp;referencePeriods=20150101%2C20151201" TargetMode="External"/><Relationship Id="rId1" Type="http://schemas.openxmlformats.org/officeDocument/2006/relationships/hyperlink" Target="https://apps.neb-one.gc.ca/ftrppndc/dflt.aspx?GoCTemplateCulture=en-CA"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
  <sheetViews>
    <sheetView workbookViewId="0">
      <selection activeCell="B26" sqref="B26"/>
    </sheetView>
  </sheetViews>
  <sheetFormatPr defaultRowHeight="15" x14ac:dyDescent="0.25"/>
  <cols>
    <col min="2" max="2" width="70.140625" customWidth="1"/>
  </cols>
  <sheetData>
    <row r="1" spans="1:2" x14ac:dyDescent="0.25">
      <c r="A1" s="1" t="s">
        <v>0</v>
      </c>
    </row>
    <row r="2" spans="1:2" x14ac:dyDescent="0.25">
      <c r="A2" s="1" t="s">
        <v>1</v>
      </c>
    </row>
    <row r="3" spans="1:2" x14ac:dyDescent="0.25">
      <c r="A3" s="1" t="s">
        <v>2</v>
      </c>
    </row>
    <row r="4" spans="1:2" x14ac:dyDescent="0.25">
      <c r="A4" s="1" t="s">
        <v>3</v>
      </c>
    </row>
    <row r="6" spans="1:2" x14ac:dyDescent="0.25">
      <c r="A6" s="1" t="s">
        <v>4</v>
      </c>
      <c r="B6" s="3" t="s">
        <v>5</v>
      </c>
    </row>
    <row r="7" spans="1:2" x14ac:dyDescent="0.25">
      <c r="B7" t="s">
        <v>6</v>
      </c>
    </row>
    <row r="8" spans="1:2" x14ac:dyDescent="0.25">
      <c r="B8" s="2">
        <v>2026</v>
      </c>
    </row>
    <row r="9" spans="1:2" x14ac:dyDescent="0.25">
      <c r="B9" t="s">
        <v>731</v>
      </c>
    </row>
    <row r="10" spans="1:2" x14ac:dyDescent="0.25">
      <c r="B10" t="s">
        <v>732</v>
      </c>
    </row>
    <row r="11" spans="1:2" x14ac:dyDescent="0.25">
      <c r="B11" t="s">
        <v>7</v>
      </c>
    </row>
    <row r="13" spans="1:2" x14ac:dyDescent="0.25">
      <c r="B13" s="3" t="s">
        <v>8</v>
      </c>
    </row>
    <row r="14" spans="1:2" x14ac:dyDescent="0.25">
      <c r="B14" t="s">
        <v>9</v>
      </c>
    </row>
    <row r="15" spans="1:2" x14ac:dyDescent="0.25">
      <c r="B15" s="2">
        <v>2021</v>
      </c>
    </row>
    <row r="16" spans="1:2" x14ac:dyDescent="0.25">
      <c r="B16" t="s">
        <v>10</v>
      </c>
    </row>
    <row r="17" spans="2:2" x14ac:dyDescent="0.25">
      <c r="B17" s="4" t="s">
        <v>11</v>
      </c>
    </row>
    <row r="18" spans="2:2" x14ac:dyDescent="0.25">
      <c r="B18" t="s">
        <v>12</v>
      </c>
    </row>
    <row r="20" spans="2:2" x14ac:dyDescent="0.25">
      <c r="B20" s="3" t="s">
        <v>13</v>
      </c>
    </row>
    <row r="21" spans="2:2" x14ac:dyDescent="0.25">
      <c r="B21" t="s">
        <v>6</v>
      </c>
    </row>
    <row r="22" spans="2:2" x14ac:dyDescent="0.25">
      <c r="B22" s="2">
        <v>2026</v>
      </c>
    </row>
    <row r="23" spans="2:2" x14ac:dyDescent="0.25">
      <c r="B23" t="s">
        <v>731</v>
      </c>
    </row>
    <row r="24" spans="2:2" x14ac:dyDescent="0.25">
      <c r="B24" t="s">
        <v>732</v>
      </c>
    </row>
    <row r="25" spans="2:2" x14ac:dyDescent="0.25">
      <c r="B25" t="s">
        <v>7</v>
      </c>
    </row>
    <row r="27" spans="2:2" x14ac:dyDescent="0.25">
      <c r="B27" s="3" t="s">
        <v>14</v>
      </c>
    </row>
    <row r="28" spans="2:2" x14ac:dyDescent="0.25">
      <c r="B28" t="s">
        <v>15</v>
      </c>
    </row>
    <row r="29" spans="2:2" x14ac:dyDescent="0.25">
      <c r="B29" s="2">
        <v>2022</v>
      </c>
    </row>
    <row r="30" spans="2:2" x14ac:dyDescent="0.25">
      <c r="B30" t="s">
        <v>16</v>
      </c>
    </row>
    <row r="31" spans="2:2" x14ac:dyDescent="0.25">
      <c r="B31" s="4" t="s">
        <v>17</v>
      </c>
    </row>
    <row r="32" spans="2:2" x14ac:dyDescent="0.25">
      <c r="B32" s="20" t="s">
        <v>18</v>
      </c>
    </row>
    <row r="34" spans="1:1" x14ac:dyDescent="0.25">
      <c r="A34" s="1" t="s">
        <v>19</v>
      </c>
    </row>
    <row r="35" spans="1:1" x14ac:dyDescent="0.25">
      <c r="A35" t="s">
        <v>20</v>
      </c>
    </row>
    <row r="36" spans="1:1" x14ac:dyDescent="0.25">
      <c r="A36" t="s">
        <v>21</v>
      </c>
    </row>
    <row r="37" spans="1:1" x14ac:dyDescent="0.25">
      <c r="A37" t="s">
        <v>22</v>
      </c>
    </row>
    <row r="38" spans="1:1" x14ac:dyDescent="0.25">
      <c r="A38" t="s">
        <v>23</v>
      </c>
    </row>
    <row r="39" spans="1:1" x14ac:dyDescent="0.25">
      <c r="A39" t="s">
        <v>24</v>
      </c>
    </row>
    <row r="41" spans="1:1" x14ac:dyDescent="0.25">
      <c r="A41" t="s">
        <v>25</v>
      </c>
    </row>
    <row r="42" spans="1:1" x14ac:dyDescent="0.25">
      <c r="A42" t="s">
        <v>26</v>
      </c>
    </row>
    <row r="44" spans="1:1" x14ac:dyDescent="0.25">
      <c r="A44" t="s">
        <v>27</v>
      </c>
    </row>
    <row r="45" spans="1:1" x14ac:dyDescent="0.25">
      <c r="A45" t="s">
        <v>28</v>
      </c>
    </row>
    <row r="46" spans="1:1" x14ac:dyDescent="0.25">
      <c r="A46" t="s">
        <v>29</v>
      </c>
    </row>
    <row r="48" spans="1:1" x14ac:dyDescent="0.25">
      <c r="A48" t="s">
        <v>30</v>
      </c>
    </row>
    <row r="49" spans="1:2" x14ac:dyDescent="0.25">
      <c r="A49" t="s">
        <v>31</v>
      </c>
    </row>
    <row r="50" spans="1:2" x14ac:dyDescent="0.25">
      <c r="A50" t="s">
        <v>32</v>
      </c>
    </row>
    <row r="52" spans="1:2" x14ac:dyDescent="0.25">
      <c r="A52" s="1" t="s">
        <v>33</v>
      </c>
    </row>
    <row r="53" spans="1:2" x14ac:dyDescent="0.25">
      <c r="A53" t="s">
        <v>34</v>
      </c>
    </row>
    <row r="54" spans="1:2" x14ac:dyDescent="0.25">
      <c r="A54" t="s">
        <v>35</v>
      </c>
    </row>
    <row r="55" spans="1:2" x14ac:dyDescent="0.25">
      <c r="A55" t="s">
        <v>36</v>
      </c>
    </row>
    <row r="57" spans="1:2" x14ac:dyDescent="0.25">
      <c r="A57" s="1" t="s">
        <v>37</v>
      </c>
    </row>
    <row r="58" spans="1:2" x14ac:dyDescent="0.25">
      <c r="A58" s="8">
        <v>2.931E-7</v>
      </c>
      <c r="B58" t="s">
        <v>38</v>
      </c>
    </row>
    <row r="59" spans="1:2" x14ac:dyDescent="0.25">
      <c r="A59" s="9">
        <v>0.88711067149387013</v>
      </c>
      <c r="B59" t="s">
        <v>39</v>
      </c>
    </row>
    <row r="60" spans="1:2" x14ac:dyDescent="0.25">
      <c r="A60" s="9">
        <v>0.73199999999999998</v>
      </c>
      <c r="B60" t="s">
        <v>40</v>
      </c>
    </row>
    <row r="61" spans="1:2" x14ac:dyDescent="0.25">
      <c r="A61">
        <v>0.71310900044104586</v>
      </c>
      <c r="B61" t="s">
        <v>730</v>
      </c>
    </row>
  </sheetData>
  <hyperlinks>
    <hyperlink ref="B17" r:id="rId1" xr:uid="{00000000-0004-0000-0000-000000000000}"/>
    <hyperlink ref="B31" r:id="rId2" display="https://www150.statcan.gc.ca/t1/tbl1/en/tv.action?pid=2510001501&amp;pickMembers%5B0%5D=1.1&amp;pickMembers%5B1%5D=2.2&amp;cubeTimeFrame.startMonth=01&amp;cubeTimeFrame.startYear=2015&amp;cubeTimeFrame.endMonth=12&amp;cubeTimeFrame.endYear=2015&amp;referencePeriods=20150101%2C20151201"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499984740745262"/>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3"/>
  <sheetViews>
    <sheetView workbookViewId="0">
      <selection activeCell="B26" sqref="B26"/>
    </sheetView>
  </sheetViews>
  <sheetFormatPr defaultRowHeight="15" x14ac:dyDescent="0.25"/>
  <cols>
    <col min="1" max="1" width="23.28515625" customWidth="1"/>
    <col min="2" max="2" width="90.28515625" bestFit="1" customWidth="1"/>
  </cols>
  <sheetData>
    <row r="1" spans="1:33" x14ac:dyDescent="0.25">
      <c r="A1" t="s">
        <v>41</v>
      </c>
    </row>
    <row r="2" spans="1:33" x14ac:dyDescent="0.25">
      <c r="A2" t="s">
        <v>42</v>
      </c>
    </row>
    <row r="3" spans="1:33" x14ac:dyDescent="0.25">
      <c r="A3" t="s">
        <v>43</v>
      </c>
    </row>
    <row r="4" spans="1:33" x14ac:dyDescent="0.25">
      <c r="A4" t="s">
        <v>44</v>
      </c>
    </row>
    <row r="5" spans="1:33" x14ac:dyDescent="0.25">
      <c r="B5" t="s">
        <v>45</v>
      </c>
      <c r="C5" t="s">
        <v>46</v>
      </c>
      <c r="D5" t="s">
        <v>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48</v>
      </c>
    </row>
    <row r="6" spans="1:33" x14ac:dyDescent="0.25">
      <c r="A6" t="s">
        <v>49</v>
      </c>
    </row>
    <row r="7" spans="1:33" x14ac:dyDescent="0.25">
      <c r="A7" t="s">
        <v>50</v>
      </c>
    </row>
    <row r="8" spans="1:33" x14ac:dyDescent="0.25">
      <c r="A8" t="s">
        <v>51</v>
      </c>
      <c r="B8" t="s">
        <v>52</v>
      </c>
      <c r="C8" t="s">
        <v>53</v>
      </c>
      <c r="D8" t="s">
        <v>54</v>
      </c>
      <c r="F8">
        <v>45.122737999999998</v>
      </c>
      <c r="G8">
        <v>43.267341999999999</v>
      </c>
      <c r="H8">
        <v>43.046135</v>
      </c>
      <c r="I8">
        <v>42.817745000000002</v>
      </c>
      <c r="J8">
        <v>42.559058999999998</v>
      </c>
      <c r="K8">
        <v>42.293132999999997</v>
      </c>
      <c r="L8">
        <v>42.024811</v>
      </c>
      <c r="M8">
        <v>41.620967999999998</v>
      </c>
      <c r="N8">
        <v>41.217125000000003</v>
      </c>
      <c r="O8">
        <v>40.813285999999998</v>
      </c>
      <c r="P8">
        <v>40.156345000000002</v>
      </c>
      <c r="Q8">
        <v>39.466721</v>
      </c>
      <c r="R8">
        <v>38.769126999999997</v>
      </c>
      <c r="S8">
        <v>37.904128999999998</v>
      </c>
      <c r="T8">
        <v>37.069423999999998</v>
      </c>
      <c r="U8">
        <v>36.021155999999998</v>
      </c>
      <c r="V8">
        <v>34.914700000000003</v>
      </c>
      <c r="W8">
        <v>33.943759999999997</v>
      </c>
      <c r="X8">
        <v>32.853245000000001</v>
      </c>
      <c r="Y8">
        <v>31.762727999999999</v>
      </c>
      <c r="Z8">
        <v>31.010211999999999</v>
      </c>
      <c r="AA8">
        <v>30.418716</v>
      </c>
      <c r="AB8">
        <v>29.843166</v>
      </c>
      <c r="AC8">
        <v>29.442195999999999</v>
      </c>
      <c r="AD8">
        <v>29.041224</v>
      </c>
      <c r="AE8">
        <v>28.861069000000001</v>
      </c>
      <c r="AF8">
        <v>28.741492999999998</v>
      </c>
      <c r="AG8" s="22">
        <v>-1.7000000000000001E-2</v>
      </c>
    </row>
    <row r="9" spans="1:33" x14ac:dyDescent="0.25">
      <c r="A9" t="s">
        <v>55</v>
      </c>
      <c r="B9" t="s">
        <v>56</v>
      </c>
      <c r="C9" t="s">
        <v>57</v>
      </c>
      <c r="D9" t="s">
        <v>54</v>
      </c>
      <c r="F9">
        <v>249.34066799999999</v>
      </c>
      <c r="G9">
        <v>237.900757</v>
      </c>
      <c r="H9">
        <v>224.187668</v>
      </c>
      <c r="I9">
        <v>252.91287199999999</v>
      </c>
      <c r="J9">
        <v>276.10900900000001</v>
      </c>
      <c r="K9">
        <v>290.98074300000002</v>
      </c>
      <c r="L9">
        <v>319.57144199999999</v>
      </c>
      <c r="M9">
        <v>301.05426</v>
      </c>
      <c r="N9">
        <v>347.96228000000002</v>
      </c>
      <c r="O9">
        <v>365.80242900000002</v>
      </c>
      <c r="P9">
        <v>385.14498900000001</v>
      </c>
      <c r="Q9">
        <v>402.39382899999998</v>
      </c>
      <c r="R9">
        <v>398.53207400000002</v>
      </c>
      <c r="S9">
        <v>421.89495799999997</v>
      </c>
      <c r="T9">
        <v>440.45382699999999</v>
      </c>
      <c r="U9">
        <v>465.01849399999998</v>
      </c>
      <c r="V9">
        <v>502.043701</v>
      </c>
      <c r="W9">
        <v>519.92114300000003</v>
      </c>
      <c r="X9">
        <v>527.19287099999997</v>
      </c>
      <c r="Y9">
        <v>512.67108199999996</v>
      </c>
      <c r="Z9">
        <v>508.11086999999998</v>
      </c>
      <c r="AA9">
        <v>511.39544699999999</v>
      </c>
      <c r="AB9">
        <v>502.66961700000002</v>
      </c>
      <c r="AC9">
        <v>509.82705700000002</v>
      </c>
      <c r="AD9">
        <v>502.75842299999999</v>
      </c>
      <c r="AE9">
        <v>516.59429899999998</v>
      </c>
      <c r="AF9">
        <v>523.46215800000004</v>
      </c>
      <c r="AG9" s="22">
        <v>2.9000000000000001E-2</v>
      </c>
    </row>
    <row r="10" spans="1:33" x14ac:dyDescent="0.25">
      <c r="A10" t="s">
        <v>58</v>
      </c>
      <c r="B10" t="s">
        <v>59</v>
      </c>
      <c r="C10" t="s">
        <v>60</v>
      </c>
      <c r="D10" t="s">
        <v>54</v>
      </c>
      <c r="F10">
        <v>294.46337899999997</v>
      </c>
      <c r="G10">
        <v>281.16812099999999</v>
      </c>
      <c r="H10">
        <v>267.23379499999999</v>
      </c>
      <c r="I10">
        <v>295.73062099999999</v>
      </c>
      <c r="J10">
        <v>318.668091</v>
      </c>
      <c r="K10">
        <v>333.273865</v>
      </c>
      <c r="L10">
        <v>361.59625199999999</v>
      </c>
      <c r="M10">
        <v>342.67523199999999</v>
      </c>
      <c r="N10">
        <v>389.17938199999998</v>
      </c>
      <c r="O10">
        <v>406.61569200000002</v>
      </c>
      <c r="P10">
        <v>425.301331</v>
      </c>
      <c r="Q10">
        <v>441.86056500000001</v>
      </c>
      <c r="R10">
        <v>437.30120799999997</v>
      </c>
      <c r="S10">
        <v>459.79907200000002</v>
      </c>
      <c r="T10">
        <v>477.52328499999999</v>
      </c>
      <c r="U10">
        <v>501.03964200000001</v>
      </c>
      <c r="V10">
        <v>536.95837400000005</v>
      </c>
      <c r="W10">
        <v>553.86492899999996</v>
      </c>
      <c r="X10">
        <v>560.04614300000003</v>
      </c>
      <c r="Y10">
        <v>544.43383800000004</v>
      </c>
      <c r="Z10">
        <v>539.12109399999997</v>
      </c>
      <c r="AA10">
        <v>541.81414800000005</v>
      </c>
      <c r="AB10">
        <v>532.51275599999997</v>
      </c>
      <c r="AC10">
        <v>539.26928699999996</v>
      </c>
      <c r="AD10">
        <v>531.799622</v>
      </c>
      <c r="AE10">
        <v>545.45532200000002</v>
      </c>
      <c r="AF10">
        <v>552.20367399999998</v>
      </c>
      <c r="AG10" s="22">
        <v>2.4E-2</v>
      </c>
    </row>
    <row r="11" spans="1:33" x14ac:dyDescent="0.25">
      <c r="A11" t="s">
        <v>61</v>
      </c>
    </row>
    <row r="12" spans="1:33" x14ac:dyDescent="0.25">
      <c r="A12" t="s">
        <v>51</v>
      </c>
      <c r="B12" t="s">
        <v>52</v>
      </c>
      <c r="C12" t="s">
        <v>62</v>
      </c>
      <c r="D12" t="s">
        <v>63</v>
      </c>
      <c r="F12">
        <v>3718.7072750000002</v>
      </c>
      <c r="G12">
        <v>3565.7985840000001</v>
      </c>
      <c r="H12">
        <v>3547.5678710000002</v>
      </c>
      <c r="I12">
        <v>3528.7460940000001</v>
      </c>
      <c r="J12">
        <v>3507.4270019999999</v>
      </c>
      <c r="K12">
        <v>3485.5107419999999</v>
      </c>
      <c r="L12">
        <v>3463.3979490000002</v>
      </c>
      <c r="M12">
        <v>3430.1152339999999</v>
      </c>
      <c r="N12">
        <v>3396.83374</v>
      </c>
      <c r="O12">
        <v>3363.5517580000001</v>
      </c>
      <c r="P12">
        <v>3309.411865</v>
      </c>
      <c r="Q12">
        <v>3252.577393</v>
      </c>
      <c r="R12">
        <v>3195.0866700000001</v>
      </c>
      <c r="S12">
        <v>3123.7993160000001</v>
      </c>
      <c r="T12">
        <v>3055.0083009999998</v>
      </c>
      <c r="U12">
        <v>2968.6176759999998</v>
      </c>
      <c r="V12">
        <v>2877.4313959999999</v>
      </c>
      <c r="W12">
        <v>2797.4125979999999</v>
      </c>
      <c r="X12">
        <v>2707.5397950000001</v>
      </c>
      <c r="Y12">
        <v>2617.6669919999999</v>
      </c>
      <c r="Z12">
        <v>2555.6499020000001</v>
      </c>
      <c r="AA12">
        <v>2506.9030760000001</v>
      </c>
      <c r="AB12">
        <v>2459.4697270000001</v>
      </c>
      <c r="AC12">
        <v>2426.4245609999998</v>
      </c>
      <c r="AD12">
        <v>2393.3793949999999</v>
      </c>
      <c r="AE12">
        <v>2378.5317380000001</v>
      </c>
      <c r="AF12">
        <v>2368.67749</v>
      </c>
      <c r="AG12" s="22">
        <v>-1.7000000000000001E-2</v>
      </c>
    </row>
    <row r="13" spans="1:33" x14ac:dyDescent="0.25">
      <c r="A13" t="s">
        <v>55</v>
      </c>
      <c r="B13" t="s">
        <v>56</v>
      </c>
      <c r="C13" t="s">
        <v>64</v>
      </c>
      <c r="D13" t="s">
        <v>63</v>
      </c>
      <c r="F13">
        <v>10351.311523</v>
      </c>
      <c r="G13">
        <v>8023.9589839999999</v>
      </c>
      <c r="H13">
        <v>7793.375</v>
      </c>
      <c r="I13">
        <v>8403.7236329999996</v>
      </c>
      <c r="J13">
        <v>9362.5419920000004</v>
      </c>
      <c r="K13">
        <v>10238.698242</v>
      </c>
      <c r="L13">
        <v>11769.411133</v>
      </c>
      <c r="M13">
        <v>11374.510742</v>
      </c>
      <c r="N13">
        <v>15617.239258</v>
      </c>
      <c r="O13">
        <v>16802.050781000002</v>
      </c>
      <c r="P13">
        <v>17691.257812</v>
      </c>
      <c r="Q13">
        <v>18451.445312</v>
      </c>
      <c r="R13">
        <v>17562.09375</v>
      </c>
      <c r="S13">
        <v>17828.919922000001</v>
      </c>
      <c r="T13">
        <v>18883.072265999999</v>
      </c>
      <c r="U13">
        <v>19100.726562</v>
      </c>
      <c r="V13">
        <v>20427.402343999998</v>
      </c>
      <c r="W13">
        <v>22106.875</v>
      </c>
      <c r="X13">
        <v>22795.535156000002</v>
      </c>
      <c r="Y13">
        <v>22820.96875</v>
      </c>
      <c r="Z13">
        <v>23120.818359000001</v>
      </c>
      <c r="AA13">
        <v>23484.167968999998</v>
      </c>
      <c r="AB13">
        <v>23698.349609000001</v>
      </c>
      <c r="AC13">
        <v>24435.113281000002</v>
      </c>
      <c r="AD13">
        <v>24780.490234000001</v>
      </c>
      <c r="AE13">
        <v>27138.382812</v>
      </c>
      <c r="AF13">
        <v>28180.878906000002</v>
      </c>
      <c r="AG13" s="22">
        <v>3.9E-2</v>
      </c>
    </row>
    <row r="14" spans="1:33" x14ac:dyDescent="0.25">
      <c r="A14" t="s">
        <v>58</v>
      </c>
      <c r="B14" t="s">
        <v>59</v>
      </c>
      <c r="C14" t="s">
        <v>65</v>
      </c>
      <c r="D14" t="s">
        <v>63</v>
      </c>
      <c r="F14">
        <v>14070.018555000001</v>
      </c>
      <c r="G14">
        <v>11589.757812</v>
      </c>
      <c r="H14">
        <v>11340.943359000001</v>
      </c>
      <c r="I14">
        <v>11932.469727</v>
      </c>
      <c r="J14">
        <v>12869.96875</v>
      </c>
      <c r="K14">
        <v>13724.208984000001</v>
      </c>
      <c r="L14">
        <v>15232.808594</v>
      </c>
      <c r="M14">
        <v>14804.625977</v>
      </c>
      <c r="N14">
        <v>19014.072265999999</v>
      </c>
      <c r="O14">
        <v>20165.601562</v>
      </c>
      <c r="P14">
        <v>21000.669922000001</v>
      </c>
      <c r="Q14">
        <v>21704.023438</v>
      </c>
      <c r="R14">
        <v>20757.179688</v>
      </c>
      <c r="S14">
        <v>20952.71875</v>
      </c>
      <c r="T14">
        <v>21938.080077999999</v>
      </c>
      <c r="U14">
        <v>22069.34375</v>
      </c>
      <c r="V14">
        <v>23304.833984000001</v>
      </c>
      <c r="W14">
        <v>24904.287109000001</v>
      </c>
      <c r="X14">
        <v>25503.074218999998</v>
      </c>
      <c r="Y14">
        <v>25438.636718999998</v>
      </c>
      <c r="Z14">
        <v>25676.46875</v>
      </c>
      <c r="AA14">
        <v>25991.070312</v>
      </c>
      <c r="AB14">
        <v>26157.820312</v>
      </c>
      <c r="AC14">
        <v>26861.537109000001</v>
      </c>
      <c r="AD14">
        <v>27173.869140999999</v>
      </c>
      <c r="AE14">
        <v>29516.914062</v>
      </c>
      <c r="AF14">
        <v>30549.556640999999</v>
      </c>
      <c r="AG14" s="22">
        <v>0.03</v>
      </c>
    </row>
    <row r="15" spans="1:33" x14ac:dyDescent="0.25">
      <c r="A15" t="s">
        <v>66</v>
      </c>
    </row>
    <row r="16" spans="1:33" x14ac:dyDescent="0.25">
      <c r="A16" t="s">
        <v>67</v>
      </c>
    </row>
    <row r="17" spans="1:33" x14ac:dyDescent="0.25">
      <c r="A17" t="s">
        <v>51</v>
      </c>
      <c r="B17" t="s">
        <v>68</v>
      </c>
      <c r="C17" t="s">
        <v>69</v>
      </c>
      <c r="D17" t="s">
        <v>54</v>
      </c>
      <c r="F17">
        <v>16.437441</v>
      </c>
      <c r="G17">
        <v>25.206199999999999</v>
      </c>
      <c r="H17">
        <v>25.206199999999999</v>
      </c>
      <c r="I17">
        <v>36.334553</v>
      </c>
      <c r="J17">
        <v>36.334553</v>
      </c>
      <c r="K17">
        <v>36.270778999999997</v>
      </c>
      <c r="L17">
        <v>36.207008000000002</v>
      </c>
      <c r="M17">
        <v>36.143234</v>
      </c>
      <c r="N17">
        <v>36.079464000000002</v>
      </c>
      <c r="O17">
        <v>36.015689999999999</v>
      </c>
      <c r="P17">
        <v>35.951915999999997</v>
      </c>
      <c r="Q17">
        <v>35.888142000000002</v>
      </c>
      <c r="R17">
        <v>35.545363999999999</v>
      </c>
      <c r="S17">
        <v>35.481589999999997</v>
      </c>
      <c r="T17">
        <v>35.417819999999999</v>
      </c>
      <c r="U17">
        <v>35.417819999999999</v>
      </c>
      <c r="V17">
        <v>35.417819999999999</v>
      </c>
      <c r="W17">
        <v>35.417819999999999</v>
      </c>
      <c r="X17">
        <v>35.417819999999999</v>
      </c>
      <c r="Y17">
        <v>26.649056999999999</v>
      </c>
      <c r="Z17">
        <v>26.649056999999999</v>
      </c>
      <c r="AA17">
        <v>26.649056999999999</v>
      </c>
      <c r="AB17">
        <v>26.649056999999999</v>
      </c>
      <c r="AC17">
        <v>26.649056999999999</v>
      </c>
      <c r="AD17">
        <v>26.649056999999999</v>
      </c>
      <c r="AE17">
        <v>26.649056999999999</v>
      </c>
      <c r="AF17">
        <v>26.649056999999999</v>
      </c>
      <c r="AG17" s="22">
        <v>1.9E-2</v>
      </c>
    </row>
    <row r="18" spans="1:33" s="17" customFormat="1" x14ac:dyDescent="0.25">
      <c r="A18" s="17" t="s">
        <v>55</v>
      </c>
      <c r="B18" s="17" t="s">
        <v>70</v>
      </c>
      <c r="C18" s="17" t="s">
        <v>71</v>
      </c>
      <c r="D18" s="17" t="s">
        <v>54</v>
      </c>
      <c r="F18" s="17">
        <v>29.155847999999999</v>
      </c>
      <c r="G18" s="17">
        <v>25.677845000000001</v>
      </c>
      <c r="H18" s="17">
        <v>32.730956999999997</v>
      </c>
      <c r="I18" s="17">
        <v>39.317870999999997</v>
      </c>
      <c r="J18" s="17">
        <v>51.182158999999999</v>
      </c>
      <c r="K18" s="17">
        <v>56.444569000000001</v>
      </c>
      <c r="L18" s="17">
        <v>64.044449</v>
      </c>
      <c r="M18" s="17">
        <v>66.023598000000007</v>
      </c>
      <c r="N18" s="17">
        <v>67.974152000000004</v>
      </c>
      <c r="O18" s="17">
        <v>70.457099999999997</v>
      </c>
      <c r="P18" s="17">
        <v>71.004645999999994</v>
      </c>
      <c r="Q18" s="17">
        <v>72.311829000000003</v>
      </c>
      <c r="R18" s="17">
        <v>70.418509999999998</v>
      </c>
      <c r="S18" s="17">
        <v>69.43647</v>
      </c>
      <c r="T18" s="17">
        <v>69.029601999999997</v>
      </c>
      <c r="U18" s="17">
        <v>66.713843999999995</v>
      </c>
      <c r="V18" s="17">
        <v>68.071274000000003</v>
      </c>
      <c r="W18" s="17">
        <v>68.488014000000007</v>
      </c>
      <c r="X18" s="17">
        <v>67.780700999999993</v>
      </c>
      <c r="Y18" s="17">
        <v>70.681861999999995</v>
      </c>
      <c r="Z18" s="17">
        <v>70.270072999999996</v>
      </c>
      <c r="AA18" s="17">
        <v>69.597510999999997</v>
      </c>
      <c r="AB18" s="17">
        <v>64.902161000000007</v>
      </c>
      <c r="AC18" s="17">
        <v>61.668132999999997</v>
      </c>
      <c r="AD18" s="17">
        <v>59.742859000000003</v>
      </c>
      <c r="AE18" s="17">
        <v>56.808781000000003</v>
      </c>
      <c r="AF18" s="17">
        <v>54.116706999999998</v>
      </c>
      <c r="AG18" s="23">
        <v>2.4E-2</v>
      </c>
    </row>
    <row r="19" spans="1:33" x14ac:dyDescent="0.25">
      <c r="A19" t="s">
        <v>72</v>
      </c>
      <c r="B19" t="s">
        <v>73</v>
      </c>
      <c r="C19" t="s">
        <v>74</v>
      </c>
      <c r="D19" t="s">
        <v>54</v>
      </c>
      <c r="F19">
        <v>45.593288000000001</v>
      </c>
      <c r="G19">
        <v>50.884045</v>
      </c>
      <c r="H19">
        <v>57.937159999999999</v>
      </c>
      <c r="I19">
        <v>75.652428</v>
      </c>
      <c r="J19">
        <v>87.516707999999994</v>
      </c>
      <c r="K19">
        <v>92.715346999999994</v>
      </c>
      <c r="L19">
        <v>100.251457</v>
      </c>
      <c r="M19">
        <v>102.166832</v>
      </c>
      <c r="N19">
        <v>104.053612</v>
      </c>
      <c r="O19">
        <v>106.472786</v>
      </c>
      <c r="P19">
        <v>106.956558</v>
      </c>
      <c r="Q19">
        <v>108.199974</v>
      </c>
      <c r="R19">
        <v>105.963882</v>
      </c>
      <c r="S19">
        <v>104.91806800000001</v>
      </c>
      <c r="T19">
        <v>104.44742599999999</v>
      </c>
      <c r="U19">
        <v>102.13166</v>
      </c>
      <c r="V19">
        <v>103.489098</v>
      </c>
      <c r="W19">
        <v>103.90582999999999</v>
      </c>
      <c r="X19">
        <v>103.198517</v>
      </c>
      <c r="Y19">
        <v>97.330916999999999</v>
      </c>
      <c r="Z19">
        <v>96.919128000000001</v>
      </c>
      <c r="AA19">
        <v>96.246566999999999</v>
      </c>
      <c r="AB19">
        <v>91.551224000000005</v>
      </c>
      <c r="AC19">
        <v>88.317192000000006</v>
      </c>
      <c r="AD19">
        <v>86.391914</v>
      </c>
      <c r="AE19">
        <v>83.457840000000004</v>
      </c>
      <c r="AF19">
        <v>80.765761999999995</v>
      </c>
      <c r="AG19" s="22">
        <v>2.1999999999999999E-2</v>
      </c>
    </row>
    <row r="20" spans="1:33" x14ac:dyDescent="0.25">
      <c r="A20" t="s">
        <v>75</v>
      </c>
    </row>
    <row r="21" spans="1:33" x14ac:dyDescent="0.25">
      <c r="A21" t="s">
        <v>51</v>
      </c>
      <c r="B21" t="s">
        <v>76</v>
      </c>
      <c r="C21" t="s">
        <v>77</v>
      </c>
      <c r="D21" t="s">
        <v>54</v>
      </c>
      <c r="F21">
        <v>1.19574</v>
      </c>
      <c r="G21">
        <v>1.19574</v>
      </c>
      <c r="H21">
        <v>1.19574</v>
      </c>
      <c r="I21">
        <v>1.19574</v>
      </c>
      <c r="J21">
        <v>1.19574</v>
      </c>
      <c r="K21">
        <v>1.19574</v>
      </c>
      <c r="L21">
        <v>1.19574</v>
      </c>
      <c r="M21">
        <v>1.076166</v>
      </c>
      <c r="N21">
        <v>0.956592</v>
      </c>
      <c r="O21">
        <v>0.83701800000000004</v>
      </c>
      <c r="P21">
        <v>0.71744399999999997</v>
      </c>
      <c r="Q21">
        <v>0.59787000000000001</v>
      </c>
      <c r="R21">
        <v>0.478296</v>
      </c>
      <c r="S21">
        <v>0.35872199999999999</v>
      </c>
      <c r="T21">
        <v>0.239148</v>
      </c>
      <c r="U21">
        <v>0.119574</v>
      </c>
      <c r="V21">
        <v>0</v>
      </c>
      <c r="W21">
        <v>0</v>
      </c>
      <c r="X21">
        <v>0</v>
      </c>
      <c r="Y21">
        <v>0</v>
      </c>
      <c r="Z21">
        <v>0</v>
      </c>
      <c r="AA21">
        <v>0</v>
      </c>
      <c r="AB21">
        <v>0</v>
      </c>
      <c r="AC21">
        <v>0</v>
      </c>
      <c r="AD21">
        <v>0</v>
      </c>
      <c r="AE21">
        <v>0</v>
      </c>
      <c r="AF21">
        <v>0</v>
      </c>
      <c r="AG21" s="22">
        <v>-1</v>
      </c>
    </row>
    <row r="22" spans="1:33" s="17" customFormat="1" x14ac:dyDescent="0.25">
      <c r="A22" s="17" t="s">
        <v>55</v>
      </c>
      <c r="B22" s="17" t="s">
        <v>78</v>
      </c>
      <c r="C22" s="17" t="s">
        <v>79</v>
      </c>
      <c r="D22" s="17" t="s">
        <v>54</v>
      </c>
      <c r="F22" s="17">
        <v>14.989228000000001</v>
      </c>
      <c r="G22" s="17">
        <v>14.989228000000001</v>
      </c>
      <c r="H22" s="17">
        <v>14.989228000000001</v>
      </c>
      <c r="I22" s="17">
        <v>14.989228000000001</v>
      </c>
      <c r="J22" s="17">
        <v>14.989228000000001</v>
      </c>
      <c r="K22" s="17">
        <v>14.989228000000001</v>
      </c>
      <c r="L22" s="17">
        <v>14.989228000000001</v>
      </c>
      <c r="M22" s="17">
        <v>15.108803</v>
      </c>
      <c r="N22" s="17">
        <v>15.228375</v>
      </c>
      <c r="O22" s="17">
        <v>15.347950000000001</v>
      </c>
      <c r="P22" s="17">
        <v>15.467525</v>
      </c>
      <c r="Q22" s="17">
        <v>15.587097999999999</v>
      </c>
      <c r="R22" s="17">
        <v>15.706673</v>
      </c>
      <c r="S22" s="17">
        <v>15.826247</v>
      </c>
      <c r="T22" s="17">
        <v>15.945821</v>
      </c>
      <c r="U22" s="17">
        <v>16.065393</v>
      </c>
      <c r="V22" s="17">
        <v>16.184968999999999</v>
      </c>
      <c r="W22" s="17">
        <v>16.184968999999999</v>
      </c>
      <c r="X22" s="17">
        <v>16.184968999999999</v>
      </c>
      <c r="Y22" s="17">
        <v>16.184968999999999</v>
      </c>
      <c r="Z22" s="17">
        <v>16.184968999999999</v>
      </c>
      <c r="AA22" s="17">
        <v>16.184968999999999</v>
      </c>
      <c r="AB22" s="17">
        <v>16.184968999999999</v>
      </c>
      <c r="AC22" s="17">
        <v>16.184968999999999</v>
      </c>
      <c r="AD22" s="17">
        <v>16.184968999999999</v>
      </c>
      <c r="AE22" s="17">
        <v>16.184968999999999</v>
      </c>
      <c r="AF22" s="17">
        <v>16.184968999999999</v>
      </c>
      <c r="AG22" s="23">
        <v>3.0000000000000001E-3</v>
      </c>
    </row>
    <row r="23" spans="1:33" x14ac:dyDescent="0.25">
      <c r="A23" t="s">
        <v>80</v>
      </c>
      <c r="B23" t="s">
        <v>81</v>
      </c>
      <c r="C23" t="s">
        <v>82</v>
      </c>
      <c r="D23" t="s">
        <v>54</v>
      </c>
      <c r="F23">
        <v>16.184968999999999</v>
      </c>
      <c r="G23">
        <v>16.184968999999999</v>
      </c>
      <c r="H23">
        <v>16.184968999999999</v>
      </c>
      <c r="I23">
        <v>16.184968999999999</v>
      </c>
      <c r="J23">
        <v>16.184968999999999</v>
      </c>
      <c r="K23">
        <v>16.184968999999999</v>
      </c>
      <c r="L23">
        <v>16.184968999999999</v>
      </c>
      <c r="M23">
        <v>16.184968999999999</v>
      </c>
      <c r="N23">
        <v>16.184967</v>
      </c>
      <c r="O23">
        <v>16.184967</v>
      </c>
      <c r="P23">
        <v>16.184968999999999</v>
      </c>
      <c r="Q23">
        <v>16.184968999999999</v>
      </c>
      <c r="R23">
        <v>16.184968999999999</v>
      </c>
      <c r="S23">
        <v>16.184968999999999</v>
      </c>
      <c r="T23">
        <v>16.184968999999999</v>
      </c>
      <c r="U23">
        <v>16.184968999999999</v>
      </c>
      <c r="V23">
        <v>16.184968999999999</v>
      </c>
      <c r="W23">
        <v>16.184968999999999</v>
      </c>
      <c r="X23">
        <v>16.184968999999999</v>
      </c>
      <c r="Y23">
        <v>16.184968999999999</v>
      </c>
      <c r="Z23">
        <v>16.184968999999999</v>
      </c>
      <c r="AA23">
        <v>16.184968999999999</v>
      </c>
      <c r="AB23">
        <v>16.184968999999999</v>
      </c>
      <c r="AC23">
        <v>16.184968999999999</v>
      </c>
      <c r="AD23">
        <v>16.184968999999999</v>
      </c>
      <c r="AE23">
        <v>16.184968999999999</v>
      </c>
      <c r="AF23">
        <v>16.184968999999999</v>
      </c>
      <c r="AG23" s="22">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59"/>
  <sheetViews>
    <sheetView topLeftCell="A19" zoomScaleNormal="100" workbookViewId="0">
      <selection activeCell="B15" sqref="B15"/>
    </sheetView>
  </sheetViews>
  <sheetFormatPr defaultColWidth="9" defaultRowHeight="15" x14ac:dyDescent="0.25"/>
  <cols>
    <col min="1" max="1" width="26.28515625" customWidth="1"/>
  </cols>
  <sheetData>
    <row r="1" spans="1:47" ht="21" customHeight="1" x14ac:dyDescent="0.35">
      <c r="A1" s="11" t="s">
        <v>83</v>
      </c>
    </row>
    <row r="2" spans="1:47" ht="21" customHeight="1" x14ac:dyDescent="0.35">
      <c r="A2" s="11" t="s">
        <v>84</v>
      </c>
    </row>
    <row r="3" spans="1:47" ht="21" customHeight="1" x14ac:dyDescent="0.35">
      <c r="A3" s="11" t="s">
        <v>85</v>
      </c>
    </row>
    <row r="4" spans="1:47" ht="21" customHeight="1" x14ac:dyDescent="0.35">
      <c r="A4" s="11" t="s">
        <v>86</v>
      </c>
    </row>
    <row r="7" spans="1:47" ht="18.600000000000001" customHeight="1" x14ac:dyDescent="0.3">
      <c r="A7" s="12" t="s">
        <v>87</v>
      </c>
    </row>
    <row r="8" spans="1:47" x14ac:dyDescent="0.25">
      <c r="A8" t="s">
        <v>88</v>
      </c>
      <c r="B8" t="s">
        <v>89</v>
      </c>
      <c r="C8" t="s">
        <v>90</v>
      </c>
      <c r="D8" t="s">
        <v>91</v>
      </c>
      <c r="E8" t="s">
        <v>92</v>
      </c>
      <c r="F8" t="s">
        <v>93</v>
      </c>
      <c r="G8" t="s">
        <v>94</v>
      </c>
      <c r="H8" t="s">
        <v>95</v>
      </c>
      <c r="I8" t="s">
        <v>96</v>
      </c>
      <c r="J8" t="s">
        <v>97</v>
      </c>
      <c r="K8" t="s">
        <v>98</v>
      </c>
      <c r="L8" t="s">
        <v>99</v>
      </c>
      <c r="M8" t="s">
        <v>100</v>
      </c>
      <c r="N8" t="s">
        <v>101</v>
      </c>
      <c r="O8" t="s">
        <v>102</v>
      </c>
      <c r="P8" t="s">
        <v>103</v>
      </c>
      <c r="Q8" t="s">
        <v>104</v>
      </c>
      <c r="R8" t="s">
        <v>105</v>
      </c>
      <c r="S8" t="s">
        <v>106</v>
      </c>
      <c r="T8" t="s">
        <v>107</v>
      </c>
      <c r="U8" t="s">
        <v>108</v>
      </c>
      <c r="V8" t="s">
        <v>109</v>
      </c>
      <c r="W8" t="s">
        <v>110</v>
      </c>
      <c r="X8" t="s">
        <v>111</v>
      </c>
      <c r="Y8" t="s">
        <v>112</v>
      </c>
      <c r="Z8" t="s">
        <v>113</v>
      </c>
      <c r="AA8" t="s">
        <v>114</v>
      </c>
      <c r="AB8" t="s">
        <v>115</v>
      </c>
      <c r="AC8" t="s">
        <v>116</v>
      </c>
      <c r="AD8" t="s">
        <v>117</v>
      </c>
      <c r="AE8" t="s">
        <v>118</v>
      </c>
      <c r="AF8" t="s">
        <v>119</v>
      </c>
      <c r="AG8" t="s">
        <v>120</v>
      </c>
      <c r="AH8" t="s">
        <v>121</v>
      </c>
      <c r="AI8" t="s">
        <v>122</v>
      </c>
      <c r="AJ8" t="s">
        <v>123</v>
      </c>
      <c r="AK8" t="s">
        <v>124</v>
      </c>
      <c r="AL8" t="s">
        <v>125</v>
      </c>
      <c r="AM8" t="s">
        <v>126</v>
      </c>
      <c r="AN8" t="s">
        <v>127</v>
      </c>
      <c r="AO8" t="s">
        <v>128</v>
      </c>
      <c r="AP8" t="s">
        <v>129</v>
      </c>
      <c r="AQ8" t="s">
        <v>130</v>
      </c>
      <c r="AR8" t="s">
        <v>131</v>
      </c>
      <c r="AS8" t="s">
        <v>132</v>
      </c>
      <c r="AT8" t="s">
        <v>133</v>
      </c>
      <c r="AU8" t="s">
        <v>134</v>
      </c>
    </row>
    <row r="9" spans="1:47" x14ac:dyDescent="0.25">
      <c r="A9" t="s">
        <v>135</v>
      </c>
      <c r="B9">
        <v>358380.79999999999</v>
      </c>
      <c r="C9">
        <v>349124.5</v>
      </c>
      <c r="D9">
        <v>363798.5</v>
      </c>
      <c r="E9">
        <v>373817.3</v>
      </c>
      <c r="F9">
        <v>365011.8</v>
      </c>
      <c r="G9">
        <v>347937.5</v>
      </c>
      <c r="H9">
        <v>371953.2</v>
      </c>
      <c r="I9">
        <v>375760.2</v>
      </c>
      <c r="J9">
        <v>387396.2</v>
      </c>
      <c r="K9">
        <v>378786.2</v>
      </c>
      <c r="L9">
        <v>378498.4</v>
      </c>
      <c r="M9">
        <v>381710.1</v>
      </c>
      <c r="N9">
        <v>390771.5</v>
      </c>
      <c r="O9">
        <v>382163.9</v>
      </c>
      <c r="P9">
        <v>375998.3</v>
      </c>
      <c r="Q9">
        <v>386156.5</v>
      </c>
      <c r="R9">
        <v>392952.2</v>
      </c>
      <c r="S9">
        <v>414009.7</v>
      </c>
      <c r="T9">
        <v>419884.79999999999</v>
      </c>
      <c r="U9">
        <v>420564</v>
      </c>
      <c r="V9">
        <v>426253.5</v>
      </c>
      <c r="W9">
        <v>426438</v>
      </c>
      <c r="X9">
        <v>426601.5</v>
      </c>
      <c r="Y9">
        <v>426631.5</v>
      </c>
      <c r="Z9">
        <v>426216.6</v>
      </c>
      <c r="AA9">
        <v>434736.9</v>
      </c>
      <c r="AB9">
        <v>435601.5</v>
      </c>
      <c r="AC9">
        <v>435569.8</v>
      </c>
      <c r="AD9">
        <v>435924.3</v>
      </c>
      <c r="AE9">
        <v>437012.9</v>
      </c>
      <c r="AF9">
        <v>437761.2</v>
      </c>
      <c r="AG9">
        <v>439366.8</v>
      </c>
      <c r="AH9">
        <v>440272.5</v>
      </c>
      <c r="AI9">
        <v>440771.5</v>
      </c>
      <c r="AJ9">
        <v>441186.3</v>
      </c>
      <c r="AK9">
        <v>441464.6</v>
      </c>
      <c r="AL9">
        <v>442329.7</v>
      </c>
      <c r="AM9">
        <v>442987.3</v>
      </c>
      <c r="AN9">
        <v>443420.1</v>
      </c>
      <c r="AO9">
        <v>443696.5</v>
      </c>
      <c r="AP9">
        <v>444111.5</v>
      </c>
      <c r="AQ9">
        <v>444504.2</v>
      </c>
      <c r="AR9">
        <v>445041.1</v>
      </c>
      <c r="AS9">
        <v>445453.3</v>
      </c>
      <c r="AT9">
        <v>445232.7</v>
      </c>
      <c r="AU9">
        <v>446455.8</v>
      </c>
    </row>
    <row r="10" spans="1:47" x14ac:dyDescent="0.25">
      <c r="A10" t="s">
        <v>136</v>
      </c>
      <c r="B10">
        <v>1453.41</v>
      </c>
      <c r="C10">
        <v>2529.41</v>
      </c>
      <c r="D10">
        <v>3683.41</v>
      </c>
      <c r="E10">
        <v>4715.4399999999996</v>
      </c>
      <c r="F10">
        <v>7031.23</v>
      </c>
      <c r="G10">
        <v>8354.23</v>
      </c>
      <c r="H10">
        <v>11622.99</v>
      </c>
      <c r="I10">
        <v>13716.78</v>
      </c>
      <c r="J10">
        <v>17544.740000000002</v>
      </c>
      <c r="K10">
        <v>21484.5</v>
      </c>
      <c r="L10">
        <v>26692.57</v>
      </c>
      <c r="M10">
        <v>30624</v>
      </c>
      <c r="N10">
        <v>31197</v>
      </c>
      <c r="O10">
        <v>32814.01</v>
      </c>
      <c r="P10">
        <v>32333</v>
      </c>
      <c r="Q10">
        <v>35393.519999999997</v>
      </c>
      <c r="R10">
        <v>37205.53</v>
      </c>
      <c r="S10">
        <v>48919.51</v>
      </c>
      <c r="T10">
        <v>49031.61</v>
      </c>
      <c r="U10">
        <v>52057.91</v>
      </c>
      <c r="V10">
        <v>54360.89</v>
      </c>
      <c r="W10">
        <v>54962.97</v>
      </c>
      <c r="X10">
        <v>62089.04</v>
      </c>
      <c r="Y10">
        <v>65911.72</v>
      </c>
      <c r="Z10">
        <v>70643.33</v>
      </c>
      <c r="AA10">
        <v>79872.47</v>
      </c>
      <c r="AB10">
        <v>86951.15</v>
      </c>
      <c r="AC10">
        <v>93863.48</v>
      </c>
      <c r="AD10">
        <v>94757.65</v>
      </c>
      <c r="AE10">
        <v>96735.03</v>
      </c>
      <c r="AF10">
        <v>98444.02</v>
      </c>
      <c r="AG10">
        <v>101702.69</v>
      </c>
      <c r="AH10">
        <v>105080.85</v>
      </c>
      <c r="AI10">
        <v>112793.77</v>
      </c>
      <c r="AJ10">
        <v>116892.24</v>
      </c>
      <c r="AK10">
        <v>124088.41</v>
      </c>
      <c r="AL10">
        <v>129402.83</v>
      </c>
      <c r="AM10">
        <v>138717.12</v>
      </c>
      <c r="AN10">
        <v>144897.51999999999</v>
      </c>
      <c r="AO10">
        <v>155135.9</v>
      </c>
      <c r="AP10">
        <v>159912.82999999999</v>
      </c>
      <c r="AQ10">
        <v>169032.28</v>
      </c>
      <c r="AR10">
        <v>173414.12</v>
      </c>
      <c r="AS10">
        <v>180922.35</v>
      </c>
      <c r="AT10">
        <v>184784.68</v>
      </c>
      <c r="AU10">
        <v>188617.4</v>
      </c>
    </row>
    <row r="11" spans="1:47" x14ac:dyDescent="0.25">
      <c r="A11" t="s">
        <v>137</v>
      </c>
      <c r="B11">
        <v>6997.43</v>
      </c>
      <c r="C11">
        <v>7143.38</v>
      </c>
      <c r="D11">
        <v>6971.02</v>
      </c>
      <c r="E11">
        <v>6319.81</v>
      </c>
      <c r="F11">
        <v>6057.39</v>
      </c>
      <c r="G11">
        <v>8266.52</v>
      </c>
      <c r="H11">
        <v>8716.9</v>
      </c>
      <c r="I11">
        <v>9038.92</v>
      </c>
      <c r="J11">
        <v>9208.18</v>
      </c>
      <c r="K11">
        <v>11997.93</v>
      </c>
      <c r="L11">
        <v>8462.34</v>
      </c>
      <c r="M11">
        <v>10240.42</v>
      </c>
      <c r="N11">
        <v>6300.36</v>
      </c>
      <c r="O11">
        <v>9260.9699999999993</v>
      </c>
      <c r="P11">
        <v>8892.7199999999993</v>
      </c>
      <c r="Q11">
        <v>7758.32</v>
      </c>
      <c r="R11">
        <v>7918.38</v>
      </c>
      <c r="S11">
        <v>8085.39</v>
      </c>
      <c r="T11">
        <v>8145.5</v>
      </c>
      <c r="U11">
        <v>8172.13</v>
      </c>
      <c r="V11">
        <v>8203.73</v>
      </c>
      <c r="W11">
        <v>8229</v>
      </c>
      <c r="X11">
        <v>8180.23</v>
      </c>
      <c r="Y11">
        <v>8103.16</v>
      </c>
      <c r="Z11">
        <v>8045.48</v>
      </c>
      <c r="AA11">
        <v>7905.92</v>
      </c>
      <c r="AB11">
        <v>7834.53</v>
      </c>
      <c r="AC11">
        <v>7690.12</v>
      </c>
      <c r="AD11">
        <v>7689.75</v>
      </c>
      <c r="AE11">
        <v>7650.3</v>
      </c>
      <c r="AF11">
        <v>7634.06</v>
      </c>
      <c r="AG11">
        <v>7693.85</v>
      </c>
      <c r="AH11">
        <v>7715.96</v>
      </c>
      <c r="AI11">
        <v>7725.27</v>
      </c>
      <c r="AJ11">
        <v>7761.59</v>
      </c>
      <c r="AK11">
        <v>7755.49</v>
      </c>
      <c r="AL11">
        <v>7782.51</v>
      </c>
      <c r="AM11">
        <v>7774.67</v>
      </c>
      <c r="AN11">
        <v>7744.41</v>
      </c>
      <c r="AO11">
        <v>7721.08</v>
      </c>
      <c r="AP11">
        <v>7695.88</v>
      </c>
      <c r="AQ11">
        <v>7712.57</v>
      </c>
      <c r="AR11">
        <v>7701.84</v>
      </c>
      <c r="AS11">
        <v>7680.33</v>
      </c>
      <c r="AT11">
        <v>7670.09</v>
      </c>
      <c r="AU11">
        <v>7658.64</v>
      </c>
    </row>
    <row r="12" spans="1:47" x14ac:dyDescent="0.25">
      <c r="A12" t="s">
        <v>138</v>
      </c>
      <c r="B12">
        <v>0</v>
      </c>
      <c r="C12">
        <v>0</v>
      </c>
      <c r="D12">
        <v>0</v>
      </c>
      <c r="E12">
        <v>0</v>
      </c>
      <c r="F12">
        <v>5</v>
      </c>
      <c r="G12">
        <v>123</v>
      </c>
      <c r="H12">
        <v>398</v>
      </c>
      <c r="I12">
        <v>842</v>
      </c>
      <c r="J12">
        <v>1173</v>
      </c>
      <c r="K12">
        <v>1757.71</v>
      </c>
      <c r="L12">
        <v>1426</v>
      </c>
      <c r="M12">
        <v>1779</v>
      </c>
      <c r="N12">
        <v>2001</v>
      </c>
      <c r="O12">
        <v>2191</v>
      </c>
      <c r="P12">
        <v>2194</v>
      </c>
      <c r="Q12">
        <v>2254.11</v>
      </c>
      <c r="R12">
        <v>2590.5300000000002</v>
      </c>
      <c r="S12">
        <v>3479.48</v>
      </c>
      <c r="T12">
        <v>3729.67</v>
      </c>
      <c r="U12">
        <v>4101.3599999999997</v>
      </c>
      <c r="V12">
        <v>4339.71</v>
      </c>
      <c r="W12">
        <v>4948.63</v>
      </c>
      <c r="X12">
        <v>5294.32</v>
      </c>
      <c r="Y12">
        <v>5402.63</v>
      </c>
      <c r="Z12">
        <v>6775.5</v>
      </c>
      <c r="AA12">
        <v>7795.56</v>
      </c>
      <c r="AB12">
        <v>8732.41</v>
      </c>
      <c r="AC12">
        <v>9823.4699999999993</v>
      </c>
      <c r="AD12">
        <v>11227.58</v>
      </c>
      <c r="AE12">
        <v>12784.3</v>
      </c>
      <c r="AF12">
        <v>16546.830000000002</v>
      </c>
      <c r="AG12">
        <v>18243.05</v>
      </c>
      <c r="AH12">
        <v>20134.38</v>
      </c>
      <c r="AI12">
        <v>22116.59</v>
      </c>
      <c r="AJ12">
        <v>24421.73</v>
      </c>
      <c r="AK12">
        <v>28835.14</v>
      </c>
      <c r="AL12">
        <v>32492.45</v>
      </c>
      <c r="AM12">
        <v>36514.71</v>
      </c>
      <c r="AN12">
        <v>41164.5</v>
      </c>
      <c r="AO12">
        <v>45590.8</v>
      </c>
      <c r="AP12">
        <v>51145.22</v>
      </c>
      <c r="AQ12">
        <v>54488.5</v>
      </c>
      <c r="AR12">
        <v>56975.57</v>
      </c>
      <c r="AS12">
        <v>58937.9</v>
      </c>
      <c r="AT12">
        <v>60762.67</v>
      </c>
      <c r="AU12">
        <v>62179.97</v>
      </c>
    </row>
    <row r="13" spans="1:47" x14ac:dyDescent="0.25">
      <c r="A13" t="s">
        <v>139</v>
      </c>
      <c r="B13">
        <v>86668.58</v>
      </c>
      <c r="C13">
        <v>92144.58</v>
      </c>
      <c r="D13">
        <v>88190.58</v>
      </c>
      <c r="E13">
        <v>90585.23</v>
      </c>
      <c r="F13">
        <v>84992.27</v>
      </c>
      <c r="G13">
        <v>85526.59</v>
      </c>
      <c r="H13">
        <v>88291.22</v>
      </c>
      <c r="I13">
        <v>89487.62</v>
      </c>
      <c r="J13">
        <v>97581.99</v>
      </c>
      <c r="K13">
        <v>101207.8</v>
      </c>
      <c r="L13">
        <v>96045.98</v>
      </c>
      <c r="M13">
        <v>95687.01</v>
      </c>
      <c r="N13">
        <v>95565</v>
      </c>
      <c r="O13">
        <v>95029.01</v>
      </c>
      <c r="P13">
        <v>95470</v>
      </c>
      <c r="Q13">
        <v>83454.600000000006</v>
      </c>
      <c r="R13">
        <v>78636.44</v>
      </c>
      <c r="S13">
        <v>81051.16</v>
      </c>
      <c r="T13">
        <v>69916.27</v>
      </c>
      <c r="U13">
        <v>80287.199999999997</v>
      </c>
      <c r="V13">
        <v>73386.14</v>
      </c>
      <c r="W13">
        <v>68045.740000000005</v>
      </c>
      <c r="X13">
        <v>74340.98</v>
      </c>
      <c r="Y13">
        <v>80779.09</v>
      </c>
      <c r="Z13">
        <v>75834.09</v>
      </c>
      <c r="AA13">
        <v>82677.41</v>
      </c>
      <c r="AB13">
        <v>75980.73</v>
      </c>
      <c r="AC13">
        <v>82824.05</v>
      </c>
      <c r="AD13">
        <v>82864.78</v>
      </c>
      <c r="AE13">
        <v>89708.09</v>
      </c>
      <c r="AF13">
        <v>91531.05</v>
      </c>
      <c r="AG13">
        <v>91531.05</v>
      </c>
      <c r="AH13">
        <v>91572.66</v>
      </c>
      <c r="AI13">
        <v>91572.66</v>
      </c>
      <c r="AJ13">
        <v>91655.88</v>
      </c>
      <c r="AK13">
        <v>91822.32</v>
      </c>
      <c r="AL13">
        <v>87048.12</v>
      </c>
      <c r="AM13">
        <v>87214.55</v>
      </c>
      <c r="AN13">
        <v>87381</v>
      </c>
      <c r="AO13">
        <v>92942.27</v>
      </c>
      <c r="AP13">
        <v>93150.33</v>
      </c>
      <c r="AQ13">
        <v>93566.44</v>
      </c>
      <c r="AR13">
        <v>94398.65</v>
      </c>
      <c r="AS13">
        <v>95230.82</v>
      </c>
      <c r="AT13">
        <v>96063.03</v>
      </c>
      <c r="AU13">
        <v>96063.03</v>
      </c>
    </row>
    <row r="14" spans="1:47" x14ac:dyDescent="0.25">
      <c r="A14" t="s">
        <v>140</v>
      </c>
      <c r="B14">
        <v>97362.16</v>
      </c>
      <c r="C14">
        <v>92204.69</v>
      </c>
      <c r="D14">
        <v>97287.24</v>
      </c>
      <c r="E14">
        <v>91097.93</v>
      </c>
      <c r="F14">
        <v>76661.64</v>
      </c>
      <c r="G14">
        <v>71258.570000000007</v>
      </c>
      <c r="H14">
        <v>65177.45</v>
      </c>
      <c r="I14">
        <v>63091.11</v>
      </c>
      <c r="J14">
        <v>64779.21</v>
      </c>
      <c r="K14">
        <v>64238.38</v>
      </c>
      <c r="L14">
        <v>57142.41</v>
      </c>
      <c r="M14">
        <v>57243.38</v>
      </c>
      <c r="N14">
        <v>55265.55</v>
      </c>
      <c r="O14">
        <v>46520.81</v>
      </c>
      <c r="P14">
        <v>44038.21</v>
      </c>
      <c r="Q14">
        <v>31125.9</v>
      </c>
      <c r="R14">
        <v>35373.81</v>
      </c>
      <c r="S14">
        <v>19471.189999999999</v>
      </c>
      <c r="T14">
        <v>5484.64</v>
      </c>
      <c r="U14">
        <v>5565.84</v>
      </c>
      <c r="V14">
        <v>4949.22</v>
      </c>
      <c r="W14">
        <v>4771.3599999999997</v>
      </c>
      <c r="X14">
        <v>4351.34</v>
      </c>
      <c r="Y14">
        <v>3905.76</v>
      </c>
      <c r="Z14">
        <v>3916.5</v>
      </c>
      <c r="AA14">
        <v>3738.32</v>
      </c>
      <c r="AB14">
        <v>3737.32</v>
      </c>
      <c r="AC14">
        <v>2584.9299999999998</v>
      </c>
      <c r="AD14">
        <v>2627.06</v>
      </c>
      <c r="AE14">
        <v>2645</v>
      </c>
      <c r="AF14">
        <v>2456.0700000000002</v>
      </c>
      <c r="AG14">
        <v>2499.37</v>
      </c>
      <c r="AH14">
        <v>2532.17</v>
      </c>
      <c r="AI14">
        <v>2500.7800000000002</v>
      </c>
      <c r="AJ14">
        <v>2120.31</v>
      </c>
      <c r="AK14">
        <v>2074.75</v>
      </c>
      <c r="AL14">
        <v>104.48</v>
      </c>
      <c r="AM14">
        <v>99.27</v>
      </c>
      <c r="AN14">
        <v>99.59</v>
      </c>
      <c r="AO14">
        <v>94.46</v>
      </c>
      <c r="AP14">
        <v>94.46</v>
      </c>
      <c r="AQ14">
        <v>90.07</v>
      </c>
      <c r="AR14">
        <v>90.72</v>
      </c>
      <c r="AS14">
        <v>86.92</v>
      </c>
      <c r="AT14">
        <v>87.73</v>
      </c>
      <c r="AU14">
        <v>88.62</v>
      </c>
    </row>
    <row r="15" spans="1:47" x14ac:dyDescent="0.25">
      <c r="A15" t="s">
        <v>141</v>
      </c>
      <c r="B15">
        <v>40015.800000000003</v>
      </c>
      <c r="C15">
        <v>43057.99</v>
      </c>
      <c r="D15">
        <v>47278.59</v>
      </c>
      <c r="E15">
        <v>43912.88</v>
      </c>
      <c r="F15">
        <v>42619.74</v>
      </c>
      <c r="G15">
        <v>54093.18</v>
      </c>
      <c r="H15">
        <v>63514.07</v>
      </c>
      <c r="I15">
        <v>63899.03</v>
      </c>
      <c r="J15">
        <v>60403.56</v>
      </c>
      <c r="K15">
        <v>59038.3</v>
      </c>
      <c r="L15">
        <v>65743.649999999994</v>
      </c>
      <c r="M15">
        <v>63421.96</v>
      </c>
      <c r="N15">
        <v>62934.239999999998</v>
      </c>
      <c r="O15">
        <v>66979.59</v>
      </c>
      <c r="P15">
        <v>69561.62</v>
      </c>
      <c r="Q15">
        <v>74470.259999999995</v>
      </c>
      <c r="R15">
        <v>76989.41</v>
      </c>
      <c r="S15">
        <v>83922.45</v>
      </c>
      <c r="T15">
        <v>101916.1</v>
      </c>
      <c r="U15">
        <v>96186.95</v>
      </c>
      <c r="V15">
        <v>99728.41</v>
      </c>
      <c r="W15">
        <v>105182.5</v>
      </c>
      <c r="X15">
        <v>96821.06</v>
      </c>
      <c r="Y15">
        <v>93319.9</v>
      </c>
      <c r="Z15">
        <v>95666.85</v>
      </c>
      <c r="AA15">
        <v>88717.43</v>
      </c>
      <c r="AB15">
        <v>92233</v>
      </c>
      <c r="AC15">
        <v>85495.38</v>
      </c>
      <c r="AD15">
        <v>85813.2</v>
      </c>
      <c r="AE15">
        <v>82220.929999999993</v>
      </c>
      <c r="AF15">
        <v>81566.97</v>
      </c>
      <c r="AG15">
        <v>70336.41</v>
      </c>
      <c r="AH15">
        <v>70043.929999999993</v>
      </c>
      <c r="AI15">
        <v>68278.8</v>
      </c>
      <c r="AJ15">
        <v>68627.710000000006</v>
      </c>
      <c r="AK15">
        <v>67198.62</v>
      </c>
      <c r="AL15">
        <v>67266.27</v>
      </c>
      <c r="AM15">
        <v>67505.600000000006</v>
      </c>
      <c r="AN15">
        <v>68650.61</v>
      </c>
      <c r="AO15">
        <v>67873.7</v>
      </c>
      <c r="AP15">
        <v>68202.070000000007</v>
      </c>
      <c r="AQ15">
        <v>67896.58</v>
      </c>
      <c r="AR15">
        <v>68472.27</v>
      </c>
      <c r="AS15">
        <v>68041.429999999993</v>
      </c>
      <c r="AT15">
        <v>68614.28</v>
      </c>
      <c r="AU15">
        <v>69154.7</v>
      </c>
    </row>
    <row r="16" spans="1:47" x14ac:dyDescent="0.25">
      <c r="A16" t="s">
        <v>142</v>
      </c>
      <c r="B16">
        <v>8193.9599999999991</v>
      </c>
      <c r="C16">
        <v>7877.58</v>
      </c>
      <c r="D16">
        <v>8776.76</v>
      </c>
      <c r="E16">
        <v>6929.51</v>
      </c>
      <c r="F16">
        <v>7336.52</v>
      </c>
      <c r="G16">
        <v>5187.67</v>
      </c>
      <c r="H16">
        <v>4561.87</v>
      </c>
      <c r="I16">
        <v>4271.87</v>
      </c>
      <c r="J16">
        <v>4071.33</v>
      </c>
      <c r="K16">
        <v>6616.76</v>
      </c>
      <c r="L16">
        <v>5266.72</v>
      </c>
      <c r="M16">
        <v>5087.45</v>
      </c>
      <c r="N16">
        <v>4150.07</v>
      </c>
      <c r="O16">
        <v>4189.29</v>
      </c>
      <c r="P16">
        <v>3719.72</v>
      </c>
      <c r="Q16">
        <v>3511.56</v>
      </c>
      <c r="R16">
        <v>3358.75</v>
      </c>
      <c r="S16">
        <v>3196.07</v>
      </c>
      <c r="T16">
        <v>3370.57</v>
      </c>
      <c r="U16">
        <v>2789.51</v>
      </c>
      <c r="V16">
        <v>3529.05</v>
      </c>
      <c r="W16">
        <v>6677.83</v>
      </c>
      <c r="X16">
        <v>4558.28</v>
      </c>
      <c r="Y16">
        <v>3428.4</v>
      </c>
      <c r="Z16">
        <v>5989.77</v>
      </c>
      <c r="AA16">
        <v>2608.0500000000002</v>
      </c>
      <c r="AB16">
        <v>7298.25</v>
      </c>
      <c r="AC16">
        <v>4931.9799999999996</v>
      </c>
      <c r="AD16">
        <v>5902.13</v>
      </c>
      <c r="AE16">
        <v>4773.99</v>
      </c>
      <c r="AF16">
        <v>4550.53</v>
      </c>
      <c r="AG16">
        <v>6077.36</v>
      </c>
      <c r="AH16">
        <v>5635.85</v>
      </c>
      <c r="AI16">
        <v>5525.19</v>
      </c>
      <c r="AJ16">
        <v>5859.8</v>
      </c>
      <c r="AK16">
        <v>5233.6099999999997</v>
      </c>
      <c r="AL16">
        <v>7917.99</v>
      </c>
      <c r="AM16">
        <v>5884.44</v>
      </c>
      <c r="AN16">
        <v>6604.3</v>
      </c>
      <c r="AO16">
        <v>4278.4799999999996</v>
      </c>
      <c r="AP16">
        <v>4863.5600000000004</v>
      </c>
      <c r="AQ16">
        <v>4581.3</v>
      </c>
      <c r="AR16">
        <v>4987.6499999999996</v>
      </c>
      <c r="AS16">
        <v>4371.99</v>
      </c>
      <c r="AT16">
        <v>4825.29</v>
      </c>
      <c r="AU16">
        <v>5720.7</v>
      </c>
    </row>
    <row r="18" spans="1:47" ht="18.600000000000001" customHeight="1" x14ac:dyDescent="0.3">
      <c r="A18" s="12" t="s">
        <v>143</v>
      </c>
    </row>
    <row r="19" spans="1:47" x14ac:dyDescent="0.25">
      <c r="A19" t="s">
        <v>88</v>
      </c>
      <c r="B19" t="s">
        <v>89</v>
      </c>
      <c r="C19" t="s">
        <v>90</v>
      </c>
      <c r="D19" t="s">
        <v>91</v>
      </c>
      <c r="E19" t="s">
        <v>92</v>
      </c>
      <c r="F19" t="s">
        <v>93</v>
      </c>
      <c r="G19" t="s">
        <v>94</v>
      </c>
      <c r="H19" t="s">
        <v>95</v>
      </c>
      <c r="I19" t="s">
        <v>96</v>
      </c>
      <c r="J19" t="s">
        <v>97</v>
      </c>
      <c r="K19" t="s">
        <v>98</v>
      </c>
      <c r="L19" t="s">
        <v>99</v>
      </c>
      <c r="M19" t="s">
        <v>100</v>
      </c>
      <c r="N19" t="s">
        <v>101</v>
      </c>
      <c r="O19" t="s">
        <v>102</v>
      </c>
      <c r="P19" t="s">
        <v>103</v>
      </c>
      <c r="Q19" t="s">
        <v>104</v>
      </c>
      <c r="R19" t="s">
        <v>105</v>
      </c>
      <c r="S19" t="s">
        <v>106</v>
      </c>
      <c r="T19" t="s">
        <v>107</v>
      </c>
      <c r="U19" t="s">
        <v>108</v>
      </c>
      <c r="V19" t="s">
        <v>109</v>
      </c>
      <c r="W19" t="s">
        <v>110</v>
      </c>
      <c r="X19" t="s">
        <v>111</v>
      </c>
      <c r="Y19" t="s">
        <v>112</v>
      </c>
      <c r="Z19" t="s">
        <v>113</v>
      </c>
      <c r="AA19" t="s">
        <v>114</v>
      </c>
      <c r="AB19" t="s">
        <v>115</v>
      </c>
      <c r="AC19" t="s">
        <v>116</v>
      </c>
      <c r="AD19" t="s">
        <v>117</v>
      </c>
      <c r="AE19" t="s">
        <v>118</v>
      </c>
      <c r="AF19" t="s">
        <v>119</v>
      </c>
      <c r="AG19" t="s">
        <v>120</v>
      </c>
      <c r="AH19" t="s">
        <v>121</v>
      </c>
      <c r="AI19" t="s">
        <v>122</v>
      </c>
      <c r="AJ19" t="s">
        <v>123</v>
      </c>
      <c r="AK19" t="s">
        <v>124</v>
      </c>
      <c r="AL19" t="s">
        <v>125</v>
      </c>
      <c r="AM19" t="s">
        <v>126</v>
      </c>
      <c r="AN19" t="s">
        <v>127</v>
      </c>
      <c r="AO19" t="s">
        <v>128</v>
      </c>
      <c r="AP19" t="s">
        <v>129</v>
      </c>
      <c r="AQ19" t="s">
        <v>130</v>
      </c>
      <c r="AR19" t="s">
        <v>131</v>
      </c>
      <c r="AS19" t="s">
        <v>132</v>
      </c>
      <c r="AT19" t="s">
        <v>133</v>
      </c>
      <c r="AU19" t="s">
        <v>134</v>
      </c>
    </row>
    <row r="20" spans="1:47" x14ac:dyDescent="0.25">
      <c r="A20" t="s">
        <v>135</v>
      </c>
      <c r="B20">
        <v>40741.370000000003</v>
      </c>
      <c r="C20">
        <v>41953.37</v>
      </c>
      <c r="D20">
        <v>40291.379999999997</v>
      </c>
      <c r="E20">
        <v>41897.25</v>
      </c>
      <c r="F20">
        <v>36728</v>
      </c>
      <c r="G20">
        <v>40286.800000000003</v>
      </c>
      <c r="H20">
        <v>40033.370000000003</v>
      </c>
      <c r="I20">
        <v>42202.52</v>
      </c>
      <c r="J20">
        <v>41441.68</v>
      </c>
      <c r="K20">
        <v>39047.83</v>
      </c>
      <c r="L20">
        <v>39686</v>
      </c>
      <c r="M20">
        <v>39482.99</v>
      </c>
      <c r="N20">
        <v>36548</v>
      </c>
      <c r="O20">
        <v>41831</v>
      </c>
      <c r="P20">
        <v>40798</v>
      </c>
      <c r="Q20">
        <v>44285.91</v>
      </c>
      <c r="R20">
        <v>50459.12</v>
      </c>
      <c r="S20">
        <v>51302.94</v>
      </c>
      <c r="T20">
        <v>51450.95</v>
      </c>
      <c r="U20">
        <v>51596.33</v>
      </c>
      <c r="V20">
        <v>51687.53</v>
      </c>
      <c r="W20">
        <v>51766.57</v>
      </c>
      <c r="X20">
        <v>51847.05</v>
      </c>
      <c r="Y20">
        <v>52209.73</v>
      </c>
      <c r="Z20">
        <v>52221</v>
      </c>
      <c r="AA20">
        <v>52233.74</v>
      </c>
      <c r="AB20">
        <v>52247.11</v>
      </c>
      <c r="AC20">
        <v>52260.72</v>
      </c>
      <c r="AD20">
        <v>52273.37</v>
      </c>
      <c r="AE20">
        <v>52285.32</v>
      </c>
      <c r="AF20">
        <v>52368.24</v>
      </c>
      <c r="AG20">
        <v>52433.39</v>
      </c>
      <c r="AH20">
        <v>52442.84</v>
      </c>
      <c r="AI20">
        <v>52449.65</v>
      </c>
      <c r="AJ20">
        <v>52447.73</v>
      </c>
      <c r="AK20">
        <v>52450.65</v>
      </c>
      <c r="AL20">
        <v>52451.59</v>
      </c>
      <c r="AM20">
        <v>52454.57</v>
      </c>
      <c r="AN20">
        <v>52458.66</v>
      </c>
      <c r="AO20">
        <v>52458.86</v>
      </c>
      <c r="AP20">
        <v>52458.86</v>
      </c>
      <c r="AQ20">
        <v>52458.83</v>
      </c>
      <c r="AR20">
        <v>52458.85</v>
      </c>
      <c r="AS20">
        <v>52458.8</v>
      </c>
      <c r="AT20">
        <v>52458.82</v>
      </c>
      <c r="AU20">
        <v>52458.85</v>
      </c>
    </row>
    <row r="21" spans="1:47" x14ac:dyDescent="0.25">
      <c r="A21" t="s">
        <v>136</v>
      </c>
      <c r="B21">
        <v>0</v>
      </c>
      <c r="C21">
        <v>0</v>
      </c>
      <c r="D21">
        <v>0</v>
      </c>
      <c r="E21">
        <v>0</v>
      </c>
      <c r="F21">
        <v>102</v>
      </c>
      <c r="G21">
        <v>183</v>
      </c>
      <c r="H21">
        <v>198</v>
      </c>
      <c r="I21">
        <v>195</v>
      </c>
      <c r="J21">
        <v>192</v>
      </c>
      <c r="K21">
        <v>176.96</v>
      </c>
      <c r="L21">
        <v>172</v>
      </c>
      <c r="M21">
        <v>190</v>
      </c>
      <c r="N21">
        <v>186</v>
      </c>
      <c r="O21">
        <v>206</v>
      </c>
      <c r="P21">
        <v>182</v>
      </c>
      <c r="Q21">
        <v>181.8</v>
      </c>
      <c r="R21">
        <v>181.83</v>
      </c>
      <c r="S21">
        <v>181.91</v>
      </c>
      <c r="T21">
        <v>181.92</v>
      </c>
      <c r="U21">
        <v>181.93</v>
      </c>
      <c r="V21">
        <v>181.94</v>
      </c>
      <c r="W21">
        <v>182</v>
      </c>
      <c r="X21">
        <v>182.01</v>
      </c>
      <c r="Y21">
        <v>182.09</v>
      </c>
      <c r="Z21">
        <v>182.15</v>
      </c>
      <c r="AA21">
        <v>183.78</v>
      </c>
      <c r="AB21">
        <v>185.55</v>
      </c>
      <c r="AC21">
        <v>187.48</v>
      </c>
      <c r="AD21">
        <v>189.59</v>
      </c>
      <c r="AE21">
        <v>192.37</v>
      </c>
      <c r="AF21">
        <v>215.04</v>
      </c>
      <c r="AG21">
        <v>228.5</v>
      </c>
      <c r="AH21">
        <v>244.79</v>
      </c>
      <c r="AI21">
        <v>261.79000000000002</v>
      </c>
      <c r="AJ21">
        <v>285.81</v>
      </c>
      <c r="AK21">
        <v>319.58999999999997</v>
      </c>
      <c r="AL21">
        <v>371.08</v>
      </c>
      <c r="AM21">
        <v>442.3</v>
      </c>
      <c r="AN21">
        <v>536.27</v>
      </c>
      <c r="AO21">
        <v>643.33000000000004</v>
      </c>
      <c r="AP21">
        <v>759.27</v>
      </c>
      <c r="AQ21">
        <v>860.06</v>
      </c>
      <c r="AR21">
        <v>917.13</v>
      </c>
      <c r="AS21">
        <v>945.68</v>
      </c>
      <c r="AT21">
        <v>967.35</v>
      </c>
      <c r="AU21">
        <v>982.55</v>
      </c>
    </row>
    <row r="22" spans="1:47" x14ac:dyDescent="0.25">
      <c r="A22" t="s">
        <v>137</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row>
    <row r="23" spans="1:47" x14ac:dyDescent="0.25">
      <c r="A23" t="s">
        <v>138</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row>
    <row r="24" spans="1:47" x14ac:dyDescent="0.25">
      <c r="A24" t="s">
        <v>139</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row>
    <row r="25" spans="1:47" x14ac:dyDescent="0.25">
      <c r="A25" t="s">
        <v>140</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row>
    <row r="26" spans="1:47" x14ac:dyDescent="0.25">
      <c r="A26" t="s">
        <v>141</v>
      </c>
      <c r="B26">
        <v>267.07</v>
      </c>
      <c r="C26">
        <v>277.82</v>
      </c>
      <c r="D26">
        <v>236.77</v>
      </c>
      <c r="E26">
        <v>456.94</v>
      </c>
      <c r="F26">
        <v>447.62</v>
      </c>
      <c r="G26">
        <v>454.97</v>
      </c>
      <c r="H26">
        <v>449.29</v>
      </c>
      <c r="I26">
        <v>418.8</v>
      </c>
      <c r="J26">
        <v>444.36</v>
      </c>
      <c r="K26">
        <v>416.68</v>
      </c>
      <c r="L26">
        <v>225.22</v>
      </c>
      <c r="M26">
        <v>265.72000000000003</v>
      </c>
      <c r="N26">
        <v>391.17</v>
      </c>
      <c r="O26">
        <v>113.27</v>
      </c>
      <c r="P26">
        <v>263.31</v>
      </c>
      <c r="Q26">
        <v>398.28</v>
      </c>
      <c r="R26">
        <v>413.95</v>
      </c>
      <c r="S26">
        <v>452.33</v>
      </c>
      <c r="T26">
        <v>458.89</v>
      </c>
      <c r="U26">
        <v>516.14</v>
      </c>
      <c r="V26">
        <v>555.08000000000004</v>
      </c>
      <c r="W26">
        <v>595.08000000000004</v>
      </c>
      <c r="X26">
        <v>630.86</v>
      </c>
      <c r="Y26">
        <v>341.65</v>
      </c>
      <c r="Z26">
        <v>350.7</v>
      </c>
      <c r="AA26">
        <v>361.93</v>
      </c>
      <c r="AB26">
        <v>370.79</v>
      </c>
      <c r="AC26">
        <v>385.85</v>
      </c>
      <c r="AD26">
        <v>403.13</v>
      </c>
      <c r="AE26">
        <v>422.53</v>
      </c>
      <c r="AF26">
        <v>488.69</v>
      </c>
      <c r="AG26">
        <v>560.97</v>
      </c>
      <c r="AH26">
        <v>566.85</v>
      </c>
      <c r="AI26">
        <v>569.88</v>
      </c>
      <c r="AJ26">
        <v>566.48</v>
      </c>
      <c r="AK26">
        <v>579.49</v>
      </c>
      <c r="AL26">
        <v>610.58000000000004</v>
      </c>
      <c r="AM26">
        <v>657.46</v>
      </c>
      <c r="AN26">
        <v>748.67</v>
      </c>
      <c r="AO26">
        <v>858.39</v>
      </c>
      <c r="AP26">
        <v>1003.78</v>
      </c>
      <c r="AQ26">
        <v>1145.1400000000001</v>
      </c>
      <c r="AR26">
        <v>1243.72</v>
      </c>
      <c r="AS26">
        <v>1317.47</v>
      </c>
      <c r="AT26">
        <v>1380.75</v>
      </c>
      <c r="AU26">
        <v>1413.07</v>
      </c>
    </row>
    <row r="27" spans="1:47" x14ac:dyDescent="0.25">
      <c r="A27" t="s">
        <v>142</v>
      </c>
      <c r="B27">
        <v>1306.21</v>
      </c>
      <c r="C27">
        <v>823.06</v>
      </c>
      <c r="D27">
        <v>1305.52</v>
      </c>
      <c r="E27">
        <v>1139.06</v>
      </c>
      <c r="F27">
        <v>1121.5899999999999</v>
      </c>
      <c r="G27">
        <v>1017.23</v>
      </c>
      <c r="H27">
        <v>1039.3599999999999</v>
      </c>
      <c r="I27">
        <v>998.93</v>
      </c>
      <c r="J27">
        <v>1179.72</v>
      </c>
      <c r="K27">
        <v>1595.16</v>
      </c>
      <c r="L27">
        <v>1669.78</v>
      </c>
      <c r="M27">
        <v>1909.28</v>
      </c>
      <c r="N27">
        <v>1778.83</v>
      </c>
      <c r="O27">
        <v>1483.73</v>
      </c>
      <c r="P27">
        <v>1450.69</v>
      </c>
      <c r="Q27">
        <v>926.58</v>
      </c>
      <c r="R27">
        <v>884.98</v>
      </c>
      <c r="S27">
        <v>183.79</v>
      </c>
      <c r="T27">
        <v>182.88</v>
      </c>
      <c r="U27">
        <v>184.15</v>
      </c>
      <c r="V27">
        <v>184.94</v>
      </c>
      <c r="W27">
        <v>211.07</v>
      </c>
      <c r="X27">
        <v>188.64</v>
      </c>
      <c r="Y27">
        <v>190.04</v>
      </c>
      <c r="Z27">
        <v>215.06</v>
      </c>
      <c r="AA27">
        <v>189.72</v>
      </c>
      <c r="AB27">
        <v>240.78</v>
      </c>
      <c r="AC27">
        <v>221.96</v>
      </c>
      <c r="AD27">
        <v>268.66000000000003</v>
      </c>
      <c r="AE27">
        <v>227.23</v>
      </c>
      <c r="AF27">
        <v>340.15</v>
      </c>
      <c r="AG27">
        <v>191.32</v>
      </c>
      <c r="AH27">
        <v>219.22</v>
      </c>
      <c r="AI27">
        <v>191.44</v>
      </c>
      <c r="AJ27">
        <v>204.18</v>
      </c>
      <c r="AK27">
        <v>190.3</v>
      </c>
      <c r="AL27">
        <v>220.29</v>
      </c>
      <c r="AM27">
        <v>185.71</v>
      </c>
      <c r="AN27">
        <v>190.24</v>
      </c>
      <c r="AO27">
        <v>191.16</v>
      </c>
      <c r="AP27">
        <v>194.79</v>
      </c>
      <c r="AQ27">
        <v>191.76</v>
      </c>
      <c r="AR27">
        <v>191.16</v>
      </c>
      <c r="AS27">
        <v>190.61</v>
      </c>
      <c r="AT27">
        <v>190.04</v>
      </c>
      <c r="AU27">
        <v>189.45</v>
      </c>
    </row>
    <row r="29" spans="1:47" ht="18.600000000000001" customHeight="1" x14ac:dyDescent="0.3">
      <c r="A29" s="12" t="s">
        <v>144</v>
      </c>
    </row>
    <row r="30" spans="1:47" x14ac:dyDescent="0.25">
      <c r="A30" t="s">
        <v>88</v>
      </c>
      <c r="B30" t="s">
        <v>89</v>
      </c>
      <c r="C30" t="s">
        <v>90</v>
      </c>
      <c r="D30" t="s">
        <v>91</v>
      </c>
      <c r="E30" t="s">
        <v>92</v>
      </c>
      <c r="F30" t="s">
        <v>93</v>
      </c>
      <c r="G30" t="s">
        <v>94</v>
      </c>
      <c r="H30" t="s">
        <v>95</v>
      </c>
      <c r="I30" t="s">
        <v>96</v>
      </c>
      <c r="J30" t="s">
        <v>97</v>
      </c>
      <c r="K30" t="s">
        <v>98</v>
      </c>
      <c r="L30" t="s">
        <v>99</v>
      </c>
      <c r="M30" t="s">
        <v>100</v>
      </c>
      <c r="N30" t="s">
        <v>101</v>
      </c>
      <c r="O30" t="s">
        <v>102</v>
      </c>
      <c r="P30" t="s">
        <v>103</v>
      </c>
      <c r="Q30" t="s">
        <v>104</v>
      </c>
      <c r="R30" t="s">
        <v>105</v>
      </c>
      <c r="S30" t="s">
        <v>106</v>
      </c>
      <c r="T30" t="s">
        <v>107</v>
      </c>
      <c r="U30" t="s">
        <v>108</v>
      </c>
      <c r="V30" t="s">
        <v>109</v>
      </c>
      <c r="W30" t="s">
        <v>110</v>
      </c>
      <c r="X30" t="s">
        <v>111</v>
      </c>
      <c r="Y30" t="s">
        <v>112</v>
      </c>
      <c r="Z30" t="s">
        <v>113</v>
      </c>
      <c r="AA30" t="s">
        <v>114</v>
      </c>
      <c r="AB30" t="s">
        <v>115</v>
      </c>
      <c r="AC30" t="s">
        <v>116</v>
      </c>
      <c r="AD30" t="s">
        <v>117</v>
      </c>
      <c r="AE30" t="s">
        <v>118</v>
      </c>
      <c r="AF30" t="s">
        <v>119</v>
      </c>
      <c r="AG30" t="s">
        <v>120</v>
      </c>
      <c r="AH30" t="s">
        <v>121</v>
      </c>
      <c r="AI30" t="s">
        <v>122</v>
      </c>
      <c r="AJ30" t="s">
        <v>123</v>
      </c>
      <c r="AK30" t="s">
        <v>124</v>
      </c>
      <c r="AL30" t="s">
        <v>125</v>
      </c>
      <c r="AM30" t="s">
        <v>126</v>
      </c>
      <c r="AN30" t="s">
        <v>127</v>
      </c>
      <c r="AO30" t="s">
        <v>128</v>
      </c>
      <c r="AP30" t="s">
        <v>129</v>
      </c>
      <c r="AQ30" t="s">
        <v>130</v>
      </c>
      <c r="AR30" t="s">
        <v>131</v>
      </c>
      <c r="AS30" t="s">
        <v>132</v>
      </c>
      <c r="AT30" t="s">
        <v>133</v>
      </c>
      <c r="AU30" t="s">
        <v>134</v>
      </c>
    </row>
    <row r="31" spans="1:47" x14ac:dyDescent="0.25">
      <c r="A31" t="s">
        <v>135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row>
    <row r="32" spans="1:47" x14ac:dyDescent="0.25">
      <c r="A32" t="s">
        <v>136</v>
      </c>
      <c r="B32">
        <v>40</v>
      </c>
      <c r="C32">
        <v>36</v>
      </c>
      <c r="D32">
        <v>40</v>
      </c>
      <c r="E32">
        <v>142</v>
      </c>
      <c r="F32">
        <v>347</v>
      </c>
      <c r="G32">
        <v>458</v>
      </c>
      <c r="H32">
        <v>488</v>
      </c>
      <c r="I32">
        <v>468</v>
      </c>
      <c r="J32">
        <v>499</v>
      </c>
      <c r="K32">
        <v>611.28</v>
      </c>
      <c r="L32">
        <v>606</v>
      </c>
      <c r="M32">
        <v>594</v>
      </c>
      <c r="N32">
        <v>604</v>
      </c>
      <c r="O32">
        <v>640</v>
      </c>
      <c r="P32">
        <v>645</v>
      </c>
      <c r="Q32">
        <v>677.27</v>
      </c>
      <c r="R32">
        <v>940.07</v>
      </c>
      <c r="S32">
        <v>940.02</v>
      </c>
      <c r="T32">
        <v>947.11</v>
      </c>
      <c r="U32">
        <v>955.04</v>
      </c>
      <c r="V32">
        <v>1226.21</v>
      </c>
      <c r="W32">
        <v>1234.8699999999999</v>
      </c>
      <c r="X32">
        <v>1243.9100000000001</v>
      </c>
      <c r="Y32">
        <v>1253.1300000000001</v>
      </c>
      <c r="Z32">
        <v>1262.74</v>
      </c>
      <c r="AA32">
        <v>1539.39</v>
      </c>
      <c r="AB32">
        <v>1553.64</v>
      </c>
      <c r="AC32">
        <v>1568.21</v>
      </c>
      <c r="AD32">
        <v>1583.18</v>
      </c>
      <c r="AE32">
        <v>1598.55</v>
      </c>
      <c r="AF32">
        <v>1614.34</v>
      </c>
      <c r="AG32">
        <v>1630.47</v>
      </c>
      <c r="AH32">
        <v>1646.86</v>
      </c>
      <c r="AI32">
        <v>1663.7</v>
      </c>
      <c r="AJ32">
        <v>1680.8</v>
      </c>
      <c r="AK32">
        <v>1698.19</v>
      </c>
      <c r="AL32">
        <v>1715.94</v>
      </c>
      <c r="AM32">
        <v>1733.89</v>
      </c>
      <c r="AN32">
        <v>1752.17</v>
      </c>
      <c r="AO32">
        <v>1770.74</v>
      </c>
      <c r="AP32">
        <v>1789.25</v>
      </c>
      <c r="AQ32">
        <v>1807.9</v>
      </c>
      <c r="AR32">
        <v>1826.81</v>
      </c>
      <c r="AS32">
        <v>1846.04</v>
      </c>
      <c r="AT32">
        <v>1865.54</v>
      </c>
      <c r="AU32">
        <v>1885.59</v>
      </c>
    </row>
    <row r="33" spans="1:47" x14ac:dyDescent="0.25">
      <c r="A33" t="s">
        <v>137</v>
      </c>
      <c r="B33">
        <v>0</v>
      </c>
      <c r="C33">
        <v>0</v>
      </c>
      <c r="D33">
        <v>0</v>
      </c>
      <c r="E33">
        <v>5</v>
      </c>
      <c r="F33">
        <v>5</v>
      </c>
      <c r="G33">
        <v>5</v>
      </c>
      <c r="H33">
        <v>5</v>
      </c>
      <c r="I33">
        <v>5</v>
      </c>
      <c r="J33">
        <v>5</v>
      </c>
      <c r="K33">
        <v>2.5</v>
      </c>
      <c r="L33">
        <v>3</v>
      </c>
      <c r="M33">
        <v>3</v>
      </c>
      <c r="N33">
        <v>2</v>
      </c>
      <c r="O33">
        <v>2</v>
      </c>
      <c r="P33">
        <v>3</v>
      </c>
      <c r="Q33">
        <v>3</v>
      </c>
      <c r="R33">
        <v>3</v>
      </c>
      <c r="S33">
        <v>3</v>
      </c>
      <c r="T33">
        <v>3</v>
      </c>
      <c r="U33">
        <v>3.53</v>
      </c>
      <c r="V33">
        <v>3.53</v>
      </c>
      <c r="W33">
        <v>3.53</v>
      </c>
      <c r="X33">
        <v>3.53</v>
      </c>
      <c r="Y33">
        <v>3.53</v>
      </c>
      <c r="Z33">
        <v>3.53</v>
      </c>
      <c r="AA33">
        <v>3.53</v>
      </c>
      <c r="AB33">
        <v>3.53</v>
      </c>
      <c r="AC33">
        <v>3.53</v>
      </c>
      <c r="AD33">
        <v>3.53</v>
      </c>
      <c r="AE33">
        <v>3.53</v>
      </c>
      <c r="AF33">
        <v>3.53</v>
      </c>
      <c r="AG33">
        <v>3.53</v>
      </c>
      <c r="AH33">
        <v>3.53</v>
      </c>
      <c r="AI33">
        <v>3.53</v>
      </c>
      <c r="AJ33">
        <v>3.53</v>
      </c>
      <c r="AK33">
        <v>3.53</v>
      </c>
      <c r="AL33">
        <v>3.53</v>
      </c>
      <c r="AM33">
        <v>3.53</v>
      </c>
      <c r="AN33">
        <v>3.53</v>
      </c>
      <c r="AO33">
        <v>3.53</v>
      </c>
      <c r="AP33">
        <v>3.53</v>
      </c>
      <c r="AQ33">
        <v>4.49</v>
      </c>
      <c r="AR33">
        <v>4.49</v>
      </c>
      <c r="AS33">
        <v>4.49</v>
      </c>
      <c r="AT33">
        <v>4.49</v>
      </c>
      <c r="AU33">
        <v>4.49</v>
      </c>
    </row>
    <row r="34" spans="1:47" x14ac:dyDescent="0.25">
      <c r="A34" t="s">
        <v>138</v>
      </c>
      <c r="B34">
        <v>0</v>
      </c>
      <c r="C34">
        <v>0</v>
      </c>
      <c r="D34">
        <v>0</v>
      </c>
      <c r="E34">
        <v>0</v>
      </c>
      <c r="F34">
        <v>0</v>
      </c>
      <c r="G34">
        <v>0</v>
      </c>
      <c r="H34">
        <v>0</v>
      </c>
      <c r="I34">
        <v>0</v>
      </c>
      <c r="J34">
        <v>0</v>
      </c>
      <c r="K34">
        <v>0</v>
      </c>
      <c r="L34">
        <v>0</v>
      </c>
      <c r="M34">
        <v>0</v>
      </c>
      <c r="N34">
        <v>0</v>
      </c>
      <c r="O34">
        <v>0</v>
      </c>
      <c r="P34">
        <v>0</v>
      </c>
      <c r="Q34">
        <v>0</v>
      </c>
      <c r="R34">
        <v>0</v>
      </c>
      <c r="S34">
        <v>3.65</v>
      </c>
      <c r="T34">
        <v>3.65</v>
      </c>
      <c r="U34">
        <v>7.98</v>
      </c>
      <c r="V34">
        <v>12.49</v>
      </c>
      <c r="W34">
        <v>17.149999999999999</v>
      </c>
      <c r="X34">
        <v>21.95</v>
      </c>
      <c r="Y34">
        <v>26.92</v>
      </c>
      <c r="Z34">
        <v>32.03</v>
      </c>
      <c r="AA34">
        <v>37.270000000000003</v>
      </c>
      <c r="AB34">
        <v>42.65</v>
      </c>
      <c r="AC34">
        <v>48.13</v>
      </c>
      <c r="AD34">
        <v>53.76</v>
      </c>
      <c r="AE34">
        <v>59.49</v>
      </c>
      <c r="AF34">
        <v>65.34</v>
      </c>
      <c r="AG34">
        <v>71.28</v>
      </c>
      <c r="AH34">
        <v>77.319999999999993</v>
      </c>
      <c r="AI34">
        <v>83.44</v>
      </c>
      <c r="AJ34">
        <v>89.63</v>
      </c>
      <c r="AK34">
        <v>95.9</v>
      </c>
      <c r="AL34">
        <v>102.24</v>
      </c>
      <c r="AM34">
        <v>108.64</v>
      </c>
      <c r="AN34">
        <v>115.07</v>
      </c>
      <c r="AO34">
        <v>121.46</v>
      </c>
      <c r="AP34">
        <v>127.83</v>
      </c>
      <c r="AQ34">
        <v>134.22999999999999</v>
      </c>
      <c r="AR34">
        <v>140.72999999999999</v>
      </c>
      <c r="AS34">
        <v>147.25</v>
      </c>
      <c r="AT34">
        <v>153.86000000000001</v>
      </c>
      <c r="AU34">
        <v>160.61000000000001</v>
      </c>
    </row>
    <row r="35" spans="1:47" x14ac:dyDescent="0.25">
      <c r="A35" t="s">
        <v>139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row>
    <row r="36" spans="1:47" x14ac:dyDescent="0.25">
      <c r="A36" t="s">
        <v>140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row>
    <row r="37" spans="1:47" x14ac:dyDescent="0.25">
      <c r="A37" t="s">
        <v>141</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row>
    <row r="38" spans="1:47" x14ac:dyDescent="0.25">
      <c r="A38" t="s">
        <v>142</v>
      </c>
      <c r="B38">
        <v>0.88</v>
      </c>
      <c r="C38">
        <v>0.88</v>
      </c>
      <c r="D38">
        <v>0.88</v>
      </c>
      <c r="E38">
        <v>0.48</v>
      </c>
      <c r="F38">
        <v>2.72</v>
      </c>
      <c r="G38">
        <v>0</v>
      </c>
      <c r="H38">
        <v>0</v>
      </c>
      <c r="I38">
        <v>8.16</v>
      </c>
      <c r="J38">
        <v>2.17</v>
      </c>
      <c r="K38">
        <v>5.8</v>
      </c>
      <c r="L38">
        <v>7</v>
      </c>
      <c r="M38">
        <v>7</v>
      </c>
      <c r="N38">
        <v>7</v>
      </c>
      <c r="O38">
        <v>6</v>
      </c>
      <c r="P38">
        <v>3</v>
      </c>
      <c r="Q38">
        <v>18.79</v>
      </c>
      <c r="R38">
        <v>18.79</v>
      </c>
      <c r="S38">
        <v>48.27</v>
      </c>
      <c r="T38">
        <v>27.62</v>
      </c>
      <c r="U38">
        <v>27.62</v>
      </c>
      <c r="V38">
        <v>18.95</v>
      </c>
      <c r="W38">
        <v>53.14</v>
      </c>
      <c r="X38">
        <v>18.79</v>
      </c>
      <c r="Y38">
        <v>17.809999999999999</v>
      </c>
      <c r="Z38">
        <v>17.829999999999998</v>
      </c>
      <c r="AA38">
        <v>9.7799999999999994</v>
      </c>
      <c r="AB38">
        <v>45.33</v>
      </c>
      <c r="AC38">
        <v>45.33</v>
      </c>
      <c r="AD38">
        <v>39.78</v>
      </c>
      <c r="AE38">
        <v>9.9499999999999993</v>
      </c>
      <c r="AF38">
        <v>28.75</v>
      </c>
      <c r="AG38">
        <v>1.1000000000000001</v>
      </c>
      <c r="AH38">
        <v>1.1000000000000001</v>
      </c>
      <c r="AI38">
        <v>1.1000000000000001</v>
      </c>
      <c r="AJ38">
        <v>1.1000000000000001</v>
      </c>
      <c r="AK38">
        <v>1.1000000000000001</v>
      </c>
      <c r="AL38">
        <v>485.2</v>
      </c>
      <c r="AM38">
        <v>339.03</v>
      </c>
      <c r="AN38">
        <v>342</v>
      </c>
      <c r="AO38">
        <v>45.15</v>
      </c>
      <c r="AP38">
        <v>48.27</v>
      </c>
      <c r="AQ38">
        <v>48.27</v>
      </c>
      <c r="AR38">
        <v>48.27</v>
      </c>
      <c r="AS38">
        <v>48.27</v>
      </c>
      <c r="AT38">
        <v>48.27</v>
      </c>
      <c r="AU38">
        <v>48.27</v>
      </c>
    </row>
    <row r="40" spans="1:47" ht="18.600000000000001" customHeight="1" x14ac:dyDescent="0.3">
      <c r="A40" s="12" t="s">
        <v>145</v>
      </c>
    </row>
    <row r="41" spans="1:47" x14ac:dyDescent="0.25">
      <c r="A41" t="s">
        <v>88</v>
      </c>
      <c r="B41" t="s">
        <v>89</v>
      </c>
      <c r="C41" t="s">
        <v>90</v>
      </c>
      <c r="D41" t="s">
        <v>91</v>
      </c>
      <c r="E41" t="s">
        <v>92</v>
      </c>
      <c r="F41" t="s">
        <v>93</v>
      </c>
      <c r="G41" t="s">
        <v>94</v>
      </c>
      <c r="H41" t="s">
        <v>95</v>
      </c>
      <c r="I41" t="s">
        <v>96</v>
      </c>
      <c r="J41" t="s">
        <v>97</v>
      </c>
      <c r="K41" t="s">
        <v>98</v>
      </c>
      <c r="L41" t="s">
        <v>99</v>
      </c>
      <c r="M41" t="s">
        <v>100</v>
      </c>
      <c r="N41" t="s">
        <v>101</v>
      </c>
      <c r="O41" t="s">
        <v>102</v>
      </c>
      <c r="P41" t="s">
        <v>103</v>
      </c>
      <c r="Q41" t="s">
        <v>104</v>
      </c>
      <c r="R41" t="s">
        <v>105</v>
      </c>
      <c r="S41" t="s">
        <v>106</v>
      </c>
      <c r="T41" t="s">
        <v>107</v>
      </c>
      <c r="U41" t="s">
        <v>108</v>
      </c>
      <c r="V41" t="s">
        <v>109</v>
      </c>
      <c r="W41" t="s">
        <v>110</v>
      </c>
      <c r="X41" t="s">
        <v>111</v>
      </c>
      <c r="Y41" t="s">
        <v>112</v>
      </c>
      <c r="Z41" t="s">
        <v>113</v>
      </c>
      <c r="AA41" t="s">
        <v>114</v>
      </c>
      <c r="AB41" t="s">
        <v>115</v>
      </c>
      <c r="AC41" t="s">
        <v>116</v>
      </c>
      <c r="AD41" t="s">
        <v>117</v>
      </c>
      <c r="AE41" t="s">
        <v>118</v>
      </c>
      <c r="AF41" t="s">
        <v>119</v>
      </c>
      <c r="AG41" t="s">
        <v>120</v>
      </c>
      <c r="AH41" t="s">
        <v>121</v>
      </c>
      <c r="AI41" t="s">
        <v>122</v>
      </c>
      <c r="AJ41" t="s">
        <v>123</v>
      </c>
      <c r="AK41" t="s">
        <v>124</v>
      </c>
      <c r="AL41" t="s">
        <v>125</v>
      </c>
      <c r="AM41" t="s">
        <v>126</v>
      </c>
      <c r="AN41" t="s">
        <v>127</v>
      </c>
      <c r="AO41" t="s">
        <v>128</v>
      </c>
      <c r="AP41" t="s">
        <v>129</v>
      </c>
      <c r="AQ41" t="s">
        <v>130</v>
      </c>
      <c r="AR41" t="s">
        <v>131</v>
      </c>
      <c r="AS41" t="s">
        <v>132</v>
      </c>
      <c r="AT41" t="s">
        <v>133</v>
      </c>
      <c r="AU41" t="s">
        <v>134</v>
      </c>
    </row>
    <row r="42" spans="1:47" x14ac:dyDescent="0.25">
      <c r="A42" t="s">
        <v>135</v>
      </c>
      <c r="B42">
        <v>926.06</v>
      </c>
      <c r="C42">
        <v>926.06</v>
      </c>
      <c r="D42">
        <v>926.06</v>
      </c>
      <c r="E42">
        <v>1096.6600000000001</v>
      </c>
      <c r="F42">
        <v>1074.1400000000001</v>
      </c>
      <c r="G42">
        <v>1007.81</v>
      </c>
      <c r="H42">
        <v>1112.47</v>
      </c>
      <c r="I42">
        <v>851.5</v>
      </c>
      <c r="J42">
        <v>1005.76</v>
      </c>
      <c r="K42">
        <v>1128.69</v>
      </c>
      <c r="L42">
        <v>979.2</v>
      </c>
      <c r="M42">
        <v>779.28</v>
      </c>
      <c r="N42">
        <v>824.89</v>
      </c>
      <c r="O42">
        <v>910.29</v>
      </c>
      <c r="P42">
        <v>1001.52</v>
      </c>
      <c r="Q42">
        <v>1001.51</v>
      </c>
      <c r="R42">
        <v>1001.53</v>
      </c>
      <c r="S42">
        <v>1001.5</v>
      </c>
      <c r="T42">
        <v>1001.5</v>
      </c>
      <c r="U42">
        <v>1001.53</v>
      </c>
      <c r="V42">
        <v>1001.51</v>
      </c>
      <c r="W42">
        <v>1001.51</v>
      </c>
      <c r="X42">
        <v>1001.53</v>
      </c>
      <c r="Y42">
        <v>1001.53</v>
      </c>
      <c r="Z42">
        <v>1001.53</v>
      </c>
      <c r="AA42">
        <v>1001.52</v>
      </c>
      <c r="AB42">
        <v>1001.52</v>
      </c>
      <c r="AC42">
        <v>1001.5</v>
      </c>
      <c r="AD42">
        <v>1001.52</v>
      </c>
      <c r="AE42">
        <v>1001.51</v>
      </c>
      <c r="AF42">
        <v>1001.52</v>
      </c>
      <c r="AG42">
        <v>1001.51</v>
      </c>
      <c r="AH42">
        <v>1001.52</v>
      </c>
      <c r="AI42">
        <v>1001.52</v>
      </c>
      <c r="AJ42">
        <v>1001.51</v>
      </c>
      <c r="AK42">
        <v>1001.53</v>
      </c>
      <c r="AL42">
        <v>1001.52</v>
      </c>
      <c r="AM42">
        <v>1001.52</v>
      </c>
      <c r="AN42">
        <v>1001.52</v>
      </c>
      <c r="AO42">
        <v>1001.52</v>
      </c>
      <c r="AP42">
        <v>1001.52</v>
      </c>
      <c r="AQ42">
        <v>1054.08</v>
      </c>
      <c r="AR42">
        <v>1105.8499999999999</v>
      </c>
      <c r="AS42">
        <v>1157.18</v>
      </c>
      <c r="AT42">
        <v>1207.82</v>
      </c>
      <c r="AU42">
        <v>1207.82</v>
      </c>
    </row>
    <row r="43" spans="1:47" x14ac:dyDescent="0.25">
      <c r="A43" t="s">
        <v>136</v>
      </c>
      <c r="B43">
        <v>85</v>
      </c>
      <c r="C43">
        <v>110</v>
      </c>
      <c r="D43">
        <v>157</v>
      </c>
      <c r="E43">
        <v>149</v>
      </c>
      <c r="F43">
        <v>154</v>
      </c>
      <c r="G43">
        <v>387</v>
      </c>
      <c r="H43">
        <v>664.19</v>
      </c>
      <c r="I43">
        <v>800</v>
      </c>
      <c r="J43">
        <v>765</v>
      </c>
      <c r="K43">
        <v>748.68</v>
      </c>
      <c r="L43">
        <v>803.57</v>
      </c>
      <c r="M43">
        <v>999</v>
      </c>
      <c r="N43">
        <v>1309</v>
      </c>
      <c r="O43">
        <v>1153</v>
      </c>
      <c r="P43">
        <v>1057</v>
      </c>
      <c r="Q43">
        <v>1056.93</v>
      </c>
      <c r="R43">
        <v>1057.31</v>
      </c>
      <c r="S43">
        <v>1058.0999999999999</v>
      </c>
      <c r="T43">
        <v>1101.22</v>
      </c>
      <c r="U43">
        <v>1102.26</v>
      </c>
      <c r="V43">
        <v>1147.93</v>
      </c>
      <c r="W43">
        <v>1193.73</v>
      </c>
      <c r="X43">
        <v>1239.51</v>
      </c>
      <c r="Y43">
        <v>1285.7</v>
      </c>
      <c r="Z43">
        <v>1332.66</v>
      </c>
      <c r="AA43">
        <v>1418.81</v>
      </c>
      <c r="AB43">
        <v>1506.32</v>
      </c>
      <c r="AC43">
        <v>1595.13</v>
      </c>
      <c r="AD43">
        <v>1686.43</v>
      </c>
      <c r="AE43">
        <v>1779.67</v>
      </c>
      <c r="AF43">
        <v>1875.69</v>
      </c>
      <c r="AG43">
        <v>1925.17</v>
      </c>
      <c r="AH43">
        <v>1978.23</v>
      </c>
      <c r="AI43">
        <v>2084.0700000000002</v>
      </c>
      <c r="AJ43">
        <v>2200.23</v>
      </c>
      <c r="AK43">
        <v>2327.44</v>
      </c>
      <c r="AL43">
        <v>2459.5100000000002</v>
      </c>
      <c r="AM43">
        <v>2603.59</v>
      </c>
      <c r="AN43">
        <v>2754.38</v>
      </c>
      <c r="AO43">
        <v>2902.41</v>
      </c>
      <c r="AP43">
        <v>3041.06</v>
      </c>
      <c r="AQ43">
        <v>3233.53</v>
      </c>
      <c r="AR43">
        <v>3422.88</v>
      </c>
      <c r="AS43">
        <v>3615.59</v>
      </c>
      <c r="AT43">
        <v>3810.58</v>
      </c>
      <c r="AU43">
        <v>3954</v>
      </c>
    </row>
    <row r="44" spans="1:47" x14ac:dyDescent="0.25">
      <c r="A44" t="s">
        <v>137</v>
      </c>
      <c r="B44">
        <v>318</v>
      </c>
      <c r="C44">
        <v>318</v>
      </c>
      <c r="D44">
        <v>318</v>
      </c>
      <c r="E44">
        <v>322</v>
      </c>
      <c r="F44">
        <v>245</v>
      </c>
      <c r="G44">
        <v>378</v>
      </c>
      <c r="H44">
        <v>363</v>
      </c>
      <c r="I44">
        <v>387</v>
      </c>
      <c r="J44">
        <v>331</v>
      </c>
      <c r="K44">
        <v>253.9</v>
      </c>
      <c r="L44">
        <v>427</v>
      </c>
      <c r="M44">
        <v>395</v>
      </c>
      <c r="N44">
        <v>288</v>
      </c>
      <c r="O44">
        <v>487</v>
      </c>
      <c r="P44">
        <v>314</v>
      </c>
      <c r="Q44">
        <v>233.04</v>
      </c>
      <c r="R44">
        <v>265.93</v>
      </c>
      <c r="S44">
        <v>269.06</v>
      </c>
      <c r="T44">
        <v>265.93</v>
      </c>
      <c r="U44">
        <v>265.93</v>
      </c>
      <c r="V44">
        <v>264.62</v>
      </c>
      <c r="W44">
        <v>265.39</v>
      </c>
      <c r="X44">
        <v>265.93</v>
      </c>
      <c r="Y44">
        <v>264.06</v>
      </c>
      <c r="Z44">
        <v>264.06</v>
      </c>
      <c r="AA44">
        <v>264.06</v>
      </c>
      <c r="AB44">
        <v>264.06</v>
      </c>
      <c r="AC44">
        <v>210.35</v>
      </c>
      <c r="AD44">
        <v>210.35</v>
      </c>
      <c r="AE44">
        <v>210.35</v>
      </c>
      <c r="AF44">
        <v>210.35</v>
      </c>
      <c r="AG44">
        <v>210.35</v>
      </c>
      <c r="AH44">
        <v>210.35</v>
      </c>
      <c r="AI44">
        <v>210.35</v>
      </c>
      <c r="AJ44">
        <v>210.35</v>
      </c>
      <c r="AK44">
        <v>210.35</v>
      </c>
      <c r="AL44">
        <v>241.52</v>
      </c>
      <c r="AM44">
        <v>229.88</v>
      </c>
      <c r="AN44">
        <v>212.53</v>
      </c>
      <c r="AO44">
        <v>212.53</v>
      </c>
      <c r="AP44">
        <v>203.34</v>
      </c>
      <c r="AQ44">
        <v>195.92</v>
      </c>
      <c r="AR44">
        <v>196.96</v>
      </c>
      <c r="AS44">
        <v>198.8</v>
      </c>
      <c r="AT44">
        <v>200.63</v>
      </c>
      <c r="AU44">
        <v>200.63</v>
      </c>
    </row>
    <row r="45" spans="1:47" x14ac:dyDescent="0.25">
      <c r="A45" t="s">
        <v>138</v>
      </c>
      <c r="B45">
        <v>0</v>
      </c>
      <c r="C45">
        <v>0</v>
      </c>
      <c r="D45">
        <v>0</v>
      </c>
      <c r="E45">
        <v>0</v>
      </c>
      <c r="F45">
        <v>0</v>
      </c>
      <c r="G45">
        <v>0</v>
      </c>
      <c r="H45">
        <v>0</v>
      </c>
      <c r="I45">
        <v>0</v>
      </c>
      <c r="J45">
        <v>0</v>
      </c>
      <c r="K45">
        <v>0</v>
      </c>
      <c r="L45">
        <v>0</v>
      </c>
      <c r="M45">
        <v>0</v>
      </c>
      <c r="N45">
        <v>0</v>
      </c>
      <c r="O45">
        <v>0</v>
      </c>
      <c r="P45">
        <v>0</v>
      </c>
      <c r="Q45">
        <v>0</v>
      </c>
      <c r="R45">
        <v>0.22</v>
      </c>
      <c r="S45">
        <v>0.61</v>
      </c>
      <c r="T45">
        <v>1.03</v>
      </c>
      <c r="U45">
        <v>1.36</v>
      </c>
      <c r="V45">
        <v>1.78</v>
      </c>
      <c r="W45">
        <v>2.2200000000000002</v>
      </c>
      <c r="X45">
        <v>2.64</v>
      </c>
      <c r="Y45">
        <v>3.06</v>
      </c>
      <c r="Z45">
        <v>3.5</v>
      </c>
      <c r="AA45">
        <v>4</v>
      </c>
      <c r="AB45">
        <v>4.5599999999999996</v>
      </c>
      <c r="AC45">
        <v>5.84</v>
      </c>
      <c r="AD45">
        <v>7.2</v>
      </c>
      <c r="AE45">
        <v>26.8</v>
      </c>
      <c r="AF45">
        <v>28.92</v>
      </c>
      <c r="AG45">
        <v>31.78</v>
      </c>
      <c r="AH45">
        <v>35.590000000000003</v>
      </c>
      <c r="AI45">
        <v>58.67</v>
      </c>
      <c r="AJ45">
        <v>84.44</v>
      </c>
      <c r="AK45">
        <v>112.89</v>
      </c>
      <c r="AL45">
        <v>155.86000000000001</v>
      </c>
      <c r="AM45">
        <v>199.26</v>
      </c>
      <c r="AN45">
        <v>243.6</v>
      </c>
      <c r="AO45">
        <v>286.18</v>
      </c>
      <c r="AP45">
        <v>325.41000000000003</v>
      </c>
      <c r="AQ45">
        <v>362.55</v>
      </c>
      <c r="AR45">
        <v>400.36</v>
      </c>
      <c r="AS45">
        <v>441.67</v>
      </c>
      <c r="AT45">
        <v>485.07</v>
      </c>
      <c r="AU45">
        <v>528.46</v>
      </c>
    </row>
    <row r="46" spans="1:47" x14ac:dyDescent="0.25">
      <c r="A46" t="s">
        <v>139</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row>
    <row r="47" spans="1:47" x14ac:dyDescent="0.25">
      <c r="A47" t="s">
        <v>140</v>
      </c>
      <c r="B47">
        <v>8374.98</v>
      </c>
      <c r="C47">
        <v>8119.94</v>
      </c>
      <c r="D47">
        <v>8768.6299999999992</v>
      </c>
      <c r="E47">
        <v>8765.9699999999993</v>
      </c>
      <c r="F47">
        <v>7688.15</v>
      </c>
      <c r="G47">
        <v>7492.97</v>
      </c>
      <c r="H47">
        <v>6494.95</v>
      </c>
      <c r="I47">
        <v>6173.75</v>
      </c>
      <c r="J47">
        <v>6848.48</v>
      </c>
      <c r="K47">
        <v>5521.82</v>
      </c>
      <c r="L47">
        <v>4854.08</v>
      </c>
      <c r="M47">
        <v>4812.21</v>
      </c>
      <c r="N47">
        <v>4829.16</v>
      </c>
      <c r="O47">
        <v>4959.76</v>
      </c>
      <c r="P47">
        <v>4972.72</v>
      </c>
      <c r="Q47">
        <v>3725.57</v>
      </c>
      <c r="R47">
        <v>3842.88</v>
      </c>
      <c r="S47">
        <v>4108.59</v>
      </c>
      <c r="T47">
        <v>3869.49</v>
      </c>
      <c r="U47">
        <v>3950.68</v>
      </c>
      <c r="V47">
        <v>3334.07</v>
      </c>
      <c r="W47">
        <v>3378.63</v>
      </c>
      <c r="X47">
        <v>3380.7</v>
      </c>
      <c r="Y47">
        <v>3373.67</v>
      </c>
      <c r="Z47">
        <v>3384.41</v>
      </c>
      <c r="AA47">
        <v>3372.76</v>
      </c>
      <c r="AB47">
        <v>3406.32</v>
      </c>
      <c r="AC47">
        <v>2280.7600000000002</v>
      </c>
      <c r="AD47">
        <v>2323.83</v>
      </c>
      <c r="AE47">
        <v>2346.0500000000002</v>
      </c>
      <c r="AF47">
        <v>2158.25</v>
      </c>
      <c r="AG47">
        <v>2200.0100000000002</v>
      </c>
      <c r="AH47">
        <v>2233.1999999999998</v>
      </c>
      <c r="AI47">
        <v>2215.13</v>
      </c>
      <c r="AJ47">
        <v>1834.74</v>
      </c>
      <c r="AK47">
        <v>1799.29</v>
      </c>
      <c r="AL47">
        <v>0</v>
      </c>
      <c r="AM47">
        <v>0</v>
      </c>
      <c r="AN47">
        <v>0</v>
      </c>
      <c r="AO47">
        <v>0</v>
      </c>
      <c r="AP47">
        <v>0</v>
      </c>
      <c r="AQ47">
        <v>0</v>
      </c>
      <c r="AR47">
        <v>0</v>
      </c>
      <c r="AS47">
        <v>0</v>
      </c>
      <c r="AT47">
        <v>0</v>
      </c>
      <c r="AU47">
        <v>0</v>
      </c>
    </row>
    <row r="48" spans="1:47" x14ac:dyDescent="0.25">
      <c r="A48" t="s">
        <v>141</v>
      </c>
      <c r="B48">
        <v>165.12</v>
      </c>
      <c r="C48">
        <v>354.87</v>
      </c>
      <c r="D48">
        <v>804.62</v>
      </c>
      <c r="E48">
        <v>1158.9100000000001</v>
      </c>
      <c r="F48">
        <v>1489.51</v>
      </c>
      <c r="G48">
        <v>2111.4</v>
      </c>
      <c r="H48">
        <v>2260.7800000000002</v>
      </c>
      <c r="I48">
        <v>2103.87</v>
      </c>
      <c r="J48">
        <v>1291.8499999999999</v>
      </c>
      <c r="K48">
        <v>1363.72</v>
      </c>
      <c r="L48">
        <v>2630.25</v>
      </c>
      <c r="M48">
        <v>2462.5700000000002</v>
      </c>
      <c r="N48">
        <v>2564.71</v>
      </c>
      <c r="O48">
        <v>2328.5700000000002</v>
      </c>
      <c r="P48">
        <v>2106.4899999999998</v>
      </c>
      <c r="Q48">
        <v>1156.43</v>
      </c>
      <c r="R48">
        <v>1090.7</v>
      </c>
      <c r="S48">
        <v>978.09</v>
      </c>
      <c r="T48">
        <v>1059.95</v>
      </c>
      <c r="U48">
        <v>880.78</v>
      </c>
      <c r="V48">
        <v>1474.43</v>
      </c>
      <c r="W48">
        <v>1419.39</v>
      </c>
      <c r="X48">
        <v>1414.75</v>
      </c>
      <c r="Y48">
        <v>1412.63</v>
      </c>
      <c r="Z48">
        <v>1411.56</v>
      </c>
      <c r="AA48">
        <v>1410.32</v>
      </c>
      <c r="AB48">
        <v>1407.75</v>
      </c>
      <c r="AC48">
        <v>2757.85</v>
      </c>
      <c r="AD48">
        <v>2798.09</v>
      </c>
      <c r="AE48">
        <v>2828.68</v>
      </c>
      <c r="AF48">
        <v>3047.81</v>
      </c>
      <c r="AG48">
        <v>3084.37</v>
      </c>
      <c r="AH48">
        <v>3118.41</v>
      </c>
      <c r="AI48">
        <v>3124.29</v>
      </c>
      <c r="AJ48">
        <v>3404.56</v>
      </c>
      <c r="AK48">
        <v>3398.26</v>
      </c>
      <c r="AL48">
        <v>3447.3</v>
      </c>
      <c r="AM48">
        <v>3386.2</v>
      </c>
      <c r="AN48">
        <v>3323.85</v>
      </c>
      <c r="AO48">
        <v>3253.48</v>
      </c>
      <c r="AP48">
        <v>3169.65</v>
      </c>
      <c r="AQ48">
        <v>3094.09</v>
      </c>
      <c r="AR48">
        <v>3047.93</v>
      </c>
      <c r="AS48">
        <v>2990.62</v>
      </c>
      <c r="AT48">
        <v>2930.7</v>
      </c>
      <c r="AU48">
        <v>2932.47</v>
      </c>
    </row>
    <row r="49" spans="1:47" x14ac:dyDescent="0.25">
      <c r="A49" t="s">
        <v>142</v>
      </c>
      <c r="B49">
        <v>1911.5</v>
      </c>
      <c r="C49">
        <v>1624.09</v>
      </c>
      <c r="D49">
        <v>1586.95</v>
      </c>
      <c r="E49">
        <v>708.16</v>
      </c>
      <c r="F49">
        <v>1014.59</v>
      </c>
      <c r="G49">
        <v>563.73</v>
      </c>
      <c r="H49">
        <v>693.24</v>
      </c>
      <c r="I49">
        <v>762.46</v>
      </c>
      <c r="J49">
        <v>512.59</v>
      </c>
      <c r="K49">
        <v>1608.56</v>
      </c>
      <c r="L49">
        <v>491.61</v>
      </c>
      <c r="M49">
        <v>348.22</v>
      </c>
      <c r="N49">
        <v>247.13</v>
      </c>
      <c r="O49">
        <v>309.67</v>
      </c>
      <c r="P49">
        <v>207.79</v>
      </c>
      <c r="Q49">
        <v>78.3</v>
      </c>
      <c r="R49">
        <v>98.34</v>
      </c>
      <c r="S49">
        <v>76.680000000000007</v>
      </c>
      <c r="T49">
        <v>150.4</v>
      </c>
      <c r="U49">
        <v>171.31</v>
      </c>
      <c r="V49">
        <v>137.75</v>
      </c>
      <c r="W49">
        <v>150.11000000000001</v>
      </c>
      <c r="X49">
        <v>152.65</v>
      </c>
      <c r="Y49">
        <v>156.13</v>
      </c>
      <c r="Z49">
        <v>160.62</v>
      </c>
      <c r="AA49">
        <v>163.81</v>
      </c>
      <c r="AB49">
        <v>169.88</v>
      </c>
      <c r="AC49">
        <v>46.27</v>
      </c>
      <c r="AD49">
        <v>57.77</v>
      </c>
      <c r="AE49">
        <v>65.05</v>
      </c>
      <c r="AF49">
        <v>113.32</v>
      </c>
      <c r="AG49">
        <v>118.6</v>
      </c>
      <c r="AH49">
        <v>122.92</v>
      </c>
      <c r="AI49">
        <v>119.62</v>
      </c>
      <c r="AJ49">
        <v>176.02</v>
      </c>
      <c r="AK49">
        <v>160.69999999999999</v>
      </c>
      <c r="AL49">
        <v>798.22</v>
      </c>
      <c r="AM49">
        <v>756.95</v>
      </c>
      <c r="AN49">
        <v>698.56</v>
      </c>
      <c r="AO49">
        <v>632.29999999999995</v>
      </c>
      <c r="AP49">
        <v>558.49</v>
      </c>
      <c r="AQ49">
        <v>559.80999999999995</v>
      </c>
      <c r="AR49">
        <v>497.69</v>
      </c>
      <c r="AS49">
        <v>438.72</v>
      </c>
      <c r="AT49">
        <v>407.32</v>
      </c>
      <c r="AU49">
        <v>407.56</v>
      </c>
    </row>
    <row r="51" spans="1:47" ht="18.600000000000001" customHeight="1" x14ac:dyDescent="0.3">
      <c r="A51" s="12" t="s">
        <v>146</v>
      </c>
    </row>
    <row r="52" spans="1:47" x14ac:dyDescent="0.25">
      <c r="A52" t="s">
        <v>88</v>
      </c>
      <c r="B52" t="s">
        <v>89</v>
      </c>
      <c r="C52" t="s">
        <v>90</v>
      </c>
      <c r="D52" t="s">
        <v>91</v>
      </c>
      <c r="E52" t="s">
        <v>92</v>
      </c>
      <c r="F52" t="s">
        <v>93</v>
      </c>
      <c r="G52" t="s">
        <v>94</v>
      </c>
      <c r="H52" t="s">
        <v>95</v>
      </c>
      <c r="I52" t="s">
        <v>96</v>
      </c>
      <c r="J52" t="s">
        <v>97</v>
      </c>
      <c r="K52" t="s">
        <v>98</v>
      </c>
      <c r="L52" t="s">
        <v>99</v>
      </c>
      <c r="M52" t="s">
        <v>100</v>
      </c>
      <c r="N52" t="s">
        <v>101</v>
      </c>
      <c r="O52" t="s">
        <v>102</v>
      </c>
      <c r="P52" t="s">
        <v>103</v>
      </c>
      <c r="Q52" t="s">
        <v>104</v>
      </c>
      <c r="R52" t="s">
        <v>105</v>
      </c>
      <c r="S52" t="s">
        <v>106</v>
      </c>
      <c r="T52" t="s">
        <v>107</v>
      </c>
      <c r="U52" t="s">
        <v>108</v>
      </c>
      <c r="V52" t="s">
        <v>109</v>
      </c>
      <c r="W52" t="s">
        <v>110</v>
      </c>
      <c r="X52" t="s">
        <v>111</v>
      </c>
      <c r="Y52" t="s">
        <v>112</v>
      </c>
      <c r="Z52" t="s">
        <v>113</v>
      </c>
      <c r="AA52" t="s">
        <v>114</v>
      </c>
      <c r="AB52" t="s">
        <v>115</v>
      </c>
      <c r="AC52" t="s">
        <v>116</v>
      </c>
      <c r="AD52" t="s">
        <v>117</v>
      </c>
      <c r="AE52" t="s">
        <v>118</v>
      </c>
      <c r="AF52" t="s">
        <v>119</v>
      </c>
      <c r="AG52" t="s">
        <v>120</v>
      </c>
      <c r="AH52" t="s">
        <v>121</v>
      </c>
      <c r="AI52" t="s">
        <v>122</v>
      </c>
      <c r="AJ52" t="s">
        <v>123</v>
      </c>
      <c r="AK52" t="s">
        <v>124</v>
      </c>
      <c r="AL52" t="s">
        <v>125</v>
      </c>
      <c r="AM52" t="s">
        <v>126</v>
      </c>
      <c r="AN52" t="s">
        <v>127</v>
      </c>
      <c r="AO52" t="s">
        <v>128</v>
      </c>
      <c r="AP52" t="s">
        <v>129</v>
      </c>
      <c r="AQ52" t="s">
        <v>130</v>
      </c>
      <c r="AR52" t="s">
        <v>131</v>
      </c>
      <c r="AS52" t="s">
        <v>132</v>
      </c>
      <c r="AT52" t="s">
        <v>133</v>
      </c>
      <c r="AU52" t="s">
        <v>134</v>
      </c>
    </row>
    <row r="53" spans="1:47" x14ac:dyDescent="0.25">
      <c r="A53" t="s">
        <v>135</v>
      </c>
      <c r="B53">
        <v>3875</v>
      </c>
      <c r="C53">
        <v>3731</v>
      </c>
      <c r="D53">
        <v>2793.76</v>
      </c>
      <c r="E53">
        <v>3536.09</v>
      </c>
      <c r="F53">
        <v>2964.24</v>
      </c>
      <c r="G53">
        <v>3325.35</v>
      </c>
      <c r="H53">
        <v>3921.29</v>
      </c>
      <c r="I53">
        <v>2957.28</v>
      </c>
      <c r="J53">
        <v>3410.31</v>
      </c>
      <c r="K53">
        <v>2963.11</v>
      </c>
      <c r="L53">
        <v>2615</v>
      </c>
      <c r="M53">
        <v>3262</v>
      </c>
      <c r="N53">
        <v>2597</v>
      </c>
      <c r="O53">
        <v>2535</v>
      </c>
      <c r="P53">
        <v>2994</v>
      </c>
      <c r="Q53">
        <v>2994.02</v>
      </c>
      <c r="R53">
        <v>2993.98</v>
      </c>
      <c r="S53">
        <v>2993.98</v>
      </c>
      <c r="T53">
        <v>2994.01</v>
      </c>
      <c r="U53">
        <v>3033.23</v>
      </c>
      <c r="V53">
        <v>3033.24</v>
      </c>
      <c r="W53">
        <v>3033.24</v>
      </c>
      <c r="X53">
        <v>3033.24</v>
      </c>
      <c r="Y53">
        <v>3033.25</v>
      </c>
      <c r="Z53">
        <v>3033.25</v>
      </c>
      <c r="AA53">
        <v>3033.26</v>
      </c>
      <c r="AB53">
        <v>3033.23</v>
      </c>
      <c r="AC53">
        <v>3033.26</v>
      </c>
      <c r="AD53">
        <v>3033.23</v>
      </c>
      <c r="AE53">
        <v>3033.23</v>
      </c>
      <c r="AF53">
        <v>3033.27</v>
      </c>
      <c r="AG53">
        <v>3033.23</v>
      </c>
      <c r="AH53">
        <v>3033.25</v>
      </c>
      <c r="AI53">
        <v>3033.26</v>
      </c>
      <c r="AJ53">
        <v>3033.25</v>
      </c>
      <c r="AK53">
        <v>3033.23</v>
      </c>
      <c r="AL53">
        <v>3033.23</v>
      </c>
      <c r="AM53">
        <v>3033.25</v>
      </c>
      <c r="AN53">
        <v>3033.23</v>
      </c>
      <c r="AO53">
        <v>3033.24</v>
      </c>
      <c r="AP53">
        <v>3033.25</v>
      </c>
      <c r="AQ53">
        <v>3063.65</v>
      </c>
      <c r="AR53">
        <v>3093.78</v>
      </c>
      <c r="AS53">
        <v>3123.73</v>
      </c>
      <c r="AT53">
        <v>3123.74</v>
      </c>
      <c r="AU53">
        <v>3123.74</v>
      </c>
    </row>
    <row r="54" spans="1:47" x14ac:dyDescent="0.25">
      <c r="A54" t="s">
        <v>136</v>
      </c>
      <c r="B54">
        <v>0</v>
      </c>
      <c r="C54">
        <v>0</v>
      </c>
      <c r="D54">
        <v>0</v>
      </c>
      <c r="E54">
        <v>0</v>
      </c>
      <c r="F54">
        <v>270</v>
      </c>
      <c r="G54">
        <v>389</v>
      </c>
      <c r="H54">
        <v>693</v>
      </c>
      <c r="I54">
        <v>733</v>
      </c>
      <c r="J54">
        <v>737</v>
      </c>
      <c r="K54">
        <v>785.85</v>
      </c>
      <c r="L54">
        <v>792</v>
      </c>
      <c r="M54">
        <v>766</v>
      </c>
      <c r="N54">
        <v>781</v>
      </c>
      <c r="O54">
        <v>825</v>
      </c>
      <c r="P54">
        <v>888</v>
      </c>
      <c r="Q54">
        <v>888.01</v>
      </c>
      <c r="R54">
        <v>1030.3900000000001</v>
      </c>
      <c r="S54">
        <v>1153.45</v>
      </c>
      <c r="T54">
        <v>1188.75</v>
      </c>
      <c r="U54">
        <v>1222.44</v>
      </c>
      <c r="V54">
        <v>1255.77</v>
      </c>
      <c r="W54">
        <v>1289.03</v>
      </c>
      <c r="X54">
        <v>1322.22</v>
      </c>
      <c r="Y54">
        <v>1355.24</v>
      </c>
      <c r="Z54">
        <v>1388.23</v>
      </c>
      <c r="AA54">
        <v>1421.09</v>
      </c>
      <c r="AB54">
        <v>1453.85</v>
      </c>
      <c r="AC54">
        <v>1486.77</v>
      </c>
      <c r="AD54">
        <v>1624.79</v>
      </c>
      <c r="AE54">
        <v>1657.67</v>
      </c>
      <c r="AF54">
        <v>1749.22</v>
      </c>
      <c r="AG54">
        <v>1808.8</v>
      </c>
      <c r="AH54">
        <v>1870.01</v>
      </c>
      <c r="AI54">
        <v>1934.38</v>
      </c>
      <c r="AJ54">
        <v>2014.28</v>
      </c>
      <c r="AK54">
        <v>2117.09</v>
      </c>
      <c r="AL54">
        <v>2232.5100000000002</v>
      </c>
      <c r="AM54">
        <v>2390.0300000000002</v>
      </c>
      <c r="AN54">
        <v>2602.89</v>
      </c>
      <c r="AO54">
        <v>2890.01</v>
      </c>
      <c r="AP54">
        <v>3179.19</v>
      </c>
      <c r="AQ54">
        <v>3449.43</v>
      </c>
      <c r="AR54">
        <v>3613.69</v>
      </c>
      <c r="AS54">
        <v>3710.42</v>
      </c>
      <c r="AT54">
        <v>3736.47</v>
      </c>
      <c r="AU54">
        <v>3743.52</v>
      </c>
    </row>
    <row r="55" spans="1:47" x14ac:dyDescent="0.25">
      <c r="A55" t="s">
        <v>137</v>
      </c>
      <c r="B55">
        <v>610</v>
      </c>
      <c r="C55">
        <v>610</v>
      </c>
      <c r="D55">
        <v>562</v>
      </c>
      <c r="E55">
        <v>647</v>
      </c>
      <c r="F55">
        <v>576</v>
      </c>
      <c r="G55">
        <v>585</v>
      </c>
      <c r="H55">
        <v>569</v>
      </c>
      <c r="I55">
        <v>579</v>
      </c>
      <c r="J55">
        <v>558</v>
      </c>
      <c r="K55">
        <v>474.7</v>
      </c>
      <c r="L55">
        <v>309</v>
      </c>
      <c r="M55">
        <v>328</v>
      </c>
      <c r="N55">
        <v>270</v>
      </c>
      <c r="O55">
        <v>508</v>
      </c>
      <c r="P55">
        <v>505</v>
      </c>
      <c r="Q55">
        <v>505</v>
      </c>
      <c r="R55">
        <v>505</v>
      </c>
      <c r="S55">
        <v>505</v>
      </c>
      <c r="T55">
        <v>505</v>
      </c>
      <c r="U55">
        <v>505</v>
      </c>
      <c r="V55">
        <v>505</v>
      </c>
      <c r="W55">
        <v>505</v>
      </c>
      <c r="X55">
        <v>505</v>
      </c>
      <c r="Y55">
        <v>505</v>
      </c>
      <c r="Z55">
        <v>505</v>
      </c>
      <c r="AA55">
        <v>505</v>
      </c>
      <c r="AB55">
        <v>505</v>
      </c>
      <c r="AC55">
        <v>505</v>
      </c>
      <c r="AD55">
        <v>505</v>
      </c>
      <c r="AE55">
        <v>505</v>
      </c>
      <c r="AF55">
        <v>505</v>
      </c>
      <c r="AG55">
        <v>505</v>
      </c>
      <c r="AH55">
        <v>505</v>
      </c>
      <c r="AI55">
        <v>505</v>
      </c>
      <c r="AJ55">
        <v>505</v>
      </c>
      <c r="AK55">
        <v>505</v>
      </c>
      <c r="AL55">
        <v>505</v>
      </c>
      <c r="AM55">
        <v>505</v>
      </c>
      <c r="AN55">
        <v>505</v>
      </c>
      <c r="AO55">
        <v>505</v>
      </c>
      <c r="AP55">
        <v>505</v>
      </c>
      <c r="AQ55">
        <v>509.39</v>
      </c>
      <c r="AR55">
        <v>509.39</v>
      </c>
      <c r="AS55">
        <v>509.39</v>
      </c>
      <c r="AT55">
        <v>509.39</v>
      </c>
      <c r="AU55">
        <v>509.39</v>
      </c>
    </row>
    <row r="56" spans="1:47" x14ac:dyDescent="0.25">
      <c r="A56" t="s">
        <v>138</v>
      </c>
      <c r="B56">
        <v>0</v>
      </c>
      <c r="C56">
        <v>0</v>
      </c>
      <c r="D56">
        <v>0</v>
      </c>
      <c r="E56">
        <v>0</v>
      </c>
      <c r="F56">
        <v>0</v>
      </c>
      <c r="G56">
        <v>0</v>
      </c>
      <c r="H56">
        <v>0</v>
      </c>
      <c r="I56">
        <v>0</v>
      </c>
      <c r="J56">
        <v>0</v>
      </c>
      <c r="K56">
        <v>0</v>
      </c>
      <c r="L56">
        <v>0</v>
      </c>
      <c r="M56">
        <v>0</v>
      </c>
      <c r="N56">
        <v>0</v>
      </c>
      <c r="O56">
        <v>0</v>
      </c>
      <c r="P56">
        <v>0</v>
      </c>
      <c r="Q56">
        <v>0</v>
      </c>
      <c r="R56">
        <v>0.14000000000000001</v>
      </c>
      <c r="S56">
        <v>18.43</v>
      </c>
      <c r="T56">
        <v>18.68</v>
      </c>
      <c r="U56">
        <v>35.58</v>
      </c>
      <c r="V56">
        <v>105.26</v>
      </c>
      <c r="W56">
        <v>122.26</v>
      </c>
      <c r="X56">
        <v>139.28</v>
      </c>
      <c r="Y56">
        <v>156.21</v>
      </c>
      <c r="Z56">
        <v>172.99</v>
      </c>
      <c r="AA56">
        <v>189.78</v>
      </c>
      <c r="AB56">
        <v>206.31</v>
      </c>
      <c r="AC56">
        <v>222.86</v>
      </c>
      <c r="AD56">
        <v>239.36</v>
      </c>
      <c r="AE56">
        <v>255.74</v>
      </c>
      <c r="AF56">
        <v>291.57</v>
      </c>
      <c r="AG56">
        <v>317.95999999999998</v>
      </c>
      <c r="AH56">
        <v>345.06</v>
      </c>
      <c r="AI56">
        <v>370.1</v>
      </c>
      <c r="AJ56">
        <v>399.79</v>
      </c>
      <c r="AK56">
        <v>436.37</v>
      </c>
      <c r="AL56">
        <v>531.71</v>
      </c>
      <c r="AM56">
        <v>649.07000000000005</v>
      </c>
      <c r="AN56">
        <v>787.77</v>
      </c>
      <c r="AO56">
        <v>829.47</v>
      </c>
      <c r="AP56">
        <v>903.32</v>
      </c>
      <c r="AQ56">
        <v>974.54</v>
      </c>
      <c r="AR56">
        <v>1012.77</v>
      </c>
      <c r="AS56">
        <v>1033.1099999999999</v>
      </c>
      <c r="AT56">
        <v>1040.92</v>
      </c>
      <c r="AU56">
        <v>1042.67</v>
      </c>
    </row>
    <row r="57" spans="1:47" x14ac:dyDescent="0.25">
      <c r="A57" t="s">
        <v>139</v>
      </c>
      <c r="B57">
        <v>4378</v>
      </c>
      <c r="C57">
        <v>4366</v>
      </c>
      <c r="D57">
        <v>4119</v>
      </c>
      <c r="E57">
        <v>1129</v>
      </c>
      <c r="F57">
        <v>0</v>
      </c>
      <c r="G57">
        <v>0</v>
      </c>
      <c r="H57">
        <v>0</v>
      </c>
      <c r="I57">
        <v>409</v>
      </c>
      <c r="J57">
        <v>4479</v>
      </c>
      <c r="K57">
        <v>5012.22</v>
      </c>
      <c r="L57">
        <v>4277</v>
      </c>
      <c r="M57">
        <v>4545</v>
      </c>
      <c r="N57">
        <v>5120</v>
      </c>
      <c r="O57">
        <v>4874</v>
      </c>
      <c r="P57">
        <v>5016</v>
      </c>
      <c r="Q57">
        <v>4940.6400000000003</v>
      </c>
      <c r="R57">
        <v>4940.6400000000003</v>
      </c>
      <c r="S57">
        <v>4940.6400000000003</v>
      </c>
      <c r="T57">
        <v>4940.6400000000003</v>
      </c>
      <c r="U57">
        <v>4940.6400000000003</v>
      </c>
      <c r="V57">
        <v>4940.6400000000003</v>
      </c>
      <c r="W57">
        <v>4940.6400000000003</v>
      </c>
      <c r="X57">
        <v>4940.6400000000003</v>
      </c>
      <c r="Y57">
        <v>4940.6400000000003</v>
      </c>
      <c r="Z57">
        <v>4940.6400000000003</v>
      </c>
      <c r="AA57">
        <v>4940.6400000000003</v>
      </c>
      <c r="AB57">
        <v>4940.6400000000003</v>
      </c>
      <c r="AC57">
        <v>4940.6400000000003</v>
      </c>
      <c r="AD57">
        <v>4940.6400000000003</v>
      </c>
      <c r="AE57">
        <v>4940.6400000000003</v>
      </c>
      <c r="AF57">
        <v>4940.6400000000003</v>
      </c>
      <c r="AG57">
        <v>4940.6400000000003</v>
      </c>
      <c r="AH57">
        <v>4940.6400000000003</v>
      </c>
      <c r="AI57">
        <v>4940.6400000000003</v>
      </c>
      <c r="AJ57">
        <v>4940.6400000000003</v>
      </c>
      <c r="AK57">
        <v>4940.6400000000003</v>
      </c>
      <c r="AL57">
        <v>0</v>
      </c>
      <c r="AM57">
        <v>0</v>
      </c>
      <c r="AN57">
        <v>0</v>
      </c>
      <c r="AO57">
        <v>5353.22</v>
      </c>
      <c r="AP57">
        <v>5353.23</v>
      </c>
      <c r="AQ57">
        <v>5353.25</v>
      </c>
      <c r="AR57">
        <v>5353.25</v>
      </c>
      <c r="AS57">
        <v>5353.23</v>
      </c>
      <c r="AT57">
        <v>5353.25</v>
      </c>
      <c r="AU57">
        <v>5353.24</v>
      </c>
    </row>
    <row r="58" spans="1:47" x14ac:dyDescent="0.25">
      <c r="A58" t="s">
        <v>140</v>
      </c>
      <c r="B58">
        <v>3101.05</v>
      </c>
      <c r="C58">
        <v>3107.93</v>
      </c>
      <c r="D58">
        <v>3093.98</v>
      </c>
      <c r="E58">
        <v>3127.39</v>
      </c>
      <c r="F58">
        <v>3123.34</v>
      </c>
      <c r="G58">
        <v>2308.09</v>
      </c>
      <c r="H58">
        <v>2613.65</v>
      </c>
      <c r="I58">
        <v>2110.21</v>
      </c>
      <c r="J58">
        <v>2612.52</v>
      </c>
      <c r="K58">
        <v>3100.21</v>
      </c>
      <c r="L58">
        <v>1734.25</v>
      </c>
      <c r="M58">
        <v>2206.12</v>
      </c>
      <c r="N58">
        <v>2106.7199999999998</v>
      </c>
      <c r="O58">
        <v>2351.71</v>
      </c>
      <c r="P58">
        <v>1831.15</v>
      </c>
      <c r="Q58">
        <v>2138.6</v>
      </c>
      <c r="R58">
        <v>2138.6</v>
      </c>
      <c r="S58">
        <v>2138.6</v>
      </c>
      <c r="T58">
        <v>171.09</v>
      </c>
      <c r="U58">
        <v>171.09</v>
      </c>
      <c r="V58">
        <v>171.09</v>
      </c>
      <c r="W58">
        <v>171.09</v>
      </c>
      <c r="X58">
        <v>171.09</v>
      </c>
      <c r="Y58">
        <v>171.09</v>
      </c>
      <c r="Z58">
        <v>171.09</v>
      </c>
      <c r="AA58">
        <v>171.09</v>
      </c>
      <c r="AB58">
        <v>171.09</v>
      </c>
      <c r="AC58">
        <v>171.09</v>
      </c>
      <c r="AD58">
        <v>171.09</v>
      </c>
      <c r="AE58">
        <v>171.09</v>
      </c>
      <c r="AF58">
        <v>171.09</v>
      </c>
      <c r="AG58">
        <v>171.09</v>
      </c>
      <c r="AH58">
        <v>171.09</v>
      </c>
      <c r="AI58">
        <v>171.09</v>
      </c>
      <c r="AJ58">
        <v>171.09</v>
      </c>
      <c r="AK58">
        <v>171.09</v>
      </c>
      <c r="AL58">
        <v>0</v>
      </c>
      <c r="AM58">
        <v>0</v>
      </c>
      <c r="AN58">
        <v>0</v>
      </c>
      <c r="AO58">
        <v>0</v>
      </c>
      <c r="AP58">
        <v>0</v>
      </c>
      <c r="AQ58">
        <v>0</v>
      </c>
      <c r="AR58">
        <v>0</v>
      </c>
      <c r="AS58">
        <v>0</v>
      </c>
      <c r="AT58">
        <v>0</v>
      </c>
      <c r="AU58">
        <v>0</v>
      </c>
    </row>
    <row r="59" spans="1:47" x14ac:dyDescent="0.25">
      <c r="A59" t="s">
        <v>141</v>
      </c>
      <c r="B59">
        <v>1980</v>
      </c>
      <c r="C59">
        <v>2332</v>
      </c>
      <c r="D59">
        <v>1876</v>
      </c>
      <c r="E59">
        <v>1483</v>
      </c>
      <c r="F59">
        <v>1974</v>
      </c>
      <c r="G59">
        <v>2035</v>
      </c>
      <c r="H59">
        <v>2177</v>
      </c>
      <c r="I59">
        <v>1967</v>
      </c>
      <c r="J59">
        <v>1966</v>
      </c>
      <c r="K59">
        <v>2016.2</v>
      </c>
      <c r="L59">
        <v>3143</v>
      </c>
      <c r="M59">
        <v>3420</v>
      </c>
      <c r="N59">
        <v>2337</v>
      </c>
      <c r="O59">
        <v>2065</v>
      </c>
      <c r="P59">
        <v>1941</v>
      </c>
      <c r="Q59">
        <v>1304.76</v>
      </c>
      <c r="R59">
        <v>1166.8499999999999</v>
      </c>
      <c r="S59">
        <v>1186.6099999999999</v>
      </c>
      <c r="T59">
        <v>1166.8599999999999</v>
      </c>
      <c r="U59">
        <v>1164.8699999999999</v>
      </c>
      <c r="V59">
        <v>1186.6400000000001</v>
      </c>
      <c r="W59">
        <v>1234.08</v>
      </c>
      <c r="X59">
        <v>905.98</v>
      </c>
      <c r="Y59">
        <v>732.13</v>
      </c>
      <c r="Z59">
        <v>819.19</v>
      </c>
      <c r="AA59">
        <v>591.89</v>
      </c>
      <c r="AB59">
        <v>1002.01</v>
      </c>
      <c r="AC59">
        <v>982.33</v>
      </c>
      <c r="AD59">
        <v>945.03</v>
      </c>
      <c r="AE59">
        <v>909.17</v>
      </c>
      <c r="AF59">
        <v>937</v>
      </c>
      <c r="AG59">
        <v>586.91</v>
      </c>
      <c r="AH59">
        <v>596.66</v>
      </c>
      <c r="AI59">
        <v>365.66</v>
      </c>
      <c r="AJ59">
        <v>385.1</v>
      </c>
      <c r="AK59">
        <v>383.45</v>
      </c>
      <c r="AL59">
        <v>0.12</v>
      </c>
      <c r="AM59">
        <v>0.12</v>
      </c>
      <c r="AN59">
        <v>0.12</v>
      </c>
      <c r="AO59">
        <v>0.01</v>
      </c>
      <c r="AP59">
        <v>0.01</v>
      </c>
      <c r="AQ59">
        <v>0.03</v>
      </c>
      <c r="AR59">
        <v>0.03</v>
      </c>
      <c r="AS59">
        <v>0.01</v>
      </c>
      <c r="AT59">
        <v>0.01</v>
      </c>
      <c r="AU59">
        <v>0.01</v>
      </c>
    </row>
    <row r="60" spans="1:47" x14ac:dyDescent="0.25">
      <c r="A60" t="s">
        <v>142</v>
      </c>
      <c r="B60">
        <v>3622.76</v>
      </c>
      <c r="C60">
        <v>3622.79</v>
      </c>
      <c r="D60">
        <v>3622.74</v>
      </c>
      <c r="E60">
        <v>3341.97</v>
      </c>
      <c r="F60">
        <v>4200.75</v>
      </c>
      <c r="G60">
        <v>2546.0100000000002</v>
      </c>
      <c r="H60">
        <v>1910.48</v>
      </c>
      <c r="I60">
        <v>1629.3</v>
      </c>
      <c r="J60">
        <v>1323.38</v>
      </c>
      <c r="K60">
        <v>1592.6</v>
      </c>
      <c r="L60">
        <v>1069.75</v>
      </c>
      <c r="M60">
        <v>700.88</v>
      </c>
      <c r="N60">
        <v>253.28</v>
      </c>
      <c r="O60">
        <v>386.29</v>
      </c>
      <c r="P60">
        <v>184.85</v>
      </c>
      <c r="Q60">
        <v>1232.8399999999999</v>
      </c>
      <c r="R60">
        <v>835.85</v>
      </c>
      <c r="S60">
        <v>1463.66</v>
      </c>
      <c r="T60">
        <v>1136.24</v>
      </c>
      <c r="U60">
        <v>977.97</v>
      </c>
      <c r="V60">
        <v>1050.45</v>
      </c>
      <c r="W60">
        <v>1512.41</v>
      </c>
      <c r="X60">
        <v>851.87</v>
      </c>
      <c r="Y60">
        <v>576.27</v>
      </c>
      <c r="Z60">
        <v>927.46</v>
      </c>
      <c r="AA60">
        <v>309.67</v>
      </c>
      <c r="AB60">
        <v>1680.38</v>
      </c>
      <c r="AC60">
        <v>1579.86</v>
      </c>
      <c r="AD60">
        <v>1739.05</v>
      </c>
      <c r="AE60">
        <v>1615.61</v>
      </c>
      <c r="AF60">
        <v>1688.05</v>
      </c>
      <c r="AG60">
        <v>693.43</v>
      </c>
      <c r="AH60">
        <v>203.03</v>
      </c>
      <c r="AI60">
        <v>888.42</v>
      </c>
      <c r="AJ60">
        <v>971.75</v>
      </c>
      <c r="AK60">
        <v>964.68</v>
      </c>
      <c r="AL60">
        <v>1392.12</v>
      </c>
      <c r="AM60">
        <v>1071.3900000000001</v>
      </c>
      <c r="AN60">
        <v>1030.8900000000001</v>
      </c>
      <c r="AO60">
        <v>19.97</v>
      </c>
      <c r="AP60">
        <v>59.47</v>
      </c>
      <c r="AQ60">
        <v>54.66</v>
      </c>
      <c r="AR60">
        <v>99.67</v>
      </c>
      <c r="AS60">
        <v>75.98</v>
      </c>
      <c r="AT60">
        <v>78.52</v>
      </c>
      <c r="AU60">
        <v>90.41</v>
      </c>
    </row>
    <row r="62" spans="1:47" ht="18.600000000000001" customHeight="1" x14ac:dyDescent="0.3">
      <c r="A62" s="12" t="s">
        <v>147</v>
      </c>
    </row>
    <row r="63" spans="1:47" x14ac:dyDescent="0.25">
      <c r="A63" t="s">
        <v>88</v>
      </c>
      <c r="B63" t="s">
        <v>89</v>
      </c>
      <c r="C63" t="s">
        <v>90</v>
      </c>
      <c r="D63" t="s">
        <v>91</v>
      </c>
      <c r="E63" t="s">
        <v>92</v>
      </c>
      <c r="F63" t="s">
        <v>93</v>
      </c>
      <c r="G63" t="s">
        <v>94</v>
      </c>
      <c r="H63" t="s">
        <v>95</v>
      </c>
      <c r="I63" t="s">
        <v>96</v>
      </c>
      <c r="J63" t="s">
        <v>97</v>
      </c>
      <c r="K63" t="s">
        <v>98</v>
      </c>
      <c r="L63" t="s">
        <v>99</v>
      </c>
      <c r="M63" t="s">
        <v>100</v>
      </c>
      <c r="N63" t="s">
        <v>101</v>
      </c>
      <c r="O63" t="s">
        <v>102</v>
      </c>
      <c r="P63" t="s">
        <v>103</v>
      </c>
      <c r="Q63" t="s">
        <v>104</v>
      </c>
      <c r="R63" t="s">
        <v>105</v>
      </c>
      <c r="S63" t="s">
        <v>106</v>
      </c>
      <c r="T63" t="s">
        <v>107</v>
      </c>
      <c r="U63" t="s">
        <v>108</v>
      </c>
      <c r="V63" t="s">
        <v>109</v>
      </c>
      <c r="W63" t="s">
        <v>110</v>
      </c>
      <c r="X63" t="s">
        <v>111</v>
      </c>
      <c r="Y63" t="s">
        <v>112</v>
      </c>
      <c r="Z63" t="s">
        <v>113</v>
      </c>
      <c r="AA63" t="s">
        <v>114</v>
      </c>
      <c r="AB63" t="s">
        <v>115</v>
      </c>
      <c r="AC63" t="s">
        <v>116</v>
      </c>
      <c r="AD63" t="s">
        <v>117</v>
      </c>
      <c r="AE63" t="s">
        <v>118</v>
      </c>
      <c r="AF63" t="s">
        <v>119</v>
      </c>
      <c r="AG63" t="s">
        <v>120</v>
      </c>
      <c r="AH63" t="s">
        <v>121</v>
      </c>
      <c r="AI63" t="s">
        <v>122</v>
      </c>
      <c r="AJ63" t="s">
        <v>123</v>
      </c>
      <c r="AK63" t="s">
        <v>124</v>
      </c>
      <c r="AL63" t="s">
        <v>125</v>
      </c>
      <c r="AM63" t="s">
        <v>126</v>
      </c>
      <c r="AN63" t="s">
        <v>127</v>
      </c>
      <c r="AO63" t="s">
        <v>128</v>
      </c>
      <c r="AP63" t="s">
        <v>129</v>
      </c>
      <c r="AQ63" t="s">
        <v>130</v>
      </c>
      <c r="AR63" t="s">
        <v>131</v>
      </c>
      <c r="AS63" t="s">
        <v>132</v>
      </c>
      <c r="AT63" t="s">
        <v>133</v>
      </c>
      <c r="AU63" t="s">
        <v>134</v>
      </c>
    </row>
    <row r="64" spans="1:47" x14ac:dyDescent="0.25">
      <c r="A64" t="s">
        <v>135</v>
      </c>
      <c r="B64">
        <v>173112.6</v>
      </c>
      <c r="C64">
        <v>172347.6</v>
      </c>
      <c r="D64">
        <v>180856.6</v>
      </c>
      <c r="E64">
        <v>187783.8</v>
      </c>
      <c r="F64">
        <v>189423</v>
      </c>
      <c r="G64">
        <v>177402.2</v>
      </c>
      <c r="H64">
        <v>189675.6</v>
      </c>
      <c r="I64">
        <v>191955.4</v>
      </c>
      <c r="J64">
        <v>202512.3</v>
      </c>
      <c r="K64">
        <v>197207.4</v>
      </c>
      <c r="L64">
        <v>194413.3</v>
      </c>
      <c r="M64">
        <v>197315.9</v>
      </c>
      <c r="N64">
        <v>201677.6</v>
      </c>
      <c r="O64">
        <v>199829.6</v>
      </c>
      <c r="P64">
        <v>199599.8</v>
      </c>
      <c r="Q64">
        <v>201613.1</v>
      </c>
      <c r="R64">
        <v>201612.9</v>
      </c>
      <c r="S64">
        <v>201613.1</v>
      </c>
      <c r="T64">
        <v>207642.5</v>
      </c>
      <c r="U64">
        <v>207984.9</v>
      </c>
      <c r="V64">
        <v>208292.9</v>
      </c>
      <c r="W64">
        <v>208293</v>
      </c>
      <c r="X64">
        <v>208292.8</v>
      </c>
      <c r="Y64">
        <v>208292.9</v>
      </c>
      <c r="Z64">
        <v>208293</v>
      </c>
      <c r="AA64">
        <v>216247</v>
      </c>
      <c r="AB64">
        <v>216524.5</v>
      </c>
      <c r="AC64">
        <v>216524.5</v>
      </c>
      <c r="AD64">
        <v>216524.5</v>
      </c>
      <c r="AE64">
        <v>216774.1</v>
      </c>
      <c r="AF64">
        <v>216774</v>
      </c>
      <c r="AG64">
        <v>216998.5</v>
      </c>
      <c r="AH64">
        <v>217200.9</v>
      </c>
      <c r="AI64">
        <v>217383</v>
      </c>
      <c r="AJ64">
        <v>217382.8</v>
      </c>
      <c r="AK64">
        <v>217546.6</v>
      </c>
      <c r="AL64">
        <v>217546.6</v>
      </c>
      <c r="AM64">
        <v>217546.6</v>
      </c>
      <c r="AN64">
        <v>217546.6</v>
      </c>
      <c r="AO64">
        <v>217546.6</v>
      </c>
      <c r="AP64">
        <v>217546.6</v>
      </c>
      <c r="AQ64">
        <v>217546.5</v>
      </c>
      <c r="AR64">
        <v>217546.6</v>
      </c>
      <c r="AS64">
        <v>217546.6</v>
      </c>
      <c r="AT64">
        <v>217546.6</v>
      </c>
      <c r="AU64">
        <v>217546.8</v>
      </c>
    </row>
    <row r="65" spans="1:47" x14ac:dyDescent="0.25">
      <c r="A65" t="s">
        <v>136</v>
      </c>
      <c r="B65">
        <v>416</v>
      </c>
      <c r="C65">
        <v>419</v>
      </c>
      <c r="D65">
        <v>617</v>
      </c>
      <c r="E65">
        <v>565</v>
      </c>
      <c r="F65">
        <v>1322</v>
      </c>
      <c r="G65">
        <v>1535.14</v>
      </c>
      <c r="H65">
        <v>1393.8</v>
      </c>
      <c r="I65">
        <v>2278.06</v>
      </c>
      <c r="J65">
        <v>4717.8599999999997</v>
      </c>
      <c r="K65">
        <v>6124.31</v>
      </c>
      <c r="L65">
        <v>6421</v>
      </c>
      <c r="M65">
        <v>9781</v>
      </c>
      <c r="N65">
        <v>9905</v>
      </c>
      <c r="O65">
        <v>10640</v>
      </c>
      <c r="P65">
        <v>11097</v>
      </c>
      <c r="Q65">
        <v>10587.86</v>
      </c>
      <c r="R65">
        <v>10588.55</v>
      </c>
      <c r="S65">
        <v>10590.22</v>
      </c>
      <c r="T65">
        <v>10950.85</v>
      </c>
      <c r="U65">
        <v>13124.59</v>
      </c>
      <c r="V65">
        <v>13402.85</v>
      </c>
      <c r="W65">
        <v>13745.53</v>
      </c>
      <c r="X65">
        <v>14090.14</v>
      </c>
      <c r="Y65">
        <v>14435.59</v>
      </c>
      <c r="Z65">
        <v>14780.64</v>
      </c>
      <c r="AA65">
        <v>15175.99</v>
      </c>
      <c r="AB65">
        <v>15578.16</v>
      </c>
      <c r="AC65">
        <v>15987.86</v>
      </c>
      <c r="AD65">
        <v>16407.009999999998</v>
      </c>
      <c r="AE65">
        <v>16835.11</v>
      </c>
      <c r="AF65">
        <v>17319.310000000001</v>
      </c>
      <c r="AG65">
        <v>17804.98</v>
      </c>
      <c r="AH65">
        <v>18303.8</v>
      </c>
      <c r="AI65">
        <v>18843.77</v>
      </c>
      <c r="AJ65">
        <v>19418.400000000001</v>
      </c>
      <c r="AK65">
        <v>20219.37</v>
      </c>
      <c r="AL65">
        <v>21165.37</v>
      </c>
      <c r="AM65">
        <v>22210.97</v>
      </c>
      <c r="AN65">
        <v>23321.97</v>
      </c>
      <c r="AO65">
        <v>24396.639999999999</v>
      </c>
      <c r="AP65">
        <v>25410.54</v>
      </c>
      <c r="AQ65">
        <v>26346.15</v>
      </c>
      <c r="AR65">
        <v>27153.79</v>
      </c>
      <c r="AS65">
        <v>27901.61</v>
      </c>
      <c r="AT65">
        <v>28625.62</v>
      </c>
      <c r="AU65">
        <v>29345.68</v>
      </c>
    </row>
    <row r="66" spans="1:47" x14ac:dyDescent="0.25">
      <c r="A66" t="s">
        <v>137</v>
      </c>
      <c r="B66">
        <v>646</v>
      </c>
      <c r="C66">
        <v>646</v>
      </c>
      <c r="D66">
        <v>646</v>
      </c>
      <c r="E66">
        <v>439</v>
      </c>
      <c r="F66">
        <v>550</v>
      </c>
      <c r="G66">
        <v>843.91</v>
      </c>
      <c r="H66">
        <v>1088.82</v>
      </c>
      <c r="I66">
        <v>1232.8499999999999</v>
      </c>
      <c r="J66">
        <v>1613.84</v>
      </c>
      <c r="K66">
        <v>943.52</v>
      </c>
      <c r="L66">
        <v>925.31</v>
      </c>
      <c r="M66">
        <v>1348.41</v>
      </c>
      <c r="N66">
        <v>1705.73</v>
      </c>
      <c r="O66">
        <v>1627.51</v>
      </c>
      <c r="P66">
        <v>1511.07</v>
      </c>
      <c r="Q66">
        <v>1162.75</v>
      </c>
      <c r="R66">
        <v>1243.71</v>
      </c>
      <c r="S66">
        <v>1243.7</v>
      </c>
      <c r="T66">
        <v>1243.67</v>
      </c>
      <c r="U66">
        <v>1286.71</v>
      </c>
      <c r="V66">
        <v>1329.18</v>
      </c>
      <c r="W66">
        <v>1329</v>
      </c>
      <c r="X66">
        <v>1328.96</v>
      </c>
      <c r="Y66">
        <v>1328.92</v>
      </c>
      <c r="Z66">
        <v>1328.87</v>
      </c>
      <c r="AA66">
        <v>1328.81</v>
      </c>
      <c r="AB66">
        <v>1328.75</v>
      </c>
      <c r="AC66">
        <v>1328.72</v>
      </c>
      <c r="AD66">
        <v>1328.67</v>
      </c>
      <c r="AE66">
        <v>1328.6</v>
      </c>
      <c r="AF66">
        <v>1328.49</v>
      </c>
      <c r="AG66">
        <v>1369.34</v>
      </c>
      <c r="AH66">
        <v>1409.91</v>
      </c>
      <c r="AI66">
        <v>1449.5</v>
      </c>
      <c r="AJ66">
        <v>1489.65</v>
      </c>
      <c r="AK66">
        <v>1528.81</v>
      </c>
      <c r="AL66">
        <v>1528.49</v>
      </c>
      <c r="AM66">
        <v>1528.14</v>
      </c>
      <c r="AN66">
        <v>1527.73</v>
      </c>
      <c r="AO66">
        <v>1527.27</v>
      </c>
      <c r="AP66">
        <v>1526.7</v>
      </c>
      <c r="AQ66">
        <v>1562.61</v>
      </c>
      <c r="AR66">
        <v>1561.77</v>
      </c>
      <c r="AS66">
        <v>1560.77</v>
      </c>
      <c r="AT66">
        <v>1559.51</v>
      </c>
      <c r="AU66">
        <v>1557.93</v>
      </c>
    </row>
    <row r="67" spans="1:47" x14ac:dyDescent="0.25">
      <c r="A67" t="s">
        <v>138</v>
      </c>
      <c r="B67">
        <v>0</v>
      </c>
      <c r="C67">
        <v>0</v>
      </c>
      <c r="D67">
        <v>0</v>
      </c>
      <c r="E67">
        <v>0</v>
      </c>
      <c r="F67">
        <v>0</v>
      </c>
      <c r="G67">
        <v>0</v>
      </c>
      <c r="H67">
        <v>0</v>
      </c>
      <c r="I67">
        <v>0</v>
      </c>
      <c r="J67">
        <v>0</v>
      </c>
      <c r="K67">
        <v>0</v>
      </c>
      <c r="L67">
        <v>1</v>
      </c>
      <c r="M67">
        <v>1</v>
      </c>
      <c r="N67">
        <v>1</v>
      </c>
      <c r="O67">
        <v>1</v>
      </c>
      <c r="P67">
        <v>1</v>
      </c>
      <c r="Q67">
        <v>0.26</v>
      </c>
      <c r="R67">
        <v>0.95</v>
      </c>
      <c r="S67">
        <v>188.22</v>
      </c>
      <c r="T67">
        <v>372.99</v>
      </c>
      <c r="U67">
        <v>612.9</v>
      </c>
      <c r="V67">
        <v>730.36</v>
      </c>
      <c r="W67">
        <v>909.67</v>
      </c>
      <c r="X67">
        <v>1089.5</v>
      </c>
      <c r="Y67">
        <v>1269.24</v>
      </c>
      <c r="Z67">
        <v>1446.04</v>
      </c>
      <c r="AA67">
        <v>1625.64</v>
      </c>
      <c r="AB67">
        <v>1807.78</v>
      </c>
      <c r="AC67">
        <v>1991.71</v>
      </c>
      <c r="AD67">
        <v>2185.6799999999998</v>
      </c>
      <c r="AE67">
        <v>2381.35</v>
      </c>
      <c r="AF67">
        <v>2628.27</v>
      </c>
      <c r="AG67">
        <v>2872.66</v>
      </c>
      <c r="AH67">
        <v>3137.85</v>
      </c>
      <c r="AI67">
        <v>3430.51</v>
      </c>
      <c r="AJ67">
        <v>3797.85</v>
      </c>
      <c r="AK67">
        <v>4217.3599999999997</v>
      </c>
      <c r="AL67">
        <v>4766.13</v>
      </c>
      <c r="AM67">
        <v>5402.34</v>
      </c>
      <c r="AN67">
        <v>6095.36</v>
      </c>
      <c r="AO67">
        <v>6748.21</v>
      </c>
      <c r="AP67">
        <v>7350.14</v>
      </c>
      <c r="AQ67">
        <v>7873.87</v>
      </c>
      <c r="AR67">
        <v>8274.48</v>
      </c>
      <c r="AS67">
        <v>8614.82</v>
      </c>
      <c r="AT67">
        <v>8928.85</v>
      </c>
      <c r="AU67">
        <v>9235.25</v>
      </c>
    </row>
    <row r="68" spans="1:47" x14ac:dyDescent="0.25">
      <c r="A68" t="s">
        <v>139</v>
      </c>
      <c r="B68">
        <v>4321.58</v>
      </c>
      <c r="C68">
        <v>4321.58</v>
      </c>
      <c r="D68">
        <v>4321.58</v>
      </c>
      <c r="E68">
        <v>3624.23</v>
      </c>
      <c r="F68">
        <v>3596.28</v>
      </c>
      <c r="G68">
        <v>3551.59</v>
      </c>
      <c r="H68">
        <v>3525.22</v>
      </c>
      <c r="I68">
        <v>4212.62</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row>
    <row r="69" spans="1:47" x14ac:dyDescent="0.25">
      <c r="A69" t="s">
        <v>140</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row>
    <row r="70" spans="1:47" x14ac:dyDescent="0.25">
      <c r="A70" t="s">
        <v>141</v>
      </c>
      <c r="B70">
        <v>269</v>
      </c>
      <c r="C70">
        <v>1326</v>
      </c>
      <c r="D70">
        <v>3945</v>
      </c>
      <c r="E70">
        <v>228</v>
      </c>
      <c r="F70">
        <v>264</v>
      </c>
      <c r="G70">
        <v>222.4</v>
      </c>
      <c r="H70">
        <v>174.24</v>
      </c>
      <c r="I70">
        <v>185.01</v>
      </c>
      <c r="J70">
        <v>112.84</v>
      </c>
      <c r="K70">
        <v>156.54</v>
      </c>
      <c r="L70">
        <v>141.41</v>
      </c>
      <c r="M70">
        <v>164.89</v>
      </c>
      <c r="N70">
        <v>188.25</v>
      </c>
      <c r="O70">
        <v>169.76</v>
      </c>
      <c r="P70">
        <v>163.06</v>
      </c>
      <c r="Q70">
        <v>163.21</v>
      </c>
      <c r="R70">
        <v>153.13999999999999</v>
      </c>
      <c r="S70">
        <v>158.82</v>
      </c>
      <c r="T70">
        <v>159.80000000000001</v>
      </c>
      <c r="U70">
        <v>160.19</v>
      </c>
      <c r="V70">
        <v>160.55000000000001</v>
      </c>
      <c r="W70">
        <v>160.81</v>
      </c>
      <c r="X70">
        <v>161.49</v>
      </c>
      <c r="Y70">
        <v>162.25</v>
      </c>
      <c r="Z70">
        <v>163.29</v>
      </c>
      <c r="AA70">
        <v>164.42</v>
      </c>
      <c r="AB70">
        <v>164.75</v>
      </c>
      <c r="AC70">
        <v>164.46</v>
      </c>
      <c r="AD70">
        <v>164.35</v>
      </c>
      <c r="AE70">
        <v>164.47</v>
      </c>
      <c r="AF70">
        <v>165.41</v>
      </c>
      <c r="AG70">
        <v>165.8</v>
      </c>
      <c r="AH70">
        <v>166.73</v>
      </c>
      <c r="AI70">
        <v>167.37</v>
      </c>
      <c r="AJ70">
        <v>168.26</v>
      </c>
      <c r="AK70">
        <v>169.08</v>
      </c>
      <c r="AL70">
        <v>171.03</v>
      </c>
      <c r="AM70">
        <v>172.43</v>
      </c>
      <c r="AN70">
        <v>174.08</v>
      </c>
      <c r="AO70">
        <v>175.6</v>
      </c>
      <c r="AP70">
        <v>177.25</v>
      </c>
      <c r="AQ70">
        <v>179.03</v>
      </c>
      <c r="AR70">
        <v>180.84</v>
      </c>
      <c r="AS70">
        <v>182.64</v>
      </c>
      <c r="AT70">
        <v>184.57</v>
      </c>
      <c r="AU70">
        <v>186.63</v>
      </c>
    </row>
    <row r="71" spans="1:47" x14ac:dyDescent="0.25">
      <c r="A71" t="s">
        <v>142</v>
      </c>
      <c r="B71">
        <v>180.26</v>
      </c>
      <c r="C71">
        <v>366.03</v>
      </c>
      <c r="D71">
        <v>668.83</v>
      </c>
      <c r="E71">
        <v>532.89</v>
      </c>
      <c r="F71">
        <v>392.12</v>
      </c>
      <c r="G71">
        <v>585.88</v>
      </c>
      <c r="H71">
        <v>546.17999999999995</v>
      </c>
      <c r="I71">
        <v>518.65</v>
      </c>
      <c r="J71">
        <v>475.06</v>
      </c>
      <c r="K71">
        <v>496.68</v>
      </c>
      <c r="L71">
        <v>532.04</v>
      </c>
      <c r="M71">
        <v>660.06</v>
      </c>
      <c r="N71">
        <v>421.08</v>
      </c>
      <c r="O71">
        <v>593.07000000000005</v>
      </c>
      <c r="P71">
        <v>501.07</v>
      </c>
      <c r="Q71">
        <v>501.05</v>
      </c>
      <c r="R71">
        <v>501.03</v>
      </c>
      <c r="S71">
        <v>501.04</v>
      </c>
      <c r="T71">
        <v>501.07</v>
      </c>
      <c r="U71">
        <v>501.13</v>
      </c>
      <c r="V71">
        <v>501.23</v>
      </c>
      <c r="W71">
        <v>501.41</v>
      </c>
      <c r="X71">
        <v>501.45</v>
      </c>
      <c r="Y71">
        <v>501.49</v>
      </c>
      <c r="Z71">
        <v>501.54</v>
      </c>
      <c r="AA71">
        <v>501.6</v>
      </c>
      <c r="AB71">
        <v>501.66</v>
      </c>
      <c r="AC71">
        <v>501.69</v>
      </c>
      <c r="AD71">
        <v>501.74</v>
      </c>
      <c r="AE71">
        <v>501.81</v>
      </c>
      <c r="AF71">
        <v>393.94</v>
      </c>
      <c r="AG71">
        <v>394.08</v>
      </c>
      <c r="AH71">
        <v>394.25</v>
      </c>
      <c r="AI71">
        <v>394.43</v>
      </c>
      <c r="AJ71">
        <v>394.66</v>
      </c>
      <c r="AK71">
        <v>394.93</v>
      </c>
      <c r="AL71">
        <v>395.24</v>
      </c>
      <c r="AM71">
        <v>395.6</v>
      </c>
      <c r="AN71">
        <v>396.01</v>
      </c>
      <c r="AO71">
        <v>396.46</v>
      </c>
      <c r="AP71">
        <v>397.03</v>
      </c>
      <c r="AQ71">
        <v>397.74</v>
      </c>
      <c r="AR71">
        <v>398.58</v>
      </c>
      <c r="AS71">
        <v>399.58</v>
      </c>
      <c r="AT71">
        <v>400.84</v>
      </c>
      <c r="AU71">
        <v>402.43</v>
      </c>
    </row>
    <row r="73" spans="1:47" ht="18.600000000000001" customHeight="1" x14ac:dyDescent="0.3">
      <c r="A73" s="12" t="s">
        <v>148</v>
      </c>
    </row>
    <row r="74" spans="1:47" x14ac:dyDescent="0.25">
      <c r="A74" t="s">
        <v>88</v>
      </c>
      <c r="B74" t="s">
        <v>89</v>
      </c>
      <c r="C74" t="s">
        <v>90</v>
      </c>
      <c r="D74" t="s">
        <v>91</v>
      </c>
      <c r="E74" t="s">
        <v>92</v>
      </c>
      <c r="F74" t="s">
        <v>93</v>
      </c>
      <c r="G74" t="s">
        <v>94</v>
      </c>
      <c r="H74" t="s">
        <v>95</v>
      </c>
      <c r="I74" t="s">
        <v>96</v>
      </c>
      <c r="J74" t="s">
        <v>97</v>
      </c>
      <c r="K74" t="s">
        <v>98</v>
      </c>
      <c r="L74" t="s">
        <v>99</v>
      </c>
      <c r="M74" t="s">
        <v>100</v>
      </c>
      <c r="N74" t="s">
        <v>101</v>
      </c>
      <c r="O74" t="s">
        <v>102</v>
      </c>
      <c r="P74" t="s">
        <v>103</v>
      </c>
      <c r="Q74" t="s">
        <v>104</v>
      </c>
      <c r="R74" t="s">
        <v>105</v>
      </c>
      <c r="S74" t="s">
        <v>106</v>
      </c>
      <c r="T74" t="s">
        <v>107</v>
      </c>
      <c r="U74" t="s">
        <v>108</v>
      </c>
      <c r="V74" t="s">
        <v>109</v>
      </c>
      <c r="W74" t="s">
        <v>110</v>
      </c>
      <c r="X74" t="s">
        <v>111</v>
      </c>
      <c r="Y74" t="s">
        <v>112</v>
      </c>
      <c r="Z74" t="s">
        <v>113</v>
      </c>
      <c r="AA74" t="s">
        <v>114</v>
      </c>
      <c r="AB74" t="s">
        <v>115</v>
      </c>
      <c r="AC74" t="s">
        <v>116</v>
      </c>
      <c r="AD74" t="s">
        <v>117</v>
      </c>
      <c r="AE74" t="s">
        <v>118</v>
      </c>
      <c r="AF74" t="s">
        <v>119</v>
      </c>
      <c r="AG74" t="s">
        <v>120</v>
      </c>
      <c r="AH74" t="s">
        <v>121</v>
      </c>
      <c r="AI74" t="s">
        <v>122</v>
      </c>
      <c r="AJ74" t="s">
        <v>123</v>
      </c>
      <c r="AK74" t="s">
        <v>124</v>
      </c>
      <c r="AL74" t="s">
        <v>125</v>
      </c>
      <c r="AM74" t="s">
        <v>126</v>
      </c>
      <c r="AN74" t="s">
        <v>127</v>
      </c>
      <c r="AO74" t="s">
        <v>128</v>
      </c>
      <c r="AP74" t="s">
        <v>129</v>
      </c>
      <c r="AQ74" t="s">
        <v>130</v>
      </c>
      <c r="AR74" t="s">
        <v>131</v>
      </c>
      <c r="AS74" t="s">
        <v>132</v>
      </c>
      <c r="AT74" t="s">
        <v>133</v>
      </c>
      <c r="AU74" t="s">
        <v>134</v>
      </c>
    </row>
    <row r="75" spans="1:47" x14ac:dyDescent="0.25">
      <c r="A75" t="s">
        <v>135</v>
      </c>
      <c r="B75">
        <v>35480</v>
      </c>
      <c r="C75">
        <v>36031.99</v>
      </c>
      <c r="D75">
        <v>34315</v>
      </c>
      <c r="E75">
        <v>39614.99</v>
      </c>
      <c r="F75">
        <v>39685.01</v>
      </c>
      <c r="G75">
        <v>32555</v>
      </c>
      <c r="H75">
        <v>34907</v>
      </c>
      <c r="I75">
        <v>33887</v>
      </c>
      <c r="J75">
        <v>37936</v>
      </c>
      <c r="K75">
        <v>39199.480000000003</v>
      </c>
      <c r="L75">
        <v>35042.89</v>
      </c>
      <c r="M75">
        <v>36513</v>
      </c>
      <c r="N75">
        <v>40016.01</v>
      </c>
      <c r="O75">
        <v>38280.99</v>
      </c>
      <c r="P75">
        <v>36210.019999999997</v>
      </c>
      <c r="Q75">
        <v>40201.39</v>
      </c>
      <c r="R75">
        <v>40194.480000000003</v>
      </c>
      <c r="S75">
        <v>40229.9</v>
      </c>
      <c r="T75">
        <v>40230.120000000003</v>
      </c>
      <c r="U75">
        <v>40193.25</v>
      </c>
      <c r="V75">
        <v>40193.360000000001</v>
      </c>
      <c r="W75">
        <v>40262.199999999997</v>
      </c>
      <c r="X75">
        <v>40228.11</v>
      </c>
      <c r="Y75">
        <v>40230.239999999998</v>
      </c>
      <c r="Z75">
        <v>40262.21</v>
      </c>
      <c r="AA75">
        <v>40262.18</v>
      </c>
      <c r="AB75">
        <v>40863.480000000003</v>
      </c>
      <c r="AC75">
        <v>40863.46</v>
      </c>
      <c r="AD75">
        <v>40863.46</v>
      </c>
      <c r="AE75">
        <v>41404.65</v>
      </c>
      <c r="AF75">
        <v>41404.67</v>
      </c>
      <c r="AG75">
        <v>41891.730000000003</v>
      </c>
      <c r="AH75">
        <v>41891.72</v>
      </c>
      <c r="AI75">
        <v>41891.699999999997</v>
      </c>
      <c r="AJ75">
        <v>41891.71</v>
      </c>
      <c r="AK75">
        <v>41891.71</v>
      </c>
      <c r="AL75">
        <v>42330.06</v>
      </c>
      <c r="AM75">
        <v>42724.61</v>
      </c>
      <c r="AN75">
        <v>42724.61</v>
      </c>
      <c r="AO75">
        <v>42724.59</v>
      </c>
      <c r="AP75">
        <v>42724.62</v>
      </c>
      <c r="AQ75">
        <v>42724.6</v>
      </c>
      <c r="AR75">
        <v>42724.61</v>
      </c>
      <c r="AS75">
        <v>42724.62</v>
      </c>
      <c r="AT75">
        <v>42724.63</v>
      </c>
      <c r="AU75">
        <v>42724.63</v>
      </c>
    </row>
    <row r="76" spans="1:47" x14ac:dyDescent="0.25">
      <c r="A76" t="s">
        <v>136</v>
      </c>
      <c r="B76">
        <v>26</v>
      </c>
      <c r="C76">
        <v>145</v>
      </c>
      <c r="D76">
        <v>494</v>
      </c>
      <c r="E76">
        <v>1400</v>
      </c>
      <c r="F76">
        <v>2300</v>
      </c>
      <c r="G76">
        <v>2800</v>
      </c>
      <c r="H76">
        <v>3900</v>
      </c>
      <c r="I76">
        <v>4600</v>
      </c>
      <c r="J76">
        <v>5200</v>
      </c>
      <c r="K76">
        <v>6900.64</v>
      </c>
      <c r="L76">
        <v>11396</v>
      </c>
      <c r="M76">
        <v>10758</v>
      </c>
      <c r="N76">
        <v>10464</v>
      </c>
      <c r="O76">
        <v>11922.01</v>
      </c>
      <c r="P76">
        <v>10957</v>
      </c>
      <c r="Q76">
        <v>14436.84</v>
      </c>
      <c r="R76">
        <v>15840.41</v>
      </c>
      <c r="S76">
        <v>15845.88</v>
      </c>
      <c r="T76">
        <v>15851.45</v>
      </c>
      <c r="U76">
        <v>15857.69</v>
      </c>
      <c r="V76">
        <v>15864.13</v>
      </c>
      <c r="W76">
        <v>15873.41</v>
      </c>
      <c r="X76">
        <v>15883.12</v>
      </c>
      <c r="Y76">
        <v>15893.64</v>
      </c>
      <c r="Z76">
        <v>15906.04</v>
      </c>
      <c r="AA76">
        <v>20454.37</v>
      </c>
      <c r="AB76">
        <v>23480.44</v>
      </c>
      <c r="AC76">
        <v>26519.73</v>
      </c>
      <c r="AD76">
        <v>27144.23</v>
      </c>
      <c r="AE76">
        <v>27777.52</v>
      </c>
      <c r="AF76">
        <v>28650.55</v>
      </c>
      <c r="AG76">
        <v>29519.65</v>
      </c>
      <c r="AH76">
        <v>30468.080000000002</v>
      </c>
      <c r="AI76">
        <v>34029.57</v>
      </c>
      <c r="AJ76">
        <v>35345.519999999997</v>
      </c>
      <c r="AK76">
        <v>39642.559999999998</v>
      </c>
      <c r="AL76">
        <v>42406.09</v>
      </c>
      <c r="AM76">
        <v>48126.720000000001</v>
      </c>
      <c r="AN76">
        <v>51957.77</v>
      </c>
      <c r="AO76">
        <v>57907.68</v>
      </c>
      <c r="AP76">
        <v>61081.599999999999</v>
      </c>
      <c r="AQ76">
        <v>66113.36</v>
      </c>
      <c r="AR76">
        <v>67863.91</v>
      </c>
      <c r="AS76">
        <v>71512.89</v>
      </c>
      <c r="AT76">
        <v>72496.14</v>
      </c>
      <c r="AU76">
        <v>73400.41</v>
      </c>
    </row>
    <row r="77" spans="1:47" x14ac:dyDescent="0.25">
      <c r="A77" t="s">
        <v>137</v>
      </c>
      <c r="B77">
        <v>807.53</v>
      </c>
      <c r="C77">
        <v>733.51</v>
      </c>
      <c r="D77">
        <v>598.95000000000005</v>
      </c>
      <c r="E77">
        <v>484.04</v>
      </c>
      <c r="F77">
        <v>657.05</v>
      </c>
      <c r="G77">
        <v>735.1</v>
      </c>
      <c r="H77">
        <v>607.89</v>
      </c>
      <c r="I77">
        <v>672.86</v>
      </c>
      <c r="J77">
        <v>586.34</v>
      </c>
      <c r="K77">
        <v>905.14</v>
      </c>
      <c r="L77">
        <v>937.11</v>
      </c>
      <c r="M77">
        <v>1444.15</v>
      </c>
      <c r="N77">
        <v>962.05</v>
      </c>
      <c r="O77">
        <v>1310.77</v>
      </c>
      <c r="P77">
        <v>1249.3900000000001</v>
      </c>
      <c r="Q77">
        <v>756.17</v>
      </c>
      <c r="R77">
        <v>767.62</v>
      </c>
      <c r="S77">
        <v>773.88</v>
      </c>
      <c r="T77">
        <v>772.61</v>
      </c>
      <c r="U77">
        <v>759.22</v>
      </c>
      <c r="V77">
        <v>758.82</v>
      </c>
      <c r="W77">
        <v>784.37</v>
      </c>
      <c r="X77">
        <v>770.68</v>
      </c>
      <c r="Y77">
        <v>769.88</v>
      </c>
      <c r="Z77">
        <v>781.76</v>
      </c>
      <c r="AA77">
        <v>780.58</v>
      </c>
      <c r="AB77">
        <v>780.41</v>
      </c>
      <c r="AC77">
        <v>767.81</v>
      </c>
      <c r="AD77">
        <v>780.87</v>
      </c>
      <c r="AE77">
        <v>754.83</v>
      </c>
      <c r="AF77">
        <v>754.27</v>
      </c>
      <c r="AG77">
        <v>779.3</v>
      </c>
      <c r="AH77">
        <v>765.67</v>
      </c>
      <c r="AI77">
        <v>765.03</v>
      </c>
      <c r="AJ77">
        <v>764.29</v>
      </c>
      <c r="AK77">
        <v>750.62</v>
      </c>
      <c r="AL77">
        <v>754.81</v>
      </c>
      <c r="AM77">
        <v>784.72</v>
      </c>
      <c r="AN77">
        <v>783.36</v>
      </c>
      <c r="AO77">
        <v>782.12</v>
      </c>
      <c r="AP77">
        <v>782.76</v>
      </c>
      <c r="AQ77">
        <v>787.71</v>
      </c>
      <c r="AR77">
        <v>786.25</v>
      </c>
      <c r="AS77">
        <v>784.8</v>
      </c>
      <c r="AT77">
        <v>783.24</v>
      </c>
      <c r="AU77">
        <v>783.61</v>
      </c>
    </row>
    <row r="78" spans="1:47" x14ac:dyDescent="0.25">
      <c r="A78" t="s">
        <v>138</v>
      </c>
      <c r="B78">
        <v>0</v>
      </c>
      <c r="C78">
        <v>0</v>
      </c>
      <c r="D78">
        <v>0</v>
      </c>
      <c r="E78">
        <v>0</v>
      </c>
      <c r="F78">
        <v>5</v>
      </c>
      <c r="G78">
        <v>123</v>
      </c>
      <c r="H78">
        <v>398</v>
      </c>
      <c r="I78">
        <v>842</v>
      </c>
      <c r="J78">
        <v>1173</v>
      </c>
      <c r="K78">
        <v>1757.71</v>
      </c>
      <c r="L78">
        <v>1425</v>
      </c>
      <c r="M78">
        <v>1776</v>
      </c>
      <c r="N78">
        <v>1998</v>
      </c>
      <c r="O78">
        <v>2163</v>
      </c>
      <c r="P78">
        <v>2168</v>
      </c>
      <c r="Q78">
        <v>2168</v>
      </c>
      <c r="R78">
        <v>2169.9699999999998</v>
      </c>
      <c r="S78">
        <v>2174.56</v>
      </c>
      <c r="T78">
        <v>2179.17</v>
      </c>
      <c r="U78">
        <v>2184.7800000000002</v>
      </c>
      <c r="V78">
        <v>2189.98</v>
      </c>
      <c r="W78">
        <v>2196.85</v>
      </c>
      <c r="X78">
        <v>2204.6799999999998</v>
      </c>
      <c r="Y78">
        <v>2213.5500000000002</v>
      </c>
      <c r="Z78">
        <v>2548.61</v>
      </c>
      <c r="AA78">
        <v>3038.16</v>
      </c>
      <c r="AB78">
        <v>3198.15</v>
      </c>
      <c r="AC78">
        <v>3699.65</v>
      </c>
      <c r="AD78">
        <v>4069.13</v>
      </c>
      <c r="AE78">
        <v>4459.7299999999996</v>
      </c>
      <c r="AF78">
        <v>5072.47</v>
      </c>
      <c r="AG78">
        <v>5675.31</v>
      </c>
      <c r="AH78">
        <v>6347.37</v>
      </c>
      <c r="AI78">
        <v>7330.43</v>
      </c>
      <c r="AJ78">
        <v>8323.26</v>
      </c>
      <c r="AK78">
        <v>9958.99</v>
      </c>
      <c r="AL78">
        <v>12186.32</v>
      </c>
      <c r="AM78">
        <v>15133.07</v>
      </c>
      <c r="AN78">
        <v>18326.669999999998</v>
      </c>
      <c r="AO78">
        <v>21566.41</v>
      </c>
      <c r="AP78">
        <v>24227.89</v>
      </c>
      <c r="AQ78">
        <v>26587.89</v>
      </c>
      <c r="AR78">
        <v>27950.43</v>
      </c>
      <c r="AS78">
        <v>29111.9</v>
      </c>
      <c r="AT78">
        <v>29805.31</v>
      </c>
      <c r="AU78">
        <v>30297.55</v>
      </c>
    </row>
    <row r="79" spans="1:47" x14ac:dyDescent="0.25">
      <c r="A79" t="s">
        <v>139</v>
      </c>
      <c r="B79">
        <v>77969</v>
      </c>
      <c r="C79">
        <v>83457</v>
      </c>
      <c r="D79">
        <v>79750</v>
      </c>
      <c r="E79">
        <v>85832</v>
      </c>
      <c r="F79">
        <v>81395.98</v>
      </c>
      <c r="G79">
        <v>81975</v>
      </c>
      <c r="H79">
        <v>84766</v>
      </c>
      <c r="I79">
        <v>84866</v>
      </c>
      <c r="J79">
        <v>93102.99</v>
      </c>
      <c r="K79">
        <v>96195.59</v>
      </c>
      <c r="L79">
        <v>91768.98</v>
      </c>
      <c r="M79">
        <v>91142.01</v>
      </c>
      <c r="N79">
        <v>90445</v>
      </c>
      <c r="O79">
        <v>90155.01</v>
      </c>
      <c r="P79">
        <v>90454</v>
      </c>
      <c r="Q79">
        <v>78513.960000000006</v>
      </c>
      <c r="R79">
        <v>73695.8</v>
      </c>
      <c r="S79">
        <v>76110.52</v>
      </c>
      <c r="T79">
        <v>64975.64</v>
      </c>
      <c r="U79">
        <v>75346.559999999998</v>
      </c>
      <c r="V79">
        <v>68445.5</v>
      </c>
      <c r="W79">
        <v>63105.11</v>
      </c>
      <c r="X79">
        <v>69400.34</v>
      </c>
      <c r="Y79">
        <v>75838.45</v>
      </c>
      <c r="Z79">
        <v>70893.45</v>
      </c>
      <c r="AA79">
        <v>77736.77</v>
      </c>
      <c r="AB79">
        <v>71040.09</v>
      </c>
      <c r="AC79">
        <v>77883.41</v>
      </c>
      <c r="AD79">
        <v>77924.14</v>
      </c>
      <c r="AE79">
        <v>84767.45</v>
      </c>
      <c r="AF79">
        <v>86590.41</v>
      </c>
      <c r="AG79">
        <v>86590.41</v>
      </c>
      <c r="AH79">
        <v>86632.02</v>
      </c>
      <c r="AI79">
        <v>86632.02</v>
      </c>
      <c r="AJ79">
        <v>86715.24</v>
      </c>
      <c r="AK79">
        <v>86881.68</v>
      </c>
      <c r="AL79">
        <v>87048.12</v>
      </c>
      <c r="AM79">
        <v>87214.55</v>
      </c>
      <c r="AN79">
        <v>87381</v>
      </c>
      <c r="AO79">
        <v>87589.05</v>
      </c>
      <c r="AP79">
        <v>87797.09</v>
      </c>
      <c r="AQ79">
        <v>88213.2</v>
      </c>
      <c r="AR79">
        <v>89045.4</v>
      </c>
      <c r="AS79">
        <v>89877.59</v>
      </c>
      <c r="AT79">
        <v>90709.79</v>
      </c>
      <c r="AU79">
        <v>90709.79</v>
      </c>
    </row>
    <row r="80" spans="1:47" x14ac:dyDescent="0.25">
      <c r="A80" t="s">
        <v>140</v>
      </c>
      <c r="B80">
        <v>28734.080000000002</v>
      </c>
      <c r="C80">
        <v>23808.080000000002</v>
      </c>
      <c r="D80">
        <v>27468.720000000001</v>
      </c>
      <c r="E80">
        <v>22638.21</v>
      </c>
      <c r="F80">
        <v>10461.15</v>
      </c>
      <c r="G80">
        <v>10336.620000000001</v>
      </c>
      <c r="H80">
        <v>4329.34</v>
      </c>
      <c r="I80">
        <v>3596.74</v>
      </c>
      <c r="J80">
        <v>2742.24</v>
      </c>
      <c r="K80">
        <v>94.81</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row>
    <row r="81" spans="1:47" x14ac:dyDescent="0.25">
      <c r="A81" t="s">
        <v>141</v>
      </c>
      <c r="B81">
        <v>13282.59</v>
      </c>
      <c r="C81">
        <v>11807.7</v>
      </c>
      <c r="D81">
        <v>13530.81</v>
      </c>
      <c r="E81">
        <v>11214.3</v>
      </c>
      <c r="F81">
        <v>7490.9</v>
      </c>
      <c r="G81">
        <v>16885.54</v>
      </c>
      <c r="H81">
        <v>24281.59</v>
      </c>
      <c r="I81">
        <v>23380.22</v>
      </c>
      <c r="J81">
        <v>18653.16</v>
      </c>
      <c r="K81">
        <v>15720.97</v>
      </c>
      <c r="L81">
        <v>16218.48</v>
      </c>
      <c r="M81">
        <v>14862.2</v>
      </c>
      <c r="N81">
        <v>8378.6200000000008</v>
      </c>
      <c r="O81">
        <v>11831.22</v>
      </c>
      <c r="P81">
        <v>11504.17</v>
      </c>
      <c r="Q81">
        <v>9751.43</v>
      </c>
      <c r="R81">
        <v>12661.08</v>
      </c>
      <c r="S81">
        <v>16084.9</v>
      </c>
      <c r="T81">
        <v>19884.34</v>
      </c>
      <c r="U81">
        <v>13823.89</v>
      </c>
      <c r="V81">
        <v>17526.53</v>
      </c>
      <c r="W81">
        <v>23150.5</v>
      </c>
      <c r="X81">
        <v>20545.72</v>
      </c>
      <c r="Y81">
        <v>19372.939999999999</v>
      </c>
      <c r="Z81">
        <v>25389.35</v>
      </c>
      <c r="AA81">
        <v>21398.93</v>
      </c>
      <c r="AB81">
        <v>26543.49</v>
      </c>
      <c r="AC81">
        <v>20464.93</v>
      </c>
      <c r="AD81">
        <v>20015.419999999998</v>
      </c>
      <c r="AE81">
        <v>16768.240000000002</v>
      </c>
      <c r="AF81">
        <v>16155.25</v>
      </c>
      <c r="AG81">
        <v>5265.33</v>
      </c>
      <c r="AH81">
        <v>4989.55</v>
      </c>
      <c r="AI81">
        <v>4046.97</v>
      </c>
      <c r="AJ81">
        <v>4037.94</v>
      </c>
      <c r="AK81">
        <v>3694.78</v>
      </c>
      <c r="AL81">
        <v>3993.06</v>
      </c>
      <c r="AM81">
        <v>4469.17</v>
      </c>
      <c r="AN81">
        <v>4732.95</v>
      </c>
      <c r="AO81">
        <v>4432.57</v>
      </c>
      <c r="AP81">
        <v>4596.84</v>
      </c>
      <c r="AQ81">
        <v>4613.88</v>
      </c>
      <c r="AR81">
        <v>4757.4399999999996</v>
      </c>
      <c r="AS81">
        <v>4601.67</v>
      </c>
      <c r="AT81">
        <v>4709.57</v>
      </c>
      <c r="AU81">
        <v>4852.41</v>
      </c>
    </row>
    <row r="82" spans="1:47" x14ac:dyDescent="0.25">
      <c r="A82" t="s">
        <v>142</v>
      </c>
      <c r="B82">
        <v>309.95</v>
      </c>
      <c r="C82">
        <v>309.95</v>
      </c>
      <c r="D82">
        <v>309.95</v>
      </c>
      <c r="E82">
        <v>182.56</v>
      </c>
      <c r="F82">
        <v>215.24</v>
      </c>
      <c r="G82">
        <v>73.47</v>
      </c>
      <c r="H82">
        <v>45.67</v>
      </c>
      <c r="I82">
        <v>65.78</v>
      </c>
      <c r="J82">
        <v>45.15</v>
      </c>
      <c r="K82">
        <v>381.13</v>
      </c>
      <c r="L82">
        <v>657.48</v>
      </c>
      <c r="M82">
        <v>544.26</v>
      </c>
      <c r="N82">
        <v>377.97</v>
      </c>
      <c r="O82">
        <v>459.69</v>
      </c>
      <c r="P82">
        <v>409.18</v>
      </c>
      <c r="Q82">
        <v>15.38</v>
      </c>
      <c r="R82">
        <v>156.56</v>
      </c>
      <c r="S82">
        <v>132.34</v>
      </c>
      <c r="T82">
        <v>539.23</v>
      </c>
      <c r="U82">
        <v>84.08</v>
      </c>
      <c r="V82">
        <v>1000.86</v>
      </c>
      <c r="W82">
        <v>3605.96</v>
      </c>
      <c r="X82">
        <v>2234.2800000000002</v>
      </c>
      <c r="Y82">
        <v>1372.22</v>
      </c>
      <c r="Z82">
        <v>3631.94</v>
      </c>
      <c r="AA82">
        <v>875.73</v>
      </c>
      <c r="AB82">
        <v>4113.8500000000004</v>
      </c>
      <c r="AC82">
        <v>1998.32</v>
      </c>
      <c r="AD82">
        <v>2758.81</v>
      </c>
      <c r="AE82">
        <v>1821.14</v>
      </c>
      <c r="AF82">
        <v>1456.37</v>
      </c>
      <c r="AG82">
        <v>4175.8500000000004</v>
      </c>
      <c r="AH82">
        <v>4212.34</v>
      </c>
      <c r="AI82">
        <v>3408.68</v>
      </c>
      <c r="AJ82">
        <v>3589.03</v>
      </c>
      <c r="AK82">
        <v>3003.27</v>
      </c>
      <c r="AL82">
        <v>4115.29</v>
      </c>
      <c r="AM82">
        <v>2659.02</v>
      </c>
      <c r="AN82">
        <v>3427.68</v>
      </c>
      <c r="AO82">
        <v>2475.3000000000002</v>
      </c>
      <c r="AP82">
        <v>3127.13</v>
      </c>
      <c r="AQ82">
        <v>2847.24</v>
      </c>
      <c r="AR82">
        <v>3271.8</v>
      </c>
      <c r="AS82">
        <v>2712.5</v>
      </c>
      <c r="AT82">
        <v>3184.36</v>
      </c>
      <c r="AU82">
        <v>4029.9</v>
      </c>
    </row>
    <row r="84" spans="1:47" ht="18.600000000000001" customHeight="1" x14ac:dyDescent="0.3">
      <c r="A84" s="12" t="s">
        <v>149</v>
      </c>
    </row>
    <row r="85" spans="1:47" x14ac:dyDescent="0.25">
      <c r="A85" t="s">
        <v>88</v>
      </c>
      <c r="B85" t="s">
        <v>89</v>
      </c>
      <c r="C85" t="s">
        <v>90</v>
      </c>
      <c r="D85" t="s">
        <v>91</v>
      </c>
      <c r="E85" t="s">
        <v>92</v>
      </c>
      <c r="F85" t="s">
        <v>93</v>
      </c>
      <c r="G85" t="s">
        <v>94</v>
      </c>
      <c r="H85" t="s">
        <v>95</v>
      </c>
      <c r="I85" t="s">
        <v>96</v>
      </c>
      <c r="J85" t="s">
        <v>97</v>
      </c>
      <c r="K85" t="s">
        <v>98</v>
      </c>
      <c r="L85" t="s">
        <v>99</v>
      </c>
      <c r="M85" t="s">
        <v>100</v>
      </c>
      <c r="N85" t="s">
        <v>101</v>
      </c>
      <c r="O85" t="s">
        <v>102</v>
      </c>
      <c r="P85" t="s">
        <v>103</v>
      </c>
      <c r="Q85" t="s">
        <v>104</v>
      </c>
      <c r="R85" t="s">
        <v>105</v>
      </c>
      <c r="S85" t="s">
        <v>106</v>
      </c>
      <c r="T85" t="s">
        <v>107</v>
      </c>
      <c r="U85" t="s">
        <v>108</v>
      </c>
      <c r="V85" t="s">
        <v>109</v>
      </c>
      <c r="W85" t="s">
        <v>110</v>
      </c>
      <c r="X85" t="s">
        <v>111</v>
      </c>
      <c r="Y85" t="s">
        <v>112</v>
      </c>
      <c r="Z85" t="s">
        <v>113</v>
      </c>
      <c r="AA85" t="s">
        <v>114</v>
      </c>
      <c r="AB85" t="s">
        <v>115</v>
      </c>
      <c r="AC85" t="s">
        <v>116</v>
      </c>
      <c r="AD85" t="s">
        <v>117</v>
      </c>
      <c r="AE85" t="s">
        <v>118</v>
      </c>
      <c r="AF85" t="s">
        <v>119</v>
      </c>
      <c r="AG85" t="s">
        <v>120</v>
      </c>
      <c r="AH85" t="s">
        <v>121</v>
      </c>
      <c r="AI85" t="s">
        <v>122</v>
      </c>
      <c r="AJ85" t="s">
        <v>123</v>
      </c>
      <c r="AK85" t="s">
        <v>124</v>
      </c>
      <c r="AL85" t="s">
        <v>125</v>
      </c>
      <c r="AM85" t="s">
        <v>126</v>
      </c>
      <c r="AN85" t="s">
        <v>127</v>
      </c>
      <c r="AO85" t="s">
        <v>128</v>
      </c>
      <c r="AP85" t="s">
        <v>129</v>
      </c>
      <c r="AQ85" t="s">
        <v>130</v>
      </c>
      <c r="AR85" t="s">
        <v>131</v>
      </c>
      <c r="AS85" t="s">
        <v>132</v>
      </c>
      <c r="AT85" t="s">
        <v>133</v>
      </c>
      <c r="AU85" t="s">
        <v>134</v>
      </c>
    </row>
    <row r="86" spans="1:47" x14ac:dyDescent="0.25">
      <c r="A86" t="s">
        <v>135</v>
      </c>
      <c r="B86">
        <v>36440</v>
      </c>
      <c r="C86">
        <v>33651</v>
      </c>
      <c r="D86">
        <v>33513</v>
      </c>
      <c r="E86">
        <v>34588</v>
      </c>
      <c r="F86">
        <v>33549</v>
      </c>
      <c r="G86">
        <v>33269</v>
      </c>
      <c r="H86">
        <v>34206</v>
      </c>
      <c r="I86">
        <v>32185</v>
      </c>
      <c r="J86">
        <v>35337</v>
      </c>
      <c r="K86">
        <v>34494.879999999997</v>
      </c>
      <c r="L86">
        <v>34774</v>
      </c>
      <c r="M86">
        <v>36599</v>
      </c>
      <c r="N86">
        <v>35991</v>
      </c>
      <c r="O86">
        <v>30732</v>
      </c>
      <c r="P86">
        <v>32935</v>
      </c>
      <c r="Q86">
        <v>33738.22</v>
      </c>
      <c r="R86">
        <v>34368.94</v>
      </c>
      <c r="S86">
        <v>38153.279999999999</v>
      </c>
      <c r="T86">
        <v>38153.25</v>
      </c>
      <c r="U86">
        <v>38153.26</v>
      </c>
      <c r="V86">
        <v>38153.269999999997</v>
      </c>
      <c r="W86">
        <v>38153.230000000003</v>
      </c>
      <c r="X86">
        <v>38153.269999999997</v>
      </c>
      <c r="Y86">
        <v>38191.410000000003</v>
      </c>
      <c r="Z86">
        <v>38229.629999999997</v>
      </c>
      <c r="AA86">
        <v>38267.86</v>
      </c>
      <c r="AB86">
        <v>38306.089999999997</v>
      </c>
      <c r="AC86">
        <v>38344.42</v>
      </c>
      <c r="AD86">
        <v>38382.78</v>
      </c>
      <c r="AE86">
        <v>38421.120000000003</v>
      </c>
      <c r="AF86">
        <v>38459.58</v>
      </c>
      <c r="AG86">
        <v>38498.03</v>
      </c>
      <c r="AH86">
        <v>38536.49</v>
      </c>
      <c r="AI86">
        <v>38575.08</v>
      </c>
      <c r="AJ86">
        <v>38613.64</v>
      </c>
      <c r="AK86">
        <v>38652.239999999998</v>
      </c>
      <c r="AL86">
        <v>38690.93</v>
      </c>
      <c r="AM86">
        <v>38729.61</v>
      </c>
      <c r="AN86">
        <v>38768.31</v>
      </c>
      <c r="AO86">
        <v>38807.06</v>
      </c>
      <c r="AP86">
        <v>38845.89</v>
      </c>
      <c r="AQ86">
        <v>38884.71</v>
      </c>
      <c r="AR86">
        <v>38923.599999999999</v>
      </c>
      <c r="AS86">
        <v>38962.550000000003</v>
      </c>
      <c r="AT86">
        <v>39001.5</v>
      </c>
      <c r="AU86">
        <v>39040.559999999998</v>
      </c>
    </row>
    <row r="87" spans="1:47" x14ac:dyDescent="0.25">
      <c r="A87" t="s">
        <v>136</v>
      </c>
      <c r="B87">
        <v>53</v>
      </c>
      <c r="C87">
        <v>325</v>
      </c>
      <c r="D87">
        <v>325</v>
      </c>
      <c r="E87">
        <v>412</v>
      </c>
      <c r="F87">
        <v>365</v>
      </c>
      <c r="G87">
        <v>343</v>
      </c>
      <c r="H87">
        <v>747</v>
      </c>
      <c r="I87">
        <v>877</v>
      </c>
      <c r="J87">
        <v>868</v>
      </c>
      <c r="K87">
        <v>911.32</v>
      </c>
      <c r="L87">
        <v>903</v>
      </c>
      <c r="M87">
        <v>966</v>
      </c>
      <c r="N87">
        <v>927</v>
      </c>
      <c r="O87">
        <v>873</v>
      </c>
      <c r="P87">
        <v>884</v>
      </c>
      <c r="Q87">
        <v>884</v>
      </c>
      <c r="R87">
        <v>885</v>
      </c>
      <c r="S87">
        <v>887.31</v>
      </c>
      <c r="T87">
        <v>889.64</v>
      </c>
      <c r="U87">
        <v>1008.18</v>
      </c>
      <c r="V87">
        <v>1124.3499999999999</v>
      </c>
      <c r="W87">
        <v>1245.17</v>
      </c>
      <c r="X87">
        <v>1369.69</v>
      </c>
      <c r="Y87">
        <v>1497.67</v>
      </c>
      <c r="Z87">
        <v>1628.83</v>
      </c>
      <c r="AA87">
        <v>1770.91</v>
      </c>
      <c r="AB87">
        <v>1916.32</v>
      </c>
      <c r="AC87">
        <v>2065.79</v>
      </c>
      <c r="AD87">
        <v>2223.11</v>
      </c>
      <c r="AE87">
        <v>2384.0300000000002</v>
      </c>
      <c r="AF87">
        <v>2552.8000000000002</v>
      </c>
      <c r="AG87">
        <v>2727.04</v>
      </c>
      <c r="AH87">
        <v>2908.15</v>
      </c>
      <c r="AI87">
        <v>3100.09</v>
      </c>
      <c r="AJ87">
        <v>3309.26</v>
      </c>
      <c r="AK87">
        <v>3548.76</v>
      </c>
      <c r="AL87">
        <v>3835.53</v>
      </c>
      <c r="AM87">
        <v>4146.99</v>
      </c>
      <c r="AN87">
        <v>4478.46</v>
      </c>
      <c r="AO87">
        <v>4795.55</v>
      </c>
      <c r="AP87">
        <v>5092.3500000000004</v>
      </c>
      <c r="AQ87">
        <v>5370.75</v>
      </c>
      <c r="AR87">
        <v>5619.18</v>
      </c>
      <c r="AS87">
        <v>5852.22</v>
      </c>
      <c r="AT87">
        <v>6080.23</v>
      </c>
      <c r="AU87">
        <v>6301.06</v>
      </c>
    </row>
    <row r="88" spans="1:47" x14ac:dyDescent="0.25">
      <c r="A88" t="s">
        <v>137</v>
      </c>
      <c r="B88">
        <v>27.33</v>
      </c>
      <c r="C88">
        <v>32</v>
      </c>
      <c r="D88">
        <v>27</v>
      </c>
      <c r="E88">
        <v>38</v>
      </c>
      <c r="F88">
        <v>0</v>
      </c>
      <c r="G88">
        <v>0</v>
      </c>
      <c r="H88">
        <v>0</v>
      </c>
      <c r="I88">
        <v>39</v>
      </c>
      <c r="J88">
        <v>42</v>
      </c>
      <c r="K88">
        <v>64.400000000000006</v>
      </c>
      <c r="L88">
        <v>82</v>
      </c>
      <c r="M88">
        <v>108</v>
      </c>
      <c r="N88">
        <v>56</v>
      </c>
      <c r="O88">
        <v>46</v>
      </c>
      <c r="P88">
        <v>82</v>
      </c>
      <c r="Q88">
        <v>82</v>
      </c>
      <c r="R88">
        <v>82</v>
      </c>
      <c r="S88">
        <v>82</v>
      </c>
      <c r="T88">
        <v>82</v>
      </c>
      <c r="U88">
        <v>82</v>
      </c>
      <c r="V88">
        <v>82</v>
      </c>
      <c r="W88">
        <v>82</v>
      </c>
      <c r="X88">
        <v>82</v>
      </c>
      <c r="Y88">
        <v>82</v>
      </c>
      <c r="Z88">
        <v>82</v>
      </c>
      <c r="AA88">
        <v>82</v>
      </c>
      <c r="AB88">
        <v>82</v>
      </c>
      <c r="AC88">
        <v>82</v>
      </c>
      <c r="AD88">
        <v>82</v>
      </c>
      <c r="AE88">
        <v>82</v>
      </c>
      <c r="AF88">
        <v>82</v>
      </c>
      <c r="AG88">
        <v>82</v>
      </c>
      <c r="AH88">
        <v>82</v>
      </c>
      <c r="AI88">
        <v>82</v>
      </c>
      <c r="AJ88">
        <v>82</v>
      </c>
      <c r="AK88">
        <v>82</v>
      </c>
      <c r="AL88">
        <v>82</v>
      </c>
      <c r="AM88">
        <v>82</v>
      </c>
      <c r="AN88">
        <v>82</v>
      </c>
      <c r="AO88">
        <v>82</v>
      </c>
      <c r="AP88">
        <v>82</v>
      </c>
      <c r="AQ88">
        <v>82</v>
      </c>
      <c r="AR88">
        <v>82</v>
      </c>
      <c r="AS88">
        <v>82</v>
      </c>
      <c r="AT88">
        <v>82</v>
      </c>
      <c r="AU88">
        <v>82</v>
      </c>
    </row>
    <row r="89" spans="1:47" x14ac:dyDescent="0.25">
      <c r="A89" t="s">
        <v>138</v>
      </c>
      <c r="B89">
        <v>0</v>
      </c>
      <c r="C89">
        <v>0</v>
      </c>
      <c r="D89">
        <v>0</v>
      </c>
      <c r="E89">
        <v>0</v>
      </c>
      <c r="F89">
        <v>0</v>
      </c>
      <c r="G89">
        <v>0</v>
      </c>
      <c r="H89">
        <v>0</v>
      </c>
      <c r="I89">
        <v>0</v>
      </c>
      <c r="J89">
        <v>0</v>
      </c>
      <c r="K89">
        <v>0</v>
      </c>
      <c r="L89">
        <v>0</v>
      </c>
      <c r="M89">
        <v>0</v>
      </c>
      <c r="N89">
        <v>0</v>
      </c>
      <c r="O89">
        <v>0</v>
      </c>
      <c r="P89">
        <v>0</v>
      </c>
      <c r="Q89">
        <v>5.26</v>
      </c>
      <c r="R89">
        <v>6.26</v>
      </c>
      <c r="S89">
        <v>8.26</v>
      </c>
      <c r="T89">
        <v>10.37</v>
      </c>
      <c r="U89">
        <v>70.16</v>
      </c>
      <c r="V89">
        <v>72.97</v>
      </c>
      <c r="W89">
        <v>76.02</v>
      </c>
      <c r="X89">
        <v>79.27</v>
      </c>
      <c r="Y89">
        <v>82.78</v>
      </c>
      <c r="Z89">
        <v>86.69</v>
      </c>
      <c r="AA89">
        <v>90.97</v>
      </c>
      <c r="AB89">
        <v>95.48</v>
      </c>
      <c r="AC89">
        <v>100.62</v>
      </c>
      <c r="AD89">
        <v>110.4</v>
      </c>
      <c r="AE89">
        <v>120.88</v>
      </c>
      <c r="AF89">
        <v>136.36000000000001</v>
      </c>
      <c r="AG89">
        <v>154.72999999999999</v>
      </c>
      <c r="AH89">
        <v>244.35</v>
      </c>
      <c r="AI89">
        <v>345.37</v>
      </c>
      <c r="AJ89">
        <v>463.64</v>
      </c>
      <c r="AK89">
        <v>609.78</v>
      </c>
      <c r="AL89">
        <v>798.98</v>
      </c>
      <c r="AM89">
        <v>1010.43</v>
      </c>
      <c r="AN89">
        <v>1240.03</v>
      </c>
      <c r="AO89">
        <v>1455.72</v>
      </c>
      <c r="AP89">
        <v>1651.96</v>
      </c>
      <c r="AQ89">
        <v>1830.27</v>
      </c>
      <c r="AR89">
        <v>1979.73</v>
      </c>
      <c r="AS89">
        <v>2113.79</v>
      </c>
      <c r="AT89">
        <v>2234.4299999999998</v>
      </c>
      <c r="AU89">
        <v>2353.86</v>
      </c>
    </row>
    <row r="90" spans="1:47" x14ac:dyDescent="0.25">
      <c r="A90" t="s">
        <v>139</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row>
    <row r="91" spans="1:47" x14ac:dyDescent="0.25">
      <c r="A91" t="s">
        <v>140</v>
      </c>
      <c r="B91">
        <v>413.26</v>
      </c>
      <c r="C91">
        <v>316.98</v>
      </c>
      <c r="D91">
        <v>380.97</v>
      </c>
      <c r="E91">
        <v>380.18</v>
      </c>
      <c r="F91">
        <v>137.79</v>
      </c>
      <c r="G91">
        <v>43.57</v>
      </c>
      <c r="H91">
        <v>48.77</v>
      </c>
      <c r="I91">
        <v>50.54</v>
      </c>
      <c r="J91">
        <v>64.180000000000007</v>
      </c>
      <c r="K91">
        <v>67.62</v>
      </c>
      <c r="L91">
        <v>61.83</v>
      </c>
      <c r="M91">
        <v>27.48</v>
      </c>
      <c r="N91">
        <v>29.44</v>
      </c>
      <c r="O91">
        <v>4.91</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row>
    <row r="92" spans="1:47" x14ac:dyDescent="0.25">
      <c r="A92" t="s">
        <v>141</v>
      </c>
      <c r="B92">
        <v>41.65</v>
      </c>
      <c r="C92">
        <v>90.76</v>
      </c>
      <c r="D92">
        <v>172.59</v>
      </c>
      <c r="E92">
        <v>133.66</v>
      </c>
      <c r="F92">
        <v>129.41</v>
      </c>
      <c r="G92">
        <v>98.95</v>
      </c>
      <c r="H92">
        <v>109.3</v>
      </c>
      <c r="I92">
        <v>60.7</v>
      </c>
      <c r="J92">
        <v>30.49</v>
      </c>
      <c r="K92">
        <v>32.090000000000003</v>
      </c>
      <c r="L92">
        <v>119.35</v>
      </c>
      <c r="M92">
        <v>69.02</v>
      </c>
      <c r="N92">
        <v>70.72</v>
      </c>
      <c r="O92">
        <v>51.46</v>
      </c>
      <c r="P92">
        <v>39.9</v>
      </c>
      <c r="Q92">
        <v>247.24</v>
      </c>
      <c r="R92">
        <v>380.91</v>
      </c>
      <c r="S92">
        <v>151.19999999999999</v>
      </c>
      <c r="T92">
        <v>151.08000000000001</v>
      </c>
      <c r="U92">
        <v>116.1</v>
      </c>
      <c r="V92">
        <v>150.65</v>
      </c>
      <c r="W92">
        <v>115.51</v>
      </c>
      <c r="X92">
        <v>115.51</v>
      </c>
      <c r="Y92">
        <v>57.19</v>
      </c>
      <c r="Z92">
        <v>57.19</v>
      </c>
      <c r="AA92">
        <v>22.2</v>
      </c>
      <c r="AB92">
        <v>22.16</v>
      </c>
      <c r="AC92">
        <v>22.11</v>
      </c>
      <c r="AD92">
        <v>22.06</v>
      </c>
      <c r="AE92">
        <v>22.01</v>
      </c>
      <c r="AF92">
        <v>21.96</v>
      </c>
      <c r="AG92">
        <v>21.92</v>
      </c>
      <c r="AH92">
        <v>21.87</v>
      </c>
      <c r="AI92">
        <v>21.81</v>
      </c>
      <c r="AJ92">
        <v>21.75</v>
      </c>
      <c r="AK92">
        <v>21.7</v>
      </c>
      <c r="AL92">
        <v>21.7</v>
      </c>
      <c r="AM92">
        <v>21.7</v>
      </c>
      <c r="AN92">
        <v>21.7</v>
      </c>
      <c r="AO92">
        <v>21.69</v>
      </c>
      <c r="AP92">
        <v>21.69</v>
      </c>
      <c r="AQ92">
        <v>21.68</v>
      </c>
      <c r="AR92">
        <v>21.68</v>
      </c>
      <c r="AS92">
        <v>21.67</v>
      </c>
      <c r="AT92">
        <v>192.58</v>
      </c>
      <c r="AU92">
        <v>168.86</v>
      </c>
    </row>
    <row r="93" spans="1:47" x14ac:dyDescent="0.25">
      <c r="A93" t="s">
        <v>142</v>
      </c>
      <c r="B93">
        <v>8.2899999999999991</v>
      </c>
      <c r="C93">
        <v>7.35</v>
      </c>
      <c r="D93">
        <v>10.64</v>
      </c>
      <c r="E93">
        <v>9.4499999999999993</v>
      </c>
      <c r="F93">
        <v>4.71</v>
      </c>
      <c r="G93">
        <v>2.37</v>
      </c>
      <c r="H93">
        <v>3.53</v>
      </c>
      <c r="I93">
        <v>2.65</v>
      </c>
      <c r="J93">
        <v>1.93</v>
      </c>
      <c r="K93">
        <v>6.79</v>
      </c>
      <c r="L93">
        <v>5.82</v>
      </c>
      <c r="M93">
        <v>2.5099999999999998</v>
      </c>
      <c r="N93">
        <v>2.84</v>
      </c>
      <c r="O93">
        <v>1.64</v>
      </c>
      <c r="P93">
        <v>1.1000000000000001</v>
      </c>
      <c r="Q93">
        <v>10.78</v>
      </c>
      <c r="R93">
        <v>19.850000000000001</v>
      </c>
      <c r="S93">
        <v>0.47</v>
      </c>
      <c r="T93">
        <v>0.6</v>
      </c>
      <c r="U93">
        <v>0.77</v>
      </c>
      <c r="V93">
        <v>1.02</v>
      </c>
      <c r="W93">
        <v>1.37</v>
      </c>
      <c r="X93">
        <v>1.37</v>
      </c>
      <c r="Y93">
        <v>1.37</v>
      </c>
      <c r="Z93">
        <v>1.37</v>
      </c>
      <c r="AA93">
        <v>1.38</v>
      </c>
      <c r="AB93">
        <v>1.41</v>
      </c>
      <c r="AC93">
        <v>1.46</v>
      </c>
      <c r="AD93">
        <v>1.51</v>
      </c>
      <c r="AE93">
        <v>1.56</v>
      </c>
      <c r="AF93">
        <v>1.61</v>
      </c>
      <c r="AG93">
        <v>1.66</v>
      </c>
      <c r="AH93">
        <v>1.71</v>
      </c>
      <c r="AI93">
        <v>1.76</v>
      </c>
      <c r="AJ93">
        <v>1.82</v>
      </c>
      <c r="AK93">
        <v>1.88</v>
      </c>
      <c r="AL93">
        <v>1.87</v>
      </c>
      <c r="AM93">
        <v>1.87</v>
      </c>
      <c r="AN93">
        <v>1.87</v>
      </c>
      <c r="AO93">
        <v>1.88</v>
      </c>
      <c r="AP93">
        <v>1.89</v>
      </c>
      <c r="AQ93">
        <v>1.89</v>
      </c>
      <c r="AR93">
        <v>1.9</v>
      </c>
      <c r="AS93">
        <v>1.91</v>
      </c>
      <c r="AT93">
        <v>33.93</v>
      </c>
      <c r="AU93">
        <v>24.1</v>
      </c>
    </row>
    <row r="95" spans="1:47" ht="18.600000000000001" customHeight="1" x14ac:dyDescent="0.3">
      <c r="A95" s="12" t="s">
        <v>150</v>
      </c>
    </row>
    <row r="96" spans="1:47" x14ac:dyDescent="0.25">
      <c r="A96" t="s">
        <v>88</v>
      </c>
      <c r="B96" t="s">
        <v>89</v>
      </c>
      <c r="C96" t="s">
        <v>90</v>
      </c>
      <c r="D96" t="s">
        <v>91</v>
      </c>
      <c r="E96" t="s">
        <v>92</v>
      </c>
      <c r="F96" t="s">
        <v>93</v>
      </c>
      <c r="G96" t="s">
        <v>94</v>
      </c>
      <c r="H96" t="s">
        <v>95</v>
      </c>
      <c r="I96" t="s">
        <v>96</v>
      </c>
      <c r="J96" t="s">
        <v>97</v>
      </c>
      <c r="K96" t="s">
        <v>98</v>
      </c>
      <c r="L96" t="s">
        <v>99</v>
      </c>
      <c r="M96" t="s">
        <v>100</v>
      </c>
      <c r="N96" t="s">
        <v>101</v>
      </c>
      <c r="O96" t="s">
        <v>102</v>
      </c>
      <c r="P96" t="s">
        <v>103</v>
      </c>
      <c r="Q96" t="s">
        <v>104</v>
      </c>
      <c r="R96" t="s">
        <v>105</v>
      </c>
      <c r="S96" t="s">
        <v>106</v>
      </c>
      <c r="T96" t="s">
        <v>107</v>
      </c>
      <c r="U96" t="s">
        <v>108</v>
      </c>
      <c r="V96" t="s">
        <v>109</v>
      </c>
      <c r="W96" t="s">
        <v>110</v>
      </c>
      <c r="X96" t="s">
        <v>111</v>
      </c>
      <c r="Y96" t="s">
        <v>112</v>
      </c>
      <c r="Z96" t="s">
        <v>113</v>
      </c>
      <c r="AA96" t="s">
        <v>114</v>
      </c>
      <c r="AB96" t="s">
        <v>115</v>
      </c>
      <c r="AC96" t="s">
        <v>116</v>
      </c>
      <c r="AD96" t="s">
        <v>117</v>
      </c>
      <c r="AE96" t="s">
        <v>118</v>
      </c>
      <c r="AF96" t="s">
        <v>119</v>
      </c>
      <c r="AG96" t="s">
        <v>120</v>
      </c>
      <c r="AH96" t="s">
        <v>121</v>
      </c>
      <c r="AI96" t="s">
        <v>122</v>
      </c>
      <c r="AJ96" t="s">
        <v>123</v>
      </c>
      <c r="AK96" t="s">
        <v>124</v>
      </c>
      <c r="AL96" t="s">
        <v>125</v>
      </c>
      <c r="AM96" t="s">
        <v>126</v>
      </c>
      <c r="AN96" t="s">
        <v>127</v>
      </c>
      <c r="AO96" t="s">
        <v>128</v>
      </c>
      <c r="AP96" t="s">
        <v>129</v>
      </c>
      <c r="AQ96" t="s">
        <v>130</v>
      </c>
      <c r="AR96" t="s">
        <v>131</v>
      </c>
      <c r="AS96" t="s">
        <v>132</v>
      </c>
      <c r="AT96" t="s">
        <v>133</v>
      </c>
      <c r="AU96" t="s">
        <v>134</v>
      </c>
    </row>
    <row r="97" spans="1:47" x14ac:dyDescent="0.25">
      <c r="A97" t="s">
        <v>135</v>
      </c>
      <c r="B97">
        <v>2316</v>
      </c>
      <c r="C97">
        <v>1966</v>
      </c>
      <c r="D97">
        <v>2113</v>
      </c>
      <c r="E97">
        <v>2150</v>
      </c>
      <c r="F97">
        <v>1695</v>
      </c>
      <c r="G97">
        <v>1620</v>
      </c>
      <c r="H97">
        <v>2036</v>
      </c>
      <c r="I97">
        <v>2319</v>
      </c>
      <c r="J97">
        <v>2028</v>
      </c>
      <c r="K97">
        <v>1821.38</v>
      </c>
      <c r="L97">
        <v>1977</v>
      </c>
      <c r="M97">
        <v>1971</v>
      </c>
      <c r="N97">
        <v>2062</v>
      </c>
      <c r="O97">
        <v>1991</v>
      </c>
      <c r="P97">
        <v>2043</v>
      </c>
      <c r="Q97">
        <v>2043.02</v>
      </c>
      <c r="R97">
        <v>2042.98</v>
      </c>
      <c r="S97">
        <v>2034.64</v>
      </c>
      <c r="T97">
        <v>1733.2</v>
      </c>
      <c r="U97">
        <v>1752.85</v>
      </c>
      <c r="V97">
        <v>1749.79</v>
      </c>
      <c r="W97">
        <v>1749.74</v>
      </c>
      <c r="X97">
        <v>1730.78</v>
      </c>
      <c r="Y97">
        <v>1306.46</v>
      </c>
      <c r="Z97">
        <v>800.58</v>
      </c>
      <c r="AA97">
        <v>1083.69</v>
      </c>
      <c r="AB97">
        <v>908.48</v>
      </c>
      <c r="AC97">
        <v>722.81</v>
      </c>
      <c r="AD97">
        <v>685.25</v>
      </c>
      <c r="AE97">
        <v>666.41</v>
      </c>
      <c r="AF97">
        <v>634.45000000000005</v>
      </c>
      <c r="AG97">
        <v>622.97</v>
      </c>
      <c r="AH97">
        <v>622.1</v>
      </c>
      <c r="AI97">
        <v>596.49</v>
      </c>
      <c r="AJ97">
        <v>599.95000000000005</v>
      </c>
      <c r="AK97">
        <v>554</v>
      </c>
      <c r="AL97">
        <v>557.14</v>
      </c>
      <c r="AM97">
        <v>529.51</v>
      </c>
      <c r="AN97">
        <v>524.26</v>
      </c>
      <c r="AO97">
        <v>508.21</v>
      </c>
      <c r="AP97">
        <v>493.01</v>
      </c>
      <c r="AQ97">
        <v>480.62</v>
      </c>
      <c r="AR97">
        <v>486.98</v>
      </c>
      <c r="AS97">
        <v>478.84</v>
      </c>
      <c r="AT97">
        <v>491.28</v>
      </c>
      <c r="AU97">
        <v>505.55</v>
      </c>
    </row>
    <row r="98" spans="1:47" x14ac:dyDescent="0.25">
      <c r="A98" t="s">
        <v>136</v>
      </c>
      <c r="B98">
        <v>741</v>
      </c>
      <c r="C98">
        <v>921</v>
      </c>
      <c r="D98">
        <v>1430</v>
      </c>
      <c r="E98">
        <v>1473</v>
      </c>
      <c r="F98">
        <v>1558</v>
      </c>
      <c r="G98">
        <v>1629</v>
      </c>
      <c r="H98">
        <v>2372</v>
      </c>
      <c r="I98">
        <v>2601</v>
      </c>
      <c r="J98">
        <v>3058</v>
      </c>
      <c r="K98">
        <v>3518.87</v>
      </c>
      <c r="L98">
        <v>4089</v>
      </c>
      <c r="M98">
        <v>4586</v>
      </c>
      <c r="N98">
        <v>4634</v>
      </c>
      <c r="O98">
        <v>4119</v>
      </c>
      <c r="P98">
        <v>4206</v>
      </c>
      <c r="Q98">
        <v>4206</v>
      </c>
      <c r="R98">
        <v>4206.1099999999997</v>
      </c>
      <c r="S98">
        <v>15769.94</v>
      </c>
      <c r="T98">
        <v>15347.17</v>
      </c>
      <c r="U98">
        <v>15301.37</v>
      </c>
      <c r="V98">
        <v>15129.24</v>
      </c>
      <c r="W98">
        <v>15071.71</v>
      </c>
      <c r="X98">
        <v>21206.05</v>
      </c>
      <c r="Y98">
        <v>23490.57</v>
      </c>
      <c r="Z98">
        <v>27204.89</v>
      </c>
      <c r="AA98">
        <v>29182.71</v>
      </c>
      <c r="AB98">
        <v>30569.98</v>
      </c>
      <c r="AC98">
        <v>31781.22</v>
      </c>
      <c r="AD98">
        <v>30619.53</v>
      </c>
      <c r="AE98">
        <v>30246.01</v>
      </c>
      <c r="AF98">
        <v>29004.62</v>
      </c>
      <c r="AG98">
        <v>29035.8</v>
      </c>
      <c r="AH98">
        <v>29254.17</v>
      </c>
      <c r="AI98">
        <v>29980.02</v>
      </c>
      <c r="AJ98">
        <v>30361.1</v>
      </c>
      <c r="AK98">
        <v>30113.61</v>
      </c>
      <c r="AL98">
        <v>30451.95</v>
      </c>
      <c r="AM98">
        <v>31252.58</v>
      </c>
      <c r="AN98">
        <v>30938.7</v>
      </c>
      <c r="AO98">
        <v>32060.54</v>
      </c>
      <c r="AP98">
        <v>31143.439999999999</v>
      </c>
      <c r="AQ98">
        <v>32308.49</v>
      </c>
      <c r="AR98">
        <v>32693.200000000001</v>
      </c>
      <c r="AS98">
        <v>34076.6</v>
      </c>
      <c r="AT98">
        <v>34900.14</v>
      </c>
      <c r="AU98">
        <v>35844.17</v>
      </c>
    </row>
    <row r="99" spans="1:47" x14ac:dyDescent="0.25">
      <c r="A99" t="s">
        <v>137</v>
      </c>
      <c r="B99">
        <v>1725.17</v>
      </c>
      <c r="C99">
        <v>1855.17</v>
      </c>
      <c r="D99">
        <v>1870.36</v>
      </c>
      <c r="E99">
        <v>1917.39</v>
      </c>
      <c r="F99">
        <v>1861.5</v>
      </c>
      <c r="G99">
        <v>1908.78</v>
      </c>
      <c r="H99">
        <v>1972.19</v>
      </c>
      <c r="I99">
        <v>2089.12</v>
      </c>
      <c r="J99">
        <v>2250.1</v>
      </c>
      <c r="K99">
        <v>3497.7</v>
      </c>
      <c r="L99">
        <v>2120.3000000000002</v>
      </c>
      <c r="M99">
        <v>2127.4499999999998</v>
      </c>
      <c r="N99">
        <v>1158.51</v>
      </c>
      <c r="O99">
        <v>1837.13</v>
      </c>
      <c r="P99">
        <v>1844.11</v>
      </c>
      <c r="Q99">
        <v>1631.82</v>
      </c>
      <c r="R99">
        <v>1631.82</v>
      </c>
      <c r="S99">
        <v>1807.02</v>
      </c>
      <c r="T99">
        <v>1788.06</v>
      </c>
      <c r="U99">
        <v>1785.96</v>
      </c>
      <c r="V99">
        <v>1778.17</v>
      </c>
      <c r="W99">
        <v>1775.53</v>
      </c>
      <c r="X99">
        <v>1743</v>
      </c>
      <c r="Y99">
        <v>1671.79</v>
      </c>
      <c r="Z99">
        <v>1606.43</v>
      </c>
      <c r="AA99">
        <v>1482.13</v>
      </c>
      <c r="AB99">
        <v>1419.91</v>
      </c>
      <c r="AC99">
        <v>1353.69</v>
      </c>
      <c r="AD99">
        <v>1340.59</v>
      </c>
      <c r="AE99">
        <v>1333.82</v>
      </c>
      <c r="AF99">
        <v>1322.39</v>
      </c>
      <c r="AG99">
        <v>1318.26</v>
      </c>
      <c r="AH99">
        <v>1317.95</v>
      </c>
      <c r="AI99">
        <v>1308.77</v>
      </c>
      <c r="AJ99">
        <v>1310.01</v>
      </c>
      <c r="AK99">
        <v>1295.6300000000001</v>
      </c>
      <c r="AL99">
        <v>1296.79</v>
      </c>
      <c r="AM99">
        <v>1286.81</v>
      </c>
      <c r="AN99">
        <v>1284.92</v>
      </c>
      <c r="AO99">
        <v>1279.1199999999999</v>
      </c>
      <c r="AP99">
        <v>1273.6300000000001</v>
      </c>
      <c r="AQ99">
        <v>1269.1400000000001</v>
      </c>
      <c r="AR99">
        <v>1271.44</v>
      </c>
      <c r="AS99">
        <v>1268.5</v>
      </c>
      <c r="AT99">
        <v>1273</v>
      </c>
      <c r="AU99">
        <v>1278.17</v>
      </c>
    </row>
    <row r="100" spans="1:47" x14ac:dyDescent="0.25">
      <c r="A100" t="s">
        <v>138</v>
      </c>
      <c r="B100">
        <v>0</v>
      </c>
      <c r="C100">
        <v>0</v>
      </c>
      <c r="D100">
        <v>0</v>
      </c>
      <c r="E100">
        <v>0</v>
      </c>
      <c r="F100">
        <v>0</v>
      </c>
      <c r="G100">
        <v>0</v>
      </c>
      <c r="H100">
        <v>0</v>
      </c>
      <c r="I100">
        <v>0</v>
      </c>
      <c r="J100">
        <v>0</v>
      </c>
      <c r="K100">
        <v>0</v>
      </c>
      <c r="L100">
        <v>0</v>
      </c>
      <c r="M100">
        <v>2</v>
      </c>
      <c r="N100">
        <v>2</v>
      </c>
      <c r="O100">
        <v>25</v>
      </c>
      <c r="P100">
        <v>23</v>
      </c>
      <c r="Q100">
        <v>23</v>
      </c>
      <c r="R100">
        <v>319.41000000000003</v>
      </c>
      <c r="S100">
        <v>912.5</v>
      </c>
      <c r="T100">
        <v>888.66</v>
      </c>
      <c r="U100">
        <v>886.52</v>
      </c>
      <c r="V100">
        <v>876.85</v>
      </c>
      <c r="W100">
        <v>1015.56</v>
      </c>
      <c r="X100">
        <v>1102.56</v>
      </c>
      <c r="Y100">
        <v>989.34</v>
      </c>
      <c r="Z100">
        <v>1780.21</v>
      </c>
      <c r="AA100">
        <v>2017.55</v>
      </c>
      <c r="AB100">
        <v>2303.0100000000002</v>
      </c>
      <c r="AC100">
        <v>2376.67</v>
      </c>
      <c r="AD100">
        <v>2755.79</v>
      </c>
      <c r="AE100">
        <v>3185.11</v>
      </c>
      <c r="AF100">
        <v>4935.75</v>
      </c>
      <c r="AG100">
        <v>5068.67</v>
      </c>
      <c r="AH100">
        <v>5262.64</v>
      </c>
      <c r="AI100">
        <v>5271.81</v>
      </c>
      <c r="AJ100">
        <v>5422.67</v>
      </c>
      <c r="AK100">
        <v>7129.05</v>
      </c>
      <c r="AL100">
        <v>7325.38</v>
      </c>
      <c r="AM100">
        <v>7135.43</v>
      </c>
      <c r="AN100">
        <v>7082.7</v>
      </c>
      <c r="AO100">
        <v>6935.56</v>
      </c>
      <c r="AP100">
        <v>8459.59</v>
      </c>
      <c r="AQ100">
        <v>8325.4699999999993</v>
      </c>
      <c r="AR100">
        <v>8455.52</v>
      </c>
      <c r="AS100">
        <v>8385.52</v>
      </c>
      <c r="AT100">
        <v>8617.1299999999992</v>
      </c>
      <c r="AU100">
        <v>8876.16</v>
      </c>
    </row>
    <row r="101" spans="1:47" x14ac:dyDescent="0.25">
      <c r="A101" t="s">
        <v>139</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row>
    <row r="102" spans="1:47" x14ac:dyDescent="0.25">
      <c r="A102" t="s">
        <v>140</v>
      </c>
      <c r="B102">
        <v>43581.07</v>
      </c>
      <c r="C102">
        <v>44117.04</v>
      </c>
      <c r="D102">
        <v>43868.23</v>
      </c>
      <c r="E102">
        <v>42131.1</v>
      </c>
      <c r="F102">
        <v>40805</v>
      </c>
      <c r="G102">
        <v>37566.910000000003</v>
      </c>
      <c r="H102">
        <v>38509.519999999997</v>
      </c>
      <c r="I102">
        <v>38070.06</v>
      </c>
      <c r="J102">
        <v>38933.51</v>
      </c>
      <c r="K102">
        <v>43727.18</v>
      </c>
      <c r="L102">
        <v>38468.68</v>
      </c>
      <c r="M102">
        <v>38222.75</v>
      </c>
      <c r="N102">
        <v>36385.089999999997</v>
      </c>
      <c r="O102">
        <v>28913.59</v>
      </c>
      <c r="P102">
        <v>27252.84</v>
      </c>
      <c r="Q102">
        <v>23554.78</v>
      </c>
      <c r="R102">
        <v>27816.82</v>
      </c>
      <c r="S102">
        <v>11779.94</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row>
    <row r="103" spans="1:47" x14ac:dyDescent="0.25">
      <c r="A103" t="s">
        <v>141</v>
      </c>
      <c r="B103">
        <v>19568.759999999998</v>
      </c>
      <c r="C103">
        <v>22063.15</v>
      </c>
      <c r="D103">
        <v>22337.97</v>
      </c>
      <c r="E103">
        <v>23347.1</v>
      </c>
      <c r="F103">
        <v>26233.32</v>
      </c>
      <c r="G103">
        <v>27594.87</v>
      </c>
      <c r="H103">
        <v>28106.9</v>
      </c>
      <c r="I103">
        <v>29938.05</v>
      </c>
      <c r="J103">
        <v>31739.48</v>
      </c>
      <c r="K103">
        <v>31585.45</v>
      </c>
      <c r="L103">
        <v>33998.07</v>
      </c>
      <c r="M103">
        <v>31541.040000000001</v>
      </c>
      <c r="N103">
        <v>36050.99</v>
      </c>
      <c r="O103">
        <v>38692.25</v>
      </c>
      <c r="P103">
        <v>40690.339999999997</v>
      </c>
      <c r="Q103">
        <v>45033.64</v>
      </c>
      <c r="R103">
        <v>44597.279999999999</v>
      </c>
      <c r="S103">
        <v>48861.02</v>
      </c>
      <c r="T103">
        <v>62823.519999999997</v>
      </c>
      <c r="U103">
        <v>63023.13</v>
      </c>
      <c r="V103">
        <v>62955.26</v>
      </c>
      <c r="W103">
        <v>62878.33</v>
      </c>
      <c r="X103">
        <v>57075.95</v>
      </c>
      <c r="Y103">
        <v>55581.21</v>
      </c>
      <c r="Z103">
        <v>52228.42</v>
      </c>
      <c r="AA103">
        <v>50221.23</v>
      </c>
      <c r="AB103">
        <v>49182.05</v>
      </c>
      <c r="AC103">
        <v>48479.39</v>
      </c>
      <c r="AD103">
        <v>49363.9</v>
      </c>
      <c r="AE103">
        <v>49454.04</v>
      </c>
      <c r="AF103">
        <v>49209.95</v>
      </c>
      <c r="AG103">
        <v>49402.66</v>
      </c>
      <c r="AH103">
        <v>49388.26</v>
      </c>
      <c r="AI103">
        <v>49331.63</v>
      </c>
      <c r="AJ103">
        <v>49391.519999999997</v>
      </c>
      <c r="AK103">
        <v>48698.59</v>
      </c>
      <c r="AL103">
        <v>48755.519999999997</v>
      </c>
      <c r="AM103">
        <v>48744.78</v>
      </c>
      <c r="AN103">
        <v>49579.11</v>
      </c>
      <c r="AO103">
        <v>49257.11</v>
      </c>
      <c r="AP103">
        <v>49388.85</v>
      </c>
      <c r="AQ103">
        <v>49129.14</v>
      </c>
      <c r="AR103">
        <v>49479.16</v>
      </c>
      <c r="AS103">
        <v>49305.120000000003</v>
      </c>
      <c r="AT103">
        <v>49573.04</v>
      </c>
      <c r="AU103">
        <v>49880.18</v>
      </c>
    </row>
    <row r="104" spans="1:47" x14ac:dyDescent="0.25">
      <c r="A104" t="s">
        <v>142</v>
      </c>
      <c r="B104">
        <v>509.44</v>
      </c>
      <c r="C104">
        <v>860.08</v>
      </c>
      <c r="D104">
        <v>922.06</v>
      </c>
      <c r="E104">
        <v>635.87</v>
      </c>
      <c r="F104">
        <v>14.15</v>
      </c>
      <c r="G104">
        <v>26.51</v>
      </c>
      <c r="H104">
        <v>25.4</v>
      </c>
      <c r="I104">
        <v>28.93</v>
      </c>
      <c r="J104">
        <v>27</v>
      </c>
      <c r="K104">
        <v>78.41</v>
      </c>
      <c r="L104">
        <v>80.239999999999995</v>
      </c>
      <c r="M104">
        <v>48.21</v>
      </c>
      <c r="N104">
        <v>98.92</v>
      </c>
      <c r="O104">
        <v>38.159999999999997</v>
      </c>
      <c r="P104">
        <v>63.82</v>
      </c>
      <c r="Q104">
        <v>55.32</v>
      </c>
      <c r="R104">
        <v>117.3</v>
      </c>
      <c r="S104">
        <v>80.62</v>
      </c>
      <c r="T104">
        <v>82.7</v>
      </c>
      <c r="U104">
        <v>92.57</v>
      </c>
      <c r="V104">
        <v>101.95</v>
      </c>
      <c r="W104">
        <v>112.55</v>
      </c>
      <c r="X104">
        <v>103.49</v>
      </c>
      <c r="Y104">
        <v>89.13</v>
      </c>
      <c r="Z104">
        <v>75.930000000000007</v>
      </c>
      <c r="AA104">
        <v>54.75</v>
      </c>
      <c r="AB104">
        <v>46.32</v>
      </c>
      <c r="AC104">
        <v>37.94</v>
      </c>
      <c r="AD104">
        <v>36.9</v>
      </c>
      <c r="AE104">
        <v>36.14</v>
      </c>
      <c r="AF104">
        <v>34.270000000000003</v>
      </c>
      <c r="AG104">
        <v>33.31</v>
      </c>
      <c r="AH104">
        <v>33</v>
      </c>
      <c r="AI104">
        <v>31.58</v>
      </c>
      <c r="AJ104">
        <v>31.64</v>
      </c>
      <c r="AK104">
        <v>29.45</v>
      </c>
      <c r="AL104">
        <v>28.4</v>
      </c>
      <c r="AM104">
        <v>26.02</v>
      </c>
      <c r="AN104">
        <v>24.87</v>
      </c>
      <c r="AO104">
        <v>23.42</v>
      </c>
      <c r="AP104">
        <v>22.02</v>
      </c>
      <c r="AQ104">
        <v>20.74</v>
      </c>
      <c r="AR104">
        <v>20.36</v>
      </c>
      <c r="AS104">
        <v>19.41</v>
      </c>
      <c r="AT104">
        <v>19.25</v>
      </c>
      <c r="AU104">
        <v>19.079999999999998</v>
      </c>
    </row>
    <row r="106" spans="1:47" ht="18.600000000000001" customHeight="1" x14ac:dyDescent="0.3">
      <c r="A106" s="12" t="s">
        <v>151</v>
      </c>
    </row>
    <row r="107" spans="1:47" x14ac:dyDescent="0.25">
      <c r="A107" t="s">
        <v>88</v>
      </c>
      <c r="B107" t="s">
        <v>89</v>
      </c>
      <c r="C107" t="s">
        <v>90</v>
      </c>
      <c r="D107" t="s">
        <v>91</v>
      </c>
      <c r="E107" t="s">
        <v>92</v>
      </c>
      <c r="F107" t="s">
        <v>93</v>
      </c>
      <c r="G107" t="s">
        <v>94</v>
      </c>
      <c r="H107" t="s">
        <v>95</v>
      </c>
      <c r="I107" t="s">
        <v>96</v>
      </c>
      <c r="J107" t="s">
        <v>97</v>
      </c>
      <c r="K107" t="s">
        <v>98</v>
      </c>
      <c r="L107" t="s">
        <v>99</v>
      </c>
      <c r="M107" t="s">
        <v>100</v>
      </c>
      <c r="N107" t="s">
        <v>101</v>
      </c>
      <c r="O107" t="s">
        <v>102</v>
      </c>
      <c r="P107" t="s">
        <v>103</v>
      </c>
      <c r="Q107" t="s">
        <v>104</v>
      </c>
      <c r="R107" t="s">
        <v>105</v>
      </c>
      <c r="S107" t="s">
        <v>106</v>
      </c>
      <c r="T107" t="s">
        <v>107</v>
      </c>
      <c r="U107" t="s">
        <v>108</v>
      </c>
      <c r="V107" t="s">
        <v>109</v>
      </c>
      <c r="W107" t="s">
        <v>110</v>
      </c>
      <c r="X107" t="s">
        <v>111</v>
      </c>
      <c r="Y107" t="s">
        <v>112</v>
      </c>
      <c r="Z107" t="s">
        <v>113</v>
      </c>
      <c r="AA107" t="s">
        <v>114</v>
      </c>
      <c r="AB107" t="s">
        <v>115</v>
      </c>
      <c r="AC107" t="s">
        <v>116</v>
      </c>
      <c r="AD107" t="s">
        <v>117</v>
      </c>
      <c r="AE107" t="s">
        <v>118</v>
      </c>
      <c r="AF107" t="s">
        <v>119</v>
      </c>
      <c r="AG107" t="s">
        <v>120</v>
      </c>
      <c r="AH107" t="s">
        <v>121</v>
      </c>
      <c r="AI107" t="s">
        <v>122</v>
      </c>
      <c r="AJ107" t="s">
        <v>123</v>
      </c>
      <c r="AK107" t="s">
        <v>124</v>
      </c>
      <c r="AL107" t="s">
        <v>125</v>
      </c>
      <c r="AM107" t="s">
        <v>126</v>
      </c>
      <c r="AN107" t="s">
        <v>127</v>
      </c>
      <c r="AO107" t="s">
        <v>128</v>
      </c>
      <c r="AP107" t="s">
        <v>129</v>
      </c>
      <c r="AQ107" t="s">
        <v>130</v>
      </c>
      <c r="AR107" t="s">
        <v>131</v>
      </c>
      <c r="AS107" t="s">
        <v>132</v>
      </c>
      <c r="AT107" t="s">
        <v>133</v>
      </c>
      <c r="AU107" t="s">
        <v>134</v>
      </c>
    </row>
    <row r="108" spans="1:47" x14ac:dyDescent="0.25">
      <c r="A108" t="s">
        <v>135</v>
      </c>
      <c r="B108">
        <v>60327</v>
      </c>
      <c r="C108">
        <v>53902.91</v>
      </c>
      <c r="D108">
        <v>64015.8</v>
      </c>
      <c r="E108">
        <v>58525.63</v>
      </c>
      <c r="F108">
        <v>56298.400000000001</v>
      </c>
      <c r="G108">
        <v>53970.879999999997</v>
      </c>
      <c r="H108">
        <v>60772.07</v>
      </c>
      <c r="I108">
        <v>64477.04</v>
      </c>
      <c r="J108">
        <v>58666.27</v>
      </c>
      <c r="K108">
        <v>57572.87</v>
      </c>
      <c r="L108">
        <v>64999.01</v>
      </c>
      <c r="M108">
        <v>61840</v>
      </c>
      <c r="N108">
        <v>66503.02</v>
      </c>
      <c r="O108">
        <v>61791</v>
      </c>
      <c r="P108">
        <v>56107.99</v>
      </c>
      <c r="Q108">
        <v>56127.08</v>
      </c>
      <c r="R108">
        <v>56127.05</v>
      </c>
      <c r="S108">
        <v>72486.33</v>
      </c>
      <c r="T108">
        <v>72486.34</v>
      </c>
      <c r="U108">
        <v>72486.27</v>
      </c>
      <c r="V108">
        <v>77593.37</v>
      </c>
      <c r="W108">
        <v>77593.429999999993</v>
      </c>
      <c r="X108">
        <v>77593.41</v>
      </c>
      <c r="Y108">
        <v>77593.440000000002</v>
      </c>
      <c r="Z108">
        <v>77593.48</v>
      </c>
      <c r="AA108">
        <v>77954.070000000007</v>
      </c>
      <c r="AB108">
        <v>78316.42</v>
      </c>
      <c r="AC108">
        <v>78680.710000000006</v>
      </c>
      <c r="AD108">
        <v>79046.679999999993</v>
      </c>
      <c r="AE108">
        <v>79414.53</v>
      </c>
      <c r="AF108">
        <v>80144.73</v>
      </c>
      <c r="AG108">
        <v>80840.679999999993</v>
      </c>
      <c r="AH108">
        <v>81506.09</v>
      </c>
      <c r="AI108">
        <v>82144.13</v>
      </c>
      <c r="AJ108">
        <v>82521.279999999999</v>
      </c>
      <c r="AK108">
        <v>82900.36</v>
      </c>
      <c r="AL108">
        <v>83281.259999999995</v>
      </c>
      <c r="AM108">
        <v>83664.05</v>
      </c>
      <c r="AN108">
        <v>84048.87</v>
      </c>
      <c r="AO108">
        <v>84435.520000000004</v>
      </c>
      <c r="AP108">
        <v>84824.08</v>
      </c>
      <c r="AQ108">
        <v>85214.98</v>
      </c>
      <c r="AR108">
        <v>85607.39</v>
      </c>
      <c r="AS108">
        <v>86001.7</v>
      </c>
      <c r="AT108">
        <v>85654.5</v>
      </c>
      <c r="AU108">
        <v>86796.58</v>
      </c>
    </row>
    <row r="109" spans="1:47" x14ac:dyDescent="0.25">
      <c r="A109" t="s">
        <v>136</v>
      </c>
      <c r="B109">
        <v>0</v>
      </c>
      <c r="C109">
        <v>0</v>
      </c>
      <c r="D109">
        <v>0</v>
      </c>
      <c r="E109">
        <v>0</v>
      </c>
      <c r="F109">
        <v>34</v>
      </c>
      <c r="G109">
        <v>123</v>
      </c>
      <c r="H109">
        <v>484.6</v>
      </c>
      <c r="I109">
        <v>507.98</v>
      </c>
      <c r="J109">
        <v>860</v>
      </c>
      <c r="K109">
        <v>1071.1400000000001</v>
      </c>
      <c r="L109">
        <v>868</v>
      </c>
      <c r="M109">
        <v>1223</v>
      </c>
      <c r="N109">
        <v>1631</v>
      </c>
      <c r="O109">
        <v>1724</v>
      </c>
      <c r="P109">
        <v>1693</v>
      </c>
      <c r="Q109">
        <v>1693</v>
      </c>
      <c r="R109">
        <v>1693.86</v>
      </c>
      <c r="S109">
        <v>1695.92</v>
      </c>
      <c r="T109">
        <v>1698.09</v>
      </c>
      <c r="U109">
        <v>1990.71</v>
      </c>
      <c r="V109">
        <v>2290.09</v>
      </c>
      <c r="W109">
        <v>2299.2399999999998</v>
      </c>
      <c r="X109">
        <v>2634.67</v>
      </c>
      <c r="Y109">
        <v>2987.27</v>
      </c>
      <c r="Z109">
        <v>3337.63</v>
      </c>
      <c r="AA109">
        <v>3740.1</v>
      </c>
      <c r="AB109">
        <v>4174.42</v>
      </c>
      <c r="AC109">
        <v>4651.75</v>
      </c>
      <c r="AD109">
        <v>5187.16</v>
      </c>
      <c r="AE109">
        <v>5769.82</v>
      </c>
      <c r="AF109">
        <v>6938.97</v>
      </c>
      <c r="AG109">
        <v>8308.9</v>
      </c>
      <c r="AH109">
        <v>9632.6299999999992</v>
      </c>
      <c r="AI109">
        <v>11012.51</v>
      </c>
      <c r="AJ109">
        <v>12317.75</v>
      </c>
      <c r="AK109">
        <v>13408.14</v>
      </c>
      <c r="AL109">
        <v>13982.74</v>
      </c>
      <c r="AM109">
        <v>14505.43</v>
      </c>
      <c r="AN109">
        <v>15136.01</v>
      </c>
      <c r="AO109">
        <v>15792.09</v>
      </c>
      <c r="AP109">
        <v>16357.15</v>
      </c>
      <c r="AQ109">
        <v>16932</v>
      </c>
      <c r="AR109">
        <v>17519.91</v>
      </c>
      <c r="AS109">
        <v>18122.060000000001</v>
      </c>
      <c r="AT109">
        <v>18753.169999999998</v>
      </c>
      <c r="AU109">
        <v>19386.72</v>
      </c>
    </row>
    <row r="110" spans="1:47" x14ac:dyDescent="0.25">
      <c r="A110" t="s">
        <v>137</v>
      </c>
      <c r="B110">
        <v>2863.41</v>
      </c>
      <c r="C110">
        <v>2948.7</v>
      </c>
      <c r="D110">
        <v>2948.7</v>
      </c>
      <c r="E110">
        <v>2467.38</v>
      </c>
      <c r="F110">
        <v>2162.84</v>
      </c>
      <c r="G110">
        <v>3810.74</v>
      </c>
      <c r="H110">
        <v>4111</v>
      </c>
      <c r="I110">
        <v>4034.09</v>
      </c>
      <c r="J110">
        <v>3821.9</v>
      </c>
      <c r="K110">
        <v>5856.07</v>
      </c>
      <c r="L110">
        <v>3658.62</v>
      </c>
      <c r="M110">
        <v>4486.41</v>
      </c>
      <c r="N110">
        <v>1858.06</v>
      </c>
      <c r="O110">
        <v>3319.56</v>
      </c>
      <c r="P110">
        <v>3275.15</v>
      </c>
      <c r="Q110">
        <v>3275.54</v>
      </c>
      <c r="R110">
        <v>3310.29</v>
      </c>
      <c r="S110">
        <v>3292.73</v>
      </c>
      <c r="T110">
        <v>3288.62</v>
      </c>
      <c r="U110">
        <v>3287.18</v>
      </c>
      <c r="V110">
        <v>3285.82</v>
      </c>
      <c r="W110">
        <v>3284.92</v>
      </c>
      <c r="X110">
        <v>3281.87</v>
      </c>
      <c r="Y110">
        <v>3278.72</v>
      </c>
      <c r="Z110">
        <v>3274.56</v>
      </c>
      <c r="AA110">
        <v>3269.22</v>
      </c>
      <c r="AB110">
        <v>3268.4</v>
      </c>
      <c r="AC110">
        <v>3269.72</v>
      </c>
      <c r="AD110">
        <v>3270.62</v>
      </c>
      <c r="AE110">
        <v>3269.51</v>
      </c>
      <c r="AF110">
        <v>3266.8</v>
      </c>
      <c r="AG110">
        <v>3262.89</v>
      </c>
      <c r="AH110">
        <v>3258.86</v>
      </c>
      <c r="AI110">
        <v>3255.35</v>
      </c>
      <c r="AJ110">
        <v>3251.12</v>
      </c>
      <c r="AK110">
        <v>3246.78</v>
      </c>
      <c r="AL110">
        <v>3237.46</v>
      </c>
      <c r="AM110">
        <v>3228.3</v>
      </c>
      <c r="AN110">
        <v>3218.65</v>
      </c>
      <c r="AO110">
        <v>3209.34</v>
      </c>
      <c r="AP110">
        <v>3198.75</v>
      </c>
      <c r="AQ110">
        <v>3186.73</v>
      </c>
      <c r="AR110">
        <v>3174.13</v>
      </c>
      <c r="AS110">
        <v>3161</v>
      </c>
      <c r="AT110">
        <v>3146.22</v>
      </c>
      <c r="AU110">
        <v>3129.69</v>
      </c>
    </row>
    <row r="111" spans="1:47" x14ac:dyDescent="0.25">
      <c r="A111" t="s">
        <v>138</v>
      </c>
      <c r="B111">
        <v>0</v>
      </c>
      <c r="C111">
        <v>0</v>
      </c>
      <c r="D111">
        <v>0</v>
      </c>
      <c r="E111">
        <v>0</v>
      </c>
      <c r="F111">
        <v>0</v>
      </c>
      <c r="G111">
        <v>0</v>
      </c>
      <c r="H111">
        <v>0</v>
      </c>
      <c r="I111">
        <v>0</v>
      </c>
      <c r="J111">
        <v>0</v>
      </c>
      <c r="K111">
        <v>0</v>
      </c>
      <c r="L111">
        <v>0</v>
      </c>
      <c r="M111">
        <v>0</v>
      </c>
      <c r="N111">
        <v>0</v>
      </c>
      <c r="O111">
        <v>2</v>
      </c>
      <c r="P111">
        <v>2</v>
      </c>
      <c r="Q111">
        <v>19.54</v>
      </c>
      <c r="R111">
        <v>20.37</v>
      </c>
      <c r="S111">
        <v>22.15</v>
      </c>
      <c r="T111">
        <v>59.19</v>
      </c>
      <c r="U111">
        <v>61.25</v>
      </c>
      <c r="V111">
        <v>63.61</v>
      </c>
      <c r="W111">
        <v>102.16</v>
      </c>
      <c r="X111">
        <v>105.69</v>
      </c>
      <c r="Y111">
        <v>109.38</v>
      </c>
      <c r="Z111">
        <v>149.29</v>
      </c>
      <c r="AA111">
        <v>164.97</v>
      </c>
      <c r="AB111">
        <v>387.48</v>
      </c>
      <c r="AC111">
        <v>657.83</v>
      </c>
      <c r="AD111">
        <v>1007.56</v>
      </c>
      <c r="AE111">
        <v>1364.51</v>
      </c>
      <c r="AF111">
        <v>2282.84</v>
      </c>
      <c r="AG111">
        <v>2904.97</v>
      </c>
      <c r="AH111">
        <v>3515.96</v>
      </c>
      <c r="AI111">
        <v>4136.49</v>
      </c>
      <c r="AJ111">
        <v>4731.88</v>
      </c>
      <c r="AK111">
        <v>5110.41</v>
      </c>
      <c r="AL111">
        <v>5445.8</v>
      </c>
      <c r="AM111">
        <v>5730.04</v>
      </c>
      <c r="AN111">
        <v>6109.41</v>
      </c>
      <c r="AO111">
        <v>6514.28</v>
      </c>
      <c r="AP111">
        <v>6842.57</v>
      </c>
      <c r="AQ111">
        <v>7170.24</v>
      </c>
      <c r="AR111">
        <v>7508.62</v>
      </c>
      <c r="AS111">
        <v>7856.21</v>
      </c>
      <c r="AT111">
        <v>8235.89</v>
      </c>
      <c r="AU111">
        <v>8396.49</v>
      </c>
    </row>
    <row r="112" spans="1:47" x14ac:dyDescent="0.25">
      <c r="A112" t="s">
        <v>139</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row>
    <row r="113" spans="1:47" x14ac:dyDescent="0.25">
      <c r="A113" t="s">
        <v>140</v>
      </c>
      <c r="B113">
        <v>0</v>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row>
    <row r="114" spans="1:47" x14ac:dyDescent="0.25">
      <c r="A114" t="s">
        <v>141</v>
      </c>
      <c r="B114">
        <v>2382.92</v>
      </c>
      <c r="C114">
        <v>2388.62</v>
      </c>
      <c r="D114">
        <v>2388.62</v>
      </c>
      <c r="E114">
        <v>2635.13</v>
      </c>
      <c r="F114">
        <v>1635.69</v>
      </c>
      <c r="G114">
        <v>2089</v>
      </c>
      <c r="H114">
        <v>3214.86</v>
      </c>
      <c r="I114">
        <v>2557.92</v>
      </c>
      <c r="J114">
        <v>1520.03</v>
      </c>
      <c r="K114">
        <v>1689.2</v>
      </c>
      <c r="L114">
        <v>1768.08</v>
      </c>
      <c r="M114">
        <v>1872.05</v>
      </c>
      <c r="N114">
        <v>3761.41</v>
      </c>
      <c r="O114">
        <v>2122.27</v>
      </c>
      <c r="P114">
        <v>2948.6</v>
      </c>
      <c r="Q114">
        <v>1330.82</v>
      </c>
      <c r="R114">
        <v>1290.78</v>
      </c>
      <c r="S114">
        <v>1300.28</v>
      </c>
      <c r="T114">
        <v>1304.49</v>
      </c>
      <c r="U114">
        <v>1276.8399999999999</v>
      </c>
      <c r="V114">
        <v>1541</v>
      </c>
      <c r="W114">
        <v>1541.01</v>
      </c>
      <c r="X114">
        <v>1866.74</v>
      </c>
      <c r="Y114">
        <v>1896.39</v>
      </c>
      <c r="Z114">
        <v>1900.35</v>
      </c>
      <c r="AA114">
        <v>1951.78</v>
      </c>
      <c r="AB114">
        <v>2342.35</v>
      </c>
      <c r="AC114">
        <v>2341.02</v>
      </c>
      <c r="AD114">
        <v>2340.12</v>
      </c>
      <c r="AE114">
        <v>2315.0300000000002</v>
      </c>
      <c r="AF114">
        <v>2317.73</v>
      </c>
      <c r="AG114">
        <v>2321.65</v>
      </c>
      <c r="AH114">
        <v>2294.4899999999998</v>
      </c>
      <c r="AI114">
        <v>2329.19</v>
      </c>
      <c r="AJ114">
        <v>2333.42</v>
      </c>
      <c r="AK114">
        <v>2337.7600000000002</v>
      </c>
      <c r="AL114">
        <v>2347.08</v>
      </c>
      <c r="AM114">
        <v>2341.27</v>
      </c>
      <c r="AN114">
        <v>2344.87</v>
      </c>
      <c r="AO114">
        <v>2354.17</v>
      </c>
      <c r="AP114">
        <v>2323.4299999999998</v>
      </c>
      <c r="AQ114">
        <v>2367.9899999999998</v>
      </c>
      <c r="AR114">
        <v>2370.1999999999998</v>
      </c>
      <c r="AS114">
        <v>2402.5100000000002</v>
      </c>
      <c r="AT114">
        <v>2391.25</v>
      </c>
      <c r="AU114">
        <v>2433.8200000000002</v>
      </c>
    </row>
    <row r="115" spans="1:47" x14ac:dyDescent="0.25">
      <c r="A115" t="s">
        <v>142</v>
      </c>
      <c r="B115">
        <v>91.06</v>
      </c>
      <c r="C115">
        <v>35.56</v>
      </c>
      <c r="D115">
        <v>91.56</v>
      </c>
      <c r="E115">
        <v>94.57</v>
      </c>
      <c r="F115">
        <v>111.11</v>
      </c>
      <c r="G115">
        <v>107.1</v>
      </c>
      <c r="H115">
        <v>91.71</v>
      </c>
      <c r="I115">
        <v>46.18</v>
      </c>
      <c r="J115">
        <v>289.31</v>
      </c>
      <c r="K115">
        <v>556.96</v>
      </c>
      <c r="L115">
        <v>130.32</v>
      </c>
      <c r="M115">
        <v>187.96</v>
      </c>
      <c r="N115">
        <v>335.65</v>
      </c>
      <c r="O115">
        <v>276.77999999999997</v>
      </c>
      <c r="P115">
        <v>307.08</v>
      </c>
      <c r="Q115">
        <v>107</v>
      </c>
      <c r="R115">
        <v>107</v>
      </c>
      <c r="S115">
        <v>107</v>
      </c>
      <c r="T115">
        <v>107</v>
      </c>
      <c r="U115">
        <v>107</v>
      </c>
      <c r="V115">
        <v>107</v>
      </c>
      <c r="W115">
        <v>107</v>
      </c>
      <c r="X115">
        <v>107</v>
      </c>
      <c r="Y115">
        <v>123.44</v>
      </c>
      <c r="Z115">
        <v>131.18</v>
      </c>
      <c r="AA115">
        <v>171.47</v>
      </c>
      <c r="AB115">
        <v>171.47</v>
      </c>
      <c r="AC115">
        <v>171.47</v>
      </c>
      <c r="AD115">
        <v>171.47</v>
      </c>
      <c r="AE115">
        <v>171.47</v>
      </c>
      <c r="AF115">
        <v>171.47</v>
      </c>
      <c r="AG115">
        <v>147.87</v>
      </c>
      <c r="AH115">
        <v>131.18</v>
      </c>
      <c r="AI115">
        <v>171.47</v>
      </c>
      <c r="AJ115">
        <v>171.47</v>
      </c>
      <c r="AK115">
        <v>171.47</v>
      </c>
      <c r="AL115">
        <v>164.04</v>
      </c>
      <c r="AM115">
        <v>131.18</v>
      </c>
      <c r="AN115">
        <v>171.47</v>
      </c>
      <c r="AO115">
        <v>171.47</v>
      </c>
      <c r="AP115">
        <v>131.18</v>
      </c>
      <c r="AQ115">
        <v>133.22999999999999</v>
      </c>
      <c r="AR115">
        <v>131.18</v>
      </c>
      <c r="AS115">
        <v>152.63999999999999</v>
      </c>
      <c r="AT115">
        <v>131.18</v>
      </c>
      <c r="AU115">
        <v>171.47</v>
      </c>
    </row>
    <row r="117" spans="1:47" ht="18.600000000000001" customHeight="1" x14ac:dyDescent="0.3">
      <c r="A117" s="12" t="s">
        <v>152</v>
      </c>
    </row>
    <row r="118" spans="1:47" x14ac:dyDescent="0.25">
      <c r="A118" t="s">
        <v>88</v>
      </c>
      <c r="B118" t="s">
        <v>89</v>
      </c>
      <c r="C118" t="s">
        <v>90</v>
      </c>
      <c r="D118" t="s">
        <v>91</v>
      </c>
      <c r="E118" t="s">
        <v>92</v>
      </c>
      <c r="F118" t="s">
        <v>93</v>
      </c>
      <c r="G118" t="s">
        <v>94</v>
      </c>
      <c r="H118" t="s">
        <v>95</v>
      </c>
      <c r="I118" t="s">
        <v>96</v>
      </c>
      <c r="J118" t="s">
        <v>97</v>
      </c>
      <c r="K118" t="s">
        <v>98</v>
      </c>
      <c r="L118" t="s">
        <v>99</v>
      </c>
      <c r="M118" t="s">
        <v>100</v>
      </c>
      <c r="N118" t="s">
        <v>101</v>
      </c>
      <c r="O118" t="s">
        <v>102</v>
      </c>
      <c r="P118" t="s">
        <v>103</v>
      </c>
      <c r="Q118" t="s">
        <v>104</v>
      </c>
      <c r="R118" t="s">
        <v>105</v>
      </c>
      <c r="S118" t="s">
        <v>106</v>
      </c>
      <c r="T118" t="s">
        <v>107</v>
      </c>
      <c r="U118" t="s">
        <v>108</v>
      </c>
      <c r="V118" t="s">
        <v>109</v>
      </c>
      <c r="W118" t="s">
        <v>110</v>
      </c>
      <c r="X118" t="s">
        <v>111</v>
      </c>
      <c r="Y118" t="s">
        <v>112</v>
      </c>
      <c r="Z118" t="s">
        <v>113</v>
      </c>
      <c r="AA118" t="s">
        <v>114</v>
      </c>
      <c r="AB118" t="s">
        <v>115</v>
      </c>
      <c r="AC118" t="s">
        <v>116</v>
      </c>
      <c r="AD118" t="s">
        <v>117</v>
      </c>
      <c r="AE118" t="s">
        <v>118</v>
      </c>
      <c r="AF118" t="s">
        <v>119</v>
      </c>
      <c r="AG118" t="s">
        <v>120</v>
      </c>
      <c r="AH118" t="s">
        <v>121</v>
      </c>
      <c r="AI118" t="s">
        <v>122</v>
      </c>
      <c r="AJ118" t="s">
        <v>123</v>
      </c>
      <c r="AK118" t="s">
        <v>124</v>
      </c>
      <c r="AL118" t="s">
        <v>125</v>
      </c>
      <c r="AM118" t="s">
        <v>126</v>
      </c>
      <c r="AN118" t="s">
        <v>127</v>
      </c>
      <c r="AO118" t="s">
        <v>128</v>
      </c>
      <c r="AP118" t="s">
        <v>129</v>
      </c>
      <c r="AQ118" t="s">
        <v>130</v>
      </c>
      <c r="AR118" t="s">
        <v>131</v>
      </c>
      <c r="AS118" t="s">
        <v>132</v>
      </c>
      <c r="AT118" t="s">
        <v>133</v>
      </c>
      <c r="AU118" t="s">
        <v>134</v>
      </c>
    </row>
    <row r="119" spans="1:47" x14ac:dyDescent="0.25">
      <c r="A119" t="s">
        <v>135</v>
      </c>
      <c r="B119">
        <v>4573</v>
      </c>
      <c r="C119">
        <v>4032</v>
      </c>
      <c r="D119">
        <v>4393</v>
      </c>
      <c r="E119">
        <v>4030</v>
      </c>
      <c r="F119">
        <v>2962</v>
      </c>
      <c r="G119">
        <v>3866</v>
      </c>
      <c r="H119">
        <v>4641</v>
      </c>
      <c r="I119">
        <v>4240</v>
      </c>
      <c r="J119">
        <v>4449</v>
      </c>
      <c r="K119">
        <v>4706.09</v>
      </c>
      <c r="L119">
        <v>3426</v>
      </c>
      <c r="M119">
        <v>3285</v>
      </c>
      <c r="N119">
        <v>3855</v>
      </c>
      <c r="O119">
        <v>3591</v>
      </c>
      <c r="P119">
        <v>3666</v>
      </c>
      <c r="Q119">
        <v>3660.45</v>
      </c>
      <c r="R119">
        <v>3660.45</v>
      </c>
      <c r="S119">
        <v>3660.43</v>
      </c>
      <c r="T119">
        <v>3660.43</v>
      </c>
      <c r="U119">
        <v>3696.35</v>
      </c>
      <c r="V119">
        <v>3799.28</v>
      </c>
      <c r="W119">
        <v>3831.52</v>
      </c>
      <c r="X119">
        <v>3831.53</v>
      </c>
      <c r="Y119">
        <v>3831.52</v>
      </c>
      <c r="Z119">
        <v>3831.52</v>
      </c>
      <c r="AA119">
        <v>3710.86</v>
      </c>
      <c r="AB119">
        <v>3551.85</v>
      </c>
      <c r="AC119">
        <v>3388.99</v>
      </c>
      <c r="AD119">
        <v>3367.25</v>
      </c>
      <c r="AE119">
        <v>3261.38</v>
      </c>
      <c r="AF119">
        <v>3235.49</v>
      </c>
      <c r="AG119">
        <v>3340.47</v>
      </c>
      <c r="AH119">
        <v>3329.75</v>
      </c>
      <c r="AI119">
        <v>2990.77</v>
      </c>
      <c r="AJ119">
        <v>2985.37</v>
      </c>
      <c r="AK119">
        <v>2723.05</v>
      </c>
      <c r="AL119">
        <v>2721.77</v>
      </c>
      <c r="AM119">
        <v>2584.88</v>
      </c>
      <c r="AN119">
        <v>2589.23</v>
      </c>
      <c r="AO119">
        <v>2453.96</v>
      </c>
      <c r="AP119">
        <v>2450.33</v>
      </c>
      <c r="AQ119">
        <v>2334.4499999999998</v>
      </c>
      <c r="AR119">
        <v>2348</v>
      </c>
      <c r="AS119">
        <v>2247.61</v>
      </c>
      <c r="AT119">
        <v>2265.33</v>
      </c>
      <c r="AU119">
        <v>2285.31</v>
      </c>
    </row>
    <row r="120" spans="1:47" x14ac:dyDescent="0.25">
      <c r="A120" t="s">
        <v>136</v>
      </c>
      <c r="B120">
        <v>92</v>
      </c>
      <c r="C120">
        <v>573</v>
      </c>
      <c r="D120">
        <v>620</v>
      </c>
      <c r="E120">
        <v>574</v>
      </c>
      <c r="F120">
        <v>579</v>
      </c>
      <c r="G120">
        <v>507</v>
      </c>
      <c r="H120">
        <v>682</v>
      </c>
      <c r="I120">
        <v>655</v>
      </c>
      <c r="J120">
        <v>646</v>
      </c>
      <c r="K120">
        <v>615.26</v>
      </c>
      <c r="L120">
        <v>620</v>
      </c>
      <c r="M120">
        <v>746</v>
      </c>
      <c r="N120">
        <v>739</v>
      </c>
      <c r="O120">
        <v>694</v>
      </c>
      <c r="P120">
        <v>707</v>
      </c>
      <c r="Q120">
        <v>775.02</v>
      </c>
      <c r="R120">
        <v>775.18</v>
      </c>
      <c r="S120">
        <v>775.96</v>
      </c>
      <c r="T120">
        <v>858.01</v>
      </c>
      <c r="U120">
        <v>1295.3399999999999</v>
      </c>
      <c r="V120">
        <v>2669.78</v>
      </c>
      <c r="W120">
        <v>2754.88</v>
      </c>
      <c r="X120">
        <v>2839.03</v>
      </c>
      <c r="Y120">
        <v>3447.83</v>
      </c>
      <c r="Z120">
        <v>3531.97</v>
      </c>
      <c r="AA120">
        <v>4893.53</v>
      </c>
      <c r="AB120">
        <v>6439.58</v>
      </c>
      <c r="AC120">
        <v>7932.6</v>
      </c>
      <c r="AD120">
        <v>8004.52</v>
      </c>
      <c r="AE120">
        <v>8404.0300000000007</v>
      </c>
      <c r="AF120">
        <v>8435.99</v>
      </c>
      <c r="AG120">
        <v>8624.1299999999992</v>
      </c>
      <c r="AH120">
        <v>8683.15</v>
      </c>
      <c r="AI120">
        <v>9791.5400000000009</v>
      </c>
      <c r="AJ120">
        <v>9864.61</v>
      </c>
      <c r="AK120">
        <v>10597.5</v>
      </c>
      <c r="AL120">
        <v>10683.97</v>
      </c>
      <c r="AM120">
        <v>11204.44</v>
      </c>
      <c r="AN120">
        <v>11316.47</v>
      </c>
      <c r="AO120">
        <v>11872.76</v>
      </c>
      <c r="AP120">
        <v>11952.68</v>
      </c>
      <c r="AQ120">
        <v>12502.07</v>
      </c>
      <c r="AR120">
        <v>12673.16</v>
      </c>
      <c r="AS120">
        <v>13226.64</v>
      </c>
      <c r="AT120">
        <v>13434.76</v>
      </c>
      <c r="AU120">
        <v>13656.86</v>
      </c>
    </row>
    <row r="121" spans="1:47" x14ac:dyDescent="0.25">
      <c r="A121" t="s">
        <v>137</v>
      </c>
      <c r="B121">
        <v>0</v>
      </c>
      <c r="C121">
        <v>0</v>
      </c>
      <c r="D121">
        <v>0</v>
      </c>
      <c r="E121">
        <v>0</v>
      </c>
      <c r="F121">
        <v>0</v>
      </c>
      <c r="G121">
        <v>0</v>
      </c>
      <c r="H121">
        <v>0</v>
      </c>
      <c r="I121">
        <v>0</v>
      </c>
      <c r="J121">
        <v>0</v>
      </c>
      <c r="K121">
        <v>0</v>
      </c>
      <c r="L121">
        <v>0</v>
      </c>
      <c r="M121">
        <v>0</v>
      </c>
      <c r="N121">
        <v>0</v>
      </c>
      <c r="O121">
        <v>123</v>
      </c>
      <c r="P121">
        <v>109</v>
      </c>
      <c r="Q121">
        <v>109</v>
      </c>
      <c r="R121">
        <v>109</v>
      </c>
      <c r="S121">
        <v>109</v>
      </c>
      <c r="T121">
        <v>196.6</v>
      </c>
      <c r="U121">
        <v>196.6</v>
      </c>
      <c r="V121">
        <v>196.6</v>
      </c>
      <c r="W121">
        <v>199.26</v>
      </c>
      <c r="X121">
        <v>199.26</v>
      </c>
      <c r="Y121">
        <v>199.26</v>
      </c>
      <c r="Z121">
        <v>199.26</v>
      </c>
      <c r="AA121">
        <v>190.6</v>
      </c>
      <c r="AB121">
        <v>182.48</v>
      </c>
      <c r="AC121">
        <v>169.31</v>
      </c>
      <c r="AD121">
        <v>168.11</v>
      </c>
      <c r="AE121">
        <v>162.66999999999999</v>
      </c>
      <c r="AF121">
        <v>161.22999999999999</v>
      </c>
      <c r="AG121">
        <v>163.19</v>
      </c>
      <c r="AH121">
        <v>162.69999999999999</v>
      </c>
      <c r="AI121">
        <v>145.75</v>
      </c>
      <c r="AJ121">
        <v>145.63999999999999</v>
      </c>
      <c r="AK121">
        <v>132.77000000000001</v>
      </c>
      <c r="AL121">
        <v>132.91</v>
      </c>
      <c r="AM121">
        <v>126.29</v>
      </c>
      <c r="AN121">
        <v>126.7</v>
      </c>
      <c r="AO121">
        <v>120.17</v>
      </c>
      <c r="AP121">
        <v>120.17</v>
      </c>
      <c r="AQ121">
        <v>114.58</v>
      </c>
      <c r="AR121">
        <v>115.41</v>
      </c>
      <c r="AS121">
        <v>110.58</v>
      </c>
      <c r="AT121">
        <v>111.61</v>
      </c>
      <c r="AU121">
        <v>112.74</v>
      </c>
    </row>
    <row r="122" spans="1:47" x14ac:dyDescent="0.25">
      <c r="A122" t="s">
        <v>138</v>
      </c>
      <c r="B122">
        <v>0</v>
      </c>
      <c r="C122">
        <v>0</v>
      </c>
      <c r="D122">
        <v>0</v>
      </c>
      <c r="E122">
        <v>0</v>
      </c>
      <c r="F122">
        <v>0</v>
      </c>
      <c r="G122">
        <v>0</v>
      </c>
      <c r="H122">
        <v>0</v>
      </c>
      <c r="I122">
        <v>0</v>
      </c>
      <c r="J122">
        <v>0</v>
      </c>
      <c r="K122">
        <v>0</v>
      </c>
      <c r="L122">
        <v>0</v>
      </c>
      <c r="M122">
        <v>0</v>
      </c>
      <c r="N122">
        <v>0</v>
      </c>
      <c r="O122">
        <v>0</v>
      </c>
      <c r="P122">
        <v>0</v>
      </c>
      <c r="Q122">
        <v>38.049999999999997</v>
      </c>
      <c r="R122">
        <v>73.2</v>
      </c>
      <c r="S122">
        <v>149.37</v>
      </c>
      <c r="T122">
        <v>192.9</v>
      </c>
      <c r="U122">
        <v>235.49</v>
      </c>
      <c r="V122">
        <v>278.02</v>
      </c>
      <c r="W122">
        <v>495.19</v>
      </c>
      <c r="X122">
        <v>535.09</v>
      </c>
      <c r="Y122">
        <v>536.09</v>
      </c>
      <c r="Z122">
        <v>537.84</v>
      </c>
      <c r="AA122">
        <v>608.52</v>
      </c>
      <c r="AB122">
        <v>667.82</v>
      </c>
      <c r="AC122">
        <v>701.74</v>
      </c>
      <c r="AD122">
        <v>779.84</v>
      </c>
      <c r="AE122">
        <v>911.2</v>
      </c>
      <c r="AF122">
        <v>1086.07</v>
      </c>
      <c r="AG122">
        <v>1125.01</v>
      </c>
      <c r="AH122">
        <v>1146.08</v>
      </c>
      <c r="AI122">
        <v>1066.2</v>
      </c>
      <c r="AJ122">
        <v>1084.43</v>
      </c>
      <c r="AK122">
        <v>1139.72</v>
      </c>
      <c r="AL122">
        <v>1154.78</v>
      </c>
      <c r="AM122">
        <v>1119.76</v>
      </c>
      <c r="AN122">
        <v>1135.74</v>
      </c>
      <c r="AO122">
        <v>1103.92</v>
      </c>
      <c r="AP122">
        <v>1225.4100000000001</v>
      </c>
      <c r="AQ122">
        <v>1196.76</v>
      </c>
      <c r="AR122">
        <v>1218.8</v>
      </c>
      <c r="AS122">
        <v>1197.92</v>
      </c>
      <c r="AT122">
        <v>1224</v>
      </c>
      <c r="AU122">
        <v>1251.07</v>
      </c>
    </row>
    <row r="123" spans="1:47" x14ac:dyDescent="0.25">
      <c r="A123" t="s">
        <v>139</v>
      </c>
      <c r="B123">
        <v>0</v>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row>
    <row r="124" spans="1:47" x14ac:dyDescent="0.25">
      <c r="A124" t="s">
        <v>140</v>
      </c>
      <c r="B124">
        <v>13157.72</v>
      </c>
      <c r="C124">
        <v>12734.72</v>
      </c>
      <c r="D124">
        <v>13706.72</v>
      </c>
      <c r="E124">
        <v>14055.07</v>
      </c>
      <c r="F124">
        <v>14446.21</v>
      </c>
      <c r="G124">
        <v>13510.41</v>
      </c>
      <c r="H124">
        <v>13181.21</v>
      </c>
      <c r="I124">
        <v>13089.82</v>
      </c>
      <c r="J124">
        <v>13578.27</v>
      </c>
      <c r="K124">
        <v>11726.75</v>
      </c>
      <c r="L124">
        <v>12023.56</v>
      </c>
      <c r="M124">
        <v>11974.82</v>
      </c>
      <c r="N124">
        <v>11915.14</v>
      </c>
      <c r="O124">
        <v>10290.84</v>
      </c>
      <c r="P124">
        <v>9981.5</v>
      </c>
      <c r="Q124">
        <v>1706.95</v>
      </c>
      <c r="R124">
        <v>1575.51</v>
      </c>
      <c r="S124">
        <v>1444.06</v>
      </c>
      <c r="T124">
        <v>1444.06</v>
      </c>
      <c r="U124">
        <v>1444.06</v>
      </c>
      <c r="V124">
        <v>1444.07</v>
      </c>
      <c r="W124">
        <v>1221.6500000000001</v>
      </c>
      <c r="X124">
        <v>799.55</v>
      </c>
      <c r="Y124">
        <v>361</v>
      </c>
      <c r="Z124">
        <v>361</v>
      </c>
      <c r="AA124">
        <v>194.47</v>
      </c>
      <c r="AB124">
        <v>159.91</v>
      </c>
      <c r="AC124">
        <v>133.08000000000001</v>
      </c>
      <c r="AD124">
        <v>132.13999999999999</v>
      </c>
      <c r="AE124">
        <v>127.86</v>
      </c>
      <c r="AF124">
        <v>126.73</v>
      </c>
      <c r="AG124">
        <v>128.27000000000001</v>
      </c>
      <c r="AH124">
        <v>127.89</v>
      </c>
      <c r="AI124">
        <v>114.56</v>
      </c>
      <c r="AJ124">
        <v>114.48</v>
      </c>
      <c r="AK124">
        <v>104.37</v>
      </c>
      <c r="AL124">
        <v>104.48</v>
      </c>
      <c r="AM124">
        <v>99.27</v>
      </c>
      <c r="AN124">
        <v>99.59</v>
      </c>
      <c r="AO124">
        <v>94.46</v>
      </c>
      <c r="AP124">
        <v>94.46</v>
      </c>
      <c r="AQ124">
        <v>90.07</v>
      </c>
      <c r="AR124">
        <v>90.72</v>
      </c>
      <c r="AS124">
        <v>86.92</v>
      </c>
      <c r="AT124">
        <v>87.73</v>
      </c>
      <c r="AU124">
        <v>88.62</v>
      </c>
    </row>
    <row r="125" spans="1:47" x14ac:dyDescent="0.25">
      <c r="A125" t="s">
        <v>141</v>
      </c>
      <c r="B125">
        <v>1896.28</v>
      </c>
      <c r="C125">
        <v>2247.2800000000002</v>
      </c>
      <c r="D125">
        <v>1869.28</v>
      </c>
      <c r="E125">
        <v>3083.94</v>
      </c>
      <c r="F125">
        <v>2763.79</v>
      </c>
      <c r="G125">
        <v>2503.59</v>
      </c>
      <c r="H125">
        <v>2678.79</v>
      </c>
      <c r="I125">
        <v>3253.18</v>
      </c>
      <c r="J125">
        <v>4493.7299999999996</v>
      </c>
      <c r="K125">
        <v>6022.45</v>
      </c>
      <c r="L125">
        <v>7348.4</v>
      </c>
      <c r="M125">
        <v>8613.18</v>
      </c>
      <c r="N125">
        <v>9045.8700000000008</v>
      </c>
      <c r="O125">
        <v>9436.16</v>
      </c>
      <c r="P125">
        <v>9714.5</v>
      </c>
      <c r="Q125">
        <v>14877.15</v>
      </c>
      <c r="R125">
        <v>14977.46</v>
      </c>
      <c r="S125">
        <v>14512.86</v>
      </c>
      <c r="T125">
        <v>14644.4</v>
      </c>
      <c r="U125">
        <v>14979.18</v>
      </c>
      <c r="V125">
        <v>13924.21</v>
      </c>
      <c r="W125">
        <v>13847.29</v>
      </c>
      <c r="X125">
        <v>13951.26</v>
      </c>
      <c r="Y125">
        <v>13650.46</v>
      </c>
      <c r="Z125">
        <v>13253.71</v>
      </c>
      <c r="AA125">
        <v>12503.35</v>
      </c>
      <c r="AB125">
        <v>11109.27</v>
      </c>
      <c r="AC125">
        <v>9809.23</v>
      </c>
      <c r="AD125">
        <v>9673.07</v>
      </c>
      <c r="AE125">
        <v>9248.89</v>
      </c>
      <c r="AF125">
        <v>9135.48</v>
      </c>
      <c r="AG125">
        <v>8839.84</v>
      </c>
      <c r="AH125">
        <v>8814.1299999999992</v>
      </c>
      <c r="AI125">
        <v>8235.0300000000007</v>
      </c>
      <c r="AJ125">
        <v>8231.7099999999991</v>
      </c>
      <c r="AK125">
        <v>7828.55</v>
      </c>
      <c r="AL125">
        <v>7832.91</v>
      </c>
      <c r="AM125">
        <v>7625.5</v>
      </c>
      <c r="AN125">
        <v>7638.28</v>
      </c>
      <c r="AO125">
        <v>7433.7</v>
      </c>
      <c r="AP125">
        <v>7433.6</v>
      </c>
      <c r="AQ125">
        <v>7258.6</v>
      </c>
      <c r="AR125">
        <v>7284.47</v>
      </c>
      <c r="AS125">
        <v>7133.12</v>
      </c>
      <c r="AT125">
        <v>7165.4</v>
      </c>
      <c r="AU125">
        <v>7200.9</v>
      </c>
    </row>
    <row r="126" spans="1:47" x14ac:dyDescent="0.25">
      <c r="A126" t="s">
        <v>142</v>
      </c>
      <c r="B126">
        <v>17.899999999999999</v>
      </c>
      <c r="C126">
        <v>19.5</v>
      </c>
      <c r="D126">
        <v>25.9</v>
      </c>
      <c r="E126">
        <v>22.6</v>
      </c>
      <c r="F126">
        <v>17.899999999999999</v>
      </c>
      <c r="G126">
        <v>20.8</v>
      </c>
      <c r="H126">
        <v>12.3</v>
      </c>
      <c r="I126">
        <v>11.3</v>
      </c>
      <c r="J126">
        <v>15</v>
      </c>
      <c r="K126">
        <v>12.4</v>
      </c>
      <c r="L126">
        <v>2</v>
      </c>
      <c r="M126">
        <v>1</v>
      </c>
      <c r="N126">
        <v>1</v>
      </c>
      <c r="O126">
        <v>1</v>
      </c>
      <c r="P126">
        <v>1</v>
      </c>
      <c r="Q126">
        <v>17.03</v>
      </c>
      <c r="R126">
        <v>25.9</v>
      </c>
      <c r="S126">
        <v>25.9</v>
      </c>
      <c r="T126">
        <v>24.72</v>
      </c>
      <c r="U126">
        <v>8.1999999999999993</v>
      </c>
      <c r="V126">
        <v>8.1999999999999993</v>
      </c>
      <c r="W126">
        <v>8.1999999999999993</v>
      </c>
      <c r="X126">
        <v>8.1999999999999993</v>
      </c>
      <c r="Y126">
        <v>8.1999999999999993</v>
      </c>
      <c r="Z126">
        <v>8.1999999999999993</v>
      </c>
      <c r="AA126">
        <v>7.95</v>
      </c>
      <c r="AB126">
        <v>7.61</v>
      </c>
      <c r="AC126">
        <v>7.06</v>
      </c>
      <c r="AD126">
        <v>7.01</v>
      </c>
      <c r="AE126">
        <v>6.78</v>
      </c>
      <c r="AF126">
        <v>6.72</v>
      </c>
      <c r="AG126">
        <v>6.81</v>
      </c>
      <c r="AH126">
        <v>6.79</v>
      </c>
      <c r="AI126">
        <v>6.08</v>
      </c>
      <c r="AJ126">
        <v>6.07</v>
      </c>
      <c r="AK126">
        <v>5.54</v>
      </c>
      <c r="AL126">
        <v>5.54</v>
      </c>
      <c r="AM126">
        <v>5.27</v>
      </c>
      <c r="AN126">
        <v>5.28</v>
      </c>
      <c r="AO126">
        <v>5.01</v>
      </c>
      <c r="AP126">
        <v>5.01</v>
      </c>
      <c r="AQ126">
        <v>4.78</v>
      </c>
      <c r="AR126">
        <v>4.8099999999999996</v>
      </c>
      <c r="AS126">
        <v>4.6100000000000003</v>
      </c>
      <c r="AT126">
        <v>4.6500000000000004</v>
      </c>
      <c r="AU126">
        <v>4.7</v>
      </c>
    </row>
    <row r="128" spans="1:47" ht="18.600000000000001" customHeight="1" x14ac:dyDescent="0.3">
      <c r="A128" s="12" t="s">
        <v>153</v>
      </c>
    </row>
    <row r="129" spans="1:47" x14ac:dyDescent="0.25">
      <c r="A129" t="s">
        <v>88</v>
      </c>
      <c r="B129" t="s">
        <v>89</v>
      </c>
      <c r="C129" t="s">
        <v>90</v>
      </c>
      <c r="D129" t="s">
        <v>91</v>
      </c>
      <c r="E129" t="s">
        <v>92</v>
      </c>
      <c r="F129" t="s">
        <v>93</v>
      </c>
      <c r="G129" t="s">
        <v>94</v>
      </c>
      <c r="H129" t="s">
        <v>95</v>
      </c>
      <c r="I129" t="s">
        <v>96</v>
      </c>
      <c r="J129" t="s">
        <v>97</v>
      </c>
      <c r="K129" t="s">
        <v>98</v>
      </c>
      <c r="L129" t="s">
        <v>99</v>
      </c>
      <c r="M129" t="s">
        <v>100</v>
      </c>
      <c r="N129" t="s">
        <v>101</v>
      </c>
      <c r="O129" t="s">
        <v>102</v>
      </c>
      <c r="P129" t="s">
        <v>103</v>
      </c>
      <c r="Q129" t="s">
        <v>104</v>
      </c>
      <c r="R129" t="s">
        <v>105</v>
      </c>
      <c r="S129" t="s">
        <v>106</v>
      </c>
      <c r="T129" t="s">
        <v>107</v>
      </c>
      <c r="U129" t="s">
        <v>108</v>
      </c>
      <c r="V129" t="s">
        <v>109</v>
      </c>
      <c r="W129" t="s">
        <v>110</v>
      </c>
      <c r="X129" t="s">
        <v>111</v>
      </c>
      <c r="Y129" t="s">
        <v>112</v>
      </c>
      <c r="Z129" t="s">
        <v>113</v>
      </c>
      <c r="AA129" t="s">
        <v>114</v>
      </c>
      <c r="AB129" t="s">
        <v>115</v>
      </c>
      <c r="AC129" t="s">
        <v>116</v>
      </c>
      <c r="AD129" t="s">
        <v>117</v>
      </c>
      <c r="AE129" t="s">
        <v>118</v>
      </c>
      <c r="AF129" t="s">
        <v>119</v>
      </c>
      <c r="AG129" t="s">
        <v>120</v>
      </c>
      <c r="AH129" t="s">
        <v>121</v>
      </c>
      <c r="AI129" t="s">
        <v>122</v>
      </c>
      <c r="AJ129" t="s">
        <v>123</v>
      </c>
      <c r="AK129" t="s">
        <v>124</v>
      </c>
      <c r="AL129" t="s">
        <v>125</v>
      </c>
      <c r="AM129" t="s">
        <v>126</v>
      </c>
      <c r="AN129" t="s">
        <v>127</v>
      </c>
      <c r="AO129" t="s">
        <v>128</v>
      </c>
      <c r="AP129" t="s">
        <v>129</v>
      </c>
      <c r="AQ129" t="s">
        <v>130</v>
      </c>
      <c r="AR129" t="s">
        <v>131</v>
      </c>
      <c r="AS129" t="s">
        <v>132</v>
      </c>
      <c r="AT129" t="s">
        <v>133</v>
      </c>
      <c r="AU129" t="s">
        <v>134</v>
      </c>
    </row>
    <row r="130" spans="1:47" x14ac:dyDescent="0.25">
      <c r="A130" t="s">
        <v>135</v>
      </c>
      <c r="B130">
        <v>330.63</v>
      </c>
      <c r="C130">
        <v>330.63</v>
      </c>
      <c r="D130">
        <v>330.63</v>
      </c>
      <c r="E130">
        <v>348.29</v>
      </c>
      <c r="F130">
        <v>379.06</v>
      </c>
      <c r="G130">
        <v>380.43</v>
      </c>
      <c r="H130">
        <v>388.07</v>
      </c>
      <c r="I130">
        <v>430.19</v>
      </c>
      <c r="J130">
        <v>347.19</v>
      </c>
      <c r="K130">
        <v>410.67</v>
      </c>
      <c r="L130">
        <v>422</v>
      </c>
      <c r="M130">
        <v>419</v>
      </c>
      <c r="N130">
        <v>448</v>
      </c>
      <c r="O130">
        <v>419</v>
      </c>
      <c r="P130">
        <v>376</v>
      </c>
      <c r="Q130">
        <v>375.99</v>
      </c>
      <c r="R130">
        <v>376.02</v>
      </c>
      <c r="S130">
        <v>419.59</v>
      </c>
      <c r="T130">
        <v>419.58</v>
      </c>
      <c r="U130">
        <v>419.57</v>
      </c>
      <c r="V130">
        <v>472.09</v>
      </c>
      <c r="W130">
        <v>472.07</v>
      </c>
      <c r="X130">
        <v>603.39</v>
      </c>
      <c r="Y130">
        <v>653.54</v>
      </c>
      <c r="Z130">
        <v>642.04</v>
      </c>
      <c r="AA130">
        <v>634.28</v>
      </c>
      <c r="AB130">
        <v>541.6</v>
      </c>
      <c r="AC130">
        <v>442.31</v>
      </c>
      <c r="AD130">
        <v>439.25</v>
      </c>
      <c r="AE130">
        <v>443.84</v>
      </c>
      <c r="AF130">
        <v>398.65</v>
      </c>
      <c r="AG130">
        <v>400.66</v>
      </c>
      <c r="AH130">
        <v>403.11</v>
      </c>
      <c r="AI130">
        <v>402.94</v>
      </c>
      <c r="AJ130">
        <v>408.32</v>
      </c>
      <c r="AK130">
        <v>411.7</v>
      </c>
      <c r="AL130">
        <v>415.42</v>
      </c>
      <c r="AM130">
        <v>420.13</v>
      </c>
      <c r="AN130">
        <v>427</v>
      </c>
      <c r="AO130">
        <v>429.87</v>
      </c>
      <c r="AP130">
        <v>437.06</v>
      </c>
      <c r="AQ130">
        <v>444.32</v>
      </c>
      <c r="AR130">
        <v>450.64</v>
      </c>
      <c r="AS130">
        <v>456.64</v>
      </c>
      <c r="AT130">
        <v>464.14</v>
      </c>
      <c r="AU130">
        <v>471.9</v>
      </c>
    </row>
    <row r="131" spans="1:47" x14ac:dyDescent="0.25">
      <c r="A131" t="s">
        <v>136</v>
      </c>
      <c r="B131">
        <v>0.41</v>
      </c>
      <c r="C131">
        <v>0.41</v>
      </c>
      <c r="D131">
        <v>0.41</v>
      </c>
      <c r="E131">
        <v>0.44</v>
      </c>
      <c r="F131">
        <v>0.23</v>
      </c>
      <c r="G131">
        <v>0.09</v>
      </c>
      <c r="H131">
        <v>0.4</v>
      </c>
      <c r="I131">
        <v>0.45</v>
      </c>
      <c r="J131">
        <v>0.28000000000000003</v>
      </c>
      <c r="K131">
        <v>0.33</v>
      </c>
      <c r="L131">
        <v>1</v>
      </c>
      <c r="M131">
        <v>1</v>
      </c>
      <c r="N131">
        <v>0</v>
      </c>
      <c r="O131">
        <v>0</v>
      </c>
      <c r="P131">
        <v>0</v>
      </c>
      <c r="Q131">
        <v>0</v>
      </c>
      <c r="R131">
        <v>0</v>
      </c>
      <c r="S131">
        <v>0</v>
      </c>
      <c r="T131">
        <v>2.5099999999999998</v>
      </c>
      <c r="U131">
        <v>5.37</v>
      </c>
      <c r="V131">
        <v>52.05</v>
      </c>
      <c r="W131">
        <v>55.18</v>
      </c>
      <c r="X131">
        <v>58.8</v>
      </c>
      <c r="Y131">
        <v>62.09</v>
      </c>
      <c r="Z131">
        <v>65.3</v>
      </c>
      <c r="AA131">
        <v>68.58</v>
      </c>
      <c r="AB131">
        <v>68.25</v>
      </c>
      <c r="AC131">
        <v>60.82</v>
      </c>
      <c r="AD131">
        <v>60.48</v>
      </c>
      <c r="AE131">
        <v>61.17</v>
      </c>
      <c r="AF131">
        <v>56.88</v>
      </c>
      <c r="AG131">
        <v>57.18</v>
      </c>
      <c r="AH131">
        <v>57.53</v>
      </c>
      <c r="AI131">
        <v>57.49</v>
      </c>
      <c r="AJ131">
        <v>58.29</v>
      </c>
      <c r="AK131">
        <v>58.57</v>
      </c>
      <c r="AL131">
        <v>59.03</v>
      </c>
      <c r="AM131">
        <v>59.69</v>
      </c>
      <c r="AN131">
        <v>60.48</v>
      </c>
      <c r="AO131">
        <v>60.76</v>
      </c>
      <c r="AP131">
        <v>61.47</v>
      </c>
      <c r="AQ131">
        <v>62.11</v>
      </c>
      <c r="AR131">
        <v>62.74</v>
      </c>
      <c r="AS131">
        <v>63.37</v>
      </c>
      <c r="AT131">
        <v>64.010000000000005</v>
      </c>
      <c r="AU131">
        <v>64.64</v>
      </c>
    </row>
    <row r="132" spans="1:47" x14ac:dyDescent="0.25">
      <c r="A132" t="s">
        <v>137</v>
      </c>
      <c r="B132">
        <v>0</v>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row>
    <row r="133" spans="1:47" x14ac:dyDescent="0.25">
      <c r="A133" t="s">
        <v>138</v>
      </c>
      <c r="B133">
        <v>0</v>
      </c>
      <c r="C133">
        <v>0</v>
      </c>
      <c r="D133">
        <v>0</v>
      </c>
      <c r="E133">
        <v>0</v>
      </c>
      <c r="F133">
        <v>0</v>
      </c>
      <c r="G133">
        <v>0</v>
      </c>
      <c r="H133">
        <v>0</v>
      </c>
      <c r="I133">
        <v>0</v>
      </c>
      <c r="J133">
        <v>0</v>
      </c>
      <c r="K133">
        <v>0</v>
      </c>
      <c r="L133">
        <v>0</v>
      </c>
      <c r="M133">
        <v>0</v>
      </c>
      <c r="N133">
        <v>0</v>
      </c>
      <c r="O133">
        <v>0</v>
      </c>
      <c r="P133">
        <v>0</v>
      </c>
      <c r="Q133">
        <v>0</v>
      </c>
      <c r="R133">
        <v>0</v>
      </c>
      <c r="S133">
        <v>1.3</v>
      </c>
      <c r="T133">
        <v>1.3</v>
      </c>
      <c r="U133">
        <v>2.79</v>
      </c>
      <c r="V133">
        <v>4.41</v>
      </c>
      <c r="W133">
        <v>6.28</v>
      </c>
      <c r="X133">
        <v>7.98</v>
      </c>
      <c r="Y133">
        <v>9.81</v>
      </c>
      <c r="Z133">
        <v>11.51</v>
      </c>
      <c r="AA133">
        <v>11.51</v>
      </c>
      <c r="AB133">
        <v>11.46</v>
      </c>
      <c r="AC133">
        <v>10.210000000000001</v>
      </c>
      <c r="AD133">
        <v>10.15</v>
      </c>
      <c r="AE133">
        <v>10.27</v>
      </c>
      <c r="AF133">
        <v>9.5500000000000007</v>
      </c>
      <c r="AG133">
        <v>9.6</v>
      </c>
      <c r="AH133">
        <v>9.66</v>
      </c>
      <c r="AI133">
        <v>9.65</v>
      </c>
      <c r="AJ133">
        <v>9.7799999999999994</v>
      </c>
      <c r="AK133">
        <v>9.83</v>
      </c>
      <c r="AL133">
        <v>9.91</v>
      </c>
      <c r="AM133">
        <v>10.02</v>
      </c>
      <c r="AN133">
        <v>10.15</v>
      </c>
      <c r="AO133">
        <v>10.199999999999999</v>
      </c>
      <c r="AP133">
        <v>10.32</v>
      </c>
      <c r="AQ133">
        <v>10.42</v>
      </c>
      <c r="AR133">
        <v>10.53</v>
      </c>
      <c r="AS133">
        <v>10.64</v>
      </c>
      <c r="AT133">
        <v>10.74</v>
      </c>
      <c r="AU133">
        <v>10.85</v>
      </c>
    </row>
    <row r="134" spans="1:47" x14ac:dyDescent="0.25">
      <c r="A134" t="s">
        <v>139</v>
      </c>
      <c r="B134">
        <v>0</v>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row>
    <row r="135" spans="1:47" x14ac:dyDescent="0.25">
      <c r="A135" t="s">
        <v>140</v>
      </c>
      <c r="B135">
        <v>0</v>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row>
    <row r="136" spans="1:47" x14ac:dyDescent="0.25">
      <c r="A136" t="s">
        <v>141</v>
      </c>
      <c r="B136">
        <v>0</v>
      </c>
      <c r="C136">
        <v>0</v>
      </c>
      <c r="D136">
        <v>0</v>
      </c>
      <c r="E136">
        <v>0</v>
      </c>
      <c r="F136">
        <v>0</v>
      </c>
      <c r="G136">
        <v>0</v>
      </c>
      <c r="H136">
        <v>0</v>
      </c>
      <c r="I136">
        <v>0</v>
      </c>
      <c r="J136">
        <v>0</v>
      </c>
      <c r="K136">
        <v>0</v>
      </c>
      <c r="L136">
        <v>26</v>
      </c>
      <c r="M136">
        <v>27</v>
      </c>
      <c r="N136">
        <v>37</v>
      </c>
      <c r="O136">
        <v>59</v>
      </c>
      <c r="P136">
        <v>92</v>
      </c>
      <c r="Q136">
        <v>117.86</v>
      </c>
      <c r="R136">
        <v>167.92</v>
      </c>
      <c r="S136">
        <v>146.97</v>
      </c>
      <c r="T136">
        <v>173.45</v>
      </c>
      <c r="U136">
        <v>173.45</v>
      </c>
      <c r="V136">
        <v>167.1</v>
      </c>
      <c r="W136">
        <v>153.49</v>
      </c>
      <c r="X136">
        <v>65.83</v>
      </c>
      <c r="Y136">
        <v>26.07</v>
      </c>
      <c r="Z136">
        <v>3.5</v>
      </c>
      <c r="AA136">
        <v>1.81</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row>
    <row r="137" spans="1:47" x14ac:dyDescent="0.25">
      <c r="A137" t="s">
        <v>142</v>
      </c>
      <c r="B137">
        <v>22.09</v>
      </c>
      <c r="C137">
        <v>22.09</v>
      </c>
      <c r="D137">
        <v>22.09</v>
      </c>
      <c r="E137">
        <v>22.33</v>
      </c>
      <c r="F137">
        <v>18.54</v>
      </c>
      <c r="G137">
        <v>24.78</v>
      </c>
      <c r="H137">
        <v>36.869999999999997</v>
      </c>
      <c r="I137">
        <v>24.37</v>
      </c>
      <c r="J137">
        <v>23.29</v>
      </c>
      <c r="K137">
        <v>23</v>
      </c>
      <c r="L137">
        <v>0</v>
      </c>
      <c r="M137">
        <v>0</v>
      </c>
      <c r="N137">
        <v>0</v>
      </c>
      <c r="O137">
        <v>0</v>
      </c>
      <c r="P137">
        <v>0</v>
      </c>
      <c r="Q137">
        <v>5.2</v>
      </c>
      <c r="R137">
        <v>35.83</v>
      </c>
      <c r="S137">
        <v>23.56</v>
      </c>
      <c r="T137">
        <v>60.29</v>
      </c>
      <c r="U137">
        <v>164.84</v>
      </c>
      <c r="V137">
        <v>40.229999999999997</v>
      </c>
      <c r="W137">
        <v>31.34</v>
      </c>
      <c r="X137">
        <v>0.36</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row>
    <row r="139" spans="1:47" ht="18.600000000000001" customHeight="1" x14ac:dyDescent="0.3">
      <c r="A139" s="12" t="s">
        <v>154</v>
      </c>
    </row>
    <row r="140" spans="1:47" x14ac:dyDescent="0.25">
      <c r="A140" t="s">
        <v>88</v>
      </c>
      <c r="B140" t="s">
        <v>89</v>
      </c>
      <c r="C140" t="s">
        <v>90</v>
      </c>
      <c r="D140" t="s">
        <v>91</v>
      </c>
      <c r="E140" t="s">
        <v>92</v>
      </c>
      <c r="F140" t="s">
        <v>93</v>
      </c>
      <c r="G140" t="s">
        <v>94</v>
      </c>
      <c r="H140" t="s">
        <v>95</v>
      </c>
      <c r="I140" t="s">
        <v>96</v>
      </c>
      <c r="J140" t="s">
        <v>97</v>
      </c>
      <c r="K140" t="s">
        <v>98</v>
      </c>
      <c r="L140" t="s">
        <v>99</v>
      </c>
      <c r="M140" t="s">
        <v>100</v>
      </c>
      <c r="N140" t="s">
        <v>101</v>
      </c>
      <c r="O140" t="s">
        <v>102</v>
      </c>
      <c r="P140" t="s">
        <v>103</v>
      </c>
      <c r="Q140" t="s">
        <v>104</v>
      </c>
      <c r="R140" t="s">
        <v>105</v>
      </c>
      <c r="S140" t="s">
        <v>106</v>
      </c>
      <c r="T140" t="s">
        <v>107</v>
      </c>
      <c r="U140" t="s">
        <v>108</v>
      </c>
      <c r="V140" t="s">
        <v>109</v>
      </c>
      <c r="W140" t="s">
        <v>110</v>
      </c>
      <c r="X140" t="s">
        <v>111</v>
      </c>
      <c r="Y140" t="s">
        <v>112</v>
      </c>
      <c r="Z140" t="s">
        <v>113</v>
      </c>
      <c r="AA140" t="s">
        <v>114</v>
      </c>
      <c r="AB140" t="s">
        <v>115</v>
      </c>
      <c r="AC140" t="s">
        <v>116</v>
      </c>
      <c r="AD140" t="s">
        <v>117</v>
      </c>
      <c r="AE140" t="s">
        <v>118</v>
      </c>
      <c r="AF140" t="s">
        <v>119</v>
      </c>
      <c r="AG140" t="s">
        <v>120</v>
      </c>
      <c r="AH140" t="s">
        <v>121</v>
      </c>
      <c r="AI140" t="s">
        <v>122</v>
      </c>
      <c r="AJ140" t="s">
        <v>123</v>
      </c>
      <c r="AK140" t="s">
        <v>124</v>
      </c>
      <c r="AL140" t="s">
        <v>125</v>
      </c>
      <c r="AM140" t="s">
        <v>126</v>
      </c>
      <c r="AN140" t="s">
        <v>127</v>
      </c>
      <c r="AO140" t="s">
        <v>128</v>
      </c>
      <c r="AP140" t="s">
        <v>129</v>
      </c>
      <c r="AQ140" t="s">
        <v>130</v>
      </c>
      <c r="AR140" t="s">
        <v>131</v>
      </c>
      <c r="AS140" t="s">
        <v>132</v>
      </c>
      <c r="AT140" t="s">
        <v>133</v>
      </c>
      <c r="AU140" t="s">
        <v>134</v>
      </c>
    </row>
    <row r="141" spans="1:47" x14ac:dyDescent="0.25">
      <c r="A141" t="s">
        <v>135</v>
      </c>
      <c r="B141">
        <v>259.11</v>
      </c>
      <c r="C141">
        <v>251.87</v>
      </c>
      <c r="D141">
        <v>250.25</v>
      </c>
      <c r="E141">
        <v>246.58</v>
      </c>
      <c r="F141">
        <v>253.95</v>
      </c>
      <c r="G141">
        <v>253.95</v>
      </c>
      <c r="H141">
        <v>260.35000000000002</v>
      </c>
      <c r="I141">
        <v>255.2</v>
      </c>
      <c r="J141">
        <v>262.76</v>
      </c>
      <c r="K141">
        <v>233.82</v>
      </c>
      <c r="L141">
        <v>164</v>
      </c>
      <c r="M141">
        <v>243</v>
      </c>
      <c r="N141">
        <v>249</v>
      </c>
      <c r="O141">
        <v>253</v>
      </c>
      <c r="P141">
        <v>267</v>
      </c>
      <c r="Q141">
        <v>115.84</v>
      </c>
      <c r="R141">
        <v>114.72</v>
      </c>
      <c r="S141">
        <v>114</v>
      </c>
      <c r="T141">
        <v>112.95</v>
      </c>
      <c r="U141">
        <v>246.46</v>
      </c>
      <c r="V141">
        <v>277.14999999999998</v>
      </c>
      <c r="W141">
        <v>281.58999999999997</v>
      </c>
      <c r="X141">
        <v>286.38</v>
      </c>
      <c r="Y141">
        <v>287.41000000000003</v>
      </c>
      <c r="Z141">
        <v>308.39999999999998</v>
      </c>
      <c r="AA141">
        <v>308.39999999999998</v>
      </c>
      <c r="AB141">
        <v>307.25</v>
      </c>
      <c r="AC141">
        <v>307.11</v>
      </c>
      <c r="AD141">
        <v>306.97000000000003</v>
      </c>
      <c r="AE141">
        <v>306.82</v>
      </c>
      <c r="AF141">
        <v>306.69</v>
      </c>
      <c r="AG141">
        <v>305.58</v>
      </c>
      <c r="AH141">
        <v>304.77999999999997</v>
      </c>
      <c r="AI141">
        <v>303</v>
      </c>
      <c r="AJ141">
        <v>300.77</v>
      </c>
      <c r="AK141">
        <v>299.52</v>
      </c>
      <c r="AL141">
        <v>300.2</v>
      </c>
      <c r="AM141">
        <v>298.51</v>
      </c>
      <c r="AN141">
        <v>297.77999999999997</v>
      </c>
      <c r="AO141">
        <v>297.05</v>
      </c>
      <c r="AP141">
        <v>296.31</v>
      </c>
      <c r="AQ141">
        <v>297.45</v>
      </c>
      <c r="AR141">
        <v>294.82</v>
      </c>
      <c r="AS141">
        <v>295.02</v>
      </c>
      <c r="AT141">
        <v>294.29000000000002</v>
      </c>
      <c r="AU141">
        <v>294.02999999999997</v>
      </c>
    </row>
    <row r="142" spans="1:47" x14ac:dyDescent="0.25">
      <c r="A142" t="s">
        <v>136</v>
      </c>
      <c r="B142">
        <v>0</v>
      </c>
      <c r="C142">
        <v>0</v>
      </c>
      <c r="D142">
        <v>0</v>
      </c>
      <c r="E142">
        <v>0</v>
      </c>
      <c r="F142">
        <v>0</v>
      </c>
      <c r="G142">
        <v>0</v>
      </c>
      <c r="H142">
        <v>0</v>
      </c>
      <c r="I142">
        <v>1.3</v>
      </c>
      <c r="J142">
        <v>1.6</v>
      </c>
      <c r="K142">
        <v>19.850000000000001</v>
      </c>
      <c r="L142">
        <v>21</v>
      </c>
      <c r="M142">
        <v>14</v>
      </c>
      <c r="N142">
        <v>17</v>
      </c>
      <c r="O142">
        <v>18</v>
      </c>
      <c r="P142">
        <v>17</v>
      </c>
      <c r="Q142">
        <v>6.8</v>
      </c>
      <c r="R142">
        <v>6.8</v>
      </c>
      <c r="S142">
        <v>20.82</v>
      </c>
      <c r="T142">
        <v>14.02</v>
      </c>
      <c r="U142">
        <v>11.17</v>
      </c>
      <c r="V142">
        <v>13.81</v>
      </c>
      <c r="W142">
        <v>14.55</v>
      </c>
      <c r="X142">
        <v>15.32</v>
      </c>
      <c r="Y142">
        <v>15.38</v>
      </c>
      <c r="Z142">
        <v>15.82</v>
      </c>
      <c r="AA142">
        <v>15.82</v>
      </c>
      <c r="AB142">
        <v>16.309999999999999</v>
      </c>
      <c r="AC142">
        <v>16.84</v>
      </c>
      <c r="AD142">
        <v>17.38</v>
      </c>
      <c r="AE142">
        <v>17.91</v>
      </c>
      <c r="AF142">
        <v>18.45</v>
      </c>
      <c r="AG142">
        <v>18.920000000000002</v>
      </c>
      <c r="AH142">
        <v>19.41</v>
      </c>
      <c r="AI142">
        <v>19.829999999999998</v>
      </c>
      <c r="AJ142">
        <v>20.22</v>
      </c>
      <c r="AK142">
        <v>20.67</v>
      </c>
      <c r="AL142">
        <v>21.24</v>
      </c>
      <c r="AM142">
        <v>21.65</v>
      </c>
      <c r="AN142">
        <v>22.13</v>
      </c>
      <c r="AO142">
        <v>22.6</v>
      </c>
      <c r="AP142">
        <v>23.06</v>
      </c>
      <c r="AQ142">
        <v>23.68</v>
      </c>
      <c r="AR142">
        <v>23.99</v>
      </c>
      <c r="AS142">
        <v>24.53</v>
      </c>
      <c r="AT142">
        <v>24.99</v>
      </c>
      <c r="AU142">
        <v>25.49</v>
      </c>
    </row>
    <row r="143" spans="1:47" x14ac:dyDescent="0.25">
      <c r="A143" t="s">
        <v>137</v>
      </c>
      <c r="B143">
        <v>0</v>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row>
    <row r="144" spans="1:47" x14ac:dyDescent="0.25">
      <c r="A144" t="s">
        <v>138</v>
      </c>
      <c r="B144">
        <v>0</v>
      </c>
      <c r="C144">
        <v>0</v>
      </c>
      <c r="D144">
        <v>0</v>
      </c>
      <c r="E144">
        <v>0</v>
      </c>
      <c r="F144">
        <v>0</v>
      </c>
      <c r="G144">
        <v>0</v>
      </c>
      <c r="H144">
        <v>0</v>
      </c>
      <c r="I144">
        <v>0</v>
      </c>
      <c r="J144">
        <v>0</v>
      </c>
      <c r="K144">
        <v>0</v>
      </c>
      <c r="L144">
        <v>0</v>
      </c>
      <c r="M144">
        <v>0</v>
      </c>
      <c r="N144">
        <v>0</v>
      </c>
      <c r="O144">
        <v>0</v>
      </c>
      <c r="P144">
        <v>0</v>
      </c>
      <c r="Q144">
        <v>0</v>
      </c>
      <c r="R144">
        <v>0</v>
      </c>
      <c r="S144">
        <v>0</v>
      </c>
      <c r="T144">
        <v>0.73</v>
      </c>
      <c r="U144">
        <v>1.1200000000000001</v>
      </c>
      <c r="V144">
        <v>2.0299999999999998</v>
      </c>
      <c r="W144">
        <v>2.8</v>
      </c>
      <c r="X144">
        <v>2.85</v>
      </c>
      <c r="Y144">
        <v>2.86</v>
      </c>
      <c r="Z144">
        <v>2.94</v>
      </c>
      <c r="AA144">
        <v>2.94</v>
      </c>
      <c r="AB144">
        <v>2.93</v>
      </c>
      <c r="AC144">
        <v>2.93</v>
      </c>
      <c r="AD144">
        <v>2.93</v>
      </c>
      <c r="AE144">
        <v>2.92</v>
      </c>
      <c r="AF144">
        <v>2.92</v>
      </c>
      <c r="AG144">
        <v>3.81</v>
      </c>
      <c r="AH144">
        <v>4.7300000000000004</v>
      </c>
      <c r="AI144">
        <v>5.65</v>
      </c>
      <c r="AJ144">
        <v>5.61</v>
      </c>
      <c r="AK144">
        <v>5.58</v>
      </c>
      <c r="AL144">
        <v>5.6</v>
      </c>
      <c r="AM144">
        <v>6.41</v>
      </c>
      <c r="AN144">
        <v>7.26</v>
      </c>
      <c r="AO144">
        <v>8.1199999999999992</v>
      </c>
      <c r="AP144">
        <v>9.01</v>
      </c>
      <c r="AQ144">
        <v>9.98</v>
      </c>
      <c r="AR144">
        <v>10.82</v>
      </c>
      <c r="AS144">
        <v>11.76</v>
      </c>
      <c r="AT144">
        <v>12.65</v>
      </c>
      <c r="AU144">
        <v>12.64</v>
      </c>
    </row>
    <row r="145" spans="1:47" x14ac:dyDescent="0.25">
      <c r="A145" t="s">
        <v>139</v>
      </c>
      <c r="B145">
        <v>0</v>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row>
    <row r="146" spans="1:47" x14ac:dyDescent="0.25">
      <c r="A146" t="s">
        <v>140</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row>
    <row r="147" spans="1:47" x14ac:dyDescent="0.25">
      <c r="A147" t="s">
        <v>141</v>
      </c>
      <c r="B147">
        <v>162.4</v>
      </c>
      <c r="C147">
        <v>169.77</v>
      </c>
      <c r="D147">
        <v>116.92</v>
      </c>
      <c r="E147">
        <v>171.91</v>
      </c>
      <c r="F147">
        <v>191.5</v>
      </c>
      <c r="G147">
        <v>97.44</v>
      </c>
      <c r="H147">
        <v>61.32</v>
      </c>
      <c r="I147">
        <v>34.270000000000003</v>
      </c>
      <c r="J147">
        <v>151.62</v>
      </c>
      <c r="K147">
        <v>35</v>
      </c>
      <c r="L147">
        <v>125.39</v>
      </c>
      <c r="M147">
        <v>124.29</v>
      </c>
      <c r="N147">
        <v>108.51</v>
      </c>
      <c r="O147">
        <v>110.64</v>
      </c>
      <c r="P147">
        <v>98.24</v>
      </c>
      <c r="Q147">
        <v>89.43</v>
      </c>
      <c r="R147">
        <v>89.34</v>
      </c>
      <c r="S147">
        <v>89.37</v>
      </c>
      <c r="T147">
        <v>89.33</v>
      </c>
      <c r="U147">
        <v>72.39</v>
      </c>
      <c r="V147">
        <v>86.98</v>
      </c>
      <c r="W147">
        <v>86.98</v>
      </c>
      <c r="X147">
        <v>86.98</v>
      </c>
      <c r="Y147">
        <v>86.99</v>
      </c>
      <c r="Z147">
        <v>89.59</v>
      </c>
      <c r="AA147">
        <v>89.59</v>
      </c>
      <c r="AB147">
        <v>88.37</v>
      </c>
      <c r="AC147">
        <v>88.2</v>
      </c>
      <c r="AD147">
        <v>88.03</v>
      </c>
      <c r="AE147">
        <v>87.86</v>
      </c>
      <c r="AF147">
        <v>87.7</v>
      </c>
      <c r="AG147">
        <v>86.98</v>
      </c>
      <c r="AH147">
        <v>86.98</v>
      </c>
      <c r="AI147">
        <v>86.98</v>
      </c>
      <c r="AJ147">
        <v>86.98</v>
      </c>
      <c r="AK147">
        <v>86.97</v>
      </c>
      <c r="AL147">
        <v>86.98</v>
      </c>
      <c r="AM147">
        <v>86.98</v>
      </c>
      <c r="AN147">
        <v>86.98</v>
      </c>
      <c r="AO147">
        <v>86.98</v>
      </c>
      <c r="AP147">
        <v>86.98</v>
      </c>
      <c r="AQ147">
        <v>86.98</v>
      </c>
      <c r="AR147">
        <v>86.8</v>
      </c>
      <c r="AS147">
        <v>86.61</v>
      </c>
      <c r="AT147">
        <v>86.41</v>
      </c>
      <c r="AU147">
        <v>86.34</v>
      </c>
    </row>
    <row r="148" spans="1:47" x14ac:dyDescent="0.25">
      <c r="A148" t="s">
        <v>142</v>
      </c>
      <c r="B148">
        <v>71.63</v>
      </c>
      <c r="C148">
        <v>41.21</v>
      </c>
      <c r="D148">
        <v>60.64</v>
      </c>
      <c r="E148">
        <v>57.56</v>
      </c>
      <c r="F148">
        <v>61.1</v>
      </c>
      <c r="G148">
        <v>57.78</v>
      </c>
      <c r="H148">
        <v>59.13</v>
      </c>
      <c r="I148">
        <v>77.16</v>
      </c>
      <c r="J148">
        <v>78.73</v>
      </c>
      <c r="K148">
        <v>101.67</v>
      </c>
      <c r="L148">
        <v>429.61</v>
      </c>
      <c r="M148">
        <v>426.71</v>
      </c>
      <c r="N148">
        <v>373.49</v>
      </c>
      <c r="O148">
        <v>377.36</v>
      </c>
      <c r="P148">
        <v>335.76</v>
      </c>
      <c r="Q148">
        <v>277.33999999999997</v>
      </c>
      <c r="R148">
        <v>282.58</v>
      </c>
      <c r="S148">
        <v>275.63</v>
      </c>
      <c r="T148">
        <v>283.73</v>
      </c>
      <c r="U148">
        <v>197.18</v>
      </c>
      <c r="V148">
        <v>103.57</v>
      </c>
      <c r="W148">
        <v>108.63</v>
      </c>
      <c r="X148">
        <v>112.82</v>
      </c>
      <c r="Y148">
        <v>114.41</v>
      </c>
      <c r="Z148">
        <v>42.01</v>
      </c>
      <c r="AA148">
        <v>43.11</v>
      </c>
      <c r="AB148">
        <v>41.88</v>
      </c>
      <c r="AC148">
        <v>41.7</v>
      </c>
      <c r="AD148">
        <v>41.43</v>
      </c>
      <c r="AE148">
        <v>41.21</v>
      </c>
      <c r="AF148">
        <v>40.9</v>
      </c>
      <c r="AG148">
        <v>39.85</v>
      </c>
      <c r="AH148">
        <v>38.26</v>
      </c>
      <c r="AI148">
        <v>37.15</v>
      </c>
      <c r="AJ148">
        <v>35.25</v>
      </c>
      <c r="AK148">
        <v>34.409999999999997</v>
      </c>
      <c r="AL148">
        <v>34.67</v>
      </c>
      <c r="AM148">
        <v>33.72</v>
      </c>
      <c r="AN148">
        <v>33.24</v>
      </c>
      <c r="AO148">
        <v>32.75</v>
      </c>
      <c r="AP148">
        <v>32.69</v>
      </c>
      <c r="AQ148">
        <v>32.19</v>
      </c>
      <c r="AR148">
        <v>31.72</v>
      </c>
      <c r="AS148">
        <v>31.54</v>
      </c>
      <c r="AT148">
        <v>31.01</v>
      </c>
      <c r="AU148">
        <v>31.42</v>
      </c>
    </row>
    <row r="150" spans="1:47" ht="18.600000000000001" customHeight="1" x14ac:dyDescent="0.3">
      <c r="A150" s="12" t="s">
        <v>155</v>
      </c>
    </row>
    <row r="151" spans="1:47" x14ac:dyDescent="0.25">
      <c r="A151" t="s">
        <v>88</v>
      </c>
      <c r="B151" t="s">
        <v>89</v>
      </c>
      <c r="C151" t="s">
        <v>90</v>
      </c>
      <c r="D151" t="s">
        <v>91</v>
      </c>
      <c r="E151" t="s">
        <v>92</v>
      </c>
      <c r="F151" t="s">
        <v>93</v>
      </c>
      <c r="G151" t="s">
        <v>94</v>
      </c>
      <c r="H151" t="s">
        <v>95</v>
      </c>
      <c r="I151" t="s">
        <v>96</v>
      </c>
      <c r="J151" t="s">
        <v>97</v>
      </c>
      <c r="K151" t="s">
        <v>98</v>
      </c>
      <c r="L151" t="s">
        <v>99</v>
      </c>
      <c r="M151" t="s">
        <v>100</v>
      </c>
      <c r="N151" t="s">
        <v>101</v>
      </c>
      <c r="O151" t="s">
        <v>102</v>
      </c>
      <c r="P151" t="s">
        <v>103</v>
      </c>
      <c r="Q151" t="s">
        <v>104</v>
      </c>
      <c r="R151" t="s">
        <v>105</v>
      </c>
      <c r="S151" t="s">
        <v>106</v>
      </c>
      <c r="T151" t="s">
        <v>107</v>
      </c>
      <c r="U151" t="s">
        <v>108</v>
      </c>
      <c r="V151" t="s">
        <v>109</v>
      </c>
      <c r="W151" t="s">
        <v>110</v>
      </c>
      <c r="X151" t="s">
        <v>111</v>
      </c>
      <c r="Y151" t="s">
        <v>112</v>
      </c>
      <c r="Z151" t="s">
        <v>113</v>
      </c>
      <c r="AA151" t="s">
        <v>114</v>
      </c>
      <c r="AB151" t="s">
        <v>115</v>
      </c>
      <c r="AC151" t="s">
        <v>116</v>
      </c>
      <c r="AD151" t="s">
        <v>117</v>
      </c>
      <c r="AE151" t="s">
        <v>118</v>
      </c>
      <c r="AF151" t="s">
        <v>119</v>
      </c>
      <c r="AG151" t="s">
        <v>120</v>
      </c>
      <c r="AH151" t="s">
        <v>121</v>
      </c>
      <c r="AI151" t="s">
        <v>122</v>
      </c>
      <c r="AJ151" t="s">
        <v>123</v>
      </c>
      <c r="AK151" t="s">
        <v>124</v>
      </c>
      <c r="AL151" t="s">
        <v>125</v>
      </c>
      <c r="AM151" t="s">
        <v>126</v>
      </c>
      <c r="AN151" t="s">
        <v>127</v>
      </c>
      <c r="AO151" t="s">
        <v>128</v>
      </c>
      <c r="AP151" t="s">
        <v>129</v>
      </c>
      <c r="AQ151" t="s">
        <v>130</v>
      </c>
      <c r="AR151" t="s">
        <v>131</v>
      </c>
      <c r="AS151" t="s">
        <v>132</v>
      </c>
      <c r="AT151" t="s">
        <v>133</v>
      </c>
      <c r="AU151" t="s">
        <v>134</v>
      </c>
    </row>
    <row r="152" spans="1:47" x14ac:dyDescent="0.25">
      <c r="A152" t="s">
        <v>135</v>
      </c>
      <c r="B152">
        <v>0</v>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row>
    <row r="153" spans="1:47" x14ac:dyDescent="0.25">
      <c r="A153" t="s">
        <v>136</v>
      </c>
      <c r="B153">
        <v>0</v>
      </c>
      <c r="C153">
        <v>0</v>
      </c>
      <c r="D153">
        <v>0</v>
      </c>
      <c r="E153">
        <v>0</v>
      </c>
      <c r="F153">
        <v>0</v>
      </c>
      <c r="G153">
        <v>0</v>
      </c>
      <c r="H153">
        <v>0</v>
      </c>
      <c r="I153">
        <v>0</v>
      </c>
      <c r="J153">
        <v>0</v>
      </c>
      <c r="K153">
        <v>0</v>
      </c>
      <c r="L153">
        <v>0</v>
      </c>
      <c r="M153">
        <v>0</v>
      </c>
      <c r="N153">
        <v>0</v>
      </c>
      <c r="O153">
        <v>0</v>
      </c>
      <c r="P153">
        <v>0</v>
      </c>
      <c r="Q153">
        <v>0</v>
      </c>
      <c r="R153">
        <v>0</v>
      </c>
      <c r="S153">
        <v>0</v>
      </c>
      <c r="T153">
        <v>0.9</v>
      </c>
      <c r="U153">
        <v>1.82</v>
      </c>
      <c r="V153">
        <v>2.75</v>
      </c>
      <c r="W153">
        <v>3.67</v>
      </c>
      <c r="X153">
        <v>4.59</v>
      </c>
      <c r="Y153">
        <v>5.51</v>
      </c>
      <c r="Z153">
        <v>6.43</v>
      </c>
      <c r="AA153">
        <v>7.36</v>
      </c>
      <c r="AB153">
        <v>8.33</v>
      </c>
      <c r="AC153">
        <v>9.26</v>
      </c>
      <c r="AD153">
        <v>10.24</v>
      </c>
      <c r="AE153">
        <v>11.16</v>
      </c>
      <c r="AF153">
        <v>12.14</v>
      </c>
      <c r="AG153">
        <v>13.13</v>
      </c>
      <c r="AH153">
        <v>14.05</v>
      </c>
      <c r="AI153">
        <v>15.03</v>
      </c>
      <c r="AJ153">
        <v>15.95</v>
      </c>
      <c r="AK153">
        <v>16.93</v>
      </c>
      <c r="AL153">
        <v>17.86</v>
      </c>
      <c r="AM153">
        <v>18.84</v>
      </c>
      <c r="AN153">
        <v>19.82</v>
      </c>
      <c r="AO153">
        <v>20.8</v>
      </c>
      <c r="AP153">
        <v>21.77</v>
      </c>
      <c r="AQ153">
        <v>22.75</v>
      </c>
      <c r="AR153">
        <v>23.73</v>
      </c>
      <c r="AS153">
        <v>24.71</v>
      </c>
      <c r="AT153">
        <v>25.69</v>
      </c>
      <c r="AU153">
        <v>26.73</v>
      </c>
    </row>
    <row r="154" spans="1:47" x14ac:dyDescent="0.25">
      <c r="A154" t="s">
        <v>137</v>
      </c>
      <c r="B154">
        <v>0</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row>
    <row r="155" spans="1:47" x14ac:dyDescent="0.25">
      <c r="A155" t="s">
        <v>138</v>
      </c>
      <c r="B155">
        <v>0</v>
      </c>
      <c r="C155">
        <v>0</v>
      </c>
      <c r="D155">
        <v>0</v>
      </c>
      <c r="E155">
        <v>0</v>
      </c>
      <c r="F155">
        <v>0</v>
      </c>
      <c r="G155">
        <v>0</v>
      </c>
      <c r="H155">
        <v>0</v>
      </c>
      <c r="I155">
        <v>0</v>
      </c>
      <c r="J155">
        <v>0</v>
      </c>
      <c r="K155">
        <v>0</v>
      </c>
      <c r="L155">
        <v>0</v>
      </c>
      <c r="M155">
        <v>0</v>
      </c>
      <c r="N155">
        <v>0</v>
      </c>
      <c r="O155">
        <v>0</v>
      </c>
      <c r="P155">
        <v>0</v>
      </c>
      <c r="Q155">
        <v>0</v>
      </c>
      <c r="R155">
        <v>0</v>
      </c>
      <c r="S155">
        <v>0.44</v>
      </c>
      <c r="T155">
        <v>0.94</v>
      </c>
      <c r="U155">
        <v>1.42</v>
      </c>
      <c r="V155">
        <v>1.9</v>
      </c>
      <c r="W155">
        <v>2.37</v>
      </c>
      <c r="X155">
        <v>2.85</v>
      </c>
      <c r="Y155">
        <v>3.34</v>
      </c>
      <c r="Z155">
        <v>3.82</v>
      </c>
      <c r="AA155">
        <v>4.3</v>
      </c>
      <c r="AB155">
        <v>4.8099999999999996</v>
      </c>
      <c r="AC155">
        <v>5.28</v>
      </c>
      <c r="AD155">
        <v>5.79</v>
      </c>
      <c r="AE155">
        <v>6.27</v>
      </c>
      <c r="AF155">
        <v>6.78</v>
      </c>
      <c r="AG155">
        <v>7.29</v>
      </c>
      <c r="AH155">
        <v>7.76</v>
      </c>
      <c r="AI155">
        <v>8.27</v>
      </c>
      <c r="AJ155">
        <v>8.75</v>
      </c>
      <c r="AK155">
        <v>9.26</v>
      </c>
      <c r="AL155">
        <v>9.74</v>
      </c>
      <c r="AM155">
        <v>10.25</v>
      </c>
      <c r="AN155">
        <v>10.76</v>
      </c>
      <c r="AO155">
        <v>11.27</v>
      </c>
      <c r="AP155">
        <v>11.78</v>
      </c>
      <c r="AQ155">
        <v>12.29</v>
      </c>
      <c r="AR155">
        <v>12.8</v>
      </c>
      <c r="AS155">
        <v>13.31</v>
      </c>
      <c r="AT155">
        <v>13.82</v>
      </c>
      <c r="AU155">
        <v>14.35</v>
      </c>
    </row>
    <row r="156" spans="1:47" x14ac:dyDescent="0.25">
      <c r="A156" t="s">
        <v>139</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row>
    <row r="157" spans="1:47" x14ac:dyDescent="0.25">
      <c r="A157" t="s">
        <v>140</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row>
    <row r="158" spans="1:47" x14ac:dyDescent="0.25">
      <c r="A158" t="s">
        <v>141</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row>
    <row r="159" spans="1:47" x14ac:dyDescent="0.25">
      <c r="A159" t="s">
        <v>142</v>
      </c>
      <c r="B159">
        <v>142</v>
      </c>
      <c r="C159">
        <v>145</v>
      </c>
      <c r="D159">
        <v>149</v>
      </c>
      <c r="E159">
        <v>182</v>
      </c>
      <c r="F159">
        <v>162</v>
      </c>
      <c r="G159">
        <v>162</v>
      </c>
      <c r="H159">
        <v>98</v>
      </c>
      <c r="I159">
        <v>98</v>
      </c>
      <c r="J159">
        <v>98</v>
      </c>
      <c r="K159">
        <v>157.6</v>
      </c>
      <c r="L159">
        <v>191.06</v>
      </c>
      <c r="M159">
        <v>251.38</v>
      </c>
      <c r="N159">
        <v>252.89</v>
      </c>
      <c r="O159">
        <v>255.89</v>
      </c>
      <c r="P159">
        <v>254.39</v>
      </c>
      <c r="Q159">
        <v>265.98</v>
      </c>
      <c r="R159">
        <v>274.74</v>
      </c>
      <c r="S159">
        <v>277.11</v>
      </c>
      <c r="T159">
        <v>274.08999999999997</v>
      </c>
      <c r="U159">
        <v>272.69</v>
      </c>
      <c r="V159">
        <v>272.89999999999998</v>
      </c>
      <c r="W159">
        <v>274.64999999999998</v>
      </c>
      <c r="X159">
        <v>277.37</v>
      </c>
      <c r="Y159">
        <v>277.89999999999998</v>
      </c>
      <c r="Z159">
        <v>276.63</v>
      </c>
      <c r="AA159">
        <v>279.08</v>
      </c>
      <c r="AB159">
        <v>277.67</v>
      </c>
      <c r="AC159">
        <v>278.91000000000003</v>
      </c>
      <c r="AD159">
        <v>277.99</v>
      </c>
      <c r="AE159">
        <v>276.02</v>
      </c>
      <c r="AF159">
        <v>274.97000000000003</v>
      </c>
      <c r="AG159">
        <v>273.48</v>
      </c>
      <c r="AH159">
        <v>272.08</v>
      </c>
      <c r="AI159">
        <v>273.47000000000003</v>
      </c>
      <c r="AJ159">
        <v>276.81</v>
      </c>
      <c r="AK159">
        <v>275.89</v>
      </c>
      <c r="AL159">
        <v>277.10000000000002</v>
      </c>
      <c r="AM159">
        <v>278.69</v>
      </c>
      <c r="AN159">
        <v>282.19</v>
      </c>
      <c r="AO159">
        <v>283.60000000000002</v>
      </c>
      <c r="AP159">
        <v>285.60000000000002</v>
      </c>
      <c r="AQ159">
        <v>288.98</v>
      </c>
      <c r="AR159">
        <v>290.51</v>
      </c>
      <c r="AS159">
        <v>296.20999999999998</v>
      </c>
      <c r="AT159">
        <v>295.89999999999998</v>
      </c>
      <c r="AU159">
        <v>301.89999999999998</v>
      </c>
    </row>
  </sheetData>
  <pageMargins left="0.75" right="0.75" top="0.75" bottom="0.5" header="0.5" footer="0.75"/>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55"/>
  <sheetViews>
    <sheetView topLeftCell="A28" workbookViewId="0">
      <selection activeCell="A52" sqref="A52"/>
    </sheetView>
  </sheetViews>
  <sheetFormatPr defaultColWidth="9.140625" defaultRowHeight="15" x14ac:dyDescent="0.25"/>
  <cols>
    <col min="1" max="1" width="28.7109375" customWidth="1"/>
    <col min="2" max="13" width="15.7109375" customWidth="1"/>
    <col min="14" max="14" width="27.42578125" customWidth="1"/>
  </cols>
  <sheetData>
    <row r="1" spans="1:14" x14ac:dyDescent="0.25">
      <c r="A1" t="s">
        <v>156</v>
      </c>
    </row>
    <row r="2" spans="1:14" x14ac:dyDescent="0.25">
      <c r="A2" t="s">
        <v>157</v>
      </c>
    </row>
    <row r="3" spans="1:14" x14ac:dyDescent="0.25">
      <c r="A3" t="s">
        <v>158</v>
      </c>
    </row>
    <row r="4" spans="1:14" x14ac:dyDescent="0.25">
      <c r="A4" t="s">
        <v>159</v>
      </c>
    </row>
    <row r="5" spans="1:14" x14ac:dyDescent="0.25">
      <c r="A5" t="s">
        <v>160</v>
      </c>
    </row>
    <row r="9" spans="1:14" x14ac:dyDescent="0.25">
      <c r="A9" t="s">
        <v>161</v>
      </c>
      <c r="B9" t="s">
        <v>87</v>
      </c>
    </row>
    <row r="10" spans="1:14" x14ac:dyDescent="0.25">
      <c r="A10" t="s">
        <v>162</v>
      </c>
      <c r="B10" t="s">
        <v>163</v>
      </c>
    </row>
    <row r="11" spans="1:14" x14ac:dyDescent="0.25">
      <c r="A11" t="s">
        <v>164</v>
      </c>
      <c r="B11" s="13">
        <v>42005</v>
      </c>
      <c r="C11" s="13">
        <v>42036</v>
      </c>
      <c r="D11" s="13">
        <v>42064</v>
      </c>
      <c r="E11" s="13">
        <v>42095</v>
      </c>
      <c r="F11" s="13">
        <v>42125</v>
      </c>
      <c r="G11" s="13">
        <v>42156</v>
      </c>
      <c r="H11" s="13">
        <v>42186</v>
      </c>
      <c r="I11" s="13">
        <v>42217</v>
      </c>
      <c r="J11" s="13">
        <v>42248</v>
      </c>
      <c r="K11" s="13">
        <v>42278</v>
      </c>
      <c r="L11" s="13">
        <v>42309</v>
      </c>
      <c r="M11" s="13">
        <v>42339</v>
      </c>
      <c r="N11" s="18" t="s">
        <v>165</v>
      </c>
    </row>
    <row r="12" spans="1:14" x14ac:dyDescent="0.25">
      <c r="B12" t="s">
        <v>166</v>
      </c>
    </row>
    <row r="13" spans="1:14" x14ac:dyDescent="0.25">
      <c r="A13" t="s">
        <v>167</v>
      </c>
      <c r="B13" s="14">
        <v>57211066</v>
      </c>
      <c r="C13" s="14">
        <v>51887549</v>
      </c>
      <c r="D13" s="14">
        <v>51928707</v>
      </c>
      <c r="E13" s="14">
        <v>44615918</v>
      </c>
      <c r="F13" s="14">
        <v>41273083</v>
      </c>
      <c r="G13" s="14">
        <v>40984150</v>
      </c>
      <c r="H13" s="14">
        <v>43038080</v>
      </c>
      <c r="I13" s="14">
        <v>42821817</v>
      </c>
      <c r="J13" s="14">
        <v>40051862</v>
      </c>
      <c r="K13" s="14">
        <v>41066197</v>
      </c>
      <c r="L13" s="14">
        <v>45130806</v>
      </c>
      <c r="M13" s="14">
        <v>50003722</v>
      </c>
      <c r="N13" s="14">
        <f t="shared" ref="N13:N18" si="0">SUM(B13:M13)</f>
        <v>550012957</v>
      </c>
    </row>
    <row r="14" spans="1:14" x14ac:dyDescent="0.25">
      <c r="A14" t="s">
        <v>168</v>
      </c>
      <c r="B14" s="14">
        <v>37669235</v>
      </c>
      <c r="C14" s="14">
        <v>34013218</v>
      </c>
      <c r="D14" s="14">
        <v>33173669</v>
      </c>
      <c r="E14" s="14">
        <v>28699811</v>
      </c>
      <c r="F14" s="14">
        <v>25910082</v>
      </c>
      <c r="G14" s="14">
        <v>25327992</v>
      </c>
      <c r="H14" s="14">
        <v>25979724</v>
      </c>
      <c r="I14" s="14">
        <v>25478511</v>
      </c>
      <c r="J14" s="14">
        <v>25022584</v>
      </c>
      <c r="K14" s="14">
        <v>26123765</v>
      </c>
      <c r="L14" s="14">
        <v>27941235</v>
      </c>
      <c r="M14" s="14">
        <v>32045247</v>
      </c>
      <c r="N14" s="14">
        <f t="shared" si="0"/>
        <v>347385073</v>
      </c>
    </row>
    <row r="15" spans="1:14" x14ac:dyDescent="0.25">
      <c r="A15" s="17" t="s">
        <v>169</v>
      </c>
      <c r="B15" s="14">
        <v>7190066</v>
      </c>
      <c r="C15" s="14">
        <v>6844655</v>
      </c>
      <c r="D15" s="14">
        <v>6613699</v>
      </c>
      <c r="E15" s="14">
        <v>5688669</v>
      </c>
      <c r="F15" s="14">
        <v>5082749</v>
      </c>
      <c r="G15" s="14">
        <v>5430405</v>
      </c>
      <c r="H15" s="14">
        <v>5991055</v>
      </c>
      <c r="I15" s="14">
        <v>6330435</v>
      </c>
      <c r="J15" s="14">
        <v>6041405</v>
      </c>
      <c r="K15" s="14">
        <v>6138156</v>
      </c>
      <c r="L15" s="14">
        <v>6294045</v>
      </c>
      <c r="M15" s="14">
        <v>6842938</v>
      </c>
      <c r="N15" s="19">
        <f t="shared" si="0"/>
        <v>74488277</v>
      </c>
    </row>
    <row r="16" spans="1:14" x14ac:dyDescent="0.25">
      <c r="A16" t="s">
        <v>170</v>
      </c>
      <c r="B16" s="14">
        <v>9180622</v>
      </c>
      <c r="C16" s="14">
        <v>8307371</v>
      </c>
      <c r="D16" s="14">
        <v>9230529</v>
      </c>
      <c r="E16" s="14">
        <v>7737381</v>
      </c>
      <c r="F16" s="14">
        <v>7985257</v>
      </c>
      <c r="G16" s="14">
        <v>8084872</v>
      </c>
      <c r="H16" s="14">
        <v>8900017</v>
      </c>
      <c r="I16" s="14">
        <v>8678391</v>
      </c>
      <c r="J16" s="14">
        <v>6965168</v>
      </c>
      <c r="K16" s="14">
        <v>6323797</v>
      </c>
      <c r="L16" s="14">
        <v>8448485</v>
      </c>
      <c r="M16" s="14">
        <v>8533084</v>
      </c>
      <c r="N16" s="14">
        <f t="shared" si="0"/>
        <v>98374974</v>
      </c>
    </row>
    <row r="17" spans="1:14" x14ac:dyDescent="0.25">
      <c r="A17" s="17" t="s">
        <v>171</v>
      </c>
      <c r="B17" s="14">
        <v>92383</v>
      </c>
      <c r="C17" s="14">
        <v>85781</v>
      </c>
      <c r="D17" s="14">
        <v>84787</v>
      </c>
      <c r="E17" s="14">
        <v>74433</v>
      </c>
      <c r="F17" s="14">
        <v>66229</v>
      </c>
      <c r="G17" s="14">
        <v>63635</v>
      </c>
      <c r="H17" s="14">
        <v>66291</v>
      </c>
      <c r="I17" s="14">
        <v>69265</v>
      </c>
      <c r="J17" s="14">
        <v>65022</v>
      </c>
      <c r="K17" s="14">
        <v>73599</v>
      </c>
      <c r="L17" s="14">
        <v>74497</v>
      </c>
      <c r="M17" s="14">
        <v>84241</v>
      </c>
      <c r="N17" s="19">
        <f t="shared" si="0"/>
        <v>900163</v>
      </c>
    </row>
    <row r="18" spans="1:14" x14ac:dyDescent="0.25">
      <c r="A18" s="17" t="s">
        <v>172</v>
      </c>
      <c r="B18" s="14">
        <v>2014274</v>
      </c>
      <c r="C18" s="14">
        <v>1874168</v>
      </c>
      <c r="D18" s="14">
        <v>1889483</v>
      </c>
      <c r="E18" s="14">
        <v>1556326</v>
      </c>
      <c r="F18" s="14">
        <v>1586397</v>
      </c>
      <c r="G18" s="14">
        <v>1577410</v>
      </c>
      <c r="H18" s="14">
        <v>1632967</v>
      </c>
      <c r="I18" s="14">
        <v>1756391</v>
      </c>
      <c r="J18" s="14">
        <v>1312213</v>
      </c>
      <c r="K18" s="14">
        <v>1476359</v>
      </c>
      <c r="L18" s="14">
        <v>1468138</v>
      </c>
      <c r="M18" s="14">
        <v>1615706</v>
      </c>
      <c r="N18" s="19">
        <f t="shared" si="0"/>
        <v>19759832</v>
      </c>
    </row>
    <row r="19" spans="1:14" x14ac:dyDescent="0.25">
      <c r="A19" t="s">
        <v>173</v>
      </c>
      <c r="B19" s="15" t="s">
        <v>174</v>
      </c>
      <c r="C19" s="15" t="s">
        <v>174</v>
      </c>
      <c r="D19" s="15" t="s">
        <v>174</v>
      </c>
      <c r="E19" s="15" t="s">
        <v>174</v>
      </c>
      <c r="F19" s="15" t="s">
        <v>174</v>
      </c>
      <c r="G19" s="15" t="s">
        <v>174</v>
      </c>
      <c r="H19" s="15" t="s">
        <v>174</v>
      </c>
      <c r="I19" s="15" t="s">
        <v>174</v>
      </c>
      <c r="J19" s="15" t="s">
        <v>174</v>
      </c>
      <c r="K19" s="15" t="s">
        <v>174</v>
      </c>
      <c r="L19" s="15" t="s">
        <v>174</v>
      </c>
      <c r="M19" s="15" t="s">
        <v>174</v>
      </c>
      <c r="N19" s="15" t="s">
        <v>174</v>
      </c>
    </row>
    <row r="20" spans="1:14" x14ac:dyDescent="0.25">
      <c r="A20" t="s">
        <v>175</v>
      </c>
      <c r="B20">
        <v>-124</v>
      </c>
      <c r="C20">
        <v>-164</v>
      </c>
      <c r="D20">
        <v>-13</v>
      </c>
      <c r="E20" s="14">
        <v>1538</v>
      </c>
      <c r="F20" s="14">
        <v>1615</v>
      </c>
      <c r="G20" s="14">
        <v>1951</v>
      </c>
      <c r="H20">
        <v>870</v>
      </c>
      <c r="I20">
        <v>22</v>
      </c>
      <c r="J20" s="14">
        <v>1791</v>
      </c>
      <c r="K20" s="14">
        <v>1524</v>
      </c>
      <c r="L20" s="14">
        <v>1979</v>
      </c>
      <c r="M20" s="14">
        <v>1831</v>
      </c>
      <c r="N20" s="14">
        <f>SUM(B20:M20)</f>
        <v>12820</v>
      </c>
    </row>
    <row r="21" spans="1:14" x14ac:dyDescent="0.25">
      <c r="A21" t="s">
        <v>176</v>
      </c>
      <c r="B21" s="14">
        <v>1053353</v>
      </c>
      <c r="C21" s="14">
        <v>748057</v>
      </c>
      <c r="D21" s="14">
        <v>924413</v>
      </c>
      <c r="E21" s="14">
        <v>832222</v>
      </c>
      <c r="F21" s="14">
        <v>611620</v>
      </c>
      <c r="G21" s="14">
        <v>469148</v>
      </c>
      <c r="H21" s="14">
        <v>435550</v>
      </c>
      <c r="I21" s="14">
        <v>477306</v>
      </c>
      <c r="J21" s="14">
        <v>616094</v>
      </c>
      <c r="K21" s="14">
        <v>907927</v>
      </c>
      <c r="L21" s="14">
        <v>885149</v>
      </c>
      <c r="M21" s="14">
        <v>872178</v>
      </c>
      <c r="N21" s="14">
        <f>SUM(B21:M21)</f>
        <v>8833017</v>
      </c>
    </row>
    <row r="22" spans="1:14" x14ac:dyDescent="0.25">
      <c r="A22" t="s">
        <v>177</v>
      </c>
      <c r="B22" s="14">
        <v>11257</v>
      </c>
      <c r="C22" s="14">
        <v>14463</v>
      </c>
      <c r="D22" s="14">
        <v>12140</v>
      </c>
      <c r="E22" s="14">
        <v>25538</v>
      </c>
      <c r="F22" s="14">
        <v>29134</v>
      </c>
      <c r="G22" s="14">
        <v>28737</v>
      </c>
      <c r="H22" s="14">
        <v>31620</v>
      </c>
      <c r="I22" s="14">
        <v>31496</v>
      </c>
      <c r="J22" s="14">
        <v>27584</v>
      </c>
      <c r="K22" s="14">
        <v>21070</v>
      </c>
      <c r="L22" s="14">
        <v>17278</v>
      </c>
      <c r="M22" s="14">
        <v>8498</v>
      </c>
      <c r="N22" s="14">
        <f>SUM(B22:M22)</f>
        <v>258815</v>
      </c>
    </row>
    <row r="23" spans="1:14" x14ac:dyDescent="0.25">
      <c r="A23" t="s">
        <v>178</v>
      </c>
      <c r="B23" s="15" t="s">
        <v>174</v>
      </c>
      <c r="C23" s="15" t="s">
        <v>174</v>
      </c>
      <c r="D23" s="15" t="s">
        <v>174</v>
      </c>
      <c r="E23" s="15" t="s">
        <v>174</v>
      </c>
      <c r="F23" s="15" t="s">
        <v>174</v>
      </c>
      <c r="G23" s="15" t="s">
        <v>174</v>
      </c>
      <c r="H23" s="15" t="s">
        <v>174</v>
      </c>
      <c r="I23" s="15" t="s">
        <v>174</v>
      </c>
      <c r="J23" s="15" t="s">
        <v>174</v>
      </c>
      <c r="K23" s="15" t="s">
        <v>174</v>
      </c>
      <c r="L23" s="15" t="s">
        <v>174</v>
      </c>
      <c r="M23" s="15" t="s">
        <v>174</v>
      </c>
      <c r="N23" s="15" t="s">
        <v>174</v>
      </c>
    </row>
    <row r="25" spans="1:14" x14ac:dyDescent="0.25">
      <c r="A25" t="s">
        <v>179</v>
      </c>
    </row>
    <row r="26" spans="1:14" x14ac:dyDescent="0.25">
      <c r="A26" t="s">
        <v>174</v>
      </c>
      <c r="B26" t="s">
        <v>180</v>
      </c>
    </row>
    <row r="27" spans="1:14" x14ac:dyDescent="0.25">
      <c r="A27" t="s">
        <v>181</v>
      </c>
      <c r="B27" t="s">
        <v>182</v>
      </c>
    </row>
    <row r="32" spans="1:14" x14ac:dyDescent="0.25">
      <c r="A32" t="s">
        <v>183</v>
      </c>
    </row>
    <row r="33" spans="1:2" x14ac:dyDescent="0.25">
      <c r="A33">
        <v>1</v>
      </c>
      <c r="B33" t="s">
        <v>184</v>
      </c>
    </row>
    <row r="34" spans="1:2" x14ac:dyDescent="0.25">
      <c r="A34">
        <v>2</v>
      </c>
      <c r="B34" t="s">
        <v>185</v>
      </c>
    </row>
    <row r="35" spans="1:2" x14ac:dyDescent="0.25">
      <c r="A35">
        <v>3</v>
      </c>
      <c r="B35" t="s">
        <v>186</v>
      </c>
    </row>
    <row r="36" spans="1:2" x14ac:dyDescent="0.25">
      <c r="A36">
        <v>4</v>
      </c>
      <c r="B36" t="s">
        <v>187</v>
      </c>
    </row>
    <row r="37" spans="1:2" x14ac:dyDescent="0.25">
      <c r="A37">
        <v>5</v>
      </c>
      <c r="B37" t="s">
        <v>188</v>
      </c>
    </row>
    <row r="38" spans="1:2" x14ac:dyDescent="0.25">
      <c r="A38">
        <v>6</v>
      </c>
      <c r="B38" t="s">
        <v>189</v>
      </c>
    </row>
    <row r="39" spans="1:2" x14ac:dyDescent="0.25">
      <c r="A39">
        <v>7</v>
      </c>
      <c r="B39" t="s">
        <v>190</v>
      </c>
    </row>
    <row r="40" spans="1:2" x14ac:dyDescent="0.25">
      <c r="A40">
        <v>8</v>
      </c>
      <c r="B40" t="s">
        <v>191</v>
      </c>
    </row>
    <row r="41" spans="1:2" x14ac:dyDescent="0.25">
      <c r="A41">
        <v>9</v>
      </c>
      <c r="B41" t="s">
        <v>192</v>
      </c>
    </row>
    <row r="42" spans="1:2" x14ac:dyDescent="0.25">
      <c r="A42">
        <v>10</v>
      </c>
      <c r="B42" t="s">
        <v>193</v>
      </c>
    </row>
    <row r="43" spans="1:2" x14ac:dyDescent="0.25">
      <c r="A43">
        <v>11</v>
      </c>
      <c r="B43" t="s">
        <v>194</v>
      </c>
    </row>
    <row r="44" spans="1:2" x14ac:dyDescent="0.25">
      <c r="A44">
        <v>12</v>
      </c>
      <c r="B44" t="s">
        <v>195</v>
      </c>
    </row>
    <row r="48" spans="1:2" x14ac:dyDescent="0.25">
      <c r="A48" t="s">
        <v>196</v>
      </c>
    </row>
    <row r="49" spans="1:2" x14ac:dyDescent="0.25">
      <c r="A49" t="s">
        <v>197</v>
      </c>
    </row>
    <row r="52" spans="1:2" x14ac:dyDescent="0.25">
      <c r="A52" s="16" t="s">
        <v>198</v>
      </c>
      <c r="B52" s="17"/>
    </row>
    <row r="53" spans="1:2" x14ac:dyDescent="0.25">
      <c r="A53" t="s">
        <v>199</v>
      </c>
      <c r="B53">
        <f>N15/SUM(N15,N17:N18)</f>
        <v>0.78286526317577265</v>
      </c>
    </row>
    <row r="54" spans="1:2" x14ac:dyDescent="0.25">
      <c r="A54" t="s">
        <v>200</v>
      </c>
      <c r="B54">
        <v>0</v>
      </c>
    </row>
    <row r="55" spans="1:2" x14ac:dyDescent="0.25">
      <c r="A55" t="s">
        <v>201</v>
      </c>
      <c r="B55">
        <f>SUM(N17:N18)/SUM(N15,N17:N18)</f>
        <v>0.21713473682422735</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20"/>
  <sheetViews>
    <sheetView workbookViewId="0"/>
  </sheetViews>
  <sheetFormatPr defaultRowHeight="15" x14ac:dyDescent="0.25"/>
  <cols>
    <col min="1" max="1" width="26" style="2" customWidth="1"/>
  </cols>
  <sheetData>
    <row r="1" spans="1:32" x14ac:dyDescent="0.25">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25">
      <c r="A2" s="2" t="s">
        <v>202</v>
      </c>
      <c r="B2">
        <f>'Canada Generation Projection'!Q14/B20</f>
        <v>4.9871278142029192E-2</v>
      </c>
      <c r="C2">
        <f>'Canada Generation Projection'!R14/C20</f>
        <v>5.5704589921295226E-2</v>
      </c>
      <c r="D2">
        <f>'Canada Generation Projection'!S14/D20</f>
        <v>2.9406679106728929E-2</v>
      </c>
      <c r="E2">
        <f>'Canada Generation Projection'!T14/E20</f>
        <v>8.2914781472480572E-3</v>
      </c>
      <c r="F2">
        <f>'Canada Generation Projection'!U14/F20</f>
        <v>8.3106362030141052E-3</v>
      </c>
      <c r="G2">
        <f>'Canada Generation Projection'!V14/G20</f>
        <v>7.3348873394934854E-3</v>
      </c>
      <c r="H2">
        <f>'Canada Generation Projection'!W14/H20</f>
        <v>7.0243910826967562E-3</v>
      </c>
      <c r="I2">
        <f>'Canada Generation Projection'!X14/I20</f>
        <v>6.3780498485313201E-3</v>
      </c>
      <c r="J2">
        <f>'Canada Generation Projection'!Y14/J20</f>
        <v>5.6812528778928603E-3</v>
      </c>
      <c r="K2">
        <f>'Canada Generation Projection'!Z14/K20</f>
        <v>5.6507966115477495E-3</v>
      </c>
      <c r="L2">
        <f>'Canada Generation Projection'!AA14/L20</f>
        <v>5.2797247705204048E-3</v>
      </c>
      <c r="M2">
        <f>'Canada Generation Projection'!AB14/M20</f>
        <v>5.2025081431352075E-3</v>
      </c>
      <c r="N2">
        <f>'Canada Generation Projection'!AC14/N20</f>
        <v>3.5763559034527096E-3</v>
      </c>
      <c r="O2">
        <f>'Canada Generation Projection'!AD14/O20</f>
        <v>3.6145248848575848E-3</v>
      </c>
      <c r="P2">
        <f>'Canada Generation Projection'!AE14/P20</f>
        <v>3.6058485035946834E-3</v>
      </c>
      <c r="Q2">
        <f>'Canada Generation Projection'!AF14/Q20</f>
        <v>3.3168139728096263E-3</v>
      </c>
      <c r="R2">
        <f>'Canada Generation Projection'!AG14/R20</f>
        <v>3.3892033822795278E-3</v>
      </c>
      <c r="S2">
        <f>'Canada Generation Projection'!AH14/S20</f>
        <v>3.4080886603463341E-3</v>
      </c>
      <c r="T2">
        <f>'Canada Generation Projection'!AI14/T20</f>
        <v>3.328672161184838E-3</v>
      </c>
      <c r="U2">
        <f>'Canada Generation Projection'!AJ14/U20</f>
        <v>2.7953046170256938E-3</v>
      </c>
      <c r="V2">
        <f>'Canada Generation Projection'!AK14/V20</f>
        <v>2.6998348178661961E-3</v>
      </c>
      <c r="W2">
        <f>'Canada Generation Projection'!AL14/W20</f>
        <v>1.349270515113851E-4</v>
      </c>
      <c r="X2">
        <f>'Canada Generation Projection'!AM14/X20</f>
        <v>1.2618570646314115E-4</v>
      </c>
      <c r="Y2">
        <f>'Canada Generation Projection'!AN14/Y20</f>
        <v>1.2449340876841366E-4</v>
      </c>
      <c r="Z2">
        <f>'Canada Generation Projection'!AO14/Z20</f>
        <v>1.1557098274695049E-4</v>
      </c>
      <c r="AA2">
        <f>'Canada Generation Projection'!AP14/AA20</f>
        <v>1.1392034632943061E-4</v>
      </c>
      <c r="AB2">
        <f>'Canada Generation Projection'!AQ14/AB20</f>
        <v>1.069877682346795E-4</v>
      </c>
      <c r="AC2">
        <f>'Canada Generation Projection'!AR14/AC20</f>
        <v>1.0659373424358493E-4</v>
      </c>
      <c r="AD2">
        <f>'Canada Generation Projection'!AS14/AD20</f>
        <v>1.0098463035303353E-4</v>
      </c>
      <c r="AE2">
        <f>'Canada Generation Projection'!AT14/AE20</f>
        <v>1.0106671639399485E-4</v>
      </c>
      <c r="AF2">
        <f>'Canada Generation Projection'!AU14/AF20</f>
        <v>1.0117144477412501E-4</v>
      </c>
    </row>
    <row r="3" spans="1:32" x14ac:dyDescent="0.25">
      <c r="A3" s="2" t="s">
        <v>199</v>
      </c>
      <c r="B3">
        <f>'Canada Generation Projection'!Q$15/B$20*'Canada NG Gen by Turbine Type'!$B$53</f>
        <v>9.3411097421543118E-2</v>
      </c>
      <c r="C3">
        <f>'Canada Generation Projection'!R$15/C$20*'Canada NG Gen by Turbine Type'!$B$53</f>
        <v>9.4913318335075852E-2</v>
      </c>
      <c r="D3">
        <f>'Canada Generation Projection'!S$15/D$20*'Canada NG Gen by Turbine Type'!$B$53</f>
        <v>9.9224441944358366E-2</v>
      </c>
      <c r="E3">
        <f>'Canada Generation Projection'!T$15/E$20*'Canada NG Gen by Turbine Type'!$B$53</f>
        <v>0.12061842499822424</v>
      </c>
      <c r="F3">
        <f>'Canada Generation Projection'!U$15/F$20*'Canada NG Gen by Turbine Type'!$B$53</f>
        <v>0.11243634800770419</v>
      </c>
      <c r="G3">
        <f>'Canada Generation Projection'!V$15/G$20*'Canada NG Gen by Turbine Type'!$B$53</f>
        <v>0.11570779211661576</v>
      </c>
      <c r="H3">
        <f>'Canada Generation Projection'!W$15/H$20*'Canada NG Gen by Turbine Type'!$B$53</f>
        <v>0.12122634456993442</v>
      </c>
      <c r="I3">
        <f>'Canada Generation Projection'!X$15/I$20*'Canada NG Gen by Turbine Type'!$B$53</f>
        <v>0.11110196660888948</v>
      </c>
      <c r="J3">
        <f>'Canada Generation Projection'!Y$15/J$20*'Canada NG Gen by Turbine Type'!$B$53</f>
        <v>0.10626735110193518</v>
      </c>
      <c r="K3">
        <f>'Canada Generation Projection'!Z$15/K$20*'Canada NG Gen by Turbine Type'!$B$53</f>
        <v>0.10805877570437533</v>
      </c>
      <c r="L3">
        <f>'Canada Generation Projection'!AA$15/L$20*'Canada NG Gen by Turbine Type'!$B$53</f>
        <v>9.8091366594185436E-2</v>
      </c>
      <c r="M3">
        <f>'Canada Generation Projection'!AB$15/M$20*'Canada NG Gen by Turbine Type'!$B$53</f>
        <v>0.1005138346379268</v>
      </c>
      <c r="N3">
        <f>'Canada Generation Projection'!AC$15/N$20*'Canada NG Gen by Turbine Type'!$B$53</f>
        <v>9.2602266126260296E-2</v>
      </c>
      <c r="O3">
        <f>'Canada Generation Projection'!AD$15/O$20*'Canada NG Gen by Turbine Type'!$B$53</f>
        <v>9.2431999471049298E-2</v>
      </c>
      <c r="P3">
        <f>'Canada Generation Projection'!AE$15/P$20*'Canada NG Gen by Turbine Type'!$B$53</f>
        <v>8.775082493907721E-2</v>
      </c>
      <c r="Q3">
        <f>'Canada Generation Projection'!AF$15/Q$20*'Canada NG Gen by Turbine Type'!$B$53</f>
        <v>8.6234634477463823E-2</v>
      </c>
      <c r="R3">
        <f>'Canada Generation Projection'!AG$15/R$20*'Canada NG Gen by Turbine Type'!$B$53</f>
        <v>7.4667962327033557E-2</v>
      </c>
      <c r="S3">
        <f>'Canada Generation Projection'!AH$15/S$20*'Canada NG Gen by Turbine Type'!$B$53</f>
        <v>7.3803261361336914E-2</v>
      </c>
      <c r="T3">
        <f>'Canada Generation Projection'!AI$15/T$20*'Canada NG Gen by Turbine Type'!$B$53</f>
        <v>7.1148940863799928E-2</v>
      </c>
      <c r="U3">
        <f>'Canada Generation Projection'!AJ$15/U$20*'Canada NG Gen by Turbine Type'!$B$53</f>
        <v>7.0829848173211987E-2</v>
      </c>
      <c r="V3">
        <f>'Canada Generation Projection'!AK$15/V$20*'Canada NG Gen by Turbine Type'!$B$53</f>
        <v>6.845714740632082E-2</v>
      </c>
      <c r="W3">
        <f>'Canada Generation Projection'!AL$15/W$20*'Canada NG Gen by Turbine Type'!$B$53</f>
        <v>6.8006470462918189E-2</v>
      </c>
      <c r="X3">
        <f>'Canada Generation Projection'!AM$15/X$20*'Canada NG Gen by Turbine Type'!$B$53</f>
        <v>6.7176746540517807E-2</v>
      </c>
      <c r="Y3">
        <f>'Canada Generation Projection'!AN$15/Y$20*'Canada NG Gen by Turbine Type'!$B$53</f>
        <v>6.7183411023679862E-2</v>
      </c>
      <c r="Z3">
        <f>'Canada Generation Projection'!AO$15/Z$20*'Canada NG Gen by Turbine Type'!$B$53</f>
        <v>6.5011384173954134E-2</v>
      </c>
      <c r="AA3">
        <f>'Canada Generation Projection'!AP$15/AA$20*'Canada NG Gen by Turbine Type'!$B$53</f>
        <v>6.439289262908765E-2</v>
      </c>
      <c r="AB3">
        <f>'Canada Generation Projection'!AQ$15/AB$20*'Canada NG Gen by Turbine Type'!$B$53</f>
        <v>6.3137718986613217E-2</v>
      </c>
      <c r="AC3">
        <f>'Canada Generation Projection'!AR$15/AC$20*'Canada NG Gen by Turbine Type'!$B$53</f>
        <v>6.2984021178352098E-2</v>
      </c>
      <c r="AD3">
        <f>'Canada Generation Projection'!AS$15/AD$20*'Canada NG Gen by Turbine Type'!$B$53</f>
        <v>6.1886513727782227E-2</v>
      </c>
      <c r="AE3">
        <f>'Canada Generation Projection'!AT$15/AE$20*'Canada NG Gen by Turbine Type'!$B$53</f>
        <v>6.188160371119119E-2</v>
      </c>
      <c r="AF3">
        <f>'Canada Generation Projection'!AU$15/AF$20*'Canada NG Gen by Turbine Type'!$B$53</f>
        <v>6.1806611040571502E-2</v>
      </c>
    </row>
    <row r="4" spans="1:32" x14ac:dyDescent="0.25">
      <c r="A4" s="2" t="s">
        <v>200</v>
      </c>
      <c r="B4">
        <f>'Canada Generation Projection'!Q$15/B$20*'Canada NG Gen by Turbine Type'!$B$54</f>
        <v>0</v>
      </c>
      <c r="C4">
        <f>'Canada Generation Projection'!R$15/C$20*'Canada NG Gen by Turbine Type'!$B$54</f>
        <v>0</v>
      </c>
      <c r="D4">
        <f>'Canada Generation Projection'!S$15/D$20*'Canada NG Gen by Turbine Type'!$B$54</f>
        <v>0</v>
      </c>
      <c r="E4">
        <f>'Canada Generation Projection'!T$15/E$20*'Canada NG Gen by Turbine Type'!$B$54</f>
        <v>0</v>
      </c>
      <c r="F4">
        <f>'Canada Generation Projection'!U$15/F$20*'Canada NG Gen by Turbine Type'!$B$54</f>
        <v>0</v>
      </c>
      <c r="G4">
        <f>'Canada Generation Projection'!V$15/G$20*'Canada NG Gen by Turbine Type'!$B$54</f>
        <v>0</v>
      </c>
      <c r="H4">
        <f>'Canada Generation Projection'!W$15/H$20*'Canada NG Gen by Turbine Type'!$B$54</f>
        <v>0</v>
      </c>
      <c r="I4">
        <f>'Canada Generation Projection'!X$15/I$20*'Canada NG Gen by Turbine Type'!$B$54</f>
        <v>0</v>
      </c>
      <c r="J4">
        <f>'Canada Generation Projection'!Y$15/J$20*'Canada NG Gen by Turbine Type'!$B$54</f>
        <v>0</v>
      </c>
      <c r="K4">
        <f>'Canada Generation Projection'!Z$15/K$20*'Canada NG Gen by Turbine Type'!$B$54</f>
        <v>0</v>
      </c>
      <c r="L4">
        <f>'Canada Generation Projection'!AA$15/L$20*'Canada NG Gen by Turbine Type'!$B$54</f>
        <v>0</v>
      </c>
      <c r="M4">
        <f>'Canada Generation Projection'!AB$15/M$20*'Canada NG Gen by Turbine Type'!$B$54</f>
        <v>0</v>
      </c>
      <c r="N4">
        <f>'Canada Generation Projection'!AC$15/N$20*'Canada NG Gen by Turbine Type'!$B$54</f>
        <v>0</v>
      </c>
      <c r="O4">
        <f>'Canada Generation Projection'!AD$15/O$20*'Canada NG Gen by Turbine Type'!$B$54</f>
        <v>0</v>
      </c>
      <c r="P4">
        <f>'Canada Generation Projection'!AE$15/P$20*'Canada NG Gen by Turbine Type'!$B$54</f>
        <v>0</v>
      </c>
      <c r="Q4">
        <f>'Canada Generation Projection'!AF$15/Q$20*'Canada NG Gen by Turbine Type'!$B$54</f>
        <v>0</v>
      </c>
      <c r="R4">
        <f>'Canada Generation Projection'!AG$15/R$20*'Canada NG Gen by Turbine Type'!$B$54</f>
        <v>0</v>
      </c>
      <c r="S4">
        <f>'Canada Generation Projection'!AH$15/S$20*'Canada NG Gen by Turbine Type'!$B$54</f>
        <v>0</v>
      </c>
      <c r="T4">
        <f>'Canada Generation Projection'!AI$15/T$20*'Canada NG Gen by Turbine Type'!$B$54</f>
        <v>0</v>
      </c>
      <c r="U4">
        <f>'Canada Generation Projection'!AJ$15/U$20*'Canada NG Gen by Turbine Type'!$B$54</f>
        <v>0</v>
      </c>
      <c r="V4">
        <f>'Canada Generation Projection'!AK$15/V$20*'Canada NG Gen by Turbine Type'!$B$54</f>
        <v>0</v>
      </c>
      <c r="W4">
        <f>'Canada Generation Projection'!AL$15/W$20*'Canada NG Gen by Turbine Type'!$B$54</f>
        <v>0</v>
      </c>
      <c r="X4">
        <f>'Canada Generation Projection'!AM$15/X$20*'Canada NG Gen by Turbine Type'!$B$54</f>
        <v>0</v>
      </c>
      <c r="Y4">
        <f>'Canada Generation Projection'!AN$15/Y$20*'Canada NG Gen by Turbine Type'!$B$54</f>
        <v>0</v>
      </c>
      <c r="Z4">
        <f>'Canada Generation Projection'!AO$15/Z$20*'Canada NG Gen by Turbine Type'!$B$54</f>
        <v>0</v>
      </c>
      <c r="AA4">
        <f>'Canada Generation Projection'!AP$15/AA$20*'Canada NG Gen by Turbine Type'!$B$54</f>
        <v>0</v>
      </c>
      <c r="AB4">
        <f>'Canada Generation Projection'!AQ$15/AB$20*'Canada NG Gen by Turbine Type'!$B$54</f>
        <v>0</v>
      </c>
      <c r="AC4">
        <f>'Canada Generation Projection'!AR$15/AC$20*'Canada NG Gen by Turbine Type'!$B$54</f>
        <v>0</v>
      </c>
      <c r="AD4">
        <f>'Canada Generation Projection'!AS$15/AD$20*'Canada NG Gen by Turbine Type'!$B$54</f>
        <v>0</v>
      </c>
      <c r="AE4">
        <f>'Canada Generation Projection'!AT$15/AE$20*'Canada NG Gen by Turbine Type'!$B$54</f>
        <v>0</v>
      </c>
      <c r="AF4">
        <f>'Canada Generation Projection'!AU$15/AF$20*'Canada NG Gen by Turbine Type'!$B$54</f>
        <v>0</v>
      </c>
    </row>
    <row r="5" spans="1:32" x14ac:dyDescent="0.25">
      <c r="A5" s="2" t="s">
        <v>203</v>
      </c>
      <c r="B5">
        <f>'Canada Generation Projection'!Q13/B20</f>
        <v>0.13371460966050103</v>
      </c>
      <c r="C5">
        <f>'Canada Generation Projection'!R13/C20</f>
        <v>0.12383202835856633</v>
      </c>
      <c r="D5">
        <f>'Canada Generation Projection'!S13/D20</f>
        <v>0.12240882315606512</v>
      </c>
      <c r="E5">
        <f>'Canada Generation Projection'!T13/E20</f>
        <v>0.10569685974687398</v>
      </c>
      <c r="F5">
        <f>'Canada Generation Projection'!U13/F20</f>
        <v>0.1198808645161618</v>
      </c>
      <c r="G5">
        <f>'Canada Generation Projection'!V13/G20</f>
        <v>0.10876038429899992</v>
      </c>
      <c r="H5">
        <f>'Canada Generation Projection'!W13/H20</f>
        <v>0.10017686556275403</v>
      </c>
      <c r="I5">
        <f>'Canada Generation Projection'!X13/I20</f>
        <v>0.10896654277272515</v>
      </c>
      <c r="J5">
        <f>'Canada Generation Projection'!Y13/J20</f>
        <v>0.11749990719759185</v>
      </c>
      <c r="K5">
        <f>'Canada Generation Projection'!Z13/K20</f>
        <v>0.10941478841103205</v>
      </c>
      <c r="L5">
        <f>'Canada Generation Projection'!AA13/L20</f>
        <v>0.11676741679135853</v>
      </c>
      <c r="M5">
        <f>'Canada Generation Projection'!AB13/M20</f>
        <v>0.10576840263781467</v>
      </c>
      <c r="N5">
        <f>'Canada Generation Projection'!AC13/N20</f>
        <v>0.11459044545320857</v>
      </c>
      <c r="O5">
        <f>'Canada Generation Projection'!AD13/O20</f>
        <v>0.11401216926459583</v>
      </c>
      <c r="P5">
        <f>'Canada Generation Projection'!AE13/P20</f>
        <v>0.12229632593075128</v>
      </c>
      <c r="Q5">
        <f>'Canada Generation Projection'!AF13/Q20</f>
        <v>0.12360863720738274</v>
      </c>
      <c r="R5">
        <f>'Canada Generation Projection'!AG13/R20</f>
        <v>0.12411821548774156</v>
      </c>
      <c r="S5">
        <f>'Canada Generation Projection'!AH13/S20</f>
        <v>0.12324912787994106</v>
      </c>
      <c r="T5">
        <f>'Canada Generation Projection'!AI13/T20</f>
        <v>0.12188811653469891</v>
      </c>
      <c r="U5">
        <f>'Canada Generation Projection'!AJ13/U20</f>
        <v>0.1208342669428305</v>
      </c>
      <c r="V5">
        <f>'Canada Generation Projection'!AK13/V20</f>
        <v>0.11948673169936214</v>
      </c>
      <c r="W5">
        <f>'Canada Generation Projection'!AL13/W20</f>
        <v>0.11241525814710213</v>
      </c>
      <c r="X5">
        <f>'Canada Generation Projection'!AM13/X20</f>
        <v>0.11086158563125764</v>
      </c>
      <c r="Y5">
        <f>'Canada Generation Projection'!AN13/Y20</f>
        <v>0.10923143439695507</v>
      </c>
      <c r="Z5">
        <f>'Canada Generation Projection'!AO13/Z20</f>
        <v>0.11371405338378589</v>
      </c>
      <c r="AA5">
        <f>'Canada Generation Projection'!AP13/AA20</f>
        <v>0.11234086231527368</v>
      </c>
      <c r="AB5">
        <f>'Canada Generation Projection'!AQ13/AB20</f>
        <v>0.1111409414595764</v>
      </c>
      <c r="AC5">
        <f>'Canada Generation Projection'!AR13/AC20</f>
        <v>0.11091605611831115</v>
      </c>
      <c r="AD5">
        <f>'Canada Generation Projection'!AS13/AD20</f>
        <v>0.11064023419139753</v>
      </c>
      <c r="AE5">
        <f>'Canada Generation Projection'!AT13/AE20</f>
        <v>0.11066653378499736</v>
      </c>
      <c r="AF5">
        <f>'Canada Generation Projection'!AU13/AF20</f>
        <v>0.10966864742135086</v>
      </c>
    </row>
    <row r="6" spans="1:32" x14ac:dyDescent="0.25">
      <c r="A6" s="2" t="s">
        <v>204</v>
      </c>
      <c r="B6">
        <f>'Canada Generation Projection'!Q9/B20</f>
        <v>0.61871683125154597</v>
      </c>
      <c r="C6">
        <f>'Canada Generation Projection'!R9/C20</f>
        <v>0.61879795135640714</v>
      </c>
      <c r="D6">
        <f>'Canada Generation Projection'!S9/D20</f>
        <v>0.62526483460811144</v>
      </c>
      <c r="E6">
        <f>'Canada Generation Projection'!T9/E20</f>
        <v>0.63476648304384986</v>
      </c>
      <c r="F6">
        <f>'Canada Generation Projection'!U9/F20</f>
        <v>0.62796530336560585</v>
      </c>
      <c r="G6">
        <f>'Canada Generation Projection'!V9/G20</f>
        <v>0.63172002872468513</v>
      </c>
      <c r="H6">
        <f>'Canada Generation Projection'!W9/H20</f>
        <v>0.62780156695848555</v>
      </c>
      <c r="I6">
        <f>'Canada Generation Projection'!X9/I20</f>
        <v>0.62529832935560858</v>
      </c>
      <c r="J6">
        <f>'Canada Generation Projection'!Y9/J20</f>
        <v>0.62057101234452394</v>
      </c>
      <c r="K6">
        <f>'Canada Generation Projection'!Z9/K20</f>
        <v>0.61495297307938268</v>
      </c>
      <c r="L6">
        <f>'Canada Generation Projection'!AA9/L20</f>
        <v>0.61399002214611165</v>
      </c>
      <c r="M6">
        <f>'Canada Generation Projection'!AB9/M20</f>
        <v>0.60637578556610383</v>
      </c>
      <c r="N6">
        <f>'Canada Generation Projection'!AC9/N20</f>
        <v>0.60262855303459517</v>
      </c>
      <c r="O6">
        <f>'Canada Generation Projection'!AD9/O20</f>
        <v>0.59978045048994821</v>
      </c>
      <c r="P6">
        <f>'Canada Generation Projection'!AE9/P20</f>
        <v>0.59576646938244726</v>
      </c>
      <c r="Q6">
        <f>'Canada Generation Projection'!AF9/Q20</f>
        <v>0.59117715086048417</v>
      </c>
      <c r="R6">
        <f>'Canada Generation Projection'!AG9/R20</f>
        <v>0.59579151731089552</v>
      </c>
      <c r="S6">
        <f>'Canada Generation Projection'!AH9/S20</f>
        <v>0.59256989645731972</v>
      </c>
      <c r="T6">
        <f>'Canada Generation Projection'!AI9/T20</f>
        <v>0.5866904811673489</v>
      </c>
      <c r="U6">
        <f>'Canada Generation Projection'!AJ9/U20</f>
        <v>0.5816366952749753</v>
      </c>
      <c r="V6">
        <f>'Canada Generation Projection'!AK9/V20</f>
        <v>0.57446993514176314</v>
      </c>
      <c r="W6">
        <f>'Canada Generation Projection'!AL9/W20</f>
        <v>0.57123126164735372</v>
      </c>
      <c r="X6">
        <f>'Canada Generation Projection'!AM9/X20</f>
        <v>0.56309726407474003</v>
      </c>
      <c r="Y6">
        <f>'Canada Generation Projection'!AN9/Y20</f>
        <v>0.55430143353178896</v>
      </c>
      <c r="Z6">
        <f>'Canada Generation Projection'!AO9/Z20</f>
        <v>0.54285878198583859</v>
      </c>
      <c r="AA6">
        <f>'Canada Generation Projection'!AP9/AA20</f>
        <v>0.5356059272589766</v>
      </c>
      <c r="AB6">
        <f>'Canada Generation Projection'!AQ9/AB20</f>
        <v>0.5279950297428847</v>
      </c>
      <c r="AC6">
        <f>'Canada Generation Projection'!AR9/AC20</f>
        <v>0.52291217747875551</v>
      </c>
      <c r="AD6">
        <f>'Canada Generation Projection'!AS9/AD20</f>
        <v>0.51753263736814248</v>
      </c>
      <c r="AE6">
        <f>'Canada Generation Projection'!AT9/AE20</f>
        <v>0.51291698415858422</v>
      </c>
      <c r="AF6">
        <f>'Canada Generation Projection'!AU9/AF20</f>
        <v>0.50968831317747454</v>
      </c>
    </row>
    <row r="7" spans="1:32" x14ac:dyDescent="0.25">
      <c r="A7" s="2" t="s">
        <v>205</v>
      </c>
      <c r="B7">
        <f>'Canada Generation Projection'!Q10/B20</f>
        <v>5.6709045532674481E-2</v>
      </c>
      <c r="C7">
        <f>'Canada Generation Projection'!R10/C20</f>
        <v>5.8589074556980071E-2</v>
      </c>
      <c r="D7">
        <f>'Canada Generation Projection'!S10/D20</f>
        <v>7.3881479900736263E-2</v>
      </c>
      <c r="E7">
        <f>'Canada Generation Projection'!T10/E20</f>
        <v>7.4124194630712181E-2</v>
      </c>
      <c r="F7">
        <f>'Canada Generation Projection'!U10/F20</f>
        <v>7.773028895894421E-2</v>
      </c>
      <c r="G7">
        <f>'Canada Generation Projection'!V10/G20</f>
        <v>8.0564412942766339E-2</v>
      </c>
      <c r="H7">
        <f>'Canada Generation Projection'!W10/H20</f>
        <v>8.09164255781432E-2</v>
      </c>
      <c r="I7">
        <f>'Canada Generation Projection'!X10/I20</f>
        <v>9.1008055488069214E-2</v>
      </c>
      <c r="J7">
        <f>'Canada Generation Projection'!Y10/J20</f>
        <v>9.5874080572505321E-2</v>
      </c>
      <c r="K7">
        <f>'Canada Generation Projection'!Z10/K20</f>
        <v>0.10192546656260679</v>
      </c>
      <c r="L7">
        <f>'Canada Generation Projection'!AA10/L20</f>
        <v>0.11280592842283375</v>
      </c>
      <c r="M7">
        <f>'Canada Generation Projection'!AB10/M20</f>
        <v>0.1210396931303637</v>
      </c>
      <c r="N7">
        <f>'Canada Generation Projection'!AC10/N20</f>
        <v>0.12986394634153162</v>
      </c>
      <c r="O7">
        <f>'Canada Generation Projection'!AD10/O20</f>
        <v>0.13037535646525977</v>
      </c>
      <c r="P7">
        <f>'Canada Generation Projection'!AE10/P20</f>
        <v>0.13187594070725397</v>
      </c>
      <c r="Q7">
        <f>'Canada Generation Projection'!AF10/Q20</f>
        <v>0.13294429762814183</v>
      </c>
      <c r="R7">
        <f>'Canada Generation Projection'!AG10/R20</f>
        <v>0.13791119399485724</v>
      </c>
      <c r="S7">
        <f>'Canada Generation Projection'!AH10/S20</f>
        <v>0.14143001982669176</v>
      </c>
      <c r="T7">
        <f>'Canada Generation Projection'!AI10/T20</f>
        <v>0.15013455088175909</v>
      </c>
      <c r="U7">
        <f>'Canada Generation Projection'!AJ10/U20</f>
        <v>0.15410454988491093</v>
      </c>
      <c r="V7">
        <f>'Canada Generation Projection'!AK10/V20</f>
        <v>0.16147401364581557</v>
      </c>
      <c r="W7">
        <f>'Canada Generation Projection'!AL10/W20</f>
        <v>0.16711277095261301</v>
      </c>
      <c r="X7">
        <f>'Canada Generation Projection'!AM10/X20</f>
        <v>0.17632837499478518</v>
      </c>
      <c r="Y7">
        <f>'Canada Generation Projection'!AN10/Y20</f>
        <v>0.18113049690620939</v>
      </c>
      <c r="Z7">
        <f>'Canada Generation Projection'!AO10/Z20</f>
        <v>0.1898074150151666</v>
      </c>
      <c r="AA7">
        <f>'Canada Generation Projection'!AP10/AA20</f>
        <v>0.19285755850221639</v>
      </c>
      <c r="AB7">
        <f>'Canada Generation Projection'!AQ10/AB20</f>
        <v>0.20078146327100535</v>
      </c>
      <c r="AC7">
        <f>'Canada Generation Projection'!AR10/AC20</f>
        <v>0.20375725993568283</v>
      </c>
      <c r="AD7">
        <f>'Canada Generation Projection'!AS10/AD20</f>
        <v>0.21019761432756737</v>
      </c>
      <c r="AE7">
        <f>'Canada Generation Projection'!AT10/AE20</f>
        <v>0.2128756508322705</v>
      </c>
      <c r="AF7">
        <f>'Canada Generation Projection'!AU10/AF20</f>
        <v>0.21533169563912261</v>
      </c>
    </row>
    <row r="8" spans="1:32" x14ac:dyDescent="0.25">
      <c r="A8" s="2" t="s">
        <v>206</v>
      </c>
      <c r="B8">
        <f>'Canada Generation Projection'!Q12/B20</f>
        <v>3.6116336161437714E-3</v>
      </c>
      <c r="C8">
        <f>'Canada Generation Projection'!R12/C20</f>
        <v>4.079413875090439E-3</v>
      </c>
      <c r="D8">
        <f>'Canada Generation Projection'!S12/D20</f>
        <v>5.2549408545795699E-3</v>
      </c>
      <c r="E8">
        <f>'Canada Generation Projection'!T12/E20</f>
        <v>5.638378690569784E-3</v>
      </c>
      <c r="F8">
        <f>'Canada Generation Projection'!U12/F20</f>
        <v>6.1239473103060675E-3</v>
      </c>
      <c r="G8">
        <f>'Canada Generation Projection'!V12/G20</f>
        <v>6.4315758717683339E-3</v>
      </c>
      <c r="H8">
        <f>'Canada Generation Projection'!W12/H20</f>
        <v>7.285367786871175E-3</v>
      </c>
      <c r="I8">
        <f>'Canada Generation Projection'!X12/I20</f>
        <v>7.7602386561556524E-3</v>
      </c>
      <c r="J8">
        <f>'Canada Generation Projection'!Y12/J20</f>
        <v>7.8585748319636387E-3</v>
      </c>
      <c r="K8">
        <f>'Canada Generation Projection'!Z12/K20</f>
        <v>9.7758132111685891E-3</v>
      </c>
      <c r="L8">
        <f>'Canada Generation Projection'!AA12/L20</f>
        <v>1.1009868398659839E-2</v>
      </c>
      <c r="M8">
        <f>'Canada Generation Projection'!AB12/M20</f>
        <v>1.2155885536747004E-2</v>
      </c>
      <c r="N8">
        <f>'Canada Generation Projection'!AC12/N20</f>
        <v>1.3591170719087399E-2</v>
      </c>
      <c r="O8">
        <f>'Canada Generation Projection'!AD12/O20</f>
        <v>1.5447826584367819E-2</v>
      </c>
      <c r="P8">
        <f>'Canada Generation Projection'!AE12/P20</f>
        <v>1.742844953667505E-2</v>
      </c>
      <c r="Q8">
        <f>'Canada Generation Projection'!AF12/Q20</f>
        <v>2.2345762518863676E-2</v>
      </c>
      <c r="R8">
        <f>'Canada Generation Projection'!AG12/R20</f>
        <v>2.4737996680401279E-2</v>
      </c>
      <c r="S8">
        <f>'Canada Generation Projection'!AH12/S20</f>
        <v>2.709918850673692E-2</v>
      </c>
      <c r="T8">
        <f>'Canada Generation Projection'!AI12/T20</f>
        <v>2.9438366203080227E-2</v>
      </c>
      <c r="U8">
        <f>'Canada Generation Projection'!AJ12/U20</f>
        <v>3.2196317814260599E-2</v>
      </c>
      <c r="V8">
        <f>'Canada Generation Projection'!AK12/V20</f>
        <v>3.752264848779191E-2</v>
      </c>
      <c r="W8">
        <f>'Canada Generation Projection'!AL12/W20</f>
        <v>4.1961241145492961E-2</v>
      </c>
      <c r="X8">
        <f>'Canada Generation Projection'!AM12/X20</f>
        <v>4.6415175558040943E-2</v>
      </c>
      <c r="Y8">
        <f>'Canada Generation Projection'!AN12/Y20</f>
        <v>5.1458067328520575E-2</v>
      </c>
      <c r="Z8">
        <f>'Canada Generation Projection'!AO12/Z20</f>
        <v>5.5779944529109365E-2</v>
      </c>
      <c r="AA8">
        <f>'Canada Generation Projection'!AP12/AA20</f>
        <v>6.1681994235601542E-2</v>
      </c>
      <c r="AB8">
        <f>'Canada Generation Projection'!AQ12/AB20</f>
        <v>6.4723026639894904E-2</v>
      </c>
      <c r="AC8">
        <f>'Canada Generation Projection'!AR12/AC20</f>
        <v>6.6944871769805667E-2</v>
      </c>
      <c r="AD8">
        <f>'Canada Generation Projection'!AS12/AD20</f>
        <v>6.8474712900184712E-2</v>
      </c>
      <c r="AE8">
        <f>'Canada Generation Projection'!AT12/AE20</f>
        <v>6.999981233593866E-2</v>
      </c>
      <c r="AF8">
        <f>'Canada Generation Projection'!AU12/AF20</f>
        <v>7.0986655392820466E-2</v>
      </c>
    </row>
    <row r="9" spans="1:32" x14ac:dyDescent="0.25">
      <c r="A9" s="2" t="s">
        <v>207</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row>
    <row r="10" spans="1:32" x14ac:dyDescent="0.25">
      <c r="A10" s="2" t="s">
        <v>208</v>
      </c>
      <c r="B10">
        <f>'Canada Generation Projection'!Q11/B20</f>
        <v>1.243071958191949E-2</v>
      </c>
      <c r="C10">
        <f>'Canada Generation Projection'!R11/C20</f>
        <v>1.2469397860761556E-2</v>
      </c>
      <c r="D10">
        <f>'Canada Generation Projection'!S11/D20</f>
        <v>1.2211090805582763E-2</v>
      </c>
      <c r="E10">
        <f>'Canada Generation Projection'!T11/E20</f>
        <v>1.2314068972331647E-2</v>
      </c>
      <c r="F10">
        <f>'Canada Generation Projection'!U11/F20</f>
        <v>1.2202219149982331E-2</v>
      </c>
      <c r="G10">
        <f>'Canada Generation Projection'!V11/G20</f>
        <v>1.2158165390429783E-2</v>
      </c>
      <c r="H10">
        <f>'Canada Generation Projection'!W11/H20</f>
        <v>1.2114724988160946E-2</v>
      </c>
      <c r="I10">
        <f>'Canada Generation Projection'!X11/I20</f>
        <v>1.1990309815470949E-2</v>
      </c>
      <c r="J10">
        <f>'Canada Generation Projection'!Y11/J20</f>
        <v>1.1786720400133727E-2</v>
      </c>
      <c r="K10">
        <f>'Canada Generation Projection'!Z11/K20</f>
        <v>1.1608163187099499E-2</v>
      </c>
      <c r="L10">
        <f>'Canada Generation Projection'!AA11/L20</f>
        <v>1.1165732644009255E-2</v>
      </c>
      <c r="M10">
        <f>'Canada Generation Projection'!AB11/M20</f>
        <v>1.09059984487914E-2</v>
      </c>
      <c r="N10">
        <f>'Canada Generation Projection'!AC11/N20</f>
        <v>1.0639594132243331E-2</v>
      </c>
      <c r="O10">
        <f>'Canada Generation Projection'!AD11/O20</f>
        <v>1.0580189540145111E-2</v>
      </c>
      <c r="P10">
        <f>'Canada Generation Projection'!AE11/P20</f>
        <v>1.0429422611361212E-2</v>
      </c>
      <c r="Q10">
        <f>'Canada Generation Projection'!AF11/Q20</f>
        <v>1.0309460592437127E-2</v>
      </c>
      <c r="R10">
        <f>'Canada Generation Projection'!AG11/R20</f>
        <v>1.043303810270242E-2</v>
      </c>
      <c r="S10">
        <f>'Canada Generation Projection'!AH11/S20</f>
        <v>1.0385035672836303E-2</v>
      </c>
      <c r="T10">
        <f>'Canada Generation Projection'!AI11/T20</f>
        <v>1.0282748257198311E-2</v>
      </c>
      <c r="U10">
        <f>'Canada Generation Projection'!AJ11/U20</f>
        <v>1.0232469951309222E-2</v>
      </c>
      <c r="V10">
        <f>'Canada Generation Projection'!AK11/V20</f>
        <v>1.0092079494692423E-2</v>
      </c>
      <c r="W10">
        <f>'Canada Generation Projection'!AL11/W20</f>
        <v>1.0050451068700896E-2</v>
      </c>
      <c r="X10">
        <f>'Canada Generation Projection'!AM11/X20</f>
        <v>9.8826657244665012E-3</v>
      </c>
      <c r="Y10">
        <f>'Canada Generation Projection'!AN11/Y20</f>
        <v>9.6809719831327488E-3</v>
      </c>
      <c r="Z10">
        <f>'Canada Generation Projection'!AO11/Z20</f>
        <v>9.4466737610398518E-3</v>
      </c>
      <c r="AA10">
        <f>'Canada Generation Projection'!AP11/AA20</f>
        <v>9.281360522017135E-3</v>
      </c>
      <c r="AB10">
        <f>'Canada Generation Projection'!AQ11/AB20</f>
        <v>9.1612151843426456E-3</v>
      </c>
      <c r="AC10">
        <f>'Canada Generation Projection'!AR11/AC20</f>
        <v>9.0494696444732379E-3</v>
      </c>
      <c r="AD10">
        <f>'Canada Generation Projection'!AS11/AD20</f>
        <v>8.9230934887173721E-3</v>
      </c>
      <c r="AE10">
        <f>'Canada Generation Projection'!AT11/AE20</f>
        <v>8.8360972386460276E-3</v>
      </c>
      <c r="AF10">
        <f>'Canada Generation Projection'!AU11/AF20</f>
        <v>8.7433499639461149E-3</v>
      </c>
    </row>
    <row r="11" spans="1:32" x14ac:dyDescent="0.25">
      <c r="A11" s="2" t="s">
        <v>209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row>
    <row r="12" spans="1:32" x14ac:dyDescent="0.25">
      <c r="A12" s="2" t="s">
        <v>210</v>
      </c>
      <c r="B12">
        <f>'Canada Generation Projection'!Q16/B20</f>
        <v>5.6263749954996965E-3</v>
      </c>
      <c r="C12">
        <f>'Canada Generation Projection'!R16/C20</f>
        <v>5.2891614275688802E-3</v>
      </c>
      <c r="D12">
        <f>'Canada Generation Projection'!S16/D20</f>
        <v>4.8269163257429635E-3</v>
      </c>
      <c r="E12">
        <f>'Canada Generation Projection'!T16/E20</f>
        <v>5.0955044449170562E-3</v>
      </c>
      <c r="F12">
        <f>'Canada Generation Projection'!U16/F20</f>
        <v>4.1651579626201755E-3</v>
      </c>
      <c r="G12">
        <f>'Canada Generation Projection'!V16/G20</f>
        <v>5.2301542799551215E-3</v>
      </c>
      <c r="H12">
        <f>'Canada Generation Projection'!W16/H20</f>
        <v>9.831094175196356E-3</v>
      </c>
      <c r="I12">
        <f>'Canada Generation Projection'!X16/I20</f>
        <v>6.6813756368298829E-3</v>
      </c>
      <c r="J12">
        <f>'Canada Generation Projection'!Y16/J20</f>
        <v>4.9868930417045296E-3</v>
      </c>
      <c r="K12">
        <f>'Canada Generation Projection'!Z16/K20</f>
        <v>8.6421478411720584E-3</v>
      </c>
      <c r="L12">
        <f>'Canada Generation Projection'!AA16/L20</f>
        <v>3.6834155951753038E-3</v>
      </c>
      <c r="M12">
        <f>'Canada Generation Projection'!AB16/M20</f>
        <v>1.0159473915970944E-2</v>
      </c>
      <c r="N12">
        <f>'Canada Generation Projection'!AC16/N20</f>
        <v>6.8235951413425878E-3</v>
      </c>
      <c r="O12">
        <f>'Canada Generation Projection'!AD16/O20</f>
        <v>8.1206351429600008E-3</v>
      </c>
      <c r="P12">
        <f>'Canada Generation Projection'!AE16/P20</f>
        <v>6.508236180595834E-3</v>
      </c>
      <c r="Q12">
        <f>'Canada Generation Projection'!AF16/Q20</f>
        <v>6.1452896243549193E-3</v>
      </c>
      <c r="R12">
        <f>'Canada Generation Projection'!AG16/R20</f>
        <v>8.2410403691051386E-3</v>
      </c>
      <c r="S12">
        <f>'Canada Generation Projection'!AH16/S20</f>
        <v>7.5853818963232678E-3</v>
      </c>
      <c r="T12">
        <f>'Canada Generation Projection'!AI16/T20</f>
        <v>7.3543239062439925E-3</v>
      </c>
      <c r="U12">
        <f>'Canada Generation Projection'!AJ16/U20</f>
        <v>7.7252505505549475E-3</v>
      </c>
      <c r="V12">
        <f>'Canada Generation Projection'!AK16/V20</f>
        <v>6.810402458673431E-3</v>
      </c>
      <c r="W12">
        <f>'Canada Generation Projection'!AL16/W20</f>
        <v>1.022541198886516E-2</v>
      </c>
      <c r="X12">
        <f>'Canada Generation Projection'!AM16/X20</f>
        <v>7.4799256425905729E-3</v>
      </c>
      <c r="Y12">
        <f>'Canada Generation Projection'!AN16/Y20</f>
        <v>8.2557668393336125E-3</v>
      </c>
      <c r="Z12">
        <f>'Canada Generation Projection'!AO16/Z20</f>
        <v>5.2346828103236572E-3</v>
      </c>
      <c r="AA12">
        <f>'Canada Generation Projection'!AP16/AA20</f>
        <v>5.8655350369888381E-3</v>
      </c>
      <c r="AB12">
        <f>'Canada Generation Projection'!AQ16/AB20</f>
        <v>5.4418015167484977E-3</v>
      </c>
      <c r="AC12">
        <f>'Canada Generation Projection'!AR16/AC20</f>
        <v>5.8603641820989451E-3</v>
      </c>
      <c r="AD12">
        <f>'Canada Generation Projection'!AS16/AD20</f>
        <v>5.0794269909935465E-3</v>
      </c>
      <c r="AE12">
        <f>'Canada Generation Projection'!AT16/AE20</f>
        <v>5.5588306844725792E-3</v>
      </c>
      <c r="AF12">
        <f>'Canada Generation Projection'!AU16/AF20</f>
        <v>6.5309352755510818E-3</v>
      </c>
    </row>
    <row r="13" spans="1:32" x14ac:dyDescent="0.25">
      <c r="A13" s="2" t="s">
        <v>201</v>
      </c>
      <c r="B13">
        <f>'Canada Generation Projection'!Q$15/B$20*'Canada NG Gen by Turbine Type'!$B$55</f>
        <v>2.5908409798143052E-2</v>
      </c>
      <c r="C13">
        <f>'Canada Generation Projection'!R$15/C$20*'Canada NG Gen by Turbine Type'!$B$55</f>
        <v>2.6325064308254511E-2</v>
      </c>
      <c r="D13">
        <f>'Canada Generation Projection'!S$15/D$20*'Canada NG Gen by Turbine Type'!$B$55</f>
        <v>2.752079329809487E-2</v>
      </c>
      <c r="E13">
        <f>'Canada Generation Projection'!T$15/E$20*'Canada NG Gen by Turbine Type'!$B$55</f>
        <v>3.3454607325273319E-2</v>
      </c>
      <c r="F13">
        <f>'Canada Generation Projection'!U$15/F$20*'Canada NG Gen by Turbine Type'!$B$55</f>
        <v>3.1185234525661382E-2</v>
      </c>
      <c r="G13">
        <f>'Canada Generation Projection'!V$15/G$20*'Canada NG Gen by Turbine Type'!$B$55</f>
        <v>3.2092599035286065E-2</v>
      </c>
      <c r="H13">
        <f>'Canada Generation Projection'!W$15/H$20*'Canada NG Gen by Turbine Type'!$B$55</f>
        <v>3.3623219297757717E-2</v>
      </c>
      <c r="I13">
        <f>'Canada Generation Projection'!X$15/I$20*'Canada NG Gen by Turbine Type'!$B$55</f>
        <v>3.0815131817719766E-2</v>
      </c>
      <c r="J13">
        <f>'Canada Generation Projection'!Y$15/J$20*'Canada NG Gen by Turbine Type'!$B$55</f>
        <v>2.9474207631748888E-2</v>
      </c>
      <c r="K13">
        <f>'Canada Generation Projection'!Z$15/K$20*'Canada NG Gen by Turbine Type'!$B$55</f>
        <v>2.9971075391615191E-2</v>
      </c>
      <c r="L13">
        <f>'Canada Generation Projection'!AA$15/L$20*'Canada NG Gen by Turbine Type'!$B$55</f>
        <v>2.7206524637145763E-2</v>
      </c>
      <c r="M13">
        <f>'Canada Generation Projection'!AB$15/M$20*'Canada NG Gen by Turbine Type'!$B$55</f>
        <v>2.7878417983146456E-2</v>
      </c>
      <c r="N13">
        <f>'Canada Generation Projection'!AC$15/N$20*'Canada NG Gen by Turbine Type'!$B$55</f>
        <v>2.568407314827818E-2</v>
      </c>
      <c r="O13">
        <f>'Canada Generation Projection'!AD$15/O$20*'Canada NG Gen by Turbine Type'!$B$55</f>
        <v>2.5636848156816425E-2</v>
      </c>
      <c r="P13">
        <f>'Canada Generation Projection'!AE$15/P$20*'Canada NG Gen by Turbine Type'!$B$55</f>
        <v>2.4338482208243459E-2</v>
      </c>
      <c r="Q13">
        <f>'Canada Generation Projection'!AF$15/Q$20*'Canada NG Gen by Turbine Type'!$B$55</f>
        <v>2.3917953118062191E-2</v>
      </c>
      <c r="R13">
        <f>'Canada Generation Projection'!AG$15/R$20*'Canada NG Gen by Turbine Type'!$B$55</f>
        <v>2.070983234498365E-2</v>
      </c>
      <c r="S13">
        <f>'Canada Generation Projection'!AH$15/S$20*'Canada NG Gen by Turbine Type'!$B$55</f>
        <v>2.0469999738467755E-2</v>
      </c>
      <c r="T13">
        <f>'Canada Generation Projection'!AI$15/T$20*'Canada NG Gen by Turbine Type'!$B$55</f>
        <v>1.9733800024685791E-2</v>
      </c>
      <c r="U13">
        <f>'Canada Generation Projection'!AJ$15/U$20*'Canada NG Gen by Turbine Type'!$B$55</f>
        <v>1.964529679092079E-2</v>
      </c>
      <c r="V13">
        <f>'Canada Generation Projection'!AK$15/V$20*'Canada NG Gen by Turbine Type'!$B$55</f>
        <v>1.8987206847714457E-2</v>
      </c>
      <c r="W13">
        <f>'Canada Generation Projection'!AL$15/W$20*'Canada NG Gen by Turbine Type'!$B$55</f>
        <v>1.8862207535442623E-2</v>
      </c>
      <c r="X13">
        <f>'Canada Generation Projection'!AM$15/X$20*'Canada NG Gen by Turbine Type'!$B$55</f>
        <v>1.8632076127138301E-2</v>
      </c>
      <c r="Y13">
        <f>'Canada Generation Projection'!AN$15/Y$20*'Canada NG Gen by Turbine Type'!$B$55</f>
        <v>1.863392458161129E-2</v>
      </c>
      <c r="Z13">
        <f>'Canada Generation Projection'!AO$15/Z$20*'Canada NG Gen by Turbine Type'!$B$55</f>
        <v>1.8031493358035004E-2</v>
      </c>
      <c r="AA13">
        <f>'Canada Generation Projection'!AP$15/AA$20*'Canada NG Gen by Turbine Type'!$B$55</f>
        <v>1.7859949153508917E-2</v>
      </c>
      <c r="AB13">
        <f>'Canada Generation Projection'!AQ$15/AB$20*'Canada NG Gen by Turbine Type'!$B$55</f>
        <v>1.7511815430699709E-2</v>
      </c>
      <c r="AC13">
        <f>'Canada Generation Projection'!AR$15/AC$20*'Canada NG Gen by Turbine Type'!$B$55</f>
        <v>1.7469185958277011E-2</v>
      </c>
      <c r="AD13">
        <f>'Canada Generation Projection'!AS$15/AD$20*'Canada NG Gen by Turbine Type'!$B$55</f>
        <v>1.7164782374861645E-2</v>
      </c>
      <c r="AE13">
        <f>'Canada Generation Projection'!AT$15/AE$20*'Canada NG Gen by Turbine Type'!$B$55</f>
        <v>1.7163420537505403E-2</v>
      </c>
      <c r="AF13">
        <f>'Canada Generation Projection'!AU$15/AF$20*'Canada NG Gen by Turbine Type'!$B$55</f>
        <v>1.7142620644388807E-2</v>
      </c>
    </row>
    <row r="14" spans="1:32" x14ac:dyDescent="0.25">
      <c r="A14" s="2" t="s">
        <v>211</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row>
    <row r="15" spans="1:32" x14ac:dyDescent="0.25">
      <c r="A15" s="2" t="s">
        <v>212</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row>
    <row r="16" spans="1:32" x14ac:dyDescent="0.25">
      <c r="A16" s="2" t="s">
        <v>213</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row>
    <row r="17" spans="1:32" x14ac:dyDescent="0.25">
      <c r="A17" s="2" t="s">
        <v>214</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row>
    <row r="18" spans="1:32" x14ac:dyDescent="0.25">
      <c r="A18" s="2" t="s">
        <v>215</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row>
    <row r="20" spans="1:32" x14ac:dyDescent="0.25">
      <c r="A20" s="2" t="s">
        <v>216</v>
      </c>
      <c r="B20">
        <f>SUM(Table15[2020])</f>
        <v>624124.77000000014</v>
      </c>
      <c r="C20">
        <f>SUM(Table15[2021])</f>
        <v>635025.05000000005</v>
      </c>
      <c r="D20">
        <f>SUM(Table15[2022])</f>
        <v>662134.94999999984</v>
      </c>
      <c r="E20">
        <f>SUM(Table15[2023])</f>
        <v>661479.15999999992</v>
      </c>
      <c r="F20">
        <f>SUM(Table15[2024])</f>
        <v>669724.89999999991</v>
      </c>
      <c r="G20">
        <f>SUM(Table15[2025])</f>
        <v>674750.65</v>
      </c>
      <c r="H20">
        <f>SUM(Table15[2026])</f>
        <v>679256.02999999991</v>
      </c>
      <c r="I20">
        <f>SUM(Table15[2027])</f>
        <v>682236.75</v>
      </c>
      <c r="J20">
        <f>SUM(Table15[2028])</f>
        <v>687482.16</v>
      </c>
      <c r="K20">
        <f>SUM(Table15[2029])</f>
        <v>693088.12</v>
      </c>
      <c r="L20">
        <f>SUM(Table15[2030])</f>
        <v>708052.06</v>
      </c>
      <c r="M20">
        <f>SUM(Table15[2031])</f>
        <v>718368.89</v>
      </c>
      <c r="N20">
        <f>SUM(Table15[2032])</f>
        <v>722783.21000000008</v>
      </c>
      <c r="O20">
        <f>SUM(Table15[2033])</f>
        <v>726806.45</v>
      </c>
      <c r="P20">
        <f>SUM(Table15[2034])</f>
        <v>733530.54</v>
      </c>
      <c r="Q20">
        <f>SUM(Table15[2035])</f>
        <v>740490.73</v>
      </c>
      <c r="R20">
        <f>SUM(Table15[2036])</f>
        <v>737450.58000000007</v>
      </c>
      <c r="S20">
        <f>SUM(Table15[2037])</f>
        <v>742988.29999999993</v>
      </c>
      <c r="T20">
        <f>SUM(Table15[2038])</f>
        <v>751284.56</v>
      </c>
      <c r="U20">
        <f>SUM(Table15[2039])</f>
        <v>758525.56</v>
      </c>
      <c r="V20">
        <f>SUM(Table15[2040])</f>
        <v>768472.94</v>
      </c>
      <c r="W20">
        <f>SUM(Table15[2041])</f>
        <v>774344.35</v>
      </c>
      <c r="X20">
        <f>SUM(Table15[2042])</f>
        <v>786697.65999999992</v>
      </c>
      <c r="Y20">
        <f>SUM(Table15[2043])</f>
        <v>799962.03</v>
      </c>
      <c r="Z20">
        <f>SUM(Table15[2044])</f>
        <v>817333.19</v>
      </c>
      <c r="AA20">
        <f>SUM(Table15[2045])</f>
        <v>829175.84999999986</v>
      </c>
      <c r="AB20">
        <f>SUM(Table15[2046])</f>
        <v>841871.94</v>
      </c>
      <c r="AC20">
        <f>SUM(Table15[2047])</f>
        <v>851081.91999999993</v>
      </c>
      <c r="AD20">
        <f>SUM(Table15[2048])</f>
        <v>860725.04</v>
      </c>
      <c r="AE20">
        <f>SUM(Table15[2049])</f>
        <v>868040.47000000009</v>
      </c>
      <c r="AF20">
        <f>SUM(Table15[2050])</f>
        <v>875938.85999999987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21"/>
  <sheetViews>
    <sheetView workbookViewId="0">
      <selection activeCell="A54" sqref="A54:XFD54"/>
    </sheetView>
  </sheetViews>
  <sheetFormatPr defaultRowHeight="15" x14ac:dyDescent="0.25"/>
  <cols>
    <col min="1" max="1" width="20.42578125" customWidth="1"/>
    <col min="2" max="2" width="54.5703125" customWidth="1"/>
  </cols>
  <sheetData>
    <row r="1" spans="1:33" x14ac:dyDescent="0.25">
      <c r="A1" t="s">
        <v>217</v>
      </c>
    </row>
    <row r="2" spans="1:33" x14ac:dyDescent="0.25">
      <c r="A2" t="s">
        <v>218</v>
      </c>
    </row>
    <row r="3" spans="1:33" x14ac:dyDescent="0.25">
      <c r="A3" t="s">
        <v>219</v>
      </c>
    </row>
    <row r="4" spans="1:33" x14ac:dyDescent="0.25">
      <c r="A4" t="s">
        <v>44</v>
      </c>
    </row>
    <row r="5" spans="1:33" x14ac:dyDescent="0.25">
      <c r="B5" t="s">
        <v>45</v>
      </c>
      <c r="C5" t="s">
        <v>46</v>
      </c>
      <c r="D5" t="s">
        <v>47</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48</v>
      </c>
    </row>
    <row r="6" spans="1:33" x14ac:dyDescent="0.25">
      <c r="A6" t="s">
        <v>220</v>
      </c>
    </row>
    <row r="7" spans="1:33" x14ac:dyDescent="0.25">
      <c r="A7" t="s">
        <v>221</v>
      </c>
      <c r="B7" t="s">
        <v>222</v>
      </c>
      <c r="C7" t="s">
        <v>223</v>
      </c>
      <c r="D7" t="s">
        <v>224</v>
      </c>
      <c r="F7">
        <v>26.593980999999999</v>
      </c>
      <c r="G7">
        <v>25.690693</v>
      </c>
      <c r="H7">
        <v>25.882023</v>
      </c>
      <c r="I7">
        <v>25.734010999999999</v>
      </c>
      <c r="J7">
        <v>25.761880999999999</v>
      </c>
      <c r="K7">
        <v>25.984186000000001</v>
      </c>
      <c r="L7">
        <v>26.494527999999999</v>
      </c>
      <c r="M7">
        <v>27.035074000000002</v>
      </c>
      <c r="N7">
        <v>27.848438000000002</v>
      </c>
      <c r="O7">
        <v>28.895928999999999</v>
      </c>
      <c r="P7">
        <v>29.836832000000001</v>
      </c>
      <c r="Q7">
        <v>30.497536</v>
      </c>
      <c r="R7">
        <v>30.975726999999999</v>
      </c>
      <c r="S7">
        <v>31.295522999999999</v>
      </c>
      <c r="T7">
        <v>31.443632000000001</v>
      </c>
      <c r="U7">
        <v>31.521712999999998</v>
      </c>
      <c r="V7">
        <v>31.634782999999999</v>
      </c>
      <c r="W7">
        <v>31.863678</v>
      </c>
      <c r="X7">
        <v>32.095478</v>
      </c>
      <c r="Y7">
        <v>32.443432000000001</v>
      </c>
      <c r="Z7">
        <v>32.908676</v>
      </c>
      <c r="AA7">
        <v>33.216011000000002</v>
      </c>
      <c r="AB7">
        <v>33.459887999999999</v>
      </c>
      <c r="AC7">
        <v>33.587330000000001</v>
      </c>
      <c r="AD7">
        <v>33.707253000000001</v>
      </c>
      <c r="AE7">
        <v>33.953311999999997</v>
      </c>
      <c r="AF7">
        <v>34.455376000000001</v>
      </c>
      <c r="AG7" s="22">
        <v>0.01</v>
      </c>
    </row>
    <row r="8" spans="1:33" x14ac:dyDescent="0.25">
      <c r="A8" t="s">
        <v>225</v>
      </c>
      <c r="B8" t="s">
        <v>226</v>
      </c>
      <c r="C8" t="s">
        <v>227</v>
      </c>
      <c r="D8" t="s">
        <v>224</v>
      </c>
      <c r="F8">
        <v>26.158379</v>
      </c>
      <c r="G8">
        <v>24.617764000000001</v>
      </c>
      <c r="H8">
        <v>24.643763</v>
      </c>
      <c r="I8">
        <v>25.310112</v>
      </c>
      <c r="J8">
        <v>26.179770000000001</v>
      </c>
      <c r="K8">
        <v>27.100401000000002</v>
      </c>
      <c r="L8">
        <v>28.068832</v>
      </c>
      <c r="M8">
        <v>28.117249999999999</v>
      </c>
      <c r="N8">
        <v>28.032599999999999</v>
      </c>
      <c r="O8">
        <v>28.357315</v>
      </c>
      <c r="P8">
        <v>28.466999000000001</v>
      </c>
      <c r="Q8">
        <v>28.689667</v>
      </c>
      <c r="R8">
        <v>28.809559</v>
      </c>
      <c r="S8">
        <v>29.071898000000001</v>
      </c>
      <c r="T8">
        <v>29.171333000000001</v>
      </c>
      <c r="U8">
        <v>29.291198999999999</v>
      </c>
      <c r="V8">
        <v>29.469152000000001</v>
      </c>
      <c r="W8">
        <v>29.758438000000002</v>
      </c>
      <c r="X8">
        <v>29.994083</v>
      </c>
      <c r="Y8">
        <v>30.294477000000001</v>
      </c>
      <c r="Z8">
        <v>30.955036</v>
      </c>
      <c r="AA8">
        <v>30.868721000000001</v>
      </c>
      <c r="AB8">
        <v>30.956972</v>
      </c>
      <c r="AC8">
        <v>30.914090999999999</v>
      </c>
      <c r="AD8">
        <v>30.902479</v>
      </c>
      <c r="AE8">
        <v>30.934729000000001</v>
      </c>
      <c r="AF8">
        <v>31.279491</v>
      </c>
      <c r="AG8" s="22">
        <v>7.0000000000000001E-3</v>
      </c>
    </row>
    <row r="9" spans="1:33" x14ac:dyDescent="0.25">
      <c r="A9" t="s">
        <v>141</v>
      </c>
      <c r="B9" t="s">
        <v>228</v>
      </c>
      <c r="C9" t="s">
        <v>229</v>
      </c>
      <c r="D9" t="s">
        <v>224</v>
      </c>
      <c r="F9">
        <v>13.932205</v>
      </c>
      <c r="G9">
        <v>12.694278000000001</v>
      </c>
      <c r="H9">
        <v>12.476946</v>
      </c>
      <c r="I9">
        <v>12.071300000000001</v>
      </c>
      <c r="J9">
        <v>11.825521999999999</v>
      </c>
      <c r="K9">
        <v>11.708606</v>
      </c>
      <c r="L9">
        <v>11.628035000000001</v>
      </c>
      <c r="M9">
        <v>11.829364999999999</v>
      </c>
      <c r="N9">
        <v>12.259671000000001</v>
      </c>
      <c r="O9">
        <v>12.641685000000001</v>
      </c>
      <c r="P9">
        <v>12.901600999999999</v>
      </c>
      <c r="Q9">
        <v>13.046376</v>
      </c>
      <c r="R9">
        <v>13.061166</v>
      </c>
      <c r="S9">
        <v>13.048336000000001</v>
      </c>
      <c r="T9">
        <v>13.026576</v>
      </c>
      <c r="U9">
        <v>12.968636999999999</v>
      </c>
      <c r="V9">
        <v>13.000325999999999</v>
      </c>
      <c r="W9">
        <v>13.125381000000001</v>
      </c>
      <c r="X9">
        <v>13.234643</v>
      </c>
      <c r="Y9">
        <v>13.327177000000001</v>
      </c>
      <c r="Z9">
        <v>13.385166</v>
      </c>
      <c r="AA9">
        <v>13.471465999999999</v>
      </c>
      <c r="AB9">
        <v>13.568365</v>
      </c>
      <c r="AC9">
        <v>13.612545000000001</v>
      </c>
      <c r="AD9">
        <v>13.641063000000001</v>
      </c>
      <c r="AE9">
        <v>13.722773</v>
      </c>
      <c r="AF9">
        <v>13.794634</v>
      </c>
      <c r="AG9" s="22">
        <v>0</v>
      </c>
    </row>
    <row r="10" spans="1:33" x14ac:dyDescent="0.25">
      <c r="A10" t="s">
        <v>230</v>
      </c>
      <c r="B10" t="s">
        <v>231</v>
      </c>
      <c r="C10" t="s">
        <v>232</v>
      </c>
      <c r="D10" t="s">
        <v>224</v>
      </c>
      <c r="F10">
        <v>45.553139000000002</v>
      </c>
      <c r="G10">
        <v>45.024025000000002</v>
      </c>
      <c r="H10">
        <v>42.541679000000002</v>
      </c>
      <c r="I10">
        <v>40.459820000000001</v>
      </c>
      <c r="J10">
        <v>40.182792999999997</v>
      </c>
      <c r="K10">
        <v>40.569781999999996</v>
      </c>
      <c r="L10">
        <v>41.046374999999998</v>
      </c>
      <c r="M10">
        <v>41.716887999999997</v>
      </c>
      <c r="N10">
        <v>42.268425000000001</v>
      </c>
      <c r="O10">
        <v>43.117485000000002</v>
      </c>
      <c r="P10">
        <v>43.465755000000001</v>
      </c>
      <c r="Q10">
        <v>43.342433999999997</v>
      </c>
      <c r="R10">
        <v>43.037925999999999</v>
      </c>
      <c r="S10">
        <v>42.730640000000001</v>
      </c>
      <c r="T10">
        <v>42.891632000000001</v>
      </c>
      <c r="U10">
        <v>42.628982999999998</v>
      </c>
      <c r="V10">
        <v>42.525494000000002</v>
      </c>
      <c r="W10">
        <v>42.545127999999998</v>
      </c>
      <c r="X10">
        <v>42.731727999999997</v>
      </c>
      <c r="Y10">
        <v>42.921191999999998</v>
      </c>
      <c r="Z10">
        <v>43.168861</v>
      </c>
      <c r="AA10">
        <v>43.377872000000004</v>
      </c>
      <c r="AB10">
        <v>43.621025000000003</v>
      </c>
      <c r="AC10">
        <v>43.794060000000002</v>
      </c>
      <c r="AD10">
        <v>44.126114000000001</v>
      </c>
      <c r="AE10">
        <v>44.423274999999997</v>
      </c>
      <c r="AF10">
        <v>44.787258000000001</v>
      </c>
      <c r="AG10" s="22">
        <v>-1E-3</v>
      </c>
    </row>
    <row r="11" spans="1:33" x14ac:dyDescent="0.25">
      <c r="A11" t="s">
        <v>233</v>
      </c>
    </row>
    <row r="12" spans="1:33" x14ac:dyDescent="0.25">
      <c r="A12" t="s">
        <v>221</v>
      </c>
      <c r="B12" t="s">
        <v>234</v>
      </c>
      <c r="C12" t="s">
        <v>235</v>
      </c>
      <c r="D12" t="s">
        <v>224</v>
      </c>
      <c r="F12">
        <v>19.0868</v>
      </c>
      <c r="G12">
        <v>19.071598000000002</v>
      </c>
      <c r="H12">
        <v>19.969245999999998</v>
      </c>
      <c r="I12">
        <v>19.804914</v>
      </c>
      <c r="J12">
        <v>19.920180999999999</v>
      </c>
      <c r="K12">
        <v>20.219919000000001</v>
      </c>
      <c r="L12">
        <v>20.798325999999999</v>
      </c>
      <c r="M12">
        <v>21.250934999999998</v>
      </c>
      <c r="N12">
        <v>22.027007999999999</v>
      </c>
      <c r="O12">
        <v>22.973884999999999</v>
      </c>
      <c r="P12">
        <v>23.620799999999999</v>
      </c>
      <c r="Q12">
        <v>23.910170000000001</v>
      </c>
      <c r="R12">
        <v>24.102671000000001</v>
      </c>
      <c r="S12">
        <v>24.204554000000002</v>
      </c>
      <c r="T12">
        <v>24.180492000000001</v>
      </c>
      <c r="U12">
        <v>24.168512</v>
      </c>
      <c r="V12">
        <v>24.257711</v>
      </c>
      <c r="W12">
        <v>24.494382999999999</v>
      </c>
      <c r="X12">
        <v>24.6768</v>
      </c>
      <c r="Y12">
        <v>25.001261</v>
      </c>
      <c r="Z12">
        <v>25.422536999999998</v>
      </c>
      <c r="AA12">
        <v>25.562656</v>
      </c>
      <c r="AB12">
        <v>25.683005999999999</v>
      </c>
      <c r="AC12">
        <v>25.692684</v>
      </c>
      <c r="AD12">
        <v>25.758125</v>
      </c>
      <c r="AE12">
        <v>26.007099</v>
      </c>
      <c r="AF12">
        <v>26.538201999999998</v>
      </c>
      <c r="AG12" s="22">
        <v>1.2999999999999999E-2</v>
      </c>
    </row>
    <row r="13" spans="1:33" x14ac:dyDescent="0.25">
      <c r="A13" t="s">
        <v>225</v>
      </c>
      <c r="B13" t="s">
        <v>236</v>
      </c>
      <c r="C13" t="s">
        <v>237</v>
      </c>
      <c r="D13" t="s">
        <v>224</v>
      </c>
      <c r="F13">
        <v>26.207932</v>
      </c>
      <c r="G13">
        <v>24.707526999999999</v>
      </c>
      <c r="H13">
        <v>23.565269000000001</v>
      </c>
      <c r="I13">
        <v>23.058793999999999</v>
      </c>
      <c r="J13">
        <v>22.754670999999998</v>
      </c>
      <c r="K13">
        <v>22.501290999999998</v>
      </c>
      <c r="L13">
        <v>22.297827000000002</v>
      </c>
      <c r="M13">
        <v>22.340889000000001</v>
      </c>
      <c r="N13">
        <v>22.216308999999999</v>
      </c>
      <c r="O13">
        <v>22.527172</v>
      </c>
      <c r="P13">
        <v>22.633039</v>
      </c>
      <c r="Q13">
        <v>22.837949999999999</v>
      </c>
      <c r="R13">
        <v>22.942882999999998</v>
      </c>
      <c r="S13">
        <v>23.194223000000001</v>
      </c>
      <c r="T13">
        <v>23.297205000000002</v>
      </c>
      <c r="U13">
        <v>23.403836999999999</v>
      </c>
      <c r="V13">
        <v>23.570314</v>
      </c>
      <c r="W13">
        <v>23.852497</v>
      </c>
      <c r="X13">
        <v>24.078635999999999</v>
      </c>
      <c r="Y13">
        <v>24.381926</v>
      </c>
      <c r="Z13">
        <v>25.030125000000002</v>
      </c>
      <c r="AA13">
        <v>24.942905</v>
      </c>
      <c r="AB13">
        <v>25.028815999999999</v>
      </c>
      <c r="AC13">
        <v>24.984297000000002</v>
      </c>
      <c r="AD13">
        <v>24.964209</v>
      </c>
      <c r="AE13">
        <v>25.003876000000002</v>
      </c>
      <c r="AF13">
        <v>25.345199999999998</v>
      </c>
      <c r="AG13" s="22">
        <v>-1E-3</v>
      </c>
    </row>
    <row r="14" spans="1:33" x14ac:dyDescent="0.25">
      <c r="A14" t="s">
        <v>238</v>
      </c>
      <c r="B14" t="s">
        <v>239</v>
      </c>
      <c r="C14" t="s">
        <v>240</v>
      </c>
      <c r="D14" t="s">
        <v>224</v>
      </c>
      <c r="F14">
        <v>6.7460779999999998</v>
      </c>
      <c r="G14">
        <v>7.471698</v>
      </c>
      <c r="H14">
        <v>7.8411929999999996</v>
      </c>
      <c r="I14">
        <v>8.8315970000000004</v>
      </c>
      <c r="J14">
        <v>9.9149080000000005</v>
      </c>
      <c r="K14">
        <v>11.015342</v>
      </c>
      <c r="L14">
        <v>12.183045</v>
      </c>
      <c r="M14">
        <v>12.244161999999999</v>
      </c>
      <c r="N14">
        <v>12.208693999999999</v>
      </c>
      <c r="O14">
        <v>12.446173999999999</v>
      </c>
      <c r="P14">
        <v>12.544676000000001</v>
      </c>
      <c r="Q14">
        <v>12.678741</v>
      </c>
      <c r="R14">
        <v>12.753716000000001</v>
      </c>
      <c r="S14">
        <v>12.872249999999999</v>
      </c>
      <c r="T14">
        <v>12.979047</v>
      </c>
      <c r="U14">
        <v>12.997785</v>
      </c>
      <c r="V14">
        <v>13.118733000000001</v>
      </c>
      <c r="W14">
        <v>13.235469</v>
      </c>
      <c r="X14">
        <v>13.365701</v>
      </c>
      <c r="Y14">
        <v>13.416109000000001</v>
      </c>
      <c r="Z14">
        <v>13.347303999999999</v>
      </c>
      <c r="AA14">
        <v>13.387928</v>
      </c>
      <c r="AB14">
        <v>13.678938</v>
      </c>
      <c r="AC14">
        <v>13.632569</v>
      </c>
      <c r="AD14">
        <v>13.671234999999999</v>
      </c>
      <c r="AE14">
        <v>13.775191</v>
      </c>
      <c r="AF14">
        <v>14.322314</v>
      </c>
      <c r="AG14" s="22">
        <v>2.9000000000000001E-2</v>
      </c>
    </row>
    <row r="15" spans="1:33" x14ac:dyDescent="0.25">
      <c r="A15" t="s">
        <v>141</v>
      </c>
      <c r="B15" t="s">
        <v>241</v>
      </c>
      <c r="C15" t="s">
        <v>242</v>
      </c>
      <c r="D15" t="s">
        <v>224</v>
      </c>
      <c r="F15">
        <v>9.5558580000000006</v>
      </c>
      <c r="G15">
        <v>8.4736279999999997</v>
      </c>
      <c r="H15">
        <v>8.5713720000000002</v>
      </c>
      <c r="I15">
        <v>8.5130540000000003</v>
      </c>
      <c r="J15">
        <v>8.5931060000000006</v>
      </c>
      <c r="K15">
        <v>8.7674660000000006</v>
      </c>
      <c r="L15">
        <v>8.9761989999999994</v>
      </c>
      <c r="M15">
        <v>9.1212839999999993</v>
      </c>
      <c r="N15">
        <v>9.4725029999999997</v>
      </c>
      <c r="O15">
        <v>9.7878329999999991</v>
      </c>
      <c r="P15">
        <v>9.9884749999999993</v>
      </c>
      <c r="Q15">
        <v>10.085086</v>
      </c>
      <c r="R15">
        <v>10.067373</v>
      </c>
      <c r="S15">
        <v>10.026683</v>
      </c>
      <c r="T15">
        <v>9.9779049999999998</v>
      </c>
      <c r="U15">
        <v>9.894558</v>
      </c>
      <c r="V15">
        <v>9.8948060000000009</v>
      </c>
      <c r="W15">
        <v>9.9813390000000002</v>
      </c>
      <c r="X15">
        <v>10.052937</v>
      </c>
      <c r="Y15">
        <v>10.111660000000001</v>
      </c>
      <c r="Z15">
        <v>10.137435999999999</v>
      </c>
      <c r="AA15">
        <v>10.191541000000001</v>
      </c>
      <c r="AB15">
        <v>10.258538</v>
      </c>
      <c r="AC15">
        <v>10.274831000000001</v>
      </c>
      <c r="AD15">
        <v>10.279621000000001</v>
      </c>
      <c r="AE15">
        <v>10.336456</v>
      </c>
      <c r="AF15">
        <v>10.384078000000001</v>
      </c>
      <c r="AG15" s="22">
        <v>3.0000000000000001E-3</v>
      </c>
    </row>
    <row r="16" spans="1:33" x14ac:dyDescent="0.25">
      <c r="A16" t="s">
        <v>230</v>
      </c>
      <c r="B16" t="s">
        <v>243</v>
      </c>
      <c r="C16" t="s">
        <v>244</v>
      </c>
      <c r="D16" t="s">
        <v>224</v>
      </c>
      <c r="F16">
        <v>38.551605000000002</v>
      </c>
      <c r="G16">
        <v>37.602798</v>
      </c>
      <c r="H16">
        <v>35.105431000000003</v>
      </c>
      <c r="I16">
        <v>33.124507999999999</v>
      </c>
      <c r="J16">
        <v>32.965439000000003</v>
      </c>
      <c r="K16">
        <v>33.320239999999998</v>
      </c>
      <c r="L16">
        <v>33.809680999999998</v>
      </c>
      <c r="M16">
        <v>34.413387</v>
      </c>
      <c r="N16">
        <v>34.929172999999999</v>
      </c>
      <c r="O16">
        <v>35.701324</v>
      </c>
      <c r="P16">
        <v>35.979613999999998</v>
      </c>
      <c r="Q16">
        <v>35.811675999999999</v>
      </c>
      <c r="R16">
        <v>35.482807000000001</v>
      </c>
      <c r="S16">
        <v>35.191898000000002</v>
      </c>
      <c r="T16">
        <v>35.411738999999997</v>
      </c>
      <c r="U16">
        <v>35.115093000000002</v>
      </c>
      <c r="V16">
        <v>34.986004000000001</v>
      </c>
      <c r="W16">
        <v>34.992550000000001</v>
      </c>
      <c r="X16">
        <v>35.154460999999998</v>
      </c>
      <c r="Y16">
        <v>35.305714000000002</v>
      </c>
      <c r="Z16">
        <v>35.501835</v>
      </c>
      <c r="AA16">
        <v>35.646769999999997</v>
      </c>
      <c r="AB16">
        <v>35.797629999999998</v>
      </c>
      <c r="AC16">
        <v>35.841282</v>
      </c>
      <c r="AD16">
        <v>36.080368</v>
      </c>
      <c r="AE16">
        <v>36.286304000000001</v>
      </c>
      <c r="AF16">
        <v>36.524943999999998</v>
      </c>
      <c r="AG16" s="22">
        <v>-2E-3</v>
      </c>
    </row>
    <row r="17" spans="1:33" x14ac:dyDescent="0.25">
      <c r="A17" t="s">
        <v>245</v>
      </c>
    </row>
    <row r="18" spans="1:33" x14ac:dyDescent="0.25">
      <c r="A18" t="s">
        <v>221</v>
      </c>
      <c r="B18" t="s">
        <v>246</v>
      </c>
      <c r="C18" t="s">
        <v>247</v>
      </c>
      <c r="D18" t="s">
        <v>224</v>
      </c>
      <c r="F18">
        <v>12.660259999999999</v>
      </c>
      <c r="G18">
        <v>12.605674</v>
      </c>
      <c r="H18">
        <v>13.465074</v>
      </c>
      <c r="I18">
        <v>13.314802</v>
      </c>
      <c r="J18">
        <v>13.427592000000001</v>
      </c>
      <c r="K18">
        <v>13.722619999999999</v>
      </c>
      <c r="L18">
        <v>14.298681999999999</v>
      </c>
      <c r="M18">
        <v>14.759734999999999</v>
      </c>
      <c r="N18">
        <v>15.554036</v>
      </c>
      <c r="O18">
        <v>16.543209000000001</v>
      </c>
      <c r="P18">
        <v>17.23724</v>
      </c>
      <c r="Q18">
        <v>17.555821999999999</v>
      </c>
      <c r="R18">
        <v>17.767212000000001</v>
      </c>
      <c r="S18">
        <v>17.880009000000001</v>
      </c>
      <c r="T18">
        <v>17.856604000000001</v>
      </c>
      <c r="U18">
        <v>17.844083999999999</v>
      </c>
      <c r="V18">
        <v>17.93939</v>
      </c>
      <c r="W18">
        <v>18.194379999999999</v>
      </c>
      <c r="X18">
        <v>18.394273999999999</v>
      </c>
      <c r="Y18">
        <v>18.748418999999998</v>
      </c>
      <c r="Z18">
        <v>19.212319999999998</v>
      </c>
      <c r="AA18">
        <v>19.372681</v>
      </c>
      <c r="AB18">
        <v>19.508192000000001</v>
      </c>
      <c r="AC18">
        <v>19.52129</v>
      </c>
      <c r="AD18">
        <v>19.593958000000001</v>
      </c>
      <c r="AE18">
        <v>19.869527999999999</v>
      </c>
      <c r="AF18">
        <v>20.462762999999999</v>
      </c>
      <c r="AG18" s="22">
        <v>1.9E-2</v>
      </c>
    </row>
    <row r="19" spans="1:33" x14ac:dyDescent="0.25">
      <c r="A19" t="s">
        <v>225</v>
      </c>
      <c r="B19" t="s">
        <v>248</v>
      </c>
      <c r="C19" t="s">
        <v>249</v>
      </c>
      <c r="D19" t="s">
        <v>224</v>
      </c>
      <c r="F19">
        <v>26.091763</v>
      </c>
      <c r="G19">
        <v>24.600625999999998</v>
      </c>
      <c r="H19">
        <v>23.425851999999999</v>
      </c>
      <c r="I19">
        <v>22.889410000000002</v>
      </c>
      <c r="J19">
        <v>22.557371</v>
      </c>
      <c r="K19">
        <v>22.274754999999999</v>
      </c>
      <c r="L19">
        <v>22.032902</v>
      </c>
      <c r="M19">
        <v>22.079993999999999</v>
      </c>
      <c r="N19">
        <v>21.943752</v>
      </c>
      <c r="O19">
        <v>22.273958</v>
      </c>
      <c r="P19">
        <v>22.39349</v>
      </c>
      <c r="Q19">
        <v>22.623446999999999</v>
      </c>
      <c r="R19">
        <v>22.746523</v>
      </c>
      <c r="S19">
        <v>23.008989</v>
      </c>
      <c r="T19">
        <v>23.10652</v>
      </c>
      <c r="U19">
        <v>23.218240999999999</v>
      </c>
      <c r="V19">
        <v>23.399350999999999</v>
      </c>
      <c r="W19">
        <v>23.679425999999999</v>
      </c>
      <c r="X19">
        <v>23.916767</v>
      </c>
      <c r="Y19">
        <v>24.223963000000001</v>
      </c>
      <c r="Z19">
        <v>24.880013999999999</v>
      </c>
      <c r="AA19">
        <v>24.792428999999998</v>
      </c>
      <c r="AB19">
        <v>24.880751</v>
      </c>
      <c r="AC19">
        <v>24.838329000000002</v>
      </c>
      <c r="AD19">
        <v>24.823360000000001</v>
      </c>
      <c r="AE19">
        <v>24.858402000000002</v>
      </c>
      <c r="AF19">
        <v>25.202453999999999</v>
      </c>
      <c r="AG19" s="22">
        <v>-1E-3</v>
      </c>
    </row>
    <row r="20" spans="1:33" x14ac:dyDescent="0.25">
      <c r="A20" t="s">
        <v>238</v>
      </c>
      <c r="B20" t="s">
        <v>250</v>
      </c>
      <c r="C20" t="s">
        <v>251</v>
      </c>
      <c r="D20" t="s">
        <v>224</v>
      </c>
      <c r="F20">
        <v>7.8346600000000004</v>
      </c>
      <c r="G20">
        <v>8.8480939999999997</v>
      </c>
      <c r="H20">
        <v>9.4351610000000008</v>
      </c>
      <c r="I20">
        <v>10.629246</v>
      </c>
      <c r="J20">
        <v>11.88067</v>
      </c>
      <c r="K20">
        <v>13.214781</v>
      </c>
      <c r="L20">
        <v>14.622335</v>
      </c>
      <c r="M20">
        <v>14.725853000000001</v>
      </c>
      <c r="N20">
        <v>14.700524</v>
      </c>
      <c r="O20">
        <v>14.992571999999999</v>
      </c>
      <c r="P20">
        <v>15.113937999999999</v>
      </c>
      <c r="Q20">
        <v>15.285793</v>
      </c>
      <c r="R20">
        <v>15.383565000000001</v>
      </c>
      <c r="S20">
        <v>15.518867</v>
      </c>
      <c r="T20">
        <v>15.634306</v>
      </c>
      <c r="U20">
        <v>15.663942</v>
      </c>
      <c r="V20">
        <v>15.779114999999999</v>
      </c>
      <c r="W20">
        <v>15.889836000000001</v>
      </c>
      <c r="X20">
        <v>16.038827999999999</v>
      </c>
      <c r="Y20">
        <v>16.101130999999999</v>
      </c>
      <c r="Z20">
        <v>16.053885999999999</v>
      </c>
      <c r="AA20">
        <v>16.051017999999999</v>
      </c>
      <c r="AB20">
        <v>16.34535</v>
      </c>
      <c r="AC20">
        <v>16.306047</v>
      </c>
      <c r="AD20">
        <v>16.344069000000001</v>
      </c>
      <c r="AE20">
        <v>16.451635</v>
      </c>
      <c r="AF20">
        <v>16.998318000000001</v>
      </c>
      <c r="AG20" s="22">
        <v>0.03</v>
      </c>
    </row>
    <row r="21" spans="1:33" x14ac:dyDescent="0.25">
      <c r="A21" t="s">
        <v>141</v>
      </c>
      <c r="B21" t="s">
        <v>252</v>
      </c>
      <c r="C21" t="s">
        <v>253</v>
      </c>
      <c r="D21" t="s">
        <v>224</v>
      </c>
      <c r="F21">
        <v>3.3370700000000002</v>
      </c>
      <c r="G21">
        <v>4.010599</v>
      </c>
      <c r="H21">
        <v>3.9114849999999999</v>
      </c>
      <c r="I21">
        <v>3.7915209999999999</v>
      </c>
      <c r="J21">
        <v>3.8696120000000001</v>
      </c>
      <c r="K21">
        <v>4.0202489999999997</v>
      </c>
      <c r="L21">
        <v>4.230658</v>
      </c>
      <c r="M21">
        <v>4.3900930000000002</v>
      </c>
      <c r="N21">
        <v>4.8307549999999999</v>
      </c>
      <c r="O21">
        <v>5.1790880000000001</v>
      </c>
      <c r="P21">
        <v>5.4123419999999998</v>
      </c>
      <c r="Q21">
        <v>5.4940540000000002</v>
      </c>
      <c r="R21">
        <v>5.4814119999999997</v>
      </c>
      <c r="S21">
        <v>5.4307980000000002</v>
      </c>
      <c r="T21">
        <v>5.3706849999999999</v>
      </c>
      <c r="U21">
        <v>5.2902529999999999</v>
      </c>
      <c r="V21">
        <v>5.3106720000000003</v>
      </c>
      <c r="W21">
        <v>5.4036390000000001</v>
      </c>
      <c r="X21">
        <v>5.4864750000000004</v>
      </c>
      <c r="Y21">
        <v>5.5612409999999999</v>
      </c>
      <c r="Z21">
        <v>5.6156769999999998</v>
      </c>
      <c r="AA21">
        <v>5.6656319999999996</v>
      </c>
      <c r="AB21">
        <v>5.71713</v>
      </c>
      <c r="AC21">
        <v>5.7226499999999998</v>
      </c>
      <c r="AD21">
        <v>5.7369000000000003</v>
      </c>
      <c r="AE21">
        <v>5.7977049999999997</v>
      </c>
      <c r="AF21">
        <v>5.8629350000000002</v>
      </c>
      <c r="AG21" s="22">
        <v>2.1999999999999999E-2</v>
      </c>
    </row>
    <row r="22" spans="1:33" x14ac:dyDescent="0.25">
      <c r="A22" t="s">
        <v>254</v>
      </c>
      <c r="B22" t="s">
        <v>255</v>
      </c>
      <c r="C22" t="s">
        <v>256</v>
      </c>
      <c r="D22" t="s">
        <v>224</v>
      </c>
      <c r="F22">
        <v>7.7677550000000002</v>
      </c>
      <c r="G22">
        <v>7.639748</v>
      </c>
      <c r="H22">
        <v>7.5851480000000002</v>
      </c>
      <c r="I22">
        <v>7.555212</v>
      </c>
      <c r="J22">
        <v>7.520931</v>
      </c>
      <c r="K22">
        <v>7.5128259999999996</v>
      </c>
      <c r="L22">
        <v>7.5104439999999997</v>
      </c>
      <c r="M22">
        <v>7.515949</v>
      </c>
      <c r="N22">
        <v>7.5375909999999999</v>
      </c>
      <c r="O22">
        <v>7.5371670000000002</v>
      </c>
      <c r="P22">
        <v>7.4998899999999997</v>
      </c>
      <c r="Q22">
        <v>7.5180889999999998</v>
      </c>
      <c r="R22">
        <v>7.5179669999999996</v>
      </c>
      <c r="S22">
        <v>7.5155570000000003</v>
      </c>
      <c r="T22">
        <v>7.5172699999999999</v>
      </c>
      <c r="U22">
        <v>7.498265</v>
      </c>
      <c r="V22">
        <v>7.4962220000000004</v>
      </c>
      <c r="W22">
        <v>7.4669150000000002</v>
      </c>
      <c r="X22">
        <v>7.4610409999999998</v>
      </c>
      <c r="Y22">
        <v>7.4532319999999999</v>
      </c>
      <c r="Z22">
        <v>7.4581030000000004</v>
      </c>
      <c r="AA22">
        <v>7.4715109999999996</v>
      </c>
      <c r="AB22">
        <v>7.4675250000000002</v>
      </c>
      <c r="AC22">
        <v>7.46251</v>
      </c>
      <c r="AD22">
        <v>7.461265</v>
      </c>
      <c r="AE22">
        <v>7.4693670000000001</v>
      </c>
      <c r="AF22">
        <v>7.4669429999999997</v>
      </c>
      <c r="AG22" s="22">
        <v>-2E-3</v>
      </c>
    </row>
    <row r="23" spans="1:33" x14ac:dyDescent="0.25">
      <c r="A23" t="s">
        <v>257</v>
      </c>
      <c r="B23" t="s">
        <v>258</v>
      </c>
      <c r="C23" t="s">
        <v>259</v>
      </c>
      <c r="D23" t="s">
        <v>224</v>
      </c>
      <c r="F23">
        <v>3.572155</v>
      </c>
      <c r="G23">
        <v>3.6240990000000002</v>
      </c>
      <c r="H23">
        <v>3.6188060000000002</v>
      </c>
      <c r="I23">
        <v>3.6017679999999999</v>
      </c>
      <c r="J23">
        <v>3.5713360000000001</v>
      </c>
      <c r="K23">
        <v>3.5591499999999998</v>
      </c>
      <c r="L23">
        <v>3.5335369999999999</v>
      </c>
      <c r="M23">
        <v>3.4978509999999998</v>
      </c>
      <c r="N23">
        <v>3.4641419999999998</v>
      </c>
      <c r="O23">
        <v>3.459587</v>
      </c>
      <c r="P23">
        <v>3.441433</v>
      </c>
      <c r="Q23">
        <v>3.4154490000000002</v>
      </c>
      <c r="R23">
        <v>3.4216380000000002</v>
      </c>
      <c r="S23">
        <v>3.4235449999999998</v>
      </c>
      <c r="T23">
        <v>3.4324210000000002</v>
      </c>
      <c r="U23">
        <v>3.4286089999999998</v>
      </c>
      <c r="V23">
        <v>3.4309129999999999</v>
      </c>
      <c r="W23">
        <v>3.425192</v>
      </c>
      <c r="X23">
        <v>3.4188909999999999</v>
      </c>
      <c r="Y23">
        <v>3.422088</v>
      </c>
      <c r="Z23">
        <v>3.4260630000000001</v>
      </c>
      <c r="AA23">
        <v>3.4342359999999998</v>
      </c>
      <c r="AB23">
        <v>3.444175</v>
      </c>
      <c r="AC23">
        <v>3.4487489999999998</v>
      </c>
      <c r="AD23">
        <v>3.4481359999999999</v>
      </c>
      <c r="AE23">
        <v>3.4493469999999999</v>
      </c>
      <c r="AF23">
        <v>3.4545159999999999</v>
      </c>
      <c r="AG23" s="22">
        <v>-1E-3</v>
      </c>
    </row>
    <row r="24" spans="1:33" x14ac:dyDescent="0.25">
      <c r="A24" t="s">
        <v>260</v>
      </c>
      <c r="B24" t="s">
        <v>261</v>
      </c>
      <c r="C24" t="s">
        <v>262</v>
      </c>
      <c r="D24" t="s">
        <v>224</v>
      </c>
      <c r="F24">
        <v>9.5338750000000001</v>
      </c>
      <c r="G24">
        <v>10.619709</v>
      </c>
      <c r="H24">
        <v>10.514131000000001</v>
      </c>
      <c r="I24">
        <v>10.426125000000001</v>
      </c>
      <c r="J24">
        <v>10.557919999999999</v>
      </c>
      <c r="K24">
        <v>10.787679000000001</v>
      </c>
      <c r="L24">
        <v>11.065716</v>
      </c>
      <c r="M24">
        <v>11.319675999999999</v>
      </c>
      <c r="N24">
        <v>11.639939999999999</v>
      </c>
      <c r="O24">
        <v>12.155972</v>
      </c>
      <c r="P24">
        <v>12.524699</v>
      </c>
      <c r="Q24">
        <v>12.666781</v>
      </c>
      <c r="R24">
        <v>12.616203000000001</v>
      </c>
      <c r="S24">
        <v>12.533028</v>
      </c>
      <c r="T24">
        <v>12.742198999999999</v>
      </c>
      <c r="U24">
        <v>12.812290000000001</v>
      </c>
      <c r="V24">
        <v>12.800770999999999</v>
      </c>
      <c r="W24">
        <v>12.675635</v>
      </c>
      <c r="X24">
        <v>12.587033</v>
      </c>
      <c r="Y24">
        <v>12.651852999999999</v>
      </c>
      <c r="Z24">
        <v>12.824852</v>
      </c>
      <c r="AA24">
        <v>12.7927</v>
      </c>
      <c r="AB24">
        <v>12.813029</v>
      </c>
      <c r="AC24">
        <v>12.789707999999999</v>
      </c>
      <c r="AD24">
        <v>12.823941</v>
      </c>
      <c r="AE24">
        <v>12.685263000000001</v>
      </c>
      <c r="AF24">
        <v>12.783066</v>
      </c>
      <c r="AG24" s="22">
        <v>1.0999999999999999E-2</v>
      </c>
    </row>
    <row r="25" spans="1:33" x14ac:dyDescent="0.25">
      <c r="A25" t="s">
        <v>230</v>
      </c>
      <c r="B25" t="s">
        <v>263</v>
      </c>
      <c r="C25" t="s">
        <v>264</v>
      </c>
      <c r="D25" t="s">
        <v>224</v>
      </c>
      <c r="F25">
        <v>26.507746000000001</v>
      </c>
      <c r="G25">
        <v>25.922053999999999</v>
      </c>
      <c r="H25">
        <v>23.537738999999998</v>
      </c>
      <c r="I25">
        <v>22.156486999999998</v>
      </c>
      <c r="J25">
        <v>22.004315999999999</v>
      </c>
      <c r="K25">
        <v>22.322678</v>
      </c>
      <c r="L25">
        <v>22.749051999999999</v>
      </c>
      <c r="M25">
        <v>23.346399000000002</v>
      </c>
      <c r="N25">
        <v>23.998974</v>
      </c>
      <c r="O25">
        <v>24.751463000000001</v>
      </c>
      <c r="P25">
        <v>24.95269</v>
      </c>
      <c r="Q25">
        <v>24.768763</v>
      </c>
      <c r="R25">
        <v>24.452559999999998</v>
      </c>
      <c r="S25">
        <v>24.243956000000001</v>
      </c>
      <c r="T25">
        <v>24.341449999999998</v>
      </c>
      <c r="U25">
        <v>24.228069000000001</v>
      </c>
      <c r="V25">
        <v>24.145441000000002</v>
      </c>
      <c r="W25">
        <v>24.157952999999999</v>
      </c>
      <c r="X25">
        <v>24.287434000000001</v>
      </c>
      <c r="Y25">
        <v>24.39603</v>
      </c>
      <c r="Z25">
        <v>24.534168000000001</v>
      </c>
      <c r="AA25">
        <v>24.641456999999999</v>
      </c>
      <c r="AB25">
        <v>24.755725999999999</v>
      </c>
      <c r="AC25">
        <v>24.854348999999999</v>
      </c>
      <c r="AD25">
        <v>25.022724</v>
      </c>
      <c r="AE25">
        <v>25.199515999999999</v>
      </c>
      <c r="AF25">
        <v>25.411121000000001</v>
      </c>
      <c r="AG25" s="22">
        <v>-2E-3</v>
      </c>
    </row>
    <row r="26" spans="1:33" x14ac:dyDescent="0.25">
      <c r="A26" t="s">
        <v>265</v>
      </c>
    </row>
    <row r="27" spans="1:33" x14ac:dyDescent="0.25">
      <c r="A27" t="s">
        <v>221</v>
      </c>
      <c r="B27" t="s">
        <v>266</v>
      </c>
      <c r="C27" t="s">
        <v>267</v>
      </c>
      <c r="D27" t="s">
        <v>224</v>
      </c>
      <c r="F27">
        <v>17.589244999999998</v>
      </c>
      <c r="G27">
        <v>17.749908000000001</v>
      </c>
      <c r="H27">
        <v>18.586613</v>
      </c>
      <c r="I27">
        <v>18.389212000000001</v>
      </c>
      <c r="J27">
        <v>18.496126</v>
      </c>
      <c r="K27">
        <v>18.760076999999999</v>
      </c>
      <c r="L27">
        <v>19.263100000000001</v>
      </c>
      <c r="M27">
        <v>19.634487</v>
      </c>
      <c r="N27">
        <v>20.300225999999999</v>
      </c>
      <c r="O27">
        <v>21.098251000000001</v>
      </c>
      <c r="P27">
        <v>21.613921999999999</v>
      </c>
      <c r="Q27">
        <v>21.826737999999999</v>
      </c>
      <c r="R27">
        <v>21.975828</v>
      </c>
      <c r="S27">
        <v>22.052735999999999</v>
      </c>
      <c r="T27">
        <v>22.024448</v>
      </c>
      <c r="U27">
        <v>22.014761</v>
      </c>
      <c r="V27">
        <v>22.094729999999998</v>
      </c>
      <c r="W27">
        <v>22.299959000000001</v>
      </c>
      <c r="X27">
        <v>22.448139000000001</v>
      </c>
      <c r="Y27">
        <v>22.723597000000002</v>
      </c>
      <c r="Z27">
        <v>23.076363000000001</v>
      </c>
      <c r="AA27">
        <v>23.174244000000002</v>
      </c>
      <c r="AB27">
        <v>23.269659000000001</v>
      </c>
      <c r="AC27">
        <v>23.270405</v>
      </c>
      <c r="AD27">
        <v>23.326803000000002</v>
      </c>
      <c r="AE27">
        <v>23.542394999999999</v>
      </c>
      <c r="AF27">
        <v>23.995331</v>
      </c>
      <c r="AG27" s="22">
        <v>1.2E-2</v>
      </c>
    </row>
    <row r="28" spans="1:33" x14ac:dyDescent="0.25">
      <c r="A28" t="s">
        <v>268</v>
      </c>
      <c r="B28" t="s">
        <v>269</v>
      </c>
      <c r="C28" t="s">
        <v>270</v>
      </c>
      <c r="D28" t="s">
        <v>224</v>
      </c>
      <c r="F28">
        <v>28.823729</v>
      </c>
      <c r="G28">
        <v>28.93619</v>
      </c>
      <c r="H28">
        <v>30.221819</v>
      </c>
      <c r="I28">
        <v>29.874351999999998</v>
      </c>
      <c r="J28">
        <v>29.356659000000001</v>
      </c>
      <c r="K28">
        <v>28.412942999999999</v>
      </c>
      <c r="L28">
        <v>28.414833000000002</v>
      </c>
      <c r="M28">
        <v>28.528874999999999</v>
      </c>
      <c r="N28">
        <v>28.297775000000001</v>
      </c>
      <c r="O28">
        <v>28.022879</v>
      </c>
      <c r="P28">
        <v>27.970562000000001</v>
      </c>
      <c r="Q28">
        <v>27.737435999999999</v>
      </c>
      <c r="R28">
        <v>27.879840999999999</v>
      </c>
      <c r="S28">
        <v>27.706806</v>
      </c>
      <c r="T28">
        <v>27.335273999999998</v>
      </c>
      <c r="U28">
        <v>27.221582000000001</v>
      </c>
      <c r="V28">
        <v>26.936087000000001</v>
      </c>
      <c r="W28">
        <v>26.624407000000001</v>
      </c>
      <c r="X28">
        <v>26.243463999999999</v>
      </c>
      <c r="Y28">
        <v>26.249161000000001</v>
      </c>
      <c r="Z28">
        <v>24.929925999999998</v>
      </c>
      <c r="AA28">
        <v>24.592495</v>
      </c>
      <c r="AB28">
        <v>24.796230000000001</v>
      </c>
      <c r="AC28">
        <v>24.925063999999999</v>
      </c>
      <c r="AD28">
        <v>24.988291</v>
      </c>
      <c r="AE28">
        <v>25.141323</v>
      </c>
      <c r="AF28">
        <v>25.433138</v>
      </c>
      <c r="AG28" s="22">
        <v>-5.0000000000000001E-3</v>
      </c>
    </row>
    <row r="29" spans="1:33" x14ac:dyDescent="0.25">
      <c r="A29" t="s">
        <v>271</v>
      </c>
      <c r="B29" t="s">
        <v>272</v>
      </c>
      <c r="C29" t="s">
        <v>273</v>
      </c>
      <c r="D29" t="s">
        <v>224</v>
      </c>
      <c r="F29">
        <v>28.679842000000001</v>
      </c>
      <c r="G29">
        <v>27.094545</v>
      </c>
      <c r="H29">
        <v>25.485423999999998</v>
      </c>
      <c r="I29">
        <v>24.986968999999998</v>
      </c>
      <c r="J29">
        <v>24.719850999999998</v>
      </c>
      <c r="K29">
        <v>24.436866999999999</v>
      </c>
      <c r="L29">
        <v>24.474363</v>
      </c>
      <c r="M29">
        <v>24.481470000000002</v>
      </c>
      <c r="N29">
        <v>24.300166999999998</v>
      </c>
      <c r="O29">
        <v>24.154731999999999</v>
      </c>
      <c r="P29">
        <v>24.097950000000001</v>
      </c>
      <c r="Q29">
        <v>23.894082999999998</v>
      </c>
      <c r="R29">
        <v>24.019566000000001</v>
      </c>
      <c r="S29">
        <v>23.870735</v>
      </c>
      <c r="T29">
        <v>23.556276</v>
      </c>
      <c r="U29">
        <v>23.430713999999998</v>
      </c>
      <c r="V29">
        <v>23.173237</v>
      </c>
      <c r="W29">
        <v>22.909203999999999</v>
      </c>
      <c r="X29">
        <v>22.576329999999999</v>
      </c>
      <c r="Y29">
        <v>22.596951000000001</v>
      </c>
      <c r="Z29">
        <v>21.468903000000001</v>
      </c>
      <c r="AA29">
        <v>21.182210999999999</v>
      </c>
      <c r="AB29">
        <v>21.356646999999999</v>
      </c>
      <c r="AC29">
        <v>21.464962</v>
      </c>
      <c r="AD29">
        <v>21.509295000000002</v>
      </c>
      <c r="AE29">
        <v>21.631233000000002</v>
      </c>
      <c r="AF29">
        <v>21.869665000000001</v>
      </c>
      <c r="AG29" s="22">
        <v>-0.01</v>
      </c>
    </row>
    <row r="30" spans="1:33" x14ac:dyDescent="0.25">
      <c r="A30" t="s">
        <v>274</v>
      </c>
      <c r="B30" t="s">
        <v>275</v>
      </c>
      <c r="C30" t="s">
        <v>276</v>
      </c>
      <c r="D30" t="s">
        <v>224</v>
      </c>
      <c r="F30">
        <v>17.638923999999999</v>
      </c>
      <c r="G30">
        <v>16.395</v>
      </c>
      <c r="H30">
        <v>16.197346</v>
      </c>
      <c r="I30">
        <v>16.576864</v>
      </c>
      <c r="J30">
        <v>17.167725000000001</v>
      </c>
      <c r="K30">
        <v>17.774681000000001</v>
      </c>
      <c r="L30">
        <v>18.432444</v>
      </c>
      <c r="M30">
        <v>18.550699000000002</v>
      </c>
      <c r="N30">
        <v>18.432102</v>
      </c>
      <c r="O30">
        <v>18.750156</v>
      </c>
      <c r="P30">
        <v>18.878136000000001</v>
      </c>
      <c r="Q30">
        <v>19.088031999999998</v>
      </c>
      <c r="R30">
        <v>19.162302</v>
      </c>
      <c r="S30">
        <v>19.413188999999999</v>
      </c>
      <c r="T30">
        <v>19.636925000000002</v>
      </c>
      <c r="U30">
        <v>19.743241999999999</v>
      </c>
      <c r="V30">
        <v>19.910463</v>
      </c>
      <c r="W30">
        <v>20.238554000000001</v>
      </c>
      <c r="X30">
        <v>20.505775</v>
      </c>
      <c r="Y30">
        <v>20.876812000000001</v>
      </c>
      <c r="Z30">
        <v>21.614871999999998</v>
      </c>
      <c r="AA30">
        <v>21.580615999999999</v>
      </c>
      <c r="AB30">
        <v>21.698483</v>
      </c>
      <c r="AC30">
        <v>21.705061000000001</v>
      </c>
      <c r="AD30">
        <v>21.706541000000001</v>
      </c>
      <c r="AE30">
        <v>21.788584</v>
      </c>
      <c r="AF30">
        <v>22.195864</v>
      </c>
      <c r="AG30" s="22">
        <v>8.9999999999999993E-3</v>
      </c>
    </row>
    <row r="31" spans="1:33" x14ac:dyDescent="0.25">
      <c r="A31" t="s">
        <v>277</v>
      </c>
      <c r="B31" t="s">
        <v>278</v>
      </c>
      <c r="C31" t="s">
        <v>279</v>
      </c>
      <c r="D31" t="s">
        <v>224</v>
      </c>
      <c r="F31">
        <v>27.283649</v>
      </c>
      <c r="G31">
        <v>25.591213</v>
      </c>
      <c r="H31">
        <v>25.016569</v>
      </c>
      <c r="I31">
        <v>25.029736</v>
      </c>
      <c r="J31">
        <v>25.250086</v>
      </c>
      <c r="K31">
        <v>25.481936999999999</v>
      </c>
      <c r="L31">
        <v>25.837043999999999</v>
      </c>
      <c r="M31">
        <v>25.879503</v>
      </c>
      <c r="N31">
        <v>25.733622</v>
      </c>
      <c r="O31">
        <v>26.102191999999999</v>
      </c>
      <c r="P31">
        <v>26.219612000000001</v>
      </c>
      <c r="Q31">
        <v>26.457941000000002</v>
      </c>
      <c r="R31">
        <v>26.618041999999999</v>
      </c>
      <c r="S31">
        <v>26.882929000000001</v>
      </c>
      <c r="T31">
        <v>26.978114999999999</v>
      </c>
      <c r="U31">
        <v>27.113095999999999</v>
      </c>
      <c r="V31">
        <v>27.266804</v>
      </c>
      <c r="W31">
        <v>27.578503000000001</v>
      </c>
      <c r="X31">
        <v>27.813025</v>
      </c>
      <c r="Y31">
        <v>28.145802</v>
      </c>
      <c r="Z31">
        <v>28.854143000000001</v>
      </c>
      <c r="AA31">
        <v>28.858868000000001</v>
      </c>
      <c r="AB31">
        <v>28.825182000000002</v>
      </c>
      <c r="AC31">
        <v>28.706500999999999</v>
      </c>
      <c r="AD31">
        <v>28.759976999999999</v>
      </c>
      <c r="AE31">
        <v>28.705210000000001</v>
      </c>
      <c r="AF31">
        <v>29.126086999999998</v>
      </c>
      <c r="AG31" s="22">
        <v>3.0000000000000001E-3</v>
      </c>
    </row>
    <row r="32" spans="1:33" x14ac:dyDescent="0.25">
      <c r="A32" t="s">
        <v>238</v>
      </c>
      <c r="B32" t="s">
        <v>280</v>
      </c>
      <c r="C32" t="s">
        <v>281</v>
      </c>
      <c r="D32" t="s">
        <v>224</v>
      </c>
      <c r="F32">
        <v>13.401297</v>
      </c>
      <c r="G32">
        <v>11.843807</v>
      </c>
      <c r="H32">
        <v>12.665238</v>
      </c>
      <c r="I32">
        <v>12.576532</v>
      </c>
      <c r="J32">
        <v>12.510175</v>
      </c>
      <c r="K32">
        <v>12.503057</v>
      </c>
      <c r="L32">
        <v>12.525302</v>
      </c>
      <c r="M32">
        <v>12.597066999999999</v>
      </c>
      <c r="N32">
        <v>12.550599</v>
      </c>
      <c r="O32">
        <v>12.745926000000001</v>
      </c>
      <c r="P32">
        <v>12.831242</v>
      </c>
      <c r="Q32">
        <v>12.954171000000001</v>
      </c>
      <c r="R32">
        <v>13.008114000000001</v>
      </c>
      <c r="S32">
        <v>13.096881</v>
      </c>
      <c r="T32">
        <v>13.191089</v>
      </c>
      <c r="U32">
        <v>13.218472</v>
      </c>
      <c r="V32">
        <v>13.301097</v>
      </c>
      <c r="W32">
        <v>13.406687</v>
      </c>
      <c r="X32">
        <v>13.509968000000001</v>
      </c>
      <c r="Y32">
        <v>13.614932</v>
      </c>
      <c r="Z32">
        <v>13.650314</v>
      </c>
      <c r="AA32">
        <v>13.473039</v>
      </c>
      <c r="AB32">
        <v>13.708124</v>
      </c>
      <c r="AC32">
        <v>13.688977</v>
      </c>
      <c r="AD32">
        <v>13.7072</v>
      </c>
      <c r="AE32">
        <v>13.794828000000001</v>
      </c>
      <c r="AF32">
        <v>14.231298000000001</v>
      </c>
      <c r="AG32" s="22">
        <v>2E-3</v>
      </c>
    </row>
    <row r="33" spans="1:33" x14ac:dyDescent="0.25">
      <c r="A33" t="s">
        <v>141</v>
      </c>
      <c r="B33" t="s">
        <v>282</v>
      </c>
      <c r="C33" t="s">
        <v>283</v>
      </c>
      <c r="D33" t="s">
        <v>224</v>
      </c>
      <c r="F33">
        <v>14.514303</v>
      </c>
      <c r="G33">
        <v>15.045484</v>
      </c>
      <c r="H33">
        <v>14.977668</v>
      </c>
      <c r="I33">
        <v>14.858115</v>
      </c>
      <c r="J33">
        <v>14.908598</v>
      </c>
      <c r="K33">
        <v>15.040533</v>
      </c>
      <c r="L33">
        <v>15.186420999999999</v>
      </c>
      <c r="M33">
        <v>15.299401</v>
      </c>
      <c r="N33">
        <v>15.666859000000001</v>
      </c>
      <c r="O33">
        <v>15.903211000000001</v>
      </c>
      <c r="P33">
        <v>16.017697999999999</v>
      </c>
      <c r="Q33">
        <v>16.016141999999999</v>
      </c>
      <c r="R33">
        <v>15.907859</v>
      </c>
      <c r="S33">
        <v>15.77169</v>
      </c>
      <c r="T33">
        <v>15.650945</v>
      </c>
      <c r="U33">
        <v>15.475759999999999</v>
      </c>
      <c r="V33">
        <v>15.403385</v>
      </c>
      <c r="W33">
        <v>15.417638999999999</v>
      </c>
      <c r="X33">
        <v>15.41606</v>
      </c>
      <c r="Y33">
        <v>15.414666</v>
      </c>
      <c r="Z33">
        <v>15.384684999999999</v>
      </c>
      <c r="AA33">
        <v>15.361653</v>
      </c>
      <c r="AB33">
        <v>15.353804</v>
      </c>
      <c r="AC33">
        <v>15.281762000000001</v>
      </c>
      <c r="AD33">
        <v>15.215750999999999</v>
      </c>
      <c r="AE33">
        <v>15.207031000000001</v>
      </c>
      <c r="AF33">
        <v>15.19101</v>
      </c>
      <c r="AG33" s="22">
        <v>2E-3</v>
      </c>
    </row>
    <row r="34" spans="1:33" x14ac:dyDescent="0.25">
      <c r="A34" t="s">
        <v>260</v>
      </c>
      <c r="B34" t="s">
        <v>284</v>
      </c>
      <c r="C34" t="s">
        <v>285</v>
      </c>
      <c r="D34" t="s">
        <v>224</v>
      </c>
      <c r="F34">
        <v>60.468231000000003</v>
      </c>
      <c r="G34">
        <v>60.745255</v>
      </c>
      <c r="H34">
        <v>60.549759000000002</v>
      </c>
      <c r="I34">
        <v>60.444369999999999</v>
      </c>
      <c r="J34">
        <v>60.531708000000002</v>
      </c>
      <c r="K34">
        <v>60.737735999999998</v>
      </c>
      <c r="L34">
        <v>60.991833</v>
      </c>
      <c r="M34">
        <v>61.818278999999997</v>
      </c>
      <c r="N34">
        <v>62.045990000000003</v>
      </c>
      <c r="O34">
        <v>62.676136</v>
      </c>
      <c r="P34">
        <v>63.049197999999997</v>
      </c>
      <c r="Q34">
        <v>63.198535999999997</v>
      </c>
      <c r="R34">
        <v>63.044494999999998</v>
      </c>
      <c r="S34">
        <v>62.949413</v>
      </c>
      <c r="T34">
        <v>63.204425999999998</v>
      </c>
      <c r="U34">
        <v>63.335479999999997</v>
      </c>
      <c r="V34">
        <v>63.306995000000001</v>
      </c>
      <c r="W34">
        <v>63.132828000000003</v>
      </c>
      <c r="X34">
        <v>62.969875000000002</v>
      </c>
      <c r="Y34">
        <v>63.022812000000002</v>
      </c>
      <c r="Z34">
        <v>63.251350000000002</v>
      </c>
      <c r="AA34">
        <v>63.215389000000002</v>
      </c>
      <c r="AB34">
        <v>63.382430999999997</v>
      </c>
      <c r="AC34">
        <v>63.355697999999997</v>
      </c>
      <c r="AD34">
        <v>63.409069000000002</v>
      </c>
      <c r="AE34">
        <v>63.016551999999997</v>
      </c>
      <c r="AF34">
        <v>63.101322000000003</v>
      </c>
      <c r="AG34" s="22">
        <v>2E-3</v>
      </c>
    </row>
    <row r="35" spans="1:33" x14ac:dyDescent="0.25">
      <c r="A35" t="s">
        <v>230</v>
      </c>
      <c r="B35" t="s">
        <v>286</v>
      </c>
      <c r="C35" t="s">
        <v>287</v>
      </c>
      <c r="D35" t="s">
        <v>224</v>
      </c>
      <c r="F35">
        <v>42.609589</v>
      </c>
      <c r="G35">
        <v>42.266669999999998</v>
      </c>
      <c r="H35">
        <v>39.670399000000003</v>
      </c>
      <c r="I35">
        <v>36.717177999999997</v>
      </c>
      <c r="J35">
        <v>36.535248000000003</v>
      </c>
      <c r="K35">
        <v>36.814959999999999</v>
      </c>
      <c r="L35">
        <v>37.285933999999997</v>
      </c>
      <c r="M35">
        <v>38.057724</v>
      </c>
      <c r="N35">
        <v>38.703879999999998</v>
      </c>
      <c r="O35">
        <v>39.740459000000001</v>
      </c>
      <c r="P35">
        <v>40.098030000000001</v>
      </c>
      <c r="Q35">
        <v>40.153744000000003</v>
      </c>
      <c r="R35">
        <v>40.057586999999998</v>
      </c>
      <c r="S35">
        <v>39.782898000000003</v>
      </c>
      <c r="T35">
        <v>40.155929999999998</v>
      </c>
      <c r="U35">
        <v>39.589663999999999</v>
      </c>
      <c r="V35">
        <v>39.300086999999998</v>
      </c>
      <c r="W35">
        <v>39.269657000000002</v>
      </c>
      <c r="X35">
        <v>39.614471000000002</v>
      </c>
      <c r="Y35">
        <v>39.822304000000003</v>
      </c>
      <c r="Z35">
        <v>40.184520999999997</v>
      </c>
      <c r="AA35">
        <v>40.372889999999998</v>
      </c>
      <c r="AB35">
        <v>40.537703999999998</v>
      </c>
      <c r="AC35">
        <v>40.491599999999998</v>
      </c>
      <c r="AD35">
        <v>41.027617999999997</v>
      </c>
      <c r="AE35">
        <v>41.285617999999999</v>
      </c>
      <c r="AF35">
        <v>41.592472000000001</v>
      </c>
      <c r="AG35" s="22">
        <v>-1E-3</v>
      </c>
    </row>
    <row r="36" spans="1:33" x14ac:dyDescent="0.25">
      <c r="A36" t="s">
        <v>288</v>
      </c>
    </row>
    <row r="37" spans="1:33" x14ac:dyDescent="0.25">
      <c r="A37" t="s">
        <v>225</v>
      </c>
      <c r="B37" t="s">
        <v>289</v>
      </c>
      <c r="C37" t="s">
        <v>290</v>
      </c>
      <c r="D37" t="s">
        <v>224</v>
      </c>
      <c r="F37">
        <v>26.137505000000001</v>
      </c>
      <c r="G37">
        <v>24.653458000000001</v>
      </c>
      <c r="H37">
        <v>23.463963</v>
      </c>
      <c r="I37">
        <v>22.977613000000002</v>
      </c>
      <c r="J37">
        <v>22.593882000000001</v>
      </c>
      <c r="K37">
        <v>22.342915000000001</v>
      </c>
      <c r="L37">
        <v>22.213256999999999</v>
      </c>
      <c r="M37">
        <v>22.156206000000001</v>
      </c>
      <c r="N37">
        <v>22.726322</v>
      </c>
      <c r="O37">
        <v>23.003592000000001</v>
      </c>
      <c r="P37">
        <v>23.077461</v>
      </c>
      <c r="Q37">
        <v>23.249807000000001</v>
      </c>
      <c r="R37">
        <v>23.280719999999999</v>
      </c>
      <c r="S37">
        <v>23.521409999999999</v>
      </c>
      <c r="T37">
        <v>23.668085000000001</v>
      </c>
      <c r="U37">
        <v>23.751266000000001</v>
      </c>
      <c r="V37">
        <v>23.886725999999999</v>
      </c>
      <c r="W37">
        <v>24.176956000000001</v>
      </c>
      <c r="X37">
        <v>24.404095000000002</v>
      </c>
      <c r="Y37">
        <v>24.709990999999999</v>
      </c>
      <c r="Z37">
        <v>25.257483000000001</v>
      </c>
      <c r="AA37">
        <v>25.158950999999998</v>
      </c>
      <c r="AB37">
        <v>25.341908</v>
      </c>
      <c r="AC37">
        <v>25.316825999999999</v>
      </c>
      <c r="AD37">
        <v>25.294249000000001</v>
      </c>
      <c r="AE37">
        <v>25.372868</v>
      </c>
      <c r="AF37">
        <v>25.729799</v>
      </c>
      <c r="AG37" s="22">
        <v>-1E-3</v>
      </c>
    </row>
    <row r="38" spans="1:33" x14ac:dyDescent="0.25">
      <c r="A38" t="s">
        <v>238</v>
      </c>
      <c r="B38" t="s">
        <v>291</v>
      </c>
      <c r="C38" t="s">
        <v>292</v>
      </c>
      <c r="D38" t="s">
        <v>224</v>
      </c>
      <c r="F38">
        <v>17.394409</v>
      </c>
      <c r="G38">
        <v>13.672506</v>
      </c>
      <c r="H38">
        <v>13.615168000000001</v>
      </c>
      <c r="I38">
        <v>14.296899</v>
      </c>
      <c r="J38">
        <v>15.031580999999999</v>
      </c>
      <c r="K38">
        <v>15.753064999999999</v>
      </c>
      <c r="L38">
        <v>16.474405000000001</v>
      </c>
      <c r="M38">
        <v>16.627272000000001</v>
      </c>
      <c r="N38">
        <v>16.536289</v>
      </c>
      <c r="O38">
        <v>16.771885000000001</v>
      </c>
      <c r="P38">
        <v>16.909727</v>
      </c>
      <c r="Q38">
        <v>17.088612000000001</v>
      </c>
      <c r="R38">
        <v>17.157686000000002</v>
      </c>
      <c r="S38">
        <v>17.269447</v>
      </c>
      <c r="T38">
        <v>17.398417999999999</v>
      </c>
      <c r="U38">
        <v>17.408293</v>
      </c>
      <c r="V38">
        <v>17.490879</v>
      </c>
      <c r="W38">
        <v>17.551632000000001</v>
      </c>
      <c r="X38">
        <v>17.536397999999998</v>
      </c>
      <c r="Y38">
        <v>17.589537</v>
      </c>
      <c r="Z38">
        <v>17.510019</v>
      </c>
      <c r="AA38">
        <v>16.884665999999999</v>
      </c>
      <c r="AB38">
        <v>17.201757000000001</v>
      </c>
      <c r="AC38">
        <v>17.213936</v>
      </c>
      <c r="AD38">
        <v>17.253026999999999</v>
      </c>
      <c r="AE38">
        <v>17.380193999999999</v>
      </c>
      <c r="AF38">
        <v>17.916069</v>
      </c>
      <c r="AG38" s="22">
        <v>1E-3</v>
      </c>
    </row>
    <row r="39" spans="1:33" x14ac:dyDescent="0.25">
      <c r="A39" t="s">
        <v>141</v>
      </c>
      <c r="B39" t="s">
        <v>293</v>
      </c>
      <c r="C39" t="s">
        <v>294</v>
      </c>
      <c r="D39" t="s">
        <v>224</v>
      </c>
      <c r="F39">
        <v>2.7193990000000001</v>
      </c>
      <c r="G39">
        <v>3.1315059999999999</v>
      </c>
      <c r="H39">
        <v>3.0684640000000001</v>
      </c>
      <c r="I39">
        <v>2.9966029999999999</v>
      </c>
      <c r="J39">
        <v>3.1260400000000002</v>
      </c>
      <c r="K39">
        <v>3.327426</v>
      </c>
      <c r="L39">
        <v>3.6037560000000002</v>
      </c>
      <c r="M39">
        <v>3.695694</v>
      </c>
      <c r="N39">
        <v>4.1973380000000002</v>
      </c>
      <c r="O39">
        <v>4.5079750000000001</v>
      </c>
      <c r="P39">
        <v>4.7178760000000004</v>
      </c>
      <c r="Q39">
        <v>4.7893610000000004</v>
      </c>
      <c r="R39">
        <v>4.7844800000000003</v>
      </c>
      <c r="S39">
        <v>4.7496289999999997</v>
      </c>
      <c r="T39">
        <v>4.7156019999999996</v>
      </c>
      <c r="U39">
        <v>4.6599690000000002</v>
      </c>
      <c r="V39">
        <v>4.690855</v>
      </c>
      <c r="W39">
        <v>4.7695309999999997</v>
      </c>
      <c r="X39">
        <v>4.8422320000000001</v>
      </c>
      <c r="Y39">
        <v>4.9293820000000004</v>
      </c>
      <c r="Z39">
        <v>5.0147890000000004</v>
      </c>
      <c r="AA39">
        <v>5.0595720000000002</v>
      </c>
      <c r="AB39">
        <v>5.1165130000000003</v>
      </c>
      <c r="AC39">
        <v>5.124822</v>
      </c>
      <c r="AD39">
        <v>5.147723</v>
      </c>
      <c r="AE39">
        <v>5.2176600000000004</v>
      </c>
      <c r="AF39">
        <v>5.2976159999999997</v>
      </c>
      <c r="AG39" s="22">
        <v>2.5999999999999999E-2</v>
      </c>
    </row>
    <row r="40" spans="1:33" x14ac:dyDescent="0.25">
      <c r="A40" t="s">
        <v>295</v>
      </c>
      <c r="B40" t="s">
        <v>296</v>
      </c>
      <c r="C40" t="s">
        <v>297</v>
      </c>
      <c r="D40" t="s">
        <v>224</v>
      </c>
      <c r="F40">
        <v>2.4893969999999999</v>
      </c>
      <c r="G40">
        <v>2.4274149999999999</v>
      </c>
      <c r="H40">
        <v>2.375483</v>
      </c>
      <c r="I40">
        <v>2.326139</v>
      </c>
      <c r="J40">
        <v>2.2264949999999999</v>
      </c>
      <c r="K40">
        <v>2.2267220000000001</v>
      </c>
      <c r="L40">
        <v>2.2478660000000001</v>
      </c>
      <c r="M40">
        <v>2.217924</v>
      </c>
      <c r="N40">
        <v>2.1491030000000002</v>
      </c>
      <c r="O40">
        <v>2.1529609999999999</v>
      </c>
      <c r="P40">
        <v>2.1390929999999999</v>
      </c>
      <c r="Q40">
        <v>2.125588</v>
      </c>
      <c r="R40">
        <v>2.125613</v>
      </c>
      <c r="S40">
        <v>2.15652</v>
      </c>
      <c r="T40">
        <v>2.152304</v>
      </c>
      <c r="U40">
        <v>2.213794</v>
      </c>
      <c r="V40">
        <v>2.2108289999999999</v>
      </c>
      <c r="W40">
        <v>2.2080869999999999</v>
      </c>
      <c r="X40">
        <v>2.206623</v>
      </c>
      <c r="Y40">
        <v>2.2074280000000002</v>
      </c>
      <c r="Z40">
        <v>2.207163</v>
      </c>
      <c r="AA40">
        <v>2.1960950000000001</v>
      </c>
      <c r="AB40">
        <v>1.8879729999999999</v>
      </c>
      <c r="AC40">
        <v>2.1783440000000001</v>
      </c>
      <c r="AD40">
        <v>2.178153</v>
      </c>
      <c r="AE40">
        <v>2.1954959999999999</v>
      </c>
      <c r="AF40">
        <v>2.1921119999999998</v>
      </c>
      <c r="AG40" s="22">
        <v>-5.0000000000000001E-3</v>
      </c>
    </row>
    <row r="41" spans="1:33" x14ac:dyDescent="0.25">
      <c r="A41" t="s">
        <v>139</v>
      </c>
      <c r="B41" t="s">
        <v>298</v>
      </c>
      <c r="C41" t="s">
        <v>299</v>
      </c>
      <c r="D41" t="s">
        <v>224</v>
      </c>
      <c r="F41">
        <v>0.753328</v>
      </c>
      <c r="G41">
        <v>0.75326199999999999</v>
      </c>
      <c r="H41">
        <v>0.75318600000000002</v>
      </c>
      <c r="I41">
        <v>0.75312100000000004</v>
      </c>
      <c r="J41">
        <v>0.75305599999999995</v>
      </c>
      <c r="K41">
        <v>0.75297999999999998</v>
      </c>
      <c r="L41">
        <v>0.752915</v>
      </c>
      <c r="M41">
        <v>0.75283800000000001</v>
      </c>
      <c r="N41">
        <v>0.75277300000000003</v>
      </c>
      <c r="O41">
        <v>0.75270800000000004</v>
      </c>
      <c r="P41">
        <v>0.75263199999999997</v>
      </c>
      <c r="Q41">
        <v>0.75256699999999999</v>
      </c>
      <c r="R41">
        <v>0.75249100000000002</v>
      </c>
      <c r="S41">
        <v>0.75242500000000001</v>
      </c>
      <c r="T41">
        <v>0.75236000000000003</v>
      </c>
      <c r="U41">
        <v>0.75228399999999995</v>
      </c>
      <c r="V41">
        <v>0.75221899999999997</v>
      </c>
      <c r="W41">
        <v>0.75215399999999999</v>
      </c>
      <c r="X41">
        <v>0.75207800000000002</v>
      </c>
      <c r="Y41">
        <v>0.75201200000000001</v>
      </c>
      <c r="Z41">
        <v>0.75193600000000005</v>
      </c>
      <c r="AA41">
        <v>0.75187099999999996</v>
      </c>
      <c r="AB41">
        <v>0.75180599999999997</v>
      </c>
      <c r="AC41">
        <v>0.75173000000000001</v>
      </c>
      <c r="AD41">
        <v>0.75166500000000003</v>
      </c>
      <c r="AE41">
        <v>0.75159900000000002</v>
      </c>
      <c r="AF41">
        <v>0.75152300000000005</v>
      </c>
      <c r="AG41" s="22">
        <v>0</v>
      </c>
    </row>
    <row r="42" spans="1:33" x14ac:dyDescent="0.25">
      <c r="A42" t="s">
        <v>260</v>
      </c>
      <c r="B42" t="s">
        <v>300</v>
      </c>
      <c r="C42" t="s">
        <v>301</v>
      </c>
      <c r="D42" t="s">
        <v>224</v>
      </c>
      <c r="F42">
        <v>9.5338750000000001</v>
      </c>
      <c r="G42">
        <v>10.619709</v>
      </c>
      <c r="H42">
        <v>10.514131000000001</v>
      </c>
      <c r="I42">
        <v>10.426125000000001</v>
      </c>
      <c r="J42">
        <v>10.557919999999999</v>
      </c>
      <c r="K42">
        <v>10.787679000000001</v>
      </c>
      <c r="L42">
        <v>11.065716</v>
      </c>
      <c r="M42">
        <v>11.319675999999999</v>
      </c>
      <c r="N42">
        <v>13.518750000000001</v>
      </c>
      <c r="O42">
        <v>13.970348</v>
      </c>
      <c r="P42">
        <v>14.314136</v>
      </c>
      <c r="Q42">
        <v>12.666781</v>
      </c>
      <c r="R42">
        <v>12.616203000000001</v>
      </c>
      <c r="S42">
        <v>12.533028</v>
      </c>
      <c r="T42">
        <v>12.742198999999999</v>
      </c>
      <c r="U42">
        <v>12.812290000000001</v>
      </c>
      <c r="V42">
        <v>12.800770999999999</v>
      </c>
      <c r="W42">
        <v>12.675635</v>
      </c>
      <c r="X42">
        <v>12.587033</v>
      </c>
      <c r="Y42">
        <v>12.651852999999999</v>
      </c>
      <c r="Z42">
        <v>12.824852</v>
      </c>
      <c r="AA42">
        <v>12.7927</v>
      </c>
      <c r="AB42">
        <v>12.813029</v>
      </c>
      <c r="AC42">
        <v>12.789707999999999</v>
      </c>
      <c r="AD42">
        <v>12.823941</v>
      </c>
      <c r="AE42">
        <v>12.685263000000001</v>
      </c>
      <c r="AF42">
        <v>12.783066</v>
      </c>
      <c r="AG42" s="22">
        <v>1.0999999999999999E-2</v>
      </c>
    </row>
    <row r="43" spans="1:33" x14ac:dyDescent="0.25">
      <c r="A43" t="s">
        <v>302</v>
      </c>
    </row>
    <row r="44" spans="1:33" x14ac:dyDescent="0.25">
      <c r="A44" t="s">
        <v>221</v>
      </c>
      <c r="B44" t="s">
        <v>303</v>
      </c>
      <c r="C44" t="s">
        <v>304</v>
      </c>
      <c r="D44" t="s">
        <v>224</v>
      </c>
      <c r="F44">
        <v>23.109310000000001</v>
      </c>
      <c r="G44">
        <v>21.964592</v>
      </c>
      <c r="H44">
        <v>22.480608</v>
      </c>
      <c r="I44">
        <v>22.283079000000001</v>
      </c>
      <c r="J44">
        <v>22.302741999999999</v>
      </c>
      <c r="K44">
        <v>22.505547</v>
      </c>
      <c r="L44">
        <v>22.995273999999998</v>
      </c>
      <c r="M44">
        <v>23.450838000000001</v>
      </c>
      <c r="N44">
        <v>24.190058000000001</v>
      </c>
      <c r="O44">
        <v>25.158035000000002</v>
      </c>
      <c r="P44">
        <v>25.926409</v>
      </c>
      <c r="Q44">
        <v>26.374306000000001</v>
      </c>
      <c r="R44">
        <v>26.676216</v>
      </c>
      <c r="S44">
        <v>26.850521000000001</v>
      </c>
      <c r="T44">
        <v>26.875446</v>
      </c>
      <c r="U44">
        <v>26.872548999999999</v>
      </c>
      <c r="V44">
        <v>26.942243999999999</v>
      </c>
      <c r="W44">
        <v>27.150986</v>
      </c>
      <c r="X44">
        <v>27.332553999999998</v>
      </c>
      <c r="Y44">
        <v>27.645765000000001</v>
      </c>
      <c r="Z44">
        <v>28.068441</v>
      </c>
      <c r="AA44">
        <v>28.264816</v>
      </c>
      <c r="AB44">
        <v>28.419423999999999</v>
      </c>
      <c r="AC44">
        <v>28.458379999999998</v>
      </c>
      <c r="AD44">
        <v>28.523824999999999</v>
      </c>
      <c r="AE44">
        <v>28.746887000000001</v>
      </c>
      <c r="AF44">
        <v>29.245407</v>
      </c>
      <c r="AG44" s="22">
        <v>8.9999999999999993E-3</v>
      </c>
    </row>
    <row r="45" spans="1:33" x14ac:dyDescent="0.25">
      <c r="A45" t="s">
        <v>268</v>
      </c>
      <c r="B45" t="s">
        <v>305</v>
      </c>
      <c r="C45" t="s">
        <v>306</v>
      </c>
      <c r="D45" t="s">
        <v>224</v>
      </c>
      <c r="F45">
        <v>28.823729</v>
      </c>
      <c r="G45">
        <v>28.93619</v>
      </c>
      <c r="H45">
        <v>30.221819</v>
      </c>
      <c r="I45">
        <v>29.874351999999998</v>
      </c>
      <c r="J45">
        <v>29.356659000000001</v>
      </c>
      <c r="K45">
        <v>28.412942999999999</v>
      </c>
      <c r="L45">
        <v>28.414833000000002</v>
      </c>
      <c r="M45">
        <v>28.528874999999999</v>
      </c>
      <c r="N45">
        <v>28.297775000000001</v>
      </c>
      <c r="O45">
        <v>28.022879</v>
      </c>
      <c r="P45">
        <v>27.970562000000001</v>
      </c>
      <c r="Q45">
        <v>27.737435999999999</v>
      </c>
      <c r="R45">
        <v>27.879840999999999</v>
      </c>
      <c r="S45">
        <v>27.706806</v>
      </c>
      <c r="T45">
        <v>27.335273999999998</v>
      </c>
      <c r="U45">
        <v>27.221582000000001</v>
      </c>
      <c r="V45">
        <v>26.936087000000001</v>
      </c>
      <c r="W45">
        <v>26.624407000000001</v>
      </c>
      <c r="X45">
        <v>26.243463999999999</v>
      </c>
      <c r="Y45">
        <v>26.249161000000001</v>
      </c>
      <c r="Z45">
        <v>24.929925999999998</v>
      </c>
      <c r="AA45">
        <v>24.592495</v>
      </c>
      <c r="AB45">
        <v>24.796230000000001</v>
      </c>
      <c r="AC45">
        <v>24.925063999999999</v>
      </c>
      <c r="AD45">
        <v>24.988291</v>
      </c>
      <c r="AE45">
        <v>25.141323</v>
      </c>
      <c r="AF45">
        <v>25.433138</v>
      </c>
      <c r="AG45" s="22">
        <v>-5.0000000000000001E-3</v>
      </c>
    </row>
    <row r="46" spans="1:33" x14ac:dyDescent="0.25">
      <c r="A46" t="s">
        <v>271</v>
      </c>
      <c r="B46" t="s">
        <v>307</v>
      </c>
      <c r="C46" t="s">
        <v>308</v>
      </c>
      <c r="D46" t="s">
        <v>224</v>
      </c>
      <c r="F46">
        <v>28.684215999999999</v>
      </c>
      <c r="G46">
        <v>27.125783999999999</v>
      </c>
      <c r="H46">
        <v>25.527933000000001</v>
      </c>
      <c r="I46">
        <v>25.03182</v>
      </c>
      <c r="J46">
        <v>24.761021</v>
      </c>
      <c r="K46">
        <v>24.469919000000001</v>
      </c>
      <c r="L46">
        <v>24.496486999999998</v>
      </c>
      <c r="M46">
        <v>24.505796</v>
      </c>
      <c r="N46">
        <v>24.326532</v>
      </c>
      <c r="O46">
        <v>24.183600999999999</v>
      </c>
      <c r="P46">
        <v>24.129673</v>
      </c>
      <c r="Q46">
        <v>23.928678999999999</v>
      </c>
      <c r="R46">
        <v>24.057279999999999</v>
      </c>
      <c r="S46">
        <v>23.911494999999999</v>
      </c>
      <c r="T46">
        <v>23.600750000000001</v>
      </c>
      <c r="U46">
        <v>23.475494000000001</v>
      </c>
      <c r="V46">
        <v>23.218733</v>
      </c>
      <c r="W46">
        <v>22.958653999999999</v>
      </c>
      <c r="X46">
        <v>22.629124000000001</v>
      </c>
      <c r="Y46">
        <v>22.653288</v>
      </c>
      <c r="Z46">
        <v>21.528265000000001</v>
      </c>
      <c r="AA46">
        <v>21.244183</v>
      </c>
      <c r="AB46">
        <v>21.421278000000001</v>
      </c>
      <c r="AC46">
        <v>21.532544999999999</v>
      </c>
      <c r="AD46">
        <v>21.580334000000001</v>
      </c>
      <c r="AE46">
        <v>21.704536000000001</v>
      </c>
      <c r="AF46">
        <v>21.945274000000001</v>
      </c>
      <c r="AG46" s="22">
        <v>-0.01</v>
      </c>
    </row>
    <row r="47" spans="1:33" x14ac:dyDescent="0.25">
      <c r="A47" t="s">
        <v>274</v>
      </c>
      <c r="B47" t="s">
        <v>309</v>
      </c>
      <c r="C47" t="s">
        <v>310</v>
      </c>
      <c r="D47" t="s">
        <v>224</v>
      </c>
      <c r="F47">
        <v>17.638923999999999</v>
      </c>
      <c r="G47">
        <v>16.395</v>
      </c>
      <c r="H47">
        <v>16.197346</v>
      </c>
      <c r="I47">
        <v>16.576864</v>
      </c>
      <c r="J47">
        <v>17.167725000000001</v>
      </c>
      <c r="K47">
        <v>17.774681000000001</v>
      </c>
      <c r="L47">
        <v>18.432444</v>
      </c>
      <c r="M47">
        <v>18.550699000000002</v>
      </c>
      <c r="N47">
        <v>18.432102</v>
      </c>
      <c r="O47">
        <v>18.750156</v>
      </c>
      <c r="P47">
        <v>18.878136000000001</v>
      </c>
      <c r="Q47">
        <v>19.088031999999998</v>
      </c>
      <c r="R47">
        <v>19.162302</v>
      </c>
      <c r="S47">
        <v>19.413188999999999</v>
      </c>
      <c r="T47">
        <v>19.636925000000002</v>
      </c>
      <c r="U47">
        <v>19.743241999999999</v>
      </c>
      <c r="V47">
        <v>19.910463</v>
      </c>
      <c r="W47">
        <v>20.238554000000001</v>
      </c>
      <c r="X47">
        <v>20.505775</v>
      </c>
      <c r="Y47">
        <v>20.876812000000001</v>
      </c>
      <c r="Z47">
        <v>21.614871999999998</v>
      </c>
      <c r="AA47">
        <v>21.580615999999999</v>
      </c>
      <c r="AB47">
        <v>21.698483</v>
      </c>
      <c r="AC47">
        <v>21.705061000000001</v>
      </c>
      <c r="AD47">
        <v>21.706541000000001</v>
      </c>
      <c r="AE47">
        <v>21.788584</v>
      </c>
      <c r="AF47">
        <v>22.195864</v>
      </c>
      <c r="AG47" s="22">
        <v>8.9999999999999993E-3</v>
      </c>
    </row>
    <row r="48" spans="1:33" x14ac:dyDescent="0.25">
      <c r="A48" t="s">
        <v>225</v>
      </c>
      <c r="B48" t="s">
        <v>311</v>
      </c>
      <c r="C48" t="s">
        <v>312</v>
      </c>
      <c r="D48" t="s">
        <v>224</v>
      </c>
      <c r="F48">
        <v>27.012423999999999</v>
      </c>
      <c r="G48">
        <v>25.364977</v>
      </c>
      <c r="H48">
        <v>24.694890999999998</v>
      </c>
      <c r="I48">
        <v>24.642531999999999</v>
      </c>
      <c r="J48">
        <v>24.802451999999999</v>
      </c>
      <c r="K48">
        <v>24.999389999999998</v>
      </c>
      <c r="L48">
        <v>25.230318</v>
      </c>
      <c r="M48">
        <v>25.263414000000001</v>
      </c>
      <c r="N48">
        <v>25.132090000000002</v>
      </c>
      <c r="O48">
        <v>25.445630999999999</v>
      </c>
      <c r="P48">
        <v>25.545442999999999</v>
      </c>
      <c r="Q48">
        <v>25.775818000000001</v>
      </c>
      <c r="R48">
        <v>25.891037000000001</v>
      </c>
      <c r="S48">
        <v>26.145451000000001</v>
      </c>
      <c r="T48">
        <v>26.220837</v>
      </c>
      <c r="U48">
        <v>26.325562000000001</v>
      </c>
      <c r="V48">
        <v>26.498985000000001</v>
      </c>
      <c r="W48">
        <v>26.760344</v>
      </c>
      <c r="X48">
        <v>26.992342000000001</v>
      </c>
      <c r="Y48">
        <v>27.287763999999999</v>
      </c>
      <c r="Z48">
        <v>27.935396000000001</v>
      </c>
      <c r="AA48">
        <v>27.836829999999999</v>
      </c>
      <c r="AB48">
        <v>27.914089000000001</v>
      </c>
      <c r="AC48">
        <v>27.861571999999999</v>
      </c>
      <c r="AD48">
        <v>27.845043</v>
      </c>
      <c r="AE48">
        <v>27.861699999999999</v>
      </c>
      <c r="AF48">
        <v>28.192115999999999</v>
      </c>
      <c r="AG48" s="22">
        <v>2E-3</v>
      </c>
    </row>
    <row r="49" spans="1:33" x14ac:dyDescent="0.25">
      <c r="A49" t="s">
        <v>238</v>
      </c>
      <c r="B49" t="s">
        <v>313</v>
      </c>
      <c r="C49" t="s">
        <v>314</v>
      </c>
      <c r="D49" t="s">
        <v>224</v>
      </c>
      <c r="F49">
        <v>13.291615</v>
      </c>
      <c r="G49">
        <v>11.757444</v>
      </c>
      <c r="H49">
        <v>12.500851000000001</v>
      </c>
      <c r="I49">
        <v>12.559112000000001</v>
      </c>
      <c r="J49">
        <v>12.629519999999999</v>
      </c>
      <c r="K49">
        <v>12.751574</v>
      </c>
      <c r="L49">
        <v>12.895061999999999</v>
      </c>
      <c r="M49">
        <v>12.967169</v>
      </c>
      <c r="N49">
        <v>12.916404</v>
      </c>
      <c r="O49">
        <v>13.117395</v>
      </c>
      <c r="P49">
        <v>13.204977</v>
      </c>
      <c r="Q49">
        <v>13.33178</v>
      </c>
      <c r="R49">
        <v>13.382641</v>
      </c>
      <c r="S49">
        <v>13.467646999999999</v>
      </c>
      <c r="T49">
        <v>13.557985</v>
      </c>
      <c r="U49">
        <v>13.576983999999999</v>
      </c>
      <c r="V49">
        <v>13.653687</v>
      </c>
      <c r="W49">
        <v>13.738189999999999</v>
      </c>
      <c r="X49">
        <v>13.818034000000001</v>
      </c>
      <c r="Y49">
        <v>13.898581999999999</v>
      </c>
      <c r="Z49">
        <v>13.903964</v>
      </c>
      <c r="AA49">
        <v>13.700245000000001</v>
      </c>
      <c r="AB49">
        <v>13.939589</v>
      </c>
      <c r="AC49">
        <v>13.918885</v>
      </c>
      <c r="AD49">
        <v>13.937277999999999</v>
      </c>
      <c r="AE49">
        <v>14.026111</v>
      </c>
      <c r="AF49">
        <v>14.469602999999999</v>
      </c>
      <c r="AG49" s="22">
        <v>3.0000000000000001E-3</v>
      </c>
    </row>
    <row r="50" spans="1:33" x14ac:dyDescent="0.25">
      <c r="A50" t="s">
        <v>141</v>
      </c>
      <c r="B50" t="s">
        <v>315</v>
      </c>
      <c r="C50" t="s">
        <v>316</v>
      </c>
      <c r="D50" t="s">
        <v>224</v>
      </c>
      <c r="F50">
        <v>5.3580649999999999</v>
      </c>
      <c r="G50">
        <v>5.60745</v>
      </c>
      <c r="H50">
        <v>5.6034750000000004</v>
      </c>
      <c r="I50">
        <v>5.4294479999999998</v>
      </c>
      <c r="J50">
        <v>5.4805999999999999</v>
      </c>
      <c r="K50">
        <v>5.6002070000000002</v>
      </c>
      <c r="L50">
        <v>5.770124</v>
      </c>
      <c r="M50">
        <v>5.9057690000000003</v>
      </c>
      <c r="N50">
        <v>6.2428869999999996</v>
      </c>
      <c r="O50">
        <v>6.5919189999999999</v>
      </c>
      <c r="P50">
        <v>6.8338570000000001</v>
      </c>
      <c r="Q50">
        <v>6.9538739999999999</v>
      </c>
      <c r="R50">
        <v>6.9757639999999999</v>
      </c>
      <c r="S50">
        <v>6.9950450000000002</v>
      </c>
      <c r="T50">
        <v>6.9700819999999997</v>
      </c>
      <c r="U50">
        <v>6.9399220000000001</v>
      </c>
      <c r="V50">
        <v>6.9587669999999999</v>
      </c>
      <c r="W50">
        <v>7.0194299999999998</v>
      </c>
      <c r="X50">
        <v>7.0727370000000001</v>
      </c>
      <c r="Y50">
        <v>7.1323239999999997</v>
      </c>
      <c r="Z50">
        <v>7.1761679999999997</v>
      </c>
      <c r="AA50">
        <v>7.2163029999999999</v>
      </c>
      <c r="AB50">
        <v>7.258737</v>
      </c>
      <c r="AC50">
        <v>7.2563849999999999</v>
      </c>
      <c r="AD50">
        <v>7.26004</v>
      </c>
      <c r="AE50">
        <v>7.3098260000000002</v>
      </c>
      <c r="AF50">
        <v>7.375858</v>
      </c>
      <c r="AG50" s="22">
        <v>1.2E-2</v>
      </c>
    </row>
    <row r="51" spans="1:33" x14ac:dyDescent="0.25">
      <c r="A51" t="s">
        <v>254</v>
      </c>
      <c r="B51" t="s">
        <v>317</v>
      </c>
      <c r="C51" t="s">
        <v>318</v>
      </c>
      <c r="D51" t="s">
        <v>224</v>
      </c>
      <c r="F51">
        <v>7.7677550000000002</v>
      </c>
      <c r="G51">
        <v>7.639748</v>
      </c>
      <c r="H51">
        <v>7.5851480000000002</v>
      </c>
      <c r="I51">
        <v>7.555212</v>
      </c>
      <c r="J51">
        <v>7.520931</v>
      </c>
      <c r="K51">
        <v>7.5128259999999996</v>
      </c>
      <c r="L51">
        <v>7.5104439999999997</v>
      </c>
      <c r="M51">
        <v>7.515949</v>
      </c>
      <c r="N51">
        <v>7.5375909999999999</v>
      </c>
      <c r="O51">
        <v>7.5371670000000002</v>
      </c>
      <c r="P51">
        <v>7.4998899999999997</v>
      </c>
      <c r="Q51">
        <v>7.5180889999999998</v>
      </c>
      <c r="R51">
        <v>7.5179669999999996</v>
      </c>
      <c r="S51">
        <v>7.5155570000000003</v>
      </c>
      <c r="T51">
        <v>7.5172699999999999</v>
      </c>
      <c r="U51">
        <v>7.498265</v>
      </c>
      <c r="V51">
        <v>7.4962220000000004</v>
      </c>
      <c r="W51">
        <v>7.4669150000000002</v>
      </c>
      <c r="X51">
        <v>7.4610409999999998</v>
      </c>
      <c r="Y51">
        <v>7.4532319999999999</v>
      </c>
      <c r="Z51">
        <v>7.4581030000000004</v>
      </c>
      <c r="AA51">
        <v>7.4715109999999996</v>
      </c>
      <c r="AB51">
        <v>7.4675250000000002</v>
      </c>
      <c r="AC51">
        <v>7.46251</v>
      </c>
      <c r="AD51">
        <v>7.461265</v>
      </c>
      <c r="AE51">
        <v>7.4693670000000001</v>
      </c>
      <c r="AF51">
        <v>7.4669429999999997</v>
      </c>
      <c r="AG51" s="22">
        <v>-2E-3</v>
      </c>
    </row>
    <row r="52" spans="1:33" x14ac:dyDescent="0.25">
      <c r="A52" t="s">
        <v>319</v>
      </c>
      <c r="B52" t="s">
        <v>320</v>
      </c>
      <c r="C52" t="s">
        <v>321</v>
      </c>
      <c r="D52" t="s">
        <v>224</v>
      </c>
      <c r="F52">
        <v>2.5446469999999999</v>
      </c>
      <c r="G52">
        <v>2.490408</v>
      </c>
      <c r="H52">
        <v>2.4526680000000001</v>
      </c>
      <c r="I52">
        <v>2.423937</v>
      </c>
      <c r="J52">
        <v>2.3348629999999999</v>
      </c>
      <c r="K52">
        <v>2.3401779999999999</v>
      </c>
      <c r="L52">
        <v>2.3796339999999998</v>
      </c>
      <c r="M52">
        <v>2.359969</v>
      </c>
      <c r="N52">
        <v>2.6081590000000001</v>
      </c>
      <c r="O52">
        <v>2.6074830000000002</v>
      </c>
      <c r="P52">
        <v>2.6001780000000001</v>
      </c>
      <c r="Q52">
        <v>2.5967669999999998</v>
      </c>
      <c r="R52">
        <v>2.605588</v>
      </c>
      <c r="S52">
        <v>2.6410499999999999</v>
      </c>
      <c r="T52">
        <v>2.662963</v>
      </c>
      <c r="U52">
        <v>2.9923799999999998</v>
      </c>
      <c r="V52">
        <v>2.989484</v>
      </c>
      <c r="W52">
        <v>2.9808520000000001</v>
      </c>
      <c r="X52">
        <v>2.9730889999999999</v>
      </c>
      <c r="Y52">
        <v>2.9714140000000002</v>
      </c>
      <c r="Z52">
        <v>2.9760249999999999</v>
      </c>
      <c r="AA52">
        <v>2.999393</v>
      </c>
      <c r="AB52">
        <v>3.2574450000000001</v>
      </c>
      <c r="AC52">
        <v>3.2937460000000001</v>
      </c>
      <c r="AD52">
        <v>3.29155</v>
      </c>
      <c r="AE52">
        <v>3.3019259999999999</v>
      </c>
      <c r="AF52">
        <v>3.304214</v>
      </c>
      <c r="AG52" s="22">
        <v>0.01</v>
      </c>
    </row>
    <row r="53" spans="1:33" x14ac:dyDescent="0.25">
      <c r="A53" t="s">
        <v>260</v>
      </c>
      <c r="B53" t="s">
        <v>322</v>
      </c>
      <c r="C53" t="s">
        <v>323</v>
      </c>
      <c r="D53" t="s">
        <v>224</v>
      </c>
      <c r="F53">
        <v>9.5735130000000002</v>
      </c>
      <c r="G53">
        <v>10.759744</v>
      </c>
      <c r="H53">
        <v>10.814753</v>
      </c>
      <c r="I53">
        <v>10.970606999999999</v>
      </c>
      <c r="J53">
        <v>11.467427000000001</v>
      </c>
      <c r="K53">
        <v>12.125462000000001</v>
      </c>
      <c r="L53">
        <v>12.869673000000001</v>
      </c>
      <c r="M53">
        <v>14.186323</v>
      </c>
      <c r="N53">
        <v>16.708950000000002</v>
      </c>
      <c r="O53">
        <v>19.089088</v>
      </c>
      <c r="P53">
        <v>20.999569000000001</v>
      </c>
      <c r="Q53">
        <v>22.460647999999999</v>
      </c>
      <c r="R53">
        <v>23.549911000000002</v>
      </c>
      <c r="S53">
        <v>24.492125999999999</v>
      </c>
      <c r="T53">
        <v>25.62182</v>
      </c>
      <c r="U53">
        <v>26.518491999999998</v>
      </c>
      <c r="V53">
        <v>27.252635999999999</v>
      </c>
      <c r="W53">
        <v>27.774516999999999</v>
      </c>
      <c r="X53">
        <v>28.247319999999998</v>
      </c>
      <c r="Y53">
        <v>28.807552000000001</v>
      </c>
      <c r="Z53">
        <v>29.432905000000002</v>
      </c>
      <c r="AA53">
        <v>29.795622000000002</v>
      </c>
      <c r="AB53">
        <v>30.212788</v>
      </c>
      <c r="AC53">
        <v>30.486049999999999</v>
      </c>
      <c r="AD53">
        <v>30.778925000000001</v>
      </c>
      <c r="AE53">
        <v>30.779464999999998</v>
      </c>
      <c r="AF53">
        <v>31.056328000000001</v>
      </c>
      <c r="AG53" s="22">
        <v>4.5999999999999999E-2</v>
      </c>
    </row>
    <row r="54" spans="1:33" s="17" customFormat="1" x14ac:dyDescent="0.25">
      <c r="A54" s="17" t="s">
        <v>230</v>
      </c>
      <c r="B54" s="17" t="s">
        <v>324</v>
      </c>
      <c r="C54" s="17" t="s">
        <v>325</v>
      </c>
      <c r="D54" s="17" t="s">
        <v>224</v>
      </c>
      <c r="F54" s="17">
        <v>38.098598000000003</v>
      </c>
      <c r="G54" s="17">
        <v>37.333973</v>
      </c>
      <c r="H54" s="17">
        <v>34.881782999999999</v>
      </c>
      <c r="I54" s="17">
        <v>33.049328000000003</v>
      </c>
      <c r="J54" s="17">
        <v>32.874008000000003</v>
      </c>
      <c r="K54" s="17">
        <v>33.237839000000001</v>
      </c>
      <c r="L54" s="17">
        <v>33.692875000000001</v>
      </c>
      <c r="M54" s="17">
        <v>34.296565999999999</v>
      </c>
      <c r="N54" s="17">
        <v>34.825642000000002</v>
      </c>
      <c r="O54" s="17">
        <v>35.589108000000003</v>
      </c>
      <c r="P54" s="17">
        <v>35.82687</v>
      </c>
      <c r="Q54" s="17">
        <v>35.637053999999999</v>
      </c>
      <c r="R54" s="17">
        <v>35.304625999999999</v>
      </c>
      <c r="S54" s="17">
        <v>35.029667000000003</v>
      </c>
      <c r="T54" s="17">
        <v>35.204475000000002</v>
      </c>
      <c r="U54" s="17">
        <v>34.977581000000001</v>
      </c>
      <c r="V54" s="17">
        <v>34.870109999999997</v>
      </c>
      <c r="W54" s="17">
        <v>34.885917999999997</v>
      </c>
      <c r="X54" s="17">
        <v>35.053294999999999</v>
      </c>
      <c r="Y54" s="17">
        <v>35.213996999999999</v>
      </c>
      <c r="Z54" s="17">
        <v>35.421429000000003</v>
      </c>
      <c r="AA54" s="17">
        <v>35.584679000000001</v>
      </c>
      <c r="AB54" s="17">
        <v>35.760863999999998</v>
      </c>
      <c r="AC54" s="17">
        <v>35.860970000000002</v>
      </c>
      <c r="AD54" s="17">
        <v>36.115451999999998</v>
      </c>
      <c r="AE54" s="17">
        <v>36.344898000000001</v>
      </c>
      <c r="AF54" s="17">
        <v>36.619953000000002</v>
      </c>
      <c r="AG54" s="23">
        <v>-2E-3</v>
      </c>
    </row>
    <row r="55" spans="1:33" x14ac:dyDescent="0.25">
      <c r="A55" t="s">
        <v>326</v>
      </c>
    </row>
    <row r="56" spans="1:33" x14ac:dyDescent="0.25">
      <c r="A56" t="s">
        <v>327</v>
      </c>
    </row>
    <row r="57" spans="1:33" x14ac:dyDescent="0.25">
      <c r="A57" t="s">
        <v>220</v>
      </c>
      <c r="B57" t="s">
        <v>328</v>
      </c>
      <c r="C57" t="s">
        <v>329</v>
      </c>
      <c r="D57" t="s">
        <v>330</v>
      </c>
      <c r="F57">
        <v>321.87133799999998</v>
      </c>
      <c r="G57">
        <v>315.88342299999999</v>
      </c>
      <c r="H57">
        <v>305.58065800000003</v>
      </c>
      <c r="I57">
        <v>296.62158199999999</v>
      </c>
      <c r="J57">
        <v>297.20977800000003</v>
      </c>
      <c r="K57">
        <v>300.82952899999998</v>
      </c>
      <c r="L57">
        <v>304.87982199999999</v>
      </c>
      <c r="M57">
        <v>310.57488999999998</v>
      </c>
      <c r="N57">
        <v>317.27093500000001</v>
      </c>
      <c r="O57">
        <v>326.10974099999999</v>
      </c>
      <c r="P57">
        <v>331.93753099999998</v>
      </c>
      <c r="Q57">
        <v>335.42114299999997</v>
      </c>
      <c r="R57">
        <v>337.75582900000001</v>
      </c>
      <c r="S57">
        <v>340.22045900000001</v>
      </c>
      <c r="T57">
        <v>345.05157500000001</v>
      </c>
      <c r="U57">
        <v>347.16873199999998</v>
      </c>
      <c r="V57">
        <v>350.45748900000001</v>
      </c>
      <c r="W57">
        <v>354.74896200000001</v>
      </c>
      <c r="X57">
        <v>359.830963</v>
      </c>
      <c r="Y57">
        <v>364.80816700000003</v>
      </c>
      <c r="Z57">
        <v>369.941711</v>
      </c>
      <c r="AA57">
        <v>374.44732699999997</v>
      </c>
      <c r="AB57">
        <v>379.10900900000001</v>
      </c>
      <c r="AC57">
        <v>382.828217</v>
      </c>
      <c r="AD57">
        <v>387.42388899999997</v>
      </c>
      <c r="AE57">
        <v>392.04144300000002</v>
      </c>
      <c r="AF57">
        <v>397.16125499999998</v>
      </c>
      <c r="AG57" s="22">
        <v>8.0000000000000002E-3</v>
      </c>
    </row>
    <row r="58" spans="1:33" x14ac:dyDescent="0.25">
      <c r="A58" t="s">
        <v>233</v>
      </c>
      <c r="B58" t="s">
        <v>331</v>
      </c>
      <c r="C58" t="s">
        <v>332</v>
      </c>
      <c r="D58" t="s">
        <v>330</v>
      </c>
      <c r="F58">
        <v>241.12788399999999</v>
      </c>
      <c r="G58">
        <v>237.06463600000001</v>
      </c>
      <c r="H58">
        <v>224.326843</v>
      </c>
      <c r="I58">
        <v>216.67044100000001</v>
      </c>
      <c r="J58">
        <v>218.15339700000001</v>
      </c>
      <c r="K58">
        <v>223.83767700000001</v>
      </c>
      <c r="L58">
        <v>230.04020700000001</v>
      </c>
      <c r="M58">
        <v>237.12822</v>
      </c>
      <c r="N58">
        <v>245.249008</v>
      </c>
      <c r="O58">
        <v>254.96646100000001</v>
      </c>
      <c r="P58">
        <v>262.06677200000001</v>
      </c>
      <c r="Q58">
        <v>266.73019399999998</v>
      </c>
      <c r="R58">
        <v>270.46621699999997</v>
      </c>
      <c r="S58">
        <v>274.20632899999998</v>
      </c>
      <c r="T58">
        <v>280.46322600000002</v>
      </c>
      <c r="U58">
        <v>283.60974099999999</v>
      </c>
      <c r="V58">
        <v>287.87075800000002</v>
      </c>
      <c r="W58">
        <v>293.21572900000001</v>
      </c>
      <c r="X58">
        <v>299.31854199999998</v>
      </c>
      <c r="Y58">
        <v>305.49679600000002</v>
      </c>
      <c r="Z58">
        <v>311.30548099999999</v>
      </c>
      <c r="AA58">
        <v>317.04187000000002</v>
      </c>
      <c r="AB58">
        <v>323.19622800000002</v>
      </c>
      <c r="AC58">
        <v>328.30465700000002</v>
      </c>
      <c r="AD58">
        <v>334.83004799999998</v>
      </c>
      <c r="AE58">
        <v>341.48095699999999</v>
      </c>
      <c r="AF58">
        <v>348.67666600000001</v>
      </c>
      <c r="AG58" s="22">
        <v>1.4E-2</v>
      </c>
    </row>
    <row r="59" spans="1:33" x14ac:dyDescent="0.25">
      <c r="A59" t="s">
        <v>245</v>
      </c>
      <c r="B59" t="s">
        <v>333</v>
      </c>
      <c r="C59" t="s">
        <v>334</v>
      </c>
      <c r="D59" t="s">
        <v>330</v>
      </c>
      <c r="F59">
        <v>225.60749799999999</v>
      </c>
      <c r="G59">
        <v>228.663712</v>
      </c>
      <c r="H59">
        <v>224.17224100000001</v>
      </c>
      <c r="I59">
        <v>218.50401299999999</v>
      </c>
      <c r="J59">
        <v>219.97305299999999</v>
      </c>
      <c r="K59">
        <v>224.779404</v>
      </c>
      <c r="L59">
        <v>232.18533300000001</v>
      </c>
      <c r="M59">
        <v>239.67704800000001</v>
      </c>
      <c r="N59">
        <v>251.39009100000001</v>
      </c>
      <c r="O59">
        <v>263.95074499999998</v>
      </c>
      <c r="P59">
        <v>272.88592499999999</v>
      </c>
      <c r="Q59">
        <v>277.752747</v>
      </c>
      <c r="R59">
        <v>280.54141199999998</v>
      </c>
      <c r="S59">
        <v>282.84789999999998</v>
      </c>
      <c r="T59">
        <v>285.52365099999997</v>
      </c>
      <c r="U59">
        <v>287.85333300000002</v>
      </c>
      <c r="V59">
        <v>292.14373799999998</v>
      </c>
      <c r="W59">
        <v>297.649719</v>
      </c>
      <c r="X59">
        <v>303.51181000000003</v>
      </c>
      <c r="Y59">
        <v>308.79641700000002</v>
      </c>
      <c r="Z59">
        <v>314.98046900000003</v>
      </c>
      <c r="AA59">
        <v>319.06402600000001</v>
      </c>
      <c r="AB59">
        <v>323.77767899999998</v>
      </c>
      <c r="AC59">
        <v>327.83050500000002</v>
      </c>
      <c r="AD59">
        <v>331.76516700000002</v>
      </c>
      <c r="AE59">
        <v>337.71105999999997</v>
      </c>
      <c r="AF59">
        <v>345.76858499999997</v>
      </c>
      <c r="AG59" s="22">
        <v>1.7000000000000001E-2</v>
      </c>
    </row>
    <row r="60" spans="1:33" x14ac:dyDescent="0.25">
      <c r="A60" t="s">
        <v>265</v>
      </c>
      <c r="B60" t="s">
        <v>335</v>
      </c>
      <c r="C60" t="s">
        <v>336</v>
      </c>
      <c r="D60" t="s">
        <v>330</v>
      </c>
      <c r="F60">
        <v>714.84161400000005</v>
      </c>
      <c r="G60">
        <v>676.34643600000004</v>
      </c>
      <c r="H60">
        <v>644.13317900000004</v>
      </c>
      <c r="I60">
        <v>632.38385000000005</v>
      </c>
      <c r="J60">
        <v>624.66570999999999</v>
      </c>
      <c r="K60">
        <v>615.55078100000003</v>
      </c>
      <c r="L60">
        <v>609.02886999999998</v>
      </c>
      <c r="M60">
        <v>597.48748799999998</v>
      </c>
      <c r="N60">
        <v>577.68487500000003</v>
      </c>
      <c r="O60">
        <v>563.21026600000005</v>
      </c>
      <c r="P60">
        <v>548.96337900000003</v>
      </c>
      <c r="Q60">
        <v>534.356628</v>
      </c>
      <c r="R60">
        <v>522.66711399999997</v>
      </c>
      <c r="S60">
        <v>509.74471999999997</v>
      </c>
      <c r="T60">
        <v>495.17034899999999</v>
      </c>
      <c r="U60">
        <v>483.18902600000001</v>
      </c>
      <c r="V60">
        <v>472.336884</v>
      </c>
      <c r="W60">
        <v>463.27810699999998</v>
      </c>
      <c r="X60">
        <v>453.93814099999997</v>
      </c>
      <c r="Y60">
        <v>450.51828</v>
      </c>
      <c r="Z60">
        <v>439.83544899999998</v>
      </c>
      <c r="AA60">
        <v>431.82055700000001</v>
      </c>
      <c r="AB60">
        <v>430.39608800000002</v>
      </c>
      <c r="AC60">
        <v>428.29284699999999</v>
      </c>
      <c r="AD60">
        <v>425.13793900000002</v>
      </c>
      <c r="AE60">
        <v>424.65316799999999</v>
      </c>
      <c r="AF60">
        <v>428.82516500000003</v>
      </c>
      <c r="AG60" s="22">
        <v>-1.9E-2</v>
      </c>
    </row>
    <row r="61" spans="1:33" x14ac:dyDescent="0.25">
      <c r="A61" t="s">
        <v>337</v>
      </c>
      <c r="B61" t="s">
        <v>338</v>
      </c>
      <c r="C61" t="s">
        <v>339</v>
      </c>
      <c r="D61" t="s">
        <v>330</v>
      </c>
      <c r="F61">
        <v>1503.4482419999999</v>
      </c>
      <c r="G61">
        <v>1457.9582519999999</v>
      </c>
      <c r="H61">
        <v>1398.2128909999999</v>
      </c>
      <c r="I61">
        <v>1364.179932</v>
      </c>
      <c r="J61">
        <v>1360.001953</v>
      </c>
      <c r="K61">
        <v>1364.997437</v>
      </c>
      <c r="L61">
        <v>1376.1342770000001</v>
      </c>
      <c r="M61">
        <v>1384.8676760000001</v>
      </c>
      <c r="N61">
        <v>1391.594971</v>
      </c>
      <c r="O61">
        <v>1408.237183</v>
      </c>
      <c r="P61">
        <v>1415.8535159999999</v>
      </c>
      <c r="Q61">
        <v>1414.2607419999999</v>
      </c>
      <c r="R61">
        <v>1411.4305420000001</v>
      </c>
      <c r="S61">
        <v>1407.019409</v>
      </c>
      <c r="T61">
        <v>1406.20874</v>
      </c>
      <c r="U61">
        <v>1401.8208010000001</v>
      </c>
      <c r="V61">
        <v>1402.8088379999999</v>
      </c>
      <c r="W61">
        <v>1408.892578</v>
      </c>
      <c r="X61">
        <v>1416.599487</v>
      </c>
      <c r="Y61">
        <v>1429.619629</v>
      </c>
      <c r="Z61">
        <v>1436.0631100000001</v>
      </c>
      <c r="AA61">
        <v>1442.373779</v>
      </c>
      <c r="AB61">
        <v>1456.479004</v>
      </c>
      <c r="AC61">
        <v>1467.256226</v>
      </c>
      <c r="AD61">
        <v>1479.156982</v>
      </c>
      <c r="AE61">
        <v>1495.8865969999999</v>
      </c>
      <c r="AF61">
        <v>1520.4316409999999</v>
      </c>
      <c r="AG61" s="22">
        <v>0</v>
      </c>
    </row>
    <row r="62" spans="1:33" x14ac:dyDescent="0.25">
      <c r="A62" t="s">
        <v>340</v>
      </c>
      <c r="B62" t="s">
        <v>341</v>
      </c>
      <c r="C62" t="s">
        <v>342</v>
      </c>
      <c r="D62" t="s">
        <v>330</v>
      </c>
      <c r="F62">
        <v>0.107875</v>
      </c>
      <c r="G62">
        <v>0.100345</v>
      </c>
      <c r="H62">
        <v>9.3489000000000003E-2</v>
      </c>
      <c r="I62">
        <v>8.6554000000000006E-2</v>
      </c>
      <c r="J62">
        <v>8.2530000000000006E-2</v>
      </c>
      <c r="K62">
        <v>8.2791000000000003E-2</v>
      </c>
      <c r="L62">
        <v>7.8487000000000001E-2</v>
      </c>
      <c r="M62">
        <v>7.2792999999999997E-2</v>
      </c>
      <c r="N62">
        <v>6.7211000000000007E-2</v>
      </c>
      <c r="O62">
        <v>6.2401999999999999E-2</v>
      </c>
      <c r="P62">
        <v>5.8996E-2</v>
      </c>
      <c r="Q62">
        <v>5.5041E-2</v>
      </c>
      <c r="R62">
        <v>5.1815E-2</v>
      </c>
      <c r="S62">
        <v>4.8884999999999998E-2</v>
      </c>
      <c r="T62">
        <v>4.5543E-2</v>
      </c>
      <c r="U62">
        <v>4.3306999999999998E-2</v>
      </c>
      <c r="V62">
        <v>4.1883999999999998E-2</v>
      </c>
      <c r="W62">
        <v>4.052E-2</v>
      </c>
      <c r="X62">
        <v>3.9222E-2</v>
      </c>
      <c r="Y62">
        <v>3.8850000000000003E-2</v>
      </c>
      <c r="Z62">
        <v>3.7435999999999997E-2</v>
      </c>
      <c r="AA62">
        <v>3.5973999999999999E-2</v>
      </c>
      <c r="AB62">
        <v>3.6186000000000003E-2</v>
      </c>
      <c r="AC62">
        <v>3.7198000000000002E-2</v>
      </c>
      <c r="AD62">
        <v>3.7176000000000001E-2</v>
      </c>
      <c r="AE62">
        <v>3.7422999999999998E-2</v>
      </c>
      <c r="AF62">
        <v>3.7652999999999999E-2</v>
      </c>
      <c r="AG62" s="22">
        <v>-0.04</v>
      </c>
    </row>
    <row r="63" spans="1:33" x14ac:dyDescent="0.25">
      <c r="A63" t="s">
        <v>343</v>
      </c>
      <c r="B63" t="s">
        <v>344</v>
      </c>
      <c r="C63" t="s">
        <v>345</v>
      </c>
      <c r="D63" t="s">
        <v>330</v>
      </c>
      <c r="F63">
        <v>1503.5561520000001</v>
      </c>
      <c r="G63">
        <v>1458.0585940000001</v>
      </c>
      <c r="H63">
        <v>1398.3063959999999</v>
      </c>
      <c r="I63">
        <v>1364.2664789999999</v>
      </c>
      <c r="J63">
        <v>1360.0844729999999</v>
      </c>
      <c r="K63">
        <v>1365.0802000000001</v>
      </c>
      <c r="L63">
        <v>1376.212769</v>
      </c>
      <c r="M63">
        <v>1384.9404300000001</v>
      </c>
      <c r="N63">
        <v>1391.662231</v>
      </c>
      <c r="O63">
        <v>1408.299561</v>
      </c>
      <c r="P63">
        <v>1415.912476</v>
      </c>
      <c r="Q63">
        <v>1414.3157960000001</v>
      </c>
      <c r="R63">
        <v>1411.4822999999999</v>
      </c>
      <c r="S63">
        <v>1407.068237</v>
      </c>
      <c r="T63">
        <v>1406.2542719999999</v>
      </c>
      <c r="U63">
        <v>1401.8641359999999</v>
      </c>
      <c r="V63">
        <v>1402.8507079999999</v>
      </c>
      <c r="W63">
        <v>1408.9331050000001</v>
      </c>
      <c r="X63">
        <v>1416.638672</v>
      </c>
      <c r="Y63">
        <v>1429.658447</v>
      </c>
      <c r="Z63">
        <v>1436.100586</v>
      </c>
      <c r="AA63">
        <v>1442.4097899999999</v>
      </c>
      <c r="AB63">
        <v>1456.5151370000001</v>
      </c>
      <c r="AC63">
        <v>1467.293457</v>
      </c>
      <c r="AD63">
        <v>1479.1942140000001</v>
      </c>
      <c r="AE63">
        <v>1495.924072</v>
      </c>
      <c r="AF63">
        <v>1520.4692379999999</v>
      </c>
      <c r="AG63" s="22">
        <v>0</v>
      </c>
    </row>
    <row r="64" spans="1:33" x14ac:dyDescent="0.25">
      <c r="A64" t="s">
        <v>346</v>
      </c>
    </row>
    <row r="65" spans="1:33" x14ac:dyDescent="0.25">
      <c r="A65" t="s">
        <v>220</v>
      </c>
    </row>
    <row r="66" spans="1:33" x14ac:dyDescent="0.25">
      <c r="A66" t="s">
        <v>221</v>
      </c>
      <c r="B66" t="s">
        <v>347</v>
      </c>
      <c r="C66" t="s">
        <v>348</v>
      </c>
      <c r="D66" t="s">
        <v>349</v>
      </c>
      <c r="F66">
        <v>26.593980999999999</v>
      </c>
      <c r="G66">
        <v>26.216951000000002</v>
      </c>
      <c r="H66">
        <v>26.858906000000001</v>
      </c>
      <c r="I66">
        <v>27.152177999999999</v>
      </c>
      <c r="J66">
        <v>27.696187999999999</v>
      </c>
      <c r="K66">
        <v>28.433745999999999</v>
      </c>
      <c r="L66">
        <v>29.537057999999998</v>
      </c>
      <c r="M66">
        <v>30.762877</v>
      </c>
      <c r="N66">
        <v>32.364795999999998</v>
      </c>
      <c r="O66">
        <v>34.319060999999998</v>
      </c>
      <c r="P66">
        <v>36.227283</v>
      </c>
      <c r="Q66">
        <v>37.835377000000001</v>
      </c>
      <c r="R66">
        <v>39.225211999999999</v>
      </c>
      <c r="S66">
        <v>40.455105000000003</v>
      </c>
      <c r="T66">
        <v>41.493400999999999</v>
      </c>
      <c r="U66">
        <v>42.453186000000002</v>
      </c>
      <c r="V66">
        <v>43.498753000000001</v>
      </c>
      <c r="W66">
        <v>44.748333000000002</v>
      </c>
      <c r="X66">
        <v>46.046326000000001</v>
      </c>
      <c r="Y66">
        <v>47.565804</v>
      </c>
      <c r="Z66">
        <v>49.313975999999997</v>
      </c>
      <c r="AA66">
        <v>50.883285999999998</v>
      </c>
      <c r="AB66">
        <v>52.401012000000001</v>
      </c>
      <c r="AC66">
        <v>53.792717000000003</v>
      </c>
      <c r="AD66">
        <v>55.213656999999998</v>
      </c>
      <c r="AE66">
        <v>56.888171999999997</v>
      </c>
      <c r="AF66">
        <v>59.055259999999997</v>
      </c>
      <c r="AG66" s="22">
        <v>3.1E-2</v>
      </c>
    </row>
    <row r="67" spans="1:33" x14ac:dyDescent="0.25">
      <c r="A67" t="s">
        <v>225</v>
      </c>
      <c r="B67" t="s">
        <v>350</v>
      </c>
      <c r="C67" t="s">
        <v>351</v>
      </c>
      <c r="D67" t="s">
        <v>349</v>
      </c>
      <c r="F67">
        <v>26.158379</v>
      </c>
      <c r="G67">
        <v>25.122043999999999</v>
      </c>
      <c r="H67">
        <v>25.573910000000001</v>
      </c>
      <c r="I67">
        <v>26.704920000000001</v>
      </c>
      <c r="J67">
        <v>28.145451999999999</v>
      </c>
      <c r="K67">
        <v>29.655187999999999</v>
      </c>
      <c r="L67">
        <v>31.292148999999998</v>
      </c>
      <c r="M67">
        <v>31.994268000000002</v>
      </c>
      <c r="N67">
        <v>32.578826999999997</v>
      </c>
      <c r="O67">
        <v>33.679363000000002</v>
      </c>
      <c r="P67">
        <v>34.564059999999998</v>
      </c>
      <c r="Q67">
        <v>35.592525000000002</v>
      </c>
      <c r="R67">
        <v>36.482146999999998</v>
      </c>
      <c r="S67">
        <v>37.580669</v>
      </c>
      <c r="T67">
        <v>38.49485</v>
      </c>
      <c r="U67">
        <v>39.449145999999999</v>
      </c>
      <c r="V67">
        <v>40.520947</v>
      </c>
      <c r="W67">
        <v>41.791801</v>
      </c>
      <c r="X67">
        <v>43.031525000000002</v>
      </c>
      <c r="Y67">
        <v>44.415188000000001</v>
      </c>
      <c r="Z67">
        <v>46.386429</v>
      </c>
      <c r="AA67">
        <v>47.287495</v>
      </c>
      <c r="AB67">
        <v>48.481236000000003</v>
      </c>
      <c r="AC67">
        <v>49.511318000000003</v>
      </c>
      <c r="AD67">
        <v>50.619338999999997</v>
      </c>
      <c r="AE67">
        <v>51.830589000000003</v>
      </c>
      <c r="AF67">
        <v>53.611908</v>
      </c>
      <c r="AG67" s="22">
        <v>2.8000000000000001E-2</v>
      </c>
    </row>
    <row r="68" spans="1:33" x14ac:dyDescent="0.25">
      <c r="A68" t="s">
        <v>141</v>
      </c>
      <c r="B68" t="s">
        <v>352</v>
      </c>
      <c r="C68" t="s">
        <v>353</v>
      </c>
      <c r="D68" t="s">
        <v>349</v>
      </c>
      <c r="F68">
        <v>13.932205</v>
      </c>
      <c r="G68">
        <v>12.954311000000001</v>
      </c>
      <c r="H68">
        <v>12.947870999999999</v>
      </c>
      <c r="I68">
        <v>12.736533</v>
      </c>
      <c r="J68">
        <v>12.713431</v>
      </c>
      <c r="K68">
        <v>12.812389</v>
      </c>
      <c r="L68">
        <v>12.963352</v>
      </c>
      <c r="M68">
        <v>13.460487000000001</v>
      </c>
      <c r="N68">
        <v>14.2479</v>
      </c>
      <c r="O68">
        <v>15.014253</v>
      </c>
      <c r="P68">
        <v>15.664865000000001</v>
      </c>
      <c r="Q68">
        <v>16.185392</v>
      </c>
      <c r="R68">
        <v>16.539626999999999</v>
      </c>
      <c r="S68">
        <v>16.867327</v>
      </c>
      <c r="T68">
        <v>17.190028999999999</v>
      </c>
      <c r="U68">
        <v>17.466055000000001</v>
      </c>
      <c r="V68">
        <v>17.875830000000001</v>
      </c>
      <c r="W68">
        <v>18.432865</v>
      </c>
      <c r="X68">
        <v>18.987307000000001</v>
      </c>
      <c r="Y68">
        <v>19.539175</v>
      </c>
      <c r="Z68">
        <v>20.057804000000001</v>
      </c>
      <c r="AA68">
        <v>20.636807999999998</v>
      </c>
      <c r="AB68">
        <v>21.249206999999998</v>
      </c>
      <c r="AC68">
        <v>21.801548</v>
      </c>
      <c r="AD68">
        <v>22.344536000000002</v>
      </c>
      <c r="AE68">
        <v>22.992262</v>
      </c>
      <c r="AF68">
        <v>23.643501000000001</v>
      </c>
      <c r="AG68" s="22">
        <v>2.1000000000000001E-2</v>
      </c>
    </row>
    <row r="69" spans="1:33" x14ac:dyDescent="0.25">
      <c r="A69" t="s">
        <v>230</v>
      </c>
      <c r="B69" t="s">
        <v>354</v>
      </c>
      <c r="C69" t="s">
        <v>355</v>
      </c>
      <c r="D69" t="s">
        <v>349</v>
      </c>
      <c r="F69">
        <v>45.553139000000002</v>
      </c>
      <c r="G69">
        <v>45.946316000000003</v>
      </c>
      <c r="H69">
        <v>44.147362000000001</v>
      </c>
      <c r="I69">
        <v>42.689509999999999</v>
      </c>
      <c r="J69">
        <v>43.199879000000003</v>
      </c>
      <c r="K69">
        <v>44.394343999999997</v>
      </c>
      <c r="L69">
        <v>45.759982999999998</v>
      </c>
      <c r="M69">
        <v>47.469127999999998</v>
      </c>
      <c r="N69">
        <v>49.123362999999998</v>
      </c>
      <c r="O69">
        <v>51.209690000000002</v>
      </c>
      <c r="P69">
        <v>52.775246000000003</v>
      </c>
      <c r="Q69">
        <v>53.770809</v>
      </c>
      <c r="R69">
        <v>54.499828000000001</v>
      </c>
      <c r="S69">
        <v>55.237060999999997</v>
      </c>
      <c r="T69">
        <v>56.600323000000003</v>
      </c>
      <c r="U69">
        <v>57.412365000000001</v>
      </c>
      <c r="V69">
        <v>58.473801000000002</v>
      </c>
      <c r="W69">
        <v>59.749023000000001</v>
      </c>
      <c r="X69">
        <v>61.305804999999999</v>
      </c>
      <c r="Y69">
        <v>62.927402000000001</v>
      </c>
      <c r="Z69">
        <v>64.688964999999996</v>
      </c>
      <c r="AA69">
        <v>66.450142</v>
      </c>
      <c r="AB69">
        <v>68.314209000000005</v>
      </c>
      <c r="AC69">
        <v>70.139587000000006</v>
      </c>
      <c r="AD69">
        <v>72.280113</v>
      </c>
      <c r="AE69">
        <v>74.430412000000004</v>
      </c>
      <c r="AF69">
        <v>76.763724999999994</v>
      </c>
      <c r="AG69" s="22">
        <v>0.02</v>
      </c>
    </row>
    <row r="70" spans="1:33" x14ac:dyDescent="0.25">
      <c r="A70" t="s">
        <v>233</v>
      </c>
    </row>
    <row r="71" spans="1:33" x14ac:dyDescent="0.25">
      <c r="A71" t="s">
        <v>221</v>
      </c>
      <c r="B71" t="s">
        <v>356</v>
      </c>
      <c r="C71" t="s">
        <v>357</v>
      </c>
      <c r="D71" t="s">
        <v>349</v>
      </c>
      <c r="F71">
        <v>19.0868</v>
      </c>
      <c r="G71">
        <v>19.462267000000001</v>
      </c>
      <c r="H71">
        <v>20.722957999999998</v>
      </c>
      <c r="I71">
        <v>20.896338</v>
      </c>
      <c r="J71">
        <v>21.415870999999999</v>
      </c>
      <c r="K71">
        <v>22.126076000000001</v>
      </c>
      <c r="L71">
        <v>23.186727999999999</v>
      </c>
      <c r="M71">
        <v>24.181175</v>
      </c>
      <c r="N71">
        <v>25.599267999999999</v>
      </c>
      <c r="O71">
        <v>27.285578000000001</v>
      </c>
      <c r="P71">
        <v>28.679901000000001</v>
      </c>
      <c r="Q71">
        <v>29.663060999999999</v>
      </c>
      <c r="R71">
        <v>30.521715</v>
      </c>
      <c r="S71">
        <v>31.288751999999999</v>
      </c>
      <c r="T71">
        <v>31.908874999999998</v>
      </c>
      <c r="U71">
        <v>32.549953000000002</v>
      </c>
      <c r="V71">
        <v>33.355063999999999</v>
      </c>
      <c r="W71">
        <v>34.399127999999997</v>
      </c>
      <c r="X71">
        <v>35.402991999999998</v>
      </c>
      <c r="Y71">
        <v>36.654724000000002</v>
      </c>
      <c r="Z71">
        <v>38.095920999999997</v>
      </c>
      <c r="AA71">
        <v>39.159187000000003</v>
      </c>
      <c r="AB71">
        <v>40.221760000000003</v>
      </c>
      <c r="AC71">
        <v>41.148829999999997</v>
      </c>
      <c r="AD71">
        <v>42.192711000000003</v>
      </c>
      <c r="AE71">
        <v>43.574435999999999</v>
      </c>
      <c r="AF71">
        <v>45.485512</v>
      </c>
      <c r="AG71" s="22">
        <v>3.4000000000000002E-2</v>
      </c>
    </row>
    <row r="72" spans="1:33" x14ac:dyDescent="0.25">
      <c r="A72" t="s">
        <v>225</v>
      </c>
      <c r="B72" t="s">
        <v>358</v>
      </c>
      <c r="C72" t="s">
        <v>359</v>
      </c>
      <c r="D72" t="s">
        <v>349</v>
      </c>
      <c r="F72">
        <v>26.207932</v>
      </c>
      <c r="G72">
        <v>25.213643999999999</v>
      </c>
      <c r="H72">
        <v>24.454709999999999</v>
      </c>
      <c r="I72">
        <v>24.329535</v>
      </c>
      <c r="J72">
        <v>24.463183999999998</v>
      </c>
      <c r="K72">
        <v>24.622513000000001</v>
      </c>
      <c r="L72">
        <v>24.858422999999998</v>
      </c>
      <c r="M72">
        <v>25.421419</v>
      </c>
      <c r="N72">
        <v>25.819268999999998</v>
      </c>
      <c r="O72">
        <v>26.755030000000001</v>
      </c>
      <c r="P72">
        <v>27.480581000000001</v>
      </c>
      <c r="Q72">
        <v>28.332861000000001</v>
      </c>
      <c r="R72">
        <v>29.053051</v>
      </c>
      <c r="S72">
        <v>29.982716</v>
      </c>
      <c r="T72">
        <v>30.743276999999999</v>
      </c>
      <c r="U72">
        <v>31.520094</v>
      </c>
      <c r="V72">
        <v>32.409874000000002</v>
      </c>
      <c r="W72">
        <v>33.497684</v>
      </c>
      <c r="X72">
        <v>34.544826999999998</v>
      </c>
      <c r="Y72">
        <v>35.746707999999998</v>
      </c>
      <c r="Z72">
        <v>37.507888999999999</v>
      </c>
      <c r="AA72">
        <v>38.209797000000002</v>
      </c>
      <c r="AB72">
        <v>39.197243</v>
      </c>
      <c r="AC72">
        <v>40.014290000000003</v>
      </c>
      <c r="AD72">
        <v>40.892246</v>
      </c>
      <c r="AE72">
        <v>41.893551000000002</v>
      </c>
      <c r="AF72">
        <v>43.440745999999997</v>
      </c>
      <c r="AG72" s="22">
        <v>0.02</v>
      </c>
    </row>
    <row r="73" spans="1:33" x14ac:dyDescent="0.25">
      <c r="A73" t="s">
        <v>238</v>
      </c>
      <c r="B73" t="s">
        <v>360</v>
      </c>
      <c r="C73" t="s">
        <v>361</v>
      </c>
      <c r="D73" t="s">
        <v>349</v>
      </c>
      <c r="F73">
        <v>6.7460779999999998</v>
      </c>
      <c r="G73">
        <v>7.6247509999999998</v>
      </c>
      <c r="H73">
        <v>8.1371490000000009</v>
      </c>
      <c r="I73">
        <v>9.3182950000000009</v>
      </c>
      <c r="J73">
        <v>10.659361000000001</v>
      </c>
      <c r="K73">
        <v>12.053770999999999</v>
      </c>
      <c r="L73">
        <v>13.582098999999999</v>
      </c>
      <c r="M73">
        <v>13.93248</v>
      </c>
      <c r="N73">
        <v>14.188656</v>
      </c>
      <c r="O73">
        <v>14.782047</v>
      </c>
      <c r="P73">
        <v>15.231493</v>
      </c>
      <c r="Q73">
        <v>15.7293</v>
      </c>
      <c r="R73">
        <v>16.150296999999998</v>
      </c>
      <c r="S73">
        <v>16.639703999999998</v>
      </c>
      <c r="T73">
        <v>17.127310000000001</v>
      </c>
      <c r="U73">
        <v>17.505310000000001</v>
      </c>
      <c r="V73">
        <v>18.038643</v>
      </c>
      <c r="W73">
        <v>18.587471000000001</v>
      </c>
      <c r="X73">
        <v>19.175329000000001</v>
      </c>
      <c r="Y73">
        <v>19.669559</v>
      </c>
      <c r="Z73">
        <v>20.001068</v>
      </c>
      <c r="AA73">
        <v>20.508837</v>
      </c>
      <c r="AB73">
        <v>21.422373</v>
      </c>
      <c r="AC73">
        <v>21.833618000000001</v>
      </c>
      <c r="AD73">
        <v>22.393961000000001</v>
      </c>
      <c r="AE73">
        <v>23.080089999999998</v>
      </c>
      <c r="AF73">
        <v>24.547923999999998</v>
      </c>
      <c r="AG73" s="22">
        <v>5.0999999999999997E-2</v>
      </c>
    </row>
    <row r="74" spans="1:33" x14ac:dyDescent="0.25">
      <c r="A74" t="s">
        <v>141</v>
      </c>
      <c r="B74" t="s">
        <v>362</v>
      </c>
      <c r="C74" t="s">
        <v>363</v>
      </c>
      <c r="D74" t="s">
        <v>349</v>
      </c>
      <c r="F74">
        <v>9.5558580000000006</v>
      </c>
      <c r="G74">
        <v>8.6472049999999996</v>
      </c>
      <c r="H74">
        <v>8.8948870000000007</v>
      </c>
      <c r="I74">
        <v>8.9821980000000003</v>
      </c>
      <c r="J74">
        <v>9.2383120000000005</v>
      </c>
      <c r="K74">
        <v>9.593985</v>
      </c>
      <c r="L74">
        <v>10.006990999999999</v>
      </c>
      <c r="M74">
        <v>10.378997</v>
      </c>
      <c r="N74">
        <v>11.008718</v>
      </c>
      <c r="O74">
        <v>11.624795000000001</v>
      </c>
      <c r="P74">
        <v>12.127806</v>
      </c>
      <c r="Q74">
        <v>12.511601000000001</v>
      </c>
      <c r="R74">
        <v>12.748526</v>
      </c>
      <c r="S74">
        <v>12.961295</v>
      </c>
      <c r="T74">
        <v>13.166964999999999</v>
      </c>
      <c r="U74">
        <v>13.32591</v>
      </c>
      <c r="V74">
        <v>13.605648</v>
      </c>
      <c r="W74">
        <v>14.017473000000001</v>
      </c>
      <c r="X74">
        <v>14.422617000000001</v>
      </c>
      <c r="Y74">
        <v>14.824856</v>
      </c>
      <c r="Z74">
        <v>15.191046999999999</v>
      </c>
      <c r="AA74">
        <v>15.612323</v>
      </c>
      <c r="AB74">
        <v>16.065739000000001</v>
      </c>
      <c r="AC74">
        <v>16.455938</v>
      </c>
      <c r="AD74">
        <v>16.838379</v>
      </c>
      <c r="AE74">
        <v>17.318549999999998</v>
      </c>
      <c r="AF74">
        <v>17.797931999999999</v>
      </c>
      <c r="AG74" s="22">
        <v>2.4E-2</v>
      </c>
    </row>
    <row r="75" spans="1:33" x14ac:dyDescent="0.25">
      <c r="A75" t="s">
        <v>230</v>
      </c>
      <c r="B75" t="s">
        <v>364</v>
      </c>
      <c r="C75" t="s">
        <v>365</v>
      </c>
      <c r="D75" t="s">
        <v>349</v>
      </c>
      <c r="F75">
        <v>38.551605000000002</v>
      </c>
      <c r="G75">
        <v>38.373066000000001</v>
      </c>
      <c r="H75">
        <v>36.430439</v>
      </c>
      <c r="I75">
        <v>34.949959</v>
      </c>
      <c r="J75">
        <v>35.440617000000003</v>
      </c>
      <c r="K75">
        <v>36.461376000000001</v>
      </c>
      <c r="L75">
        <v>37.692256999999998</v>
      </c>
      <c r="M75">
        <v>39.158566</v>
      </c>
      <c r="N75">
        <v>40.593860999999997</v>
      </c>
      <c r="O75">
        <v>42.401679999999999</v>
      </c>
      <c r="P75">
        <v>43.685726000000003</v>
      </c>
      <c r="Q75">
        <v>44.42812</v>
      </c>
      <c r="R75">
        <v>44.932620999999997</v>
      </c>
      <c r="S75">
        <v>45.491875</v>
      </c>
      <c r="T75">
        <v>46.729762999999998</v>
      </c>
      <c r="U75">
        <v>47.292721</v>
      </c>
      <c r="V75">
        <v>48.106780999999998</v>
      </c>
      <c r="W75">
        <v>49.142422000000003</v>
      </c>
      <c r="X75">
        <v>50.434947999999999</v>
      </c>
      <c r="Y75">
        <v>51.762238000000004</v>
      </c>
      <c r="Z75">
        <v>53.199848000000003</v>
      </c>
      <c r="AA75">
        <v>54.606940999999999</v>
      </c>
      <c r="AB75">
        <v>56.062114999999999</v>
      </c>
      <c r="AC75">
        <v>57.402596000000003</v>
      </c>
      <c r="AD75">
        <v>59.100903000000002</v>
      </c>
      <c r="AE75">
        <v>60.797061999999997</v>
      </c>
      <c r="AF75">
        <v>62.602421</v>
      </c>
      <c r="AG75" s="22">
        <v>1.9E-2</v>
      </c>
    </row>
    <row r="76" spans="1:33" x14ac:dyDescent="0.25">
      <c r="A76" t="s">
        <v>245</v>
      </c>
    </row>
    <row r="77" spans="1:33" x14ac:dyDescent="0.25">
      <c r="A77" t="s">
        <v>221</v>
      </c>
      <c r="B77" t="s">
        <v>366</v>
      </c>
      <c r="C77" t="s">
        <v>367</v>
      </c>
      <c r="D77" t="s">
        <v>349</v>
      </c>
      <c r="F77">
        <v>12.660259999999999</v>
      </c>
      <c r="G77">
        <v>12.863892999999999</v>
      </c>
      <c r="H77">
        <v>13.973295</v>
      </c>
      <c r="I77">
        <v>14.048564000000001</v>
      </c>
      <c r="J77">
        <v>14.435790000000001</v>
      </c>
      <c r="K77">
        <v>15.016266999999999</v>
      </c>
      <c r="L77">
        <v>15.940687</v>
      </c>
      <c r="M77">
        <v>16.794920000000001</v>
      </c>
      <c r="N77">
        <v>18.076533999999999</v>
      </c>
      <c r="O77">
        <v>19.648005999999999</v>
      </c>
      <c r="P77">
        <v>20.929110000000001</v>
      </c>
      <c r="Q77">
        <v>21.779828999999999</v>
      </c>
      <c r="R77">
        <v>22.498992999999999</v>
      </c>
      <c r="S77">
        <v>23.113136000000001</v>
      </c>
      <c r="T77">
        <v>23.563790999999998</v>
      </c>
      <c r="U77">
        <v>24.032267000000001</v>
      </c>
      <c r="V77">
        <v>24.667186999999998</v>
      </c>
      <c r="W77">
        <v>25.551607000000001</v>
      </c>
      <c r="X77">
        <v>26.389659999999999</v>
      </c>
      <c r="Y77">
        <v>27.487337</v>
      </c>
      <c r="Z77">
        <v>28.789852</v>
      </c>
      <c r="AA77">
        <v>29.676821</v>
      </c>
      <c r="AB77">
        <v>30.551476999999998</v>
      </c>
      <c r="AC77">
        <v>31.264862000000001</v>
      </c>
      <c r="AD77">
        <v>32.095585</v>
      </c>
      <c r="AE77">
        <v>33.291041999999997</v>
      </c>
      <c r="AF77">
        <v>35.072429999999997</v>
      </c>
      <c r="AG77" s="22">
        <v>0.04</v>
      </c>
    </row>
    <row r="78" spans="1:33" x14ac:dyDescent="0.25">
      <c r="A78" t="s">
        <v>225</v>
      </c>
      <c r="B78" t="s">
        <v>368</v>
      </c>
      <c r="C78" t="s">
        <v>369</v>
      </c>
      <c r="D78" t="s">
        <v>349</v>
      </c>
      <c r="F78">
        <v>26.091763</v>
      </c>
      <c r="G78">
        <v>25.104552999999999</v>
      </c>
      <c r="H78">
        <v>24.310030000000001</v>
      </c>
      <c r="I78">
        <v>24.150815999999999</v>
      </c>
      <c r="J78">
        <v>24.251072000000001</v>
      </c>
      <c r="K78">
        <v>24.374624000000001</v>
      </c>
      <c r="L78">
        <v>24.563075999999999</v>
      </c>
      <c r="M78">
        <v>25.124552000000001</v>
      </c>
      <c r="N78">
        <v>25.502511999999999</v>
      </c>
      <c r="O78">
        <v>26.454291999999999</v>
      </c>
      <c r="P78">
        <v>27.189726</v>
      </c>
      <c r="Q78">
        <v>28.066748</v>
      </c>
      <c r="R78">
        <v>28.804397999999999</v>
      </c>
      <c r="S78">
        <v>29.743266999999999</v>
      </c>
      <c r="T78">
        <v>30.491645999999999</v>
      </c>
      <c r="U78">
        <v>31.270137999999999</v>
      </c>
      <c r="V78">
        <v>32.174793000000001</v>
      </c>
      <c r="W78">
        <v>33.254626999999999</v>
      </c>
      <c r="X78">
        <v>34.312598999999999</v>
      </c>
      <c r="Y78">
        <v>35.515113999999997</v>
      </c>
      <c r="Z78">
        <v>37.282944000000001</v>
      </c>
      <c r="AA78">
        <v>37.979281999999998</v>
      </c>
      <c r="AB78">
        <v>38.965358999999999</v>
      </c>
      <c r="AC78">
        <v>39.780513999999997</v>
      </c>
      <c r="AD78">
        <v>40.661529999999999</v>
      </c>
      <c r="AE78">
        <v>41.649814999999997</v>
      </c>
      <c r="AF78">
        <v>43.196086999999999</v>
      </c>
      <c r="AG78" s="22">
        <v>0.02</v>
      </c>
    </row>
    <row r="79" spans="1:33" x14ac:dyDescent="0.25">
      <c r="A79" t="s">
        <v>238</v>
      </c>
      <c r="B79" t="s">
        <v>370</v>
      </c>
      <c r="C79" t="s">
        <v>371</v>
      </c>
      <c r="D79" t="s">
        <v>349</v>
      </c>
      <c r="F79">
        <v>7.8346600000000004</v>
      </c>
      <c r="G79">
        <v>9.0293419999999998</v>
      </c>
      <c r="H79">
        <v>9.7912789999999994</v>
      </c>
      <c r="I79">
        <v>11.215009999999999</v>
      </c>
      <c r="J79">
        <v>12.772719</v>
      </c>
      <c r="K79">
        <v>14.460553000000001</v>
      </c>
      <c r="L79">
        <v>16.301507999999998</v>
      </c>
      <c r="M79">
        <v>16.756364999999999</v>
      </c>
      <c r="N79">
        <v>17.084602</v>
      </c>
      <c r="O79">
        <v>17.806349000000001</v>
      </c>
      <c r="P79">
        <v>18.351042</v>
      </c>
      <c r="Q79">
        <v>18.963621</v>
      </c>
      <c r="R79">
        <v>19.480530000000002</v>
      </c>
      <c r="S79">
        <v>20.060932000000001</v>
      </c>
      <c r="T79">
        <v>20.631222000000001</v>
      </c>
      <c r="U79">
        <v>21.096069</v>
      </c>
      <c r="V79">
        <v>21.696745</v>
      </c>
      <c r="W79">
        <v>22.315178</v>
      </c>
      <c r="X79">
        <v>23.010377999999999</v>
      </c>
      <c r="Y79">
        <v>23.606112</v>
      </c>
      <c r="Z79">
        <v>24.056906000000001</v>
      </c>
      <c r="AA79">
        <v>24.588398000000002</v>
      </c>
      <c r="AB79">
        <v>25.598199999999999</v>
      </c>
      <c r="AC79">
        <v>26.115402</v>
      </c>
      <c r="AD79">
        <v>26.772155999999999</v>
      </c>
      <c r="AE79">
        <v>27.564425</v>
      </c>
      <c r="AF79">
        <v>29.134497</v>
      </c>
      <c r="AG79" s="22">
        <v>5.1999999999999998E-2</v>
      </c>
    </row>
    <row r="80" spans="1:33" x14ac:dyDescent="0.25">
      <c r="A80" t="s">
        <v>141</v>
      </c>
      <c r="B80" t="s">
        <v>372</v>
      </c>
      <c r="C80" t="s">
        <v>373</v>
      </c>
      <c r="D80" t="s">
        <v>349</v>
      </c>
      <c r="F80">
        <v>3.3370700000000002</v>
      </c>
      <c r="G80">
        <v>4.0927530000000001</v>
      </c>
      <c r="H80">
        <v>4.0591189999999999</v>
      </c>
      <c r="I80">
        <v>4.0004660000000003</v>
      </c>
      <c r="J80">
        <v>4.160158</v>
      </c>
      <c r="K80">
        <v>4.3992430000000002</v>
      </c>
      <c r="L80">
        <v>4.7164910000000004</v>
      </c>
      <c r="M80">
        <v>4.9954320000000001</v>
      </c>
      <c r="N80">
        <v>5.6141889999999997</v>
      </c>
      <c r="O80">
        <v>6.1510889999999998</v>
      </c>
      <c r="P80">
        <v>6.5715570000000003</v>
      </c>
      <c r="Q80">
        <v>6.8159470000000004</v>
      </c>
      <c r="R80">
        <v>6.9412269999999996</v>
      </c>
      <c r="S80">
        <v>7.0202850000000003</v>
      </c>
      <c r="T80">
        <v>7.0872219999999997</v>
      </c>
      <c r="U80">
        <v>7.1248690000000003</v>
      </c>
      <c r="V80">
        <v>7.3023290000000003</v>
      </c>
      <c r="W80">
        <v>7.5886990000000001</v>
      </c>
      <c r="X80">
        <v>7.871264</v>
      </c>
      <c r="Y80">
        <v>8.1534180000000003</v>
      </c>
      <c r="Z80">
        <v>8.4151480000000003</v>
      </c>
      <c r="AA80">
        <v>8.6791280000000004</v>
      </c>
      <c r="AB80">
        <v>8.9535090000000004</v>
      </c>
      <c r="AC80">
        <v>9.1652679999999993</v>
      </c>
      <c r="AD80">
        <v>9.3972429999999996</v>
      </c>
      <c r="AE80">
        <v>9.7139530000000001</v>
      </c>
      <c r="AF80">
        <v>10.048857</v>
      </c>
      <c r="AG80" s="22">
        <v>4.2999999999999997E-2</v>
      </c>
    </row>
    <row r="81" spans="1:33" x14ac:dyDescent="0.25">
      <c r="A81" t="s">
        <v>254</v>
      </c>
      <c r="B81" t="s">
        <v>374</v>
      </c>
      <c r="C81" t="s">
        <v>375</v>
      </c>
      <c r="D81" t="s">
        <v>349</v>
      </c>
      <c r="F81">
        <v>7.7677550000000002</v>
      </c>
      <c r="G81">
        <v>7.7962429999999996</v>
      </c>
      <c r="H81">
        <v>7.8714389999999996</v>
      </c>
      <c r="I81">
        <v>7.9715699999999998</v>
      </c>
      <c r="J81">
        <v>8.0856320000000004</v>
      </c>
      <c r="K81">
        <v>8.2210680000000007</v>
      </c>
      <c r="L81">
        <v>8.3729139999999997</v>
      </c>
      <c r="M81">
        <v>8.5523050000000005</v>
      </c>
      <c r="N81">
        <v>8.7600099999999994</v>
      </c>
      <c r="O81">
        <v>8.9517279999999992</v>
      </c>
      <c r="P81">
        <v>9.1062159999999999</v>
      </c>
      <c r="Q81">
        <v>9.3269749999999991</v>
      </c>
      <c r="R81">
        <v>9.5201589999999996</v>
      </c>
      <c r="S81">
        <v>9.7152130000000003</v>
      </c>
      <c r="T81">
        <v>9.9198819999999994</v>
      </c>
      <c r="U81">
        <v>10.098601</v>
      </c>
      <c r="V81">
        <v>10.307525</v>
      </c>
      <c r="W81">
        <v>10.486297</v>
      </c>
      <c r="X81">
        <v>10.70411</v>
      </c>
      <c r="Y81">
        <v>10.927295000000001</v>
      </c>
      <c r="Z81">
        <v>11.176041</v>
      </c>
      <c r="AA81">
        <v>11.445536000000001</v>
      </c>
      <c r="AB81">
        <v>11.694777</v>
      </c>
      <c r="AC81">
        <v>11.951790000000001</v>
      </c>
      <c r="AD81">
        <v>12.221812</v>
      </c>
      <c r="AE81">
        <v>12.514791000000001</v>
      </c>
      <c r="AF81">
        <v>12.798068000000001</v>
      </c>
      <c r="AG81" s="22">
        <v>1.9E-2</v>
      </c>
    </row>
    <row r="82" spans="1:33" x14ac:dyDescent="0.25">
      <c r="A82" t="s">
        <v>257</v>
      </c>
      <c r="B82" t="s">
        <v>376</v>
      </c>
      <c r="C82" t="s">
        <v>377</v>
      </c>
      <c r="D82" t="s">
        <v>349</v>
      </c>
      <c r="F82">
        <v>3.572155</v>
      </c>
      <c r="G82">
        <v>3.6983359999999998</v>
      </c>
      <c r="H82">
        <v>3.7553930000000002</v>
      </c>
      <c r="I82">
        <v>3.8002570000000002</v>
      </c>
      <c r="J82">
        <v>3.8394870000000001</v>
      </c>
      <c r="K82">
        <v>3.8946749999999999</v>
      </c>
      <c r="L82">
        <v>3.9393150000000001</v>
      </c>
      <c r="M82">
        <v>3.9801609999999998</v>
      </c>
      <c r="N82">
        <v>4.025944</v>
      </c>
      <c r="O82">
        <v>4.1088760000000004</v>
      </c>
      <c r="P82">
        <v>4.1785189999999997</v>
      </c>
      <c r="Q82">
        <v>4.2372209999999999</v>
      </c>
      <c r="R82">
        <v>4.332891</v>
      </c>
      <c r="S82">
        <v>4.4255490000000002</v>
      </c>
      <c r="T82">
        <v>4.5294639999999999</v>
      </c>
      <c r="U82">
        <v>4.6176219999999999</v>
      </c>
      <c r="V82">
        <v>4.717606</v>
      </c>
      <c r="W82">
        <v>4.8102299999999998</v>
      </c>
      <c r="X82">
        <v>4.9049699999999996</v>
      </c>
      <c r="Y82">
        <v>5.0171749999999999</v>
      </c>
      <c r="Z82">
        <v>5.1339889999999997</v>
      </c>
      <c r="AA82">
        <v>5.260872</v>
      </c>
      <c r="AB82">
        <v>5.3938689999999996</v>
      </c>
      <c r="AC82">
        <v>5.5234389999999998</v>
      </c>
      <c r="AD82">
        <v>5.6481669999999999</v>
      </c>
      <c r="AE82">
        <v>5.7793190000000001</v>
      </c>
      <c r="AF82">
        <v>5.9209149999999999</v>
      </c>
      <c r="AG82" s="22">
        <v>0.02</v>
      </c>
    </row>
    <row r="83" spans="1:33" x14ac:dyDescent="0.25">
      <c r="A83" t="s">
        <v>260</v>
      </c>
      <c r="B83" t="s">
        <v>378</v>
      </c>
      <c r="C83" t="s">
        <v>379</v>
      </c>
      <c r="D83" t="s">
        <v>349</v>
      </c>
      <c r="F83">
        <v>9.5338750000000001</v>
      </c>
      <c r="G83">
        <v>10.837247</v>
      </c>
      <c r="H83">
        <v>10.910973</v>
      </c>
      <c r="I83">
        <v>11.000693999999999</v>
      </c>
      <c r="J83">
        <v>11.350652999999999</v>
      </c>
      <c r="K83">
        <v>11.804646</v>
      </c>
      <c r="L83">
        <v>12.336460000000001</v>
      </c>
      <c r="M83">
        <v>12.880520000000001</v>
      </c>
      <c r="N83">
        <v>13.527663</v>
      </c>
      <c r="O83">
        <v>14.437381999999999</v>
      </c>
      <c r="P83">
        <v>15.207238</v>
      </c>
      <c r="Q83">
        <v>15.714464</v>
      </c>
      <c r="R83">
        <v>15.976162</v>
      </c>
      <c r="S83">
        <v>16.201198999999999</v>
      </c>
      <c r="T83">
        <v>16.814762000000002</v>
      </c>
      <c r="U83">
        <v>17.255486999999999</v>
      </c>
      <c r="V83">
        <v>17.601434999999999</v>
      </c>
      <c r="W83">
        <v>17.801258000000001</v>
      </c>
      <c r="X83">
        <v>18.058201</v>
      </c>
      <c r="Y83">
        <v>18.54907</v>
      </c>
      <c r="Z83">
        <v>19.218167999999999</v>
      </c>
      <c r="AA83">
        <v>19.597013</v>
      </c>
      <c r="AB83">
        <v>20.066286000000002</v>
      </c>
      <c r="AC83">
        <v>20.483709000000001</v>
      </c>
      <c r="AD83">
        <v>21.006063000000001</v>
      </c>
      <c r="AE83">
        <v>21.253933</v>
      </c>
      <c r="AF83">
        <v>21.909707999999998</v>
      </c>
      <c r="AG83" s="22">
        <v>3.3000000000000002E-2</v>
      </c>
    </row>
    <row r="84" spans="1:33" x14ac:dyDescent="0.25">
      <c r="A84" t="s">
        <v>230</v>
      </c>
      <c r="B84" t="s">
        <v>380</v>
      </c>
      <c r="C84" t="s">
        <v>381</v>
      </c>
      <c r="D84" t="s">
        <v>349</v>
      </c>
      <c r="F84">
        <v>26.507746000000001</v>
      </c>
      <c r="G84">
        <v>26.453053000000001</v>
      </c>
      <c r="H84">
        <v>24.42614</v>
      </c>
      <c r="I84">
        <v>23.377502</v>
      </c>
      <c r="J84">
        <v>23.656490000000002</v>
      </c>
      <c r="K84">
        <v>24.427060999999998</v>
      </c>
      <c r="L84">
        <v>25.361464999999999</v>
      </c>
      <c r="M84">
        <v>26.565577999999999</v>
      </c>
      <c r="N84">
        <v>27.891041000000001</v>
      </c>
      <c r="O84">
        <v>29.39677</v>
      </c>
      <c r="P84">
        <v>30.297053999999999</v>
      </c>
      <c r="Q84">
        <v>30.728235000000002</v>
      </c>
      <c r="R84">
        <v>30.964787999999999</v>
      </c>
      <c r="S84">
        <v>31.339683999999998</v>
      </c>
      <c r="T84">
        <v>32.121273000000002</v>
      </c>
      <c r="U84">
        <v>32.630164999999998</v>
      </c>
      <c r="V84">
        <v>33.200687000000002</v>
      </c>
      <c r="W84">
        <v>33.926659000000001</v>
      </c>
      <c r="X84">
        <v>34.844383000000001</v>
      </c>
      <c r="Y84">
        <v>35.767386999999999</v>
      </c>
      <c r="Z84">
        <v>36.764690000000002</v>
      </c>
      <c r="AA84">
        <v>37.748009000000003</v>
      </c>
      <c r="AB84">
        <v>38.769558000000004</v>
      </c>
      <c r="AC84">
        <v>39.806170999999999</v>
      </c>
      <c r="AD84">
        <v>40.988098000000001</v>
      </c>
      <c r="AE84">
        <v>42.221344000000002</v>
      </c>
      <c r="AF84">
        <v>43.553733999999999</v>
      </c>
      <c r="AG84" s="22">
        <v>1.9E-2</v>
      </c>
    </row>
    <row r="85" spans="1:33" x14ac:dyDescent="0.25">
      <c r="A85" t="s">
        <v>265</v>
      </c>
    </row>
    <row r="86" spans="1:33" x14ac:dyDescent="0.25">
      <c r="A86" t="s">
        <v>221</v>
      </c>
      <c r="B86" t="s">
        <v>382</v>
      </c>
      <c r="C86" t="s">
        <v>383</v>
      </c>
      <c r="D86" t="s">
        <v>349</v>
      </c>
      <c r="F86">
        <v>17.589244999999998</v>
      </c>
      <c r="G86">
        <v>18.113503999999999</v>
      </c>
      <c r="H86">
        <v>19.288139000000001</v>
      </c>
      <c r="I86">
        <v>19.402616999999999</v>
      </c>
      <c r="J86">
        <v>19.884892000000001</v>
      </c>
      <c r="K86">
        <v>20.528611999999999</v>
      </c>
      <c r="L86">
        <v>21.475200999999998</v>
      </c>
      <c r="M86">
        <v>22.341840999999999</v>
      </c>
      <c r="N86">
        <v>23.592442999999999</v>
      </c>
      <c r="O86">
        <v>25.057929999999999</v>
      </c>
      <c r="P86">
        <v>26.243190999999999</v>
      </c>
      <c r="Q86">
        <v>27.078346</v>
      </c>
      <c r="R86">
        <v>27.828451000000001</v>
      </c>
      <c r="S86">
        <v>28.507137</v>
      </c>
      <c r="T86">
        <v>29.06373</v>
      </c>
      <c r="U86">
        <v>29.6493</v>
      </c>
      <c r="V86">
        <v>30.380901000000001</v>
      </c>
      <c r="W86">
        <v>31.317350000000001</v>
      </c>
      <c r="X86">
        <v>32.205607999999998</v>
      </c>
      <c r="Y86">
        <v>33.315407</v>
      </c>
      <c r="Z86">
        <v>34.580157999999997</v>
      </c>
      <c r="AA86">
        <v>35.500400999999997</v>
      </c>
      <c r="AB86">
        <v>36.442253000000001</v>
      </c>
      <c r="AC86">
        <v>37.269359999999999</v>
      </c>
      <c r="AD86">
        <v>38.210121000000001</v>
      </c>
      <c r="AE86">
        <v>39.444865999999998</v>
      </c>
      <c r="AF86">
        <v>41.127124999999999</v>
      </c>
      <c r="AG86" s="22">
        <v>3.3000000000000002E-2</v>
      </c>
    </row>
    <row r="87" spans="1:33" x14ac:dyDescent="0.25">
      <c r="A87" t="s">
        <v>268</v>
      </c>
      <c r="B87" t="s">
        <v>384</v>
      </c>
      <c r="C87" t="s">
        <v>385</v>
      </c>
      <c r="D87" t="s">
        <v>349</v>
      </c>
      <c r="F87">
        <v>28.823729</v>
      </c>
      <c r="G87">
        <v>29.528929000000002</v>
      </c>
      <c r="H87">
        <v>31.362501000000002</v>
      </c>
      <c r="I87">
        <v>31.520689000000001</v>
      </c>
      <c r="J87">
        <v>31.560877000000001</v>
      </c>
      <c r="K87">
        <v>31.091464999999999</v>
      </c>
      <c r="L87">
        <v>31.677883000000001</v>
      </c>
      <c r="M87">
        <v>32.462654000000001</v>
      </c>
      <c r="N87">
        <v>32.887005000000002</v>
      </c>
      <c r="O87">
        <v>33.282158000000003</v>
      </c>
      <c r="P87">
        <v>33.961295999999997</v>
      </c>
      <c r="Q87">
        <v>34.411186000000001</v>
      </c>
      <c r="R87">
        <v>35.304825000000001</v>
      </c>
      <c r="S87">
        <v>35.816043999999998</v>
      </c>
      <c r="T87">
        <v>36.071959999999997</v>
      </c>
      <c r="U87">
        <v>36.661803999999997</v>
      </c>
      <c r="V87">
        <v>37.037909999999997</v>
      </c>
      <c r="W87">
        <v>37.390469000000003</v>
      </c>
      <c r="X87">
        <v>37.650630999999997</v>
      </c>
      <c r="Y87">
        <v>38.484287000000002</v>
      </c>
      <c r="Z87">
        <v>37.357737999999998</v>
      </c>
      <c r="AA87">
        <v>37.673003999999999</v>
      </c>
      <c r="AB87">
        <v>38.832993000000002</v>
      </c>
      <c r="AC87">
        <v>39.919426000000001</v>
      </c>
      <c r="AD87">
        <v>40.931694</v>
      </c>
      <c r="AE87">
        <v>42.123843999999998</v>
      </c>
      <c r="AF87">
        <v>43.591473000000001</v>
      </c>
      <c r="AG87" s="22">
        <v>1.6E-2</v>
      </c>
    </row>
    <row r="88" spans="1:33" x14ac:dyDescent="0.25">
      <c r="A88" t="s">
        <v>271</v>
      </c>
      <c r="B88" t="s">
        <v>386</v>
      </c>
      <c r="C88" t="s">
        <v>387</v>
      </c>
      <c r="D88" t="s">
        <v>349</v>
      </c>
      <c r="F88">
        <v>28.679842000000001</v>
      </c>
      <c r="G88">
        <v>27.649559</v>
      </c>
      <c r="H88">
        <v>26.447337999999998</v>
      </c>
      <c r="I88">
        <v>26.363968</v>
      </c>
      <c r="J88">
        <v>26.575915999999999</v>
      </c>
      <c r="K88">
        <v>26.740559000000001</v>
      </c>
      <c r="L88">
        <v>27.284904000000001</v>
      </c>
      <c r="M88">
        <v>27.857161000000001</v>
      </c>
      <c r="N88">
        <v>28.241078999999999</v>
      </c>
      <c r="O88">
        <v>28.688046</v>
      </c>
      <c r="P88">
        <v>29.259246999999998</v>
      </c>
      <c r="Q88">
        <v>29.643103</v>
      </c>
      <c r="R88">
        <v>30.416477</v>
      </c>
      <c r="S88">
        <v>30.857229</v>
      </c>
      <c r="T88">
        <v>31.085149999999999</v>
      </c>
      <c r="U88">
        <v>31.556293</v>
      </c>
      <c r="V88">
        <v>31.863880000000002</v>
      </c>
      <c r="W88">
        <v>32.172955000000002</v>
      </c>
      <c r="X88">
        <v>32.389519</v>
      </c>
      <c r="Y88">
        <v>33.129725999999998</v>
      </c>
      <c r="Z88">
        <v>32.171363999999997</v>
      </c>
      <c r="AA88">
        <v>32.448825999999997</v>
      </c>
      <c r="AB88">
        <v>33.446316000000003</v>
      </c>
      <c r="AC88">
        <v>34.377803999999998</v>
      </c>
      <c r="AD88">
        <v>35.232975000000003</v>
      </c>
      <c r="AE88">
        <v>36.242747999999999</v>
      </c>
      <c r="AF88">
        <v>37.483806999999999</v>
      </c>
      <c r="AG88" s="22">
        <v>0.01</v>
      </c>
    </row>
    <row r="89" spans="1:33" x14ac:dyDescent="0.25">
      <c r="A89" t="s">
        <v>274</v>
      </c>
      <c r="B89" t="s">
        <v>388</v>
      </c>
      <c r="C89" t="s">
        <v>389</v>
      </c>
      <c r="D89" t="s">
        <v>349</v>
      </c>
      <c r="F89">
        <v>17.638923999999999</v>
      </c>
      <c r="G89">
        <v>16.730843</v>
      </c>
      <c r="H89">
        <v>16.808693000000002</v>
      </c>
      <c r="I89">
        <v>17.490393000000001</v>
      </c>
      <c r="J89">
        <v>18.456747</v>
      </c>
      <c r="K89">
        <v>19.450320999999999</v>
      </c>
      <c r="L89">
        <v>20.549154000000001</v>
      </c>
      <c r="M89">
        <v>21.108609999999999</v>
      </c>
      <c r="N89">
        <v>21.421351999999999</v>
      </c>
      <c r="O89">
        <v>22.26915</v>
      </c>
      <c r="P89">
        <v>22.921453</v>
      </c>
      <c r="Q89">
        <v>23.680696000000001</v>
      </c>
      <c r="R89">
        <v>24.265625</v>
      </c>
      <c r="S89">
        <v>25.095047000000001</v>
      </c>
      <c r="T89">
        <v>25.913125999999998</v>
      </c>
      <c r="U89">
        <v>26.590033999999999</v>
      </c>
      <c r="V89">
        <v>27.377469999999999</v>
      </c>
      <c r="W89">
        <v>28.422378999999999</v>
      </c>
      <c r="X89">
        <v>29.418960999999999</v>
      </c>
      <c r="Y89">
        <v>30.607809</v>
      </c>
      <c r="Z89">
        <v>32.390098999999999</v>
      </c>
      <c r="AA89">
        <v>33.059134999999998</v>
      </c>
      <c r="AB89">
        <v>33.981655000000003</v>
      </c>
      <c r="AC89">
        <v>34.762340999999999</v>
      </c>
      <c r="AD89">
        <v>35.556072</v>
      </c>
      <c r="AE89">
        <v>36.506385999999999</v>
      </c>
      <c r="AF89">
        <v>38.042904</v>
      </c>
      <c r="AG89" s="22">
        <v>0.03</v>
      </c>
    </row>
    <row r="90" spans="1:33" x14ac:dyDescent="0.25">
      <c r="A90" t="s">
        <v>277</v>
      </c>
      <c r="B90" t="s">
        <v>390</v>
      </c>
      <c r="C90" t="s">
        <v>391</v>
      </c>
      <c r="D90" t="s">
        <v>349</v>
      </c>
      <c r="F90">
        <v>27.283649</v>
      </c>
      <c r="G90">
        <v>26.115432999999999</v>
      </c>
      <c r="H90">
        <v>25.960787</v>
      </c>
      <c r="I90">
        <v>26.409092000000001</v>
      </c>
      <c r="J90">
        <v>27.145966000000001</v>
      </c>
      <c r="K90">
        <v>27.884150000000002</v>
      </c>
      <c r="L90">
        <v>28.804071</v>
      </c>
      <c r="M90">
        <v>29.447966000000001</v>
      </c>
      <c r="N90">
        <v>29.907007</v>
      </c>
      <c r="O90">
        <v>31.000999</v>
      </c>
      <c r="P90">
        <v>31.835326999999999</v>
      </c>
      <c r="Q90">
        <v>32.823836999999997</v>
      </c>
      <c r="R90">
        <v>33.706982000000004</v>
      </c>
      <c r="S90">
        <v>34.75103</v>
      </c>
      <c r="T90">
        <v>35.600650999999999</v>
      </c>
      <c r="U90">
        <v>36.515694000000003</v>
      </c>
      <c r="V90">
        <v>37.492652999999997</v>
      </c>
      <c r="W90">
        <v>38.730370000000001</v>
      </c>
      <c r="X90">
        <v>39.902431</v>
      </c>
      <c r="Y90">
        <v>41.264983999999998</v>
      </c>
      <c r="Z90">
        <v>43.238216000000001</v>
      </c>
      <c r="AA90">
        <v>44.208621999999998</v>
      </c>
      <c r="AB90">
        <v>45.142673000000002</v>
      </c>
      <c r="AC90">
        <v>45.975689000000003</v>
      </c>
      <c r="AD90">
        <v>47.109848</v>
      </c>
      <c r="AE90">
        <v>48.095073999999997</v>
      </c>
      <c r="AF90">
        <v>49.921055000000003</v>
      </c>
      <c r="AG90" s="22">
        <v>2.4E-2</v>
      </c>
    </row>
    <row r="91" spans="1:33" x14ac:dyDescent="0.25">
      <c r="A91" t="s">
        <v>238</v>
      </c>
      <c r="B91" t="s">
        <v>392</v>
      </c>
      <c r="C91" t="s">
        <v>393</v>
      </c>
      <c r="D91" t="s">
        <v>349</v>
      </c>
      <c r="F91">
        <v>13.401297</v>
      </c>
      <c r="G91">
        <v>12.08642</v>
      </c>
      <c r="H91">
        <v>13.143271</v>
      </c>
      <c r="I91">
        <v>13.269609000000001</v>
      </c>
      <c r="J91">
        <v>13.449490000000001</v>
      </c>
      <c r="K91">
        <v>13.681735</v>
      </c>
      <c r="L91">
        <v>13.963659</v>
      </c>
      <c r="M91">
        <v>14.334046000000001</v>
      </c>
      <c r="N91">
        <v>14.58601</v>
      </c>
      <c r="O91">
        <v>15.138056000000001</v>
      </c>
      <c r="P91">
        <v>15.579435999999999</v>
      </c>
      <c r="Q91">
        <v>16.071000999999999</v>
      </c>
      <c r="R91">
        <v>16.472446000000001</v>
      </c>
      <c r="S91">
        <v>16.93008</v>
      </c>
      <c r="T91">
        <v>17.407122000000001</v>
      </c>
      <c r="U91">
        <v>17.802527999999999</v>
      </c>
      <c r="V91">
        <v>18.289397999999998</v>
      </c>
      <c r="W91">
        <v>18.827922999999998</v>
      </c>
      <c r="X91">
        <v>19.382304999999999</v>
      </c>
      <c r="Y91">
        <v>19.961055999999999</v>
      </c>
      <c r="Z91">
        <v>20.45513</v>
      </c>
      <c r="AA91">
        <v>20.639216999999999</v>
      </c>
      <c r="AB91">
        <v>21.468081999999999</v>
      </c>
      <c r="AC91">
        <v>21.923960000000001</v>
      </c>
      <c r="AD91">
        <v>22.452873</v>
      </c>
      <c r="AE91">
        <v>23.112991000000001</v>
      </c>
      <c r="AF91">
        <v>24.391928</v>
      </c>
      <c r="AG91" s="22">
        <v>2.3E-2</v>
      </c>
    </row>
    <row r="92" spans="1:33" x14ac:dyDescent="0.25">
      <c r="A92" t="s">
        <v>141</v>
      </c>
      <c r="B92" t="s">
        <v>394</v>
      </c>
      <c r="C92" t="s">
        <v>395</v>
      </c>
      <c r="D92" t="s">
        <v>349</v>
      </c>
      <c r="F92">
        <v>14.514303</v>
      </c>
      <c r="G92">
        <v>15.353681</v>
      </c>
      <c r="H92">
        <v>15.54298</v>
      </c>
      <c r="I92">
        <v>15.676928</v>
      </c>
      <c r="J92">
        <v>16.027996000000002</v>
      </c>
      <c r="K92">
        <v>16.458421999999999</v>
      </c>
      <c r="L92">
        <v>16.930371999999998</v>
      </c>
      <c r="M92">
        <v>17.408998</v>
      </c>
      <c r="N92">
        <v>18.207653000000001</v>
      </c>
      <c r="O92">
        <v>18.887893999999999</v>
      </c>
      <c r="P92">
        <v>19.448367999999999</v>
      </c>
      <c r="Q92">
        <v>19.869696000000001</v>
      </c>
      <c r="R92">
        <v>20.144455000000001</v>
      </c>
      <c r="S92">
        <v>20.387754000000001</v>
      </c>
      <c r="T92">
        <v>20.653176999999999</v>
      </c>
      <c r="U92">
        <v>20.842625000000002</v>
      </c>
      <c r="V92">
        <v>21.180105000000001</v>
      </c>
      <c r="W92">
        <v>21.65204</v>
      </c>
      <c r="X92">
        <v>22.116914999999999</v>
      </c>
      <c r="Y92">
        <v>22.599672000000002</v>
      </c>
      <c r="Z92">
        <v>23.054102</v>
      </c>
      <c r="AA92">
        <v>23.532368000000002</v>
      </c>
      <c r="AB92">
        <v>24.045355000000001</v>
      </c>
      <c r="AC92">
        <v>24.474930000000001</v>
      </c>
      <c r="AD92">
        <v>24.923931</v>
      </c>
      <c r="AE92">
        <v>25.479113000000002</v>
      </c>
      <c r="AF92">
        <v>26.036836999999998</v>
      </c>
      <c r="AG92" s="22">
        <v>2.3E-2</v>
      </c>
    </row>
    <row r="93" spans="1:33" x14ac:dyDescent="0.25">
      <c r="A93" t="s">
        <v>230</v>
      </c>
      <c r="B93" t="s">
        <v>396</v>
      </c>
      <c r="C93" t="s">
        <v>397</v>
      </c>
      <c r="D93" t="s">
        <v>349</v>
      </c>
      <c r="F93">
        <v>42.609589</v>
      </c>
      <c r="G93">
        <v>43.132472999999997</v>
      </c>
      <c r="H93">
        <v>41.167706000000003</v>
      </c>
      <c r="I93">
        <v>38.740616000000003</v>
      </c>
      <c r="J93">
        <v>39.278464999999997</v>
      </c>
      <c r="K93">
        <v>40.285549000000003</v>
      </c>
      <c r="L93">
        <v>41.567706999999999</v>
      </c>
      <c r="M93">
        <v>43.305411999999997</v>
      </c>
      <c r="N93">
        <v>44.980736</v>
      </c>
      <c r="O93">
        <v>47.198867999999997</v>
      </c>
      <c r="P93">
        <v>48.686225999999998</v>
      </c>
      <c r="Q93">
        <v>49.814906999999998</v>
      </c>
      <c r="R93">
        <v>50.725760999999999</v>
      </c>
      <c r="S93">
        <v>51.426571000000003</v>
      </c>
      <c r="T93">
        <v>52.990257</v>
      </c>
      <c r="U93">
        <v>53.319035</v>
      </c>
      <c r="V93">
        <v>54.038769000000002</v>
      </c>
      <c r="W93">
        <v>55.149054999999997</v>
      </c>
      <c r="X93">
        <v>56.833579999999998</v>
      </c>
      <c r="Y93">
        <v>58.384079</v>
      </c>
      <c r="Z93">
        <v>60.216900000000003</v>
      </c>
      <c r="AA93">
        <v>61.84684</v>
      </c>
      <c r="AB93">
        <v>63.485474000000004</v>
      </c>
      <c r="AC93">
        <v>64.850441000000004</v>
      </c>
      <c r="AD93">
        <v>67.204673999999997</v>
      </c>
      <c r="AE93">
        <v>69.173325000000006</v>
      </c>
      <c r="AF93">
        <v>71.287987000000001</v>
      </c>
      <c r="AG93" s="22">
        <v>0.02</v>
      </c>
    </row>
    <row r="94" spans="1:33" x14ac:dyDescent="0.25">
      <c r="A94" t="s">
        <v>288</v>
      </c>
    </row>
    <row r="95" spans="1:33" x14ac:dyDescent="0.25">
      <c r="A95" t="s">
        <v>225</v>
      </c>
      <c r="B95" t="s">
        <v>398</v>
      </c>
      <c r="C95" t="s">
        <v>399</v>
      </c>
      <c r="D95" t="s">
        <v>349</v>
      </c>
      <c r="F95">
        <v>26.137505000000001</v>
      </c>
      <c r="G95">
        <v>25.158467999999999</v>
      </c>
      <c r="H95">
        <v>24.349578999999999</v>
      </c>
      <c r="I95">
        <v>24.243880999999998</v>
      </c>
      <c r="J95">
        <v>24.290323000000001</v>
      </c>
      <c r="K95">
        <v>24.449207000000001</v>
      </c>
      <c r="L95">
        <v>24.764140999999999</v>
      </c>
      <c r="M95">
        <v>25.211271</v>
      </c>
      <c r="N95">
        <v>26.411995000000001</v>
      </c>
      <c r="O95">
        <v>27.32086</v>
      </c>
      <c r="P95">
        <v>28.020191000000001</v>
      </c>
      <c r="Q95">
        <v>28.843813000000001</v>
      </c>
      <c r="R95">
        <v>29.480864</v>
      </c>
      <c r="S95">
        <v>30.405664000000002</v>
      </c>
      <c r="T95">
        <v>31.232695</v>
      </c>
      <c r="U95">
        <v>31.988009999999999</v>
      </c>
      <c r="V95">
        <v>32.844948000000002</v>
      </c>
      <c r="W95">
        <v>33.953346000000003</v>
      </c>
      <c r="X95">
        <v>35.011749000000002</v>
      </c>
      <c r="Y95">
        <v>36.227688000000001</v>
      </c>
      <c r="Z95">
        <v>37.848587000000002</v>
      </c>
      <c r="AA95">
        <v>38.540751999999998</v>
      </c>
      <c r="AB95">
        <v>39.687569000000003</v>
      </c>
      <c r="AC95">
        <v>40.546863999999999</v>
      </c>
      <c r="AD95">
        <v>41.432865</v>
      </c>
      <c r="AE95">
        <v>42.511791000000002</v>
      </c>
      <c r="AF95">
        <v>44.099936999999997</v>
      </c>
      <c r="AG95" s="22">
        <v>0.02</v>
      </c>
    </row>
    <row r="96" spans="1:33" x14ac:dyDescent="0.25">
      <c r="A96" t="s">
        <v>238</v>
      </c>
      <c r="B96" t="s">
        <v>400</v>
      </c>
      <c r="C96" t="s">
        <v>401</v>
      </c>
      <c r="D96" t="s">
        <v>349</v>
      </c>
      <c r="F96">
        <v>17.394409</v>
      </c>
      <c r="G96">
        <v>13.952579</v>
      </c>
      <c r="H96">
        <v>14.129054</v>
      </c>
      <c r="I96">
        <v>15.084783</v>
      </c>
      <c r="J96">
        <v>16.160212999999999</v>
      </c>
      <c r="K96">
        <v>17.238125</v>
      </c>
      <c r="L96">
        <v>18.366261999999999</v>
      </c>
      <c r="M96">
        <v>18.919965999999999</v>
      </c>
      <c r="N96">
        <v>19.218084000000001</v>
      </c>
      <c r="O96">
        <v>19.919599999999999</v>
      </c>
      <c r="P96">
        <v>20.531452000000002</v>
      </c>
      <c r="Q96">
        <v>21.200205</v>
      </c>
      <c r="R96">
        <v>21.727136999999999</v>
      </c>
      <c r="S96">
        <v>22.323874</v>
      </c>
      <c r="T96">
        <v>22.959166</v>
      </c>
      <c r="U96">
        <v>23.445345</v>
      </c>
      <c r="V96">
        <v>24.050470000000001</v>
      </c>
      <c r="W96">
        <v>24.648952000000001</v>
      </c>
      <c r="X96">
        <v>25.158894</v>
      </c>
      <c r="Y96">
        <v>25.788281999999999</v>
      </c>
      <c r="Z96">
        <v>26.238935000000001</v>
      </c>
      <c r="AA96">
        <v>25.865458</v>
      </c>
      <c r="AB96">
        <v>26.939405000000001</v>
      </c>
      <c r="AC96">
        <v>27.569455999999999</v>
      </c>
      <c r="AD96">
        <v>28.261061000000002</v>
      </c>
      <c r="AE96">
        <v>29.120207000000001</v>
      </c>
      <c r="AF96">
        <v>30.707488999999999</v>
      </c>
      <c r="AG96" s="22">
        <v>2.1999999999999999E-2</v>
      </c>
    </row>
    <row r="97" spans="1:33" x14ac:dyDescent="0.25">
      <c r="A97" t="s">
        <v>141</v>
      </c>
      <c r="B97" t="s">
        <v>402</v>
      </c>
      <c r="C97" t="s">
        <v>403</v>
      </c>
      <c r="D97" t="s">
        <v>349</v>
      </c>
      <c r="F97">
        <v>2.7193990000000001</v>
      </c>
      <c r="G97">
        <v>3.1956519999999999</v>
      </c>
      <c r="H97">
        <v>3.1842790000000001</v>
      </c>
      <c r="I97">
        <v>3.1617419999999998</v>
      </c>
      <c r="J97">
        <v>3.3607559999999999</v>
      </c>
      <c r="K97">
        <v>3.6411060000000002</v>
      </c>
      <c r="L97">
        <v>4.0175979999999996</v>
      </c>
      <c r="M97">
        <v>4.2052849999999999</v>
      </c>
      <c r="N97">
        <v>4.8780469999999996</v>
      </c>
      <c r="O97">
        <v>5.3540229999999998</v>
      </c>
      <c r="P97">
        <v>5.728351</v>
      </c>
      <c r="Q97">
        <v>5.9417020000000003</v>
      </c>
      <c r="R97">
        <v>6.0586869999999999</v>
      </c>
      <c r="S97">
        <v>6.1397510000000004</v>
      </c>
      <c r="T97">
        <v>6.2227670000000002</v>
      </c>
      <c r="U97">
        <v>6.276008</v>
      </c>
      <c r="V97">
        <v>6.4500630000000001</v>
      </c>
      <c r="W97">
        <v>6.6981770000000003</v>
      </c>
      <c r="X97">
        <v>6.9469900000000004</v>
      </c>
      <c r="Y97">
        <v>7.2270409999999998</v>
      </c>
      <c r="Z97">
        <v>7.51471</v>
      </c>
      <c r="AA97">
        <v>7.7507099999999998</v>
      </c>
      <c r="AB97">
        <v>8.012893</v>
      </c>
      <c r="AC97">
        <v>8.2078000000000007</v>
      </c>
      <c r="AD97">
        <v>8.43215</v>
      </c>
      <c r="AE97">
        <v>8.7420980000000004</v>
      </c>
      <c r="AF97">
        <v>9.0799199999999995</v>
      </c>
      <c r="AG97" s="22">
        <v>4.7E-2</v>
      </c>
    </row>
    <row r="98" spans="1:33" x14ac:dyDescent="0.25">
      <c r="A98" t="s">
        <v>295</v>
      </c>
      <c r="B98" t="s">
        <v>404</v>
      </c>
      <c r="C98" t="s">
        <v>405</v>
      </c>
      <c r="D98" t="s">
        <v>349</v>
      </c>
      <c r="F98">
        <v>2.4893969999999999</v>
      </c>
      <c r="G98">
        <v>2.4771390000000002</v>
      </c>
      <c r="H98">
        <v>2.4651429999999999</v>
      </c>
      <c r="I98">
        <v>2.4543300000000001</v>
      </c>
      <c r="J98">
        <v>2.393669</v>
      </c>
      <c r="K98">
        <v>2.4366370000000002</v>
      </c>
      <c r="L98">
        <v>2.5060020000000001</v>
      </c>
      <c r="M98">
        <v>2.5237479999999999</v>
      </c>
      <c r="N98">
        <v>2.497636</v>
      </c>
      <c r="O98">
        <v>2.5570249999999999</v>
      </c>
      <c r="P98">
        <v>2.5972430000000002</v>
      </c>
      <c r="Q98">
        <v>2.6370130000000001</v>
      </c>
      <c r="R98">
        <v>2.6917089999999999</v>
      </c>
      <c r="S98">
        <v>2.7876910000000001</v>
      </c>
      <c r="T98">
        <v>2.8402069999999999</v>
      </c>
      <c r="U98">
        <v>2.981519</v>
      </c>
      <c r="V98">
        <v>3.039955</v>
      </c>
      <c r="W98">
        <v>3.1009669999999998</v>
      </c>
      <c r="X98">
        <v>3.1657690000000001</v>
      </c>
      <c r="Y98">
        <v>3.2363430000000002</v>
      </c>
      <c r="Z98">
        <v>3.307455</v>
      </c>
      <c r="AA98">
        <v>3.3641760000000001</v>
      </c>
      <c r="AB98">
        <v>2.956725</v>
      </c>
      <c r="AC98">
        <v>3.488788</v>
      </c>
      <c r="AD98">
        <v>3.5678909999999999</v>
      </c>
      <c r="AE98">
        <v>3.6785139999999998</v>
      </c>
      <c r="AF98">
        <v>3.7572009999999998</v>
      </c>
      <c r="AG98" s="22">
        <v>1.6E-2</v>
      </c>
    </row>
    <row r="99" spans="1:33" x14ac:dyDescent="0.25">
      <c r="A99" t="s">
        <v>139</v>
      </c>
      <c r="B99" t="s">
        <v>406</v>
      </c>
      <c r="C99" t="s">
        <v>407</v>
      </c>
      <c r="D99" t="s">
        <v>349</v>
      </c>
      <c r="F99">
        <v>0.753328</v>
      </c>
      <c r="G99">
        <v>0.76869200000000004</v>
      </c>
      <c r="H99">
        <v>0.78161400000000003</v>
      </c>
      <c r="I99">
        <v>0.79462500000000003</v>
      </c>
      <c r="J99">
        <v>0.80959800000000004</v>
      </c>
      <c r="K99">
        <v>0.82396400000000003</v>
      </c>
      <c r="L99">
        <v>0.83937600000000001</v>
      </c>
      <c r="M99">
        <v>0.85664600000000002</v>
      </c>
      <c r="N99">
        <v>0.87485500000000005</v>
      </c>
      <c r="O99">
        <v>0.89397499999999996</v>
      </c>
      <c r="P99">
        <v>0.91383099999999995</v>
      </c>
      <c r="Q99">
        <v>0.93363700000000005</v>
      </c>
      <c r="R99">
        <v>0.95289500000000005</v>
      </c>
      <c r="S99">
        <v>0.97264600000000001</v>
      </c>
      <c r="T99">
        <v>0.99282400000000004</v>
      </c>
      <c r="U99">
        <v>1.0131699999999999</v>
      </c>
      <c r="V99">
        <v>1.0343230000000001</v>
      </c>
      <c r="W99">
        <v>1.0563009999999999</v>
      </c>
      <c r="X99">
        <v>1.078981</v>
      </c>
      <c r="Y99">
        <v>1.1025370000000001</v>
      </c>
      <c r="Z99">
        <v>1.126784</v>
      </c>
      <c r="AA99">
        <v>1.1517839999999999</v>
      </c>
      <c r="AB99">
        <v>1.177392</v>
      </c>
      <c r="AC99">
        <v>1.203954</v>
      </c>
      <c r="AD99">
        <v>1.2312529999999999</v>
      </c>
      <c r="AE99">
        <v>1.2592920000000001</v>
      </c>
      <c r="AF99">
        <v>1.288084</v>
      </c>
      <c r="AG99" s="22">
        <v>2.1000000000000001E-2</v>
      </c>
    </row>
    <row r="100" spans="1:33" x14ac:dyDescent="0.25">
      <c r="A100" t="s">
        <v>260</v>
      </c>
      <c r="B100" t="s">
        <v>406</v>
      </c>
      <c r="C100" t="s">
        <v>408</v>
      </c>
      <c r="D100" t="s">
        <v>349</v>
      </c>
      <c r="F100">
        <v>9.5338750000000001</v>
      </c>
      <c r="G100">
        <v>10.837247</v>
      </c>
      <c r="H100">
        <v>10.910973</v>
      </c>
      <c r="I100">
        <v>11.000693999999999</v>
      </c>
      <c r="J100">
        <v>11.350652999999999</v>
      </c>
      <c r="K100">
        <v>11.804646</v>
      </c>
      <c r="L100">
        <v>12.336460000000001</v>
      </c>
      <c r="M100">
        <v>12.880520000000001</v>
      </c>
      <c r="N100">
        <v>15.711171999999999</v>
      </c>
      <c r="O100">
        <v>16.592278</v>
      </c>
      <c r="P100">
        <v>17.379936000000001</v>
      </c>
      <c r="Q100">
        <v>15.714464</v>
      </c>
      <c r="R100">
        <v>15.976162</v>
      </c>
      <c r="S100">
        <v>16.201198999999999</v>
      </c>
      <c r="T100">
        <v>16.814762000000002</v>
      </c>
      <c r="U100">
        <v>17.255486999999999</v>
      </c>
      <c r="V100">
        <v>17.601434999999999</v>
      </c>
      <c r="W100">
        <v>17.801258000000001</v>
      </c>
      <c r="X100">
        <v>18.058201</v>
      </c>
      <c r="Y100">
        <v>18.54907</v>
      </c>
      <c r="Z100">
        <v>19.218167999999999</v>
      </c>
      <c r="AA100">
        <v>19.597013</v>
      </c>
      <c r="AB100">
        <v>20.066286000000002</v>
      </c>
      <c r="AC100">
        <v>20.483709000000001</v>
      </c>
      <c r="AD100">
        <v>21.006063000000001</v>
      </c>
      <c r="AE100">
        <v>21.253933</v>
      </c>
      <c r="AF100">
        <v>21.909707999999998</v>
      </c>
      <c r="AG100" s="22">
        <v>3.3000000000000002E-2</v>
      </c>
    </row>
    <row r="101" spans="1:33" x14ac:dyDescent="0.25">
      <c r="A101" t="s">
        <v>302</v>
      </c>
    </row>
    <row r="102" spans="1:33" x14ac:dyDescent="0.25">
      <c r="A102" t="s">
        <v>221</v>
      </c>
      <c r="B102" t="s">
        <v>409</v>
      </c>
      <c r="C102" t="s">
        <v>410</v>
      </c>
      <c r="D102" t="s">
        <v>349</v>
      </c>
      <c r="F102">
        <v>23.109310000000001</v>
      </c>
      <c r="G102">
        <v>22.414522000000002</v>
      </c>
      <c r="H102">
        <v>23.329108999999999</v>
      </c>
      <c r="I102">
        <v>23.51107</v>
      </c>
      <c r="J102">
        <v>23.977323999999999</v>
      </c>
      <c r="K102">
        <v>24.627171000000001</v>
      </c>
      <c r="L102">
        <v>25.635961999999999</v>
      </c>
      <c r="M102">
        <v>26.684418000000001</v>
      </c>
      <c r="N102">
        <v>28.113111</v>
      </c>
      <c r="O102">
        <v>29.879646000000001</v>
      </c>
      <c r="P102">
        <v>31.479326</v>
      </c>
      <c r="Q102">
        <v>32.720078000000001</v>
      </c>
      <c r="R102">
        <v>33.780650999999999</v>
      </c>
      <c r="S102">
        <v>34.709141000000002</v>
      </c>
      <c r="T102">
        <v>35.465167999999998</v>
      </c>
      <c r="U102">
        <v>36.191727</v>
      </c>
      <c r="V102">
        <v>37.046371000000001</v>
      </c>
      <c r="W102">
        <v>38.129978000000001</v>
      </c>
      <c r="X102">
        <v>39.213115999999999</v>
      </c>
      <c r="Y102">
        <v>40.531872</v>
      </c>
      <c r="Z102">
        <v>42.060836999999999</v>
      </c>
      <c r="AA102">
        <v>43.298594999999999</v>
      </c>
      <c r="AB102">
        <v>44.507221000000001</v>
      </c>
      <c r="AC102">
        <v>45.578304000000003</v>
      </c>
      <c r="AD102">
        <v>46.723022</v>
      </c>
      <c r="AE102">
        <v>48.164901999999998</v>
      </c>
      <c r="AF102">
        <v>50.125560999999998</v>
      </c>
      <c r="AG102" s="22">
        <v>0.03</v>
      </c>
    </row>
    <row r="103" spans="1:33" x14ac:dyDescent="0.25">
      <c r="A103" t="s">
        <v>268</v>
      </c>
      <c r="B103" t="s">
        <v>411</v>
      </c>
      <c r="C103" t="s">
        <v>412</v>
      </c>
      <c r="D103" t="s">
        <v>349</v>
      </c>
      <c r="F103">
        <v>28.823729</v>
      </c>
      <c r="G103">
        <v>29.528929000000002</v>
      </c>
      <c r="H103">
        <v>31.362501000000002</v>
      </c>
      <c r="I103">
        <v>31.520689000000001</v>
      </c>
      <c r="J103">
        <v>31.560877000000001</v>
      </c>
      <c r="K103">
        <v>31.091464999999999</v>
      </c>
      <c r="L103">
        <v>31.677883000000001</v>
      </c>
      <c r="M103">
        <v>32.462654000000001</v>
      </c>
      <c r="N103">
        <v>32.887005000000002</v>
      </c>
      <c r="O103">
        <v>33.282158000000003</v>
      </c>
      <c r="P103">
        <v>33.961295999999997</v>
      </c>
      <c r="Q103">
        <v>34.411186000000001</v>
      </c>
      <c r="R103">
        <v>35.304825000000001</v>
      </c>
      <c r="S103">
        <v>35.816043999999998</v>
      </c>
      <c r="T103">
        <v>36.071959999999997</v>
      </c>
      <c r="U103">
        <v>36.661803999999997</v>
      </c>
      <c r="V103">
        <v>37.037909999999997</v>
      </c>
      <c r="W103">
        <v>37.390469000000003</v>
      </c>
      <c r="X103">
        <v>37.650630999999997</v>
      </c>
      <c r="Y103">
        <v>38.484287000000002</v>
      </c>
      <c r="Z103">
        <v>37.357737999999998</v>
      </c>
      <c r="AA103">
        <v>37.673003999999999</v>
      </c>
      <c r="AB103">
        <v>38.832993000000002</v>
      </c>
      <c r="AC103">
        <v>39.919426000000001</v>
      </c>
      <c r="AD103">
        <v>40.931694</v>
      </c>
      <c r="AE103">
        <v>42.123843999999998</v>
      </c>
      <c r="AF103">
        <v>43.591473000000001</v>
      </c>
      <c r="AG103" s="22">
        <v>1.6E-2</v>
      </c>
    </row>
    <row r="104" spans="1:33" x14ac:dyDescent="0.25">
      <c r="A104" t="s">
        <v>271</v>
      </c>
      <c r="B104" t="s">
        <v>413</v>
      </c>
      <c r="C104" t="s">
        <v>414</v>
      </c>
      <c r="D104" t="s">
        <v>349</v>
      </c>
      <c r="F104">
        <v>28.684215999999999</v>
      </c>
      <c r="G104">
        <v>27.681436999999999</v>
      </c>
      <c r="H104">
        <v>26.491451000000001</v>
      </c>
      <c r="I104">
        <v>26.411290999999999</v>
      </c>
      <c r="J104">
        <v>26.620177999999999</v>
      </c>
      <c r="K104">
        <v>26.776727999999999</v>
      </c>
      <c r="L104">
        <v>27.309567999999999</v>
      </c>
      <c r="M104">
        <v>27.884841999999999</v>
      </c>
      <c r="N104">
        <v>28.271720999999999</v>
      </c>
      <c r="O104">
        <v>28.722332000000002</v>
      </c>
      <c r="P104">
        <v>29.297765999999999</v>
      </c>
      <c r="Q104">
        <v>29.686022000000001</v>
      </c>
      <c r="R104">
        <v>30.464237000000001</v>
      </c>
      <c r="S104">
        <v>30.909918000000001</v>
      </c>
      <c r="T104">
        <v>31.143837000000001</v>
      </c>
      <c r="U104">
        <v>31.616603999999999</v>
      </c>
      <c r="V104">
        <v>31.926437</v>
      </c>
      <c r="W104">
        <v>32.242401000000001</v>
      </c>
      <c r="X104">
        <v>32.465260000000001</v>
      </c>
      <c r="Y104">
        <v>33.212322</v>
      </c>
      <c r="Z104">
        <v>32.260314999999999</v>
      </c>
      <c r="AA104">
        <v>32.543757999999997</v>
      </c>
      <c r="AB104">
        <v>33.547530999999999</v>
      </c>
      <c r="AC104">
        <v>34.486041999999998</v>
      </c>
      <c r="AD104">
        <v>35.349339000000001</v>
      </c>
      <c r="AE104">
        <v>36.365566000000001</v>
      </c>
      <c r="AF104">
        <v>37.613399999999999</v>
      </c>
      <c r="AG104" s="22">
        <v>0.01</v>
      </c>
    </row>
    <row r="105" spans="1:33" x14ac:dyDescent="0.25">
      <c r="A105" t="s">
        <v>274</v>
      </c>
      <c r="B105" t="s">
        <v>415</v>
      </c>
      <c r="C105" t="s">
        <v>416</v>
      </c>
      <c r="D105" t="s">
        <v>349</v>
      </c>
      <c r="F105">
        <v>17.638923999999999</v>
      </c>
      <c r="G105">
        <v>16.730843</v>
      </c>
      <c r="H105">
        <v>16.808693000000002</v>
      </c>
      <c r="I105">
        <v>17.490393000000001</v>
      </c>
      <c r="J105">
        <v>18.456747</v>
      </c>
      <c r="K105">
        <v>19.450320999999999</v>
      </c>
      <c r="L105">
        <v>20.549154000000001</v>
      </c>
      <c r="M105">
        <v>21.108609999999999</v>
      </c>
      <c r="N105">
        <v>21.421351999999999</v>
      </c>
      <c r="O105">
        <v>22.26915</v>
      </c>
      <c r="P105">
        <v>22.921453</v>
      </c>
      <c r="Q105">
        <v>23.680696000000001</v>
      </c>
      <c r="R105">
        <v>24.265625</v>
      </c>
      <c r="S105">
        <v>25.095047000000001</v>
      </c>
      <c r="T105">
        <v>25.913125999999998</v>
      </c>
      <c r="U105">
        <v>26.590033999999999</v>
      </c>
      <c r="V105">
        <v>27.377469999999999</v>
      </c>
      <c r="W105">
        <v>28.422378999999999</v>
      </c>
      <c r="X105">
        <v>29.418960999999999</v>
      </c>
      <c r="Y105">
        <v>30.607809</v>
      </c>
      <c r="Z105">
        <v>32.390098999999999</v>
      </c>
      <c r="AA105">
        <v>33.059134999999998</v>
      </c>
      <c r="AB105">
        <v>33.981655000000003</v>
      </c>
      <c r="AC105">
        <v>34.762340999999999</v>
      </c>
      <c r="AD105">
        <v>35.556072</v>
      </c>
      <c r="AE105">
        <v>36.506385999999999</v>
      </c>
      <c r="AF105">
        <v>38.042904</v>
      </c>
      <c r="AG105" s="22">
        <v>0.03</v>
      </c>
    </row>
    <row r="106" spans="1:33" x14ac:dyDescent="0.25">
      <c r="A106" t="s">
        <v>225</v>
      </c>
      <c r="B106" t="s">
        <v>417</v>
      </c>
      <c r="C106" t="s">
        <v>418</v>
      </c>
      <c r="D106" t="s">
        <v>349</v>
      </c>
      <c r="F106">
        <v>27.012423999999999</v>
      </c>
      <c r="G106">
        <v>25.884561999999999</v>
      </c>
      <c r="H106">
        <v>25.626965999999999</v>
      </c>
      <c r="I106">
        <v>26.000551000000002</v>
      </c>
      <c r="J106">
        <v>26.664721</v>
      </c>
      <c r="K106">
        <v>27.356112</v>
      </c>
      <c r="L106">
        <v>28.127669999999998</v>
      </c>
      <c r="M106">
        <v>28.746926999999999</v>
      </c>
      <c r="N106">
        <v>29.207920000000001</v>
      </c>
      <c r="O106">
        <v>30.221215999999998</v>
      </c>
      <c r="P106">
        <v>31.016763999999998</v>
      </c>
      <c r="Q106">
        <v>31.977592000000001</v>
      </c>
      <c r="R106">
        <v>32.786361999999997</v>
      </c>
      <c r="S106">
        <v>33.797710000000002</v>
      </c>
      <c r="T106">
        <v>34.601337000000001</v>
      </c>
      <c r="U106">
        <v>35.455050999999997</v>
      </c>
      <c r="V106">
        <v>36.436881999999997</v>
      </c>
      <c r="W106">
        <v>37.581370999999997</v>
      </c>
      <c r="X106">
        <v>38.725025000000002</v>
      </c>
      <c r="Y106">
        <v>40.006999999999998</v>
      </c>
      <c r="Z106">
        <v>41.861465000000003</v>
      </c>
      <c r="AA106">
        <v>42.642971000000003</v>
      </c>
      <c r="AB106">
        <v>43.715823999999998</v>
      </c>
      <c r="AC106">
        <v>44.622470999999997</v>
      </c>
      <c r="AD106">
        <v>45.611153000000002</v>
      </c>
      <c r="AE106">
        <v>46.681786000000002</v>
      </c>
      <c r="AF106">
        <v>48.320259</v>
      </c>
      <c r="AG106" s="22">
        <v>2.3E-2</v>
      </c>
    </row>
    <row r="107" spans="1:33" x14ac:dyDescent="0.25">
      <c r="A107" t="s">
        <v>238</v>
      </c>
      <c r="B107" t="s">
        <v>419</v>
      </c>
      <c r="C107" t="s">
        <v>420</v>
      </c>
      <c r="D107" t="s">
        <v>349</v>
      </c>
      <c r="F107">
        <v>13.291615</v>
      </c>
      <c r="G107">
        <v>11.998288000000001</v>
      </c>
      <c r="H107">
        <v>12.972678999999999</v>
      </c>
      <c r="I107">
        <v>13.251227999999999</v>
      </c>
      <c r="J107">
        <v>13.577795999999999</v>
      </c>
      <c r="K107">
        <v>13.953678999999999</v>
      </c>
      <c r="L107">
        <v>14.375882000000001</v>
      </c>
      <c r="M107">
        <v>14.755181</v>
      </c>
      <c r="N107">
        <v>15.011139</v>
      </c>
      <c r="O107">
        <v>15.579243</v>
      </c>
      <c r="P107">
        <v>16.033218000000002</v>
      </c>
      <c r="Q107">
        <v>16.539465</v>
      </c>
      <c r="R107">
        <v>16.946718000000001</v>
      </c>
      <c r="S107">
        <v>17.409361000000001</v>
      </c>
      <c r="T107">
        <v>17.891283000000001</v>
      </c>
      <c r="U107">
        <v>18.285371999999999</v>
      </c>
      <c r="V107">
        <v>18.77422</v>
      </c>
      <c r="W107">
        <v>19.293474</v>
      </c>
      <c r="X107">
        <v>19.824280000000002</v>
      </c>
      <c r="Y107">
        <v>20.376919000000001</v>
      </c>
      <c r="Z107">
        <v>20.835225999999999</v>
      </c>
      <c r="AA107">
        <v>20.987272000000001</v>
      </c>
      <c r="AB107">
        <v>21.830573999999999</v>
      </c>
      <c r="AC107">
        <v>22.292175</v>
      </c>
      <c r="AD107">
        <v>22.829747999999999</v>
      </c>
      <c r="AE107">
        <v>23.500502000000001</v>
      </c>
      <c r="AF107">
        <v>24.800373</v>
      </c>
      <c r="AG107" s="22">
        <v>2.4E-2</v>
      </c>
    </row>
    <row r="108" spans="1:33" x14ac:dyDescent="0.25">
      <c r="A108" t="s">
        <v>141</v>
      </c>
      <c r="B108" t="s">
        <v>421</v>
      </c>
      <c r="C108" t="s">
        <v>422</v>
      </c>
      <c r="D108" t="s">
        <v>349</v>
      </c>
      <c r="F108">
        <v>5.3580649999999999</v>
      </c>
      <c r="G108">
        <v>5.722315</v>
      </c>
      <c r="H108">
        <v>5.8149699999999998</v>
      </c>
      <c r="I108">
        <v>5.7286580000000002</v>
      </c>
      <c r="J108">
        <v>5.8921060000000001</v>
      </c>
      <c r="K108">
        <v>6.128145</v>
      </c>
      <c r="L108">
        <v>6.4327430000000003</v>
      </c>
      <c r="M108">
        <v>6.7201009999999997</v>
      </c>
      <c r="N108">
        <v>7.2553349999999996</v>
      </c>
      <c r="O108">
        <v>7.8290769999999998</v>
      </c>
      <c r="P108">
        <v>8.2975309999999993</v>
      </c>
      <c r="Q108">
        <v>8.6270070000000008</v>
      </c>
      <c r="R108">
        <v>8.8335550000000005</v>
      </c>
      <c r="S108">
        <v>9.0423559999999998</v>
      </c>
      <c r="T108">
        <v>9.1978050000000007</v>
      </c>
      <c r="U108">
        <v>9.3466299999999993</v>
      </c>
      <c r="V108">
        <v>9.5685079999999996</v>
      </c>
      <c r="W108">
        <v>9.8578620000000008</v>
      </c>
      <c r="X108">
        <v>10.147022</v>
      </c>
      <c r="Y108">
        <v>10.456808000000001</v>
      </c>
      <c r="Z108">
        <v>10.753558</v>
      </c>
      <c r="AA108">
        <v>11.054584999999999</v>
      </c>
      <c r="AB108">
        <v>11.367796</v>
      </c>
      <c r="AC108">
        <v>11.621665</v>
      </c>
      <c r="AD108">
        <v>11.892199</v>
      </c>
      <c r="AE108">
        <v>12.247484</v>
      </c>
      <c r="AF108">
        <v>12.641952</v>
      </c>
      <c r="AG108" s="22">
        <v>3.4000000000000002E-2</v>
      </c>
    </row>
    <row r="109" spans="1:33" x14ac:dyDescent="0.25">
      <c r="A109" t="s">
        <v>254</v>
      </c>
      <c r="B109" t="s">
        <v>423</v>
      </c>
      <c r="C109" t="s">
        <v>424</v>
      </c>
      <c r="D109" t="s">
        <v>349</v>
      </c>
      <c r="F109">
        <v>7.7677550000000002</v>
      </c>
      <c r="G109">
        <v>7.7962429999999996</v>
      </c>
      <c r="H109">
        <v>7.8714389999999996</v>
      </c>
      <c r="I109">
        <v>7.9715699999999998</v>
      </c>
      <c r="J109">
        <v>8.0856320000000004</v>
      </c>
      <c r="K109">
        <v>8.2210680000000007</v>
      </c>
      <c r="L109">
        <v>8.3729139999999997</v>
      </c>
      <c r="M109">
        <v>8.5523050000000005</v>
      </c>
      <c r="N109">
        <v>8.7600099999999994</v>
      </c>
      <c r="O109">
        <v>8.9517279999999992</v>
      </c>
      <c r="P109">
        <v>9.1062159999999999</v>
      </c>
      <c r="Q109">
        <v>9.3269749999999991</v>
      </c>
      <c r="R109">
        <v>9.5201589999999996</v>
      </c>
      <c r="S109">
        <v>9.7152130000000003</v>
      </c>
      <c r="T109">
        <v>9.9198819999999994</v>
      </c>
      <c r="U109">
        <v>10.098601</v>
      </c>
      <c r="V109">
        <v>10.307525</v>
      </c>
      <c r="W109">
        <v>10.486297</v>
      </c>
      <c r="X109">
        <v>10.70411</v>
      </c>
      <c r="Y109">
        <v>10.927295000000001</v>
      </c>
      <c r="Z109">
        <v>11.176041</v>
      </c>
      <c r="AA109">
        <v>11.445536000000001</v>
      </c>
      <c r="AB109">
        <v>11.694777</v>
      </c>
      <c r="AC109">
        <v>11.951790000000001</v>
      </c>
      <c r="AD109">
        <v>12.221812</v>
      </c>
      <c r="AE109">
        <v>12.514791000000001</v>
      </c>
      <c r="AF109">
        <v>12.798068000000001</v>
      </c>
      <c r="AG109" s="22">
        <v>1.9E-2</v>
      </c>
    </row>
    <row r="110" spans="1:33" x14ac:dyDescent="0.25">
      <c r="A110" t="s">
        <v>319</v>
      </c>
      <c r="B110" t="s">
        <v>425</v>
      </c>
      <c r="C110" t="s">
        <v>426</v>
      </c>
      <c r="D110" t="s">
        <v>349</v>
      </c>
      <c r="F110">
        <v>2.5446469999999999</v>
      </c>
      <c r="G110">
        <v>2.5414219999999998</v>
      </c>
      <c r="H110">
        <v>2.5452400000000002</v>
      </c>
      <c r="I110">
        <v>2.5575169999999998</v>
      </c>
      <c r="J110">
        <v>2.5101749999999998</v>
      </c>
      <c r="K110">
        <v>2.5607890000000002</v>
      </c>
      <c r="L110">
        <v>2.6529020000000001</v>
      </c>
      <c r="M110">
        <v>2.6853799999999999</v>
      </c>
      <c r="N110">
        <v>3.0311409999999999</v>
      </c>
      <c r="O110">
        <v>3.096851</v>
      </c>
      <c r="P110">
        <v>3.1570849999999999</v>
      </c>
      <c r="Q110">
        <v>3.2215600000000002</v>
      </c>
      <c r="R110">
        <v>3.2995100000000002</v>
      </c>
      <c r="S110">
        <v>3.414034</v>
      </c>
      <c r="T110">
        <v>3.5140790000000002</v>
      </c>
      <c r="U110">
        <v>4.0301130000000001</v>
      </c>
      <c r="V110">
        <v>4.1106280000000002</v>
      </c>
      <c r="W110">
        <v>4.1862130000000004</v>
      </c>
      <c r="X110">
        <v>4.2653930000000004</v>
      </c>
      <c r="Y110">
        <v>4.3564350000000003</v>
      </c>
      <c r="Z110">
        <v>4.4596030000000004</v>
      </c>
      <c r="AA110">
        <v>4.5947420000000001</v>
      </c>
      <c r="AB110">
        <v>5.1014340000000002</v>
      </c>
      <c r="AC110">
        <v>5.2751900000000003</v>
      </c>
      <c r="AD110">
        <v>5.3916740000000001</v>
      </c>
      <c r="AE110">
        <v>5.5323190000000002</v>
      </c>
      <c r="AF110">
        <v>5.6633009999999997</v>
      </c>
      <c r="AG110" s="22">
        <v>3.1E-2</v>
      </c>
    </row>
    <row r="111" spans="1:33" x14ac:dyDescent="0.25">
      <c r="A111" t="s">
        <v>260</v>
      </c>
      <c r="B111" t="s">
        <v>425</v>
      </c>
      <c r="C111" t="s">
        <v>427</v>
      </c>
      <c r="D111" t="s">
        <v>349</v>
      </c>
      <c r="F111">
        <v>9.5735130000000002</v>
      </c>
      <c r="G111">
        <v>10.98015</v>
      </c>
      <c r="H111">
        <v>11.222939999999999</v>
      </c>
      <c r="I111">
        <v>11.575183000000001</v>
      </c>
      <c r="J111">
        <v>12.328448</v>
      </c>
      <c r="K111">
        <v>13.268542999999999</v>
      </c>
      <c r="L111">
        <v>14.347576</v>
      </c>
      <c r="M111">
        <v>16.142441000000002</v>
      </c>
      <c r="N111">
        <v>19.418747</v>
      </c>
      <c r="O111">
        <v>22.671690000000002</v>
      </c>
      <c r="P111">
        <v>25.497254999999999</v>
      </c>
      <c r="Q111">
        <v>27.864777</v>
      </c>
      <c r="R111">
        <v>29.821745</v>
      </c>
      <c r="S111">
        <v>31.660488000000001</v>
      </c>
      <c r="T111">
        <v>33.810867000000002</v>
      </c>
      <c r="U111">
        <v>35.714889999999997</v>
      </c>
      <c r="V111">
        <v>37.473171000000001</v>
      </c>
      <c r="W111">
        <v>39.005645999999999</v>
      </c>
      <c r="X111">
        <v>40.525500999999998</v>
      </c>
      <c r="Y111">
        <v>42.235183999999997</v>
      </c>
      <c r="Z111">
        <v>44.105499000000002</v>
      </c>
      <c r="AA111">
        <v>45.643622999999998</v>
      </c>
      <c r="AB111">
        <v>47.315781000000001</v>
      </c>
      <c r="AC111">
        <v>48.825775</v>
      </c>
      <c r="AD111">
        <v>50.416953999999997</v>
      </c>
      <c r="AE111">
        <v>51.570450000000001</v>
      </c>
      <c r="AF111">
        <v>53.229416000000001</v>
      </c>
      <c r="AG111" s="22">
        <v>6.8000000000000005E-2</v>
      </c>
    </row>
    <row r="112" spans="1:33" x14ac:dyDescent="0.25">
      <c r="A112" t="s">
        <v>230</v>
      </c>
      <c r="B112" t="s">
        <v>428</v>
      </c>
      <c r="C112" t="s">
        <v>429</v>
      </c>
      <c r="D112" t="s">
        <v>349</v>
      </c>
      <c r="F112">
        <v>38.098598000000003</v>
      </c>
      <c r="G112">
        <v>38.098736000000002</v>
      </c>
      <c r="H112">
        <v>36.198349</v>
      </c>
      <c r="I112">
        <v>34.870635999999998</v>
      </c>
      <c r="J112">
        <v>35.342323</v>
      </c>
      <c r="K112">
        <v>36.371208000000003</v>
      </c>
      <c r="L112">
        <v>37.562035000000002</v>
      </c>
      <c r="M112">
        <v>39.025638999999998</v>
      </c>
      <c r="N112">
        <v>40.473537</v>
      </c>
      <c r="O112">
        <v>42.268402000000002</v>
      </c>
      <c r="P112">
        <v>43.500267000000001</v>
      </c>
      <c r="Q112">
        <v>44.211486999999998</v>
      </c>
      <c r="R112">
        <v>44.706985000000003</v>
      </c>
      <c r="S112">
        <v>45.282162</v>
      </c>
      <c r="T112">
        <v>46.456257000000001</v>
      </c>
      <c r="U112">
        <v>47.107520999999998</v>
      </c>
      <c r="V112">
        <v>47.947422000000003</v>
      </c>
      <c r="W112">
        <v>48.992668000000002</v>
      </c>
      <c r="X112">
        <v>50.289810000000003</v>
      </c>
      <c r="Y112">
        <v>51.627769000000001</v>
      </c>
      <c r="Z112">
        <v>53.079360999999999</v>
      </c>
      <c r="AA112">
        <v>54.511825999999999</v>
      </c>
      <c r="AB112">
        <v>56.004536000000002</v>
      </c>
      <c r="AC112">
        <v>57.434128000000001</v>
      </c>
      <c r="AD112">
        <v>59.158371000000002</v>
      </c>
      <c r="AE112">
        <v>60.895232999999998</v>
      </c>
      <c r="AF112">
        <v>62.765265999999997</v>
      </c>
      <c r="AG112" s="22">
        <v>1.9E-2</v>
      </c>
    </row>
    <row r="113" spans="1:33" x14ac:dyDescent="0.25">
      <c r="A113" t="s">
        <v>326</v>
      </c>
    </row>
    <row r="114" spans="1:33" x14ac:dyDescent="0.25">
      <c r="A114" t="s">
        <v>430</v>
      </c>
    </row>
    <row r="115" spans="1:33" x14ac:dyDescent="0.25">
      <c r="A115" t="s">
        <v>220</v>
      </c>
      <c r="B115" t="s">
        <v>431</v>
      </c>
      <c r="C115" t="s">
        <v>432</v>
      </c>
      <c r="D115" t="s">
        <v>433</v>
      </c>
      <c r="F115">
        <v>321.871307</v>
      </c>
      <c r="G115">
        <v>322.35409499999997</v>
      </c>
      <c r="H115">
        <v>317.11441000000002</v>
      </c>
      <c r="I115">
        <v>312.96801799999997</v>
      </c>
      <c r="J115">
        <v>319.52551299999999</v>
      </c>
      <c r="K115">
        <v>329.18908699999997</v>
      </c>
      <c r="L115">
        <v>339.891052</v>
      </c>
      <c r="M115">
        <v>353.39932299999998</v>
      </c>
      <c r="N115">
        <v>368.72479199999998</v>
      </c>
      <c r="O115">
        <v>387.31341600000002</v>
      </c>
      <c r="P115">
        <v>403.03189099999997</v>
      </c>
      <c r="Q115">
        <v>416.12493899999998</v>
      </c>
      <c r="R115">
        <v>427.70727499999998</v>
      </c>
      <c r="S115">
        <v>439.79626500000001</v>
      </c>
      <c r="T115">
        <v>455.33425899999997</v>
      </c>
      <c r="U115">
        <v>467.56399499999998</v>
      </c>
      <c r="V115">
        <v>481.88931300000002</v>
      </c>
      <c r="W115">
        <v>498.19812000000002</v>
      </c>
      <c r="X115">
        <v>516.23767099999998</v>
      </c>
      <c r="Y115">
        <v>534.85070800000005</v>
      </c>
      <c r="Z115">
        <v>554.361267</v>
      </c>
      <c r="AA115">
        <v>573.61224400000003</v>
      </c>
      <c r="AB115">
        <v>593.71679700000004</v>
      </c>
      <c r="AC115">
        <v>613.12908900000002</v>
      </c>
      <c r="AD115">
        <v>634.613831</v>
      </c>
      <c r="AE115">
        <v>656.858521</v>
      </c>
      <c r="AF115">
        <v>680.71991000000003</v>
      </c>
      <c r="AG115" s="22">
        <v>2.9000000000000001E-2</v>
      </c>
    </row>
    <row r="116" spans="1:33" x14ac:dyDescent="0.25">
      <c r="A116" t="s">
        <v>233</v>
      </c>
      <c r="B116" t="s">
        <v>434</v>
      </c>
      <c r="C116" t="s">
        <v>435</v>
      </c>
      <c r="D116" t="s">
        <v>433</v>
      </c>
      <c r="F116">
        <v>241.12788399999999</v>
      </c>
      <c r="G116">
        <v>241.92074600000001</v>
      </c>
      <c r="H116">
        <v>232.79376199999999</v>
      </c>
      <c r="I116">
        <v>228.61087000000001</v>
      </c>
      <c r="J116">
        <v>234.53324900000001</v>
      </c>
      <c r="K116">
        <v>244.93911700000001</v>
      </c>
      <c r="L116">
        <v>256.45712300000002</v>
      </c>
      <c r="M116">
        <v>269.82525600000002</v>
      </c>
      <c r="N116">
        <v>285.022583</v>
      </c>
      <c r="O116">
        <v>302.81805400000002</v>
      </c>
      <c r="P116">
        <v>318.19619799999998</v>
      </c>
      <c r="Q116">
        <v>330.90664700000002</v>
      </c>
      <c r="R116">
        <v>342.49700899999999</v>
      </c>
      <c r="S116">
        <v>354.46112099999999</v>
      </c>
      <c r="T116">
        <v>370.10269199999999</v>
      </c>
      <c r="U116">
        <v>381.963257</v>
      </c>
      <c r="V116">
        <v>395.83071899999999</v>
      </c>
      <c r="W116">
        <v>411.78280599999999</v>
      </c>
      <c r="X116">
        <v>429.42245500000001</v>
      </c>
      <c r="Y116">
        <v>447.89343300000002</v>
      </c>
      <c r="Z116">
        <v>466.49432400000001</v>
      </c>
      <c r="AA116">
        <v>485.67340100000001</v>
      </c>
      <c r="AB116">
        <v>506.15258799999998</v>
      </c>
      <c r="AC116">
        <v>525.80535899999995</v>
      </c>
      <c r="AD116">
        <v>548.46331799999996</v>
      </c>
      <c r="AE116">
        <v>572.14532499999996</v>
      </c>
      <c r="AF116">
        <v>597.61908000000005</v>
      </c>
      <c r="AG116" s="22">
        <v>3.5999999999999997E-2</v>
      </c>
    </row>
    <row r="117" spans="1:33" x14ac:dyDescent="0.25">
      <c r="A117" t="s">
        <v>245</v>
      </c>
      <c r="B117" t="s">
        <v>436</v>
      </c>
      <c r="C117" t="s">
        <v>437</v>
      </c>
      <c r="D117" t="s">
        <v>433</v>
      </c>
      <c r="F117">
        <v>225.60749799999999</v>
      </c>
      <c r="G117">
        <v>233.347748</v>
      </c>
      <c r="H117">
        <v>232.63331600000001</v>
      </c>
      <c r="I117">
        <v>230.54548600000001</v>
      </c>
      <c r="J117">
        <v>236.489532</v>
      </c>
      <c r="K117">
        <v>245.96961999999999</v>
      </c>
      <c r="L117">
        <v>258.84860200000003</v>
      </c>
      <c r="M117">
        <v>272.72555499999999</v>
      </c>
      <c r="N117">
        <v>292.15960699999999</v>
      </c>
      <c r="O117">
        <v>313.488495</v>
      </c>
      <c r="P117">
        <v>331.33261099999999</v>
      </c>
      <c r="Q117">
        <v>344.58126800000002</v>
      </c>
      <c r="R117">
        <v>355.25546300000002</v>
      </c>
      <c r="S117">
        <v>365.63192700000002</v>
      </c>
      <c r="T117">
        <v>376.78051799999997</v>
      </c>
      <c r="U117">
        <v>387.67849699999999</v>
      </c>
      <c r="V117">
        <v>401.70617700000003</v>
      </c>
      <c r="W117">
        <v>418.00976600000001</v>
      </c>
      <c r="X117">
        <v>435.43841600000002</v>
      </c>
      <c r="Y117">
        <v>452.73104899999998</v>
      </c>
      <c r="Z117">
        <v>472.00134300000002</v>
      </c>
      <c r="AA117">
        <v>488.77108800000002</v>
      </c>
      <c r="AB117">
        <v>507.06323200000003</v>
      </c>
      <c r="AC117">
        <v>525.046021</v>
      </c>
      <c r="AD117">
        <v>543.44293200000004</v>
      </c>
      <c r="AE117">
        <v>565.82891800000004</v>
      </c>
      <c r="AF117">
        <v>592.63476600000001</v>
      </c>
      <c r="AG117" s="22">
        <v>3.7999999999999999E-2</v>
      </c>
    </row>
    <row r="118" spans="1:33" x14ac:dyDescent="0.25">
      <c r="A118" t="s">
        <v>265</v>
      </c>
      <c r="B118" t="s">
        <v>438</v>
      </c>
      <c r="C118" t="s">
        <v>439</v>
      </c>
      <c r="D118" t="s">
        <v>433</v>
      </c>
      <c r="F118">
        <v>714.84161400000005</v>
      </c>
      <c r="G118">
        <v>690.20098900000005</v>
      </c>
      <c r="H118">
        <v>668.44512899999995</v>
      </c>
      <c r="I118">
        <v>667.23376499999995</v>
      </c>
      <c r="J118">
        <v>671.56817599999999</v>
      </c>
      <c r="K118">
        <v>673.57946800000002</v>
      </c>
      <c r="L118">
        <v>678.96734600000002</v>
      </c>
      <c r="M118">
        <v>679.87359600000002</v>
      </c>
      <c r="N118">
        <v>671.37170400000002</v>
      </c>
      <c r="O118">
        <v>668.91247599999997</v>
      </c>
      <c r="P118">
        <v>666.54028300000004</v>
      </c>
      <c r="Q118">
        <v>662.92517099999998</v>
      </c>
      <c r="R118">
        <v>661.86431900000002</v>
      </c>
      <c r="S118">
        <v>658.93695100000002</v>
      </c>
      <c r="T118">
        <v>653.432861</v>
      </c>
      <c r="U118">
        <v>650.75500499999998</v>
      </c>
      <c r="V118">
        <v>649.47705099999996</v>
      </c>
      <c r="W118">
        <v>650.612976</v>
      </c>
      <c r="X118">
        <v>651.25012200000003</v>
      </c>
      <c r="Y118">
        <v>660.51159700000005</v>
      </c>
      <c r="Z118">
        <v>659.09771699999999</v>
      </c>
      <c r="AA118">
        <v>661.50170900000001</v>
      </c>
      <c r="AB118">
        <v>674.03668200000004</v>
      </c>
      <c r="AC118">
        <v>685.94421399999999</v>
      </c>
      <c r="AD118">
        <v>696.39080799999999</v>
      </c>
      <c r="AE118">
        <v>711.49890100000005</v>
      </c>
      <c r="AF118">
        <v>734.990723</v>
      </c>
      <c r="AG118" s="22">
        <v>1E-3</v>
      </c>
    </row>
    <row r="119" spans="1:33" x14ac:dyDescent="0.25">
      <c r="A119" t="s">
        <v>337</v>
      </c>
      <c r="B119" t="s">
        <v>440</v>
      </c>
      <c r="C119" t="s">
        <v>441</v>
      </c>
      <c r="D119" t="s">
        <v>433</v>
      </c>
      <c r="F119">
        <v>1503.4482419999999</v>
      </c>
      <c r="G119">
        <v>1487.8236079999999</v>
      </c>
      <c r="H119">
        <v>1450.986572</v>
      </c>
      <c r="I119">
        <v>1439.358154</v>
      </c>
      <c r="J119">
        <v>1462.1164550000001</v>
      </c>
      <c r="K119">
        <v>1493.6773679999999</v>
      </c>
      <c r="L119">
        <v>1534.164307</v>
      </c>
      <c r="M119">
        <v>1575.8238530000001</v>
      </c>
      <c r="N119">
        <v>1617.2788089999999</v>
      </c>
      <c r="O119">
        <v>1672.5323490000001</v>
      </c>
      <c r="P119">
        <v>1719.1008300000001</v>
      </c>
      <c r="Q119">
        <v>1754.538086</v>
      </c>
      <c r="R119">
        <v>1787.323975</v>
      </c>
      <c r="S119">
        <v>1818.826294</v>
      </c>
      <c r="T119">
        <v>1855.650269</v>
      </c>
      <c r="U119">
        <v>1887.960693</v>
      </c>
      <c r="V119">
        <v>1928.903198</v>
      </c>
      <c r="W119">
        <v>1978.603638</v>
      </c>
      <c r="X119">
        <v>2032.3486330000001</v>
      </c>
      <c r="Y119">
        <v>2095.9868160000001</v>
      </c>
      <c r="Z119">
        <v>2151.9545899999998</v>
      </c>
      <c r="AA119">
        <v>2209.5583499999998</v>
      </c>
      <c r="AB119">
        <v>2280.9692380000001</v>
      </c>
      <c r="AC119">
        <v>2349.9248050000001</v>
      </c>
      <c r="AD119">
        <v>2422.9108890000002</v>
      </c>
      <c r="AE119">
        <v>2506.3317870000001</v>
      </c>
      <c r="AF119">
        <v>2605.9645999999998</v>
      </c>
      <c r="AG119" s="22">
        <v>2.1000000000000001E-2</v>
      </c>
    </row>
    <row r="120" spans="1:33" x14ac:dyDescent="0.25">
      <c r="A120" t="s">
        <v>340</v>
      </c>
      <c r="B120" t="s">
        <v>442</v>
      </c>
      <c r="C120" t="s">
        <v>443</v>
      </c>
      <c r="D120" t="s">
        <v>433</v>
      </c>
      <c r="F120">
        <v>0.107875</v>
      </c>
      <c r="G120">
        <v>0.10240100000000001</v>
      </c>
      <c r="H120">
        <v>9.7017999999999993E-2</v>
      </c>
      <c r="I120">
        <v>9.1324000000000002E-2</v>
      </c>
      <c r="J120">
        <v>8.8725999999999999E-2</v>
      </c>
      <c r="K120">
        <v>9.0595999999999996E-2</v>
      </c>
      <c r="L120">
        <v>8.7499999999999994E-2</v>
      </c>
      <c r="M120">
        <v>8.2830000000000001E-2</v>
      </c>
      <c r="N120">
        <v>7.8111E-2</v>
      </c>
      <c r="O120">
        <v>7.4113999999999999E-2</v>
      </c>
      <c r="P120">
        <v>7.1632000000000001E-2</v>
      </c>
      <c r="Q120">
        <v>6.8283999999999997E-2</v>
      </c>
      <c r="R120">
        <v>6.5614000000000006E-2</v>
      </c>
      <c r="S120">
        <v>6.3192999999999999E-2</v>
      </c>
      <c r="T120">
        <v>6.0099E-2</v>
      </c>
      <c r="U120">
        <v>5.8325000000000002E-2</v>
      </c>
      <c r="V120">
        <v>5.7591999999999997E-2</v>
      </c>
      <c r="W120">
        <v>5.6904000000000003E-2</v>
      </c>
      <c r="X120">
        <v>5.6271000000000002E-2</v>
      </c>
      <c r="Y120">
        <v>5.6958000000000002E-2</v>
      </c>
      <c r="Z120">
        <v>5.6099000000000003E-2</v>
      </c>
      <c r="AA120">
        <v>5.5107999999999997E-2</v>
      </c>
      <c r="AB120">
        <v>5.6670999999999999E-2</v>
      </c>
      <c r="AC120">
        <v>5.9575999999999997E-2</v>
      </c>
      <c r="AD120">
        <v>6.0895999999999999E-2</v>
      </c>
      <c r="AE120">
        <v>6.2701000000000007E-2</v>
      </c>
      <c r="AF120">
        <v>6.4535999999999996E-2</v>
      </c>
      <c r="AG120" s="22">
        <v>-0.02</v>
      </c>
    </row>
    <row r="121" spans="1:33" x14ac:dyDescent="0.25">
      <c r="A121" t="s">
        <v>343</v>
      </c>
      <c r="B121" t="s">
        <v>444</v>
      </c>
      <c r="C121" t="s">
        <v>445</v>
      </c>
      <c r="D121" t="s">
        <v>433</v>
      </c>
      <c r="F121">
        <v>1503.5561520000001</v>
      </c>
      <c r="G121">
        <v>1487.926025</v>
      </c>
      <c r="H121">
        <v>1451.08374</v>
      </c>
      <c r="I121">
        <v>1439.4494629999999</v>
      </c>
      <c r="J121">
        <v>1462.205078</v>
      </c>
      <c r="K121">
        <v>1493.7679439999999</v>
      </c>
      <c r="L121">
        <v>1534.251831</v>
      </c>
      <c r="M121">
        <v>1575.906616</v>
      </c>
      <c r="N121">
        <v>1617.3569339999999</v>
      </c>
      <c r="O121">
        <v>1672.6064449999999</v>
      </c>
      <c r="P121">
        <v>1719.172607</v>
      </c>
      <c r="Q121">
        <v>1754.606323</v>
      </c>
      <c r="R121">
        <v>1787.3895259999999</v>
      </c>
      <c r="S121">
        <v>1818.8892820000001</v>
      </c>
      <c r="T121">
        <v>1855.710327</v>
      </c>
      <c r="U121">
        <v>1888.0191649999999</v>
      </c>
      <c r="V121">
        <v>1928.960693</v>
      </c>
      <c r="W121">
        <v>1978.6605219999999</v>
      </c>
      <c r="X121">
        <v>2032.4049070000001</v>
      </c>
      <c r="Y121">
        <v>2096.0437010000001</v>
      </c>
      <c r="Z121">
        <v>2152.0109859999998</v>
      </c>
      <c r="AA121">
        <v>2209.6135250000002</v>
      </c>
      <c r="AB121">
        <v>2281.0258789999998</v>
      </c>
      <c r="AC121">
        <v>2349.984375</v>
      </c>
      <c r="AD121">
        <v>2422.9716800000001</v>
      </c>
      <c r="AE121">
        <v>2506.3942870000001</v>
      </c>
      <c r="AF121">
        <v>2606.0288089999999</v>
      </c>
      <c r="AG121" s="22">
        <v>2.1000000000000001E-2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34"/>
  <sheetViews>
    <sheetView topLeftCell="A20" zoomScale="90" zoomScaleNormal="90" workbookViewId="0">
      <selection activeCell="D37" sqref="D37"/>
    </sheetView>
  </sheetViews>
  <sheetFormatPr defaultRowHeight="15" x14ac:dyDescent="0.25"/>
  <cols>
    <col min="1" max="1" width="26.140625" style="2" customWidth="1"/>
    <col min="2" max="31" width="11.5703125" bestFit="1" customWidth="1"/>
  </cols>
  <sheetData>
    <row r="1" spans="1:28" ht="29.65" customHeight="1" x14ac:dyDescent="0.25">
      <c r="A1" s="6" t="s">
        <v>446</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s="2" t="s">
        <v>202</v>
      </c>
      <c r="B2" s="5">
        <f>INDEX('AEO Table 10 2025'!$F$18:$AG$18,MATCH(B$1,'AEO Table 10 2025'!$F$5:$AG$5,0))*10^6*'Canada Elec Mix'!F2</f>
        <v>242303.64591837639</v>
      </c>
      <c r="C2" s="5">
        <f>INDEX('AEO Table 10 2026'!$E$18:$AD$18,MATCH(C$1,'AEO Table 10 2026'!$E$5:$AD$5,0))*10^6*'Canada Elec Mix'!G2</f>
        <v>188299.69478802281</v>
      </c>
      <c r="D2" s="5">
        <f>INDEX('AEO Table 10 2026'!$E$18:$AD$18,MATCH(D$1,'AEO Table 10 2026'!$E$5:$AD$5,0))*10^6*'Canada Elec Mix'!H2</f>
        <v>229288.15069675571</v>
      </c>
      <c r="E2" s="5">
        <f>INDEX('AEO Table 10 2026'!$E$18:$AD$18,MATCH(E$1,'AEO Table 10 2026'!$E$5:$AD$5,0))*10^6*'Canada Elec Mix'!I2</f>
        <v>249351.32577979713</v>
      </c>
      <c r="F2" s="5">
        <f>INDEX('AEO Table 10 2026'!$E$18:$AD$18,MATCH(F$1,'AEO Table 10 2026'!$E$5:$AD$5,0))*10^6*'Canada Elec Mix'!J2</f>
        <v>287873.73058768536</v>
      </c>
      <c r="G2" s="5">
        <f>INDEX('AEO Table 10 2026'!$E$18:$AD$18,MATCH(G$1,'AEO Table 10 2026'!$E$5:$AD$5,0))*10^6*'Canada Elec Mix'!K2</f>
        <v>319784.40056799701</v>
      </c>
      <c r="H2" s="5">
        <f>INDEX('AEO Table 10 2026'!$E$18:$AD$18,MATCH(H$1,'AEO Table 10 2026'!$E$5:$AD$5,0))*10^6*'Canada Elec Mix'!L2</f>
        <v>336857.31131250435</v>
      </c>
      <c r="I2" s="5">
        <f>INDEX('AEO Table 10 2026'!$E$18:$AD$18,MATCH(I$1,'AEO Table 10 2026'!$E$5:$AD$5,0))*10^6*'Canada Elec Mix'!M2</f>
        <v>340648.81890962733</v>
      </c>
      <c r="J2" s="5">
        <f>INDEX('AEO Table 10 2026'!$E$18:$AD$18,MATCH(J$1,'AEO Table 10 2026'!$E$5:$AD$5,0))*10^6*'Canada Elec Mix'!N2</f>
        <v>239780.05033628264</v>
      </c>
      <c r="K2" s="5">
        <f>INDEX('AEO Table 10 2026'!$E$18:$AD$18,MATCH(K$1,'AEO Table 10 2026'!$E$5:$AD$5,0))*10^6*'Canada Elec Mix'!O2</f>
        <v>252936.08020270045</v>
      </c>
      <c r="L2" s="5">
        <f>INDEX('AEO Table 10 2026'!$E$18:$AD$18,MATCH(L$1,'AEO Table 10 2026'!$E$5:$AD$5,0))*10^6*'Canada Elec Mix'!P2</f>
        <v>256852.66240584885</v>
      </c>
      <c r="M2" s="5">
        <f>INDEX('AEO Table 10 2026'!$E$18:$AD$18,MATCH(M$1,'AEO Table 10 2026'!$E$5:$AD$5,0))*10^6*'Canada Elec Mix'!Q2</f>
        <v>241173.48773245281</v>
      </c>
      <c r="N2" s="5">
        <f>INDEX('AEO Table 10 2026'!$E$18:$AD$18,MATCH(N$1,'AEO Table 10 2026'!$E$5:$AD$5,0))*10^6*'Canada Elec Mix'!R2</f>
        <v>239107.84446656748</v>
      </c>
      <c r="O2" s="5">
        <f>INDEX('AEO Table 10 2026'!$E$18:$AD$18,MATCH(O$1,'AEO Table 10 2026'!$E$5:$AD$5,0))*10^6*'Canada Elec Mix'!S2</f>
        <v>238985.8987104104</v>
      </c>
      <c r="P2" s="5">
        <f>INDEX('AEO Table 10 2026'!$E$18:$AD$18,MATCH(P$1,'AEO Table 10 2026'!$E$5:$AD$5,0))*10^6*'Canada Elec Mix'!T2</f>
        <v>232292.08578943778</v>
      </c>
      <c r="Q2" s="5">
        <f>INDEX('AEO Table 10 2026'!$E$18:$AD$18,MATCH(Q$1,'AEO Table 10 2026'!$E$5:$AD$5,0))*10^6*'Canada Elec Mix'!U2</f>
        <v>192213.17078624218</v>
      </c>
      <c r="R2" s="5">
        <f>INDEX('AEO Table 10 2026'!$E$18:$AD$18,MATCH(R$1,'AEO Table 10 2026'!$E$5:$AD$5,0))*10^6*'Canada Elec Mix'!V2</f>
        <v>188098.80388045937</v>
      </c>
      <c r="S2" s="5">
        <f>INDEX('AEO Table 10 2026'!$E$18:$AD$18,MATCH(S$1,'AEO Table 10 2026'!$E$5:$AD$5,0))*10^6*'Canada Elec Mix'!W2</f>
        <v>9388.4499771193532</v>
      </c>
      <c r="T2" s="5">
        <f>INDEX('AEO Table 10 2026'!$E$18:$AD$18,MATCH(T$1,'AEO Table 10 2026'!$E$5:$AD$5,0))*10^6*'Canada Elec Mix'!X2</f>
        <v>8301.1704861178823</v>
      </c>
      <c r="U2" s="5">
        <f>INDEX('AEO Table 10 2026'!$E$18:$AD$18,MATCH(U$1,'AEO Table 10 2026'!$E$5:$AD$5,0))*10^6*'Canada Elec Mix'!Y2</f>
        <v>8874.6270534990272</v>
      </c>
      <c r="V2" s="5">
        <f>INDEX('AEO Table 10 2026'!$E$18:$AD$18,MATCH(V$1,'AEO Table 10 2026'!$E$5:$AD$5,0))*10^6*'Canada Elec Mix'!Z2</f>
        <v>8083.1379693512754</v>
      </c>
      <c r="W2" s="5">
        <f>INDEX('AEO Table 10 2026'!$E$18:$AD$18,MATCH(W$1,'AEO Table 10 2026'!$E$5:$AD$5,0))*10^6*'Canada Elec Mix'!AA2</f>
        <v>7926.8178416918445</v>
      </c>
      <c r="X2" s="5">
        <f>INDEX('AEO Table 10 2026'!$E$18:$AD$18,MATCH(X$1,'AEO Table 10 2026'!$E$5:$AD$5,0))*10^6*'Canada Elec Mix'!AB2</f>
        <v>6960.9847501271997</v>
      </c>
      <c r="Y2" s="5">
        <f>INDEX('AEO Table 10 2026'!$E$18:$AD$18,MATCH(Y$1,'AEO Table 10 2026'!$E$5:$AD$5,0))*10^6*'Canada Elec Mix'!AC2</f>
        <v>6638.7564744883794</v>
      </c>
      <c r="Z2" s="5">
        <f>INDEX('AEO Table 10 2026'!$E$18:$AD$18,MATCH(Z$1,'AEO Table 10 2026'!$E$5:$AD$5,0))*10^6*'Canada Elec Mix'!AD2</f>
        <v>6017.3108810218882</v>
      </c>
      <c r="AA2" s="5">
        <f>INDEX('AEO Table 10 2026'!$E$18:$AD$18,MATCH(AA$1,'AEO Table 10 2026'!$E$5:$AD$5,0))*10^6*'Canada Elec Mix'!AE2</f>
        <v>5721.3629633189794</v>
      </c>
      <c r="AB2" s="5">
        <f>INDEX('AEO Table 10 2026'!$E$18:$AD$18,MATCH(AB$1,'AEO Table 10 2026'!$E$5:$AD$5,0))*10^6*'Canada Elec Mix'!AF2</f>
        <v>5448.1601019276632</v>
      </c>
    </row>
    <row r="3" spans="1:28" x14ac:dyDescent="0.25">
      <c r="A3" s="2" t="s">
        <v>199</v>
      </c>
      <c r="B3" s="5">
        <f>INDEX('AEO Table 10 2025'!$F$18:$AG$18,MATCH(B$1,'AEO Table 10 2025'!$F$5:$AG$5,0))*10^6*'Canada Elec Mix'!F3</f>
        <v>3278177.0721877264</v>
      </c>
      <c r="C3" s="5">
        <f>INDEX('AEO Table 10 2026'!$E$18:$AD$18,MATCH(C$1,'AEO Table 10 2026'!$E$5:$AD$5,0))*10^6*'Canada Elec Mix'!G3</f>
        <v>2970426.2562892074</v>
      </c>
      <c r="D3" s="5">
        <f>INDEX('AEO Table 10 2026'!$E$18:$AD$18,MATCH(D$1,'AEO Table 10 2026'!$E$5:$AD$5,0))*10^6*'Canada Elec Mix'!H3</f>
        <v>3957035.4262645631</v>
      </c>
      <c r="E3" s="5">
        <f>INDEX('AEO Table 10 2026'!$E$18:$AD$18,MATCH(E$1,'AEO Table 10 2026'!$E$5:$AD$5,0))*10^6*'Canada Elec Mix'!I3</f>
        <v>4343556.9380268538</v>
      </c>
      <c r="F3" s="5">
        <f>INDEX('AEO Table 10 2026'!$E$18:$AD$18,MATCH(F$1,'AEO Table 10 2026'!$E$5:$AD$5,0))*10^6*'Canada Elec Mix'!J3</f>
        <v>5384653.6070282571</v>
      </c>
      <c r="G3" s="5">
        <f>INDEX('AEO Table 10 2026'!$E$18:$AD$18,MATCH(G$1,'AEO Table 10 2026'!$E$5:$AD$5,0))*10^6*'Canada Elec Mix'!K3</f>
        <v>6115157.4176495755</v>
      </c>
      <c r="H3" s="5">
        <f>INDEX('AEO Table 10 2026'!$E$18:$AD$18,MATCH(H$1,'AEO Table 10 2026'!$E$5:$AD$5,0))*10^6*'Canada Elec Mix'!L3</f>
        <v>6258431.1588328481</v>
      </c>
      <c r="I3" s="5">
        <f>INDEX('AEO Table 10 2026'!$E$18:$AD$18,MATCH(I$1,'AEO Table 10 2026'!$E$5:$AD$5,0))*10^6*'Canada Elec Mix'!M3</f>
        <v>6581425.364738252</v>
      </c>
      <c r="J3" s="5">
        <f>INDEX('AEO Table 10 2026'!$E$18:$AD$18,MATCH(J$1,'AEO Table 10 2026'!$E$5:$AD$5,0))*10^6*'Canada Elec Mix'!N3</f>
        <v>6208603.5709063606</v>
      </c>
      <c r="K3" s="5">
        <f>INDEX('AEO Table 10 2026'!$E$18:$AD$18,MATCH(K$1,'AEO Table 10 2026'!$E$5:$AD$5,0))*10^6*'Canada Elec Mix'!O3</f>
        <v>6468177.2504732553</v>
      </c>
      <c r="L3" s="5">
        <f>INDEX('AEO Table 10 2026'!$E$18:$AD$18,MATCH(L$1,'AEO Table 10 2026'!$E$5:$AD$5,0))*10^6*'Canada Elec Mix'!P3</f>
        <v>6250687.7345075086</v>
      </c>
      <c r="M3" s="5">
        <f>INDEX('AEO Table 10 2026'!$E$18:$AD$18,MATCH(M$1,'AEO Table 10 2026'!$E$5:$AD$5,0))*10^6*'Canada Elec Mix'!Q3</f>
        <v>6270326.804805968</v>
      </c>
      <c r="N3" s="5">
        <f>INDEX('AEO Table 10 2026'!$E$18:$AD$18,MATCH(N$1,'AEO Table 10 2026'!$E$5:$AD$5,0))*10^6*'Canada Elec Mix'!R3</f>
        <v>5267814.7366652656</v>
      </c>
      <c r="O3" s="5">
        <f>INDEX('AEO Table 10 2026'!$E$18:$AD$18,MATCH(O$1,'AEO Table 10 2026'!$E$5:$AD$5,0))*10^6*'Canada Elec Mix'!S3</f>
        <v>5175316.8717171876</v>
      </c>
      <c r="P3" s="5">
        <f>INDEX('AEO Table 10 2026'!$E$18:$AD$18,MATCH(P$1,'AEO Table 10 2026'!$E$5:$AD$5,0))*10^6*'Canada Elec Mix'!T3</f>
        <v>4965143.7794578597</v>
      </c>
      <c r="Q3" s="5">
        <f>INDEX('AEO Table 10 2026'!$E$18:$AD$18,MATCH(Q$1,'AEO Table 10 2026'!$E$5:$AD$5,0))*10^6*'Canada Elec Mix'!U3</f>
        <v>4870463.7128841616</v>
      </c>
      <c r="R3" s="5">
        <f>INDEX('AEO Table 10 2026'!$E$18:$AD$18,MATCH(R$1,'AEO Table 10 2026'!$E$5:$AD$5,0))*10^6*'Canada Elec Mix'!V3</f>
        <v>4769442.7299720114</v>
      </c>
      <c r="S3" s="5">
        <f>INDEX('AEO Table 10 2026'!$E$18:$AD$18,MATCH(S$1,'AEO Table 10 2026'!$E$5:$AD$5,0))*10^6*'Canada Elec Mix'!W3</f>
        <v>4732003.989634932</v>
      </c>
      <c r="T3" s="5">
        <f>INDEX('AEO Table 10 2026'!$E$18:$AD$18,MATCH(T$1,'AEO Table 10 2026'!$E$5:$AD$5,0))*10^6*'Canada Elec Mix'!X3</f>
        <v>4419245.5814990131</v>
      </c>
      <c r="U3" s="5">
        <f>INDEX('AEO Table 10 2026'!$E$18:$AD$18,MATCH(U$1,'AEO Table 10 2026'!$E$5:$AD$5,0))*10^6*'Canada Elec Mix'!Y3</f>
        <v>4789231.1963777496</v>
      </c>
      <c r="V3" s="5">
        <f>INDEX('AEO Table 10 2026'!$E$18:$AD$18,MATCH(V$1,'AEO Table 10 2026'!$E$5:$AD$5,0))*10^6*'Canada Elec Mix'!Z3</f>
        <v>4546954.3943151878</v>
      </c>
      <c r="W3" s="5">
        <f>INDEX('AEO Table 10 2026'!$E$18:$AD$18,MATCH(W$1,'AEO Table 10 2026'!$E$5:$AD$5,0))*10^6*'Canada Elec Mix'!AA3</f>
        <v>4480593.209349581</v>
      </c>
      <c r="X3" s="5">
        <f>INDEX('AEO Table 10 2026'!$E$18:$AD$18,MATCH(X$1,'AEO Table 10 2026'!$E$5:$AD$5,0))*10^6*'Canada Elec Mix'!AB3</f>
        <v>4107952.7713820413</v>
      </c>
      <c r="Y3" s="5">
        <f>INDEX('AEO Table 10 2026'!$E$18:$AD$18,MATCH(Y$1,'AEO Table 10 2026'!$E$5:$AD$5,0))*10^6*'Canada Elec Mix'!AC3</f>
        <v>3922703.1621913798</v>
      </c>
      <c r="Z3" s="5">
        <f>INDEX('AEO Table 10 2026'!$E$18:$AD$18,MATCH(Z$1,'AEO Table 10 2026'!$E$5:$AD$5,0))*10^6*'Canada Elec Mix'!AD3</f>
        <v>3687594.747248664</v>
      </c>
      <c r="AA3" s="5">
        <f>INDEX('AEO Table 10 2026'!$E$18:$AD$18,MATCH(AA$1,'AEO Table 10 2026'!$E$5:$AD$5,0))*10^6*'Canada Elec Mix'!AE3</f>
        <v>3503102.9820320574</v>
      </c>
      <c r="AB3" s="5">
        <f>INDEX('AEO Table 10 2026'!$E$18:$AD$18,MATCH(AB$1,'AEO Table 10 2026'!$E$5:$AD$5,0))*10^6*'Canada Elec Mix'!AF3</f>
        <v>3328333.5338186654</v>
      </c>
    </row>
    <row r="4" spans="1:28" x14ac:dyDescent="0.25">
      <c r="A4" s="2" t="s">
        <v>200</v>
      </c>
      <c r="B4" s="5">
        <f>INDEX('AEO Table 10 2025'!$F$18:$AG$18,MATCH(B$1,'AEO Table 10 2025'!$F$5:$AG$5,0))*10^6*'Canada Elec Mix'!F4</f>
        <v>0</v>
      </c>
      <c r="C4" s="5">
        <f>INDEX('AEO Table 10 2026'!$E$18:$AD$18,MATCH(C$1,'AEO Table 10 2026'!$E$5:$AD$5,0))*10^6*'Canada Elec Mix'!G4</f>
        <v>0</v>
      </c>
      <c r="D4" s="5">
        <f>INDEX('AEO Table 10 2026'!$E$18:$AD$18,MATCH(D$1,'AEO Table 10 2026'!$E$5:$AD$5,0))*10^6*'Canada Elec Mix'!H4</f>
        <v>0</v>
      </c>
      <c r="E4" s="5">
        <f>INDEX('AEO Table 10 2026'!$E$18:$AD$18,MATCH(E$1,'AEO Table 10 2026'!$E$5:$AD$5,0))*10^6*'Canada Elec Mix'!I4</f>
        <v>0</v>
      </c>
      <c r="F4" s="5">
        <f>INDEX('AEO Table 10 2026'!$E$18:$AD$18,MATCH(F$1,'AEO Table 10 2026'!$E$5:$AD$5,0))*10^6*'Canada Elec Mix'!J4</f>
        <v>0</v>
      </c>
      <c r="G4" s="5">
        <f>INDEX('AEO Table 10 2026'!$E$18:$AD$18,MATCH(G$1,'AEO Table 10 2026'!$E$5:$AD$5,0))*10^6*'Canada Elec Mix'!K4</f>
        <v>0</v>
      </c>
      <c r="H4" s="5">
        <f>INDEX('AEO Table 10 2026'!$E$18:$AD$18,MATCH(H$1,'AEO Table 10 2026'!$E$5:$AD$5,0))*10^6*'Canada Elec Mix'!L4</f>
        <v>0</v>
      </c>
      <c r="I4" s="5">
        <f>INDEX('AEO Table 10 2026'!$E$18:$AD$18,MATCH(I$1,'AEO Table 10 2026'!$E$5:$AD$5,0))*10^6*'Canada Elec Mix'!M4</f>
        <v>0</v>
      </c>
      <c r="J4" s="5">
        <f>INDEX('AEO Table 10 2026'!$E$18:$AD$18,MATCH(J$1,'AEO Table 10 2026'!$E$5:$AD$5,0))*10^6*'Canada Elec Mix'!N4</f>
        <v>0</v>
      </c>
      <c r="K4" s="5">
        <f>INDEX('AEO Table 10 2026'!$E$18:$AD$18,MATCH(K$1,'AEO Table 10 2026'!$E$5:$AD$5,0))*10^6*'Canada Elec Mix'!O4</f>
        <v>0</v>
      </c>
      <c r="L4" s="5">
        <f>INDEX('AEO Table 10 2026'!$E$18:$AD$18,MATCH(L$1,'AEO Table 10 2026'!$E$5:$AD$5,0))*10^6*'Canada Elec Mix'!P4</f>
        <v>0</v>
      </c>
      <c r="M4" s="5">
        <f>INDEX('AEO Table 10 2026'!$E$18:$AD$18,MATCH(M$1,'AEO Table 10 2026'!$E$5:$AD$5,0))*10^6*'Canada Elec Mix'!Q4</f>
        <v>0</v>
      </c>
      <c r="N4" s="5">
        <f>INDEX('AEO Table 10 2026'!$E$18:$AD$18,MATCH(N$1,'AEO Table 10 2026'!$E$5:$AD$5,0))*10^6*'Canada Elec Mix'!R4</f>
        <v>0</v>
      </c>
      <c r="O4" s="5">
        <f>INDEX('AEO Table 10 2026'!$E$18:$AD$18,MATCH(O$1,'AEO Table 10 2026'!$E$5:$AD$5,0))*10^6*'Canada Elec Mix'!S4</f>
        <v>0</v>
      </c>
      <c r="P4" s="5">
        <f>INDEX('AEO Table 10 2026'!$E$18:$AD$18,MATCH(P$1,'AEO Table 10 2026'!$E$5:$AD$5,0))*10^6*'Canada Elec Mix'!T4</f>
        <v>0</v>
      </c>
      <c r="Q4" s="5">
        <f>INDEX('AEO Table 10 2026'!$E$18:$AD$18,MATCH(Q$1,'AEO Table 10 2026'!$E$5:$AD$5,0))*10^6*'Canada Elec Mix'!U4</f>
        <v>0</v>
      </c>
      <c r="R4" s="5">
        <f>INDEX('AEO Table 10 2026'!$E$18:$AD$18,MATCH(R$1,'AEO Table 10 2026'!$E$5:$AD$5,0))*10^6*'Canada Elec Mix'!V4</f>
        <v>0</v>
      </c>
      <c r="S4" s="5">
        <f>INDEX('AEO Table 10 2026'!$E$18:$AD$18,MATCH(S$1,'AEO Table 10 2026'!$E$5:$AD$5,0))*10^6*'Canada Elec Mix'!W4</f>
        <v>0</v>
      </c>
      <c r="T4" s="5">
        <f>INDEX('AEO Table 10 2026'!$E$18:$AD$18,MATCH(T$1,'AEO Table 10 2026'!$E$5:$AD$5,0))*10^6*'Canada Elec Mix'!X4</f>
        <v>0</v>
      </c>
      <c r="U4" s="5">
        <f>INDEX('AEO Table 10 2026'!$E$18:$AD$18,MATCH(U$1,'AEO Table 10 2026'!$E$5:$AD$5,0))*10^6*'Canada Elec Mix'!Y4</f>
        <v>0</v>
      </c>
      <c r="V4" s="5">
        <f>INDEX('AEO Table 10 2026'!$E$18:$AD$18,MATCH(V$1,'AEO Table 10 2026'!$E$5:$AD$5,0))*10^6*'Canada Elec Mix'!Z4</f>
        <v>0</v>
      </c>
      <c r="W4" s="5">
        <f>INDEX('AEO Table 10 2026'!$E$18:$AD$18,MATCH(W$1,'AEO Table 10 2026'!$E$5:$AD$5,0))*10^6*'Canada Elec Mix'!AA4</f>
        <v>0</v>
      </c>
      <c r="X4" s="5">
        <f>INDEX('AEO Table 10 2026'!$E$18:$AD$18,MATCH(X$1,'AEO Table 10 2026'!$E$5:$AD$5,0))*10^6*'Canada Elec Mix'!AB4</f>
        <v>0</v>
      </c>
      <c r="Y4" s="5">
        <f>INDEX('AEO Table 10 2026'!$E$18:$AD$18,MATCH(Y$1,'AEO Table 10 2026'!$E$5:$AD$5,0))*10^6*'Canada Elec Mix'!AC4</f>
        <v>0</v>
      </c>
      <c r="Z4" s="5">
        <f>INDEX('AEO Table 10 2026'!$E$18:$AD$18,MATCH(Z$1,'AEO Table 10 2026'!$E$5:$AD$5,0))*10^6*'Canada Elec Mix'!AD4</f>
        <v>0</v>
      </c>
      <c r="AA4" s="5">
        <f>INDEX('AEO Table 10 2026'!$E$18:$AD$18,MATCH(AA$1,'AEO Table 10 2026'!$E$5:$AD$5,0))*10^6*'Canada Elec Mix'!AE4</f>
        <v>0</v>
      </c>
      <c r="AB4" s="5">
        <f>INDEX('AEO Table 10 2026'!$E$18:$AD$18,MATCH(AB$1,'AEO Table 10 2026'!$E$5:$AD$5,0))*10^6*'Canada Elec Mix'!AF4</f>
        <v>0</v>
      </c>
    </row>
    <row r="5" spans="1:28" x14ac:dyDescent="0.25">
      <c r="A5" s="2" t="s">
        <v>203</v>
      </c>
      <c r="B5" s="5">
        <f>INDEX('AEO Table 10 2025'!$F$18:$AG$18,MATCH(B$1,'AEO Table 10 2025'!$F$5:$AG$5,0))*10^6*'Canada Elec Mix'!F5</f>
        <v>3495228.2639418067</v>
      </c>
      <c r="C5" s="5">
        <f>INDEX('AEO Table 10 2026'!$E$18:$AD$18,MATCH(C$1,'AEO Table 10 2026'!$E$5:$AD$5,0))*10^6*'Canada Elec Mix'!G5</f>
        <v>2792073.8548036073</v>
      </c>
      <c r="D5" s="5">
        <f>INDEX('AEO Table 10 2026'!$E$18:$AD$18,MATCH(D$1,'AEO Table 10 2026'!$E$5:$AD$5,0))*10^6*'Canada Elec Mix'!H5</f>
        <v>3269944.3947621351</v>
      </c>
      <c r="E5" s="5">
        <f>INDEX('AEO Table 10 2026'!$E$18:$AD$18,MATCH(E$1,'AEO Table 10 2026'!$E$5:$AD$5,0))*10^6*'Canada Elec Mix'!I5</f>
        <v>4260072.0520045273</v>
      </c>
      <c r="F5" s="5">
        <f>INDEX('AEO Table 10 2026'!$E$18:$AD$18,MATCH(F$1,'AEO Table 10 2026'!$E$5:$AD$5,0))*10^6*'Canada Elec Mix'!J5</f>
        <v>5953816.4126260662</v>
      </c>
      <c r="G5" s="5">
        <f>INDEX('AEO Table 10 2026'!$E$18:$AD$18,MATCH(G$1,'AEO Table 10 2026'!$E$5:$AD$5,0))*10^6*'Canada Elec Mix'!K5</f>
        <v>6191895.5734123671</v>
      </c>
      <c r="H5" s="5">
        <f>INDEX('AEO Table 10 2026'!$E$18:$AD$18,MATCH(H$1,'AEO Table 10 2026'!$E$5:$AD$5,0))*10^6*'Canada Elec Mix'!L5</f>
        <v>7450001.6153998477</v>
      </c>
      <c r="I5" s="5">
        <f>INDEX('AEO Table 10 2026'!$E$18:$AD$18,MATCH(I$1,'AEO Table 10 2026'!$E$5:$AD$5,0))*10^6*'Canada Elec Mix'!M5</f>
        <v>6925482.9488487178</v>
      </c>
      <c r="J5" s="5">
        <f>INDEX('AEO Table 10 2026'!$E$18:$AD$18,MATCH(J$1,'AEO Table 10 2026'!$E$5:$AD$5,0))*10^6*'Canada Elec Mix'!N5</f>
        <v>7682821.1510775117</v>
      </c>
      <c r="K5" s="5">
        <f>INDEX('AEO Table 10 2026'!$E$18:$AD$18,MATCH(K$1,'AEO Table 10 2026'!$E$5:$AD$5,0))*10^6*'Canada Elec Mix'!O5</f>
        <v>7978307.5529523995</v>
      </c>
      <c r="L5" s="5">
        <f>INDEX('AEO Table 10 2026'!$E$18:$AD$18,MATCH(L$1,'AEO Table 10 2026'!$E$5:$AD$5,0))*10^6*'Canada Elec Mix'!P5</f>
        <v>8711441.1175211724</v>
      </c>
      <c r="M5" s="5">
        <f>INDEX('AEO Table 10 2026'!$E$18:$AD$18,MATCH(M$1,'AEO Table 10 2026'!$E$5:$AD$5,0))*10^6*'Canada Elec Mix'!Q5</f>
        <v>8987880.0540349111</v>
      </c>
      <c r="N5" s="5">
        <f>INDEX('AEO Table 10 2026'!$E$18:$AD$18,MATCH(N$1,'AEO Table 10 2026'!$E$5:$AD$5,0))*10^6*'Canada Elec Mix'!R5</f>
        <v>8756523.4708192926</v>
      </c>
      <c r="O5" s="5">
        <f>INDEX('AEO Table 10 2026'!$E$18:$AD$18,MATCH(O$1,'AEO Table 10 2026'!$E$5:$AD$5,0))*10^6*'Canada Elec Mix'!S5</f>
        <v>8642616.5886977781</v>
      </c>
      <c r="P5" s="5">
        <f>INDEX('AEO Table 10 2026'!$E$18:$AD$18,MATCH(P$1,'AEO Table 10 2026'!$E$5:$AD$5,0))*10^6*'Canada Elec Mix'!T5</f>
        <v>8505987.8088784367</v>
      </c>
      <c r="Q5" s="5">
        <f>INDEX('AEO Table 10 2026'!$E$18:$AD$18,MATCH(Q$1,'AEO Table 10 2026'!$E$5:$AD$5,0))*10^6*'Canada Elec Mix'!U5</f>
        <v>8308911.1101694182</v>
      </c>
      <c r="R5" s="5">
        <f>INDEX('AEO Table 10 2026'!$E$18:$AD$18,MATCH(R$1,'AEO Table 10 2026'!$E$5:$AD$5,0))*10^6*'Canada Elec Mix'!V5</f>
        <v>8324698.6680461662</v>
      </c>
      <c r="S5" s="5">
        <f>INDEX('AEO Table 10 2026'!$E$18:$AD$18,MATCH(S$1,'AEO Table 10 2026'!$E$5:$AD$5,0))*10^6*'Canada Elec Mix'!W5</f>
        <v>7822041.7326022461</v>
      </c>
      <c r="T5" s="5">
        <f>INDEX('AEO Table 10 2026'!$E$18:$AD$18,MATCH(T$1,'AEO Table 10 2026'!$E$5:$AD$5,0))*10^6*'Canada Elec Mix'!X5</f>
        <v>7293067.8797224984</v>
      </c>
      <c r="U5" s="5">
        <f>INDEX('AEO Table 10 2026'!$E$18:$AD$18,MATCH(U$1,'AEO Table 10 2026'!$E$5:$AD$5,0))*10^6*'Canada Elec Mix'!Y5</f>
        <v>7786663.1846751524</v>
      </c>
      <c r="V5" s="5">
        <f>INDEX('AEO Table 10 2026'!$E$18:$AD$18,MATCH(V$1,'AEO Table 10 2026'!$E$5:$AD$5,0))*10^6*'Canada Elec Mix'!Z5</f>
        <v>7953262.6677397639</v>
      </c>
      <c r="W5" s="5">
        <f>INDEX('AEO Table 10 2026'!$E$18:$AD$18,MATCH(W$1,'AEO Table 10 2026'!$E$5:$AD$5,0))*10^6*'Canada Elec Mix'!AA5</f>
        <v>7816914.0144345034</v>
      </c>
      <c r="X5" s="5">
        <f>INDEX('AEO Table 10 2026'!$E$18:$AD$18,MATCH(X$1,'AEO Table 10 2026'!$E$5:$AD$5,0))*10^6*'Canada Elec Mix'!AB5</f>
        <v>7231204.1963327602</v>
      </c>
      <c r="Y5" s="5">
        <f>INDEX('AEO Table 10 2026'!$E$18:$AD$18,MATCH(Y$1,'AEO Table 10 2026'!$E$5:$AD$5,0))*10^6*'Canada Elec Mix'!AC5</f>
        <v>6907954.6833163844</v>
      </c>
      <c r="Z5" s="5">
        <f>INDEX('AEO Table 10 2026'!$E$18:$AD$18,MATCH(Z$1,'AEO Table 10 2026'!$E$5:$AD$5,0))*10^6*'Canada Elec Mix'!AD5</f>
        <v>6592653.5825429922</v>
      </c>
      <c r="AA5" s="5">
        <f>INDEX('AEO Table 10 2026'!$E$18:$AD$18,MATCH(AA$1,'AEO Table 10 2026'!$E$5:$AD$5,0))*10^6*'Canada Elec Mix'!AE5</f>
        <v>6264806.3602667274</v>
      </c>
      <c r="AB5" s="5">
        <f>INDEX('AEO Table 10 2026'!$E$18:$AD$18,MATCH(AB$1,'AEO Table 10 2026'!$E$5:$AD$5,0))*10^6*'Canada Elec Mix'!AF5</f>
        <v>5905740.9988296106</v>
      </c>
    </row>
    <row r="6" spans="1:28" x14ac:dyDescent="0.25">
      <c r="A6" s="2" t="s">
        <v>204</v>
      </c>
      <c r="B6" s="5">
        <f>INDEX('AEO Table 10 2025'!$F$18:$AG$18,MATCH(B$1,'AEO Table 10 2025'!$F$5:$AG$5,0))*10^6*'Canada Elec Mix'!F6</f>
        <v>18308860.934201494</v>
      </c>
      <c r="C6" s="5">
        <f>INDEX('AEO Table 10 2026'!$E$18:$AD$18,MATCH(C$1,'AEO Table 10 2026'!$E$5:$AD$5,0))*10^6*'Canada Elec Mix'!G6</f>
        <v>16217384.547934113</v>
      </c>
      <c r="D6" s="5">
        <f>INDEX('AEO Table 10 2026'!$E$18:$AD$18,MATCH(D$1,'AEO Table 10 2026'!$E$5:$AD$5,0))*10^6*'Canada Elec Mix'!H6</f>
        <v>20492517.941807602</v>
      </c>
      <c r="E6" s="5">
        <f>INDEX('AEO Table 10 2026'!$E$18:$AD$18,MATCH(E$1,'AEO Table 10 2026'!$E$5:$AD$5,0))*10^6*'Canada Elec Mix'!I6</f>
        <v>24446182.00477327</v>
      </c>
      <c r="F6" s="5">
        <f>INDEX('AEO Table 10 2026'!$E$18:$AD$18,MATCH(F$1,'AEO Table 10 2026'!$E$5:$AD$5,0))*10^6*'Canada Elec Mix'!J6</f>
        <v>31444840.822585125</v>
      </c>
      <c r="G6" s="5">
        <f>INDEX('AEO Table 10 2026'!$E$18:$AD$18,MATCH(G$1,'AEO Table 10 2026'!$E$5:$AD$5,0))*10^6*'Canada Elec Mix'!K6</f>
        <v>34800822.148124538</v>
      </c>
      <c r="H6" s="5">
        <f>INDEX('AEO Table 10 2026'!$E$18:$AD$18,MATCH(H$1,'AEO Table 10 2026'!$E$5:$AD$5,0))*10^6*'Canada Elec Mix'!L6</f>
        <v>39173827.618377522</v>
      </c>
      <c r="I6" s="5">
        <f>INDEX('AEO Table 10 2026'!$E$18:$AD$18,MATCH(I$1,'AEO Table 10 2026'!$E$5:$AD$5,0))*10^6*'Canada Elec Mix'!M6</f>
        <v>39704156.050394945</v>
      </c>
      <c r="J6" s="5">
        <f>INDEX('AEO Table 10 2026'!$E$18:$AD$18,MATCH(J$1,'AEO Table 10 2026'!$E$5:$AD$5,0))*10^6*'Canada Elec Mix'!N6</f>
        <v>40403782.140701905</v>
      </c>
      <c r="K6" s="5">
        <f>INDEX('AEO Table 10 2026'!$E$18:$AD$18,MATCH(K$1,'AEO Table 10 2026'!$E$5:$AD$5,0))*10^6*'Canada Elec Mix'!O6</f>
        <v>41971246.833763242</v>
      </c>
      <c r="L6" s="5">
        <f>INDEX('AEO Table 10 2026'!$E$18:$AD$18,MATCH(L$1,'AEO Table 10 2026'!$E$5:$AD$5,0))*10^6*'Canada Elec Mix'!P6</f>
        <v>42437779.535236664</v>
      </c>
      <c r="M6" s="5">
        <f>INDEX('AEO Table 10 2026'!$E$18:$AD$18,MATCH(M$1,'AEO Table 10 2026'!$E$5:$AD$5,0))*10^6*'Canada Elec Mix'!Q6</f>
        <v>42985906.508342117</v>
      </c>
      <c r="N6" s="5">
        <f>INDEX('AEO Table 10 2026'!$E$18:$AD$18,MATCH(N$1,'AEO Table 10 2026'!$E$5:$AD$5,0))*10^6*'Canada Elec Mix'!R6</f>
        <v>42033011.710220359</v>
      </c>
      <c r="O6" s="5">
        <f>INDEX('AEO Table 10 2026'!$E$18:$AD$18,MATCH(O$1,'AEO Table 10 2026'!$E$5:$AD$5,0))*10^6*'Canada Elec Mix'!S6</f>
        <v>41552865.364481516</v>
      </c>
      <c r="P6" s="5">
        <f>INDEX('AEO Table 10 2026'!$E$18:$AD$18,MATCH(P$1,'AEO Table 10 2026'!$E$5:$AD$5,0))*10^6*'Canada Elec Mix'!T6</f>
        <v>40942318.433264486</v>
      </c>
      <c r="Q6" s="5">
        <f>INDEX('AEO Table 10 2026'!$E$18:$AD$18,MATCH(Q$1,'AEO Table 10 2026'!$E$5:$AD$5,0))*10^6*'Canada Elec Mix'!U6</f>
        <v>39995009.046059437</v>
      </c>
      <c r="R6" s="5">
        <f>INDEX('AEO Table 10 2026'!$E$18:$AD$18,MATCH(R$1,'AEO Table 10 2026'!$E$5:$AD$5,0))*10^6*'Canada Elec Mix'!V6</f>
        <v>40023599.573715121</v>
      </c>
      <c r="S6" s="5">
        <f>INDEX('AEO Table 10 2026'!$E$18:$AD$18,MATCH(S$1,'AEO Table 10 2026'!$E$5:$AD$5,0))*10^6*'Canada Elec Mix'!W6</f>
        <v>39747226.855323605</v>
      </c>
      <c r="T6" s="5">
        <f>INDEX('AEO Table 10 2026'!$E$18:$AD$18,MATCH(T$1,'AEO Table 10 2026'!$E$5:$AD$5,0))*10^6*'Canada Elec Mix'!X6</f>
        <v>37043548.911907405</v>
      </c>
      <c r="U6" s="5">
        <f>INDEX('AEO Table 10 2026'!$E$18:$AD$18,MATCH(U$1,'AEO Table 10 2026'!$E$5:$AD$5,0))*10^6*'Canada Elec Mix'!Y6</f>
        <v>39513887.092330992</v>
      </c>
      <c r="V6" s="5">
        <f>INDEX('AEO Table 10 2026'!$E$18:$AD$18,MATCH(V$1,'AEO Table 10 2026'!$E$5:$AD$5,0))*10^6*'Canada Elec Mix'!Z6</f>
        <v>37968029.070699431</v>
      </c>
      <c r="W6" s="5">
        <f>INDEX('AEO Table 10 2026'!$E$18:$AD$18,MATCH(W$1,'AEO Table 10 2026'!$E$5:$AD$5,0))*10^6*'Canada Elec Mix'!AA6</f>
        <v>37268589.475974254</v>
      </c>
      <c r="X6" s="5">
        <f>INDEX('AEO Table 10 2026'!$E$18:$AD$18,MATCH(X$1,'AEO Table 10 2026'!$E$5:$AD$5,0))*10^6*'Canada Elec Mix'!AB6</f>
        <v>34353135.97832232</v>
      </c>
      <c r="Y6" s="5">
        <f>INDEX('AEO Table 10 2026'!$E$18:$AD$18,MATCH(Y$1,'AEO Table 10 2026'!$E$5:$AD$5,0))*10^6*'Canada Elec Mix'!AC6</f>
        <v>32567454.630053237</v>
      </c>
      <c r="Z6" s="5">
        <f>INDEX('AEO Table 10 2026'!$E$18:$AD$18,MATCH(Z$1,'AEO Table 10 2026'!$E$5:$AD$5,0))*10^6*'Canada Elec Mix'!AD6</f>
        <v>30837908.295870997</v>
      </c>
      <c r="AA6" s="5">
        <f>INDEX('AEO Table 10 2026'!$E$18:$AD$18,MATCH(AA$1,'AEO Table 10 2026'!$E$5:$AD$5,0))*10^6*'Canada Elec Mix'!AE6</f>
        <v>29036109.424809191</v>
      </c>
      <c r="AB6" s="5">
        <f>INDEX('AEO Table 10 2026'!$E$18:$AD$18,MATCH(AB$1,'AEO Table 10 2026'!$E$5:$AD$5,0))*10^6*'Canada Elec Mix'!AF6</f>
        <v>27447107.614919838</v>
      </c>
    </row>
    <row r="7" spans="1:28" x14ac:dyDescent="0.25">
      <c r="A7" s="2" t="s">
        <v>205</v>
      </c>
      <c r="B7" s="5">
        <f>INDEX('AEO Table 10 2025'!$F$18:$AG$18,MATCH(B$1,'AEO Table 10 2025'!$F$5:$AG$5,0))*10^6*'Canada Elec Mix'!F7</f>
        <v>2266292.4898830554</v>
      </c>
      <c r="C7" s="5">
        <f>INDEX('AEO Table 10 2026'!$E$18:$AD$18,MATCH(C$1,'AEO Table 10 2026'!$E$5:$AD$5,0))*10^6*'Canada Elec Mix'!G7</f>
        <v>2068232.7711043924</v>
      </c>
      <c r="D7" s="5">
        <f>INDEX('AEO Table 10 2026'!$E$18:$AD$18,MATCH(D$1,'AEO Table 10 2026'!$E$5:$AD$5,0))*10^6*'Canada Elec Mix'!H7</f>
        <v>2641250.6597911837</v>
      </c>
      <c r="E7" s="5">
        <f>INDEX('AEO Table 10 2026'!$E$18:$AD$18,MATCH(E$1,'AEO Table 10 2026'!$E$5:$AD$5,0))*10^6*'Canada Elec Mix'!I7</f>
        <v>3557980.8611588283</v>
      </c>
      <c r="F7" s="5">
        <f>INDEX('AEO Table 10 2026'!$E$18:$AD$18,MATCH(F$1,'AEO Table 10 2026'!$E$5:$AD$5,0))*10^6*'Canada Elec Mix'!J7</f>
        <v>4858018.0876067532</v>
      </c>
      <c r="G7" s="5">
        <f>INDEX('AEO Table 10 2026'!$E$18:$AD$18,MATCH(G$1,'AEO Table 10 2026'!$E$5:$AD$5,0))*10^6*'Canada Elec Mix'!K7</f>
        <v>5768067.1360084778</v>
      </c>
      <c r="H7" s="5">
        <f>INDEX('AEO Table 10 2026'!$E$18:$AD$18,MATCH(H$1,'AEO Table 10 2026'!$E$5:$AD$5,0))*10^6*'Canada Elec Mix'!L7</f>
        <v>7197250.5007834164</v>
      </c>
      <c r="I7" s="5">
        <f>INDEX('AEO Table 10 2026'!$E$18:$AD$18,MATCH(I$1,'AEO Table 10 2026'!$E$5:$AD$5,0))*10^6*'Canada Elec Mix'!M7</f>
        <v>7925413.545089487</v>
      </c>
      <c r="J7" s="5">
        <f>INDEX('AEO Table 10 2026'!$E$18:$AD$18,MATCH(J$1,'AEO Table 10 2026'!$E$5:$AD$5,0))*10^6*'Canada Elec Mix'!N7</f>
        <v>8706846.9781149421</v>
      </c>
      <c r="K7" s="5">
        <f>INDEX('AEO Table 10 2026'!$E$18:$AD$18,MATCH(K$1,'AEO Table 10 2026'!$E$5:$AD$5,0))*10^6*'Canada Elec Mix'!O7</f>
        <v>9123365.4961133059</v>
      </c>
      <c r="L7" s="5">
        <f>INDEX('AEO Table 10 2026'!$E$18:$AD$18,MATCH(L$1,'AEO Table 10 2026'!$E$5:$AD$5,0))*10^6*'Canada Elec Mix'!P7</f>
        <v>9393818.5268089436</v>
      </c>
      <c r="M7" s="5">
        <f>INDEX('AEO Table 10 2026'!$E$18:$AD$18,MATCH(M$1,'AEO Table 10 2026'!$E$5:$AD$5,0))*10^6*'Canada Elec Mix'!Q7</f>
        <v>9666698.2821350116</v>
      </c>
      <c r="N7" s="5">
        <f>INDEX('AEO Table 10 2026'!$E$18:$AD$18,MATCH(N$1,'AEO Table 10 2026'!$E$5:$AD$5,0))*10^6*'Canada Elec Mix'!R7</f>
        <v>9729616.2562371828</v>
      </c>
      <c r="O7" s="5">
        <f>INDEX('AEO Table 10 2026'!$E$18:$AD$18,MATCH(O$1,'AEO Table 10 2026'!$E$5:$AD$5,0))*10^6*'Canada Elec Mix'!S7</f>
        <v>9917517.9290900007</v>
      </c>
      <c r="P7" s="5">
        <f>INDEX('AEO Table 10 2026'!$E$18:$AD$18,MATCH(P$1,'AEO Table 10 2026'!$E$5:$AD$5,0))*10^6*'Canada Elec Mix'!T7</f>
        <v>10477171.161539244</v>
      </c>
      <c r="Q7" s="5">
        <f>INDEX('AEO Table 10 2026'!$E$18:$AD$18,MATCH(Q$1,'AEO Table 10 2026'!$E$5:$AD$5,0))*10^6*'Canada Elec Mix'!U7</f>
        <v>10596671.284249196</v>
      </c>
      <c r="R7" s="5">
        <f>INDEX('AEO Table 10 2026'!$E$18:$AD$18,MATCH(R$1,'AEO Table 10 2026'!$E$5:$AD$5,0))*10^6*'Canada Elec Mix'!V7</f>
        <v>11249973.007074602</v>
      </c>
      <c r="S7" s="5">
        <f>INDEX('AEO Table 10 2026'!$E$18:$AD$18,MATCH(S$1,'AEO Table 10 2026'!$E$5:$AD$5,0))*10^6*'Canada Elec Mix'!W7</f>
        <v>11627986.182548616</v>
      </c>
      <c r="T7" s="5">
        <f>INDEX('AEO Table 10 2026'!$E$18:$AD$18,MATCH(T$1,'AEO Table 10 2026'!$E$5:$AD$5,0))*10^6*'Canada Elec Mix'!X7</f>
        <v>11599823.334978066</v>
      </c>
      <c r="U7" s="5">
        <f>INDEX('AEO Table 10 2026'!$E$18:$AD$18,MATCH(U$1,'AEO Table 10 2026'!$E$5:$AD$5,0))*10^6*'Canada Elec Mix'!Y7</f>
        <v>12912053.930885794</v>
      </c>
      <c r="V7" s="5">
        <f>INDEX('AEO Table 10 2026'!$E$18:$AD$18,MATCH(V$1,'AEO Table 10 2026'!$E$5:$AD$5,0))*10^6*'Canada Elec Mix'!Z7</f>
        <v>13275300.483797191</v>
      </c>
      <c r="W7" s="5">
        <f>INDEX('AEO Table 10 2026'!$E$18:$AD$18,MATCH(W$1,'AEO Table 10 2026'!$E$5:$AD$5,0))*10^6*'Canada Elec Mix'!AA7</f>
        <v>13419435.46431754</v>
      </c>
      <c r="X7" s="5">
        <f>INDEX('AEO Table 10 2026'!$E$18:$AD$18,MATCH(X$1,'AEO Table 10 2026'!$E$5:$AD$5,0))*10^6*'Canada Elec Mix'!AB7</f>
        <v>13063518.633942833</v>
      </c>
      <c r="Y7" s="5">
        <f>INDEX('AEO Table 10 2026'!$E$18:$AD$18,MATCH(Y$1,'AEO Table 10 2026'!$E$5:$AD$5,0))*10^6*'Canada Elec Mix'!AC7</f>
        <v>12690190.828017028</v>
      </c>
      <c r="Z7" s="5">
        <f>INDEX('AEO Table 10 2026'!$E$18:$AD$18,MATCH(Z$1,'AEO Table 10 2026'!$E$5:$AD$5,0))*10^6*'Canada Elec Mix'!AD7</f>
        <v>12524919.756961003</v>
      </c>
      <c r="AA7" s="5">
        <f>INDEX('AEO Table 10 2026'!$E$18:$AD$18,MATCH(AA$1,'AEO Table 10 2026'!$E$5:$AD$5,0))*10^6*'Canada Elec Mix'!AE7</f>
        <v>12050840.354961237</v>
      </c>
      <c r="AB7" s="5">
        <f>INDEX('AEO Table 10 2026'!$E$18:$AD$18,MATCH(AB$1,'AEO Table 10 2026'!$E$5:$AD$5,0))*10^6*'Canada Elec Mix'!AF7</f>
        <v>11595777.400240699</v>
      </c>
    </row>
    <row r="8" spans="1:28" x14ac:dyDescent="0.25">
      <c r="A8" s="2" t="s">
        <v>206</v>
      </c>
      <c r="B8" s="5">
        <f>INDEX('AEO Table 10 2025'!$F$18:$AG$18,MATCH(B$1,'AEO Table 10 2025'!$F$5:$AG$5,0))*10^6*'Canada Elec Mix'!F8</f>
        <v>178548.87693929253</v>
      </c>
      <c r="C8" s="5">
        <f>INDEX('AEO Table 10 2026'!$E$18:$AD$18,MATCH(C$1,'AEO Table 10 2026'!$E$5:$AD$5,0))*10^6*'Canada Elec Mix'!G8</f>
        <v>165110.07158067948</v>
      </c>
      <c r="D8" s="5">
        <f>INDEX('AEO Table 10 2026'!$E$18:$AD$18,MATCH(D$1,'AEO Table 10 2026'!$E$5:$AD$5,0))*10^6*'Canada Elec Mix'!H8</f>
        <v>237806.87711312628</v>
      </c>
      <c r="E8" s="5">
        <f>INDEX('AEO Table 10 2026'!$E$18:$AD$18,MATCH(E$1,'AEO Table 10 2026'!$E$5:$AD$5,0))*10^6*'Canada Elec Mix'!I8</f>
        <v>303388.31511729612</v>
      </c>
      <c r="F8" s="5">
        <f>INDEX('AEO Table 10 2026'!$E$18:$AD$18,MATCH(F$1,'AEO Table 10 2026'!$E$5:$AD$5,0))*10^6*'Canada Elec Mix'!J8</f>
        <v>398200.41504981014</v>
      </c>
      <c r="G8" s="5">
        <f>INDEX('AEO Table 10 2026'!$E$18:$AD$18,MATCH(G$1,'AEO Table 10 2026'!$E$5:$AD$5,0))*10^6*'Canada Elec Mix'!K8</f>
        <v>553223.33870763797</v>
      </c>
      <c r="H8" s="5">
        <f>INDEX('AEO Table 10 2026'!$E$18:$AD$18,MATCH(H$1,'AEO Table 10 2026'!$E$5:$AD$5,0))*10^6*'Canada Elec Mix'!L8</f>
        <v>702452.27315353055</v>
      </c>
      <c r="I8" s="5">
        <f>INDEX('AEO Table 10 2026'!$E$18:$AD$18,MATCH(I$1,'AEO Table 10 2026'!$E$5:$AD$5,0))*10^6*'Canada Elec Mix'!M8</f>
        <v>795940.71493332624</v>
      </c>
      <c r="J8" s="5">
        <f>INDEX('AEO Table 10 2026'!$E$18:$AD$18,MATCH(J$1,'AEO Table 10 2026'!$E$5:$AD$5,0))*10^6*'Canada Elec Mix'!N8</f>
        <v>911232.46319125174</v>
      </c>
      <c r="K8" s="5">
        <f>INDEX('AEO Table 10 2026'!$E$18:$AD$18,MATCH(K$1,'AEO Table 10 2026'!$E$5:$AD$5,0))*10^6*'Canada Elec Mix'!O8</f>
        <v>1081003.1272076906</v>
      </c>
      <c r="L8" s="5">
        <f>INDEX('AEO Table 10 2026'!$E$18:$AD$18,MATCH(L$1,'AEO Table 10 2026'!$E$5:$AD$5,0))*10^6*'Canada Elec Mix'!P8</f>
        <v>1241467.4827958765</v>
      </c>
      <c r="M8" s="5">
        <f>INDEX('AEO Table 10 2026'!$E$18:$AD$18,MATCH(M$1,'AEO Table 10 2026'!$E$5:$AD$5,0))*10^6*'Canada Elec Mix'!Q8</f>
        <v>1624813.9108478106</v>
      </c>
      <c r="N8" s="5">
        <f>INDEX('AEO Table 10 2026'!$E$18:$AD$18,MATCH(N$1,'AEO Table 10 2026'!$E$5:$AD$5,0))*10^6*'Canada Elec Mix'!R8</f>
        <v>1745262.3509107551</v>
      </c>
      <c r="O8" s="5">
        <f>INDEX('AEO Table 10 2026'!$E$18:$AD$18,MATCH(O$1,'AEO Table 10 2026'!$E$5:$AD$5,0))*10^6*'Canada Elec Mix'!S8</f>
        <v>1900280.352139435</v>
      </c>
      <c r="P8" s="5">
        <f>INDEX('AEO Table 10 2026'!$E$18:$AD$18,MATCH(P$1,'AEO Table 10 2026'!$E$5:$AD$5,0))*10^6*'Canada Elec Mix'!T8</f>
        <v>2054362.5675388563</v>
      </c>
      <c r="Q8" s="5">
        <f>INDEX('AEO Table 10 2026'!$E$18:$AD$18,MATCH(Q$1,'AEO Table 10 2026'!$E$5:$AD$5,0))*10^6*'Canada Elec Mix'!U8</f>
        <v>2213911.2485370035</v>
      </c>
      <c r="R8" s="5">
        <f>INDEX('AEO Table 10 2026'!$E$18:$AD$18,MATCH(R$1,'AEO Table 10 2026'!$E$5:$AD$5,0))*10^6*'Canada Elec Mix'!V8</f>
        <v>2614221.1561516272</v>
      </c>
      <c r="S8" s="5">
        <f>INDEX('AEO Table 10 2026'!$E$18:$AD$18,MATCH(S$1,'AEO Table 10 2026'!$E$5:$AD$5,0))*10^6*'Canada Elec Mix'!W8</f>
        <v>2919733.3600598369</v>
      </c>
      <c r="T8" s="5">
        <f>INDEX('AEO Table 10 2026'!$E$18:$AD$18,MATCH(T$1,'AEO Table 10 2026'!$E$5:$AD$5,0))*10^6*'Canada Elec Mix'!X8</f>
        <v>3053438.4301516418</v>
      </c>
      <c r="U8" s="5">
        <f>INDEX('AEO Table 10 2026'!$E$18:$AD$18,MATCH(U$1,'AEO Table 10 2026'!$E$5:$AD$5,0))*10^6*'Canada Elec Mix'!Y8</f>
        <v>3668235.6194774639</v>
      </c>
      <c r="V8" s="5">
        <f>INDEX('AEO Table 10 2026'!$E$18:$AD$18,MATCH(V$1,'AEO Table 10 2026'!$E$5:$AD$5,0))*10^6*'Canada Elec Mix'!Z8</f>
        <v>3901299.2434162628</v>
      </c>
      <c r="W8" s="5">
        <f>INDEX('AEO Table 10 2026'!$E$18:$AD$18,MATCH(W$1,'AEO Table 10 2026'!$E$5:$AD$5,0))*10^6*'Canada Elec Mix'!AA8</f>
        <v>4291963.1845570039</v>
      </c>
      <c r="X8" s="5">
        <f>INDEX('AEO Table 10 2026'!$E$18:$AD$18,MATCH(X$1,'AEO Table 10 2026'!$E$5:$AD$5,0))*10^6*'Canada Elec Mix'!AB8</f>
        <v>4211098.2297913395</v>
      </c>
      <c r="Y8" s="5">
        <f>INDEX('AEO Table 10 2026'!$E$18:$AD$18,MATCH(Y$1,'AEO Table 10 2026'!$E$5:$AD$5,0))*10^6*'Canada Elec Mix'!AC8</f>
        <v>4169388.6047747559</v>
      </c>
      <c r="Z8" s="5">
        <f>INDEX('AEO Table 10 2026'!$E$18:$AD$18,MATCH(Z$1,'AEO Table 10 2026'!$E$5:$AD$5,0))*10^6*'Canada Elec Mix'!AD8</f>
        <v>4080161.8381797052</v>
      </c>
      <c r="AA8" s="5">
        <f>INDEX('AEO Table 10 2026'!$E$18:$AD$18,MATCH(AA$1,'AEO Table 10 2026'!$E$5:$AD$5,0))*10^6*'Canada Elec Mix'!AE8</f>
        <v>3962672.8563817763</v>
      </c>
      <c r="AB8" s="5">
        <f>INDEX('AEO Table 10 2026'!$E$18:$AD$18,MATCH(AB$1,'AEO Table 10 2026'!$E$5:$AD$5,0))*10^6*'Canada Elec Mix'!AF8</f>
        <v>3822685.9816413792</v>
      </c>
    </row>
    <row r="9" spans="1:28" x14ac:dyDescent="0.25">
      <c r="A9" s="2" t="s">
        <v>207</v>
      </c>
      <c r="B9" s="5">
        <f>INDEX('AEO Table 10 2025'!$F$18:$AG$18,MATCH(B$1,'AEO Table 10 2025'!$F$5:$AG$5,0))*10^6*'Canada Elec Mix'!F9</f>
        <v>0</v>
      </c>
      <c r="C9" s="5">
        <f>INDEX('AEO Table 10 2026'!$E$18:$AD$18,MATCH(C$1,'AEO Table 10 2026'!$E$5:$AD$5,0))*10^6*'Canada Elec Mix'!G9</f>
        <v>0</v>
      </c>
      <c r="D9" s="5">
        <f>INDEX('AEO Table 10 2026'!$E$18:$AD$18,MATCH(D$1,'AEO Table 10 2026'!$E$5:$AD$5,0))*10^6*'Canada Elec Mix'!H9</f>
        <v>0</v>
      </c>
      <c r="E9" s="5">
        <f>INDEX('AEO Table 10 2026'!$E$18:$AD$18,MATCH(E$1,'AEO Table 10 2026'!$E$5:$AD$5,0))*10^6*'Canada Elec Mix'!I9</f>
        <v>0</v>
      </c>
      <c r="F9" s="5">
        <f>INDEX('AEO Table 10 2026'!$E$18:$AD$18,MATCH(F$1,'AEO Table 10 2026'!$E$5:$AD$5,0))*10^6*'Canada Elec Mix'!J9</f>
        <v>0</v>
      </c>
      <c r="G9" s="5">
        <f>INDEX('AEO Table 10 2026'!$E$18:$AD$18,MATCH(G$1,'AEO Table 10 2026'!$E$5:$AD$5,0))*10^6*'Canada Elec Mix'!K9</f>
        <v>0</v>
      </c>
      <c r="H9" s="5">
        <f>INDEX('AEO Table 10 2026'!$E$18:$AD$18,MATCH(H$1,'AEO Table 10 2026'!$E$5:$AD$5,0))*10^6*'Canada Elec Mix'!L9</f>
        <v>0</v>
      </c>
      <c r="I9" s="5">
        <f>INDEX('AEO Table 10 2026'!$E$18:$AD$18,MATCH(I$1,'AEO Table 10 2026'!$E$5:$AD$5,0))*10^6*'Canada Elec Mix'!M9</f>
        <v>0</v>
      </c>
      <c r="J9" s="5">
        <f>INDEX('AEO Table 10 2026'!$E$18:$AD$18,MATCH(J$1,'AEO Table 10 2026'!$E$5:$AD$5,0))*10^6*'Canada Elec Mix'!N9</f>
        <v>0</v>
      </c>
      <c r="K9" s="5">
        <f>INDEX('AEO Table 10 2026'!$E$18:$AD$18,MATCH(K$1,'AEO Table 10 2026'!$E$5:$AD$5,0))*10^6*'Canada Elec Mix'!O9</f>
        <v>0</v>
      </c>
      <c r="L9" s="5">
        <f>INDEX('AEO Table 10 2026'!$E$18:$AD$18,MATCH(L$1,'AEO Table 10 2026'!$E$5:$AD$5,0))*10^6*'Canada Elec Mix'!P9</f>
        <v>0</v>
      </c>
      <c r="M9" s="5">
        <f>INDEX('AEO Table 10 2026'!$E$18:$AD$18,MATCH(M$1,'AEO Table 10 2026'!$E$5:$AD$5,0))*10^6*'Canada Elec Mix'!Q9</f>
        <v>0</v>
      </c>
      <c r="N9" s="5">
        <f>INDEX('AEO Table 10 2026'!$E$18:$AD$18,MATCH(N$1,'AEO Table 10 2026'!$E$5:$AD$5,0))*10^6*'Canada Elec Mix'!R9</f>
        <v>0</v>
      </c>
      <c r="O9" s="5">
        <f>INDEX('AEO Table 10 2026'!$E$18:$AD$18,MATCH(O$1,'AEO Table 10 2026'!$E$5:$AD$5,0))*10^6*'Canada Elec Mix'!S9</f>
        <v>0</v>
      </c>
      <c r="P9" s="5">
        <f>INDEX('AEO Table 10 2026'!$E$18:$AD$18,MATCH(P$1,'AEO Table 10 2026'!$E$5:$AD$5,0))*10^6*'Canada Elec Mix'!T9</f>
        <v>0</v>
      </c>
      <c r="Q9" s="5">
        <f>INDEX('AEO Table 10 2026'!$E$18:$AD$18,MATCH(Q$1,'AEO Table 10 2026'!$E$5:$AD$5,0))*10^6*'Canada Elec Mix'!U9</f>
        <v>0</v>
      </c>
      <c r="R9" s="5">
        <f>INDEX('AEO Table 10 2026'!$E$18:$AD$18,MATCH(R$1,'AEO Table 10 2026'!$E$5:$AD$5,0))*10^6*'Canada Elec Mix'!V9</f>
        <v>0</v>
      </c>
      <c r="S9" s="5">
        <f>INDEX('AEO Table 10 2026'!$E$18:$AD$18,MATCH(S$1,'AEO Table 10 2026'!$E$5:$AD$5,0))*10^6*'Canada Elec Mix'!W9</f>
        <v>0</v>
      </c>
      <c r="T9" s="5">
        <f>INDEX('AEO Table 10 2026'!$E$18:$AD$18,MATCH(T$1,'AEO Table 10 2026'!$E$5:$AD$5,0))*10^6*'Canada Elec Mix'!X9</f>
        <v>0</v>
      </c>
      <c r="U9" s="5">
        <f>INDEX('AEO Table 10 2026'!$E$18:$AD$18,MATCH(U$1,'AEO Table 10 2026'!$E$5:$AD$5,0))*10^6*'Canada Elec Mix'!Y9</f>
        <v>0</v>
      </c>
      <c r="V9" s="5">
        <f>INDEX('AEO Table 10 2026'!$E$18:$AD$18,MATCH(V$1,'AEO Table 10 2026'!$E$5:$AD$5,0))*10^6*'Canada Elec Mix'!Z9</f>
        <v>0</v>
      </c>
      <c r="W9" s="5">
        <f>INDEX('AEO Table 10 2026'!$E$18:$AD$18,MATCH(W$1,'AEO Table 10 2026'!$E$5:$AD$5,0))*10^6*'Canada Elec Mix'!AA9</f>
        <v>0</v>
      </c>
      <c r="X9" s="5">
        <f>INDEX('AEO Table 10 2026'!$E$18:$AD$18,MATCH(X$1,'AEO Table 10 2026'!$E$5:$AD$5,0))*10^6*'Canada Elec Mix'!AB9</f>
        <v>0</v>
      </c>
      <c r="Y9" s="5">
        <f>INDEX('AEO Table 10 2026'!$E$18:$AD$18,MATCH(Y$1,'AEO Table 10 2026'!$E$5:$AD$5,0))*10^6*'Canada Elec Mix'!AC9</f>
        <v>0</v>
      </c>
      <c r="Z9" s="5">
        <f>INDEX('AEO Table 10 2026'!$E$18:$AD$18,MATCH(Z$1,'AEO Table 10 2026'!$E$5:$AD$5,0))*10^6*'Canada Elec Mix'!AD9</f>
        <v>0</v>
      </c>
      <c r="AA9" s="5">
        <f>INDEX('AEO Table 10 2026'!$E$18:$AD$18,MATCH(AA$1,'AEO Table 10 2026'!$E$5:$AD$5,0))*10^6*'Canada Elec Mix'!AE9</f>
        <v>0</v>
      </c>
      <c r="AB9" s="5">
        <f>INDEX('AEO Table 10 2026'!$E$18:$AD$18,MATCH(AB$1,'AEO Table 10 2026'!$E$5:$AD$5,0))*10^6*'Canada Elec Mix'!AF9</f>
        <v>0</v>
      </c>
    </row>
    <row r="10" spans="1:28" x14ac:dyDescent="0.25">
      <c r="A10" s="2" t="s">
        <v>208</v>
      </c>
      <c r="B10" s="5">
        <f>INDEX('AEO Table 10 2025'!$F$18:$AG$18,MATCH(B$1,'AEO Table 10 2025'!$F$5:$AG$5,0))*10^6*'Canada Elec Mix'!F10</f>
        <v>355766.04679957405</v>
      </c>
      <c r="C10" s="5">
        <f>INDEX('AEO Table 10 2026'!$E$18:$AD$18,MATCH(C$1,'AEO Table 10 2026'!$E$5:$AD$5,0))*10^6*'Canada Elec Mix'!G10</f>
        <v>312121.88084654679</v>
      </c>
      <c r="D10" s="5">
        <f>INDEX('AEO Table 10 2026'!$E$18:$AD$18,MATCH(D$1,'AEO Table 10 2026'!$E$5:$AD$5,0))*10^6*'Canada Elec Mix'!H10</f>
        <v>395445.36402275303</v>
      </c>
      <c r="E10" s="5">
        <f>INDEX('AEO Table 10 2026'!$E$18:$AD$18,MATCH(E$1,'AEO Table 10 2026'!$E$5:$AD$5,0))*10^6*'Canada Elec Mix'!I10</f>
        <v>468763.92000709428</v>
      </c>
      <c r="F10" s="5">
        <f>INDEX('AEO Table 10 2026'!$E$18:$AD$18,MATCH(F$1,'AEO Table 10 2026'!$E$5:$AD$5,0))*10^6*'Canada Elec Mix'!J10</f>
        <v>597242.76421206328</v>
      </c>
      <c r="G10" s="5">
        <f>INDEX('AEO Table 10 2026'!$E$18:$AD$18,MATCH(G$1,'AEO Table 10 2026'!$E$5:$AD$5,0))*10^6*'Canada Elec Mix'!K10</f>
        <v>656917.91116604337</v>
      </c>
      <c r="H10" s="5">
        <f>INDEX('AEO Table 10 2026'!$E$18:$AD$18,MATCH(H$1,'AEO Table 10 2026'!$E$5:$AD$5,0))*10^6*'Canada Elec Mix'!L10</f>
        <v>712396.73293130449</v>
      </c>
      <c r="I10" s="5">
        <f>INDEX('AEO Table 10 2026'!$E$18:$AD$18,MATCH(I$1,'AEO Table 10 2026'!$E$5:$AD$5,0))*10^6*'Canada Elec Mix'!M10</f>
        <v>714100.85066626419</v>
      </c>
      <c r="J10" s="5">
        <f>INDEX('AEO Table 10 2026'!$E$18:$AD$18,MATCH(J$1,'AEO Table 10 2026'!$E$5:$AD$5,0))*10^6*'Canada Elec Mix'!N10</f>
        <v>713341.3131852909</v>
      </c>
      <c r="K10" s="5">
        <f>INDEX('AEO Table 10 2026'!$E$18:$AD$18,MATCH(K$1,'AEO Table 10 2026'!$E$5:$AD$5,0))*10^6*'Canada Elec Mix'!O10</f>
        <v>740377.16030037985</v>
      </c>
      <c r="L10" s="5">
        <f>INDEX('AEO Table 10 2026'!$E$18:$AD$18,MATCH(L$1,'AEO Table 10 2026'!$E$5:$AD$5,0))*10^6*'Canada Elec Mix'!P10</f>
        <v>742911.12408448604</v>
      </c>
      <c r="M10" s="5">
        <f>INDEX('AEO Table 10 2026'!$E$18:$AD$18,MATCH(M$1,'AEO Table 10 2026'!$E$5:$AD$5,0))*10^6*'Canada Elec Mix'!Q10</f>
        <v>749625.57083422237</v>
      </c>
      <c r="N10" s="5">
        <f>INDEX('AEO Table 10 2026'!$E$18:$AD$18,MATCH(N$1,'AEO Table 10 2026'!$E$5:$AD$5,0))*10^6*'Canada Elec Mix'!R10</f>
        <v>736049.44011854997</v>
      </c>
      <c r="O10" s="5">
        <f>INDEX('AEO Table 10 2026'!$E$18:$AD$18,MATCH(O$1,'AEO Table 10 2026'!$E$5:$AD$5,0))*10^6*'Canada Elec Mix'!S10</f>
        <v>728231.37270150834</v>
      </c>
      <c r="P10" s="5">
        <f>INDEX('AEO Table 10 2026'!$E$18:$AD$18,MATCH(P$1,'AEO Table 10 2026'!$E$5:$AD$5,0))*10^6*'Canada Elec Mix'!T10</f>
        <v>717583.7465057181</v>
      </c>
      <c r="Q10" s="5">
        <f>INDEX('AEO Table 10 2026'!$E$18:$AD$18,MATCH(Q$1,'AEO Table 10 2026'!$E$5:$AD$5,0))*10^6*'Canada Elec Mix'!U10</f>
        <v>703614.01127325231</v>
      </c>
      <c r="R10" s="5">
        <f>INDEX('AEO Table 10 2026'!$E$18:$AD$18,MATCH(R$1,'AEO Table 10 2026'!$E$5:$AD$5,0))*10^6*'Canada Elec Mix'!V10</f>
        <v>703120.08314585546</v>
      </c>
      <c r="S10" s="5">
        <f>INDEX('AEO Table 10 2026'!$E$18:$AD$18,MATCH(S$1,'AEO Table 10 2026'!$E$5:$AD$5,0))*10^6*'Canada Elec Mix'!W10</f>
        <v>699327.19976484624</v>
      </c>
      <c r="T10" s="5">
        <f>INDEX('AEO Table 10 2026'!$E$18:$AD$18,MATCH(T$1,'AEO Table 10 2026'!$E$5:$AD$5,0))*10^6*'Canada Elec Mix'!X10</f>
        <v>650134.5939690352</v>
      </c>
      <c r="U10" s="5">
        <f>INDEX('AEO Table 10 2026'!$E$18:$AD$18,MATCH(U$1,'AEO Table 10 2026'!$E$5:$AD$5,0))*10^6*'Canada Elec Mix'!Y10</f>
        <v>690116.98463087052</v>
      </c>
      <c r="V10" s="5">
        <f>INDEX('AEO Table 10 2026'!$E$18:$AD$18,MATCH(V$1,'AEO Table 10 2026'!$E$5:$AD$5,0))*10^6*'Canada Elec Mix'!Z10</f>
        <v>660708.81762014341</v>
      </c>
      <c r="W10" s="5">
        <f>INDEX('AEO Table 10 2026'!$E$18:$AD$18,MATCH(W$1,'AEO Table 10 2026'!$E$5:$AD$5,0))*10^6*'Canada Elec Mix'!AA10</f>
        <v>645816.63022993272</v>
      </c>
      <c r="X10" s="5">
        <f>INDEX('AEO Table 10 2026'!$E$18:$AD$18,MATCH(X$1,'AEO Table 10 2026'!$E$5:$AD$5,0))*10^6*'Canada Elec Mix'!AB10</f>
        <v>596059.53318850382</v>
      </c>
      <c r="Y10" s="5">
        <f>INDEX('AEO Table 10 2026'!$E$18:$AD$18,MATCH(Y$1,'AEO Table 10 2026'!$E$5:$AD$5,0))*10^6*'Canada Elec Mix'!AC10</f>
        <v>563609.34926668403</v>
      </c>
      <c r="Z10" s="5">
        <f>INDEX('AEO Table 10 2026'!$E$18:$AD$18,MATCH(Z$1,'AEO Table 10 2026'!$E$5:$AD$5,0))*10^6*'Canada Elec Mix'!AD10</f>
        <v>531695.04462538927</v>
      </c>
      <c r="AA10" s="5">
        <f>INDEX('AEO Table 10 2026'!$E$18:$AD$18,MATCH(AA$1,'AEO Table 10 2026'!$E$5:$AD$5,0))*10^6*'Canada Elec Mix'!AE10</f>
        <v>500209.37936080329</v>
      </c>
      <c r="AB10" s="5">
        <f>INDEX('AEO Table 10 2026'!$E$18:$AD$18,MATCH(AB$1,'AEO Table 10 2026'!$E$5:$AD$5,0))*10^6*'Canada Elec Mix'!AF10</f>
        <v>470836.11919462058</v>
      </c>
    </row>
    <row r="11" spans="1:28" x14ac:dyDescent="0.25">
      <c r="A11" s="2" t="s">
        <v>209</v>
      </c>
      <c r="B11" s="5">
        <f>INDEX('AEO Table 10 2025'!$F$18:$AG$18,MATCH(B$1,'AEO Table 10 2025'!$F$5:$AG$5,0))*10^6*'Canada Elec Mix'!F11</f>
        <v>0</v>
      </c>
      <c r="C11" s="5">
        <f>INDEX('AEO Table 10 2026'!$E$18:$AD$18,MATCH(C$1,'AEO Table 10 2026'!$E$5:$AD$5,0))*10^6*'Canada Elec Mix'!G11</f>
        <v>0</v>
      </c>
      <c r="D11" s="5">
        <f>INDEX('AEO Table 10 2026'!$E$18:$AD$18,MATCH(D$1,'AEO Table 10 2026'!$E$5:$AD$5,0))*10^6*'Canada Elec Mix'!H11</f>
        <v>0</v>
      </c>
      <c r="E11" s="5">
        <f>INDEX('AEO Table 10 2026'!$E$18:$AD$18,MATCH(E$1,'AEO Table 10 2026'!$E$5:$AD$5,0))*10^6*'Canada Elec Mix'!I11</f>
        <v>0</v>
      </c>
      <c r="F11" s="5">
        <f>INDEX('AEO Table 10 2026'!$E$18:$AD$18,MATCH(F$1,'AEO Table 10 2026'!$E$5:$AD$5,0))*10^6*'Canada Elec Mix'!J11</f>
        <v>0</v>
      </c>
      <c r="G11" s="5">
        <f>INDEX('AEO Table 10 2026'!$E$18:$AD$18,MATCH(G$1,'AEO Table 10 2026'!$E$5:$AD$5,0))*10^6*'Canada Elec Mix'!K11</f>
        <v>0</v>
      </c>
      <c r="H11" s="5">
        <f>INDEX('AEO Table 10 2026'!$E$18:$AD$18,MATCH(H$1,'AEO Table 10 2026'!$E$5:$AD$5,0))*10^6*'Canada Elec Mix'!L11</f>
        <v>0</v>
      </c>
      <c r="I11" s="5">
        <f>INDEX('AEO Table 10 2026'!$E$18:$AD$18,MATCH(I$1,'AEO Table 10 2026'!$E$5:$AD$5,0))*10^6*'Canada Elec Mix'!M11</f>
        <v>0</v>
      </c>
      <c r="J11" s="5">
        <f>INDEX('AEO Table 10 2026'!$E$18:$AD$18,MATCH(J$1,'AEO Table 10 2026'!$E$5:$AD$5,0))*10^6*'Canada Elec Mix'!N11</f>
        <v>0</v>
      </c>
      <c r="K11" s="5">
        <f>INDEX('AEO Table 10 2026'!$E$18:$AD$18,MATCH(K$1,'AEO Table 10 2026'!$E$5:$AD$5,0))*10^6*'Canada Elec Mix'!O11</f>
        <v>0</v>
      </c>
      <c r="L11" s="5">
        <f>INDEX('AEO Table 10 2026'!$E$18:$AD$18,MATCH(L$1,'AEO Table 10 2026'!$E$5:$AD$5,0))*10^6*'Canada Elec Mix'!P11</f>
        <v>0</v>
      </c>
      <c r="M11" s="5">
        <f>INDEX('AEO Table 10 2026'!$E$18:$AD$18,MATCH(M$1,'AEO Table 10 2026'!$E$5:$AD$5,0))*10^6*'Canada Elec Mix'!Q11</f>
        <v>0</v>
      </c>
      <c r="N11" s="5">
        <f>INDEX('AEO Table 10 2026'!$E$18:$AD$18,MATCH(N$1,'AEO Table 10 2026'!$E$5:$AD$5,0))*10^6*'Canada Elec Mix'!R11</f>
        <v>0</v>
      </c>
      <c r="O11" s="5">
        <f>INDEX('AEO Table 10 2026'!$E$18:$AD$18,MATCH(O$1,'AEO Table 10 2026'!$E$5:$AD$5,0))*10^6*'Canada Elec Mix'!S11</f>
        <v>0</v>
      </c>
      <c r="P11" s="5">
        <f>INDEX('AEO Table 10 2026'!$E$18:$AD$18,MATCH(P$1,'AEO Table 10 2026'!$E$5:$AD$5,0))*10^6*'Canada Elec Mix'!T11</f>
        <v>0</v>
      </c>
      <c r="Q11" s="5">
        <f>INDEX('AEO Table 10 2026'!$E$18:$AD$18,MATCH(Q$1,'AEO Table 10 2026'!$E$5:$AD$5,0))*10^6*'Canada Elec Mix'!U11</f>
        <v>0</v>
      </c>
      <c r="R11" s="5">
        <f>INDEX('AEO Table 10 2026'!$E$18:$AD$18,MATCH(R$1,'AEO Table 10 2026'!$E$5:$AD$5,0))*10^6*'Canada Elec Mix'!V11</f>
        <v>0</v>
      </c>
      <c r="S11" s="5">
        <f>INDEX('AEO Table 10 2026'!$E$18:$AD$18,MATCH(S$1,'AEO Table 10 2026'!$E$5:$AD$5,0))*10^6*'Canada Elec Mix'!W11</f>
        <v>0</v>
      </c>
      <c r="T11" s="5">
        <f>INDEX('AEO Table 10 2026'!$E$18:$AD$18,MATCH(T$1,'AEO Table 10 2026'!$E$5:$AD$5,0))*10^6*'Canada Elec Mix'!X11</f>
        <v>0</v>
      </c>
      <c r="U11" s="5">
        <f>INDEX('AEO Table 10 2026'!$E$18:$AD$18,MATCH(U$1,'AEO Table 10 2026'!$E$5:$AD$5,0))*10^6*'Canada Elec Mix'!Y11</f>
        <v>0</v>
      </c>
      <c r="V11" s="5">
        <f>INDEX('AEO Table 10 2026'!$E$18:$AD$18,MATCH(V$1,'AEO Table 10 2026'!$E$5:$AD$5,0))*10^6*'Canada Elec Mix'!Z11</f>
        <v>0</v>
      </c>
      <c r="W11" s="5">
        <f>INDEX('AEO Table 10 2026'!$E$18:$AD$18,MATCH(W$1,'AEO Table 10 2026'!$E$5:$AD$5,0))*10^6*'Canada Elec Mix'!AA11</f>
        <v>0</v>
      </c>
      <c r="X11" s="5">
        <f>INDEX('AEO Table 10 2026'!$E$18:$AD$18,MATCH(X$1,'AEO Table 10 2026'!$E$5:$AD$5,0))*10^6*'Canada Elec Mix'!AB11</f>
        <v>0</v>
      </c>
      <c r="Y11" s="5">
        <f>INDEX('AEO Table 10 2026'!$E$18:$AD$18,MATCH(Y$1,'AEO Table 10 2026'!$E$5:$AD$5,0))*10^6*'Canada Elec Mix'!AC11</f>
        <v>0</v>
      </c>
      <c r="Z11" s="5">
        <f>INDEX('AEO Table 10 2026'!$E$18:$AD$18,MATCH(Z$1,'AEO Table 10 2026'!$E$5:$AD$5,0))*10^6*'Canada Elec Mix'!AD11</f>
        <v>0</v>
      </c>
      <c r="AA11" s="5">
        <f>INDEX('AEO Table 10 2026'!$E$18:$AD$18,MATCH(AA$1,'AEO Table 10 2026'!$E$5:$AD$5,0))*10^6*'Canada Elec Mix'!AE11</f>
        <v>0</v>
      </c>
      <c r="AB11" s="5">
        <f>INDEX('AEO Table 10 2026'!$E$18:$AD$18,MATCH(AB$1,'AEO Table 10 2026'!$E$5:$AD$5,0))*10^6*'Canada Elec Mix'!AF11</f>
        <v>0</v>
      </c>
    </row>
    <row r="12" spans="1:28" x14ac:dyDescent="0.25">
      <c r="A12" s="2" t="s">
        <v>210</v>
      </c>
      <c r="B12" s="5">
        <f>INDEX('AEO Table 10 2025'!$F$18:$AG$18,MATCH(B$1,'AEO Table 10 2025'!$F$5:$AG$5,0))*10^6*'Canada Elec Mix'!F12</f>
        <v>121438.71245414352</v>
      </c>
      <c r="C12" s="5">
        <f>INDEX('AEO Table 10 2026'!$E$18:$AD$18,MATCH(C$1,'AEO Table 10 2026'!$E$5:$AD$5,0))*10^6*'Canada Elec Mix'!G12</f>
        <v>134267.42757276338</v>
      </c>
      <c r="D12" s="5">
        <f>INDEX('AEO Table 10 2026'!$E$18:$AD$18,MATCH(D$1,'AEO Table 10 2026'!$E$5:$AD$5,0))*10^6*'Canada Elec Mix'!H12</f>
        <v>320903.74471163697</v>
      </c>
      <c r="E12" s="5">
        <f>INDEX('AEO Table 10 2026'!$E$18:$AD$18,MATCH(E$1,'AEO Table 10 2026'!$E$5:$AD$5,0))*10^6*'Canada Elec Mix'!I12</f>
        <v>261209.91723826074</v>
      </c>
      <c r="F12" s="5">
        <f>INDEX('AEO Table 10 2026'!$E$18:$AD$18,MATCH(F$1,'AEO Table 10 2026'!$E$5:$AD$5,0))*10^6*'Canada Elec Mix'!J12</f>
        <v>252689.94970167664</v>
      </c>
      <c r="G12" s="5">
        <f>INDEX('AEO Table 10 2026'!$E$18:$AD$18,MATCH(G$1,'AEO Table 10 2026'!$E$5:$AD$5,0))*10^6*'Canada Elec Mix'!K12</f>
        <v>489068.04774420318</v>
      </c>
      <c r="H12" s="5">
        <f>INDEX('AEO Table 10 2026'!$E$18:$AD$18,MATCH(H$1,'AEO Table 10 2026'!$E$5:$AD$5,0))*10^6*'Canada Elec Mix'!L12</f>
        <v>235009.49912489485</v>
      </c>
      <c r="I12" s="5">
        <f>INDEX('AEO Table 10 2026'!$E$18:$AD$18,MATCH(I$1,'AEO Table 10 2026'!$E$5:$AD$5,0))*10^6*'Canada Elec Mix'!M12</f>
        <v>665220.0621320057</v>
      </c>
      <c r="J12" s="5">
        <f>INDEX('AEO Table 10 2026'!$E$18:$AD$18,MATCH(J$1,'AEO Table 10 2026'!$E$5:$AD$5,0))*10^6*'Canada Elec Mix'!N12</f>
        <v>457494.17301727296</v>
      </c>
      <c r="K12" s="5">
        <f>INDEX('AEO Table 10 2026'!$E$18:$AD$18,MATCH(K$1,'AEO Table 10 2026'!$E$5:$AD$5,0))*10^6*'Canada Elec Mix'!O12</f>
        <v>568263.23991334974</v>
      </c>
      <c r="L12" s="5">
        <f>INDEX('AEO Table 10 2026'!$E$18:$AD$18,MATCH(L$1,'AEO Table 10 2026'!$E$5:$AD$5,0))*10^6*'Canada Elec Mix'!P12</f>
        <v>463596.23508464958</v>
      </c>
      <c r="M12" s="5">
        <f>INDEX('AEO Table 10 2026'!$E$18:$AD$18,MATCH(M$1,'AEO Table 10 2026'!$E$5:$AD$5,0))*10^6*'Canada Elec Mix'!Q12</f>
        <v>446838.72655549651</v>
      </c>
      <c r="N12" s="5">
        <f>INDEX('AEO Table 10 2026'!$E$18:$AD$18,MATCH(N$1,'AEO Table 10 2026'!$E$5:$AD$5,0))*10^6*'Canada Elec Mix'!R12</f>
        <v>581404.29374095809</v>
      </c>
      <c r="O12" s="5">
        <f>INDEX('AEO Table 10 2026'!$E$18:$AD$18,MATCH(O$1,'AEO Table 10 2026'!$E$5:$AD$5,0))*10^6*'Canada Elec Mix'!S12</f>
        <v>531910.84218163334</v>
      </c>
      <c r="P12" s="5">
        <f>INDEX('AEO Table 10 2026'!$E$18:$AD$18,MATCH(P$1,'AEO Table 10 2026'!$E$5:$AD$5,0))*10^6*'Canada Elec Mix'!T12</f>
        <v>513223.03820525733</v>
      </c>
      <c r="Q12" s="5">
        <f>INDEX('AEO Table 10 2026'!$E$18:$AD$18,MATCH(Q$1,'AEO Table 10 2026'!$E$5:$AD$5,0))*10^6*'Canada Elec Mix'!U12</f>
        <v>531210.40705048887</v>
      </c>
      <c r="R12" s="5">
        <f>INDEX('AEO Table 10 2026'!$E$18:$AD$18,MATCH(R$1,'AEO Table 10 2026'!$E$5:$AD$5,0))*10^6*'Canada Elec Mix'!V12</f>
        <v>474484.04915137286</v>
      </c>
      <c r="S12" s="5">
        <f>INDEX('AEO Table 10 2026'!$E$18:$AD$18,MATCH(S$1,'AEO Table 10 2026'!$E$5:$AD$5,0))*10^6*'Canada Elec Mix'!W12</f>
        <v>711501.27329949522</v>
      </c>
      <c r="T12" s="5">
        <f>INDEX('AEO Table 10 2026'!$E$18:$AD$18,MATCH(T$1,'AEO Table 10 2026'!$E$5:$AD$5,0))*10^6*'Canada Elec Mix'!X12</f>
        <v>492069.50393201882</v>
      </c>
      <c r="U12" s="5">
        <f>INDEX('AEO Table 10 2026'!$E$18:$AD$18,MATCH(U$1,'AEO Table 10 2026'!$E$5:$AD$5,0))*10^6*'Canada Elec Mix'!Y12</f>
        <v>588519.92619162193</v>
      </c>
      <c r="V12" s="5">
        <f>INDEX('AEO Table 10 2026'!$E$18:$AD$18,MATCH(V$1,'AEO Table 10 2026'!$E$5:$AD$5,0))*10^6*'Canada Elec Mix'!Z12</f>
        <v>366118.40079515183</v>
      </c>
      <c r="W12" s="5">
        <f>INDEX('AEO Table 10 2026'!$E$18:$AD$18,MATCH(W$1,'AEO Table 10 2026'!$E$5:$AD$5,0))*10^6*'Canada Elec Mix'!AA12</f>
        <v>408136.29242154135</v>
      </c>
      <c r="X12" s="5">
        <f>INDEX('AEO Table 10 2026'!$E$18:$AD$18,MATCH(X$1,'AEO Table 10 2026'!$E$5:$AD$5,0))*10^6*'Canada Elec Mix'!AB12</f>
        <v>354061.94555076875</v>
      </c>
      <c r="Y12" s="5">
        <f>INDEX('AEO Table 10 2026'!$E$18:$AD$18,MATCH(Y$1,'AEO Table 10 2026'!$E$5:$AD$5,0))*10^6*'Canada Elec Mix'!AC12</f>
        <v>364988.90795835492</v>
      </c>
      <c r="Z12" s="5">
        <f>INDEX('AEO Table 10 2026'!$E$18:$AD$18,MATCH(Z$1,'AEO Table 10 2026'!$E$5:$AD$5,0))*10^6*'Canada Elec Mix'!AD12</f>
        <v>302664.78369441885</v>
      </c>
      <c r="AA12" s="5">
        <f>INDEX('AEO Table 10 2026'!$E$18:$AD$18,MATCH(AA$1,'AEO Table 10 2026'!$E$5:$AD$5,0))*10^6*'Canada Elec Mix'!AE12</f>
        <v>314684.09316395118</v>
      </c>
      <c r="AB12" s="5">
        <f>INDEX('AEO Table 10 2026'!$E$18:$AD$18,MATCH(AB$1,'AEO Table 10 2026'!$E$5:$AD$5,0))*10^6*'Canada Elec Mix'!AF12</f>
        <v>351695.88687765267</v>
      </c>
    </row>
    <row r="13" spans="1:28" x14ac:dyDescent="0.25">
      <c r="A13" s="2" t="s">
        <v>201</v>
      </c>
      <c r="B13" s="5">
        <f>INDEX('AEO Table 10 2025'!$F$18:$AG$18,MATCH(B$1,'AEO Table 10 2025'!$F$5:$AG$5,0))*10^6*'Canada Elec Mix'!F13</f>
        <v>909231.95767453534</v>
      </c>
      <c r="C13" s="5">
        <f>INDEX('AEO Table 10 2026'!$E$18:$AD$18,MATCH(C$1,'AEO Table 10 2026'!$E$5:$AD$5,0))*10^6*'Canada Elec Mix'!G13</f>
        <v>823874.49508066545</v>
      </c>
      <c r="D13" s="5">
        <f>INDEX('AEO Table 10 2026'!$E$18:$AD$18,MATCH(D$1,'AEO Table 10 2026'!$E$5:$AD$5,0))*10^6*'Canada Elec Mix'!H13</f>
        <v>1097519.4408302496</v>
      </c>
      <c r="E13" s="5">
        <f>INDEX('AEO Table 10 2026'!$E$18:$AD$18,MATCH(E$1,'AEO Table 10 2026'!$E$5:$AD$5,0))*10^6*'Canada Elec Mix'!I13</f>
        <v>1204724.6658940723</v>
      </c>
      <c r="F13" s="5">
        <f>INDEX('AEO Table 10 2026'!$E$18:$AD$18,MATCH(F$1,'AEO Table 10 2026'!$E$5:$AD$5,0))*10^6*'Canada Elec Mix'!J13</f>
        <v>1493482.2106025589</v>
      </c>
      <c r="G13" s="5">
        <f>INDEX('AEO Table 10 2026'!$E$18:$AD$18,MATCH(G$1,'AEO Table 10 2026'!$E$5:$AD$5,0))*10^6*'Canada Elec Mix'!K13</f>
        <v>1696094.0266191571</v>
      </c>
      <c r="H13" s="5">
        <f>INDEX('AEO Table 10 2026'!$E$18:$AD$18,MATCH(H$1,'AEO Table 10 2026'!$E$5:$AD$5,0))*10^6*'Canada Elec Mix'!L13</f>
        <v>1735832.2900841276</v>
      </c>
      <c r="I13" s="5">
        <f>INDEX('AEO Table 10 2026'!$E$18:$AD$18,MATCH(I$1,'AEO Table 10 2026'!$E$5:$AD$5,0))*10^6*'Canada Elec Mix'!M13</f>
        <v>1825417.6442873748</v>
      </c>
      <c r="J13" s="5">
        <f>INDEX('AEO Table 10 2026'!$E$18:$AD$18,MATCH(J$1,'AEO Table 10 2026'!$E$5:$AD$5,0))*10^6*'Canada Elec Mix'!N13</f>
        <v>1722012.1594691679</v>
      </c>
      <c r="K13" s="5">
        <f>INDEX('AEO Table 10 2026'!$E$18:$AD$18,MATCH(K$1,'AEO Table 10 2026'!$E$5:$AD$5,0))*10^6*'Canada Elec Mix'!O13</f>
        <v>1794007.2590736821</v>
      </c>
      <c r="L13" s="5">
        <f>INDEX('AEO Table 10 2026'!$E$18:$AD$18,MATCH(L$1,'AEO Table 10 2026'!$E$5:$AD$5,0))*10^6*'Canada Elec Mix'!P13</f>
        <v>1733684.5815548459</v>
      </c>
      <c r="M13" s="5">
        <f>INDEX('AEO Table 10 2026'!$E$18:$AD$18,MATCH(M$1,'AEO Table 10 2026'!$E$5:$AD$5,0))*10^6*'Canada Elec Mix'!Q13</f>
        <v>1739131.6547120197</v>
      </c>
      <c r="N13" s="5">
        <f>INDEX('AEO Table 10 2026'!$E$18:$AD$18,MATCH(N$1,'AEO Table 10 2026'!$E$5:$AD$5,0))*10^6*'Canada Elec Mix'!R13</f>
        <v>1461075.8968210623</v>
      </c>
      <c r="O13" s="5">
        <f>INDEX('AEO Table 10 2026'!$E$18:$AD$18,MATCH(O$1,'AEO Table 10 2026'!$E$5:$AD$5,0))*10^6*'Canada Elec Mix'!S13</f>
        <v>1435420.7802805363</v>
      </c>
      <c r="P13" s="5">
        <f>INDEX('AEO Table 10 2026'!$E$18:$AD$18,MATCH(P$1,'AEO Table 10 2026'!$E$5:$AD$5,0))*10^6*'Canada Elec Mix'!T13</f>
        <v>1377127.3788207031</v>
      </c>
      <c r="Q13" s="5">
        <f>INDEX('AEO Table 10 2026'!$E$18:$AD$18,MATCH(Q$1,'AEO Table 10 2026'!$E$5:$AD$5,0))*10^6*'Canada Elec Mix'!U13</f>
        <v>1350867.0089908002</v>
      </c>
      <c r="R13" s="5">
        <f>INDEX('AEO Table 10 2026'!$E$18:$AD$18,MATCH(R$1,'AEO Table 10 2026'!$E$5:$AD$5,0))*10^6*'Canada Elec Mix'!V13</f>
        <v>1322847.9288627943</v>
      </c>
      <c r="S13" s="5">
        <f>INDEX('AEO Table 10 2026'!$E$18:$AD$18,MATCH(S$1,'AEO Table 10 2026'!$E$5:$AD$5,0))*10^6*'Canada Elec Mix'!W13</f>
        <v>1312463.9567893045</v>
      </c>
      <c r="T13" s="5">
        <f>INDEX('AEO Table 10 2026'!$E$18:$AD$18,MATCH(T$1,'AEO Table 10 2026'!$E$5:$AD$5,0))*10^6*'Canada Elec Mix'!X13</f>
        <v>1225717.5933542093</v>
      </c>
      <c r="U13" s="5">
        <f>INDEX('AEO Table 10 2026'!$E$18:$AD$18,MATCH(U$1,'AEO Table 10 2026'!$E$5:$AD$5,0))*10^6*'Canada Elec Mix'!Y13</f>
        <v>1328336.4383768514</v>
      </c>
      <c r="V13" s="5">
        <f>INDEX('AEO Table 10 2026'!$E$18:$AD$18,MATCH(V$1,'AEO Table 10 2026'!$E$5:$AD$5,0))*10^6*'Canada Elec Mix'!Z13</f>
        <v>1261138.7836475235</v>
      </c>
      <c r="W13" s="5">
        <f>INDEX('AEO Table 10 2026'!$E$18:$AD$18,MATCH(W$1,'AEO Table 10 2026'!$E$5:$AD$5,0))*10^6*'Canada Elec Mix'!AA13</f>
        <v>1242732.9108739661</v>
      </c>
      <c r="X13" s="5">
        <f>INDEX('AEO Table 10 2026'!$E$18:$AD$18,MATCH(X$1,'AEO Table 10 2026'!$E$5:$AD$5,0))*10^6*'Canada Elec Mix'!AB13</f>
        <v>1139377.7267393246</v>
      </c>
      <c r="Y13" s="5">
        <f>INDEX('AEO Table 10 2026'!$E$18:$AD$18,MATCH(Y$1,'AEO Table 10 2026'!$E$5:$AD$5,0))*10^6*'Canada Elec Mix'!AC13</f>
        <v>1087997.0779476897</v>
      </c>
      <c r="Z13" s="5">
        <f>INDEX('AEO Table 10 2026'!$E$18:$AD$18,MATCH(Z$1,'AEO Table 10 2026'!$E$5:$AD$5,0))*10^6*'Canada Elec Mix'!AD13</f>
        <v>1022787.639995803</v>
      </c>
      <c r="AA13" s="5">
        <f>INDEX('AEO Table 10 2026'!$E$18:$AD$18,MATCH(AA$1,'AEO Table 10 2026'!$E$5:$AD$5,0))*10^6*'Canada Elec Mix'!AE13</f>
        <v>971617.18606093409</v>
      </c>
      <c r="AB13" s="5">
        <f>INDEX('AEO Table 10 2026'!$E$18:$AD$18,MATCH(AB$1,'AEO Table 10 2026'!$E$5:$AD$5,0))*10^6*'Canada Elec Mix'!AF13</f>
        <v>923143.30437561276</v>
      </c>
    </row>
    <row r="14" spans="1:28" x14ac:dyDescent="0.25">
      <c r="A14" s="2" t="s">
        <v>211</v>
      </c>
      <c r="B14" s="5">
        <f>INDEX('AEO Table 10 2025'!$F$18:$AG$18,MATCH(B$1,'AEO Table 10 2025'!$F$5:$AG$5,0))*10^6*'Canada Elec Mix'!F14</f>
        <v>0</v>
      </c>
      <c r="C14" s="5">
        <f>INDEX('AEO Table 10 2026'!$E$18:$AD$18,MATCH(C$1,'AEO Table 10 2026'!$E$5:$AD$5,0))*10^6*'Canada Elec Mix'!G14</f>
        <v>0</v>
      </c>
      <c r="D14" s="5">
        <f>INDEX('AEO Table 10 2026'!$E$18:$AD$18,MATCH(D$1,'AEO Table 10 2026'!$E$5:$AD$5,0))*10^6*'Canada Elec Mix'!H14</f>
        <v>0</v>
      </c>
      <c r="E14" s="5">
        <f>INDEX('AEO Table 10 2026'!$E$18:$AD$18,MATCH(E$1,'AEO Table 10 2026'!$E$5:$AD$5,0))*10^6*'Canada Elec Mix'!I14</f>
        <v>0</v>
      </c>
      <c r="F14" s="5">
        <f>INDEX('AEO Table 10 2026'!$E$18:$AD$18,MATCH(F$1,'AEO Table 10 2026'!$E$5:$AD$5,0))*10^6*'Canada Elec Mix'!J14</f>
        <v>0</v>
      </c>
      <c r="G14" s="5">
        <f>INDEX('AEO Table 10 2026'!$E$18:$AD$18,MATCH(G$1,'AEO Table 10 2026'!$E$5:$AD$5,0))*10^6*'Canada Elec Mix'!K14</f>
        <v>0</v>
      </c>
      <c r="H14" s="5">
        <f>INDEX('AEO Table 10 2026'!$E$18:$AD$18,MATCH(H$1,'AEO Table 10 2026'!$E$5:$AD$5,0))*10^6*'Canada Elec Mix'!L14</f>
        <v>0</v>
      </c>
      <c r="I14" s="5">
        <f>INDEX('AEO Table 10 2026'!$E$18:$AD$18,MATCH(I$1,'AEO Table 10 2026'!$E$5:$AD$5,0))*10^6*'Canada Elec Mix'!M14</f>
        <v>0</v>
      </c>
      <c r="J14" s="5">
        <f>INDEX('AEO Table 10 2026'!$E$18:$AD$18,MATCH(J$1,'AEO Table 10 2026'!$E$5:$AD$5,0))*10^6*'Canada Elec Mix'!N14</f>
        <v>0</v>
      </c>
      <c r="K14" s="5">
        <f>INDEX('AEO Table 10 2026'!$E$18:$AD$18,MATCH(K$1,'AEO Table 10 2026'!$E$5:$AD$5,0))*10^6*'Canada Elec Mix'!O14</f>
        <v>0</v>
      </c>
      <c r="L14" s="5">
        <f>INDEX('AEO Table 10 2026'!$E$18:$AD$18,MATCH(L$1,'AEO Table 10 2026'!$E$5:$AD$5,0))*10^6*'Canada Elec Mix'!P14</f>
        <v>0</v>
      </c>
      <c r="M14" s="5">
        <f>INDEX('AEO Table 10 2026'!$E$18:$AD$18,MATCH(M$1,'AEO Table 10 2026'!$E$5:$AD$5,0))*10^6*'Canada Elec Mix'!Q14</f>
        <v>0</v>
      </c>
      <c r="N14" s="5">
        <f>INDEX('AEO Table 10 2026'!$E$18:$AD$18,MATCH(N$1,'AEO Table 10 2026'!$E$5:$AD$5,0))*10^6*'Canada Elec Mix'!R14</f>
        <v>0</v>
      </c>
      <c r="O14" s="5">
        <f>INDEX('AEO Table 10 2026'!$E$18:$AD$18,MATCH(O$1,'AEO Table 10 2026'!$E$5:$AD$5,0))*10^6*'Canada Elec Mix'!S14</f>
        <v>0</v>
      </c>
      <c r="P14" s="5">
        <f>INDEX('AEO Table 10 2026'!$E$18:$AD$18,MATCH(P$1,'AEO Table 10 2026'!$E$5:$AD$5,0))*10^6*'Canada Elec Mix'!T14</f>
        <v>0</v>
      </c>
      <c r="Q14" s="5">
        <f>INDEX('AEO Table 10 2026'!$E$18:$AD$18,MATCH(Q$1,'AEO Table 10 2026'!$E$5:$AD$5,0))*10^6*'Canada Elec Mix'!U14</f>
        <v>0</v>
      </c>
      <c r="R14" s="5">
        <f>INDEX('AEO Table 10 2026'!$E$18:$AD$18,MATCH(R$1,'AEO Table 10 2026'!$E$5:$AD$5,0))*10^6*'Canada Elec Mix'!V14</f>
        <v>0</v>
      </c>
      <c r="S14" s="5">
        <f>INDEX('AEO Table 10 2026'!$E$18:$AD$18,MATCH(S$1,'AEO Table 10 2026'!$E$5:$AD$5,0))*10^6*'Canada Elec Mix'!W14</f>
        <v>0</v>
      </c>
      <c r="T14" s="5">
        <f>INDEX('AEO Table 10 2026'!$E$18:$AD$18,MATCH(T$1,'AEO Table 10 2026'!$E$5:$AD$5,0))*10^6*'Canada Elec Mix'!X14</f>
        <v>0</v>
      </c>
      <c r="U14" s="5">
        <f>INDEX('AEO Table 10 2026'!$E$18:$AD$18,MATCH(U$1,'AEO Table 10 2026'!$E$5:$AD$5,0))*10^6*'Canada Elec Mix'!Y14</f>
        <v>0</v>
      </c>
      <c r="V14" s="5">
        <f>INDEX('AEO Table 10 2026'!$E$18:$AD$18,MATCH(V$1,'AEO Table 10 2026'!$E$5:$AD$5,0))*10^6*'Canada Elec Mix'!Z14</f>
        <v>0</v>
      </c>
      <c r="W14" s="5">
        <f>INDEX('AEO Table 10 2026'!$E$18:$AD$18,MATCH(W$1,'AEO Table 10 2026'!$E$5:$AD$5,0))*10^6*'Canada Elec Mix'!AA14</f>
        <v>0</v>
      </c>
      <c r="X14" s="5">
        <f>INDEX('AEO Table 10 2026'!$E$18:$AD$18,MATCH(X$1,'AEO Table 10 2026'!$E$5:$AD$5,0))*10^6*'Canada Elec Mix'!AB14</f>
        <v>0</v>
      </c>
      <c r="Y14" s="5">
        <f>INDEX('AEO Table 10 2026'!$E$18:$AD$18,MATCH(Y$1,'AEO Table 10 2026'!$E$5:$AD$5,0))*10^6*'Canada Elec Mix'!AC14</f>
        <v>0</v>
      </c>
      <c r="Z14" s="5">
        <f>INDEX('AEO Table 10 2026'!$E$18:$AD$18,MATCH(Z$1,'AEO Table 10 2026'!$E$5:$AD$5,0))*10^6*'Canada Elec Mix'!AD14</f>
        <v>0</v>
      </c>
      <c r="AA14" s="5">
        <f>INDEX('AEO Table 10 2026'!$E$18:$AD$18,MATCH(AA$1,'AEO Table 10 2026'!$E$5:$AD$5,0))*10^6*'Canada Elec Mix'!AE14</f>
        <v>0</v>
      </c>
      <c r="AB14" s="5">
        <f>INDEX('AEO Table 10 2026'!$E$18:$AD$18,MATCH(AB$1,'AEO Table 10 2026'!$E$5:$AD$5,0))*10^6*'Canada Elec Mix'!AF14</f>
        <v>0</v>
      </c>
    </row>
    <row r="15" spans="1:28" x14ac:dyDescent="0.25">
      <c r="A15" s="2" t="s">
        <v>212</v>
      </c>
      <c r="B15" s="5">
        <f>INDEX('AEO Table 10 2025'!$F$18:$AG$18,MATCH(B$1,'AEO Table 10 2025'!$F$5:$AG$5,0))*10^6*'Canada Elec Mix'!F15</f>
        <v>0</v>
      </c>
      <c r="C15" s="5">
        <f>INDEX('AEO Table 10 2026'!$E$18:$AD$18,MATCH(C$1,'AEO Table 10 2026'!$E$5:$AD$5,0))*10^6*'Canada Elec Mix'!G15</f>
        <v>0</v>
      </c>
      <c r="D15" s="5">
        <f>INDEX('AEO Table 10 2026'!$E$18:$AD$18,MATCH(D$1,'AEO Table 10 2026'!$E$5:$AD$5,0))*10^6*'Canada Elec Mix'!H15</f>
        <v>0</v>
      </c>
      <c r="E15" s="5">
        <f>INDEX('AEO Table 10 2026'!$E$18:$AD$18,MATCH(E$1,'AEO Table 10 2026'!$E$5:$AD$5,0))*10^6*'Canada Elec Mix'!I15</f>
        <v>0</v>
      </c>
      <c r="F15" s="5">
        <f>INDEX('AEO Table 10 2026'!$E$18:$AD$18,MATCH(F$1,'AEO Table 10 2026'!$E$5:$AD$5,0))*10^6*'Canada Elec Mix'!J15</f>
        <v>0</v>
      </c>
      <c r="G15" s="5">
        <f>INDEX('AEO Table 10 2026'!$E$18:$AD$18,MATCH(G$1,'AEO Table 10 2026'!$E$5:$AD$5,0))*10^6*'Canada Elec Mix'!K15</f>
        <v>0</v>
      </c>
      <c r="H15" s="5">
        <f>INDEX('AEO Table 10 2026'!$E$18:$AD$18,MATCH(H$1,'AEO Table 10 2026'!$E$5:$AD$5,0))*10^6*'Canada Elec Mix'!L15</f>
        <v>0</v>
      </c>
      <c r="I15" s="5">
        <f>INDEX('AEO Table 10 2026'!$E$18:$AD$18,MATCH(I$1,'AEO Table 10 2026'!$E$5:$AD$5,0))*10^6*'Canada Elec Mix'!M15</f>
        <v>0</v>
      </c>
      <c r="J15" s="5">
        <f>INDEX('AEO Table 10 2026'!$E$18:$AD$18,MATCH(J$1,'AEO Table 10 2026'!$E$5:$AD$5,0))*10^6*'Canada Elec Mix'!N15</f>
        <v>0</v>
      </c>
      <c r="K15" s="5">
        <f>INDEX('AEO Table 10 2026'!$E$18:$AD$18,MATCH(K$1,'AEO Table 10 2026'!$E$5:$AD$5,0))*10^6*'Canada Elec Mix'!O15</f>
        <v>0</v>
      </c>
      <c r="L15" s="5">
        <f>INDEX('AEO Table 10 2026'!$E$18:$AD$18,MATCH(L$1,'AEO Table 10 2026'!$E$5:$AD$5,0))*10^6*'Canada Elec Mix'!P15</f>
        <v>0</v>
      </c>
      <c r="M15" s="5">
        <f>INDEX('AEO Table 10 2026'!$E$18:$AD$18,MATCH(M$1,'AEO Table 10 2026'!$E$5:$AD$5,0))*10^6*'Canada Elec Mix'!Q15</f>
        <v>0</v>
      </c>
      <c r="N15" s="5">
        <f>INDEX('AEO Table 10 2026'!$E$18:$AD$18,MATCH(N$1,'AEO Table 10 2026'!$E$5:$AD$5,0))*10^6*'Canada Elec Mix'!R15</f>
        <v>0</v>
      </c>
      <c r="O15" s="5">
        <f>INDEX('AEO Table 10 2026'!$E$18:$AD$18,MATCH(O$1,'AEO Table 10 2026'!$E$5:$AD$5,0))*10^6*'Canada Elec Mix'!S15</f>
        <v>0</v>
      </c>
      <c r="P15" s="5">
        <f>INDEX('AEO Table 10 2026'!$E$18:$AD$18,MATCH(P$1,'AEO Table 10 2026'!$E$5:$AD$5,0))*10^6*'Canada Elec Mix'!T15</f>
        <v>0</v>
      </c>
      <c r="Q15" s="5">
        <f>INDEX('AEO Table 10 2026'!$E$18:$AD$18,MATCH(Q$1,'AEO Table 10 2026'!$E$5:$AD$5,0))*10^6*'Canada Elec Mix'!U15</f>
        <v>0</v>
      </c>
      <c r="R15" s="5">
        <f>INDEX('AEO Table 10 2026'!$E$18:$AD$18,MATCH(R$1,'AEO Table 10 2026'!$E$5:$AD$5,0))*10^6*'Canada Elec Mix'!V15</f>
        <v>0</v>
      </c>
      <c r="S15" s="5">
        <f>INDEX('AEO Table 10 2026'!$E$18:$AD$18,MATCH(S$1,'AEO Table 10 2026'!$E$5:$AD$5,0))*10^6*'Canada Elec Mix'!W15</f>
        <v>0</v>
      </c>
      <c r="T15" s="5">
        <f>INDEX('AEO Table 10 2026'!$E$18:$AD$18,MATCH(T$1,'AEO Table 10 2026'!$E$5:$AD$5,0))*10^6*'Canada Elec Mix'!X15</f>
        <v>0</v>
      </c>
      <c r="U15" s="5">
        <f>INDEX('AEO Table 10 2026'!$E$18:$AD$18,MATCH(U$1,'AEO Table 10 2026'!$E$5:$AD$5,0))*10^6*'Canada Elec Mix'!Y15</f>
        <v>0</v>
      </c>
      <c r="V15" s="5">
        <f>INDEX('AEO Table 10 2026'!$E$18:$AD$18,MATCH(V$1,'AEO Table 10 2026'!$E$5:$AD$5,0))*10^6*'Canada Elec Mix'!Z15</f>
        <v>0</v>
      </c>
      <c r="W15" s="5">
        <f>INDEX('AEO Table 10 2026'!$E$18:$AD$18,MATCH(W$1,'AEO Table 10 2026'!$E$5:$AD$5,0))*10^6*'Canada Elec Mix'!AA15</f>
        <v>0</v>
      </c>
      <c r="X15" s="5">
        <f>INDEX('AEO Table 10 2026'!$E$18:$AD$18,MATCH(X$1,'AEO Table 10 2026'!$E$5:$AD$5,0))*10^6*'Canada Elec Mix'!AB15</f>
        <v>0</v>
      </c>
      <c r="Y15" s="5">
        <f>INDEX('AEO Table 10 2026'!$E$18:$AD$18,MATCH(Y$1,'AEO Table 10 2026'!$E$5:$AD$5,0))*10^6*'Canada Elec Mix'!AC15</f>
        <v>0</v>
      </c>
      <c r="Z15" s="5">
        <f>INDEX('AEO Table 10 2026'!$E$18:$AD$18,MATCH(Z$1,'AEO Table 10 2026'!$E$5:$AD$5,0))*10^6*'Canada Elec Mix'!AD15</f>
        <v>0</v>
      </c>
      <c r="AA15" s="5">
        <f>INDEX('AEO Table 10 2026'!$E$18:$AD$18,MATCH(AA$1,'AEO Table 10 2026'!$E$5:$AD$5,0))*10^6*'Canada Elec Mix'!AE15</f>
        <v>0</v>
      </c>
      <c r="AB15" s="5">
        <f>INDEX('AEO Table 10 2026'!$E$18:$AD$18,MATCH(AB$1,'AEO Table 10 2026'!$E$5:$AD$5,0))*10^6*'Canada Elec Mix'!AF15</f>
        <v>0</v>
      </c>
    </row>
    <row r="16" spans="1:28" x14ac:dyDescent="0.25">
      <c r="A16" s="2" t="s">
        <v>213</v>
      </c>
      <c r="B16" s="5">
        <f>INDEX('AEO Table 10 2025'!$F$18:$AG$18,MATCH(B$1,'AEO Table 10 2025'!$F$5:$AG$5,0))*10^6*'Canada Elec Mix'!F16</f>
        <v>0</v>
      </c>
      <c r="C16" s="5">
        <f>INDEX('AEO Table 10 2026'!$E$18:$AD$18,MATCH(C$1,'AEO Table 10 2026'!$E$5:$AD$5,0))*10^6*'Canada Elec Mix'!G16</f>
        <v>0</v>
      </c>
      <c r="D16" s="5">
        <f>INDEX('AEO Table 10 2026'!$E$18:$AD$18,MATCH(D$1,'AEO Table 10 2026'!$E$5:$AD$5,0))*10^6*'Canada Elec Mix'!H16</f>
        <v>0</v>
      </c>
      <c r="E16" s="5">
        <f>INDEX('AEO Table 10 2026'!$E$18:$AD$18,MATCH(E$1,'AEO Table 10 2026'!$E$5:$AD$5,0))*10^6*'Canada Elec Mix'!I16</f>
        <v>0</v>
      </c>
      <c r="F16" s="5">
        <f>INDEX('AEO Table 10 2026'!$E$18:$AD$18,MATCH(F$1,'AEO Table 10 2026'!$E$5:$AD$5,0))*10^6*'Canada Elec Mix'!J16</f>
        <v>0</v>
      </c>
      <c r="G16" s="5">
        <f>INDEX('AEO Table 10 2026'!$E$18:$AD$18,MATCH(G$1,'AEO Table 10 2026'!$E$5:$AD$5,0))*10^6*'Canada Elec Mix'!K16</f>
        <v>0</v>
      </c>
      <c r="H16" s="5">
        <f>INDEX('AEO Table 10 2026'!$E$18:$AD$18,MATCH(H$1,'AEO Table 10 2026'!$E$5:$AD$5,0))*10^6*'Canada Elec Mix'!L16</f>
        <v>0</v>
      </c>
      <c r="I16" s="5">
        <f>INDEX('AEO Table 10 2026'!$E$18:$AD$18,MATCH(I$1,'AEO Table 10 2026'!$E$5:$AD$5,0))*10^6*'Canada Elec Mix'!M16</f>
        <v>0</v>
      </c>
      <c r="J16" s="5">
        <f>INDEX('AEO Table 10 2026'!$E$18:$AD$18,MATCH(J$1,'AEO Table 10 2026'!$E$5:$AD$5,0))*10^6*'Canada Elec Mix'!N16</f>
        <v>0</v>
      </c>
      <c r="K16" s="5">
        <f>INDEX('AEO Table 10 2026'!$E$18:$AD$18,MATCH(K$1,'AEO Table 10 2026'!$E$5:$AD$5,0))*10^6*'Canada Elec Mix'!O16</f>
        <v>0</v>
      </c>
      <c r="L16" s="5">
        <f>INDEX('AEO Table 10 2026'!$E$18:$AD$18,MATCH(L$1,'AEO Table 10 2026'!$E$5:$AD$5,0))*10^6*'Canada Elec Mix'!P16</f>
        <v>0</v>
      </c>
      <c r="M16" s="5">
        <f>INDEX('AEO Table 10 2026'!$E$18:$AD$18,MATCH(M$1,'AEO Table 10 2026'!$E$5:$AD$5,0))*10^6*'Canada Elec Mix'!Q16</f>
        <v>0</v>
      </c>
      <c r="N16" s="5">
        <f>INDEX('AEO Table 10 2026'!$E$18:$AD$18,MATCH(N$1,'AEO Table 10 2026'!$E$5:$AD$5,0))*10^6*'Canada Elec Mix'!R16</f>
        <v>0</v>
      </c>
      <c r="O16" s="5">
        <f>INDEX('AEO Table 10 2026'!$E$18:$AD$18,MATCH(O$1,'AEO Table 10 2026'!$E$5:$AD$5,0))*10^6*'Canada Elec Mix'!S16</f>
        <v>0</v>
      </c>
      <c r="P16" s="5">
        <f>INDEX('AEO Table 10 2026'!$E$18:$AD$18,MATCH(P$1,'AEO Table 10 2026'!$E$5:$AD$5,0))*10^6*'Canada Elec Mix'!T16</f>
        <v>0</v>
      </c>
      <c r="Q16" s="5">
        <f>INDEX('AEO Table 10 2026'!$E$18:$AD$18,MATCH(Q$1,'AEO Table 10 2026'!$E$5:$AD$5,0))*10^6*'Canada Elec Mix'!U16</f>
        <v>0</v>
      </c>
      <c r="R16" s="5">
        <f>INDEX('AEO Table 10 2026'!$E$18:$AD$18,MATCH(R$1,'AEO Table 10 2026'!$E$5:$AD$5,0))*10^6*'Canada Elec Mix'!V16</f>
        <v>0</v>
      </c>
      <c r="S16" s="5">
        <f>INDEX('AEO Table 10 2026'!$E$18:$AD$18,MATCH(S$1,'AEO Table 10 2026'!$E$5:$AD$5,0))*10^6*'Canada Elec Mix'!W16</f>
        <v>0</v>
      </c>
      <c r="T16" s="5">
        <f>INDEX('AEO Table 10 2026'!$E$18:$AD$18,MATCH(T$1,'AEO Table 10 2026'!$E$5:$AD$5,0))*10^6*'Canada Elec Mix'!X16</f>
        <v>0</v>
      </c>
      <c r="U16" s="5">
        <f>INDEX('AEO Table 10 2026'!$E$18:$AD$18,MATCH(U$1,'AEO Table 10 2026'!$E$5:$AD$5,0))*10^6*'Canada Elec Mix'!Y16</f>
        <v>0</v>
      </c>
      <c r="V16" s="5">
        <f>INDEX('AEO Table 10 2026'!$E$18:$AD$18,MATCH(V$1,'AEO Table 10 2026'!$E$5:$AD$5,0))*10^6*'Canada Elec Mix'!Z16</f>
        <v>0</v>
      </c>
      <c r="W16" s="5">
        <f>INDEX('AEO Table 10 2026'!$E$18:$AD$18,MATCH(W$1,'AEO Table 10 2026'!$E$5:$AD$5,0))*10^6*'Canada Elec Mix'!AA16</f>
        <v>0</v>
      </c>
      <c r="X16" s="5">
        <f>INDEX('AEO Table 10 2026'!$E$18:$AD$18,MATCH(X$1,'AEO Table 10 2026'!$E$5:$AD$5,0))*10^6*'Canada Elec Mix'!AB16</f>
        <v>0</v>
      </c>
      <c r="Y16" s="5">
        <f>INDEX('AEO Table 10 2026'!$E$18:$AD$18,MATCH(Y$1,'AEO Table 10 2026'!$E$5:$AD$5,0))*10^6*'Canada Elec Mix'!AC16</f>
        <v>0</v>
      </c>
      <c r="Z16" s="5">
        <f>INDEX('AEO Table 10 2026'!$E$18:$AD$18,MATCH(Z$1,'AEO Table 10 2026'!$E$5:$AD$5,0))*10^6*'Canada Elec Mix'!AD16</f>
        <v>0</v>
      </c>
      <c r="AA16" s="5">
        <f>INDEX('AEO Table 10 2026'!$E$18:$AD$18,MATCH(AA$1,'AEO Table 10 2026'!$E$5:$AD$5,0))*10^6*'Canada Elec Mix'!AE16</f>
        <v>0</v>
      </c>
      <c r="AB16" s="5">
        <f>INDEX('AEO Table 10 2026'!$E$18:$AD$18,MATCH(AB$1,'AEO Table 10 2026'!$E$5:$AD$5,0))*10^6*'Canada Elec Mix'!AF16</f>
        <v>0</v>
      </c>
    </row>
    <row r="17" spans="1:28" x14ac:dyDescent="0.25">
      <c r="A17" s="2" t="s">
        <v>214</v>
      </c>
      <c r="B17" s="5">
        <f>INDEX('AEO Table 10 2025'!$F$18:$AG$18,MATCH(B$1,'AEO Table 10 2025'!$F$5:$AG$5,0))*10^6*'Canada Elec Mix'!F17</f>
        <v>0</v>
      </c>
      <c r="C17" s="5">
        <f>INDEX('AEO Table 10 2026'!$E$18:$AD$18,MATCH(C$1,'AEO Table 10 2026'!$E$5:$AD$5,0))*10^6*'Canada Elec Mix'!G17</f>
        <v>0</v>
      </c>
      <c r="D17" s="5">
        <f>INDEX('AEO Table 10 2026'!$E$18:$AD$18,MATCH(D$1,'AEO Table 10 2026'!$E$5:$AD$5,0))*10^6*'Canada Elec Mix'!H17</f>
        <v>0</v>
      </c>
      <c r="E17" s="5">
        <f>INDEX('AEO Table 10 2026'!$E$18:$AD$18,MATCH(E$1,'AEO Table 10 2026'!$E$5:$AD$5,0))*10^6*'Canada Elec Mix'!I17</f>
        <v>0</v>
      </c>
      <c r="F17" s="5">
        <f>INDEX('AEO Table 10 2026'!$E$18:$AD$18,MATCH(F$1,'AEO Table 10 2026'!$E$5:$AD$5,0))*10^6*'Canada Elec Mix'!J17</f>
        <v>0</v>
      </c>
      <c r="G17" s="5">
        <f>INDEX('AEO Table 10 2026'!$E$18:$AD$18,MATCH(G$1,'AEO Table 10 2026'!$E$5:$AD$5,0))*10^6*'Canada Elec Mix'!K17</f>
        <v>0</v>
      </c>
      <c r="H17" s="5">
        <f>INDEX('AEO Table 10 2026'!$E$18:$AD$18,MATCH(H$1,'AEO Table 10 2026'!$E$5:$AD$5,0))*10^6*'Canada Elec Mix'!L17</f>
        <v>0</v>
      </c>
      <c r="I17" s="5">
        <f>INDEX('AEO Table 10 2026'!$E$18:$AD$18,MATCH(I$1,'AEO Table 10 2026'!$E$5:$AD$5,0))*10^6*'Canada Elec Mix'!M17</f>
        <v>0</v>
      </c>
      <c r="J17" s="5">
        <f>INDEX('AEO Table 10 2026'!$E$18:$AD$18,MATCH(J$1,'AEO Table 10 2026'!$E$5:$AD$5,0))*10^6*'Canada Elec Mix'!N17</f>
        <v>0</v>
      </c>
      <c r="K17" s="5">
        <f>INDEX('AEO Table 10 2026'!$E$18:$AD$18,MATCH(K$1,'AEO Table 10 2026'!$E$5:$AD$5,0))*10^6*'Canada Elec Mix'!O17</f>
        <v>0</v>
      </c>
      <c r="L17" s="5">
        <f>INDEX('AEO Table 10 2026'!$E$18:$AD$18,MATCH(L$1,'AEO Table 10 2026'!$E$5:$AD$5,0))*10^6*'Canada Elec Mix'!P17</f>
        <v>0</v>
      </c>
      <c r="M17" s="5">
        <f>INDEX('AEO Table 10 2026'!$E$18:$AD$18,MATCH(M$1,'AEO Table 10 2026'!$E$5:$AD$5,0))*10^6*'Canada Elec Mix'!Q17</f>
        <v>0</v>
      </c>
      <c r="N17" s="5">
        <f>INDEX('AEO Table 10 2026'!$E$18:$AD$18,MATCH(N$1,'AEO Table 10 2026'!$E$5:$AD$5,0))*10^6*'Canada Elec Mix'!R17</f>
        <v>0</v>
      </c>
      <c r="O17" s="5">
        <f>INDEX('AEO Table 10 2026'!$E$18:$AD$18,MATCH(O$1,'AEO Table 10 2026'!$E$5:$AD$5,0))*10^6*'Canada Elec Mix'!S17</f>
        <v>0</v>
      </c>
      <c r="P17" s="5">
        <f>INDEX('AEO Table 10 2026'!$E$18:$AD$18,MATCH(P$1,'AEO Table 10 2026'!$E$5:$AD$5,0))*10^6*'Canada Elec Mix'!T17</f>
        <v>0</v>
      </c>
      <c r="Q17" s="5">
        <f>INDEX('AEO Table 10 2026'!$E$18:$AD$18,MATCH(Q$1,'AEO Table 10 2026'!$E$5:$AD$5,0))*10^6*'Canada Elec Mix'!U17</f>
        <v>0</v>
      </c>
      <c r="R17" s="5">
        <f>INDEX('AEO Table 10 2026'!$E$18:$AD$18,MATCH(R$1,'AEO Table 10 2026'!$E$5:$AD$5,0))*10^6*'Canada Elec Mix'!V17</f>
        <v>0</v>
      </c>
      <c r="S17" s="5">
        <f>INDEX('AEO Table 10 2026'!$E$18:$AD$18,MATCH(S$1,'AEO Table 10 2026'!$E$5:$AD$5,0))*10^6*'Canada Elec Mix'!W17</f>
        <v>0</v>
      </c>
      <c r="T17" s="5">
        <f>INDEX('AEO Table 10 2026'!$E$18:$AD$18,MATCH(T$1,'AEO Table 10 2026'!$E$5:$AD$5,0))*10^6*'Canada Elec Mix'!X17</f>
        <v>0</v>
      </c>
      <c r="U17" s="5">
        <f>INDEX('AEO Table 10 2026'!$E$18:$AD$18,MATCH(U$1,'AEO Table 10 2026'!$E$5:$AD$5,0))*10^6*'Canada Elec Mix'!Y17</f>
        <v>0</v>
      </c>
      <c r="V17" s="5">
        <f>INDEX('AEO Table 10 2026'!$E$18:$AD$18,MATCH(V$1,'AEO Table 10 2026'!$E$5:$AD$5,0))*10^6*'Canada Elec Mix'!Z17</f>
        <v>0</v>
      </c>
      <c r="W17" s="5">
        <f>INDEX('AEO Table 10 2026'!$E$18:$AD$18,MATCH(W$1,'AEO Table 10 2026'!$E$5:$AD$5,0))*10^6*'Canada Elec Mix'!AA17</f>
        <v>0</v>
      </c>
      <c r="X17" s="5">
        <f>INDEX('AEO Table 10 2026'!$E$18:$AD$18,MATCH(X$1,'AEO Table 10 2026'!$E$5:$AD$5,0))*10^6*'Canada Elec Mix'!AB17</f>
        <v>0</v>
      </c>
      <c r="Y17" s="5">
        <f>INDEX('AEO Table 10 2026'!$E$18:$AD$18,MATCH(Y$1,'AEO Table 10 2026'!$E$5:$AD$5,0))*10^6*'Canada Elec Mix'!AC17</f>
        <v>0</v>
      </c>
      <c r="Z17" s="5">
        <f>INDEX('AEO Table 10 2026'!$E$18:$AD$18,MATCH(Z$1,'AEO Table 10 2026'!$E$5:$AD$5,0))*10^6*'Canada Elec Mix'!AD17</f>
        <v>0</v>
      </c>
      <c r="AA17" s="5">
        <f>INDEX('AEO Table 10 2026'!$E$18:$AD$18,MATCH(AA$1,'AEO Table 10 2026'!$E$5:$AD$5,0))*10^6*'Canada Elec Mix'!AE17</f>
        <v>0</v>
      </c>
      <c r="AB17" s="5">
        <f>INDEX('AEO Table 10 2026'!$E$18:$AD$18,MATCH(AB$1,'AEO Table 10 2026'!$E$5:$AD$5,0))*10^6*'Canada Elec Mix'!AF17</f>
        <v>0</v>
      </c>
    </row>
    <row r="18" spans="1:28" x14ac:dyDescent="0.25">
      <c r="A18" s="2" t="s">
        <v>215</v>
      </c>
      <c r="B18" s="5">
        <f>INDEX('AEO Table 10 2025'!$F$18:$AG$18,MATCH(B$1,'AEO Table 10 2025'!$F$5:$AG$5,0))*10^6*'Canada Elec Mix'!F18</f>
        <v>0</v>
      </c>
      <c r="C18" s="5">
        <f>INDEX('AEO Table 10 2026'!$E$18:$AD$18,MATCH(C$1,'AEO Table 10 2026'!$E$5:$AD$5,0))*10^6*'Canada Elec Mix'!G18</f>
        <v>0</v>
      </c>
      <c r="D18" s="5">
        <f>INDEX('AEO Table 10 2026'!$E$18:$AD$18,MATCH(D$1,'AEO Table 10 2026'!$E$5:$AD$5,0))*10^6*'Canada Elec Mix'!H18</f>
        <v>0</v>
      </c>
      <c r="E18" s="5">
        <f>INDEX('AEO Table 10 2026'!$E$18:$AD$18,MATCH(E$1,'AEO Table 10 2026'!$E$5:$AD$5,0))*10^6*'Canada Elec Mix'!I18</f>
        <v>0</v>
      </c>
      <c r="F18" s="5">
        <f>INDEX('AEO Table 10 2026'!$E$18:$AD$18,MATCH(F$1,'AEO Table 10 2026'!$E$5:$AD$5,0))*10^6*'Canada Elec Mix'!J18</f>
        <v>0</v>
      </c>
      <c r="G18" s="5">
        <f>INDEX('AEO Table 10 2026'!$E$18:$AD$18,MATCH(G$1,'AEO Table 10 2026'!$E$5:$AD$5,0))*10^6*'Canada Elec Mix'!K18</f>
        <v>0</v>
      </c>
      <c r="H18" s="5">
        <f>INDEX('AEO Table 10 2026'!$E$18:$AD$18,MATCH(H$1,'AEO Table 10 2026'!$E$5:$AD$5,0))*10^6*'Canada Elec Mix'!L18</f>
        <v>0</v>
      </c>
      <c r="I18" s="5">
        <f>INDEX('AEO Table 10 2026'!$E$18:$AD$18,MATCH(I$1,'AEO Table 10 2026'!$E$5:$AD$5,0))*10^6*'Canada Elec Mix'!M18</f>
        <v>0</v>
      </c>
      <c r="J18" s="5">
        <f>INDEX('AEO Table 10 2026'!$E$18:$AD$18,MATCH(J$1,'AEO Table 10 2026'!$E$5:$AD$5,0))*10^6*'Canada Elec Mix'!N18</f>
        <v>0</v>
      </c>
      <c r="K18" s="5">
        <f>INDEX('AEO Table 10 2026'!$E$18:$AD$18,MATCH(K$1,'AEO Table 10 2026'!$E$5:$AD$5,0))*10^6*'Canada Elec Mix'!O18</f>
        <v>0</v>
      </c>
      <c r="L18" s="5">
        <f>INDEX('AEO Table 10 2026'!$E$18:$AD$18,MATCH(L$1,'AEO Table 10 2026'!$E$5:$AD$5,0))*10^6*'Canada Elec Mix'!P18</f>
        <v>0</v>
      </c>
      <c r="M18" s="5">
        <f>INDEX('AEO Table 10 2026'!$E$18:$AD$18,MATCH(M$1,'AEO Table 10 2026'!$E$5:$AD$5,0))*10^6*'Canada Elec Mix'!Q18</f>
        <v>0</v>
      </c>
      <c r="N18" s="5">
        <f>INDEX('AEO Table 10 2026'!$E$18:$AD$18,MATCH(N$1,'AEO Table 10 2026'!$E$5:$AD$5,0))*10^6*'Canada Elec Mix'!R18</f>
        <v>0</v>
      </c>
      <c r="O18" s="5">
        <f>INDEX('AEO Table 10 2026'!$E$18:$AD$18,MATCH(O$1,'AEO Table 10 2026'!$E$5:$AD$5,0))*10^6*'Canada Elec Mix'!S18</f>
        <v>0</v>
      </c>
      <c r="P18" s="5">
        <f>INDEX('AEO Table 10 2026'!$E$18:$AD$18,MATCH(P$1,'AEO Table 10 2026'!$E$5:$AD$5,0))*10^6*'Canada Elec Mix'!T18</f>
        <v>0</v>
      </c>
      <c r="Q18" s="5">
        <f>INDEX('AEO Table 10 2026'!$E$18:$AD$18,MATCH(Q$1,'AEO Table 10 2026'!$E$5:$AD$5,0))*10^6*'Canada Elec Mix'!U18</f>
        <v>0</v>
      </c>
      <c r="R18" s="5">
        <f>INDEX('AEO Table 10 2026'!$E$18:$AD$18,MATCH(R$1,'AEO Table 10 2026'!$E$5:$AD$5,0))*10^6*'Canada Elec Mix'!V18</f>
        <v>0</v>
      </c>
      <c r="S18" s="5">
        <f>INDEX('AEO Table 10 2026'!$E$18:$AD$18,MATCH(S$1,'AEO Table 10 2026'!$E$5:$AD$5,0))*10^6*'Canada Elec Mix'!W18</f>
        <v>0</v>
      </c>
      <c r="T18" s="5">
        <f>INDEX('AEO Table 10 2026'!$E$18:$AD$18,MATCH(T$1,'AEO Table 10 2026'!$E$5:$AD$5,0))*10^6*'Canada Elec Mix'!X18</f>
        <v>0</v>
      </c>
      <c r="U18" s="5">
        <f>INDEX('AEO Table 10 2026'!$E$18:$AD$18,MATCH(U$1,'AEO Table 10 2026'!$E$5:$AD$5,0))*10^6*'Canada Elec Mix'!Y18</f>
        <v>0</v>
      </c>
      <c r="V18" s="5">
        <f>INDEX('AEO Table 10 2026'!$E$18:$AD$18,MATCH(V$1,'AEO Table 10 2026'!$E$5:$AD$5,0))*10^6*'Canada Elec Mix'!Z18</f>
        <v>0</v>
      </c>
      <c r="W18" s="5">
        <f>INDEX('AEO Table 10 2026'!$E$18:$AD$18,MATCH(W$1,'AEO Table 10 2026'!$E$5:$AD$5,0))*10^6*'Canada Elec Mix'!AA18</f>
        <v>0</v>
      </c>
      <c r="X18" s="5">
        <f>INDEX('AEO Table 10 2026'!$E$18:$AD$18,MATCH(X$1,'AEO Table 10 2026'!$E$5:$AD$5,0))*10^6*'Canada Elec Mix'!AB18</f>
        <v>0</v>
      </c>
      <c r="Y18" s="5">
        <f>INDEX('AEO Table 10 2026'!$E$18:$AD$18,MATCH(Y$1,'AEO Table 10 2026'!$E$5:$AD$5,0))*10^6*'Canada Elec Mix'!AC18</f>
        <v>0</v>
      </c>
      <c r="Z18" s="5">
        <f>INDEX('AEO Table 10 2026'!$E$18:$AD$18,MATCH(Z$1,'AEO Table 10 2026'!$E$5:$AD$5,0))*10^6*'Canada Elec Mix'!AD18</f>
        <v>0</v>
      </c>
      <c r="AA18" s="5">
        <f>INDEX('AEO Table 10 2026'!$E$18:$AD$18,MATCH(AA$1,'AEO Table 10 2026'!$E$5:$AD$5,0))*10^6*'Canada Elec Mix'!AE18</f>
        <v>0</v>
      </c>
      <c r="AB18" s="5">
        <f>INDEX('AEO Table 10 2026'!$E$18:$AD$18,MATCH(AB$1,'AEO Table 10 2026'!$E$5:$AD$5,0))*10^6*'Canada Elec Mix'!AF18</f>
        <v>0</v>
      </c>
    </row>
    <row r="19" spans="1:28" x14ac:dyDescent="0.25">
      <c r="A19" t="s">
        <v>447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448</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449</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450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451</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s="21" t="s">
        <v>452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s="21" t="s">
        <v>453</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7" spans="1:28" ht="29.65" customHeight="1" x14ac:dyDescent="0.25">
      <c r="A27" s="7" t="s">
        <v>454</v>
      </c>
      <c r="B27">
        <v>2024</v>
      </c>
      <c r="C27">
        <v>2025</v>
      </c>
      <c r="D27">
        <v>2026</v>
      </c>
      <c r="E27">
        <v>2027</v>
      </c>
      <c r="F27">
        <v>2028</v>
      </c>
      <c r="G27">
        <v>2029</v>
      </c>
      <c r="H27">
        <v>2030</v>
      </c>
      <c r="I27">
        <v>2031</v>
      </c>
      <c r="J27">
        <v>2032</v>
      </c>
      <c r="K27">
        <v>2033</v>
      </c>
      <c r="L27">
        <v>2034</v>
      </c>
      <c r="M27">
        <v>2035</v>
      </c>
      <c r="N27">
        <v>2036</v>
      </c>
      <c r="O27">
        <v>2037</v>
      </c>
      <c r="P27">
        <v>2038</v>
      </c>
      <c r="Q27">
        <v>2039</v>
      </c>
      <c r="R27">
        <v>2040</v>
      </c>
      <c r="S27">
        <v>2041</v>
      </c>
      <c r="T27">
        <v>2042</v>
      </c>
      <c r="U27">
        <v>2043</v>
      </c>
      <c r="V27">
        <v>2044</v>
      </c>
      <c r="W27">
        <v>2045</v>
      </c>
      <c r="X27">
        <v>2046</v>
      </c>
      <c r="Y27">
        <v>2047</v>
      </c>
      <c r="Z27">
        <v>2048</v>
      </c>
      <c r="AA27">
        <v>2049</v>
      </c>
      <c r="AB27">
        <v>2050</v>
      </c>
    </row>
    <row r="28" spans="1:28" x14ac:dyDescent="0.25">
      <c r="A28" t="s">
        <v>455</v>
      </c>
      <c r="B28">
        <f>INDEX('AEO Table 10 2025'!22:22,MATCH(B27,'AEO Table 10 2025'!5:5,0))*10^6</f>
        <v>14989228</v>
      </c>
      <c r="C28">
        <f>INDEX('AEO Table 10 2026'!22:22,MATCH(C27,'AEO Table 10 2026'!5:5,0))*10^6</f>
        <v>16798512</v>
      </c>
      <c r="D28">
        <f>INDEX('AEO Table 10 2026'!22:22,MATCH(D27,'AEO Table 10 2026'!5:5,0))*10^6</f>
        <v>16798512</v>
      </c>
      <c r="E28">
        <f>INDEX('AEO Table 10 2026'!22:22,MATCH(E27,'AEO Table 10 2026'!5:5,0))*10^6</f>
        <v>16798512</v>
      </c>
      <c r="F28">
        <f>INDEX('AEO Table 10 2026'!22:22,MATCH(F27,'AEO Table 10 2026'!5:5,0))*10^6</f>
        <v>16798512</v>
      </c>
      <c r="G28">
        <f>INDEX('AEO Table 10 2026'!22:22,MATCH(G27,'AEO Table 10 2026'!5:5,0))*10^6</f>
        <v>16798512</v>
      </c>
      <c r="H28">
        <f>INDEX('AEO Table 10 2026'!22:22,MATCH(H27,'AEO Table 10 2026'!5:5,0))*10^6</f>
        <v>16798512</v>
      </c>
      <c r="I28">
        <f>INDEX('AEO Table 10 2026'!22:22,MATCH(I27,'AEO Table 10 2026'!5:5,0))*10^6</f>
        <v>16918085</v>
      </c>
      <c r="J28">
        <f>INDEX('AEO Table 10 2026'!22:22,MATCH(J27,'AEO Table 10 2026'!5:5,0))*10^6</f>
        <v>17037659</v>
      </c>
      <c r="K28">
        <f>INDEX('AEO Table 10 2026'!22:22,MATCH(K27,'AEO Table 10 2026'!5:5,0))*10^6</f>
        <v>17157232</v>
      </c>
      <c r="L28">
        <f>INDEX('AEO Table 10 2026'!22:22,MATCH(L27,'AEO Table 10 2026'!5:5,0))*10^6</f>
        <v>17276808</v>
      </c>
      <c r="M28">
        <f>INDEX('AEO Table 10 2026'!22:22,MATCH(M27,'AEO Table 10 2026'!5:5,0))*10^6</f>
        <v>17396381</v>
      </c>
      <c r="N28">
        <f>INDEX('AEO Table 10 2026'!22:22,MATCH(N27,'AEO Table 10 2026'!5:5,0))*10^6</f>
        <v>17515953</v>
      </c>
      <c r="O28">
        <f>INDEX('AEO Table 10 2026'!22:22,MATCH(O27,'AEO Table 10 2026'!5:5,0))*10^6</f>
        <v>17635529</v>
      </c>
      <c r="P28">
        <f>INDEX('AEO Table 10 2026'!22:22,MATCH(P27,'AEO Table 10 2026'!5:5,0))*10^6</f>
        <v>17755102</v>
      </c>
      <c r="Q28">
        <f>INDEX('AEO Table 10 2026'!22:22,MATCH(Q27,'AEO Table 10 2026'!5:5,0))*10^6</f>
        <v>17874676</v>
      </c>
      <c r="R28">
        <f>INDEX('AEO Table 10 2026'!22:22,MATCH(R27,'AEO Table 10 2026'!5:5,0))*10^6</f>
        <v>17994251</v>
      </c>
      <c r="S28">
        <f>INDEX('AEO Table 10 2026'!22:22,MATCH(S27,'AEO Table 10 2026'!5:5,0))*10^6</f>
        <v>17994251</v>
      </c>
      <c r="T28">
        <f>INDEX('AEO Table 10 2026'!22:22,MATCH(T27,'AEO Table 10 2026'!5:5,0))*10^6</f>
        <v>17994251</v>
      </c>
      <c r="U28">
        <f>INDEX('AEO Table 10 2026'!22:22,MATCH(U27,'AEO Table 10 2026'!5:5,0))*10^6</f>
        <v>17994251</v>
      </c>
      <c r="V28">
        <f>INDEX('AEO Table 10 2026'!22:22,MATCH(V27,'AEO Table 10 2026'!5:5,0))*10^6</f>
        <v>17994251</v>
      </c>
      <c r="W28">
        <f>INDEX('AEO Table 10 2026'!22:22,MATCH(W27,'AEO Table 10 2026'!5:5,0))*10^6</f>
        <v>17994251</v>
      </c>
      <c r="X28">
        <f>INDEX('AEO Table 10 2026'!22:22,MATCH(X27,'AEO Table 10 2026'!5:5,0))*10^6</f>
        <v>17994251</v>
      </c>
      <c r="Y28">
        <f>INDEX('AEO Table 10 2026'!22:22,MATCH(Y27,'AEO Table 10 2026'!5:5,0))*10^6</f>
        <v>17994251</v>
      </c>
      <c r="Z28">
        <f>INDEX('AEO Table 10 2026'!22:22,MATCH(Z27,'AEO Table 10 2026'!5:5,0))*10^6</f>
        <v>17994251</v>
      </c>
      <c r="AA28">
        <f>INDEX('AEO Table 10 2026'!22:22,MATCH(AA27,'AEO Table 10 2026'!5:5,0))*10^6</f>
        <v>17994251</v>
      </c>
      <c r="AB28">
        <f>INDEX('AEO Table 10 2026'!22:22,MATCH(AB27,'AEO Table 10 2026'!5:5,0))*10^6</f>
        <v>17994251</v>
      </c>
    </row>
    <row r="30" spans="1:28" x14ac:dyDescent="0.25">
      <c r="A30" s="7" t="s">
        <v>456</v>
      </c>
      <c r="B30">
        <v>2024</v>
      </c>
      <c r="C30">
        <v>2025</v>
      </c>
      <c r="D30">
        <v>2026</v>
      </c>
      <c r="E30">
        <v>2027</v>
      </c>
      <c r="F30">
        <v>2028</v>
      </c>
      <c r="G30">
        <v>2029</v>
      </c>
      <c r="H30">
        <v>2030</v>
      </c>
      <c r="I30">
        <v>2031</v>
      </c>
      <c r="J30">
        <v>2032</v>
      </c>
      <c r="K30">
        <v>2033</v>
      </c>
      <c r="L30">
        <v>2034</v>
      </c>
      <c r="M30">
        <v>2035</v>
      </c>
      <c r="N30">
        <v>2036</v>
      </c>
      <c r="O30">
        <v>2037</v>
      </c>
      <c r="P30">
        <v>2038</v>
      </c>
      <c r="Q30">
        <v>2039</v>
      </c>
      <c r="R30">
        <v>2040</v>
      </c>
      <c r="S30">
        <v>2041</v>
      </c>
      <c r="T30">
        <v>2042</v>
      </c>
      <c r="U30">
        <v>2043</v>
      </c>
      <c r="V30">
        <v>2044</v>
      </c>
      <c r="W30">
        <v>2045</v>
      </c>
      <c r="X30">
        <v>2046</v>
      </c>
      <c r="Y30">
        <v>2047</v>
      </c>
      <c r="Z30">
        <v>2048</v>
      </c>
      <c r="AA30">
        <v>2049</v>
      </c>
      <c r="AB30">
        <v>2050</v>
      </c>
    </row>
    <row r="31" spans="1:28" x14ac:dyDescent="0.25">
      <c r="A31" t="s">
        <v>457</v>
      </c>
      <c r="B31" s="10">
        <f>INDEX('AEO Table 3 2025'!$54:$54,MATCH(B30,'AEO Table 3 2025'!$5:$5,0))/10^6*About!$A$60/About!$A$58</f>
        <v>95.149006264073691</v>
      </c>
      <c r="C31" s="10">
        <f>INDEX('AEO Table 3 2026'!$54:$54,MATCH(C30,'AEO Table 3 2026'!$5:$5,0))/10^6*About!$A$61/About!$A$58</f>
        <v>96.530431700203991</v>
      </c>
      <c r="D31" s="10">
        <f>INDEX('AEO Table 3 2026'!$54:$54,MATCH(D30,'AEO Table 3 2026'!$5:$5,0))/10^6*About!$A$61/About!$A$58</f>
        <v>96.086126595005965</v>
      </c>
      <c r="E31" s="10">
        <f>INDEX('AEO Table 3 2026'!$54:$54,MATCH(E30,'AEO Table 3 2026'!$5:$5,0))/10^6*About!$A$61/About!$A$58</f>
        <v>93.174724678077354</v>
      </c>
      <c r="F31" s="10">
        <f>INDEX('AEO Table 3 2026'!$54:$54,MATCH(F30,'AEO Table 3 2026'!$5:$5,0))/10^6*About!$A$61/About!$A$58</f>
        <v>91.063269995788843</v>
      </c>
      <c r="G31" s="10">
        <f>INDEX('AEO Table 3 2026'!$54:$54,MATCH(G30,'AEO Table 3 2026'!$5:$5,0))/10^6*About!$A$61/About!$A$58</f>
        <v>91.770770957178328</v>
      </c>
      <c r="H31" s="10">
        <f>INDEX('AEO Table 3 2026'!$54:$54,MATCH(H30,'AEO Table 3 2026'!$5:$5,0))/10^6*About!$A$61/About!$A$58</f>
        <v>92.818608115830472</v>
      </c>
      <c r="I31" s="10">
        <f>INDEX('AEO Table 3 2026'!$54:$54,MATCH(I30,'AEO Table 3 2026'!$5:$5,0))/10^6*About!$A$61/About!$A$58</f>
        <v>93.769512569990781</v>
      </c>
      <c r="J31" s="10">
        <f>INDEX('AEO Table 3 2026'!$54:$54,MATCH(J30,'AEO Table 3 2026'!$5:$5,0))/10^6*About!$A$61/About!$A$58</f>
        <v>94.275184950242107</v>
      </c>
      <c r="K31" s="10">
        <f>INDEX('AEO Table 3 2026'!$54:$54,MATCH(K30,'AEO Table 3 2026'!$5:$5,0))/10^6*About!$A$61/About!$A$58</f>
        <v>94.870152883322476</v>
      </c>
      <c r="L31" s="10">
        <f>INDEX('AEO Table 3 2026'!$54:$54,MATCH(L30,'AEO Table 3 2026'!$5:$5,0))/10^6*About!$A$61/About!$A$58</f>
        <v>95.451510677377016</v>
      </c>
      <c r="M31" s="10">
        <f>INDEX('AEO Table 3 2026'!$54:$54,MATCH(M30,'AEO Table 3 2026'!$5:$5,0))/10^6*About!$A$61/About!$A$58</f>
        <v>95.740304008128817</v>
      </c>
      <c r="N31" s="10">
        <f>INDEX('AEO Table 3 2026'!$54:$54,MATCH(N30,'AEO Table 3 2026'!$5:$5,0))/10^6*About!$A$61/About!$A$58</f>
        <v>95.964143838420782</v>
      </c>
      <c r="O31" s="10">
        <f>INDEX('AEO Table 3 2026'!$54:$54,MATCH(O30,'AEO Table 3 2026'!$5:$5,0))/10^6*About!$A$61/About!$A$58</f>
        <v>96.495116868605876</v>
      </c>
      <c r="P31" s="10">
        <f>INDEX('AEO Table 3 2026'!$54:$54,MATCH(P30,'AEO Table 3 2026'!$5:$5,0))/10^6*About!$A$61/About!$A$58</f>
        <v>96.846250669908017</v>
      </c>
      <c r="Q31" s="10">
        <f>INDEX('AEO Table 3 2026'!$54:$54,MATCH(Q30,'AEO Table 3 2026'!$5:$5,0))/10^6*About!$A$61/About!$A$58</f>
        <v>97.357973893162068</v>
      </c>
      <c r="R31" s="10">
        <f>INDEX('AEO Table 3 2026'!$54:$54,MATCH(R30,'AEO Table 3 2026'!$5:$5,0))/10^6*About!$A$61/About!$A$58</f>
        <v>97.900695825984926</v>
      </c>
      <c r="S31" s="10">
        <f>INDEX('AEO Table 3 2026'!$54:$54,MATCH(S30,'AEO Table 3 2026'!$5:$5,0))/10^6*About!$A$61/About!$A$58</f>
        <v>98.053983848720463</v>
      </c>
      <c r="T31" s="10">
        <f>INDEX('AEO Table 3 2026'!$54:$54,MATCH(T30,'AEO Table 3 2026'!$5:$5,0))/10^6*About!$A$61/About!$A$58</f>
        <v>97.943399644394162</v>
      </c>
      <c r="U31" s="10">
        <f>INDEX('AEO Table 3 2026'!$54:$54,MATCH(U30,'AEO Table 3 2026'!$5:$5,0))/10^6*About!$A$61/About!$A$58</f>
        <v>97.679787747127719</v>
      </c>
      <c r="V31" s="10">
        <f>INDEX('AEO Table 3 2026'!$54:$54,MATCH(V30,'AEO Table 3 2026'!$5:$5,0))/10^6*About!$A$61/About!$A$58</f>
        <v>97.471129766589272</v>
      </c>
      <c r="W31" s="10">
        <f>INDEX('AEO Table 3 2026'!$54:$54,MATCH(W30,'AEO Table 3 2026'!$5:$5,0))/10^6*About!$A$61/About!$A$58</f>
        <v>96.940981519587879</v>
      </c>
      <c r="X31" s="10">
        <f>INDEX('AEO Table 3 2026'!$54:$54,MATCH(X30,'AEO Table 3 2026'!$5:$5,0))/10^6*About!$A$61/About!$A$58</f>
        <v>97.371506176548124</v>
      </c>
      <c r="Y31" s="10">
        <f>INDEX('AEO Table 3 2026'!$54:$54,MATCH(Y30,'AEO Table 3 2026'!$5:$5,0))/10^6*About!$A$61/About!$A$58</f>
        <v>97.752920955739995</v>
      </c>
      <c r="Z31" s="10">
        <f>INDEX('AEO Table 3 2026'!$54:$54,MATCH(Z30,'AEO Table 3 2026'!$5:$5,0))/10^6*About!$A$61/About!$A$58</f>
        <v>98.131841921470766</v>
      </c>
      <c r="AA31" s="10">
        <f>INDEX('AEO Table 3 2026'!$54:$54,MATCH(AA30,'AEO Table 3 2026'!$5:$5,0))/10^6*About!$A$61/About!$A$58</f>
        <v>98.264478735759567</v>
      </c>
      <c r="AB31" s="10">
        <f>INDEX('AEO Table 3 2026'!$54:$54,MATCH(AB30,'AEO Table 3 2026'!$5:$5,0))/10^6*About!$A$61/About!$A$58</f>
        <v>98.592389659514055</v>
      </c>
    </row>
    <row r="33" spans="1:28" x14ac:dyDescent="0.25">
      <c r="A33" s="7"/>
    </row>
    <row r="34" spans="1:28" x14ac:dyDescent="0.25">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B25"/>
  <sheetViews>
    <sheetView zoomScaleNormal="100" workbookViewId="0">
      <selection activeCell="B2" sqref="B2"/>
    </sheetView>
  </sheetViews>
  <sheetFormatPr defaultRowHeight="15" x14ac:dyDescent="0.25"/>
  <cols>
    <col min="1" max="1" width="26.140625" style="2" customWidth="1"/>
    <col min="2" max="28" width="11.5703125" bestFit="1" customWidth="1"/>
  </cols>
  <sheetData>
    <row r="1" spans="1:28" ht="29.65" customHeight="1" x14ac:dyDescent="0.25">
      <c r="A1" s="6" t="s">
        <v>446</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s="2" t="s">
        <v>202</v>
      </c>
      <c r="B2" s="5">
        <f>calcs!B2</f>
        <v>242303.64591837639</v>
      </c>
      <c r="C2" s="5">
        <f>calcs!C2</f>
        <v>188299.69478802281</v>
      </c>
      <c r="D2" s="5">
        <f>calcs!D2</f>
        <v>229288.15069675571</v>
      </c>
      <c r="E2" s="5">
        <f>calcs!E2</f>
        <v>249351.32577979713</v>
      </c>
      <c r="F2" s="5">
        <f>calcs!F2</f>
        <v>287873.73058768536</v>
      </c>
      <c r="G2" s="5">
        <f>calcs!G2</f>
        <v>319784.40056799701</v>
      </c>
      <c r="H2" s="5">
        <f>calcs!H2</f>
        <v>336857.31131250435</v>
      </c>
      <c r="I2" s="5">
        <f>calcs!I2</f>
        <v>340648.81890962733</v>
      </c>
      <c r="J2" s="5">
        <f>calcs!J2</f>
        <v>239780.05033628264</v>
      </c>
      <c r="K2" s="5">
        <f>calcs!K2</f>
        <v>252936.08020270045</v>
      </c>
      <c r="L2" s="5">
        <f>calcs!L2</f>
        <v>256852.66240584885</v>
      </c>
      <c r="M2" s="5">
        <f>calcs!M2</f>
        <v>241173.48773245281</v>
      </c>
      <c r="N2" s="5">
        <f>calcs!N2</f>
        <v>239107.84446656748</v>
      </c>
      <c r="O2" s="5">
        <f>calcs!O2</f>
        <v>238985.8987104104</v>
      </c>
      <c r="P2" s="5">
        <f>calcs!P2</f>
        <v>232292.08578943778</v>
      </c>
      <c r="Q2" s="5">
        <f>calcs!Q2</f>
        <v>192213.17078624218</v>
      </c>
      <c r="R2" s="5">
        <f>calcs!R2</f>
        <v>188098.80388045937</v>
      </c>
      <c r="S2" s="5">
        <f>calcs!S2</f>
        <v>9388.4499771193532</v>
      </c>
      <c r="T2" s="5">
        <f>calcs!T2</f>
        <v>8301.1704861178823</v>
      </c>
      <c r="U2" s="5">
        <f>calcs!U2</f>
        <v>8874.6270534990272</v>
      </c>
      <c r="V2" s="5">
        <f>calcs!V2</f>
        <v>8083.1379693512754</v>
      </c>
      <c r="W2" s="5">
        <f>calcs!W2</f>
        <v>7926.8178416918445</v>
      </c>
      <c r="X2" s="5">
        <f>calcs!X2</f>
        <v>6960.9847501271997</v>
      </c>
      <c r="Y2" s="5">
        <f>calcs!Y2</f>
        <v>6638.7564744883794</v>
      </c>
      <c r="Z2" s="5">
        <f>calcs!Z2</f>
        <v>6017.3108810218882</v>
      </c>
      <c r="AA2" s="5">
        <f>calcs!AA2</f>
        <v>5721.3629633189794</v>
      </c>
      <c r="AB2" s="5">
        <f>calcs!AB2</f>
        <v>5448.1601019276632</v>
      </c>
    </row>
    <row r="3" spans="1:28" x14ac:dyDescent="0.25">
      <c r="A3" s="2" t="s">
        <v>199</v>
      </c>
      <c r="B3" s="5">
        <f>calcs!B3</f>
        <v>3278177.0721877264</v>
      </c>
      <c r="C3" s="5">
        <f>calcs!C3</f>
        <v>2970426.2562892074</v>
      </c>
      <c r="D3" s="5">
        <f>calcs!D3</f>
        <v>3957035.4262645631</v>
      </c>
      <c r="E3" s="5">
        <f>calcs!E3</f>
        <v>4343556.9380268538</v>
      </c>
      <c r="F3" s="5">
        <f>calcs!F3</f>
        <v>5384653.6070282571</v>
      </c>
      <c r="G3" s="5">
        <f>calcs!G3</f>
        <v>6115157.4176495755</v>
      </c>
      <c r="H3" s="5">
        <f>calcs!H3</f>
        <v>6258431.1588328481</v>
      </c>
      <c r="I3" s="5">
        <f>calcs!I3</f>
        <v>6581425.364738252</v>
      </c>
      <c r="J3" s="5">
        <f>calcs!J3</f>
        <v>6208603.5709063606</v>
      </c>
      <c r="K3" s="5">
        <f>calcs!K3</f>
        <v>6468177.2504732553</v>
      </c>
      <c r="L3" s="5">
        <f>calcs!L3</f>
        <v>6250687.7345075086</v>
      </c>
      <c r="M3" s="5">
        <f>calcs!M3</f>
        <v>6270326.804805968</v>
      </c>
      <c r="N3" s="5">
        <f>calcs!N3</f>
        <v>5267814.7366652656</v>
      </c>
      <c r="O3" s="5">
        <f>calcs!O3</f>
        <v>5175316.8717171876</v>
      </c>
      <c r="P3" s="5">
        <f>calcs!P3</f>
        <v>4965143.7794578597</v>
      </c>
      <c r="Q3" s="5">
        <f>calcs!Q3</f>
        <v>4870463.7128841616</v>
      </c>
      <c r="R3" s="5">
        <f>calcs!R3</f>
        <v>4769442.7299720114</v>
      </c>
      <c r="S3" s="5">
        <f>calcs!S3</f>
        <v>4732003.989634932</v>
      </c>
      <c r="T3" s="5">
        <f>calcs!T3</f>
        <v>4419245.5814990131</v>
      </c>
      <c r="U3" s="5">
        <f>calcs!U3</f>
        <v>4789231.1963777496</v>
      </c>
      <c r="V3" s="5">
        <f>calcs!V3</f>
        <v>4546954.3943151878</v>
      </c>
      <c r="W3" s="5">
        <f>calcs!W3</f>
        <v>4480593.209349581</v>
      </c>
      <c r="X3" s="5">
        <f>calcs!X3</f>
        <v>4107952.7713820413</v>
      </c>
      <c r="Y3" s="5">
        <f>calcs!Y3</f>
        <v>3922703.1621913798</v>
      </c>
      <c r="Z3" s="5">
        <f>calcs!Z3</f>
        <v>3687594.747248664</v>
      </c>
      <c r="AA3" s="5">
        <f>calcs!AA3</f>
        <v>3503102.9820320574</v>
      </c>
      <c r="AB3" s="5">
        <f>calcs!AB3</f>
        <v>3328333.5338186654</v>
      </c>
    </row>
    <row r="4" spans="1:28" x14ac:dyDescent="0.25">
      <c r="A4" s="2" t="s">
        <v>200</v>
      </c>
      <c r="B4" s="5">
        <f>calcs!B4</f>
        <v>0</v>
      </c>
      <c r="C4" s="5">
        <f>calcs!C4</f>
        <v>0</v>
      </c>
      <c r="D4" s="5">
        <f>calcs!D4</f>
        <v>0</v>
      </c>
      <c r="E4" s="5">
        <f>calcs!E4</f>
        <v>0</v>
      </c>
      <c r="F4" s="5">
        <f>calcs!F4</f>
        <v>0</v>
      </c>
      <c r="G4" s="5">
        <f>calcs!G4</f>
        <v>0</v>
      </c>
      <c r="H4" s="5">
        <f>calcs!H4</f>
        <v>0</v>
      </c>
      <c r="I4" s="5">
        <f>calcs!I4</f>
        <v>0</v>
      </c>
      <c r="J4" s="5">
        <f>calcs!J4</f>
        <v>0</v>
      </c>
      <c r="K4" s="5">
        <f>calcs!K4</f>
        <v>0</v>
      </c>
      <c r="L4" s="5">
        <f>calcs!L4</f>
        <v>0</v>
      </c>
      <c r="M4" s="5">
        <f>calcs!M4</f>
        <v>0</v>
      </c>
      <c r="N4" s="5">
        <f>calcs!N4</f>
        <v>0</v>
      </c>
      <c r="O4" s="5">
        <f>calcs!O4</f>
        <v>0</v>
      </c>
      <c r="P4" s="5">
        <f>calcs!P4</f>
        <v>0</v>
      </c>
      <c r="Q4" s="5">
        <f>calcs!Q4</f>
        <v>0</v>
      </c>
      <c r="R4" s="5">
        <f>calcs!R4</f>
        <v>0</v>
      </c>
      <c r="S4" s="5">
        <f>calcs!S4</f>
        <v>0</v>
      </c>
      <c r="T4" s="5">
        <f>calcs!T4</f>
        <v>0</v>
      </c>
      <c r="U4" s="5">
        <f>calcs!U4</f>
        <v>0</v>
      </c>
      <c r="V4" s="5">
        <f>calcs!V4</f>
        <v>0</v>
      </c>
      <c r="W4" s="5">
        <f>calcs!W4</f>
        <v>0</v>
      </c>
      <c r="X4" s="5">
        <f>calcs!X4</f>
        <v>0</v>
      </c>
      <c r="Y4" s="5">
        <f>calcs!Y4</f>
        <v>0</v>
      </c>
      <c r="Z4" s="5">
        <f>calcs!Z4</f>
        <v>0</v>
      </c>
      <c r="AA4" s="5">
        <f>calcs!AA4</f>
        <v>0</v>
      </c>
      <c r="AB4" s="5">
        <f>calcs!AB4</f>
        <v>0</v>
      </c>
    </row>
    <row r="5" spans="1:28" x14ac:dyDescent="0.25">
      <c r="A5" s="2" t="s">
        <v>203</v>
      </c>
      <c r="B5" s="5">
        <f>calcs!B5</f>
        <v>3495228.2639418067</v>
      </c>
      <c r="C5" s="5">
        <f>calcs!C5</f>
        <v>2792073.8548036073</v>
      </c>
      <c r="D5" s="5">
        <f>calcs!D5</f>
        <v>3269944.3947621351</v>
      </c>
      <c r="E5" s="5">
        <f>calcs!E5</f>
        <v>4260072.0520045273</v>
      </c>
      <c r="F5" s="5">
        <f>calcs!F5</f>
        <v>5953816.4126260662</v>
      </c>
      <c r="G5" s="5">
        <f>calcs!G5</f>
        <v>6191895.5734123671</v>
      </c>
      <c r="H5" s="5">
        <f>calcs!H5</f>
        <v>7450001.6153998477</v>
      </c>
      <c r="I5" s="5">
        <f>calcs!I5</f>
        <v>6925482.9488487178</v>
      </c>
      <c r="J5" s="5">
        <f>calcs!J5</f>
        <v>7682821.1510775117</v>
      </c>
      <c r="K5" s="5">
        <f>calcs!K5</f>
        <v>7978307.5529523995</v>
      </c>
      <c r="L5" s="5">
        <f>calcs!L5</f>
        <v>8711441.1175211724</v>
      </c>
      <c r="M5" s="5">
        <f>calcs!M5</f>
        <v>8987880.0540349111</v>
      </c>
      <c r="N5" s="5">
        <f>calcs!N5</f>
        <v>8756523.4708192926</v>
      </c>
      <c r="O5" s="5">
        <f>calcs!O5</f>
        <v>8642616.5886977781</v>
      </c>
      <c r="P5" s="5">
        <f>calcs!P5</f>
        <v>8505987.8088784367</v>
      </c>
      <c r="Q5" s="5">
        <f>calcs!Q5</f>
        <v>8308911.1101694182</v>
      </c>
      <c r="R5" s="5">
        <f>calcs!R5</f>
        <v>8324698.6680461662</v>
      </c>
      <c r="S5" s="5">
        <f>calcs!S5</f>
        <v>7822041.7326022461</v>
      </c>
      <c r="T5" s="5">
        <f>calcs!T5</f>
        <v>7293067.8797224984</v>
      </c>
      <c r="U5" s="5">
        <f>calcs!U5</f>
        <v>7786663.1846751524</v>
      </c>
      <c r="V5" s="5">
        <f>calcs!V5</f>
        <v>7953262.6677397639</v>
      </c>
      <c r="W5" s="5">
        <f>calcs!W5</f>
        <v>7816914.0144345034</v>
      </c>
      <c r="X5" s="5">
        <f>calcs!X5</f>
        <v>7231204.1963327602</v>
      </c>
      <c r="Y5" s="5">
        <f>calcs!Y5</f>
        <v>6907954.6833163844</v>
      </c>
      <c r="Z5" s="5">
        <f>calcs!Z5</f>
        <v>6592653.5825429922</v>
      </c>
      <c r="AA5" s="5">
        <f>calcs!AA5</f>
        <v>6264806.3602667274</v>
      </c>
      <c r="AB5" s="5">
        <f>calcs!AB5</f>
        <v>5905740.9988296106</v>
      </c>
    </row>
    <row r="6" spans="1:28" x14ac:dyDescent="0.25">
      <c r="A6" s="2" t="s">
        <v>204</v>
      </c>
      <c r="B6" s="5">
        <f>calcs!B6</f>
        <v>18308860.934201494</v>
      </c>
      <c r="C6" s="5">
        <f>calcs!C6</f>
        <v>16217384.547934113</v>
      </c>
      <c r="D6" s="5">
        <f>calcs!D6</f>
        <v>20492517.941807602</v>
      </c>
      <c r="E6" s="5">
        <f>calcs!E6</f>
        <v>24446182.00477327</v>
      </c>
      <c r="F6" s="5">
        <f>calcs!F6</f>
        <v>31444840.822585125</v>
      </c>
      <c r="G6" s="5">
        <f>calcs!G6</f>
        <v>34800822.148124538</v>
      </c>
      <c r="H6" s="5">
        <f>calcs!H6</f>
        <v>39173827.618377522</v>
      </c>
      <c r="I6" s="5">
        <f>calcs!I6</f>
        <v>39704156.050394945</v>
      </c>
      <c r="J6" s="5">
        <f>calcs!J6</f>
        <v>40403782.140701905</v>
      </c>
      <c r="K6" s="5">
        <f>calcs!K6</f>
        <v>41971246.833763242</v>
      </c>
      <c r="L6" s="5">
        <f>calcs!L6</f>
        <v>42437779.535236664</v>
      </c>
      <c r="M6" s="5">
        <f>calcs!M6</f>
        <v>42985906.508342117</v>
      </c>
      <c r="N6" s="5">
        <f>calcs!N6</f>
        <v>42033011.710220359</v>
      </c>
      <c r="O6" s="5">
        <f>calcs!O6</f>
        <v>41552865.364481516</v>
      </c>
      <c r="P6" s="5">
        <f>calcs!P6</f>
        <v>40942318.433264486</v>
      </c>
      <c r="Q6" s="5">
        <f>calcs!Q6</f>
        <v>39995009.046059437</v>
      </c>
      <c r="R6" s="5">
        <f>calcs!R6</f>
        <v>40023599.573715121</v>
      </c>
      <c r="S6" s="5">
        <f>calcs!S6</f>
        <v>39747226.855323605</v>
      </c>
      <c r="T6" s="5">
        <f>calcs!T6</f>
        <v>37043548.911907405</v>
      </c>
      <c r="U6" s="5">
        <f>calcs!U6</f>
        <v>39513887.092330992</v>
      </c>
      <c r="V6" s="5">
        <f>calcs!V6</f>
        <v>37968029.070699431</v>
      </c>
      <c r="W6" s="5">
        <f>calcs!W6</f>
        <v>37268589.475974254</v>
      </c>
      <c r="X6" s="5">
        <f>calcs!X6</f>
        <v>34353135.97832232</v>
      </c>
      <c r="Y6" s="5">
        <f>calcs!Y6</f>
        <v>32567454.630053237</v>
      </c>
      <c r="Z6" s="5">
        <f>calcs!Z6</f>
        <v>30837908.295870997</v>
      </c>
      <c r="AA6" s="5">
        <f>calcs!AA6</f>
        <v>29036109.424809191</v>
      </c>
      <c r="AB6" s="5">
        <f>calcs!AB6</f>
        <v>27447107.614919838</v>
      </c>
    </row>
    <row r="7" spans="1:28" x14ac:dyDescent="0.25">
      <c r="A7" s="2" t="s">
        <v>205</v>
      </c>
      <c r="B7" s="5">
        <f>calcs!B7</f>
        <v>2266292.4898830554</v>
      </c>
      <c r="C7" s="5">
        <f>calcs!C7</f>
        <v>2068232.7711043924</v>
      </c>
      <c r="D7" s="5">
        <f>calcs!D7</f>
        <v>2641250.6597911837</v>
      </c>
      <c r="E7" s="5">
        <f>calcs!E7</f>
        <v>3557980.8611588283</v>
      </c>
      <c r="F7" s="5">
        <f>calcs!F7</f>
        <v>4858018.0876067532</v>
      </c>
      <c r="G7" s="5">
        <f>calcs!G7</f>
        <v>5768067.1360084778</v>
      </c>
      <c r="H7" s="5">
        <f>calcs!H7</f>
        <v>7197250.5007834164</v>
      </c>
      <c r="I7" s="5">
        <f>calcs!I7</f>
        <v>7925413.545089487</v>
      </c>
      <c r="J7" s="5">
        <f>calcs!J7</f>
        <v>8706846.9781149421</v>
      </c>
      <c r="K7" s="5">
        <f>calcs!K7</f>
        <v>9123365.4961133059</v>
      </c>
      <c r="L7" s="5">
        <f>calcs!L7</f>
        <v>9393818.5268089436</v>
      </c>
      <c r="M7" s="5">
        <f>calcs!M7</f>
        <v>9666698.2821350116</v>
      </c>
      <c r="N7" s="5">
        <f>calcs!N7</f>
        <v>9729616.2562371828</v>
      </c>
      <c r="O7" s="5">
        <f>calcs!O7</f>
        <v>9917517.9290900007</v>
      </c>
      <c r="P7" s="5">
        <f>calcs!P7</f>
        <v>10477171.161539244</v>
      </c>
      <c r="Q7" s="5">
        <f>calcs!Q7</f>
        <v>10596671.284249196</v>
      </c>
      <c r="R7" s="5">
        <f>calcs!R7</f>
        <v>11249973.007074602</v>
      </c>
      <c r="S7" s="5">
        <f>calcs!S7</f>
        <v>11627986.182548616</v>
      </c>
      <c r="T7" s="5">
        <f>calcs!T7</f>
        <v>11599823.334978066</v>
      </c>
      <c r="U7" s="5">
        <f>calcs!U7</f>
        <v>12912053.930885794</v>
      </c>
      <c r="V7" s="5">
        <f>calcs!V7</f>
        <v>13275300.483797191</v>
      </c>
      <c r="W7" s="5">
        <f>calcs!W7</f>
        <v>13419435.46431754</v>
      </c>
      <c r="X7" s="5">
        <f>calcs!X7</f>
        <v>13063518.633942833</v>
      </c>
      <c r="Y7" s="5">
        <f>calcs!Y7</f>
        <v>12690190.828017028</v>
      </c>
      <c r="Z7" s="5">
        <f>calcs!Z7</f>
        <v>12524919.756961003</v>
      </c>
      <c r="AA7" s="5">
        <f>calcs!AA7</f>
        <v>12050840.354961237</v>
      </c>
      <c r="AB7" s="5">
        <f>calcs!AB7</f>
        <v>11595777.400240699</v>
      </c>
    </row>
    <row r="8" spans="1:28" x14ac:dyDescent="0.25">
      <c r="A8" s="2" t="s">
        <v>206</v>
      </c>
      <c r="B8" s="5">
        <f>calcs!B8</f>
        <v>178548.87693929253</v>
      </c>
      <c r="C8" s="5">
        <f>calcs!C8</f>
        <v>165110.07158067948</v>
      </c>
      <c r="D8" s="5">
        <f>calcs!D8</f>
        <v>237806.87711312628</v>
      </c>
      <c r="E8" s="5">
        <f>calcs!E8</f>
        <v>303388.31511729612</v>
      </c>
      <c r="F8" s="5">
        <f>calcs!F8</f>
        <v>398200.41504981014</v>
      </c>
      <c r="G8" s="5">
        <f>calcs!G8</f>
        <v>553223.33870763797</v>
      </c>
      <c r="H8" s="5">
        <f>calcs!H8</f>
        <v>702452.27315353055</v>
      </c>
      <c r="I8" s="5">
        <f>calcs!I8</f>
        <v>795940.71493332624</v>
      </c>
      <c r="J8" s="5">
        <f>calcs!J8</f>
        <v>911232.46319125174</v>
      </c>
      <c r="K8" s="5">
        <f>calcs!K8</f>
        <v>1081003.1272076906</v>
      </c>
      <c r="L8" s="5">
        <f>calcs!L8</f>
        <v>1241467.4827958765</v>
      </c>
      <c r="M8" s="5">
        <f>calcs!M8</f>
        <v>1624813.9108478106</v>
      </c>
      <c r="N8" s="5">
        <f>calcs!N8</f>
        <v>1745262.3509107551</v>
      </c>
      <c r="O8" s="5">
        <f>calcs!O8</f>
        <v>1900280.352139435</v>
      </c>
      <c r="P8" s="5">
        <f>calcs!P8</f>
        <v>2054362.5675388563</v>
      </c>
      <c r="Q8" s="5">
        <f>calcs!Q8</f>
        <v>2213911.2485370035</v>
      </c>
      <c r="R8" s="5">
        <f>calcs!R8</f>
        <v>2614221.1561516272</v>
      </c>
      <c r="S8" s="5">
        <f>calcs!S8</f>
        <v>2919733.3600598369</v>
      </c>
      <c r="T8" s="5">
        <f>calcs!T8</f>
        <v>3053438.4301516418</v>
      </c>
      <c r="U8" s="5">
        <f>calcs!U8</f>
        <v>3668235.6194774639</v>
      </c>
      <c r="V8" s="5">
        <f>calcs!V8</f>
        <v>3901299.2434162628</v>
      </c>
      <c r="W8" s="5">
        <f>calcs!W8</f>
        <v>4291963.1845570039</v>
      </c>
      <c r="X8" s="5">
        <f>calcs!X8</f>
        <v>4211098.2297913395</v>
      </c>
      <c r="Y8" s="5">
        <f>calcs!Y8</f>
        <v>4169388.6047747559</v>
      </c>
      <c r="Z8" s="5">
        <f>calcs!Z8</f>
        <v>4080161.8381797052</v>
      </c>
      <c r="AA8" s="5">
        <f>calcs!AA8</f>
        <v>3962672.8563817763</v>
      </c>
      <c r="AB8" s="5">
        <f>calcs!AB8</f>
        <v>3822685.9816413792</v>
      </c>
    </row>
    <row r="9" spans="1:28" x14ac:dyDescent="0.25">
      <c r="A9" s="2" t="s">
        <v>207</v>
      </c>
      <c r="B9" s="5">
        <f>calcs!B9</f>
        <v>0</v>
      </c>
      <c r="C9" s="5">
        <f>calcs!C9</f>
        <v>0</v>
      </c>
      <c r="D9" s="5">
        <f>calcs!D9</f>
        <v>0</v>
      </c>
      <c r="E9" s="5">
        <f>calcs!E9</f>
        <v>0</v>
      </c>
      <c r="F9" s="5">
        <f>calcs!F9</f>
        <v>0</v>
      </c>
      <c r="G9" s="5">
        <f>calcs!G9</f>
        <v>0</v>
      </c>
      <c r="H9" s="5">
        <f>calcs!H9</f>
        <v>0</v>
      </c>
      <c r="I9" s="5">
        <f>calcs!I9</f>
        <v>0</v>
      </c>
      <c r="J9" s="5">
        <f>calcs!J9</f>
        <v>0</v>
      </c>
      <c r="K9" s="5">
        <f>calcs!K9</f>
        <v>0</v>
      </c>
      <c r="L9" s="5">
        <f>calcs!L9</f>
        <v>0</v>
      </c>
      <c r="M9" s="5">
        <f>calcs!M9</f>
        <v>0</v>
      </c>
      <c r="N9" s="5">
        <f>calcs!N9</f>
        <v>0</v>
      </c>
      <c r="O9" s="5">
        <f>calcs!O9</f>
        <v>0</v>
      </c>
      <c r="P9" s="5">
        <f>calcs!P9</f>
        <v>0</v>
      </c>
      <c r="Q9" s="5">
        <f>calcs!Q9</f>
        <v>0</v>
      </c>
      <c r="R9" s="5">
        <f>calcs!R9</f>
        <v>0</v>
      </c>
      <c r="S9" s="5">
        <f>calcs!S9</f>
        <v>0</v>
      </c>
      <c r="T9" s="5">
        <f>calcs!T9</f>
        <v>0</v>
      </c>
      <c r="U9" s="5">
        <f>calcs!U9</f>
        <v>0</v>
      </c>
      <c r="V9" s="5">
        <f>calcs!V9</f>
        <v>0</v>
      </c>
      <c r="W9" s="5">
        <f>calcs!W9</f>
        <v>0</v>
      </c>
      <c r="X9" s="5">
        <f>calcs!X9</f>
        <v>0</v>
      </c>
      <c r="Y9" s="5">
        <f>calcs!Y9</f>
        <v>0</v>
      </c>
      <c r="Z9" s="5">
        <f>calcs!Z9</f>
        <v>0</v>
      </c>
      <c r="AA9" s="5">
        <f>calcs!AA9</f>
        <v>0</v>
      </c>
      <c r="AB9" s="5">
        <f>calcs!AB9</f>
        <v>0</v>
      </c>
    </row>
    <row r="10" spans="1:28" x14ac:dyDescent="0.25">
      <c r="A10" s="2" t="s">
        <v>208</v>
      </c>
      <c r="B10" s="5">
        <f>calcs!B10</f>
        <v>355766.04679957405</v>
      </c>
      <c r="C10" s="5">
        <f>calcs!C10</f>
        <v>312121.88084654679</v>
      </c>
      <c r="D10" s="5">
        <f>calcs!D10</f>
        <v>395445.36402275303</v>
      </c>
      <c r="E10" s="5">
        <f>calcs!E10</f>
        <v>468763.92000709428</v>
      </c>
      <c r="F10" s="5">
        <f>calcs!F10</f>
        <v>597242.76421206328</v>
      </c>
      <c r="G10" s="5">
        <f>calcs!G10</f>
        <v>656917.91116604337</v>
      </c>
      <c r="H10" s="5">
        <f>calcs!H10</f>
        <v>712396.73293130449</v>
      </c>
      <c r="I10" s="5">
        <f>calcs!I10</f>
        <v>714100.85066626419</v>
      </c>
      <c r="J10" s="5">
        <f>calcs!J10</f>
        <v>713341.3131852909</v>
      </c>
      <c r="K10" s="5">
        <f>calcs!K10</f>
        <v>740377.16030037985</v>
      </c>
      <c r="L10" s="5">
        <f>calcs!L10</f>
        <v>742911.12408448604</v>
      </c>
      <c r="M10" s="5">
        <f>calcs!M10</f>
        <v>749625.57083422237</v>
      </c>
      <c r="N10" s="5">
        <f>calcs!N10</f>
        <v>736049.44011854997</v>
      </c>
      <c r="O10" s="5">
        <f>calcs!O10</f>
        <v>728231.37270150834</v>
      </c>
      <c r="P10" s="5">
        <f>calcs!P10</f>
        <v>717583.7465057181</v>
      </c>
      <c r="Q10" s="5">
        <f>calcs!Q10</f>
        <v>703614.01127325231</v>
      </c>
      <c r="R10" s="5">
        <f>calcs!R10</f>
        <v>703120.08314585546</v>
      </c>
      <c r="S10" s="5">
        <f>calcs!S10</f>
        <v>699327.19976484624</v>
      </c>
      <c r="T10" s="5">
        <f>calcs!T10</f>
        <v>650134.5939690352</v>
      </c>
      <c r="U10" s="5">
        <f>calcs!U10</f>
        <v>690116.98463087052</v>
      </c>
      <c r="V10" s="5">
        <f>calcs!V10</f>
        <v>660708.81762014341</v>
      </c>
      <c r="W10" s="5">
        <f>calcs!W10</f>
        <v>645816.63022993272</v>
      </c>
      <c r="X10" s="5">
        <f>calcs!X10</f>
        <v>596059.53318850382</v>
      </c>
      <c r="Y10" s="5">
        <f>calcs!Y10</f>
        <v>563609.34926668403</v>
      </c>
      <c r="Z10" s="5">
        <f>calcs!Z10</f>
        <v>531695.04462538927</v>
      </c>
      <c r="AA10" s="5">
        <f>calcs!AA10</f>
        <v>500209.37936080329</v>
      </c>
      <c r="AB10" s="5">
        <f>calcs!AB10</f>
        <v>470836.11919462058</v>
      </c>
    </row>
    <row r="11" spans="1:28" x14ac:dyDescent="0.25">
      <c r="A11" s="2" t="s">
        <v>209</v>
      </c>
      <c r="B11" s="5">
        <f>calcs!B11</f>
        <v>0</v>
      </c>
      <c r="C11" s="5">
        <f>calcs!C11</f>
        <v>0</v>
      </c>
      <c r="D11" s="5">
        <f>calcs!D11</f>
        <v>0</v>
      </c>
      <c r="E11" s="5">
        <f>calcs!E11</f>
        <v>0</v>
      </c>
      <c r="F11" s="5">
        <f>calcs!F11</f>
        <v>0</v>
      </c>
      <c r="G11" s="5">
        <f>calcs!G11</f>
        <v>0</v>
      </c>
      <c r="H11" s="5">
        <f>calcs!H11</f>
        <v>0</v>
      </c>
      <c r="I11" s="5">
        <f>calcs!I11</f>
        <v>0</v>
      </c>
      <c r="J11" s="5">
        <f>calcs!J11</f>
        <v>0</v>
      </c>
      <c r="K11" s="5">
        <f>calcs!K11</f>
        <v>0</v>
      </c>
      <c r="L11" s="5">
        <f>calcs!L11</f>
        <v>0</v>
      </c>
      <c r="M11" s="5">
        <f>calcs!M11</f>
        <v>0</v>
      </c>
      <c r="N11" s="5">
        <f>calcs!N11</f>
        <v>0</v>
      </c>
      <c r="O11" s="5">
        <f>calcs!O11</f>
        <v>0</v>
      </c>
      <c r="P11" s="5">
        <f>calcs!P11</f>
        <v>0</v>
      </c>
      <c r="Q11" s="5">
        <f>calcs!Q11</f>
        <v>0</v>
      </c>
      <c r="R11" s="5">
        <f>calcs!R11</f>
        <v>0</v>
      </c>
      <c r="S11" s="5">
        <f>calcs!S11</f>
        <v>0</v>
      </c>
      <c r="T11" s="5">
        <f>calcs!T11</f>
        <v>0</v>
      </c>
      <c r="U11" s="5">
        <f>calcs!U11</f>
        <v>0</v>
      </c>
      <c r="V11" s="5">
        <f>calcs!V11</f>
        <v>0</v>
      </c>
      <c r="W11" s="5">
        <f>calcs!W11</f>
        <v>0</v>
      </c>
      <c r="X11" s="5">
        <f>calcs!X11</f>
        <v>0</v>
      </c>
      <c r="Y11" s="5">
        <f>calcs!Y11</f>
        <v>0</v>
      </c>
      <c r="Z11" s="5">
        <f>calcs!Z11</f>
        <v>0</v>
      </c>
      <c r="AA11" s="5">
        <f>calcs!AA11</f>
        <v>0</v>
      </c>
      <c r="AB11" s="5">
        <f>calcs!AB11</f>
        <v>0</v>
      </c>
    </row>
    <row r="12" spans="1:28" x14ac:dyDescent="0.25">
      <c r="A12" s="2" t="s">
        <v>210</v>
      </c>
      <c r="B12" s="5">
        <f>calcs!B12</f>
        <v>121438.71245414352</v>
      </c>
      <c r="C12" s="5">
        <f>calcs!C12</f>
        <v>134267.42757276338</v>
      </c>
      <c r="D12" s="5">
        <f>calcs!D12</f>
        <v>320903.74471163697</v>
      </c>
      <c r="E12" s="5">
        <f>calcs!E12</f>
        <v>261209.91723826074</v>
      </c>
      <c r="F12" s="5">
        <f>calcs!F12</f>
        <v>252689.94970167664</v>
      </c>
      <c r="G12" s="5">
        <f>calcs!G12</f>
        <v>489068.04774420318</v>
      </c>
      <c r="H12" s="5">
        <f>calcs!H12</f>
        <v>235009.49912489485</v>
      </c>
      <c r="I12" s="5">
        <f>calcs!I12</f>
        <v>665220.0621320057</v>
      </c>
      <c r="J12" s="5">
        <f>calcs!J12</f>
        <v>457494.17301727296</v>
      </c>
      <c r="K12" s="5">
        <f>calcs!K12</f>
        <v>568263.23991334974</v>
      </c>
      <c r="L12" s="5">
        <f>calcs!L12</f>
        <v>463596.23508464958</v>
      </c>
      <c r="M12" s="5">
        <f>calcs!M12</f>
        <v>446838.72655549651</v>
      </c>
      <c r="N12" s="5">
        <f>calcs!N12</f>
        <v>581404.29374095809</v>
      </c>
      <c r="O12" s="5">
        <f>calcs!O12</f>
        <v>531910.84218163334</v>
      </c>
      <c r="P12" s="5">
        <f>calcs!P12</f>
        <v>513223.03820525733</v>
      </c>
      <c r="Q12" s="5">
        <f>calcs!Q12</f>
        <v>531210.40705048887</v>
      </c>
      <c r="R12" s="5">
        <f>calcs!R12</f>
        <v>474484.04915137286</v>
      </c>
      <c r="S12" s="5">
        <f>calcs!S12</f>
        <v>711501.27329949522</v>
      </c>
      <c r="T12" s="5">
        <f>calcs!T12</f>
        <v>492069.50393201882</v>
      </c>
      <c r="U12" s="5">
        <f>calcs!U12</f>
        <v>588519.92619162193</v>
      </c>
      <c r="V12" s="5">
        <f>calcs!V12</f>
        <v>366118.40079515183</v>
      </c>
      <c r="W12" s="5">
        <f>calcs!W12</f>
        <v>408136.29242154135</v>
      </c>
      <c r="X12" s="5">
        <f>calcs!X12</f>
        <v>354061.94555076875</v>
      </c>
      <c r="Y12" s="5">
        <f>calcs!Y12</f>
        <v>364988.90795835492</v>
      </c>
      <c r="Z12" s="5">
        <f>calcs!Z12</f>
        <v>302664.78369441885</v>
      </c>
      <c r="AA12" s="5">
        <f>calcs!AA12</f>
        <v>314684.09316395118</v>
      </c>
      <c r="AB12" s="5">
        <f>calcs!AB12</f>
        <v>351695.88687765267</v>
      </c>
    </row>
    <row r="13" spans="1:28" x14ac:dyDescent="0.25">
      <c r="A13" s="2" t="s">
        <v>201</v>
      </c>
      <c r="B13" s="5">
        <f>calcs!B13</f>
        <v>909231.95767453534</v>
      </c>
      <c r="C13" s="5">
        <f>calcs!C13</f>
        <v>823874.49508066545</v>
      </c>
      <c r="D13" s="5">
        <f>calcs!D13</f>
        <v>1097519.4408302496</v>
      </c>
      <c r="E13" s="5">
        <f>calcs!E13</f>
        <v>1204724.6658940723</v>
      </c>
      <c r="F13" s="5">
        <f>calcs!F13</f>
        <v>1493482.2106025589</v>
      </c>
      <c r="G13" s="5">
        <f>calcs!G13</f>
        <v>1696094.0266191571</v>
      </c>
      <c r="H13" s="5">
        <f>calcs!H13</f>
        <v>1735832.2900841276</v>
      </c>
      <c r="I13" s="5">
        <f>calcs!I13</f>
        <v>1825417.6442873748</v>
      </c>
      <c r="J13" s="5">
        <f>calcs!J13</f>
        <v>1722012.1594691679</v>
      </c>
      <c r="K13" s="5">
        <f>calcs!K13</f>
        <v>1794007.2590736821</v>
      </c>
      <c r="L13" s="5">
        <f>calcs!L13</f>
        <v>1733684.5815548459</v>
      </c>
      <c r="M13" s="5">
        <f>calcs!M13</f>
        <v>1739131.6547120197</v>
      </c>
      <c r="N13" s="5">
        <f>calcs!N13</f>
        <v>1461075.8968210623</v>
      </c>
      <c r="O13" s="5">
        <f>calcs!O13</f>
        <v>1435420.7802805363</v>
      </c>
      <c r="P13" s="5">
        <f>calcs!P13</f>
        <v>1377127.3788207031</v>
      </c>
      <c r="Q13" s="5">
        <f>calcs!Q13</f>
        <v>1350867.0089908002</v>
      </c>
      <c r="R13" s="5">
        <f>calcs!R13</f>
        <v>1322847.9288627943</v>
      </c>
      <c r="S13" s="5">
        <f>calcs!S13</f>
        <v>1312463.9567893045</v>
      </c>
      <c r="T13" s="5">
        <f>calcs!T13</f>
        <v>1225717.5933542093</v>
      </c>
      <c r="U13" s="5">
        <f>calcs!U13</f>
        <v>1328336.4383768514</v>
      </c>
      <c r="V13" s="5">
        <f>calcs!V13</f>
        <v>1261138.7836475235</v>
      </c>
      <c r="W13" s="5">
        <f>calcs!W13</f>
        <v>1242732.9108739661</v>
      </c>
      <c r="X13" s="5">
        <f>calcs!X13</f>
        <v>1139377.7267393246</v>
      </c>
      <c r="Y13" s="5">
        <f>calcs!Y13</f>
        <v>1087997.0779476897</v>
      </c>
      <c r="Z13" s="5">
        <f>calcs!Z13</f>
        <v>1022787.639995803</v>
      </c>
      <c r="AA13" s="5">
        <f>calcs!AA13</f>
        <v>971617.18606093409</v>
      </c>
      <c r="AB13" s="5">
        <f>calcs!AB13</f>
        <v>923143.30437561276</v>
      </c>
    </row>
    <row r="14" spans="1:28" x14ac:dyDescent="0.25">
      <c r="A14" s="2" t="s">
        <v>211</v>
      </c>
      <c r="B14" s="5">
        <f>calcs!B14</f>
        <v>0</v>
      </c>
      <c r="C14" s="5">
        <f>calcs!C14</f>
        <v>0</v>
      </c>
      <c r="D14" s="5">
        <f>calcs!D14</f>
        <v>0</v>
      </c>
      <c r="E14" s="5">
        <f>calcs!E14</f>
        <v>0</v>
      </c>
      <c r="F14" s="5">
        <f>calcs!F14</f>
        <v>0</v>
      </c>
      <c r="G14" s="5">
        <f>calcs!G14</f>
        <v>0</v>
      </c>
      <c r="H14" s="5">
        <f>calcs!H14</f>
        <v>0</v>
      </c>
      <c r="I14" s="5">
        <f>calcs!I14</f>
        <v>0</v>
      </c>
      <c r="J14" s="5">
        <f>calcs!J14</f>
        <v>0</v>
      </c>
      <c r="K14" s="5">
        <f>calcs!K14</f>
        <v>0</v>
      </c>
      <c r="L14" s="5">
        <f>calcs!L14</f>
        <v>0</v>
      </c>
      <c r="M14" s="5">
        <f>calcs!M14</f>
        <v>0</v>
      </c>
      <c r="N14" s="5">
        <f>calcs!N14</f>
        <v>0</v>
      </c>
      <c r="O14" s="5">
        <f>calcs!O14</f>
        <v>0</v>
      </c>
      <c r="P14" s="5">
        <f>calcs!P14</f>
        <v>0</v>
      </c>
      <c r="Q14" s="5">
        <f>calcs!Q14</f>
        <v>0</v>
      </c>
      <c r="R14" s="5">
        <f>calcs!R14</f>
        <v>0</v>
      </c>
      <c r="S14" s="5">
        <f>calcs!S14</f>
        <v>0</v>
      </c>
      <c r="T14" s="5">
        <f>calcs!T14</f>
        <v>0</v>
      </c>
      <c r="U14" s="5">
        <f>calcs!U14</f>
        <v>0</v>
      </c>
      <c r="V14" s="5">
        <f>calcs!V14</f>
        <v>0</v>
      </c>
      <c r="W14" s="5">
        <f>calcs!W14</f>
        <v>0</v>
      </c>
      <c r="X14" s="5">
        <f>calcs!X14</f>
        <v>0</v>
      </c>
      <c r="Y14" s="5">
        <f>calcs!Y14</f>
        <v>0</v>
      </c>
      <c r="Z14" s="5">
        <f>calcs!Z14</f>
        <v>0</v>
      </c>
      <c r="AA14" s="5">
        <f>calcs!AA14</f>
        <v>0</v>
      </c>
      <c r="AB14" s="5">
        <f>calcs!AB14</f>
        <v>0</v>
      </c>
    </row>
    <row r="15" spans="1:28" x14ac:dyDescent="0.25">
      <c r="A15" s="2" t="s">
        <v>212</v>
      </c>
      <c r="B15" s="5">
        <f>calcs!B15</f>
        <v>0</v>
      </c>
      <c r="C15" s="5">
        <f>calcs!C15</f>
        <v>0</v>
      </c>
      <c r="D15" s="5">
        <f>calcs!D15</f>
        <v>0</v>
      </c>
      <c r="E15" s="5">
        <f>calcs!E15</f>
        <v>0</v>
      </c>
      <c r="F15" s="5">
        <f>calcs!F15</f>
        <v>0</v>
      </c>
      <c r="G15" s="5">
        <f>calcs!G15</f>
        <v>0</v>
      </c>
      <c r="H15" s="5">
        <f>calcs!H15</f>
        <v>0</v>
      </c>
      <c r="I15" s="5">
        <f>calcs!I15</f>
        <v>0</v>
      </c>
      <c r="J15" s="5">
        <f>calcs!J15</f>
        <v>0</v>
      </c>
      <c r="K15" s="5">
        <f>calcs!K15</f>
        <v>0</v>
      </c>
      <c r="L15" s="5">
        <f>calcs!L15</f>
        <v>0</v>
      </c>
      <c r="M15" s="5">
        <f>calcs!M15</f>
        <v>0</v>
      </c>
      <c r="N15" s="5">
        <f>calcs!N15</f>
        <v>0</v>
      </c>
      <c r="O15" s="5">
        <f>calcs!O15</f>
        <v>0</v>
      </c>
      <c r="P15" s="5">
        <f>calcs!P15</f>
        <v>0</v>
      </c>
      <c r="Q15" s="5">
        <f>calcs!Q15</f>
        <v>0</v>
      </c>
      <c r="R15" s="5">
        <f>calcs!R15</f>
        <v>0</v>
      </c>
      <c r="S15" s="5">
        <f>calcs!S15</f>
        <v>0</v>
      </c>
      <c r="T15" s="5">
        <f>calcs!T15</f>
        <v>0</v>
      </c>
      <c r="U15" s="5">
        <f>calcs!U15</f>
        <v>0</v>
      </c>
      <c r="V15" s="5">
        <f>calcs!V15</f>
        <v>0</v>
      </c>
      <c r="W15" s="5">
        <f>calcs!W15</f>
        <v>0</v>
      </c>
      <c r="X15" s="5">
        <f>calcs!X15</f>
        <v>0</v>
      </c>
      <c r="Y15" s="5">
        <f>calcs!Y15</f>
        <v>0</v>
      </c>
      <c r="Z15" s="5">
        <f>calcs!Z15</f>
        <v>0</v>
      </c>
      <c r="AA15" s="5">
        <f>calcs!AA15</f>
        <v>0</v>
      </c>
      <c r="AB15" s="5">
        <f>calcs!AB15</f>
        <v>0</v>
      </c>
    </row>
    <row r="16" spans="1:28" x14ac:dyDescent="0.25">
      <c r="A16" s="2" t="s">
        <v>213</v>
      </c>
      <c r="B16" s="5">
        <f>calcs!B16</f>
        <v>0</v>
      </c>
      <c r="C16" s="5">
        <f>calcs!C16</f>
        <v>0</v>
      </c>
      <c r="D16" s="5">
        <f>calcs!D16</f>
        <v>0</v>
      </c>
      <c r="E16" s="5">
        <f>calcs!E16</f>
        <v>0</v>
      </c>
      <c r="F16" s="5">
        <f>calcs!F16</f>
        <v>0</v>
      </c>
      <c r="G16" s="5">
        <f>calcs!G16</f>
        <v>0</v>
      </c>
      <c r="H16" s="5">
        <f>calcs!H16</f>
        <v>0</v>
      </c>
      <c r="I16" s="5">
        <f>calcs!I16</f>
        <v>0</v>
      </c>
      <c r="J16" s="5">
        <f>calcs!J16</f>
        <v>0</v>
      </c>
      <c r="K16" s="5">
        <f>calcs!K16</f>
        <v>0</v>
      </c>
      <c r="L16" s="5">
        <f>calcs!L16</f>
        <v>0</v>
      </c>
      <c r="M16" s="5">
        <f>calcs!M16</f>
        <v>0</v>
      </c>
      <c r="N16" s="5">
        <f>calcs!N16</f>
        <v>0</v>
      </c>
      <c r="O16" s="5">
        <f>calcs!O16</f>
        <v>0</v>
      </c>
      <c r="P16" s="5">
        <f>calcs!P16</f>
        <v>0</v>
      </c>
      <c r="Q16" s="5">
        <f>calcs!Q16</f>
        <v>0</v>
      </c>
      <c r="R16" s="5">
        <f>calcs!R16</f>
        <v>0</v>
      </c>
      <c r="S16" s="5">
        <f>calcs!S16</f>
        <v>0</v>
      </c>
      <c r="T16" s="5">
        <f>calcs!T16</f>
        <v>0</v>
      </c>
      <c r="U16" s="5">
        <f>calcs!U16</f>
        <v>0</v>
      </c>
      <c r="V16" s="5">
        <f>calcs!V16</f>
        <v>0</v>
      </c>
      <c r="W16" s="5">
        <f>calcs!W16</f>
        <v>0</v>
      </c>
      <c r="X16" s="5">
        <f>calcs!X16</f>
        <v>0</v>
      </c>
      <c r="Y16" s="5">
        <f>calcs!Y16</f>
        <v>0</v>
      </c>
      <c r="Z16" s="5">
        <f>calcs!Z16</f>
        <v>0</v>
      </c>
      <c r="AA16" s="5">
        <f>calcs!AA16</f>
        <v>0</v>
      </c>
      <c r="AB16" s="5">
        <f>calcs!AB16</f>
        <v>0</v>
      </c>
    </row>
    <row r="17" spans="1:28" x14ac:dyDescent="0.25">
      <c r="A17" s="2" t="s">
        <v>214</v>
      </c>
      <c r="B17" s="5">
        <f>calcs!B17</f>
        <v>0</v>
      </c>
      <c r="C17" s="5">
        <f>calcs!C17</f>
        <v>0</v>
      </c>
      <c r="D17" s="5">
        <f>calcs!D17</f>
        <v>0</v>
      </c>
      <c r="E17" s="5">
        <f>calcs!E17</f>
        <v>0</v>
      </c>
      <c r="F17" s="5">
        <f>calcs!F17</f>
        <v>0</v>
      </c>
      <c r="G17" s="5">
        <f>calcs!G17</f>
        <v>0</v>
      </c>
      <c r="H17" s="5">
        <f>calcs!H17</f>
        <v>0</v>
      </c>
      <c r="I17" s="5">
        <f>calcs!I17</f>
        <v>0</v>
      </c>
      <c r="J17" s="5">
        <f>calcs!J17</f>
        <v>0</v>
      </c>
      <c r="K17" s="5">
        <f>calcs!K17</f>
        <v>0</v>
      </c>
      <c r="L17" s="5">
        <f>calcs!L17</f>
        <v>0</v>
      </c>
      <c r="M17" s="5">
        <f>calcs!M17</f>
        <v>0</v>
      </c>
      <c r="N17" s="5">
        <f>calcs!N17</f>
        <v>0</v>
      </c>
      <c r="O17" s="5">
        <f>calcs!O17</f>
        <v>0</v>
      </c>
      <c r="P17" s="5">
        <f>calcs!P17</f>
        <v>0</v>
      </c>
      <c r="Q17" s="5">
        <f>calcs!Q17</f>
        <v>0</v>
      </c>
      <c r="R17" s="5">
        <f>calcs!R17</f>
        <v>0</v>
      </c>
      <c r="S17" s="5">
        <f>calcs!S17</f>
        <v>0</v>
      </c>
      <c r="T17" s="5">
        <f>calcs!T17</f>
        <v>0</v>
      </c>
      <c r="U17" s="5">
        <f>calcs!U17</f>
        <v>0</v>
      </c>
      <c r="V17" s="5">
        <f>calcs!V17</f>
        <v>0</v>
      </c>
      <c r="W17" s="5">
        <f>calcs!W17</f>
        <v>0</v>
      </c>
      <c r="X17" s="5">
        <f>calcs!X17</f>
        <v>0</v>
      </c>
      <c r="Y17" s="5">
        <f>calcs!Y17</f>
        <v>0</v>
      </c>
      <c r="Z17" s="5">
        <f>calcs!Z17</f>
        <v>0</v>
      </c>
      <c r="AA17" s="5">
        <f>calcs!AA17</f>
        <v>0</v>
      </c>
      <c r="AB17" s="5">
        <f>calcs!AB17</f>
        <v>0</v>
      </c>
    </row>
    <row r="18" spans="1:28" x14ac:dyDescent="0.25">
      <c r="A18" s="2" t="s">
        <v>215</v>
      </c>
      <c r="B18" s="5">
        <f>calcs!B18</f>
        <v>0</v>
      </c>
      <c r="C18" s="5">
        <f>calcs!C18</f>
        <v>0</v>
      </c>
      <c r="D18" s="5">
        <f>calcs!D18</f>
        <v>0</v>
      </c>
      <c r="E18" s="5">
        <f>calcs!E18</f>
        <v>0</v>
      </c>
      <c r="F18" s="5">
        <f>calcs!F18</f>
        <v>0</v>
      </c>
      <c r="G18" s="5">
        <f>calcs!G18</f>
        <v>0</v>
      </c>
      <c r="H18" s="5">
        <f>calcs!H18</f>
        <v>0</v>
      </c>
      <c r="I18" s="5">
        <f>calcs!I18</f>
        <v>0</v>
      </c>
      <c r="J18" s="5">
        <f>calcs!J18</f>
        <v>0</v>
      </c>
      <c r="K18" s="5">
        <f>calcs!K18</f>
        <v>0</v>
      </c>
      <c r="L18" s="5">
        <f>calcs!L18</f>
        <v>0</v>
      </c>
      <c r="M18" s="5">
        <f>calcs!M18</f>
        <v>0</v>
      </c>
      <c r="N18" s="5">
        <f>calcs!N18</f>
        <v>0</v>
      </c>
      <c r="O18" s="5">
        <f>calcs!O18</f>
        <v>0</v>
      </c>
      <c r="P18" s="5">
        <f>calcs!P18</f>
        <v>0</v>
      </c>
      <c r="Q18" s="5">
        <f>calcs!Q18</f>
        <v>0</v>
      </c>
      <c r="R18" s="5">
        <f>calcs!R18</f>
        <v>0</v>
      </c>
      <c r="S18" s="5">
        <f>calcs!S18</f>
        <v>0</v>
      </c>
      <c r="T18" s="5">
        <f>calcs!T18</f>
        <v>0</v>
      </c>
      <c r="U18" s="5">
        <f>calcs!U18</f>
        <v>0</v>
      </c>
      <c r="V18" s="5">
        <f>calcs!V18</f>
        <v>0</v>
      </c>
      <c r="W18" s="5">
        <f>calcs!W18</f>
        <v>0</v>
      </c>
      <c r="X18" s="5">
        <f>calcs!X18</f>
        <v>0</v>
      </c>
      <c r="Y18" s="5">
        <f>calcs!Y18</f>
        <v>0</v>
      </c>
      <c r="Z18" s="5">
        <f>calcs!Z18</f>
        <v>0</v>
      </c>
      <c r="AA18" s="5">
        <f>calcs!AA18</f>
        <v>0</v>
      </c>
      <c r="AB18" s="5">
        <f>calcs!AB18</f>
        <v>0</v>
      </c>
    </row>
    <row r="19" spans="1:28" x14ac:dyDescent="0.25">
      <c r="A19" t="s">
        <v>447</v>
      </c>
      <c r="B19" s="5">
        <f>calcs!B19</f>
        <v>0</v>
      </c>
      <c r="C19" s="5">
        <f>calcs!C19</f>
        <v>0</v>
      </c>
      <c r="D19" s="5">
        <f>calcs!D19</f>
        <v>0</v>
      </c>
      <c r="E19" s="5">
        <f>calcs!E19</f>
        <v>0</v>
      </c>
      <c r="F19" s="5">
        <f>calcs!F19</f>
        <v>0</v>
      </c>
      <c r="G19" s="5">
        <f>calcs!G19</f>
        <v>0</v>
      </c>
      <c r="H19" s="5">
        <f>calcs!H19</f>
        <v>0</v>
      </c>
      <c r="I19" s="5">
        <f>calcs!I19</f>
        <v>0</v>
      </c>
      <c r="J19" s="5">
        <f>calcs!J19</f>
        <v>0</v>
      </c>
      <c r="K19" s="5">
        <f>calcs!K19</f>
        <v>0</v>
      </c>
      <c r="L19" s="5">
        <f>calcs!L19</f>
        <v>0</v>
      </c>
      <c r="M19" s="5">
        <f>calcs!M19</f>
        <v>0</v>
      </c>
      <c r="N19" s="5">
        <f>calcs!N19</f>
        <v>0</v>
      </c>
      <c r="O19" s="5">
        <f>calcs!O19</f>
        <v>0</v>
      </c>
      <c r="P19" s="5">
        <f>calcs!P19</f>
        <v>0</v>
      </c>
      <c r="Q19" s="5">
        <f>calcs!Q19</f>
        <v>0</v>
      </c>
      <c r="R19" s="5">
        <f>calcs!R19</f>
        <v>0</v>
      </c>
      <c r="S19" s="5">
        <f>calcs!S19</f>
        <v>0</v>
      </c>
      <c r="T19" s="5">
        <f>calcs!T19</f>
        <v>0</v>
      </c>
      <c r="U19" s="5">
        <f>calcs!U19</f>
        <v>0</v>
      </c>
      <c r="V19" s="5">
        <f>calcs!V19</f>
        <v>0</v>
      </c>
      <c r="W19" s="5">
        <f>calcs!W19</f>
        <v>0</v>
      </c>
      <c r="X19" s="5">
        <f>calcs!X19</f>
        <v>0</v>
      </c>
      <c r="Y19" s="5">
        <f>calcs!Y19</f>
        <v>0</v>
      </c>
      <c r="Z19" s="5">
        <f>calcs!Z19</f>
        <v>0</v>
      </c>
      <c r="AA19" s="5">
        <f>calcs!AA19</f>
        <v>0</v>
      </c>
      <c r="AB19" s="5">
        <f>calcs!AB19</f>
        <v>0</v>
      </c>
    </row>
    <row r="20" spans="1:28" x14ac:dyDescent="0.25">
      <c r="A20" t="s">
        <v>448</v>
      </c>
      <c r="B20" s="5">
        <f>calcs!B20</f>
        <v>0</v>
      </c>
      <c r="C20" s="5">
        <f>calcs!C20</f>
        <v>0</v>
      </c>
      <c r="D20" s="5">
        <f>calcs!D20</f>
        <v>0</v>
      </c>
      <c r="E20" s="5">
        <f>calcs!E20</f>
        <v>0</v>
      </c>
      <c r="F20" s="5">
        <f>calcs!F20</f>
        <v>0</v>
      </c>
      <c r="G20" s="5">
        <f>calcs!G20</f>
        <v>0</v>
      </c>
      <c r="H20" s="5">
        <f>calcs!H20</f>
        <v>0</v>
      </c>
      <c r="I20" s="5">
        <f>calcs!I20</f>
        <v>0</v>
      </c>
      <c r="J20" s="5">
        <f>calcs!J20</f>
        <v>0</v>
      </c>
      <c r="K20" s="5">
        <f>calcs!K20</f>
        <v>0</v>
      </c>
      <c r="L20" s="5">
        <f>calcs!L20</f>
        <v>0</v>
      </c>
      <c r="M20" s="5">
        <f>calcs!M20</f>
        <v>0</v>
      </c>
      <c r="N20" s="5">
        <f>calcs!N20</f>
        <v>0</v>
      </c>
      <c r="O20" s="5">
        <f>calcs!O20</f>
        <v>0</v>
      </c>
      <c r="P20" s="5">
        <f>calcs!P20</f>
        <v>0</v>
      </c>
      <c r="Q20" s="5">
        <f>calcs!Q20</f>
        <v>0</v>
      </c>
      <c r="R20" s="5">
        <f>calcs!R20</f>
        <v>0</v>
      </c>
      <c r="S20" s="5">
        <f>calcs!S20</f>
        <v>0</v>
      </c>
      <c r="T20" s="5">
        <f>calcs!T20</f>
        <v>0</v>
      </c>
      <c r="U20" s="5">
        <f>calcs!U20</f>
        <v>0</v>
      </c>
      <c r="V20" s="5">
        <f>calcs!V20</f>
        <v>0</v>
      </c>
      <c r="W20" s="5">
        <f>calcs!W20</f>
        <v>0</v>
      </c>
      <c r="X20" s="5">
        <f>calcs!X20</f>
        <v>0</v>
      </c>
      <c r="Y20" s="5">
        <f>calcs!Y20</f>
        <v>0</v>
      </c>
      <c r="Z20" s="5">
        <f>calcs!Z20</f>
        <v>0</v>
      </c>
      <c r="AA20" s="5">
        <f>calcs!AA20</f>
        <v>0</v>
      </c>
      <c r="AB20" s="5">
        <f>calcs!AB20</f>
        <v>0</v>
      </c>
    </row>
    <row r="21" spans="1:28" x14ac:dyDescent="0.25">
      <c r="A21" t="s">
        <v>449</v>
      </c>
      <c r="B21" s="5">
        <f>calcs!B21</f>
        <v>0</v>
      </c>
      <c r="C21" s="5">
        <f>calcs!C21</f>
        <v>0</v>
      </c>
      <c r="D21" s="5">
        <f>calcs!D21</f>
        <v>0</v>
      </c>
      <c r="E21" s="5">
        <f>calcs!E21</f>
        <v>0</v>
      </c>
      <c r="F21" s="5">
        <f>calcs!F21</f>
        <v>0</v>
      </c>
      <c r="G21" s="5">
        <f>calcs!G21</f>
        <v>0</v>
      </c>
      <c r="H21" s="5">
        <f>calcs!H21</f>
        <v>0</v>
      </c>
      <c r="I21" s="5">
        <f>calcs!I21</f>
        <v>0</v>
      </c>
      <c r="J21" s="5">
        <f>calcs!J21</f>
        <v>0</v>
      </c>
      <c r="K21" s="5">
        <f>calcs!K21</f>
        <v>0</v>
      </c>
      <c r="L21" s="5">
        <f>calcs!L21</f>
        <v>0</v>
      </c>
      <c r="M21" s="5">
        <f>calcs!M21</f>
        <v>0</v>
      </c>
      <c r="N21" s="5">
        <f>calcs!N21</f>
        <v>0</v>
      </c>
      <c r="O21" s="5">
        <f>calcs!O21</f>
        <v>0</v>
      </c>
      <c r="P21" s="5">
        <f>calcs!P21</f>
        <v>0</v>
      </c>
      <c r="Q21" s="5">
        <f>calcs!Q21</f>
        <v>0</v>
      </c>
      <c r="R21" s="5">
        <f>calcs!R21</f>
        <v>0</v>
      </c>
      <c r="S21" s="5">
        <f>calcs!S21</f>
        <v>0</v>
      </c>
      <c r="T21" s="5">
        <f>calcs!T21</f>
        <v>0</v>
      </c>
      <c r="U21" s="5">
        <f>calcs!U21</f>
        <v>0</v>
      </c>
      <c r="V21" s="5">
        <f>calcs!V21</f>
        <v>0</v>
      </c>
      <c r="W21" s="5">
        <f>calcs!W21</f>
        <v>0</v>
      </c>
      <c r="X21" s="5">
        <f>calcs!X21</f>
        <v>0</v>
      </c>
      <c r="Y21" s="5">
        <f>calcs!Y21</f>
        <v>0</v>
      </c>
      <c r="Z21" s="5">
        <f>calcs!Z21</f>
        <v>0</v>
      </c>
      <c r="AA21" s="5">
        <f>calcs!AA21</f>
        <v>0</v>
      </c>
      <c r="AB21" s="5">
        <f>calcs!AB21</f>
        <v>0</v>
      </c>
    </row>
    <row r="22" spans="1:28" x14ac:dyDescent="0.25">
      <c r="A22" t="s">
        <v>450</v>
      </c>
      <c r="B22" s="5">
        <f>calcs!B22</f>
        <v>0</v>
      </c>
      <c r="C22" s="5">
        <f>calcs!C22</f>
        <v>0</v>
      </c>
      <c r="D22" s="5">
        <f>calcs!D22</f>
        <v>0</v>
      </c>
      <c r="E22" s="5">
        <f>calcs!E22</f>
        <v>0</v>
      </c>
      <c r="F22" s="5">
        <f>calcs!F22</f>
        <v>0</v>
      </c>
      <c r="G22" s="5">
        <f>calcs!G22</f>
        <v>0</v>
      </c>
      <c r="H22" s="5">
        <f>calcs!H22</f>
        <v>0</v>
      </c>
      <c r="I22" s="5">
        <f>calcs!I22</f>
        <v>0</v>
      </c>
      <c r="J22" s="5">
        <f>calcs!J22</f>
        <v>0</v>
      </c>
      <c r="K22" s="5">
        <f>calcs!K22</f>
        <v>0</v>
      </c>
      <c r="L22" s="5">
        <f>calcs!L22</f>
        <v>0</v>
      </c>
      <c r="M22" s="5">
        <f>calcs!M22</f>
        <v>0</v>
      </c>
      <c r="N22" s="5">
        <f>calcs!N22</f>
        <v>0</v>
      </c>
      <c r="O22" s="5">
        <f>calcs!O22</f>
        <v>0</v>
      </c>
      <c r="P22" s="5">
        <f>calcs!P22</f>
        <v>0</v>
      </c>
      <c r="Q22" s="5">
        <f>calcs!Q22</f>
        <v>0</v>
      </c>
      <c r="R22" s="5">
        <f>calcs!R22</f>
        <v>0</v>
      </c>
      <c r="S22" s="5">
        <f>calcs!S22</f>
        <v>0</v>
      </c>
      <c r="T22" s="5">
        <f>calcs!T22</f>
        <v>0</v>
      </c>
      <c r="U22" s="5">
        <f>calcs!U22</f>
        <v>0</v>
      </c>
      <c r="V22" s="5">
        <f>calcs!V22</f>
        <v>0</v>
      </c>
      <c r="W22" s="5">
        <f>calcs!W22</f>
        <v>0</v>
      </c>
      <c r="X22" s="5">
        <f>calcs!X22</f>
        <v>0</v>
      </c>
      <c r="Y22" s="5">
        <f>calcs!Y22</f>
        <v>0</v>
      </c>
      <c r="Z22" s="5">
        <f>calcs!Z22</f>
        <v>0</v>
      </c>
      <c r="AA22" s="5">
        <f>calcs!AA22</f>
        <v>0</v>
      </c>
      <c r="AB22" s="5">
        <f>calcs!AB22</f>
        <v>0</v>
      </c>
    </row>
    <row r="23" spans="1:28" x14ac:dyDescent="0.25">
      <c r="A23" t="s">
        <v>451</v>
      </c>
      <c r="B23" s="5">
        <f>calcs!B23</f>
        <v>0</v>
      </c>
      <c r="C23" s="5">
        <f>calcs!C23</f>
        <v>0</v>
      </c>
      <c r="D23" s="5">
        <f>calcs!D23</f>
        <v>0</v>
      </c>
      <c r="E23" s="5">
        <f>calcs!E23</f>
        <v>0</v>
      </c>
      <c r="F23" s="5">
        <f>calcs!F23</f>
        <v>0</v>
      </c>
      <c r="G23" s="5">
        <f>calcs!G23</f>
        <v>0</v>
      </c>
      <c r="H23" s="5">
        <f>calcs!H23</f>
        <v>0</v>
      </c>
      <c r="I23" s="5">
        <f>calcs!I23</f>
        <v>0</v>
      </c>
      <c r="J23" s="5">
        <f>calcs!J23</f>
        <v>0</v>
      </c>
      <c r="K23" s="5">
        <f>calcs!K23</f>
        <v>0</v>
      </c>
      <c r="L23" s="5">
        <f>calcs!L23</f>
        <v>0</v>
      </c>
      <c r="M23" s="5">
        <f>calcs!M23</f>
        <v>0</v>
      </c>
      <c r="N23" s="5">
        <f>calcs!N23</f>
        <v>0</v>
      </c>
      <c r="O23" s="5">
        <f>calcs!O23</f>
        <v>0</v>
      </c>
      <c r="P23" s="5">
        <f>calcs!P23</f>
        <v>0</v>
      </c>
      <c r="Q23" s="5">
        <f>calcs!Q23</f>
        <v>0</v>
      </c>
      <c r="R23" s="5">
        <f>calcs!R23</f>
        <v>0</v>
      </c>
      <c r="S23" s="5">
        <f>calcs!S23</f>
        <v>0</v>
      </c>
      <c r="T23" s="5">
        <f>calcs!T23</f>
        <v>0</v>
      </c>
      <c r="U23" s="5">
        <f>calcs!U23</f>
        <v>0</v>
      </c>
      <c r="V23" s="5">
        <f>calcs!V23</f>
        <v>0</v>
      </c>
      <c r="W23" s="5">
        <f>calcs!W23</f>
        <v>0</v>
      </c>
      <c r="X23" s="5">
        <f>calcs!X23</f>
        <v>0</v>
      </c>
      <c r="Y23" s="5">
        <f>calcs!Y23</f>
        <v>0</v>
      </c>
      <c r="Z23" s="5">
        <f>calcs!Z23</f>
        <v>0</v>
      </c>
      <c r="AA23" s="5">
        <f>calcs!AA23</f>
        <v>0</v>
      </c>
      <c r="AB23" s="5">
        <f>calcs!AB23</f>
        <v>0</v>
      </c>
    </row>
    <row r="24" spans="1:28" x14ac:dyDescent="0.25">
      <c r="A24" s="21" t="s">
        <v>452</v>
      </c>
      <c r="B24" s="5">
        <f>calcs!B24</f>
        <v>0</v>
      </c>
      <c r="C24" s="5">
        <f>calcs!C24</f>
        <v>0</v>
      </c>
      <c r="D24" s="5">
        <f>calcs!D24</f>
        <v>0</v>
      </c>
      <c r="E24" s="5">
        <f>calcs!E24</f>
        <v>0</v>
      </c>
      <c r="F24" s="5">
        <f>calcs!F24</f>
        <v>0</v>
      </c>
      <c r="G24" s="5">
        <f>calcs!G24</f>
        <v>0</v>
      </c>
      <c r="H24" s="5">
        <f>calcs!H24</f>
        <v>0</v>
      </c>
      <c r="I24" s="5">
        <f>calcs!I24</f>
        <v>0</v>
      </c>
      <c r="J24" s="5">
        <f>calcs!J24</f>
        <v>0</v>
      </c>
      <c r="K24" s="5">
        <f>calcs!K24</f>
        <v>0</v>
      </c>
      <c r="L24" s="5">
        <f>calcs!L24</f>
        <v>0</v>
      </c>
      <c r="M24" s="5">
        <f>calcs!M24</f>
        <v>0</v>
      </c>
      <c r="N24" s="5">
        <f>calcs!N24</f>
        <v>0</v>
      </c>
      <c r="O24" s="5">
        <f>calcs!O24</f>
        <v>0</v>
      </c>
      <c r="P24" s="5">
        <f>calcs!P24</f>
        <v>0</v>
      </c>
      <c r="Q24" s="5">
        <f>calcs!Q24</f>
        <v>0</v>
      </c>
      <c r="R24" s="5">
        <f>calcs!R24</f>
        <v>0</v>
      </c>
      <c r="S24" s="5">
        <f>calcs!S24</f>
        <v>0</v>
      </c>
      <c r="T24" s="5">
        <f>calcs!T24</f>
        <v>0</v>
      </c>
      <c r="U24" s="5">
        <f>calcs!U24</f>
        <v>0</v>
      </c>
      <c r="V24" s="5">
        <f>calcs!V24</f>
        <v>0</v>
      </c>
      <c r="W24" s="5">
        <f>calcs!W24</f>
        <v>0</v>
      </c>
      <c r="X24" s="5">
        <f>calcs!X24</f>
        <v>0</v>
      </c>
      <c r="Y24" s="5">
        <f>calcs!Y24</f>
        <v>0</v>
      </c>
      <c r="Z24" s="5">
        <f>calcs!Z24</f>
        <v>0</v>
      </c>
      <c r="AA24" s="5">
        <f>calcs!AA24</f>
        <v>0</v>
      </c>
      <c r="AB24" s="5">
        <f>calcs!AB24</f>
        <v>0</v>
      </c>
    </row>
    <row r="25" spans="1:28" x14ac:dyDescent="0.25">
      <c r="A25" s="21" t="s">
        <v>453</v>
      </c>
      <c r="B25" s="5">
        <f>calcs!B25</f>
        <v>0</v>
      </c>
      <c r="C25" s="5">
        <f>calcs!C25</f>
        <v>0</v>
      </c>
      <c r="D25" s="5">
        <f>calcs!D25</f>
        <v>0</v>
      </c>
      <c r="E25" s="5">
        <f>calcs!E25</f>
        <v>0</v>
      </c>
      <c r="F25" s="5">
        <f>calcs!F25</f>
        <v>0</v>
      </c>
      <c r="G25" s="5">
        <f>calcs!G25</f>
        <v>0</v>
      </c>
      <c r="H25" s="5">
        <f>calcs!H25</f>
        <v>0</v>
      </c>
      <c r="I25" s="5">
        <f>calcs!I25</f>
        <v>0</v>
      </c>
      <c r="J25" s="5">
        <f>calcs!J25</f>
        <v>0</v>
      </c>
      <c r="K25" s="5">
        <f>calcs!K25</f>
        <v>0</v>
      </c>
      <c r="L25" s="5">
        <f>calcs!L25</f>
        <v>0</v>
      </c>
      <c r="M25" s="5">
        <f>calcs!M25</f>
        <v>0</v>
      </c>
      <c r="N25" s="5">
        <f>calcs!N25</f>
        <v>0</v>
      </c>
      <c r="O25" s="5">
        <f>calcs!O25</f>
        <v>0</v>
      </c>
      <c r="P25" s="5">
        <f>calcs!P25</f>
        <v>0</v>
      </c>
      <c r="Q25" s="5">
        <f>calcs!Q25</f>
        <v>0</v>
      </c>
      <c r="R25" s="5">
        <f>calcs!R25</f>
        <v>0</v>
      </c>
      <c r="S25" s="5">
        <f>calcs!S25</f>
        <v>0</v>
      </c>
      <c r="T25" s="5">
        <f>calcs!T25</f>
        <v>0</v>
      </c>
      <c r="U25" s="5">
        <f>calcs!U25</f>
        <v>0</v>
      </c>
      <c r="V25" s="5">
        <f>calcs!V25</f>
        <v>0</v>
      </c>
      <c r="W25" s="5">
        <f>calcs!W25</f>
        <v>0</v>
      </c>
      <c r="X25" s="5">
        <f>calcs!X25</f>
        <v>0</v>
      </c>
      <c r="Y25" s="5">
        <f>calcs!Y25</f>
        <v>0</v>
      </c>
      <c r="Z25" s="5">
        <f>calcs!Z25</f>
        <v>0</v>
      </c>
      <c r="AA25" s="5">
        <f>calcs!AA25</f>
        <v>0</v>
      </c>
      <c r="AB25" s="5">
        <f>calcs!AB25</f>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B2"/>
  <sheetViews>
    <sheetView workbookViewId="0">
      <selection activeCell="A2" sqref="A2"/>
    </sheetView>
  </sheetViews>
  <sheetFormatPr defaultRowHeight="15" x14ac:dyDescent="0.25"/>
  <cols>
    <col min="1" max="1" width="26.140625" customWidth="1"/>
  </cols>
  <sheetData>
    <row r="1" spans="1:28" ht="29.65" customHeight="1" x14ac:dyDescent="0.25">
      <c r="A1" s="7" t="s">
        <v>454</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455</v>
      </c>
      <c r="B2">
        <f>calcs!B28</f>
        <v>14989228</v>
      </c>
      <c r="C2">
        <f>calcs!C28</f>
        <v>16798512</v>
      </c>
      <c r="D2">
        <f>calcs!D28</f>
        <v>16798512</v>
      </c>
      <c r="E2">
        <f>calcs!E28</f>
        <v>16798512</v>
      </c>
      <c r="F2">
        <f>calcs!F28</f>
        <v>16798512</v>
      </c>
      <c r="G2">
        <f>calcs!G28</f>
        <v>16798512</v>
      </c>
      <c r="H2">
        <f>calcs!H28</f>
        <v>16798512</v>
      </c>
      <c r="I2">
        <f>calcs!I28</f>
        <v>16918085</v>
      </c>
      <c r="J2">
        <f>calcs!J28</f>
        <v>17037659</v>
      </c>
      <c r="K2">
        <f>calcs!K28</f>
        <v>17157232</v>
      </c>
      <c r="L2">
        <f>calcs!L28</f>
        <v>17276808</v>
      </c>
      <c r="M2">
        <f>calcs!M28</f>
        <v>17396381</v>
      </c>
      <c r="N2">
        <f>calcs!N28</f>
        <v>17515953</v>
      </c>
      <c r="O2">
        <f>calcs!O28</f>
        <v>17635529</v>
      </c>
      <c r="P2">
        <f>calcs!P28</f>
        <v>17755102</v>
      </c>
      <c r="Q2">
        <f>calcs!Q28</f>
        <v>17874676</v>
      </c>
      <c r="R2">
        <f>calcs!R28</f>
        <v>17994251</v>
      </c>
      <c r="S2">
        <f>calcs!S28</f>
        <v>17994251</v>
      </c>
      <c r="T2">
        <f>calcs!T28</f>
        <v>17994251</v>
      </c>
      <c r="U2">
        <f>calcs!U28</f>
        <v>17994251</v>
      </c>
      <c r="V2">
        <f>calcs!V28</f>
        <v>17994251</v>
      </c>
      <c r="W2">
        <f>calcs!W28</f>
        <v>17994251</v>
      </c>
      <c r="X2">
        <f>calcs!X28</f>
        <v>17994251</v>
      </c>
      <c r="Y2">
        <f>calcs!Y28</f>
        <v>17994251</v>
      </c>
      <c r="Z2">
        <f>calcs!Z28</f>
        <v>17994251</v>
      </c>
      <c r="AA2">
        <f>calcs!AA28</f>
        <v>17994251</v>
      </c>
      <c r="AB2">
        <f>calcs!AB28</f>
        <v>17994251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E2"/>
  <sheetViews>
    <sheetView tabSelected="1" workbookViewId="0">
      <selection activeCell="AC1" sqref="AC1:AC1048576"/>
    </sheetView>
  </sheetViews>
  <sheetFormatPr defaultRowHeight="15" x14ac:dyDescent="0.25"/>
  <cols>
    <col min="1" max="1" width="26.28515625" customWidth="1"/>
  </cols>
  <sheetData>
    <row r="1" spans="1:31" x14ac:dyDescent="0.25">
      <c r="A1" s="7" t="s">
        <v>456</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1" x14ac:dyDescent="0.25">
      <c r="A2" t="s">
        <v>457</v>
      </c>
      <c r="B2" s="24">
        <f>calcs!B31</f>
        <v>95.149006264073691</v>
      </c>
      <c r="C2" s="10">
        <f>calcs!C31</f>
        <v>96.530431700203991</v>
      </c>
      <c r="D2" s="10">
        <f>calcs!D31</f>
        <v>96.086126595005965</v>
      </c>
      <c r="E2" s="10">
        <f>calcs!E31</f>
        <v>93.174724678077354</v>
      </c>
      <c r="F2" s="10">
        <f>calcs!F31</f>
        <v>91.063269995788843</v>
      </c>
      <c r="G2" s="10">
        <f>calcs!G31</f>
        <v>91.770770957178328</v>
      </c>
      <c r="H2" s="10">
        <f>calcs!H31</f>
        <v>92.818608115830472</v>
      </c>
      <c r="I2" s="10">
        <f>calcs!I31</f>
        <v>93.769512569990781</v>
      </c>
      <c r="J2" s="10">
        <f>calcs!J31</f>
        <v>94.275184950242107</v>
      </c>
      <c r="K2" s="10">
        <f>calcs!K31</f>
        <v>94.870152883322476</v>
      </c>
      <c r="L2" s="10">
        <f>calcs!L31</f>
        <v>95.451510677377016</v>
      </c>
      <c r="M2" s="10">
        <f>calcs!M31</f>
        <v>95.740304008128817</v>
      </c>
      <c r="N2" s="10">
        <f>calcs!N31</f>
        <v>95.964143838420782</v>
      </c>
      <c r="O2" s="10">
        <f>calcs!O31</f>
        <v>96.495116868605876</v>
      </c>
      <c r="P2" s="10">
        <f>calcs!P31</f>
        <v>96.846250669908017</v>
      </c>
      <c r="Q2" s="10">
        <f>calcs!Q31</f>
        <v>97.357973893162068</v>
      </c>
      <c r="R2" s="10">
        <f>calcs!R31</f>
        <v>97.900695825984926</v>
      </c>
      <c r="S2" s="10">
        <f>calcs!S31</f>
        <v>98.053983848720463</v>
      </c>
      <c r="T2" s="10">
        <f>calcs!T31</f>
        <v>97.943399644394162</v>
      </c>
      <c r="U2" s="10">
        <f>calcs!U31</f>
        <v>97.679787747127719</v>
      </c>
      <c r="V2" s="10">
        <f>calcs!V31</f>
        <v>97.471129766589272</v>
      </c>
      <c r="W2" s="10">
        <f>calcs!W31</f>
        <v>96.940981519587879</v>
      </c>
      <c r="X2" s="10">
        <f>calcs!X31</f>
        <v>97.371506176548124</v>
      </c>
      <c r="Y2" s="10">
        <f>calcs!Y31</f>
        <v>97.752920955739995</v>
      </c>
      <c r="Z2" s="10">
        <f>calcs!Z31</f>
        <v>98.131841921470766</v>
      </c>
      <c r="AA2" s="10">
        <f>calcs!AA31</f>
        <v>98.264478735759567</v>
      </c>
      <c r="AB2" s="10">
        <f>calcs!AB31</f>
        <v>98.592389659514055</v>
      </c>
      <c r="AC2" s="10"/>
      <c r="AD2" s="10"/>
      <c r="AE2" s="10"/>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E23"/>
  <sheetViews>
    <sheetView workbookViewId="0">
      <selection activeCell="B22" sqref="B22"/>
    </sheetView>
  </sheetViews>
  <sheetFormatPr defaultRowHeight="15" x14ac:dyDescent="0.25"/>
  <cols>
    <col min="2" max="2" width="85.28515625" bestFit="1" customWidth="1"/>
  </cols>
  <sheetData>
    <row r="1" spans="1:31" x14ac:dyDescent="0.25">
      <c r="A1" t="s">
        <v>41</v>
      </c>
    </row>
    <row r="2" spans="1:31" x14ac:dyDescent="0.25">
      <c r="A2" t="s">
        <v>458</v>
      </c>
    </row>
    <row r="3" spans="1:31" x14ac:dyDescent="0.25">
      <c r="A3" t="s">
        <v>459</v>
      </c>
    </row>
    <row r="4" spans="1:31" x14ac:dyDescent="0.25">
      <c r="A4" t="s">
        <v>44</v>
      </c>
    </row>
    <row r="5" spans="1:31" x14ac:dyDescent="0.25">
      <c r="B5" t="s">
        <v>45</v>
      </c>
      <c r="C5" t="s">
        <v>46</v>
      </c>
      <c r="D5" t="s">
        <v>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460</v>
      </c>
    </row>
    <row r="6" spans="1:31" x14ac:dyDescent="0.25">
      <c r="A6" t="s">
        <v>49</v>
      </c>
    </row>
    <row r="7" spans="1:31" x14ac:dyDescent="0.25">
      <c r="A7" t="s">
        <v>50</v>
      </c>
    </row>
    <row r="8" spans="1:31" x14ac:dyDescent="0.25">
      <c r="A8" t="s">
        <v>51</v>
      </c>
      <c r="B8" t="s">
        <v>461</v>
      </c>
      <c r="C8" t="s">
        <v>462</v>
      </c>
      <c r="D8" t="s">
        <v>54</v>
      </c>
      <c r="E8">
        <v>43.267344999999999</v>
      </c>
      <c r="F8">
        <v>43.046135</v>
      </c>
      <c r="G8">
        <v>42.817745000000002</v>
      </c>
      <c r="H8">
        <v>42.559071000000003</v>
      </c>
      <c r="I8">
        <v>42.293137000000002</v>
      </c>
      <c r="J8">
        <v>42.024814999999997</v>
      </c>
      <c r="K8">
        <v>41.620972000000002</v>
      </c>
      <c r="L8">
        <v>41.217129</v>
      </c>
      <c r="M8">
        <v>40.813290000000002</v>
      </c>
      <c r="N8">
        <v>40.156348999999999</v>
      </c>
      <c r="O8">
        <v>39.466723999999999</v>
      </c>
      <c r="P8">
        <v>38.769131000000002</v>
      </c>
      <c r="Q8">
        <v>37.904128999999998</v>
      </c>
      <c r="R8">
        <v>37.069423999999998</v>
      </c>
      <c r="S8">
        <v>36.021155999999998</v>
      </c>
      <c r="T8">
        <v>34.914703000000003</v>
      </c>
      <c r="U8">
        <v>33.943759999999997</v>
      </c>
      <c r="V8">
        <v>32.853245000000001</v>
      </c>
      <c r="W8">
        <v>31.762732</v>
      </c>
      <c r="X8">
        <v>31.010211999999999</v>
      </c>
      <c r="Y8">
        <v>30.418717999999998</v>
      </c>
      <c r="Z8">
        <v>29.843166</v>
      </c>
      <c r="AA8">
        <v>29.442198000000001</v>
      </c>
      <c r="AB8">
        <v>29.041225000000001</v>
      </c>
      <c r="AC8">
        <v>28.861069000000001</v>
      </c>
      <c r="AD8">
        <v>28.741492999999998</v>
      </c>
      <c r="AE8" t="s">
        <v>463</v>
      </c>
    </row>
    <row r="9" spans="1:31" x14ac:dyDescent="0.25">
      <c r="A9" t="s">
        <v>55</v>
      </c>
      <c r="B9" t="s">
        <v>464</v>
      </c>
      <c r="C9" t="s">
        <v>465</v>
      </c>
      <c r="D9" t="s">
        <v>54</v>
      </c>
      <c r="E9">
        <v>227.086502</v>
      </c>
      <c r="F9">
        <v>257.602936</v>
      </c>
      <c r="G9">
        <v>221.557602</v>
      </c>
      <c r="H9">
        <v>234.151794</v>
      </c>
      <c r="I9">
        <v>230.15884399999999</v>
      </c>
      <c r="J9">
        <v>216.20694</v>
      </c>
      <c r="K9">
        <v>245.56892400000001</v>
      </c>
      <c r="L9">
        <v>262.70156900000001</v>
      </c>
      <c r="M9">
        <v>308.39022799999998</v>
      </c>
      <c r="N9">
        <v>329.16400099999998</v>
      </c>
      <c r="O9">
        <v>326.20358299999998</v>
      </c>
      <c r="P9">
        <v>331.19515999999999</v>
      </c>
      <c r="Q9">
        <v>343.06909200000001</v>
      </c>
      <c r="R9">
        <v>343.86889600000001</v>
      </c>
      <c r="S9">
        <v>345.07162499999998</v>
      </c>
      <c r="T9">
        <v>367.45208700000001</v>
      </c>
      <c r="U9">
        <v>374.14413500000001</v>
      </c>
      <c r="V9">
        <v>371.88302599999997</v>
      </c>
      <c r="W9">
        <v>358.57510400000001</v>
      </c>
      <c r="X9">
        <v>359.94457999999997</v>
      </c>
      <c r="Y9">
        <v>358.89541600000001</v>
      </c>
      <c r="Z9">
        <v>357.68661500000002</v>
      </c>
      <c r="AA9">
        <v>361.43160999999998</v>
      </c>
      <c r="AB9">
        <v>347.68426499999998</v>
      </c>
      <c r="AC9">
        <v>346.949341</v>
      </c>
      <c r="AD9">
        <v>341.08477800000003</v>
      </c>
      <c r="AE9" t="s">
        <v>466</v>
      </c>
    </row>
    <row r="10" spans="1:31" x14ac:dyDescent="0.25">
      <c r="A10" t="s">
        <v>58</v>
      </c>
      <c r="B10" t="s">
        <v>467</v>
      </c>
      <c r="C10" t="s">
        <v>468</v>
      </c>
      <c r="D10" t="s">
        <v>54</v>
      </c>
      <c r="E10">
        <v>270.35382099999998</v>
      </c>
      <c r="F10">
        <v>300.64907799999997</v>
      </c>
      <c r="G10">
        <v>264.37536599999999</v>
      </c>
      <c r="H10">
        <v>276.710846</v>
      </c>
      <c r="I10">
        <v>272.45199600000001</v>
      </c>
      <c r="J10">
        <v>258.23174999999998</v>
      </c>
      <c r="K10">
        <v>287.18988000000002</v>
      </c>
      <c r="L10">
        <v>303.918701</v>
      </c>
      <c r="M10">
        <v>349.20352200000002</v>
      </c>
      <c r="N10">
        <v>369.32037400000002</v>
      </c>
      <c r="O10">
        <v>365.67028800000003</v>
      </c>
      <c r="P10">
        <v>369.964294</v>
      </c>
      <c r="Q10">
        <v>380.973206</v>
      </c>
      <c r="R10">
        <v>380.93832400000002</v>
      </c>
      <c r="S10">
        <v>381.09277300000002</v>
      </c>
      <c r="T10">
        <v>402.36676</v>
      </c>
      <c r="U10">
        <v>408.08789100000001</v>
      </c>
      <c r="V10">
        <v>404.736267</v>
      </c>
      <c r="W10">
        <v>390.33783</v>
      </c>
      <c r="X10">
        <v>390.95480300000003</v>
      </c>
      <c r="Y10">
        <v>389.31414799999999</v>
      </c>
      <c r="Z10">
        <v>387.52975500000002</v>
      </c>
      <c r="AA10">
        <v>390.87380999999999</v>
      </c>
      <c r="AB10">
        <v>376.72549400000003</v>
      </c>
      <c r="AC10">
        <v>375.81039399999997</v>
      </c>
      <c r="AD10">
        <v>369.82626299999998</v>
      </c>
      <c r="AE10" t="s">
        <v>469</v>
      </c>
    </row>
    <row r="11" spans="1:31" x14ac:dyDescent="0.25">
      <c r="A11" t="s">
        <v>470</v>
      </c>
    </row>
    <row r="12" spans="1:31" x14ac:dyDescent="0.25">
      <c r="A12" t="s">
        <v>51</v>
      </c>
      <c r="B12" t="s">
        <v>461</v>
      </c>
      <c r="C12" t="s">
        <v>471</v>
      </c>
      <c r="D12" t="s">
        <v>472</v>
      </c>
      <c r="E12">
        <v>3673.3745119999999</v>
      </c>
      <c r="F12">
        <v>3654.5939939999998</v>
      </c>
      <c r="G12">
        <v>3635.204346</v>
      </c>
      <c r="H12">
        <v>3613.242432</v>
      </c>
      <c r="I12">
        <v>3590.6647950000001</v>
      </c>
      <c r="J12">
        <v>3567.8842770000001</v>
      </c>
      <c r="K12">
        <v>3533.5983890000002</v>
      </c>
      <c r="L12">
        <v>3499.3127439999998</v>
      </c>
      <c r="M12">
        <v>3465.0263669999999</v>
      </c>
      <c r="N12">
        <v>3409.2526859999998</v>
      </c>
      <c r="O12">
        <v>3350.7041020000001</v>
      </c>
      <c r="P12">
        <v>3291.47876</v>
      </c>
      <c r="Q12">
        <v>3218.0410160000001</v>
      </c>
      <c r="R12">
        <v>3147.1745609999998</v>
      </c>
      <c r="S12">
        <v>3058.1772460000002</v>
      </c>
      <c r="T12">
        <v>2964.23999</v>
      </c>
      <c r="U12">
        <v>2881.8073730000001</v>
      </c>
      <c r="V12">
        <v>2789.2233890000002</v>
      </c>
      <c r="W12">
        <v>2696.6391600000002</v>
      </c>
      <c r="X12">
        <v>2632.750732</v>
      </c>
      <c r="Y12">
        <v>2582.533203</v>
      </c>
      <c r="Z12">
        <v>2533.6691890000002</v>
      </c>
      <c r="AA12">
        <v>2499.6271969999998</v>
      </c>
      <c r="AB12">
        <v>2465.5847170000002</v>
      </c>
      <c r="AC12">
        <v>2450.289307</v>
      </c>
      <c r="AD12">
        <v>2440.1376949999999</v>
      </c>
      <c r="AE12" t="s">
        <v>463</v>
      </c>
    </row>
    <row r="13" spans="1:31" x14ac:dyDescent="0.25">
      <c r="A13" t="s">
        <v>55</v>
      </c>
      <c r="B13" t="s">
        <v>464</v>
      </c>
      <c r="C13" t="s">
        <v>473</v>
      </c>
      <c r="D13" t="s">
        <v>472</v>
      </c>
      <c r="E13">
        <v>8610.90625</v>
      </c>
      <c r="F13">
        <v>8204.78125</v>
      </c>
      <c r="G13">
        <v>8901.4960940000001</v>
      </c>
      <c r="H13">
        <v>9228.2333980000003</v>
      </c>
      <c r="I13">
        <v>9617.5839840000008</v>
      </c>
      <c r="J13">
        <v>9427.4101559999999</v>
      </c>
      <c r="K13">
        <v>10566.173828000001</v>
      </c>
      <c r="L13">
        <v>11124.007812</v>
      </c>
      <c r="M13">
        <v>14541.545898</v>
      </c>
      <c r="N13">
        <v>15228.291015999999</v>
      </c>
      <c r="O13">
        <v>14933.670898</v>
      </c>
      <c r="P13">
        <v>14720.893555000001</v>
      </c>
      <c r="Q13">
        <v>15222.332031</v>
      </c>
      <c r="R13">
        <v>15370.622069999999</v>
      </c>
      <c r="S13">
        <v>15503.263671999999</v>
      </c>
      <c r="T13">
        <v>16419.490234000001</v>
      </c>
      <c r="U13">
        <v>16349.492188</v>
      </c>
      <c r="V13">
        <v>15903.40625</v>
      </c>
      <c r="W13">
        <v>14957.205078000001</v>
      </c>
      <c r="X13">
        <v>14706.587890999999</v>
      </c>
      <c r="Y13">
        <v>14445.518555000001</v>
      </c>
      <c r="Z13">
        <v>14550.246094</v>
      </c>
      <c r="AA13">
        <v>14818.775390999999</v>
      </c>
      <c r="AB13">
        <v>14260.715819999999</v>
      </c>
      <c r="AC13">
        <v>14263.159180000001</v>
      </c>
      <c r="AD13">
        <v>13610.990234000001</v>
      </c>
      <c r="AE13" t="s">
        <v>474</v>
      </c>
    </row>
    <row r="14" spans="1:31" x14ac:dyDescent="0.25">
      <c r="A14" t="s">
        <v>58</v>
      </c>
      <c r="B14" t="s">
        <v>467</v>
      </c>
      <c r="C14" t="s">
        <v>475</v>
      </c>
      <c r="D14" t="s">
        <v>472</v>
      </c>
      <c r="E14">
        <v>12284.28125</v>
      </c>
      <c r="F14">
        <v>11859.375</v>
      </c>
      <c r="G14">
        <v>12536.700194999999</v>
      </c>
      <c r="H14">
        <v>12841.475586</v>
      </c>
      <c r="I14">
        <v>13208.249023</v>
      </c>
      <c r="J14">
        <v>12995.294921999999</v>
      </c>
      <c r="K14">
        <v>14099.772461</v>
      </c>
      <c r="L14">
        <v>14623.320312</v>
      </c>
      <c r="M14">
        <v>18006.572265999999</v>
      </c>
      <c r="N14">
        <v>18637.542968999998</v>
      </c>
      <c r="O14">
        <v>18284.375</v>
      </c>
      <c r="P14">
        <v>18012.373047000001</v>
      </c>
      <c r="Q14">
        <v>18440.373047000001</v>
      </c>
      <c r="R14">
        <v>18517.796875</v>
      </c>
      <c r="S14">
        <v>18561.441406000002</v>
      </c>
      <c r="T14">
        <v>19383.730468999998</v>
      </c>
      <c r="U14">
        <v>19231.298827999999</v>
      </c>
      <c r="V14">
        <v>18692.628906000002</v>
      </c>
      <c r="W14">
        <v>17653.84375</v>
      </c>
      <c r="X14">
        <v>17339.337890999999</v>
      </c>
      <c r="Y14">
        <v>17028.050781000002</v>
      </c>
      <c r="Z14">
        <v>17083.916015999999</v>
      </c>
      <c r="AA14">
        <v>17318.402343999998</v>
      </c>
      <c r="AB14">
        <v>16726.300781000002</v>
      </c>
      <c r="AC14">
        <v>16713.449218999998</v>
      </c>
      <c r="AD14">
        <v>16051.127930000001</v>
      </c>
      <c r="AE14" t="s">
        <v>476</v>
      </c>
    </row>
    <row r="15" spans="1:31" x14ac:dyDescent="0.25">
      <c r="A15" t="s">
        <v>66</v>
      </c>
    </row>
    <row r="16" spans="1:31" x14ac:dyDescent="0.25">
      <c r="A16" t="s">
        <v>67</v>
      </c>
    </row>
    <row r="17" spans="1:31" x14ac:dyDescent="0.25">
      <c r="A17" t="s">
        <v>51</v>
      </c>
      <c r="B17" t="s">
        <v>477</v>
      </c>
      <c r="C17" t="s">
        <v>478</v>
      </c>
      <c r="D17" t="s">
        <v>54</v>
      </c>
      <c r="E17">
        <v>16.437441</v>
      </c>
      <c r="F17">
        <v>16.437441</v>
      </c>
      <c r="G17">
        <v>36.334556999999997</v>
      </c>
      <c r="H17">
        <v>36.334556999999997</v>
      </c>
      <c r="I17">
        <v>36.270781999999997</v>
      </c>
      <c r="J17">
        <v>36.207008000000002</v>
      </c>
      <c r="K17">
        <v>36.143234</v>
      </c>
      <c r="L17">
        <v>36.079464000000002</v>
      </c>
      <c r="M17">
        <v>36.015689999999999</v>
      </c>
      <c r="N17">
        <v>35.951920000000001</v>
      </c>
      <c r="O17">
        <v>35.888145000000002</v>
      </c>
      <c r="P17">
        <v>35.545368000000003</v>
      </c>
      <c r="Q17">
        <v>35.481594000000001</v>
      </c>
      <c r="R17">
        <v>35.417824000000003</v>
      </c>
      <c r="S17">
        <v>35.417824000000003</v>
      </c>
      <c r="T17">
        <v>35.417824000000003</v>
      </c>
      <c r="U17">
        <v>35.417824000000003</v>
      </c>
      <c r="V17">
        <v>35.417824000000003</v>
      </c>
      <c r="W17">
        <v>26.649059000000001</v>
      </c>
      <c r="X17">
        <v>26.649059000000001</v>
      </c>
      <c r="Y17">
        <v>26.649059000000001</v>
      </c>
      <c r="Z17">
        <v>26.649059000000001</v>
      </c>
      <c r="AA17">
        <v>26.649059000000001</v>
      </c>
      <c r="AB17">
        <v>26.649059000000001</v>
      </c>
      <c r="AC17">
        <v>26.649059000000001</v>
      </c>
      <c r="AD17">
        <v>26.649059000000001</v>
      </c>
      <c r="AE17" t="s">
        <v>479</v>
      </c>
    </row>
    <row r="18" spans="1:31" x14ac:dyDescent="0.25">
      <c r="A18" t="s">
        <v>55</v>
      </c>
      <c r="B18" t="s">
        <v>480</v>
      </c>
      <c r="C18" t="s">
        <v>481</v>
      </c>
      <c r="D18" t="s">
        <v>54</v>
      </c>
      <c r="E18">
        <v>25.671790999999999</v>
      </c>
      <c r="F18">
        <v>32.641711999999998</v>
      </c>
      <c r="G18">
        <v>39.095230000000001</v>
      </c>
      <c r="H18">
        <v>50.670817999999997</v>
      </c>
      <c r="I18">
        <v>56.591030000000003</v>
      </c>
      <c r="J18">
        <v>63.802059</v>
      </c>
      <c r="K18">
        <v>65.477806000000001</v>
      </c>
      <c r="L18">
        <v>67.045913999999996</v>
      </c>
      <c r="M18">
        <v>69.977683999999996</v>
      </c>
      <c r="N18">
        <v>71.232239000000007</v>
      </c>
      <c r="O18">
        <v>72.712395000000001</v>
      </c>
      <c r="P18">
        <v>70.549865999999994</v>
      </c>
      <c r="Q18">
        <v>70.123146000000006</v>
      </c>
      <c r="R18">
        <v>69.785210000000006</v>
      </c>
      <c r="S18">
        <v>68.762871000000004</v>
      </c>
      <c r="T18">
        <v>69.670485999999997</v>
      </c>
      <c r="U18">
        <v>69.581672999999995</v>
      </c>
      <c r="V18">
        <v>65.785347000000002</v>
      </c>
      <c r="W18">
        <v>71.285919000000007</v>
      </c>
      <c r="X18">
        <v>69.940894999999998</v>
      </c>
      <c r="Y18">
        <v>69.582108000000005</v>
      </c>
      <c r="Z18">
        <v>65.063370000000006</v>
      </c>
      <c r="AA18">
        <v>62.280926000000001</v>
      </c>
      <c r="AB18">
        <v>59.586402999999997</v>
      </c>
      <c r="AC18">
        <v>56.609763999999998</v>
      </c>
      <c r="AD18">
        <v>53.850769</v>
      </c>
      <c r="AE18" t="s">
        <v>482</v>
      </c>
    </row>
    <row r="19" spans="1:31" x14ac:dyDescent="0.25">
      <c r="A19" t="s">
        <v>72</v>
      </c>
      <c r="B19" t="s">
        <v>483</v>
      </c>
      <c r="C19" t="s">
        <v>484</v>
      </c>
      <c r="D19" t="s">
        <v>54</v>
      </c>
      <c r="E19">
        <v>42.109229999999997</v>
      </c>
      <c r="F19">
        <v>49.079151000000003</v>
      </c>
      <c r="G19">
        <v>75.429787000000005</v>
      </c>
      <c r="H19">
        <v>87.005379000000005</v>
      </c>
      <c r="I19">
        <v>92.861816000000005</v>
      </c>
      <c r="J19">
        <v>100.009064</v>
      </c>
      <c r="K19">
        <v>101.62103999999999</v>
      </c>
      <c r="L19">
        <v>103.125381</v>
      </c>
      <c r="M19">
        <v>105.99337</v>
      </c>
      <c r="N19">
        <v>107.184158</v>
      </c>
      <c r="O19">
        <v>108.60054</v>
      </c>
      <c r="P19">
        <v>106.09523</v>
      </c>
      <c r="Q19">
        <v>105.604736</v>
      </c>
      <c r="R19">
        <v>105.20302599999999</v>
      </c>
      <c r="S19">
        <v>104.180695</v>
      </c>
      <c r="T19">
        <v>105.08831000000001</v>
      </c>
      <c r="U19">
        <v>104.99949599999999</v>
      </c>
      <c r="V19">
        <v>101.203171</v>
      </c>
      <c r="W19">
        <v>97.934974999999994</v>
      </c>
      <c r="X19">
        <v>96.589957999999996</v>
      </c>
      <c r="Y19">
        <v>96.231162999999995</v>
      </c>
      <c r="Z19">
        <v>91.712424999999996</v>
      </c>
      <c r="AA19">
        <v>88.929985000000002</v>
      </c>
      <c r="AB19">
        <v>86.235457999999994</v>
      </c>
      <c r="AC19">
        <v>83.258826999999997</v>
      </c>
      <c r="AD19">
        <v>80.499831999999998</v>
      </c>
      <c r="AE19" t="s">
        <v>485</v>
      </c>
    </row>
    <row r="20" spans="1:31" x14ac:dyDescent="0.25">
      <c r="A20" t="s">
        <v>75</v>
      </c>
    </row>
    <row r="21" spans="1:31" x14ac:dyDescent="0.25">
      <c r="A21" t="s">
        <v>51</v>
      </c>
      <c r="B21" t="s">
        <v>486</v>
      </c>
      <c r="C21" t="s">
        <v>487</v>
      </c>
      <c r="D21" t="s">
        <v>54</v>
      </c>
      <c r="E21">
        <v>1.19574</v>
      </c>
      <c r="F21">
        <v>1.19574</v>
      </c>
      <c r="G21">
        <v>1.19574</v>
      </c>
      <c r="H21">
        <v>1.19574</v>
      </c>
      <c r="I21">
        <v>1.19574</v>
      </c>
      <c r="J21">
        <v>1.19574</v>
      </c>
      <c r="K21">
        <v>1.076166</v>
      </c>
      <c r="L21">
        <v>0.956592</v>
      </c>
      <c r="M21">
        <v>0.83701800000000004</v>
      </c>
      <c r="N21">
        <v>0.71744399999999997</v>
      </c>
      <c r="O21">
        <v>0.59787000000000001</v>
      </c>
      <c r="P21">
        <v>0.478296</v>
      </c>
      <c r="Q21">
        <v>0.35872199999999999</v>
      </c>
      <c r="R21">
        <v>0.239148</v>
      </c>
      <c r="S21">
        <v>0.119574</v>
      </c>
      <c r="T21">
        <v>0</v>
      </c>
      <c r="U21">
        <v>0</v>
      </c>
      <c r="V21">
        <v>0</v>
      </c>
      <c r="W21">
        <v>0</v>
      </c>
      <c r="X21">
        <v>0</v>
      </c>
      <c r="Y21">
        <v>0</v>
      </c>
      <c r="Z21">
        <v>0</v>
      </c>
      <c r="AA21">
        <v>0</v>
      </c>
      <c r="AB21">
        <v>0</v>
      </c>
      <c r="AC21">
        <v>0</v>
      </c>
      <c r="AD21">
        <v>0</v>
      </c>
      <c r="AE21" t="s">
        <v>488</v>
      </c>
    </row>
    <row r="22" spans="1:31" x14ac:dyDescent="0.25">
      <c r="A22" t="s">
        <v>55</v>
      </c>
      <c r="B22" t="s">
        <v>489</v>
      </c>
      <c r="C22" t="s">
        <v>490</v>
      </c>
      <c r="D22" t="s">
        <v>54</v>
      </c>
      <c r="E22">
        <v>16.798511999999999</v>
      </c>
      <c r="F22">
        <v>16.798511999999999</v>
      </c>
      <c r="G22">
        <v>16.798511999999999</v>
      </c>
      <c r="H22">
        <v>16.798511999999999</v>
      </c>
      <c r="I22">
        <v>16.798511999999999</v>
      </c>
      <c r="J22">
        <v>16.798511999999999</v>
      </c>
      <c r="K22">
        <v>16.918085000000001</v>
      </c>
      <c r="L22">
        <v>17.037659000000001</v>
      </c>
      <c r="M22">
        <v>17.157232</v>
      </c>
      <c r="N22">
        <v>17.276807999999999</v>
      </c>
      <c r="O22">
        <v>17.396381000000002</v>
      </c>
      <c r="P22">
        <v>17.515953</v>
      </c>
      <c r="Q22">
        <v>17.635528999999998</v>
      </c>
      <c r="R22">
        <v>17.755102000000001</v>
      </c>
      <c r="S22">
        <v>17.874676000000001</v>
      </c>
      <c r="T22">
        <v>17.994250999999998</v>
      </c>
      <c r="U22">
        <v>17.994250999999998</v>
      </c>
      <c r="V22">
        <v>17.994250999999998</v>
      </c>
      <c r="W22">
        <v>17.994250999999998</v>
      </c>
      <c r="X22">
        <v>17.994250999999998</v>
      </c>
      <c r="Y22">
        <v>17.994250999999998</v>
      </c>
      <c r="Z22">
        <v>17.994250999999998</v>
      </c>
      <c r="AA22">
        <v>17.994250999999998</v>
      </c>
      <c r="AB22">
        <v>17.994250999999998</v>
      </c>
      <c r="AC22">
        <v>17.994250999999998</v>
      </c>
      <c r="AD22">
        <v>17.994250999999998</v>
      </c>
      <c r="AE22" t="s">
        <v>491</v>
      </c>
    </row>
    <row r="23" spans="1:31" x14ac:dyDescent="0.25">
      <c r="A23" t="s">
        <v>80</v>
      </c>
      <c r="B23" t="s">
        <v>492</v>
      </c>
      <c r="C23" t="s">
        <v>493</v>
      </c>
      <c r="D23" t="s">
        <v>54</v>
      </c>
      <c r="E23">
        <v>17.994250999999998</v>
      </c>
      <c r="F23">
        <v>17.994250999999998</v>
      </c>
      <c r="G23">
        <v>17.994250999999998</v>
      </c>
      <c r="H23">
        <v>17.994250999999998</v>
      </c>
      <c r="I23">
        <v>17.994250999999998</v>
      </c>
      <c r="J23">
        <v>17.994250999999998</v>
      </c>
      <c r="K23">
        <v>17.994250999999998</v>
      </c>
      <c r="L23">
        <v>17.994250999999998</v>
      </c>
      <c r="M23">
        <v>17.994250999999998</v>
      </c>
      <c r="N23">
        <v>17.994250999999998</v>
      </c>
      <c r="O23">
        <v>17.994250999999998</v>
      </c>
      <c r="P23">
        <v>17.994250999999998</v>
      </c>
      <c r="Q23">
        <v>17.994250999999998</v>
      </c>
      <c r="R23">
        <v>17.994250999999998</v>
      </c>
      <c r="S23">
        <v>17.994250999999998</v>
      </c>
      <c r="T23">
        <v>17.994250999999998</v>
      </c>
      <c r="U23">
        <v>17.994250999999998</v>
      </c>
      <c r="V23">
        <v>17.994250999999998</v>
      </c>
      <c r="W23">
        <v>17.994250999999998</v>
      </c>
      <c r="X23">
        <v>17.994250999999998</v>
      </c>
      <c r="Y23">
        <v>17.994250999999998</v>
      </c>
      <c r="Z23">
        <v>17.994250999999998</v>
      </c>
      <c r="AA23">
        <v>17.994250999999998</v>
      </c>
      <c r="AB23">
        <v>17.994250999999998</v>
      </c>
      <c r="AC23">
        <v>17.994250999999998</v>
      </c>
      <c r="AD23">
        <v>17.994250999999998</v>
      </c>
      <c r="AE23" t="s">
        <v>494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121"/>
  <sheetViews>
    <sheetView topLeftCell="A43" workbookViewId="0">
      <selection activeCell="A54" sqref="A54"/>
    </sheetView>
  </sheetViews>
  <sheetFormatPr defaultRowHeight="15" x14ac:dyDescent="0.25"/>
  <cols>
    <col min="2" max="2" width="63.28515625" customWidth="1"/>
  </cols>
  <sheetData>
    <row r="1" spans="1:31" x14ac:dyDescent="0.25">
      <c r="A1" t="s">
        <v>217</v>
      </c>
    </row>
    <row r="2" spans="1:31" x14ac:dyDescent="0.25">
      <c r="A2" t="s">
        <v>495</v>
      </c>
    </row>
    <row r="3" spans="1:31" x14ac:dyDescent="0.25">
      <c r="A3" t="s">
        <v>496</v>
      </c>
    </row>
    <row r="4" spans="1:31" x14ac:dyDescent="0.25">
      <c r="A4" t="s">
        <v>44</v>
      </c>
    </row>
    <row r="5" spans="1:31" x14ac:dyDescent="0.25">
      <c r="B5" t="s">
        <v>45</v>
      </c>
      <c r="C5" t="s">
        <v>46</v>
      </c>
      <c r="D5" t="s">
        <v>47</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460</v>
      </c>
    </row>
    <row r="6" spans="1:31" x14ac:dyDescent="0.25">
      <c r="A6" t="s">
        <v>220</v>
      </c>
    </row>
    <row r="7" spans="1:31" x14ac:dyDescent="0.25">
      <c r="A7" t="s">
        <v>221</v>
      </c>
      <c r="B7" t="s">
        <v>497</v>
      </c>
      <c r="C7" t="s">
        <v>498</v>
      </c>
      <c r="D7" t="s">
        <v>499</v>
      </c>
      <c r="E7">
        <v>26.563074</v>
      </c>
      <c r="F7">
        <v>24.660281999999999</v>
      </c>
      <c r="G7">
        <v>24.022763999999999</v>
      </c>
      <c r="H7">
        <v>24.267150999999998</v>
      </c>
      <c r="I7">
        <v>24.828779000000001</v>
      </c>
      <c r="J7">
        <v>25.713387999999998</v>
      </c>
      <c r="K7">
        <v>26.943875999999999</v>
      </c>
      <c r="L7">
        <v>27.941402</v>
      </c>
      <c r="M7">
        <v>29.000703999999999</v>
      </c>
      <c r="N7">
        <v>29.730561999999999</v>
      </c>
      <c r="O7">
        <v>30.396542</v>
      </c>
      <c r="P7">
        <v>31.023658999999999</v>
      </c>
      <c r="Q7">
        <v>31.704143999999999</v>
      </c>
      <c r="R7">
        <v>32.363785</v>
      </c>
      <c r="S7">
        <v>33.016689</v>
      </c>
      <c r="T7">
        <v>33.551872000000003</v>
      </c>
      <c r="U7">
        <v>33.955024999999999</v>
      </c>
      <c r="V7">
        <v>34.124786</v>
      </c>
      <c r="W7">
        <v>34.061458999999999</v>
      </c>
      <c r="X7">
        <v>33.890647999999999</v>
      </c>
      <c r="Y7">
        <v>33.857697000000002</v>
      </c>
      <c r="Z7">
        <v>33.974369000000003</v>
      </c>
      <c r="AA7">
        <v>34.165622999999997</v>
      </c>
      <c r="AB7">
        <v>34.401736999999997</v>
      </c>
      <c r="AC7">
        <v>34.609074</v>
      </c>
      <c r="AD7">
        <v>34.782435999999997</v>
      </c>
      <c r="AE7" t="s">
        <v>476</v>
      </c>
    </row>
    <row r="8" spans="1:31" x14ac:dyDescent="0.25">
      <c r="A8" t="s">
        <v>225</v>
      </c>
      <c r="B8" t="s">
        <v>500</v>
      </c>
      <c r="C8" t="s">
        <v>501</v>
      </c>
      <c r="D8" t="s">
        <v>499</v>
      </c>
      <c r="E8">
        <v>26.297781000000001</v>
      </c>
      <c r="F8">
        <v>23.841018999999999</v>
      </c>
      <c r="G8">
        <v>24.852819</v>
      </c>
      <c r="H8">
        <v>25.492739</v>
      </c>
      <c r="I8">
        <v>26.044502000000001</v>
      </c>
      <c r="J8">
        <v>26.356546000000002</v>
      </c>
      <c r="K8">
        <v>26.889671</v>
      </c>
      <c r="L8">
        <v>26.986252</v>
      </c>
      <c r="M8">
        <v>27.431294999999999</v>
      </c>
      <c r="N8">
        <v>27.476742000000002</v>
      </c>
      <c r="O8">
        <v>27.74155</v>
      </c>
      <c r="P8">
        <v>27.989231</v>
      </c>
      <c r="Q8">
        <v>28.189903000000001</v>
      </c>
      <c r="R8">
        <v>28.422253000000001</v>
      </c>
      <c r="S8">
        <v>28.565861000000002</v>
      </c>
      <c r="T8">
        <v>28.683637999999998</v>
      </c>
      <c r="U8">
        <v>28.866655000000002</v>
      </c>
      <c r="V8">
        <v>29.028748</v>
      </c>
      <c r="W8">
        <v>29.196307999999998</v>
      </c>
      <c r="X8">
        <v>29.351230999999999</v>
      </c>
      <c r="Y8">
        <v>29.645171999999999</v>
      </c>
      <c r="Z8">
        <v>29.887751000000002</v>
      </c>
      <c r="AA8">
        <v>30.086521000000001</v>
      </c>
      <c r="AB8">
        <v>30.433371000000001</v>
      </c>
      <c r="AC8">
        <v>30.751434</v>
      </c>
      <c r="AD8">
        <v>30.830539999999999</v>
      </c>
      <c r="AE8" t="s">
        <v>502</v>
      </c>
    </row>
    <row r="9" spans="1:31" x14ac:dyDescent="0.25">
      <c r="A9" t="s">
        <v>141</v>
      </c>
      <c r="B9" t="s">
        <v>503</v>
      </c>
      <c r="C9" t="s">
        <v>504</v>
      </c>
      <c r="D9" t="s">
        <v>499</v>
      </c>
      <c r="E9">
        <v>14.672219999999999</v>
      </c>
      <c r="F9">
        <v>13.865501</v>
      </c>
      <c r="G9">
        <v>13.6013</v>
      </c>
      <c r="H9">
        <v>13.618066000000001</v>
      </c>
      <c r="I9">
        <v>13.716167</v>
      </c>
      <c r="J9">
        <v>13.947049</v>
      </c>
      <c r="K9">
        <v>14.105740000000001</v>
      </c>
      <c r="L9">
        <v>14.281732</v>
      </c>
      <c r="M9">
        <v>14.724919999999999</v>
      </c>
      <c r="N9">
        <v>14.845181</v>
      </c>
      <c r="O9">
        <v>15.010983</v>
      </c>
      <c r="P9">
        <v>15.087603</v>
      </c>
      <c r="Q9">
        <v>15.280450999999999</v>
      </c>
      <c r="R9">
        <v>15.384978</v>
      </c>
      <c r="S9">
        <v>15.491961</v>
      </c>
      <c r="T9">
        <v>15.581244999999999</v>
      </c>
      <c r="U9">
        <v>15.632208</v>
      </c>
      <c r="V9">
        <v>15.597161</v>
      </c>
      <c r="W9">
        <v>15.534369</v>
      </c>
      <c r="X9">
        <v>15.445058</v>
      </c>
      <c r="Y9">
        <v>15.434659999999999</v>
      </c>
      <c r="Z9">
        <v>15.500757</v>
      </c>
      <c r="AA9">
        <v>15.579065999999999</v>
      </c>
      <c r="AB9">
        <v>15.646148999999999</v>
      </c>
      <c r="AC9">
        <v>15.709329</v>
      </c>
      <c r="AD9">
        <v>15.750059</v>
      </c>
      <c r="AE9" t="s">
        <v>491</v>
      </c>
    </row>
    <row r="10" spans="1:31" x14ac:dyDescent="0.25">
      <c r="A10" t="s">
        <v>230</v>
      </c>
      <c r="B10" t="s">
        <v>505</v>
      </c>
      <c r="C10" t="s">
        <v>506</v>
      </c>
      <c r="D10" t="s">
        <v>499</v>
      </c>
      <c r="E10">
        <v>48.884673999999997</v>
      </c>
      <c r="F10">
        <v>48.970573000000002</v>
      </c>
      <c r="G10">
        <v>47.876258999999997</v>
      </c>
      <c r="H10">
        <v>46.813107000000002</v>
      </c>
      <c r="I10">
        <v>47.098038000000003</v>
      </c>
      <c r="J10">
        <v>47.575282999999999</v>
      </c>
      <c r="K10">
        <v>48.040816999999997</v>
      </c>
      <c r="L10">
        <v>48.378601000000003</v>
      </c>
      <c r="M10">
        <v>48.737003000000001</v>
      </c>
      <c r="N10">
        <v>49.087418</v>
      </c>
      <c r="O10">
        <v>49.328220000000002</v>
      </c>
      <c r="P10">
        <v>49.554004999999997</v>
      </c>
      <c r="Q10">
        <v>49.935158000000001</v>
      </c>
      <c r="R10">
        <v>50.217533000000003</v>
      </c>
      <c r="S10">
        <v>50.544601</v>
      </c>
      <c r="T10">
        <v>50.909134000000002</v>
      </c>
      <c r="U10">
        <v>51.109844000000002</v>
      </c>
      <c r="V10">
        <v>51.163372000000003</v>
      </c>
      <c r="W10">
        <v>51.117961999999999</v>
      </c>
      <c r="X10">
        <v>51.094760999999998</v>
      </c>
      <c r="Y10">
        <v>50.972771000000002</v>
      </c>
      <c r="Z10">
        <v>51.227134999999997</v>
      </c>
      <c r="AA10">
        <v>51.488990999999999</v>
      </c>
      <c r="AB10">
        <v>51.754013</v>
      </c>
      <c r="AC10">
        <v>51.908321000000001</v>
      </c>
      <c r="AD10">
        <v>52.146388999999999</v>
      </c>
      <c r="AE10" t="s">
        <v>491</v>
      </c>
    </row>
    <row r="11" spans="1:31" x14ac:dyDescent="0.25">
      <c r="A11" t="s">
        <v>233</v>
      </c>
    </row>
    <row r="12" spans="1:31" x14ac:dyDescent="0.25">
      <c r="A12" t="s">
        <v>221</v>
      </c>
      <c r="B12" t="s">
        <v>507</v>
      </c>
      <c r="C12" t="s">
        <v>508</v>
      </c>
      <c r="D12" t="s">
        <v>499</v>
      </c>
      <c r="E12">
        <v>19.614388000000002</v>
      </c>
      <c r="F12">
        <v>17.773503999999999</v>
      </c>
      <c r="G12">
        <v>17.948193</v>
      </c>
      <c r="H12">
        <v>18.789954999999999</v>
      </c>
      <c r="I12">
        <v>19.533926000000001</v>
      </c>
      <c r="J12">
        <v>20.45974</v>
      </c>
      <c r="K12">
        <v>21.646478999999999</v>
      </c>
      <c r="L12">
        <v>22.261966999999999</v>
      </c>
      <c r="M12">
        <v>23.033985000000001</v>
      </c>
      <c r="N12">
        <v>23.463771999999999</v>
      </c>
      <c r="O12">
        <v>23.878844999999998</v>
      </c>
      <c r="P12">
        <v>24.288402999999999</v>
      </c>
      <c r="Q12">
        <v>24.797267999999999</v>
      </c>
      <c r="R12">
        <v>25.276108000000001</v>
      </c>
      <c r="S12">
        <v>25.737418999999999</v>
      </c>
      <c r="T12">
        <v>26.038733000000001</v>
      </c>
      <c r="U12">
        <v>26.222591000000001</v>
      </c>
      <c r="V12">
        <v>26.170380000000002</v>
      </c>
      <c r="W12">
        <v>25.940657000000002</v>
      </c>
      <c r="X12">
        <v>25.712225</v>
      </c>
      <c r="Y12">
        <v>25.750612</v>
      </c>
      <c r="Z12">
        <v>25.935569999999998</v>
      </c>
      <c r="AA12">
        <v>26.134615</v>
      </c>
      <c r="AB12">
        <v>26.339758</v>
      </c>
      <c r="AC12">
        <v>26.472441</v>
      </c>
      <c r="AD12">
        <v>26.56786</v>
      </c>
      <c r="AE12" t="s">
        <v>509</v>
      </c>
    </row>
    <row r="13" spans="1:31" x14ac:dyDescent="0.25">
      <c r="A13" t="s">
        <v>225</v>
      </c>
      <c r="B13" t="s">
        <v>510</v>
      </c>
      <c r="C13" t="s">
        <v>511</v>
      </c>
      <c r="D13" t="s">
        <v>499</v>
      </c>
      <c r="E13">
        <v>26.413055</v>
      </c>
      <c r="F13">
        <v>23.944262999999999</v>
      </c>
      <c r="G13">
        <v>23.787009999999999</v>
      </c>
      <c r="H13">
        <v>23.234953000000001</v>
      </c>
      <c r="I13">
        <v>22.590859999999999</v>
      </c>
      <c r="J13">
        <v>21.649616000000002</v>
      </c>
      <c r="K13">
        <v>21.002818999999999</v>
      </c>
      <c r="L13">
        <v>21.100345999999998</v>
      </c>
      <c r="M13">
        <v>21.906804999999999</v>
      </c>
      <c r="N13">
        <v>21.950171999999998</v>
      </c>
      <c r="O13">
        <v>22.215945999999999</v>
      </c>
      <c r="P13">
        <v>22.432451</v>
      </c>
      <c r="Q13">
        <v>22.700315</v>
      </c>
      <c r="R13">
        <v>22.930136000000001</v>
      </c>
      <c r="S13">
        <v>23.061247000000002</v>
      </c>
      <c r="T13">
        <v>23.163157000000002</v>
      </c>
      <c r="U13">
        <v>23.336281</v>
      </c>
      <c r="V13">
        <v>23.506572999999999</v>
      </c>
      <c r="W13">
        <v>23.667786</v>
      </c>
      <c r="X13">
        <v>23.831994999999999</v>
      </c>
      <c r="Y13">
        <v>24.121313000000001</v>
      </c>
      <c r="Z13">
        <v>24.360191</v>
      </c>
      <c r="AA13">
        <v>24.559891</v>
      </c>
      <c r="AB13">
        <v>24.900385</v>
      </c>
      <c r="AC13">
        <v>25.211373999999999</v>
      </c>
      <c r="AD13">
        <v>25.282532</v>
      </c>
      <c r="AE13" t="s">
        <v>512</v>
      </c>
    </row>
    <row r="14" spans="1:31" x14ac:dyDescent="0.25">
      <c r="A14" t="s">
        <v>238</v>
      </c>
      <c r="B14" t="s">
        <v>513</v>
      </c>
      <c r="C14" t="s">
        <v>514</v>
      </c>
      <c r="D14" t="s">
        <v>499</v>
      </c>
      <c r="E14">
        <v>7.4866789999999996</v>
      </c>
      <c r="F14">
        <v>5.7179929999999999</v>
      </c>
      <c r="G14">
        <v>7.2130679999999998</v>
      </c>
      <c r="H14">
        <v>8.3352599999999999</v>
      </c>
      <c r="I14">
        <v>9.3728239999999996</v>
      </c>
      <c r="J14">
        <v>9.7031150000000004</v>
      </c>
      <c r="K14">
        <v>11.012938</v>
      </c>
      <c r="L14">
        <v>11.044285</v>
      </c>
      <c r="M14">
        <v>11.423374000000001</v>
      </c>
      <c r="N14">
        <v>11.416124999999999</v>
      </c>
      <c r="O14">
        <v>11.730696</v>
      </c>
      <c r="P14">
        <v>11.915172</v>
      </c>
      <c r="Q14">
        <v>12.021229</v>
      </c>
      <c r="R14">
        <v>12.222262000000001</v>
      </c>
      <c r="S14">
        <v>12.36445</v>
      </c>
      <c r="T14">
        <v>12.640309</v>
      </c>
      <c r="U14">
        <v>12.962892999999999</v>
      </c>
      <c r="V14">
        <v>13.141302</v>
      </c>
      <c r="W14">
        <v>13.291031</v>
      </c>
      <c r="X14">
        <v>13.447832999999999</v>
      </c>
      <c r="Y14">
        <v>13.705943</v>
      </c>
      <c r="Z14">
        <v>13.882443</v>
      </c>
      <c r="AA14">
        <v>14.033334</v>
      </c>
      <c r="AB14">
        <v>14.408689000000001</v>
      </c>
      <c r="AC14">
        <v>14.634271999999999</v>
      </c>
      <c r="AD14">
        <v>14.791724</v>
      </c>
      <c r="AE14" t="s">
        <v>515</v>
      </c>
    </row>
    <row r="15" spans="1:31" x14ac:dyDescent="0.25">
      <c r="A15" t="s">
        <v>141</v>
      </c>
      <c r="B15" t="s">
        <v>516</v>
      </c>
      <c r="C15" t="s">
        <v>517</v>
      </c>
      <c r="D15" t="s">
        <v>499</v>
      </c>
      <c r="E15">
        <v>10.354016</v>
      </c>
      <c r="F15">
        <v>9.511374</v>
      </c>
      <c r="G15">
        <v>9.7621730000000007</v>
      </c>
      <c r="H15">
        <v>10.167947</v>
      </c>
      <c r="I15">
        <v>10.630008999999999</v>
      </c>
      <c r="J15">
        <v>11.225421000000001</v>
      </c>
      <c r="K15">
        <v>11.760633</v>
      </c>
      <c r="L15">
        <v>11.919279</v>
      </c>
      <c r="M15">
        <v>12.230326</v>
      </c>
      <c r="N15">
        <v>12.308634</v>
      </c>
      <c r="O15">
        <v>12.450623999999999</v>
      </c>
      <c r="P15">
        <v>12.509456</v>
      </c>
      <c r="Q15">
        <v>12.673752</v>
      </c>
      <c r="R15">
        <v>12.765779999999999</v>
      </c>
      <c r="S15">
        <v>12.863073999999999</v>
      </c>
      <c r="T15">
        <v>12.941274999999999</v>
      </c>
      <c r="U15">
        <v>12.976732</v>
      </c>
      <c r="V15">
        <v>12.925268000000001</v>
      </c>
      <c r="W15">
        <v>12.846539999999999</v>
      </c>
      <c r="X15">
        <v>12.738944</v>
      </c>
      <c r="Y15">
        <v>12.708939000000001</v>
      </c>
      <c r="Z15">
        <v>12.752996</v>
      </c>
      <c r="AA15">
        <v>12.808952</v>
      </c>
      <c r="AB15">
        <v>12.853724</v>
      </c>
      <c r="AC15">
        <v>12.893846999999999</v>
      </c>
      <c r="AD15">
        <v>12.912653000000001</v>
      </c>
      <c r="AE15" t="s">
        <v>518</v>
      </c>
    </row>
    <row r="16" spans="1:31" x14ac:dyDescent="0.25">
      <c r="A16" t="s">
        <v>230</v>
      </c>
      <c r="B16" t="s">
        <v>519</v>
      </c>
      <c r="C16" t="s">
        <v>520</v>
      </c>
      <c r="D16" t="s">
        <v>499</v>
      </c>
      <c r="E16">
        <v>39.505760000000002</v>
      </c>
      <c r="F16">
        <v>39.254784000000001</v>
      </c>
      <c r="G16">
        <v>38.007869999999997</v>
      </c>
      <c r="H16">
        <v>37.027316999999996</v>
      </c>
      <c r="I16">
        <v>37.270535000000002</v>
      </c>
      <c r="J16">
        <v>37.676890999999998</v>
      </c>
      <c r="K16">
        <v>38.013728999999998</v>
      </c>
      <c r="L16">
        <v>38.169567000000001</v>
      </c>
      <c r="M16">
        <v>38.377754000000003</v>
      </c>
      <c r="N16">
        <v>38.628765000000001</v>
      </c>
      <c r="O16">
        <v>38.712333999999998</v>
      </c>
      <c r="P16">
        <v>38.766697000000001</v>
      </c>
      <c r="Q16">
        <v>38.97871</v>
      </c>
      <c r="R16">
        <v>39.113334999999999</v>
      </c>
      <c r="S16">
        <v>39.318199</v>
      </c>
      <c r="T16">
        <v>39.513145000000002</v>
      </c>
      <c r="U16">
        <v>39.528193999999999</v>
      </c>
      <c r="V16">
        <v>39.464728999999998</v>
      </c>
      <c r="W16">
        <v>39.301833999999999</v>
      </c>
      <c r="X16">
        <v>39.165123000000001</v>
      </c>
      <c r="Y16">
        <v>38.864052000000001</v>
      </c>
      <c r="Z16">
        <v>39.004269000000001</v>
      </c>
      <c r="AA16">
        <v>39.126835</v>
      </c>
      <c r="AB16">
        <v>39.262093</v>
      </c>
      <c r="AC16">
        <v>39.271355</v>
      </c>
      <c r="AD16">
        <v>39.370185999999997</v>
      </c>
      <c r="AE16" t="s">
        <v>521</v>
      </c>
    </row>
    <row r="17" spans="1:31" x14ac:dyDescent="0.25">
      <c r="A17" t="s">
        <v>245</v>
      </c>
    </row>
    <row r="18" spans="1:31" x14ac:dyDescent="0.25">
      <c r="A18" t="s">
        <v>221</v>
      </c>
      <c r="B18" t="s">
        <v>522</v>
      </c>
      <c r="C18" t="s">
        <v>523</v>
      </c>
      <c r="D18" t="s">
        <v>499</v>
      </c>
      <c r="E18">
        <v>12.803329</v>
      </c>
      <c r="F18">
        <v>11.070506</v>
      </c>
      <c r="G18">
        <v>11.206452000000001</v>
      </c>
      <c r="H18">
        <v>11.985374</v>
      </c>
      <c r="I18">
        <v>12.701867999999999</v>
      </c>
      <c r="J18">
        <v>13.610707</v>
      </c>
      <c r="K18">
        <v>14.804296000000001</v>
      </c>
      <c r="L18">
        <v>15.449719999999999</v>
      </c>
      <c r="M18">
        <v>15.938817999999999</v>
      </c>
      <c r="N18">
        <v>16.397631000000001</v>
      </c>
      <c r="O18">
        <v>16.843964</v>
      </c>
      <c r="P18">
        <v>17.287839999999999</v>
      </c>
      <c r="Q18">
        <v>17.796278000000001</v>
      </c>
      <c r="R18">
        <v>18.323847000000001</v>
      </c>
      <c r="S18">
        <v>18.837675000000001</v>
      </c>
      <c r="T18">
        <v>19.180520999999999</v>
      </c>
      <c r="U18">
        <v>19.393515000000001</v>
      </c>
      <c r="V18">
        <v>19.345053</v>
      </c>
      <c r="W18">
        <v>19.097935</v>
      </c>
      <c r="X18">
        <v>18.849525</v>
      </c>
      <c r="Y18">
        <v>18.891359000000001</v>
      </c>
      <c r="Z18">
        <v>19.097252000000001</v>
      </c>
      <c r="AA18">
        <v>19.322502</v>
      </c>
      <c r="AB18">
        <v>19.556145000000001</v>
      </c>
      <c r="AC18">
        <v>19.710878000000001</v>
      </c>
      <c r="AD18">
        <v>19.823609999999999</v>
      </c>
      <c r="AE18" t="s">
        <v>474</v>
      </c>
    </row>
    <row r="19" spans="1:31" x14ac:dyDescent="0.25">
      <c r="A19" t="s">
        <v>225</v>
      </c>
      <c r="B19" t="s">
        <v>524</v>
      </c>
      <c r="C19" t="s">
        <v>525</v>
      </c>
      <c r="D19" t="s">
        <v>499</v>
      </c>
      <c r="E19">
        <v>26.296053000000001</v>
      </c>
      <c r="F19">
        <v>23.833601000000002</v>
      </c>
      <c r="G19">
        <v>23.638857000000002</v>
      </c>
      <c r="H19">
        <v>23.038036000000002</v>
      </c>
      <c r="I19">
        <v>22.345837</v>
      </c>
      <c r="J19">
        <v>21.403448000000001</v>
      </c>
      <c r="K19">
        <v>20.701951999999999</v>
      </c>
      <c r="L19">
        <v>20.792048000000001</v>
      </c>
      <c r="M19">
        <v>21.235609</v>
      </c>
      <c r="N19">
        <v>21.284655000000001</v>
      </c>
      <c r="O19">
        <v>21.554102</v>
      </c>
      <c r="P19">
        <v>21.790516</v>
      </c>
      <c r="Q19">
        <v>21.993568</v>
      </c>
      <c r="R19">
        <v>22.218029000000001</v>
      </c>
      <c r="S19">
        <v>22.360265999999999</v>
      </c>
      <c r="T19">
        <v>22.468481000000001</v>
      </c>
      <c r="U19">
        <v>22.646592999999999</v>
      </c>
      <c r="V19">
        <v>22.818218000000002</v>
      </c>
      <c r="W19">
        <v>22.982804999999999</v>
      </c>
      <c r="X19">
        <v>23.14827</v>
      </c>
      <c r="Y19">
        <v>23.446985000000002</v>
      </c>
      <c r="Z19">
        <v>23.691965</v>
      </c>
      <c r="AA19">
        <v>23.897724</v>
      </c>
      <c r="AB19">
        <v>24.253218</v>
      </c>
      <c r="AC19">
        <v>24.570868999999998</v>
      </c>
      <c r="AD19">
        <v>24.648555999999999</v>
      </c>
      <c r="AE19" t="s">
        <v>526</v>
      </c>
    </row>
    <row r="20" spans="1:31" x14ac:dyDescent="0.25">
      <c r="A20" t="s">
        <v>238</v>
      </c>
      <c r="B20" t="s">
        <v>527</v>
      </c>
      <c r="C20" t="s">
        <v>528</v>
      </c>
      <c r="D20" t="s">
        <v>499</v>
      </c>
      <c r="E20">
        <v>8.6605709999999991</v>
      </c>
      <c r="F20">
        <v>6.7155670000000001</v>
      </c>
      <c r="G20">
        <v>8.5220380000000002</v>
      </c>
      <c r="H20">
        <v>9.8736689999999996</v>
      </c>
      <c r="I20">
        <v>11.099524000000001</v>
      </c>
      <c r="J20">
        <v>11.661168</v>
      </c>
      <c r="K20">
        <v>13.208466</v>
      </c>
      <c r="L20">
        <v>13.227586000000001</v>
      </c>
      <c r="M20">
        <v>13.603676999999999</v>
      </c>
      <c r="N20">
        <v>13.60303</v>
      </c>
      <c r="O20">
        <v>13.923897</v>
      </c>
      <c r="P20">
        <v>14.127029</v>
      </c>
      <c r="Q20">
        <v>14.243969999999999</v>
      </c>
      <c r="R20">
        <v>14.455325</v>
      </c>
      <c r="S20">
        <v>14.636956</v>
      </c>
      <c r="T20">
        <v>14.920377999999999</v>
      </c>
      <c r="U20">
        <v>15.235559</v>
      </c>
      <c r="V20">
        <v>15.414781</v>
      </c>
      <c r="W20">
        <v>15.551310000000001</v>
      </c>
      <c r="X20">
        <v>15.699274000000001</v>
      </c>
      <c r="Y20">
        <v>15.955344</v>
      </c>
      <c r="Z20">
        <v>16.133853999999999</v>
      </c>
      <c r="AA20">
        <v>16.286076000000001</v>
      </c>
      <c r="AB20">
        <v>16.658579</v>
      </c>
      <c r="AC20">
        <v>16.881129999999999</v>
      </c>
      <c r="AD20">
        <v>16.995433999999999</v>
      </c>
      <c r="AE20" t="s">
        <v>529</v>
      </c>
    </row>
    <row r="21" spans="1:31" x14ac:dyDescent="0.25">
      <c r="A21" t="s">
        <v>141</v>
      </c>
      <c r="B21" t="s">
        <v>530</v>
      </c>
      <c r="C21" t="s">
        <v>531</v>
      </c>
      <c r="D21" t="s">
        <v>499</v>
      </c>
      <c r="E21">
        <v>4.5055800000000001</v>
      </c>
      <c r="F21">
        <v>4.7623139999999999</v>
      </c>
      <c r="G21">
        <v>4.6532809999999998</v>
      </c>
      <c r="H21">
        <v>4.7632009999999996</v>
      </c>
      <c r="I21">
        <v>4.8691509999999996</v>
      </c>
      <c r="J21">
        <v>5.3318430000000001</v>
      </c>
      <c r="K21">
        <v>5.6033210000000002</v>
      </c>
      <c r="L21">
        <v>5.7323510000000004</v>
      </c>
      <c r="M21">
        <v>5.7296950000000004</v>
      </c>
      <c r="N21">
        <v>5.7532519999999998</v>
      </c>
      <c r="O21">
        <v>5.8331819999999999</v>
      </c>
      <c r="P21">
        <v>5.8940950000000001</v>
      </c>
      <c r="Q21">
        <v>5.9545560000000002</v>
      </c>
      <c r="R21">
        <v>6.014329</v>
      </c>
      <c r="S21">
        <v>6.0858470000000002</v>
      </c>
      <c r="T21">
        <v>6.137111</v>
      </c>
      <c r="U21">
        <v>6.0971149999999996</v>
      </c>
      <c r="V21">
        <v>5.9186290000000001</v>
      </c>
      <c r="W21">
        <v>5.6850040000000002</v>
      </c>
      <c r="X21">
        <v>5.4595700000000003</v>
      </c>
      <c r="Y21">
        <v>5.3523899999999998</v>
      </c>
      <c r="Z21">
        <v>5.3454959999999998</v>
      </c>
      <c r="AA21">
        <v>5.3585589999999996</v>
      </c>
      <c r="AB21">
        <v>5.3605989999999997</v>
      </c>
      <c r="AC21">
        <v>5.3421240000000001</v>
      </c>
      <c r="AD21">
        <v>5.3048640000000002</v>
      </c>
      <c r="AE21" t="s">
        <v>532</v>
      </c>
    </row>
    <row r="22" spans="1:31" x14ac:dyDescent="0.25">
      <c r="A22" t="s">
        <v>254</v>
      </c>
      <c r="B22" t="s">
        <v>533</v>
      </c>
      <c r="C22" t="s">
        <v>534</v>
      </c>
      <c r="D22" t="s">
        <v>499</v>
      </c>
      <c r="E22">
        <v>6.4173830000000001</v>
      </c>
      <c r="F22">
        <v>6.4206510000000003</v>
      </c>
      <c r="G22">
        <v>6.4261860000000004</v>
      </c>
      <c r="H22">
        <v>6.4388719999999999</v>
      </c>
      <c r="I22">
        <v>6.4306429999999999</v>
      </c>
      <c r="J22">
        <v>6.4452379999999998</v>
      </c>
      <c r="K22">
        <v>6.4288220000000003</v>
      </c>
      <c r="L22">
        <v>6.450939</v>
      </c>
      <c r="M22">
        <v>6.4487930000000002</v>
      </c>
      <c r="N22">
        <v>6.4276619999999998</v>
      </c>
      <c r="O22">
        <v>6.4315420000000003</v>
      </c>
      <c r="P22">
        <v>6.3967359999999998</v>
      </c>
      <c r="Q22">
        <v>6.4021189999999999</v>
      </c>
      <c r="R22">
        <v>6.3992680000000002</v>
      </c>
      <c r="S22">
        <v>6.3692909999999996</v>
      </c>
      <c r="T22">
        <v>6.3729829999999996</v>
      </c>
      <c r="U22">
        <v>6.3628539999999996</v>
      </c>
      <c r="V22">
        <v>6.3515819999999996</v>
      </c>
      <c r="W22">
        <v>6.3468689999999999</v>
      </c>
      <c r="X22">
        <v>6.3368409999999997</v>
      </c>
      <c r="Y22">
        <v>6.3410890000000002</v>
      </c>
      <c r="Z22">
        <v>6.3328819999999997</v>
      </c>
      <c r="AA22">
        <v>6.3433619999999999</v>
      </c>
      <c r="AB22">
        <v>6.3517770000000002</v>
      </c>
      <c r="AC22">
        <v>6.326384</v>
      </c>
      <c r="AD22">
        <v>6.3207449999999996</v>
      </c>
      <c r="AE22" t="s">
        <v>535</v>
      </c>
    </row>
    <row r="23" spans="1:31" x14ac:dyDescent="0.25">
      <c r="A23" t="s">
        <v>257</v>
      </c>
      <c r="B23" t="s">
        <v>536</v>
      </c>
      <c r="C23" t="s">
        <v>537</v>
      </c>
      <c r="D23" t="s">
        <v>499</v>
      </c>
      <c r="E23">
        <v>3.995581</v>
      </c>
      <c r="F23">
        <v>3.8562609999999999</v>
      </c>
      <c r="G23">
        <v>3.7645249999999999</v>
      </c>
      <c r="H23">
        <v>3.7579479999999998</v>
      </c>
      <c r="I23">
        <v>3.7634180000000002</v>
      </c>
      <c r="J23">
        <v>3.7328869999999998</v>
      </c>
      <c r="K23">
        <v>3.7308530000000002</v>
      </c>
      <c r="L23">
        <v>3.7146789999999998</v>
      </c>
      <c r="M23">
        <v>3.7076220000000002</v>
      </c>
      <c r="N23">
        <v>3.6888010000000002</v>
      </c>
      <c r="O23">
        <v>3.6768320000000001</v>
      </c>
      <c r="P23">
        <v>3.6764139999999998</v>
      </c>
      <c r="Q23">
        <v>3.6818879999999998</v>
      </c>
      <c r="R23">
        <v>3.688266</v>
      </c>
      <c r="S23">
        <v>3.6740370000000002</v>
      </c>
      <c r="T23">
        <v>3.6895009999999999</v>
      </c>
      <c r="U23">
        <v>3.6878160000000002</v>
      </c>
      <c r="V23">
        <v>3.694248</v>
      </c>
      <c r="W23">
        <v>3.6930329999999998</v>
      </c>
      <c r="X23">
        <v>3.6912829999999999</v>
      </c>
      <c r="Y23">
        <v>3.6945950000000001</v>
      </c>
      <c r="Z23">
        <v>3.684059</v>
      </c>
      <c r="AA23">
        <v>3.691954</v>
      </c>
      <c r="AB23">
        <v>3.702715</v>
      </c>
      <c r="AC23">
        <v>3.7337210000000001</v>
      </c>
      <c r="AD23">
        <v>3.7339869999999999</v>
      </c>
      <c r="AE23" t="s">
        <v>526</v>
      </c>
    </row>
    <row r="24" spans="1:31" x14ac:dyDescent="0.25">
      <c r="A24" t="s">
        <v>260</v>
      </c>
      <c r="B24" t="s">
        <v>538</v>
      </c>
      <c r="C24" t="s">
        <v>539</v>
      </c>
      <c r="D24" t="s">
        <v>499</v>
      </c>
      <c r="E24">
        <v>11.501232999999999</v>
      </c>
      <c r="F24">
        <v>11.889143000000001</v>
      </c>
      <c r="G24">
        <v>11.882795</v>
      </c>
      <c r="H24">
        <v>12.018814000000001</v>
      </c>
      <c r="I24">
        <v>12.101516</v>
      </c>
      <c r="J24">
        <v>12.795125000000001</v>
      </c>
      <c r="K24">
        <v>13.078889999999999</v>
      </c>
      <c r="L24">
        <v>13.222678999999999</v>
      </c>
      <c r="M24">
        <v>13.297701999999999</v>
      </c>
      <c r="N24">
        <v>13.326264999999999</v>
      </c>
      <c r="O24">
        <v>13.258114000000001</v>
      </c>
      <c r="P24">
        <v>13.428031000000001</v>
      </c>
      <c r="Q24">
        <v>13.448741</v>
      </c>
      <c r="R24">
        <v>13.548419000000001</v>
      </c>
      <c r="S24">
        <v>13.640568999999999</v>
      </c>
      <c r="T24">
        <v>13.690514</v>
      </c>
      <c r="U24">
        <v>13.610089</v>
      </c>
      <c r="V24">
        <v>13.418937</v>
      </c>
      <c r="W24">
        <v>13.098224</v>
      </c>
      <c r="X24">
        <v>12.831071</v>
      </c>
      <c r="Y24">
        <v>12.693265999999999</v>
      </c>
      <c r="Z24">
        <v>12.639281</v>
      </c>
      <c r="AA24">
        <v>12.648698</v>
      </c>
      <c r="AB24">
        <v>12.653786999999999</v>
      </c>
      <c r="AC24">
        <v>12.621601</v>
      </c>
      <c r="AD24">
        <v>12.580778</v>
      </c>
      <c r="AE24" t="s">
        <v>540</v>
      </c>
    </row>
    <row r="25" spans="1:31" x14ac:dyDescent="0.25">
      <c r="A25" t="s">
        <v>230</v>
      </c>
      <c r="B25" t="s">
        <v>541</v>
      </c>
      <c r="C25" t="s">
        <v>542</v>
      </c>
      <c r="D25" t="s">
        <v>499</v>
      </c>
      <c r="E25">
        <v>26.595725999999999</v>
      </c>
      <c r="F25">
        <v>26.456028</v>
      </c>
      <c r="G25">
        <v>25.259416999999999</v>
      </c>
      <c r="H25">
        <v>24.603380000000001</v>
      </c>
      <c r="I25">
        <v>24.805864</v>
      </c>
      <c r="J25">
        <v>25.174835000000002</v>
      </c>
      <c r="K25">
        <v>25.531858</v>
      </c>
      <c r="L25">
        <v>25.659849000000001</v>
      </c>
      <c r="M25">
        <v>25.863104</v>
      </c>
      <c r="N25">
        <v>25.987514000000001</v>
      </c>
      <c r="O25">
        <v>26.078087</v>
      </c>
      <c r="P25">
        <v>26.141869</v>
      </c>
      <c r="Q25">
        <v>26.270350000000001</v>
      </c>
      <c r="R25">
        <v>26.342881999999999</v>
      </c>
      <c r="S25">
        <v>26.495277000000002</v>
      </c>
      <c r="T25">
        <v>26.657043000000002</v>
      </c>
      <c r="U25">
        <v>26.650555000000001</v>
      </c>
      <c r="V25">
        <v>26.505461</v>
      </c>
      <c r="W25">
        <v>26.353251</v>
      </c>
      <c r="X25">
        <v>26.213222999999999</v>
      </c>
      <c r="Y25">
        <v>26.001282</v>
      </c>
      <c r="Z25">
        <v>26.135300000000001</v>
      </c>
      <c r="AA25">
        <v>26.219656000000001</v>
      </c>
      <c r="AB25">
        <v>26.274857999999998</v>
      </c>
      <c r="AC25">
        <v>26.257725000000001</v>
      </c>
      <c r="AD25">
        <v>26.297056000000001</v>
      </c>
      <c r="AE25" t="s">
        <v>521</v>
      </c>
    </row>
    <row r="26" spans="1:31" x14ac:dyDescent="0.25">
      <c r="A26" t="s">
        <v>265</v>
      </c>
    </row>
    <row r="27" spans="1:31" x14ac:dyDescent="0.25">
      <c r="A27" t="s">
        <v>221</v>
      </c>
      <c r="B27" t="s">
        <v>543</v>
      </c>
      <c r="C27" t="s">
        <v>544</v>
      </c>
      <c r="D27" t="s">
        <v>499</v>
      </c>
      <c r="E27">
        <v>18.230301000000001</v>
      </c>
      <c r="F27">
        <v>16.552263</v>
      </c>
      <c r="G27">
        <v>16.820892000000001</v>
      </c>
      <c r="H27">
        <v>17.604309000000001</v>
      </c>
      <c r="I27">
        <v>18.241240000000001</v>
      </c>
      <c r="J27">
        <v>19.043061999999999</v>
      </c>
      <c r="K27">
        <v>20.069946000000002</v>
      </c>
      <c r="L27">
        <v>20.552720999999998</v>
      </c>
      <c r="M27">
        <v>21.146692000000002</v>
      </c>
      <c r="N27">
        <v>21.506077000000001</v>
      </c>
      <c r="O27">
        <v>21.854965</v>
      </c>
      <c r="P27">
        <v>22.199589</v>
      </c>
      <c r="Q27">
        <v>22.626128999999999</v>
      </c>
      <c r="R27">
        <v>23.029554000000001</v>
      </c>
      <c r="S27">
        <v>23.415109999999999</v>
      </c>
      <c r="T27">
        <v>23.656842999999999</v>
      </c>
      <c r="U27">
        <v>23.802323999999999</v>
      </c>
      <c r="V27">
        <v>23.743452000000001</v>
      </c>
      <c r="W27">
        <v>23.539431</v>
      </c>
      <c r="X27">
        <v>23.348461</v>
      </c>
      <c r="Y27">
        <v>23.399086</v>
      </c>
      <c r="Z27">
        <v>23.566379999999999</v>
      </c>
      <c r="AA27">
        <v>23.736201999999999</v>
      </c>
      <c r="AB27">
        <v>23.909195</v>
      </c>
      <c r="AC27">
        <v>24.016408999999999</v>
      </c>
      <c r="AD27">
        <v>24.094131000000001</v>
      </c>
      <c r="AE27" t="s">
        <v>476</v>
      </c>
    </row>
    <row r="28" spans="1:31" x14ac:dyDescent="0.25">
      <c r="A28" t="s">
        <v>268</v>
      </c>
      <c r="B28" t="s">
        <v>545</v>
      </c>
      <c r="C28" t="s">
        <v>546</v>
      </c>
      <c r="D28" t="s">
        <v>499</v>
      </c>
      <c r="E28">
        <v>30.587164000000001</v>
      </c>
      <c r="F28">
        <v>30.36919</v>
      </c>
      <c r="G28">
        <v>28.677047999999999</v>
      </c>
      <c r="H28">
        <v>28.205500000000001</v>
      </c>
      <c r="I28">
        <v>28.333576000000001</v>
      </c>
      <c r="J28">
        <v>27.906960000000002</v>
      </c>
      <c r="K28">
        <v>28.297533000000001</v>
      </c>
      <c r="L28">
        <v>28.363213999999999</v>
      </c>
      <c r="M28">
        <v>28.906786</v>
      </c>
      <c r="N28">
        <v>29.033493</v>
      </c>
      <c r="O28">
        <v>29.410183</v>
      </c>
      <c r="P28">
        <v>29.609521999999998</v>
      </c>
      <c r="Q28">
        <v>30.050383</v>
      </c>
      <c r="R28">
        <v>30.233578000000001</v>
      </c>
      <c r="S28">
        <v>30.387833000000001</v>
      </c>
      <c r="T28">
        <v>30.462471000000001</v>
      </c>
      <c r="U28">
        <v>30.467457</v>
      </c>
      <c r="V28">
        <v>30.653212</v>
      </c>
      <c r="W28">
        <v>30.740496</v>
      </c>
      <c r="X28">
        <v>30.804456999999999</v>
      </c>
      <c r="Y28">
        <v>31.101137000000001</v>
      </c>
      <c r="Z28">
        <v>31.114100000000001</v>
      </c>
      <c r="AA28">
        <v>31.294554000000002</v>
      </c>
      <c r="AB28">
        <v>31.505431999999999</v>
      </c>
      <c r="AC28">
        <v>31.763110999999999</v>
      </c>
      <c r="AD28">
        <v>31.845535000000002</v>
      </c>
      <c r="AE28" t="s">
        <v>547</v>
      </c>
    </row>
    <row r="29" spans="1:31" x14ac:dyDescent="0.25">
      <c r="A29" t="s">
        <v>271</v>
      </c>
      <c r="B29" t="s">
        <v>548</v>
      </c>
      <c r="C29" t="s">
        <v>549</v>
      </c>
      <c r="D29" t="s">
        <v>499</v>
      </c>
      <c r="E29">
        <v>26.463598000000001</v>
      </c>
      <c r="F29">
        <v>24.831171000000001</v>
      </c>
      <c r="G29">
        <v>23.518367999999999</v>
      </c>
      <c r="H29">
        <v>23.004743999999999</v>
      </c>
      <c r="I29">
        <v>23.038350999999999</v>
      </c>
      <c r="J29">
        <v>23.289743000000001</v>
      </c>
      <c r="K29">
        <v>23.568688999999999</v>
      </c>
      <c r="L29">
        <v>23.684021000000001</v>
      </c>
      <c r="M29">
        <v>24.450918000000001</v>
      </c>
      <c r="N29">
        <v>24.526551999999999</v>
      </c>
      <c r="O29">
        <v>24.818318999999999</v>
      </c>
      <c r="P29">
        <v>24.988810999999998</v>
      </c>
      <c r="Q29">
        <v>25.278088</v>
      </c>
      <c r="R29">
        <v>25.447396999999999</v>
      </c>
      <c r="S29">
        <v>25.542393000000001</v>
      </c>
      <c r="T29">
        <v>25.600280999999999</v>
      </c>
      <c r="U29">
        <v>25.635570999999999</v>
      </c>
      <c r="V29">
        <v>25.792300999999998</v>
      </c>
      <c r="W29">
        <v>25.817257000000001</v>
      </c>
      <c r="X29">
        <v>25.846589999999999</v>
      </c>
      <c r="Y29">
        <v>26.046752999999999</v>
      </c>
      <c r="Z29">
        <v>26.044968000000001</v>
      </c>
      <c r="AA29">
        <v>26.291129999999999</v>
      </c>
      <c r="AB29">
        <v>26.432317999999999</v>
      </c>
      <c r="AC29">
        <v>26.660412000000001</v>
      </c>
      <c r="AD29">
        <v>26.726423</v>
      </c>
      <c r="AE29" t="s">
        <v>494</v>
      </c>
    </row>
    <row r="30" spans="1:31" x14ac:dyDescent="0.25">
      <c r="A30" t="s">
        <v>274</v>
      </c>
      <c r="B30" t="s">
        <v>550</v>
      </c>
      <c r="C30" t="s">
        <v>551</v>
      </c>
      <c r="D30" t="s">
        <v>499</v>
      </c>
      <c r="E30">
        <v>16.24399</v>
      </c>
      <c r="F30">
        <v>14.4871</v>
      </c>
      <c r="G30">
        <v>15.513252</v>
      </c>
      <c r="H30">
        <v>16.039639999999999</v>
      </c>
      <c r="I30">
        <v>16.462814000000002</v>
      </c>
      <c r="J30">
        <v>16.312712000000001</v>
      </c>
      <c r="K30">
        <v>16.804510000000001</v>
      </c>
      <c r="L30">
        <v>16.986189</v>
      </c>
      <c r="M30">
        <v>17.484210999999998</v>
      </c>
      <c r="N30">
        <v>17.613973999999999</v>
      </c>
      <c r="O30">
        <v>17.961834</v>
      </c>
      <c r="P30">
        <v>18.126895999999999</v>
      </c>
      <c r="Q30">
        <v>18.469297000000001</v>
      </c>
      <c r="R30">
        <v>18.758896</v>
      </c>
      <c r="S30">
        <v>18.889296000000002</v>
      </c>
      <c r="T30">
        <v>19.018702999999999</v>
      </c>
      <c r="U30">
        <v>19.250025000000001</v>
      </c>
      <c r="V30">
        <v>19.479724999999998</v>
      </c>
      <c r="W30">
        <v>19.698156000000001</v>
      </c>
      <c r="X30">
        <v>19.915534999999998</v>
      </c>
      <c r="Y30">
        <v>20.284185000000001</v>
      </c>
      <c r="Z30">
        <v>20.584662999999999</v>
      </c>
      <c r="AA30">
        <v>20.832339999999999</v>
      </c>
      <c r="AB30">
        <v>21.223341000000001</v>
      </c>
      <c r="AC30">
        <v>21.568563000000001</v>
      </c>
      <c r="AD30">
        <v>21.66478</v>
      </c>
      <c r="AE30" t="s">
        <v>509</v>
      </c>
    </row>
    <row r="31" spans="1:31" x14ac:dyDescent="0.25">
      <c r="A31" t="s">
        <v>277</v>
      </c>
      <c r="B31" t="s">
        <v>552</v>
      </c>
      <c r="C31" t="s">
        <v>553</v>
      </c>
      <c r="D31" t="s">
        <v>499</v>
      </c>
      <c r="E31">
        <v>26.549246</v>
      </c>
      <c r="F31">
        <v>24.754401999999999</v>
      </c>
      <c r="G31">
        <v>25.146049000000001</v>
      </c>
      <c r="H31">
        <v>25.384148</v>
      </c>
      <c r="I31">
        <v>25.486162</v>
      </c>
      <c r="J31">
        <v>25.511884999999999</v>
      </c>
      <c r="K31">
        <v>25.44924</v>
      </c>
      <c r="L31">
        <v>25.436337999999999</v>
      </c>
      <c r="M31">
        <v>26.519082999999998</v>
      </c>
      <c r="N31">
        <v>26.532316000000002</v>
      </c>
      <c r="O31">
        <v>26.699427</v>
      </c>
      <c r="P31">
        <v>27.012765999999999</v>
      </c>
      <c r="Q31">
        <v>27.328849999999999</v>
      </c>
      <c r="R31">
        <v>27.564703000000002</v>
      </c>
      <c r="S31">
        <v>27.733108999999999</v>
      </c>
      <c r="T31">
        <v>27.806481999999999</v>
      </c>
      <c r="U31">
        <v>27.91873</v>
      </c>
      <c r="V31">
        <v>28.089151000000001</v>
      </c>
      <c r="W31">
        <v>28.242386</v>
      </c>
      <c r="X31">
        <v>28.371828000000001</v>
      </c>
      <c r="Y31">
        <v>28.690002</v>
      </c>
      <c r="Z31">
        <v>28.967188</v>
      </c>
      <c r="AA31">
        <v>29.070974</v>
      </c>
      <c r="AB31">
        <v>29.503574</v>
      </c>
      <c r="AC31">
        <v>29.858740000000001</v>
      </c>
      <c r="AD31">
        <v>29.888165999999998</v>
      </c>
      <c r="AE31" t="s">
        <v>554</v>
      </c>
    </row>
    <row r="32" spans="1:31" x14ac:dyDescent="0.25">
      <c r="A32" t="s">
        <v>238</v>
      </c>
      <c r="B32" t="s">
        <v>555</v>
      </c>
      <c r="C32" t="s">
        <v>556</v>
      </c>
      <c r="D32" t="s">
        <v>499</v>
      </c>
      <c r="E32">
        <v>11.500686999999999</v>
      </c>
      <c r="F32">
        <v>8.9310349999999996</v>
      </c>
      <c r="G32">
        <v>9.9921640000000007</v>
      </c>
      <c r="H32">
        <v>10.493447</v>
      </c>
      <c r="I32">
        <v>10.883081000000001</v>
      </c>
      <c r="J32">
        <v>10.811728</v>
      </c>
      <c r="K32">
        <v>11.481400000000001</v>
      </c>
      <c r="L32">
        <v>11.471012999999999</v>
      </c>
      <c r="M32">
        <v>11.732704</v>
      </c>
      <c r="N32">
        <v>11.796239999999999</v>
      </c>
      <c r="O32">
        <v>11.959019</v>
      </c>
      <c r="P32">
        <v>12.090819</v>
      </c>
      <c r="Q32">
        <v>12.152659999999999</v>
      </c>
      <c r="R32">
        <v>12.296811</v>
      </c>
      <c r="S32">
        <v>12.393431</v>
      </c>
      <c r="T32">
        <v>12.606598999999999</v>
      </c>
      <c r="U32">
        <v>12.850626999999999</v>
      </c>
      <c r="V32">
        <v>12.981843</v>
      </c>
      <c r="W32">
        <v>13.100346</v>
      </c>
      <c r="X32">
        <v>13.21874</v>
      </c>
      <c r="Y32">
        <v>13.412381999999999</v>
      </c>
      <c r="Z32">
        <v>13.543149</v>
      </c>
      <c r="AA32">
        <v>13.652481</v>
      </c>
      <c r="AB32">
        <v>13.942176999999999</v>
      </c>
      <c r="AC32">
        <v>14.112513</v>
      </c>
      <c r="AD32">
        <v>14.196051000000001</v>
      </c>
      <c r="AE32" t="s">
        <v>557</v>
      </c>
    </row>
    <row r="33" spans="1:31" x14ac:dyDescent="0.25">
      <c r="A33" t="s">
        <v>141</v>
      </c>
      <c r="B33" t="s">
        <v>558</v>
      </c>
      <c r="C33" t="s">
        <v>559</v>
      </c>
      <c r="D33" t="s">
        <v>499</v>
      </c>
      <c r="E33">
        <v>17.201744000000001</v>
      </c>
      <c r="F33">
        <v>17.367626000000001</v>
      </c>
      <c r="G33">
        <v>17.20513</v>
      </c>
      <c r="H33">
        <v>17.230906999999998</v>
      </c>
      <c r="I33">
        <v>17.254618000000001</v>
      </c>
      <c r="J33">
        <v>17.582851000000002</v>
      </c>
      <c r="K33">
        <v>17.762487</v>
      </c>
      <c r="L33">
        <v>17.762170999999999</v>
      </c>
      <c r="M33">
        <v>18.35153</v>
      </c>
      <c r="N33">
        <v>18.259518</v>
      </c>
      <c r="O33">
        <v>18.228081</v>
      </c>
      <c r="P33">
        <v>18.170092</v>
      </c>
      <c r="Q33">
        <v>18.233153999999999</v>
      </c>
      <c r="R33">
        <v>18.165154999999999</v>
      </c>
      <c r="S33">
        <v>18.111384999999999</v>
      </c>
      <c r="T33">
        <v>18.037727</v>
      </c>
      <c r="U33">
        <v>17.903182999999999</v>
      </c>
      <c r="V33">
        <v>17.632200000000001</v>
      </c>
      <c r="W33">
        <v>17.322299999999998</v>
      </c>
      <c r="X33">
        <v>17.006471999999999</v>
      </c>
      <c r="Y33">
        <v>16.781309</v>
      </c>
      <c r="Z33">
        <v>16.668741000000001</v>
      </c>
      <c r="AA33">
        <v>16.575771</v>
      </c>
      <c r="AB33">
        <v>16.473714999999999</v>
      </c>
      <c r="AC33">
        <v>16.353365</v>
      </c>
      <c r="AD33">
        <v>16.210370999999999</v>
      </c>
      <c r="AE33" t="s">
        <v>512</v>
      </c>
    </row>
    <row r="34" spans="1:31" x14ac:dyDescent="0.25">
      <c r="A34" t="s">
        <v>260</v>
      </c>
      <c r="B34" t="s">
        <v>560</v>
      </c>
      <c r="C34" t="s">
        <v>561</v>
      </c>
      <c r="D34" t="s">
        <v>499</v>
      </c>
      <c r="E34">
        <v>62.374836000000002</v>
      </c>
      <c r="F34">
        <v>62.746746000000002</v>
      </c>
      <c r="G34">
        <v>62.738456999999997</v>
      </c>
      <c r="H34">
        <v>63.015265999999997</v>
      </c>
      <c r="I34">
        <v>63.048782000000003</v>
      </c>
      <c r="J34">
        <v>63.657555000000002</v>
      </c>
      <c r="K34">
        <v>64.013808999999995</v>
      </c>
      <c r="L34">
        <v>64.172545999999997</v>
      </c>
      <c r="M34">
        <v>63.995075</v>
      </c>
      <c r="N34">
        <v>64.052963000000005</v>
      </c>
      <c r="O34">
        <v>64.015572000000006</v>
      </c>
      <c r="P34">
        <v>64.193886000000006</v>
      </c>
      <c r="Q34">
        <v>64.200798000000006</v>
      </c>
      <c r="R34">
        <v>64.280997999999997</v>
      </c>
      <c r="S34">
        <v>64.319580000000002</v>
      </c>
      <c r="T34">
        <v>64.383681999999993</v>
      </c>
      <c r="U34">
        <v>64.349739</v>
      </c>
      <c r="V34">
        <v>64.173012</v>
      </c>
      <c r="W34">
        <v>63.824421000000001</v>
      </c>
      <c r="X34">
        <v>63.489322999999999</v>
      </c>
      <c r="Y34">
        <v>63.327376999999998</v>
      </c>
      <c r="Z34">
        <v>63.308292000000002</v>
      </c>
      <c r="AA34">
        <v>63.319298000000003</v>
      </c>
      <c r="AB34">
        <v>63.316147000000001</v>
      </c>
      <c r="AC34">
        <v>63.268272000000003</v>
      </c>
      <c r="AD34">
        <v>63.212685</v>
      </c>
      <c r="AE34" t="s">
        <v>562</v>
      </c>
    </row>
    <row r="35" spans="1:31" x14ac:dyDescent="0.25">
      <c r="A35" t="s">
        <v>230</v>
      </c>
      <c r="B35" t="s">
        <v>563</v>
      </c>
      <c r="C35" t="s">
        <v>564</v>
      </c>
      <c r="D35" t="s">
        <v>499</v>
      </c>
      <c r="E35">
        <v>45.167717000000003</v>
      </c>
      <c r="F35">
        <v>45.211803000000003</v>
      </c>
      <c r="G35">
        <v>43.827430999999997</v>
      </c>
      <c r="H35">
        <v>42.073334000000003</v>
      </c>
      <c r="I35">
        <v>42.334553</v>
      </c>
      <c r="J35">
        <v>42.817829000000003</v>
      </c>
      <c r="K35">
        <v>42.929927999999997</v>
      </c>
      <c r="L35">
        <v>42.931519000000002</v>
      </c>
      <c r="M35">
        <v>43.020789999999998</v>
      </c>
      <c r="N35">
        <v>43.47242</v>
      </c>
      <c r="O35">
        <v>43.645496000000001</v>
      </c>
      <c r="P35">
        <v>43.821452999999998</v>
      </c>
      <c r="Q35">
        <v>44.27552</v>
      </c>
      <c r="R35">
        <v>44.603706000000003</v>
      </c>
      <c r="S35">
        <v>44.946266000000001</v>
      </c>
      <c r="T35">
        <v>45.146526000000001</v>
      </c>
      <c r="U35">
        <v>45.177844999999998</v>
      </c>
      <c r="V35">
        <v>45.216254999999997</v>
      </c>
      <c r="W35">
        <v>45.159939000000001</v>
      </c>
      <c r="X35">
        <v>45.161937999999999</v>
      </c>
      <c r="Y35">
        <v>45.029476000000003</v>
      </c>
      <c r="Z35">
        <v>45.154152000000003</v>
      </c>
      <c r="AA35">
        <v>45.380164999999998</v>
      </c>
      <c r="AB35">
        <v>45.611682999999999</v>
      </c>
      <c r="AC35">
        <v>45.634093999999997</v>
      </c>
      <c r="AD35">
        <v>45.765835000000003</v>
      </c>
      <c r="AE35" t="s">
        <v>562</v>
      </c>
    </row>
    <row r="36" spans="1:31" x14ac:dyDescent="0.25">
      <c r="A36" t="s">
        <v>288</v>
      </c>
    </row>
    <row r="37" spans="1:31" x14ac:dyDescent="0.25">
      <c r="A37" t="s">
        <v>225</v>
      </c>
      <c r="B37" t="s">
        <v>565</v>
      </c>
      <c r="C37" t="s">
        <v>566</v>
      </c>
      <c r="D37" t="s">
        <v>499</v>
      </c>
      <c r="E37">
        <v>26.278624000000001</v>
      </c>
      <c r="F37">
        <v>23.833960000000001</v>
      </c>
      <c r="G37">
        <v>23.667581999999999</v>
      </c>
      <c r="H37">
        <v>23.076699999999999</v>
      </c>
      <c r="I37">
        <v>22.468192999999999</v>
      </c>
      <c r="J37">
        <v>21.169487</v>
      </c>
      <c r="K37">
        <v>20.318287000000002</v>
      </c>
      <c r="L37">
        <v>20.499811000000001</v>
      </c>
      <c r="M37">
        <v>20.884249000000001</v>
      </c>
      <c r="N37">
        <v>20.985835999999999</v>
      </c>
      <c r="O37">
        <v>21.269566000000001</v>
      </c>
      <c r="P37">
        <v>21.363935000000001</v>
      </c>
      <c r="Q37">
        <v>21.671391</v>
      </c>
      <c r="R37">
        <v>21.886341000000002</v>
      </c>
      <c r="S37">
        <v>21.976655999999998</v>
      </c>
      <c r="T37">
        <v>22.051749999999998</v>
      </c>
      <c r="U37">
        <v>22.177374</v>
      </c>
      <c r="V37">
        <v>22.304358000000001</v>
      </c>
      <c r="W37">
        <v>22.457405000000001</v>
      </c>
      <c r="X37">
        <v>22.544127</v>
      </c>
      <c r="Y37">
        <v>22.767513000000001</v>
      </c>
      <c r="Z37">
        <v>23.029613000000001</v>
      </c>
      <c r="AA37">
        <v>23.194906</v>
      </c>
      <c r="AB37">
        <v>23.517213999999999</v>
      </c>
      <c r="AC37">
        <v>23.876028000000002</v>
      </c>
      <c r="AD37">
        <v>23.956614999999999</v>
      </c>
      <c r="AE37" t="s">
        <v>567</v>
      </c>
    </row>
    <row r="38" spans="1:31" x14ac:dyDescent="0.25">
      <c r="A38" t="s">
        <v>238</v>
      </c>
      <c r="B38" t="s">
        <v>568</v>
      </c>
      <c r="C38" t="s">
        <v>569</v>
      </c>
      <c r="D38" t="s">
        <v>499</v>
      </c>
      <c r="E38">
        <v>15.195043</v>
      </c>
      <c r="F38">
        <v>11.392761</v>
      </c>
      <c r="G38">
        <v>12.551583000000001</v>
      </c>
      <c r="H38">
        <v>13.300132</v>
      </c>
      <c r="I38">
        <v>13.720533</v>
      </c>
      <c r="J38">
        <v>13.623014</v>
      </c>
      <c r="K38">
        <v>14.514481999999999</v>
      </c>
      <c r="L38">
        <v>14.386336999999999</v>
      </c>
      <c r="M38">
        <v>14.620388999999999</v>
      </c>
      <c r="N38">
        <v>14.717921</v>
      </c>
      <c r="O38">
        <v>14.781165</v>
      </c>
      <c r="P38">
        <v>14.877487</v>
      </c>
      <c r="Q38">
        <v>14.899772</v>
      </c>
      <c r="R38">
        <v>14.996532</v>
      </c>
      <c r="S38">
        <v>15.101749999999999</v>
      </c>
      <c r="T38">
        <v>15.246218000000001</v>
      </c>
      <c r="U38">
        <v>15.251704999999999</v>
      </c>
      <c r="V38">
        <v>15.076466</v>
      </c>
      <c r="W38">
        <v>14.716722000000001</v>
      </c>
      <c r="X38">
        <v>14.241821</v>
      </c>
      <c r="Y38">
        <v>13.642545999999999</v>
      </c>
      <c r="Z38">
        <v>13.774843000000001</v>
      </c>
      <c r="AA38">
        <v>13.929864</v>
      </c>
      <c r="AB38">
        <v>14.288076999999999</v>
      </c>
      <c r="AC38">
        <v>14.514351</v>
      </c>
      <c r="AD38">
        <v>14.621839</v>
      </c>
      <c r="AE38" t="s">
        <v>512</v>
      </c>
    </row>
    <row r="39" spans="1:31" x14ac:dyDescent="0.25">
      <c r="A39" t="s">
        <v>141</v>
      </c>
      <c r="B39" t="s">
        <v>570</v>
      </c>
      <c r="C39" t="s">
        <v>571</v>
      </c>
      <c r="D39" t="s">
        <v>499</v>
      </c>
      <c r="E39">
        <v>3.8086660000000001</v>
      </c>
      <c r="F39">
        <v>3.9961380000000002</v>
      </c>
      <c r="G39">
        <v>3.8418549999999998</v>
      </c>
      <c r="H39">
        <v>3.9038390000000001</v>
      </c>
      <c r="I39">
        <v>4.0223579999999997</v>
      </c>
      <c r="J39">
        <v>4.4885929999999998</v>
      </c>
      <c r="K39">
        <v>4.8071089999999996</v>
      </c>
      <c r="L39">
        <v>4.8677530000000004</v>
      </c>
      <c r="M39">
        <v>4.8616390000000003</v>
      </c>
      <c r="N39">
        <v>4.9217959999999996</v>
      </c>
      <c r="O39">
        <v>4.9078799999999996</v>
      </c>
      <c r="P39">
        <v>4.9911940000000001</v>
      </c>
      <c r="Q39">
        <v>5.1027750000000003</v>
      </c>
      <c r="R39">
        <v>5.0704700000000003</v>
      </c>
      <c r="S39">
        <v>5.1779919999999997</v>
      </c>
      <c r="T39">
        <v>5.2102550000000001</v>
      </c>
      <c r="U39">
        <v>5.1400969999999999</v>
      </c>
      <c r="V39">
        <v>4.9792449999999997</v>
      </c>
      <c r="W39">
        <v>4.8031779999999999</v>
      </c>
      <c r="X39">
        <v>4.6188770000000003</v>
      </c>
      <c r="Y39">
        <v>4.4972940000000001</v>
      </c>
      <c r="Z39">
        <v>4.4766849999999998</v>
      </c>
      <c r="AA39">
        <v>4.468712</v>
      </c>
      <c r="AB39">
        <v>4.4901249999999999</v>
      </c>
      <c r="AC39">
        <v>4.4821049999999998</v>
      </c>
      <c r="AD39">
        <v>4.4605689999999996</v>
      </c>
      <c r="AE39" t="s">
        <v>502</v>
      </c>
    </row>
    <row r="40" spans="1:31" x14ac:dyDescent="0.25">
      <c r="A40" t="s">
        <v>295</v>
      </c>
      <c r="B40" t="s">
        <v>572</v>
      </c>
      <c r="C40" t="s">
        <v>573</v>
      </c>
      <c r="D40" t="s">
        <v>499</v>
      </c>
      <c r="E40">
        <v>2.563418</v>
      </c>
      <c r="F40">
        <v>2.517128</v>
      </c>
      <c r="G40">
        <v>2.4761769999999999</v>
      </c>
      <c r="H40">
        <v>2.4604339999999998</v>
      </c>
      <c r="I40">
        <v>2.4535979999999999</v>
      </c>
      <c r="J40">
        <v>2.4654240000000001</v>
      </c>
      <c r="K40">
        <v>2.420226</v>
      </c>
      <c r="L40">
        <v>2.4049230000000001</v>
      </c>
      <c r="M40">
        <v>2.399562</v>
      </c>
      <c r="N40">
        <v>2.3788399999999998</v>
      </c>
      <c r="O40">
        <v>2.3768729999999998</v>
      </c>
      <c r="P40">
        <v>2.373297</v>
      </c>
      <c r="Q40">
        <v>2.4124629999999998</v>
      </c>
      <c r="R40">
        <v>2.4174259999999999</v>
      </c>
      <c r="S40">
        <v>2.4346030000000001</v>
      </c>
      <c r="T40">
        <v>2.4404759999999999</v>
      </c>
      <c r="U40">
        <v>2.4332989999999999</v>
      </c>
      <c r="V40">
        <v>2.4310619999999998</v>
      </c>
      <c r="W40">
        <v>2.4407299999999998</v>
      </c>
      <c r="X40">
        <v>2.4316520000000001</v>
      </c>
      <c r="Y40">
        <v>2.4418959999999998</v>
      </c>
      <c r="Z40">
        <v>2.4550960000000002</v>
      </c>
      <c r="AA40">
        <v>2.4648059999999998</v>
      </c>
      <c r="AB40">
        <v>2.4736319999999998</v>
      </c>
      <c r="AC40">
        <v>2.5034019999999999</v>
      </c>
      <c r="AD40">
        <v>2.5036860000000001</v>
      </c>
      <c r="AE40" t="s">
        <v>535</v>
      </c>
    </row>
    <row r="41" spans="1:31" x14ac:dyDescent="0.25">
      <c r="A41" t="s">
        <v>574</v>
      </c>
      <c r="B41" t="s">
        <v>575</v>
      </c>
      <c r="C41" t="s">
        <v>576</v>
      </c>
      <c r="D41" t="s">
        <v>499</v>
      </c>
      <c r="E41">
        <v>0.54999699999999996</v>
      </c>
      <c r="F41">
        <v>0.545068</v>
      </c>
      <c r="G41">
        <v>0.54408299999999998</v>
      </c>
      <c r="H41">
        <v>0.54211100000000001</v>
      </c>
      <c r="I41">
        <v>0.54013999999999995</v>
      </c>
      <c r="J41">
        <v>0.53816900000000001</v>
      </c>
      <c r="K41">
        <v>0.53521200000000002</v>
      </c>
      <c r="L41">
        <v>0.53225500000000003</v>
      </c>
      <c r="M41">
        <v>0.52929800000000005</v>
      </c>
      <c r="N41">
        <v>0.52535500000000002</v>
      </c>
      <c r="O41">
        <v>0.52141300000000002</v>
      </c>
      <c r="P41">
        <v>0.51746999999999999</v>
      </c>
      <c r="Q41">
        <v>0.514513</v>
      </c>
      <c r="R41">
        <v>0.51155600000000001</v>
      </c>
      <c r="S41">
        <v>0.50859900000000002</v>
      </c>
      <c r="T41">
        <v>0.50465599999999999</v>
      </c>
      <c r="U41">
        <v>0.50169900000000001</v>
      </c>
      <c r="V41">
        <v>0.49775700000000001</v>
      </c>
      <c r="W41">
        <v>0.49480000000000002</v>
      </c>
      <c r="X41">
        <v>0.49085699999999999</v>
      </c>
      <c r="Y41">
        <v>0.48691499999999999</v>
      </c>
      <c r="Z41">
        <v>0.48297200000000001</v>
      </c>
      <c r="AA41">
        <v>0.48001500000000002</v>
      </c>
      <c r="AB41">
        <v>0.476072</v>
      </c>
      <c r="AC41">
        <v>0.47212999999999999</v>
      </c>
      <c r="AD41">
        <v>0.46818700000000002</v>
      </c>
      <c r="AE41" t="s">
        <v>577</v>
      </c>
    </row>
    <row r="42" spans="1:31" x14ac:dyDescent="0.25">
      <c r="A42" t="s">
        <v>260</v>
      </c>
      <c r="B42" t="s">
        <v>578</v>
      </c>
      <c r="C42" t="s">
        <v>579</v>
      </c>
      <c r="D42" t="s">
        <v>499</v>
      </c>
      <c r="E42">
        <v>11.501232999999999</v>
      </c>
      <c r="F42">
        <v>11.889143000000001</v>
      </c>
      <c r="G42">
        <v>11.882795</v>
      </c>
      <c r="H42">
        <v>12.018814000000001</v>
      </c>
      <c r="I42">
        <v>12.101516</v>
      </c>
      <c r="J42">
        <v>12.795125000000001</v>
      </c>
      <c r="K42">
        <v>13.078889999999999</v>
      </c>
      <c r="L42">
        <v>13.222678999999999</v>
      </c>
      <c r="M42">
        <v>13.297701999999999</v>
      </c>
      <c r="N42">
        <v>13.326264999999999</v>
      </c>
      <c r="O42">
        <v>13.258114000000001</v>
      </c>
      <c r="P42">
        <v>13.428031000000001</v>
      </c>
      <c r="Q42">
        <v>13.448741</v>
      </c>
      <c r="R42">
        <v>13.548419000000001</v>
      </c>
      <c r="S42">
        <v>13.640568999999999</v>
      </c>
      <c r="T42">
        <v>13.690514</v>
      </c>
      <c r="U42">
        <v>13.610089</v>
      </c>
      <c r="V42">
        <v>13.418937</v>
      </c>
      <c r="W42">
        <v>13.098224</v>
      </c>
      <c r="X42">
        <v>12.831071</v>
      </c>
      <c r="Y42">
        <v>12.693265999999999</v>
      </c>
      <c r="Z42">
        <v>12.639281</v>
      </c>
      <c r="AA42">
        <v>12.648698</v>
      </c>
      <c r="AB42">
        <v>12.653786999999999</v>
      </c>
      <c r="AC42">
        <v>12.621601</v>
      </c>
      <c r="AD42">
        <v>12.580778</v>
      </c>
      <c r="AE42" t="s">
        <v>540</v>
      </c>
    </row>
    <row r="43" spans="1:31" x14ac:dyDescent="0.25">
      <c r="A43" t="s">
        <v>302</v>
      </c>
    </row>
    <row r="44" spans="1:31" x14ac:dyDescent="0.25">
      <c r="A44" t="s">
        <v>221</v>
      </c>
      <c r="B44" t="s">
        <v>580</v>
      </c>
      <c r="C44" t="s">
        <v>581</v>
      </c>
      <c r="D44" t="s">
        <v>499</v>
      </c>
      <c r="E44">
        <v>22.702044000000001</v>
      </c>
      <c r="F44">
        <v>22.011320000000001</v>
      </c>
      <c r="G44">
        <v>19.890574999999998</v>
      </c>
      <c r="H44">
        <v>20.410050999999999</v>
      </c>
      <c r="I44">
        <v>21.036221000000001</v>
      </c>
      <c r="J44">
        <v>21.90551</v>
      </c>
      <c r="K44">
        <v>23.090216000000002</v>
      </c>
      <c r="L44">
        <v>23.818688999999999</v>
      </c>
      <c r="M44">
        <v>24.668346</v>
      </c>
      <c r="N44">
        <v>25.227968000000001</v>
      </c>
      <c r="O44">
        <v>25.747188999999999</v>
      </c>
      <c r="P44">
        <v>26.245014000000001</v>
      </c>
      <c r="Q44">
        <v>26.785838999999999</v>
      </c>
      <c r="R44">
        <v>27.313734</v>
      </c>
      <c r="S44">
        <v>27.835369</v>
      </c>
      <c r="T44">
        <v>28.224968000000001</v>
      </c>
      <c r="U44">
        <v>28.504121999999999</v>
      </c>
      <c r="V44">
        <v>28.541236999999999</v>
      </c>
      <c r="W44">
        <v>28.373795000000001</v>
      </c>
      <c r="X44">
        <v>28.155215999999999</v>
      </c>
      <c r="Y44">
        <v>28.14237</v>
      </c>
      <c r="Z44">
        <v>28.278894000000001</v>
      </c>
      <c r="AA44">
        <v>28.458743999999999</v>
      </c>
      <c r="AB44">
        <v>28.665367</v>
      </c>
      <c r="AC44">
        <v>28.819272999999999</v>
      </c>
      <c r="AD44">
        <v>28.935324000000001</v>
      </c>
      <c r="AE44" t="s">
        <v>582</v>
      </c>
    </row>
    <row r="45" spans="1:31" x14ac:dyDescent="0.25">
      <c r="A45" t="s">
        <v>268</v>
      </c>
      <c r="B45" t="s">
        <v>583</v>
      </c>
      <c r="C45" t="s">
        <v>584</v>
      </c>
      <c r="D45" t="s">
        <v>499</v>
      </c>
      <c r="E45">
        <v>30.587164000000001</v>
      </c>
      <c r="F45">
        <v>30.36919</v>
      </c>
      <c r="G45">
        <v>28.677047999999999</v>
      </c>
      <c r="H45">
        <v>28.205500000000001</v>
      </c>
      <c r="I45">
        <v>28.333576000000001</v>
      </c>
      <c r="J45">
        <v>27.906960000000002</v>
      </c>
      <c r="K45">
        <v>28.297533000000001</v>
      </c>
      <c r="L45">
        <v>28.363213999999999</v>
      </c>
      <c r="M45">
        <v>28.906786</v>
      </c>
      <c r="N45">
        <v>29.033493</v>
      </c>
      <c r="O45">
        <v>29.410183</v>
      </c>
      <c r="P45">
        <v>29.609521999999998</v>
      </c>
      <c r="Q45">
        <v>30.050383</v>
      </c>
      <c r="R45">
        <v>30.233578000000001</v>
      </c>
      <c r="S45">
        <v>30.387833000000001</v>
      </c>
      <c r="T45">
        <v>30.462471000000001</v>
      </c>
      <c r="U45">
        <v>30.467457</v>
      </c>
      <c r="V45">
        <v>30.653212</v>
      </c>
      <c r="W45">
        <v>30.740496</v>
      </c>
      <c r="X45">
        <v>30.804456999999999</v>
      </c>
      <c r="Y45">
        <v>31.101137000000001</v>
      </c>
      <c r="Z45">
        <v>31.114100000000001</v>
      </c>
      <c r="AA45">
        <v>31.294554000000002</v>
      </c>
      <c r="AB45">
        <v>31.505431999999999</v>
      </c>
      <c r="AC45">
        <v>31.763110999999999</v>
      </c>
      <c r="AD45">
        <v>31.845535000000002</v>
      </c>
      <c r="AE45" t="s">
        <v>547</v>
      </c>
    </row>
    <row r="46" spans="1:31" x14ac:dyDescent="0.25">
      <c r="A46" t="s">
        <v>271</v>
      </c>
      <c r="B46" t="s">
        <v>585</v>
      </c>
      <c r="C46" t="s">
        <v>586</v>
      </c>
      <c r="D46" t="s">
        <v>499</v>
      </c>
      <c r="E46">
        <v>26.495358</v>
      </c>
      <c r="F46">
        <v>24.872758999999999</v>
      </c>
      <c r="G46">
        <v>23.603987</v>
      </c>
      <c r="H46">
        <v>23.102118999999998</v>
      </c>
      <c r="I46">
        <v>23.124382000000001</v>
      </c>
      <c r="J46">
        <v>23.349243000000001</v>
      </c>
      <c r="K46">
        <v>23.592162999999999</v>
      </c>
      <c r="L46">
        <v>23.708321000000002</v>
      </c>
      <c r="M46">
        <v>24.476206000000001</v>
      </c>
      <c r="N46">
        <v>24.552603000000001</v>
      </c>
      <c r="O46">
        <v>24.845331000000002</v>
      </c>
      <c r="P46">
        <v>25.016808999999999</v>
      </c>
      <c r="Q46">
        <v>25.307272000000001</v>
      </c>
      <c r="R46">
        <v>25.477606000000002</v>
      </c>
      <c r="S46">
        <v>25.573629</v>
      </c>
      <c r="T46">
        <v>25.632380999999999</v>
      </c>
      <c r="U46">
        <v>25.668381</v>
      </c>
      <c r="V46">
        <v>25.825890999999999</v>
      </c>
      <c r="W46">
        <v>25.851852000000001</v>
      </c>
      <c r="X46">
        <v>25.881882000000001</v>
      </c>
      <c r="Y46">
        <v>26.082901</v>
      </c>
      <c r="Z46">
        <v>26.081779000000001</v>
      </c>
      <c r="AA46">
        <v>26.328762000000001</v>
      </c>
      <c r="AB46">
        <v>26.4711</v>
      </c>
      <c r="AC46">
        <v>26.700232</v>
      </c>
      <c r="AD46">
        <v>26.767040000000001</v>
      </c>
      <c r="AE46" t="s">
        <v>494</v>
      </c>
    </row>
    <row r="47" spans="1:31" x14ac:dyDescent="0.25">
      <c r="A47" t="s">
        <v>274</v>
      </c>
      <c r="B47" t="s">
        <v>587</v>
      </c>
      <c r="C47" t="s">
        <v>588</v>
      </c>
      <c r="D47" t="s">
        <v>499</v>
      </c>
      <c r="E47">
        <v>16.24399</v>
      </c>
      <c r="F47">
        <v>14.4871</v>
      </c>
      <c r="G47">
        <v>15.513252</v>
      </c>
      <c r="H47">
        <v>16.039639999999999</v>
      </c>
      <c r="I47">
        <v>16.462814000000002</v>
      </c>
      <c r="J47">
        <v>16.312712000000001</v>
      </c>
      <c r="K47">
        <v>16.804510000000001</v>
      </c>
      <c r="L47">
        <v>16.986189</v>
      </c>
      <c r="M47">
        <v>17.484210999999998</v>
      </c>
      <c r="N47">
        <v>17.613973999999999</v>
      </c>
      <c r="O47">
        <v>17.961834</v>
      </c>
      <c r="P47">
        <v>18.126895999999999</v>
      </c>
      <c r="Q47">
        <v>18.469297000000001</v>
      </c>
      <c r="R47">
        <v>18.758896</v>
      </c>
      <c r="S47">
        <v>18.889296000000002</v>
      </c>
      <c r="T47">
        <v>19.018702999999999</v>
      </c>
      <c r="U47">
        <v>19.250025000000001</v>
      </c>
      <c r="V47">
        <v>19.479724999999998</v>
      </c>
      <c r="W47">
        <v>19.698156000000001</v>
      </c>
      <c r="X47">
        <v>19.915534999999998</v>
      </c>
      <c r="Y47">
        <v>20.284185000000001</v>
      </c>
      <c r="Z47">
        <v>20.584662999999999</v>
      </c>
      <c r="AA47">
        <v>20.832339999999999</v>
      </c>
      <c r="AB47">
        <v>21.223341000000001</v>
      </c>
      <c r="AC47">
        <v>21.568563000000001</v>
      </c>
      <c r="AD47">
        <v>21.66478</v>
      </c>
      <c r="AE47" t="s">
        <v>509</v>
      </c>
    </row>
    <row r="48" spans="1:31" x14ac:dyDescent="0.25">
      <c r="A48" t="s">
        <v>225</v>
      </c>
      <c r="B48" t="s">
        <v>589</v>
      </c>
      <c r="C48" t="s">
        <v>590</v>
      </c>
      <c r="D48" t="s">
        <v>499</v>
      </c>
      <c r="E48">
        <v>26.483619999999998</v>
      </c>
      <c r="F48">
        <v>24.537634000000001</v>
      </c>
      <c r="G48">
        <v>24.933686999999999</v>
      </c>
      <c r="H48">
        <v>24.947424000000002</v>
      </c>
      <c r="I48">
        <v>24.864519000000001</v>
      </c>
      <c r="J48">
        <v>24.596664000000001</v>
      </c>
      <c r="K48">
        <v>24.478802000000002</v>
      </c>
      <c r="L48">
        <v>24.558308</v>
      </c>
      <c r="M48">
        <v>25.454048</v>
      </c>
      <c r="N48">
        <v>25.480737999999999</v>
      </c>
      <c r="O48">
        <v>25.735588</v>
      </c>
      <c r="P48">
        <v>25.989059000000001</v>
      </c>
      <c r="Q48">
        <v>26.231991000000001</v>
      </c>
      <c r="R48">
        <v>26.447695</v>
      </c>
      <c r="S48">
        <v>26.592919999999999</v>
      </c>
      <c r="T48">
        <v>26.702435999999999</v>
      </c>
      <c r="U48">
        <v>26.871062999999999</v>
      </c>
      <c r="V48">
        <v>27.024204000000001</v>
      </c>
      <c r="W48">
        <v>27.179129</v>
      </c>
      <c r="X48">
        <v>27.326934999999999</v>
      </c>
      <c r="Y48">
        <v>27.619408</v>
      </c>
      <c r="Z48">
        <v>27.856705000000002</v>
      </c>
      <c r="AA48">
        <v>28.047062</v>
      </c>
      <c r="AB48">
        <v>28.40428</v>
      </c>
      <c r="AC48">
        <v>28.716272</v>
      </c>
      <c r="AD48">
        <v>28.790123000000001</v>
      </c>
      <c r="AE48" t="s">
        <v>491</v>
      </c>
    </row>
    <row r="49" spans="1:31" x14ac:dyDescent="0.25">
      <c r="A49" t="s">
        <v>238</v>
      </c>
      <c r="B49" t="s">
        <v>591</v>
      </c>
      <c r="C49" t="s">
        <v>592</v>
      </c>
      <c r="D49" t="s">
        <v>499</v>
      </c>
      <c r="E49">
        <v>11.658543999999999</v>
      </c>
      <c r="F49">
        <v>9.0185379999999995</v>
      </c>
      <c r="G49">
        <v>10.140831</v>
      </c>
      <c r="H49">
        <v>10.694611</v>
      </c>
      <c r="I49">
        <v>11.126874000000001</v>
      </c>
      <c r="J49">
        <v>11.083372000000001</v>
      </c>
      <c r="K49">
        <v>11.808846000000001</v>
      </c>
      <c r="L49">
        <v>11.781062</v>
      </c>
      <c r="M49">
        <v>12.035919</v>
      </c>
      <c r="N49">
        <v>12.088141</v>
      </c>
      <c r="O49">
        <v>12.242559</v>
      </c>
      <c r="P49">
        <v>12.36689</v>
      </c>
      <c r="Q49">
        <v>12.420006000000001</v>
      </c>
      <c r="R49">
        <v>12.556001999999999</v>
      </c>
      <c r="S49">
        <v>12.649469</v>
      </c>
      <c r="T49">
        <v>12.854072</v>
      </c>
      <c r="U49">
        <v>13.074571000000001</v>
      </c>
      <c r="V49">
        <v>13.178183000000001</v>
      </c>
      <c r="W49">
        <v>13.263780000000001</v>
      </c>
      <c r="X49">
        <v>13.350979000000001</v>
      </c>
      <c r="Y49">
        <v>13.516272000000001</v>
      </c>
      <c r="Z49">
        <v>13.647000999999999</v>
      </c>
      <c r="AA49">
        <v>13.757747</v>
      </c>
      <c r="AB49">
        <v>14.050404</v>
      </c>
      <c r="AC49">
        <v>14.222381</v>
      </c>
      <c r="AD49">
        <v>14.306244</v>
      </c>
      <c r="AE49" t="s">
        <v>557</v>
      </c>
    </row>
    <row r="50" spans="1:31" x14ac:dyDescent="0.25">
      <c r="A50" t="s">
        <v>141</v>
      </c>
      <c r="B50" t="s">
        <v>593</v>
      </c>
      <c r="C50" t="s">
        <v>594</v>
      </c>
      <c r="D50" t="s">
        <v>499</v>
      </c>
      <c r="E50">
        <v>6.5553980000000003</v>
      </c>
      <c r="F50">
        <v>6.4045670000000001</v>
      </c>
      <c r="G50">
        <v>6.4727680000000003</v>
      </c>
      <c r="H50">
        <v>6.6042339999999999</v>
      </c>
      <c r="I50">
        <v>6.7728330000000003</v>
      </c>
      <c r="J50">
        <v>7.2275159999999996</v>
      </c>
      <c r="K50">
        <v>7.4738040000000003</v>
      </c>
      <c r="L50">
        <v>7.5573170000000003</v>
      </c>
      <c r="M50">
        <v>7.6466209999999997</v>
      </c>
      <c r="N50">
        <v>7.6921869999999997</v>
      </c>
      <c r="O50">
        <v>7.7549450000000002</v>
      </c>
      <c r="P50">
        <v>7.8222060000000004</v>
      </c>
      <c r="Q50">
        <v>7.9148230000000002</v>
      </c>
      <c r="R50">
        <v>7.9248079999999996</v>
      </c>
      <c r="S50">
        <v>7.998958</v>
      </c>
      <c r="T50">
        <v>8.0220470000000006</v>
      </c>
      <c r="U50">
        <v>7.9680059999999999</v>
      </c>
      <c r="V50">
        <v>7.7988600000000003</v>
      </c>
      <c r="W50">
        <v>7.5909719999999998</v>
      </c>
      <c r="X50">
        <v>7.3794019999999998</v>
      </c>
      <c r="Y50">
        <v>7.2518359999999999</v>
      </c>
      <c r="Z50">
        <v>7.2183539999999997</v>
      </c>
      <c r="AA50">
        <v>7.2061529999999996</v>
      </c>
      <c r="AB50">
        <v>7.2016710000000002</v>
      </c>
      <c r="AC50">
        <v>7.1753049999999998</v>
      </c>
      <c r="AD50">
        <v>7.1387070000000001</v>
      </c>
      <c r="AE50" t="s">
        <v>491</v>
      </c>
    </row>
    <row r="51" spans="1:31" x14ac:dyDescent="0.25">
      <c r="A51" t="s">
        <v>254</v>
      </c>
      <c r="B51" t="s">
        <v>595</v>
      </c>
      <c r="C51" t="s">
        <v>596</v>
      </c>
      <c r="D51" t="s">
        <v>499</v>
      </c>
      <c r="E51">
        <v>6.4173830000000001</v>
      </c>
      <c r="F51">
        <v>6.4206510000000003</v>
      </c>
      <c r="G51">
        <v>6.4261860000000004</v>
      </c>
      <c r="H51">
        <v>6.4388719999999999</v>
      </c>
      <c r="I51">
        <v>6.4306429999999999</v>
      </c>
      <c r="J51">
        <v>6.4452379999999998</v>
      </c>
      <c r="K51">
        <v>6.4288220000000003</v>
      </c>
      <c r="L51">
        <v>6.450939</v>
      </c>
      <c r="M51">
        <v>6.4487930000000002</v>
      </c>
      <c r="N51">
        <v>6.4276619999999998</v>
      </c>
      <c r="O51">
        <v>6.4315420000000003</v>
      </c>
      <c r="P51">
        <v>6.3967359999999998</v>
      </c>
      <c r="Q51">
        <v>6.4021189999999999</v>
      </c>
      <c r="R51">
        <v>6.3992680000000002</v>
      </c>
      <c r="S51">
        <v>6.3692909999999996</v>
      </c>
      <c r="T51">
        <v>6.3729829999999996</v>
      </c>
      <c r="U51">
        <v>6.3628539999999996</v>
      </c>
      <c r="V51">
        <v>6.3515819999999996</v>
      </c>
      <c r="W51">
        <v>6.3468689999999999</v>
      </c>
      <c r="X51">
        <v>6.3368409999999997</v>
      </c>
      <c r="Y51">
        <v>6.3410890000000002</v>
      </c>
      <c r="Z51">
        <v>6.3328819999999997</v>
      </c>
      <c r="AA51">
        <v>6.3433619999999999</v>
      </c>
      <c r="AB51">
        <v>6.3517770000000002</v>
      </c>
      <c r="AC51">
        <v>6.326384</v>
      </c>
      <c r="AD51">
        <v>6.3207449999999996</v>
      </c>
      <c r="AE51" t="s">
        <v>535</v>
      </c>
    </row>
    <row r="52" spans="1:31" x14ac:dyDescent="0.25">
      <c r="A52" t="s">
        <v>319</v>
      </c>
      <c r="B52" t="s">
        <v>597</v>
      </c>
      <c r="C52" t="s">
        <v>598</v>
      </c>
      <c r="D52" t="s">
        <v>499</v>
      </c>
      <c r="E52">
        <v>2.6385459999999998</v>
      </c>
      <c r="F52">
        <v>2.585531</v>
      </c>
      <c r="G52">
        <v>2.5474290000000002</v>
      </c>
      <c r="H52">
        <v>2.5397210000000001</v>
      </c>
      <c r="I52">
        <v>2.5344030000000002</v>
      </c>
      <c r="J52">
        <v>2.5434350000000001</v>
      </c>
      <c r="K52">
        <v>2.5147390000000001</v>
      </c>
      <c r="L52">
        <v>2.5074879999999999</v>
      </c>
      <c r="M52">
        <v>2.5057369999999999</v>
      </c>
      <c r="N52">
        <v>2.4910679999999998</v>
      </c>
      <c r="O52">
        <v>2.4884080000000002</v>
      </c>
      <c r="P52">
        <v>2.486011</v>
      </c>
      <c r="Q52">
        <v>2.5231050000000002</v>
      </c>
      <c r="R52">
        <v>2.5270739999999998</v>
      </c>
      <c r="S52">
        <v>2.5411060000000001</v>
      </c>
      <c r="T52">
        <v>2.5509050000000002</v>
      </c>
      <c r="U52">
        <v>2.5454910000000002</v>
      </c>
      <c r="V52">
        <v>2.54495</v>
      </c>
      <c r="W52">
        <v>2.555517</v>
      </c>
      <c r="X52">
        <v>2.5482399999999998</v>
      </c>
      <c r="Y52">
        <v>2.5584159999999998</v>
      </c>
      <c r="Z52">
        <v>2.5702219999999998</v>
      </c>
      <c r="AA52">
        <v>2.5779070000000002</v>
      </c>
      <c r="AB52">
        <v>2.5856650000000001</v>
      </c>
      <c r="AC52">
        <v>2.6178140000000001</v>
      </c>
      <c r="AD52">
        <v>2.6227580000000001</v>
      </c>
      <c r="AE52" t="s">
        <v>521</v>
      </c>
    </row>
    <row r="53" spans="1:31" x14ac:dyDescent="0.25">
      <c r="A53" t="s">
        <v>260</v>
      </c>
      <c r="B53" t="s">
        <v>599</v>
      </c>
      <c r="C53" t="s">
        <v>600</v>
      </c>
      <c r="D53" t="s">
        <v>499</v>
      </c>
      <c r="E53">
        <v>11.520918</v>
      </c>
      <c r="F53">
        <v>11.909079999999999</v>
      </c>
      <c r="G53">
        <v>11.901854</v>
      </c>
      <c r="H53">
        <v>12.036937</v>
      </c>
      <c r="I53">
        <v>12.11853</v>
      </c>
      <c r="J53">
        <v>12.81115</v>
      </c>
      <c r="K53">
        <v>13.09416</v>
      </c>
      <c r="L53">
        <v>13.236961000000001</v>
      </c>
      <c r="M53">
        <v>13.310853</v>
      </c>
      <c r="N53">
        <v>13.338182</v>
      </c>
      <c r="O53">
        <v>13.268966000000001</v>
      </c>
      <c r="P53">
        <v>13.437925</v>
      </c>
      <c r="Q53">
        <v>13.457554</v>
      </c>
      <c r="R53">
        <v>13.556302000000001</v>
      </c>
      <c r="S53">
        <v>13.647576000000001</v>
      </c>
      <c r="T53">
        <v>13.696771</v>
      </c>
      <c r="U53">
        <v>13.615613</v>
      </c>
      <c r="V53">
        <v>13.423871</v>
      </c>
      <c r="W53">
        <v>13.102622999999999</v>
      </c>
      <c r="X53">
        <v>12.835016</v>
      </c>
      <c r="Y53">
        <v>12.696754</v>
      </c>
      <c r="Z53">
        <v>12.642459000000001</v>
      </c>
      <c r="AA53">
        <v>12.651646</v>
      </c>
      <c r="AB53">
        <v>12.656511999999999</v>
      </c>
      <c r="AC53">
        <v>12.624174999999999</v>
      </c>
      <c r="AD53">
        <v>12.583214</v>
      </c>
      <c r="AE53" t="s">
        <v>540</v>
      </c>
    </row>
    <row r="54" spans="1:31" x14ac:dyDescent="0.25">
      <c r="A54" t="s">
        <v>230</v>
      </c>
      <c r="B54" t="s">
        <v>601</v>
      </c>
      <c r="C54" t="s">
        <v>602</v>
      </c>
      <c r="D54" t="s">
        <v>499</v>
      </c>
      <c r="E54">
        <v>39.675659000000003</v>
      </c>
      <c r="F54">
        <v>39.493042000000003</v>
      </c>
      <c r="G54">
        <v>38.296405999999998</v>
      </c>
      <c r="H54">
        <v>37.428561999999999</v>
      </c>
      <c r="I54">
        <v>37.719357000000002</v>
      </c>
      <c r="J54">
        <v>38.150036</v>
      </c>
      <c r="K54">
        <v>38.540874000000002</v>
      </c>
      <c r="L54">
        <v>38.748714</v>
      </c>
      <c r="M54">
        <v>38.993256000000002</v>
      </c>
      <c r="N54">
        <v>39.232204000000003</v>
      </c>
      <c r="O54">
        <v>39.350903000000002</v>
      </c>
      <c r="P54">
        <v>39.442905000000003</v>
      </c>
      <c r="Q54">
        <v>39.661144</v>
      </c>
      <c r="R54">
        <v>39.805466000000003</v>
      </c>
      <c r="S54">
        <v>40.015793000000002</v>
      </c>
      <c r="T54">
        <v>40.238861</v>
      </c>
      <c r="U54">
        <v>40.301864999999999</v>
      </c>
      <c r="V54">
        <v>40.256413000000002</v>
      </c>
      <c r="W54">
        <v>40.148063999999998</v>
      </c>
      <c r="X54">
        <v>40.062302000000003</v>
      </c>
      <c r="Y54">
        <v>39.844402000000002</v>
      </c>
      <c r="Z54">
        <v>40.021355</v>
      </c>
      <c r="AA54">
        <v>40.178122999999999</v>
      </c>
      <c r="AB54">
        <v>40.333866</v>
      </c>
      <c r="AC54">
        <v>40.388382</v>
      </c>
      <c r="AD54">
        <v>40.523159</v>
      </c>
      <c r="AE54" t="s">
        <v>562</v>
      </c>
    </row>
    <row r="55" spans="1:31" x14ac:dyDescent="0.25">
      <c r="A55" t="s">
        <v>326</v>
      </c>
    </row>
    <row r="56" spans="1:31" x14ac:dyDescent="0.25">
      <c r="A56" t="s">
        <v>603</v>
      </c>
    </row>
    <row r="57" spans="1:31" x14ac:dyDescent="0.25">
      <c r="A57" t="s">
        <v>220</v>
      </c>
      <c r="B57" t="s">
        <v>604</v>
      </c>
      <c r="C57" t="s">
        <v>605</v>
      </c>
      <c r="D57" t="s">
        <v>606</v>
      </c>
      <c r="E57">
        <v>354.07873499999999</v>
      </c>
      <c r="F57">
        <v>347.31488000000002</v>
      </c>
      <c r="G57">
        <v>338.06817599999999</v>
      </c>
      <c r="H57">
        <v>335.79321299999998</v>
      </c>
      <c r="I57">
        <v>339.531158</v>
      </c>
      <c r="J57">
        <v>343.626465</v>
      </c>
      <c r="K57">
        <v>346.998627</v>
      </c>
      <c r="L57">
        <v>349.593231</v>
      </c>
      <c r="M57">
        <v>353.89550800000001</v>
      </c>
      <c r="N57">
        <v>356.78738399999997</v>
      </c>
      <c r="O57">
        <v>359.66171300000002</v>
      </c>
      <c r="P57">
        <v>362.28195199999999</v>
      </c>
      <c r="Q57">
        <v>366.41424599999999</v>
      </c>
      <c r="R57">
        <v>369.832855</v>
      </c>
      <c r="S57">
        <v>373.56204200000002</v>
      </c>
      <c r="T57">
        <v>377.146973</v>
      </c>
      <c r="U57">
        <v>379.86029100000002</v>
      </c>
      <c r="V57">
        <v>381.64788800000002</v>
      </c>
      <c r="W57">
        <v>382.96667500000001</v>
      </c>
      <c r="X57">
        <v>384.31784099999999</v>
      </c>
      <c r="Y57">
        <v>385.41867100000002</v>
      </c>
      <c r="Z57">
        <v>389.11419699999999</v>
      </c>
      <c r="AA57">
        <v>392.74761999999998</v>
      </c>
      <c r="AB57">
        <v>396.37664799999999</v>
      </c>
      <c r="AC57">
        <v>399.44296300000002</v>
      </c>
      <c r="AD57">
        <v>402.86352499999998</v>
      </c>
      <c r="AE57" t="s">
        <v>554</v>
      </c>
    </row>
    <row r="58" spans="1:31" x14ac:dyDescent="0.25">
      <c r="A58" t="s">
        <v>233</v>
      </c>
      <c r="B58" t="s">
        <v>607</v>
      </c>
      <c r="C58" t="s">
        <v>608</v>
      </c>
      <c r="D58" t="s">
        <v>606</v>
      </c>
      <c r="E58">
        <v>260.22451799999999</v>
      </c>
      <c r="F58">
        <v>262.720642</v>
      </c>
      <c r="G58">
        <v>259.382721</v>
      </c>
      <c r="H58">
        <v>258.094604</v>
      </c>
      <c r="I58">
        <v>263.21569799999997</v>
      </c>
      <c r="J58">
        <v>268.73571800000002</v>
      </c>
      <c r="K58">
        <v>273.92956500000003</v>
      </c>
      <c r="L58">
        <v>277.59448200000003</v>
      </c>
      <c r="M58">
        <v>283.055115</v>
      </c>
      <c r="N58">
        <v>287.440155</v>
      </c>
      <c r="O58">
        <v>291.45843500000001</v>
      </c>
      <c r="P58">
        <v>295.30679300000003</v>
      </c>
      <c r="Q58">
        <v>300.54794299999998</v>
      </c>
      <c r="R58">
        <v>305.07043499999997</v>
      </c>
      <c r="S58">
        <v>309.92468300000002</v>
      </c>
      <c r="T58">
        <v>314.56552099999999</v>
      </c>
      <c r="U58">
        <v>318.10281400000002</v>
      </c>
      <c r="V58">
        <v>320.84964000000002</v>
      </c>
      <c r="W58">
        <v>322.855164</v>
      </c>
      <c r="X58">
        <v>324.88647500000002</v>
      </c>
      <c r="Y58">
        <v>326.26455700000002</v>
      </c>
      <c r="Z58">
        <v>330.376801</v>
      </c>
      <c r="AA58">
        <v>334.20791600000001</v>
      </c>
      <c r="AB58">
        <v>337.89068600000002</v>
      </c>
      <c r="AC58">
        <v>340.64984099999998</v>
      </c>
      <c r="AD58">
        <v>343.66497800000002</v>
      </c>
      <c r="AE58" t="s">
        <v>476</v>
      </c>
    </row>
    <row r="59" spans="1:31" x14ac:dyDescent="0.25">
      <c r="A59" t="s">
        <v>245</v>
      </c>
      <c r="B59" t="s">
        <v>609</v>
      </c>
      <c r="C59" t="s">
        <v>610</v>
      </c>
      <c r="D59" t="s">
        <v>606</v>
      </c>
      <c r="E59">
        <v>243.90741</v>
      </c>
      <c r="F59">
        <v>229.94683800000001</v>
      </c>
      <c r="G59">
        <v>226.52500900000001</v>
      </c>
      <c r="H59">
        <v>228.562973</v>
      </c>
      <c r="I59">
        <v>231.17254600000001</v>
      </c>
      <c r="J59">
        <v>238.21345500000001</v>
      </c>
      <c r="K59">
        <v>246.587952</v>
      </c>
      <c r="L59">
        <v>252.071808</v>
      </c>
      <c r="M59">
        <v>257.50302099999999</v>
      </c>
      <c r="N59">
        <v>261.995544</v>
      </c>
      <c r="O59">
        <v>267.94451900000001</v>
      </c>
      <c r="P59">
        <v>273.69506799999999</v>
      </c>
      <c r="Q59">
        <v>280.21414199999998</v>
      </c>
      <c r="R59">
        <v>286.41958599999998</v>
      </c>
      <c r="S59">
        <v>293.45382699999999</v>
      </c>
      <c r="T59">
        <v>299.44342</v>
      </c>
      <c r="U59">
        <v>303.62716699999999</v>
      </c>
      <c r="V59">
        <v>305.33068800000001</v>
      </c>
      <c r="W59">
        <v>304.92611699999998</v>
      </c>
      <c r="X59">
        <v>304.74389600000001</v>
      </c>
      <c r="Y59">
        <v>307.66143799999998</v>
      </c>
      <c r="Z59">
        <v>313.08978300000001</v>
      </c>
      <c r="AA59">
        <v>318.99609400000003</v>
      </c>
      <c r="AB59">
        <v>324.75799599999999</v>
      </c>
      <c r="AC59">
        <v>328.72180200000003</v>
      </c>
      <c r="AD59">
        <v>332.703461</v>
      </c>
      <c r="AE59" t="s">
        <v>509</v>
      </c>
    </row>
    <row r="60" spans="1:31" x14ac:dyDescent="0.25">
      <c r="A60" t="s">
        <v>265</v>
      </c>
      <c r="B60" t="s">
        <v>611</v>
      </c>
      <c r="C60" t="s">
        <v>612</v>
      </c>
      <c r="D60" t="s">
        <v>606</v>
      </c>
      <c r="E60">
        <v>667.07385299999999</v>
      </c>
      <c r="F60">
        <v>619.48632799999996</v>
      </c>
      <c r="G60">
        <v>603.30609100000004</v>
      </c>
      <c r="H60">
        <v>592.85174600000005</v>
      </c>
      <c r="I60">
        <v>589.449524</v>
      </c>
      <c r="J60">
        <v>586.27941899999996</v>
      </c>
      <c r="K60">
        <v>586.48364300000003</v>
      </c>
      <c r="L60">
        <v>584.54620399999999</v>
      </c>
      <c r="M60">
        <v>598.99835199999995</v>
      </c>
      <c r="N60">
        <v>597.39166299999999</v>
      </c>
      <c r="O60">
        <v>601.32641599999999</v>
      </c>
      <c r="P60">
        <v>601.79656999999997</v>
      </c>
      <c r="Q60">
        <v>604.61889599999995</v>
      </c>
      <c r="R60">
        <v>605.94476299999997</v>
      </c>
      <c r="S60">
        <v>605.28076199999998</v>
      </c>
      <c r="T60">
        <v>604.79443400000002</v>
      </c>
      <c r="U60">
        <v>604.847534</v>
      </c>
      <c r="V60">
        <v>605.77819799999997</v>
      </c>
      <c r="W60">
        <v>605.89386000000002</v>
      </c>
      <c r="X60">
        <v>605.74060099999997</v>
      </c>
      <c r="Y60">
        <v>610.04247999999995</v>
      </c>
      <c r="Z60">
        <v>610.82061799999997</v>
      </c>
      <c r="AA60">
        <v>614.68768299999999</v>
      </c>
      <c r="AB60">
        <v>617.94134499999996</v>
      </c>
      <c r="AC60">
        <v>621.43884300000002</v>
      </c>
      <c r="AD60">
        <v>621.120544</v>
      </c>
      <c r="AE60" t="s">
        <v>526</v>
      </c>
    </row>
    <row r="61" spans="1:31" x14ac:dyDescent="0.25">
      <c r="A61" t="s">
        <v>337</v>
      </c>
      <c r="B61" t="s">
        <v>613</v>
      </c>
      <c r="C61" t="s">
        <v>614</v>
      </c>
      <c r="D61" t="s">
        <v>606</v>
      </c>
      <c r="E61">
        <v>1525.2844239999999</v>
      </c>
      <c r="F61">
        <v>1459.46875</v>
      </c>
      <c r="G61">
        <v>1427.281982</v>
      </c>
      <c r="H61">
        <v>1415.30249</v>
      </c>
      <c r="I61">
        <v>1423.3688959999999</v>
      </c>
      <c r="J61">
        <v>1436.8549800000001</v>
      </c>
      <c r="K61">
        <v>1453.9997559999999</v>
      </c>
      <c r="L61">
        <v>1463.805664</v>
      </c>
      <c r="M61">
        <v>1493.451904</v>
      </c>
      <c r="N61">
        <v>1503.614746</v>
      </c>
      <c r="O61">
        <v>1520.3911129999999</v>
      </c>
      <c r="P61">
        <v>1533.080322</v>
      </c>
      <c r="Q61">
        <v>1551.7951660000001</v>
      </c>
      <c r="R61">
        <v>1567.267578</v>
      </c>
      <c r="S61">
        <v>1582.221313</v>
      </c>
      <c r="T61">
        <v>1595.950439</v>
      </c>
      <c r="U61">
        <v>1606.437866</v>
      </c>
      <c r="V61">
        <v>1613.6064449999999</v>
      </c>
      <c r="W61">
        <v>1616.641846</v>
      </c>
      <c r="X61">
        <v>1619.6888429999999</v>
      </c>
      <c r="Y61">
        <v>1629.387207</v>
      </c>
      <c r="Z61">
        <v>1643.4013669999999</v>
      </c>
      <c r="AA61">
        <v>1660.639404</v>
      </c>
      <c r="AB61">
        <v>1676.966797</v>
      </c>
      <c r="AC61">
        <v>1690.253418</v>
      </c>
      <c r="AD61">
        <v>1700.352539</v>
      </c>
      <c r="AE61" t="s">
        <v>540</v>
      </c>
    </row>
    <row r="62" spans="1:31" x14ac:dyDescent="0.25">
      <c r="A62" t="s">
        <v>340</v>
      </c>
      <c r="B62" t="s">
        <v>615</v>
      </c>
      <c r="C62" t="s">
        <v>616</v>
      </c>
      <c r="D62" t="s">
        <v>606</v>
      </c>
      <c r="E62">
        <v>1.210369</v>
      </c>
      <c r="F62">
        <v>0.95956900000000001</v>
      </c>
      <c r="G62">
        <v>0.85958900000000005</v>
      </c>
      <c r="H62">
        <v>0.79147100000000004</v>
      </c>
      <c r="I62">
        <v>0.73082599999999998</v>
      </c>
      <c r="J62">
        <v>0.74731499999999995</v>
      </c>
      <c r="K62">
        <v>0.65042800000000001</v>
      </c>
      <c r="L62">
        <v>0.59603799999999996</v>
      </c>
      <c r="M62">
        <v>0.55344599999999999</v>
      </c>
      <c r="N62">
        <v>0.51553199999999999</v>
      </c>
      <c r="O62">
        <v>0.46957500000000002</v>
      </c>
      <c r="P62">
        <v>0.428147</v>
      </c>
      <c r="Q62">
        <v>0.38989600000000002</v>
      </c>
      <c r="R62">
        <v>0.35604799999999998</v>
      </c>
      <c r="S62">
        <v>0.326322</v>
      </c>
      <c r="T62">
        <v>0.30260900000000002</v>
      </c>
      <c r="U62">
        <v>0.27497100000000002</v>
      </c>
      <c r="V62">
        <v>0.260407</v>
      </c>
      <c r="W62">
        <v>0.245229</v>
      </c>
      <c r="X62">
        <v>0.234761</v>
      </c>
      <c r="Y62">
        <v>0.21459</v>
      </c>
      <c r="Z62">
        <v>0.206599</v>
      </c>
      <c r="AA62">
        <v>0.20591000000000001</v>
      </c>
      <c r="AB62">
        <v>0.21340400000000001</v>
      </c>
      <c r="AC62">
        <v>0.199353</v>
      </c>
      <c r="AD62">
        <v>0.190357</v>
      </c>
      <c r="AE62" t="s">
        <v>617</v>
      </c>
    </row>
    <row r="63" spans="1:31" x14ac:dyDescent="0.25">
      <c r="A63" t="s">
        <v>343</v>
      </c>
      <c r="B63" t="s">
        <v>618</v>
      </c>
      <c r="C63" t="s">
        <v>619</v>
      </c>
      <c r="D63" t="s">
        <v>606</v>
      </c>
      <c r="E63">
        <v>1526.494751</v>
      </c>
      <c r="F63">
        <v>1460.428345</v>
      </c>
      <c r="G63">
        <v>1428.1416019999999</v>
      </c>
      <c r="H63">
        <v>1416.0939940000001</v>
      </c>
      <c r="I63">
        <v>1424.099731</v>
      </c>
      <c r="J63">
        <v>1437.6022949999999</v>
      </c>
      <c r="K63">
        <v>1454.6501459999999</v>
      </c>
      <c r="L63">
        <v>1464.4017329999999</v>
      </c>
      <c r="M63">
        <v>1494.005371</v>
      </c>
      <c r="N63">
        <v>1504.130249</v>
      </c>
      <c r="O63">
        <v>1520.8607179999999</v>
      </c>
      <c r="P63">
        <v>1533.508423</v>
      </c>
      <c r="Q63">
        <v>1552.1850589999999</v>
      </c>
      <c r="R63">
        <v>1567.6236570000001</v>
      </c>
      <c r="S63">
        <v>1582.547607</v>
      </c>
      <c r="T63">
        <v>1596.253052</v>
      </c>
      <c r="U63">
        <v>1606.7128909999999</v>
      </c>
      <c r="V63">
        <v>1613.8668210000001</v>
      </c>
      <c r="W63">
        <v>1616.8870850000001</v>
      </c>
      <c r="X63">
        <v>1619.9235839999999</v>
      </c>
      <c r="Y63">
        <v>1629.601807</v>
      </c>
      <c r="Z63">
        <v>1643.6079099999999</v>
      </c>
      <c r="AA63">
        <v>1660.845337</v>
      </c>
      <c r="AB63">
        <v>1677.1801760000001</v>
      </c>
      <c r="AC63">
        <v>1690.452759</v>
      </c>
      <c r="AD63">
        <v>1700.5428469999999</v>
      </c>
      <c r="AE63" t="s">
        <v>540</v>
      </c>
    </row>
    <row r="64" spans="1:31" x14ac:dyDescent="0.25">
      <c r="A64" t="s">
        <v>346</v>
      </c>
    </row>
    <row r="65" spans="1:31" x14ac:dyDescent="0.25">
      <c r="A65" t="s">
        <v>220</v>
      </c>
    </row>
    <row r="66" spans="1:31" x14ac:dyDescent="0.25">
      <c r="A66" t="s">
        <v>221</v>
      </c>
      <c r="B66" t="s">
        <v>620</v>
      </c>
      <c r="C66" t="s">
        <v>621</v>
      </c>
      <c r="D66" t="s">
        <v>349</v>
      </c>
      <c r="E66">
        <v>26.563074</v>
      </c>
      <c r="F66">
        <v>25.338080999999999</v>
      </c>
      <c r="G66">
        <v>25.151426000000001</v>
      </c>
      <c r="H66">
        <v>25.935970000000001</v>
      </c>
      <c r="I66">
        <v>27.081810000000001</v>
      </c>
      <c r="J66">
        <v>28.630949000000001</v>
      </c>
      <c r="K66">
        <v>30.629785999999999</v>
      </c>
      <c r="L66">
        <v>32.418201000000003</v>
      </c>
      <c r="M66">
        <v>34.366539000000003</v>
      </c>
      <c r="N66">
        <v>35.966290000000001</v>
      </c>
      <c r="O66">
        <v>37.548068999999998</v>
      </c>
      <c r="P66">
        <v>39.111217000000003</v>
      </c>
      <c r="Q66">
        <v>40.752625000000002</v>
      </c>
      <c r="R66">
        <v>42.417392999999997</v>
      </c>
      <c r="S66">
        <v>44.113087</v>
      </c>
      <c r="T66">
        <v>45.702708999999999</v>
      </c>
      <c r="U66">
        <v>47.138888999999999</v>
      </c>
      <c r="V66">
        <v>48.266106000000001</v>
      </c>
      <c r="W66">
        <v>49.070613999999999</v>
      </c>
      <c r="X66">
        <v>49.718398999999998</v>
      </c>
      <c r="Y66">
        <v>50.570895999999998</v>
      </c>
      <c r="Z66">
        <v>51.664268</v>
      </c>
      <c r="AA66">
        <v>52.898482999999999</v>
      </c>
      <c r="AB66">
        <v>54.238976000000001</v>
      </c>
      <c r="AC66">
        <v>55.556618</v>
      </c>
      <c r="AD66">
        <v>56.833705999999999</v>
      </c>
      <c r="AE66" t="s">
        <v>622</v>
      </c>
    </row>
    <row r="67" spans="1:31" x14ac:dyDescent="0.25">
      <c r="A67" t="s">
        <v>225</v>
      </c>
      <c r="B67" t="s">
        <v>623</v>
      </c>
      <c r="C67" t="s">
        <v>624</v>
      </c>
      <c r="D67" t="s">
        <v>349</v>
      </c>
      <c r="E67">
        <v>26.297781000000001</v>
      </c>
      <c r="F67">
        <v>24.496302</v>
      </c>
      <c r="G67">
        <v>26.020481</v>
      </c>
      <c r="H67">
        <v>27.245842</v>
      </c>
      <c r="I67">
        <v>28.40785</v>
      </c>
      <c r="J67">
        <v>29.347083999999999</v>
      </c>
      <c r="K67">
        <v>30.568166999999999</v>
      </c>
      <c r="L67">
        <v>31.310013000000001</v>
      </c>
      <c r="M67">
        <v>32.506751999999999</v>
      </c>
      <c r="N67">
        <v>33.239750000000001</v>
      </c>
      <c r="O67">
        <v>34.268425000000001</v>
      </c>
      <c r="P67">
        <v>35.285744000000001</v>
      </c>
      <c r="Q67">
        <v>36.235405</v>
      </c>
      <c r="R67">
        <v>37.251446000000001</v>
      </c>
      <c r="S67">
        <v>38.166401</v>
      </c>
      <c r="T67">
        <v>39.071438000000001</v>
      </c>
      <c r="U67">
        <v>40.074837000000002</v>
      </c>
      <c r="V67">
        <v>41.058266000000003</v>
      </c>
      <c r="W67">
        <v>42.061641999999999</v>
      </c>
      <c r="X67">
        <v>43.058964000000003</v>
      </c>
      <c r="Y67">
        <v>44.278942000000001</v>
      </c>
      <c r="Z67">
        <v>45.449814000000003</v>
      </c>
      <c r="AA67">
        <v>46.582828999999997</v>
      </c>
      <c r="AB67">
        <v>47.982311000000003</v>
      </c>
      <c r="AC67">
        <v>49.364097999999998</v>
      </c>
      <c r="AD67">
        <v>50.376399999999997</v>
      </c>
      <c r="AE67" t="s">
        <v>485</v>
      </c>
    </row>
    <row r="68" spans="1:31" x14ac:dyDescent="0.25">
      <c r="A68" t="s">
        <v>141</v>
      </c>
      <c r="B68" t="s">
        <v>625</v>
      </c>
      <c r="C68" t="s">
        <v>626</v>
      </c>
      <c r="D68" t="s">
        <v>349</v>
      </c>
      <c r="E68">
        <v>14.672219999999999</v>
      </c>
      <c r="F68">
        <v>14.246601999999999</v>
      </c>
      <c r="G68">
        <v>14.240330999999999</v>
      </c>
      <c r="H68">
        <v>14.554563</v>
      </c>
      <c r="I68">
        <v>14.960808999999999</v>
      </c>
      <c r="J68">
        <v>15.529546</v>
      </c>
      <c r="K68">
        <v>16.035398000000001</v>
      </c>
      <c r="L68">
        <v>16.569963000000001</v>
      </c>
      <c r="M68">
        <v>17.449389</v>
      </c>
      <c r="N68">
        <v>17.958829999999999</v>
      </c>
      <c r="O68">
        <v>18.542683</v>
      </c>
      <c r="P68">
        <v>19.020790000000002</v>
      </c>
      <c r="Q68">
        <v>19.641548</v>
      </c>
      <c r="R68">
        <v>20.164224999999998</v>
      </c>
      <c r="S68">
        <v>20.69857</v>
      </c>
      <c r="T68">
        <v>21.224004999999998</v>
      </c>
      <c r="U68">
        <v>21.701794</v>
      </c>
      <c r="V68">
        <v>22.060627</v>
      </c>
      <c r="W68">
        <v>22.379580000000001</v>
      </c>
      <c r="X68">
        <v>22.658273999999999</v>
      </c>
      <c r="Y68">
        <v>23.053681999999998</v>
      </c>
      <c r="Z68">
        <v>23.571746999999998</v>
      </c>
      <c r="AA68">
        <v>24.120999999999999</v>
      </c>
      <c r="AB68">
        <v>24.668261999999999</v>
      </c>
      <c r="AC68">
        <v>25.217583000000001</v>
      </c>
      <c r="AD68">
        <v>25.735237000000001</v>
      </c>
      <c r="AE68" t="s">
        <v>627</v>
      </c>
    </row>
    <row r="69" spans="1:31" x14ac:dyDescent="0.25">
      <c r="A69" t="s">
        <v>230</v>
      </c>
      <c r="B69" t="s">
        <v>628</v>
      </c>
      <c r="C69" t="s">
        <v>629</v>
      </c>
      <c r="D69" t="s">
        <v>349</v>
      </c>
      <c r="E69">
        <v>48.884673999999997</v>
      </c>
      <c r="F69">
        <v>50.316558999999998</v>
      </c>
      <c r="G69">
        <v>50.125633000000001</v>
      </c>
      <c r="H69">
        <v>50.032383000000003</v>
      </c>
      <c r="I69">
        <v>51.371841000000003</v>
      </c>
      <c r="J69">
        <v>52.973396000000001</v>
      </c>
      <c r="K69">
        <v>54.612777999999999</v>
      </c>
      <c r="L69">
        <v>56.129863999999998</v>
      </c>
      <c r="M69">
        <v>57.754536000000002</v>
      </c>
      <c r="N69">
        <v>59.383076000000003</v>
      </c>
      <c r="O69">
        <v>60.933886999999999</v>
      </c>
      <c r="P69">
        <v>62.472244000000003</v>
      </c>
      <c r="Q69">
        <v>64.186843999999994</v>
      </c>
      <c r="R69">
        <v>65.817290999999997</v>
      </c>
      <c r="S69">
        <v>67.531852999999998</v>
      </c>
      <c r="T69">
        <v>69.345917</v>
      </c>
      <c r="U69">
        <v>70.954482999999996</v>
      </c>
      <c r="V69">
        <v>72.365486000000004</v>
      </c>
      <c r="W69">
        <v>73.643058999999994</v>
      </c>
      <c r="X69">
        <v>74.957245</v>
      </c>
      <c r="Y69">
        <v>76.134490999999997</v>
      </c>
      <c r="Z69">
        <v>77.900261</v>
      </c>
      <c r="AA69">
        <v>79.720177000000007</v>
      </c>
      <c r="AB69">
        <v>81.597176000000005</v>
      </c>
      <c r="AC69">
        <v>83.326438999999993</v>
      </c>
      <c r="AD69">
        <v>85.206008999999995</v>
      </c>
      <c r="AE69" t="s">
        <v>630</v>
      </c>
    </row>
    <row r="70" spans="1:31" x14ac:dyDescent="0.25">
      <c r="A70" t="s">
        <v>233</v>
      </c>
    </row>
    <row r="71" spans="1:31" x14ac:dyDescent="0.25">
      <c r="A71" t="s">
        <v>221</v>
      </c>
      <c r="B71" t="s">
        <v>631</v>
      </c>
      <c r="C71" t="s">
        <v>632</v>
      </c>
      <c r="D71" t="s">
        <v>349</v>
      </c>
      <c r="E71">
        <v>19.614388000000002</v>
      </c>
      <c r="F71">
        <v>18.262018000000001</v>
      </c>
      <c r="G71">
        <v>18.791452</v>
      </c>
      <c r="H71">
        <v>20.082115000000002</v>
      </c>
      <c r="I71">
        <v>21.306486</v>
      </c>
      <c r="J71">
        <v>22.781196999999999</v>
      </c>
      <c r="K71">
        <v>24.607707999999999</v>
      </c>
      <c r="L71">
        <v>25.828800000000001</v>
      </c>
      <c r="M71">
        <v>27.295833999999999</v>
      </c>
      <c r="N71">
        <v>28.385092</v>
      </c>
      <c r="O71">
        <v>29.496925000000001</v>
      </c>
      <c r="P71">
        <v>30.620148</v>
      </c>
      <c r="Q71">
        <v>31.874500000000001</v>
      </c>
      <c r="R71">
        <v>33.127972</v>
      </c>
      <c r="S71">
        <v>34.387366999999998</v>
      </c>
      <c r="T71">
        <v>35.468677999999997</v>
      </c>
      <c r="U71">
        <v>36.404152000000003</v>
      </c>
      <c r="V71">
        <v>37.015388000000002</v>
      </c>
      <c r="W71">
        <v>37.371391000000003</v>
      </c>
      <c r="X71">
        <v>37.720455000000001</v>
      </c>
      <c r="Y71">
        <v>38.461905999999999</v>
      </c>
      <c r="Z71">
        <v>39.439796000000001</v>
      </c>
      <c r="AA71">
        <v>40.464111000000003</v>
      </c>
      <c r="AB71">
        <v>41.528179000000002</v>
      </c>
      <c r="AC71">
        <v>42.495193</v>
      </c>
      <c r="AD71">
        <v>43.411278000000003</v>
      </c>
      <c r="AE71" t="s">
        <v>633</v>
      </c>
    </row>
    <row r="72" spans="1:31" x14ac:dyDescent="0.25">
      <c r="A72" t="s">
        <v>225</v>
      </c>
      <c r="B72" t="s">
        <v>634</v>
      </c>
      <c r="C72" t="s">
        <v>635</v>
      </c>
      <c r="D72" t="s">
        <v>349</v>
      </c>
      <c r="E72">
        <v>26.413055</v>
      </c>
      <c r="F72">
        <v>24.602383</v>
      </c>
      <c r="G72">
        <v>24.904596000000002</v>
      </c>
      <c r="H72">
        <v>24.832789999999999</v>
      </c>
      <c r="I72">
        <v>24.640816000000001</v>
      </c>
      <c r="J72">
        <v>24.106083000000002</v>
      </c>
      <c r="K72">
        <v>23.875996000000001</v>
      </c>
      <c r="L72">
        <v>24.481064</v>
      </c>
      <c r="M72">
        <v>25.960096</v>
      </c>
      <c r="N72">
        <v>26.554029</v>
      </c>
      <c r="O72">
        <v>27.442789000000001</v>
      </c>
      <c r="P72">
        <v>28.280366999999998</v>
      </c>
      <c r="Q72">
        <v>29.179069999999999</v>
      </c>
      <c r="R72">
        <v>30.053235999999998</v>
      </c>
      <c r="S72">
        <v>30.811775000000001</v>
      </c>
      <c r="T72">
        <v>31.55171</v>
      </c>
      <c r="U72">
        <v>32.39716</v>
      </c>
      <c r="V72">
        <v>33.247700000000002</v>
      </c>
      <c r="W72">
        <v>34.096977000000003</v>
      </c>
      <c r="X72">
        <v>34.962111999999998</v>
      </c>
      <c r="Y72">
        <v>36.028336000000003</v>
      </c>
      <c r="Z72">
        <v>37.044147000000002</v>
      </c>
      <c r="AA72">
        <v>38.025970000000001</v>
      </c>
      <c r="AB72">
        <v>39.258811999999999</v>
      </c>
      <c r="AC72">
        <v>40.470852000000001</v>
      </c>
      <c r="AD72">
        <v>41.311081000000001</v>
      </c>
      <c r="AE72" t="s">
        <v>474</v>
      </c>
    </row>
    <row r="73" spans="1:31" x14ac:dyDescent="0.25">
      <c r="A73" t="s">
        <v>238</v>
      </c>
      <c r="B73" t="s">
        <v>636</v>
      </c>
      <c r="C73" t="s">
        <v>637</v>
      </c>
      <c r="D73" t="s">
        <v>349</v>
      </c>
      <c r="E73">
        <v>7.4866789999999996</v>
      </c>
      <c r="F73">
        <v>5.8751550000000003</v>
      </c>
      <c r="G73">
        <v>7.5519600000000002</v>
      </c>
      <c r="H73">
        <v>8.9084649999999996</v>
      </c>
      <c r="I73">
        <v>10.223338999999999</v>
      </c>
      <c r="J73">
        <v>10.804074999999999</v>
      </c>
      <c r="K73">
        <v>12.519503</v>
      </c>
      <c r="L73">
        <v>12.81381</v>
      </c>
      <c r="M73">
        <v>13.536977</v>
      </c>
      <c r="N73">
        <v>13.810558</v>
      </c>
      <c r="O73">
        <v>14.490627</v>
      </c>
      <c r="P73">
        <v>15.021338</v>
      </c>
      <c r="Q73">
        <v>15.452132000000001</v>
      </c>
      <c r="R73">
        <v>16.019031999999999</v>
      </c>
      <c r="S73">
        <v>16.519949</v>
      </c>
      <c r="T73">
        <v>17.218005999999999</v>
      </c>
      <c r="U73">
        <v>17.996051999999999</v>
      </c>
      <c r="V73">
        <v>18.587059</v>
      </c>
      <c r="W73">
        <v>19.147715000000002</v>
      </c>
      <c r="X73">
        <v>19.728296</v>
      </c>
      <c r="Y73">
        <v>20.471619</v>
      </c>
      <c r="Z73">
        <v>21.110806</v>
      </c>
      <c r="AA73">
        <v>21.727748999999999</v>
      </c>
      <c r="AB73">
        <v>22.717241000000001</v>
      </c>
      <c r="AC73">
        <v>23.491834999999998</v>
      </c>
      <c r="AD73">
        <v>24.169339999999998</v>
      </c>
      <c r="AE73" t="s">
        <v>638</v>
      </c>
    </row>
    <row r="74" spans="1:31" x14ac:dyDescent="0.25">
      <c r="A74" t="s">
        <v>141</v>
      </c>
      <c r="B74" t="s">
        <v>639</v>
      </c>
      <c r="C74" t="s">
        <v>640</v>
      </c>
      <c r="D74" t="s">
        <v>349</v>
      </c>
      <c r="E74">
        <v>10.354016</v>
      </c>
      <c r="F74">
        <v>9.7727989999999991</v>
      </c>
      <c r="G74">
        <v>10.220829999999999</v>
      </c>
      <c r="H74">
        <v>10.867184</v>
      </c>
      <c r="I74">
        <v>11.594604</v>
      </c>
      <c r="J74">
        <v>12.499109000000001</v>
      </c>
      <c r="K74">
        <v>13.369481</v>
      </c>
      <c r="L74">
        <v>13.828996999999999</v>
      </c>
      <c r="M74">
        <v>14.493233999999999</v>
      </c>
      <c r="N74">
        <v>14.890262999999999</v>
      </c>
      <c r="O74">
        <v>15.379936000000001</v>
      </c>
      <c r="P74">
        <v>15.770547000000001</v>
      </c>
      <c r="Q74">
        <v>16.290887999999999</v>
      </c>
      <c r="R74">
        <v>16.731390000000001</v>
      </c>
      <c r="S74">
        <v>17.186154999999999</v>
      </c>
      <c r="T74">
        <v>17.627966000000001</v>
      </c>
      <c r="U74">
        <v>18.015264999999999</v>
      </c>
      <c r="V74">
        <v>18.281502</v>
      </c>
      <c r="W74">
        <v>18.507359000000001</v>
      </c>
      <c r="X74">
        <v>18.688338999999999</v>
      </c>
      <c r="Y74">
        <v>18.982462000000002</v>
      </c>
      <c r="Z74">
        <v>19.393272</v>
      </c>
      <c r="AA74">
        <v>19.832045000000001</v>
      </c>
      <c r="AB74">
        <v>20.265629000000001</v>
      </c>
      <c r="AC74">
        <v>20.697997999999998</v>
      </c>
      <c r="AD74">
        <v>21.098980000000001</v>
      </c>
      <c r="AE74" t="s">
        <v>641</v>
      </c>
    </row>
    <row r="75" spans="1:31" x14ac:dyDescent="0.25">
      <c r="A75" t="s">
        <v>230</v>
      </c>
      <c r="B75" t="s">
        <v>642</v>
      </c>
      <c r="C75" t="s">
        <v>643</v>
      </c>
      <c r="D75" t="s">
        <v>349</v>
      </c>
      <c r="E75">
        <v>39.505760000000002</v>
      </c>
      <c r="F75">
        <v>40.333720999999997</v>
      </c>
      <c r="G75">
        <v>39.793593999999999</v>
      </c>
      <c r="H75">
        <v>39.573635000000003</v>
      </c>
      <c r="I75">
        <v>40.652565000000003</v>
      </c>
      <c r="J75">
        <v>41.951889000000001</v>
      </c>
      <c r="K75">
        <v>43.213988999999998</v>
      </c>
      <c r="L75">
        <v>44.285133000000002</v>
      </c>
      <c r="M75">
        <v>45.478572999999997</v>
      </c>
      <c r="N75">
        <v>46.730812</v>
      </c>
      <c r="O75">
        <v>47.820354000000002</v>
      </c>
      <c r="P75">
        <v>48.872790999999999</v>
      </c>
      <c r="Q75">
        <v>50.103377999999999</v>
      </c>
      <c r="R75">
        <v>51.263644999999997</v>
      </c>
      <c r="S75">
        <v>52.532435999999997</v>
      </c>
      <c r="T75">
        <v>53.822856999999999</v>
      </c>
      <c r="U75">
        <v>54.875979999999998</v>
      </c>
      <c r="V75">
        <v>55.818919999999999</v>
      </c>
      <c r="W75">
        <v>56.620162999999998</v>
      </c>
      <c r="X75">
        <v>57.456181000000001</v>
      </c>
      <c r="Y75">
        <v>58.048541999999998</v>
      </c>
      <c r="Z75">
        <v>59.313152000000002</v>
      </c>
      <c r="AA75">
        <v>60.579906000000001</v>
      </c>
      <c r="AB75">
        <v>61.901980999999999</v>
      </c>
      <c r="AC75">
        <v>63.040801999999999</v>
      </c>
      <c r="AD75">
        <v>64.329987000000003</v>
      </c>
      <c r="AE75" t="s">
        <v>479</v>
      </c>
    </row>
    <row r="76" spans="1:31" x14ac:dyDescent="0.25">
      <c r="A76" t="s">
        <v>245</v>
      </c>
    </row>
    <row r="77" spans="1:31" x14ac:dyDescent="0.25">
      <c r="A77" t="s">
        <v>221</v>
      </c>
      <c r="B77" t="s">
        <v>644</v>
      </c>
      <c r="C77" t="s">
        <v>645</v>
      </c>
      <c r="D77" t="s">
        <v>349</v>
      </c>
      <c r="E77">
        <v>12.803329</v>
      </c>
      <c r="F77">
        <v>11.374784999999999</v>
      </c>
      <c r="G77">
        <v>11.732965</v>
      </c>
      <c r="H77">
        <v>12.809592</v>
      </c>
      <c r="I77">
        <v>13.854469999999999</v>
      </c>
      <c r="J77">
        <v>15.155042</v>
      </c>
      <c r="K77">
        <v>16.829516999999999</v>
      </c>
      <c r="L77">
        <v>17.925089</v>
      </c>
      <c r="M77">
        <v>18.887888</v>
      </c>
      <c r="N77">
        <v>19.836891000000001</v>
      </c>
      <c r="O77">
        <v>20.806916999999999</v>
      </c>
      <c r="P77">
        <v>21.794609000000001</v>
      </c>
      <c r="Q77">
        <v>22.875402000000001</v>
      </c>
      <c r="R77">
        <v>24.016033</v>
      </c>
      <c r="S77">
        <v>25.168725999999999</v>
      </c>
      <c r="T77">
        <v>26.126760000000001</v>
      </c>
      <c r="U77">
        <v>26.923518999999999</v>
      </c>
      <c r="V77">
        <v>27.361647000000001</v>
      </c>
      <c r="W77">
        <v>27.513428000000001</v>
      </c>
      <c r="X77">
        <v>27.652709999999999</v>
      </c>
      <c r="Y77">
        <v>28.216715000000001</v>
      </c>
      <c r="Z77">
        <v>29.040877999999999</v>
      </c>
      <c r="AA77">
        <v>29.916944999999998</v>
      </c>
      <c r="AB77">
        <v>30.832899000000001</v>
      </c>
      <c r="AC77">
        <v>31.641119</v>
      </c>
      <c r="AD77">
        <v>32.391326999999997</v>
      </c>
      <c r="AE77" t="s">
        <v>646</v>
      </c>
    </row>
    <row r="78" spans="1:31" x14ac:dyDescent="0.25">
      <c r="A78" t="s">
        <v>225</v>
      </c>
      <c r="B78" t="s">
        <v>647</v>
      </c>
      <c r="C78" t="s">
        <v>648</v>
      </c>
      <c r="D78" t="s">
        <v>349</v>
      </c>
      <c r="E78">
        <v>26.296053000000001</v>
      </c>
      <c r="F78">
        <v>24.488679999999999</v>
      </c>
      <c r="G78">
        <v>24.749483000000001</v>
      </c>
      <c r="H78">
        <v>24.622332</v>
      </c>
      <c r="I78">
        <v>24.373557999999999</v>
      </c>
      <c r="J78">
        <v>23.831983999999999</v>
      </c>
      <c r="K78">
        <v>23.53397</v>
      </c>
      <c r="L78">
        <v>24.123369</v>
      </c>
      <c r="M78">
        <v>25.164715000000001</v>
      </c>
      <c r="N78">
        <v>25.748923999999999</v>
      </c>
      <c r="O78">
        <v>26.625229000000001</v>
      </c>
      <c r="P78">
        <v>27.471087000000001</v>
      </c>
      <c r="Q78">
        <v>28.270614999999999</v>
      </c>
      <c r="R78">
        <v>29.119918999999999</v>
      </c>
      <c r="S78">
        <v>29.875204</v>
      </c>
      <c r="T78">
        <v>30.605457000000001</v>
      </c>
      <c r="U78">
        <v>31.439684</v>
      </c>
      <c r="V78">
        <v>32.274093999999998</v>
      </c>
      <c r="W78">
        <v>33.110160999999998</v>
      </c>
      <c r="X78">
        <v>33.959071999999999</v>
      </c>
      <c r="Y78">
        <v>35.021137000000003</v>
      </c>
      <c r="Z78">
        <v>36.027985000000001</v>
      </c>
      <c r="AA78">
        <v>37.00074</v>
      </c>
      <c r="AB78">
        <v>38.238467999999997</v>
      </c>
      <c r="AC78">
        <v>39.442677000000003</v>
      </c>
      <c r="AD78">
        <v>40.275176999999999</v>
      </c>
      <c r="AE78" t="s">
        <v>649</v>
      </c>
    </row>
    <row r="79" spans="1:31" x14ac:dyDescent="0.25">
      <c r="A79" t="s">
        <v>238</v>
      </c>
      <c r="B79" t="s">
        <v>650</v>
      </c>
      <c r="C79" t="s">
        <v>651</v>
      </c>
      <c r="D79" t="s">
        <v>349</v>
      </c>
      <c r="E79">
        <v>8.6605709999999991</v>
      </c>
      <c r="F79">
        <v>6.9001479999999997</v>
      </c>
      <c r="G79">
        <v>8.9224300000000003</v>
      </c>
      <c r="H79">
        <v>10.552668000000001</v>
      </c>
      <c r="I79">
        <v>12.106726</v>
      </c>
      <c r="J79">
        <v>12.984299</v>
      </c>
      <c r="K79">
        <v>15.015378</v>
      </c>
      <c r="L79">
        <v>15.346921999999999</v>
      </c>
      <c r="M79">
        <v>16.120688999999999</v>
      </c>
      <c r="N79">
        <v>16.456147999999999</v>
      </c>
      <c r="O79">
        <v>17.199833000000002</v>
      </c>
      <c r="P79">
        <v>17.809805000000001</v>
      </c>
      <c r="Q79">
        <v>18.309252000000001</v>
      </c>
      <c r="R79">
        <v>18.945779999999999</v>
      </c>
      <c r="S79">
        <v>19.55621</v>
      </c>
      <c r="T79">
        <v>20.323803000000002</v>
      </c>
      <c r="U79">
        <v>21.151136000000001</v>
      </c>
      <c r="V79">
        <v>21.802668000000001</v>
      </c>
      <c r="W79">
        <v>22.403984000000001</v>
      </c>
      <c r="X79">
        <v>23.031213999999999</v>
      </c>
      <c r="Y79">
        <v>23.831392000000001</v>
      </c>
      <c r="Z79">
        <v>24.534489000000001</v>
      </c>
      <c r="AA79">
        <v>25.215658000000001</v>
      </c>
      <c r="AB79">
        <v>26.264496000000001</v>
      </c>
      <c r="AC79">
        <v>27.098633</v>
      </c>
      <c r="AD79">
        <v>27.770150999999998</v>
      </c>
      <c r="AE79" t="s">
        <v>638</v>
      </c>
    </row>
    <row r="80" spans="1:31" x14ac:dyDescent="0.25">
      <c r="A80" t="s">
        <v>141</v>
      </c>
      <c r="B80" t="s">
        <v>652</v>
      </c>
      <c r="C80" t="s">
        <v>653</v>
      </c>
      <c r="D80" t="s">
        <v>349</v>
      </c>
      <c r="E80">
        <v>4.5055800000000001</v>
      </c>
      <c r="F80">
        <v>4.8932089999999997</v>
      </c>
      <c r="G80">
        <v>4.8719060000000001</v>
      </c>
      <c r="H80">
        <v>5.0907600000000004</v>
      </c>
      <c r="I80">
        <v>5.3109909999999996</v>
      </c>
      <c r="J80">
        <v>5.9368189999999998</v>
      </c>
      <c r="K80">
        <v>6.3698519999999998</v>
      </c>
      <c r="L80">
        <v>6.6507940000000003</v>
      </c>
      <c r="M80">
        <v>6.789828</v>
      </c>
      <c r="N80">
        <v>6.9599460000000004</v>
      </c>
      <c r="O80">
        <v>7.2055809999999996</v>
      </c>
      <c r="P80">
        <v>7.4306270000000003</v>
      </c>
      <c r="Q80">
        <v>7.6540090000000003</v>
      </c>
      <c r="R80">
        <v>7.8826419999999997</v>
      </c>
      <c r="S80">
        <v>8.1312060000000006</v>
      </c>
      <c r="T80">
        <v>8.3596710000000005</v>
      </c>
      <c r="U80">
        <v>8.4644689999999994</v>
      </c>
      <c r="V80">
        <v>8.3713090000000001</v>
      </c>
      <c r="W80">
        <v>8.1900969999999997</v>
      </c>
      <c r="X80">
        <v>8.0093209999999999</v>
      </c>
      <c r="Y80">
        <v>7.9944940000000004</v>
      </c>
      <c r="Z80">
        <v>8.1288090000000004</v>
      </c>
      <c r="AA80">
        <v>8.2966329999999999</v>
      </c>
      <c r="AB80">
        <v>8.4517070000000007</v>
      </c>
      <c r="AC80">
        <v>8.575507</v>
      </c>
      <c r="AD80">
        <v>8.6680259999999993</v>
      </c>
      <c r="AE80" t="s">
        <v>529</v>
      </c>
    </row>
    <row r="81" spans="1:31" x14ac:dyDescent="0.25">
      <c r="A81" t="s">
        <v>254</v>
      </c>
      <c r="B81" t="s">
        <v>654</v>
      </c>
      <c r="C81" t="s">
        <v>655</v>
      </c>
      <c r="D81" t="s">
        <v>349</v>
      </c>
      <c r="E81">
        <v>6.4173830000000001</v>
      </c>
      <c r="F81">
        <v>6.5971260000000003</v>
      </c>
      <c r="G81">
        <v>6.7281079999999998</v>
      </c>
      <c r="H81">
        <v>6.8816649999999999</v>
      </c>
      <c r="I81">
        <v>7.0141770000000001</v>
      </c>
      <c r="J81">
        <v>7.176545</v>
      </c>
      <c r="K81">
        <v>7.3082820000000002</v>
      </c>
      <c r="L81">
        <v>7.484515</v>
      </c>
      <c r="M81">
        <v>7.6419769999999998</v>
      </c>
      <c r="N81">
        <v>7.7758079999999996</v>
      </c>
      <c r="O81">
        <v>7.9447190000000001</v>
      </c>
      <c r="P81">
        <v>8.0643010000000004</v>
      </c>
      <c r="Q81">
        <v>8.2293070000000004</v>
      </c>
      <c r="R81">
        <v>8.3871590000000005</v>
      </c>
      <c r="S81">
        <v>8.5099110000000007</v>
      </c>
      <c r="T81">
        <v>8.6809630000000002</v>
      </c>
      <c r="U81">
        <v>8.8333870000000001</v>
      </c>
      <c r="V81">
        <v>8.9836790000000004</v>
      </c>
      <c r="W81">
        <v>9.1436130000000002</v>
      </c>
      <c r="X81">
        <v>9.2962989999999994</v>
      </c>
      <c r="Y81">
        <v>9.4712449999999997</v>
      </c>
      <c r="Z81">
        <v>9.6303110000000007</v>
      </c>
      <c r="AA81">
        <v>9.8214009999999998</v>
      </c>
      <c r="AB81">
        <v>10.014431999999999</v>
      </c>
      <c r="AC81">
        <v>10.155500999999999</v>
      </c>
      <c r="AD81">
        <v>10.327953000000001</v>
      </c>
      <c r="AE81" t="s">
        <v>656</v>
      </c>
    </row>
    <row r="82" spans="1:31" x14ac:dyDescent="0.25">
      <c r="A82" t="s">
        <v>257</v>
      </c>
      <c r="B82" t="s">
        <v>657</v>
      </c>
      <c r="C82" t="s">
        <v>658</v>
      </c>
      <c r="D82" t="s">
        <v>349</v>
      </c>
      <c r="E82">
        <v>3.995581</v>
      </c>
      <c r="F82">
        <v>3.962253</v>
      </c>
      <c r="G82">
        <v>3.9413939999999998</v>
      </c>
      <c r="H82">
        <v>4.0163770000000003</v>
      </c>
      <c r="I82">
        <v>4.104921</v>
      </c>
      <c r="J82">
        <v>4.1564370000000004</v>
      </c>
      <c r="K82">
        <v>4.2412320000000001</v>
      </c>
      <c r="L82">
        <v>4.3098479999999997</v>
      </c>
      <c r="M82">
        <v>4.3936219999999997</v>
      </c>
      <c r="N82">
        <v>4.4624949999999997</v>
      </c>
      <c r="O82">
        <v>4.5418960000000004</v>
      </c>
      <c r="P82">
        <v>4.6348190000000002</v>
      </c>
      <c r="Q82">
        <v>4.7327120000000003</v>
      </c>
      <c r="R82">
        <v>4.8340019999999999</v>
      </c>
      <c r="S82">
        <v>4.9088240000000001</v>
      </c>
      <c r="T82">
        <v>5.0256569999999998</v>
      </c>
      <c r="U82">
        <v>5.1196999999999999</v>
      </c>
      <c r="V82">
        <v>5.2251450000000004</v>
      </c>
      <c r="W82">
        <v>5.3203659999999999</v>
      </c>
      <c r="X82">
        <v>5.4152019999999998</v>
      </c>
      <c r="Y82">
        <v>5.5183609999999996</v>
      </c>
      <c r="Z82">
        <v>5.6022889999999999</v>
      </c>
      <c r="AA82">
        <v>5.7162369999999996</v>
      </c>
      <c r="AB82">
        <v>5.8378300000000003</v>
      </c>
      <c r="AC82">
        <v>5.9935989999999997</v>
      </c>
      <c r="AD82">
        <v>6.1012490000000001</v>
      </c>
      <c r="AE82" t="s">
        <v>649</v>
      </c>
    </row>
    <row r="83" spans="1:31" x14ac:dyDescent="0.25">
      <c r="A83" t="s">
        <v>260</v>
      </c>
      <c r="B83" t="s">
        <v>659</v>
      </c>
      <c r="C83" t="s">
        <v>660</v>
      </c>
      <c r="D83" t="s">
        <v>349</v>
      </c>
      <c r="E83">
        <v>11.501232999999999</v>
      </c>
      <c r="F83">
        <v>12.215922000000001</v>
      </c>
      <c r="G83">
        <v>12.441084999999999</v>
      </c>
      <c r="H83">
        <v>12.845333</v>
      </c>
      <c r="I83">
        <v>13.19964</v>
      </c>
      <c r="J83">
        <v>14.246919999999999</v>
      </c>
      <c r="K83">
        <v>14.868074999999999</v>
      </c>
      <c r="L83">
        <v>15.341229</v>
      </c>
      <c r="M83">
        <v>15.758101</v>
      </c>
      <c r="N83">
        <v>16.121334000000001</v>
      </c>
      <c r="O83">
        <v>16.377409</v>
      </c>
      <c r="P83">
        <v>16.928585000000002</v>
      </c>
      <c r="Q83">
        <v>17.287061999999999</v>
      </c>
      <c r="R83">
        <v>17.757148999999998</v>
      </c>
      <c r="S83">
        <v>18.224952999999999</v>
      </c>
      <c r="T83">
        <v>18.648541999999999</v>
      </c>
      <c r="U83">
        <v>18.894539000000002</v>
      </c>
      <c r="V83">
        <v>18.979748000000001</v>
      </c>
      <c r="W83">
        <v>18.869945999999999</v>
      </c>
      <c r="X83">
        <v>18.823492000000002</v>
      </c>
      <c r="Y83">
        <v>18.959050999999999</v>
      </c>
      <c r="Z83">
        <v>19.220348000000001</v>
      </c>
      <c r="AA83">
        <v>19.583922999999999</v>
      </c>
      <c r="AB83">
        <v>19.950400999999999</v>
      </c>
      <c r="AC83">
        <v>20.260973</v>
      </c>
      <c r="AD83">
        <v>20.556705000000001</v>
      </c>
      <c r="AE83" t="s">
        <v>661</v>
      </c>
    </row>
    <row r="84" spans="1:31" x14ac:dyDescent="0.25">
      <c r="A84" t="s">
        <v>230</v>
      </c>
      <c r="B84" t="s">
        <v>662</v>
      </c>
      <c r="C84" t="s">
        <v>663</v>
      </c>
      <c r="D84" t="s">
        <v>349</v>
      </c>
      <c r="E84">
        <v>26.595725999999999</v>
      </c>
      <c r="F84">
        <v>27.183185999999999</v>
      </c>
      <c r="G84">
        <v>26.446179999999998</v>
      </c>
      <c r="H84">
        <v>26.295321999999999</v>
      </c>
      <c r="I84">
        <v>27.056813999999999</v>
      </c>
      <c r="J84">
        <v>28.031288</v>
      </c>
      <c r="K84">
        <v>29.024605000000001</v>
      </c>
      <c r="L84">
        <v>29.771094999999999</v>
      </c>
      <c r="M84">
        <v>30.648406999999999</v>
      </c>
      <c r="N84">
        <v>31.438168000000001</v>
      </c>
      <c r="O84">
        <v>32.213593000000003</v>
      </c>
      <c r="P84">
        <v>32.956795</v>
      </c>
      <c r="Q84">
        <v>33.768005000000002</v>
      </c>
      <c r="R84">
        <v>34.526130999999999</v>
      </c>
      <c r="S84">
        <v>35.399929</v>
      </c>
      <c r="T84">
        <v>36.310912999999999</v>
      </c>
      <c r="U84">
        <v>36.998283000000001</v>
      </c>
      <c r="V84">
        <v>37.489325999999998</v>
      </c>
      <c r="W84">
        <v>37.965794000000002</v>
      </c>
      <c r="X84">
        <v>38.455432999999999</v>
      </c>
      <c r="Y84">
        <v>38.836314999999999</v>
      </c>
      <c r="Z84">
        <v>39.743523000000003</v>
      </c>
      <c r="AA84">
        <v>40.595776000000001</v>
      </c>
      <c r="AB84">
        <v>41.425857999999998</v>
      </c>
      <c r="AC84">
        <v>42.15052</v>
      </c>
      <c r="AD84">
        <v>42.968788000000004</v>
      </c>
      <c r="AE84" t="s">
        <v>656</v>
      </c>
    </row>
    <row r="85" spans="1:31" x14ac:dyDescent="0.25">
      <c r="A85" t="s">
        <v>265</v>
      </c>
    </row>
    <row r="86" spans="1:31" x14ac:dyDescent="0.25">
      <c r="A86" t="s">
        <v>221</v>
      </c>
      <c r="B86" t="s">
        <v>664</v>
      </c>
      <c r="C86" t="s">
        <v>665</v>
      </c>
      <c r="D86" t="s">
        <v>349</v>
      </c>
      <c r="E86">
        <v>18.230301000000001</v>
      </c>
      <c r="F86">
        <v>17.007211999999999</v>
      </c>
      <c r="G86">
        <v>17.611189</v>
      </c>
      <c r="H86">
        <v>18.814934000000001</v>
      </c>
      <c r="I86">
        <v>19.8965</v>
      </c>
      <c r="J86">
        <v>21.203776999999999</v>
      </c>
      <c r="K86">
        <v>22.815505999999999</v>
      </c>
      <c r="L86">
        <v>23.845697000000001</v>
      </c>
      <c r="M86">
        <v>25.059345</v>
      </c>
      <c r="N86">
        <v>26.016787999999998</v>
      </c>
      <c r="O86">
        <v>26.996880000000001</v>
      </c>
      <c r="P86">
        <v>27.986801</v>
      </c>
      <c r="Q86">
        <v>29.083711999999998</v>
      </c>
      <c r="R86">
        <v>30.183540000000001</v>
      </c>
      <c r="S86">
        <v>31.284565000000001</v>
      </c>
      <c r="T86">
        <v>32.224186000000003</v>
      </c>
      <c r="U86">
        <v>33.044155000000003</v>
      </c>
      <c r="V86">
        <v>33.582745000000003</v>
      </c>
      <c r="W86">
        <v>33.912064000000001</v>
      </c>
      <c r="X86">
        <v>34.252758</v>
      </c>
      <c r="Y86">
        <v>34.949593</v>
      </c>
      <c r="Z86">
        <v>35.837006000000002</v>
      </c>
      <c r="AA86">
        <v>36.750655999999999</v>
      </c>
      <c r="AB86">
        <v>37.696072000000001</v>
      </c>
      <c r="AC86">
        <v>38.552619999999997</v>
      </c>
      <c r="AD86">
        <v>39.369262999999997</v>
      </c>
      <c r="AE86" t="s">
        <v>622</v>
      </c>
    </row>
    <row r="87" spans="1:31" x14ac:dyDescent="0.25">
      <c r="A87" t="s">
        <v>268</v>
      </c>
      <c r="B87" t="s">
        <v>666</v>
      </c>
      <c r="C87" t="s">
        <v>667</v>
      </c>
      <c r="D87" t="s">
        <v>349</v>
      </c>
      <c r="E87">
        <v>30.587164000000001</v>
      </c>
      <c r="F87">
        <v>31.203903</v>
      </c>
      <c r="G87">
        <v>30.024381999999999</v>
      </c>
      <c r="H87">
        <v>30.145154999999999</v>
      </c>
      <c r="I87">
        <v>30.904641999999999</v>
      </c>
      <c r="J87">
        <v>31.073414</v>
      </c>
      <c r="K87">
        <v>32.168621000000002</v>
      </c>
      <c r="L87">
        <v>32.907597000000003</v>
      </c>
      <c r="M87">
        <v>34.255245000000002</v>
      </c>
      <c r="N87">
        <v>35.123013</v>
      </c>
      <c r="O87">
        <v>36.329647000000001</v>
      </c>
      <c r="P87">
        <v>37.328429999999997</v>
      </c>
      <c r="Q87">
        <v>38.626873000000003</v>
      </c>
      <c r="R87">
        <v>39.625445999999997</v>
      </c>
      <c r="S87">
        <v>40.600712000000001</v>
      </c>
      <c r="T87">
        <v>41.494475999999999</v>
      </c>
      <c r="U87">
        <v>42.297187999999998</v>
      </c>
      <c r="V87">
        <v>43.355907000000002</v>
      </c>
      <c r="W87">
        <v>44.286273999999999</v>
      </c>
      <c r="X87">
        <v>45.190883999999997</v>
      </c>
      <c r="Y87">
        <v>46.453612999999997</v>
      </c>
      <c r="Z87">
        <v>47.314700999999999</v>
      </c>
      <c r="AA87">
        <v>48.453220000000002</v>
      </c>
      <c r="AB87">
        <v>49.672561999999999</v>
      </c>
      <c r="AC87">
        <v>50.988106000000002</v>
      </c>
      <c r="AD87">
        <v>52.034877999999999</v>
      </c>
      <c r="AE87" t="s">
        <v>668</v>
      </c>
    </row>
    <row r="88" spans="1:31" x14ac:dyDescent="0.25">
      <c r="A88" t="s">
        <v>271</v>
      </c>
      <c r="B88" t="s">
        <v>669</v>
      </c>
      <c r="C88" t="s">
        <v>670</v>
      </c>
      <c r="D88" t="s">
        <v>349</v>
      </c>
      <c r="E88">
        <v>26.463598000000001</v>
      </c>
      <c r="F88">
        <v>25.513670000000001</v>
      </c>
      <c r="G88">
        <v>24.623332999999999</v>
      </c>
      <c r="H88">
        <v>24.586749999999999</v>
      </c>
      <c r="I88">
        <v>25.128912</v>
      </c>
      <c r="J88">
        <v>25.932306000000001</v>
      </c>
      <c r="K88">
        <v>26.792874999999999</v>
      </c>
      <c r="L88">
        <v>27.478697</v>
      </c>
      <c r="M88">
        <v>28.974934000000001</v>
      </c>
      <c r="N88">
        <v>29.670784000000001</v>
      </c>
      <c r="O88">
        <v>30.657433999999999</v>
      </c>
      <c r="P88">
        <v>31.503145</v>
      </c>
      <c r="Q88">
        <v>32.492550000000001</v>
      </c>
      <c r="R88">
        <v>33.352469999999997</v>
      </c>
      <c r="S88">
        <v>34.126792999999999</v>
      </c>
      <c r="T88">
        <v>34.871440999999997</v>
      </c>
      <c r="U88">
        <v>35.589207000000002</v>
      </c>
      <c r="V88">
        <v>36.480637000000002</v>
      </c>
      <c r="W88">
        <v>37.193615000000001</v>
      </c>
      <c r="X88">
        <v>37.917572</v>
      </c>
      <c r="Y88">
        <v>38.904232</v>
      </c>
      <c r="Z88">
        <v>39.606155000000001</v>
      </c>
      <c r="AA88">
        <v>40.706440000000001</v>
      </c>
      <c r="AB88">
        <v>41.674114000000003</v>
      </c>
      <c r="AC88">
        <v>42.796936000000002</v>
      </c>
      <c r="AD88">
        <v>43.670363999999999</v>
      </c>
      <c r="AE88" t="s">
        <v>479</v>
      </c>
    </row>
    <row r="89" spans="1:31" x14ac:dyDescent="0.25">
      <c r="A89" t="s">
        <v>274</v>
      </c>
      <c r="B89" t="s">
        <v>671</v>
      </c>
      <c r="C89" t="s">
        <v>672</v>
      </c>
      <c r="D89" t="s">
        <v>349</v>
      </c>
      <c r="E89">
        <v>16.24399</v>
      </c>
      <c r="F89">
        <v>14.885285</v>
      </c>
      <c r="G89">
        <v>16.242111000000001</v>
      </c>
      <c r="H89">
        <v>17.142665999999998</v>
      </c>
      <c r="I89">
        <v>17.956693999999999</v>
      </c>
      <c r="J89">
        <v>18.163627999999999</v>
      </c>
      <c r="K89">
        <v>19.103359000000001</v>
      </c>
      <c r="L89">
        <v>19.707733000000001</v>
      </c>
      <c r="M89">
        <v>20.719217</v>
      </c>
      <c r="N89">
        <v>21.308351999999999</v>
      </c>
      <c r="O89">
        <v>22.187794</v>
      </c>
      <c r="P89">
        <v>22.852395999999999</v>
      </c>
      <c r="Q89">
        <v>23.740504999999999</v>
      </c>
      <c r="R89">
        <v>24.586228999999999</v>
      </c>
      <c r="S89">
        <v>25.237694000000001</v>
      </c>
      <c r="T89">
        <v>25.906341999999999</v>
      </c>
      <c r="U89">
        <v>26.724316000000002</v>
      </c>
      <c r="V89">
        <v>27.552126000000001</v>
      </c>
      <c r="W89">
        <v>28.378133999999999</v>
      </c>
      <c r="X89">
        <v>29.216570000000001</v>
      </c>
      <c r="Y89">
        <v>30.297083000000001</v>
      </c>
      <c r="Z89">
        <v>31.302762999999999</v>
      </c>
      <c r="AA89">
        <v>32.254620000000003</v>
      </c>
      <c r="AB89">
        <v>33.461460000000002</v>
      </c>
      <c r="AC89">
        <v>34.623187999999999</v>
      </c>
      <c r="AD89">
        <v>35.399757000000001</v>
      </c>
      <c r="AE89" t="s">
        <v>633</v>
      </c>
    </row>
    <row r="90" spans="1:31" x14ac:dyDescent="0.25">
      <c r="A90" t="s">
        <v>277</v>
      </c>
      <c r="B90" t="s">
        <v>673</v>
      </c>
      <c r="C90" t="s">
        <v>674</v>
      </c>
      <c r="D90" t="s">
        <v>349</v>
      </c>
      <c r="E90">
        <v>26.549246</v>
      </c>
      <c r="F90">
        <v>25.43479</v>
      </c>
      <c r="G90">
        <v>26.327487999999999</v>
      </c>
      <c r="H90">
        <v>27.129781999999999</v>
      </c>
      <c r="I90">
        <v>27.798845</v>
      </c>
      <c r="J90">
        <v>28.406582</v>
      </c>
      <c r="K90">
        <v>28.930682999999998</v>
      </c>
      <c r="L90">
        <v>29.511772000000001</v>
      </c>
      <c r="M90">
        <v>31.42576</v>
      </c>
      <c r="N90">
        <v>32.097237</v>
      </c>
      <c r="O90">
        <v>32.981116999999998</v>
      </c>
      <c r="P90">
        <v>34.054726000000002</v>
      </c>
      <c r="Q90">
        <v>35.128605</v>
      </c>
      <c r="R90">
        <v>36.127502</v>
      </c>
      <c r="S90">
        <v>37.053775999999999</v>
      </c>
      <c r="T90">
        <v>37.876621</v>
      </c>
      <c r="U90">
        <v>38.758857999999996</v>
      </c>
      <c r="V90">
        <v>39.729298</v>
      </c>
      <c r="W90">
        <v>40.687373999999998</v>
      </c>
      <c r="X90">
        <v>41.622157999999999</v>
      </c>
      <c r="Y90">
        <v>42.852268000000002</v>
      </c>
      <c r="Z90">
        <v>44.049931000000001</v>
      </c>
      <c r="AA90">
        <v>45.010463999999999</v>
      </c>
      <c r="AB90">
        <v>46.516361000000003</v>
      </c>
      <c r="AC90">
        <v>47.931091000000002</v>
      </c>
      <c r="AD90">
        <v>48.836582</v>
      </c>
      <c r="AE90" t="s">
        <v>675</v>
      </c>
    </row>
    <row r="91" spans="1:31" x14ac:dyDescent="0.25">
      <c r="A91" t="s">
        <v>238</v>
      </c>
      <c r="B91" t="s">
        <v>676</v>
      </c>
      <c r="C91" t="s">
        <v>677</v>
      </c>
      <c r="D91" t="s">
        <v>349</v>
      </c>
      <c r="E91">
        <v>11.500686999999999</v>
      </c>
      <c r="F91">
        <v>9.1765089999999994</v>
      </c>
      <c r="G91">
        <v>10.461626000000001</v>
      </c>
      <c r="H91">
        <v>11.215068</v>
      </c>
      <c r="I91">
        <v>11.870642</v>
      </c>
      <c r="J91">
        <v>12.038475999999999</v>
      </c>
      <c r="K91">
        <v>13.052052</v>
      </c>
      <c r="L91">
        <v>13.308909</v>
      </c>
      <c r="M91">
        <v>13.903541000000001</v>
      </c>
      <c r="N91">
        <v>14.270398</v>
      </c>
      <c r="O91">
        <v>14.772669</v>
      </c>
      <c r="P91">
        <v>15.242775</v>
      </c>
      <c r="Q91">
        <v>15.621074999999999</v>
      </c>
      <c r="R91">
        <v>16.116737000000001</v>
      </c>
      <c r="S91">
        <v>16.558672000000001</v>
      </c>
      <c r="T91">
        <v>17.172087000000001</v>
      </c>
      <c r="U91">
        <v>17.840195000000001</v>
      </c>
      <c r="V91">
        <v>18.361521</v>
      </c>
      <c r="W91">
        <v>18.873004999999999</v>
      </c>
      <c r="X91">
        <v>19.392209999999999</v>
      </c>
      <c r="Y91">
        <v>20.033145999999999</v>
      </c>
      <c r="Z91">
        <v>20.594844999999999</v>
      </c>
      <c r="AA91">
        <v>21.138076999999999</v>
      </c>
      <c r="AB91">
        <v>21.981722000000001</v>
      </c>
      <c r="AC91">
        <v>22.654275999999999</v>
      </c>
      <c r="AD91">
        <v>23.196024000000001</v>
      </c>
      <c r="AE91" t="s">
        <v>515</v>
      </c>
    </row>
    <row r="92" spans="1:31" x14ac:dyDescent="0.25">
      <c r="A92" t="s">
        <v>141</v>
      </c>
      <c r="B92" t="s">
        <v>678</v>
      </c>
      <c r="C92" t="s">
        <v>679</v>
      </c>
      <c r="D92" t="s">
        <v>349</v>
      </c>
      <c r="E92">
        <v>17.201744000000001</v>
      </c>
      <c r="F92">
        <v>17.844985999999999</v>
      </c>
      <c r="G92">
        <v>18.013479</v>
      </c>
      <c r="H92">
        <v>18.415855000000001</v>
      </c>
      <c r="I92">
        <v>18.820347000000002</v>
      </c>
      <c r="J92">
        <v>19.577884999999998</v>
      </c>
      <c r="K92">
        <v>20.192388999999999</v>
      </c>
      <c r="L92">
        <v>20.608042000000001</v>
      </c>
      <c r="M92">
        <v>21.747008999999998</v>
      </c>
      <c r="N92">
        <v>22.089293000000001</v>
      </c>
      <c r="O92">
        <v>22.516681999999999</v>
      </c>
      <c r="P92">
        <v>22.906855</v>
      </c>
      <c r="Q92">
        <v>23.436966000000002</v>
      </c>
      <c r="R92">
        <v>23.808046000000001</v>
      </c>
      <c r="S92">
        <v>24.198340999999999</v>
      </c>
      <c r="T92">
        <v>24.570103</v>
      </c>
      <c r="U92">
        <v>24.85453</v>
      </c>
      <c r="V92">
        <v>24.938987999999998</v>
      </c>
      <c r="W92">
        <v>24.955359000000001</v>
      </c>
      <c r="X92">
        <v>24.948903999999999</v>
      </c>
      <c r="Y92">
        <v>25.065079000000001</v>
      </c>
      <c r="Z92">
        <v>25.347882999999999</v>
      </c>
      <c r="AA92">
        <v>25.664193999999998</v>
      </c>
      <c r="AB92">
        <v>25.973032</v>
      </c>
      <c r="AC92">
        <v>26.251431</v>
      </c>
      <c r="AD92">
        <v>26.487376999999999</v>
      </c>
      <c r="AE92" t="s">
        <v>649</v>
      </c>
    </row>
    <row r="93" spans="1:31" x14ac:dyDescent="0.25">
      <c r="A93" t="s">
        <v>230</v>
      </c>
      <c r="B93" t="s">
        <v>680</v>
      </c>
      <c r="C93" t="s">
        <v>681</v>
      </c>
      <c r="D93" t="s">
        <v>349</v>
      </c>
      <c r="E93">
        <v>45.167717000000003</v>
      </c>
      <c r="F93">
        <v>46.454472000000003</v>
      </c>
      <c r="G93">
        <v>45.886574000000003</v>
      </c>
      <c r="H93">
        <v>44.966662999999997</v>
      </c>
      <c r="I93">
        <v>46.176102</v>
      </c>
      <c r="J93">
        <v>47.676139999999997</v>
      </c>
      <c r="K93">
        <v>48.802723</v>
      </c>
      <c r="L93">
        <v>49.810046999999997</v>
      </c>
      <c r="M93">
        <v>50.980685999999999</v>
      </c>
      <c r="N93">
        <v>52.590381999999998</v>
      </c>
      <c r="O93">
        <v>53.914161999999997</v>
      </c>
      <c r="P93">
        <v>55.245269999999998</v>
      </c>
      <c r="Q93">
        <v>56.911918999999997</v>
      </c>
      <c r="R93">
        <v>58.459567999999997</v>
      </c>
      <c r="S93">
        <v>60.052010000000003</v>
      </c>
      <c r="T93">
        <v>61.496372000000001</v>
      </c>
      <c r="U93">
        <v>62.719242000000001</v>
      </c>
      <c r="V93">
        <v>63.953876000000001</v>
      </c>
      <c r="W93">
        <v>65.059630999999996</v>
      </c>
      <c r="X93">
        <v>66.253653999999997</v>
      </c>
      <c r="Y93">
        <v>67.257407999999998</v>
      </c>
      <c r="Z93">
        <v>68.665176000000002</v>
      </c>
      <c r="AA93">
        <v>70.261909000000003</v>
      </c>
      <c r="AB93">
        <v>71.912970999999999</v>
      </c>
      <c r="AC93">
        <v>73.254669000000007</v>
      </c>
      <c r="AD93">
        <v>74.780333999999996</v>
      </c>
      <c r="AE93" t="s">
        <v>479</v>
      </c>
    </row>
    <row r="94" spans="1:31" x14ac:dyDescent="0.25">
      <c r="A94" t="s">
        <v>288</v>
      </c>
    </row>
    <row r="95" spans="1:31" x14ac:dyDescent="0.25">
      <c r="A95" t="s">
        <v>225</v>
      </c>
      <c r="B95" t="s">
        <v>682</v>
      </c>
      <c r="C95" t="s">
        <v>683</v>
      </c>
      <c r="D95" t="s">
        <v>349</v>
      </c>
      <c r="E95">
        <v>26.278624000000001</v>
      </c>
      <c r="F95">
        <v>24.489048</v>
      </c>
      <c r="G95">
        <v>24.779555999999999</v>
      </c>
      <c r="H95">
        <v>24.663654000000001</v>
      </c>
      <c r="I95">
        <v>24.507017000000001</v>
      </c>
      <c r="J95">
        <v>23.571476000000001</v>
      </c>
      <c r="K95">
        <v>23.097819999999999</v>
      </c>
      <c r="L95">
        <v>23.784310999999999</v>
      </c>
      <c r="M95">
        <v>24.748343999999999</v>
      </c>
      <c r="N95">
        <v>25.387433999999999</v>
      </c>
      <c r="O95">
        <v>26.27375</v>
      </c>
      <c r="P95">
        <v>26.933302000000001</v>
      </c>
      <c r="Q95">
        <v>27.856487000000001</v>
      </c>
      <c r="R95">
        <v>28.685193999999999</v>
      </c>
      <c r="S95">
        <v>29.362669</v>
      </c>
      <c r="T95">
        <v>30.037808999999999</v>
      </c>
      <c r="U95">
        <v>30.788278999999999</v>
      </c>
      <c r="V95">
        <v>31.547287000000001</v>
      </c>
      <c r="W95">
        <v>32.353245000000001</v>
      </c>
      <c r="X95">
        <v>33.072777000000002</v>
      </c>
      <c r="Y95">
        <v>34.006256</v>
      </c>
      <c r="Z95">
        <v>35.020755999999999</v>
      </c>
      <c r="AA95">
        <v>35.912571</v>
      </c>
      <c r="AB95">
        <v>37.078055999999997</v>
      </c>
      <c r="AC95">
        <v>38.327274000000003</v>
      </c>
      <c r="AD95">
        <v>39.144565999999998</v>
      </c>
      <c r="AE95" t="s">
        <v>466</v>
      </c>
    </row>
    <row r="96" spans="1:31" x14ac:dyDescent="0.25">
      <c r="A96" t="s">
        <v>238</v>
      </c>
      <c r="B96" t="s">
        <v>684</v>
      </c>
      <c r="C96" t="s">
        <v>685</v>
      </c>
      <c r="D96" t="s">
        <v>349</v>
      </c>
      <c r="E96">
        <v>15.195043</v>
      </c>
      <c r="F96">
        <v>11.705897</v>
      </c>
      <c r="G96">
        <v>13.141294</v>
      </c>
      <c r="H96">
        <v>14.214765</v>
      </c>
      <c r="I96">
        <v>14.965571000000001</v>
      </c>
      <c r="J96">
        <v>15.168744999999999</v>
      </c>
      <c r="K96">
        <v>16.500057000000002</v>
      </c>
      <c r="L96">
        <v>16.691330000000001</v>
      </c>
      <c r="M96">
        <v>17.325517999999999</v>
      </c>
      <c r="N96">
        <v>17.804876</v>
      </c>
      <c r="O96">
        <v>18.258794999999999</v>
      </c>
      <c r="P96">
        <v>18.755901000000001</v>
      </c>
      <c r="Q96">
        <v>19.152221999999998</v>
      </c>
      <c r="R96">
        <v>19.655111000000002</v>
      </c>
      <c r="S96">
        <v>20.177216000000001</v>
      </c>
      <c r="T96">
        <v>20.767647</v>
      </c>
      <c r="U96">
        <v>21.173552000000001</v>
      </c>
      <c r="V96">
        <v>21.324155999999999</v>
      </c>
      <c r="W96">
        <v>21.201637000000002</v>
      </c>
      <c r="X96">
        <v>20.893094999999999</v>
      </c>
      <c r="Y96">
        <v>20.376925</v>
      </c>
      <c r="Z96">
        <v>20.947179999999999</v>
      </c>
      <c r="AA96">
        <v>21.567547000000001</v>
      </c>
      <c r="AB96">
        <v>22.527080999999999</v>
      </c>
      <c r="AC96">
        <v>23.299332</v>
      </c>
      <c r="AD96">
        <v>23.891749999999998</v>
      </c>
      <c r="AE96" t="s">
        <v>474</v>
      </c>
    </row>
    <row r="97" spans="1:31" x14ac:dyDescent="0.25">
      <c r="A97" t="s">
        <v>141</v>
      </c>
      <c r="B97" t="s">
        <v>686</v>
      </c>
      <c r="C97" t="s">
        <v>687</v>
      </c>
      <c r="D97" t="s">
        <v>349</v>
      </c>
      <c r="E97">
        <v>3.8086660000000001</v>
      </c>
      <c r="F97">
        <v>4.1059739999999998</v>
      </c>
      <c r="G97">
        <v>4.0223570000000004</v>
      </c>
      <c r="H97">
        <v>4.172301</v>
      </c>
      <c r="I97">
        <v>4.3873579999999999</v>
      </c>
      <c r="J97">
        <v>4.9978899999999999</v>
      </c>
      <c r="K97">
        <v>5.4647189999999997</v>
      </c>
      <c r="L97">
        <v>5.6476680000000004</v>
      </c>
      <c r="M97">
        <v>5.7611600000000003</v>
      </c>
      <c r="N97">
        <v>5.9541009999999996</v>
      </c>
      <c r="O97">
        <v>6.0625790000000004</v>
      </c>
      <c r="P97">
        <v>6.2923489999999997</v>
      </c>
      <c r="Q97">
        <v>6.5591249999999999</v>
      </c>
      <c r="R97">
        <v>6.6455789999999997</v>
      </c>
      <c r="S97">
        <v>6.9182350000000001</v>
      </c>
      <c r="T97">
        <v>7.0971529999999996</v>
      </c>
      <c r="U97">
        <v>7.1358649999999999</v>
      </c>
      <c r="V97">
        <v>7.0426440000000001</v>
      </c>
      <c r="W97">
        <v>6.9196949999999999</v>
      </c>
      <c r="X97">
        <v>6.7760040000000004</v>
      </c>
      <c r="Y97">
        <v>6.7172970000000003</v>
      </c>
      <c r="Z97">
        <v>6.8076220000000003</v>
      </c>
      <c r="AA97">
        <v>6.9188869999999998</v>
      </c>
      <c r="AB97">
        <v>7.0792869999999999</v>
      </c>
      <c r="AC97">
        <v>7.1949509999999997</v>
      </c>
      <c r="AD97">
        <v>7.2884679999999999</v>
      </c>
      <c r="AE97" t="s">
        <v>485</v>
      </c>
    </row>
    <row r="98" spans="1:31" x14ac:dyDescent="0.25">
      <c r="A98" t="s">
        <v>295</v>
      </c>
      <c r="B98" t="s">
        <v>688</v>
      </c>
      <c r="C98" t="s">
        <v>689</v>
      </c>
      <c r="D98" t="s">
        <v>349</v>
      </c>
      <c r="E98">
        <v>2.563418</v>
      </c>
      <c r="F98">
        <v>2.5863119999999999</v>
      </c>
      <c r="G98">
        <v>2.5925150000000001</v>
      </c>
      <c r="H98">
        <v>2.6296349999999999</v>
      </c>
      <c r="I98">
        <v>2.6762450000000002</v>
      </c>
      <c r="J98">
        <v>2.7451629999999998</v>
      </c>
      <c r="K98">
        <v>2.751312</v>
      </c>
      <c r="L98">
        <v>2.7902420000000001</v>
      </c>
      <c r="M98">
        <v>2.84354</v>
      </c>
      <c r="N98">
        <v>2.8777819999999998</v>
      </c>
      <c r="O98">
        <v>2.9360909999999998</v>
      </c>
      <c r="P98">
        <v>2.9919920000000002</v>
      </c>
      <c r="Q98">
        <v>3.1009899999999999</v>
      </c>
      <c r="R98">
        <v>3.1683849999999998</v>
      </c>
      <c r="S98">
        <v>3.2528350000000001</v>
      </c>
      <c r="T98">
        <v>3.3242970000000001</v>
      </c>
      <c r="U98">
        <v>3.3780869999999998</v>
      </c>
      <c r="V98">
        <v>3.4384939999999999</v>
      </c>
      <c r="W98">
        <v>3.5162369999999998</v>
      </c>
      <c r="X98">
        <v>3.5672920000000001</v>
      </c>
      <c r="Y98">
        <v>3.6472899999999999</v>
      </c>
      <c r="Z98">
        <v>3.7334239999999999</v>
      </c>
      <c r="AA98">
        <v>3.816249</v>
      </c>
      <c r="AB98">
        <v>3.9000149999999998</v>
      </c>
      <c r="AC98">
        <v>4.0186159999999997</v>
      </c>
      <c r="AD98">
        <v>4.0909659999999999</v>
      </c>
      <c r="AE98" t="s">
        <v>656</v>
      </c>
    </row>
    <row r="99" spans="1:31" x14ac:dyDescent="0.25">
      <c r="A99" t="s">
        <v>574</v>
      </c>
      <c r="B99" t="s">
        <v>690</v>
      </c>
      <c r="C99" t="s">
        <v>691</v>
      </c>
      <c r="D99" t="s">
        <v>349</v>
      </c>
      <c r="E99">
        <v>0.54999699999999996</v>
      </c>
      <c r="F99">
        <v>0.56005000000000005</v>
      </c>
      <c r="G99">
        <v>0.56964499999999996</v>
      </c>
      <c r="H99">
        <v>0.57939200000000002</v>
      </c>
      <c r="I99">
        <v>0.58915399999999996</v>
      </c>
      <c r="J99">
        <v>0.59923199999999999</v>
      </c>
      <c r="K99">
        <v>0.608429</v>
      </c>
      <c r="L99">
        <v>0.617533</v>
      </c>
      <c r="M99">
        <v>0.62723099999999998</v>
      </c>
      <c r="N99">
        <v>0.635544</v>
      </c>
      <c r="O99">
        <v>0.64408799999999999</v>
      </c>
      <c r="P99">
        <v>0.65236899999999998</v>
      </c>
      <c r="Q99">
        <v>0.66135699999999997</v>
      </c>
      <c r="R99">
        <v>0.67046799999999995</v>
      </c>
      <c r="S99">
        <v>0.679531</v>
      </c>
      <c r="T99">
        <v>0.68741799999999997</v>
      </c>
      <c r="U99">
        <v>0.696496</v>
      </c>
      <c r="V99">
        <v>0.70402699999999996</v>
      </c>
      <c r="W99">
        <v>0.71283300000000005</v>
      </c>
      <c r="X99">
        <v>0.72009900000000004</v>
      </c>
      <c r="Y99">
        <v>0.727271</v>
      </c>
      <c r="Z99">
        <v>0.73444799999999999</v>
      </c>
      <c r="AA99">
        <v>0.743205</v>
      </c>
      <c r="AB99">
        <v>0.75059200000000004</v>
      </c>
      <c r="AC99">
        <v>0.75789200000000001</v>
      </c>
      <c r="AD99">
        <v>0.76500699999999999</v>
      </c>
      <c r="AE99" t="s">
        <v>469</v>
      </c>
    </row>
    <row r="100" spans="1:31" x14ac:dyDescent="0.25">
      <c r="A100" t="s">
        <v>260</v>
      </c>
      <c r="B100" t="s">
        <v>690</v>
      </c>
      <c r="C100" t="s">
        <v>692</v>
      </c>
      <c r="D100" t="s">
        <v>349</v>
      </c>
      <c r="E100">
        <v>11.501232999999999</v>
      </c>
      <c r="F100">
        <v>12.215922000000001</v>
      </c>
      <c r="G100">
        <v>12.441084999999999</v>
      </c>
      <c r="H100">
        <v>12.845333</v>
      </c>
      <c r="I100">
        <v>13.19964</v>
      </c>
      <c r="J100">
        <v>14.246919999999999</v>
      </c>
      <c r="K100">
        <v>14.868074999999999</v>
      </c>
      <c r="L100">
        <v>15.341229</v>
      </c>
      <c r="M100">
        <v>15.758101</v>
      </c>
      <c r="N100">
        <v>16.121334000000001</v>
      </c>
      <c r="O100">
        <v>16.377409</v>
      </c>
      <c r="P100">
        <v>16.928585000000002</v>
      </c>
      <c r="Q100">
        <v>17.287061999999999</v>
      </c>
      <c r="R100">
        <v>17.757148999999998</v>
      </c>
      <c r="S100">
        <v>18.224952999999999</v>
      </c>
      <c r="T100">
        <v>18.648541999999999</v>
      </c>
      <c r="U100">
        <v>18.894539000000002</v>
      </c>
      <c r="V100">
        <v>18.979748000000001</v>
      </c>
      <c r="W100">
        <v>18.869945999999999</v>
      </c>
      <c r="X100">
        <v>18.823492000000002</v>
      </c>
      <c r="Y100">
        <v>18.959050999999999</v>
      </c>
      <c r="Z100">
        <v>19.220348000000001</v>
      </c>
      <c r="AA100">
        <v>19.583922999999999</v>
      </c>
      <c r="AB100">
        <v>19.950400999999999</v>
      </c>
      <c r="AC100">
        <v>20.260973</v>
      </c>
      <c r="AD100">
        <v>20.556705000000001</v>
      </c>
      <c r="AE100" t="s">
        <v>661</v>
      </c>
    </row>
    <row r="101" spans="1:31" x14ac:dyDescent="0.25">
      <c r="A101" t="s">
        <v>302</v>
      </c>
    </row>
    <row r="102" spans="1:31" x14ac:dyDescent="0.25">
      <c r="A102" t="s">
        <v>221</v>
      </c>
      <c r="B102" t="s">
        <v>693</v>
      </c>
      <c r="C102" t="s">
        <v>694</v>
      </c>
      <c r="D102" t="s">
        <v>349</v>
      </c>
      <c r="E102">
        <v>22.702044000000001</v>
      </c>
      <c r="F102">
        <v>22.616313999999999</v>
      </c>
      <c r="G102">
        <v>20.825095999999998</v>
      </c>
      <c r="H102">
        <v>21.813624999999998</v>
      </c>
      <c r="I102">
        <v>22.945105000000002</v>
      </c>
      <c r="J102">
        <v>24.391010000000001</v>
      </c>
      <c r="K102">
        <v>26.248944999999999</v>
      </c>
      <c r="L102">
        <v>27.634941000000001</v>
      </c>
      <c r="M102">
        <v>29.232589999999998</v>
      </c>
      <c r="N102">
        <v>30.519314000000001</v>
      </c>
      <c r="O102">
        <v>31.804843999999999</v>
      </c>
      <c r="P102">
        <v>33.086829999999999</v>
      </c>
      <c r="Q102">
        <v>34.430618000000003</v>
      </c>
      <c r="R102">
        <v>35.798572999999998</v>
      </c>
      <c r="S102">
        <v>37.190407</v>
      </c>
      <c r="T102">
        <v>38.446663000000001</v>
      </c>
      <c r="U102">
        <v>39.571541000000003</v>
      </c>
      <c r="V102">
        <v>40.368729000000002</v>
      </c>
      <c r="W102">
        <v>40.876685999999999</v>
      </c>
      <c r="X102">
        <v>41.304381999999997</v>
      </c>
      <c r="Y102">
        <v>42.034309</v>
      </c>
      <c r="Z102">
        <v>43.003253999999998</v>
      </c>
      <c r="AA102">
        <v>44.062545999999998</v>
      </c>
      <c r="AB102">
        <v>45.194817</v>
      </c>
      <c r="AC102">
        <v>46.262473999999997</v>
      </c>
      <c r="AD102">
        <v>47.279659000000002</v>
      </c>
      <c r="AE102" t="s">
        <v>482</v>
      </c>
    </row>
    <row r="103" spans="1:31" x14ac:dyDescent="0.25">
      <c r="A103" t="s">
        <v>268</v>
      </c>
      <c r="B103" t="s">
        <v>695</v>
      </c>
      <c r="C103" t="s">
        <v>696</v>
      </c>
      <c r="D103" t="s">
        <v>349</v>
      </c>
      <c r="E103">
        <v>30.587164000000001</v>
      </c>
      <c r="F103">
        <v>31.203903</v>
      </c>
      <c r="G103">
        <v>30.024381999999999</v>
      </c>
      <c r="H103">
        <v>30.145154999999999</v>
      </c>
      <c r="I103">
        <v>30.904641999999999</v>
      </c>
      <c r="J103">
        <v>31.073414</v>
      </c>
      <c r="K103">
        <v>32.168621000000002</v>
      </c>
      <c r="L103">
        <v>32.907597000000003</v>
      </c>
      <c r="M103">
        <v>34.255245000000002</v>
      </c>
      <c r="N103">
        <v>35.123013</v>
      </c>
      <c r="O103">
        <v>36.329647000000001</v>
      </c>
      <c r="P103">
        <v>37.328429999999997</v>
      </c>
      <c r="Q103">
        <v>38.626873000000003</v>
      </c>
      <c r="R103">
        <v>39.625445999999997</v>
      </c>
      <c r="S103">
        <v>40.600712000000001</v>
      </c>
      <c r="T103">
        <v>41.494475999999999</v>
      </c>
      <c r="U103">
        <v>42.297187999999998</v>
      </c>
      <c r="V103">
        <v>43.355907000000002</v>
      </c>
      <c r="W103">
        <v>44.286273999999999</v>
      </c>
      <c r="X103">
        <v>45.190883999999997</v>
      </c>
      <c r="Y103">
        <v>46.453612999999997</v>
      </c>
      <c r="Z103">
        <v>47.314700999999999</v>
      </c>
      <c r="AA103">
        <v>48.453220000000002</v>
      </c>
      <c r="AB103">
        <v>49.672561999999999</v>
      </c>
      <c r="AC103">
        <v>50.988106000000002</v>
      </c>
      <c r="AD103">
        <v>52.034877999999999</v>
      </c>
      <c r="AE103" t="s">
        <v>668</v>
      </c>
    </row>
    <row r="104" spans="1:31" x14ac:dyDescent="0.25">
      <c r="A104" t="s">
        <v>271</v>
      </c>
      <c r="B104" t="s">
        <v>697</v>
      </c>
      <c r="C104" t="s">
        <v>698</v>
      </c>
      <c r="D104" t="s">
        <v>349</v>
      </c>
      <c r="E104">
        <v>26.495358</v>
      </c>
      <c r="F104">
        <v>25.556398000000002</v>
      </c>
      <c r="G104">
        <v>24.712973000000002</v>
      </c>
      <c r="H104">
        <v>24.690823000000002</v>
      </c>
      <c r="I104">
        <v>25.222752</v>
      </c>
      <c r="J104">
        <v>25.998556000000001</v>
      </c>
      <c r="K104">
        <v>26.819561</v>
      </c>
      <c r="L104">
        <v>27.506889000000001</v>
      </c>
      <c r="M104">
        <v>29.004899999999999</v>
      </c>
      <c r="N104">
        <v>29.702297000000002</v>
      </c>
      <c r="O104">
        <v>30.690802000000001</v>
      </c>
      <c r="P104">
        <v>31.538443000000001</v>
      </c>
      <c r="Q104">
        <v>32.530064000000003</v>
      </c>
      <c r="R104">
        <v>33.392063</v>
      </c>
      <c r="S104">
        <v>34.168529999999997</v>
      </c>
      <c r="T104">
        <v>34.915165000000002</v>
      </c>
      <c r="U104">
        <v>35.634754000000001</v>
      </c>
      <c r="V104">
        <v>36.528145000000002</v>
      </c>
      <c r="W104">
        <v>37.243454</v>
      </c>
      <c r="X104">
        <v>37.969349000000001</v>
      </c>
      <c r="Y104">
        <v>38.958221000000002</v>
      </c>
      <c r="Z104">
        <v>39.662135999999997</v>
      </c>
      <c r="AA104">
        <v>40.764705999999997</v>
      </c>
      <c r="AB104">
        <v>41.735259999999997</v>
      </c>
      <c r="AC104">
        <v>42.860858999999998</v>
      </c>
      <c r="AD104">
        <v>43.736732000000003</v>
      </c>
      <c r="AE104" t="s">
        <v>479</v>
      </c>
    </row>
    <row r="105" spans="1:31" x14ac:dyDescent="0.25">
      <c r="A105" t="s">
        <v>274</v>
      </c>
      <c r="B105" t="s">
        <v>699</v>
      </c>
      <c r="C105" t="s">
        <v>700</v>
      </c>
      <c r="D105" t="s">
        <v>349</v>
      </c>
      <c r="E105">
        <v>16.24399</v>
      </c>
      <c r="F105">
        <v>14.885285</v>
      </c>
      <c r="G105">
        <v>16.242111000000001</v>
      </c>
      <c r="H105">
        <v>17.142665999999998</v>
      </c>
      <c r="I105">
        <v>17.956693999999999</v>
      </c>
      <c r="J105">
        <v>18.163627999999999</v>
      </c>
      <c r="K105">
        <v>19.103359000000001</v>
      </c>
      <c r="L105">
        <v>19.707733000000001</v>
      </c>
      <c r="M105">
        <v>20.719217</v>
      </c>
      <c r="N105">
        <v>21.308351999999999</v>
      </c>
      <c r="O105">
        <v>22.187794</v>
      </c>
      <c r="P105">
        <v>22.852395999999999</v>
      </c>
      <c r="Q105">
        <v>23.740504999999999</v>
      </c>
      <c r="R105">
        <v>24.586228999999999</v>
      </c>
      <c r="S105">
        <v>25.237694000000001</v>
      </c>
      <c r="T105">
        <v>25.906341999999999</v>
      </c>
      <c r="U105">
        <v>26.724316000000002</v>
      </c>
      <c r="V105">
        <v>27.552126000000001</v>
      </c>
      <c r="W105">
        <v>28.378133999999999</v>
      </c>
      <c r="X105">
        <v>29.216570000000001</v>
      </c>
      <c r="Y105">
        <v>30.297083000000001</v>
      </c>
      <c r="Z105">
        <v>31.302762999999999</v>
      </c>
      <c r="AA105">
        <v>32.254620000000003</v>
      </c>
      <c r="AB105">
        <v>33.461460000000002</v>
      </c>
      <c r="AC105">
        <v>34.623187999999999</v>
      </c>
      <c r="AD105">
        <v>35.399757000000001</v>
      </c>
      <c r="AE105" t="s">
        <v>633</v>
      </c>
    </row>
    <row r="106" spans="1:31" x14ac:dyDescent="0.25">
      <c r="A106" t="s">
        <v>225</v>
      </c>
      <c r="B106" t="s">
        <v>701</v>
      </c>
      <c r="C106" t="s">
        <v>702</v>
      </c>
      <c r="D106" t="s">
        <v>349</v>
      </c>
      <c r="E106">
        <v>26.483619999999998</v>
      </c>
      <c r="F106">
        <v>25.212063000000001</v>
      </c>
      <c r="G106">
        <v>26.105146000000001</v>
      </c>
      <c r="H106">
        <v>26.663025000000001</v>
      </c>
      <c r="I106">
        <v>27.120792000000002</v>
      </c>
      <c r="J106">
        <v>27.387518</v>
      </c>
      <c r="K106">
        <v>27.827490000000001</v>
      </c>
      <c r="L106">
        <v>28.493062999999999</v>
      </c>
      <c r="M106">
        <v>30.163668000000001</v>
      </c>
      <c r="N106">
        <v>30.825099999999999</v>
      </c>
      <c r="O106">
        <v>31.790512</v>
      </c>
      <c r="P106">
        <v>32.764149000000003</v>
      </c>
      <c r="Q106">
        <v>33.718699999999998</v>
      </c>
      <c r="R106">
        <v>34.663502000000001</v>
      </c>
      <c r="S106">
        <v>35.530388000000002</v>
      </c>
      <c r="T106">
        <v>36.372742000000002</v>
      </c>
      <c r="U106">
        <v>37.304409</v>
      </c>
      <c r="V106">
        <v>38.223038000000003</v>
      </c>
      <c r="W106">
        <v>39.155594000000001</v>
      </c>
      <c r="X106">
        <v>40.089275000000001</v>
      </c>
      <c r="Y106">
        <v>41.253197</v>
      </c>
      <c r="Z106">
        <v>42.361237000000003</v>
      </c>
      <c r="AA106">
        <v>43.425139999999999</v>
      </c>
      <c r="AB106">
        <v>44.783175999999997</v>
      </c>
      <c r="AC106">
        <v>46.097133999999997</v>
      </c>
      <c r="AD106">
        <v>47.042403999999998</v>
      </c>
      <c r="AE106" t="s">
        <v>627</v>
      </c>
    </row>
    <row r="107" spans="1:31" x14ac:dyDescent="0.25">
      <c r="A107" t="s">
        <v>238</v>
      </c>
      <c r="B107" t="s">
        <v>703</v>
      </c>
      <c r="C107" t="s">
        <v>704</v>
      </c>
      <c r="D107" t="s">
        <v>349</v>
      </c>
      <c r="E107">
        <v>11.658543999999999</v>
      </c>
      <c r="F107">
        <v>9.2664179999999998</v>
      </c>
      <c r="G107">
        <v>10.617278000000001</v>
      </c>
      <c r="H107">
        <v>11.430065000000001</v>
      </c>
      <c r="I107">
        <v>12.136557</v>
      </c>
      <c r="J107">
        <v>12.340942999999999</v>
      </c>
      <c r="K107">
        <v>13.424289999999999</v>
      </c>
      <c r="L107">
        <v>13.668635</v>
      </c>
      <c r="M107">
        <v>14.262857</v>
      </c>
      <c r="N107">
        <v>14.623524</v>
      </c>
      <c r="O107">
        <v>15.122920000000001</v>
      </c>
      <c r="P107">
        <v>15.590816</v>
      </c>
      <c r="Q107">
        <v>15.964722</v>
      </c>
      <c r="R107">
        <v>16.456444000000001</v>
      </c>
      <c r="S107">
        <v>16.900759000000001</v>
      </c>
      <c r="T107">
        <v>17.509181999999999</v>
      </c>
      <c r="U107">
        <v>18.151091000000001</v>
      </c>
      <c r="V107">
        <v>18.639223000000001</v>
      </c>
      <c r="W107">
        <v>19.108456</v>
      </c>
      <c r="X107">
        <v>19.586207999999999</v>
      </c>
      <c r="Y107">
        <v>20.188317999999999</v>
      </c>
      <c r="Z107">
        <v>20.752770999999999</v>
      </c>
      <c r="AA107">
        <v>21.30106</v>
      </c>
      <c r="AB107">
        <v>22.152355</v>
      </c>
      <c r="AC107">
        <v>22.830642999999998</v>
      </c>
      <c r="AD107">
        <v>23.376076000000001</v>
      </c>
      <c r="AE107" t="s">
        <v>515</v>
      </c>
    </row>
    <row r="108" spans="1:31" x14ac:dyDescent="0.25">
      <c r="A108" t="s">
        <v>141</v>
      </c>
      <c r="B108" t="s">
        <v>705</v>
      </c>
      <c r="C108" t="s">
        <v>706</v>
      </c>
      <c r="D108" t="s">
        <v>349</v>
      </c>
      <c r="E108">
        <v>6.5553980000000003</v>
      </c>
      <c r="F108">
        <v>6.5805999999999996</v>
      </c>
      <c r="G108">
        <v>6.776878</v>
      </c>
      <c r="H108">
        <v>7.0583989999999996</v>
      </c>
      <c r="I108">
        <v>7.3874180000000003</v>
      </c>
      <c r="J108">
        <v>8.0475840000000005</v>
      </c>
      <c r="K108">
        <v>8.4962160000000004</v>
      </c>
      <c r="L108">
        <v>8.7681570000000004</v>
      </c>
      <c r="M108">
        <v>9.0614319999999999</v>
      </c>
      <c r="N108">
        <v>9.3055559999999993</v>
      </c>
      <c r="O108">
        <v>9.579485</v>
      </c>
      <c r="P108">
        <v>9.8613780000000002</v>
      </c>
      <c r="Q108">
        <v>10.173742000000001</v>
      </c>
      <c r="R108">
        <v>10.3866</v>
      </c>
      <c r="S108">
        <v>10.687284</v>
      </c>
      <c r="T108">
        <v>10.927237</v>
      </c>
      <c r="U108">
        <v>11.061779</v>
      </c>
      <c r="V108">
        <v>11.030708000000001</v>
      </c>
      <c r="W108">
        <v>10.935929</v>
      </c>
      <c r="X108">
        <v>10.825761999999999</v>
      </c>
      <c r="Y108">
        <v>10.831564999999999</v>
      </c>
      <c r="Z108">
        <v>10.976832</v>
      </c>
      <c r="AA108">
        <v>11.157254999999999</v>
      </c>
      <c r="AB108">
        <v>11.354404000000001</v>
      </c>
      <c r="AC108">
        <v>11.518243</v>
      </c>
      <c r="AD108">
        <v>11.664484</v>
      </c>
      <c r="AE108" t="s">
        <v>627</v>
      </c>
    </row>
    <row r="109" spans="1:31" x14ac:dyDescent="0.25">
      <c r="A109" t="s">
        <v>254</v>
      </c>
      <c r="B109" t="s">
        <v>707</v>
      </c>
      <c r="C109" t="s">
        <v>708</v>
      </c>
      <c r="D109" t="s">
        <v>349</v>
      </c>
      <c r="E109">
        <v>6.4173830000000001</v>
      </c>
      <c r="F109">
        <v>6.5971260000000003</v>
      </c>
      <c r="G109">
        <v>6.7281079999999998</v>
      </c>
      <c r="H109">
        <v>6.8816649999999999</v>
      </c>
      <c r="I109">
        <v>7.0141770000000001</v>
      </c>
      <c r="J109">
        <v>7.176545</v>
      </c>
      <c r="K109">
        <v>7.3082820000000002</v>
      </c>
      <c r="L109">
        <v>7.484515</v>
      </c>
      <c r="M109">
        <v>7.6419769999999998</v>
      </c>
      <c r="N109">
        <v>7.7758079999999996</v>
      </c>
      <c r="O109">
        <v>7.9447190000000001</v>
      </c>
      <c r="P109">
        <v>8.0643010000000004</v>
      </c>
      <c r="Q109">
        <v>8.2293070000000004</v>
      </c>
      <c r="R109">
        <v>8.3871590000000005</v>
      </c>
      <c r="S109">
        <v>8.5099110000000007</v>
      </c>
      <c r="T109">
        <v>8.6809630000000002</v>
      </c>
      <c r="U109">
        <v>8.8333870000000001</v>
      </c>
      <c r="V109">
        <v>8.9836790000000004</v>
      </c>
      <c r="W109">
        <v>9.1436130000000002</v>
      </c>
      <c r="X109">
        <v>9.2962989999999994</v>
      </c>
      <c r="Y109">
        <v>9.4712449999999997</v>
      </c>
      <c r="Z109">
        <v>9.6303110000000007</v>
      </c>
      <c r="AA109">
        <v>9.8214009999999998</v>
      </c>
      <c r="AB109">
        <v>10.014431999999999</v>
      </c>
      <c r="AC109">
        <v>10.155500999999999</v>
      </c>
      <c r="AD109">
        <v>10.327953000000001</v>
      </c>
      <c r="AE109" t="s">
        <v>656</v>
      </c>
    </row>
    <row r="110" spans="1:31" x14ac:dyDescent="0.25">
      <c r="A110" t="s">
        <v>319</v>
      </c>
      <c r="B110" t="s">
        <v>709</v>
      </c>
      <c r="C110" t="s">
        <v>710</v>
      </c>
      <c r="D110" t="s">
        <v>349</v>
      </c>
      <c r="E110">
        <v>2.6385459999999998</v>
      </c>
      <c r="F110">
        <v>2.6565949999999998</v>
      </c>
      <c r="G110">
        <v>2.6671140000000002</v>
      </c>
      <c r="H110">
        <v>2.7143739999999998</v>
      </c>
      <c r="I110">
        <v>2.7643819999999999</v>
      </c>
      <c r="J110">
        <v>2.8320249999999998</v>
      </c>
      <c r="K110">
        <v>2.8587539999999998</v>
      </c>
      <c r="L110">
        <v>2.90924</v>
      </c>
      <c r="M110">
        <v>2.96936</v>
      </c>
      <c r="N110">
        <v>3.0135480000000001</v>
      </c>
      <c r="O110">
        <v>3.0738669999999999</v>
      </c>
      <c r="P110">
        <v>3.1340889999999999</v>
      </c>
      <c r="Q110">
        <v>3.2432089999999998</v>
      </c>
      <c r="R110">
        <v>3.312093</v>
      </c>
      <c r="S110">
        <v>3.395133</v>
      </c>
      <c r="T110">
        <v>3.4747170000000001</v>
      </c>
      <c r="U110">
        <v>3.5338400000000001</v>
      </c>
      <c r="V110">
        <v>3.5995780000000002</v>
      </c>
      <c r="W110">
        <v>3.6816040000000001</v>
      </c>
      <c r="X110">
        <v>3.7383299999999999</v>
      </c>
      <c r="Y110">
        <v>3.821329</v>
      </c>
      <c r="Z110">
        <v>3.9084949999999998</v>
      </c>
      <c r="AA110">
        <v>3.9913620000000001</v>
      </c>
      <c r="AB110">
        <v>4.0766499999999999</v>
      </c>
      <c r="AC110">
        <v>4.2022769999999996</v>
      </c>
      <c r="AD110">
        <v>4.2855270000000001</v>
      </c>
      <c r="AE110" t="s">
        <v>479</v>
      </c>
    </row>
    <row r="111" spans="1:31" x14ac:dyDescent="0.25">
      <c r="A111" t="s">
        <v>260</v>
      </c>
      <c r="B111" t="s">
        <v>709</v>
      </c>
      <c r="C111" t="s">
        <v>711</v>
      </c>
      <c r="D111" t="s">
        <v>349</v>
      </c>
      <c r="E111">
        <v>11.520918</v>
      </c>
      <c r="F111">
        <v>12.236406000000001</v>
      </c>
      <c r="G111">
        <v>12.461039</v>
      </c>
      <c r="H111">
        <v>12.864701</v>
      </c>
      <c r="I111">
        <v>13.218199</v>
      </c>
      <c r="J111">
        <v>14.264761999999999</v>
      </c>
      <c r="K111">
        <v>14.885434999999999</v>
      </c>
      <c r="L111">
        <v>15.357799999999999</v>
      </c>
      <c r="M111">
        <v>15.773685</v>
      </c>
      <c r="N111">
        <v>16.135750000000002</v>
      </c>
      <c r="O111">
        <v>16.390813999999999</v>
      </c>
      <c r="P111">
        <v>16.941058999999999</v>
      </c>
      <c r="Q111">
        <v>17.298389</v>
      </c>
      <c r="R111">
        <v>17.767482999999999</v>
      </c>
      <c r="S111">
        <v>18.234314000000001</v>
      </c>
      <c r="T111">
        <v>18.657066</v>
      </c>
      <c r="U111">
        <v>18.902206</v>
      </c>
      <c r="V111">
        <v>18.986726999999998</v>
      </c>
      <c r="W111">
        <v>18.876286</v>
      </c>
      <c r="X111">
        <v>18.829279</v>
      </c>
      <c r="Y111">
        <v>18.964259999999999</v>
      </c>
      <c r="Z111">
        <v>19.225180000000002</v>
      </c>
      <c r="AA111">
        <v>19.588488000000002</v>
      </c>
      <c r="AB111">
        <v>19.954696999999999</v>
      </c>
      <c r="AC111">
        <v>20.265104000000001</v>
      </c>
      <c r="AD111">
        <v>20.560683999999998</v>
      </c>
      <c r="AE111" t="s">
        <v>627</v>
      </c>
    </row>
    <row r="112" spans="1:31" x14ac:dyDescent="0.25">
      <c r="A112" t="s">
        <v>230</v>
      </c>
      <c r="B112" t="s">
        <v>712</v>
      </c>
      <c r="C112" t="s">
        <v>713</v>
      </c>
      <c r="D112" t="s">
        <v>349</v>
      </c>
      <c r="E112">
        <v>39.675659000000003</v>
      </c>
      <c r="F112">
        <v>40.578529000000003</v>
      </c>
      <c r="G112">
        <v>40.095688000000003</v>
      </c>
      <c r="H112">
        <v>40.002476000000001</v>
      </c>
      <c r="I112">
        <v>41.142113000000002</v>
      </c>
      <c r="J112">
        <v>42.478718000000001</v>
      </c>
      <c r="K112">
        <v>43.813251000000001</v>
      </c>
      <c r="L112">
        <v>44.957068999999997</v>
      </c>
      <c r="M112">
        <v>46.207957999999998</v>
      </c>
      <c r="N112">
        <v>47.460814999999997</v>
      </c>
      <c r="O112">
        <v>48.609161</v>
      </c>
      <c r="P112">
        <v>49.725281000000003</v>
      </c>
      <c r="Q112">
        <v>50.980587</v>
      </c>
      <c r="R112">
        <v>52.170780000000001</v>
      </c>
      <c r="S112">
        <v>53.464480999999999</v>
      </c>
      <c r="T112">
        <v>54.811394</v>
      </c>
      <c r="U112">
        <v>55.950043000000001</v>
      </c>
      <c r="V112">
        <v>56.938675000000003</v>
      </c>
      <c r="W112">
        <v>57.839278999999998</v>
      </c>
      <c r="X112">
        <v>58.772362000000001</v>
      </c>
      <c r="Y112">
        <v>59.512824999999999</v>
      </c>
      <c r="Z112">
        <v>60.859817999999997</v>
      </c>
      <c r="AA112">
        <v>62.207611</v>
      </c>
      <c r="AB112">
        <v>63.591777999999998</v>
      </c>
      <c r="AC112">
        <v>64.833922999999999</v>
      </c>
      <c r="AD112">
        <v>66.213920999999999</v>
      </c>
      <c r="AE112" t="s">
        <v>668</v>
      </c>
    </row>
    <row r="113" spans="1:31" x14ac:dyDescent="0.25">
      <c r="A113" t="s">
        <v>326</v>
      </c>
    </row>
    <row r="114" spans="1:31" x14ac:dyDescent="0.25">
      <c r="A114" t="s">
        <v>430</v>
      </c>
    </row>
    <row r="115" spans="1:31" x14ac:dyDescent="0.25">
      <c r="A115" t="s">
        <v>220</v>
      </c>
      <c r="B115" t="s">
        <v>714</v>
      </c>
      <c r="C115" t="s">
        <v>715</v>
      </c>
      <c r="D115" t="s">
        <v>433</v>
      </c>
      <c r="E115">
        <v>354.07873499999999</v>
      </c>
      <c r="F115">
        <v>356.86102299999999</v>
      </c>
      <c r="G115">
        <v>353.95163000000002</v>
      </c>
      <c r="H115">
        <v>358.88528400000001</v>
      </c>
      <c r="I115">
        <v>370.34112499999998</v>
      </c>
      <c r="J115">
        <v>382.615906</v>
      </c>
      <c r="K115">
        <v>394.46786500000002</v>
      </c>
      <c r="L115">
        <v>405.60540800000001</v>
      </c>
      <c r="M115">
        <v>419.37481700000001</v>
      </c>
      <c r="N115">
        <v>431.620453</v>
      </c>
      <c r="O115">
        <v>444.280914</v>
      </c>
      <c r="P115">
        <v>456.72521999999998</v>
      </c>
      <c r="Q115">
        <v>470.99023399999999</v>
      </c>
      <c r="R115">
        <v>484.719086</v>
      </c>
      <c r="S115">
        <v>499.11047400000001</v>
      </c>
      <c r="T115">
        <v>513.73101799999995</v>
      </c>
      <c r="U115">
        <v>527.350281</v>
      </c>
      <c r="V115">
        <v>539.80285600000002</v>
      </c>
      <c r="W115">
        <v>551.720642</v>
      </c>
      <c r="X115">
        <v>563.80352800000003</v>
      </c>
      <c r="Y115">
        <v>575.67315699999995</v>
      </c>
      <c r="Z115">
        <v>591.719604</v>
      </c>
      <c r="AA115">
        <v>608.08941700000003</v>
      </c>
      <c r="AB115">
        <v>624.94122300000004</v>
      </c>
      <c r="AC115">
        <v>641.21044900000004</v>
      </c>
      <c r="AD115">
        <v>658.26983600000005</v>
      </c>
      <c r="AE115" t="s">
        <v>675</v>
      </c>
    </row>
    <row r="116" spans="1:31" x14ac:dyDescent="0.25">
      <c r="A116" t="s">
        <v>233</v>
      </c>
      <c r="B116" t="s">
        <v>716</v>
      </c>
      <c r="C116" t="s">
        <v>717</v>
      </c>
      <c r="D116" t="s">
        <v>433</v>
      </c>
      <c r="E116">
        <v>260.22451799999999</v>
      </c>
      <c r="F116">
        <v>269.94164999999998</v>
      </c>
      <c r="G116">
        <v>271.56930499999999</v>
      </c>
      <c r="H116">
        <v>275.84344499999997</v>
      </c>
      <c r="I116">
        <v>287.100616</v>
      </c>
      <c r="J116">
        <v>299.22772200000003</v>
      </c>
      <c r="K116">
        <v>311.40301499999998</v>
      </c>
      <c r="L116">
        <v>322.07095299999997</v>
      </c>
      <c r="M116">
        <v>335.42718500000001</v>
      </c>
      <c r="N116">
        <v>347.72824100000003</v>
      </c>
      <c r="O116">
        <v>360.03112800000002</v>
      </c>
      <c r="P116">
        <v>372.290344</v>
      </c>
      <c r="Q116">
        <v>386.32547</v>
      </c>
      <c r="R116">
        <v>399.83862299999998</v>
      </c>
      <c r="S116">
        <v>414.08557100000002</v>
      </c>
      <c r="T116">
        <v>428.48562600000002</v>
      </c>
      <c r="U116">
        <v>441.614014</v>
      </c>
      <c r="V116">
        <v>453.80981400000002</v>
      </c>
      <c r="W116">
        <v>465.12109400000003</v>
      </c>
      <c r="X116">
        <v>476.61630200000002</v>
      </c>
      <c r="Y116">
        <v>487.31872600000003</v>
      </c>
      <c r="Z116">
        <v>502.39859000000001</v>
      </c>
      <c r="AA116">
        <v>517.45263699999998</v>
      </c>
      <c r="AB116">
        <v>532.73022500000002</v>
      </c>
      <c r="AC116">
        <v>546.83215299999995</v>
      </c>
      <c r="AD116">
        <v>561.54070999999999</v>
      </c>
      <c r="AE116" t="s">
        <v>622</v>
      </c>
    </row>
    <row r="117" spans="1:31" x14ac:dyDescent="0.25">
      <c r="A117" t="s">
        <v>245</v>
      </c>
      <c r="B117" t="s">
        <v>718</v>
      </c>
      <c r="C117" t="s">
        <v>719</v>
      </c>
      <c r="D117" t="s">
        <v>433</v>
      </c>
      <c r="E117">
        <v>243.90741</v>
      </c>
      <c r="F117">
        <v>236.267044</v>
      </c>
      <c r="G117">
        <v>237.16783100000001</v>
      </c>
      <c r="H117">
        <v>244.280945</v>
      </c>
      <c r="I117">
        <v>252.149765</v>
      </c>
      <c r="J117">
        <v>265.24224900000002</v>
      </c>
      <c r="K117">
        <v>280.32107500000001</v>
      </c>
      <c r="L117">
        <v>292.45898399999999</v>
      </c>
      <c r="M117">
        <v>305.14736900000003</v>
      </c>
      <c r="N117">
        <v>316.94680799999998</v>
      </c>
      <c r="O117">
        <v>330.98498499999999</v>
      </c>
      <c r="P117">
        <v>345.044647</v>
      </c>
      <c r="Q117">
        <v>360.18829299999999</v>
      </c>
      <c r="R117">
        <v>375.39401199999998</v>
      </c>
      <c r="S117">
        <v>392.07910199999998</v>
      </c>
      <c r="T117">
        <v>407.88708500000001</v>
      </c>
      <c r="U117">
        <v>421.51782200000002</v>
      </c>
      <c r="V117">
        <v>431.85977200000002</v>
      </c>
      <c r="W117">
        <v>439.29159499999997</v>
      </c>
      <c r="X117">
        <v>447.06668100000002</v>
      </c>
      <c r="Y117">
        <v>459.53256199999998</v>
      </c>
      <c r="Z117">
        <v>476.11053500000003</v>
      </c>
      <c r="AA117">
        <v>493.90026899999998</v>
      </c>
      <c r="AB117">
        <v>512.02477999999996</v>
      </c>
      <c r="AC117">
        <v>527.68450900000005</v>
      </c>
      <c r="AD117">
        <v>543.62988299999995</v>
      </c>
      <c r="AE117" t="s">
        <v>720</v>
      </c>
    </row>
    <row r="118" spans="1:31" x14ac:dyDescent="0.25">
      <c r="A118" t="s">
        <v>265</v>
      </c>
      <c r="B118" t="s">
        <v>721</v>
      </c>
      <c r="C118" t="s">
        <v>722</v>
      </c>
      <c r="D118" t="s">
        <v>433</v>
      </c>
      <c r="E118">
        <v>667.07385299999999</v>
      </c>
      <c r="F118">
        <v>636.51324499999998</v>
      </c>
      <c r="G118">
        <v>631.65124500000002</v>
      </c>
      <c r="H118">
        <v>633.621399</v>
      </c>
      <c r="I118">
        <v>642.93780500000003</v>
      </c>
      <c r="J118">
        <v>652.80145300000004</v>
      </c>
      <c r="K118">
        <v>666.71435499999995</v>
      </c>
      <c r="L118">
        <v>678.20275900000001</v>
      </c>
      <c r="M118">
        <v>709.82763699999998</v>
      </c>
      <c r="N118">
        <v>722.68933100000004</v>
      </c>
      <c r="O118">
        <v>742.80316200000004</v>
      </c>
      <c r="P118">
        <v>758.67895499999997</v>
      </c>
      <c r="Q118">
        <v>777.17938200000003</v>
      </c>
      <c r="R118">
        <v>794.17767300000003</v>
      </c>
      <c r="S118">
        <v>808.70623799999998</v>
      </c>
      <c r="T118">
        <v>823.82122800000002</v>
      </c>
      <c r="U118">
        <v>839.69433600000002</v>
      </c>
      <c r="V118">
        <v>856.81274399999995</v>
      </c>
      <c r="W118">
        <v>872.88055399999996</v>
      </c>
      <c r="X118">
        <v>888.63610800000004</v>
      </c>
      <c r="Y118">
        <v>911.17816200000004</v>
      </c>
      <c r="Z118">
        <v>928.86492899999996</v>
      </c>
      <c r="AA118">
        <v>951.71820100000002</v>
      </c>
      <c r="AB118">
        <v>974.26782200000002</v>
      </c>
      <c r="AC118">
        <v>997.57195999999999</v>
      </c>
      <c r="AD118">
        <v>1014.89679</v>
      </c>
      <c r="AE118" t="s">
        <v>649</v>
      </c>
    </row>
    <row r="119" spans="1:31" x14ac:dyDescent="0.25">
      <c r="A119" t="s">
        <v>337</v>
      </c>
      <c r="B119" t="s">
        <v>723</v>
      </c>
      <c r="C119" t="s">
        <v>724</v>
      </c>
      <c r="D119" t="s">
        <v>433</v>
      </c>
      <c r="E119">
        <v>1525.2844239999999</v>
      </c>
      <c r="F119">
        <v>1499.5830080000001</v>
      </c>
      <c r="G119">
        <v>1494.339966</v>
      </c>
      <c r="H119">
        <v>1512.630981</v>
      </c>
      <c r="I119">
        <v>1552.5291749999999</v>
      </c>
      <c r="J119">
        <v>1599.8873289999999</v>
      </c>
      <c r="K119">
        <v>1652.90625</v>
      </c>
      <c r="L119">
        <v>1698.338013</v>
      </c>
      <c r="M119">
        <v>1769.7769780000001</v>
      </c>
      <c r="N119">
        <v>1818.9848629999999</v>
      </c>
      <c r="O119">
        <v>1878.10022</v>
      </c>
      <c r="P119">
        <v>1932.739014</v>
      </c>
      <c r="Q119">
        <v>1994.68335</v>
      </c>
      <c r="R119">
        <v>2054.1293949999999</v>
      </c>
      <c r="S119">
        <v>2113.9812010000001</v>
      </c>
      <c r="T119">
        <v>2173.9250489999999</v>
      </c>
      <c r="U119">
        <v>2230.1765140000002</v>
      </c>
      <c r="V119">
        <v>2282.2851559999999</v>
      </c>
      <c r="W119">
        <v>2329.0139159999999</v>
      </c>
      <c r="X119">
        <v>2376.1228030000002</v>
      </c>
      <c r="Y119">
        <v>2433.7028810000002</v>
      </c>
      <c r="Z119">
        <v>2499.0935060000002</v>
      </c>
      <c r="AA119">
        <v>2571.1606449999999</v>
      </c>
      <c r="AB119">
        <v>2643.9643550000001</v>
      </c>
      <c r="AC119">
        <v>2713.2990719999998</v>
      </c>
      <c r="AD119">
        <v>2778.3371579999998</v>
      </c>
      <c r="AE119" t="s">
        <v>661</v>
      </c>
    </row>
    <row r="120" spans="1:31" x14ac:dyDescent="0.25">
      <c r="A120" t="s">
        <v>340</v>
      </c>
      <c r="B120" t="s">
        <v>725</v>
      </c>
      <c r="C120" t="s">
        <v>726</v>
      </c>
      <c r="D120" t="s">
        <v>433</v>
      </c>
      <c r="E120">
        <v>1.210369</v>
      </c>
      <c r="F120">
        <v>0.98594300000000001</v>
      </c>
      <c r="G120">
        <v>0.89997499999999997</v>
      </c>
      <c r="H120">
        <v>0.84589999999999999</v>
      </c>
      <c r="I120">
        <v>0.79714300000000005</v>
      </c>
      <c r="J120">
        <v>0.83210899999999999</v>
      </c>
      <c r="K120">
        <v>0.73940600000000001</v>
      </c>
      <c r="L120">
        <v>0.69153600000000004</v>
      </c>
      <c r="M120">
        <v>0.65584699999999996</v>
      </c>
      <c r="N120">
        <v>0.62366100000000002</v>
      </c>
      <c r="O120">
        <v>0.58005399999999996</v>
      </c>
      <c r="P120">
        <v>0.53976100000000005</v>
      </c>
      <c r="Q120">
        <v>0.50117299999999998</v>
      </c>
      <c r="R120">
        <v>0.46665299999999998</v>
      </c>
      <c r="S120">
        <v>0.43599300000000002</v>
      </c>
      <c r="T120">
        <v>0.41219899999999998</v>
      </c>
      <c r="U120">
        <v>0.38173499999999999</v>
      </c>
      <c r="V120">
        <v>0.36831999999999998</v>
      </c>
      <c r="W120">
        <v>0.35328999999999999</v>
      </c>
      <c r="X120">
        <v>0.34439999999999998</v>
      </c>
      <c r="Y120">
        <v>0.32051800000000003</v>
      </c>
      <c r="Z120">
        <v>0.31417200000000001</v>
      </c>
      <c r="AA120">
        <v>0.31880999999999998</v>
      </c>
      <c r="AB120">
        <v>0.33646100000000001</v>
      </c>
      <c r="AC120">
        <v>0.32001400000000002</v>
      </c>
      <c r="AD120">
        <v>0.31103999999999998</v>
      </c>
      <c r="AE120" t="s">
        <v>727</v>
      </c>
    </row>
    <row r="121" spans="1:31" x14ac:dyDescent="0.25">
      <c r="A121" t="s">
        <v>343</v>
      </c>
      <c r="B121" t="s">
        <v>728</v>
      </c>
      <c r="C121" t="s">
        <v>729</v>
      </c>
      <c r="D121" t="s">
        <v>433</v>
      </c>
      <c r="E121">
        <v>1526.494751</v>
      </c>
      <c r="F121">
        <v>1500.56897</v>
      </c>
      <c r="G121">
        <v>1495.23999</v>
      </c>
      <c r="H121">
        <v>1513.4769289999999</v>
      </c>
      <c r="I121">
        <v>1553.326294</v>
      </c>
      <c r="J121">
        <v>1600.7193600000001</v>
      </c>
      <c r="K121">
        <v>1653.64563</v>
      </c>
      <c r="L121">
        <v>1699.0295410000001</v>
      </c>
      <c r="M121">
        <v>1770.4327390000001</v>
      </c>
      <c r="N121">
        <v>1819.6085210000001</v>
      </c>
      <c r="O121">
        <v>1878.680298</v>
      </c>
      <c r="P121">
        <v>1933.2788089999999</v>
      </c>
      <c r="Q121">
        <v>1995.184448</v>
      </c>
      <c r="R121">
        <v>2054.5959469999998</v>
      </c>
      <c r="S121">
        <v>2114.4172359999998</v>
      </c>
      <c r="T121">
        <v>2174.3374020000001</v>
      </c>
      <c r="U121">
        <v>2230.5583499999998</v>
      </c>
      <c r="V121">
        <v>2282.6535640000002</v>
      </c>
      <c r="W121">
        <v>2329.3671880000002</v>
      </c>
      <c r="X121">
        <v>2376.4670409999999</v>
      </c>
      <c r="Y121">
        <v>2434.023193</v>
      </c>
      <c r="Z121">
        <v>2499.407471</v>
      </c>
      <c r="AA121">
        <v>2571.4794919999999</v>
      </c>
      <c r="AB121">
        <v>2644.3007809999999</v>
      </c>
      <c r="AC121">
        <v>2713.6191410000001</v>
      </c>
      <c r="AD121">
        <v>2778.648193</v>
      </c>
      <c r="AE121" t="s">
        <v>661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vt:lpstr>
      <vt:lpstr>Source Data&gt;</vt:lpstr>
      <vt:lpstr>AEO Table 10 2025</vt:lpstr>
      <vt:lpstr>Canada Generation Projection</vt:lpstr>
      <vt:lpstr>Canada NG Gen by Turbine Type</vt:lpstr>
      <vt:lpstr>Canada Elec Mix</vt:lpstr>
      <vt:lpstr>AEO Table 3 2025</vt:lpstr>
      <vt:lpstr>Calcs&gt;</vt:lpstr>
      <vt:lpstr>calcs</vt:lpstr>
      <vt:lpstr>EIaE-BIE</vt:lpstr>
      <vt:lpstr>EIaE-BEE</vt:lpstr>
      <vt:lpstr>EIaE-IEP</vt:lpstr>
      <vt:lpstr>AEO Table 10 2026</vt:lpstr>
      <vt:lpstr>AEO Table 3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Megan Mahajan</cp:lastModifiedBy>
  <dcterms:created xsi:type="dcterms:W3CDTF">2016-02-04T22:14:05Z</dcterms:created>
  <dcterms:modified xsi:type="dcterms:W3CDTF">2026-08-27T15:51:33Z</dcterms:modified>
</cp:coreProperties>
</file>