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426"/>
  <workbookPr defaultThemeVersion="124226"/>
  <mc:AlternateContent xmlns:mc="http://schemas.openxmlformats.org/markup-compatibility/2006">
    <mc:Choice Requires="x15">
      <x15ac:absPath xmlns:x15ac="http://schemas.microsoft.com/office/spreadsheetml/2010/11/ac" url="C:\Users\DanO'Brien\Models\EPS\US\eps-us\InputData\elec\EIaE\"/>
    </mc:Choice>
  </mc:AlternateContent>
  <xr:revisionPtr revIDLastSave="0" documentId="13_ncr:1_{DDC0087B-2407-4739-8379-8CF4C629A204}" xr6:coauthVersionLast="47" xr6:coauthVersionMax="47" xr10:uidLastSave="{00000000-0000-0000-0000-000000000000}"/>
  <bookViews>
    <workbookView xWindow="-27285" yWindow="1515" windowWidth="21600" windowHeight="12585" firstSheet="7" activeTab="10" xr2:uid="{00000000-000D-0000-FFFF-FFFF00000000}"/>
  </bookViews>
  <sheets>
    <sheet name="About" sheetId="1" r:id="rId1"/>
    <sheet name="AEO Table 10 2023" sheetId="13" r:id="rId2"/>
    <sheet name="AEO Table 10 2022" sheetId="15" r:id="rId3"/>
    <sheet name="AEO Table 10 2021" sheetId="6" r:id="rId4"/>
    <sheet name="Canada Generation Projection" sheetId="7" r:id="rId5"/>
    <sheet name="Canada NG Gen by Turbine Type" sheetId="14" r:id="rId6"/>
    <sheet name="Canada Elec Mix" sheetId="8" r:id="rId7"/>
    <sheet name="AEO Table 3 2023" sheetId="12" r:id="rId8"/>
    <sheet name="AEO Table 3 2022" sheetId="16" r:id="rId9"/>
    <sheet name="AEO Table 3 2021" sheetId="11" r:id="rId10"/>
    <sheet name="EIaE-BIE" sheetId="3" r:id="rId11"/>
    <sheet name="EIaE-BEE" sheetId="5" r:id="rId12"/>
    <sheet name="EIaE-IEP" sheetId="9" r:id="rId13"/>
    <sheet name="EIaE-BEEP" sheetId="10" r:id="rId14"/>
  </sheets>
  <externalReferences>
    <externalReference r:id="rId15"/>
  </externalReferences>
  <definedNames>
    <definedName name="lignite_multiplier">'[1]Hard Coal and Lig Multipliers'!$N$16</definedName>
    <definedName name="nonlignite_multiplier">'[1]Hard Coal and Lig Multipliers'!$N$17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C2" i="10" l="1"/>
  <c r="C2" i="9"/>
  <c r="C2" i="5"/>
  <c r="C3" i="3"/>
  <c r="C4" i="3"/>
  <c r="C5" i="3"/>
  <c r="C6" i="3"/>
  <c r="C7" i="3"/>
  <c r="C8" i="3"/>
  <c r="C9" i="3"/>
  <c r="C10" i="3"/>
  <c r="C11" i="3"/>
  <c r="C12" i="3"/>
  <c r="C13" i="3"/>
  <c r="C14" i="3"/>
  <c r="C15" i="3"/>
  <c r="C16" i="3"/>
  <c r="C17" i="3"/>
  <c r="C18" i="3"/>
  <c r="C2" i="3"/>
  <c r="B4" i="3"/>
  <c r="D4" i="3"/>
  <c r="E4" i="3"/>
  <c r="F4" i="3"/>
  <c r="G4" i="3"/>
  <c r="H4" i="3"/>
  <c r="I4" i="3"/>
  <c r="J4" i="3"/>
  <c r="K4" i="3"/>
  <c r="L4" i="3"/>
  <c r="M4" i="3"/>
  <c r="N4" i="3"/>
  <c r="O4" i="3"/>
  <c r="P4" i="3"/>
  <c r="Q4" i="3"/>
  <c r="R4" i="3"/>
  <c r="S4" i="3"/>
  <c r="T4" i="3"/>
  <c r="U4" i="3"/>
  <c r="V4" i="3"/>
  <c r="W4" i="3"/>
  <c r="X4" i="3"/>
  <c r="Y4" i="3"/>
  <c r="Z4" i="3"/>
  <c r="AA4" i="3"/>
  <c r="AB4" i="3"/>
  <c r="AC4" i="3"/>
  <c r="AD4" i="3"/>
  <c r="AE4" i="3"/>
  <c r="AF4" i="3"/>
  <c r="C13" i="8"/>
  <c r="D13" i="8"/>
  <c r="E13" i="8"/>
  <c r="F13" i="8"/>
  <c r="G13" i="8"/>
  <c r="H13" i="8"/>
  <c r="I13" i="8"/>
  <c r="J13" i="8"/>
  <c r="K13" i="8"/>
  <c r="L13" i="8"/>
  <c r="M13" i="8"/>
  <c r="N13" i="8"/>
  <c r="O13" i="8"/>
  <c r="P13" i="8"/>
  <c r="Q13" i="8"/>
  <c r="R13" i="8"/>
  <c r="S13" i="8"/>
  <c r="T13" i="8"/>
  <c r="U13" i="8"/>
  <c r="V13" i="8"/>
  <c r="W13" i="8"/>
  <c r="X13" i="8"/>
  <c r="Y13" i="8"/>
  <c r="Z13" i="8"/>
  <c r="AA13" i="8"/>
  <c r="AB13" i="8"/>
  <c r="AC13" i="8"/>
  <c r="AD13" i="8"/>
  <c r="AE13" i="8"/>
  <c r="AF13" i="8"/>
  <c r="B13" i="8"/>
  <c r="C3" i="8"/>
  <c r="D3" i="8"/>
  <c r="E3" i="8"/>
  <c r="F3" i="8"/>
  <c r="G3" i="8"/>
  <c r="H3" i="8"/>
  <c r="I3" i="8"/>
  <c r="J3" i="8"/>
  <c r="K3" i="8"/>
  <c r="L3" i="8"/>
  <c r="M3" i="8"/>
  <c r="N3" i="8"/>
  <c r="O3" i="8"/>
  <c r="P3" i="8"/>
  <c r="Q3" i="8"/>
  <c r="R3" i="8"/>
  <c r="S3" i="8"/>
  <c r="T3" i="8"/>
  <c r="U3" i="8"/>
  <c r="V3" i="8"/>
  <c r="W3" i="8"/>
  <c r="X3" i="8"/>
  <c r="Y3" i="8"/>
  <c r="Z3" i="8"/>
  <c r="AA3" i="8"/>
  <c r="AB3" i="8"/>
  <c r="AC3" i="8"/>
  <c r="AD3" i="8"/>
  <c r="AE3" i="8"/>
  <c r="AF3" i="8"/>
  <c r="C4" i="8"/>
  <c r="D4" i="8"/>
  <c r="E4" i="8"/>
  <c r="F4" i="8"/>
  <c r="G4" i="8"/>
  <c r="H4" i="8"/>
  <c r="I4" i="8"/>
  <c r="J4" i="8"/>
  <c r="K4" i="8"/>
  <c r="L4" i="8"/>
  <c r="M4" i="8"/>
  <c r="N4" i="8"/>
  <c r="O4" i="8"/>
  <c r="P4" i="8"/>
  <c r="Q4" i="8"/>
  <c r="R4" i="8"/>
  <c r="S4" i="8"/>
  <c r="T4" i="8"/>
  <c r="U4" i="8"/>
  <c r="V4" i="8"/>
  <c r="W4" i="8"/>
  <c r="X4" i="8"/>
  <c r="Y4" i="8"/>
  <c r="Z4" i="8"/>
  <c r="AA4" i="8"/>
  <c r="AB4" i="8"/>
  <c r="AC4" i="8"/>
  <c r="AD4" i="8"/>
  <c r="AE4" i="8"/>
  <c r="AF4" i="8"/>
  <c r="B4" i="8"/>
  <c r="B3" i="8"/>
  <c r="B55" i="14" l="1"/>
  <c r="B53" i="14"/>
  <c r="N22" i="14"/>
  <c r="N14" i="14"/>
  <c r="N15" i="14"/>
  <c r="N16" i="14"/>
  <c r="N17" i="14"/>
  <c r="N18" i="14"/>
  <c r="N20" i="14"/>
  <c r="N21" i="14"/>
  <c r="N13" i="14"/>
  <c r="D2" i="10"/>
  <c r="E2" i="10"/>
  <c r="F2" i="10"/>
  <c r="G2" i="10"/>
  <c r="H2" i="10"/>
  <c r="I2" i="10"/>
  <c r="J2" i="10"/>
  <c r="K2" i="10"/>
  <c r="L2" i="10"/>
  <c r="M2" i="10"/>
  <c r="N2" i="10"/>
  <c r="O2" i="10"/>
  <c r="P2" i="10"/>
  <c r="Q2" i="10"/>
  <c r="R2" i="10"/>
  <c r="S2" i="10"/>
  <c r="T2" i="10"/>
  <c r="U2" i="10"/>
  <c r="V2" i="10"/>
  <c r="W2" i="10"/>
  <c r="X2" i="10"/>
  <c r="Y2" i="10"/>
  <c r="Z2" i="10"/>
  <c r="AA2" i="10"/>
  <c r="AB2" i="10"/>
  <c r="AC2" i="10"/>
  <c r="AD2" i="10"/>
  <c r="AE2" i="10"/>
  <c r="AF2" i="10"/>
  <c r="D2" i="9"/>
  <c r="E2" i="9"/>
  <c r="F2" i="9"/>
  <c r="G2" i="9"/>
  <c r="H2" i="9"/>
  <c r="I2" i="9"/>
  <c r="J2" i="9"/>
  <c r="K2" i="9"/>
  <c r="L2" i="9"/>
  <c r="M2" i="9"/>
  <c r="N2" i="9"/>
  <c r="O2" i="9"/>
  <c r="P2" i="9"/>
  <c r="Q2" i="9"/>
  <c r="R2" i="9"/>
  <c r="S2" i="9"/>
  <c r="T2" i="9"/>
  <c r="U2" i="9"/>
  <c r="V2" i="9"/>
  <c r="W2" i="9"/>
  <c r="X2" i="9"/>
  <c r="Y2" i="9"/>
  <c r="Z2" i="9"/>
  <c r="AA2" i="9"/>
  <c r="AB2" i="9"/>
  <c r="AC2" i="9"/>
  <c r="AD2" i="9"/>
  <c r="AE2" i="9"/>
  <c r="AF2" i="9"/>
  <c r="D2" i="5" l="1"/>
  <c r="E2" i="5"/>
  <c r="F2" i="5"/>
  <c r="G2" i="5"/>
  <c r="H2" i="5"/>
  <c r="I2" i="5"/>
  <c r="J2" i="5"/>
  <c r="K2" i="5"/>
  <c r="L2" i="5"/>
  <c r="M2" i="5"/>
  <c r="N2" i="5"/>
  <c r="O2" i="5"/>
  <c r="P2" i="5"/>
  <c r="Q2" i="5"/>
  <c r="R2" i="5"/>
  <c r="S2" i="5"/>
  <c r="T2" i="5"/>
  <c r="U2" i="5"/>
  <c r="V2" i="5"/>
  <c r="W2" i="5"/>
  <c r="X2" i="5"/>
  <c r="Y2" i="5"/>
  <c r="Z2" i="5"/>
  <c r="AA2" i="5"/>
  <c r="AB2" i="5"/>
  <c r="AC2" i="5"/>
  <c r="AD2" i="5"/>
  <c r="AE2" i="5"/>
  <c r="AF2" i="5"/>
  <c r="D9" i="3"/>
  <c r="E9" i="3"/>
  <c r="F9" i="3"/>
  <c r="G9" i="3"/>
  <c r="H9" i="3"/>
  <c r="I9" i="3"/>
  <c r="J9" i="3"/>
  <c r="K9" i="3"/>
  <c r="L9" i="3"/>
  <c r="M9" i="3"/>
  <c r="N9" i="3"/>
  <c r="O9" i="3"/>
  <c r="P9" i="3"/>
  <c r="Q9" i="3"/>
  <c r="R9" i="3"/>
  <c r="S9" i="3"/>
  <c r="T9" i="3"/>
  <c r="U9" i="3"/>
  <c r="V9" i="3"/>
  <c r="W9" i="3"/>
  <c r="X9" i="3"/>
  <c r="Y9" i="3"/>
  <c r="Z9" i="3"/>
  <c r="AA9" i="3"/>
  <c r="AB9" i="3"/>
  <c r="AC9" i="3"/>
  <c r="AD9" i="3"/>
  <c r="AE9" i="3"/>
  <c r="AF9" i="3"/>
  <c r="D11" i="3"/>
  <c r="E11" i="3"/>
  <c r="F11" i="3"/>
  <c r="G11" i="3"/>
  <c r="H11" i="3"/>
  <c r="I11" i="3"/>
  <c r="J11" i="3"/>
  <c r="K11" i="3"/>
  <c r="L11" i="3"/>
  <c r="M11" i="3"/>
  <c r="N11" i="3"/>
  <c r="O11" i="3"/>
  <c r="P11" i="3"/>
  <c r="Q11" i="3"/>
  <c r="R11" i="3"/>
  <c r="S11" i="3"/>
  <c r="T11" i="3"/>
  <c r="U11" i="3"/>
  <c r="V11" i="3"/>
  <c r="W11" i="3"/>
  <c r="X11" i="3"/>
  <c r="Y11" i="3"/>
  <c r="Z11" i="3"/>
  <c r="AA11" i="3"/>
  <c r="AB11" i="3"/>
  <c r="AC11" i="3"/>
  <c r="AD11" i="3"/>
  <c r="AE11" i="3"/>
  <c r="AF11" i="3"/>
  <c r="F12" i="3"/>
  <c r="H12" i="3"/>
  <c r="N12" i="3"/>
  <c r="P12" i="3"/>
  <c r="V12" i="3"/>
  <c r="X12" i="3"/>
  <c r="AD12" i="3"/>
  <c r="AF12" i="3"/>
  <c r="D13" i="3"/>
  <c r="E13" i="3"/>
  <c r="F13" i="3"/>
  <c r="G13" i="3"/>
  <c r="H13" i="3"/>
  <c r="I13" i="3"/>
  <c r="J13" i="3"/>
  <c r="K13" i="3"/>
  <c r="L13" i="3"/>
  <c r="M13" i="3"/>
  <c r="N13" i="3"/>
  <c r="O13" i="3"/>
  <c r="P13" i="3"/>
  <c r="Q13" i="3"/>
  <c r="R13" i="3"/>
  <c r="S13" i="3"/>
  <c r="T13" i="3"/>
  <c r="U13" i="3"/>
  <c r="V13" i="3"/>
  <c r="W13" i="3"/>
  <c r="X13" i="3"/>
  <c r="Y13" i="3"/>
  <c r="Z13" i="3"/>
  <c r="AA13" i="3"/>
  <c r="AB13" i="3"/>
  <c r="AC13" i="3"/>
  <c r="AD13" i="3"/>
  <c r="AE13" i="3"/>
  <c r="AF13" i="3"/>
  <c r="D14" i="3"/>
  <c r="E14" i="3"/>
  <c r="F14" i="3"/>
  <c r="G14" i="3"/>
  <c r="H14" i="3"/>
  <c r="I14" i="3"/>
  <c r="J14" i="3"/>
  <c r="K14" i="3"/>
  <c r="L14" i="3"/>
  <c r="M14" i="3"/>
  <c r="N14" i="3"/>
  <c r="O14" i="3"/>
  <c r="P14" i="3"/>
  <c r="Q14" i="3"/>
  <c r="R14" i="3"/>
  <c r="S14" i="3"/>
  <c r="T14" i="3"/>
  <c r="U14" i="3"/>
  <c r="V14" i="3"/>
  <c r="W14" i="3"/>
  <c r="X14" i="3"/>
  <c r="Y14" i="3"/>
  <c r="Z14" i="3"/>
  <c r="AA14" i="3"/>
  <c r="AB14" i="3"/>
  <c r="AC14" i="3"/>
  <c r="AD14" i="3"/>
  <c r="AE14" i="3"/>
  <c r="AF14" i="3"/>
  <c r="D15" i="3"/>
  <c r="E15" i="3"/>
  <c r="F15" i="3"/>
  <c r="G15" i="3"/>
  <c r="H15" i="3"/>
  <c r="I15" i="3"/>
  <c r="J15" i="3"/>
  <c r="K15" i="3"/>
  <c r="L15" i="3"/>
  <c r="M15" i="3"/>
  <c r="N15" i="3"/>
  <c r="O15" i="3"/>
  <c r="P15" i="3"/>
  <c r="Q15" i="3"/>
  <c r="R15" i="3"/>
  <c r="S15" i="3"/>
  <c r="T15" i="3"/>
  <c r="U15" i="3"/>
  <c r="V15" i="3"/>
  <c r="W15" i="3"/>
  <c r="X15" i="3"/>
  <c r="Y15" i="3"/>
  <c r="Z15" i="3"/>
  <c r="AA15" i="3"/>
  <c r="AB15" i="3"/>
  <c r="AC15" i="3"/>
  <c r="AD15" i="3"/>
  <c r="AE15" i="3"/>
  <c r="AF15" i="3"/>
  <c r="D16" i="3"/>
  <c r="E16" i="3"/>
  <c r="F16" i="3"/>
  <c r="G16" i="3"/>
  <c r="H16" i="3"/>
  <c r="I16" i="3"/>
  <c r="J16" i="3"/>
  <c r="K16" i="3"/>
  <c r="L16" i="3"/>
  <c r="M16" i="3"/>
  <c r="N16" i="3"/>
  <c r="O16" i="3"/>
  <c r="P16" i="3"/>
  <c r="Q16" i="3"/>
  <c r="R16" i="3"/>
  <c r="S16" i="3"/>
  <c r="T16" i="3"/>
  <c r="U16" i="3"/>
  <c r="V16" i="3"/>
  <c r="W16" i="3"/>
  <c r="X16" i="3"/>
  <c r="Y16" i="3"/>
  <c r="Z16" i="3"/>
  <c r="AA16" i="3"/>
  <c r="AB16" i="3"/>
  <c r="AC16" i="3"/>
  <c r="AD16" i="3"/>
  <c r="AE16" i="3"/>
  <c r="AF16" i="3"/>
  <c r="D17" i="3"/>
  <c r="E17" i="3"/>
  <c r="F17" i="3"/>
  <c r="G17" i="3"/>
  <c r="H17" i="3"/>
  <c r="I17" i="3"/>
  <c r="J17" i="3"/>
  <c r="K17" i="3"/>
  <c r="L17" i="3"/>
  <c r="M17" i="3"/>
  <c r="N17" i="3"/>
  <c r="O17" i="3"/>
  <c r="P17" i="3"/>
  <c r="Q17" i="3"/>
  <c r="R17" i="3"/>
  <c r="S17" i="3"/>
  <c r="T17" i="3"/>
  <c r="U17" i="3"/>
  <c r="V17" i="3"/>
  <c r="W17" i="3"/>
  <c r="X17" i="3"/>
  <c r="Y17" i="3"/>
  <c r="Z17" i="3"/>
  <c r="AA17" i="3"/>
  <c r="AB17" i="3"/>
  <c r="AC17" i="3"/>
  <c r="AD17" i="3"/>
  <c r="AE17" i="3"/>
  <c r="AF17" i="3"/>
  <c r="D18" i="3"/>
  <c r="E18" i="3"/>
  <c r="F18" i="3"/>
  <c r="G18" i="3"/>
  <c r="H18" i="3"/>
  <c r="I18" i="3"/>
  <c r="J18" i="3"/>
  <c r="K18" i="3"/>
  <c r="L18" i="3"/>
  <c r="M18" i="3"/>
  <c r="N18" i="3"/>
  <c r="O18" i="3"/>
  <c r="P18" i="3"/>
  <c r="Q18" i="3"/>
  <c r="R18" i="3"/>
  <c r="S18" i="3"/>
  <c r="T18" i="3"/>
  <c r="U18" i="3"/>
  <c r="V18" i="3"/>
  <c r="W18" i="3"/>
  <c r="X18" i="3"/>
  <c r="Y18" i="3"/>
  <c r="Z18" i="3"/>
  <c r="AA18" i="3"/>
  <c r="AB18" i="3"/>
  <c r="AC18" i="3"/>
  <c r="AD18" i="3"/>
  <c r="AE18" i="3"/>
  <c r="AF18" i="3"/>
  <c r="D2" i="8"/>
  <c r="D2" i="3" s="1"/>
  <c r="F2" i="8"/>
  <c r="F2" i="3" s="1"/>
  <c r="J2" i="8"/>
  <c r="J2" i="3" s="1"/>
  <c r="L2" i="8"/>
  <c r="L2" i="3" s="1"/>
  <c r="N2" i="8"/>
  <c r="N2" i="3" s="1"/>
  <c r="R2" i="8"/>
  <c r="R2" i="3" s="1"/>
  <c r="T2" i="8"/>
  <c r="T2" i="3" s="1"/>
  <c r="V2" i="8"/>
  <c r="V2" i="3" s="1"/>
  <c r="Z2" i="8"/>
  <c r="Z2" i="3" s="1"/>
  <c r="AB2" i="8"/>
  <c r="AB2" i="3" s="1"/>
  <c r="AD2" i="8"/>
  <c r="AD2" i="3" s="1"/>
  <c r="D3" i="3"/>
  <c r="F3" i="3"/>
  <c r="H3" i="3"/>
  <c r="L3" i="3"/>
  <c r="N3" i="3"/>
  <c r="P3" i="3"/>
  <c r="T3" i="3"/>
  <c r="V3" i="3"/>
  <c r="X3" i="3"/>
  <c r="AB3" i="3"/>
  <c r="AD3" i="3"/>
  <c r="AF3" i="3"/>
  <c r="F5" i="8"/>
  <c r="F5" i="3" s="1"/>
  <c r="H5" i="8"/>
  <c r="H5" i="3" s="1"/>
  <c r="J5" i="8"/>
  <c r="J5" i="3" s="1"/>
  <c r="N5" i="8"/>
  <c r="N5" i="3" s="1"/>
  <c r="P5" i="8"/>
  <c r="P5" i="3" s="1"/>
  <c r="R5" i="8"/>
  <c r="R5" i="3" s="1"/>
  <c r="V5" i="8"/>
  <c r="V5" i="3" s="1"/>
  <c r="X5" i="8"/>
  <c r="X5" i="3" s="1"/>
  <c r="Z5" i="8"/>
  <c r="Z5" i="3" s="1"/>
  <c r="AD5" i="8"/>
  <c r="AD5" i="3" s="1"/>
  <c r="AF5" i="8"/>
  <c r="AF5" i="3" s="1"/>
  <c r="D6" i="8"/>
  <c r="D6" i="3" s="1"/>
  <c r="H6" i="8"/>
  <c r="H6" i="3" s="1"/>
  <c r="J6" i="8"/>
  <c r="J6" i="3" s="1"/>
  <c r="L6" i="8"/>
  <c r="L6" i="3" s="1"/>
  <c r="P6" i="8"/>
  <c r="P6" i="3" s="1"/>
  <c r="R6" i="8"/>
  <c r="R6" i="3" s="1"/>
  <c r="T6" i="8"/>
  <c r="T6" i="3" s="1"/>
  <c r="X6" i="8"/>
  <c r="X6" i="3" s="1"/>
  <c r="Z6" i="8"/>
  <c r="Z6" i="3" s="1"/>
  <c r="AB6" i="8"/>
  <c r="AB6" i="3" s="1"/>
  <c r="AF6" i="8"/>
  <c r="AF6" i="3" s="1"/>
  <c r="D7" i="8"/>
  <c r="D7" i="3" s="1"/>
  <c r="F7" i="8"/>
  <c r="F7" i="3" s="1"/>
  <c r="J7" i="8"/>
  <c r="J7" i="3" s="1"/>
  <c r="L7" i="8"/>
  <c r="L7" i="3" s="1"/>
  <c r="N7" i="8"/>
  <c r="N7" i="3" s="1"/>
  <c r="R7" i="8"/>
  <c r="R7" i="3" s="1"/>
  <c r="T7" i="8"/>
  <c r="T7" i="3" s="1"/>
  <c r="V7" i="8"/>
  <c r="V7" i="3" s="1"/>
  <c r="Z7" i="8"/>
  <c r="Z7" i="3" s="1"/>
  <c r="AB7" i="8"/>
  <c r="AB7" i="3" s="1"/>
  <c r="AD7" i="8"/>
  <c r="AD7" i="3" s="1"/>
  <c r="D10" i="8"/>
  <c r="D10" i="3" s="1"/>
  <c r="F10" i="8"/>
  <c r="F10" i="3" s="1"/>
  <c r="H10" i="8"/>
  <c r="H10" i="3" s="1"/>
  <c r="L10" i="8"/>
  <c r="L10" i="3" s="1"/>
  <c r="N10" i="8"/>
  <c r="N10" i="3" s="1"/>
  <c r="P10" i="8"/>
  <c r="P10" i="3" s="1"/>
  <c r="T10" i="8"/>
  <c r="T10" i="3" s="1"/>
  <c r="V10" i="8"/>
  <c r="V10" i="3" s="1"/>
  <c r="X10" i="8"/>
  <c r="X10" i="3" s="1"/>
  <c r="AB10" i="8"/>
  <c r="AB10" i="3" s="1"/>
  <c r="AD10" i="8"/>
  <c r="AD10" i="3" s="1"/>
  <c r="AF10" i="8"/>
  <c r="AF10" i="3" s="1"/>
  <c r="F12" i="8"/>
  <c r="H12" i="8"/>
  <c r="J12" i="8"/>
  <c r="J12" i="3" s="1"/>
  <c r="N12" i="8"/>
  <c r="P12" i="8"/>
  <c r="R12" i="8"/>
  <c r="R12" i="3" s="1"/>
  <c r="V12" i="8"/>
  <c r="X12" i="8"/>
  <c r="Z12" i="8"/>
  <c r="Z12" i="3" s="1"/>
  <c r="AD12" i="8"/>
  <c r="AF12" i="8"/>
  <c r="B10" i="8"/>
  <c r="C20" i="8"/>
  <c r="C5" i="8" s="1"/>
  <c r="D20" i="8"/>
  <c r="D5" i="8" s="1"/>
  <c r="D5" i="3" s="1"/>
  <c r="E20" i="8"/>
  <c r="E6" i="8" s="1"/>
  <c r="E6" i="3" s="1"/>
  <c r="F20" i="8"/>
  <c r="F8" i="8" s="1"/>
  <c r="F8" i="3" s="1"/>
  <c r="G20" i="8"/>
  <c r="G2" i="8" s="1"/>
  <c r="G2" i="3" s="1"/>
  <c r="H20" i="8"/>
  <c r="H2" i="8" s="1"/>
  <c r="H2" i="3" s="1"/>
  <c r="I20" i="8"/>
  <c r="I3" i="3" s="1"/>
  <c r="J20" i="8"/>
  <c r="J3" i="3" s="1"/>
  <c r="K20" i="8"/>
  <c r="K5" i="8" s="1"/>
  <c r="K5" i="3" s="1"/>
  <c r="L20" i="8"/>
  <c r="L5" i="8" s="1"/>
  <c r="L5" i="3" s="1"/>
  <c r="M20" i="8"/>
  <c r="M6" i="8" s="1"/>
  <c r="M6" i="3" s="1"/>
  <c r="N20" i="8"/>
  <c r="N8" i="8" s="1"/>
  <c r="N8" i="3" s="1"/>
  <c r="O20" i="8"/>
  <c r="O2" i="8" s="1"/>
  <c r="O2" i="3" s="1"/>
  <c r="P20" i="8"/>
  <c r="P2" i="8" s="1"/>
  <c r="P2" i="3" s="1"/>
  <c r="Q20" i="8"/>
  <c r="Q3" i="3" s="1"/>
  <c r="R20" i="8"/>
  <c r="R3" i="3" s="1"/>
  <c r="S20" i="8"/>
  <c r="S5" i="8" s="1"/>
  <c r="S5" i="3" s="1"/>
  <c r="T20" i="8"/>
  <c r="T5" i="8" s="1"/>
  <c r="T5" i="3" s="1"/>
  <c r="U20" i="8"/>
  <c r="U6" i="8" s="1"/>
  <c r="U6" i="3" s="1"/>
  <c r="V20" i="8"/>
  <c r="V8" i="8" s="1"/>
  <c r="V8" i="3" s="1"/>
  <c r="W20" i="8"/>
  <c r="W2" i="8" s="1"/>
  <c r="W2" i="3" s="1"/>
  <c r="X20" i="8"/>
  <c r="X2" i="8" s="1"/>
  <c r="X2" i="3" s="1"/>
  <c r="Y20" i="8"/>
  <c r="Y3" i="3" s="1"/>
  <c r="Z20" i="8"/>
  <c r="Z3" i="3" s="1"/>
  <c r="AA20" i="8"/>
  <c r="AA5" i="8" s="1"/>
  <c r="AA5" i="3" s="1"/>
  <c r="AB20" i="8"/>
  <c r="AB5" i="8" s="1"/>
  <c r="AB5" i="3" s="1"/>
  <c r="AC20" i="8"/>
  <c r="AC6" i="8" s="1"/>
  <c r="AC6" i="3" s="1"/>
  <c r="AD20" i="8"/>
  <c r="AD8" i="8" s="1"/>
  <c r="AD8" i="3" s="1"/>
  <c r="AE20" i="8"/>
  <c r="AE2" i="8" s="1"/>
  <c r="AE2" i="3" s="1"/>
  <c r="AF20" i="8"/>
  <c r="AF2" i="8" s="1"/>
  <c r="AF2" i="3" s="1"/>
  <c r="B20" i="8"/>
  <c r="B7" i="8" s="1"/>
  <c r="B12" i="8" l="1"/>
  <c r="Y12" i="8"/>
  <c r="Y12" i="3" s="1"/>
  <c r="Q12" i="8"/>
  <c r="Q12" i="3" s="1"/>
  <c r="I12" i="8"/>
  <c r="I12" i="3" s="1"/>
  <c r="AE10" i="8"/>
  <c r="AE10" i="3" s="1"/>
  <c r="W10" i="8"/>
  <c r="W10" i="3" s="1"/>
  <c r="O10" i="8"/>
  <c r="O10" i="3" s="1"/>
  <c r="G10" i="8"/>
  <c r="G10" i="3" s="1"/>
  <c r="AC7" i="8"/>
  <c r="AC7" i="3" s="1"/>
  <c r="U7" i="8"/>
  <c r="U7" i="3" s="1"/>
  <c r="M7" i="8"/>
  <c r="M7" i="3" s="1"/>
  <c r="E7" i="8"/>
  <c r="E7" i="3" s="1"/>
  <c r="AA6" i="8"/>
  <c r="AA6" i="3" s="1"/>
  <c r="S6" i="8"/>
  <c r="S6" i="3" s="1"/>
  <c r="K6" i="8"/>
  <c r="K6" i="3" s="1"/>
  <c r="C6" i="8"/>
  <c r="Y5" i="8"/>
  <c r="Y5" i="3" s="1"/>
  <c r="Q5" i="8"/>
  <c r="Q5" i="3" s="1"/>
  <c r="I5" i="8"/>
  <c r="I5" i="3" s="1"/>
  <c r="AE3" i="3"/>
  <c r="W3" i="3"/>
  <c r="O3" i="3"/>
  <c r="G3" i="3"/>
  <c r="AC2" i="8"/>
  <c r="AC2" i="3" s="1"/>
  <c r="U2" i="8"/>
  <c r="U2" i="3" s="1"/>
  <c r="M2" i="8"/>
  <c r="M2" i="3" s="1"/>
  <c r="E2" i="8"/>
  <c r="E2" i="3" s="1"/>
  <c r="AB8" i="8"/>
  <c r="AB8" i="3" s="1"/>
  <c r="T8" i="8"/>
  <c r="T8" i="3" s="1"/>
  <c r="L8" i="8"/>
  <c r="L8" i="3" s="1"/>
  <c r="D8" i="8"/>
  <c r="D8" i="3" s="1"/>
  <c r="B2" i="8"/>
  <c r="AE12" i="8"/>
  <c r="AE12" i="3" s="1"/>
  <c r="W12" i="8"/>
  <c r="W12" i="3" s="1"/>
  <c r="O12" i="8"/>
  <c r="O12" i="3" s="1"/>
  <c r="G12" i="8"/>
  <c r="G12" i="3" s="1"/>
  <c r="AC10" i="8"/>
  <c r="AC10" i="3" s="1"/>
  <c r="U10" i="8"/>
  <c r="U10" i="3" s="1"/>
  <c r="M10" i="8"/>
  <c r="M10" i="3" s="1"/>
  <c r="E10" i="8"/>
  <c r="E10" i="3" s="1"/>
  <c r="AA7" i="8"/>
  <c r="AA7" i="3" s="1"/>
  <c r="S7" i="8"/>
  <c r="S7" i="3" s="1"/>
  <c r="K7" i="8"/>
  <c r="K7" i="3" s="1"/>
  <c r="C7" i="8"/>
  <c r="Y6" i="8"/>
  <c r="Y6" i="3" s="1"/>
  <c r="Q6" i="8"/>
  <c r="Q6" i="3" s="1"/>
  <c r="I6" i="8"/>
  <c r="I6" i="3" s="1"/>
  <c r="AE5" i="8"/>
  <c r="AE5" i="3" s="1"/>
  <c r="W5" i="8"/>
  <c r="W5" i="3" s="1"/>
  <c r="O5" i="8"/>
  <c r="O5" i="3" s="1"/>
  <c r="G5" i="8"/>
  <c r="G5" i="3" s="1"/>
  <c r="AC3" i="3"/>
  <c r="U3" i="3"/>
  <c r="M3" i="3"/>
  <c r="E3" i="3"/>
  <c r="AA2" i="8"/>
  <c r="AA2" i="3" s="1"/>
  <c r="S2" i="8"/>
  <c r="S2" i="3" s="1"/>
  <c r="K2" i="8"/>
  <c r="K2" i="3" s="1"/>
  <c r="C2" i="8"/>
  <c r="Z8" i="8"/>
  <c r="Z8" i="3" s="1"/>
  <c r="R8" i="8"/>
  <c r="R8" i="3" s="1"/>
  <c r="J8" i="8"/>
  <c r="J8" i="3" s="1"/>
  <c r="I8" i="8"/>
  <c r="I8" i="3" s="1"/>
  <c r="B8" i="8"/>
  <c r="B5" i="8"/>
  <c r="AC12" i="8"/>
  <c r="AC12" i="3" s="1"/>
  <c r="U12" i="8"/>
  <c r="U12" i="3" s="1"/>
  <c r="M12" i="8"/>
  <c r="M12" i="3" s="1"/>
  <c r="E12" i="8"/>
  <c r="E12" i="3" s="1"/>
  <c r="AA10" i="8"/>
  <c r="AA10" i="3" s="1"/>
  <c r="S10" i="8"/>
  <c r="S10" i="3" s="1"/>
  <c r="K10" i="8"/>
  <c r="K10" i="3" s="1"/>
  <c r="C10" i="8"/>
  <c r="Y7" i="8"/>
  <c r="Y7" i="3" s="1"/>
  <c r="Q7" i="8"/>
  <c r="Q7" i="3" s="1"/>
  <c r="I7" i="8"/>
  <c r="I7" i="3" s="1"/>
  <c r="AE6" i="8"/>
  <c r="AE6" i="3" s="1"/>
  <c r="W6" i="8"/>
  <c r="W6" i="3" s="1"/>
  <c r="O6" i="8"/>
  <c r="O6" i="3" s="1"/>
  <c r="G6" i="8"/>
  <c r="G6" i="3" s="1"/>
  <c r="AC5" i="8"/>
  <c r="AC5" i="3" s="1"/>
  <c r="U5" i="8"/>
  <c r="U5" i="3" s="1"/>
  <c r="M5" i="8"/>
  <c r="M5" i="3" s="1"/>
  <c r="E5" i="8"/>
  <c r="E5" i="3" s="1"/>
  <c r="AA3" i="3"/>
  <c r="S3" i="3"/>
  <c r="K3" i="3"/>
  <c r="Y2" i="8"/>
  <c r="Y2" i="3" s="1"/>
  <c r="Q2" i="8"/>
  <c r="Q2" i="3" s="1"/>
  <c r="I2" i="8"/>
  <c r="I2" i="3" s="1"/>
  <c r="AF8" i="8"/>
  <c r="AF8" i="3" s="1"/>
  <c r="X8" i="8"/>
  <c r="X8" i="3" s="1"/>
  <c r="P8" i="8"/>
  <c r="P8" i="3" s="1"/>
  <c r="H8" i="8"/>
  <c r="H8" i="3" s="1"/>
  <c r="AC8" i="8"/>
  <c r="AC8" i="3" s="1"/>
  <c r="M8" i="8"/>
  <c r="M8" i="3" s="1"/>
  <c r="K8" i="8"/>
  <c r="K8" i="3" s="1"/>
  <c r="Q8" i="8"/>
  <c r="Q8" i="3" s="1"/>
  <c r="B6" i="8"/>
  <c r="AB12" i="8"/>
  <c r="AB12" i="3" s="1"/>
  <c r="T12" i="8"/>
  <c r="T12" i="3" s="1"/>
  <c r="L12" i="8"/>
  <c r="L12" i="3" s="1"/>
  <c r="D12" i="8"/>
  <c r="D12" i="3" s="1"/>
  <c r="Z10" i="8"/>
  <c r="Z10" i="3" s="1"/>
  <c r="R10" i="8"/>
  <c r="R10" i="3" s="1"/>
  <c r="J10" i="8"/>
  <c r="J10" i="3" s="1"/>
  <c r="AF7" i="8"/>
  <c r="AF7" i="3" s="1"/>
  <c r="X7" i="8"/>
  <c r="X7" i="3" s="1"/>
  <c r="P7" i="8"/>
  <c r="P7" i="3" s="1"/>
  <c r="H7" i="8"/>
  <c r="H7" i="3" s="1"/>
  <c r="AD6" i="8"/>
  <c r="AD6" i="3" s="1"/>
  <c r="V6" i="8"/>
  <c r="V6" i="3" s="1"/>
  <c r="N6" i="8"/>
  <c r="N6" i="3" s="1"/>
  <c r="F6" i="8"/>
  <c r="F6" i="3" s="1"/>
  <c r="AE8" i="8"/>
  <c r="AE8" i="3" s="1"/>
  <c r="W8" i="8"/>
  <c r="W8" i="3" s="1"/>
  <c r="O8" i="8"/>
  <c r="O8" i="3" s="1"/>
  <c r="G8" i="8"/>
  <c r="G8" i="3" s="1"/>
  <c r="U8" i="8"/>
  <c r="U8" i="3" s="1"/>
  <c r="E8" i="8"/>
  <c r="E8" i="3" s="1"/>
  <c r="AA8" i="8"/>
  <c r="AA8" i="3" s="1"/>
  <c r="S8" i="8"/>
  <c r="S8" i="3" s="1"/>
  <c r="C8" i="8"/>
  <c r="Y8" i="8"/>
  <c r="Y8" i="3" s="1"/>
  <c r="AA12" i="8"/>
  <c r="AA12" i="3" s="1"/>
  <c r="S12" i="8"/>
  <c r="S12" i="3" s="1"/>
  <c r="K12" i="8"/>
  <c r="K12" i="3" s="1"/>
  <c r="C12" i="8"/>
  <c r="Y10" i="8"/>
  <c r="Y10" i="3" s="1"/>
  <c r="Q10" i="8"/>
  <c r="Q10" i="3" s="1"/>
  <c r="I10" i="8"/>
  <c r="I10" i="3" s="1"/>
  <c r="AE7" i="8"/>
  <c r="AE7" i="3" s="1"/>
  <c r="W7" i="8"/>
  <c r="W7" i="3" s="1"/>
  <c r="O7" i="8"/>
  <c r="O7" i="3" s="1"/>
  <c r="G7" i="8"/>
  <c r="G7" i="3" s="1"/>
  <c r="B2" i="10"/>
  <c r="B2" i="9"/>
  <c r="B16" i="3" l="1"/>
  <c r="B17" i="3"/>
  <c r="B18" i="3"/>
  <c r="B2" i="5" l="1"/>
  <c r="B9" i="3"/>
  <c r="B11" i="3"/>
  <c r="B13" i="3"/>
  <c r="B14" i="3"/>
  <c r="B15" i="3"/>
  <c r="B5" i="3" l="1"/>
  <c r="B10" i="3"/>
  <c r="B8" i="3"/>
  <c r="B6" i="3"/>
  <c r="B3" i="3"/>
  <c r="B2" i="3"/>
  <c r="B7" i="3"/>
  <c r="B12" i="3"/>
</calcChain>
</file>

<file path=xl/sharedStrings.xml><?xml version="1.0" encoding="utf-8"?>
<sst xmlns="http://schemas.openxmlformats.org/spreadsheetml/2006/main" count="2231" uniqueCount="423">
  <si>
    <t>EIaE BAU Imported Electricity</t>
  </si>
  <si>
    <t>EIaE BAU Exported Electricity</t>
  </si>
  <si>
    <t>Source:</t>
  </si>
  <si>
    <t>Energy Information Administration</t>
  </si>
  <si>
    <t>Table 10</t>
  </si>
  <si>
    <t>ETT000</t>
  </si>
  <si>
    <t>10. Electricity Trade</t>
  </si>
  <si>
    <t>(billion kilowatthours, unless otherwise noted)</t>
  </si>
  <si>
    <t xml:space="preserve"> Electricity Trade</t>
  </si>
  <si>
    <t>Interregional Electricity Trade</t>
  </si>
  <si>
    <t xml:space="preserve">  Gross Domestic Sales</t>
  </si>
  <si>
    <t>ETT000:ca_GrossDomestic</t>
  </si>
  <si>
    <t xml:space="preserve">    Firm Power</t>
  </si>
  <si>
    <t>ETT000:da_GrossDomestic</t>
  </si>
  <si>
    <t xml:space="preserve">    Economy</t>
  </si>
  <si>
    <t>ETT000:ea_GrossDomestic</t>
  </si>
  <si>
    <t>ETT000:fa_(millionyyyyd</t>
  </si>
  <si>
    <t>ETT000:ga_(millionyyyyd</t>
  </si>
  <si>
    <t>ETT000:ha_(millionyyyyd</t>
  </si>
  <si>
    <t>International Electricity Trade</t>
  </si>
  <si>
    <t xml:space="preserve">  Imports from Canada and Mexico</t>
  </si>
  <si>
    <t>ETT000:ja_FirmPowerImpo</t>
  </si>
  <si>
    <t>ETT000:ja_EconomyImport</t>
  </si>
  <si>
    <t>ETT000:ja_GrossImportsf</t>
  </si>
  <si>
    <t xml:space="preserve">  Exports to Canada and Mexico</t>
  </si>
  <si>
    <t>ETT000:ka_FirmPowerExpo</t>
  </si>
  <si>
    <t>- -</t>
  </si>
  <si>
    <t>ETT000:ka_EconomyExport</t>
  </si>
  <si>
    <t>ETT000:ka_GrossExportst</t>
  </si>
  <si>
    <t>Electricity Exports (MWh)</t>
  </si>
  <si>
    <t>curtailment or cessation of delivery by the supplier in accordance with prior agreements or under specified conditions.</t>
  </si>
  <si>
    <t>scheduled as part of the normal operating conditions of the affected electric systems.  Economy sales are subject to</t>
  </si>
  <si>
    <t>Release Date</t>
  </si>
  <si>
    <t>Datekey</t>
  </si>
  <si>
    <t>Reference case</t>
  </si>
  <si>
    <t>Scenario</t>
  </si>
  <si>
    <t>Report</t>
  </si>
  <si>
    <t>Select Appendices: Electricity Generation</t>
  </si>
  <si>
    <t>Select Type: Primary Fuel</t>
  </si>
  <si>
    <t>Canada</t>
  </si>
  <si>
    <t>_</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</si>
  <si>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</si>
  <si>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</si>
  <si>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</si>
  <si>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</si>
  <si>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</si>
  <si>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</si>
  <si>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</si>
  <si>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</si>
  <si>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</si>
  <si>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</si>
  <si>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</si>
  <si>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</si>
  <si>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</si>
  <si>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</si>
  <si>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</si>
  <si>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</si>
  <si>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</si>
  <si>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</si>
  <si>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</si>
  <si>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</si>
  <si>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</si>
  <si>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</si>
  <si>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2027</t>
  </si>
  <si>
    <t>2028</t>
  </si>
  <si>
    <t>2029</t>
  </si>
  <si>
    <t>2030</t>
  </si>
  <si>
    <t>2031</t>
  </si>
  <si>
    <t>2032</t>
  </si>
  <si>
    <t>2033</t>
  </si>
  <si>
    <t>2034</t>
  </si>
  <si>
    <t>2035</t>
  </si>
  <si>
    <t>2036</t>
  </si>
  <si>
    <t>2037</t>
  </si>
  <si>
    <t>2038</t>
  </si>
  <si>
    <t>2039</t>
  </si>
  <si>
    <t>2040</t>
  </si>
  <si>
    <t>Hydro / Wave / Tidal</t>
  </si>
  <si>
    <t>Wind</t>
  </si>
  <si>
    <t>Biomass / Geothermal</t>
  </si>
  <si>
    <t>Solar</t>
  </si>
  <si>
    <t>Uranium</t>
  </si>
  <si>
    <t>Coal &amp; Coke</t>
  </si>
  <si>
    <t>Natural Gas</t>
  </si>
  <si>
    <t>Oil</t>
  </si>
  <si>
    <t>Newfoundland and Labrador</t>
  </si>
  <si>
    <t>Prince Edward Island</t>
  </si>
  <si>
    <t>Nova Scotia</t>
  </si>
  <si>
    <t>New Brunswick</t>
  </si>
  <si>
    <t>Quebec</t>
  </si>
  <si>
    <t>Ontario</t>
  </si>
  <si>
    <t>Manitoba</t>
  </si>
  <si>
    <t>Alberta</t>
  </si>
  <si>
    <t>British Columbia</t>
  </si>
  <si>
    <t>Saskatchewan</t>
  </si>
  <si>
    <t>Yukon</t>
  </si>
  <si>
    <t>Northwest Territories</t>
  </si>
  <si>
    <t>Nunavut</t>
  </si>
  <si>
    <t>hard coal</t>
  </si>
  <si>
    <t>nuclear</t>
  </si>
  <si>
    <t>onshore wind</t>
  </si>
  <si>
    <t>hydro</t>
  </si>
  <si>
    <t>solar PV</t>
  </si>
  <si>
    <t>solar thermal</t>
  </si>
  <si>
    <t>biomass</t>
  </si>
  <si>
    <t>geothermal</t>
  </si>
  <si>
    <t>petroleum</t>
  </si>
  <si>
    <t>natural gas peaker</t>
  </si>
  <si>
    <t>lignite</t>
  </si>
  <si>
    <t>offshore wind</t>
  </si>
  <si>
    <t>Quantity of Imports and Exports</t>
  </si>
  <si>
    <t>Canadian Electricity Generation by Type</t>
  </si>
  <si>
    <t>National Energy Board, Government of Canada</t>
  </si>
  <si>
    <t>https://apps.neb-one.gc.ca/ftrppndc/dflt.aspx?GoCTemplateCulture=en-CA</t>
  </si>
  <si>
    <t>Table "Electricity Generation," Reference Case, Canada</t>
  </si>
  <si>
    <t>Notes</t>
  </si>
  <si>
    <t>Since electricity imported to the U.S. comes overwhelmingly from Canada,</t>
  </si>
  <si>
    <t>we use Canada's electricity generation mix to approximate the mix</t>
  </si>
  <si>
    <t>of all imported electricity.</t>
  </si>
  <si>
    <t>We need to know the mix of imported electricity types if we will be including</t>
  </si>
  <si>
    <t>pollutant emissions associated with imported electricity into the totals, which</t>
  </si>
  <si>
    <t>is managed by a control lever.  If these emissions will not be included in the</t>
  </si>
  <si>
    <t>emissions totals, the breakdown is unimportant, and you may assign all</t>
  </si>
  <si>
    <t>imported electricity emissions to any one electricity source, if you prefer.</t>
  </si>
  <si>
    <t>Electricity exports are supplied by power plants in the modeled region and</t>
  </si>
  <si>
    <t>hence do not need their electricity source to be specified here.</t>
  </si>
  <si>
    <t>electricity is not important.</t>
  </si>
  <si>
    <t>because the breakdown between NG peaker and NG nonpeaker for imported</t>
  </si>
  <si>
    <t>Sum of Canada Generation</t>
  </si>
  <si>
    <t>crude oil</t>
  </si>
  <si>
    <t>heavy or residual fuel oil</t>
  </si>
  <si>
    <t>municipal solid waste</t>
  </si>
  <si>
    <t>Imported Electricity (MW*hour)</t>
  </si>
  <si>
    <t>Exported Electricity (MW*hour)</t>
  </si>
  <si>
    <t>All Canadian natural gas was assigned to the "natural gas nonpeaker" plant type</t>
  </si>
  <si>
    <t>Imported Electricity Price</t>
  </si>
  <si>
    <t>Unit: 2012 USD/MWh</t>
  </si>
  <si>
    <t>Exported Electricity Price</t>
  </si>
  <si>
    <t>PRC000</t>
  </si>
  <si>
    <t>3. Energy Prices by Sector and Source</t>
  </si>
  <si>
    <t xml:space="preserve"> Sector and Source</t>
  </si>
  <si>
    <t xml:space="preserve"> Residential</t>
  </si>
  <si>
    <t>PRC000:ba_LiquefiedPetr</t>
  </si>
  <si>
    <t xml:space="preserve">   Propane</t>
  </si>
  <si>
    <t>PRC000:ba_DistillateFue</t>
  </si>
  <si>
    <t xml:space="preserve">   Distillate Fuel Oil</t>
  </si>
  <si>
    <t>PRC000:ba_NaturalGas</t>
  </si>
  <si>
    <t xml:space="preserve">   Natural Gas</t>
  </si>
  <si>
    <t>PRC000:ba_Electricity</t>
  </si>
  <si>
    <t xml:space="preserve">   Electricity</t>
  </si>
  <si>
    <t xml:space="preserve"> Commercial</t>
  </si>
  <si>
    <t>PRC000:ca_LiquefiedGas</t>
  </si>
  <si>
    <t>PRC000:ca_DistillateFue</t>
  </si>
  <si>
    <t>PRC000:ca_ResidualFuel</t>
  </si>
  <si>
    <t xml:space="preserve">   Residual Fuel Oil</t>
  </si>
  <si>
    <t>PRC000:ca_NaturalGas</t>
  </si>
  <si>
    <t>PRC000:ca_Electricity</t>
  </si>
  <si>
    <t xml:space="preserve"> Industrial 1/</t>
  </si>
  <si>
    <t>PRC000:da_LiquefiedPetr</t>
  </si>
  <si>
    <t>PRC000:da_DistillateFue</t>
  </si>
  <si>
    <t>PRC000:da_ResidualFuel</t>
  </si>
  <si>
    <t>PRC000:da_NaturalGas</t>
  </si>
  <si>
    <t xml:space="preserve">   Natural Gas 2/</t>
  </si>
  <si>
    <t>PRC000:da_Metallurgical</t>
  </si>
  <si>
    <t xml:space="preserve">   Metallurgical Coal</t>
  </si>
  <si>
    <t>PRC000:da_SteamCoal</t>
  </si>
  <si>
    <t xml:space="preserve">   Other Industrial Coal</t>
  </si>
  <si>
    <t>PRC000:da_CoaltoLiquids</t>
  </si>
  <si>
    <t xml:space="preserve">   Coal to Liquids</t>
  </si>
  <si>
    <t>PRC000:da_Electricity</t>
  </si>
  <si>
    <t xml:space="preserve"> Transportation</t>
  </si>
  <si>
    <t>PRC000:ea_LiquefiedPetr</t>
  </si>
  <si>
    <t>PRC000:ea_Ethanol(E85)</t>
  </si>
  <si>
    <t xml:space="preserve">   E85 3/</t>
  </si>
  <si>
    <t>PRC000:ea_MotorGasoline</t>
  </si>
  <si>
    <t xml:space="preserve">   Motor Gasoline 4/</t>
  </si>
  <si>
    <t>PRC000:ea_JetFuel</t>
  </si>
  <si>
    <t xml:space="preserve">   Jet Fuel 5/</t>
  </si>
  <si>
    <t>PRC000:ea_DistillateFue</t>
  </si>
  <si>
    <t xml:space="preserve">   Diesel Fuel (distillate fuel oil) 6/</t>
  </si>
  <si>
    <t>PRC000:ea_ResidualFuel</t>
  </si>
  <si>
    <t>PRC000:ea_NaturalGas</t>
  </si>
  <si>
    <t xml:space="preserve">   Natural Gas 7/</t>
  </si>
  <si>
    <t>PRC000:ea_Electricity</t>
  </si>
  <si>
    <t xml:space="preserve"> Electric Power 8/</t>
  </si>
  <si>
    <t>PRC000:ga_DistillateFue</t>
  </si>
  <si>
    <t>PRC000:ga_ResidualFuel</t>
  </si>
  <si>
    <t>PRC000:ga_NaturalGas</t>
  </si>
  <si>
    <t>PRC000:ga_SteamCoal</t>
  </si>
  <si>
    <t xml:space="preserve">   Steam Coal</t>
  </si>
  <si>
    <t>PRC000:ga_uranium</t>
  </si>
  <si>
    <t xml:space="preserve">   Uranium</t>
  </si>
  <si>
    <t xml:space="preserve"> Average Price to All Users 9/</t>
  </si>
  <si>
    <t>PRC000:ha_LiquefiedPetr</t>
  </si>
  <si>
    <t>PRC000:ha_Ethanol(E85)</t>
  </si>
  <si>
    <t>PRC000:ha_MotorGasoline</t>
  </si>
  <si>
    <t>PRC000:ha_JetFuel</t>
  </si>
  <si>
    <t>PRC000:ha_DistillateFue</t>
  </si>
  <si>
    <t>PRC000:ha_ResidualFuel</t>
  </si>
  <si>
    <t>PRC000:ha_NaturalGas</t>
  </si>
  <si>
    <t>PRC000:ha_Metallugical</t>
  </si>
  <si>
    <t>PRC000:ha_Coal</t>
  </si>
  <si>
    <t xml:space="preserve">   Other Coal</t>
  </si>
  <si>
    <t>PRC000:ha_CoaltoLiquids</t>
  </si>
  <si>
    <t>PRC000:ha_Electricity</t>
  </si>
  <si>
    <t>Non-Renewable Energy Expenditures by Sector</t>
  </si>
  <si>
    <t>PRC000:ia_Residential</t>
  </si>
  <si>
    <t>PRC000:ia_Commercial</t>
  </si>
  <si>
    <t>PRC000:ia_Industrial</t>
  </si>
  <si>
    <t>PRC000:ia_Transportatio</t>
  </si>
  <si>
    <t>PRC000:ia_TotalNon-Rene</t>
  </si>
  <si>
    <t xml:space="preserve">   Total Non-Renewable Expenditures</t>
  </si>
  <si>
    <t>PRC000:ja_Transportatio</t>
  </si>
  <si>
    <t xml:space="preserve"> Transportation Renewable Expenditures</t>
  </si>
  <si>
    <t>PRC000:ja_TotalExpendit</t>
  </si>
  <si>
    <t xml:space="preserve">   Total Expenditures</t>
  </si>
  <si>
    <t>Prices in Nominal Dollars</t>
  </si>
  <si>
    <t>PRC000:nom_R_LiquefiedP</t>
  </si>
  <si>
    <t>PRC000:nom_R_Distillate</t>
  </si>
  <si>
    <t>PRC000:nom_R_NaturalGas</t>
  </si>
  <si>
    <t>PRC000:nom_R_Electricit</t>
  </si>
  <si>
    <t>PRC000:nom_C_LiquefiedG</t>
  </si>
  <si>
    <t>PRC000:nom_C_Distillate</t>
  </si>
  <si>
    <t>PRC000:nom_C_ResidualFu</t>
  </si>
  <si>
    <t>PRC000:nom_C_NaturalGas</t>
  </si>
  <si>
    <t>PRC000:nom_C_Electricit</t>
  </si>
  <si>
    <t>PRC000:nom_I_LiquefiedP</t>
  </si>
  <si>
    <t>PRC000:nom_I_Distillate</t>
  </si>
  <si>
    <t>PRC000:nom_I_ResidualFu</t>
  </si>
  <si>
    <t>PRC000:nom_I_NaturalGas</t>
  </si>
  <si>
    <t>PRC000:nom_I_Metallurgi</t>
  </si>
  <si>
    <t>PRC000:nom_I_SteamCoal</t>
  </si>
  <si>
    <t>PRC000:nom_I_CoaltoLiqu</t>
  </si>
  <si>
    <t>PRC000:nom_I_Electricit</t>
  </si>
  <si>
    <t>PRC000:nom_T_LiquefiedP</t>
  </si>
  <si>
    <t>PRC000:nom_T_Ethan(E85)</t>
  </si>
  <si>
    <t>PRC000:nom_T_MotorGasol</t>
  </si>
  <si>
    <t>PRC000:nom_T_JetFuel</t>
  </si>
  <si>
    <t>PRC000:nom_T_Distillate</t>
  </si>
  <si>
    <t>PRC000:nom_T_ResidualFu</t>
  </si>
  <si>
    <t>PRC000:nom_T_NaturalGas</t>
  </si>
  <si>
    <t>PRC000:nom_T_Electricit</t>
  </si>
  <si>
    <t>PRC000:nom_E_Distillate</t>
  </si>
  <si>
    <t>PRC000:nom_E_ResidualFu</t>
  </si>
  <si>
    <t>PRC000:nom_E_NaturalGas</t>
  </si>
  <si>
    <t>PRC000:nom_E_SteamCoal</t>
  </si>
  <si>
    <t>PRC000:nom_E_uranium</t>
  </si>
  <si>
    <t>PRC000:nom_Avg_Liquefie</t>
  </si>
  <si>
    <t>PRC000:nom_Avg_E85_E85</t>
  </si>
  <si>
    <t>PRC000:nom_Avg_MotorGas</t>
  </si>
  <si>
    <t>PRC000:nom_Avg_JetFuel</t>
  </si>
  <si>
    <t>PRC000:nom_Avg_Distilla</t>
  </si>
  <si>
    <t>PRC000:nom_Avg_Residual</t>
  </si>
  <si>
    <t>PRC000:nom_Avg_NaturalG</t>
  </si>
  <si>
    <t>PRC000:nom_Avg_Metallug</t>
  </si>
  <si>
    <t>PRC000:nom_Avg_Coal</t>
  </si>
  <si>
    <t>PRC000:nom_Avg_CoaltoLi</t>
  </si>
  <si>
    <t>PRC000:nom_Avg_Electric</t>
  </si>
  <si>
    <t>(billion nominal dollars)</t>
  </si>
  <si>
    <t>PRC000:nom_Residential</t>
  </si>
  <si>
    <t>PRC000:nom_Commercial</t>
  </si>
  <si>
    <t>PRC000:nom_Industrial</t>
  </si>
  <si>
    <t>PRC000:nom_TransNonRenw</t>
  </si>
  <si>
    <t>PRC000:nom_TotalNon-Ren</t>
  </si>
  <si>
    <t>PRC000:nom_TransRenewEx</t>
  </si>
  <si>
    <t>PRC000:nom_TotalExpendi</t>
  </si>
  <si>
    <t>the percentage of ethanol varies seasonally.  The annual average ethanol content of 74 percent is used for these projections.</t>
  </si>
  <si>
    <t>and estimated dispensing costs or charges.</t>
  </si>
  <si>
    <t>Imported and Exported Electricity Prices</t>
  </si>
  <si>
    <t>Table 3</t>
  </si>
  <si>
    <t>Electricity Prices</t>
  </si>
  <si>
    <t>We do not have explicit data on the prices of electricity imported to or exported</t>
  </si>
  <si>
    <t>use the average U.S. electricity price to all consumers from AEO Table 3.</t>
  </si>
  <si>
    <t>EIaE Imported Electricity Price</t>
  </si>
  <si>
    <t>EIaE BAU Exported Electricity Price</t>
  </si>
  <si>
    <t>from the United States (i.e. via transmission lines to Canada and Mexico), so we</t>
  </si>
  <si>
    <t>MWh/BTU</t>
  </si>
  <si>
    <t>Conversion Factors</t>
  </si>
  <si>
    <t xml:space="preserve">      Total Gross Domestic Sales</t>
  </si>
  <si>
    <t xml:space="preserve">      Total Imports from Canada and Mexico</t>
  </si>
  <si>
    <t xml:space="preserve">      Total Exports to Canada and Mexico</t>
  </si>
  <si>
    <t>Firm power sales are capacity sales, meaning the delivery of the power is</t>
  </si>
  <si>
    <t>highogs.d120120a</t>
  </si>
  <si>
    <t>(2020 dollars per million Btu, unless otherwise noted)</t>
  </si>
  <si>
    <t>(billion 2020 dollars)</t>
  </si>
  <si>
    <t>2/ Excludes use for lease and plant fuel and fuel used for liquefaction in export facilities.</t>
  </si>
  <si>
    <t>3/ E85 refers to a blend of 85 percent ethanol (renewable) and 15 percent motor gasoline (nonrenewable).  To address cold starting issues,</t>
  </si>
  <si>
    <t>4/ Sales weighted-average price for all grades.  Includes Federal, State, and local taxes.</t>
  </si>
  <si>
    <t>5/ Kerosene-type jet fuel.  Includes Federal and State taxes while excluding county and local taxes.</t>
  </si>
  <si>
    <t>6/ Diesel fuel for on-road use.  Includes Federal and State taxes while excluding county and local taxes.</t>
  </si>
  <si>
    <t>7/ Natural gas used as fuel in motor vehicles, trains, and ships.  Price includes estimated motor vehicle fuel taxes</t>
  </si>
  <si>
    <t>8/ Includes electricity-only and combined heat and power plants that have a regulatory status.</t>
  </si>
  <si>
    <t>9/ Weighted averages of end-use fuel prices are derived from the prices shown in each sector and the corresponding sectoral consumption.</t>
  </si>
  <si>
    <t>Btu = British thermal unit.</t>
  </si>
  <si>
    <t>- - = Not applicable.</t>
  </si>
  <si>
    <t>Sources:  2020:  U.S. Energy Information Administration (EIA), Short-Term Energy Outlook, October 2020 and EIA, AEO2021</t>
  </si>
  <si>
    <t>National Energy Modeling System run highogs.d120120a.  Projections:  EIA, AEO2021 National Energy Modeling System run highogs.d120120a.</t>
  </si>
  <si>
    <t>Annual Energy Outlook 2021</t>
  </si>
  <si>
    <t>ref2021</t>
  </si>
  <si>
    <t>d113020a</t>
  </si>
  <si>
    <t xml:space="preserve"> January 2021</t>
  </si>
  <si>
    <t>Compound</t>
  </si>
  <si>
    <t xml:space="preserve"> Growth </t>
  </si>
  <si>
    <t xml:space="preserve">2020-2050 </t>
  </si>
  <si>
    <t>(percent)</t>
  </si>
  <si>
    <t>--</t>
  </si>
  <si>
    <t>1/ Includes energy for combined heat and power plants that have a non-regulatory status, and small on-site generating systems.</t>
  </si>
  <si>
    <t xml:space="preserve">  Gross Domestic Sales (million 2020 dollars)</t>
  </si>
  <si>
    <t>Note:  Totals may not equal sum of components due to independent rounding.</t>
  </si>
  <si>
    <t>Sources:  2020:  U.S. Energy Information Administration (EIA), Short-Term Energy</t>
  </si>
  <si>
    <t>Outlook, October 2020 and EIA, AEO2021 National Energy Modeling System run highogs.d120120a.  Projections:  EIA, AEO2021 National Energy</t>
  </si>
  <si>
    <t>Modeling System run highogs.d120120a.  Projections:  EIA, AEO2021 National Energy Modeling System run highogs.d120120a.</t>
  </si>
  <si>
    <t>https://www.eia.gov/outlooks/aeo/tables_side.php</t>
  </si>
  <si>
    <t>ref2022.d011222a</t>
  </si>
  <si>
    <t>Annual Energy Outlook 2022</t>
  </si>
  <si>
    <t>ref2022</t>
  </si>
  <si>
    <t>Reference</t>
  </si>
  <si>
    <t>d011222a</t>
  </si>
  <si>
    <t xml:space="preserve"> March 2022</t>
  </si>
  <si>
    <t>Average</t>
  </si>
  <si>
    <t>(2021 dollars per million Btu, unless otherwise noted)</t>
  </si>
  <si>
    <t>Annual</t>
  </si>
  <si>
    <t>Change</t>
  </si>
  <si>
    <t>2021–2050</t>
  </si>
  <si>
    <t>(billion 2021 dollars)</t>
  </si>
  <si>
    <t>3/ E85 refers to a blend of 85 % ethanol (renewable) and 15 % motor gasoline (nonrenewable).  To address cold starting issues,</t>
  </si>
  <si>
    <t>Sources:  2021:  U.S. Energy Information Administration (EIA), Short-Term Energy Outlook, November 2021 and EIA, AEO2022</t>
  </si>
  <si>
    <t>National Energy Modeling System run ref2022.d011222a.  Projections:  EIA, AEO2022 National Energy Modeling System run ref2022.d011222a.</t>
  </si>
  <si>
    <t xml:space="preserve">  Gross Domestic Sales (million 2021 dollars)</t>
  </si>
  <si>
    <t>Sources:  2021:  U.S. Energy Information Administration (EIA), Short-Term Energy Outlook, November 2021 and EIA,</t>
  </si>
  <si>
    <t>Select Report Version: Canada’s Energy Future 2021</t>
  </si>
  <si>
    <t>Select Case: Evolving Policies</t>
  </si>
  <si>
    <t>2041</t>
  </si>
  <si>
    <t>2042</t>
  </si>
  <si>
    <t>2043</t>
  </si>
  <si>
    <t>2044</t>
  </si>
  <si>
    <t>2045</t>
  </si>
  <si>
    <t>2046</t>
  </si>
  <si>
    <t>2047</t>
  </si>
  <si>
    <t>2048</t>
  </si>
  <si>
    <t>2049</t>
  </si>
  <si>
    <t>2050</t>
  </si>
  <si>
    <t>2012 USD/2021 USD</t>
  </si>
  <si>
    <t>2012 USD/2020 USD</t>
  </si>
  <si>
    <t>2021 and 2022</t>
  </si>
  <si>
    <t>Annual Energy Outlook 2021 and 2022</t>
  </si>
  <si>
    <t>Canada's Energy Future 2021, Appendices</t>
  </si>
  <si>
    <t>natural gas steam turbine</t>
  </si>
  <si>
    <t>natural gas combined cycle</t>
  </si>
  <si>
    <t>Electric power generation, monthly generation by type of electricity 1 2</t>
  </si>
  <si>
    <t>Frequency: Monthly</t>
  </si>
  <si>
    <t>Table: 25-10-0015-01 (formerly CANSIM 127-0002)</t>
  </si>
  <si>
    <t>Release date: 2022-08-08</t>
  </si>
  <si>
    <t>Geography: Canada, Province or territory</t>
  </si>
  <si>
    <t>Geography</t>
  </si>
  <si>
    <t>Class of electricity producer</t>
  </si>
  <si>
    <t>Electricity producers, electric utilities 3</t>
  </si>
  <si>
    <t>Type of electricity generation</t>
  </si>
  <si>
    <t>Megawatt hours</t>
  </si>
  <si>
    <t>Total all types of electricity generation</t>
  </si>
  <si>
    <t>Hydraulic turbine 4</t>
  </si>
  <si>
    <t>Conventional steam turbine 5</t>
  </si>
  <si>
    <t>Nuclear steam turbine 6</t>
  </si>
  <si>
    <t>Internal combustion turbine 7</t>
  </si>
  <si>
    <t>Combustion turbine 8</t>
  </si>
  <si>
    <t>Total electricity production from combustible fuels 9</t>
  </si>
  <si>
    <t>..</t>
  </si>
  <si>
    <t>Tidal power turbine 10</t>
  </si>
  <si>
    <t>Wind power turbine 11</t>
  </si>
  <si>
    <t>Solar 12</t>
  </si>
  <si>
    <t>Other types of electricity generation</t>
  </si>
  <si>
    <t>Symbol legend:</t>
  </si>
  <si>
    <t xml:space="preserve"> not available for a specific reference period</t>
  </si>
  <si>
    <t>r</t>
  </si>
  <si>
    <t xml:space="preserve"> revised</t>
  </si>
  <si>
    <t>Footnotes:</t>
  </si>
  <si>
    <t>For monthly data prior to January 2008, please see table 25-10-0001-01 (terminated). For current monthly data on Electric power receipts and deliveries, see table 25-10-0016-01.</t>
  </si>
  <si>
    <t>The target population for the Monthly Electricity Supply and Disposition Survey has been expanded to improve coverage of renewable energy in Canada, particularly wind and solar power. As a result of this change, users will have to use caution when comparing data for historical purposes. For wind power, significant changes occurred in British Columbia, Alberta, Ontario, Quebec and Prince Edward Island. For solar power, significant changes occurred in Ontario.</t>
  </si>
  <si>
    <t>A utility is an organization that, as its prime purpose, generates, transmits and/or distributes electric energy for sale. It can be private or public (provincial or municipal).</t>
  </si>
  <si>
    <t>Electric power generated from a plant in which the turbine generators are driven by flowing water. Prior to January 2008, hydro included wind and tidal generation. From January 2008 on, wind and tidal generation are reported separately.</t>
  </si>
  <si>
    <t>A power plant in which the prime mover is a steam turbine. The steam used to drive the turbine is produced in a boiler where fossil fuels or other combustible materials are burned. From January 2016 on, this generation is reported as part of combustible fuel generation.</t>
  </si>
  <si>
    <t>Electricity generated at an electric power plant whose turbines are driven by steam generated in a reactor by heat from the fission of nuclear fuel.</t>
  </si>
  <si>
    <t>A power plant in which the prime mover is an internal combustion turbine. Electric power is generated by converting energy obtained by the rapid burning of a fuel-air mixture into mechanical energy. From January 2016 on, this generation is reported as part of combustible fuel generation.</t>
  </si>
  <si>
    <t>A power plant in which the prime mover is a combustion turbine. Electric power is generated by converting energy obtained by burning fuel into mechanical energy. From January 2016 on, this generation is reported as part of combustible fuel generation.</t>
  </si>
  <si>
    <t xml:space="preserve">Total combustible generation includes non-renewable combustible fuels (coal, natural gas, petroleum and other non-renewable combustible fuels) and biomass (wood, spent pulping liquor, methane, municipal waste, other waste and other types of biomass). 
</t>
  </si>
  <si>
    <t>Electric power generated from a plant in which the turbine generators are driven by moving water from tidal flows.</t>
  </si>
  <si>
    <t>A power plant in which the prime mover is a wind turbine. Electric power is generated by the conversion of wind power into mechanical energy.</t>
  </si>
  <si>
    <t>Electricity created by converting solar radiation through photovoltaic processes or transforming solar radiation captured by concentrating thermal systems.</t>
  </si>
  <si>
    <t>How to cite: Statistics Canada. Table 25-10-0015-01  Electric power generation, monthly generation by type of electricity</t>
  </si>
  <si>
    <t>https://www150.statcan.gc.ca/t1/tbl1/en/tv.action?pid=2510001501</t>
  </si>
  <si>
    <t>2015 Total</t>
  </si>
  <si>
    <t>NG Breakdown by EPS Plant Type</t>
  </si>
  <si>
    <t>Canada NG Generation by Turbine Type</t>
  </si>
  <si>
    <t>Statistics Canada</t>
  </si>
  <si>
    <t>Electric power generation, monthly generation by type of electricity</t>
  </si>
  <si>
    <t>https://www150.statcan.gc.ca/t1/tbl1/en/tv.action?pid=2510001501&amp;pickMembers%5B0%5D=1.1&amp;pickMembers%5B1%5D=2.2&amp;cubeTimeFrame.startMonth=01&amp;cubeTimeFrame.startYear=2015&amp;cubeTimeFrame.endMonth=12&amp;cubeTimeFrame.endYear=2015&amp;referencePeriods=20150101%2C20151201</t>
  </si>
  <si>
    <t>Data after 2015 does not break out turbine types, so we use data from 2015.</t>
  </si>
  <si>
    <t>ref2023.d020623a</t>
  </si>
  <si>
    <t>Annual Energy Outlook 2023</t>
  </si>
  <si>
    <t>ref2023</t>
  </si>
  <si>
    <t>d020623a</t>
  </si>
  <si>
    <t xml:space="preserve"> March 2023</t>
  </si>
  <si>
    <t>2022–2050</t>
  </si>
  <si>
    <t xml:space="preserve">  Gross Domestic Sales (million 2022 dollars)</t>
  </si>
  <si>
    <t>Data source: 2022:  U.S. Energy Information Administration (EIA), Short-Term Energy Outlook, November 2022 and EIA, AEO2023</t>
  </si>
  <si>
    <t>National Energy Modeling System run ref2023.d020623a.  Projections:  EIA, AEO2023 National Energy</t>
  </si>
  <si>
    <t>Modeling System run ref2023.d020623a.</t>
  </si>
  <si>
    <t>(2022 dollars per million Btu, unless otherwise noted)</t>
  </si>
  <si>
    <t>(billion 2022 dollars)</t>
  </si>
  <si>
    <t>1/ Includes energy for combined-heat-and-power plants that have a non-regulatory status and small on-site generating systems.</t>
  </si>
  <si>
    <t>3/ E85 refers to a high-level ethanol-gasoline blend containing 51% to 83% ethanol, depending on geography and season. To address cold</t>
  </si>
  <si>
    <t>starting issues, the percentage of ethanol varies seasonally. The annual average ethanol content of 74% is used for these projections</t>
  </si>
  <si>
    <t>5/ Kerosene-type jet fuel.  Includes federal and state taxes while excluding county and local taxes.</t>
  </si>
  <si>
    <t>6/ Diesel fuel for on-road use.  Includes federal and state taxes while excluding county and local taxes.</t>
  </si>
  <si>
    <t>8/ Includes electricity-only and combined-heat-and-power plants that have a regulatory status.</t>
  </si>
  <si>
    <t>National Energy Modeling System run ref2023.d020623a.  Projections:  EIA, AEO2023 National Energy Modeling System run ref2023.d020623a.</t>
  </si>
  <si>
    <t>hard coal w CCS</t>
  </si>
  <si>
    <t>natural gas combined cycle w CCS</t>
  </si>
  <si>
    <t>biomass w CCS</t>
  </si>
  <si>
    <t>lignite w CCS</t>
  </si>
  <si>
    <t>small modular reactor</t>
  </si>
  <si>
    <t>hydrogen combustion turbine</t>
  </si>
  <si>
    <t>hydrogen combined cycle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</si>
</sst>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0.0%"/>
    <numFmt numFmtId="165" formatCode="#,##0.0"/>
    <numFmt numFmtId="166" formatCode="0.000"/>
  </numFmts>
  <fonts count="24" x14ac:knownFonts="1">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9"/>
      <name val="Calibri"/>
      <family val="2"/>
    </font>
    <font>
      <sz val="11"/>
      <color rgb="FF000000"/>
      <name val="Calibri"/>
      <family val="2"/>
    </font>
    <font>
      <b/>
      <sz val="16"/>
      <color rgb="FF000000"/>
      <name val="Calibri"/>
      <family val="2"/>
    </font>
    <font>
      <b/>
      <sz val="14"/>
      <color rgb="FF000000"/>
      <name val="Calibri"/>
      <family val="2"/>
    </font>
    <font>
      <u/>
      <sz val="11"/>
      <color theme="10"/>
      <name val="Calibri"/>
      <family val="2"/>
      <scheme val="minor"/>
    </font>
    <font>
      <sz val="11"/>
      <color theme="1"/>
      <name val="Calibri"/>
      <family val="2"/>
      <scheme val="minor"/>
    </font>
    <font>
      <sz val="10"/>
      <name val="Calibri"/>
      <family val="2"/>
    </font>
    <font>
      <sz val="10"/>
      <color indexed="8"/>
      <name val="Calibri"/>
      <family val="2"/>
    </font>
    <font>
      <sz val="9"/>
      <name val="Calibri"/>
      <family val="2"/>
    </font>
    <font>
      <sz val="10"/>
      <color indexed="8"/>
      <name val="Arial"/>
      <family val="2"/>
    </font>
    <font>
      <sz val="8"/>
      <name val="Calibri"/>
      <family val="2"/>
      <scheme val="minor"/>
    </font>
    <font>
      <b/>
      <sz val="9"/>
      <name val="Calibri"/>
      <family val="2"/>
    </font>
    <font>
      <i/>
      <sz val="11"/>
      <color theme="1"/>
      <name val="Calibri"/>
      <family val="2"/>
      <scheme val="minor"/>
    </font>
    <font>
      <b/>
      <sz val="12"/>
      <name val="Calibri"/>
      <family val="2"/>
    </font>
    <font>
      <b/>
      <sz val="9"/>
      <name val="Calibri"/>
      <family val="2"/>
    </font>
    <font>
      <sz val="10"/>
      <name val="Calibri"/>
      <family val="2"/>
    </font>
    <font>
      <sz val="9"/>
      <name val="Calibri"/>
      <family val="2"/>
    </font>
    <font>
      <sz val="11"/>
      <color rgb="FF000000"/>
      <name val="Calibri"/>
      <family val="2"/>
      <scheme val="minor"/>
    </font>
  </fonts>
  <fills count="4">
    <fill>
      <patternFill patternType="none"/>
    </fill>
    <fill>
      <patternFill patternType="gray125"/>
    </fill>
    <fill>
      <patternFill patternType="solid">
        <fgColor theme="0" tint="-0.249977111117893"/>
        <bgColor indexed="64"/>
      </patternFill>
    </fill>
    <fill>
      <patternFill patternType="solid">
        <fgColor rgb="FFFFFF00"/>
        <bgColor indexed="64"/>
      </patternFill>
    </fill>
  </fills>
  <borders count="5">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s>
  <cellStyleXfs count="38">
    <xf numFmtId="0" fontId="0" fillId="0" borderId="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0"/>
    <xf numFmtId="0" fontId="7" fillId="0" borderId="0" applyBorder="0"/>
    <xf numFmtId="0" fontId="10" fillId="0" borderId="0" applyNumberFormat="0" applyFill="0" applyBorder="0" applyAlignment="0" applyProtection="0"/>
    <xf numFmtId="43" fontId="11" fillId="0" borderId="0" applyFont="0" applyFill="0" applyBorder="0" applyAlignment="0" applyProtection="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cellStyleXfs>
  <cellXfs count="95">
    <xf numFmtId="0" fontId="0" fillId="0" borderId="0" xfId="0"/>
    <xf numFmtId="0" fontId="1" fillId="0" borderId="0" xfId="0" applyFont="1"/>
    <xf numFmtId="0" fontId="0" fillId="0" borderId="0" xfId="0" applyAlignment="1">
      <alignment horizontal="left"/>
    </xf>
    <xf numFmtId="0" fontId="1" fillId="2" borderId="0" xfId="0" applyFont="1" applyFill="1"/>
    <xf numFmtId="0" fontId="10" fillId="0" borderId="0" xfId="9"/>
    <xf numFmtId="1" fontId="0" fillId="0" borderId="0" xfId="0" applyNumberFormat="1"/>
    <xf numFmtId="0" fontId="4" fillId="0" borderId="0" xfId="0" applyFont="1"/>
    <xf numFmtId="0" fontId="6" fillId="0" borderId="0" xfId="0" applyFont="1"/>
    <xf numFmtId="0" fontId="1" fillId="0" borderId="0" xfId="0" applyFont="1" applyAlignment="1">
      <alignment horizontal="left" wrapText="1"/>
    </xf>
    <xf numFmtId="0" fontId="1" fillId="0" borderId="0" xfId="0" applyFont="1" applyAlignment="1">
      <alignment wrapText="1"/>
    </xf>
    <xf numFmtId="11" fontId="0" fillId="0" borderId="0" xfId="0" applyNumberFormat="1"/>
    <xf numFmtId="166" fontId="0" fillId="0" borderId="0" xfId="0" applyNumberFormat="1"/>
    <xf numFmtId="2" fontId="0" fillId="0" borderId="0" xfId="10" applyNumberFormat="1" applyFont="1"/>
    <xf numFmtId="0" fontId="2" fillId="0" borderId="0" xfId="1"/>
    <xf numFmtId="0" fontId="3" fillId="0" borderId="1" xfId="2">
      <alignment wrapText="1"/>
    </xf>
    <xf numFmtId="0" fontId="5" fillId="0" borderId="0" xfId="3">
      <alignment horizontal="left"/>
    </xf>
    <xf numFmtId="0" fontId="3" fillId="0" borderId="2" xfId="4">
      <alignment wrapText="1"/>
    </xf>
    <xf numFmtId="0" fontId="0" fillId="0" borderId="3" xfId="5" applyFont="1">
      <alignment wrapText="1"/>
    </xf>
    <xf numFmtId="3" fontId="0" fillId="0" borderId="3" xfId="5" applyNumberFormat="1" applyFont="1" applyAlignment="1">
      <alignment horizontal="right" wrapText="1"/>
    </xf>
    <xf numFmtId="164" fontId="0" fillId="0" borderId="3" xfId="5" applyNumberFormat="1" applyFont="1" applyAlignment="1">
      <alignment horizontal="right" wrapText="1"/>
    </xf>
    <xf numFmtId="3" fontId="3" fillId="0" borderId="2" xfId="4" applyNumberFormat="1" applyAlignment="1">
      <alignment horizontal="right" wrapText="1"/>
    </xf>
    <xf numFmtId="164" fontId="3" fillId="0" borderId="2" xfId="4" applyNumberFormat="1" applyAlignment="1">
      <alignment horizontal="right" wrapText="1"/>
    </xf>
    <xf numFmtId="165" fontId="0" fillId="0" borderId="3" xfId="5" applyNumberFormat="1" applyFont="1" applyAlignment="1">
      <alignment horizontal="right" wrapText="1"/>
    </xf>
    <xf numFmtId="165" fontId="3" fillId="0" borderId="2" xfId="4" applyNumberFormat="1" applyAlignment="1">
      <alignment horizontal="right" wrapText="1"/>
    </xf>
    <xf numFmtId="0" fontId="2" fillId="0" borderId="4" xfId="6">
      <alignment wrapText="1"/>
    </xf>
    <xf numFmtId="4" fontId="0" fillId="0" borderId="3" xfId="5" applyNumberFormat="1" applyFont="1" applyAlignment="1">
      <alignment horizontal="right" wrapText="1"/>
    </xf>
    <xf numFmtId="0" fontId="12" fillId="0" borderId="0" xfId="0" applyFont="1"/>
    <xf numFmtId="0" fontId="13" fillId="0" borderId="0" xfId="0" applyFont="1"/>
    <xf numFmtId="0" fontId="3" fillId="0" borderId="0" xfId="0" applyFont="1" applyAlignment="1">
      <alignment horizontal="right"/>
    </xf>
    <xf numFmtId="0" fontId="3" fillId="0" borderId="1" xfId="2" applyAlignment="1">
      <alignment horizontal="right" wrapText="1"/>
    </xf>
    <xf numFmtId="0" fontId="0" fillId="0" borderId="4" xfId="0" applyBorder="1"/>
    <xf numFmtId="0" fontId="15" fillId="0" borderId="0" xfId="0" applyFont="1"/>
    <xf numFmtId="0" fontId="3" fillId="0" borderId="1" xfId="2" applyAlignment="1">
      <alignment horizontal="right"/>
    </xf>
    <xf numFmtId="0" fontId="6" fillId="0" borderId="4" xfId="6" applyFont="1">
      <alignment wrapText="1"/>
    </xf>
    <xf numFmtId="0" fontId="8" fillId="0" borderId="0" xfId="0" applyFont="1"/>
    <xf numFmtId="0" fontId="9" fillId="0" borderId="0" xfId="0" applyFont="1"/>
    <xf numFmtId="0" fontId="17" fillId="0" borderId="0" xfId="0" applyFont="1" applyAlignment="1">
      <alignment horizontal="right"/>
    </xf>
    <xf numFmtId="17" fontId="0" fillId="0" borderId="0" xfId="0" applyNumberFormat="1"/>
    <xf numFmtId="3" fontId="0" fillId="0" borderId="0" xfId="0" applyNumberFormat="1"/>
    <xf numFmtId="0" fontId="0" fillId="0" borderId="0" xfId="0" applyAlignment="1">
      <alignment horizontal="right"/>
    </xf>
    <xf numFmtId="0" fontId="1" fillId="3" borderId="0" xfId="0" applyFont="1" applyFill="1"/>
    <xf numFmtId="0" fontId="0" fillId="3" borderId="0" xfId="0" applyFill="1"/>
    <xf numFmtId="0" fontId="1" fillId="3" borderId="0" xfId="0" applyFont="1" applyFill="1" applyAlignment="1">
      <alignment horizontal="right"/>
    </xf>
    <xf numFmtId="3" fontId="0" fillId="3" borderId="0" xfId="0" applyNumberFormat="1" applyFill="1"/>
    <xf numFmtId="0" fontId="18" fillId="0" borderId="0" xfId="0" applyFont="1"/>
    <xf numFmtId="0" fontId="2" fillId="0" borderId="0" xfId="7"/>
    <xf numFmtId="0" fontId="2" fillId="0" borderId="0" xfId="18"/>
    <xf numFmtId="0" fontId="3" fillId="0" borderId="1" xfId="20">
      <alignment wrapText="1"/>
    </xf>
    <xf numFmtId="0" fontId="4" fillId="0" borderId="0" xfId="7" applyFont="1"/>
    <xf numFmtId="0" fontId="6" fillId="0" borderId="0" xfId="7" applyFont="1"/>
    <xf numFmtId="0" fontId="15" fillId="0" borderId="0" xfId="7" applyFont="1"/>
    <xf numFmtId="0" fontId="19" fillId="0" borderId="0" xfId="22" applyFont="1">
      <alignment horizontal="left"/>
    </xf>
    <xf numFmtId="0" fontId="20" fillId="0" borderId="0" xfId="7" applyFont="1" applyAlignment="1">
      <alignment horizontal="right"/>
    </xf>
    <xf numFmtId="0" fontId="6" fillId="0" borderId="0" xfId="18" applyFont="1"/>
    <xf numFmtId="0" fontId="6" fillId="0" borderId="0" xfId="7" applyFont="1" applyAlignment="1">
      <alignment horizontal="left"/>
    </xf>
    <xf numFmtId="0" fontId="20" fillId="0" borderId="1" xfId="20" applyFont="1">
      <alignment wrapText="1"/>
    </xf>
    <xf numFmtId="0" fontId="20" fillId="0" borderId="1" xfId="20" applyFont="1" applyAlignment="1">
      <alignment horizontal="right"/>
    </xf>
    <xf numFmtId="0" fontId="20" fillId="0" borderId="2" xfId="21" applyFont="1">
      <alignment wrapText="1"/>
    </xf>
    <xf numFmtId="0" fontId="6" fillId="0" borderId="3" xfId="17" applyFont="1">
      <alignment wrapText="1"/>
    </xf>
    <xf numFmtId="164" fontId="6" fillId="0" borderId="3" xfId="17" applyNumberFormat="1" applyFont="1" applyAlignment="1">
      <alignment horizontal="right" wrapText="1"/>
    </xf>
    <xf numFmtId="164" fontId="20" fillId="0" borderId="2" xfId="21" applyNumberFormat="1" applyFont="1" applyAlignment="1">
      <alignment horizontal="right" wrapText="1"/>
    </xf>
    <xf numFmtId="3" fontId="6" fillId="0" borderId="3" xfId="17" applyNumberFormat="1" applyFont="1" applyAlignment="1">
      <alignment horizontal="right" wrapText="1"/>
    </xf>
    <xf numFmtId="165" fontId="6" fillId="0" borderId="3" xfId="17" applyNumberFormat="1" applyFont="1" applyAlignment="1">
      <alignment horizontal="right" wrapText="1"/>
    </xf>
    <xf numFmtId="0" fontId="6" fillId="0" borderId="4" xfId="19" applyFont="1">
      <alignment wrapText="1"/>
    </xf>
    <xf numFmtId="3" fontId="20" fillId="0" borderId="2" xfId="21" applyNumberFormat="1" applyFont="1" applyAlignment="1">
      <alignment horizontal="right" wrapText="1"/>
    </xf>
    <xf numFmtId="165" fontId="20" fillId="0" borderId="2" xfId="21" applyNumberFormat="1" applyFont="1" applyAlignment="1">
      <alignment horizontal="right" wrapText="1"/>
    </xf>
    <xf numFmtId="0" fontId="21" fillId="0" borderId="0" xfId="7" applyFont="1"/>
    <xf numFmtId="0" fontId="2" fillId="0" borderId="4" xfId="7" applyBorder="1"/>
    <xf numFmtId="0" fontId="2" fillId="0" borderId="0" xfId="33"/>
    <xf numFmtId="0" fontId="3" fillId="0" borderId="1" xfId="35">
      <alignment wrapText="1"/>
    </xf>
    <xf numFmtId="0" fontId="19" fillId="0" borderId="0" xfId="37" applyFont="1">
      <alignment horizontal="left"/>
    </xf>
    <xf numFmtId="0" fontId="6" fillId="0" borderId="0" xfId="33" applyFont="1"/>
    <xf numFmtId="0" fontId="20" fillId="0" borderId="1" xfId="35" applyFont="1">
      <alignment wrapText="1"/>
    </xf>
    <xf numFmtId="0" fontId="20" fillId="0" borderId="1" xfId="35" applyFont="1" applyAlignment="1">
      <alignment horizontal="right"/>
    </xf>
    <xf numFmtId="0" fontId="20" fillId="0" borderId="2" xfId="36" applyFont="1">
      <alignment wrapText="1"/>
    </xf>
    <xf numFmtId="0" fontId="6" fillId="0" borderId="3" xfId="32" applyFont="1">
      <alignment wrapText="1"/>
    </xf>
    <xf numFmtId="4" fontId="6" fillId="0" borderId="3" xfId="32" applyNumberFormat="1" applyFont="1" applyAlignment="1">
      <alignment horizontal="right" wrapText="1"/>
    </xf>
    <xf numFmtId="164" fontId="6" fillId="0" borderId="3" xfId="32" applyNumberFormat="1" applyFont="1" applyAlignment="1">
      <alignment horizontal="right" wrapText="1"/>
    </xf>
    <xf numFmtId="164" fontId="20" fillId="0" borderId="2" xfId="36" applyNumberFormat="1" applyFont="1" applyAlignment="1">
      <alignment horizontal="right" wrapText="1"/>
    </xf>
    <xf numFmtId="3" fontId="6" fillId="0" borderId="3" xfId="32" applyNumberFormat="1" applyFont="1" applyAlignment="1">
      <alignment horizontal="right" wrapText="1"/>
    </xf>
    <xf numFmtId="3" fontId="20" fillId="0" borderId="2" xfId="36" applyNumberFormat="1" applyFont="1" applyAlignment="1">
      <alignment horizontal="right" wrapText="1"/>
    </xf>
    <xf numFmtId="4" fontId="6" fillId="0" borderId="3" xfId="32" applyNumberFormat="1" applyFont="1">
      <alignment wrapText="1"/>
    </xf>
    <xf numFmtId="164" fontId="6" fillId="0" borderId="3" xfId="32" applyNumberFormat="1" applyFont="1">
      <alignment wrapText="1"/>
    </xf>
    <xf numFmtId="0" fontId="23" fillId="0" borderId="0" xfId="0" applyFont="1" applyAlignment="1">
      <alignment vertical="center"/>
    </xf>
    <xf numFmtId="0" fontId="2" fillId="0" borderId="0" xfId="7"/>
    <xf numFmtId="0" fontId="22" fillId="0" borderId="0" xfId="7" applyFont="1"/>
    <xf numFmtId="0" fontId="0" fillId="0" borderId="0" xfId="0"/>
    <xf numFmtId="0" fontId="14" fillId="0" borderId="0" xfId="0" applyFont="1"/>
    <xf numFmtId="0" fontId="22" fillId="0" borderId="4" xfId="34" applyFont="1">
      <alignment wrapText="1"/>
    </xf>
    <xf numFmtId="0" fontId="2" fillId="0" borderId="4" xfId="7" applyBorder="1"/>
    <xf numFmtId="0" fontId="0" fillId="0" borderId="3" xfId="5" applyFont="1">
      <alignment wrapText="1"/>
    </xf>
    <xf numFmtId="4" fontId="0" fillId="0" borderId="3" xfId="5" applyNumberFormat="1" applyFont="1" applyAlignment="1">
      <alignment horizontal="right" wrapText="1"/>
    </xf>
    <xf numFmtId="164" fontId="0" fillId="0" borderId="3" xfId="5" applyNumberFormat="1" applyFont="1" applyAlignment="1">
      <alignment horizontal="right" wrapText="1"/>
    </xf>
    <xf numFmtId="0" fontId="14" fillId="0" borderId="4" xfId="6" applyFont="1">
      <alignment wrapText="1"/>
    </xf>
    <xf numFmtId="0" fontId="0" fillId="0" borderId="4" xfId="0" applyBorder="1"/>
  </cellXfs>
  <cellStyles count="38">
    <cellStyle name="Body: normal cell" xfId="5" xr:uid="{00000000-0005-0000-0000-000000000000}"/>
    <cellStyle name="Body: normal cell 2" xfId="15" xr:uid="{51B22B8D-CF9D-46AD-BF65-4C4D416ECE20}"/>
    <cellStyle name="Body: normal cell 2 2" xfId="32" xr:uid="{7B0771CF-F847-4124-BB86-A11EA2CD1658}"/>
    <cellStyle name="Body: normal cell 3" xfId="25" xr:uid="{07959F89-420C-46E5-89D7-DED1058CD9F0}"/>
    <cellStyle name="Body: normal cell 4" xfId="17" xr:uid="{B3EE48E5-25FC-4B27-89F7-BBF626DDE478}"/>
    <cellStyle name="Comma" xfId="10" builtinId="3"/>
    <cellStyle name="Font: Calibri, 9pt regular" xfId="1" xr:uid="{00000000-0005-0000-0000-000001000000}"/>
    <cellStyle name="Font: Calibri, 9pt regular 2" xfId="11" xr:uid="{382B750F-5A54-4636-ADA6-0DA00478492B}"/>
    <cellStyle name="Font: Calibri, 9pt regular 2 2" xfId="33" xr:uid="{10721611-BCF2-4601-A6CB-763CAAD20D01}"/>
    <cellStyle name="Font: Calibri, 9pt regular 3" xfId="26" xr:uid="{3E796C07-4505-49E4-B769-003B14DECF9C}"/>
    <cellStyle name="Font: Calibri, 9pt regular 4" xfId="18" xr:uid="{A2D18834-9EA9-49C6-9F5F-D01506806906}"/>
    <cellStyle name="Footnotes: top row" xfId="6" xr:uid="{00000000-0005-0000-0000-000002000000}"/>
    <cellStyle name="Footnotes: top row 2" xfId="16" xr:uid="{D86F4493-36AD-40FB-B8F1-3749D0EDAFD8}"/>
    <cellStyle name="Footnotes: top row 2 2" xfId="34" xr:uid="{73A0D673-2B61-4687-B919-8CB842F4FB43}"/>
    <cellStyle name="Footnotes: top row 3" xfId="27" xr:uid="{8E90DDBF-C1AF-4705-B24C-8291BA1B1065}"/>
    <cellStyle name="Footnotes: top row 4" xfId="19" xr:uid="{81ABFD43-2AB8-4491-AD8D-7F327DE266A1}"/>
    <cellStyle name="Header: bottom row" xfId="2" xr:uid="{00000000-0005-0000-0000-000003000000}"/>
    <cellStyle name="Header: bottom row 2" xfId="12" xr:uid="{D124DBBE-817F-4F9A-B086-7B91EE80FB92}"/>
    <cellStyle name="Header: bottom row 2 2" xfId="35" xr:uid="{84EA0DCD-78D0-4003-9C75-319FC6445AC4}"/>
    <cellStyle name="Header: bottom row 3" xfId="28" xr:uid="{5C28CDE5-61AD-48C5-955F-C044B613343F}"/>
    <cellStyle name="Header: bottom row 4" xfId="20" xr:uid="{3F9A9EED-7D4A-464A-B1F0-1EBF4F674245}"/>
    <cellStyle name="Hyperlink" xfId="9" builtinId="8"/>
    <cellStyle name="Normal" xfId="0" builtinId="0"/>
    <cellStyle name="Normal 2" xfId="7" xr:uid="{00000000-0005-0000-0000-000006000000}"/>
    <cellStyle name="Normal 2 2" xfId="8" xr:uid="{00000000-0005-0000-0000-000007000000}"/>
    <cellStyle name="Normal 3" xfId="31" xr:uid="{53828412-BD72-47DB-B8AF-6894A350244C}"/>
    <cellStyle name="Normal 4" xfId="24" xr:uid="{C7C5B42A-B351-4A4A-B7B0-17C676C6DD8D}"/>
    <cellStyle name="Normal 5" xfId="23" xr:uid="{98FD0943-AE6B-413B-8ED7-15787D0DCDAD}"/>
    <cellStyle name="Parent row" xfId="4" xr:uid="{00000000-0005-0000-0000-000008000000}"/>
    <cellStyle name="Parent row 2" xfId="14" xr:uid="{004140A3-0A0D-4133-A16E-5D203A439566}"/>
    <cellStyle name="Parent row 2 2" xfId="36" xr:uid="{D1AAD42D-AE7B-4862-8C31-31894BC44DFD}"/>
    <cellStyle name="Parent row 3" xfId="29" xr:uid="{913743C3-F239-4601-9FB0-9DE0B1A5E3D0}"/>
    <cellStyle name="Parent row 4" xfId="21" xr:uid="{D4F08BE8-F8D1-4FE3-ACBC-8F757D319B1D}"/>
    <cellStyle name="Table title" xfId="3" xr:uid="{00000000-0005-0000-0000-000009000000}"/>
    <cellStyle name="Table title 2" xfId="13" xr:uid="{D271D59B-77D2-4405-AFE3-35DCF4B982EE}"/>
    <cellStyle name="Table title 2 2" xfId="37" xr:uid="{1A4DC889-96B9-40BB-A710-DAE3E0AF0304}"/>
    <cellStyle name="Table title 3" xfId="30" xr:uid="{BBB91672-661F-4927-B016-545CF0B81EE7}"/>
    <cellStyle name="Table title 4" xfId="22" xr:uid="{2B1384A8-2297-4BFD-8041-9FA0D03E126E}"/>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externalLink" Target="externalLinks/externalLink1.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Users/jeff-nonadmin/CodeRepositories/eps-us/InputData/fuels/BFCpUEbS/BAU%20Fuel%20Cost%20per%20Unit%20Energy%20by%20Secto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out"/>
      <sheetName val="AEO Table 2"/>
      <sheetName val="AEO Table 3"/>
      <sheetName val="AEO Table 12"/>
      <sheetName val="Natural Gas Adjustment"/>
      <sheetName val="Hard Coal and Lig Multipliers"/>
      <sheetName val="Hydrogen"/>
      <sheetName val="Other Fuels"/>
      <sheetName val="BFCpUEbS-electricity"/>
      <sheetName val="BFCpUEbS-coal"/>
      <sheetName val="BFCpUEbS-natural-gas"/>
      <sheetName val="BFCpUEbS-nuclear"/>
      <sheetName val="BFCpUEbS-hydro"/>
      <sheetName val="BFCpUEbS-wind"/>
      <sheetName val="BFCpUEbS-solar"/>
      <sheetName val="BFCpUEbS-biomass"/>
      <sheetName val="BFCpUEbS-petroleum-gasoline"/>
      <sheetName val="BFCpUEbS-petroleum-diesel"/>
      <sheetName val="BFCpUEbS-biofuel-gasoline"/>
      <sheetName val="BFCpUEbS-biofuel-diesel"/>
      <sheetName val="BFCpUEbS-jet-fuel-or-kerosene"/>
      <sheetName val="BFCpUEbS-heat"/>
      <sheetName val="BFCpUEbS-lignite"/>
      <sheetName val="BFCpUEbS-geothermal"/>
      <sheetName val="BFCpUEbS-crude-oil"/>
      <sheetName val="BFCpUEbS-heavy-fuel-oil"/>
      <sheetName val="BFCpUEbS-lpg-propane-or-butane"/>
      <sheetName val="BFCpUEbS-municipal-solid-waste"/>
      <sheetName val="BFCpUEbS-hydrogen"/>
    </sheetNames>
    <sheetDataSet>
      <sheetData sheetId="0"/>
      <sheetData sheetId="1"/>
      <sheetData sheetId="2"/>
      <sheetData sheetId="3"/>
      <sheetData sheetId="4"/>
      <sheetData sheetId="5">
        <row r="16">
          <cell r="N16">
            <v>0.92062879123815489</v>
          </cell>
        </row>
        <row r="17">
          <cell r="N17">
            <v>1.0036394752510358</v>
          </cell>
        </row>
      </sheetData>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8047A88-391F-4285-BDE2-7BD7663F859B}" name="Table15" displayName="Table15" ref="A8:AU16" totalsRowShown="0">
  <tableColumns count="47">
    <tableColumn id="1" xr3:uid="{F3B64090-24DD-4F01-BA32-1764026A5045}" name="_"/>
    <tableColumn id="2" xr3:uid="{EB7D77FA-69B5-47FF-82F9-F8506774CE73}" name="2005"/>
    <tableColumn id="3" xr3:uid="{6AFD297B-C820-4257-9361-E249AD7F7332}" name="2006"/>
    <tableColumn id="4" xr3:uid="{B6E62A06-2B08-4A34-9A83-E234081421A0}" name="2007"/>
    <tableColumn id="5" xr3:uid="{4D769870-10F4-43E6-BDD6-F255D5AE544C}" name="2008"/>
    <tableColumn id="6" xr3:uid="{8D016791-BDF6-4D71-BCCD-6F690F1C6E31}" name="2009"/>
    <tableColumn id="7" xr3:uid="{9CBE53EE-88E4-4A1E-9380-E7ABDB2758B4}" name="2010"/>
    <tableColumn id="8" xr3:uid="{1056F72A-57BD-4A4E-A942-5E391448F66E}" name="2011"/>
    <tableColumn id="9" xr3:uid="{ABC67426-58DA-4F54-B1C2-45BB9A37E735}" name="2012"/>
    <tableColumn id="10" xr3:uid="{25809192-C4F5-4F50-B32A-B50371208F19}" name="2013"/>
    <tableColumn id="11" xr3:uid="{34E8238A-4571-4A74-9FB3-0F1C9429DBC8}" name="2014"/>
    <tableColumn id="12" xr3:uid="{76795CEA-988B-4145-9842-27E23996807A}" name="2015"/>
    <tableColumn id="13" xr3:uid="{B341D00E-0276-4C99-81A3-8FFFD73E5720}" name="2016"/>
    <tableColumn id="14" xr3:uid="{C58B0154-E5DA-4C5E-8193-23E114BB5016}" name="2017"/>
    <tableColumn id="15" xr3:uid="{574ADCD4-C7BD-4FAE-83C5-9DACD26674C3}" name="2018"/>
    <tableColumn id="16" xr3:uid="{581B7A74-6404-459D-AC92-3F11E2533D03}" name="2019"/>
    <tableColumn id="17" xr3:uid="{0E31D271-855B-451D-8101-DF5F3528CC1F}" name="2020"/>
    <tableColumn id="18" xr3:uid="{2DCA8553-851B-4C62-9BB9-4E3C417E169D}" name="2021"/>
    <tableColumn id="19" xr3:uid="{06E6FA4D-187C-4D04-B7FD-4C09D17AEC10}" name="2022"/>
    <tableColumn id="20" xr3:uid="{6C433732-AFCB-4548-B7CC-654ED0DD3BBD}" name="2023"/>
    <tableColumn id="21" xr3:uid="{047BA5A1-7E65-4821-AF78-9EC962409465}" name="2024"/>
    <tableColumn id="22" xr3:uid="{4C0D7679-EFFF-429F-AADC-6CDE58ECB8C9}" name="2025"/>
    <tableColumn id="23" xr3:uid="{58063B0B-4295-4AA8-B70B-D131E5F611D9}" name="2026"/>
    <tableColumn id="24" xr3:uid="{3ED96EC3-D96A-48B4-AFA1-F057481D4A8A}" name="2027"/>
    <tableColumn id="25" xr3:uid="{E15E6A7E-F916-4D29-B3C8-DA4FF93B03C3}" name="2028"/>
    <tableColumn id="26" xr3:uid="{F72BA41D-864F-407E-B623-FBD7E5E27C13}" name="2029"/>
    <tableColumn id="27" xr3:uid="{C136914B-A191-4FD1-AB33-0229856381F1}" name="2030"/>
    <tableColumn id="28" xr3:uid="{2098D49D-DBCF-43D3-A89F-BA06A114F826}" name="2031"/>
    <tableColumn id="29" xr3:uid="{E9AF8ED8-6B77-4DDD-A3D5-FF7BD93E084C}" name="2032"/>
    <tableColumn id="30" xr3:uid="{7036069D-8B9A-4A64-911B-B6E3B3576B7E}" name="2033"/>
    <tableColumn id="31" xr3:uid="{C93A19AF-2463-4F94-B0F8-442AA59E054E}" name="2034"/>
    <tableColumn id="32" xr3:uid="{5EE9FF55-0620-41E9-B437-4A0102105FC2}" name="2035"/>
    <tableColumn id="33" xr3:uid="{D9BF0896-0AE2-4201-9868-FA87EE17D5FA}" name="2036"/>
    <tableColumn id="34" xr3:uid="{842E8375-B58F-414D-A817-B7BD54D0FBEA}" name="2037"/>
    <tableColumn id="35" xr3:uid="{99EBDE59-11BB-44C9-8DCB-CB2E008A75C9}" name="2038"/>
    <tableColumn id="36" xr3:uid="{72C190E4-23F9-4A8C-90CF-63C374B2AD85}" name="2039"/>
    <tableColumn id="37" xr3:uid="{BAD845AA-7882-4BBA-8128-B28638CCBE9B}" name="2040"/>
    <tableColumn id="38" xr3:uid="{7D524951-190B-48F8-AD93-CE9B28863E65}" name="2041"/>
    <tableColumn id="39" xr3:uid="{1FB40873-60D4-4DA3-9919-A80AF8159D99}" name="2042"/>
    <tableColumn id="40" xr3:uid="{5F359CB7-EF72-4899-8CDB-3BD61FCB1FE5}" name="2043"/>
    <tableColumn id="41" xr3:uid="{E1F6C809-763C-4DB6-8690-326A05A87FE1}" name="2044"/>
    <tableColumn id="42" xr3:uid="{16DD7AF4-27CE-4AA4-8FE7-E32198D3E32E}" name="2045"/>
    <tableColumn id="43" xr3:uid="{7EA2B5EB-5450-4BCA-84FD-B55A7E56A40D}" name="2046"/>
    <tableColumn id="44" xr3:uid="{6E2C513B-DFDA-40F9-B8DF-C6CB98328AAA}" name="2047"/>
    <tableColumn id="45" xr3:uid="{1FA7ADF0-F0A7-480F-B68A-9859BDD4EB03}" name="2048"/>
    <tableColumn id="46" xr3:uid="{9233C6CC-8937-4E08-A1C0-DD3D14E80787}" name="2049"/>
    <tableColumn id="47" xr3:uid="{7348E39C-E8E3-4227-B387-E039785E1343}" name="2050"/>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B395931-62DD-41A5-A120-E69CA8719636}" name="Table23" displayName="Table23" ref="A19:AU27" totalsRowShown="0">
  <tableColumns count="47">
    <tableColumn id="1" xr3:uid="{3104A6B6-0F71-489E-843D-D94CB4BB755E}" name="_"/>
    <tableColumn id="2" xr3:uid="{645A02D3-8E22-40D1-B334-187A1210CBFE}" name="2005"/>
    <tableColumn id="3" xr3:uid="{A2B486C8-E0EE-4F76-A5E2-0B8CD179A62C}" name="2006"/>
    <tableColumn id="4" xr3:uid="{46730E9D-5737-4D7E-9DB1-14160CDDEC0E}" name="2007"/>
    <tableColumn id="5" xr3:uid="{2670DA85-20B4-46A5-9B30-741A5698915B}" name="2008"/>
    <tableColumn id="6" xr3:uid="{3492E39A-47F8-4D27-978C-D0F334A34804}" name="2009"/>
    <tableColumn id="7" xr3:uid="{BFC7285D-FF70-4EF3-A4E8-5A90740E0CAD}" name="2010"/>
    <tableColumn id="8" xr3:uid="{CCEE7D18-A690-4B14-A03E-750460C57D18}" name="2011"/>
    <tableColumn id="9" xr3:uid="{99430E6A-189B-404E-A22F-47B336BCD3D9}" name="2012"/>
    <tableColumn id="10" xr3:uid="{E35548E2-4149-44B9-9773-C1A6844E5373}" name="2013"/>
    <tableColumn id="11" xr3:uid="{9DD72CEB-E18E-48CF-88AE-06F8FA7DF63E}" name="2014"/>
    <tableColumn id="12" xr3:uid="{343E764B-B29D-48B2-8913-CCA2DB4E3E34}" name="2015"/>
    <tableColumn id="13" xr3:uid="{6D9BC257-ECF6-4DAF-A5B7-4E09F87ABD2C}" name="2016"/>
    <tableColumn id="14" xr3:uid="{E5965446-4C70-423D-B296-3ECD3D20DF83}" name="2017"/>
    <tableColumn id="15" xr3:uid="{7611DCEB-0B88-4093-8CE5-14D99F584C1E}" name="2018"/>
    <tableColumn id="16" xr3:uid="{9CE02EAB-A2B2-46E7-9EC5-618652130C81}" name="2019"/>
    <tableColumn id="17" xr3:uid="{B2D1582F-6B9E-42AF-8136-F7944971BACC}" name="2020"/>
    <tableColumn id="18" xr3:uid="{4E49CC5B-6036-42DE-87E1-44DB18EE89FE}" name="2021"/>
    <tableColumn id="19" xr3:uid="{3AE66513-3D91-4CB1-BDEF-72E8237AF8B3}" name="2022"/>
    <tableColumn id="20" xr3:uid="{B0172C1D-0574-476D-900D-7B2B770DFCFA}" name="2023"/>
    <tableColumn id="21" xr3:uid="{3FA3B6EE-4DB0-4268-9AE3-10BFF946B5A2}" name="2024"/>
    <tableColumn id="22" xr3:uid="{3ECA4FB1-00F9-4A7C-B401-6390434C753B}" name="2025"/>
    <tableColumn id="23" xr3:uid="{20208670-3476-4F69-BC70-EFE5B11F50A9}" name="2026"/>
    <tableColumn id="24" xr3:uid="{15856A48-B935-4D5D-9095-05623779DB19}" name="2027"/>
    <tableColumn id="25" xr3:uid="{7250E68E-32F4-4AB6-AEE1-F2C0E3B036B5}" name="2028"/>
    <tableColumn id="26" xr3:uid="{F49DA7EC-249D-404B-8F7E-4BF6F83A1262}" name="2029"/>
    <tableColumn id="27" xr3:uid="{30290129-A557-4263-939B-0121AFB023D4}" name="2030"/>
    <tableColumn id="28" xr3:uid="{B903DDE6-EFD5-4548-9D06-F56D5A6063A9}" name="2031"/>
    <tableColumn id="29" xr3:uid="{8CF93124-F842-4784-AFA1-E364F435B6BE}" name="2032"/>
    <tableColumn id="30" xr3:uid="{CE8A12C6-49A2-432F-B2FC-55CF2F86F420}" name="2033"/>
    <tableColumn id="31" xr3:uid="{B89D1CDF-6715-49BF-B10E-67C47E6CF540}" name="2034"/>
    <tableColumn id="32" xr3:uid="{822BA094-0128-48FC-882A-15CA83913B26}" name="2035"/>
    <tableColumn id="33" xr3:uid="{F59FA565-15EF-4E9F-9F93-03492B21BC7A}" name="2036"/>
    <tableColumn id="34" xr3:uid="{7D2AB3F1-33EE-4CA0-9244-8E876A120D18}" name="2037"/>
    <tableColumn id="35" xr3:uid="{CBA1C45C-B2A0-4669-ADC4-6C3178FA9DD7}" name="2038"/>
    <tableColumn id="36" xr3:uid="{E726E591-2D52-4BEF-BE35-BA7421D4883E}" name="2039"/>
    <tableColumn id="37" xr3:uid="{0E4DD837-D7DD-4AAC-BBAF-B0BD02D8F62C}" name="2040"/>
    <tableColumn id="38" xr3:uid="{14CBCCAB-9871-4E01-8567-90C217506568}" name="2041"/>
    <tableColumn id="39" xr3:uid="{8D0BFE67-3A74-4E99-9758-86977D2E9178}" name="2042"/>
    <tableColumn id="40" xr3:uid="{74675E03-635F-4008-A549-031436A3523D}" name="2043"/>
    <tableColumn id="41" xr3:uid="{163FE6DE-08DB-4D7D-A8EB-3C9D651EF4AD}" name="2044"/>
    <tableColumn id="42" xr3:uid="{E716138C-0283-4A75-8F93-B444B7105C37}" name="2045"/>
    <tableColumn id="43" xr3:uid="{15B10750-6475-42EE-B277-9B4831800C33}" name="2046"/>
    <tableColumn id="44" xr3:uid="{CD3028FB-FF1B-43E0-BEC1-5802FEF062AE}" name="2047"/>
    <tableColumn id="45" xr3:uid="{F4EC9279-EB54-42C7-81F4-492F07227394}" name="2048"/>
    <tableColumn id="46" xr3:uid="{98093139-202E-40FF-B59F-A3666033C4E8}" name="2049"/>
    <tableColumn id="47" xr3:uid="{596027AE-5984-4D99-9B1D-1520663236AE}" name="2050"/>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A2B9F49-43B0-4FE4-98D4-D44EB59EDEAF}" name="Table34" displayName="Table34" ref="A30:AU38" totalsRowShown="0">
  <tableColumns count="47">
    <tableColumn id="1" xr3:uid="{046D3480-2F5D-4FFE-A7B0-F0708732DE77}" name="_"/>
    <tableColumn id="2" xr3:uid="{39200C3D-6A96-43DD-9C8E-B64F992D94A9}" name="2005"/>
    <tableColumn id="3" xr3:uid="{BFCF097E-5723-4837-BBCF-0BF117F1858B}" name="2006"/>
    <tableColumn id="4" xr3:uid="{E17CF482-AA49-4B6E-9568-7A19BEB26682}" name="2007"/>
    <tableColumn id="5" xr3:uid="{4D3D0BE3-75C5-49CA-BC77-AD982C3D80DF}" name="2008"/>
    <tableColumn id="6" xr3:uid="{C39715F0-C7FC-4B10-80EE-D07B78F51FB4}" name="2009"/>
    <tableColumn id="7" xr3:uid="{52C2ABCE-7EC0-4C7F-A0D2-FDA34DB439DC}" name="2010"/>
    <tableColumn id="8" xr3:uid="{C244992C-35A5-4ACC-88BF-58369D02AE1A}" name="2011"/>
    <tableColumn id="9" xr3:uid="{36748478-42B9-44E7-9C67-47033DE220FF}" name="2012"/>
    <tableColumn id="10" xr3:uid="{C03EFE64-D66E-401C-920C-EE05DFC593C3}" name="2013"/>
    <tableColumn id="11" xr3:uid="{53009CFC-04C9-49B6-8C50-8C3E0947A7BD}" name="2014"/>
    <tableColumn id="12" xr3:uid="{63EB8854-A975-482E-B708-1EDD02E6319C}" name="2015"/>
    <tableColumn id="13" xr3:uid="{787D9DE5-121F-44DF-B572-8E73A2610CA0}" name="2016"/>
    <tableColumn id="14" xr3:uid="{D206772A-99F8-4A2C-95F3-375F1BADABA4}" name="2017"/>
    <tableColumn id="15" xr3:uid="{D85AB720-C51F-4853-B473-39D29D397BA3}" name="2018"/>
    <tableColumn id="16" xr3:uid="{7A9079B2-C3A3-4CC1-86C0-04607DA924E5}" name="2019"/>
    <tableColumn id="17" xr3:uid="{31B6C68E-65F8-4862-9836-B1C3003CEC6D}" name="2020"/>
    <tableColumn id="18" xr3:uid="{69099384-6A48-4C22-991C-EE7050954C91}" name="2021"/>
    <tableColumn id="19" xr3:uid="{BC4A9AC0-4BB6-4D28-8160-DB8E0630290C}" name="2022"/>
    <tableColumn id="20" xr3:uid="{567D1270-5019-48BF-B884-94D3AAF153B1}" name="2023"/>
    <tableColumn id="21" xr3:uid="{A7EEC0B0-0995-47D9-AB1E-2EE285824AE8}" name="2024"/>
    <tableColumn id="22" xr3:uid="{FD433809-BBF6-447E-9EE5-D51CA8FC9CF3}" name="2025"/>
    <tableColumn id="23" xr3:uid="{239DE25E-CA15-4667-8FBF-B09CEA5624B3}" name="2026"/>
    <tableColumn id="24" xr3:uid="{18F96F78-963B-46D3-9E3F-6E70BB766D4E}" name="2027"/>
    <tableColumn id="25" xr3:uid="{45795BE7-D452-4856-8E6A-3BAA4B4C2753}" name="2028"/>
    <tableColumn id="26" xr3:uid="{13BA7C8F-1C81-48F2-9002-1FE85C7D0273}" name="2029"/>
    <tableColumn id="27" xr3:uid="{5768CB53-0D45-4D6C-B683-3EDB0F31BE70}" name="2030"/>
    <tableColumn id="28" xr3:uid="{9E175D1C-3D37-4C0C-AED8-5A932FBC5810}" name="2031"/>
    <tableColumn id="29" xr3:uid="{780CC3D0-09E7-4E37-8D66-E4CE7161F0CE}" name="2032"/>
    <tableColumn id="30" xr3:uid="{BF7E48B4-3AE8-46BF-94CE-4F9D3C2F2011}" name="2033"/>
    <tableColumn id="31" xr3:uid="{CCEF8F50-795C-4412-8CDB-03BE5D1F26E9}" name="2034"/>
    <tableColumn id="32" xr3:uid="{658E05F0-DC5C-4DA5-9539-23E9730D36C3}" name="2035"/>
    <tableColumn id="33" xr3:uid="{C35912A2-FEEF-464E-9C61-E16D05770217}" name="2036"/>
    <tableColumn id="34" xr3:uid="{5F90CCEF-790B-463C-B18B-AFAE332ACBFC}" name="2037"/>
    <tableColumn id="35" xr3:uid="{39E4A173-7017-471F-B2DB-AB12A9C76BCA}" name="2038"/>
    <tableColumn id="36" xr3:uid="{ED34F177-E212-44AF-8E2E-974DECDF2B5A}" name="2039"/>
    <tableColumn id="37" xr3:uid="{EC5C1BBB-063F-4EE7-8912-B65F07E60917}" name="2040"/>
    <tableColumn id="38" xr3:uid="{D761F5B9-F001-4260-89C4-B137D3C5843C}" name="2041"/>
    <tableColumn id="39" xr3:uid="{CE44B908-6BA0-4801-9B9D-8CBA2DB0076E}" name="2042"/>
    <tableColumn id="40" xr3:uid="{20491F46-2863-4C54-9D50-1019150DEF64}" name="2043"/>
    <tableColumn id="41" xr3:uid="{C8AAD725-CCFF-405C-A8FC-5F4FEB83140A}" name="2044"/>
    <tableColumn id="42" xr3:uid="{41F71DEF-705E-4B68-B48F-4A3164C4811D}" name="2045"/>
    <tableColumn id="43" xr3:uid="{0773C251-B1BE-4B87-8C09-EC665643B493}" name="2046"/>
    <tableColumn id="44" xr3:uid="{44290D8D-E260-46A3-9AD3-72CE632D3EAB}" name="2047"/>
    <tableColumn id="45" xr3:uid="{6A5447A9-FC19-496A-B495-6DFFAD5ABC4F}" name="2048"/>
    <tableColumn id="46" xr3:uid="{7A575481-F7B4-4FA2-9F65-37BCD60C0671}" name="2049"/>
    <tableColumn id="47" xr3:uid="{3D6DEF3B-1D4F-4025-A191-46E1D7E04B7B}" name="2050"/>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69730DD-7C21-4F3F-BBC9-0DA2EA14C08F}" name="Table45" displayName="Table45" ref="A41:AU49" totalsRowShown="0">
  <tableColumns count="47">
    <tableColumn id="1" xr3:uid="{DC1C4966-F704-4E52-A6C6-C17334B09E70}" name="_"/>
    <tableColumn id="2" xr3:uid="{1A25994A-B2F9-4846-AB20-84451F3B3ED3}" name="2005"/>
    <tableColumn id="3" xr3:uid="{6B38D372-4A2B-479D-B6F7-7708627CC610}" name="2006"/>
    <tableColumn id="4" xr3:uid="{02FA0EA7-62C9-418B-B8DF-423DFDD8076A}" name="2007"/>
    <tableColumn id="5" xr3:uid="{D9E3D817-D710-44E5-8B5A-74A138116220}" name="2008"/>
    <tableColumn id="6" xr3:uid="{E52A0611-C8DB-4A18-A095-5F310AE84EBF}" name="2009"/>
    <tableColumn id="7" xr3:uid="{61805495-22B5-47DC-821F-FA65701A2E7C}" name="2010"/>
    <tableColumn id="8" xr3:uid="{88EFCAA6-C1EC-4F04-8E9E-5C9E93A58094}" name="2011"/>
    <tableColumn id="9" xr3:uid="{FE6FBB8A-AD89-4513-93BA-8238D564EF72}" name="2012"/>
    <tableColumn id="10" xr3:uid="{16998D2A-B1C4-4C5E-8404-CF13C67894EA}" name="2013"/>
    <tableColumn id="11" xr3:uid="{736ED52D-23A4-4E66-998F-276C7AEF644B}" name="2014"/>
    <tableColumn id="12" xr3:uid="{22DD6D12-B623-45D1-B7BB-EF54F0E6279C}" name="2015"/>
    <tableColumn id="13" xr3:uid="{066C8C4D-050F-4234-86F4-E7E86EF84E58}" name="2016"/>
    <tableColumn id="14" xr3:uid="{F59BC0D1-4E42-4295-9B96-68FE96F834B2}" name="2017"/>
    <tableColumn id="15" xr3:uid="{0A35A58E-48FA-4552-9BD3-71846857862A}" name="2018"/>
    <tableColumn id="16" xr3:uid="{B8E32889-DB06-4C13-95EF-F9E37E7504B8}" name="2019"/>
    <tableColumn id="17" xr3:uid="{D14CA2AD-17BA-46CD-9282-B1A76F533F8A}" name="2020"/>
    <tableColumn id="18" xr3:uid="{54CCA0D2-CBB1-49DE-B84F-E7BFFCE5DD6D}" name="2021"/>
    <tableColumn id="19" xr3:uid="{8A415E83-8D61-4988-BF31-604A4D08E894}" name="2022"/>
    <tableColumn id="20" xr3:uid="{2FA51FFE-F492-45CB-81DF-373018F68EDA}" name="2023"/>
    <tableColumn id="21" xr3:uid="{CD7293D9-6CF3-433C-912F-AF80FBA7465C}" name="2024"/>
    <tableColumn id="22" xr3:uid="{02A4BF9B-26CA-4237-A449-AF24708171A8}" name="2025"/>
    <tableColumn id="23" xr3:uid="{0D720509-39B1-4A48-8822-769547FBA1A0}" name="2026"/>
    <tableColumn id="24" xr3:uid="{DC5C5EF6-ACA7-4A20-9A4D-B9071AE87792}" name="2027"/>
    <tableColumn id="25" xr3:uid="{E38CEEC3-042E-430E-8D1B-45E7DA43F878}" name="2028"/>
    <tableColumn id="26" xr3:uid="{FADDAA8E-7D75-401C-A32D-7E7185183B39}" name="2029"/>
    <tableColumn id="27" xr3:uid="{C86A1AFB-CF8F-4BAF-8462-A78A2FD0446C}" name="2030"/>
    <tableColumn id="28" xr3:uid="{8AF14CDA-AC62-41C9-995A-5B67FBC958EB}" name="2031"/>
    <tableColumn id="29" xr3:uid="{AFDB7CE8-62A1-4D3C-8F8A-53CC49E93557}" name="2032"/>
    <tableColumn id="30" xr3:uid="{99CD1DC9-9E56-4FCC-820E-BA48AE756700}" name="2033"/>
    <tableColumn id="31" xr3:uid="{96623C8E-F358-44E9-95E5-228B9989B120}" name="2034"/>
    <tableColumn id="32" xr3:uid="{62B1B42F-7AF5-4308-9959-4142D3B91FA3}" name="2035"/>
    <tableColumn id="33" xr3:uid="{04AE8D17-A718-4944-9958-94061E8A1CA3}" name="2036"/>
    <tableColumn id="34" xr3:uid="{8BAB51BC-B59E-4348-A19A-9586CACDD2D1}" name="2037"/>
    <tableColumn id="35" xr3:uid="{35FEFCAD-21B2-428E-8C9A-356B88EF80FD}" name="2038"/>
    <tableColumn id="36" xr3:uid="{E7F5E0C1-C6EF-4ACC-9911-52F6EEB30370}" name="2039"/>
    <tableColumn id="37" xr3:uid="{35A9B142-23CF-4CDD-944D-9B31AD649316}" name="2040"/>
    <tableColumn id="38" xr3:uid="{5C8571F2-4501-4450-8451-268718A15669}" name="2041"/>
    <tableColumn id="39" xr3:uid="{EC5B442E-80EF-4F32-A031-D20297C62298}" name="2042"/>
    <tableColumn id="40" xr3:uid="{DFFBA5D7-0B5C-4D43-A763-988C55D0C48A}" name="2043"/>
    <tableColumn id="41" xr3:uid="{DA3AFCD6-210C-49DB-B2CF-1C12C63F86DF}" name="2044"/>
    <tableColumn id="42" xr3:uid="{33527D33-06B1-401B-85F2-6D1BE32EBC71}" name="2045"/>
    <tableColumn id="43" xr3:uid="{6527AD14-D8D0-4065-AE7F-CB4055B9FE3B}" name="2046"/>
    <tableColumn id="44" xr3:uid="{4E80D2DB-436A-40D7-9837-6F6C1BA5F0D8}" name="2047"/>
    <tableColumn id="45" xr3:uid="{D402C16C-84CF-4E6A-8F8A-26F1C8BC03DD}" name="2048"/>
    <tableColumn id="46" xr3:uid="{633E3D8B-B8CA-40E5-831D-C05A062F73B7}" name="2049"/>
    <tableColumn id="47" xr3:uid="{0B3153BA-BEA1-419B-880F-FAE88DC97A6D}" name="2050"/>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F3546E7-E1E1-48E6-B0D7-D1FBE80B438F}" name="Table56" displayName="Table56" ref="A52:AU60" totalsRowShown="0">
  <tableColumns count="47">
    <tableColumn id="1" xr3:uid="{12F8C1F0-0212-4377-BD2B-CF96C67E8E60}" name="_"/>
    <tableColumn id="2" xr3:uid="{DBF87ADF-F5BE-4643-A3A3-C6AC09CA74FA}" name="2005"/>
    <tableColumn id="3" xr3:uid="{D4D4E524-0640-4A9B-B1AE-58FC0C08AFBA}" name="2006"/>
    <tableColumn id="4" xr3:uid="{81526BBB-9A97-4D6C-8147-AEA1C8492C87}" name="2007"/>
    <tableColumn id="5" xr3:uid="{6B830CE2-AAA4-447B-A031-32125189E053}" name="2008"/>
    <tableColumn id="6" xr3:uid="{1BB59268-0C7C-4152-8EAE-D2613B5C1CF2}" name="2009"/>
    <tableColumn id="7" xr3:uid="{B4D5646B-32B9-47F4-A6A5-DFBD3DC98780}" name="2010"/>
    <tableColumn id="8" xr3:uid="{E4EF6DB5-83B2-4CA9-9141-49E10978E32D}" name="2011"/>
    <tableColumn id="9" xr3:uid="{012A4B48-612D-427D-8755-4D8A99CBBAE9}" name="2012"/>
    <tableColumn id="10" xr3:uid="{8746C2C0-4943-4F70-9D3C-A7C64AB13883}" name="2013"/>
    <tableColumn id="11" xr3:uid="{FBF490C5-AECD-451E-A753-E8C4AF77AD0B}" name="2014"/>
    <tableColumn id="12" xr3:uid="{2830B780-776A-4BF5-AE7A-E50949272A26}" name="2015"/>
    <tableColumn id="13" xr3:uid="{AB42C71F-E5D6-4DAF-91E7-F88E27374F21}" name="2016"/>
    <tableColumn id="14" xr3:uid="{4506F99A-63C9-4C78-8D1B-72976562284D}" name="2017"/>
    <tableColumn id="15" xr3:uid="{47A60DAF-BA20-4119-B810-732B4DDC3EC0}" name="2018"/>
    <tableColumn id="16" xr3:uid="{FFACD52D-65C9-4FBE-84F7-AE5E8B5FF672}" name="2019"/>
    <tableColumn id="17" xr3:uid="{E1D97870-8E80-4285-A45A-C34178FE14A6}" name="2020"/>
    <tableColumn id="18" xr3:uid="{7D419E79-C8AE-4DE4-8CBA-DD51CC3DC156}" name="2021"/>
    <tableColumn id="19" xr3:uid="{D5E1342A-F41F-4099-9CB6-BDF4BEB135A8}" name="2022"/>
    <tableColumn id="20" xr3:uid="{4A73062F-1509-4169-AFBC-C168339F6502}" name="2023"/>
    <tableColumn id="21" xr3:uid="{26C00854-E5B1-49EA-9964-29920660147D}" name="2024"/>
    <tableColumn id="22" xr3:uid="{553AAA60-03DD-46B3-857C-662F1F4CD4E5}" name="2025"/>
    <tableColumn id="23" xr3:uid="{1DA76B18-9AA2-461C-A4D2-6BF32B19BE4A}" name="2026"/>
    <tableColumn id="24" xr3:uid="{5F66B02C-1BA2-46FB-9062-8278E5359189}" name="2027"/>
    <tableColumn id="25" xr3:uid="{0A72A8F4-5728-48BC-B26D-4DF38EC0A866}" name="2028"/>
    <tableColumn id="26" xr3:uid="{70AF04F0-2FDA-45C0-AE61-A68BF27745AF}" name="2029"/>
    <tableColumn id="27" xr3:uid="{58D921D9-D86A-4446-A5A7-8E85A5B2DF7F}" name="2030"/>
    <tableColumn id="28" xr3:uid="{06F0D1AD-D0D1-450C-83AF-7399A93A515A}" name="2031"/>
    <tableColumn id="29" xr3:uid="{B012F76A-CE17-435B-9311-6B21099019D4}" name="2032"/>
    <tableColumn id="30" xr3:uid="{94ADDE69-C3DB-496B-86D2-B0BAD2AE8F15}" name="2033"/>
    <tableColumn id="31" xr3:uid="{7721028E-EF71-46F8-8040-F53D71DD53BE}" name="2034"/>
    <tableColumn id="32" xr3:uid="{C47447A6-A01E-461B-85FF-BB184B7B2612}" name="2035"/>
    <tableColumn id="33" xr3:uid="{3772E17E-F0F5-4159-B3F3-3B61B475CBB0}" name="2036"/>
    <tableColumn id="34" xr3:uid="{9EFB7A08-E2CF-436A-97EF-E79A3E1C3BA5}" name="2037"/>
    <tableColumn id="35" xr3:uid="{BAE97832-1EB9-40C6-BBFA-4A97978321D7}" name="2038"/>
    <tableColumn id="36" xr3:uid="{EA3E0477-EF78-4B14-9AB9-8E360A4D5ECF}" name="2039"/>
    <tableColumn id="37" xr3:uid="{F3BDE1A6-AB22-43A1-816B-3B7727FD7F75}" name="2040"/>
    <tableColumn id="38" xr3:uid="{7FDFAFE8-2B0D-4A8B-9D1E-ED21F35A6383}" name="2041"/>
    <tableColumn id="39" xr3:uid="{7848DC9D-668B-4104-97EE-2291FE7093D3}" name="2042"/>
    <tableColumn id="40" xr3:uid="{E1E0A5ED-8B29-468B-BC34-57969D738CBF}" name="2043"/>
    <tableColumn id="41" xr3:uid="{B6895F68-CAF3-45A4-AC2E-B9FC8C15375B}" name="2044"/>
    <tableColumn id="42" xr3:uid="{822DFD5F-1AF4-4782-B055-0C67B0F2A0FC}" name="2045"/>
    <tableColumn id="43" xr3:uid="{745FACF3-BEE3-497F-9DC0-192446EC6E97}" name="2046"/>
    <tableColumn id="44" xr3:uid="{8B9D9076-AE2D-4244-975E-DA7791BD10D5}" name="2047"/>
    <tableColumn id="45" xr3:uid="{22475DF4-6720-4AEC-BA4B-3EB88802BBBA}" name="2048"/>
    <tableColumn id="46" xr3:uid="{B2EE9E1F-A04A-42AA-9428-CBF45D534A7B}" name="2049"/>
    <tableColumn id="47" xr3:uid="{A209EB9D-6E8E-40B0-8078-A425788B37DE}" name="2050"/>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C0E1DD-84BB-43F7-A7F1-89FDE587B840}" name="Table67" displayName="Table67" ref="A63:AU71" totalsRowShown="0">
  <tableColumns count="47">
    <tableColumn id="1" xr3:uid="{A3845F39-EF84-45D2-8640-085808DCF458}" name="_"/>
    <tableColumn id="2" xr3:uid="{3526C260-6514-45BB-963A-EC9B897DF056}" name="2005"/>
    <tableColumn id="3" xr3:uid="{A7F1F9BA-BC5C-4C3E-B029-C0F74CB5CF7B}" name="2006"/>
    <tableColumn id="4" xr3:uid="{F3AF998C-C870-4895-88F1-789F7F032496}" name="2007"/>
    <tableColumn id="5" xr3:uid="{E99E141E-2A46-423C-924D-7080F7F0FD79}" name="2008"/>
    <tableColumn id="6" xr3:uid="{BBC0B9C8-9F16-4574-9826-E39EA70A33BF}" name="2009"/>
    <tableColumn id="7" xr3:uid="{C7523DE9-875E-45D2-A3D7-B2C50AE12D82}" name="2010"/>
    <tableColumn id="8" xr3:uid="{CB3E3221-ABED-452B-8E24-BE5E8E1B1813}" name="2011"/>
    <tableColumn id="9" xr3:uid="{B7D33FC4-7263-4CE3-8599-D7FE6814FAE9}" name="2012"/>
    <tableColumn id="10" xr3:uid="{966AA3FA-02C5-4714-8F82-BE7167D7DDF1}" name="2013"/>
    <tableColumn id="11" xr3:uid="{3284DFF9-24CA-4ACA-A3A6-53BD2EE8E607}" name="2014"/>
    <tableColumn id="12" xr3:uid="{567E8496-0CEC-462B-B836-B3C793BBD57B}" name="2015"/>
    <tableColumn id="13" xr3:uid="{24C98FB4-6178-4C5D-AF16-9920247646E6}" name="2016"/>
    <tableColumn id="14" xr3:uid="{E4BA665D-0C70-48FF-B3D4-25B188EDB34F}" name="2017"/>
    <tableColumn id="15" xr3:uid="{575F8780-BE1A-4DB9-B114-220D55E029E6}" name="2018"/>
    <tableColumn id="16" xr3:uid="{05C61634-0D6E-4B4B-A8AE-C465F2BF7633}" name="2019"/>
    <tableColumn id="17" xr3:uid="{CAE30925-7E24-4615-8342-7F9684934ABB}" name="2020"/>
    <tableColumn id="18" xr3:uid="{FA278D08-2DC9-42F1-90BB-872048DB9187}" name="2021"/>
    <tableColumn id="19" xr3:uid="{3BAFABD1-A3D1-4E10-A424-4588245BE1C2}" name="2022"/>
    <tableColumn id="20" xr3:uid="{7C489581-8C0A-4715-8F45-94800B51FE1D}" name="2023"/>
    <tableColumn id="21" xr3:uid="{B921BD14-A38F-4712-B3D5-F27808E5C073}" name="2024"/>
    <tableColumn id="22" xr3:uid="{90DF2B59-4200-47AA-9369-0ACF0F929A0A}" name="2025"/>
    <tableColumn id="23" xr3:uid="{81C6A36F-DA14-4A11-AFE9-0039775FA3C6}" name="2026"/>
    <tableColumn id="24" xr3:uid="{85BFD656-9762-499B-9536-82EFE42601C4}" name="2027"/>
    <tableColumn id="25" xr3:uid="{7AD2559D-DAC2-4475-8B64-EB820E0ED36B}" name="2028"/>
    <tableColumn id="26" xr3:uid="{FA445866-77A2-4771-A0F2-DECE293E9F3D}" name="2029"/>
    <tableColumn id="27" xr3:uid="{80108D80-0326-4F27-9434-1BC116D6791A}" name="2030"/>
    <tableColumn id="28" xr3:uid="{1A08551C-2CC3-4A1F-9F00-1348504BCE61}" name="2031"/>
    <tableColumn id="29" xr3:uid="{87CCC0EC-0232-4845-8AE5-6420501FC95F}" name="2032"/>
    <tableColumn id="30" xr3:uid="{62CC47E9-F793-4929-A1C7-D02C664DCBF0}" name="2033"/>
    <tableColumn id="31" xr3:uid="{DDBF19FA-1DCC-49DF-834E-7394078C003B}" name="2034"/>
    <tableColumn id="32" xr3:uid="{F58CE225-E540-466A-94C1-389C73036F02}" name="2035"/>
    <tableColumn id="33" xr3:uid="{9C07D536-8BC5-4D96-B2CA-BFAFDCB8695D}" name="2036"/>
    <tableColumn id="34" xr3:uid="{30B44968-D6DA-4676-B023-31B097F9AE34}" name="2037"/>
    <tableColumn id="35" xr3:uid="{FDF244DF-4BC8-4BF3-AC5E-B5931083CFC2}" name="2038"/>
    <tableColumn id="36" xr3:uid="{F8528280-4C57-458D-B5B3-CBE00ACEB767}" name="2039"/>
    <tableColumn id="37" xr3:uid="{E60DCF81-86F1-49FE-A820-13A27D3B522F}" name="2040"/>
    <tableColumn id="38" xr3:uid="{3418B039-7432-4671-B86E-82C12E0085E7}" name="2041"/>
    <tableColumn id="39" xr3:uid="{316428C8-3D15-4227-A93C-D44E60353D2D}" name="2042"/>
    <tableColumn id="40" xr3:uid="{BCB6D1A5-B04A-43B0-BD8C-08D7A28DD091}" name="2043"/>
    <tableColumn id="41" xr3:uid="{B9F925DB-5797-4683-BFED-A6F3AFD291A4}" name="2044"/>
    <tableColumn id="42" xr3:uid="{D4B3B612-B91B-4281-AEC5-0CBFF6290CE1}" name="2045"/>
    <tableColumn id="43" xr3:uid="{63BC8864-2A2E-4F85-A17D-40AA3C5C2802}" name="2046"/>
    <tableColumn id="44" xr3:uid="{0A304B2A-755D-404E-B784-5CAD51247D13}" name="2047"/>
    <tableColumn id="45" xr3:uid="{CA549E45-26BD-4391-A747-A9290C856934}" name="2048"/>
    <tableColumn id="46" xr3:uid="{A8ED6ACD-42B6-43ED-9B44-72BC4CF72FE9}" name="2049"/>
    <tableColumn id="47" xr3:uid="{2897BBC9-43C0-46DB-BD54-423EE7E24CB7}" name="2050"/>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F885A55-12F3-41C2-B7AA-AE05F38E3B52}" name="Table78" displayName="Table78" ref="A74:AU82" totalsRowShown="0">
  <tableColumns count="47">
    <tableColumn id="1" xr3:uid="{09DED3B3-44F5-4EAF-BD92-2837F23903A8}" name="_"/>
    <tableColumn id="2" xr3:uid="{EAB16325-ED50-4E19-A35F-FE9DE495DC59}" name="2005"/>
    <tableColumn id="3" xr3:uid="{C7DF52B8-40CA-4248-A857-A05EAFA107DF}" name="2006"/>
    <tableColumn id="4" xr3:uid="{93812D11-5FF4-4815-8ABE-545B998D982C}" name="2007"/>
    <tableColumn id="5" xr3:uid="{C81785A7-DA38-4BBD-AF4F-06F25BC0FC3E}" name="2008"/>
    <tableColumn id="6" xr3:uid="{CCB918CC-8B80-4FD7-9B67-CF22DE551B63}" name="2009"/>
    <tableColumn id="7" xr3:uid="{21C866DC-550F-4403-834C-467D99D43D21}" name="2010"/>
    <tableColumn id="8" xr3:uid="{17E9A8A1-BC81-4569-9AF2-1BBBB323F3DE}" name="2011"/>
    <tableColumn id="9" xr3:uid="{F0EB253D-08DC-49DE-9FC4-982740EA65E1}" name="2012"/>
    <tableColumn id="10" xr3:uid="{D2D6F841-DA60-4896-8F1E-F6EBB3AAF803}" name="2013"/>
    <tableColumn id="11" xr3:uid="{B5EA8C4A-2CBA-4FD3-B8C0-AD135FCAEAC3}" name="2014"/>
    <tableColumn id="12" xr3:uid="{D383B640-8681-427B-AD2B-1636504DDAEA}" name="2015"/>
    <tableColumn id="13" xr3:uid="{34069D5C-F450-4AD0-987F-A8D2FFCEFD2C}" name="2016"/>
    <tableColumn id="14" xr3:uid="{60FEC62D-2146-4D87-90EB-6A4577768699}" name="2017"/>
    <tableColumn id="15" xr3:uid="{1E2BF703-43BC-4435-A1BD-5F395BE9C388}" name="2018"/>
    <tableColumn id="16" xr3:uid="{C33609F5-94C0-4E44-B999-7C192CE70F0A}" name="2019"/>
    <tableColumn id="17" xr3:uid="{81FE305C-1F1F-45CD-838E-14CAF7681340}" name="2020"/>
    <tableColumn id="18" xr3:uid="{A54BC935-9904-4CA2-985A-A224B581CC01}" name="2021"/>
    <tableColumn id="19" xr3:uid="{3D1D45AB-5DD3-4597-A1C5-6A4334C1D0F5}" name="2022"/>
    <tableColumn id="20" xr3:uid="{55146D90-C55D-4D4D-A229-856BB349759D}" name="2023"/>
    <tableColumn id="21" xr3:uid="{D81FE8D0-B37C-4A16-8532-6D5970E5C14F}" name="2024"/>
    <tableColumn id="22" xr3:uid="{DD2C9C40-CA2C-4E6C-94F7-D34FC8100CCA}" name="2025"/>
    <tableColumn id="23" xr3:uid="{40287A4F-7F44-4A11-99EA-A421F06B7D7B}" name="2026"/>
    <tableColumn id="24" xr3:uid="{EF9861EC-E60E-4C99-AA59-FF7B503366A1}" name="2027"/>
    <tableColumn id="25" xr3:uid="{7EB3CB2A-7F98-4826-A29B-6244411F66BF}" name="2028"/>
    <tableColumn id="26" xr3:uid="{D4CFC272-C4B2-4B01-B827-F8546FE9284B}" name="2029"/>
    <tableColumn id="27" xr3:uid="{8804E692-1C5E-4B43-8D1C-6EFFCFC5BBE9}" name="2030"/>
    <tableColumn id="28" xr3:uid="{ECCA602F-5478-4862-B7A7-37251A2AEE4D}" name="2031"/>
    <tableColumn id="29" xr3:uid="{11906722-D049-4241-A0E2-1F5292D9C43A}" name="2032"/>
    <tableColumn id="30" xr3:uid="{E6FA0934-281A-4448-9D13-46C787F61E82}" name="2033"/>
    <tableColumn id="31" xr3:uid="{52A1B18A-0A26-4635-8554-0BF2C9E6C0BF}" name="2034"/>
    <tableColumn id="32" xr3:uid="{22191478-81E1-4F71-A8E4-9647508BB50F}" name="2035"/>
    <tableColumn id="33" xr3:uid="{C618635D-52E2-4E08-9D6C-2DA73F6C1297}" name="2036"/>
    <tableColumn id="34" xr3:uid="{72CC1570-7786-4835-B8F9-85B601348A10}" name="2037"/>
    <tableColumn id="35" xr3:uid="{F7DDC27A-39D9-47D3-B98F-E1ED55133842}" name="2038"/>
    <tableColumn id="36" xr3:uid="{751DC884-BF74-4EDD-8680-4114708E2F23}" name="2039"/>
    <tableColumn id="37" xr3:uid="{58C16FB8-D938-4130-AC6A-D525F545A0E7}" name="2040"/>
    <tableColumn id="38" xr3:uid="{737ECCC1-F5B6-44D8-A96B-F2F567E7B1CF}" name="2041"/>
    <tableColumn id="39" xr3:uid="{E2461866-8992-4004-8CEC-464CCB33B941}" name="2042"/>
    <tableColumn id="40" xr3:uid="{4ABC7D28-8291-4AE7-A3DA-CF0A63B74ECE}" name="2043"/>
    <tableColumn id="41" xr3:uid="{D022210E-FBE1-4FF4-A267-ABA2A119EA3A}" name="2044"/>
    <tableColumn id="42" xr3:uid="{EE3D22E5-AC4A-4C4C-941A-611D84D4EFA7}" name="2045"/>
    <tableColumn id="43" xr3:uid="{5D71A468-6E1F-4A33-8E11-26AAF2783F74}" name="2046"/>
    <tableColumn id="44" xr3:uid="{B1B32218-7523-4D44-BB2E-D5FF997BF97F}" name="2047"/>
    <tableColumn id="45" xr3:uid="{1902553C-FAE9-4165-AC73-EF4D976016E7}" name="2048"/>
    <tableColumn id="46" xr3:uid="{06020F34-2681-445A-B99B-C532940513DF}" name="2049"/>
    <tableColumn id="47" xr3:uid="{9ECB3D22-2A79-4A01-80D9-06BE480DF3BD}" name="2050"/>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CBF14AB-9945-4EDA-B6DA-932645884F7F}" name="Table89" displayName="Table89" ref="A85:AU93" totalsRowShown="0">
  <tableColumns count="47">
    <tableColumn id="1" xr3:uid="{E6C9877C-6FFC-4BAF-ACFE-E794304418E9}" name="_"/>
    <tableColumn id="2" xr3:uid="{702D9E80-6B0E-4FBF-AAC7-299CC297F67C}" name="2005"/>
    <tableColumn id="3" xr3:uid="{AED2ADE2-E2E8-4F04-A531-289DC8362D80}" name="2006"/>
    <tableColumn id="4" xr3:uid="{120A5E2C-BCCD-4C38-A00C-FDD8EC8E3169}" name="2007"/>
    <tableColumn id="5" xr3:uid="{DC2B029E-D555-4EC6-A834-374F09DFDF01}" name="2008"/>
    <tableColumn id="6" xr3:uid="{E426BA34-04CF-4C64-B8C9-71FDD44EE69B}" name="2009"/>
    <tableColumn id="7" xr3:uid="{D14C6A85-FD4C-4A75-B083-AD74DE328B2A}" name="2010"/>
    <tableColumn id="8" xr3:uid="{23A162C4-5480-4335-A6FA-3C11C190D8AB}" name="2011"/>
    <tableColumn id="9" xr3:uid="{77B7E413-ABFF-4330-8E59-D0B831BAD2E6}" name="2012"/>
    <tableColumn id="10" xr3:uid="{AF814BEA-5916-46F5-ACA2-AA0C084DADC2}" name="2013"/>
    <tableColumn id="11" xr3:uid="{7E3A1C98-DEE8-48E7-A30A-594C5BFBB618}" name="2014"/>
    <tableColumn id="12" xr3:uid="{78DA565D-3DDE-44EA-8DB6-B38D198C1A7C}" name="2015"/>
    <tableColumn id="13" xr3:uid="{6F17D1DE-2AB5-451A-A1D4-688990DC1663}" name="2016"/>
    <tableColumn id="14" xr3:uid="{E52E5053-242B-4E91-A87A-442D43DA0F22}" name="2017"/>
    <tableColumn id="15" xr3:uid="{9C419D3B-C222-491C-8C34-01EBEA2F8839}" name="2018"/>
    <tableColumn id="16" xr3:uid="{EFBD707A-8C8F-4E6E-9AFA-C5897B3A0592}" name="2019"/>
    <tableColumn id="17" xr3:uid="{F2B6A5E9-3E63-4745-B902-5E5BF0D62875}" name="2020"/>
    <tableColumn id="18" xr3:uid="{F3B0D696-4B81-4396-B88F-E701A2B11693}" name="2021"/>
    <tableColumn id="19" xr3:uid="{87E7C6AF-AC13-476F-84E5-4D78745CA7B3}" name="2022"/>
    <tableColumn id="20" xr3:uid="{94D0E07F-63C5-41ED-A9D7-9F26C5A70F21}" name="2023"/>
    <tableColumn id="21" xr3:uid="{E49CAC02-A5C5-4EA1-8DCB-E65451FF5F5E}" name="2024"/>
    <tableColumn id="22" xr3:uid="{D5827FB4-4356-440E-9B22-39B112E82276}" name="2025"/>
    <tableColumn id="23" xr3:uid="{7E5020C2-AF8B-4C10-B7C9-F43C90A627BE}" name="2026"/>
    <tableColumn id="24" xr3:uid="{7795451B-E35A-4738-AA79-AEFB64C06421}" name="2027"/>
    <tableColumn id="25" xr3:uid="{2293EB8B-C12C-46D1-B960-84CB8EEF27A0}" name="2028"/>
    <tableColumn id="26" xr3:uid="{2BF00FB0-3206-45F7-BC70-580AB3403DB1}" name="2029"/>
    <tableColumn id="27" xr3:uid="{183B902E-E65C-4F2A-9A9B-DBFA3574BB45}" name="2030"/>
    <tableColumn id="28" xr3:uid="{E5C665B9-2DF7-43BD-B381-45F3FE53D64A}" name="2031"/>
    <tableColumn id="29" xr3:uid="{339CEB51-ABEA-4E95-B6C2-57D2A332F8F7}" name="2032"/>
    <tableColumn id="30" xr3:uid="{B9BBCA73-ECF9-420F-A4D9-8DFF11E965E5}" name="2033"/>
    <tableColumn id="31" xr3:uid="{72024DC8-61BB-4EB0-BD4B-C7EA775A21E2}" name="2034"/>
    <tableColumn id="32" xr3:uid="{1C222140-01A4-492E-866A-46DE4C455F2D}" name="2035"/>
    <tableColumn id="33" xr3:uid="{3C579D49-B24D-485B-ADFB-158A8AD949F1}" name="2036"/>
    <tableColumn id="34" xr3:uid="{7F80E028-EE79-426B-B9C6-F2A634488258}" name="2037"/>
    <tableColumn id="35" xr3:uid="{A1170F9A-F33A-4819-9964-227C4A55C329}" name="2038"/>
    <tableColumn id="36" xr3:uid="{DD3FED5F-1F6D-434A-9077-4F787A66DB34}" name="2039"/>
    <tableColumn id="37" xr3:uid="{5DB0131D-3699-47A1-909D-911302EB3F95}" name="2040"/>
    <tableColumn id="38" xr3:uid="{BF25E3FE-BF65-4456-907B-EE3D0EA91038}" name="2041"/>
    <tableColumn id="39" xr3:uid="{6AA0AD12-FC2B-4000-9E8C-18B614608F0E}" name="2042"/>
    <tableColumn id="40" xr3:uid="{65760D52-A0E5-4924-8EF8-701CE091B693}" name="2043"/>
    <tableColumn id="41" xr3:uid="{CF05F06F-50DA-4D9B-9AC3-C994CD9B2577}" name="2044"/>
    <tableColumn id="42" xr3:uid="{578E141C-0B9F-466E-8AEC-B351865C9F06}" name="2045"/>
    <tableColumn id="43" xr3:uid="{F6A797D3-7BE5-4625-83A4-92DE4DC86F67}" name="2046"/>
    <tableColumn id="44" xr3:uid="{7295D837-0B71-44AB-A7C9-1BA5DC94AD3A}" name="2047"/>
    <tableColumn id="45" xr3:uid="{5579C412-9D55-428F-A326-B4DB20263960}" name="2048"/>
    <tableColumn id="46" xr3:uid="{B278E566-9302-439C-9AF4-60EB63DF50AF}" name="2049"/>
    <tableColumn id="47" xr3:uid="{54599D6C-A9AF-4CA0-8242-2228D4636DA6}" name="2050"/>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9EA34C3-7681-4BA1-B9F2-D888F98133FE}" name="Table910" displayName="Table910" ref="A96:AU104" totalsRowShown="0">
  <tableColumns count="47">
    <tableColumn id="1" xr3:uid="{3501A67A-B1D3-4726-A9E7-B627D676F176}" name="_"/>
    <tableColumn id="2" xr3:uid="{71B84935-9CE5-4B5E-8199-EFA9FA9FEECD}" name="2005"/>
    <tableColumn id="3" xr3:uid="{CFE9C6A8-472F-4D07-916B-57EAC1A463A6}" name="2006"/>
    <tableColumn id="4" xr3:uid="{89184E99-3366-41FE-AE66-D6A20F2232B1}" name="2007"/>
    <tableColumn id="5" xr3:uid="{5ED45F31-1934-417A-BBBA-41300F6A5437}" name="2008"/>
    <tableColumn id="6" xr3:uid="{81FC4D54-BA66-430C-AC12-DAAA79B98ACA}" name="2009"/>
    <tableColumn id="7" xr3:uid="{1DA15D68-2D45-4258-A3D6-B6062C73084A}" name="2010"/>
    <tableColumn id="8" xr3:uid="{1DBC23F8-13C8-4D46-9620-45AEF195862E}" name="2011"/>
    <tableColumn id="9" xr3:uid="{464A5FA8-C011-4457-967A-208CF39067FF}" name="2012"/>
    <tableColumn id="10" xr3:uid="{F181D06E-E18E-4B21-BAC7-D4D1B73497FB}" name="2013"/>
    <tableColumn id="11" xr3:uid="{312D9229-4A7C-4284-A494-38945BC21052}" name="2014"/>
    <tableColumn id="12" xr3:uid="{32CA0928-9495-4A87-8CA0-11AFDCDA6702}" name="2015"/>
    <tableColumn id="13" xr3:uid="{612A6AE2-3F3C-41AE-A0A0-F989D7911375}" name="2016"/>
    <tableColumn id="14" xr3:uid="{46AC985E-7237-4865-BB31-64C4D3237509}" name="2017"/>
    <tableColumn id="15" xr3:uid="{CBB5C77B-9898-4CB5-BEC9-6BE2E156C2B5}" name="2018"/>
    <tableColumn id="16" xr3:uid="{10A7DF98-EBC2-49E8-84A9-ED13B6F1FB89}" name="2019"/>
    <tableColumn id="17" xr3:uid="{7CFD6766-237E-4932-890A-053C62226276}" name="2020"/>
    <tableColumn id="18" xr3:uid="{E089E9A1-8356-4E8A-BDBD-3CE37146DEE1}" name="2021"/>
    <tableColumn id="19" xr3:uid="{EF67EB57-0A7F-49CA-B6A0-98772DB838A5}" name="2022"/>
    <tableColumn id="20" xr3:uid="{E4A06052-55B3-4BD1-A61A-352C6D70FF8A}" name="2023"/>
    <tableColumn id="21" xr3:uid="{CC1C4CA7-A8E6-4745-B2CC-7E393C4B343C}" name="2024"/>
    <tableColumn id="22" xr3:uid="{21E39C72-47E2-456E-A399-A45125FAD3B6}" name="2025"/>
    <tableColumn id="23" xr3:uid="{570EBD0A-42D1-411D-8BCC-34BC9C684B64}" name="2026"/>
    <tableColumn id="24" xr3:uid="{4D37060D-2A76-432E-B3CC-17E32409D503}" name="2027"/>
    <tableColumn id="25" xr3:uid="{E11B3242-FB12-41DA-8137-59C93A325BCD}" name="2028"/>
    <tableColumn id="26" xr3:uid="{A2AEFB58-16EC-4658-ABA4-9F5D2DF1DC3B}" name="2029"/>
    <tableColumn id="27" xr3:uid="{4BE8AECE-733C-4666-9E78-C5FE4DC1C0A9}" name="2030"/>
    <tableColumn id="28" xr3:uid="{9F319C1A-2D2B-4868-BFB4-5AE1E8633878}" name="2031"/>
    <tableColumn id="29" xr3:uid="{3251F24A-CF8B-4002-B302-D28608E08325}" name="2032"/>
    <tableColumn id="30" xr3:uid="{33158273-1C02-4A9B-8014-FB38E9AFAFA9}" name="2033"/>
    <tableColumn id="31" xr3:uid="{37E9F69C-30D7-4207-8945-EAB0F66DFB3C}" name="2034"/>
    <tableColumn id="32" xr3:uid="{13BA7631-B346-4E59-8DC3-BC909F35017F}" name="2035"/>
    <tableColumn id="33" xr3:uid="{CDABE20F-BC34-4C00-8B47-31ADD23EBA0D}" name="2036"/>
    <tableColumn id="34" xr3:uid="{5B94F176-BC61-4795-B8EB-60CA9EA8C540}" name="2037"/>
    <tableColumn id="35" xr3:uid="{AFED7D11-0446-4DC8-AF5B-CF1A757A8272}" name="2038"/>
    <tableColumn id="36" xr3:uid="{D5747C13-C7A3-4E3B-8E58-C4ED4EFB5F19}" name="2039"/>
    <tableColumn id="37" xr3:uid="{F42C8DD3-1603-4019-B757-21729BC9A2B2}" name="2040"/>
    <tableColumn id="38" xr3:uid="{54AFB619-48C0-49D2-B95A-3C965EC5B60C}" name="2041"/>
    <tableColumn id="39" xr3:uid="{71ED12D0-1FA0-4623-8E1D-1CAA83A721E5}" name="2042"/>
    <tableColumn id="40" xr3:uid="{6AABC531-4B01-4EC8-AD79-80CFB48AA454}" name="2043"/>
    <tableColumn id="41" xr3:uid="{EAD4DF0E-47D4-4FA1-9B1F-9CD194842474}" name="2044"/>
    <tableColumn id="42" xr3:uid="{C81D07BD-ED4D-4B2E-A559-D1AF15BA3D64}" name="2045"/>
    <tableColumn id="43" xr3:uid="{1004636E-5516-4D1E-A3CF-0B9BF25CCB1A}" name="2046"/>
    <tableColumn id="44" xr3:uid="{BEF4316B-AB7C-46E9-8689-6E0EC5F9E260}" name="2047"/>
    <tableColumn id="45" xr3:uid="{A46FDB82-B872-43AB-B5DA-34D635C8CFB9}" name="2048"/>
    <tableColumn id="46" xr3:uid="{01DFF837-8C38-4E63-8F07-D2D3D13F6FB4}" name="2049"/>
    <tableColumn id="47" xr3:uid="{8F91E0E5-2C56-402C-8757-4421DF40FD36}" name="2050"/>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10C1377-A17C-4477-AD50-17949DBF1F86}" name="Table1011" displayName="Table1011" ref="A107:AU115" totalsRowShown="0">
  <tableColumns count="47">
    <tableColumn id="1" xr3:uid="{81EF4FAA-67A6-4EFB-8A85-D5FBFE48D25A}" name="_"/>
    <tableColumn id="2" xr3:uid="{3754C870-685C-44E5-9B3B-C244525C0D2C}" name="2005"/>
    <tableColumn id="3" xr3:uid="{CCA2AEFB-A86E-46DC-B7D1-2228783F14D9}" name="2006"/>
    <tableColumn id="4" xr3:uid="{E5064CF3-E81A-47E6-BA63-5AB0E6FFBEC7}" name="2007"/>
    <tableColumn id="5" xr3:uid="{93AE2B5B-3751-4E3E-A5AC-B41D4D2CA64C}" name="2008"/>
    <tableColumn id="6" xr3:uid="{4E1B7197-A1B4-4033-947D-D502192C544D}" name="2009"/>
    <tableColumn id="7" xr3:uid="{97918D7C-AAFC-4604-841E-289EB24088E8}" name="2010"/>
    <tableColumn id="8" xr3:uid="{13C5896D-760C-4AE1-A5EC-A2EB232E71A8}" name="2011"/>
    <tableColumn id="9" xr3:uid="{71975D4F-F564-4EBB-90F3-B164E7963E41}" name="2012"/>
    <tableColumn id="10" xr3:uid="{A4B5E1BB-D6B0-41E4-AA7B-B0AE94B43366}" name="2013"/>
    <tableColumn id="11" xr3:uid="{C13CABDE-47A3-4313-B086-7C69ACF758B9}" name="2014"/>
    <tableColumn id="12" xr3:uid="{9726FA20-C139-45AF-AC97-63570BEF24A6}" name="2015"/>
    <tableColumn id="13" xr3:uid="{88692BB6-3CC7-4F90-BEFB-760CC3A486D1}" name="2016"/>
    <tableColumn id="14" xr3:uid="{BF3CAECF-BF83-4393-9BAF-6438529231A4}" name="2017"/>
    <tableColumn id="15" xr3:uid="{C300A0A3-A592-4472-AADA-A9802F4CA708}" name="2018"/>
    <tableColumn id="16" xr3:uid="{556D8458-431A-4CB4-977C-520EF0F573F3}" name="2019"/>
    <tableColumn id="17" xr3:uid="{86B7C275-FBAE-4B3B-A66C-C8E4F529E8B3}" name="2020"/>
    <tableColumn id="18" xr3:uid="{104B25FF-18A7-49E1-AC71-3830B70F23F6}" name="2021"/>
    <tableColumn id="19" xr3:uid="{0C933AF4-C11A-470A-A9C6-D48D4557AB67}" name="2022"/>
    <tableColumn id="20" xr3:uid="{C13922B9-3B40-45E8-A5D9-FE1034FA42FC}" name="2023"/>
    <tableColumn id="21" xr3:uid="{192C5C4C-F461-4AF0-843D-5768309B6BCD}" name="2024"/>
    <tableColumn id="22" xr3:uid="{63EF9BCA-6442-42EA-8338-F136E5825184}" name="2025"/>
    <tableColumn id="23" xr3:uid="{A377EA6C-177B-47C9-929E-FE0206D35121}" name="2026"/>
    <tableColumn id="24" xr3:uid="{DAB729C0-2BED-4DEC-8DCD-58B6CD28076F}" name="2027"/>
    <tableColumn id="25" xr3:uid="{B58BE2C4-CF94-4445-BA3E-E006688BBF7C}" name="2028"/>
    <tableColumn id="26" xr3:uid="{DEA2E86C-4B8B-4B00-B7DC-2D48B9D293CA}" name="2029"/>
    <tableColumn id="27" xr3:uid="{629480BF-7E7A-49ED-B4C3-C80A0CEF7687}" name="2030"/>
    <tableColumn id="28" xr3:uid="{EA4F2D69-9567-4C12-BD39-43EEE36B4761}" name="2031"/>
    <tableColumn id="29" xr3:uid="{3039C56F-8AD4-4F5C-A735-4B66B2C88C77}" name="2032"/>
    <tableColumn id="30" xr3:uid="{C8B734E6-649D-4D9F-B964-2F21734B29BE}" name="2033"/>
    <tableColumn id="31" xr3:uid="{CE2D382F-9DD2-4BAF-A440-F0B7430AEB65}" name="2034"/>
    <tableColumn id="32" xr3:uid="{C27C1B58-32D0-480D-AB5F-B65C0E55423C}" name="2035"/>
    <tableColumn id="33" xr3:uid="{C1EA8033-D7B4-4E01-BD18-2A4BB8DEE6FE}" name="2036"/>
    <tableColumn id="34" xr3:uid="{194678AC-1CD7-46E3-90B7-A8C37ADB8533}" name="2037"/>
    <tableColumn id="35" xr3:uid="{F2331E3B-6799-4322-885A-9059075666BD}" name="2038"/>
    <tableColumn id="36" xr3:uid="{5A783F2B-8EDE-46FC-81F2-E96C2CAF3171}" name="2039"/>
    <tableColumn id="37" xr3:uid="{75C96184-06D2-4BE7-8334-4519EF3DB66C}" name="2040"/>
    <tableColumn id="38" xr3:uid="{9B75807A-0EEE-4A30-9BA0-54D5BE009A67}" name="2041"/>
    <tableColumn id="39" xr3:uid="{EFFE0CB0-D27C-4C92-8247-50126C4C0DB2}" name="2042"/>
    <tableColumn id="40" xr3:uid="{6AD183F0-78EC-4D80-8082-8A2B90B153D8}" name="2043"/>
    <tableColumn id="41" xr3:uid="{2244013A-1D80-48B9-ABDA-F189F5C08985}" name="2044"/>
    <tableColumn id="42" xr3:uid="{1AF23992-4182-4773-9A7F-EF4591A56811}" name="2045"/>
    <tableColumn id="43" xr3:uid="{974BA4B9-7AE6-464F-946A-180E9BF9F56C}" name="2046"/>
    <tableColumn id="44" xr3:uid="{48D46824-CB23-4234-B06A-4170CA763089}" name="2047"/>
    <tableColumn id="45" xr3:uid="{2A9F61E9-2DC2-40FB-84E9-E4F3CB6763C0}" name="2048"/>
    <tableColumn id="46" xr3:uid="{5590B834-14A0-4C3F-ADC0-C06A52EDF442}" name="2049"/>
    <tableColumn id="47" xr3:uid="{9AF27D24-C5BA-45CC-85FB-F45D30837003}" name="2050"/>
  </tableColumns>
  <tableStyleInfo name="TableStyleLight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B23B5CAF-89B3-4EB2-A0A8-7BD96CC30C34}" name="Table1112" displayName="Table1112" ref="A118:AU126" totalsRowShown="0">
  <tableColumns count="47">
    <tableColumn id="1" xr3:uid="{2319E368-F0AD-4BEC-919B-887A174480BC}" name="_"/>
    <tableColumn id="2" xr3:uid="{5D20544B-D621-4AF6-9FD2-5C09F7E827FF}" name="2005"/>
    <tableColumn id="3" xr3:uid="{B9EA2AB7-8209-4643-95F1-C05E794B6FE6}" name="2006"/>
    <tableColumn id="4" xr3:uid="{25B8A1A9-11FB-49C9-9F7A-6AA234771DFE}" name="2007"/>
    <tableColumn id="5" xr3:uid="{5D4BDB48-0D74-4B4E-B959-03D0357FE5C4}" name="2008"/>
    <tableColumn id="6" xr3:uid="{C972CCE8-D7D8-400B-920B-78DFA0B16ABA}" name="2009"/>
    <tableColumn id="7" xr3:uid="{4988BF7A-913D-4C61-829B-E832EECB9DC8}" name="2010"/>
    <tableColumn id="8" xr3:uid="{0DE832E6-1739-4C46-B837-FD053E841A08}" name="2011"/>
    <tableColumn id="9" xr3:uid="{C7B8E8F8-1C6C-45B3-A590-9E5A517B686C}" name="2012"/>
    <tableColumn id="10" xr3:uid="{7E376472-E023-482B-A933-D661C4E2CA43}" name="2013"/>
    <tableColumn id="11" xr3:uid="{9FACC797-BEAB-47BD-AB0C-C0C20D840779}" name="2014"/>
    <tableColumn id="12" xr3:uid="{BC1FA472-CCC6-4D30-B4D4-AC734260414F}" name="2015"/>
    <tableColumn id="13" xr3:uid="{C8FE822B-F0E8-436B-B8C1-9B2160ADD692}" name="2016"/>
    <tableColumn id="14" xr3:uid="{035AA21B-45F7-4A1E-83C7-28ED2BD8989F}" name="2017"/>
    <tableColumn id="15" xr3:uid="{B0A6FE49-D5EB-47B7-B86F-F01EDE746DF0}" name="2018"/>
    <tableColumn id="16" xr3:uid="{779E3989-E438-440D-985F-102F870EA5D1}" name="2019"/>
    <tableColumn id="17" xr3:uid="{777B93F8-250C-4B16-A61A-03EB8CB16959}" name="2020"/>
    <tableColumn id="18" xr3:uid="{2858D6A2-95CA-4FBC-9E09-15F71F214446}" name="2021"/>
    <tableColumn id="19" xr3:uid="{A955F2D4-F6E5-473C-A19E-5E3C887DC606}" name="2022"/>
    <tableColumn id="20" xr3:uid="{B87970BE-38E5-481B-B83B-55F30BC4FD39}" name="2023"/>
    <tableColumn id="21" xr3:uid="{A6ACDBAE-2BC8-46DB-A1BE-8CFD13B418C4}" name="2024"/>
    <tableColumn id="22" xr3:uid="{91527C9F-9613-4486-8700-9AFB0E3B794E}" name="2025"/>
    <tableColumn id="23" xr3:uid="{E642DCBD-5951-45D6-9EFB-B5306B3020C7}" name="2026"/>
    <tableColumn id="24" xr3:uid="{0B7F9041-9447-4D1E-BF4D-6E8A17314BB5}" name="2027"/>
    <tableColumn id="25" xr3:uid="{243C7539-2D9E-4975-9581-4859DD8BA804}" name="2028"/>
    <tableColumn id="26" xr3:uid="{8A43B852-3473-4212-8974-A5C16CC01C60}" name="2029"/>
    <tableColumn id="27" xr3:uid="{B093417C-0197-4096-8348-BAEF41B56447}" name="2030"/>
    <tableColumn id="28" xr3:uid="{DEA8A515-A8BF-4B0A-BA4A-F9D6DF047B6E}" name="2031"/>
    <tableColumn id="29" xr3:uid="{AC880846-F0D3-4288-B551-DE85DDDAA69B}" name="2032"/>
    <tableColumn id="30" xr3:uid="{8A0706AF-17F5-4A43-AD27-38447F7BE351}" name="2033"/>
    <tableColumn id="31" xr3:uid="{840527C1-2F65-4411-A724-A0BC0B3B87C2}" name="2034"/>
    <tableColumn id="32" xr3:uid="{6D9A9FF9-6D03-4D1E-B031-0E0ED644686D}" name="2035"/>
    <tableColumn id="33" xr3:uid="{D100D578-2E21-4A80-ACE3-92BE2DD5C85A}" name="2036"/>
    <tableColumn id="34" xr3:uid="{9FE2893B-0DB5-48A7-BDC4-21581B25B69B}" name="2037"/>
    <tableColumn id="35" xr3:uid="{40E986B6-A3B3-4C99-B0C7-9168E43BD0C2}" name="2038"/>
    <tableColumn id="36" xr3:uid="{E0144A83-88AE-4972-A999-E906F7DB23A0}" name="2039"/>
    <tableColumn id="37" xr3:uid="{814CC805-63ED-413C-AB8F-F62C0B42E36A}" name="2040"/>
    <tableColumn id="38" xr3:uid="{2D5A4ABD-42C2-4839-A154-4839B938E8C1}" name="2041"/>
    <tableColumn id="39" xr3:uid="{CB09F47B-4471-4902-85B6-A3FB582FD243}" name="2042"/>
    <tableColumn id="40" xr3:uid="{88B8D1C4-441D-4E49-BEFC-F4BB755333B3}" name="2043"/>
    <tableColumn id="41" xr3:uid="{87EC6551-4E56-48F4-8D76-7BA2F1B5FBE9}" name="2044"/>
    <tableColumn id="42" xr3:uid="{D7204D9B-8A42-41AC-8CEB-34A056EB76B9}" name="2045"/>
    <tableColumn id="43" xr3:uid="{37BD05CA-A739-4376-BA2F-7E27CC8F3EDC}" name="2046"/>
    <tableColumn id="44" xr3:uid="{5D5915F7-6E50-4001-991D-3DF86003241C}" name="2047"/>
    <tableColumn id="45" xr3:uid="{4D654B1F-E9F7-43D0-93E0-43E3357DAA65}" name="2048"/>
    <tableColumn id="46" xr3:uid="{F60A1A52-5724-4168-A1AE-290C37FA36A8}" name="2049"/>
    <tableColumn id="47" xr3:uid="{5DA029A8-F18F-41BE-B876-1D7A28A031AF}" name="2050"/>
  </tableColumns>
  <tableStyleInfo name="TableStyleLight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10B5D03-410B-4215-A834-B40FB0F91D2F}" name="Table1213" displayName="Table1213" ref="A129:AU137" totalsRowShown="0">
  <tableColumns count="47">
    <tableColumn id="1" xr3:uid="{20750C63-9225-4C1A-8D2D-24C32F108B7F}" name="_"/>
    <tableColumn id="2" xr3:uid="{5BBAE621-AA5F-4AFF-ADD7-FA864B17AA72}" name="2005"/>
    <tableColumn id="3" xr3:uid="{FAD97FD4-14D5-4D42-8AE2-0574DF2608C4}" name="2006"/>
    <tableColumn id="4" xr3:uid="{385FAA02-36F8-4856-AA98-D4DFCEB034B4}" name="2007"/>
    <tableColumn id="5" xr3:uid="{FDA0A5FD-3B23-4349-B3AA-17273C69A191}" name="2008"/>
    <tableColumn id="6" xr3:uid="{27DDB8F5-8272-4101-97B7-D2ADFDA5694B}" name="2009"/>
    <tableColumn id="7" xr3:uid="{BEE81583-5077-4C5C-9DB6-C74CBE21E402}" name="2010"/>
    <tableColumn id="8" xr3:uid="{073A1C7A-ABBF-4F72-A19A-2F7078B1EA57}" name="2011"/>
    <tableColumn id="9" xr3:uid="{AE33AAF0-4668-4F69-8DD2-299F9E19DEDA}" name="2012"/>
    <tableColumn id="10" xr3:uid="{29D3D84F-A11E-46EB-BB29-014CFFCD1033}" name="2013"/>
    <tableColumn id="11" xr3:uid="{A4386DA8-3F28-465B-BFC0-8DF930037EB1}" name="2014"/>
    <tableColumn id="12" xr3:uid="{24C24DF0-1B40-41C6-8F4E-F79757FBBB60}" name="2015"/>
    <tableColumn id="13" xr3:uid="{14AFDB9E-8FE1-48D5-8ED4-7C0CBB50658E}" name="2016"/>
    <tableColumn id="14" xr3:uid="{76EF0FF3-2ABC-4E20-B26F-5A71304DBB21}" name="2017"/>
    <tableColumn id="15" xr3:uid="{8505D1C3-E619-48C8-8735-ACED5EACB504}" name="2018"/>
    <tableColumn id="16" xr3:uid="{344E595B-330E-41B2-9C3D-263C09A58252}" name="2019"/>
    <tableColumn id="17" xr3:uid="{544417CA-2CE8-41A3-80DE-241E84ECB84A}" name="2020"/>
    <tableColumn id="18" xr3:uid="{8EE47F33-670A-4AF8-BB9B-ACDFEC02FEB9}" name="2021"/>
    <tableColumn id="19" xr3:uid="{1FEDC9EA-F4EA-4611-9B73-A70FDCBC7043}" name="2022"/>
    <tableColumn id="20" xr3:uid="{42B0146F-F120-4610-A663-9BAE175FDE10}" name="2023"/>
    <tableColumn id="21" xr3:uid="{CEEBFA84-F573-4CE1-B51C-F1FE48E87337}" name="2024"/>
    <tableColumn id="22" xr3:uid="{990249F4-8ABF-4757-A99F-14069AD14956}" name="2025"/>
    <tableColumn id="23" xr3:uid="{ECCB8971-7411-4C1D-8830-4F5EEA169666}" name="2026"/>
    <tableColumn id="24" xr3:uid="{370B2F43-07DC-4F0E-BDF1-07FB0448192C}" name="2027"/>
    <tableColumn id="25" xr3:uid="{41A069A2-AF3A-4482-B3D8-1515AB89E9D1}" name="2028"/>
    <tableColumn id="26" xr3:uid="{FB527E02-F7F9-4088-BD09-C0C648ABBD69}" name="2029"/>
    <tableColumn id="27" xr3:uid="{A46465DF-7E47-4676-AF29-BAF53A260FF1}" name="2030"/>
    <tableColumn id="28" xr3:uid="{D9875AD3-BC00-4E6D-9D0A-5309D070A9FF}" name="2031"/>
    <tableColumn id="29" xr3:uid="{E33F62BF-99E3-4C0B-8DBF-E5F0E71DF534}" name="2032"/>
    <tableColumn id="30" xr3:uid="{63FA74E9-280B-452A-AFB9-CE5BD4F862C9}" name="2033"/>
    <tableColumn id="31" xr3:uid="{5C432689-2066-4BA9-AAAC-63CCFE28DB1D}" name="2034"/>
    <tableColumn id="32" xr3:uid="{BD883851-087A-426F-A43C-49801B4C52E1}" name="2035"/>
    <tableColumn id="33" xr3:uid="{F5EBC903-804E-4128-8EA4-E7DC7BF38F29}" name="2036"/>
    <tableColumn id="34" xr3:uid="{0600C939-49FF-4DDA-A603-C07C9F8A38DC}" name="2037"/>
    <tableColumn id="35" xr3:uid="{CBA2D356-5B73-46B6-B8DB-1543F8270EF1}" name="2038"/>
    <tableColumn id="36" xr3:uid="{3733A24A-9B42-4612-A785-483267A6D65A}" name="2039"/>
    <tableColumn id="37" xr3:uid="{F935B526-E0E8-481F-A1BF-84B4EEA1BADD}" name="2040"/>
    <tableColumn id="38" xr3:uid="{ED2D7A90-862C-422D-BBC7-B6C45E0582D1}" name="2041"/>
    <tableColumn id="39" xr3:uid="{FFC8E58B-7B83-414F-9F43-FE83B45E02A1}" name="2042"/>
    <tableColumn id="40" xr3:uid="{B8DBB371-98B7-4A23-9571-A6EEDC9C1A8D}" name="2043"/>
    <tableColumn id="41" xr3:uid="{D8A4A2EA-0039-42B5-96A4-7DC1AE607E8B}" name="2044"/>
    <tableColumn id="42" xr3:uid="{CAD64F28-1239-41E0-A003-6BF52ABDC424}" name="2045"/>
    <tableColumn id="43" xr3:uid="{7172BFA1-D81A-474B-9E9F-6084D715BF7C}" name="2046"/>
    <tableColumn id="44" xr3:uid="{5FE2DF8F-CAAD-4D3C-8ABE-516497365478}" name="2047"/>
    <tableColumn id="45" xr3:uid="{0E6182D9-57C1-4FD7-9728-587620568CAA}" name="2048"/>
    <tableColumn id="46" xr3:uid="{85523A83-9C89-432C-B201-61426EEB2970}" name="2049"/>
    <tableColumn id="47" xr3:uid="{B886ABDC-2A35-49BD-84CE-9E14A7D77918}" name="2050"/>
  </tableColumns>
  <tableStyleInfo name="TableStyleLight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05F7F27-C3F7-44F8-8117-59903679F529}" name="Table1314" displayName="Table1314" ref="A140:AU148" totalsRowShown="0">
  <tableColumns count="47">
    <tableColumn id="1" xr3:uid="{0D1D5AE5-9A99-4192-80EE-6A4D0519BA76}" name="_"/>
    <tableColumn id="2" xr3:uid="{1B661164-321A-4E2D-A2C7-B14F8E0BCFA5}" name="2005"/>
    <tableColumn id="3" xr3:uid="{94C589D3-4291-4E16-9284-658F4B4E9E76}" name="2006"/>
    <tableColumn id="4" xr3:uid="{8CD0D3AC-8DF1-4BB7-895F-6F607B6A9F26}" name="2007"/>
    <tableColumn id="5" xr3:uid="{A7F2225F-E6DA-4226-9622-45E0E08020E4}" name="2008"/>
    <tableColumn id="6" xr3:uid="{830E549E-635A-43BE-8E11-56AE786CA32E}" name="2009"/>
    <tableColumn id="7" xr3:uid="{0B8705BD-AD0A-4BD4-877E-B0A7A24E7D1E}" name="2010"/>
    <tableColumn id="8" xr3:uid="{D9E249FA-91F5-4E5B-AC79-DF64709DA50B}" name="2011"/>
    <tableColumn id="9" xr3:uid="{5AA91F70-1B9F-4251-B8EB-D7BA11AAE404}" name="2012"/>
    <tableColumn id="10" xr3:uid="{99B97707-0EF6-45F4-9BCA-592501E54BC9}" name="2013"/>
    <tableColumn id="11" xr3:uid="{E4EE2905-58E2-4E0A-8C9D-324C230F78FB}" name="2014"/>
    <tableColumn id="12" xr3:uid="{9F18D469-D222-4CC9-8FF2-9A8547CC3371}" name="2015"/>
    <tableColumn id="13" xr3:uid="{FDB88BE3-E7DE-4E2C-812D-49303CBC9359}" name="2016"/>
    <tableColumn id="14" xr3:uid="{D0EE43ED-BBBC-432C-A930-9E4B2A6D4732}" name="2017"/>
    <tableColumn id="15" xr3:uid="{BAB8B088-01AC-482A-AB80-F73675D2A88A}" name="2018"/>
    <tableColumn id="16" xr3:uid="{343F51BF-B994-41E4-86FE-3C0C0305B2F0}" name="2019"/>
    <tableColumn id="17" xr3:uid="{D55B82A8-F625-43AA-8C78-331AA602B5CC}" name="2020"/>
    <tableColumn id="18" xr3:uid="{922B23EE-DB1D-49A7-A1C1-8E49726EA7AB}" name="2021"/>
    <tableColumn id="19" xr3:uid="{FA4782FC-C648-4D7D-A0E1-9E61169D4A63}" name="2022"/>
    <tableColumn id="20" xr3:uid="{E93BB8BB-1DE2-450C-9FFF-2AFFD965DAF6}" name="2023"/>
    <tableColumn id="21" xr3:uid="{A8D49716-36E2-4007-974C-87881B02D84E}" name="2024"/>
    <tableColumn id="22" xr3:uid="{136FA613-FB9D-4C36-842D-AD7E200BA758}" name="2025"/>
    <tableColumn id="23" xr3:uid="{DB9AA504-3CD0-4632-A477-FF99666C309C}" name="2026"/>
    <tableColumn id="24" xr3:uid="{F6A50978-A8AB-4F45-A0B2-C58CBBB30DD9}" name="2027"/>
    <tableColumn id="25" xr3:uid="{14D4FB51-4E9C-46E5-B6FC-2FFA3BA41C15}" name="2028"/>
    <tableColumn id="26" xr3:uid="{97EB28F5-A9E5-4151-929B-798E2EC04180}" name="2029"/>
    <tableColumn id="27" xr3:uid="{5FCBD0F8-4B30-42BC-9FED-08C6D341E949}" name="2030"/>
    <tableColumn id="28" xr3:uid="{E236E681-C197-4599-B0A1-310FEE108C9F}" name="2031"/>
    <tableColumn id="29" xr3:uid="{2ED214E0-B1BC-4492-9723-2C35AF97BF59}" name="2032"/>
    <tableColumn id="30" xr3:uid="{5C40451E-B7F0-442D-84D8-DFF1F829F826}" name="2033"/>
    <tableColumn id="31" xr3:uid="{1663332E-0DDF-4BF3-BB49-5E6E0E578DE5}" name="2034"/>
    <tableColumn id="32" xr3:uid="{20C32B6D-B720-482D-9794-72283500C103}" name="2035"/>
    <tableColumn id="33" xr3:uid="{186661CA-D091-4AC2-B91A-AEDE18634CE4}" name="2036"/>
    <tableColumn id="34" xr3:uid="{F3A61318-32EF-48D7-82C2-E152903DE29D}" name="2037"/>
    <tableColumn id="35" xr3:uid="{4F583FE3-A473-4087-824C-97DE54FEEA7C}" name="2038"/>
    <tableColumn id="36" xr3:uid="{ECA35A52-10DE-42F1-AD4E-2EE99456DB9F}" name="2039"/>
    <tableColumn id="37" xr3:uid="{962DF032-F235-47B5-A4F6-3532A60A58A2}" name="2040"/>
    <tableColumn id="38" xr3:uid="{9144242D-4C3E-4EB8-8FC6-349A0BDD54E3}" name="2041"/>
    <tableColumn id="39" xr3:uid="{986D4175-9B35-47F9-9310-CA68DF0A7270}" name="2042"/>
    <tableColumn id="40" xr3:uid="{D72505DD-9956-47D0-9A29-05A4247BB132}" name="2043"/>
    <tableColumn id="41" xr3:uid="{A10AE84A-9372-4E65-8521-C0F9862BC72A}" name="2044"/>
    <tableColumn id="42" xr3:uid="{185A3410-6F76-4857-B442-DE3D285BEBDB}" name="2045"/>
    <tableColumn id="43" xr3:uid="{326EA5EB-6B07-4963-845B-32327BB95CB8}" name="2046"/>
    <tableColumn id="44" xr3:uid="{220D6276-5990-4065-B6E8-30C28C668CF9}" name="2047"/>
    <tableColumn id="45" xr3:uid="{06BED3E7-2C0B-4729-A4AC-C21E16D408FE}" name="2048"/>
    <tableColumn id="46" xr3:uid="{1DD47E75-3A6F-4AA9-8E3D-FFA2BB13526B}" name="2049"/>
    <tableColumn id="47" xr3:uid="{2F724AF8-9152-4AB9-8DA9-61B06EA9E8EC}" name="2050"/>
  </tableColumns>
  <tableStyleInfo name="TableStyleLight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261DA10-E5C4-494A-9EF7-ED7932028782}" name="Table1415" displayName="Table1415" ref="A151:AU159" totalsRowShown="0">
  <tableColumns count="47">
    <tableColumn id="1" xr3:uid="{46EF1D67-F1CE-491F-91B3-C1804869D8A1}" name="_"/>
    <tableColumn id="2" xr3:uid="{074FC893-D3BF-4A83-8868-4AA660DBE60D}" name="2005"/>
    <tableColumn id="3" xr3:uid="{C451D4F9-FD3D-476B-9162-3DDA83FAA8FD}" name="2006"/>
    <tableColumn id="4" xr3:uid="{62BB773B-0121-4CD1-9492-63A9B6C8197D}" name="2007"/>
    <tableColumn id="5" xr3:uid="{EAF61447-F49D-49C7-8BA3-58D078BBE478}" name="2008"/>
    <tableColumn id="6" xr3:uid="{3A6F15E9-305F-469F-9454-0AB5DDF8391D}" name="2009"/>
    <tableColumn id="7" xr3:uid="{BBD01FA4-7858-489A-8CD7-B07B25CF64BC}" name="2010"/>
    <tableColumn id="8" xr3:uid="{F9F7ED1A-105B-4005-A3AB-EEA06F5EA835}" name="2011"/>
    <tableColumn id="9" xr3:uid="{D7B4F729-48B3-462D-BF49-FFEA088F4C74}" name="2012"/>
    <tableColumn id="10" xr3:uid="{8CBC7B3C-E196-457B-AF38-28FAEB92D9FF}" name="2013"/>
    <tableColumn id="11" xr3:uid="{BA508A2B-F885-4DE3-9E4E-F54F11C6A691}" name="2014"/>
    <tableColumn id="12" xr3:uid="{B96F9934-6441-4C8F-912B-AC8A5C9FEBD3}" name="2015"/>
    <tableColumn id="13" xr3:uid="{137D07A8-398D-4B8F-BC00-F6EC59421843}" name="2016"/>
    <tableColumn id="14" xr3:uid="{B34E4DFC-B701-4612-B491-BDACEA0994A5}" name="2017"/>
    <tableColumn id="15" xr3:uid="{00600B4E-81AC-4648-BC3C-4C6ED59F930F}" name="2018"/>
    <tableColumn id="16" xr3:uid="{75D0A03F-9833-4495-B9F3-4174EA056463}" name="2019"/>
    <tableColumn id="17" xr3:uid="{6F533619-CECD-4BEC-A994-400B38FC46E2}" name="2020"/>
    <tableColumn id="18" xr3:uid="{919E9282-5D93-4574-9D66-DD84E2E58C18}" name="2021"/>
    <tableColumn id="19" xr3:uid="{8D427D54-2571-4375-88F4-74181F8AAE13}" name="2022"/>
    <tableColumn id="20" xr3:uid="{E97323BE-D61F-413D-93C0-AA534A3E6169}" name="2023"/>
    <tableColumn id="21" xr3:uid="{B7EE52F1-F439-4C98-8C63-E9F8A6A76FC1}" name="2024"/>
    <tableColumn id="22" xr3:uid="{12CC506A-0650-4A77-BDF4-E19B64A1FEED}" name="2025"/>
    <tableColumn id="23" xr3:uid="{FC6D7178-6241-466D-A3FC-886D293FF593}" name="2026"/>
    <tableColumn id="24" xr3:uid="{DCB96ED3-BBD1-4A30-933F-DB5F5C0E75E5}" name="2027"/>
    <tableColumn id="25" xr3:uid="{774B0C1B-CDD7-4CBC-BB3E-BE06B0BAE354}" name="2028"/>
    <tableColumn id="26" xr3:uid="{B19203F0-9F85-435C-B956-0F93095FEE37}" name="2029"/>
    <tableColumn id="27" xr3:uid="{85C556D1-C9CE-48E1-BF8D-86FCBD909DDD}" name="2030"/>
    <tableColumn id="28" xr3:uid="{29FC5DD5-5C78-4A7D-9EDC-9FBEB6347755}" name="2031"/>
    <tableColumn id="29" xr3:uid="{6C0A9BA4-98E9-40B2-ADFC-BB951D88AA48}" name="2032"/>
    <tableColumn id="30" xr3:uid="{FC16E31C-E95F-4EEC-984E-8E03D657FCA4}" name="2033"/>
    <tableColumn id="31" xr3:uid="{508CC14F-1EA6-4A98-AA1F-3A8F3D43FAEE}" name="2034"/>
    <tableColumn id="32" xr3:uid="{4C3D212E-155A-43C2-93CC-E8DC97930FEC}" name="2035"/>
    <tableColumn id="33" xr3:uid="{16C3B4E2-D99C-4C12-BE87-2A269E27EBCB}" name="2036"/>
    <tableColumn id="34" xr3:uid="{1793DEA3-E405-4639-9C47-5F42E91695D7}" name="2037"/>
    <tableColumn id="35" xr3:uid="{C3247BEB-3EE0-49D4-A03C-59EA70B7D576}" name="2038"/>
    <tableColumn id="36" xr3:uid="{A699EB62-96A1-4B86-ADBB-46557EFCA84B}" name="2039"/>
    <tableColumn id="37" xr3:uid="{0F587AF6-E59D-4E09-94EE-8DD275807DA5}" name="2040"/>
    <tableColumn id="38" xr3:uid="{2DEA63E4-6CEF-43A2-9B8A-E594B4AF93C3}" name="2041"/>
    <tableColumn id="39" xr3:uid="{CBF2C46D-BC1B-4E41-A2FB-D031DD44331F}" name="2042"/>
    <tableColumn id="40" xr3:uid="{5A5821C7-9CAA-4DDF-8CC9-A4BC0438C164}" name="2043"/>
    <tableColumn id="41" xr3:uid="{247F83DC-B649-4F38-9EAF-20015999E9FF}" name="2044"/>
    <tableColumn id="42" xr3:uid="{EF0EDE09-35E5-46A1-A635-558F9499E25F}" name="2045"/>
    <tableColumn id="43" xr3:uid="{71ACFF3A-A718-4233-95AC-E7AA2F162904}" name="2046"/>
    <tableColumn id="44" xr3:uid="{15BFD1C5-8C0D-4583-841A-CEE545591432}" name="2047"/>
    <tableColumn id="45" xr3:uid="{7B21D1D3-79BF-4D96-AE9D-A75A503A7C33}" name="2048"/>
    <tableColumn id="46" xr3:uid="{F2343D0D-4D8C-44CC-A96F-7632EC1CD3D1}" name="2049"/>
    <tableColumn id="47" xr3:uid="{604E55E6-D5DC-4FAA-AFC6-C7086B253D80}" name="2050"/>
  </tableColumns>
  <tableStyleInfo name="TableStyleLight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150.statcan.gc.ca/t1/tbl1/en/tv.action?pid=2510001501&amp;pickMembers%5B0%5D=1.1&amp;pickMembers%5B1%5D=2.2&amp;cubeTimeFrame.startMonth=01&amp;cubeTimeFrame.startYear=2015&amp;cubeTimeFrame.endMonth=12&amp;cubeTimeFrame.endYear=2015&amp;referencePeriods=20150101%2C20151201" TargetMode="External"/><Relationship Id="rId1" Type="http://schemas.openxmlformats.org/officeDocument/2006/relationships/hyperlink" Target="https://apps.neb-one.gc.ca/ftrppndc/dflt.aspx?GoCTemplateCulture=en-CA" TargetMode="External"/></Relationships>
</file>

<file path=xl/worksheets/_rels/sheet5.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60"/>
  <sheetViews>
    <sheetView topLeftCell="A7" workbookViewId="0">
      <selection activeCell="D16" sqref="D16"/>
    </sheetView>
  </sheetViews>
  <sheetFormatPr defaultRowHeight="15" x14ac:dyDescent="0.25"/>
  <cols>
    <col min="2" max="2" width="70.140625" customWidth="1"/>
  </cols>
  <sheetData>
    <row r="1" spans="1:2" x14ac:dyDescent="0.25">
      <c r="A1" s="1" t="s">
        <v>0</v>
      </c>
    </row>
    <row r="2" spans="1:2" x14ac:dyDescent="0.25">
      <c r="A2" s="1" t="s">
        <v>1</v>
      </c>
    </row>
    <row r="3" spans="1:2" x14ac:dyDescent="0.25">
      <c r="A3" s="1" t="s">
        <v>273</v>
      </c>
    </row>
    <row r="4" spans="1:2" x14ac:dyDescent="0.25">
      <c r="A4" s="1" t="s">
        <v>274</v>
      </c>
    </row>
    <row r="6" spans="1:2" x14ac:dyDescent="0.25">
      <c r="A6" s="1" t="s">
        <v>2</v>
      </c>
      <c r="B6" s="3" t="s">
        <v>110</v>
      </c>
    </row>
    <row r="7" spans="1:2" x14ac:dyDescent="0.25">
      <c r="B7" t="s">
        <v>3</v>
      </c>
    </row>
    <row r="8" spans="1:2" x14ac:dyDescent="0.25">
      <c r="B8" s="2" t="s">
        <v>344</v>
      </c>
    </row>
    <row r="9" spans="1:2" x14ac:dyDescent="0.25">
      <c r="B9" t="s">
        <v>345</v>
      </c>
    </row>
    <row r="10" spans="1:2" x14ac:dyDescent="0.25">
      <c r="B10" s="4" t="s">
        <v>312</v>
      </c>
    </row>
    <row r="11" spans="1:2" x14ac:dyDescent="0.25">
      <c r="B11" t="s">
        <v>4</v>
      </c>
    </row>
    <row r="13" spans="1:2" x14ac:dyDescent="0.25">
      <c r="B13" s="3" t="s">
        <v>111</v>
      </c>
    </row>
    <row r="14" spans="1:2" x14ac:dyDescent="0.25">
      <c r="B14" t="s">
        <v>112</v>
      </c>
    </row>
    <row r="15" spans="1:2" x14ac:dyDescent="0.25">
      <c r="B15" s="2">
        <v>2021</v>
      </c>
    </row>
    <row r="16" spans="1:2" x14ac:dyDescent="0.25">
      <c r="B16" t="s">
        <v>346</v>
      </c>
    </row>
    <row r="17" spans="2:2" x14ac:dyDescent="0.25">
      <c r="B17" s="4" t="s">
        <v>113</v>
      </c>
    </row>
    <row r="18" spans="2:2" x14ac:dyDescent="0.25">
      <c r="B18" t="s">
        <v>114</v>
      </c>
    </row>
    <row r="20" spans="2:2" x14ac:dyDescent="0.25">
      <c r="B20" s="3" t="s">
        <v>268</v>
      </c>
    </row>
    <row r="21" spans="2:2" x14ac:dyDescent="0.25">
      <c r="B21" t="s">
        <v>3</v>
      </c>
    </row>
    <row r="22" spans="2:2" x14ac:dyDescent="0.25">
      <c r="B22" s="2" t="s">
        <v>344</v>
      </c>
    </row>
    <row r="23" spans="2:2" x14ac:dyDescent="0.25">
      <c r="B23" t="s">
        <v>345</v>
      </c>
    </row>
    <row r="24" spans="2:2" x14ac:dyDescent="0.25">
      <c r="B24" s="4" t="s">
        <v>312</v>
      </c>
    </row>
    <row r="25" spans="2:2" x14ac:dyDescent="0.25">
      <c r="B25" t="s">
        <v>269</v>
      </c>
    </row>
    <row r="27" spans="2:2" x14ac:dyDescent="0.25">
      <c r="B27" s="3" t="s">
        <v>392</v>
      </c>
    </row>
    <row r="28" spans="2:2" x14ac:dyDescent="0.25">
      <c r="B28" t="s">
        <v>393</v>
      </c>
    </row>
    <row r="29" spans="2:2" x14ac:dyDescent="0.25">
      <c r="B29" s="2">
        <v>2022</v>
      </c>
    </row>
    <row r="30" spans="2:2" x14ac:dyDescent="0.25">
      <c r="B30" t="s">
        <v>394</v>
      </c>
    </row>
    <row r="31" spans="2:2" x14ac:dyDescent="0.25">
      <c r="B31" s="4" t="s">
        <v>395</v>
      </c>
    </row>
    <row r="32" spans="2:2" x14ac:dyDescent="0.25">
      <c r="B32" s="44" t="s">
        <v>396</v>
      </c>
    </row>
    <row r="34" spans="1:1" x14ac:dyDescent="0.25">
      <c r="A34" s="1" t="s">
        <v>115</v>
      </c>
    </row>
    <row r="35" spans="1:1" x14ac:dyDescent="0.25">
      <c r="A35" t="s">
        <v>119</v>
      </c>
    </row>
    <row r="36" spans="1:1" x14ac:dyDescent="0.25">
      <c r="A36" t="s">
        <v>120</v>
      </c>
    </row>
    <row r="37" spans="1:1" x14ac:dyDescent="0.25">
      <c r="A37" t="s">
        <v>121</v>
      </c>
    </row>
    <row r="38" spans="1:1" x14ac:dyDescent="0.25">
      <c r="A38" t="s">
        <v>122</v>
      </c>
    </row>
    <row r="39" spans="1:1" x14ac:dyDescent="0.25">
      <c r="A39" t="s">
        <v>123</v>
      </c>
    </row>
    <row r="41" spans="1:1" x14ac:dyDescent="0.25">
      <c r="A41" t="s">
        <v>124</v>
      </c>
    </row>
    <row r="42" spans="1:1" x14ac:dyDescent="0.25">
      <c r="A42" t="s">
        <v>125</v>
      </c>
    </row>
    <row r="44" spans="1:1" x14ac:dyDescent="0.25">
      <c r="A44" t="s">
        <v>116</v>
      </c>
    </row>
    <row r="45" spans="1:1" x14ac:dyDescent="0.25">
      <c r="A45" t="s">
        <v>117</v>
      </c>
    </row>
    <row r="46" spans="1:1" x14ac:dyDescent="0.25">
      <c r="A46" t="s">
        <v>118</v>
      </c>
    </row>
    <row r="48" spans="1:1" x14ac:dyDescent="0.25">
      <c r="A48" t="s">
        <v>134</v>
      </c>
    </row>
    <row r="49" spans="1:2" x14ac:dyDescent="0.25">
      <c r="A49" t="s">
        <v>127</v>
      </c>
    </row>
    <row r="50" spans="1:2" x14ac:dyDescent="0.25">
      <c r="A50" t="s">
        <v>126</v>
      </c>
    </row>
    <row r="52" spans="1:2" x14ac:dyDescent="0.25">
      <c r="A52" s="1" t="s">
        <v>270</v>
      </c>
    </row>
    <row r="53" spans="1:2" x14ac:dyDescent="0.25">
      <c r="A53" t="s">
        <v>271</v>
      </c>
    </row>
    <row r="54" spans="1:2" x14ac:dyDescent="0.25">
      <c r="A54" t="s">
        <v>275</v>
      </c>
    </row>
    <row r="55" spans="1:2" x14ac:dyDescent="0.25">
      <c r="A55" t="s">
        <v>272</v>
      </c>
    </row>
    <row r="57" spans="1:2" x14ac:dyDescent="0.25">
      <c r="A57" s="1" t="s">
        <v>277</v>
      </c>
    </row>
    <row r="58" spans="1:2" x14ac:dyDescent="0.25">
      <c r="A58" s="10">
        <v>2.931E-7</v>
      </c>
      <c r="B58" t="s">
        <v>276</v>
      </c>
    </row>
    <row r="59" spans="1:2" x14ac:dyDescent="0.25">
      <c r="A59" s="11">
        <v>0.88711067149387013</v>
      </c>
      <c r="B59" t="s">
        <v>343</v>
      </c>
    </row>
    <row r="60" spans="1:2" x14ac:dyDescent="0.25">
      <c r="A60" s="11">
        <v>0.84730412960844359</v>
      </c>
      <c r="B60" t="s">
        <v>342</v>
      </c>
    </row>
  </sheetData>
  <phoneticPr fontId="16" type="noConversion"/>
  <hyperlinks>
    <hyperlink ref="B17" r:id="rId1" xr:uid="{06A740A3-AC0A-4A63-BC56-027EA4FE4333}"/>
    <hyperlink ref="B31" r:id="rId2" display="https://www150.statcan.gc.ca/t1/tbl1/en/tv.action?pid=2510001501&amp;pickMembers%5B0%5D=1.1&amp;pickMembers%5B1%5D=2.2&amp;cubeTimeFrame.startMonth=01&amp;cubeTimeFrame.startYear=2015&amp;cubeTimeFrame.endMonth=12&amp;cubeTimeFrame.endYear=2015&amp;referencePeriods=20150101%2C20151201" xr:uid="{3E763AE2-5364-4572-918A-7B841893BB04}"/>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93B5D-41EE-499F-B9AB-6D2A389D1CA9}">
  <dimension ref="A1:AG2841"/>
  <sheetViews>
    <sheetView topLeftCell="B1" workbookViewId="0">
      <selection activeCell="B1" sqref="A1:AG2837"/>
    </sheetView>
  </sheetViews>
  <sheetFormatPr defaultColWidth="8.7109375" defaultRowHeight="15" x14ac:dyDescent="0.25"/>
  <cols>
    <col min="1" max="1" width="21.42578125" hidden="1" customWidth="1"/>
    <col min="2" max="2" width="46.7109375" customWidth="1"/>
  </cols>
  <sheetData>
    <row r="1" spans="1:33" ht="15" customHeight="1" thickBot="1" x14ac:dyDescent="0.3">
      <c r="A1" s="45"/>
      <c r="B1" s="46" t="s">
        <v>397</v>
      </c>
      <c r="C1" s="47">
        <v>2022</v>
      </c>
      <c r="D1" s="47">
        <v>2023</v>
      </c>
      <c r="E1" s="47">
        <v>2024</v>
      </c>
      <c r="F1" s="47">
        <v>2025</v>
      </c>
      <c r="G1" s="47">
        <v>2026</v>
      </c>
      <c r="H1" s="47">
        <v>2027</v>
      </c>
      <c r="I1" s="47">
        <v>2028</v>
      </c>
      <c r="J1" s="47">
        <v>2029</v>
      </c>
      <c r="K1" s="47">
        <v>2030</v>
      </c>
      <c r="L1" s="47">
        <v>2031</v>
      </c>
      <c r="M1" s="47">
        <v>2032</v>
      </c>
      <c r="N1" s="47">
        <v>2033</v>
      </c>
      <c r="O1" s="47">
        <v>2034</v>
      </c>
      <c r="P1" s="47">
        <v>2035</v>
      </c>
      <c r="Q1" s="47">
        <v>2036</v>
      </c>
      <c r="R1" s="47">
        <v>2037</v>
      </c>
      <c r="S1" s="47">
        <v>2038</v>
      </c>
      <c r="T1" s="47">
        <v>2039</v>
      </c>
      <c r="U1" s="47">
        <v>2040</v>
      </c>
      <c r="V1" s="47">
        <v>2041</v>
      </c>
      <c r="W1" s="47">
        <v>2042</v>
      </c>
      <c r="X1" s="47">
        <v>2043</v>
      </c>
      <c r="Y1" s="47">
        <v>2044</v>
      </c>
      <c r="Z1" s="47">
        <v>2045</v>
      </c>
      <c r="AA1" s="47">
        <v>2046</v>
      </c>
      <c r="AB1" s="47">
        <v>2047</v>
      </c>
      <c r="AC1" s="47">
        <v>2048</v>
      </c>
      <c r="AD1" s="47">
        <v>2049</v>
      </c>
      <c r="AE1" s="47">
        <v>2050</v>
      </c>
      <c r="AF1" s="45"/>
      <c r="AG1" s="45"/>
    </row>
    <row r="2" spans="1:33" ht="15" customHeight="1" thickTop="1" x14ac:dyDescent="0.25">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x14ac:dyDescent="0.25">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x14ac:dyDescent="0.25">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x14ac:dyDescent="0.25">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x14ac:dyDescent="0.25">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x14ac:dyDescent="0.25">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x14ac:dyDescent="0.25">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x14ac:dyDescent="0.25">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x14ac:dyDescent="0.25">
      <c r="A10" s="48" t="s">
        <v>5</v>
      </c>
      <c r="B10" s="51" t="s">
        <v>6</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x14ac:dyDescent="0.25">
      <c r="A11" s="45"/>
      <c r="B11" s="53" t="s">
        <v>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x14ac:dyDescent="0.25">
      <c r="A12" s="45"/>
      <c r="B12" s="53"/>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x14ac:dyDescent="0.3">
      <c r="A13" s="45"/>
      <c r="B13" s="55" t="s">
        <v>8</v>
      </c>
      <c r="C13" s="55">
        <v>2022</v>
      </c>
      <c r="D13" s="55">
        <v>2023</v>
      </c>
      <c r="E13" s="55">
        <v>2024</v>
      </c>
      <c r="F13" s="55">
        <v>2025</v>
      </c>
      <c r="G13" s="55">
        <v>2026</v>
      </c>
      <c r="H13" s="55">
        <v>2027</v>
      </c>
      <c r="I13" s="55">
        <v>2028</v>
      </c>
      <c r="J13" s="55">
        <v>2029</v>
      </c>
      <c r="K13" s="55">
        <v>2030</v>
      </c>
      <c r="L13" s="55">
        <v>2031</v>
      </c>
      <c r="M13" s="55">
        <v>2032</v>
      </c>
      <c r="N13" s="55">
        <v>2033</v>
      </c>
      <c r="O13" s="55">
        <v>2034</v>
      </c>
      <c r="P13" s="55">
        <v>2035</v>
      </c>
      <c r="Q13" s="55">
        <v>2036</v>
      </c>
      <c r="R13" s="55">
        <v>2037</v>
      </c>
      <c r="S13" s="55">
        <v>2038</v>
      </c>
      <c r="T13" s="55">
        <v>2039</v>
      </c>
      <c r="U13" s="55">
        <v>2040</v>
      </c>
      <c r="V13" s="55">
        <v>2041</v>
      </c>
      <c r="W13" s="55">
        <v>2042</v>
      </c>
      <c r="X13" s="55">
        <v>2043</v>
      </c>
      <c r="Y13" s="55">
        <v>2044</v>
      </c>
      <c r="Z13" s="55">
        <v>2045</v>
      </c>
      <c r="AA13" s="55">
        <v>2046</v>
      </c>
      <c r="AB13" s="55">
        <v>2047</v>
      </c>
      <c r="AC13" s="55">
        <v>2048</v>
      </c>
      <c r="AD13" s="55">
        <v>2049</v>
      </c>
      <c r="AE13" s="55">
        <v>2050</v>
      </c>
      <c r="AF13" s="56" t="s">
        <v>402</v>
      </c>
      <c r="AG13" s="49"/>
    </row>
    <row r="14" spans="1:33" ht="15" customHeight="1" thickTop="1" x14ac:dyDescent="0.25">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x14ac:dyDescent="0.25">
      <c r="A15" s="45"/>
      <c r="B15" s="57" t="s">
        <v>9</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x14ac:dyDescent="0.25">
      <c r="A16" s="45"/>
      <c r="B16" s="49"/>
      <c r="C16" s="49"/>
      <c r="D16" s="49"/>
      <c r="E16" s="49"/>
      <c r="F16" s="49"/>
      <c r="G16" s="49"/>
      <c r="H16" s="49"/>
      <c r="I16" s="49"/>
      <c r="J16" s="49"/>
      <c r="K16" s="49"/>
      <c r="L16" s="49"/>
      <c r="M16" s="49"/>
      <c r="N16" s="49"/>
      <c r="O16" s="49"/>
      <c r="P16" s="49"/>
      <c r="Q16" s="49"/>
      <c r="R16" s="49"/>
      <c r="S16" s="49"/>
      <c r="T16" s="49"/>
      <c r="U16" s="49"/>
      <c r="V16" s="49"/>
      <c r="W16" s="49"/>
      <c r="X16" s="49"/>
      <c r="Y16" s="49"/>
      <c r="Z16" s="49"/>
      <c r="AA16" s="49"/>
      <c r="AB16" s="49"/>
      <c r="AC16" s="49"/>
      <c r="AD16" s="49"/>
      <c r="AE16" s="49"/>
      <c r="AF16" s="49"/>
      <c r="AG16" s="49"/>
    </row>
    <row r="17" spans="1:33" ht="15" customHeight="1" x14ac:dyDescent="0.25">
      <c r="A17" s="45"/>
      <c r="B17" s="57" t="s">
        <v>10</v>
      </c>
      <c r="C17" s="49"/>
      <c r="D17" s="49"/>
      <c r="E17" s="49"/>
      <c r="F17" s="49"/>
      <c r="G17" s="49"/>
      <c r="H17" s="49"/>
      <c r="I17" s="49"/>
      <c r="J17" s="49"/>
      <c r="K17" s="49"/>
      <c r="L17" s="49"/>
      <c r="M17" s="49"/>
      <c r="N17" s="49"/>
      <c r="O17" s="49"/>
      <c r="P17" s="49"/>
      <c r="Q17" s="49"/>
      <c r="R17" s="49"/>
      <c r="S17" s="49"/>
      <c r="T17" s="49"/>
      <c r="U17" s="49"/>
      <c r="V17" s="49"/>
      <c r="W17" s="49"/>
      <c r="X17" s="49"/>
      <c r="Y17" s="49"/>
      <c r="Z17" s="49"/>
      <c r="AA17" s="49"/>
      <c r="AB17" s="49"/>
      <c r="AC17" s="49"/>
      <c r="AD17" s="49"/>
      <c r="AE17" s="49"/>
      <c r="AF17" s="49"/>
      <c r="AG17" s="49"/>
    </row>
    <row r="18" spans="1:33" ht="15" customHeight="1" x14ac:dyDescent="0.25">
      <c r="A18" s="48" t="s">
        <v>11</v>
      </c>
      <c r="B18" s="58" t="s">
        <v>12</v>
      </c>
      <c r="C18" s="61">
        <v>45.207633999999999</v>
      </c>
      <c r="D18" s="61">
        <v>45.207633999999999</v>
      </c>
      <c r="E18" s="61">
        <v>45.122737999999998</v>
      </c>
      <c r="F18" s="61">
        <v>43.267344999999999</v>
      </c>
      <c r="G18" s="61">
        <v>43.046135</v>
      </c>
      <c r="H18" s="61">
        <v>42.817745000000002</v>
      </c>
      <c r="I18" s="61">
        <v>42.559071000000003</v>
      </c>
      <c r="J18" s="61">
        <v>42.293137000000002</v>
      </c>
      <c r="K18" s="61">
        <v>42.024814999999997</v>
      </c>
      <c r="L18" s="61">
        <v>41.620972000000002</v>
      </c>
      <c r="M18" s="61">
        <v>41.217129</v>
      </c>
      <c r="N18" s="61">
        <v>40.813290000000002</v>
      </c>
      <c r="O18" s="61">
        <v>40.156348999999999</v>
      </c>
      <c r="P18" s="61">
        <v>39.466723999999999</v>
      </c>
      <c r="Q18" s="61">
        <v>38.769131000000002</v>
      </c>
      <c r="R18" s="61">
        <v>37.904128999999998</v>
      </c>
      <c r="S18" s="61">
        <v>37.069423999999998</v>
      </c>
      <c r="T18" s="61">
        <v>36.021155999999998</v>
      </c>
      <c r="U18" s="61">
        <v>34.914703000000003</v>
      </c>
      <c r="V18" s="61">
        <v>33.943759999999997</v>
      </c>
      <c r="W18" s="61">
        <v>32.853245000000001</v>
      </c>
      <c r="X18" s="61">
        <v>31.762732</v>
      </c>
      <c r="Y18" s="61">
        <v>31.010211999999999</v>
      </c>
      <c r="Z18" s="61">
        <v>30.418717999999998</v>
      </c>
      <c r="AA18" s="61">
        <v>29.843166</v>
      </c>
      <c r="AB18" s="61">
        <v>29.442198000000001</v>
      </c>
      <c r="AC18" s="61">
        <v>29.041225000000001</v>
      </c>
      <c r="AD18" s="61">
        <v>28.861069000000001</v>
      </c>
      <c r="AE18" s="61">
        <v>28.741492999999998</v>
      </c>
      <c r="AF18" s="59">
        <v>-1.6046000000000001E-2</v>
      </c>
      <c r="AG18" s="49"/>
    </row>
    <row r="19" spans="1:33" ht="15" customHeight="1" x14ac:dyDescent="0.25">
      <c r="A19" s="48" t="s">
        <v>13</v>
      </c>
      <c r="B19" s="58" t="s">
        <v>14</v>
      </c>
      <c r="C19" s="61">
        <v>246.61035200000001</v>
      </c>
      <c r="D19" s="61">
        <v>217.95597799999999</v>
      </c>
      <c r="E19" s="61">
        <v>274.05456500000003</v>
      </c>
      <c r="F19" s="61">
        <v>264.93292200000002</v>
      </c>
      <c r="G19" s="61">
        <v>264.27581800000002</v>
      </c>
      <c r="H19" s="61">
        <v>287.935699</v>
      </c>
      <c r="I19" s="61">
        <v>339.67275999999998</v>
      </c>
      <c r="J19" s="61">
        <v>370.75112899999999</v>
      </c>
      <c r="K19" s="61">
        <v>406.23925800000001</v>
      </c>
      <c r="L19" s="61">
        <v>433.96310399999999</v>
      </c>
      <c r="M19" s="61">
        <v>448.35299700000002</v>
      </c>
      <c r="N19" s="61">
        <v>465.68640099999999</v>
      </c>
      <c r="O19" s="61">
        <v>492.16137700000002</v>
      </c>
      <c r="P19" s="61">
        <v>488.947205</v>
      </c>
      <c r="Q19" s="61">
        <v>498.16674799999998</v>
      </c>
      <c r="R19" s="61">
        <v>483.17407200000002</v>
      </c>
      <c r="S19" s="61">
        <v>482.24237099999999</v>
      </c>
      <c r="T19" s="61">
        <v>477.69973800000002</v>
      </c>
      <c r="U19" s="61">
        <v>479.71346999999997</v>
      </c>
      <c r="V19" s="61">
        <v>488.48278800000003</v>
      </c>
      <c r="W19" s="61">
        <v>493.264252</v>
      </c>
      <c r="X19" s="61">
        <v>499.91653400000001</v>
      </c>
      <c r="Y19" s="61">
        <v>518.64453100000003</v>
      </c>
      <c r="Z19" s="61">
        <v>524.39373799999998</v>
      </c>
      <c r="AA19" s="61">
        <v>547.19750999999997</v>
      </c>
      <c r="AB19" s="61">
        <v>562.658142</v>
      </c>
      <c r="AC19" s="61">
        <v>566.25146500000005</v>
      </c>
      <c r="AD19" s="61">
        <v>580.28668200000004</v>
      </c>
      <c r="AE19" s="61">
        <v>586.51593000000003</v>
      </c>
      <c r="AF19" s="59">
        <v>3.1426000000000003E-2</v>
      </c>
      <c r="AG19" s="49"/>
    </row>
    <row r="20" spans="1:33" ht="15" customHeight="1" x14ac:dyDescent="0.25">
      <c r="A20" s="48" t="s">
        <v>15</v>
      </c>
      <c r="B20" s="57" t="s">
        <v>278</v>
      </c>
      <c r="C20" s="64">
        <v>291.817993</v>
      </c>
      <c r="D20" s="64">
        <v>263.16360500000002</v>
      </c>
      <c r="E20" s="64">
        <v>319.17733800000002</v>
      </c>
      <c r="F20" s="64">
        <v>308.20025600000002</v>
      </c>
      <c r="G20" s="64">
        <v>307.32195999999999</v>
      </c>
      <c r="H20" s="64">
        <v>330.75344799999999</v>
      </c>
      <c r="I20" s="64">
        <v>382.23184199999997</v>
      </c>
      <c r="J20" s="64">
        <v>413.04428100000001</v>
      </c>
      <c r="K20" s="64">
        <v>448.26406900000001</v>
      </c>
      <c r="L20" s="64">
        <v>475.58407599999998</v>
      </c>
      <c r="M20" s="64">
        <v>489.57012900000001</v>
      </c>
      <c r="N20" s="64">
        <v>506.49969499999997</v>
      </c>
      <c r="O20" s="64">
        <v>532.31768799999998</v>
      </c>
      <c r="P20" s="64">
        <v>528.41394000000003</v>
      </c>
      <c r="Q20" s="64">
        <v>536.93591300000003</v>
      </c>
      <c r="R20" s="64">
        <v>521.07818599999996</v>
      </c>
      <c r="S20" s="64">
        <v>519.31176800000003</v>
      </c>
      <c r="T20" s="64">
        <v>513.72088599999995</v>
      </c>
      <c r="U20" s="64">
        <v>514.62817399999994</v>
      </c>
      <c r="V20" s="64">
        <v>522.426514</v>
      </c>
      <c r="W20" s="64">
        <v>526.11749299999997</v>
      </c>
      <c r="X20" s="64">
        <v>531.67926</v>
      </c>
      <c r="Y20" s="64">
        <v>549.65478499999995</v>
      </c>
      <c r="Z20" s="64">
        <v>554.81237799999997</v>
      </c>
      <c r="AA20" s="64">
        <v>577.04070999999999</v>
      </c>
      <c r="AB20" s="64">
        <v>592.10034199999996</v>
      </c>
      <c r="AC20" s="64">
        <v>595.29272500000002</v>
      </c>
      <c r="AD20" s="64">
        <v>609.14770499999997</v>
      </c>
      <c r="AE20" s="64">
        <v>615.257385</v>
      </c>
      <c r="AF20" s="60">
        <v>2.6998000000000001E-2</v>
      </c>
      <c r="AG20" s="49"/>
    </row>
    <row r="21" spans="1:33" ht="15" customHeight="1" x14ac:dyDescent="0.25">
      <c r="A21" s="45"/>
      <c r="B21" s="49"/>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x14ac:dyDescent="0.25">
      <c r="A22" s="45"/>
      <c r="B22" s="57" t="s">
        <v>403</v>
      </c>
      <c r="C22" s="49"/>
      <c r="D22" s="49"/>
      <c r="E22" s="49"/>
      <c r="F22" s="49"/>
      <c r="G22" s="49"/>
      <c r="H22" s="49"/>
      <c r="I22" s="49"/>
      <c r="J22" s="49"/>
      <c r="K22" s="49"/>
      <c r="L22" s="49"/>
      <c r="M22" s="49"/>
      <c r="N22" s="49"/>
      <c r="O22" s="49"/>
      <c r="P22" s="49"/>
      <c r="Q22" s="49"/>
      <c r="R22" s="49"/>
      <c r="S22" s="49"/>
      <c r="T22" s="49"/>
      <c r="U22" s="49"/>
      <c r="V22" s="49"/>
      <c r="W22" s="49"/>
      <c r="X22" s="49"/>
      <c r="Y22" s="49"/>
      <c r="Z22" s="49"/>
      <c r="AA22" s="49"/>
      <c r="AB22" s="49"/>
      <c r="AC22" s="49"/>
      <c r="AD22" s="49"/>
      <c r="AE22" s="49"/>
      <c r="AF22" s="49"/>
      <c r="AG22" s="49"/>
    </row>
    <row r="23" spans="1:33" ht="15" customHeight="1" x14ac:dyDescent="0.25">
      <c r="A23" s="48" t="s">
        <v>16</v>
      </c>
      <c r="B23" s="58" t="s">
        <v>12</v>
      </c>
      <c r="C23" s="61">
        <v>3520.6728520000001</v>
      </c>
      <c r="D23" s="61">
        <v>3520.6728520000001</v>
      </c>
      <c r="E23" s="61">
        <v>3514.0610350000002</v>
      </c>
      <c r="F23" s="61">
        <v>3369.5671390000002</v>
      </c>
      <c r="G23" s="61">
        <v>3352.3398440000001</v>
      </c>
      <c r="H23" s="61">
        <v>3334.5539549999999</v>
      </c>
      <c r="I23" s="61">
        <v>3314.4084469999998</v>
      </c>
      <c r="J23" s="61">
        <v>3293.6979980000001</v>
      </c>
      <c r="K23" s="61">
        <v>3272.8017580000001</v>
      </c>
      <c r="L23" s="61">
        <v>3241.3510740000002</v>
      </c>
      <c r="M23" s="61">
        <v>3209.9013669999999</v>
      </c>
      <c r="N23" s="61">
        <v>3178.4504390000002</v>
      </c>
      <c r="O23" s="61">
        <v>3127.2897950000001</v>
      </c>
      <c r="P23" s="61">
        <v>3073.5832519999999</v>
      </c>
      <c r="Q23" s="61">
        <v>3019.2561040000001</v>
      </c>
      <c r="R23" s="61">
        <v>2951.8920899999998</v>
      </c>
      <c r="S23" s="61">
        <v>2886.8867190000001</v>
      </c>
      <c r="T23" s="61">
        <v>2805.25</v>
      </c>
      <c r="U23" s="61">
        <v>2719.0817870000001</v>
      </c>
      <c r="V23" s="61">
        <v>2643.466797</v>
      </c>
      <c r="W23" s="61">
        <v>2558.540039</v>
      </c>
      <c r="X23" s="61">
        <v>2473.6127929999998</v>
      </c>
      <c r="Y23" s="61">
        <v>2415.0083009999998</v>
      </c>
      <c r="Z23" s="61">
        <v>2368.9440920000002</v>
      </c>
      <c r="AA23" s="61">
        <v>2324.1215820000002</v>
      </c>
      <c r="AB23" s="61">
        <v>2292.8947750000002</v>
      </c>
      <c r="AC23" s="61">
        <v>2261.6679690000001</v>
      </c>
      <c r="AD23" s="61">
        <v>2247.6376949999999</v>
      </c>
      <c r="AE23" s="61">
        <v>2238.3254390000002</v>
      </c>
      <c r="AF23" s="59">
        <v>-1.6046000000000001E-2</v>
      </c>
      <c r="AG23" s="49"/>
    </row>
    <row r="24" spans="1:33" ht="15" customHeight="1" x14ac:dyDescent="0.25">
      <c r="A24" s="48" t="s">
        <v>17</v>
      </c>
      <c r="B24" s="58" t="s">
        <v>14</v>
      </c>
      <c r="C24" s="61">
        <v>10427.895508</v>
      </c>
      <c r="D24" s="61">
        <v>13621.392578000001</v>
      </c>
      <c r="E24" s="61">
        <v>11297.646484000001</v>
      </c>
      <c r="F24" s="61">
        <v>9574.5322269999997</v>
      </c>
      <c r="G24" s="61">
        <v>8718.8300780000009</v>
      </c>
      <c r="H24" s="61">
        <v>8855.3066409999992</v>
      </c>
      <c r="I24" s="61">
        <v>10068.644531</v>
      </c>
      <c r="J24" s="61">
        <v>10250.557617</v>
      </c>
      <c r="K24" s="61">
        <v>11043.314453000001</v>
      </c>
      <c r="L24" s="61">
        <v>11850.897461</v>
      </c>
      <c r="M24" s="61">
        <v>12802.650390999999</v>
      </c>
      <c r="N24" s="61">
        <v>13765.316406</v>
      </c>
      <c r="O24" s="61">
        <v>14903.182617</v>
      </c>
      <c r="P24" s="61">
        <v>15293.291992</v>
      </c>
      <c r="Q24" s="61">
        <v>15932.724609000001</v>
      </c>
      <c r="R24" s="61">
        <v>16217.724609000001</v>
      </c>
      <c r="S24" s="61">
        <v>16823.498047000001</v>
      </c>
      <c r="T24" s="61">
        <v>16185.442383</v>
      </c>
      <c r="U24" s="61">
        <v>16817.53125</v>
      </c>
      <c r="V24" s="61">
        <v>17552.167968999998</v>
      </c>
      <c r="W24" s="61">
        <v>17724.509765999999</v>
      </c>
      <c r="X24" s="61">
        <v>17991.486327999999</v>
      </c>
      <c r="Y24" s="61">
        <v>18770.357422000001</v>
      </c>
      <c r="Z24" s="61">
        <v>18757.990234000001</v>
      </c>
      <c r="AA24" s="61">
        <v>19811.654297000001</v>
      </c>
      <c r="AB24" s="61">
        <v>20638.914062</v>
      </c>
      <c r="AC24" s="61">
        <v>20734.65625</v>
      </c>
      <c r="AD24" s="61">
        <v>21173.021484000001</v>
      </c>
      <c r="AE24" s="61">
        <v>21280.439452999999</v>
      </c>
      <c r="AF24" s="59">
        <v>2.5801999999999999E-2</v>
      </c>
      <c r="AG24" s="49"/>
    </row>
    <row r="25" spans="1:33" ht="15" customHeight="1" x14ac:dyDescent="0.25">
      <c r="A25" s="48" t="s">
        <v>18</v>
      </c>
      <c r="B25" s="57" t="s">
        <v>278</v>
      </c>
      <c r="C25" s="64">
        <v>13948.568359000001</v>
      </c>
      <c r="D25" s="64">
        <v>17142.066406000002</v>
      </c>
      <c r="E25" s="64">
        <v>14811.707031</v>
      </c>
      <c r="F25" s="64">
        <v>12944.099609000001</v>
      </c>
      <c r="G25" s="64">
        <v>12071.169921999999</v>
      </c>
      <c r="H25" s="64">
        <v>12189.860352</v>
      </c>
      <c r="I25" s="64">
        <v>13383.052734000001</v>
      </c>
      <c r="J25" s="64">
        <v>13544.255859000001</v>
      </c>
      <c r="K25" s="64">
        <v>14316.116211</v>
      </c>
      <c r="L25" s="64">
        <v>15092.248046999999</v>
      </c>
      <c r="M25" s="64">
        <v>16012.551758</v>
      </c>
      <c r="N25" s="64">
        <v>16943.767577999999</v>
      </c>
      <c r="O25" s="64">
        <v>18030.472656000002</v>
      </c>
      <c r="P25" s="64">
        <v>18366.875</v>
      </c>
      <c r="Q25" s="64">
        <v>18951.980468999998</v>
      </c>
      <c r="R25" s="64">
        <v>19169.617188</v>
      </c>
      <c r="S25" s="64">
        <v>19710.384765999999</v>
      </c>
      <c r="T25" s="64">
        <v>18990.691406000002</v>
      </c>
      <c r="U25" s="64">
        <v>19536.613281000002</v>
      </c>
      <c r="V25" s="64">
        <v>20195.634765999999</v>
      </c>
      <c r="W25" s="64">
        <v>20283.050781000002</v>
      </c>
      <c r="X25" s="64">
        <v>20465.099609000001</v>
      </c>
      <c r="Y25" s="64">
        <v>21185.365234000001</v>
      </c>
      <c r="Z25" s="64">
        <v>21126.933593999998</v>
      </c>
      <c r="AA25" s="64">
        <v>22135.775390999999</v>
      </c>
      <c r="AB25" s="64">
        <v>22931.808593999998</v>
      </c>
      <c r="AC25" s="64">
        <v>22996.324218999998</v>
      </c>
      <c r="AD25" s="64">
        <v>23420.660156000002</v>
      </c>
      <c r="AE25" s="64">
        <v>23518.765625</v>
      </c>
      <c r="AF25" s="60">
        <v>1.8832999999999999E-2</v>
      </c>
      <c r="AG25" s="49"/>
    </row>
    <row r="26" spans="1:33" ht="15" customHeight="1" x14ac:dyDescent="0.25">
      <c r="A26" s="45"/>
      <c r="B26" s="49"/>
      <c r="C26" s="49"/>
      <c r="D26" s="49"/>
      <c r="E26" s="49"/>
      <c r="F26" s="49"/>
      <c r="G26" s="49"/>
      <c r="H26" s="49"/>
      <c r="I26" s="49"/>
      <c r="J26" s="49"/>
      <c r="K26" s="49"/>
      <c r="L26" s="49"/>
      <c r="M26" s="49"/>
      <c r="N26" s="49"/>
      <c r="O26" s="49"/>
      <c r="P26" s="49"/>
      <c r="Q26" s="49"/>
      <c r="R26" s="49"/>
      <c r="S26" s="49"/>
      <c r="T26" s="49"/>
      <c r="U26" s="49"/>
      <c r="V26" s="49"/>
      <c r="W26" s="49"/>
      <c r="X26" s="49"/>
      <c r="Y26" s="49"/>
      <c r="Z26" s="49"/>
      <c r="AA26" s="49"/>
      <c r="AB26" s="49"/>
      <c r="AC26" s="49"/>
      <c r="AD26" s="49"/>
      <c r="AE26" s="49"/>
      <c r="AF26" s="49"/>
      <c r="AG26" s="49"/>
    </row>
    <row r="27" spans="1:33" ht="15" customHeight="1" x14ac:dyDescent="0.25">
      <c r="A27" s="45"/>
      <c r="B27" s="57" t="s">
        <v>19</v>
      </c>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x14ac:dyDescent="0.25">
      <c r="A28" s="45"/>
      <c r="B28" s="49"/>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x14ac:dyDescent="0.25">
      <c r="A29" s="45"/>
      <c r="B29" s="57" t="s">
        <v>20</v>
      </c>
      <c r="C29" s="49"/>
      <c r="D29" s="49"/>
      <c r="E29" s="49"/>
      <c r="F29" s="49"/>
      <c r="G29" s="49"/>
      <c r="H29" s="49"/>
      <c r="I29" s="49"/>
      <c r="J29" s="49"/>
      <c r="K29" s="49"/>
      <c r="L29" s="49"/>
      <c r="M29" s="49"/>
      <c r="N29" s="49"/>
      <c r="O29" s="49"/>
      <c r="P29" s="49"/>
      <c r="Q29" s="49"/>
      <c r="R29" s="49"/>
      <c r="S29" s="49"/>
      <c r="T29" s="49"/>
      <c r="U29" s="49"/>
      <c r="V29" s="49"/>
      <c r="W29" s="49"/>
      <c r="X29" s="49"/>
      <c r="Y29" s="49"/>
      <c r="Z29" s="49"/>
      <c r="AA29" s="49"/>
      <c r="AB29" s="49"/>
      <c r="AC29" s="49"/>
      <c r="AD29" s="49"/>
      <c r="AE29" s="49"/>
      <c r="AF29" s="49"/>
      <c r="AG29" s="49"/>
    </row>
    <row r="30" spans="1:33" ht="15" customHeight="1" x14ac:dyDescent="0.25">
      <c r="A30" s="48" t="s">
        <v>21</v>
      </c>
      <c r="B30" s="58" t="s">
        <v>12</v>
      </c>
      <c r="C30" s="62">
        <v>15.799711</v>
      </c>
      <c r="D30" s="62">
        <v>16.437441</v>
      </c>
      <c r="E30" s="62">
        <v>16.437441</v>
      </c>
      <c r="F30" s="62">
        <v>16.437441</v>
      </c>
      <c r="G30" s="62">
        <v>16.437441</v>
      </c>
      <c r="H30" s="62">
        <v>18.095531000000001</v>
      </c>
      <c r="I30" s="62">
        <v>18.095531000000001</v>
      </c>
      <c r="J30" s="62">
        <v>18.031760999999999</v>
      </c>
      <c r="K30" s="62">
        <v>17.967987000000001</v>
      </c>
      <c r="L30" s="62">
        <v>17.904212999999999</v>
      </c>
      <c r="M30" s="62">
        <v>17.840440999999998</v>
      </c>
      <c r="N30" s="62">
        <v>17.776668999999998</v>
      </c>
      <c r="O30" s="62">
        <v>17.712893999999999</v>
      </c>
      <c r="P30" s="62">
        <v>17.649121999999998</v>
      </c>
      <c r="Q30" s="62">
        <v>17.306345</v>
      </c>
      <c r="R30" s="62">
        <v>17.242571000000002</v>
      </c>
      <c r="S30" s="62">
        <v>17.178801</v>
      </c>
      <c r="T30" s="62">
        <v>17.178801</v>
      </c>
      <c r="U30" s="62">
        <v>17.178801</v>
      </c>
      <c r="V30" s="62">
        <v>17.178801</v>
      </c>
      <c r="W30" s="62">
        <v>17.178801</v>
      </c>
      <c r="X30" s="62">
        <v>17.178801</v>
      </c>
      <c r="Y30" s="62">
        <v>17.178801</v>
      </c>
      <c r="Z30" s="62">
        <v>17.178801</v>
      </c>
      <c r="AA30" s="62">
        <v>17.178801</v>
      </c>
      <c r="AB30" s="62">
        <v>17.178801</v>
      </c>
      <c r="AC30" s="62">
        <v>17.178801</v>
      </c>
      <c r="AD30" s="62">
        <v>17.178801</v>
      </c>
      <c r="AE30" s="62">
        <v>17.178801</v>
      </c>
      <c r="AF30" s="59">
        <v>2.993E-3</v>
      </c>
      <c r="AG30" s="49"/>
    </row>
    <row r="31" spans="1:33" x14ac:dyDescent="0.25">
      <c r="A31" s="48" t="s">
        <v>22</v>
      </c>
      <c r="B31" s="58" t="s">
        <v>14</v>
      </c>
      <c r="C31" s="62">
        <v>42.616199000000002</v>
      </c>
      <c r="D31" s="62">
        <v>50.412154999999998</v>
      </c>
      <c r="E31" s="62">
        <v>42.907916999999998</v>
      </c>
      <c r="F31" s="62">
        <v>37.916794000000003</v>
      </c>
      <c r="G31" s="62">
        <v>39.056049000000002</v>
      </c>
      <c r="H31" s="62">
        <v>41.376658999999997</v>
      </c>
      <c r="I31" s="62">
        <v>43.812645000000003</v>
      </c>
      <c r="J31" s="62">
        <v>41.663772999999999</v>
      </c>
      <c r="K31" s="62">
        <v>44.000610000000002</v>
      </c>
      <c r="L31" s="62">
        <v>41.520843999999997</v>
      </c>
      <c r="M31" s="62">
        <v>42.651927999999998</v>
      </c>
      <c r="N31" s="62">
        <v>43.216296999999997</v>
      </c>
      <c r="O31" s="62">
        <v>43.677039999999998</v>
      </c>
      <c r="P31" s="62">
        <v>42.577164000000003</v>
      </c>
      <c r="Q31" s="62">
        <v>42.541195000000002</v>
      </c>
      <c r="R31" s="62">
        <v>42.572879999999998</v>
      </c>
      <c r="S31" s="62">
        <v>43.397404000000002</v>
      </c>
      <c r="T31" s="62">
        <v>44.032111999999998</v>
      </c>
      <c r="U31" s="62">
        <v>44.547049999999999</v>
      </c>
      <c r="V31" s="62">
        <v>43.139381</v>
      </c>
      <c r="W31" s="62">
        <v>43.113739000000002</v>
      </c>
      <c r="X31" s="62">
        <v>42.432346000000003</v>
      </c>
      <c r="Y31" s="62">
        <v>41.618855000000003</v>
      </c>
      <c r="Z31" s="62">
        <v>40.813282000000001</v>
      </c>
      <c r="AA31" s="62">
        <v>39.891457000000003</v>
      </c>
      <c r="AB31" s="62">
        <v>39.743462000000001</v>
      </c>
      <c r="AC31" s="62">
        <v>40.150204000000002</v>
      </c>
      <c r="AD31" s="62">
        <v>39.705466999999999</v>
      </c>
      <c r="AE31" s="62">
        <v>39.110512</v>
      </c>
      <c r="AF31" s="59">
        <v>-3.0609999999999999E-3</v>
      </c>
      <c r="AG31" s="49"/>
    </row>
    <row r="32" spans="1:33" x14ac:dyDescent="0.25">
      <c r="A32" s="48" t="s">
        <v>23</v>
      </c>
      <c r="B32" s="57" t="s">
        <v>279</v>
      </c>
      <c r="C32" s="65">
        <v>58.415913000000003</v>
      </c>
      <c r="D32" s="65">
        <v>66.849593999999996</v>
      </c>
      <c r="E32" s="65">
        <v>59.345356000000002</v>
      </c>
      <c r="F32" s="65">
        <v>54.354236999999998</v>
      </c>
      <c r="G32" s="65">
        <v>55.493487999999999</v>
      </c>
      <c r="H32" s="65">
        <v>59.472191000000002</v>
      </c>
      <c r="I32" s="65">
        <v>61.908180000000002</v>
      </c>
      <c r="J32" s="65">
        <v>59.695534000000002</v>
      </c>
      <c r="K32" s="65">
        <v>61.968597000000003</v>
      </c>
      <c r="L32" s="65">
        <v>59.425055999999998</v>
      </c>
      <c r="M32" s="65">
        <v>60.492370999999999</v>
      </c>
      <c r="N32" s="65">
        <v>60.99297</v>
      </c>
      <c r="O32" s="65">
        <v>61.389938000000001</v>
      </c>
      <c r="P32" s="65">
        <v>60.226284</v>
      </c>
      <c r="Q32" s="65">
        <v>59.847538</v>
      </c>
      <c r="R32" s="65">
        <v>59.815452999999998</v>
      </c>
      <c r="S32" s="65">
        <v>60.576205999999999</v>
      </c>
      <c r="T32" s="65">
        <v>61.210911000000003</v>
      </c>
      <c r="U32" s="65">
        <v>61.725845</v>
      </c>
      <c r="V32" s="65">
        <v>60.318184000000002</v>
      </c>
      <c r="W32" s="65">
        <v>60.292541999999997</v>
      </c>
      <c r="X32" s="65">
        <v>59.611145</v>
      </c>
      <c r="Y32" s="65">
        <v>58.797649</v>
      </c>
      <c r="Z32" s="65">
        <v>57.992080999999999</v>
      </c>
      <c r="AA32" s="65">
        <v>57.070250999999999</v>
      </c>
      <c r="AB32" s="65">
        <v>56.922260000000001</v>
      </c>
      <c r="AC32" s="65">
        <v>57.329002000000003</v>
      </c>
      <c r="AD32" s="65">
        <v>56.884270000000001</v>
      </c>
      <c r="AE32" s="65">
        <v>56.289313999999997</v>
      </c>
      <c r="AF32" s="60">
        <v>-1.3240000000000001E-3</v>
      </c>
      <c r="AG32" s="49"/>
    </row>
    <row r="33" spans="1:33" x14ac:dyDescent="0.25">
      <c r="A33" s="45"/>
      <c r="B33" s="49"/>
      <c r="C33" s="49"/>
      <c r="D33" s="49"/>
      <c r="E33" s="49"/>
      <c r="F33" s="49"/>
      <c r="G33" s="49"/>
      <c r="H33" s="49"/>
      <c r="I33" s="49"/>
      <c r="J33" s="49"/>
      <c r="K33" s="49"/>
      <c r="L33" s="49"/>
      <c r="M33" s="49"/>
      <c r="N33" s="49"/>
      <c r="O33" s="49"/>
      <c r="P33" s="49"/>
      <c r="Q33" s="49"/>
      <c r="R33" s="49"/>
      <c r="S33" s="49"/>
      <c r="T33" s="49"/>
      <c r="U33" s="49"/>
      <c r="V33" s="49"/>
      <c r="W33" s="49"/>
      <c r="X33" s="49"/>
      <c r="Y33" s="49"/>
      <c r="Z33" s="49"/>
      <c r="AA33" s="49"/>
      <c r="AB33" s="49"/>
      <c r="AC33" s="49"/>
      <c r="AD33" s="49"/>
      <c r="AE33" s="49"/>
      <c r="AF33" s="49"/>
      <c r="AG33" s="49"/>
    </row>
    <row r="34" spans="1:33" x14ac:dyDescent="0.25">
      <c r="A34" s="45"/>
      <c r="B34" s="57" t="s">
        <v>24</v>
      </c>
      <c r="C34" s="49"/>
      <c r="D34" s="49"/>
      <c r="E34" s="49"/>
      <c r="F34" s="49"/>
      <c r="G34" s="49"/>
      <c r="H34" s="49"/>
      <c r="I34" s="49"/>
      <c r="J34" s="49"/>
      <c r="K34" s="49"/>
      <c r="L34" s="49"/>
      <c r="M34" s="49"/>
      <c r="N34" s="49"/>
      <c r="O34" s="49"/>
      <c r="P34" s="49"/>
      <c r="Q34" s="49"/>
      <c r="R34" s="49"/>
      <c r="S34" s="49"/>
      <c r="T34" s="49"/>
      <c r="U34" s="49"/>
      <c r="V34" s="49"/>
      <c r="W34" s="49"/>
      <c r="X34" s="49"/>
      <c r="Y34" s="49"/>
      <c r="Z34" s="49"/>
      <c r="AA34" s="49"/>
      <c r="AB34" s="49"/>
      <c r="AC34" s="49"/>
      <c r="AD34" s="49"/>
      <c r="AE34" s="49"/>
      <c r="AF34" s="49"/>
      <c r="AG34" s="49"/>
    </row>
    <row r="35" spans="1:33" x14ac:dyDescent="0.25">
      <c r="A35" s="48" t="s">
        <v>25</v>
      </c>
      <c r="B35" s="58" t="s">
        <v>12</v>
      </c>
      <c r="C35" s="62">
        <v>1.19574</v>
      </c>
      <c r="D35" s="62">
        <v>1.19574</v>
      </c>
      <c r="E35" s="62">
        <v>1.19574</v>
      </c>
      <c r="F35" s="62">
        <v>1.19574</v>
      </c>
      <c r="G35" s="62">
        <v>1.19574</v>
      </c>
      <c r="H35" s="62">
        <v>1.19574</v>
      </c>
      <c r="I35" s="62">
        <v>1.19574</v>
      </c>
      <c r="J35" s="62">
        <v>1.19574</v>
      </c>
      <c r="K35" s="62">
        <v>1.19574</v>
      </c>
      <c r="L35" s="62">
        <v>1.076166</v>
      </c>
      <c r="M35" s="62">
        <v>0.956592</v>
      </c>
      <c r="N35" s="62">
        <v>0.83701800000000004</v>
      </c>
      <c r="O35" s="62">
        <v>0.71744399999999997</v>
      </c>
      <c r="P35" s="62">
        <v>0.59787000000000001</v>
      </c>
      <c r="Q35" s="62">
        <v>0.478296</v>
      </c>
      <c r="R35" s="62">
        <v>0.35872199999999999</v>
      </c>
      <c r="S35" s="62">
        <v>0.239148</v>
      </c>
      <c r="T35" s="62">
        <v>0.119574</v>
      </c>
      <c r="U35" s="62">
        <v>0</v>
      </c>
      <c r="V35" s="62">
        <v>0</v>
      </c>
      <c r="W35" s="62">
        <v>0</v>
      </c>
      <c r="X35" s="62">
        <v>0</v>
      </c>
      <c r="Y35" s="62">
        <v>0</v>
      </c>
      <c r="Z35" s="62">
        <v>0</v>
      </c>
      <c r="AA35" s="62">
        <v>0</v>
      </c>
      <c r="AB35" s="62">
        <v>0</v>
      </c>
      <c r="AC35" s="62">
        <v>0</v>
      </c>
      <c r="AD35" s="62">
        <v>0</v>
      </c>
      <c r="AE35" s="62">
        <v>0</v>
      </c>
      <c r="AF35" s="59" t="s">
        <v>305</v>
      </c>
      <c r="AG35" s="49"/>
    </row>
    <row r="36" spans="1:33" x14ac:dyDescent="0.25">
      <c r="A36" s="48" t="s">
        <v>27</v>
      </c>
      <c r="B36" s="58" t="s">
        <v>14</v>
      </c>
      <c r="C36" s="62">
        <v>14.533877</v>
      </c>
      <c r="D36" s="62">
        <v>14.533877</v>
      </c>
      <c r="E36" s="62">
        <v>14.533877</v>
      </c>
      <c r="F36" s="62">
        <v>14.533877</v>
      </c>
      <c r="G36" s="62">
        <v>14.533877</v>
      </c>
      <c r="H36" s="62">
        <v>14.533877</v>
      </c>
      <c r="I36" s="62">
        <v>14.533877</v>
      </c>
      <c r="J36" s="62">
        <v>14.533877</v>
      </c>
      <c r="K36" s="62">
        <v>14.533877</v>
      </c>
      <c r="L36" s="62">
        <v>14.653452</v>
      </c>
      <c r="M36" s="62">
        <v>14.773026</v>
      </c>
      <c r="N36" s="62">
        <v>14.8926</v>
      </c>
      <c r="O36" s="62">
        <v>15.012174999999999</v>
      </c>
      <c r="P36" s="62">
        <v>15.131748</v>
      </c>
      <c r="Q36" s="62">
        <v>15.251322</v>
      </c>
      <c r="R36" s="62">
        <v>15.370896</v>
      </c>
      <c r="S36" s="62">
        <v>15.49047</v>
      </c>
      <c r="T36" s="62">
        <v>15.610044</v>
      </c>
      <c r="U36" s="62">
        <v>15.729618</v>
      </c>
      <c r="V36" s="62">
        <v>15.729618</v>
      </c>
      <c r="W36" s="62">
        <v>15.729618</v>
      </c>
      <c r="X36" s="62">
        <v>15.729618</v>
      </c>
      <c r="Y36" s="62">
        <v>15.729618</v>
      </c>
      <c r="Z36" s="62">
        <v>15.729618</v>
      </c>
      <c r="AA36" s="62">
        <v>15.729618</v>
      </c>
      <c r="AB36" s="62">
        <v>15.729618</v>
      </c>
      <c r="AC36" s="62">
        <v>15.729618</v>
      </c>
      <c r="AD36" s="62">
        <v>15.729618</v>
      </c>
      <c r="AE36" s="62">
        <v>15.729618</v>
      </c>
      <c r="AF36" s="59">
        <v>2.8279999999999998E-3</v>
      </c>
      <c r="AG36" s="49"/>
    </row>
    <row r="37" spans="1:33" x14ac:dyDescent="0.25">
      <c r="A37" s="48" t="s">
        <v>28</v>
      </c>
      <c r="B37" s="57" t="s">
        <v>280</v>
      </c>
      <c r="C37" s="65">
        <v>15.729618</v>
      </c>
      <c r="D37" s="65">
        <v>15.729618</v>
      </c>
      <c r="E37" s="65">
        <v>15.729618</v>
      </c>
      <c r="F37" s="65">
        <v>15.729618</v>
      </c>
      <c r="G37" s="65">
        <v>15.729618</v>
      </c>
      <c r="H37" s="65">
        <v>15.729618</v>
      </c>
      <c r="I37" s="65">
        <v>15.729618</v>
      </c>
      <c r="J37" s="65">
        <v>15.729618</v>
      </c>
      <c r="K37" s="65">
        <v>15.729618</v>
      </c>
      <c r="L37" s="65">
        <v>15.729618</v>
      </c>
      <c r="M37" s="65">
        <v>15.729618</v>
      </c>
      <c r="N37" s="65">
        <v>15.729618</v>
      </c>
      <c r="O37" s="65">
        <v>15.729619</v>
      </c>
      <c r="P37" s="65">
        <v>15.729618</v>
      </c>
      <c r="Q37" s="65">
        <v>15.729618</v>
      </c>
      <c r="R37" s="65">
        <v>15.729618</v>
      </c>
      <c r="S37" s="65">
        <v>15.729618</v>
      </c>
      <c r="T37" s="65">
        <v>15.729618</v>
      </c>
      <c r="U37" s="65">
        <v>15.729618</v>
      </c>
      <c r="V37" s="65">
        <v>15.729618</v>
      </c>
      <c r="W37" s="65">
        <v>15.729618</v>
      </c>
      <c r="X37" s="65">
        <v>15.729618</v>
      </c>
      <c r="Y37" s="65">
        <v>15.729618</v>
      </c>
      <c r="Z37" s="65">
        <v>15.729618</v>
      </c>
      <c r="AA37" s="65">
        <v>15.729618</v>
      </c>
      <c r="AB37" s="65">
        <v>15.729618</v>
      </c>
      <c r="AC37" s="65">
        <v>15.729618</v>
      </c>
      <c r="AD37" s="65">
        <v>15.729618</v>
      </c>
      <c r="AE37" s="65">
        <v>15.729618</v>
      </c>
      <c r="AF37" s="60">
        <v>0</v>
      </c>
      <c r="AG37" s="49"/>
    </row>
    <row r="38" spans="1:33" ht="15.75" thickBot="1" x14ac:dyDescent="0.3">
      <c r="A38" s="45"/>
      <c r="B38" s="49"/>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x14ac:dyDescent="0.25">
      <c r="A39" s="45"/>
      <c r="B39" s="63" t="s">
        <v>294</v>
      </c>
      <c r="C39" s="67"/>
      <c r="D39" s="67"/>
      <c r="E39" s="67"/>
      <c r="F39" s="67"/>
      <c r="G39" s="67"/>
      <c r="H39" s="67"/>
      <c r="I39" s="67"/>
      <c r="J39" s="67"/>
      <c r="K39" s="67"/>
      <c r="L39" s="67"/>
      <c r="M39" s="67"/>
      <c r="N39" s="67"/>
      <c r="O39" s="67"/>
      <c r="P39" s="67"/>
      <c r="Q39" s="67"/>
      <c r="R39" s="67"/>
      <c r="S39" s="67"/>
      <c r="T39" s="67"/>
      <c r="U39" s="67"/>
      <c r="V39" s="67"/>
      <c r="W39" s="67"/>
      <c r="X39" s="67"/>
      <c r="Y39" s="67"/>
      <c r="Z39" s="67"/>
      <c r="AA39" s="67"/>
      <c r="AB39" s="67"/>
      <c r="AC39" s="67"/>
      <c r="AD39" s="67"/>
      <c r="AE39" s="67"/>
      <c r="AF39" s="67"/>
      <c r="AG39" s="49"/>
    </row>
    <row r="40" spans="1:33" x14ac:dyDescent="0.25">
      <c r="A40" s="45"/>
      <c r="B40" s="49" t="s">
        <v>308</v>
      </c>
      <c r="C40" s="49"/>
      <c r="D40" s="49"/>
      <c r="E40" s="49"/>
      <c r="F40" s="49"/>
      <c r="G40" s="49"/>
      <c r="H40" s="49"/>
      <c r="I40" s="49"/>
      <c r="J40" s="49"/>
      <c r="K40" s="49"/>
      <c r="L40" s="49"/>
      <c r="M40" s="49"/>
      <c r="N40" s="49"/>
      <c r="O40" s="49"/>
      <c r="P40" s="49"/>
      <c r="Q40" s="49"/>
      <c r="R40" s="49"/>
      <c r="S40" s="49"/>
      <c r="T40" s="49"/>
      <c r="U40" s="49"/>
      <c r="V40" s="49"/>
      <c r="W40" s="49"/>
      <c r="X40" s="49"/>
      <c r="Y40" s="49"/>
      <c r="Z40" s="49"/>
      <c r="AA40" s="49"/>
      <c r="AB40" s="49"/>
      <c r="AC40" s="49"/>
      <c r="AD40" s="49"/>
      <c r="AE40" s="49"/>
      <c r="AF40" s="49"/>
      <c r="AG40" s="49"/>
    </row>
    <row r="41" spans="1:33" x14ac:dyDescent="0.25">
      <c r="A41" s="45"/>
      <c r="B41" s="49" t="s">
        <v>281</v>
      </c>
      <c r="C41" s="49"/>
      <c r="D41" s="49"/>
      <c r="E41" s="49"/>
      <c r="F41" s="49"/>
      <c r="G41" s="49"/>
      <c r="H41" s="49"/>
      <c r="I41" s="49"/>
      <c r="J41" s="49"/>
      <c r="K41" s="49"/>
      <c r="L41" s="49"/>
      <c r="M41" s="49"/>
      <c r="N41" s="49"/>
      <c r="O41" s="49"/>
      <c r="P41" s="49"/>
      <c r="Q41" s="49"/>
      <c r="R41" s="49"/>
      <c r="S41" s="49"/>
      <c r="T41" s="49"/>
      <c r="U41" s="49"/>
      <c r="V41" s="49"/>
      <c r="W41" s="49"/>
      <c r="X41" s="49"/>
      <c r="Y41" s="49"/>
      <c r="Z41" s="49"/>
      <c r="AA41" s="49"/>
      <c r="AB41" s="49"/>
      <c r="AC41" s="49"/>
      <c r="AD41" s="49"/>
      <c r="AE41" s="49"/>
      <c r="AF41" s="49"/>
      <c r="AG41" s="49"/>
    </row>
    <row r="42" spans="1:33" x14ac:dyDescent="0.25">
      <c r="A42" s="45"/>
      <c r="B42" s="49" t="s">
        <v>31</v>
      </c>
      <c r="C42" s="49"/>
      <c r="D42" s="49"/>
      <c r="E42" s="49"/>
      <c r="F42" s="49"/>
      <c r="G42" s="49"/>
      <c r="H42" s="49"/>
      <c r="I42" s="49"/>
      <c r="J42" s="49"/>
      <c r="K42" s="49"/>
      <c r="L42" s="49"/>
      <c r="M42" s="49"/>
      <c r="N42" s="49"/>
      <c r="O42" s="49"/>
      <c r="P42" s="49"/>
      <c r="Q42" s="49"/>
      <c r="R42" s="49"/>
      <c r="S42" s="49"/>
      <c r="T42" s="49"/>
      <c r="U42" s="49"/>
      <c r="V42" s="49"/>
      <c r="W42" s="49"/>
      <c r="X42" s="49"/>
      <c r="Y42" s="49"/>
      <c r="Z42" s="49"/>
      <c r="AA42" s="49"/>
      <c r="AB42" s="49"/>
      <c r="AC42" s="49"/>
      <c r="AD42" s="49"/>
      <c r="AE42" s="49"/>
      <c r="AF42" s="49"/>
      <c r="AG42" s="49"/>
    </row>
    <row r="43" spans="1:33" x14ac:dyDescent="0.25">
      <c r="A43" s="45"/>
      <c r="B43" s="49" t="s">
        <v>30</v>
      </c>
      <c r="C43" s="49"/>
      <c r="D43" s="49"/>
      <c r="E43" s="49"/>
      <c r="F43" s="49"/>
      <c r="G43" s="49"/>
      <c r="H43" s="49"/>
      <c r="I43" s="49"/>
      <c r="J43" s="49"/>
      <c r="K43" s="49"/>
      <c r="L43" s="49"/>
      <c r="M43" s="49"/>
      <c r="N43" s="49"/>
      <c r="O43" s="49"/>
      <c r="P43" s="49"/>
      <c r="Q43" s="49"/>
      <c r="R43" s="49"/>
      <c r="S43" s="49"/>
      <c r="T43" s="49"/>
      <c r="U43" s="49"/>
      <c r="V43" s="49"/>
      <c r="W43" s="49"/>
      <c r="X43" s="49"/>
      <c r="Y43" s="49"/>
      <c r="Z43" s="49"/>
      <c r="AA43" s="49"/>
      <c r="AB43" s="49"/>
      <c r="AC43" s="49"/>
      <c r="AD43" s="49"/>
      <c r="AE43" s="49"/>
      <c r="AF43" s="49"/>
      <c r="AG43" s="49"/>
    </row>
    <row r="44" spans="1:33" x14ac:dyDescent="0.25">
      <c r="A44" s="45"/>
      <c r="B44" s="49" t="s">
        <v>404</v>
      </c>
      <c r="C44" s="49"/>
      <c r="D44" s="49"/>
      <c r="E44" s="49"/>
      <c r="F44" s="49"/>
      <c r="G44" s="49"/>
      <c r="H44" s="49"/>
      <c r="I44" s="49"/>
      <c r="J44" s="49"/>
      <c r="K44" s="49"/>
      <c r="L44" s="49"/>
      <c r="M44" s="49"/>
      <c r="N44" s="49"/>
      <c r="O44" s="49"/>
      <c r="P44" s="49"/>
      <c r="Q44" s="49"/>
      <c r="R44" s="49"/>
      <c r="S44" s="49"/>
      <c r="T44" s="49"/>
      <c r="U44" s="49"/>
      <c r="V44" s="49"/>
      <c r="W44" s="49"/>
      <c r="X44" s="49"/>
      <c r="Y44" s="49"/>
      <c r="Z44" s="49"/>
      <c r="AA44" s="49"/>
      <c r="AB44" s="49"/>
      <c r="AC44" s="49"/>
      <c r="AD44" s="49"/>
      <c r="AE44" s="49"/>
      <c r="AF44" s="49"/>
      <c r="AG44" s="49"/>
    </row>
    <row r="45" spans="1:33" x14ac:dyDescent="0.25">
      <c r="A45" s="45"/>
      <c r="B45" s="49" t="s">
        <v>405</v>
      </c>
      <c r="C45" s="49"/>
      <c r="D45" s="49"/>
      <c r="E45" s="49"/>
      <c r="F45" s="49"/>
      <c r="G45" s="49"/>
      <c r="H45" s="49"/>
      <c r="I45" s="49"/>
      <c r="J45" s="49"/>
      <c r="K45" s="49"/>
      <c r="L45" s="49"/>
      <c r="M45" s="49"/>
      <c r="N45" s="49"/>
      <c r="O45" s="49"/>
      <c r="P45" s="49"/>
      <c r="Q45" s="49"/>
      <c r="R45" s="49"/>
      <c r="S45" s="49"/>
      <c r="T45" s="49"/>
      <c r="U45" s="49"/>
      <c r="V45" s="49"/>
      <c r="W45" s="49"/>
      <c r="X45" s="49"/>
      <c r="Y45" s="49"/>
      <c r="Z45" s="49"/>
      <c r="AA45" s="49"/>
      <c r="AB45" s="49"/>
      <c r="AC45" s="49"/>
      <c r="AD45" s="49"/>
      <c r="AE45" s="49"/>
      <c r="AF45" s="49"/>
      <c r="AG45" s="49"/>
    </row>
    <row r="46" spans="1:33" x14ac:dyDescent="0.25">
      <c r="A46" s="45"/>
      <c r="B46" s="49" t="s">
        <v>406</v>
      </c>
      <c r="C46" s="49"/>
      <c r="D46" s="49"/>
      <c r="E46" s="49"/>
      <c r="F46" s="49"/>
      <c r="G46" s="49"/>
      <c r="H46" s="49"/>
      <c r="I46" s="49"/>
      <c r="J46" s="49"/>
      <c r="K46" s="49"/>
      <c r="L46" s="49"/>
      <c r="M46" s="49"/>
      <c r="N46" s="49"/>
      <c r="O46" s="49"/>
      <c r="P46" s="49"/>
      <c r="Q46" s="49"/>
      <c r="R46" s="49"/>
      <c r="S46" s="49"/>
      <c r="T46" s="49"/>
      <c r="U46" s="49"/>
      <c r="V46" s="49"/>
      <c r="W46" s="49"/>
      <c r="X46" s="49"/>
      <c r="Y46" s="49"/>
      <c r="Z46" s="49"/>
      <c r="AA46" s="49"/>
      <c r="AB46" s="49"/>
      <c r="AC46" s="49"/>
      <c r="AD46" s="49"/>
      <c r="AE46" s="49"/>
      <c r="AF46" s="49"/>
      <c r="AG46" s="49"/>
    </row>
    <row r="47" spans="1:33" x14ac:dyDescent="0.25">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x14ac:dyDescent="0.25">
      <c r="A48" s="45"/>
      <c r="B48" s="49"/>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2:33" x14ac:dyDescent="0.25">
      <c r="B49" s="49"/>
      <c r="C49" s="49"/>
      <c r="D49" s="49"/>
      <c r="E49" s="49"/>
      <c r="F49" s="49"/>
      <c r="G49" s="49"/>
      <c r="H49" s="49"/>
      <c r="I49" s="49"/>
      <c r="J49" s="49"/>
      <c r="K49" s="49"/>
      <c r="L49" s="49"/>
      <c r="M49" s="49"/>
      <c r="N49" s="49"/>
      <c r="O49" s="49"/>
      <c r="P49" s="49"/>
      <c r="Q49" s="49"/>
      <c r="R49" s="49"/>
      <c r="S49" s="49"/>
      <c r="T49" s="49"/>
      <c r="U49" s="49"/>
      <c r="V49" s="49"/>
      <c r="W49" s="49"/>
      <c r="X49" s="49"/>
      <c r="Y49" s="49"/>
      <c r="Z49" s="49"/>
      <c r="AA49" s="49"/>
      <c r="AB49" s="49"/>
      <c r="AC49" s="49"/>
      <c r="AD49" s="49"/>
      <c r="AE49" s="49"/>
      <c r="AF49" s="49"/>
      <c r="AG49" s="49"/>
    </row>
    <row r="50" spans="2:33" ht="15" customHeight="1" x14ac:dyDescent="0.25">
      <c r="B50" s="49"/>
      <c r="C50" s="49"/>
      <c r="D50" s="49"/>
      <c r="E50" s="49"/>
      <c r="F50" s="49"/>
      <c r="G50" s="49"/>
      <c r="H50" s="49"/>
      <c r="I50" s="49"/>
      <c r="J50" s="49"/>
      <c r="K50" s="49"/>
      <c r="L50" s="49"/>
      <c r="M50" s="49"/>
      <c r="N50" s="49"/>
      <c r="O50" s="49"/>
      <c r="P50" s="49"/>
      <c r="Q50" s="49"/>
      <c r="R50" s="49"/>
      <c r="S50" s="49"/>
      <c r="T50" s="49"/>
      <c r="U50" s="49"/>
      <c r="V50" s="49"/>
      <c r="W50" s="49"/>
      <c r="X50" s="49"/>
      <c r="Y50" s="49"/>
      <c r="Z50" s="49"/>
      <c r="AA50" s="49"/>
      <c r="AB50" s="49"/>
      <c r="AC50" s="49"/>
      <c r="AD50" s="49"/>
      <c r="AE50" s="49"/>
      <c r="AF50" s="49"/>
      <c r="AG50" s="49"/>
    </row>
    <row r="51" spans="2:33" ht="15" customHeight="1" x14ac:dyDescent="0.25">
      <c r="B51" s="49"/>
      <c r="C51" s="49"/>
      <c r="D51" s="49"/>
      <c r="E51" s="49"/>
      <c r="F51" s="49"/>
      <c r="G51" s="49"/>
      <c r="H51" s="49"/>
      <c r="I51" s="49"/>
      <c r="J51" s="49"/>
      <c r="K51" s="49"/>
      <c r="L51" s="49"/>
      <c r="M51" s="49"/>
      <c r="N51" s="49"/>
      <c r="O51" s="49"/>
      <c r="P51" s="49"/>
      <c r="Q51" s="49"/>
      <c r="R51" s="49"/>
      <c r="S51" s="49"/>
      <c r="T51" s="49"/>
      <c r="U51" s="49"/>
      <c r="V51" s="49"/>
      <c r="W51" s="49"/>
      <c r="X51" s="49"/>
      <c r="Y51" s="49"/>
      <c r="Z51" s="49"/>
      <c r="AA51" s="49"/>
      <c r="AB51" s="49"/>
      <c r="AC51" s="49"/>
      <c r="AD51" s="49"/>
      <c r="AE51" s="49"/>
      <c r="AF51" s="49"/>
      <c r="AG51" s="49"/>
    </row>
    <row r="52" spans="2:33" ht="15" customHeight="1" x14ac:dyDescent="0.25">
      <c r="B52" s="49"/>
      <c r="C52" s="49"/>
      <c r="D52" s="49"/>
      <c r="E52" s="49"/>
      <c r="F52" s="49"/>
      <c r="G52" s="49"/>
      <c r="H52" s="49"/>
      <c r="I52" s="49"/>
      <c r="J52" s="49"/>
      <c r="K52" s="49"/>
      <c r="L52" s="49"/>
      <c r="M52" s="49"/>
      <c r="N52" s="49"/>
      <c r="O52" s="49"/>
      <c r="P52" s="49"/>
      <c r="Q52" s="49"/>
      <c r="R52" s="49"/>
      <c r="S52" s="49"/>
      <c r="T52" s="49"/>
      <c r="U52" s="49"/>
      <c r="V52" s="49"/>
      <c r="W52" s="49"/>
      <c r="X52" s="49"/>
      <c r="Y52" s="49"/>
      <c r="Z52" s="49"/>
      <c r="AA52" s="49"/>
      <c r="AB52" s="49"/>
      <c r="AC52" s="49"/>
      <c r="AD52" s="49"/>
      <c r="AE52" s="49"/>
      <c r="AF52" s="49"/>
      <c r="AG52" s="49"/>
    </row>
    <row r="53" spans="2:33" ht="15" customHeight="1" x14ac:dyDescent="0.25">
      <c r="B53" s="49"/>
      <c r="C53" s="49"/>
      <c r="D53" s="49"/>
      <c r="E53" s="49"/>
      <c r="F53" s="49"/>
      <c r="G53" s="49"/>
      <c r="H53" s="49"/>
      <c r="I53" s="49"/>
      <c r="J53" s="49"/>
      <c r="K53" s="49"/>
      <c r="L53" s="49"/>
      <c r="M53" s="49"/>
      <c r="N53" s="49"/>
      <c r="O53" s="49"/>
      <c r="P53" s="49"/>
      <c r="Q53" s="49"/>
      <c r="R53" s="49"/>
      <c r="S53" s="49"/>
      <c r="T53" s="49"/>
      <c r="U53" s="49"/>
      <c r="V53" s="49"/>
      <c r="W53" s="49"/>
      <c r="X53" s="49"/>
      <c r="Y53" s="49"/>
      <c r="Z53" s="49"/>
      <c r="AA53" s="49"/>
      <c r="AB53" s="49"/>
      <c r="AC53" s="49"/>
      <c r="AD53" s="49"/>
      <c r="AE53" s="49"/>
      <c r="AF53" s="49"/>
      <c r="AG53" s="49"/>
    </row>
    <row r="54" spans="2:33" ht="15" customHeight="1" x14ac:dyDescent="0.25">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2:33" ht="15" customHeight="1" x14ac:dyDescent="0.25">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2:33" ht="15" customHeight="1" x14ac:dyDescent="0.25">
      <c r="B56" s="49"/>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2:33" ht="15" customHeight="1" x14ac:dyDescent="0.25">
      <c r="B57" s="49"/>
      <c r="C57" s="49"/>
      <c r="D57" s="49"/>
      <c r="E57" s="49"/>
      <c r="F57" s="49"/>
      <c r="G57" s="49"/>
      <c r="H57" s="49"/>
      <c r="I57" s="49"/>
      <c r="J57" s="49"/>
      <c r="K57" s="49"/>
      <c r="L57" s="49"/>
      <c r="M57" s="49"/>
      <c r="N57" s="49"/>
      <c r="O57" s="49"/>
      <c r="P57" s="49"/>
      <c r="Q57" s="49"/>
      <c r="R57" s="49"/>
      <c r="S57" s="49"/>
      <c r="T57" s="49"/>
      <c r="U57" s="49"/>
      <c r="V57" s="49"/>
      <c r="W57" s="49"/>
      <c r="X57" s="49"/>
      <c r="Y57" s="49"/>
      <c r="Z57" s="49"/>
      <c r="AA57" s="49"/>
      <c r="AB57" s="49"/>
      <c r="AC57" s="49"/>
      <c r="AD57" s="49"/>
      <c r="AE57" s="49"/>
      <c r="AF57" s="49"/>
      <c r="AG57" s="49"/>
    </row>
    <row r="58" spans="2:33" ht="15" customHeight="1" x14ac:dyDescent="0.25">
      <c r="B58" s="49"/>
      <c r="C58" s="49"/>
      <c r="D58" s="49"/>
      <c r="E58" s="49"/>
      <c r="F58" s="49"/>
      <c r="G58" s="49"/>
      <c r="H58" s="49"/>
      <c r="I58" s="49"/>
      <c r="J58" s="49"/>
      <c r="K58" s="49"/>
      <c r="L58" s="49"/>
      <c r="M58" s="49"/>
      <c r="N58" s="49"/>
      <c r="O58" s="49"/>
      <c r="P58" s="49"/>
      <c r="Q58" s="49"/>
      <c r="R58" s="49"/>
      <c r="S58" s="49"/>
      <c r="T58" s="49"/>
      <c r="U58" s="49"/>
      <c r="V58" s="49"/>
      <c r="W58" s="49"/>
      <c r="X58" s="49"/>
      <c r="Y58" s="49"/>
      <c r="Z58" s="49"/>
      <c r="AA58" s="49"/>
      <c r="AB58" s="49"/>
      <c r="AC58" s="49"/>
      <c r="AD58" s="49"/>
      <c r="AE58" s="49"/>
      <c r="AF58" s="49"/>
      <c r="AG58" s="49"/>
    </row>
    <row r="59" spans="2:33" ht="15" customHeight="1" x14ac:dyDescent="0.25">
      <c r="B59" s="49"/>
      <c r="C59" s="49"/>
      <c r="D59" s="49"/>
      <c r="E59" s="49"/>
      <c r="F59" s="49"/>
      <c r="G59" s="49"/>
      <c r="H59" s="49"/>
      <c r="I59" s="49"/>
      <c r="J59" s="49"/>
      <c r="K59" s="49"/>
      <c r="L59" s="49"/>
      <c r="M59" s="49"/>
      <c r="N59" s="49"/>
      <c r="O59" s="49"/>
      <c r="P59" s="49"/>
      <c r="Q59" s="49"/>
      <c r="R59" s="49"/>
      <c r="S59" s="49"/>
      <c r="T59" s="49"/>
      <c r="U59" s="49"/>
      <c r="V59" s="49"/>
      <c r="W59" s="49"/>
      <c r="X59" s="49"/>
      <c r="Y59" s="49"/>
      <c r="Z59" s="49"/>
      <c r="AA59" s="49"/>
      <c r="AB59" s="49"/>
      <c r="AC59" s="49"/>
      <c r="AD59" s="49"/>
      <c r="AE59" s="49"/>
      <c r="AF59" s="49"/>
      <c r="AG59" s="49"/>
    </row>
    <row r="60" spans="2:33" ht="15" customHeight="1" x14ac:dyDescent="0.25"/>
    <row r="61" spans="2:33" ht="15" customHeight="1" x14ac:dyDescent="0.25"/>
    <row r="62" spans="2:33" ht="15" customHeight="1" x14ac:dyDescent="0.25"/>
    <row r="63" spans="2:33" ht="15" customHeight="1" x14ac:dyDescent="0.25"/>
    <row r="64" spans="2:33" ht="15" customHeight="1" x14ac:dyDescent="0.25"/>
    <row r="65" ht="15" customHeight="1" x14ac:dyDescent="0.25"/>
    <row r="67" ht="15" customHeight="1" x14ac:dyDescent="0.25"/>
    <row r="68" ht="15" customHeight="1" x14ac:dyDescent="0.25"/>
    <row r="69" ht="15" customHeight="1" x14ac:dyDescent="0.25"/>
    <row r="70" ht="15" customHeight="1" x14ac:dyDescent="0.25"/>
    <row r="71" ht="15" customHeight="1" x14ac:dyDescent="0.25"/>
    <row r="72" ht="15" customHeight="1" x14ac:dyDescent="0.25"/>
    <row r="74" ht="15" customHeight="1" x14ac:dyDescent="0.25"/>
    <row r="75" ht="15" customHeight="1" x14ac:dyDescent="0.25"/>
    <row r="76" ht="15" customHeight="1" x14ac:dyDescent="0.25"/>
    <row r="77" ht="15" customHeight="1" x14ac:dyDescent="0.25"/>
    <row r="78" ht="15" customHeight="1" x14ac:dyDescent="0.25"/>
    <row r="80" ht="15" customHeight="1" x14ac:dyDescent="0.25"/>
    <row r="82" ht="15" customHeight="1" x14ac:dyDescent="0.25"/>
    <row r="83" ht="15" customHeight="1" x14ac:dyDescent="0.25"/>
    <row r="84" ht="15" customHeight="1" x14ac:dyDescent="0.25"/>
    <row r="85" ht="15" customHeight="1" x14ac:dyDescent="0.25"/>
    <row r="86" ht="15" customHeight="1" x14ac:dyDescent="0.25"/>
    <row r="87" ht="15" customHeight="1" x14ac:dyDescent="0.25"/>
    <row r="88" ht="15" customHeight="1" x14ac:dyDescent="0.25"/>
    <row r="89" ht="15" customHeight="1" x14ac:dyDescent="0.25"/>
    <row r="90" ht="15" customHeight="1" x14ac:dyDescent="0.25"/>
    <row r="91" ht="15" customHeight="1" x14ac:dyDescent="0.25"/>
    <row r="93" ht="15" customHeight="1" x14ac:dyDescent="0.25"/>
    <row r="94" ht="15" customHeight="1" x14ac:dyDescent="0.25"/>
    <row r="95" ht="15" customHeight="1" x14ac:dyDescent="0.25"/>
    <row r="96" ht="15" customHeight="1" x14ac:dyDescent="0.25"/>
    <row r="97" spans="2:32" ht="15" customHeight="1" x14ac:dyDescent="0.25"/>
    <row r="98" spans="2:32" ht="15" customHeight="1" x14ac:dyDescent="0.25"/>
    <row r="99" spans="2:32" ht="15" customHeight="1" x14ac:dyDescent="0.25"/>
    <row r="100" spans="2:32" ht="15" customHeight="1" x14ac:dyDescent="0.25"/>
    <row r="101" spans="2:32" x14ac:dyDescent="0.25">
      <c r="B101" s="45"/>
      <c r="C101" s="45"/>
      <c r="D101" s="45"/>
      <c r="E101" s="45"/>
      <c r="F101" s="45"/>
      <c r="G101" s="45"/>
      <c r="H101" s="45"/>
      <c r="I101" s="45"/>
      <c r="J101" s="45"/>
      <c r="K101" s="45"/>
      <c r="L101" s="45"/>
      <c r="M101" s="45"/>
      <c r="N101" s="45"/>
      <c r="O101" s="45"/>
      <c r="P101" s="45"/>
      <c r="Q101" s="45"/>
      <c r="R101" s="45"/>
      <c r="S101" s="45"/>
      <c r="T101" s="45"/>
      <c r="U101" s="45"/>
      <c r="V101" s="45"/>
      <c r="W101" s="45"/>
      <c r="X101" s="45"/>
      <c r="Y101" s="45"/>
      <c r="Z101" s="45"/>
      <c r="AA101" s="45"/>
      <c r="AB101" s="45"/>
      <c r="AC101" s="45"/>
      <c r="AD101" s="45"/>
      <c r="AE101" s="45"/>
      <c r="AF101" s="45"/>
    </row>
    <row r="102" spans="2:32" x14ac:dyDescent="0.25">
      <c r="B102" s="45"/>
      <c r="C102" s="45"/>
      <c r="D102" s="45"/>
      <c r="E102" s="45"/>
      <c r="F102" s="45"/>
      <c r="G102" s="45"/>
      <c r="H102" s="45"/>
      <c r="I102" s="45"/>
      <c r="J102" s="45"/>
      <c r="K102" s="45"/>
      <c r="L102" s="45"/>
      <c r="M102" s="45"/>
      <c r="N102" s="45"/>
      <c r="O102" s="45"/>
      <c r="P102" s="45"/>
      <c r="Q102" s="45"/>
      <c r="R102" s="45"/>
      <c r="S102" s="45"/>
      <c r="T102" s="45"/>
      <c r="U102" s="45"/>
      <c r="V102" s="45"/>
      <c r="W102" s="45"/>
      <c r="X102" s="45"/>
      <c r="Y102" s="45"/>
      <c r="Z102" s="45"/>
      <c r="AA102" s="45"/>
      <c r="AB102" s="45"/>
      <c r="AC102" s="45"/>
      <c r="AD102" s="45"/>
      <c r="AE102" s="45"/>
      <c r="AF102" s="45"/>
    </row>
    <row r="103" spans="2:32" ht="15" customHeight="1" x14ac:dyDescent="0.25"/>
    <row r="104" spans="2:32" ht="15" customHeight="1" x14ac:dyDescent="0.25"/>
    <row r="105" spans="2:32" ht="15" customHeight="1" x14ac:dyDescent="0.25"/>
    <row r="106" spans="2:32" ht="15" customHeight="1" x14ac:dyDescent="0.25"/>
    <row r="107" spans="2:32" ht="15" customHeight="1" x14ac:dyDescent="0.25"/>
    <row r="108" spans="2:32" ht="15" customHeight="1" x14ac:dyDescent="0.25"/>
    <row r="109" spans="2:32" ht="15" customHeight="1" x14ac:dyDescent="0.25"/>
    <row r="110" spans="2:32" ht="15" customHeight="1" x14ac:dyDescent="0.25"/>
    <row r="111" spans="2:32" ht="15" customHeight="1" x14ac:dyDescent="0.25">
      <c r="B111" s="45"/>
      <c r="C111" s="45"/>
      <c r="D111" s="45"/>
      <c r="E111" s="45"/>
      <c r="F111" s="45"/>
      <c r="G111" s="45"/>
      <c r="H111" s="45"/>
      <c r="I111" s="45"/>
      <c r="J111" s="45"/>
      <c r="K111" s="45"/>
      <c r="L111" s="45"/>
      <c r="M111" s="45"/>
      <c r="N111" s="45"/>
      <c r="O111" s="45"/>
      <c r="P111" s="45"/>
      <c r="Q111" s="45"/>
      <c r="R111" s="45"/>
      <c r="S111" s="45"/>
      <c r="T111" s="45"/>
      <c r="U111" s="45"/>
      <c r="V111" s="45"/>
      <c r="W111" s="45"/>
      <c r="X111" s="45"/>
      <c r="Y111" s="45"/>
      <c r="Z111" s="45"/>
      <c r="AA111" s="45"/>
      <c r="AB111" s="45"/>
      <c r="AC111" s="45"/>
      <c r="AD111" s="45"/>
      <c r="AE111" s="45"/>
      <c r="AF111" s="45"/>
    </row>
    <row r="112" spans="2:32" ht="15" customHeight="1" x14ac:dyDescent="0.25">
      <c r="B112" s="84"/>
      <c r="C112" s="84"/>
      <c r="D112" s="84"/>
      <c r="E112" s="84"/>
      <c r="F112" s="84"/>
      <c r="G112" s="84"/>
      <c r="H112" s="84"/>
      <c r="I112" s="84"/>
      <c r="J112" s="84"/>
      <c r="K112" s="84"/>
      <c r="L112" s="84"/>
      <c r="M112" s="84"/>
      <c r="N112" s="84"/>
      <c r="O112" s="84"/>
      <c r="P112" s="84"/>
      <c r="Q112" s="84"/>
      <c r="R112" s="84"/>
      <c r="S112" s="84"/>
      <c r="T112" s="84"/>
      <c r="U112" s="84"/>
      <c r="V112" s="84"/>
      <c r="W112" s="84"/>
      <c r="X112" s="84"/>
      <c r="Y112" s="84"/>
      <c r="Z112" s="84"/>
      <c r="AA112" s="84"/>
      <c r="AB112" s="84"/>
      <c r="AC112" s="84"/>
      <c r="AD112" s="84"/>
      <c r="AE112" s="84"/>
      <c r="AF112" s="84"/>
    </row>
    <row r="113" ht="15" customHeight="1" x14ac:dyDescent="0.25"/>
    <row r="114" ht="15" customHeight="1" x14ac:dyDescent="0.25"/>
    <row r="115" ht="15" customHeight="1" x14ac:dyDescent="0.25"/>
    <row r="116" ht="15" customHeight="1" x14ac:dyDescent="0.25"/>
    <row r="117" ht="15" customHeight="1" x14ac:dyDescent="0.25"/>
    <row r="118" ht="15" customHeight="1" x14ac:dyDescent="0.25"/>
    <row r="119" ht="15" customHeight="1" x14ac:dyDescent="0.25"/>
    <row r="120" ht="15" customHeight="1" x14ac:dyDescent="0.25"/>
    <row r="121" ht="15" customHeight="1" x14ac:dyDescent="0.25"/>
    <row r="122" ht="15" customHeight="1" x14ac:dyDescent="0.25"/>
    <row r="123" ht="15" customHeight="1" x14ac:dyDescent="0.25"/>
    <row r="124" ht="15" customHeight="1" x14ac:dyDescent="0.25"/>
    <row r="125" ht="15" customHeight="1" x14ac:dyDescent="0.25"/>
    <row r="126" ht="15" customHeight="1" x14ac:dyDescent="0.25"/>
    <row r="127" ht="15" customHeight="1" x14ac:dyDescent="0.25"/>
    <row r="128" ht="15" customHeight="1" x14ac:dyDescent="0.25"/>
    <row r="129" ht="15" customHeight="1" x14ac:dyDescent="0.25"/>
    <row r="130" ht="15" customHeight="1" x14ac:dyDescent="0.25"/>
    <row r="131" ht="15" customHeight="1" x14ac:dyDescent="0.25"/>
    <row r="132" ht="15" customHeight="1" x14ac:dyDescent="0.25"/>
    <row r="133" ht="15" customHeight="1" x14ac:dyDescent="0.25"/>
    <row r="134" ht="15" customHeight="1" x14ac:dyDescent="0.25"/>
    <row r="135" ht="15" customHeight="1" x14ac:dyDescent="0.25"/>
    <row r="136" ht="15" customHeight="1" x14ac:dyDescent="0.25"/>
    <row r="137" ht="15" customHeight="1" x14ac:dyDescent="0.25"/>
    <row r="138" ht="15" customHeight="1" x14ac:dyDescent="0.25"/>
    <row r="139" ht="15" customHeight="1" x14ac:dyDescent="0.25"/>
    <row r="140" ht="15" customHeight="1" x14ac:dyDescent="0.25"/>
    <row r="150" ht="15" customHeight="1" x14ac:dyDescent="0.25"/>
    <row r="151" ht="15" customHeight="1" x14ac:dyDescent="0.25"/>
    <row r="152" ht="15" customHeight="1" x14ac:dyDescent="0.25"/>
    <row r="153" ht="15" customHeight="1" x14ac:dyDescent="0.25"/>
    <row r="154" ht="15" customHeight="1" x14ac:dyDescent="0.25"/>
    <row r="155" ht="15" customHeight="1" x14ac:dyDescent="0.25"/>
    <row r="156" ht="15" customHeight="1" x14ac:dyDescent="0.25"/>
    <row r="157" ht="15" customHeight="1" x14ac:dyDescent="0.25"/>
    <row r="158" ht="15" customHeight="1" x14ac:dyDescent="0.25"/>
    <row r="159" ht="15" customHeight="1" x14ac:dyDescent="0.25"/>
    <row r="160" ht="15" customHeight="1" x14ac:dyDescent="0.25"/>
    <row r="161" ht="15" customHeight="1" x14ac:dyDescent="0.25"/>
    <row r="162" ht="15" customHeight="1" x14ac:dyDescent="0.25"/>
    <row r="163" ht="15" customHeight="1" x14ac:dyDescent="0.25"/>
    <row r="164" ht="15" customHeight="1" x14ac:dyDescent="0.25"/>
    <row r="166" ht="15" customHeight="1" x14ac:dyDescent="0.25"/>
    <row r="167" ht="15" customHeight="1" x14ac:dyDescent="0.25"/>
    <row r="168" ht="15" customHeight="1" x14ac:dyDescent="0.25"/>
    <row r="169" ht="15" customHeight="1" x14ac:dyDescent="0.25"/>
    <row r="170" ht="15" customHeight="1" x14ac:dyDescent="0.25"/>
    <row r="171" ht="15" customHeight="1" x14ac:dyDescent="0.25"/>
    <row r="172" ht="15" customHeight="1" x14ac:dyDescent="0.25"/>
    <row r="173" ht="15" customHeight="1" x14ac:dyDescent="0.25"/>
    <row r="174" ht="15" customHeight="1" x14ac:dyDescent="0.25"/>
    <row r="175" ht="15" customHeight="1" x14ac:dyDescent="0.25"/>
    <row r="176" ht="15" customHeight="1" x14ac:dyDescent="0.25"/>
    <row r="177" ht="15" customHeight="1" x14ac:dyDescent="0.25"/>
    <row r="178" ht="15" customHeight="1" x14ac:dyDescent="0.25"/>
    <row r="179" ht="15" customHeight="1" x14ac:dyDescent="0.25"/>
    <row r="181" ht="15" customHeight="1" x14ac:dyDescent="0.25"/>
    <row r="182" ht="15" customHeight="1" x14ac:dyDescent="0.25"/>
    <row r="183" ht="15" customHeight="1" x14ac:dyDescent="0.25"/>
    <row r="184" ht="15" customHeight="1" x14ac:dyDescent="0.25"/>
    <row r="185" ht="15" customHeight="1" x14ac:dyDescent="0.25"/>
    <row r="186" ht="15" customHeight="1" x14ac:dyDescent="0.25"/>
    <row r="187" ht="15" customHeight="1" x14ac:dyDescent="0.25"/>
    <row r="188" ht="15" customHeight="1" x14ac:dyDescent="0.25"/>
    <row r="189" ht="15" customHeight="1" x14ac:dyDescent="0.25"/>
    <row r="190" ht="15" customHeight="1" x14ac:dyDescent="0.25"/>
    <row r="191" ht="15" customHeight="1" x14ac:dyDescent="0.25"/>
    <row r="192" ht="15" customHeight="1" x14ac:dyDescent="0.25"/>
    <row r="193" ht="15" customHeight="1" x14ac:dyDescent="0.25"/>
    <row r="194" ht="15" customHeight="1" x14ac:dyDescent="0.25"/>
    <row r="195" ht="15" customHeight="1" x14ac:dyDescent="0.25"/>
    <row r="196" ht="15" customHeight="1" x14ac:dyDescent="0.25"/>
    <row r="197" ht="15" customHeight="1" x14ac:dyDescent="0.25"/>
    <row r="198" ht="15" customHeight="1" x14ac:dyDescent="0.25"/>
    <row r="199" ht="15" customHeight="1" x14ac:dyDescent="0.25"/>
    <row r="200" ht="15" customHeight="1" x14ac:dyDescent="0.25"/>
    <row r="201" ht="15" customHeight="1" x14ac:dyDescent="0.25"/>
    <row r="202" ht="15" customHeight="1" x14ac:dyDescent="0.25"/>
    <row r="203" ht="15" customHeight="1" x14ac:dyDescent="0.25"/>
    <row r="204" ht="15" customHeight="1" x14ac:dyDescent="0.25"/>
    <row r="207" ht="15" customHeight="1" x14ac:dyDescent="0.25"/>
    <row r="208" ht="15" customHeight="1" x14ac:dyDescent="0.25"/>
    <row r="209" ht="15" customHeight="1" x14ac:dyDescent="0.25"/>
    <row r="210" ht="15" customHeight="1" x14ac:dyDescent="0.25"/>
    <row r="211" ht="15" customHeight="1" x14ac:dyDescent="0.25"/>
    <row r="212" ht="15" customHeight="1" x14ac:dyDescent="0.25"/>
    <row r="213" ht="15" customHeight="1" x14ac:dyDescent="0.25"/>
    <row r="214" ht="15" customHeight="1" x14ac:dyDescent="0.25"/>
    <row r="215" ht="15" customHeight="1" x14ac:dyDescent="0.25"/>
    <row r="216" ht="15" customHeight="1" x14ac:dyDescent="0.25"/>
    <row r="217" ht="15" customHeight="1" x14ac:dyDescent="0.25"/>
    <row r="218" ht="15" customHeight="1" x14ac:dyDescent="0.25"/>
    <row r="219" ht="15" customHeight="1" x14ac:dyDescent="0.25"/>
    <row r="220" ht="15" customHeight="1" x14ac:dyDescent="0.25"/>
    <row r="221" ht="15" customHeight="1" x14ac:dyDescent="0.25"/>
    <row r="222" ht="15" customHeight="1" x14ac:dyDescent="0.25"/>
    <row r="224" ht="15" customHeight="1" x14ac:dyDescent="0.25"/>
    <row r="225" ht="15" customHeight="1" x14ac:dyDescent="0.25"/>
    <row r="227" ht="15" customHeight="1" x14ac:dyDescent="0.25"/>
    <row r="228" ht="15" customHeight="1" x14ac:dyDescent="0.25"/>
    <row r="229" ht="15" customHeight="1" x14ac:dyDescent="0.25"/>
    <row r="230" ht="15" customHeight="1" x14ac:dyDescent="0.25"/>
    <row r="231" ht="15" customHeight="1" x14ac:dyDescent="0.25"/>
    <row r="232" ht="15" customHeight="1" x14ac:dyDescent="0.25"/>
    <row r="233" ht="15" customHeight="1" x14ac:dyDescent="0.25"/>
    <row r="234" ht="15" customHeight="1" x14ac:dyDescent="0.25"/>
    <row r="235" ht="15" customHeight="1" x14ac:dyDescent="0.25"/>
    <row r="236" ht="15" customHeight="1" x14ac:dyDescent="0.25"/>
    <row r="237" ht="15" customHeight="1" x14ac:dyDescent="0.25"/>
    <row r="238" ht="15" customHeight="1" x14ac:dyDescent="0.25"/>
    <row r="239" ht="15" customHeight="1" x14ac:dyDescent="0.25"/>
    <row r="240" ht="15" customHeight="1" x14ac:dyDescent="0.25"/>
    <row r="241" ht="15" customHeight="1" x14ac:dyDescent="0.25"/>
    <row r="242" ht="15" customHeight="1" x14ac:dyDescent="0.25"/>
    <row r="243" ht="15" customHeight="1" x14ac:dyDescent="0.25"/>
    <row r="244" ht="15" customHeight="1" x14ac:dyDescent="0.25"/>
    <row r="245" ht="15" customHeight="1" x14ac:dyDescent="0.25"/>
    <row r="246" ht="15" customHeight="1" x14ac:dyDescent="0.25"/>
    <row r="247" ht="15" customHeight="1" x14ac:dyDescent="0.25"/>
    <row r="248" ht="15" customHeight="1" x14ac:dyDescent="0.25"/>
    <row r="249" ht="15" customHeight="1" x14ac:dyDescent="0.25"/>
    <row r="250" ht="15" customHeight="1" x14ac:dyDescent="0.25"/>
    <row r="251" ht="15" customHeight="1" x14ac:dyDescent="0.25"/>
    <row r="252" ht="15" customHeight="1" x14ac:dyDescent="0.25"/>
    <row r="253" ht="15" customHeight="1" x14ac:dyDescent="0.25"/>
    <row r="254" ht="15" customHeight="1" x14ac:dyDescent="0.25"/>
    <row r="255" ht="15" customHeight="1" x14ac:dyDescent="0.25"/>
    <row r="258" ht="15" customHeight="1" x14ac:dyDescent="0.25"/>
    <row r="259" ht="15" customHeight="1" x14ac:dyDescent="0.25"/>
    <row r="260" ht="15" customHeight="1" x14ac:dyDescent="0.25"/>
    <row r="261" ht="15" customHeight="1" x14ac:dyDescent="0.25"/>
    <row r="262" ht="15" customHeight="1" x14ac:dyDescent="0.25"/>
    <row r="263" ht="15" customHeight="1" x14ac:dyDescent="0.25"/>
    <row r="264" ht="15" customHeight="1" x14ac:dyDescent="0.25"/>
    <row r="265" ht="15" customHeight="1" x14ac:dyDescent="0.25"/>
    <row r="266" ht="15" customHeight="1" x14ac:dyDescent="0.25"/>
    <row r="267" ht="15" customHeight="1" x14ac:dyDescent="0.25"/>
    <row r="268" ht="15" customHeight="1" x14ac:dyDescent="0.25"/>
    <row r="270" ht="15" customHeight="1" x14ac:dyDescent="0.25"/>
    <row r="271" ht="15" customHeight="1" x14ac:dyDescent="0.25"/>
    <row r="272" ht="15" customHeight="1" x14ac:dyDescent="0.25"/>
    <row r="273" ht="15" customHeight="1" x14ac:dyDescent="0.25"/>
    <row r="274" ht="15" customHeight="1" x14ac:dyDescent="0.25"/>
    <row r="275" ht="15" customHeight="1" x14ac:dyDescent="0.25"/>
    <row r="276" ht="15" customHeight="1" x14ac:dyDescent="0.25"/>
    <row r="277" ht="15" customHeight="1" x14ac:dyDescent="0.25"/>
    <row r="278" ht="15" customHeight="1" x14ac:dyDescent="0.25"/>
    <row r="279" ht="15" customHeight="1" x14ac:dyDescent="0.25"/>
    <row r="280" ht="15" customHeight="1" x14ac:dyDescent="0.25"/>
    <row r="281" ht="15" customHeight="1" x14ac:dyDescent="0.25"/>
    <row r="282" ht="15" customHeight="1" x14ac:dyDescent="0.25"/>
    <row r="283" ht="15" customHeight="1" x14ac:dyDescent="0.25"/>
    <row r="284" ht="15" customHeight="1" x14ac:dyDescent="0.25"/>
    <row r="285" ht="15" customHeight="1" x14ac:dyDescent="0.25"/>
    <row r="286" ht="15" customHeight="1" x14ac:dyDescent="0.25"/>
    <row r="287" ht="15" customHeight="1" x14ac:dyDescent="0.25"/>
    <row r="288" ht="15" customHeight="1" x14ac:dyDescent="0.25"/>
    <row r="289" ht="15" customHeight="1" x14ac:dyDescent="0.25"/>
    <row r="290" ht="15" customHeight="1" x14ac:dyDescent="0.25"/>
    <row r="291" ht="15" customHeight="1" x14ac:dyDescent="0.25"/>
    <row r="292" ht="15" customHeight="1" x14ac:dyDescent="0.25"/>
    <row r="293" ht="15" customHeight="1" x14ac:dyDescent="0.25"/>
    <row r="294" ht="15" customHeight="1" x14ac:dyDescent="0.25"/>
    <row r="295" ht="15" customHeight="1" x14ac:dyDescent="0.25"/>
    <row r="296" ht="15" customHeight="1" x14ac:dyDescent="0.25"/>
    <row r="297" ht="15" customHeight="1" x14ac:dyDescent="0.25"/>
    <row r="298" ht="15" customHeight="1" x14ac:dyDescent="0.25"/>
    <row r="300" ht="15" customHeight="1" x14ac:dyDescent="0.25"/>
    <row r="301" ht="15" customHeight="1" x14ac:dyDescent="0.25"/>
    <row r="302" ht="15" customHeight="1" x14ac:dyDescent="0.25"/>
    <row r="303" ht="15" customHeight="1" x14ac:dyDescent="0.25"/>
    <row r="304" ht="15" customHeight="1" x14ac:dyDescent="0.25"/>
    <row r="305" spans="2:32" ht="15" customHeight="1" x14ac:dyDescent="0.25"/>
    <row r="306" spans="2:32" ht="15" customHeight="1" x14ac:dyDescent="0.25"/>
    <row r="307" spans="2:32" ht="15" customHeight="1" x14ac:dyDescent="0.25">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x14ac:dyDescent="0.25">
      <c r="B308" s="84"/>
      <c r="C308" s="84"/>
      <c r="D308" s="84"/>
      <c r="E308" s="84"/>
      <c r="F308" s="84"/>
      <c r="G308" s="84"/>
      <c r="H308" s="84"/>
      <c r="I308" s="84"/>
      <c r="J308" s="84"/>
      <c r="K308" s="84"/>
      <c r="L308" s="84"/>
      <c r="M308" s="84"/>
      <c r="N308" s="84"/>
      <c r="O308" s="84"/>
      <c r="P308" s="84"/>
      <c r="Q308" s="84"/>
      <c r="R308" s="84"/>
      <c r="S308" s="84"/>
      <c r="T308" s="84"/>
      <c r="U308" s="84"/>
      <c r="V308" s="84"/>
      <c r="W308" s="84"/>
      <c r="X308" s="84"/>
      <c r="Y308" s="84"/>
      <c r="Z308" s="84"/>
      <c r="AA308" s="84"/>
      <c r="AB308" s="84"/>
      <c r="AC308" s="84"/>
      <c r="AD308" s="84"/>
      <c r="AE308" s="84"/>
      <c r="AF308" s="84"/>
    </row>
    <row r="309" spans="2:32" ht="15" customHeight="1" x14ac:dyDescent="0.25"/>
    <row r="310" spans="2:32" ht="15" customHeight="1" x14ac:dyDescent="0.25"/>
    <row r="311" spans="2:32" ht="15" customHeight="1" x14ac:dyDescent="0.25"/>
    <row r="312" spans="2:32" ht="15" customHeight="1" x14ac:dyDescent="0.25"/>
    <row r="313" spans="2:32" ht="15" customHeight="1" x14ac:dyDescent="0.25"/>
    <row r="314" spans="2:32" ht="15" customHeight="1" x14ac:dyDescent="0.25"/>
    <row r="315" spans="2:32" ht="15" customHeight="1" x14ac:dyDescent="0.25"/>
    <row r="316" spans="2:32" ht="15" customHeight="1" x14ac:dyDescent="0.25"/>
    <row r="317" spans="2:32" ht="15" customHeight="1" x14ac:dyDescent="0.25"/>
    <row r="318" spans="2:32" ht="15" customHeight="1" x14ac:dyDescent="0.25"/>
    <row r="319" spans="2:32" ht="15" customHeight="1" x14ac:dyDescent="0.25"/>
    <row r="320" spans="2:32" ht="15" customHeight="1" x14ac:dyDescent="0.25"/>
    <row r="321" ht="15" customHeight="1" x14ac:dyDescent="0.25"/>
    <row r="322" ht="15" customHeight="1" x14ac:dyDescent="0.25"/>
    <row r="323" ht="15" customHeight="1" x14ac:dyDescent="0.25"/>
    <row r="324" ht="15" customHeight="1" x14ac:dyDescent="0.25"/>
    <row r="325" ht="15" customHeight="1" x14ac:dyDescent="0.25"/>
    <row r="326" ht="15" customHeight="1" x14ac:dyDescent="0.25"/>
    <row r="327" ht="15" customHeight="1" x14ac:dyDescent="0.25"/>
    <row r="328" ht="15" customHeight="1" x14ac:dyDescent="0.25"/>
    <row r="329" ht="15" customHeight="1" x14ac:dyDescent="0.25"/>
    <row r="330" ht="15" customHeight="1" x14ac:dyDescent="0.25"/>
    <row r="331" ht="15" customHeight="1" x14ac:dyDescent="0.25"/>
    <row r="332" ht="15" customHeight="1" x14ac:dyDescent="0.25"/>
    <row r="333" ht="15" customHeight="1" x14ac:dyDescent="0.25"/>
    <row r="334" ht="15" customHeight="1" x14ac:dyDescent="0.25"/>
    <row r="335" ht="15" customHeight="1" x14ac:dyDescent="0.25"/>
    <row r="336" ht="15" customHeight="1" x14ac:dyDescent="0.25"/>
    <row r="337" ht="15" customHeight="1" x14ac:dyDescent="0.25"/>
    <row r="338" ht="15" customHeight="1" x14ac:dyDescent="0.25"/>
    <row r="339" ht="15" customHeight="1" x14ac:dyDescent="0.25"/>
    <row r="340" ht="15" customHeight="1" x14ac:dyDescent="0.25"/>
    <row r="341" ht="15" customHeight="1" x14ac:dyDescent="0.25"/>
    <row r="342" ht="15" customHeight="1" x14ac:dyDescent="0.25"/>
    <row r="343" ht="15" customHeight="1" x14ac:dyDescent="0.25"/>
    <row r="344" ht="15" customHeight="1" x14ac:dyDescent="0.25"/>
    <row r="345" ht="15" customHeight="1" x14ac:dyDescent="0.25"/>
    <row r="375" ht="15" customHeight="1" x14ac:dyDescent="0.25"/>
    <row r="376" ht="15" customHeight="1" x14ac:dyDescent="0.25"/>
    <row r="377" ht="15" customHeight="1" x14ac:dyDescent="0.25"/>
    <row r="378" ht="15" customHeight="1" x14ac:dyDescent="0.25"/>
    <row r="379" ht="15" customHeight="1" x14ac:dyDescent="0.25"/>
    <row r="380" ht="15" customHeight="1" x14ac:dyDescent="0.25"/>
    <row r="381" ht="15" customHeight="1" x14ac:dyDescent="0.25"/>
    <row r="382" ht="15" customHeight="1" x14ac:dyDescent="0.25"/>
    <row r="383" ht="15" customHeight="1" x14ac:dyDescent="0.25"/>
    <row r="384" ht="15" customHeight="1" x14ac:dyDescent="0.25"/>
    <row r="386" ht="15" customHeight="1" x14ac:dyDescent="0.25"/>
    <row r="387" ht="15" customHeight="1" x14ac:dyDescent="0.25"/>
    <row r="388" ht="15" customHeight="1" x14ac:dyDescent="0.25"/>
    <row r="389" ht="15" customHeight="1" x14ac:dyDescent="0.25"/>
    <row r="390" ht="15" customHeight="1" x14ac:dyDescent="0.25"/>
    <row r="391" ht="15" customHeight="1" x14ac:dyDescent="0.25"/>
    <row r="393" ht="15" customHeight="1" x14ac:dyDescent="0.25"/>
    <row r="394" ht="15" customHeight="1" x14ac:dyDescent="0.25"/>
    <row r="395" ht="15" customHeight="1" x14ac:dyDescent="0.25"/>
    <row r="396" ht="15" customHeight="1" x14ac:dyDescent="0.25"/>
    <row r="397" ht="15" customHeight="1" x14ac:dyDescent="0.25"/>
    <row r="398" ht="15" customHeight="1" x14ac:dyDescent="0.25"/>
    <row r="399" ht="15" customHeight="1" x14ac:dyDescent="0.25"/>
    <row r="400" ht="15" customHeight="1" x14ac:dyDescent="0.25"/>
    <row r="401" ht="15" customHeight="1" x14ac:dyDescent="0.25"/>
    <row r="403" ht="15" customHeight="1" x14ac:dyDescent="0.25"/>
    <row r="404" ht="15" customHeight="1" x14ac:dyDescent="0.25"/>
    <row r="405" ht="15" customHeight="1" x14ac:dyDescent="0.25"/>
    <row r="406" ht="15" customHeight="1" x14ac:dyDescent="0.25"/>
    <row r="407" ht="15" customHeight="1" x14ac:dyDescent="0.25"/>
    <row r="408" ht="15" customHeight="1" x14ac:dyDescent="0.25"/>
    <row r="409" ht="15" customHeight="1" x14ac:dyDescent="0.25"/>
    <row r="410" ht="15" customHeight="1" x14ac:dyDescent="0.25"/>
    <row r="411" ht="15" customHeight="1" x14ac:dyDescent="0.25"/>
    <row r="413" ht="15" customHeight="1" x14ac:dyDescent="0.25"/>
    <row r="414" ht="15" customHeight="1" x14ac:dyDescent="0.25"/>
    <row r="415" ht="15" customHeight="1" x14ac:dyDescent="0.25"/>
    <row r="416" ht="15" customHeight="1" x14ac:dyDescent="0.25"/>
    <row r="417" ht="15" customHeight="1" x14ac:dyDescent="0.25"/>
    <row r="418" ht="15" customHeight="1" x14ac:dyDescent="0.25"/>
    <row r="421" ht="15" customHeight="1" x14ac:dyDescent="0.25"/>
    <row r="422" ht="15" customHeight="1" x14ac:dyDescent="0.25"/>
    <row r="423" ht="15" customHeight="1" x14ac:dyDescent="0.25"/>
    <row r="424" ht="15" customHeight="1" x14ac:dyDescent="0.25"/>
    <row r="425" ht="15" customHeight="1" x14ac:dyDescent="0.25"/>
    <row r="426" ht="15" customHeight="1" x14ac:dyDescent="0.25"/>
    <row r="427" ht="15" customHeight="1" x14ac:dyDescent="0.25"/>
    <row r="428" ht="15" customHeight="1" x14ac:dyDescent="0.25"/>
    <row r="429" ht="15" customHeight="1" x14ac:dyDescent="0.25"/>
    <row r="430" ht="15" customHeight="1" x14ac:dyDescent="0.25"/>
    <row r="431" ht="15" customHeight="1" x14ac:dyDescent="0.25"/>
    <row r="432" ht="15" customHeight="1" x14ac:dyDescent="0.25"/>
    <row r="434" ht="15" customHeight="1" x14ac:dyDescent="0.25"/>
    <row r="435" ht="15" customHeight="1" x14ac:dyDescent="0.25"/>
    <row r="436" ht="15" customHeight="1" x14ac:dyDescent="0.25"/>
    <row r="437" ht="15" customHeight="1" x14ac:dyDescent="0.25"/>
    <row r="438" ht="15" customHeight="1" x14ac:dyDescent="0.25"/>
    <row r="439" ht="15" customHeight="1" x14ac:dyDescent="0.25"/>
    <row r="440" ht="15" customHeight="1" x14ac:dyDescent="0.25"/>
    <row r="441" ht="15" customHeight="1" x14ac:dyDescent="0.25"/>
    <row r="442" ht="15" customHeight="1" x14ac:dyDescent="0.25"/>
    <row r="445" ht="15" customHeight="1" x14ac:dyDescent="0.25"/>
    <row r="446" ht="15" customHeight="1" x14ac:dyDescent="0.25"/>
    <row r="447" ht="15" customHeight="1" x14ac:dyDescent="0.25"/>
    <row r="448" ht="15" customHeight="1" x14ac:dyDescent="0.25"/>
    <row r="449" ht="15" customHeight="1" x14ac:dyDescent="0.25"/>
    <row r="450" ht="15" customHeight="1" x14ac:dyDescent="0.25"/>
    <row r="452" ht="15" customHeight="1" x14ac:dyDescent="0.25"/>
    <row r="453" ht="15" customHeight="1" x14ac:dyDescent="0.25"/>
    <row r="454" ht="15" customHeight="1" x14ac:dyDescent="0.25"/>
    <row r="455" ht="15" customHeight="1" x14ac:dyDescent="0.25"/>
    <row r="456" ht="15" customHeight="1" x14ac:dyDescent="0.25"/>
    <row r="457" ht="15" customHeight="1" x14ac:dyDescent="0.25"/>
    <row r="459" ht="15" customHeight="1" x14ac:dyDescent="0.25"/>
    <row r="460" ht="15" customHeight="1" x14ac:dyDescent="0.25"/>
    <row r="461" ht="15" customHeight="1" x14ac:dyDescent="0.25"/>
    <row r="462" ht="15" customHeight="1" x14ac:dyDescent="0.25"/>
    <row r="463" ht="15" customHeight="1" x14ac:dyDescent="0.25"/>
    <row r="464" ht="15" customHeight="1" x14ac:dyDescent="0.25"/>
    <row r="465" ht="15" customHeight="1" x14ac:dyDescent="0.25"/>
    <row r="466" ht="15" customHeight="1" x14ac:dyDescent="0.25"/>
    <row r="467" ht="15" customHeight="1" x14ac:dyDescent="0.25"/>
    <row r="470" ht="15" customHeight="1" x14ac:dyDescent="0.25"/>
    <row r="471" ht="15" customHeight="1" x14ac:dyDescent="0.25"/>
    <row r="472" ht="15" customHeight="1" x14ac:dyDescent="0.25"/>
    <row r="473" ht="15" customHeight="1" x14ac:dyDescent="0.25"/>
    <row r="474" ht="15" customHeight="1" x14ac:dyDescent="0.25"/>
    <row r="475" ht="15" customHeight="1" x14ac:dyDescent="0.25"/>
    <row r="476" ht="15" customHeight="1" x14ac:dyDescent="0.25"/>
    <row r="477" ht="15" customHeight="1" x14ac:dyDescent="0.25"/>
    <row r="478" ht="15" customHeight="1" x14ac:dyDescent="0.25"/>
    <row r="480" ht="15" customHeight="1" x14ac:dyDescent="0.25"/>
    <row r="481" ht="15" customHeight="1" x14ac:dyDescent="0.25"/>
    <row r="482" ht="15" customHeight="1" x14ac:dyDescent="0.25"/>
    <row r="483" ht="15" customHeight="1" x14ac:dyDescent="0.25"/>
    <row r="484" ht="15" customHeight="1" x14ac:dyDescent="0.25"/>
    <row r="485" ht="15" customHeight="1" x14ac:dyDescent="0.25"/>
    <row r="487" ht="15" customHeight="1" x14ac:dyDescent="0.25"/>
    <row r="488" ht="15" customHeight="1" x14ac:dyDescent="0.25"/>
    <row r="489" ht="15" customHeight="1" x14ac:dyDescent="0.25"/>
    <row r="490" ht="15" customHeight="1" x14ac:dyDescent="0.25"/>
    <row r="491" ht="15" customHeight="1" x14ac:dyDescent="0.25"/>
    <row r="492" ht="15" customHeight="1" x14ac:dyDescent="0.25"/>
    <row r="493" ht="15" customHeight="1" x14ac:dyDescent="0.25"/>
    <row r="494" ht="15" customHeight="1" x14ac:dyDescent="0.25"/>
    <row r="495" ht="15" customHeight="1" x14ac:dyDescent="0.25"/>
    <row r="496" ht="15" customHeight="1" x14ac:dyDescent="0.25"/>
    <row r="497" spans="2:33" ht="15" customHeight="1" x14ac:dyDescent="0.25"/>
    <row r="498" spans="2:33" ht="15" customHeight="1" x14ac:dyDescent="0.25"/>
    <row r="499" spans="2:33" x14ac:dyDescent="0.25">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c r="AG499" s="45"/>
    </row>
    <row r="500" spans="2:33" ht="15" customHeight="1" x14ac:dyDescent="0.25">
      <c r="B500" s="85"/>
      <c r="C500" s="84"/>
      <c r="D500" s="84"/>
      <c r="E500" s="84"/>
      <c r="F500" s="84"/>
      <c r="G500" s="84"/>
      <c r="H500" s="84"/>
      <c r="I500" s="84"/>
      <c r="J500" s="84"/>
      <c r="K500" s="84"/>
      <c r="L500" s="84"/>
      <c r="M500" s="84"/>
      <c r="N500" s="84"/>
      <c r="O500" s="84"/>
      <c r="P500" s="84"/>
      <c r="Q500" s="84"/>
      <c r="R500" s="84"/>
      <c r="S500" s="84"/>
      <c r="T500" s="84"/>
      <c r="U500" s="84"/>
      <c r="V500" s="84"/>
      <c r="W500" s="84"/>
      <c r="X500" s="84"/>
      <c r="Y500" s="84"/>
      <c r="Z500" s="84"/>
      <c r="AA500" s="84"/>
      <c r="AB500" s="84"/>
      <c r="AC500" s="84"/>
      <c r="AD500" s="84"/>
      <c r="AE500" s="84"/>
      <c r="AF500" s="84"/>
      <c r="AG500" s="84"/>
    </row>
    <row r="501" spans="2:33" ht="15" customHeight="1" x14ac:dyDescent="0.25"/>
    <row r="502" spans="2:33" ht="15" customHeight="1" x14ac:dyDescent="0.25"/>
    <row r="503" spans="2:33" ht="15" customHeight="1" x14ac:dyDescent="0.25"/>
    <row r="504" spans="2:33" ht="15" customHeight="1" x14ac:dyDescent="0.25"/>
    <row r="505" spans="2:33" ht="15" customHeight="1" x14ac:dyDescent="0.25"/>
    <row r="506" spans="2:33" ht="15" customHeight="1" x14ac:dyDescent="0.25"/>
    <row r="507" spans="2:33" ht="15" customHeight="1" x14ac:dyDescent="0.25"/>
    <row r="508" spans="2:33" ht="15" customHeight="1" x14ac:dyDescent="0.25"/>
    <row r="509" spans="2:33" x14ac:dyDescent="0.25">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c r="AG509" s="45"/>
    </row>
    <row r="510" spans="2:33" ht="15" customHeight="1" x14ac:dyDescent="0.25">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c r="AG510" s="45"/>
    </row>
    <row r="511" spans="2:33" ht="15" customHeight="1" x14ac:dyDescent="0.25">
      <c r="B511" s="84"/>
      <c r="C511" s="84"/>
      <c r="D511" s="84"/>
      <c r="E511" s="84"/>
      <c r="F511" s="84"/>
      <c r="G511" s="84"/>
      <c r="H511" s="84"/>
      <c r="I511" s="84"/>
      <c r="J511" s="84"/>
      <c r="K511" s="84"/>
      <c r="L511" s="84"/>
      <c r="M511" s="84"/>
      <c r="N511" s="84"/>
      <c r="O511" s="84"/>
      <c r="P511" s="84"/>
      <c r="Q511" s="84"/>
      <c r="R511" s="84"/>
      <c r="S511" s="84"/>
      <c r="T511" s="84"/>
      <c r="U511" s="84"/>
      <c r="V511" s="84"/>
      <c r="W511" s="84"/>
      <c r="X511" s="84"/>
      <c r="Y511" s="84"/>
      <c r="Z511" s="84"/>
      <c r="AA511" s="84"/>
      <c r="AB511" s="84"/>
      <c r="AC511" s="84"/>
      <c r="AD511" s="84"/>
      <c r="AE511" s="84"/>
      <c r="AF511" s="84"/>
      <c r="AG511" s="45"/>
    </row>
    <row r="512" spans="2:33" ht="15" customHeight="1" x14ac:dyDescent="0.25"/>
    <row r="513" ht="15" customHeight="1" x14ac:dyDescent="0.25"/>
    <row r="514" ht="15" customHeight="1" x14ac:dyDescent="0.25"/>
    <row r="515" ht="15" customHeight="1" x14ac:dyDescent="0.25"/>
    <row r="516" ht="15" customHeight="1" x14ac:dyDescent="0.25"/>
    <row r="517" ht="15" customHeight="1" x14ac:dyDescent="0.25"/>
    <row r="518" ht="15" customHeight="1" x14ac:dyDescent="0.25"/>
    <row r="519" ht="15" customHeight="1" x14ac:dyDescent="0.25"/>
    <row r="520" ht="15" customHeight="1" x14ac:dyDescent="0.25"/>
    <row r="521" ht="15" customHeight="1" x14ac:dyDescent="0.25"/>
    <row r="522" ht="15" customHeight="1" x14ac:dyDescent="0.25"/>
    <row r="523" ht="15" customHeight="1" x14ac:dyDescent="0.25"/>
    <row r="524" ht="15" customHeight="1" x14ac:dyDescent="0.25"/>
    <row r="525" ht="15" customHeight="1" x14ac:dyDescent="0.25"/>
    <row r="575" ht="15" customHeight="1" x14ac:dyDescent="0.25"/>
    <row r="576" ht="15" customHeight="1" x14ac:dyDescent="0.25"/>
    <row r="577" ht="15" customHeight="1" x14ac:dyDescent="0.25"/>
    <row r="578" ht="15" customHeight="1" x14ac:dyDescent="0.25"/>
    <row r="579" ht="15" customHeight="1" x14ac:dyDescent="0.25"/>
    <row r="580" ht="15" customHeight="1" x14ac:dyDescent="0.25"/>
    <row r="581" ht="15" customHeight="1" x14ac:dyDescent="0.25"/>
    <row r="582" ht="15" customHeight="1" x14ac:dyDescent="0.25"/>
    <row r="583" ht="15" customHeight="1" x14ac:dyDescent="0.25"/>
    <row r="584" ht="15" customHeight="1" x14ac:dyDescent="0.25"/>
    <row r="585" ht="15" customHeight="1" x14ac:dyDescent="0.25"/>
    <row r="587" ht="15" customHeight="1" x14ac:dyDescent="0.25"/>
    <row r="589" ht="15" customHeight="1" x14ac:dyDescent="0.25"/>
    <row r="590" ht="15" customHeight="1" x14ac:dyDescent="0.25"/>
    <row r="591" ht="15" customHeight="1" x14ac:dyDescent="0.25"/>
    <row r="592" ht="15" customHeight="1" x14ac:dyDescent="0.25"/>
    <row r="593" ht="15" customHeight="1" x14ac:dyDescent="0.25"/>
    <row r="594" ht="15" customHeight="1" x14ac:dyDescent="0.25"/>
    <row r="595" ht="15" customHeight="1" x14ac:dyDescent="0.25"/>
    <row r="597" ht="15" customHeight="1" x14ac:dyDescent="0.25"/>
    <row r="598" ht="15" customHeight="1" x14ac:dyDescent="0.25"/>
    <row r="599" ht="15" customHeight="1" x14ac:dyDescent="0.25"/>
    <row r="600" ht="15" customHeight="1" x14ac:dyDescent="0.25"/>
    <row r="601" ht="15" customHeight="1" x14ac:dyDescent="0.25"/>
    <row r="602" ht="15" customHeight="1" x14ac:dyDescent="0.25"/>
    <row r="603" ht="15" customHeight="1" x14ac:dyDescent="0.25"/>
    <row r="604" ht="15" customHeight="1" x14ac:dyDescent="0.25"/>
    <row r="605" ht="15" customHeight="1" x14ac:dyDescent="0.25"/>
    <row r="606" ht="15" customHeight="1" x14ac:dyDescent="0.25"/>
    <row r="607" ht="15" customHeight="1" x14ac:dyDescent="0.25"/>
    <row r="608" ht="15" customHeight="1" x14ac:dyDescent="0.25"/>
    <row r="609" ht="15" customHeight="1" x14ac:dyDescent="0.25"/>
    <row r="610" ht="15" customHeight="1" x14ac:dyDescent="0.25"/>
    <row r="611" ht="15" customHeight="1" x14ac:dyDescent="0.25"/>
    <row r="612" ht="15" customHeight="1" x14ac:dyDescent="0.25"/>
    <row r="613" ht="15" customHeight="1" x14ac:dyDescent="0.25"/>
    <row r="614" ht="15" customHeight="1" x14ac:dyDescent="0.25"/>
    <row r="615" ht="15" customHeight="1" x14ac:dyDescent="0.25"/>
    <row r="617" ht="15" customHeight="1" x14ac:dyDescent="0.25"/>
    <row r="618" ht="15" customHeight="1" x14ac:dyDescent="0.25"/>
    <row r="619" ht="15" customHeight="1" x14ac:dyDescent="0.25"/>
    <row r="620" ht="15" customHeight="1" x14ac:dyDescent="0.25"/>
    <row r="621" ht="15" customHeight="1" x14ac:dyDescent="0.25"/>
    <row r="622" ht="15" customHeight="1" x14ac:dyDescent="0.25"/>
    <row r="623" ht="15" customHeight="1" x14ac:dyDescent="0.25"/>
    <row r="624" ht="15" customHeight="1" x14ac:dyDescent="0.25"/>
    <row r="626" ht="15" customHeight="1" x14ac:dyDescent="0.25"/>
    <row r="627" ht="15" customHeight="1" x14ac:dyDescent="0.25"/>
    <row r="628" ht="15" customHeight="1" x14ac:dyDescent="0.25"/>
    <row r="629" ht="15" customHeight="1" x14ac:dyDescent="0.25"/>
    <row r="630" ht="15" customHeight="1" x14ac:dyDescent="0.25"/>
    <row r="632" ht="15" customHeight="1" x14ac:dyDescent="0.25"/>
    <row r="633" ht="15" customHeight="1" x14ac:dyDescent="0.25"/>
    <row r="634" ht="15" customHeight="1" x14ac:dyDescent="0.25"/>
    <row r="635" ht="15" customHeight="1" x14ac:dyDescent="0.25"/>
    <row r="636" ht="15" customHeight="1" x14ac:dyDescent="0.25"/>
    <row r="637" ht="15" customHeight="1" x14ac:dyDescent="0.25"/>
    <row r="639" ht="15" customHeight="1" x14ac:dyDescent="0.25"/>
    <row r="641" ht="15" customHeight="1" x14ac:dyDescent="0.25"/>
    <row r="642" ht="15" customHeight="1" x14ac:dyDescent="0.25"/>
    <row r="643" ht="15" customHeight="1" x14ac:dyDescent="0.25"/>
    <row r="644" ht="15" customHeight="1" x14ac:dyDescent="0.25"/>
    <row r="645" ht="15" customHeight="1" x14ac:dyDescent="0.25"/>
    <row r="646" ht="15" customHeight="1" x14ac:dyDescent="0.25"/>
    <row r="647" ht="15" customHeight="1" x14ac:dyDescent="0.25"/>
    <row r="648" ht="15" customHeight="1" x14ac:dyDescent="0.25"/>
    <row r="649" ht="15" customHeight="1" x14ac:dyDescent="0.25"/>
    <row r="650" ht="15" customHeight="1" x14ac:dyDescent="0.25"/>
    <row r="651" ht="15" customHeight="1" x14ac:dyDescent="0.25"/>
    <row r="652" ht="15" customHeight="1" x14ac:dyDescent="0.25"/>
    <row r="653" ht="15" customHeight="1" x14ac:dyDescent="0.25"/>
    <row r="654" ht="15" customHeight="1" x14ac:dyDescent="0.25"/>
    <row r="655" ht="15" customHeight="1" x14ac:dyDescent="0.25"/>
    <row r="656" ht="15" customHeight="1" x14ac:dyDescent="0.25"/>
    <row r="657" ht="15" customHeight="1" x14ac:dyDescent="0.25"/>
    <row r="658" ht="15" customHeight="1" x14ac:dyDescent="0.25"/>
    <row r="660" ht="15" customHeight="1" x14ac:dyDescent="0.25"/>
    <row r="662" ht="15" customHeight="1" x14ac:dyDescent="0.25"/>
    <row r="663" ht="15" customHeight="1" x14ac:dyDescent="0.25"/>
    <row r="664" ht="15" customHeight="1" x14ac:dyDescent="0.25"/>
    <row r="665" ht="15" customHeight="1" x14ac:dyDescent="0.25"/>
    <row r="666" ht="15" customHeight="1" x14ac:dyDescent="0.25"/>
    <row r="667" ht="15" customHeight="1" x14ac:dyDescent="0.25"/>
    <row r="668" ht="15" customHeight="1" x14ac:dyDescent="0.25"/>
    <row r="669" ht="15" customHeight="1" x14ac:dyDescent="0.25"/>
    <row r="670" ht="15" customHeight="1" x14ac:dyDescent="0.25"/>
    <row r="671" ht="15" customHeight="1" x14ac:dyDescent="0.25"/>
    <row r="672" ht="15" customHeight="1" x14ac:dyDescent="0.25"/>
    <row r="673" ht="15" customHeight="1" x14ac:dyDescent="0.25"/>
    <row r="674" ht="15" customHeight="1" x14ac:dyDescent="0.25"/>
    <row r="675" ht="15" customHeight="1" x14ac:dyDescent="0.25"/>
    <row r="676" ht="15" customHeight="1" x14ac:dyDescent="0.25"/>
    <row r="677" ht="15" customHeight="1" x14ac:dyDescent="0.25"/>
    <row r="678" ht="15" customHeight="1" x14ac:dyDescent="0.25"/>
    <row r="679" ht="15" customHeight="1" x14ac:dyDescent="0.25"/>
    <row r="681" ht="15" customHeight="1" x14ac:dyDescent="0.25"/>
    <row r="682" ht="15" customHeight="1" x14ac:dyDescent="0.25"/>
    <row r="683" ht="15" customHeight="1" x14ac:dyDescent="0.25"/>
    <row r="684" ht="15" customHeight="1" x14ac:dyDescent="0.25"/>
    <row r="685" ht="15" customHeight="1" x14ac:dyDescent="0.25"/>
    <row r="686" ht="15" customHeight="1" x14ac:dyDescent="0.25"/>
    <row r="688" ht="15" customHeight="1" x14ac:dyDescent="0.25"/>
    <row r="689" ht="15" customHeight="1" x14ac:dyDescent="0.25"/>
    <row r="690" ht="15" customHeight="1" x14ac:dyDescent="0.25"/>
    <row r="691" ht="15" customHeight="1" x14ac:dyDescent="0.25"/>
    <row r="692" ht="15" customHeight="1" x14ac:dyDescent="0.25"/>
    <row r="693" ht="15" customHeight="1" x14ac:dyDescent="0.25"/>
    <row r="694" ht="15" customHeight="1" x14ac:dyDescent="0.25"/>
    <row r="695" ht="15" customHeight="1" x14ac:dyDescent="0.25"/>
    <row r="696" ht="15" customHeight="1" x14ac:dyDescent="0.25"/>
    <row r="697" ht="15" customHeight="1" x14ac:dyDescent="0.25"/>
    <row r="698" ht="15" customHeight="1" x14ac:dyDescent="0.25"/>
    <row r="700" ht="15" customHeight="1" x14ac:dyDescent="0.25"/>
    <row r="701" ht="15" customHeight="1" x14ac:dyDescent="0.25"/>
    <row r="702" ht="15" customHeight="1" x14ac:dyDescent="0.25"/>
    <row r="703" ht="15" customHeight="1" x14ac:dyDescent="0.25"/>
    <row r="704" ht="15" customHeight="1" x14ac:dyDescent="0.25"/>
    <row r="705" spans="2:32" ht="15" customHeight="1" x14ac:dyDescent="0.25"/>
    <row r="706" spans="2:32" ht="15" customHeight="1" x14ac:dyDescent="0.25"/>
    <row r="707" spans="2:32" ht="15" customHeight="1" x14ac:dyDescent="0.25"/>
    <row r="708" spans="2:32" ht="15" customHeight="1" x14ac:dyDescent="0.25"/>
    <row r="709" spans="2:32" ht="15" customHeight="1" x14ac:dyDescent="0.25"/>
    <row r="710" spans="2:32" ht="15" customHeight="1" x14ac:dyDescent="0.25"/>
    <row r="711" spans="2:32" ht="15" customHeight="1" x14ac:dyDescent="0.25">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x14ac:dyDescent="0.25">
      <c r="B712" s="84"/>
      <c r="C712" s="84"/>
      <c r="D712" s="84"/>
      <c r="E712" s="84"/>
      <c r="F712" s="84"/>
      <c r="G712" s="84"/>
      <c r="H712" s="84"/>
      <c r="I712" s="84"/>
      <c r="J712" s="84"/>
      <c r="K712" s="84"/>
      <c r="L712" s="84"/>
      <c r="M712" s="84"/>
      <c r="N712" s="84"/>
      <c r="O712" s="84"/>
      <c r="P712" s="84"/>
      <c r="Q712" s="84"/>
      <c r="R712" s="84"/>
      <c r="S712" s="84"/>
      <c r="T712" s="84"/>
      <c r="U712" s="84"/>
      <c r="V712" s="84"/>
      <c r="W712" s="84"/>
      <c r="X712" s="84"/>
      <c r="Y712" s="84"/>
      <c r="Z712" s="84"/>
      <c r="AA712" s="84"/>
      <c r="AB712" s="84"/>
      <c r="AC712" s="84"/>
      <c r="AD712" s="84"/>
      <c r="AE712" s="84"/>
      <c r="AF712" s="84"/>
    </row>
    <row r="713" spans="2:32" ht="15" customHeight="1" x14ac:dyDescent="0.25"/>
    <row r="714" spans="2:32" ht="15" customHeight="1" x14ac:dyDescent="0.25"/>
    <row r="715" spans="2:32" ht="15" customHeight="1" x14ac:dyDescent="0.25"/>
    <row r="716" spans="2:32" ht="15" customHeight="1" x14ac:dyDescent="0.25"/>
    <row r="717" spans="2:32" ht="15" customHeight="1" x14ac:dyDescent="0.25"/>
    <row r="718" spans="2:32" ht="15" customHeight="1" x14ac:dyDescent="0.25"/>
    <row r="719" spans="2:32" ht="15" customHeight="1" x14ac:dyDescent="0.25"/>
    <row r="720" spans="2:32" ht="15" customHeight="1" x14ac:dyDescent="0.25"/>
    <row r="721" ht="15" customHeight="1" x14ac:dyDescent="0.25"/>
    <row r="722" ht="15" customHeight="1" x14ac:dyDescent="0.25"/>
    <row r="723" ht="15" customHeight="1" x14ac:dyDescent="0.25"/>
    <row r="724" ht="15" customHeight="1" x14ac:dyDescent="0.25"/>
    <row r="725" ht="15" customHeight="1" x14ac:dyDescent="0.25"/>
    <row r="726" ht="15" customHeight="1" x14ac:dyDescent="0.25"/>
    <row r="727" ht="15" customHeight="1" x14ac:dyDescent="0.25"/>
    <row r="728" ht="15" customHeight="1" x14ac:dyDescent="0.25"/>
    <row r="729" ht="15" customHeight="1" x14ac:dyDescent="0.25"/>
    <row r="730" ht="15" customHeight="1" x14ac:dyDescent="0.25"/>
    <row r="731" ht="15" customHeight="1" x14ac:dyDescent="0.25"/>
    <row r="732" ht="15" customHeight="1" x14ac:dyDescent="0.25"/>
    <row r="775" ht="15" customHeight="1" x14ac:dyDescent="0.25"/>
    <row r="776" ht="15" customHeight="1" x14ac:dyDescent="0.25"/>
    <row r="777" ht="15" customHeight="1" x14ac:dyDescent="0.25"/>
    <row r="778" ht="15" customHeight="1" x14ac:dyDescent="0.25"/>
    <row r="779" ht="15" customHeight="1" x14ac:dyDescent="0.25"/>
    <row r="780" ht="15" customHeight="1" x14ac:dyDescent="0.25"/>
    <row r="782" ht="15" customHeight="1" x14ac:dyDescent="0.25"/>
    <row r="783" ht="15" customHeight="1" x14ac:dyDescent="0.25"/>
    <row r="784" ht="15" customHeight="1" x14ac:dyDescent="0.25"/>
    <row r="785" ht="15" customHeight="1" x14ac:dyDescent="0.25"/>
    <row r="787" ht="15" customHeight="1" x14ac:dyDescent="0.25"/>
    <row r="788" ht="15" customHeight="1" x14ac:dyDescent="0.25"/>
    <row r="789" ht="15" customHeight="1" x14ac:dyDescent="0.25"/>
    <row r="790" ht="15" customHeight="1" x14ac:dyDescent="0.25"/>
    <row r="792" ht="15" customHeight="1" x14ac:dyDescent="0.25"/>
    <row r="793" ht="15" customHeight="1" x14ac:dyDescent="0.25"/>
    <row r="794" ht="15" customHeight="1" x14ac:dyDescent="0.25"/>
    <row r="795" ht="15" customHeight="1" x14ac:dyDescent="0.25"/>
    <row r="796" ht="15" customHeight="1" x14ac:dyDescent="0.25"/>
    <row r="797" ht="15" customHeight="1" x14ac:dyDescent="0.25"/>
    <row r="798" ht="15" customHeight="1" x14ac:dyDescent="0.25"/>
    <row r="799" ht="15" customHeight="1" x14ac:dyDescent="0.25"/>
    <row r="800" ht="15" customHeight="1" x14ac:dyDescent="0.25"/>
    <row r="801" ht="15" customHeight="1" x14ac:dyDescent="0.25"/>
    <row r="802" ht="15" customHeight="1" x14ac:dyDescent="0.25"/>
    <row r="803" ht="15" customHeight="1" x14ac:dyDescent="0.25"/>
    <row r="804" ht="15" customHeight="1" x14ac:dyDescent="0.25"/>
    <row r="805" ht="15" customHeight="1" x14ac:dyDescent="0.25"/>
    <row r="806" ht="15" customHeight="1" x14ac:dyDescent="0.25"/>
    <row r="808" ht="15" customHeight="1" x14ac:dyDescent="0.25"/>
    <row r="809" ht="15" customHeight="1" x14ac:dyDescent="0.25"/>
    <row r="810" ht="15" customHeight="1" x14ac:dyDescent="0.25"/>
    <row r="811" ht="15" customHeight="1" x14ac:dyDescent="0.25"/>
    <row r="812" ht="15" customHeight="1" x14ac:dyDescent="0.25"/>
    <row r="813" ht="15" customHeight="1" x14ac:dyDescent="0.25"/>
    <row r="814" ht="15" customHeight="1" x14ac:dyDescent="0.25"/>
    <row r="816" ht="15" customHeight="1" x14ac:dyDescent="0.25"/>
    <row r="817" ht="15" customHeight="1" x14ac:dyDescent="0.25"/>
    <row r="818" ht="15" customHeight="1" x14ac:dyDescent="0.25"/>
    <row r="819" ht="15" customHeight="1" x14ac:dyDescent="0.25"/>
    <row r="820" ht="15" customHeight="1" x14ac:dyDescent="0.25"/>
    <row r="822" ht="15" customHeight="1" x14ac:dyDescent="0.25"/>
    <row r="823" ht="15" customHeight="1" x14ac:dyDescent="0.25"/>
    <row r="825" ht="15" customHeight="1" x14ac:dyDescent="0.25"/>
    <row r="826" ht="15" customHeight="1" x14ac:dyDescent="0.25"/>
    <row r="827" ht="15" customHeight="1" x14ac:dyDescent="0.25"/>
    <row r="828" ht="15" customHeight="1" x14ac:dyDescent="0.25"/>
    <row r="829" ht="15" customHeight="1" x14ac:dyDescent="0.25"/>
    <row r="830" ht="15" customHeight="1" x14ac:dyDescent="0.25"/>
    <row r="831" ht="15" customHeight="1" x14ac:dyDescent="0.25"/>
    <row r="832" ht="15" customHeight="1" x14ac:dyDescent="0.25"/>
    <row r="833" ht="15" customHeight="1" x14ac:dyDescent="0.25"/>
    <row r="834" ht="15" customHeight="1" x14ac:dyDescent="0.25"/>
    <row r="835" ht="15" customHeight="1" x14ac:dyDescent="0.25"/>
    <row r="836" ht="15" customHeight="1" x14ac:dyDescent="0.25"/>
    <row r="837" ht="15" customHeight="1" x14ac:dyDescent="0.25"/>
    <row r="838" ht="15" customHeight="1" x14ac:dyDescent="0.25"/>
    <row r="840" ht="15" customHeight="1" x14ac:dyDescent="0.25"/>
    <row r="842" ht="15" customHeight="1" x14ac:dyDescent="0.25"/>
    <row r="843" ht="15" customHeight="1" x14ac:dyDescent="0.25"/>
    <row r="844" ht="15" customHeight="1" x14ac:dyDescent="0.25"/>
    <row r="845" ht="15" customHeight="1" x14ac:dyDescent="0.25"/>
    <row r="846" ht="15" customHeight="1" x14ac:dyDescent="0.25"/>
    <row r="847" ht="15" customHeight="1" x14ac:dyDescent="0.25"/>
    <row r="848" ht="15" customHeight="1" x14ac:dyDescent="0.25"/>
    <row r="849" ht="15" customHeight="1" x14ac:dyDescent="0.25"/>
    <row r="850" ht="15" customHeight="1" x14ac:dyDescent="0.25"/>
    <row r="851" ht="15" customHeight="1" x14ac:dyDescent="0.25"/>
    <row r="852" ht="15" customHeight="1" x14ac:dyDescent="0.25"/>
    <row r="853" ht="15" customHeight="1" x14ac:dyDescent="0.25"/>
    <row r="854" ht="15" customHeight="1" x14ac:dyDescent="0.25"/>
    <row r="855" ht="15" customHeight="1" x14ac:dyDescent="0.25"/>
    <row r="857" ht="15" customHeight="1" x14ac:dyDescent="0.25"/>
    <row r="858" ht="15" customHeight="1" x14ac:dyDescent="0.25"/>
    <row r="859" ht="15" customHeight="1" x14ac:dyDescent="0.25"/>
    <row r="860" ht="15" customHeight="1" x14ac:dyDescent="0.25"/>
    <row r="861" ht="15" customHeight="1" x14ac:dyDescent="0.25"/>
    <row r="863" ht="15" customHeight="1" x14ac:dyDescent="0.25"/>
    <row r="864" ht="15" customHeight="1" x14ac:dyDescent="0.25"/>
    <row r="865" ht="15" customHeight="1" x14ac:dyDescent="0.25"/>
    <row r="866" ht="15" customHeight="1" x14ac:dyDescent="0.25"/>
    <row r="867" ht="15" customHeight="1" x14ac:dyDescent="0.25"/>
    <row r="868" ht="15" customHeight="1" x14ac:dyDescent="0.25"/>
    <row r="869" ht="15" customHeight="1" x14ac:dyDescent="0.25"/>
    <row r="870" ht="15" customHeight="1" x14ac:dyDescent="0.25"/>
    <row r="871" ht="15" customHeight="1" x14ac:dyDescent="0.25"/>
    <row r="872" ht="15" customHeight="1" x14ac:dyDescent="0.25"/>
    <row r="873" ht="15" customHeight="1" x14ac:dyDescent="0.25"/>
    <row r="875" ht="15" customHeight="1" x14ac:dyDescent="0.25"/>
    <row r="876" ht="15" customHeight="1" x14ac:dyDescent="0.25"/>
    <row r="877" ht="15" customHeight="1" x14ac:dyDescent="0.25"/>
    <row r="878" ht="15" customHeight="1" x14ac:dyDescent="0.25"/>
    <row r="879" ht="15" customHeight="1" x14ac:dyDescent="0.25"/>
    <row r="880" ht="15" customHeight="1" x14ac:dyDescent="0.25"/>
    <row r="881" spans="2:32" ht="15" customHeight="1" x14ac:dyDescent="0.25"/>
    <row r="882" spans="2:32" ht="15" customHeight="1" x14ac:dyDescent="0.25"/>
    <row r="883" spans="2:32" ht="15" customHeight="1" x14ac:dyDescent="0.25"/>
    <row r="884" spans="2:32" ht="15" customHeight="1" x14ac:dyDescent="0.25"/>
    <row r="885" spans="2:32" ht="15" customHeight="1" x14ac:dyDescent="0.25"/>
    <row r="886" spans="2:32" ht="15" customHeight="1" x14ac:dyDescent="0.25">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x14ac:dyDescent="0.25">
      <c r="B887" s="84"/>
      <c r="C887" s="84"/>
      <c r="D887" s="84"/>
      <c r="E887" s="84"/>
      <c r="F887" s="84"/>
      <c r="G887" s="84"/>
      <c r="H887" s="84"/>
      <c r="I887" s="84"/>
      <c r="J887" s="84"/>
      <c r="K887" s="84"/>
      <c r="L887" s="84"/>
      <c r="M887" s="84"/>
      <c r="N887" s="84"/>
      <c r="O887" s="84"/>
      <c r="P887" s="84"/>
      <c r="Q887" s="84"/>
      <c r="R887" s="84"/>
      <c r="S887" s="84"/>
      <c r="T887" s="84"/>
      <c r="U887" s="84"/>
      <c r="V887" s="84"/>
      <c r="W887" s="84"/>
      <c r="X887" s="84"/>
      <c r="Y887" s="84"/>
      <c r="Z887" s="84"/>
      <c r="AA887" s="84"/>
      <c r="AB887" s="84"/>
      <c r="AC887" s="84"/>
      <c r="AD887" s="84"/>
      <c r="AE887" s="84"/>
      <c r="AF887" s="84"/>
    </row>
    <row r="888" spans="2:32" ht="15" customHeight="1" x14ac:dyDescent="0.25"/>
    <row r="889" spans="2:32" ht="15" customHeight="1" x14ac:dyDescent="0.25"/>
    <row r="890" spans="2:32" ht="15" customHeight="1" x14ac:dyDescent="0.25"/>
    <row r="891" spans="2:32" ht="15" customHeight="1" x14ac:dyDescent="0.25"/>
    <row r="892" spans="2:32" ht="15" customHeight="1" x14ac:dyDescent="0.25"/>
    <row r="893" spans="2:32" ht="15" customHeight="1" x14ac:dyDescent="0.25"/>
    <row r="894" spans="2:32" ht="15" customHeight="1" x14ac:dyDescent="0.25"/>
    <row r="895" spans="2:32" ht="15" customHeight="1" x14ac:dyDescent="0.25"/>
    <row r="896" spans="2:32" ht="15" customHeight="1" x14ac:dyDescent="0.25"/>
    <row r="897" ht="15" customHeight="1" x14ac:dyDescent="0.25"/>
    <row r="898" ht="15" customHeight="1" x14ac:dyDescent="0.25"/>
    <row r="899" ht="15" customHeight="1" x14ac:dyDescent="0.25"/>
    <row r="900" ht="15" customHeight="1" x14ac:dyDescent="0.25"/>
    <row r="901" ht="15" customHeight="1" x14ac:dyDescent="0.25"/>
    <row r="902" ht="15" customHeight="1" x14ac:dyDescent="0.25"/>
    <row r="903" ht="15" customHeight="1" x14ac:dyDescent="0.25"/>
    <row r="904" ht="15" customHeight="1" x14ac:dyDescent="0.25"/>
    <row r="905" ht="15" customHeight="1" x14ac:dyDescent="0.25"/>
    <row r="950" ht="15" customHeight="1" x14ac:dyDescent="0.25"/>
    <row r="951" ht="15" customHeight="1" x14ac:dyDescent="0.25"/>
    <row r="952" ht="15" customHeight="1" x14ac:dyDescent="0.25"/>
    <row r="953" ht="15" customHeight="1" x14ac:dyDescent="0.25"/>
    <row r="954" ht="15" customHeight="1" x14ac:dyDescent="0.25"/>
    <row r="955" ht="15" customHeight="1" x14ac:dyDescent="0.25"/>
    <row r="956" ht="15" customHeight="1" x14ac:dyDescent="0.25"/>
    <row r="957" ht="15" customHeight="1" x14ac:dyDescent="0.25"/>
    <row r="958" ht="15" customHeight="1" x14ac:dyDescent="0.25"/>
    <row r="959" ht="15" customHeight="1" x14ac:dyDescent="0.25"/>
    <row r="961" ht="15" customHeight="1" x14ac:dyDescent="0.25"/>
    <row r="962" ht="15" customHeight="1" x14ac:dyDescent="0.25"/>
    <row r="963" ht="15" customHeight="1" x14ac:dyDescent="0.25"/>
    <row r="964" ht="15" customHeight="1" x14ac:dyDescent="0.25"/>
    <row r="965" ht="15" customHeight="1" x14ac:dyDescent="0.25"/>
    <row r="966" ht="15" customHeight="1" x14ac:dyDescent="0.25"/>
    <row r="967" ht="15" customHeight="1" x14ac:dyDescent="0.25"/>
    <row r="968" ht="15" customHeight="1" x14ac:dyDescent="0.25"/>
    <row r="969" ht="15" customHeight="1" x14ac:dyDescent="0.25"/>
    <row r="970" ht="15" customHeight="1" x14ac:dyDescent="0.25"/>
    <row r="971" ht="15" customHeight="1" x14ac:dyDescent="0.25"/>
    <row r="972" ht="15" customHeight="1" x14ac:dyDescent="0.25"/>
    <row r="973" ht="15" customHeight="1" x14ac:dyDescent="0.25"/>
    <row r="974" ht="15" customHeight="1" x14ac:dyDescent="0.25"/>
    <row r="975" ht="15" customHeight="1" x14ac:dyDescent="0.25"/>
    <row r="976" ht="15" customHeight="1" x14ac:dyDescent="0.25"/>
    <row r="977" ht="15" customHeight="1" x14ac:dyDescent="0.25"/>
    <row r="978" ht="15" customHeight="1" x14ac:dyDescent="0.25"/>
    <row r="979" ht="15" customHeight="1" x14ac:dyDescent="0.25"/>
    <row r="980" ht="15" customHeight="1" x14ac:dyDescent="0.25"/>
    <row r="981" ht="15" customHeight="1" x14ac:dyDescent="0.25"/>
    <row r="982" ht="15" customHeight="1" x14ac:dyDescent="0.25"/>
    <row r="983" ht="15" customHeight="1" x14ac:dyDescent="0.25"/>
    <row r="984" ht="15" customHeight="1" x14ac:dyDescent="0.25"/>
    <row r="985" ht="15" customHeight="1" x14ac:dyDescent="0.25"/>
    <row r="988" ht="15" customHeight="1" x14ac:dyDescent="0.25"/>
    <row r="989" ht="15" customHeight="1" x14ac:dyDescent="0.25"/>
    <row r="990" ht="15" customHeight="1" x14ac:dyDescent="0.25"/>
    <row r="991" ht="15" customHeight="1" x14ac:dyDescent="0.25"/>
    <row r="992" ht="15" customHeight="1" x14ac:dyDescent="0.25"/>
    <row r="993" ht="15" customHeight="1" x14ac:dyDescent="0.25"/>
    <row r="994" ht="15" customHeight="1" x14ac:dyDescent="0.25"/>
    <row r="995" ht="15" customHeight="1" x14ac:dyDescent="0.25"/>
    <row r="996" ht="15" customHeight="1" x14ac:dyDescent="0.25"/>
    <row r="997" ht="15" customHeight="1" x14ac:dyDescent="0.25"/>
    <row r="998" ht="15" customHeight="1" x14ac:dyDescent="0.25"/>
    <row r="999" ht="15" customHeight="1" x14ac:dyDescent="0.25"/>
    <row r="1000" ht="15" customHeight="1" x14ac:dyDescent="0.25"/>
    <row r="1001" ht="15" customHeight="1" x14ac:dyDescent="0.25"/>
    <row r="1002" ht="15" customHeight="1" x14ac:dyDescent="0.25"/>
    <row r="1003" ht="15" customHeight="1" x14ac:dyDescent="0.25"/>
    <row r="1004" ht="15" customHeight="1" x14ac:dyDescent="0.25"/>
    <row r="1005" ht="15" customHeight="1" x14ac:dyDescent="0.25"/>
    <row r="1006" ht="15" customHeight="1" x14ac:dyDescent="0.25"/>
    <row r="1007" ht="15" customHeight="1" x14ac:dyDescent="0.25"/>
    <row r="1008" ht="15" customHeight="1" x14ac:dyDescent="0.25"/>
    <row r="1009" ht="15" customHeight="1" x14ac:dyDescent="0.25"/>
    <row r="1010" ht="15" customHeight="1" x14ac:dyDescent="0.25"/>
    <row r="1011" ht="15" customHeight="1" x14ac:dyDescent="0.25"/>
    <row r="1012" ht="15" customHeight="1" x14ac:dyDescent="0.25"/>
    <row r="1013" ht="15" customHeight="1" x14ac:dyDescent="0.25"/>
    <row r="1016" ht="15" customHeight="1" x14ac:dyDescent="0.25"/>
    <row r="1017" ht="15" customHeight="1" x14ac:dyDescent="0.25"/>
    <row r="1018" ht="15" customHeight="1" x14ac:dyDescent="0.25"/>
    <row r="1019" ht="15" customHeight="1" x14ac:dyDescent="0.25"/>
    <row r="1020" ht="15" customHeight="1" x14ac:dyDescent="0.25"/>
    <row r="1021" ht="15" customHeight="1" x14ac:dyDescent="0.25"/>
    <row r="1022" ht="15" customHeight="1" x14ac:dyDescent="0.25"/>
    <row r="1023" ht="15" customHeight="1" x14ac:dyDescent="0.25"/>
    <row r="1024" ht="15" customHeight="1" x14ac:dyDescent="0.25"/>
    <row r="1025" ht="15" customHeight="1" x14ac:dyDescent="0.25"/>
    <row r="1026" ht="15" customHeight="1" x14ac:dyDescent="0.25"/>
    <row r="1027" ht="15" customHeight="1" x14ac:dyDescent="0.25"/>
    <row r="1028" ht="15" customHeight="1" x14ac:dyDescent="0.25"/>
    <row r="1029" ht="15" customHeight="1" x14ac:dyDescent="0.25"/>
    <row r="1030" ht="15" customHeight="1" x14ac:dyDescent="0.25"/>
    <row r="1031" ht="15" customHeight="1" x14ac:dyDescent="0.25"/>
    <row r="1032" ht="15" customHeight="1" x14ac:dyDescent="0.25"/>
    <row r="1033" ht="15" customHeight="1" x14ac:dyDescent="0.25"/>
    <row r="1034" ht="15" customHeight="1" x14ac:dyDescent="0.25"/>
    <row r="1035" ht="15" customHeight="1" x14ac:dyDescent="0.25"/>
    <row r="1037" ht="15" customHeight="1" x14ac:dyDescent="0.25"/>
    <row r="1038" ht="15" customHeight="1" x14ac:dyDescent="0.25"/>
    <row r="1039" ht="15" customHeight="1" x14ac:dyDescent="0.25"/>
    <row r="1040" ht="15" customHeight="1" x14ac:dyDescent="0.25"/>
    <row r="1041" ht="15" customHeight="1" x14ac:dyDescent="0.25"/>
    <row r="1042" ht="15" customHeight="1" x14ac:dyDescent="0.25"/>
    <row r="1043" ht="15" customHeight="1" x14ac:dyDescent="0.25"/>
    <row r="1044" ht="15" customHeight="1" x14ac:dyDescent="0.25"/>
    <row r="1045" ht="15" customHeight="1" x14ac:dyDescent="0.25"/>
    <row r="1046" ht="15" customHeight="1" x14ac:dyDescent="0.25"/>
    <row r="1047" ht="15" customHeight="1" x14ac:dyDescent="0.25"/>
    <row r="1048" ht="15" customHeight="1" x14ac:dyDescent="0.25"/>
    <row r="1049" ht="15" customHeight="1" x14ac:dyDescent="0.25"/>
    <row r="1050" ht="15" customHeight="1" x14ac:dyDescent="0.25"/>
    <row r="1051" ht="15" customHeight="1" x14ac:dyDescent="0.25"/>
    <row r="1052" ht="15" customHeight="1" x14ac:dyDescent="0.25"/>
    <row r="1053" ht="15" customHeight="1" x14ac:dyDescent="0.25"/>
    <row r="1054" ht="15" customHeight="1" x14ac:dyDescent="0.25"/>
    <row r="1055" ht="15" customHeight="1" x14ac:dyDescent="0.25"/>
    <row r="1056" ht="15" customHeight="1" x14ac:dyDescent="0.25"/>
    <row r="1057" ht="15" customHeight="1" x14ac:dyDescent="0.25"/>
    <row r="1058" ht="15" customHeight="1" x14ac:dyDescent="0.25"/>
    <row r="1059" ht="15" customHeight="1" x14ac:dyDescent="0.25"/>
    <row r="1060" ht="15" customHeight="1" x14ac:dyDescent="0.25"/>
    <row r="1061" ht="15" customHeight="1" x14ac:dyDescent="0.25"/>
    <row r="1062" ht="15" customHeight="1" x14ac:dyDescent="0.25"/>
    <row r="1063" ht="15" customHeight="1" x14ac:dyDescent="0.25"/>
    <row r="1064" ht="15" customHeight="1" x14ac:dyDescent="0.25"/>
    <row r="1066" ht="15" customHeight="1" x14ac:dyDescent="0.25"/>
    <row r="1067" ht="15" customHeight="1" x14ac:dyDescent="0.25"/>
    <row r="1068" ht="15" customHeight="1" x14ac:dyDescent="0.25"/>
    <row r="1069" ht="15" customHeight="1" x14ac:dyDescent="0.25"/>
    <row r="1070" ht="15" customHeight="1" x14ac:dyDescent="0.25"/>
    <row r="1071" ht="15" customHeight="1" x14ac:dyDescent="0.25"/>
    <row r="1072" ht="15" customHeight="1" x14ac:dyDescent="0.25"/>
    <row r="1073" ht="15" customHeight="1" x14ac:dyDescent="0.25"/>
    <row r="1074" ht="15" customHeight="1" x14ac:dyDescent="0.25"/>
    <row r="1075" ht="15" customHeight="1" x14ac:dyDescent="0.25"/>
    <row r="1076" ht="15" customHeight="1" x14ac:dyDescent="0.25"/>
    <row r="1077" ht="15" customHeight="1" x14ac:dyDescent="0.25"/>
    <row r="1078" ht="15" customHeight="1" x14ac:dyDescent="0.25"/>
    <row r="1079" ht="15" customHeight="1" x14ac:dyDescent="0.25"/>
    <row r="1080" ht="15" customHeight="1" x14ac:dyDescent="0.25"/>
    <row r="1081" ht="15" customHeight="1" x14ac:dyDescent="0.25"/>
    <row r="1082" ht="15" customHeight="1" x14ac:dyDescent="0.25"/>
    <row r="1083" ht="15" customHeight="1" x14ac:dyDescent="0.25"/>
    <row r="1084" ht="15" customHeight="1" x14ac:dyDescent="0.25"/>
    <row r="1085" ht="15" customHeight="1" x14ac:dyDescent="0.25"/>
    <row r="1086" ht="15" customHeight="1" x14ac:dyDescent="0.25"/>
    <row r="1087" ht="15" customHeight="1" x14ac:dyDescent="0.25"/>
    <row r="1088" ht="15" customHeight="1" x14ac:dyDescent="0.25"/>
    <row r="1089" spans="2:32" ht="15" customHeight="1" x14ac:dyDescent="0.25"/>
    <row r="1090" spans="2:32" ht="15" customHeight="1" x14ac:dyDescent="0.25"/>
    <row r="1091" spans="2:32" ht="15" customHeight="1" x14ac:dyDescent="0.25"/>
    <row r="1092" spans="2:32" ht="15" customHeight="1" x14ac:dyDescent="0.25"/>
    <row r="1093" spans="2:32" ht="15" customHeight="1" x14ac:dyDescent="0.25"/>
    <row r="1094" spans="2:32" ht="15" customHeight="1" x14ac:dyDescent="0.25"/>
    <row r="1096" spans="2:32" ht="15" customHeight="1" x14ac:dyDescent="0.25">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x14ac:dyDescent="0.25"/>
    <row r="1098" spans="2:32" ht="15" customHeight="1" x14ac:dyDescent="0.25"/>
    <row r="1099" spans="2:32" ht="15" customHeight="1" x14ac:dyDescent="0.25"/>
    <row r="1100" spans="2:32" ht="15" customHeight="1" x14ac:dyDescent="0.25">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x14ac:dyDescent="0.25">
      <c r="B1101" s="84"/>
      <c r="C1101" s="84"/>
      <c r="D1101" s="84"/>
      <c r="E1101" s="84"/>
      <c r="F1101" s="84"/>
      <c r="G1101" s="84"/>
      <c r="H1101" s="84"/>
      <c r="I1101" s="84"/>
      <c r="J1101" s="84"/>
      <c r="K1101" s="84"/>
      <c r="L1101" s="84"/>
      <c r="M1101" s="84"/>
      <c r="N1101" s="84"/>
      <c r="O1101" s="84"/>
      <c r="P1101" s="84"/>
      <c r="Q1101" s="84"/>
      <c r="R1101" s="84"/>
      <c r="S1101" s="84"/>
      <c r="T1101" s="84"/>
      <c r="U1101" s="84"/>
      <c r="V1101" s="84"/>
      <c r="W1101" s="84"/>
      <c r="X1101" s="84"/>
      <c r="Y1101" s="84"/>
      <c r="Z1101" s="84"/>
      <c r="AA1101" s="84"/>
      <c r="AB1101" s="84"/>
      <c r="AC1101" s="84"/>
      <c r="AD1101" s="84"/>
      <c r="AE1101" s="84"/>
      <c r="AF1101" s="84"/>
    </row>
    <row r="1102" spans="2:32" ht="15" customHeight="1" x14ac:dyDescent="0.25"/>
    <row r="1103" spans="2:32" ht="15" customHeight="1" x14ac:dyDescent="0.25"/>
    <row r="1104" spans="2:32" ht="15" customHeight="1" x14ac:dyDescent="0.25"/>
    <row r="1105" ht="15" customHeight="1" x14ac:dyDescent="0.25"/>
    <row r="1106" ht="15" customHeight="1" x14ac:dyDescent="0.25"/>
    <row r="1107" ht="15" customHeight="1" x14ac:dyDescent="0.25"/>
    <row r="1108" ht="15" customHeight="1" x14ac:dyDescent="0.25"/>
    <row r="1109" ht="15" customHeight="1" x14ac:dyDescent="0.25"/>
    <row r="1110" ht="15" customHeight="1" x14ac:dyDescent="0.25"/>
    <row r="1111" ht="15" customHeight="1" x14ac:dyDescent="0.25"/>
    <row r="1150" ht="15" customHeight="1" x14ac:dyDescent="0.25"/>
    <row r="1151" ht="15" customHeight="1" x14ac:dyDescent="0.25"/>
    <row r="1152" ht="15" customHeight="1" x14ac:dyDescent="0.25"/>
    <row r="1153" ht="15" customHeight="1" x14ac:dyDescent="0.25"/>
    <row r="1154" ht="15" customHeight="1" x14ac:dyDescent="0.25"/>
    <row r="1155" ht="15" customHeight="1" x14ac:dyDescent="0.25"/>
    <row r="1156" ht="15" customHeight="1" x14ac:dyDescent="0.25"/>
    <row r="1157" ht="15" customHeight="1" x14ac:dyDescent="0.25"/>
    <row r="1158" ht="15" customHeight="1" x14ac:dyDescent="0.25"/>
    <row r="1159" ht="15" customHeight="1" x14ac:dyDescent="0.25"/>
    <row r="1160" ht="15" customHeight="1" x14ac:dyDescent="0.25"/>
    <row r="1161" ht="15" customHeight="1" x14ac:dyDescent="0.25"/>
    <row r="1162" ht="15" customHeight="1" x14ac:dyDescent="0.25"/>
    <row r="1163" ht="15" customHeight="1" x14ac:dyDescent="0.25"/>
    <row r="1164" ht="15" customHeight="1" x14ac:dyDescent="0.25"/>
    <row r="1165" ht="15" customHeight="1" x14ac:dyDescent="0.25"/>
    <row r="1166" ht="15" customHeight="1" x14ac:dyDescent="0.25"/>
    <row r="1167" ht="15" customHeight="1" x14ac:dyDescent="0.25"/>
    <row r="1168" ht="15" customHeight="1" x14ac:dyDescent="0.25"/>
    <row r="1170" ht="15" customHeight="1" x14ac:dyDescent="0.25"/>
    <row r="1171" ht="15" customHeight="1" x14ac:dyDescent="0.25"/>
    <row r="1172" ht="15" customHeight="1" x14ac:dyDescent="0.25"/>
    <row r="1173" ht="15" customHeight="1" x14ac:dyDescent="0.25"/>
    <row r="1174" ht="15" customHeight="1" x14ac:dyDescent="0.25"/>
    <row r="1175" ht="15" customHeight="1" x14ac:dyDescent="0.25"/>
    <row r="1176" ht="15" customHeight="1" x14ac:dyDescent="0.25"/>
    <row r="1177" ht="15" customHeight="1" x14ac:dyDescent="0.25"/>
    <row r="1178" ht="15" customHeight="1" x14ac:dyDescent="0.25"/>
    <row r="1179" ht="15" customHeight="1" x14ac:dyDescent="0.25"/>
    <row r="1180" ht="15" customHeight="1" x14ac:dyDescent="0.25"/>
    <row r="1181" ht="15" customHeight="1" x14ac:dyDescent="0.25"/>
    <row r="1182" ht="15" customHeight="1" x14ac:dyDescent="0.25"/>
    <row r="1183" ht="15" customHeight="1" x14ac:dyDescent="0.25"/>
    <row r="1184" ht="15" customHeight="1" x14ac:dyDescent="0.25"/>
    <row r="1185" ht="15" customHeight="1" x14ac:dyDescent="0.25"/>
    <row r="1186" ht="15" customHeight="1" x14ac:dyDescent="0.25"/>
    <row r="1187" ht="15" customHeight="1" x14ac:dyDescent="0.25"/>
    <row r="1188" ht="15" customHeight="1" x14ac:dyDescent="0.25"/>
    <row r="1189" ht="15" customHeight="1" x14ac:dyDescent="0.25"/>
    <row r="1190" ht="15" customHeight="1" x14ac:dyDescent="0.25"/>
    <row r="1191" ht="15" customHeight="1" x14ac:dyDescent="0.25"/>
    <row r="1192" ht="15" customHeight="1" x14ac:dyDescent="0.25"/>
    <row r="1194" ht="15" customHeight="1" x14ac:dyDescent="0.25"/>
    <row r="1195" ht="15" customHeight="1" x14ac:dyDescent="0.25"/>
    <row r="1196" ht="15" customHeight="1" x14ac:dyDescent="0.25"/>
    <row r="1197" ht="15" customHeight="1" x14ac:dyDescent="0.25"/>
    <row r="1198" ht="15" customHeight="1" x14ac:dyDescent="0.25"/>
    <row r="1199" ht="15" customHeight="1" x14ac:dyDescent="0.25"/>
    <row r="1200" ht="15" customHeight="1" x14ac:dyDescent="0.25"/>
    <row r="1201" ht="15" customHeight="1" x14ac:dyDescent="0.25"/>
    <row r="1202" ht="15" customHeight="1" x14ac:dyDescent="0.25"/>
    <row r="1203" ht="15" customHeight="1" x14ac:dyDescent="0.25"/>
    <row r="1204" ht="15" customHeight="1" x14ac:dyDescent="0.25"/>
    <row r="1205" ht="15" customHeight="1" x14ac:dyDescent="0.25"/>
    <row r="1206" ht="15" customHeight="1" x14ac:dyDescent="0.25"/>
    <row r="1207" ht="15" customHeight="1" x14ac:dyDescent="0.25"/>
    <row r="1208" ht="15" customHeight="1" x14ac:dyDescent="0.25"/>
    <row r="1209" ht="15" customHeight="1" x14ac:dyDescent="0.25"/>
    <row r="1211" ht="15" customHeight="1" x14ac:dyDescent="0.25"/>
    <row r="1212" ht="15" customHeight="1" x14ac:dyDescent="0.25"/>
    <row r="1213" ht="15" customHeight="1" x14ac:dyDescent="0.25"/>
    <row r="1214" ht="15" customHeight="1" x14ac:dyDescent="0.25"/>
    <row r="1215" ht="15" customHeight="1" x14ac:dyDescent="0.25"/>
    <row r="1216" ht="15" customHeight="1" x14ac:dyDescent="0.25"/>
    <row r="1217" spans="2:32" ht="15" customHeight="1" x14ac:dyDescent="0.25"/>
    <row r="1218" spans="2:32" ht="15" customHeight="1" x14ac:dyDescent="0.25"/>
    <row r="1219" spans="2:32" ht="15" customHeight="1" x14ac:dyDescent="0.25"/>
    <row r="1220" spans="2:32" ht="15" customHeight="1" x14ac:dyDescent="0.25"/>
    <row r="1221" spans="2:32" ht="15" customHeight="1" x14ac:dyDescent="0.25"/>
    <row r="1222" spans="2:32" ht="15" customHeight="1" x14ac:dyDescent="0.25"/>
    <row r="1223" spans="2:32" ht="15" customHeight="1" x14ac:dyDescent="0.25"/>
    <row r="1224" spans="2:32" ht="15" customHeight="1" x14ac:dyDescent="0.25"/>
    <row r="1225" spans="2:32" ht="15" customHeight="1" x14ac:dyDescent="0.25"/>
    <row r="1226" spans="2:32" ht="15" customHeight="1" x14ac:dyDescent="0.25"/>
    <row r="1227" spans="2:32" ht="15" customHeight="1" x14ac:dyDescent="0.25"/>
    <row r="1228" spans="2:32" ht="15" customHeight="1" x14ac:dyDescent="0.25">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x14ac:dyDescent="0.25">
      <c r="B1229" s="84"/>
      <c r="C1229" s="84"/>
      <c r="D1229" s="84"/>
      <c r="E1229" s="84"/>
      <c r="F1229" s="84"/>
      <c r="G1229" s="84"/>
      <c r="H1229" s="84"/>
      <c r="I1229" s="84"/>
      <c r="J1229" s="84"/>
      <c r="K1229" s="84"/>
      <c r="L1229" s="84"/>
      <c r="M1229" s="84"/>
      <c r="N1229" s="84"/>
      <c r="O1229" s="84"/>
      <c r="P1229" s="84"/>
      <c r="Q1229" s="84"/>
      <c r="R1229" s="84"/>
      <c r="S1229" s="84"/>
      <c r="T1229" s="84"/>
      <c r="U1229" s="84"/>
      <c r="V1229" s="84"/>
      <c r="W1229" s="84"/>
      <c r="X1229" s="84"/>
      <c r="Y1229" s="84"/>
      <c r="Z1229" s="84"/>
      <c r="AA1229" s="84"/>
      <c r="AB1229" s="84"/>
      <c r="AC1229" s="84"/>
      <c r="AD1229" s="84"/>
      <c r="AE1229" s="84"/>
      <c r="AF1229" s="84"/>
    </row>
    <row r="1230" spans="2:32" ht="15" customHeight="1" x14ac:dyDescent="0.25"/>
    <row r="1231" spans="2:32" ht="15" customHeight="1" x14ac:dyDescent="0.25"/>
    <row r="1232" spans="2:32" ht="15" customHeight="1" x14ac:dyDescent="0.25"/>
    <row r="1233" ht="15" customHeight="1" x14ac:dyDescent="0.25"/>
    <row r="1234" ht="15" customHeight="1" x14ac:dyDescent="0.25"/>
    <row r="1235" ht="15" customHeight="1" x14ac:dyDescent="0.25"/>
    <row r="1236" ht="15" customHeight="1" x14ac:dyDescent="0.25"/>
    <row r="1237" ht="15" customHeight="1" x14ac:dyDescent="0.25"/>
    <row r="1300" ht="15" customHeight="1" x14ac:dyDescent="0.25"/>
    <row r="1301" ht="15" customHeight="1" x14ac:dyDescent="0.25"/>
    <row r="1302" ht="15" customHeight="1" x14ac:dyDescent="0.25"/>
    <row r="1303" ht="15" customHeight="1" x14ac:dyDescent="0.25"/>
    <row r="1304" ht="15" customHeight="1" x14ac:dyDescent="0.25"/>
    <row r="1305" ht="15" customHeight="1" x14ac:dyDescent="0.25"/>
    <row r="1307" ht="15" customHeight="1" x14ac:dyDescent="0.25"/>
    <row r="1308" ht="15" customHeight="1" x14ac:dyDescent="0.25"/>
    <row r="1309" ht="15" customHeight="1" x14ac:dyDescent="0.25"/>
    <row r="1310" ht="15" customHeight="1" x14ac:dyDescent="0.25"/>
    <row r="1311" ht="15" customHeight="1" x14ac:dyDescent="0.25"/>
    <row r="1312" ht="15" customHeight="1" x14ac:dyDescent="0.25"/>
    <row r="1313" ht="15" customHeight="1" x14ac:dyDescent="0.25"/>
    <row r="1314" ht="15" customHeight="1" x14ac:dyDescent="0.25"/>
    <row r="1315" ht="15" customHeight="1" x14ac:dyDescent="0.25"/>
    <row r="1316" ht="15" customHeight="1" x14ac:dyDescent="0.25"/>
    <row r="1317" ht="15" customHeight="1" x14ac:dyDescent="0.25"/>
    <row r="1318" ht="15" customHeight="1" x14ac:dyDescent="0.25"/>
    <row r="1319" ht="15" customHeight="1" x14ac:dyDescent="0.25"/>
    <row r="1320" ht="15" customHeight="1" x14ac:dyDescent="0.25"/>
    <row r="1321" ht="15" customHeight="1" x14ac:dyDescent="0.25"/>
    <row r="1322" ht="15" customHeight="1" x14ac:dyDescent="0.25"/>
    <row r="1323" ht="15" customHeight="1" x14ac:dyDescent="0.25"/>
    <row r="1324" ht="15" customHeight="1" x14ac:dyDescent="0.25"/>
    <row r="1325" ht="15" customHeight="1" x14ac:dyDescent="0.25"/>
    <row r="1327" ht="15" customHeight="1" x14ac:dyDescent="0.25"/>
    <row r="1329" ht="15" customHeight="1" x14ac:dyDescent="0.25"/>
    <row r="1330" ht="15" customHeight="1" x14ac:dyDescent="0.25"/>
    <row r="1331" ht="15" customHeight="1" x14ac:dyDescent="0.25"/>
    <row r="1332" ht="15" customHeight="1" x14ac:dyDescent="0.25"/>
    <row r="1333" ht="15" customHeight="1" x14ac:dyDescent="0.25"/>
    <row r="1334" ht="15" customHeight="1" x14ac:dyDescent="0.25"/>
    <row r="1335" ht="15" customHeight="1" x14ac:dyDescent="0.25"/>
    <row r="1336" ht="15" customHeight="1" x14ac:dyDescent="0.25"/>
    <row r="1337" ht="15" customHeight="1" x14ac:dyDescent="0.25"/>
    <row r="1338" ht="15" customHeight="1" x14ac:dyDescent="0.25"/>
    <row r="1340" ht="15" customHeight="1" x14ac:dyDescent="0.25"/>
    <row r="1341" ht="15" customHeight="1" x14ac:dyDescent="0.25"/>
    <row r="1342" ht="15" customHeight="1" x14ac:dyDescent="0.25"/>
    <row r="1343" ht="15" customHeight="1" x14ac:dyDescent="0.25"/>
    <row r="1344" ht="15" customHeight="1" x14ac:dyDescent="0.25"/>
    <row r="1345" ht="15" customHeight="1" x14ac:dyDescent="0.25"/>
    <row r="1346" ht="15" customHeight="1" x14ac:dyDescent="0.25"/>
    <row r="1347" ht="15" customHeight="1" x14ac:dyDescent="0.25"/>
    <row r="1348" ht="15" customHeight="1" x14ac:dyDescent="0.25"/>
    <row r="1350" ht="15" customHeight="1" x14ac:dyDescent="0.25"/>
    <row r="1352" ht="15" customHeight="1" x14ac:dyDescent="0.25"/>
    <row r="1353" ht="15" customHeight="1" x14ac:dyDescent="0.25"/>
    <row r="1354" ht="15" customHeight="1" x14ac:dyDescent="0.25"/>
    <row r="1355" ht="15" customHeight="1" x14ac:dyDescent="0.25"/>
    <row r="1356" ht="15" customHeight="1" x14ac:dyDescent="0.25"/>
    <row r="1357" ht="15" customHeight="1" x14ac:dyDescent="0.25"/>
    <row r="1358" ht="15" customHeight="1" x14ac:dyDescent="0.25"/>
    <row r="1359" ht="15" customHeight="1" x14ac:dyDescent="0.25"/>
    <row r="1361" ht="15" customHeight="1" x14ac:dyDescent="0.25"/>
    <row r="1362" ht="15" customHeight="1" x14ac:dyDescent="0.25"/>
    <row r="1363" ht="15" customHeight="1" x14ac:dyDescent="0.25"/>
    <row r="1364" ht="15" customHeight="1" x14ac:dyDescent="0.25"/>
    <row r="1365" ht="15" customHeight="1" x14ac:dyDescent="0.25"/>
    <row r="1366" ht="15" customHeight="1" x14ac:dyDescent="0.25"/>
    <row r="1367" ht="15" customHeight="1" x14ac:dyDescent="0.25"/>
    <row r="1368" ht="15" customHeight="1" x14ac:dyDescent="0.25"/>
    <row r="1369" ht="15" customHeight="1" x14ac:dyDescent="0.25"/>
    <row r="1370" ht="15" customHeight="1" x14ac:dyDescent="0.25"/>
    <row r="1371" ht="15" customHeight="1" x14ac:dyDescent="0.25"/>
    <row r="1372" ht="15" customHeight="1" x14ac:dyDescent="0.25"/>
    <row r="1373" ht="15" customHeight="1" x14ac:dyDescent="0.25"/>
    <row r="1375" ht="15" customHeight="1" x14ac:dyDescent="0.25"/>
    <row r="1376" ht="15" customHeight="1" x14ac:dyDescent="0.25"/>
    <row r="1377" spans="2:32" ht="15" customHeight="1" x14ac:dyDescent="0.25"/>
    <row r="1378" spans="2:32" ht="15" customHeight="1" x14ac:dyDescent="0.25"/>
    <row r="1379" spans="2:32" ht="15" customHeight="1" x14ac:dyDescent="0.25"/>
    <row r="1380" spans="2:32" ht="15" customHeight="1" x14ac:dyDescent="0.25"/>
    <row r="1381" spans="2:32" ht="15" customHeight="1" x14ac:dyDescent="0.25"/>
    <row r="1382" spans="2:32" ht="15" customHeight="1" x14ac:dyDescent="0.25"/>
    <row r="1383" spans="2:32" ht="15" customHeight="1" x14ac:dyDescent="0.25"/>
    <row r="1384" spans="2:32" x14ac:dyDescent="0.25">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x14ac:dyDescent="0.25"/>
    <row r="1386" spans="2:32" ht="15" customHeight="1" x14ac:dyDescent="0.25"/>
    <row r="1387" spans="2:32" ht="15" customHeight="1" x14ac:dyDescent="0.25"/>
    <row r="1388" spans="2:32" ht="15" customHeight="1" x14ac:dyDescent="0.25"/>
    <row r="1389" spans="2:32" ht="15" customHeight="1" x14ac:dyDescent="0.25">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x14ac:dyDescent="0.25">
      <c r="B1390" s="84"/>
      <c r="C1390" s="84"/>
      <c r="D1390" s="84"/>
      <c r="E1390" s="84"/>
      <c r="F1390" s="84"/>
      <c r="G1390" s="84"/>
      <c r="H1390" s="84"/>
      <c r="I1390" s="84"/>
      <c r="J1390" s="84"/>
      <c r="K1390" s="84"/>
      <c r="L1390" s="84"/>
      <c r="M1390" s="84"/>
      <c r="N1390" s="84"/>
      <c r="O1390" s="84"/>
      <c r="P1390" s="84"/>
      <c r="Q1390" s="84"/>
      <c r="R1390" s="84"/>
      <c r="S1390" s="84"/>
      <c r="T1390" s="84"/>
      <c r="U1390" s="84"/>
      <c r="V1390" s="84"/>
      <c r="W1390" s="84"/>
      <c r="X1390" s="84"/>
      <c r="Y1390" s="84"/>
      <c r="Z1390" s="84"/>
      <c r="AA1390" s="84"/>
      <c r="AB1390" s="84"/>
      <c r="AC1390" s="84"/>
      <c r="AD1390" s="84"/>
      <c r="AE1390" s="84"/>
      <c r="AF1390" s="84"/>
    </row>
    <row r="1391" spans="2:32" ht="15" customHeight="1" x14ac:dyDescent="0.25"/>
    <row r="1392" spans="2:32" ht="15" customHeight="1" x14ac:dyDescent="0.25"/>
    <row r="1393" ht="15" customHeight="1" x14ac:dyDescent="0.25"/>
    <row r="1394" ht="15" customHeight="1" x14ac:dyDescent="0.25"/>
    <row r="1395" ht="15" customHeight="1" x14ac:dyDescent="0.25"/>
    <row r="1396" ht="15" customHeight="1" x14ac:dyDescent="0.25"/>
    <row r="1397" ht="15" customHeight="1" x14ac:dyDescent="0.25"/>
    <row r="1398" ht="15" customHeight="1" x14ac:dyDescent="0.25"/>
    <row r="1399" ht="15" customHeight="1" x14ac:dyDescent="0.25"/>
    <row r="1400" ht="15" customHeight="1" x14ac:dyDescent="0.25"/>
    <row r="1401" ht="15" customHeight="1" x14ac:dyDescent="0.25"/>
    <row r="1402" ht="15" customHeight="1" x14ac:dyDescent="0.25"/>
    <row r="1403" ht="15" customHeight="1" x14ac:dyDescent="0.25"/>
    <row r="1404" ht="15" customHeight="1" x14ac:dyDescent="0.25"/>
    <row r="1405" ht="15" customHeight="1" x14ac:dyDescent="0.25"/>
    <row r="1406" ht="15" customHeight="1" x14ac:dyDescent="0.25"/>
    <row r="1407" ht="15" customHeight="1" x14ac:dyDescent="0.25"/>
    <row r="1408" ht="15" customHeight="1" x14ac:dyDescent="0.25"/>
    <row r="1409" ht="15" customHeight="1" x14ac:dyDescent="0.25"/>
    <row r="1410" ht="15" customHeight="1" x14ac:dyDescent="0.25"/>
    <row r="1425" ht="15" customHeight="1" x14ac:dyDescent="0.25"/>
    <row r="1426" ht="15" customHeight="1" x14ac:dyDescent="0.25"/>
    <row r="1427" ht="15" customHeight="1" x14ac:dyDescent="0.25"/>
    <row r="1428" ht="15" customHeight="1" x14ac:dyDescent="0.25"/>
    <row r="1429" ht="15" customHeight="1" x14ac:dyDescent="0.25"/>
    <row r="1430" ht="15" customHeight="1" x14ac:dyDescent="0.25"/>
    <row r="1431" ht="15" customHeight="1" x14ac:dyDescent="0.25"/>
    <row r="1432" ht="15" customHeight="1" x14ac:dyDescent="0.25"/>
    <row r="1433" ht="15" customHeight="1" x14ac:dyDescent="0.25"/>
    <row r="1434" ht="15" customHeight="1" x14ac:dyDescent="0.25"/>
    <row r="1435" ht="15" customHeight="1" x14ac:dyDescent="0.25"/>
    <row r="1436" ht="15" customHeight="1" x14ac:dyDescent="0.25"/>
    <row r="1437" ht="15" customHeight="1" x14ac:dyDescent="0.25"/>
    <row r="1438" ht="15" customHeight="1" x14ac:dyDescent="0.25"/>
    <row r="1439" ht="15" customHeight="1" x14ac:dyDescent="0.25"/>
    <row r="1440" ht="15" customHeight="1" x14ac:dyDescent="0.25"/>
    <row r="1441" ht="15" customHeight="1" x14ac:dyDescent="0.25"/>
    <row r="1442" ht="15" customHeight="1" x14ac:dyDescent="0.25"/>
    <row r="1443" ht="15" customHeight="1" x14ac:dyDescent="0.25"/>
    <row r="1444" ht="15" customHeight="1" x14ac:dyDescent="0.25"/>
    <row r="1445" ht="15" customHeight="1" x14ac:dyDescent="0.25"/>
    <row r="1446" ht="15" customHeight="1" x14ac:dyDescent="0.25"/>
    <row r="1447" ht="15" customHeight="1" x14ac:dyDescent="0.25"/>
    <row r="1448" ht="15" customHeight="1" x14ac:dyDescent="0.25"/>
    <row r="1449" ht="15" customHeight="1" x14ac:dyDescent="0.25"/>
    <row r="1451" ht="15" customHeight="1" x14ac:dyDescent="0.25"/>
    <row r="1452" ht="15" customHeight="1" x14ac:dyDescent="0.25"/>
    <row r="1453" ht="15" customHeight="1" x14ac:dyDescent="0.25"/>
    <row r="1454" ht="15" customHeight="1" x14ac:dyDescent="0.25"/>
    <row r="1455" ht="15" customHeight="1" x14ac:dyDescent="0.25"/>
    <row r="1456" ht="15" customHeight="1" x14ac:dyDescent="0.25"/>
    <row r="1457" ht="15" customHeight="1" x14ac:dyDescent="0.25"/>
    <row r="1458" ht="15" customHeight="1" x14ac:dyDescent="0.25"/>
    <row r="1459" ht="15" customHeight="1" x14ac:dyDescent="0.25"/>
    <row r="1460" ht="15" customHeight="1" x14ac:dyDescent="0.25"/>
    <row r="1461" ht="15" customHeight="1" x14ac:dyDescent="0.25"/>
    <row r="1462" ht="15" customHeight="1" x14ac:dyDescent="0.25"/>
    <row r="1463" ht="15" customHeight="1" x14ac:dyDescent="0.25"/>
    <row r="1464" ht="15" customHeight="1" x14ac:dyDescent="0.25"/>
    <row r="1465" ht="15" customHeight="1" x14ac:dyDescent="0.25"/>
    <row r="1466" ht="15" customHeight="1" x14ac:dyDescent="0.25"/>
    <row r="1467" ht="15" customHeight="1" x14ac:dyDescent="0.25"/>
    <row r="1468" ht="15" customHeight="1" x14ac:dyDescent="0.25"/>
    <row r="1469" ht="15" customHeight="1" x14ac:dyDescent="0.25"/>
    <row r="1470" ht="15" customHeight="1" x14ac:dyDescent="0.25"/>
    <row r="1471" ht="15" customHeight="1" x14ac:dyDescent="0.25"/>
    <row r="1472" ht="15" customHeight="1" x14ac:dyDescent="0.25"/>
    <row r="1473" ht="15" customHeight="1" x14ac:dyDescent="0.25"/>
    <row r="1474" ht="15" customHeight="1" x14ac:dyDescent="0.25"/>
    <row r="1475" ht="15" customHeight="1" x14ac:dyDescent="0.25"/>
    <row r="1477" ht="15" customHeight="1" x14ac:dyDescent="0.25"/>
    <row r="1478" ht="15" customHeight="1" x14ac:dyDescent="0.25"/>
    <row r="1479" ht="15" customHeight="1" x14ac:dyDescent="0.25"/>
    <row r="1480" ht="15" customHeight="1" x14ac:dyDescent="0.25"/>
    <row r="1481" ht="15" customHeight="1" x14ac:dyDescent="0.25"/>
    <row r="1482" ht="15" customHeight="1" x14ac:dyDescent="0.25"/>
    <row r="1483" ht="15" customHeight="1" x14ac:dyDescent="0.25"/>
    <row r="1484" ht="15" customHeight="1" x14ac:dyDescent="0.25"/>
    <row r="1485" ht="15" customHeight="1" x14ac:dyDescent="0.25"/>
    <row r="1486" ht="15" customHeight="1" x14ac:dyDescent="0.25"/>
    <row r="1487" ht="15" customHeight="1" x14ac:dyDescent="0.25"/>
    <row r="1489" spans="2:32" ht="15" customHeight="1" x14ac:dyDescent="0.25"/>
    <row r="1490" spans="2:32" x14ac:dyDescent="0.25">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x14ac:dyDescent="0.25"/>
    <row r="1492" spans="2:32" ht="15" customHeight="1" x14ac:dyDescent="0.25"/>
    <row r="1493" spans="2:32" ht="15" customHeight="1" x14ac:dyDescent="0.25"/>
    <row r="1494" spans="2:32" ht="15" customHeight="1" x14ac:dyDescent="0.25"/>
    <row r="1495" spans="2:32" ht="15" customHeight="1" x14ac:dyDescent="0.25"/>
    <row r="1496" spans="2:32" ht="15" customHeight="1" x14ac:dyDescent="0.25"/>
    <row r="1497" spans="2:32" ht="15" customHeight="1" x14ac:dyDescent="0.25"/>
    <row r="1498" spans="2:32" ht="15" customHeight="1" x14ac:dyDescent="0.25"/>
    <row r="1499" spans="2:32" x14ac:dyDescent="0.25">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x14ac:dyDescent="0.25"/>
    <row r="1501" spans="2:32" ht="15" customHeight="1" x14ac:dyDescent="0.25">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x14ac:dyDescent="0.25">
      <c r="B1502" s="84"/>
      <c r="C1502" s="84"/>
      <c r="D1502" s="84"/>
      <c r="E1502" s="84"/>
      <c r="F1502" s="84"/>
      <c r="G1502" s="84"/>
      <c r="H1502" s="84"/>
      <c r="I1502" s="84"/>
      <c r="J1502" s="84"/>
      <c r="K1502" s="84"/>
      <c r="L1502" s="84"/>
      <c r="M1502" s="84"/>
      <c r="N1502" s="84"/>
      <c r="O1502" s="84"/>
      <c r="P1502" s="84"/>
      <c r="Q1502" s="84"/>
      <c r="R1502" s="84"/>
      <c r="S1502" s="84"/>
      <c r="T1502" s="84"/>
      <c r="U1502" s="84"/>
      <c r="V1502" s="84"/>
      <c r="W1502" s="84"/>
      <c r="X1502" s="84"/>
      <c r="Y1502" s="84"/>
      <c r="Z1502" s="84"/>
      <c r="AA1502" s="84"/>
      <c r="AB1502" s="84"/>
      <c r="AC1502" s="84"/>
      <c r="AD1502" s="84"/>
      <c r="AE1502" s="84"/>
      <c r="AF1502" s="84"/>
    </row>
    <row r="1503" spans="2:32" ht="15" customHeight="1" x14ac:dyDescent="0.25"/>
    <row r="1504" spans="2:32" ht="15" customHeight="1" x14ac:dyDescent="0.25"/>
    <row r="1505" ht="15" customHeight="1" x14ac:dyDescent="0.25"/>
    <row r="1506" ht="15" customHeight="1" x14ac:dyDescent="0.25"/>
    <row r="1507" ht="15" customHeight="1" x14ac:dyDescent="0.25"/>
    <row r="1508" ht="15" customHeight="1" x14ac:dyDescent="0.25"/>
    <row r="1509" ht="15" customHeight="1" x14ac:dyDescent="0.25"/>
    <row r="1510" ht="15" customHeight="1" x14ac:dyDescent="0.25"/>
    <row r="1511" ht="15" customHeight="1" x14ac:dyDescent="0.25"/>
    <row r="1512" ht="15" customHeight="1" x14ac:dyDescent="0.25"/>
    <row r="1513" ht="15" customHeight="1" x14ac:dyDescent="0.25"/>
    <row r="1514" ht="15" customHeight="1" x14ac:dyDescent="0.25"/>
    <row r="1515" ht="15" customHeight="1" x14ac:dyDescent="0.25"/>
    <row r="1516" ht="15" customHeight="1" x14ac:dyDescent="0.25"/>
    <row r="1517" ht="15" customHeight="1" x14ac:dyDescent="0.25"/>
    <row r="1518" ht="15" customHeight="1" x14ac:dyDescent="0.25"/>
    <row r="1519" ht="15" customHeight="1" x14ac:dyDescent="0.25"/>
    <row r="1520" ht="15" customHeight="1" x14ac:dyDescent="0.25"/>
    <row r="1521" ht="15" customHeight="1" x14ac:dyDescent="0.25"/>
    <row r="1522" ht="15" customHeight="1" x14ac:dyDescent="0.25"/>
    <row r="1523" ht="15" customHeight="1" x14ac:dyDescent="0.25"/>
    <row r="1524" ht="15" customHeight="1" x14ac:dyDescent="0.25"/>
    <row r="1525" ht="15" customHeight="1" x14ac:dyDescent="0.25"/>
    <row r="1526" ht="15" customHeight="1" x14ac:dyDescent="0.25"/>
    <row r="1575" ht="15" customHeight="1" x14ac:dyDescent="0.25"/>
    <row r="1576" ht="15" customHeight="1" x14ac:dyDescent="0.25"/>
    <row r="1577" ht="15" customHeight="1" x14ac:dyDescent="0.25"/>
    <row r="1578" ht="15" customHeight="1" x14ac:dyDescent="0.25"/>
    <row r="1579" ht="15" customHeight="1" x14ac:dyDescent="0.25"/>
    <row r="1580" ht="15" customHeight="1" x14ac:dyDescent="0.25"/>
    <row r="1582" ht="15" customHeight="1" x14ac:dyDescent="0.25"/>
    <row r="1583" ht="15" customHeight="1" x14ac:dyDescent="0.25"/>
    <row r="1584" ht="15" customHeight="1" x14ac:dyDescent="0.25"/>
    <row r="1585" ht="15" customHeight="1" x14ac:dyDescent="0.25"/>
    <row r="1587" ht="15" customHeight="1" x14ac:dyDescent="0.25"/>
    <row r="1588" ht="15" customHeight="1" x14ac:dyDescent="0.25"/>
    <row r="1589" ht="15" customHeight="1" x14ac:dyDescent="0.25"/>
    <row r="1590" ht="15" customHeight="1" x14ac:dyDescent="0.25"/>
    <row r="1592" ht="15" customHeight="1" x14ac:dyDescent="0.25"/>
    <row r="1594" ht="15" customHeight="1" x14ac:dyDescent="0.25"/>
    <row r="1595" ht="15" customHeight="1" x14ac:dyDescent="0.25"/>
    <row r="1596" ht="15" customHeight="1" x14ac:dyDescent="0.25"/>
    <row r="1597" ht="15" customHeight="1" x14ac:dyDescent="0.25"/>
    <row r="1599" ht="15" customHeight="1" x14ac:dyDescent="0.25"/>
    <row r="1600" ht="15" customHeight="1" x14ac:dyDescent="0.25"/>
    <row r="1601" spans="2:32" ht="15" customHeight="1" x14ac:dyDescent="0.25"/>
    <row r="1602" spans="2:32" ht="15" customHeight="1" x14ac:dyDescent="0.25"/>
    <row r="1603" spans="2:32" ht="15" customHeight="1" x14ac:dyDescent="0.25">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x14ac:dyDescent="0.25">
      <c r="B1604" s="84"/>
      <c r="C1604" s="84"/>
      <c r="D1604" s="84"/>
      <c r="E1604" s="84"/>
      <c r="F1604" s="84"/>
      <c r="G1604" s="84"/>
      <c r="H1604" s="84"/>
      <c r="I1604" s="84"/>
      <c r="J1604" s="84"/>
      <c r="K1604" s="84"/>
      <c r="L1604" s="84"/>
      <c r="M1604" s="84"/>
      <c r="N1604" s="84"/>
      <c r="O1604" s="84"/>
      <c r="P1604" s="84"/>
      <c r="Q1604" s="84"/>
      <c r="R1604" s="84"/>
      <c r="S1604" s="84"/>
      <c r="T1604" s="84"/>
      <c r="U1604" s="84"/>
      <c r="V1604" s="84"/>
      <c r="W1604" s="84"/>
      <c r="X1604" s="84"/>
      <c r="Y1604" s="84"/>
      <c r="Z1604" s="84"/>
      <c r="AA1604" s="84"/>
      <c r="AB1604" s="84"/>
      <c r="AC1604" s="84"/>
      <c r="AD1604" s="84"/>
      <c r="AE1604" s="84"/>
      <c r="AF1604" s="84"/>
    </row>
    <row r="1605" spans="2:32" ht="15" customHeight="1" x14ac:dyDescent="0.25"/>
    <row r="1606" spans="2:32" ht="15" customHeight="1" x14ac:dyDescent="0.25"/>
    <row r="1607" spans="2:32" ht="15" customHeight="1" x14ac:dyDescent="0.25"/>
    <row r="1608" spans="2:32" ht="15" customHeight="1" x14ac:dyDescent="0.25"/>
    <row r="1609" spans="2:32" ht="15" customHeight="1" x14ac:dyDescent="0.25"/>
    <row r="1610" spans="2:32" ht="15" customHeight="1" x14ac:dyDescent="0.25"/>
    <row r="1612" spans="2:32" x14ac:dyDescent="0.25">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x14ac:dyDescent="0.25">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x14ac:dyDescent="0.25">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x14ac:dyDescent="0.25">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x14ac:dyDescent="0.25">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x14ac:dyDescent="0.25"/>
    <row r="1626" ht="15" customHeight="1" x14ac:dyDescent="0.25"/>
    <row r="1627" ht="15" customHeight="1" x14ac:dyDescent="0.25"/>
    <row r="1628" ht="15" customHeight="1" x14ac:dyDescent="0.25"/>
    <row r="1629" ht="15" customHeight="1" x14ac:dyDescent="0.25"/>
    <row r="1630" ht="15" customHeight="1" x14ac:dyDescent="0.25"/>
    <row r="1631" ht="15" customHeight="1" x14ac:dyDescent="0.25"/>
    <row r="1632" ht="15" customHeight="1" x14ac:dyDescent="0.25"/>
    <row r="1633" ht="15" customHeight="1" x14ac:dyDescent="0.25"/>
    <row r="1634" ht="15" customHeight="1" x14ac:dyDescent="0.25"/>
    <row r="1635" ht="15" customHeight="1" x14ac:dyDescent="0.25"/>
    <row r="1636" ht="15" customHeight="1" x14ac:dyDescent="0.25"/>
    <row r="1637" ht="15" customHeight="1" x14ac:dyDescent="0.25"/>
    <row r="1638" ht="15" customHeight="1" x14ac:dyDescent="0.25"/>
    <row r="1640" ht="15" customHeight="1" x14ac:dyDescent="0.25"/>
    <row r="1641" ht="15" customHeight="1" x14ac:dyDescent="0.25"/>
    <row r="1642" ht="15" customHeight="1" x14ac:dyDescent="0.25"/>
    <row r="1643" ht="15" customHeight="1" x14ac:dyDescent="0.25"/>
    <row r="1644" ht="15" customHeight="1" x14ac:dyDescent="0.25"/>
    <row r="1645" ht="15" customHeight="1" x14ac:dyDescent="0.25"/>
    <row r="1646" ht="15" customHeight="1" x14ac:dyDescent="0.25"/>
    <row r="1647" ht="15" customHeight="1" x14ac:dyDescent="0.25"/>
    <row r="1648" ht="15" customHeight="1" x14ac:dyDescent="0.25"/>
    <row r="1649" ht="15" customHeight="1" x14ac:dyDescent="0.25"/>
    <row r="1650" ht="15" customHeight="1" x14ac:dyDescent="0.25"/>
    <row r="1651" ht="15" customHeight="1" x14ac:dyDescent="0.25"/>
    <row r="1652" ht="15" customHeight="1" x14ac:dyDescent="0.25"/>
    <row r="1653" ht="15" customHeight="1" x14ac:dyDescent="0.25"/>
    <row r="1654" ht="15" customHeight="1" x14ac:dyDescent="0.25"/>
    <row r="1655" ht="15" customHeight="1" x14ac:dyDescent="0.25"/>
    <row r="1656" ht="15" customHeight="1" x14ac:dyDescent="0.25"/>
    <row r="1657" ht="15" customHeight="1" x14ac:dyDescent="0.25"/>
    <row r="1658" ht="15" customHeight="1" x14ac:dyDescent="0.25"/>
    <row r="1659" ht="15" customHeight="1" x14ac:dyDescent="0.25"/>
    <row r="1660" ht="15" customHeight="1" x14ac:dyDescent="0.25"/>
    <row r="1661" ht="15" customHeight="1" x14ac:dyDescent="0.25"/>
    <row r="1662" ht="15" customHeight="1" x14ac:dyDescent="0.25"/>
    <row r="1663" ht="15" customHeight="1" x14ac:dyDescent="0.25"/>
    <row r="1665" ht="15" customHeight="1" x14ac:dyDescent="0.25"/>
    <row r="1668" ht="15" customHeight="1" x14ac:dyDescent="0.25"/>
    <row r="1669" ht="15" customHeight="1" x14ac:dyDescent="0.25"/>
    <row r="1670" ht="15" customHeight="1" x14ac:dyDescent="0.25"/>
    <row r="1671" ht="15" customHeight="1" x14ac:dyDescent="0.25"/>
    <row r="1672" ht="15" customHeight="1" x14ac:dyDescent="0.25"/>
    <row r="1673" ht="15" customHeight="1" x14ac:dyDescent="0.25"/>
    <row r="1674" ht="15" customHeight="1" x14ac:dyDescent="0.25"/>
    <row r="1675" ht="15" customHeight="1" x14ac:dyDescent="0.25"/>
    <row r="1676" ht="15" customHeight="1" x14ac:dyDescent="0.25"/>
    <row r="1677" ht="15" customHeight="1" x14ac:dyDescent="0.25"/>
    <row r="1678" ht="15" customHeight="1" x14ac:dyDescent="0.25"/>
    <row r="1679" ht="15" customHeight="1" x14ac:dyDescent="0.25"/>
    <row r="1680" ht="15" customHeight="1" x14ac:dyDescent="0.25"/>
    <row r="1681" ht="15" customHeight="1" x14ac:dyDescent="0.25"/>
    <row r="1682" ht="15" customHeight="1" x14ac:dyDescent="0.25"/>
    <row r="1683" ht="15" customHeight="1" x14ac:dyDescent="0.25"/>
    <row r="1684" ht="15" customHeight="1" x14ac:dyDescent="0.25"/>
    <row r="1686" ht="15" customHeight="1" x14ac:dyDescent="0.25"/>
    <row r="1688" ht="15" customHeight="1" x14ac:dyDescent="0.25"/>
    <row r="1689" ht="15" customHeight="1" x14ac:dyDescent="0.25"/>
    <row r="1690" ht="15" customHeight="1" x14ac:dyDescent="0.25"/>
    <row r="1691" ht="15" customHeight="1" x14ac:dyDescent="0.25"/>
    <row r="1692" ht="15" customHeight="1" x14ac:dyDescent="0.25"/>
    <row r="1693" ht="15" customHeight="1" x14ac:dyDescent="0.25"/>
    <row r="1694" ht="15" customHeight="1" x14ac:dyDescent="0.25"/>
    <row r="1695" ht="15" customHeight="1" x14ac:dyDescent="0.25"/>
    <row r="1697" spans="2:32" ht="15" customHeight="1" x14ac:dyDescent="0.25">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x14ac:dyDescent="0.25">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x14ac:dyDescent="0.25">
      <c r="B1699" s="84"/>
      <c r="C1699" s="84"/>
      <c r="D1699" s="84"/>
      <c r="E1699" s="84"/>
      <c r="F1699" s="84"/>
      <c r="G1699" s="84"/>
      <c r="H1699" s="84"/>
      <c r="I1699" s="84"/>
      <c r="J1699" s="84"/>
      <c r="K1699" s="84"/>
      <c r="L1699" s="84"/>
      <c r="M1699" s="84"/>
      <c r="N1699" s="84"/>
      <c r="O1699" s="84"/>
      <c r="P1699" s="84"/>
      <c r="Q1699" s="84"/>
      <c r="R1699" s="84"/>
      <c r="S1699" s="84"/>
      <c r="T1699" s="84"/>
      <c r="U1699" s="84"/>
      <c r="V1699" s="84"/>
      <c r="W1699" s="84"/>
      <c r="X1699" s="84"/>
      <c r="Y1699" s="84"/>
      <c r="Z1699" s="84"/>
      <c r="AA1699" s="84"/>
      <c r="AB1699" s="84"/>
      <c r="AC1699" s="84"/>
      <c r="AD1699" s="84"/>
      <c r="AE1699" s="84"/>
      <c r="AF1699" s="84"/>
    </row>
    <row r="1700" spans="2:32" ht="15" customHeight="1" x14ac:dyDescent="0.25"/>
    <row r="1701" spans="2:32" ht="15" customHeight="1" x14ac:dyDescent="0.25"/>
    <row r="1702" spans="2:32" ht="15" customHeight="1" x14ac:dyDescent="0.25"/>
    <row r="1703" spans="2:32" ht="15" customHeight="1" x14ac:dyDescent="0.25"/>
    <row r="1704" spans="2:32" ht="15" customHeight="1" x14ac:dyDescent="0.25"/>
    <row r="1705" spans="2:32" ht="15" customHeight="1" x14ac:dyDescent="0.25"/>
    <row r="1706" spans="2:32" ht="15" customHeight="1" x14ac:dyDescent="0.25"/>
    <row r="1707" spans="2:32" ht="15" customHeight="1" x14ac:dyDescent="0.25"/>
    <row r="1708" spans="2:32" ht="15" customHeight="1" x14ac:dyDescent="0.25"/>
    <row r="1709" spans="2:32" ht="15" customHeight="1" x14ac:dyDescent="0.25"/>
    <row r="1710" spans="2:32" ht="15" customHeight="1" x14ac:dyDescent="0.25"/>
    <row r="1711" spans="2:32" ht="15" customHeight="1" x14ac:dyDescent="0.25"/>
    <row r="1712" spans="2:32" ht="15" customHeight="1" x14ac:dyDescent="0.25"/>
    <row r="1713" ht="15" customHeight="1" x14ac:dyDescent="0.25"/>
    <row r="1714" ht="15" customHeight="1" x14ac:dyDescent="0.25"/>
    <row r="1715" ht="15" customHeight="1" x14ac:dyDescent="0.25"/>
    <row r="1716" ht="15" customHeight="1" x14ac:dyDescent="0.25"/>
    <row r="1717" ht="15" customHeight="1" x14ac:dyDescent="0.25"/>
    <row r="1718" ht="15" customHeight="1" x14ac:dyDescent="0.25"/>
    <row r="1719" ht="15" customHeight="1" x14ac:dyDescent="0.25"/>
    <row r="1720" ht="15" customHeight="1" x14ac:dyDescent="0.25"/>
    <row r="1721" ht="15" customHeight="1" x14ac:dyDescent="0.25"/>
    <row r="1722" ht="15" customHeight="1" x14ac:dyDescent="0.25"/>
    <row r="1723" ht="15" customHeight="1" x14ac:dyDescent="0.25"/>
    <row r="1724" ht="15" customHeight="1" x14ac:dyDescent="0.25"/>
    <row r="1725" ht="15" customHeight="1" x14ac:dyDescent="0.25"/>
    <row r="1726" ht="15" customHeight="1" x14ac:dyDescent="0.25"/>
    <row r="1850" ht="15" customHeight="1" x14ac:dyDescent="0.25"/>
    <row r="1851" ht="15" customHeight="1" x14ac:dyDescent="0.25"/>
    <row r="1852" ht="15" customHeight="1" x14ac:dyDescent="0.25"/>
    <row r="1853" ht="15" customHeight="1" x14ac:dyDescent="0.25"/>
    <row r="1854" ht="15" customHeight="1" x14ac:dyDescent="0.25"/>
    <row r="1855" ht="15" customHeight="1" x14ac:dyDescent="0.25"/>
    <row r="1856" ht="15" customHeight="1" x14ac:dyDescent="0.25"/>
    <row r="1857" ht="15" customHeight="1" x14ac:dyDescent="0.25"/>
    <row r="1858" ht="15" customHeight="1" x14ac:dyDescent="0.25"/>
    <row r="1859" ht="15" customHeight="1" x14ac:dyDescent="0.25"/>
    <row r="1861" ht="15" customHeight="1" x14ac:dyDescent="0.25"/>
    <row r="1863" ht="15" customHeight="1" x14ac:dyDescent="0.25"/>
    <row r="1864" ht="15" customHeight="1" x14ac:dyDescent="0.25"/>
    <row r="1865" ht="15" customHeight="1" x14ac:dyDescent="0.25"/>
    <row r="1867" ht="15" customHeight="1" x14ac:dyDescent="0.25"/>
    <row r="1868" ht="15" customHeight="1" x14ac:dyDescent="0.25"/>
    <row r="1869" ht="15" customHeight="1" x14ac:dyDescent="0.25"/>
    <row r="1870" ht="15" customHeight="1" x14ac:dyDescent="0.25"/>
    <row r="1872" ht="15" customHeight="1" x14ac:dyDescent="0.25"/>
    <row r="1873" ht="15" customHeight="1" x14ac:dyDescent="0.25"/>
    <row r="1874" ht="15" customHeight="1" x14ac:dyDescent="0.25"/>
    <row r="1875" ht="15" customHeight="1" x14ac:dyDescent="0.25"/>
    <row r="1876" ht="15" customHeight="1" x14ac:dyDescent="0.25"/>
    <row r="1878" ht="15" customHeight="1" x14ac:dyDescent="0.25"/>
    <row r="1879" ht="15" customHeight="1" x14ac:dyDescent="0.25"/>
    <row r="1880" ht="15" customHeight="1" x14ac:dyDescent="0.25"/>
    <row r="1881" ht="15" customHeight="1" x14ac:dyDescent="0.25"/>
    <row r="1882" ht="15" customHeight="1" x14ac:dyDescent="0.25"/>
    <row r="1883" ht="15" customHeight="1" x14ac:dyDescent="0.25"/>
    <row r="1884" ht="15" customHeight="1" x14ac:dyDescent="0.25"/>
    <row r="1885" ht="15" customHeight="1" x14ac:dyDescent="0.25"/>
    <row r="1886" ht="15" customHeight="1" x14ac:dyDescent="0.25"/>
    <row r="1888" ht="15" customHeight="1" x14ac:dyDescent="0.25"/>
    <row r="1889" ht="15" customHeight="1" x14ac:dyDescent="0.25"/>
    <row r="1890" ht="15" customHeight="1" x14ac:dyDescent="0.25"/>
    <row r="1891" ht="15" customHeight="1" x14ac:dyDescent="0.25"/>
    <row r="1893" ht="15" customHeight="1" x14ac:dyDescent="0.25"/>
    <row r="1894" ht="15" customHeight="1" x14ac:dyDescent="0.25"/>
    <row r="1895" ht="15" customHeight="1" x14ac:dyDescent="0.25"/>
    <row r="1896" ht="15" customHeight="1" x14ac:dyDescent="0.25"/>
    <row r="1897" ht="15" customHeight="1" x14ac:dyDescent="0.25"/>
    <row r="1898" ht="15" customHeight="1" x14ac:dyDescent="0.25"/>
    <row r="1899" ht="15" customHeight="1" x14ac:dyDescent="0.25"/>
    <row r="1900" ht="15" customHeight="1" x14ac:dyDescent="0.25"/>
    <row r="1903" ht="15" customHeight="1" x14ac:dyDescent="0.25"/>
    <row r="1904" ht="15" customHeight="1" x14ac:dyDescent="0.25"/>
    <row r="1905" ht="15" customHeight="1" x14ac:dyDescent="0.25"/>
    <row r="1906" ht="15" customHeight="1" x14ac:dyDescent="0.25"/>
    <row r="1907" ht="15" customHeight="1" x14ac:dyDescent="0.25"/>
    <row r="1909" ht="15" customHeight="1" x14ac:dyDescent="0.25"/>
    <row r="1910" ht="15" customHeight="1" x14ac:dyDescent="0.25"/>
    <row r="1911" ht="15" customHeight="1" x14ac:dyDescent="0.25"/>
    <row r="1912" ht="15" customHeight="1" x14ac:dyDescent="0.25"/>
    <row r="1913" ht="15" customHeight="1" x14ac:dyDescent="0.25"/>
    <row r="1915" ht="15" customHeight="1" x14ac:dyDescent="0.25"/>
    <row r="1916" ht="15" customHeight="1" x14ac:dyDescent="0.25"/>
    <row r="1917" ht="15" customHeight="1" x14ac:dyDescent="0.25"/>
    <row r="1919" ht="15" customHeight="1" x14ac:dyDescent="0.25"/>
    <row r="1920" ht="15" customHeight="1" x14ac:dyDescent="0.25"/>
    <row r="1921" ht="15" customHeight="1" x14ac:dyDescent="0.25"/>
    <row r="1922" ht="15" customHeight="1" x14ac:dyDescent="0.25"/>
    <row r="1924" ht="15" customHeight="1" x14ac:dyDescent="0.25"/>
    <row r="1925" ht="15" customHeight="1" x14ac:dyDescent="0.25"/>
    <row r="1926" ht="15" customHeight="1" x14ac:dyDescent="0.25"/>
    <row r="1927" ht="15" customHeight="1" x14ac:dyDescent="0.25"/>
    <row r="1928" ht="15" customHeight="1" x14ac:dyDescent="0.25"/>
    <row r="1929" ht="15" customHeight="1" x14ac:dyDescent="0.25"/>
    <row r="1930" ht="15" customHeight="1" x14ac:dyDescent="0.25"/>
    <row r="1931" ht="15" customHeight="1" x14ac:dyDescent="0.25"/>
    <row r="1933" ht="15" customHeight="1" x14ac:dyDescent="0.25"/>
    <row r="1934" ht="15" customHeight="1" x14ac:dyDescent="0.25"/>
    <row r="1935" ht="15" customHeight="1" x14ac:dyDescent="0.25"/>
    <row r="1937" spans="2:32" ht="15" customHeight="1" x14ac:dyDescent="0.25"/>
    <row r="1938" spans="2:32" ht="15" customHeight="1" x14ac:dyDescent="0.25"/>
    <row r="1939" spans="2:32" ht="15" customHeight="1" x14ac:dyDescent="0.25"/>
    <row r="1940" spans="2:32" ht="15" customHeight="1" x14ac:dyDescent="0.25"/>
    <row r="1941" spans="2:32" ht="15" customHeight="1" x14ac:dyDescent="0.25"/>
    <row r="1942" spans="2:32" ht="15" customHeight="1" x14ac:dyDescent="0.25"/>
    <row r="1943" spans="2:32" ht="15" customHeight="1" x14ac:dyDescent="0.25"/>
    <row r="1944" spans="2:32" ht="15" customHeight="1" x14ac:dyDescent="0.25">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x14ac:dyDescent="0.25">
      <c r="B1945" s="84"/>
      <c r="C1945" s="84"/>
      <c r="D1945" s="84"/>
      <c r="E1945" s="84"/>
      <c r="F1945" s="84"/>
      <c r="G1945" s="84"/>
      <c r="H1945" s="84"/>
      <c r="I1945" s="84"/>
      <c r="J1945" s="84"/>
      <c r="K1945" s="84"/>
      <c r="L1945" s="84"/>
      <c r="M1945" s="84"/>
      <c r="N1945" s="84"/>
      <c r="O1945" s="84"/>
      <c r="P1945" s="84"/>
      <c r="Q1945" s="84"/>
      <c r="R1945" s="84"/>
      <c r="S1945" s="84"/>
      <c r="T1945" s="84"/>
      <c r="U1945" s="84"/>
      <c r="V1945" s="84"/>
      <c r="W1945" s="84"/>
      <c r="X1945" s="84"/>
      <c r="Y1945" s="84"/>
      <c r="Z1945" s="84"/>
      <c r="AA1945" s="84"/>
      <c r="AB1945" s="84"/>
      <c r="AC1945" s="84"/>
      <c r="AD1945" s="84"/>
      <c r="AE1945" s="84"/>
      <c r="AF1945" s="84"/>
    </row>
    <row r="1946" spans="2:32" ht="15" customHeight="1" x14ac:dyDescent="0.25"/>
    <row r="1947" spans="2:32" ht="15" customHeight="1" x14ac:dyDescent="0.25"/>
    <row r="1948" spans="2:32" ht="15" customHeight="1" x14ac:dyDescent="0.25"/>
    <row r="1949" spans="2:32" ht="15" customHeight="1" x14ac:dyDescent="0.25"/>
    <row r="1950" spans="2:32" ht="15" customHeight="1" x14ac:dyDescent="0.25"/>
    <row r="1951" spans="2:32" ht="15" customHeight="1" x14ac:dyDescent="0.25"/>
    <row r="1952" spans="2:32" ht="15" customHeight="1" x14ac:dyDescent="0.25"/>
    <row r="1953" ht="15" customHeight="1" x14ac:dyDescent="0.25"/>
    <row r="1954" ht="15" customHeight="1" x14ac:dyDescent="0.25"/>
    <row r="1955" ht="15" customHeight="1" x14ac:dyDescent="0.25"/>
    <row r="1975" ht="15" customHeight="1" x14ac:dyDescent="0.25"/>
    <row r="1976" ht="15" customHeight="1" x14ac:dyDescent="0.25"/>
    <row r="1977" ht="15" customHeight="1" x14ac:dyDescent="0.25"/>
    <row r="1978" ht="15" customHeight="1" x14ac:dyDescent="0.25"/>
    <row r="1979" ht="15" customHeight="1" x14ac:dyDescent="0.25"/>
    <row r="1980" ht="15" customHeight="1" x14ac:dyDescent="0.25"/>
    <row r="1981" ht="15" customHeight="1" x14ac:dyDescent="0.25"/>
    <row r="1982" ht="15" customHeight="1" x14ac:dyDescent="0.25"/>
    <row r="1984" ht="15" customHeight="1" x14ac:dyDescent="0.25"/>
    <row r="1985" ht="15" customHeight="1" x14ac:dyDescent="0.25"/>
    <row r="1986" ht="15" customHeight="1" x14ac:dyDescent="0.25"/>
    <row r="1988" ht="15" customHeight="1" x14ac:dyDescent="0.25"/>
    <row r="1990" ht="15" customHeight="1" x14ac:dyDescent="0.25"/>
    <row r="1991" ht="15" customHeight="1" x14ac:dyDescent="0.25"/>
    <row r="1992" ht="15" customHeight="1" x14ac:dyDescent="0.25"/>
    <row r="1993" ht="15" customHeight="1" x14ac:dyDescent="0.25"/>
    <row r="1994" ht="15" customHeight="1" x14ac:dyDescent="0.25"/>
    <row r="1995" ht="15" customHeight="1" x14ac:dyDescent="0.25"/>
    <row r="1996" ht="15" customHeight="1" x14ac:dyDescent="0.25"/>
    <row r="1997" ht="15" customHeight="1" x14ac:dyDescent="0.25"/>
    <row r="1998" ht="15" customHeight="1" x14ac:dyDescent="0.25"/>
    <row r="1999" ht="15" customHeight="1" x14ac:dyDescent="0.25"/>
    <row r="2000" ht="15" customHeight="1" x14ac:dyDescent="0.25"/>
    <row r="2001" ht="15" customHeight="1" x14ac:dyDescent="0.25"/>
    <row r="2002" ht="15" customHeight="1" x14ac:dyDescent="0.25"/>
    <row r="2004" ht="15" customHeight="1" x14ac:dyDescent="0.25"/>
    <row r="2006" ht="15" customHeight="1" x14ac:dyDescent="0.25"/>
    <row r="2008" ht="15" customHeight="1" x14ac:dyDescent="0.25"/>
    <row r="2009" ht="15" customHeight="1" x14ac:dyDescent="0.25"/>
    <row r="2011" ht="15" customHeight="1" x14ac:dyDescent="0.25"/>
    <row r="2012" ht="15" customHeight="1" x14ac:dyDescent="0.25"/>
    <row r="2013" ht="15" customHeight="1" x14ac:dyDescent="0.25"/>
    <row r="2014" ht="15" customHeight="1" x14ac:dyDescent="0.25"/>
    <row r="2015" ht="15" customHeight="1" x14ac:dyDescent="0.25"/>
    <row r="2016" ht="15" customHeight="1" x14ac:dyDescent="0.25"/>
    <row r="2017" spans="2:32" ht="15" customHeight="1" x14ac:dyDescent="0.25"/>
    <row r="2018" spans="2:32" ht="15" customHeight="1" x14ac:dyDescent="0.25"/>
    <row r="2019" spans="2:32" ht="15" customHeight="1" x14ac:dyDescent="0.25"/>
    <row r="2020" spans="2:32" ht="15" customHeight="1" x14ac:dyDescent="0.25"/>
    <row r="2021" spans="2:32" x14ac:dyDescent="0.25">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x14ac:dyDescent="0.25"/>
    <row r="2023" spans="2:32" ht="15" customHeight="1" x14ac:dyDescent="0.25"/>
    <row r="2024" spans="2:32" ht="15" customHeight="1" x14ac:dyDescent="0.25"/>
    <row r="2025" spans="2:32" ht="15" customHeight="1" x14ac:dyDescent="0.25"/>
    <row r="2026" spans="2:32" ht="15" customHeight="1" x14ac:dyDescent="0.25"/>
    <row r="2027" spans="2:32" ht="15" customHeight="1" x14ac:dyDescent="0.25"/>
    <row r="2028" spans="2:32" ht="15" customHeight="1" x14ac:dyDescent="0.25"/>
    <row r="2029" spans="2:32" ht="15" customHeight="1" x14ac:dyDescent="0.25"/>
    <row r="2030" spans="2:32" ht="15" customHeight="1" x14ac:dyDescent="0.25">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x14ac:dyDescent="0.25">
      <c r="B2031" s="84"/>
      <c r="C2031" s="84"/>
      <c r="D2031" s="84"/>
      <c r="E2031" s="84"/>
      <c r="F2031" s="84"/>
      <c r="G2031" s="84"/>
      <c r="H2031" s="84"/>
      <c r="I2031" s="84"/>
      <c r="J2031" s="84"/>
      <c r="K2031" s="84"/>
      <c r="L2031" s="84"/>
      <c r="M2031" s="84"/>
      <c r="N2031" s="84"/>
      <c r="O2031" s="84"/>
      <c r="P2031" s="84"/>
      <c r="Q2031" s="84"/>
      <c r="R2031" s="84"/>
      <c r="S2031" s="84"/>
      <c r="T2031" s="84"/>
      <c r="U2031" s="84"/>
      <c r="V2031" s="84"/>
      <c r="W2031" s="84"/>
      <c r="X2031" s="84"/>
      <c r="Y2031" s="84"/>
      <c r="Z2031" s="84"/>
      <c r="AA2031" s="84"/>
      <c r="AB2031" s="84"/>
      <c r="AC2031" s="84"/>
      <c r="AD2031" s="84"/>
      <c r="AE2031" s="84"/>
      <c r="AF2031" s="84"/>
    </row>
    <row r="2032" spans="2:32" ht="15" customHeight="1" x14ac:dyDescent="0.25"/>
    <row r="2033" ht="15" customHeight="1" x14ac:dyDescent="0.25"/>
    <row r="2034" ht="15" customHeight="1" x14ac:dyDescent="0.25"/>
    <row r="2035" ht="15" customHeight="1" x14ac:dyDescent="0.25"/>
    <row r="2036" ht="15" customHeight="1" x14ac:dyDescent="0.25"/>
    <row r="2037" ht="15" customHeight="1" x14ac:dyDescent="0.25"/>
    <row r="2038" ht="15" customHeight="1" x14ac:dyDescent="0.25"/>
    <row r="2039" ht="15" customHeight="1" x14ac:dyDescent="0.25"/>
    <row r="2040" ht="15" customHeight="1" x14ac:dyDescent="0.25"/>
    <row r="2041" ht="15" customHeight="1" x14ac:dyDescent="0.25"/>
    <row r="2042" ht="15" customHeight="1" x14ac:dyDescent="0.25"/>
    <row r="2043" ht="15" customHeight="1" x14ac:dyDescent="0.25"/>
    <row r="2044" ht="15" customHeight="1" x14ac:dyDescent="0.25"/>
    <row r="2045" ht="15" customHeight="1" x14ac:dyDescent="0.25"/>
    <row r="2046" ht="15" customHeight="1" x14ac:dyDescent="0.25"/>
    <row r="2047" ht="15" customHeight="1" x14ac:dyDescent="0.25"/>
    <row r="2048" ht="15" customHeight="1" x14ac:dyDescent="0.25"/>
    <row r="2049" ht="15" customHeight="1" x14ac:dyDescent="0.25"/>
    <row r="2050" ht="15" customHeight="1" x14ac:dyDescent="0.25"/>
    <row r="2051" ht="15" customHeight="1" x14ac:dyDescent="0.25"/>
    <row r="2052" ht="15" customHeight="1" x14ac:dyDescent="0.25"/>
    <row r="2053" ht="15" customHeight="1" x14ac:dyDescent="0.25"/>
    <row r="2100" ht="15" customHeight="1" x14ac:dyDescent="0.25"/>
    <row r="2101" ht="15" customHeight="1" x14ac:dyDescent="0.25"/>
    <row r="2102" ht="15" customHeight="1" x14ac:dyDescent="0.25"/>
    <row r="2103" ht="15" customHeight="1" x14ac:dyDescent="0.25"/>
    <row r="2104" ht="15" customHeight="1" x14ac:dyDescent="0.25"/>
    <row r="2105" ht="15" customHeight="1" x14ac:dyDescent="0.25"/>
    <row r="2107" ht="15" customHeight="1" x14ac:dyDescent="0.25"/>
    <row r="2108" ht="15" customHeight="1" x14ac:dyDescent="0.25"/>
    <row r="2110" ht="15" customHeight="1" x14ac:dyDescent="0.25"/>
    <row r="2111" ht="15" customHeight="1" x14ac:dyDescent="0.25"/>
    <row r="2112" ht="15" customHeight="1" x14ac:dyDescent="0.25"/>
    <row r="2113" ht="15" customHeight="1" x14ac:dyDescent="0.25"/>
    <row r="2114" ht="15" customHeight="1" x14ac:dyDescent="0.25"/>
    <row r="2115" ht="15" customHeight="1" x14ac:dyDescent="0.25"/>
    <row r="2116" ht="15" customHeight="1" x14ac:dyDescent="0.25"/>
    <row r="2117" ht="15" customHeight="1" x14ac:dyDescent="0.25"/>
    <row r="2118" ht="15" customHeight="1" x14ac:dyDescent="0.25"/>
    <row r="2119" ht="15" customHeight="1" x14ac:dyDescent="0.25"/>
    <row r="2120" ht="15" customHeight="1" x14ac:dyDescent="0.25"/>
    <row r="2121" ht="15" customHeight="1" x14ac:dyDescent="0.25"/>
    <row r="2122" ht="15" customHeight="1" x14ac:dyDescent="0.25"/>
    <row r="2124" ht="15" customHeight="1" x14ac:dyDescent="0.25"/>
    <row r="2125" ht="15" customHeight="1" x14ac:dyDescent="0.25"/>
    <row r="2126" ht="15" customHeight="1" x14ac:dyDescent="0.25"/>
    <row r="2127" ht="15" customHeight="1" x14ac:dyDescent="0.25"/>
    <row r="2128" ht="15" customHeight="1" x14ac:dyDescent="0.25"/>
    <row r="2129" ht="15" customHeight="1" x14ac:dyDescent="0.25"/>
    <row r="2131" ht="15" customHeight="1" x14ac:dyDescent="0.25"/>
    <row r="2133" ht="15" customHeight="1" x14ac:dyDescent="0.25"/>
    <row r="2134" ht="15" customHeight="1" x14ac:dyDescent="0.25"/>
    <row r="2136" ht="15" customHeight="1" x14ac:dyDescent="0.25"/>
    <row r="2137" ht="15" customHeight="1" x14ac:dyDescent="0.25"/>
    <row r="2138" ht="15" customHeight="1" x14ac:dyDescent="0.25"/>
    <row r="2139" ht="15" customHeight="1" x14ac:dyDescent="0.25"/>
    <row r="2140" ht="15" customHeight="1" x14ac:dyDescent="0.25"/>
    <row r="2141" ht="15" customHeight="1" x14ac:dyDescent="0.25"/>
    <row r="2142" ht="15" customHeight="1" x14ac:dyDescent="0.25"/>
    <row r="2143" ht="15" customHeight="1" x14ac:dyDescent="0.25"/>
    <row r="2144" ht="15" customHeight="1" x14ac:dyDescent="0.25"/>
    <row r="2145" spans="2:32" ht="15" customHeight="1" x14ac:dyDescent="0.25"/>
    <row r="2146" spans="2:32" ht="15" customHeight="1" x14ac:dyDescent="0.25"/>
    <row r="2147" spans="2:32" x14ac:dyDescent="0.25">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x14ac:dyDescent="0.25"/>
    <row r="2149" spans="2:32" x14ac:dyDescent="0.25">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x14ac:dyDescent="0.25">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x14ac:dyDescent="0.25"/>
    <row r="2152" spans="2:32" ht="15" customHeight="1" x14ac:dyDescent="0.25">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x14ac:dyDescent="0.25">
      <c r="B2153" s="84"/>
      <c r="C2153" s="84"/>
      <c r="D2153" s="84"/>
      <c r="E2153" s="84"/>
      <c r="F2153" s="84"/>
      <c r="G2153" s="84"/>
      <c r="H2153" s="84"/>
      <c r="I2153" s="84"/>
      <c r="J2153" s="84"/>
      <c r="K2153" s="84"/>
      <c r="L2153" s="84"/>
      <c r="M2153" s="84"/>
      <c r="N2153" s="84"/>
      <c r="O2153" s="84"/>
      <c r="P2153" s="84"/>
      <c r="Q2153" s="84"/>
      <c r="R2153" s="84"/>
      <c r="S2153" s="84"/>
      <c r="T2153" s="84"/>
      <c r="U2153" s="84"/>
      <c r="V2153" s="84"/>
      <c r="W2153" s="84"/>
      <c r="X2153" s="84"/>
      <c r="Y2153" s="84"/>
      <c r="Z2153" s="84"/>
      <c r="AA2153" s="84"/>
      <c r="AB2153" s="84"/>
      <c r="AC2153" s="84"/>
      <c r="AD2153" s="84"/>
      <c r="AE2153" s="84"/>
      <c r="AF2153" s="84"/>
    </row>
    <row r="2154" spans="2:32" ht="15" customHeight="1" x14ac:dyDescent="0.25"/>
    <row r="2155" spans="2:32" ht="15" customHeight="1" x14ac:dyDescent="0.25"/>
    <row r="2156" spans="2:32" ht="15" customHeight="1" x14ac:dyDescent="0.25"/>
    <row r="2157" spans="2:32" ht="15" customHeight="1" x14ac:dyDescent="0.25"/>
    <row r="2158" spans="2:32" ht="15" customHeight="1" x14ac:dyDescent="0.25"/>
    <row r="2159" spans="2:32" ht="15" customHeight="1" x14ac:dyDescent="0.25"/>
    <row r="2160" spans="2:32" ht="15" customHeight="1" x14ac:dyDescent="0.25"/>
    <row r="2161" ht="15" customHeight="1" x14ac:dyDescent="0.25"/>
    <row r="2162" ht="15" customHeight="1" x14ac:dyDescent="0.25"/>
    <row r="2250" ht="15" customHeight="1" x14ac:dyDescent="0.25"/>
    <row r="2251" ht="15" customHeight="1" x14ac:dyDescent="0.25"/>
    <row r="2252" ht="15" customHeight="1" x14ac:dyDescent="0.25"/>
    <row r="2253" ht="15" customHeight="1" x14ac:dyDescent="0.25"/>
    <row r="2254" ht="15" customHeight="1" x14ac:dyDescent="0.25"/>
    <row r="2255" ht="15" customHeight="1" x14ac:dyDescent="0.25"/>
    <row r="2256" ht="15" customHeight="1" x14ac:dyDescent="0.25"/>
    <row r="2257" ht="15" customHeight="1" x14ac:dyDescent="0.25"/>
    <row r="2258" ht="15" customHeight="1" x14ac:dyDescent="0.25"/>
    <row r="2260" ht="15" customHeight="1" x14ac:dyDescent="0.25"/>
    <row r="2261" ht="15" customHeight="1" x14ac:dyDescent="0.25"/>
    <row r="2262" ht="15" customHeight="1" x14ac:dyDescent="0.25"/>
    <row r="2264" ht="15" customHeight="1" x14ac:dyDescent="0.25"/>
    <row r="2266" ht="15" customHeight="1" x14ac:dyDescent="0.25"/>
    <row r="2267" ht="15" customHeight="1" x14ac:dyDescent="0.25"/>
    <row r="2268" ht="15" customHeight="1" x14ac:dyDescent="0.25"/>
    <row r="2269" ht="15" customHeight="1" x14ac:dyDescent="0.25"/>
    <row r="2271" ht="15" customHeight="1" x14ac:dyDescent="0.25"/>
    <row r="2273" ht="15" customHeight="1" x14ac:dyDescent="0.25"/>
    <row r="2274" ht="15" customHeight="1" x14ac:dyDescent="0.25"/>
    <row r="2275" ht="15" customHeight="1" x14ac:dyDescent="0.25"/>
    <row r="2276" ht="15" customHeight="1" x14ac:dyDescent="0.25"/>
    <row r="2277" ht="15" customHeight="1" x14ac:dyDescent="0.25"/>
    <row r="2278" ht="15" customHeight="1" x14ac:dyDescent="0.25"/>
    <row r="2279" ht="15" customHeight="1" x14ac:dyDescent="0.25"/>
    <row r="2280" ht="15" customHeight="1" x14ac:dyDescent="0.25"/>
    <row r="2282" ht="15" customHeight="1" x14ac:dyDescent="0.25"/>
    <row r="2284" ht="15" customHeight="1" x14ac:dyDescent="0.25"/>
    <row r="2285" ht="15" customHeight="1" x14ac:dyDescent="0.25"/>
    <row r="2286" ht="15" customHeight="1" x14ac:dyDescent="0.25"/>
    <row r="2288" ht="15" customHeight="1" x14ac:dyDescent="0.25"/>
    <row r="2289" ht="15" customHeight="1" x14ac:dyDescent="0.25"/>
    <row r="2290" ht="15" customHeight="1" x14ac:dyDescent="0.25"/>
    <row r="2291" ht="15" customHeight="1" x14ac:dyDescent="0.25"/>
    <row r="2292" ht="15" customHeight="1" x14ac:dyDescent="0.25"/>
    <row r="2293" ht="15" customHeight="1" x14ac:dyDescent="0.25"/>
    <row r="2294" ht="15" customHeight="1" x14ac:dyDescent="0.25"/>
    <row r="2295" ht="15" customHeight="1" x14ac:dyDescent="0.25"/>
    <row r="2296" ht="15" customHeight="1" x14ac:dyDescent="0.25"/>
    <row r="2297" ht="15" customHeight="1" x14ac:dyDescent="0.25"/>
    <row r="2298" ht="15" customHeight="1" x14ac:dyDescent="0.25"/>
    <row r="2301" ht="15" customHeight="1" x14ac:dyDescent="0.25"/>
    <row r="2302" ht="15" customHeight="1" x14ac:dyDescent="0.25"/>
    <row r="2303" ht="15" customHeight="1" x14ac:dyDescent="0.25"/>
    <row r="2305" spans="2:32" ht="15" customHeight="1" x14ac:dyDescent="0.25"/>
    <row r="2306" spans="2:32" ht="15" customHeight="1" x14ac:dyDescent="0.25"/>
    <row r="2307" spans="2:32" ht="15" customHeight="1" x14ac:dyDescent="0.25"/>
    <row r="2308" spans="2:32" ht="15" customHeight="1" x14ac:dyDescent="0.25"/>
    <row r="2309" spans="2:32" ht="15" customHeight="1" x14ac:dyDescent="0.25"/>
    <row r="2310" spans="2:32" ht="15" customHeight="1" x14ac:dyDescent="0.25"/>
    <row r="2311" spans="2:32" ht="15" customHeight="1" x14ac:dyDescent="0.25"/>
    <row r="2312" spans="2:32" ht="15" customHeight="1" x14ac:dyDescent="0.25"/>
    <row r="2313" spans="2:32" ht="15" customHeight="1" x14ac:dyDescent="0.25"/>
    <row r="2314" spans="2:32" ht="15" customHeight="1" x14ac:dyDescent="0.25"/>
    <row r="2315" spans="2:32" ht="15" customHeight="1" x14ac:dyDescent="0.25"/>
    <row r="2316" spans="2:32" ht="15" customHeight="1" x14ac:dyDescent="0.25">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x14ac:dyDescent="0.25">
      <c r="B2317" s="84"/>
      <c r="C2317" s="84"/>
      <c r="D2317" s="84"/>
      <c r="E2317" s="84"/>
      <c r="F2317" s="84"/>
      <c r="G2317" s="84"/>
      <c r="H2317" s="84"/>
      <c r="I2317" s="84"/>
      <c r="J2317" s="84"/>
      <c r="K2317" s="84"/>
      <c r="L2317" s="84"/>
      <c r="M2317" s="84"/>
      <c r="N2317" s="84"/>
      <c r="O2317" s="84"/>
      <c r="P2317" s="84"/>
      <c r="Q2317" s="84"/>
      <c r="R2317" s="84"/>
      <c r="S2317" s="84"/>
      <c r="T2317" s="84"/>
      <c r="U2317" s="84"/>
      <c r="V2317" s="84"/>
      <c r="W2317" s="84"/>
      <c r="X2317" s="84"/>
      <c r="Y2317" s="84"/>
      <c r="Z2317" s="84"/>
      <c r="AA2317" s="84"/>
      <c r="AB2317" s="84"/>
      <c r="AC2317" s="84"/>
      <c r="AD2317" s="84"/>
      <c r="AE2317" s="84"/>
      <c r="AF2317" s="84"/>
    </row>
    <row r="2318" spans="2:32" ht="15" customHeight="1" x14ac:dyDescent="0.25"/>
    <row r="2319" spans="2:32" ht="15" customHeight="1" x14ac:dyDescent="0.25"/>
    <row r="2320" spans="2:32" ht="15" customHeight="1" x14ac:dyDescent="0.25"/>
    <row r="2321" ht="15" customHeight="1" x14ac:dyDescent="0.25"/>
    <row r="2322" ht="15" customHeight="1" x14ac:dyDescent="0.25"/>
    <row r="2323" ht="15" customHeight="1" x14ac:dyDescent="0.25"/>
    <row r="2324" ht="15" customHeight="1" x14ac:dyDescent="0.25"/>
    <row r="2325" ht="15" customHeight="1" x14ac:dyDescent="0.25"/>
    <row r="2326" ht="15" customHeight="1" x14ac:dyDescent="0.25"/>
    <row r="2327" ht="15" customHeight="1" x14ac:dyDescent="0.25"/>
    <row r="2328" ht="15" customHeight="1" x14ac:dyDescent="0.25"/>
    <row r="2329" ht="15" customHeight="1" x14ac:dyDescent="0.25"/>
    <row r="2330" ht="15" customHeight="1" x14ac:dyDescent="0.25"/>
    <row r="2331" ht="15" customHeight="1" x14ac:dyDescent="0.25"/>
    <row r="2332" ht="15" customHeight="1" x14ac:dyDescent="0.25"/>
    <row r="2333" ht="15" customHeight="1" x14ac:dyDescent="0.25"/>
    <row r="2334" ht="15" customHeight="1" x14ac:dyDescent="0.25"/>
    <row r="2350" ht="15" customHeight="1" x14ac:dyDescent="0.25"/>
    <row r="2351" ht="15" customHeight="1" x14ac:dyDescent="0.25"/>
    <row r="2352" ht="15" customHeight="1" x14ac:dyDescent="0.25"/>
    <row r="2353" ht="15" customHeight="1" x14ac:dyDescent="0.25"/>
    <row r="2354" ht="15" customHeight="1" x14ac:dyDescent="0.25"/>
    <row r="2355" ht="15" customHeight="1" x14ac:dyDescent="0.25"/>
    <row r="2356" ht="15" customHeight="1" x14ac:dyDescent="0.25"/>
    <row r="2357" ht="15" customHeight="1" x14ac:dyDescent="0.25"/>
    <row r="2358" ht="15" customHeight="1" x14ac:dyDescent="0.25"/>
    <row r="2359" ht="15" customHeight="1" x14ac:dyDescent="0.25"/>
    <row r="2360" ht="15" customHeight="1" x14ac:dyDescent="0.25"/>
    <row r="2361" ht="15" customHeight="1" x14ac:dyDescent="0.25"/>
    <row r="2362" ht="15" customHeight="1" x14ac:dyDescent="0.25"/>
    <row r="2363" ht="15" customHeight="1" x14ac:dyDescent="0.25"/>
    <row r="2364" ht="15" customHeight="1" x14ac:dyDescent="0.25"/>
    <row r="2365" ht="15" customHeight="1" x14ac:dyDescent="0.25"/>
    <row r="2367" ht="15" customHeight="1" x14ac:dyDescent="0.25"/>
    <row r="2368" ht="15" customHeight="1" x14ac:dyDescent="0.25"/>
    <row r="2369" ht="15" customHeight="1" x14ac:dyDescent="0.25"/>
    <row r="2370" ht="15" customHeight="1" x14ac:dyDescent="0.25"/>
    <row r="2371" ht="15" customHeight="1" x14ac:dyDescent="0.25"/>
    <row r="2372" ht="15" customHeight="1" x14ac:dyDescent="0.25"/>
    <row r="2373" ht="15" customHeight="1" x14ac:dyDescent="0.25"/>
    <row r="2374" ht="15" customHeight="1" x14ac:dyDescent="0.25"/>
    <row r="2375" ht="15" customHeight="1" x14ac:dyDescent="0.25"/>
    <row r="2376" ht="15" customHeight="1" x14ac:dyDescent="0.25"/>
    <row r="2377" ht="15" customHeight="1" x14ac:dyDescent="0.25"/>
    <row r="2378" ht="15" customHeight="1" x14ac:dyDescent="0.25"/>
    <row r="2380" ht="15" customHeight="1" x14ac:dyDescent="0.25"/>
    <row r="2381" ht="15" customHeight="1" x14ac:dyDescent="0.25"/>
    <row r="2382" ht="15" customHeight="1" x14ac:dyDescent="0.25"/>
    <row r="2383" ht="15" customHeight="1" x14ac:dyDescent="0.25"/>
    <row r="2384" ht="15" customHeight="1" x14ac:dyDescent="0.25"/>
    <row r="2385" ht="15" customHeight="1" x14ac:dyDescent="0.25"/>
    <row r="2386" ht="15" customHeight="1" x14ac:dyDescent="0.25"/>
    <row r="2387" ht="15" customHeight="1" x14ac:dyDescent="0.25"/>
    <row r="2388" ht="15" customHeight="1" x14ac:dyDescent="0.25"/>
    <row r="2390" ht="15" customHeight="1" x14ac:dyDescent="0.25"/>
    <row r="2391" ht="15" customHeight="1" x14ac:dyDescent="0.25"/>
    <row r="2392" ht="15" customHeight="1" x14ac:dyDescent="0.25"/>
    <row r="2393" ht="15" customHeight="1" x14ac:dyDescent="0.25"/>
    <row r="2394" ht="15" customHeight="1" x14ac:dyDescent="0.25"/>
    <row r="2395" ht="15" customHeight="1" x14ac:dyDescent="0.25"/>
    <row r="2396" ht="15" customHeight="1" x14ac:dyDescent="0.25"/>
    <row r="2397" ht="15" customHeight="1" x14ac:dyDescent="0.25"/>
    <row r="2400" ht="15" customHeight="1" x14ac:dyDescent="0.25"/>
    <row r="2401" ht="15" customHeight="1" x14ac:dyDescent="0.25"/>
    <row r="2402" ht="15" customHeight="1" x14ac:dyDescent="0.25"/>
    <row r="2403" ht="15" customHeight="1" x14ac:dyDescent="0.25"/>
    <row r="2404" ht="15" customHeight="1" x14ac:dyDescent="0.25"/>
    <row r="2405" ht="15" customHeight="1" x14ac:dyDescent="0.25"/>
    <row r="2406" ht="15" customHeight="1" x14ac:dyDescent="0.25"/>
    <row r="2407" ht="15" customHeight="1" x14ac:dyDescent="0.25"/>
    <row r="2408" ht="15" customHeight="1" x14ac:dyDescent="0.25"/>
    <row r="2410" ht="15" customHeight="1" x14ac:dyDescent="0.25"/>
    <row r="2411" ht="15" customHeight="1" x14ac:dyDescent="0.25"/>
    <row r="2412" ht="15" customHeight="1" x14ac:dyDescent="0.25"/>
    <row r="2413" ht="15" customHeight="1" x14ac:dyDescent="0.25"/>
    <row r="2414" ht="15" customHeight="1" x14ac:dyDescent="0.25"/>
    <row r="2415" ht="15" customHeight="1" x14ac:dyDescent="0.25"/>
    <row r="2416" ht="15" customHeight="1" x14ac:dyDescent="0.25"/>
    <row r="2417" spans="2:32" ht="15" customHeight="1" x14ac:dyDescent="0.25"/>
    <row r="2418" spans="2:32" ht="15" customHeight="1" x14ac:dyDescent="0.25">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x14ac:dyDescent="0.25">
      <c r="B2419" s="84"/>
      <c r="C2419" s="84"/>
      <c r="D2419" s="84"/>
      <c r="E2419" s="84"/>
      <c r="F2419" s="84"/>
      <c r="G2419" s="84"/>
      <c r="H2419" s="84"/>
      <c r="I2419" s="84"/>
      <c r="J2419" s="84"/>
      <c r="K2419" s="84"/>
      <c r="L2419" s="84"/>
      <c r="M2419" s="84"/>
      <c r="N2419" s="84"/>
      <c r="O2419" s="84"/>
      <c r="P2419" s="84"/>
      <c r="Q2419" s="84"/>
      <c r="R2419" s="84"/>
      <c r="S2419" s="84"/>
      <c r="T2419" s="84"/>
      <c r="U2419" s="84"/>
      <c r="V2419" s="84"/>
      <c r="W2419" s="84"/>
      <c r="X2419" s="84"/>
      <c r="Y2419" s="84"/>
      <c r="Z2419" s="84"/>
      <c r="AA2419" s="84"/>
      <c r="AB2419" s="84"/>
      <c r="AC2419" s="84"/>
      <c r="AD2419" s="84"/>
      <c r="AE2419" s="84"/>
      <c r="AF2419" s="84"/>
    </row>
    <row r="2420" spans="2:32" ht="15" customHeight="1" x14ac:dyDescent="0.25"/>
    <row r="2421" spans="2:32" ht="15" customHeight="1" x14ac:dyDescent="0.25"/>
    <row r="2422" spans="2:32" ht="15" customHeight="1" x14ac:dyDescent="0.25"/>
    <row r="2423" spans="2:32" ht="15" customHeight="1" x14ac:dyDescent="0.25"/>
    <row r="2424" spans="2:32" ht="15" customHeight="1" x14ac:dyDescent="0.25"/>
    <row r="2425" spans="2:32" ht="15" customHeight="1" x14ac:dyDescent="0.25"/>
    <row r="2426" spans="2:32" ht="15" customHeight="1" x14ac:dyDescent="0.25"/>
    <row r="2427" spans="2:32" ht="15" customHeight="1" x14ac:dyDescent="0.25"/>
    <row r="2428" spans="2:32" ht="15" customHeight="1" x14ac:dyDescent="0.25"/>
    <row r="2429" spans="2:32" ht="15" customHeight="1" x14ac:dyDescent="0.25"/>
    <row r="2430" spans="2:32" ht="15" customHeight="1" x14ac:dyDescent="0.25"/>
    <row r="2431" spans="2:32" ht="15" customHeight="1" x14ac:dyDescent="0.25"/>
    <row r="2432" spans="2:32" ht="15" customHeight="1" x14ac:dyDescent="0.25"/>
    <row r="2433" ht="15" customHeight="1" x14ac:dyDescent="0.25"/>
    <row r="2434" ht="15" customHeight="1" x14ac:dyDescent="0.25"/>
    <row r="2435" ht="15" customHeight="1" x14ac:dyDescent="0.25"/>
    <row r="2436" ht="15" customHeight="1" x14ac:dyDescent="0.25"/>
    <row r="2437" ht="15" customHeight="1" x14ac:dyDescent="0.25"/>
    <row r="2450" ht="15" customHeight="1" x14ac:dyDescent="0.25"/>
    <row r="2451" ht="15" customHeight="1" x14ac:dyDescent="0.25"/>
    <row r="2452" ht="15" customHeight="1" x14ac:dyDescent="0.25"/>
    <row r="2453" ht="15" customHeight="1" x14ac:dyDescent="0.25"/>
    <row r="2454" ht="15" customHeight="1" x14ac:dyDescent="0.25"/>
    <row r="2455" ht="15" customHeight="1" x14ac:dyDescent="0.25"/>
    <row r="2457" ht="15" customHeight="1" x14ac:dyDescent="0.25"/>
    <row r="2459" ht="15" customHeight="1" x14ac:dyDescent="0.25"/>
    <row r="2461" ht="15" customHeight="1" x14ac:dyDescent="0.25"/>
    <row r="2462" ht="15" customHeight="1" x14ac:dyDescent="0.25"/>
    <row r="2463" ht="15" customHeight="1" x14ac:dyDescent="0.25"/>
    <row r="2464" ht="15" customHeight="1" x14ac:dyDescent="0.25"/>
    <row r="2465" ht="15" customHeight="1" x14ac:dyDescent="0.25"/>
    <row r="2467" ht="15" customHeight="1" x14ac:dyDescent="0.25"/>
    <row r="2468" ht="15" customHeight="1" x14ac:dyDescent="0.25"/>
    <row r="2469" ht="15" customHeight="1" x14ac:dyDescent="0.25"/>
    <row r="2470" ht="15" customHeight="1" x14ac:dyDescent="0.25"/>
    <row r="2471" ht="15" customHeight="1" x14ac:dyDescent="0.25"/>
    <row r="2472" ht="15" customHeight="1" x14ac:dyDescent="0.25"/>
    <row r="2473" ht="15" customHeight="1" x14ac:dyDescent="0.25"/>
    <row r="2475" ht="15" customHeight="1" x14ac:dyDescent="0.25"/>
    <row r="2476" ht="15" customHeight="1" x14ac:dyDescent="0.25"/>
    <row r="2477" ht="15" customHeight="1" x14ac:dyDescent="0.25"/>
    <row r="2478" ht="15" customHeight="1" x14ac:dyDescent="0.25"/>
    <row r="2479" ht="15" customHeight="1" x14ac:dyDescent="0.25"/>
    <row r="2480" ht="15" customHeight="1" x14ac:dyDescent="0.25"/>
    <row r="2481" ht="15" customHeight="1" x14ac:dyDescent="0.25"/>
    <row r="2482" ht="15" customHeight="1" x14ac:dyDescent="0.25"/>
    <row r="2483" ht="15" customHeight="1" x14ac:dyDescent="0.25"/>
    <row r="2484" ht="15" customHeight="1" x14ac:dyDescent="0.25"/>
    <row r="2486" ht="15" customHeight="1" x14ac:dyDescent="0.25"/>
    <row r="2488" ht="15" customHeight="1" x14ac:dyDescent="0.25"/>
    <row r="2489" ht="15" customHeight="1" x14ac:dyDescent="0.25"/>
    <row r="2490" ht="15" customHeight="1" x14ac:dyDescent="0.25"/>
    <row r="2491" ht="15" customHeight="1" x14ac:dyDescent="0.25"/>
    <row r="2492" ht="15" customHeight="1" x14ac:dyDescent="0.25"/>
    <row r="2495" ht="15" customHeight="1" x14ac:dyDescent="0.25"/>
    <row r="2496" ht="15" customHeight="1" x14ac:dyDescent="0.25"/>
    <row r="2497" spans="2:32" x14ac:dyDescent="0.25">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x14ac:dyDescent="0.25"/>
    <row r="2499" spans="2:32" ht="15" customHeight="1" x14ac:dyDescent="0.25"/>
    <row r="2500" spans="2:32" ht="15" customHeight="1" x14ac:dyDescent="0.25"/>
    <row r="2501" spans="2:32" ht="15" customHeight="1" x14ac:dyDescent="0.25"/>
    <row r="2502" spans="2:32" ht="15" customHeight="1" x14ac:dyDescent="0.25"/>
    <row r="2503" spans="2:32" x14ac:dyDescent="0.25">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x14ac:dyDescent="0.25"/>
    <row r="2505" spans="2:32" ht="15" customHeight="1" x14ac:dyDescent="0.25"/>
    <row r="2506" spans="2:32" ht="15" customHeight="1" x14ac:dyDescent="0.25"/>
    <row r="2507" spans="2:32" ht="15" customHeight="1" x14ac:dyDescent="0.25"/>
    <row r="2508" spans="2:32" ht="15" customHeight="1" x14ac:dyDescent="0.25">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x14ac:dyDescent="0.25">
      <c r="B2509" s="84"/>
      <c r="C2509" s="84"/>
      <c r="D2509" s="84"/>
      <c r="E2509" s="84"/>
      <c r="F2509" s="84"/>
      <c r="G2509" s="84"/>
      <c r="H2509" s="84"/>
      <c r="I2509" s="84"/>
      <c r="J2509" s="84"/>
      <c r="K2509" s="84"/>
      <c r="L2509" s="84"/>
      <c r="M2509" s="84"/>
      <c r="N2509" s="84"/>
      <c r="O2509" s="84"/>
      <c r="P2509" s="84"/>
      <c r="Q2509" s="84"/>
      <c r="R2509" s="84"/>
      <c r="S2509" s="84"/>
      <c r="T2509" s="84"/>
      <c r="U2509" s="84"/>
      <c r="V2509" s="84"/>
      <c r="W2509" s="84"/>
      <c r="X2509" s="84"/>
      <c r="Y2509" s="84"/>
      <c r="Z2509" s="84"/>
      <c r="AA2509" s="84"/>
      <c r="AB2509" s="84"/>
      <c r="AC2509" s="84"/>
      <c r="AD2509" s="84"/>
      <c r="AE2509" s="84"/>
      <c r="AF2509" s="84"/>
    </row>
    <row r="2510" spans="2:32" ht="15" customHeight="1" x14ac:dyDescent="0.25"/>
    <row r="2511" spans="2:32" ht="15" customHeight="1" x14ac:dyDescent="0.25"/>
    <row r="2512" spans="2:32" ht="15" customHeight="1" x14ac:dyDescent="0.25"/>
    <row r="2513" ht="15" customHeight="1" x14ac:dyDescent="0.25"/>
    <row r="2514" ht="15" customHeight="1" x14ac:dyDescent="0.25"/>
    <row r="2515" ht="15" customHeight="1" x14ac:dyDescent="0.25"/>
    <row r="2516" ht="15" customHeight="1" x14ac:dyDescent="0.25"/>
    <row r="2517" ht="15" customHeight="1" x14ac:dyDescent="0.25"/>
    <row r="2518" ht="15" customHeight="1" x14ac:dyDescent="0.25"/>
    <row r="2519" ht="15" customHeight="1" x14ac:dyDescent="0.25"/>
    <row r="2520" ht="15" customHeight="1" x14ac:dyDescent="0.25"/>
    <row r="2521" ht="15" customHeight="1" x14ac:dyDescent="0.25"/>
    <row r="2522" ht="15" customHeight="1" x14ac:dyDescent="0.25"/>
    <row r="2523" ht="15" customHeight="1" x14ac:dyDescent="0.25"/>
    <row r="2524" ht="15" customHeight="1" x14ac:dyDescent="0.25"/>
    <row r="2525" ht="15" customHeight="1" x14ac:dyDescent="0.25"/>
    <row r="2526" ht="15" customHeight="1" x14ac:dyDescent="0.25"/>
    <row r="2527" ht="15" customHeight="1" x14ac:dyDescent="0.25"/>
    <row r="2528" ht="15" customHeight="1" x14ac:dyDescent="0.25"/>
    <row r="2529" ht="15" customHeight="1" x14ac:dyDescent="0.25"/>
    <row r="2550" ht="15" customHeight="1" x14ac:dyDescent="0.25"/>
    <row r="2551" ht="15" customHeight="1" x14ac:dyDescent="0.25"/>
    <row r="2552" ht="15" customHeight="1" x14ac:dyDescent="0.25"/>
    <row r="2553" ht="15" customHeight="1" x14ac:dyDescent="0.25"/>
    <row r="2554" ht="15" customHeight="1" x14ac:dyDescent="0.25"/>
    <row r="2555" ht="15" customHeight="1" x14ac:dyDescent="0.25"/>
    <row r="2556" ht="15" customHeight="1" x14ac:dyDescent="0.25"/>
    <row r="2557" ht="15" customHeight="1" x14ac:dyDescent="0.25"/>
    <row r="2558" ht="15" customHeight="1" x14ac:dyDescent="0.25"/>
    <row r="2559" ht="15" customHeight="1" x14ac:dyDescent="0.25"/>
    <row r="2561" ht="15" customHeight="1" x14ac:dyDescent="0.25"/>
    <row r="2562" ht="15" customHeight="1" x14ac:dyDescent="0.25"/>
    <row r="2563" ht="15" customHeight="1" x14ac:dyDescent="0.25"/>
    <row r="2564" ht="15" customHeight="1" x14ac:dyDescent="0.25"/>
    <row r="2565" ht="15" customHeight="1" x14ac:dyDescent="0.25"/>
    <row r="2566" ht="15" customHeight="1" x14ac:dyDescent="0.25"/>
    <row r="2568" ht="15" customHeight="1" x14ac:dyDescent="0.25"/>
    <row r="2569" ht="15" customHeight="1" x14ac:dyDescent="0.25"/>
    <row r="2570" ht="15" customHeight="1" x14ac:dyDescent="0.25"/>
    <row r="2571" ht="15" customHeight="1" x14ac:dyDescent="0.25"/>
    <row r="2572" ht="15" customHeight="1" x14ac:dyDescent="0.25"/>
    <row r="2573" ht="15" customHeight="1" x14ac:dyDescent="0.25"/>
    <row r="2575" ht="15" customHeight="1" x14ac:dyDescent="0.25"/>
    <row r="2576" ht="15" customHeight="1" x14ac:dyDescent="0.25"/>
    <row r="2577" ht="15" customHeight="1" x14ac:dyDescent="0.25"/>
    <row r="2578" ht="15" customHeight="1" x14ac:dyDescent="0.25"/>
    <row r="2579" ht="15" customHeight="1" x14ac:dyDescent="0.25"/>
    <row r="2581" ht="15" customHeight="1" x14ac:dyDescent="0.25"/>
    <row r="2582" ht="15" customHeight="1" x14ac:dyDescent="0.25"/>
    <row r="2583" ht="15" customHeight="1" x14ac:dyDescent="0.25"/>
    <row r="2584" ht="15" customHeight="1" x14ac:dyDescent="0.25"/>
    <row r="2585" ht="15" customHeight="1" x14ac:dyDescent="0.25"/>
    <row r="2586" ht="15" customHeight="1" x14ac:dyDescent="0.25"/>
    <row r="2588" ht="15" customHeight="1" x14ac:dyDescent="0.25"/>
    <row r="2589" ht="15" customHeight="1" x14ac:dyDescent="0.25"/>
    <row r="2590" ht="15" customHeight="1" x14ac:dyDescent="0.25"/>
    <row r="2591" ht="15" customHeight="1" x14ac:dyDescent="0.25"/>
    <row r="2592" ht="15" customHeight="1" x14ac:dyDescent="0.25"/>
    <row r="2593" spans="2:32" ht="15" customHeight="1" x14ac:dyDescent="0.25"/>
    <row r="2594" spans="2:32" x14ac:dyDescent="0.25">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x14ac:dyDescent="0.25"/>
    <row r="2596" spans="2:32" ht="15" customHeight="1" x14ac:dyDescent="0.25"/>
    <row r="2597" spans="2:32" ht="15" customHeight="1" x14ac:dyDescent="0.25">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x14ac:dyDescent="0.25">
      <c r="B2598" s="84"/>
      <c r="C2598" s="84"/>
      <c r="D2598" s="84"/>
      <c r="E2598" s="84"/>
      <c r="F2598" s="84"/>
      <c r="G2598" s="84"/>
      <c r="H2598" s="84"/>
      <c r="I2598" s="84"/>
      <c r="J2598" s="84"/>
      <c r="K2598" s="84"/>
      <c r="L2598" s="84"/>
      <c r="M2598" s="84"/>
      <c r="N2598" s="84"/>
      <c r="O2598" s="84"/>
      <c r="P2598" s="84"/>
      <c r="Q2598" s="84"/>
      <c r="R2598" s="84"/>
      <c r="S2598" s="84"/>
      <c r="T2598" s="84"/>
      <c r="U2598" s="84"/>
      <c r="V2598" s="84"/>
      <c r="W2598" s="84"/>
      <c r="X2598" s="84"/>
      <c r="Y2598" s="84"/>
      <c r="Z2598" s="84"/>
      <c r="AA2598" s="84"/>
      <c r="AB2598" s="84"/>
      <c r="AC2598" s="84"/>
      <c r="AD2598" s="84"/>
      <c r="AE2598" s="84"/>
      <c r="AF2598" s="84"/>
    </row>
    <row r="2599" spans="2:32" ht="15" customHeight="1" x14ac:dyDescent="0.25"/>
    <row r="2600" spans="2:32" ht="15" customHeight="1" x14ac:dyDescent="0.25"/>
    <row r="2601" spans="2:32" ht="15" customHeight="1" x14ac:dyDescent="0.25"/>
    <row r="2602" spans="2:32" ht="15" customHeight="1" x14ac:dyDescent="0.25"/>
    <row r="2603" spans="2:32" ht="15" customHeight="1" x14ac:dyDescent="0.25"/>
    <row r="2604" spans="2:32" ht="15" customHeight="1" x14ac:dyDescent="0.25"/>
    <row r="2605" spans="2:32" ht="15" customHeight="1" x14ac:dyDescent="0.25"/>
    <row r="2606" spans="2:32" ht="15" customHeight="1" x14ac:dyDescent="0.25"/>
    <row r="2607" spans="2:32" ht="15" customHeight="1" x14ac:dyDescent="0.25"/>
    <row r="2608" spans="2:32" ht="15" customHeight="1" x14ac:dyDescent="0.25"/>
    <row r="2609" ht="15" customHeight="1" x14ac:dyDescent="0.25"/>
    <row r="2610" ht="15" customHeight="1" x14ac:dyDescent="0.25"/>
    <row r="2611" ht="15" customHeight="1" x14ac:dyDescent="0.25"/>
    <row r="2612" ht="15" customHeight="1" x14ac:dyDescent="0.25"/>
    <row r="2613" ht="15" customHeight="1" x14ac:dyDescent="0.25"/>
    <row r="2614" ht="15" customHeight="1" x14ac:dyDescent="0.25"/>
    <row r="2615" ht="15" customHeight="1" x14ac:dyDescent="0.25"/>
    <row r="2625" ht="15" customHeight="1" x14ac:dyDescent="0.25"/>
    <row r="2626" ht="15" customHeight="1" x14ac:dyDescent="0.25"/>
    <row r="2627" ht="15" customHeight="1" x14ac:dyDescent="0.25"/>
    <row r="2628" ht="15" customHeight="1" x14ac:dyDescent="0.25"/>
    <row r="2629" ht="15" customHeight="1" x14ac:dyDescent="0.25"/>
    <row r="2630" ht="15" customHeight="1" x14ac:dyDescent="0.25"/>
    <row r="2631" ht="15" customHeight="1" x14ac:dyDescent="0.25"/>
    <row r="2632" ht="15" customHeight="1" x14ac:dyDescent="0.25"/>
    <row r="2633" ht="15" customHeight="1" x14ac:dyDescent="0.25"/>
    <row r="2634" ht="15" customHeight="1" x14ac:dyDescent="0.25"/>
    <row r="2635" ht="15" customHeight="1" x14ac:dyDescent="0.25"/>
    <row r="2636" ht="15" customHeight="1" x14ac:dyDescent="0.25"/>
    <row r="2637" ht="15" customHeight="1" x14ac:dyDescent="0.25"/>
    <row r="2638" ht="15" customHeight="1" x14ac:dyDescent="0.25"/>
    <row r="2639" ht="15" customHeight="1" x14ac:dyDescent="0.25"/>
    <row r="2640" ht="15" customHeight="1" x14ac:dyDescent="0.25"/>
    <row r="2641" ht="15" customHeight="1" x14ac:dyDescent="0.25"/>
    <row r="2642" ht="15" customHeight="1" x14ac:dyDescent="0.25"/>
    <row r="2643" ht="15" customHeight="1" x14ac:dyDescent="0.25"/>
    <row r="2644" ht="15" customHeight="1" x14ac:dyDescent="0.25"/>
    <row r="2645" ht="15" customHeight="1" x14ac:dyDescent="0.25"/>
    <row r="2646" ht="15" customHeight="1" x14ac:dyDescent="0.25"/>
    <row r="2648" ht="15" customHeight="1" x14ac:dyDescent="0.25"/>
    <row r="2649" ht="15" customHeight="1" x14ac:dyDescent="0.25"/>
    <row r="2650" ht="15" customHeight="1" x14ac:dyDescent="0.25"/>
    <row r="2651" ht="15" customHeight="1" x14ac:dyDescent="0.25"/>
    <row r="2652" ht="15" customHeight="1" x14ac:dyDescent="0.25"/>
    <row r="2653" ht="15" customHeight="1" x14ac:dyDescent="0.25"/>
    <row r="2654" ht="15" customHeight="1" x14ac:dyDescent="0.25"/>
    <row r="2655" ht="15" customHeight="1" x14ac:dyDescent="0.25"/>
    <row r="2656" ht="15" customHeight="1" x14ac:dyDescent="0.25"/>
    <row r="2657" ht="15" customHeight="1" x14ac:dyDescent="0.25"/>
    <row r="2658" ht="15" customHeight="1" x14ac:dyDescent="0.25"/>
    <row r="2659" ht="15" customHeight="1" x14ac:dyDescent="0.25"/>
    <row r="2662" ht="15" customHeight="1" x14ac:dyDescent="0.25"/>
    <row r="2663" ht="15" customHeight="1" x14ac:dyDescent="0.25"/>
    <row r="2664" ht="15" customHeight="1" x14ac:dyDescent="0.25"/>
    <row r="2665" ht="15" customHeight="1" x14ac:dyDescent="0.25"/>
    <row r="2666" ht="15" customHeight="1" x14ac:dyDescent="0.25"/>
    <row r="2667" ht="15" customHeight="1" x14ac:dyDescent="0.25"/>
    <row r="2668" ht="15" customHeight="1" x14ac:dyDescent="0.25"/>
    <row r="2669" ht="15" customHeight="1" x14ac:dyDescent="0.25"/>
    <row r="2670" ht="15" customHeight="1" x14ac:dyDescent="0.25"/>
    <row r="2671" ht="15" customHeight="1" x14ac:dyDescent="0.25"/>
    <row r="2672" ht="15" customHeight="1" x14ac:dyDescent="0.25"/>
    <row r="2673" ht="15" customHeight="1" x14ac:dyDescent="0.25"/>
    <row r="2674" ht="15" customHeight="1" x14ac:dyDescent="0.25"/>
    <row r="2675" ht="15" customHeight="1" x14ac:dyDescent="0.25"/>
    <row r="2676" ht="15" customHeight="1" x14ac:dyDescent="0.25"/>
    <row r="2677" ht="15" customHeight="1" x14ac:dyDescent="0.25"/>
    <row r="2678" ht="15" customHeight="1" x14ac:dyDescent="0.25"/>
    <row r="2679" ht="15" customHeight="1" x14ac:dyDescent="0.25"/>
    <row r="2680" ht="15" customHeight="1" x14ac:dyDescent="0.25"/>
    <row r="2681" ht="15" customHeight="1" x14ac:dyDescent="0.25"/>
    <row r="2682" ht="15" customHeight="1" x14ac:dyDescent="0.25"/>
    <row r="2683" ht="15" customHeight="1" x14ac:dyDescent="0.25"/>
    <row r="2684" ht="15" customHeight="1" x14ac:dyDescent="0.25"/>
    <row r="2685" ht="15" customHeight="1" x14ac:dyDescent="0.25"/>
    <row r="2686" ht="15" customHeight="1" x14ac:dyDescent="0.25"/>
    <row r="2687" ht="15" customHeight="1" x14ac:dyDescent="0.25"/>
    <row r="2689" ht="15" customHeight="1" x14ac:dyDescent="0.25"/>
    <row r="2690" ht="15" customHeight="1" x14ac:dyDescent="0.25"/>
    <row r="2691" ht="15" customHeight="1" x14ac:dyDescent="0.25"/>
    <row r="2692" ht="15" customHeight="1" x14ac:dyDescent="0.25"/>
    <row r="2693" ht="15" customHeight="1" x14ac:dyDescent="0.25"/>
    <row r="2694" ht="15" customHeight="1" x14ac:dyDescent="0.25"/>
    <row r="2695" ht="15" customHeight="1" x14ac:dyDescent="0.25"/>
    <row r="2696" ht="15" customHeight="1" x14ac:dyDescent="0.25"/>
    <row r="2697" ht="15" customHeight="1" x14ac:dyDescent="0.25"/>
    <row r="2698" ht="15" customHeight="1" x14ac:dyDescent="0.25"/>
    <row r="2699" ht="15" customHeight="1" x14ac:dyDescent="0.25"/>
    <row r="2700" ht="15" customHeight="1" x14ac:dyDescent="0.25"/>
    <row r="2701" ht="15" customHeight="1" x14ac:dyDescent="0.25"/>
    <row r="2702" ht="15" customHeight="1" x14ac:dyDescent="0.25"/>
    <row r="2703" ht="15" customHeight="1" x14ac:dyDescent="0.25"/>
    <row r="2704" ht="15" customHeight="1" x14ac:dyDescent="0.25"/>
    <row r="2705" spans="2:32" x14ac:dyDescent="0.25">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x14ac:dyDescent="0.25">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x14ac:dyDescent="0.25"/>
    <row r="2708" spans="2:32" ht="15" customHeight="1" x14ac:dyDescent="0.25"/>
    <row r="2709" spans="2:32" ht="15" customHeight="1" x14ac:dyDescent="0.25"/>
    <row r="2710" spans="2:32" ht="15" customHeight="1" x14ac:dyDescent="0.25"/>
    <row r="2711" spans="2:32" ht="15" customHeight="1" x14ac:dyDescent="0.25"/>
    <row r="2712" spans="2:32" ht="15" customHeight="1" x14ac:dyDescent="0.25"/>
    <row r="2713" spans="2:32" ht="15" customHeight="1" x14ac:dyDescent="0.25"/>
    <row r="2714" spans="2:32" ht="15" customHeight="1" x14ac:dyDescent="0.25"/>
    <row r="2715" spans="2:32" ht="15" customHeight="1" x14ac:dyDescent="0.25"/>
    <row r="2716" spans="2:32" ht="15" customHeight="1" x14ac:dyDescent="0.25"/>
    <row r="2717" spans="2:32" ht="15" customHeight="1" x14ac:dyDescent="0.25"/>
    <row r="2718" spans="2:32" ht="15" customHeight="1" x14ac:dyDescent="0.25">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x14ac:dyDescent="0.25">
      <c r="B2719" s="84"/>
      <c r="C2719" s="84"/>
      <c r="D2719" s="84"/>
      <c r="E2719" s="84"/>
      <c r="F2719" s="84"/>
      <c r="G2719" s="84"/>
      <c r="H2719" s="84"/>
      <c r="I2719" s="84"/>
      <c r="J2719" s="84"/>
      <c r="K2719" s="84"/>
      <c r="L2719" s="84"/>
      <c r="M2719" s="84"/>
      <c r="N2719" s="84"/>
      <c r="O2719" s="84"/>
      <c r="P2719" s="84"/>
      <c r="Q2719" s="84"/>
      <c r="R2719" s="84"/>
      <c r="S2719" s="84"/>
      <c r="T2719" s="84"/>
      <c r="U2719" s="84"/>
      <c r="V2719" s="84"/>
      <c r="W2719" s="84"/>
      <c r="X2719" s="84"/>
      <c r="Y2719" s="84"/>
      <c r="Z2719" s="84"/>
      <c r="AA2719" s="84"/>
      <c r="AB2719" s="84"/>
      <c r="AC2719" s="84"/>
      <c r="AD2719" s="84"/>
      <c r="AE2719" s="84"/>
      <c r="AF2719" s="84"/>
    </row>
    <row r="2720" spans="2:32" ht="15" customHeight="1" x14ac:dyDescent="0.25"/>
    <row r="2721" ht="15" customHeight="1" x14ac:dyDescent="0.25"/>
    <row r="2722" ht="15" customHeight="1" x14ac:dyDescent="0.25"/>
    <row r="2723" ht="15" customHeight="1" x14ac:dyDescent="0.25"/>
    <row r="2724" ht="15" customHeight="1" x14ac:dyDescent="0.25"/>
    <row r="2725" ht="15" customHeight="1" x14ac:dyDescent="0.25"/>
    <row r="2726" ht="15" customHeight="1" x14ac:dyDescent="0.25"/>
    <row r="2727" ht="15" customHeight="1" x14ac:dyDescent="0.25"/>
    <row r="2728" ht="15" customHeight="1" x14ac:dyDescent="0.25"/>
    <row r="2729" ht="15" customHeight="1" x14ac:dyDescent="0.25"/>
    <row r="2730" ht="15" customHeight="1" x14ac:dyDescent="0.25"/>
    <row r="2731" ht="15" customHeight="1" x14ac:dyDescent="0.25"/>
    <row r="2732" ht="15" customHeight="1" x14ac:dyDescent="0.25"/>
    <row r="2733" ht="15" customHeight="1" x14ac:dyDescent="0.25"/>
    <row r="2734" ht="15" customHeight="1" x14ac:dyDescent="0.25"/>
    <row r="2735" ht="15" customHeight="1" x14ac:dyDescent="0.25"/>
    <row r="2736" ht="15" customHeight="1" x14ac:dyDescent="0.25"/>
    <row r="2737" ht="15" customHeight="1" x14ac:dyDescent="0.25"/>
    <row r="2738" ht="15" customHeight="1" x14ac:dyDescent="0.25"/>
    <row r="2739" ht="15" customHeight="1" x14ac:dyDescent="0.25"/>
    <row r="2740" ht="15" customHeight="1" x14ac:dyDescent="0.25"/>
    <row r="2741" ht="15" customHeight="1" x14ac:dyDescent="0.25"/>
    <row r="2742" ht="15" customHeight="1" x14ac:dyDescent="0.25"/>
    <row r="2743" ht="15" customHeight="1" x14ac:dyDescent="0.25"/>
    <row r="2775" ht="15" customHeight="1" x14ac:dyDescent="0.25"/>
    <row r="2776" ht="15" customHeight="1" x14ac:dyDescent="0.25"/>
    <row r="2777" ht="15" customHeight="1" x14ac:dyDescent="0.25"/>
    <row r="2778" ht="15" customHeight="1" x14ac:dyDescent="0.25"/>
    <row r="2779" ht="15" customHeight="1" x14ac:dyDescent="0.25"/>
    <row r="2780" ht="15" customHeight="1" x14ac:dyDescent="0.25"/>
    <row r="2781" ht="15" customHeight="1" x14ac:dyDescent="0.25"/>
    <row r="2782" ht="15" customHeight="1" x14ac:dyDescent="0.25"/>
    <row r="2783" ht="15" customHeight="1" x14ac:dyDescent="0.25"/>
    <row r="2784" ht="15" customHeight="1" x14ac:dyDescent="0.25"/>
    <row r="2785" ht="15" customHeight="1" x14ac:dyDescent="0.25"/>
    <row r="2786" ht="15" customHeight="1" x14ac:dyDescent="0.25"/>
    <row r="2788" ht="15" customHeight="1" x14ac:dyDescent="0.25"/>
    <row r="2789" ht="15" customHeight="1" x14ac:dyDescent="0.25"/>
    <row r="2790" ht="15" customHeight="1" x14ac:dyDescent="0.25"/>
    <row r="2791" ht="15" customHeight="1" x14ac:dyDescent="0.25"/>
    <row r="2793" ht="15" customHeight="1" x14ac:dyDescent="0.25"/>
    <row r="2794" ht="15" customHeight="1" x14ac:dyDescent="0.25"/>
    <row r="2795" ht="15" customHeight="1" x14ac:dyDescent="0.25"/>
    <row r="2796" ht="15" customHeight="1" x14ac:dyDescent="0.25"/>
    <row r="2797" ht="15" customHeight="1" x14ac:dyDescent="0.25"/>
    <row r="2798" ht="15" customHeight="1" x14ac:dyDescent="0.25"/>
    <row r="2799" ht="15" customHeight="1" x14ac:dyDescent="0.25"/>
    <row r="2800" ht="15" customHeight="1" x14ac:dyDescent="0.25"/>
    <row r="2801" ht="15" customHeight="1" x14ac:dyDescent="0.25"/>
    <row r="2802" ht="15" customHeight="1" x14ac:dyDescent="0.25"/>
    <row r="2804" ht="15" customHeight="1" x14ac:dyDescent="0.25"/>
    <row r="2805" ht="15" customHeight="1" x14ac:dyDescent="0.25"/>
    <row r="2806" ht="15" customHeight="1" x14ac:dyDescent="0.25"/>
    <row r="2807" ht="15" customHeight="1" x14ac:dyDescent="0.25"/>
    <row r="2809" ht="15" customHeight="1" x14ac:dyDescent="0.25"/>
    <row r="2810" ht="15" customHeight="1" x14ac:dyDescent="0.25"/>
    <row r="2811" ht="15" customHeight="1" x14ac:dyDescent="0.25"/>
    <row r="2812" ht="15" customHeight="1" x14ac:dyDescent="0.25"/>
    <row r="2813" ht="15" customHeight="1" x14ac:dyDescent="0.25"/>
    <row r="2814" ht="15" customHeight="1" x14ac:dyDescent="0.25"/>
    <row r="2815" ht="15" customHeight="1" x14ac:dyDescent="0.25"/>
    <row r="2816" ht="15" customHeight="1" x14ac:dyDescent="0.25"/>
    <row r="2818" ht="15" customHeight="1" x14ac:dyDescent="0.25"/>
    <row r="2819" ht="15" customHeight="1" x14ac:dyDescent="0.25"/>
    <row r="2820" ht="15" customHeight="1" x14ac:dyDescent="0.25"/>
    <row r="2821" ht="15" customHeight="1" x14ac:dyDescent="0.25"/>
    <row r="2822" ht="15" customHeight="1" x14ac:dyDescent="0.25"/>
    <row r="2823" ht="15" customHeight="1" x14ac:dyDescent="0.25"/>
    <row r="2825" ht="15" customHeight="1" x14ac:dyDescent="0.25"/>
    <row r="2826" ht="15" customHeight="1" x14ac:dyDescent="0.25"/>
    <row r="2827" ht="15" customHeight="1" x14ac:dyDescent="0.25"/>
    <row r="2828" ht="15" customHeight="1" x14ac:dyDescent="0.25"/>
    <row r="2831" ht="15" customHeight="1" x14ac:dyDescent="0.25"/>
    <row r="2832" ht="15" customHeight="1" x14ac:dyDescent="0.25"/>
    <row r="2833" spans="2:32" ht="15" customHeight="1" x14ac:dyDescent="0.25"/>
    <row r="2834" spans="2:32" ht="15" customHeight="1" x14ac:dyDescent="0.25"/>
    <row r="2835" spans="2:32" ht="15" customHeight="1" x14ac:dyDescent="0.25"/>
    <row r="2836" spans="2:32" ht="15" customHeight="1" x14ac:dyDescent="0.25">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x14ac:dyDescent="0.25">
      <c r="B2837" s="84"/>
      <c r="C2837" s="84"/>
      <c r="D2837" s="84"/>
      <c r="E2837" s="84"/>
      <c r="F2837" s="84"/>
      <c r="G2837" s="84"/>
      <c r="H2837" s="84"/>
      <c r="I2837" s="84"/>
      <c r="J2837" s="84"/>
      <c r="K2837" s="84"/>
      <c r="L2837" s="84"/>
      <c r="M2837" s="84"/>
      <c r="N2837" s="84"/>
      <c r="O2837" s="84"/>
      <c r="P2837" s="84"/>
      <c r="Q2837" s="84"/>
      <c r="R2837" s="84"/>
      <c r="S2837" s="84"/>
      <c r="T2837" s="84"/>
      <c r="U2837" s="84"/>
      <c r="V2837" s="84"/>
      <c r="W2837" s="84"/>
      <c r="X2837" s="84"/>
      <c r="Y2837" s="84"/>
      <c r="Z2837" s="84"/>
      <c r="AA2837" s="84"/>
      <c r="AB2837" s="84"/>
      <c r="AC2837" s="84"/>
      <c r="AD2837" s="84"/>
      <c r="AE2837" s="84"/>
      <c r="AF2837" s="84"/>
    </row>
    <row r="2838" spans="2:32" ht="15" customHeight="1" x14ac:dyDescent="0.25"/>
    <row r="2839" spans="2:32" ht="15" customHeight="1" x14ac:dyDescent="0.25"/>
    <row r="2840" spans="2:32" ht="15" customHeight="1" x14ac:dyDescent="0.25"/>
    <row r="2841" spans="2:32" ht="15" customHeight="1" x14ac:dyDescent="0.25"/>
  </sheetData>
  <mergeCells count="21">
    <mergeCell ref="B2837:AF2837"/>
    <mergeCell ref="B2031:AF2031"/>
    <mergeCell ref="B2153:AF2153"/>
    <mergeCell ref="B2317:AF2317"/>
    <mergeCell ref="B2419:AF2419"/>
    <mergeCell ref="B2509:AF2509"/>
    <mergeCell ref="B2598:AF2598"/>
    <mergeCell ref="B1945:AF1945"/>
    <mergeCell ref="B112:AF112"/>
    <mergeCell ref="B308:AF308"/>
    <mergeCell ref="B511:AF511"/>
    <mergeCell ref="B2719:AF2719"/>
    <mergeCell ref="B1502:AF1502"/>
    <mergeCell ref="B1604:AF1604"/>
    <mergeCell ref="B1699:AF1699"/>
    <mergeCell ref="B500:AG500"/>
    <mergeCell ref="B712:AF712"/>
    <mergeCell ref="B887:AF887"/>
    <mergeCell ref="B1101:AF1101"/>
    <mergeCell ref="B1229:AF1229"/>
    <mergeCell ref="B1390:AF1390"/>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BA6B5-7FAF-41B3-BD1E-AE258C50DFE3}">
  <dimension ref="A1:AG2841"/>
  <sheetViews>
    <sheetView topLeftCell="B1" workbookViewId="0">
      <selection activeCell="D52" sqref="D52"/>
    </sheetView>
  </sheetViews>
  <sheetFormatPr defaultColWidth="8.7109375" defaultRowHeight="15" x14ac:dyDescent="0.25"/>
  <cols>
    <col min="1" max="1" width="21.42578125" hidden="1" customWidth="1"/>
    <col min="2" max="2" width="46.7109375" customWidth="1"/>
  </cols>
  <sheetData>
    <row r="1" spans="1:33" ht="15" customHeight="1" thickBot="1" x14ac:dyDescent="0.3">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x14ac:dyDescent="0.25"/>
    <row r="3" spans="1:33" ht="15" customHeight="1" x14ac:dyDescent="0.25">
      <c r="C3" s="31" t="s">
        <v>36</v>
      </c>
      <c r="D3" s="31" t="s">
        <v>314</v>
      </c>
      <c r="E3" s="31"/>
      <c r="F3" s="31"/>
      <c r="G3" s="31"/>
    </row>
    <row r="4" spans="1:33" ht="15" customHeight="1" x14ac:dyDescent="0.25">
      <c r="C4" s="31" t="s">
        <v>35</v>
      </c>
      <c r="D4" s="31" t="s">
        <v>315</v>
      </c>
      <c r="E4" s="31"/>
      <c r="F4" s="31"/>
      <c r="G4" s="31" t="s">
        <v>316</v>
      </c>
    </row>
    <row r="5" spans="1:33" ht="15" customHeight="1" x14ac:dyDescent="0.25">
      <c r="C5" s="31" t="s">
        <v>33</v>
      </c>
      <c r="D5" s="31" t="s">
        <v>317</v>
      </c>
      <c r="E5" s="31"/>
      <c r="F5" s="31"/>
      <c r="G5" s="31"/>
    </row>
    <row r="6" spans="1:33" ht="15" customHeight="1" x14ac:dyDescent="0.25">
      <c r="C6" s="31" t="s">
        <v>32</v>
      </c>
      <c r="D6" s="31"/>
      <c r="E6" s="31" t="s">
        <v>318</v>
      </c>
      <c r="F6" s="31"/>
      <c r="G6" s="31"/>
    </row>
    <row r="10" spans="1:33" ht="15" customHeight="1" x14ac:dyDescent="0.25">
      <c r="A10" s="6" t="s">
        <v>5</v>
      </c>
      <c r="B10" s="15" t="s">
        <v>6</v>
      </c>
      <c r="AG10" s="36" t="s">
        <v>319</v>
      </c>
    </row>
    <row r="11" spans="1:33" ht="15" customHeight="1" x14ac:dyDescent="0.25">
      <c r="B11" s="13" t="s">
        <v>7</v>
      </c>
      <c r="AG11" s="36" t="s">
        <v>321</v>
      </c>
    </row>
    <row r="12" spans="1:33" ht="15" customHeight="1" x14ac:dyDescent="0.25">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x14ac:dyDescent="0.3">
      <c r="B13" s="14" t="s">
        <v>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x14ac:dyDescent="0.25"/>
    <row r="15" spans="1:33" ht="15" customHeight="1" x14ac:dyDescent="0.25">
      <c r="B15" s="16" t="s">
        <v>9</v>
      </c>
    </row>
    <row r="16" spans="1:33" ht="15" customHeight="1" x14ac:dyDescent="0.25"/>
    <row r="17" spans="1:33" ht="15" customHeight="1" x14ac:dyDescent="0.25">
      <c r="B17" s="16" t="s">
        <v>10</v>
      </c>
    </row>
    <row r="18" spans="1:33" ht="15" customHeight="1" x14ac:dyDescent="0.25">
      <c r="A18" s="6" t="s">
        <v>11</v>
      </c>
      <c r="B18" s="17" t="s">
        <v>12</v>
      </c>
      <c r="C18" s="18">
        <v>51.983494</v>
      </c>
      <c r="D18" s="18">
        <v>45.207633999999999</v>
      </c>
      <c r="E18" s="18">
        <v>45.207633999999999</v>
      </c>
      <c r="F18" s="18">
        <v>45.122737999999998</v>
      </c>
      <c r="G18" s="18">
        <v>43.267344999999999</v>
      </c>
      <c r="H18" s="18">
        <v>43.046135</v>
      </c>
      <c r="I18" s="18">
        <v>42.817745000000002</v>
      </c>
      <c r="J18" s="18">
        <v>42.559071000000003</v>
      </c>
      <c r="K18" s="18">
        <v>42.293137000000002</v>
      </c>
      <c r="L18" s="18">
        <v>42.024814999999997</v>
      </c>
      <c r="M18" s="18">
        <v>41.620972000000002</v>
      </c>
      <c r="N18" s="18">
        <v>41.217129</v>
      </c>
      <c r="O18" s="18">
        <v>40.813290000000002</v>
      </c>
      <c r="P18" s="18">
        <v>40.156348999999999</v>
      </c>
      <c r="Q18" s="18">
        <v>39.466723999999999</v>
      </c>
      <c r="R18" s="18">
        <v>38.769131000000002</v>
      </c>
      <c r="S18" s="18">
        <v>37.904128999999998</v>
      </c>
      <c r="T18" s="18">
        <v>37.069423999999998</v>
      </c>
      <c r="U18" s="18">
        <v>36.021155999999998</v>
      </c>
      <c r="V18" s="18">
        <v>34.914703000000003</v>
      </c>
      <c r="W18" s="18">
        <v>33.943759999999997</v>
      </c>
      <c r="X18" s="18">
        <v>32.853245000000001</v>
      </c>
      <c r="Y18" s="18">
        <v>31.762732</v>
      </c>
      <c r="Z18" s="18">
        <v>31.010211999999999</v>
      </c>
      <c r="AA18" s="18">
        <v>30.418717999999998</v>
      </c>
      <c r="AB18" s="18">
        <v>29.843166</v>
      </c>
      <c r="AC18" s="18">
        <v>29.442198000000001</v>
      </c>
      <c r="AD18" s="18">
        <v>29.041225000000001</v>
      </c>
      <c r="AE18" s="18">
        <v>28.861069000000001</v>
      </c>
      <c r="AF18" s="18">
        <v>28.741492999999998</v>
      </c>
      <c r="AG18" s="19">
        <v>-2.0226999999999998E-2</v>
      </c>
    </row>
    <row r="19" spans="1:33" ht="15" customHeight="1" x14ac:dyDescent="0.25">
      <c r="A19" s="6" t="s">
        <v>13</v>
      </c>
      <c r="B19" s="17" t="s">
        <v>14</v>
      </c>
      <c r="C19" s="18">
        <v>243.79425000000001</v>
      </c>
      <c r="D19" s="18">
        <v>233.81248500000001</v>
      </c>
      <c r="E19" s="18">
        <v>238.491455</v>
      </c>
      <c r="F19" s="18">
        <v>247.76059000000001</v>
      </c>
      <c r="G19" s="18">
        <v>283.54482999999999</v>
      </c>
      <c r="H19" s="18">
        <v>295.00744600000002</v>
      </c>
      <c r="I19" s="18">
        <v>320.071594</v>
      </c>
      <c r="J19" s="18">
        <v>300.65216099999998</v>
      </c>
      <c r="K19" s="18">
        <v>329.67965700000002</v>
      </c>
      <c r="L19" s="18">
        <v>295.24807700000002</v>
      </c>
      <c r="M19" s="18">
        <v>291.38909899999999</v>
      </c>
      <c r="N19" s="18">
        <v>301.774475</v>
      </c>
      <c r="O19" s="18">
        <v>292.99188199999998</v>
      </c>
      <c r="P19" s="18">
        <v>286.20459</v>
      </c>
      <c r="Q19" s="18">
        <v>290.95187399999998</v>
      </c>
      <c r="R19" s="18">
        <v>290.63433800000001</v>
      </c>
      <c r="S19" s="18">
        <v>294.183807</v>
      </c>
      <c r="T19" s="18">
        <v>303.909088</v>
      </c>
      <c r="U19" s="18">
        <v>308.81457499999999</v>
      </c>
      <c r="V19" s="18">
        <v>316.699005</v>
      </c>
      <c r="W19" s="18">
        <v>326.64898699999998</v>
      </c>
      <c r="X19" s="18">
        <v>334.01998900000001</v>
      </c>
      <c r="Y19" s="18">
        <v>344.842285</v>
      </c>
      <c r="Z19" s="18">
        <v>343.48788500000001</v>
      </c>
      <c r="AA19" s="18">
        <v>346.56930499999999</v>
      </c>
      <c r="AB19" s="18">
        <v>345.71804800000001</v>
      </c>
      <c r="AC19" s="18">
        <v>340.55926499999998</v>
      </c>
      <c r="AD19" s="18">
        <v>351.17285199999998</v>
      </c>
      <c r="AE19" s="18">
        <v>354.106964</v>
      </c>
      <c r="AF19" s="18">
        <v>359.89389</v>
      </c>
      <c r="AG19" s="19">
        <v>1.3521E-2</v>
      </c>
    </row>
    <row r="20" spans="1:33" ht="15" customHeight="1" x14ac:dyDescent="0.25">
      <c r="A20" s="6" t="s">
        <v>15</v>
      </c>
      <c r="B20" s="16" t="s">
        <v>278</v>
      </c>
      <c r="C20" s="20">
        <v>295.77773999999999</v>
      </c>
      <c r="D20" s="20">
        <v>279.02011099999999</v>
      </c>
      <c r="E20" s="20">
        <v>283.69906600000002</v>
      </c>
      <c r="F20" s="20">
        <v>292.883331</v>
      </c>
      <c r="G20" s="20">
        <v>326.812164</v>
      </c>
      <c r="H20" s="20">
        <v>338.05358899999999</v>
      </c>
      <c r="I20" s="20">
        <v>362.88937399999998</v>
      </c>
      <c r="J20" s="20">
        <v>343.21124300000002</v>
      </c>
      <c r="K20" s="20">
        <v>371.97280899999998</v>
      </c>
      <c r="L20" s="20">
        <v>337.27288800000002</v>
      </c>
      <c r="M20" s="20">
        <v>333.01007099999998</v>
      </c>
      <c r="N20" s="20">
        <v>342.99160799999999</v>
      </c>
      <c r="O20" s="20">
        <v>333.80517600000002</v>
      </c>
      <c r="P20" s="20">
        <v>326.36093099999999</v>
      </c>
      <c r="Q20" s="20">
        <v>330.41861</v>
      </c>
      <c r="R20" s="20">
        <v>329.40344199999998</v>
      </c>
      <c r="S20" s="20">
        <v>332.08792099999999</v>
      </c>
      <c r="T20" s="20">
        <v>340.97851600000001</v>
      </c>
      <c r="U20" s="20">
        <v>344.83572400000003</v>
      </c>
      <c r="V20" s="20">
        <v>351.61370799999997</v>
      </c>
      <c r="W20" s="20">
        <v>360.59274299999998</v>
      </c>
      <c r="X20" s="20">
        <v>366.87322999999998</v>
      </c>
      <c r="Y20" s="20">
        <v>376.60501099999999</v>
      </c>
      <c r="Z20" s="20">
        <v>374.498108</v>
      </c>
      <c r="AA20" s="20">
        <v>376.98800699999998</v>
      </c>
      <c r="AB20" s="20">
        <v>375.561218</v>
      </c>
      <c r="AC20" s="20">
        <v>370.001465</v>
      </c>
      <c r="AD20" s="20">
        <v>380.21408100000002</v>
      </c>
      <c r="AE20" s="20">
        <v>382.96801799999997</v>
      </c>
      <c r="AF20" s="20">
        <v>388.63540599999999</v>
      </c>
      <c r="AG20" s="21">
        <v>9.4590000000000004E-3</v>
      </c>
    </row>
    <row r="21" spans="1:33" ht="15" customHeight="1" x14ac:dyDescent="0.25"/>
    <row r="22" spans="1:33" ht="15" customHeight="1" x14ac:dyDescent="0.25">
      <c r="B22" s="16" t="s">
        <v>328</v>
      </c>
    </row>
    <row r="23" spans="1:33" ht="15" customHeight="1" x14ac:dyDescent="0.25">
      <c r="A23" s="6" t="s">
        <v>16</v>
      </c>
      <c r="B23" s="17" t="s">
        <v>12</v>
      </c>
      <c r="C23" s="18">
        <v>3771.7102049999999</v>
      </c>
      <c r="D23" s="18">
        <v>3280.0815429999998</v>
      </c>
      <c r="E23" s="18">
        <v>3280.0815429999998</v>
      </c>
      <c r="F23" s="18">
        <v>3273.9216310000002</v>
      </c>
      <c r="G23" s="18">
        <v>3139.3020019999999</v>
      </c>
      <c r="H23" s="18">
        <v>3123.251953</v>
      </c>
      <c r="I23" s="18">
        <v>3106.6813959999999</v>
      </c>
      <c r="J23" s="18">
        <v>3087.9125979999999</v>
      </c>
      <c r="K23" s="18">
        <v>3068.617432</v>
      </c>
      <c r="L23" s="18">
        <v>3049.1491700000001</v>
      </c>
      <c r="M23" s="18">
        <v>3019.8479000000002</v>
      </c>
      <c r="N23" s="18">
        <v>2990.5471189999998</v>
      </c>
      <c r="O23" s="18">
        <v>2961.2456050000001</v>
      </c>
      <c r="P23" s="18">
        <v>2913.5810550000001</v>
      </c>
      <c r="Q23" s="18">
        <v>2863.5446780000002</v>
      </c>
      <c r="R23" s="18">
        <v>2812.9301759999998</v>
      </c>
      <c r="S23" s="18">
        <v>2750.1694339999999</v>
      </c>
      <c r="T23" s="18">
        <v>2689.6062010000001</v>
      </c>
      <c r="U23" s="18">
        <v>2613.5483399999998</v>
      </c>
      <c r="V23" s="18">
        <v>2533.2685550000001</v>
      </c>
      <c r="W23" s="18">
        <v>2462.8210450000001</v>
      </c>
      <c r="X23" s="18">
        <v>2383.6977539999998</v>
      </c>
      <c r="Y23" s="18">
        <v>2304.5742190000001</v>
      </c>
      <c r="Z23" s="18">
        <v>2249.9746089999999</v>
      </c>
      <c r="AA23" s="18">
        <v>2207.0583499999998</v>
      </c>
      <c r="AB23" s="18">
        <v>2165.2985840000001</v>
      </c>
      <c r="AC23" s="18">
        <v>2136.2058109999998</v>
      </c>
      <c r="AD23" s="18">
        <v>2107.1130370000001</v>
      </c>
      <c r="AE23" s="18">
        <v>2094.04126</v>
      </c>
      <c r="AF23" s="18">
        <v>2085.3657229999999</v>
      </c>
      <c r="AG23" s="19">
        <v>-2.0226999999999998E-2</v>
      </c>
    </row>
    <row r="24" spans="1:33" ht="15" customHeight="1" x14ac:dyDescent="0.25">
      <c r="A24" s="6" t="s">
        <v>17</v>
      </c>
      <c r="B24" s="17" t="s">
        <v>14</v>
      </c>
      <c r="C24" s="18">
        <v>13724.551758</v>
      </c>
      <c r="D24" s="18">
        <v>9558.6679690000001</v>
      </c>
      <c r="E24" s="18">
        <v>8721.1591800000006</v>
      </c>
      <c r="F24" s="18">
        <v>8259.5566409999992</v>
      </c>
      <c r="G24" s="18">
        <v>9068.5332030000009</v>
      </c>
      <c r="H24" s="18">
        <v>9411.6640619999998</v>
      </c>
      <c r="I24" s="18">
        <v>10070.141602</v>
      </c>
      <c r="J24" s="18">
        <v>9888.1542969999991</v>
      </c>
      <c r="K24" s="18">
        <v>11104.380859000001</v>
      </c>
      <c r="L24" s="18">
        <v>9700.1777340000008</v>
      </c>
      <c r="M24" s="18">
        <v>9547.1054690000001</v>
      </c>
      <c r="N24" s="18">
        <v>10776.553711</v>
      </c>
      <c r="O24" s="18">
        <v>10811.901367</v>
      </c>
      <c r="P24" s="18">
        <v>10583.502930000001</v>
      </c>
      <c r="Q24" s="18">
        <v>10402.191406</v>
      </c>
      <c r="R24" s="18">
        <v>10165.060546999999</v>
      </c>
      <c r="S24" s="18">
        <v>10297.360352</v>
      </c>
      <c r="T24" s="18">
        <v>10731.502930000001</v>
      </c>
      <c r="U24" s="18">
        <v>10849.472656</v>
      </c>
      <c r="V24" s="18">
        <v>11166.411133</v>
      </c>
      <c r="W24" s="18">
        <v>11665.099609000001</v>
      </c>
      <c r="X24" s="18">
        <v>11885.796875</v>
      </c>
      <c r="Y24" s="18">
        <v>12033.689453000001</v>
      </c>
      <c r="Z24" s="18">
        <v>12257.128906</v>
      </c>
      <c r="AA24" s="18">
        <v>12318.226562</v>
      </c>
      <c r="AB24" s="18">
        <v>12194.037109000001</v>
      </c>
      <c r="AC24" s="18">
        <v>12047.785156</v>
      </c>
      <c r="AD24" s="18">
        <v>12408.869140999999</v>
      </c>
      <c r="AE24" s="18">
        <v>12495.674805000001</v>
      </c>
      <c r="AF24" s="18">
        <v>12734.225586</v>
      </c>
      <c r="AG24" s="19">
        <v>-2.5790000000000001E-3</v>
      </c>
    </row>
    <row r="25" spans="1:33" ht="15" customHeight="1" x14ac:dyDescent="0.25">
      <c r="A25" s="6" t="s">
        <v>18</v>
      </c>
      <c r="B25" s="16" t="s">
        <v>278</v>
      </c>
      <c r="C25" s="20">
        <v>17496.261718999998</v>
      </c>
      <c r="D25" s="20">
        <v>12838.75</v>
      </c>
      <c r="E25" s="20">
        <v>12001.240234000001</v>
      </c>
      <c r="F25" s="20">
        <v>11533.478515999999</v>
      </c>
      <c r="G25" s="20">
        <v>12207.834961</v>
      </c>
      <c r="H25" s="20">
        <v>12534.916015999999</v>
      </c>
      <c r="I25" s="20">
        <v>13176.823242</v>
      </c>
      <c r="J25" s="20">
        <v>12976.066406</v>
      </c>
      <c r="K25" s="20">
        <v>14172.998046999999</v>
      </c>
      <c r="L25" s="20">
        <v>12749.327148</v>
      </c>
      <c r="M25" s="20">
        <v>12566.953125</v>
      </c>
      <c r="N25" s="20">
        <v>13767.100586</v>
      </c>
      <c r="O25" s="20">
        <v>13773.146484000001</v>
      </c>
      <c r="P25" s="20">
        <v>13497.083984000001</v>
      </c>
      <c r="Q25" s="20">
        <v>13265.736328000001</v>
      </c>
      <c r="R25" s="20">
        <v>12977.990234000001</v>
      </c>
      <c r="S25" s="20">
        <v>13047.529296999999</v>
      </c>
      <c r="T25" s="20">
        <v>13421.109375</v>
      </c>
      <c r="U25" s="20">
        <v>13463.021484000001</v>
      </c>
      <c r="V25" s="20">
        <v>13699.679688</v>
      </c>
      <c r="W25" s="20">
        <v>14127.920898</v>
      </c>
      <c r="X25" s="20">
        <v>14269.494140999999</v>
      </c>
      <c r="Y25" s="20">
        <v>14338.263671999999</v>
      </c>
      <c r="Z25" s="20">
        <v>14507.103515999999</v>
      </c>
      <c r="AA25" s="20">
        <v>14525.285156</v>
      </c>
      <c r="AB25" s="20">
        <v>14359.335938</v>
      </c>
      <c r="AC25" s="20">
        <v>14183.991211</v>
      </c>
      <c r="AD25" s="20">
        <v>14515.982421999999</v>
      </c>
      <c r="AE25" s="20">
        <v>14589.715819999999</v>
      </c>
      <c r="AF25" s="20">
        <v>14819.591796999999</v>
      </c>
      <c r="AG25" s="21">
        <v>-5.7089999999999997E-3</v>
      </c>
    </row>
    <row r="26" spans="1:33" ht="15" customHeight="1" x14ac:dyDescent="0.25"/>
    <row r="27" spans="1:33" ht="15" customHeight="1" x14ac:dyDescent="0.25">
      <c r="B27" s="16" t="s">
        <v>19</v>
      </c>
    </row>
    <row r="28" spans="1:33" ht="15" customHeight="1" x14ac:dyDescent="0.25"/>
    <row r="29" spans="1:33" ht="15" customHeight="1" x14ac:dyDescent="0.25">
      <c r="B29" s="16" t="s">
        <v>20</v>
      </c>
    </row>
    <row r="30" spans="1:33" ht="15" customHeight="1" x14ac:dyDescent="0.25">
      <c r="A30" s="6" t="s">
        <v>21</v>
      </c>
      <c r="B30" s="17" t="s">
        <v>12</v>
      </c>
      <c r="C30" s="22">
        <v>15.909719000000001</v>
      </c>
      <c r="D30" s="22">
        <v>15.799711</v>
      </c>
      <c r="E30" s="22">
        <v>16.437441</v>
      </c>
      <c r="F30" s="22">
        <v>16.437441</v>
      </c>
      <c r="G30" s="22">
        <v>16.437441</v>
      </c>
      <c r="H30" s="22">
        <v>16.437441</v>
      </c>
      <c r="I30" s="22">
        <v>18.095531000000001</v>
      </c>
      <c r="J30" s="22">
        <v>18.095531000000001</v>
      </c>
      <c r="K30" s="22">
        <v>18.031760999999999</v>
      </c>
      <c r="L30" s="22">
        <v>17.967987000000001</v>
      </c>
      <c r="M30" s="22">
        <v>17.904212999999999</v>
      </c>
      <c r="N30" s="22">
        <v>17.840440999999998</v>
      </c>
      <c r="O30" s="22">
        <v>17.776668999999998</v>
      </c>
      <c r="P30" s="22">
        <v>17.712893999999999</v>
      </c>
      <c r="Q30" s="22">
        <v>17.649121999999998</v>
      </c>
      <c r="R30" s="22">
        <v>17.306345</v>
      </c>
      <c r="S30" s="22">
        <v>17.242571000000002</v>
      </c>
      <c r="T30" s="22">
        <v>17.178801</v>
      </c>
      <c r="U30" s="22">
        <v>17.178801</v>
      </c>
      <c r="V30" s="22">
        <v>17.178801</v>
      </c>
      <c r="W30" s="22">
        <v>17.178801</v>
      </c>
      <c r="X30" s="22">
        <v>17.178801</v>
      </c>
      <c r="Y30" s="22">
        <v>17.178801</v>
      </c>
      <c r="Z30" s="22">
        <v>17.178801</v>
      </c>
      <c r="AA30" s="22">
        <v>17.178801</v>
      </c>
      <c r="AB30" s="22">
        <v>17.178801</v>
      </c>
      <c r="AC30" s="22">
        <v>17.178801</v>
      </c>
      <c r="AD30" s="22">
        <v>17.178801</v>
      </c>
      <c r="AE30" s="22">
        <v>17.178801</v>
      </c>
      <c r="AF30" s="22">
        <v>17.178801</v>
      </c>
      <c r="AG30" s="19">
        <v>2.65E-3</v>
      </c>
    </row>
    <row r="31" spans="1:33" x14ac:dyDescent="0.25">
      <c r="A31" s="6" t="s">
        <v>22</v>
      </c>
      <c r="B31" s="17" t="s">
        <v>14</v>
      </c>
      <c r="C31" s="22">
        <v>62.261543000000003</v>
      </c>
      <c r="D31" s="22">
        <v>44.940716000000002</v>
      </c>
      <c r="E31" s="22">
        <v>39.903328000000002</v>
      </c>
      <c r="F31" s="22">
        <v>40.776710999999999</v>
      </c>
      <c r="G31" s="22">
        <v>37.881481000000001</v>
      </c>
      <c r="H31" s="22">
        <v>39.289326000000003</v>
      </c>
      <c r="I31" s="22">
        <v>41.516120999999998</v>
      </c>
      <c r="J31" s="22">
        <v>44.049487999999997</v>
      </c>
      <c r="K31" s="22">
        <v>44.534965999999997</v>
      </c>
      <c r="L31" s="22">
        <v>46.802753000000003</v>
      </c>
      <c r="M31" s="22">
        <v>44.436863000000002</v>
      </c>
      <c r="N31" s="22">
        <v>45.842854000000003</v>
      </c>
      <c r="O31" s="22">
        <v>43.909706</v>
      </c>
      <c r="P31" s="22">
        <v>45.458748</v>
      </c>
      <c r="Q31" s="22">
        <v>44.646487999999998</v>
      </c>
      <c r="R31" s="22">
        <v>44.871941</v>
      </c>
      <c r="S31" s="22">
        <v>43.412219999999998</v>
      </c>
      <c r="T31" s="22">
        <v>44.094822000000001</v>
      </c>
      <c r="U31" s="22">
        <v>44.329295999999999</v>
      </c>
      <c r="V31" s="22">
        <v>44.852791000000003</v>
      </c>
      <c r="W31" s="22">
        <v>43.367153000000002</v>
      </c>
      <c r="X31" s="22">
        <v>43.312187000000002</v>
      </c>
      <c r="Y31" s="22">
        <v>43.523560000000003</v>
      </c>
      <c r="Z31" s="22">
        <v>43.421771999999997</v>
      </c>
      <c r="AA31" s="22">
        <v>42.216557000000002</v>
      </c>
      <c r="AB31" s="22">
        <v>42.170375999999997</v>
      </c>
      <c r="AC31" s="22">
        <v>42.089066000000003</v>
      </c>
      <c r="AD31" s="22">
        <v>42.248714</v>
      </c>
      <c r="AE31" s="22">
        <v>42.335766</v>
      </c>
      <c r="AF31" s="22">
        <v>42.446342000000001</v>
      </c>
      <c r="AG31" s="19">
        <v>-1.3124E-2</v>
      </c>
    </row>
    <row r="32" spans="1:33" x14ac:dyDescent="0.25">
      <c r="A32" s="6" t="s">
        <v>23</v>
      </c>
      <c r="B32" s="16" t="s">
        <v>279</v>
      </c>
      <c r="C32" s="23">
        <v>78.171265000000005</v>
      </c>
      <c r="D32" s="23">
        <v>60.740428999999999</v>
      </c>
      <c r="E32" s="23">
        <v>56.340767</v>
      </c>
      <c r="F32" s="23">
        <v>57.214148999999999</v>
      </c>
      <c r="G32" s="23">
        <v>54.318924000000003</v>
      </c>
      <c r="H32" s="23">
        <v>55.726768</v>
      </c>
      <c r="I32" s="23">
        <v>59.611651999999999</v>
      </c>
      <c r="J32" s="23">
        <v>62.145020000000002</v>
      </c>
      <c r="K32" s="23">
        <v>62.56673</v>
      </c>
      <c r="L32" s="23">
        <v>64.770736999999997</v>
      </c>
      <c r="M32" s="23">
        <v>62.341071999999997</v>
      </c>
      <c r="N32" s="23">
        <v>63.683292000000002</v>
      </c>
      <c r="O32" s="23">
        <v>61.686374999999998</v>
      </c>
      <c r="P32" s="23">
        <v>63.171641999999999</v>
      </c>
      <c r="Q32" s="23">
        <v>62.295608999999999</v>
      </c>
      <c r="R32" s="23">
        <v>62.178283999999998</v>
      </c>
      <c r="S32" s="23">
        <v>60.654792999999998</v>
      </c>
      <c r="T32" s="23">
        <v>61.273620999999999</v>
      </c>
      <c r="U32" s="23">
        <v>61.508094999999997</v>
      </c>
      <c r="V32" s="23">
        <v>62.031590000000001</v>
      </c>
      <c r="W32" s="23">
        <v>60.545955999999997</v>
      </c>
      <c r="X32" s="23">
        <v>60.490985999999999</v>
      </c>
      <c r="Y32" s="23">
        <v>60.702362000000001</v>
      </c>
      <c r="Z32" s="23">
        <v>60.600574000000002</v>
      </c>
      <c r="AA32" s="23">
        <v>59.395355000000002</v>
      </c>
      <c r="AB32" s="23">
        <v>59.349173999999998</v>
      </c>
      <c r="AC32" s="23">
        <v>59.267859999999999</v>
      </c>
      <c r="AD32" s="23">
        <v>59.427509000000001</v>
      </c>
      <c r="AE32" s="23">
        <v>59.514564999999997</v>
      </c>
      <c r="AF32" s="23">
        <v>59.625145000000003</v>
      </c>
      <c r="AG32" s="21">
        <v>-9.2949999999999994E-3</v>
      </c>
    </row>
    <row r="34" spans="1:33" x14ac:dyDescent="0.25">
      <c r="B34" s="16" t="s">
        <v>24</v>
      </c>
    </row>
    <row r="35" spans="1:33" x14ac:dyDescent="0.25">
      <c r="A35" s="6" t="s">
        <v>25</v>
      </c>
      <c r="B35" s="17" t="s">
        <v>12</v>
      </c>
      <c r="C35" s="22">
        <v>1.19574</v>
      </c>
      <c r="D35" s="22">
        <v>1.19574</v>
      </c>
      <c r="E35" s="22">
        <v>1.19574</v>
      </c>
      <c r="F35" s="22">
        <v>1.19574</v>
      </c>
      <c r="G35" s="22">
        <v>1.19574</v>
      </c>
      <c r="H35" s="22">
        <v>1.19574</v>
      </c>
      <c r="I35" s="22">
        <v>1.19574</v>
      </c>
      <c r="J35" s="22">
        <v>1.19574</v>
      </c>
      <c r="K35" s="22">
        <v>1.19574</v>
      </c>
      <c r="L35" s="22">
        <v>1.19574</v>
      </c>
      <c r="M35" s="22">
        <v>1.076166</v>
      </c>
      <c r="N35" s="22">
        <v>0.956592</v>
      </c>
      <c r="O35" s="22">
        <v>0.83701800000000004</v>
      </c>
      <c r="P35" s="22">
        <v>0.71744399999999997</v>
      </c>
      <c r="Q35" s="22">
        <v>0.59787000000000001</v>
      </c>
      <c r="R35" s="22">
        <v>0.478296</v>
      </c>
      <c r="S35" s="22">
        <v>0.35872199999999999</v>
      </c>
      <c r="T35" s="22">
        <v>0.239148</v>
      </c>
      <c r="U35" s="22">
        <v>0.119574</v>
      </c>
      <c r="V35" s="22">
        <v>0</v>
      </c>
      <c r="W35" s="22">
        <v>0</v>
      </c>
      <c r="X35" s="22">
        <v>0</v>
      </c>
      <c r="Y35" s="22">
        <v>0</v>
      </c>
      <c r="Z35" s="22">
        <v>0</v>
      </c>
      <c r="AA35" s="22">
        <v>0</v>
      </c>
      <c r="AB35" s="22">
        <v>0</v>
      </c>
      <c r="AC35" s="22">
        <v>0</v>
      </c>
      <c r="AD35" s="22">
        <v>0</v>
      </c>
      <c r="AE35" s="22">
        <v>0</v>
      </c>
      <c r="AF35" s="22">
        <v>0</v>
      </c>
      <c r="AG35" s="19" t="s">
        <v>305</v>
      </c>
    </row>
    <row r="36" spans="1:33" x14ac:dyDescent="0.25">
      <c r="A36" s="6" t="s">
        <v>27</v>
      </c>
      <c r="B36" s="17" t="s">
        <v>14</v>
      </c>
      <c r="C36" s="22">
        <v>14.518716</v>
      </c>
      <c r="D36" s="22">
        <v>14.518716</v>
      </c>
      <c r="E36" s="22">
        <v>14.518716</v>
      </c>
      <c r="F36" s="22">
        <v>14.518716</v>
      </c>
      <c r="G36" s="22">
        <v>14.518716</v>
      </c>
      <c r="H36" s="22">
        <v>14.518716</v>
      </c>
      <c r="I36" s="22">
        <v>14.518716</v>
      </c>
      <c r="J36" s="22">
        <v>14.518716</v>
      </c>
      <c r="K36" s="22">
        <v>14.518716</v>
      </c>
      <c r="L36" s="22">
        <v>14.518716</v>
      </c>
      <c r="M36" s="22">
        <v>14.638289</v>
      </c>
      <c r="N36" s="22">
        <v>14.757864</v>
      </c>
      <c r="O36" s="22">
        <v>14.877438</v>
      </c>
      <c r="P36" s="22">
        <v>14.997011000000001</v>
      </c>
      <c r="Q36" s="22">
        <v>15.116586</v>
      </c>
      <c r="R36" s="22">
        <v>15.236159000000001</v>
      </c>
      <c r="S36" s="22">
        <v>15.355733000000001</v>
      </c>
      <c r="T36" s="22">
        <v>15.475307000000001</v>
      </c>
      <c r="U36" s="22">
        <v>15.594882</v>
      </c>
      <c r="V36" s="22">
        <v>15.714456</v>
      </c>
      <c r="W36" s="22">
        <v>15.714456</v>
      </c>
      <c r="X36" s="22">
        <v>15.714456</v>
      </c>
      <c r="Y36" s="22">
        <v>15.714456</v>
      </c>
      <c r="Z36" s="22">
        <v>15.714456</v>
      </c>
      <c r="AA36" s="22">
        <v>15.714456</v>
      </c>
      <c r="AB36" s="22">
        <v>15.714456</v>
      </c>
      <c r="AC36" s="22">
        <v>15.714456</v>
      </c>
      <c r="AD36" s="22">
        <v>15.714456</v>
      </c>
      <c r="AE36" s="22">
        <v>15.714456</v>
      </c>
      <c r="AF36" s="22">
        <v>15.714456</v>
      </c>
      <c r="AG36" s="19">
        <v>2.7330000000000002E-3</v>
      </c>
    </row>
    <row r="37" spans="1:33" x14ac:dyDescent="0.25">
      <c r="A37" s="6" t="s">
        <v>28</v>
      </c>
      <c r="B37" s="16" t="s">
        <v>280</v>
      </c>
      <c r="C37" s="23">
        <v>15.714456</v>
      </c>
      <c r="D37" s="23">
        <v>15.714456</v>
      </c>
      <c r="E37" s="23">
        <v>15.714456</v>
      </c>
      <c r="F37" s="23">
        <v>15.714456</v>
      </c>
      <c r="G37" s="23">
        <v>15.714456</v>
      </c>
      <c r="H37" s="23">
        <v>15.714456</v>
      </c>
      <c r="I37" s="23">
        <v>15.714456</v>
      </c>
      <c r="J37" s="23">
        <v>15.714456</v>
      </c>
      <c r="K37" s="23">
        <v>15.714456</v>
      </c>
      <c r="L37" s="23">
        <v>15.714456</v>
      </c>
      <c r="M37" s="23">
        <v>15.714456</v>
      </c>
      <c r="N37" s="23">
        <v>15.714456</v>
      </c>
      <c r="O37" s="23">
        <v>15.714454999999999</v>
      </c>
      <c r="P37" s="23">
        <v>15.714456</v>
      </c>
      <c r="Q37" s="23">
        <v>15.714456</v>
      </c>
      <c r="R37" s="23">
        <v>15.714454999999999</v>
      </c>
      <c r="S37" s="23">
        <v>15.714454999999999</v>
      </c>
      <c r="T37" s="23">
        <v>15.714456</v>
      </c>
      <c r="U37" s="23">
        <v>15.714456</v>
      </c>
      <c r="V37" s="23">
        <v>15.714456</v>
      </c>
      <c r="W37" s="23">
        <v>15.714456</v>
      </c>
      <c r="X37" s="23">
        <v>15.714456</v>
      </c>
      <c r="Y37" s="23">
        <v>15.714456</v>
      </c>
      <c r="Z37" s="23">
        <v>15.714456</v>
      </c>
      <c r="AA37" s="23">
        <v>15.714456</v>
      </c>
      <c r="AB37" s="23">
        <v>15.714456</v>
      </c>
      <c r="AC37" s="23">
        <v>15.714456</v>
      </c>
      <c r="AD37" s="23">
        <v>15.714456</v>
      </c>
      <c r="AE37" s="23">
        <v>15.714456</v>
      </c>
      <c r="AF37" s="23">
        <v>15.714456</v>
      </c>
      <c r="AG37" s="21">
        <v>0</v>
      </c>
    </row>
    <row r="38" spans="1:33" ht="15.75" thickBot="1" x14ac:dyDescent="0.3"/>
    <row r="39" spans="1:33" x14ac:dyDescent="0.25">
      <c r="B39" s="24" t="s">
        <v>294</v>
      </c>
    </row>
    <row r="40" spans="1:33" x14ac:dyDescent="0.25">
      <c r="B40" s="7" t="s">
        <v>308</v>
      </c>
    </row>
    <row r="41" spans="1:33" x14ac:dyDescent="0.25">
      <c r="B41" s="7" t="s">
        <v>281</v>
      </c>
    </row>
    <row r="42" spans="1:33" x14ac:dyDescent="0.25">
      <c r="B42" s="7" t="s">
        <v>31</v>
      </c>
    </row>
    <row r="43" spans="1:33" x14ac:dyDescent="0.25">
      <c r="B43" s="7" t="s">
        <v>30</v>
      </c>
    </row>
    <row r="44" spans="1:33" x14ac:dyDescent="0.25">
      <c r="B44" s="7" t="s">
        <v>329</v>
      </c>
    </row>
    <row r="45" spans="1:33" x14ac:dyDescent="0.25">
      <c r="B45" s="7" t="s">
        <v>327</v>
      </c>
    </row>
    <row r="50" ht="15" customHeight="1" x14ac:dyDescent="0.25"/>
    <row r="51" ht="15" customHeight="1" x14ac:dyDescent="0.25"/>
    <row r="52" ht="15" customHeight="1" x14ac:dyDescent="0.25"/>
    <row r="53" ht="15" customHeight="1" x14ac:dyDescent="0.25"/>
    <row r="54" ht="15" customHeight="1" x14ac:dyDescent="0.25"/>
    <row r="55" ht="15" customHeight="1" x14ac:dyDescent="0.25"/>
    <row r="56" ht="15" customHeight="1" x14ac:dyDescent="0.25"/>
    <row r="57" ht="15" customHeight="1" x14ac:dyDescent="0.25"/>
    <row r="58" ht="15" customHeight="1" x14ac:dyDescent="0.25"/>
    <row r="59" ht="15" customHeight="1" x14ac:dyDescent="0.25"/>
    <row r="60" ht="15" customHeight="1" x14ac:dyDescent="0.25"/>
    <row r="61" ht="15" customHeight="1" x14ac:dyDescent="0.25"/>
    <row r="62" ht="15" customHeight="1" x14ac:dyDescent="0.25"/>
    <row r="63" ht="15" customHeight="1" x14ac:dyDescent="0.25"/>
    <row r="64" ht="15" customHeight="1" x14ac:dyDescent="0.25"/>
    <row r="65" ht="15" customHeight="1" x14ac:dyDescent="0.25"/>
    <row r="67" ht="15" customHeight="1" x14ac:dyDescent="0.25"/>
    <row r="68" ht="15" customHeight="1" x14ac:dyDescent="0.25"/>
    <row r="69" ht="15" customHeight="1" x14ac:dyDescent="0.25"/>
    <row r="70" ht="15" customHeight="1" x14ac:dyDescent="0.25"/>
    <row r="71" ht="15" customHeight="1" x14ac:dyDescent="0.25"/>
    <row r="72" ht="15" customHeight="1" x14ac:dyDescent="0.25"/>
    <row r="74" ht="15" customHeight="1" x14ac:dyDescent="0.25"/>
    <row r="75" ht="15" customHeight="1" x14ac:dyDescent="0.25"/>
    <row r="76" ht="15" customHeight="1" x14ac:dyDescent="0.25"/>
    <row r="77" ht="15" customHeight="1" x14ac:dyDescent="0.25"/>
    <row r="78" ht="15" customHeight="1" x14ac:dyDescent="0.25"/>
    <row r="80" ht="15" customHeight="1" x14ac:dyDescent="0.25"/>
    <row r="82" ht="15" customHeight="1" x14ac:dyDescent="0.25"/>
    <row r="83" ht="15" customHeight="1" x14ac:dyDescent="0.25"/>
    <row r="84" ht="15" customHeight="1" x14ac:dyDescent="0.25"/>
    <row r="85" ht="15" customHeight="1" x14ac:dyDescent="0.25"/>
    <row r="86" ht="15" customHeight="1" x14ac:dyDescent="0.25"/>
    <row r="87" ht="15" customHeight="1" x14ac:dyDescent="0.25"/>
    <row r="88" ht="15" customHeight="1" x14ac:dyDescent="0.25"/>
    <row r="89" ht="15" customHeight="1" x14ac:dyDescent="0.25"/>
    <row r="90" ht="15" customHeight="1" x14ac:dyDescent="0.25"/>
    <row r="91" ht="15" customHeight="1" x14ac:dyDescent="0.25"/>
    <row r="93" ht="15" customHeight="1" x14ac:dyDescent="0.25"/>
    <row r="94" ht="15" customHeight="1" x14ac:dyDescent="0.25"/>
    <row r="95" ht="15" customHeight="1" x14ac:dyDescent="0.25"/>
    <row r="96" ht="15" customHeight="1" x14ac:dyDescent="0.25"/>
    <row r="97" spans="2:33" ht="15" customHeight="1" x14ac:dyDescent="0.25"/>
    <row r="98" spans="2:33" ht="15" customHeight="1" x14ac:dyDescent="0.25"/>
    <row r="99" spans="2:33" ht="15" customHeight="1" x14ac:dyDescent="0.25"/>
    <row r="100" spans="2:33" ht="15" customHeight="1" x14ac:dyDescent="0.25"/>
    <row r="103" spans="2:33" ht="15" customHeight="1" x14ac:dyDescent="0.25"/>
    <row r="104" spans="2:33" ht="15" customHeight="1" x14ac:dyDescent="0.25"/>
    <row r="105" spans="2:33" ht="15" customHeight="1" x14ac:dyDescent="0.25"/>
    <row r="106" spans="2:33" ht="15" customHeight="1" x14ac:dyDescent="0.25"/>
    <row r="107" spans="2:33" ht="15" customHeight="1" x14ac:dyDescent="0.25"/>
    <row r="108" spans="2:33" ht="15" customHeight="1" x14ac:dyDescent="0.25"/>
    <row r="109" spans="2:33" ht="15" customHeight="1" x14ac:dyDescent="0.25"/>
    <row r="110" spans="2:33" ht="15" customHeight="1" x14ac:dyDescent="0.25"/>
    <row r="111" spans="2:33" ht="15" customHeight="1" x14ac:dyDescent="0.25"/>
    <row r="112" spans="2:33" ht="15" customHeight="1" x14ac:dyDescent="0.25">
      <c r="B112" s="86"/>
      <c r="C112" s="86"/>
      <c r="D112" s="86"/>
      <c r="E112" s="86"/>
      <c r="F112" s="86"/>
      <c r="G112" s="86"/>
      <c r="H112" s="86"/>
      <c r="I112" s="86"/>
      <c r="J112" s="86"/>
      <c r="K112" s="86"/>
      <c r="L112" s="86"/>
      <c r="M112" s="86"/>
      <c r="N112" s="86"/>
      <c r="O112" s="86"/>
      <c r="P112" s="86"/>
      <c r="Q112" s="86"/>
      <c r="R112" s="86"/>
      <c r="S112" s="86"/>
      <c r="T112" s="86"/>
      <c r="U112" s="86"/>
      <c r="V112" s="86"/>
      <c r="W112" s="86"/>
      <c r="X112" s="86"/>
      <c r="Y112" s="86"/>
      <c r="Z112" s="86"/>
      <c r="AA112" s="86"/>
      <c r="AB112" s="86"/>
      <c r="AC112" s="86"/>
      <c r="AD112" s="86"/>
      <c r="AE112" s="86"/>
      <c r="AF112" s="86"/>
      <c r="AG112" s="86"/>
    </row>
    <row r="113" ht="15" customHeight="1" x14ac:dyDescent="0.25"/>
    <row r="114" ht="15" customHeight="1" x14ac:dyDescent="0.25"/>
    <row r="115" ht="15" customHeight="1" x14ac:dyDescent="0.25"/>
    <row r="116" ht="15" customHeight="1" x14ac:dyDescent="0.25"/>
    <row r="117" ht="15" customHeight="1" x14ac:dyDescent="0.25"/>
    <row r="118" ht="15" customHeight="1" x14ac:dyDescent="0.25"/>
    <row r="119" ht="15" customHeight="1" x14ac:dyDescent="0.25"/>
    <row r="120" ht="15" customHeight="1" x14ac:dyDescent="0.25"/>
    <row r="121" ht="15" customHeight="1" x14ac:dyDescent="0.25"/>
    <row r="122" ht="15" customHeight="1" x14ac:dyDescent="0.25"/>
    <row r="123" ht="15" customHeight="1" x14ac:dyDescent="0.25"/>
    <row r="124" ht="15" customHeight="1" x14ac:dyDescent="0.25"/>
    <row r="125" ht="15" customHeight="1" x14ac:dyDescent="0.25"/>
    <row r="126" ht="15" customHeight="1" x14ac:dyDescent="0.25"/>
    <row r="127" ht="15" customHeight="1" x14ac:dyDescent="0.25"/>
    <row r="128" ht="15" customHeight="1" x14ac:dyDescent="0.25"/>
    <row r="129" ht="15" customHeight="1" x14ac:dyDescent="0.25"/>
    <row r="130" ht="15" customHeight="1" x14ac:dyDescent="0.25"/>
    <row r="131" ht="15" customHeight="1" x14ac:dyDescent="0.25"/>
    <row r="132" ht="15" customHeight="1" x14ac:dyDescent="0.25"/>
    <row r="133" ht="15" customHeight="1" x14ac:dyDescent="0.25"/>
    <row r="134" ht="15" customHeight="1" x14ac:dyDescent="0.25"/>
    <row r="135" ht="15" customHeight="1" x14ac:dyDescent="0.25"/>
    <row r="136" ht="15" customHeight="1" x14ac:dyDescent="0.25"/>
    <row r="137" ht="15" customHeight="1" x14ac:dyDescent="0.25"/>
    <row r="138" ht="15" customHeight="1" x14ac:dyDescent="0.25"/>
    <row r="139" ht="15" customHeight="1" x14ac:dyDescent="0.25"/>
    <row r="140" ht="15" customHeight="1" x14ac:dyDescent="0.25"/>
    <row r="150" ht="15" customHeight="1" x14ac:dyDescent="0.25"/>
    <row r="151" ht="15" customHeight="1" x14ac:dyDescent="0.25"/>
    <row r="152" ht="15" customHeight="1" x14ac:dyDescent="0.25"/>
    <row r="153" ht="15" customHeight="1" x14ac:dyDescent="0.25"/>
    <row r="154" ht="15" customHeight="1" x14ac:dyDescent="0.25"/>
    <row r="155" ht="15" customHeight="1" x14ac:dyDescent="0.25"/>
    <row r="156" ht="15" customHeight="1" x14ac:dyDescent="0.25"/>
    <row r="157" ht="15" customHeight="1" x14ac:dyDescent="0.25"/>
    <row r="158" ht="15" customHeight="1" x14ac:dyDescent="0.25"/>
    <row r="159" ht="15" customHeight="1" x14ac:dyDescent="0.25"/>
    <row r="160" ht="15" customHeight="1" x14ac:dyDescent="0.25"/>
    <row r="161" ht="15" customHeight="1" x14ac:dyDescent="0.25"/>
    <row r="162" ht="15" customHeight="1" x14ac:dyDescent="0.25"/>
    <row r="163" ht="15" customHeight="1" x14ac:dyDescent="0.25"/>
    <row r="164" ht="15" customHeight="1" x14ac:dyDescent="0.25"/>
    <row r="166" ht="15" customHeight="1" x14ac:dyDescent="0.25"/>
    <row r="167" ht="15" customHeight="1" x14ac:dyDescent="0.25"/>
    <row r="168" ht="15" customHeight="1" x14ac:dyDescent="0.25"/>
    <row r="169" ht="15" customHeight="1" x14ac:dyDescent="0.25"/>
    <row r="170" ht="15" customHeight="1" x14ac:dyDescent="0.25"/>
    <row r="171" ht="15" customHeight="1" x14ac:dyDescent="0.25"/>
    <row r="172" ht="15" customHeight="1" x14ac:dyDescent="0.25"/>
    <row r="173" ht="15" customHeight="1" x14ac:dyDescent="0.25"/>
    <row r="174" ht="15" customHeight="1" x14ac:dyDescent="0.25"/>
    <row r="175" ht="15" customHeight="1" x14ac:dyDescent="0.25"/>
    <row r="176" ht="15" customHeight="1" x14ac:dyDescent="0.25"/>
    <row r="177" ht="15" customHeight="1" x14ac:dyDescent="0.25"/>
    <row r="178" ht="15" customHeight="1" x14ac:dyDescent="0.25"/>
    <row r="179" ht="15" customHeight="1" x14ac:dyDescent="0.25"/>
    <row r="181" ht="15" customHeight="1" x14ac:dyDescent="0.25"/>
    <row r="182" ht="15" customHeight="1" x14ac:dyDescent="0.25"/>
    <row r="183" ht="15" customHeight="1" x14ac:dyDescent="0.25"/>
    <row r="184" ht="15" customHeight="1" x14ac:dyDescent="0.25"/>
    <row r="185" ht="15" customHeight="1" x14ac:dyDescent="0.25"/>
    <row r="186" ht="15" customHeight="1" x14ac:dyDescent="0.25"/>
    <row r="187" ht="15" customHeight="1" x14ac:dyDescent="0.25"/>
    <row r="188" ht="15" customHeight="1" x14ac:dyDescent="0.25"/>
    <row r="189" ht="15" customHeight="1" x14ac:dyDescent="0.25"/>
    <row r="190" ht="15" customHeight="1" x14ac:dyDescent="0.25"/>
    <row r="191" ht="15" customHeight="1" x14ac:dyDescent="0.25"/>
    <row r="192" ht="15" customHeight="1" x14ac:dyDescent="0.25"/>
    <row r="193" ht="15" customHeight="1" x14ac:dyDescent="0.25"/>
    <row r="194" ht="15" customHeight="1" x14ac:dyDescent="0.25"/>
    <row r="195" ht="15" customHeight="1" x14ac:dyDescent="0.25"/>
    <row r="196" ht="15" customHeight="1" x14ac:dyDescent="0.25"/>
    <row r="197" ht="15" customHeight="1" x14ac:dyDescent="0.25"/>
    <row r="198" ht="15" customHeight="1" x14ac:dyDescent="0.25"/>
    <row r="199" ht="15" customHeight="1" x14ac:dyDescent="0.25"/>
    <row r="200" ht="15" customHeight="1" x14ac:dyDescent="0.25"/>
    <row r="201" ht="15" customHeight="1" x14ac:dyDescent="0.25"/>
    <row r="202" ht="15" customHeight="1" x14ac:dyDescent="0.25"/>
    <row r="203" ht="15" customHeight="1" x14ac:dyDescent="0.25"/>
    <row r="204" ht="15" customHeight="1" x14ac:dyDescent="0.25"/>
    <row r="207" ht="15" customHeight="1" x14ac:dyDescent="0.25"/>
    <row r="208" ht="15" customHeight="1" x14ac:dyDescent="0.25"/>
    <row r="209" ht="15" customHeight="1" x14ac:dyDescent="0.25"/>
    <row r="210" ht="15" customHeight="1" x14ac:dyDescent="0.25"/>
    <row r="211" ht="15" customHeight="1" x14ac:dyDescent="0.25"/>
    <row r="212" ht="15" customHeight="1" x14ac:dyDescent="0.25"/>
    <row r="213" ht="15" customHeight="1" x14ac:dyDescent="0.25"/>
    <row r="214" ht="15" customHeight="1" x14ac:dyDescent="0.25"/>
    <row r="215" ht="15" customHeight="1" x14ac:dyDescent="0.25"/>
    <row r="216" ht="15" customHeight="1" x14ac:dyDescent="0.25"/>
    <row r="217" ht="15" customHeight="1" x14ac:dyDescent="0.25"/>
    <row r="218" ht="15" customHeight="1" x14ac:dyDescent="0.25"/>
    <row r="219" ht="15" customHeight="1" x14ac:dyDescent="0.25"/>
    <row r="220" ht="15" customHeight="1" x14ac:dyDescent="0.25"/>
    <row r="221" ht="15" customHeight="1" x14ac:dyDescent="0.25"/>
    <row r="222" ht="15" customHeight="1" x14ac:dyDescent="0.25"/>
    <row r="224" ht="15" customHeight="1" x14ac:dyDescent="0.25"/>
    <row r="225" ht="15" customHeight="1" x14ac:dyDescent="0.25"/>
    <row r="227" ht="15" customHeight="1" x14ac:dyDescent="0.25"/>
    <row r="228" ht="15" customHeight="1" x14ac:dyDescent="0.25"/>
    <row r="229" ht="15" customHeight="1" x14ac:dyDescent="0.25"/>
    <row r="230" ht="15" customHeight="1" x14ac:dyDescent="0.25"/>
    <row r="231" ht="15" customHeight="1" x14ac:dyDescent="0.25"/>
    <row r="232" ht="15" customHeight="1" x14ac:dyDescent="0.25"/>
    <row r="233" ht="15" customHeight="1" x14ac:dyDescent="0.25"/>
    <row r="234" ht="15" customHeight="1" x14ac:dyDescent="0.25"/>
    <row r="235" ht="15" customHeight="1" x14ac:dyDescent="0.25"/>
    <row r="236" ht="15" customHeight="1" x14ac:dyDescent="0.25"/>
    <row r="237" ht="15" customHeight="1" x14ac:dyDescent="0.25"/>
    <row r="238" ht="15" customHeight="1" x14ac:dyDescent="0.25"/>
    <row r="239" ht="15" customHeight="1" x14ac:dyDescent="0.25"/>
    <row r="240" ht="15" customHeight="1" x14ac:dyDescent="0.25"/>
    <row r="241" ht="15" customHeight="1" x14ac:dyDescent="0.25"/>
    <row r="242" ht="15" customHeight="1" x14ac:dyDescent="0.25"/>
    <row r="243" ht="15" customHeight="1" x14ac:dyDescent="0.25"/>
    <row r="244" ht="15" customHeight="1" x14ac:dyDescent="0.25"/>
    <row r="245" ht="15" customHeight="1" x14ac:dyDescent="0.25"/>
    <row r="246" ht="15" customHeight="1" x14ac:dyDescent="0.25"/>
    <row r="247" ht="15" customHeight="1" x14ac:dyDescent="0.25"/>
    <row r="248" ht="15" customHeight="1" x14ac:dyDescent="0.25"/>
    <row r="249" ht="15" customHeight="1" x14ac:dyDescent="0.25"/>
    <row r="250" ht="15" customHeight="1" x14ac:dyDescent="0.25"/>
    <row r="251" ht="15" customHeight="1" x14ac:dyDescent="0.25"/>
    <row r="252" ht="15" customHeight="1" x14ac:dyDescent="0.25"/>
    <row r="253" ht="15" customHeight="1" x14ac:dyDescent="0.25"/>
    <row r="254" ht="15" customHeight="1" x14ac:dyDescent="0.25"/>
    <row r="255" ht="15" customHeight="1" x14ac:dyDescent="0.25"/>
    <row r="258" ht="15" customHeight="1" x14ac:dyDescent="0.25"/>
    <row r="259" ht="15" customHeight="1" x14ac:dyDescent="0.25"/>
    <row r="260" ht="15" customHeight="1" x14ac:dyDescent="0.25"/>
    <row r="261" ht="15" customHeight="1" x14ac:dyDescent="0.25"/>
    <row r="262" ht="15" customHeight="1" x14ac:dyDescent="0.25"/>
    <row r="263" ht="15" customHeight="1" x14ac:dyDescent="0.25"/>
    <row r="264" ht="15" customHeight="1" x14ac:dyDescent="0.25"/>
    <row r="265" ht="15" customHeight="1" x14ac:dyDescent="0.25"/>
    <row r="266" ht="15" customHeight="1" x14ac:dyDescent="0.25"/>
    <row r="267" ht="15" customHeight="1" x14ac:dyDescent="0.25"/>
    <row r="268" ht="15" customHeight="1" x14ac:dyDescent="0.25"/>
    <row r="270" ht="15" customHeight="1" x14ac:dyDescent="0.25"/>
    <row r="271" ht="15" customHeight="1" x14ac:dyDescent="0.25"/>
    <row r="272" ht="15" customHeight="1" x14ac:dyDescent="0.25"/>
    <row r="273" ht="15" customHeight="1" x14ac:dyDescent="0.25"/>
    <row r="274" ht="15" customHeight="1" x14ac:dyDescent="0.25"/>
    <row r="275" ht="15" customHeight="1" x14ac:dyDescent="0.25"/>
    <row r="276" ht="15" customHeight="1" x14ac:dyDescent="0.25"/>
    <row r="277" ht="15" customHeight="1" x14ac:dyDescent="0.25"/>
    <row r="278" ht="15" customHeight="1" x14ac:dyDescent="0.25"/>
    <row r="279" ht="15" customHeight="1" x14ac:dyDescent="0.25"/>
    <row r="280" ht="15" customHeight="1" x14ac:dyDescent="0.25"/>
    <row r="281" ht="15" customHeight="1" x14ac:dyDescent="0.25"/>
    <row r="282" ht="15" customHeight="1" x14ac:dyDescent="0.25"/>
    <row r="283" ht="15" customHeight="1" x14ac:dyDescent="0.25"/>
    <row r="284" ht="15" customHeight="1" x14ac:dyDescent="0.25"/>
    <row r="285" ht="15" customHeight="1" x14ac:dyDescent="0.25"/>
    <row r="286" ht="15" customHeight="1" x14ac:dyDescent="0.25"/>
    <row r="287" ht="15" customHeight="1" x14ac:dyDescent="0.25"/>
    <row r="288" ht="15" customHeight="1" x14ac:dyDescent="0.25"/>
    <row r="289" ht="15" customHeight="1" x14ac:dyDescent="0.25"/>
    <row r="290" ht="15" customHeight="1" x14ac:dyDescent="0.25"/>
    <row r="291" ht="15" customHeight="1" x14ac:dyDescent="0.25"/>
    <row r="292" ht="15" customHeight="1" x14ac:dyDescent="0.25"/>
    <row r="293" ht="15" customHeight="1" x14ac:dyDescent="0.25"/>
    <row r="294" ht="15" customHeight="1" x14ac:dyDescent="0.25"/>
    <row r="295" ht="15" customHeight="1" x14ac:dyDescent="0.25"/>
    <row r="296" ht="15" customHeight="1" x14ac:dyDescent="0.25"/>
    <row r="297" ht="15" customHeight="1" x14ac:dyDescent="0.25"/>
    <row r="298" ht="15" customHeight="1" x14ac:dyDescent="0.25"/>
    <row r="300" ht="15" customHeight="1" x14ac:dyDescent="0.25"/>
    <row r="301" ht="15" customHeight="1" x14ac:dyDescent="0.25"/>
    <row r="302" ht="15" customHeight="1" x14ac:dyDescent="0.25"/>
    <row r="303" ht="15" customHeight="1" x14ac:dyDescent="0.25"/>
    <row r="304" ht="15" customHeight="1" x14ac:dyDescent="0.25"/>
    <row r="305" spans="2:33" ht="15" customHeight="1" x14ac:dyDescent="0.25"/>
    <row r="306" spans="2:33" ht="15" customHeight="1" x14ac:dyDescent="0.25"/>
    <row r="307" spans="2:33" ht="15" customHeight="1" x14ac:dyDescent="0.25"/>
    <row r="308" spans="2:33" ht="15" customHeight="1" x14ac:dyDescent="0.25">
      <c r="B308" s="86"/>
      <c r="C308" s="86"/>
      <c r="D308" s="86"/>
      <c r="E308" s="86"/>
      <c r="F308" s="86"/>
      <c r="G308" s="86"/>
      <c r="H308" s="86"/>
      <c r="I308" s="86"/>
      <c r="J308" s="86"/>
      <c r="K308" s="86"/>
      <c r="L308" s="86"/>
      <c r="M308" s="86"/>
      <c r="N308" s="86"/>
      <c r="O308" s="86"/>
      <c r="P308" s="86"/>
      <c r="Q308" s="86"/>
      <c r="R308" s="86"/>
      <c r="S308" s="86"/>
      <c r="T308" s="86"/>
      <c r="U308" s="86"/>
      <c r="V308" s="86"/>
      <c r="W308" s="86"/>
      <c r="X308" s="86"/>
      <c r="Y308" s="86"/>
      <c r="Z308" s="86"/>
      <c r="AA308" s="86"/>
      <c r="AB308" s="86"/>
      <c r="AC308" s="86"/>
      <c r="AD308" s="86"/>
      <c r="AE308" s="86"/>
      <c r="AF308" s="86"/>
      <c r="AG308" s="86"/>
    </row>
    <row r="309" spans="2:33" ht="15" customHeight="1" x14ac:dyDescent="0.25"/>
    <row r="310" spans="2:33" ht="15" customHeight="1" x14ac:dyDescent="0.25"/>
    <row r="311" spans="2:33" ht="15" customHeight="1" x14ac:dyDescent="0.25"/>
    <row r="312" spans="2:33" ht="15" customHeight="1" x14ac:dyDescent="0.25"/>
    <row r="313" spans="2:33" ht="15" customHeight="1" x14ac:dyDescent="0.25"/>
    <row r="314" spans="2:33" ht="15" customHeight="1" x14ac:dyDescent="0.25"/>
    <row r="315" spans="2:33" ht="15" customHeight="1" x14ac:dyDescent="0.25"/>
    <row r="316" spans="2:33" ht="15" customHeight="1" x14ac:dyDescent="0.25"/>
    <row r="317" spans="2:33" ht="15" customHeight="1" x14ac:dyDescent="0.25"/>
    <row r="318" spans="2:33" ht="15" customHeight="1" x14ac:dyDescent="0.25"/>
    <row r="319" spans="2:33" ht="15" customHeight="1" x14ac:dyDescent="0.25"/>
    <row r="320" spans="2:33" ht="15" customHeight="1" x14ac:dyDescent="0.25"/>
    <row r="321" ht="15" customHeight="1" x14ac:dyDescent="0.25"/>
    <row r="322" ht="15" customHeight="1" x14ac:dyDescent="0.25"/>
    <row r="323" ht="15" customHeight="1" x14ac:dyDescent="0.25"/>
    <row r="324" ht="15" customHeight="1" x14ac:dyDescent="0.25"/>
    <row r="325" ht="15" customHeight="1" x14ac:dyDescent="0.25"/>
    <row r="326" ht="15" customHeight="1" x14ac:dyDescent="0.25"/>
    <row r="327" ht="15" customHeight="1" x14ac:dyDescent="0.25"/>
    <row r="328" ht="15" customHeight="1" x14ac:dyDescent="0.25"/>
    <row r="329" ht="15" customHeight="1" x14ac:dyDescent="0.25"/>
    <row r="330" ht="15" customHeight="1" x14ac:dyDescent="0.25"/>
    <row r="331" ht="15" customHeight="1" x14ac:dyDescent="0.25"/>
    <row r="332" ht="15" customHeight="1" x14ac:dyDescent="0.25"/>
    <row r="333" ht="15" customHeight="1" x14ac:dyDescent="0.25"/>
    <row r="334" ht="15" customHeight="1" x14ac:dyDescent="0.25"/>
    <row r="335" ht="15" customHeight="1" x14ac:dyDescent="0.25"/>
    <row r="336" ht="15" customHeight="1" x14ac:dyDescent="0.25"/>
    <row r="337" ht="15" customHeight="1" x14ac:dyDescent="0.25"/>
    <row r="338" ht="15" customHeight="1" x14ac:dyDescent="0.25"/>
    <row r="339" ht="15" customHeight="1" x14ac:dyDescent="0.25"/>
    <row r="340" ht="15" customHeight="1" x14ac:dyDescent="0.25"/>
    <row r="341" ht="15" customHeight="1" x14ac:dyDescent="0.25"/>
    <row r="342" ht="15" customHeight="1" x14ac:dyDescent="0.25"/>
    <row r="343" ht="15" customHeight="1" x14ac:dyDescent="0.25"/>
    <row r="344" ht="15" customHeight="1" x14ac:dyDescent="0.25"/>
    <row r="345" ht="15" customHeight="1" x14ac:dyDescent="0.25"/>
    <row r="375" ht="15" customHeight="1" x14ac:dyDescent="0.25"/>
    <row r="376" ht="15" customHeight="1" x14ac:dyDescent="0.25"/>
    <row r="377" ht="15" customHeight="1" x14ac:dyDescent="0.25"/>
    <row r="378" ht="15" customHeight="1" x14ac:dyDescent="0.25"/>
    <row r="379" ht="15" customHeight="1" x14ac:dyDescent="0.25"/>
    <row r="380" ht="15" customHeight="1" x14ac:dyDescent="0.25"/>
    <row r="381" ht="15" customHeight="1" x14ac:dyDescent="0.25"/>
    <row r="382" ht="15" customHeight="1" x14ac:dyDescent="0.25"/>
    <row r="383" ht="15" customHeight="1" x14ac:dyDescent="0.25"/>
    <row r="384" ht="15" customHeight="1" x14ac:dyDescent="0.25"/>
    <row r="386" ht="15" customHeight="1" x14ac:dyDescent="0.25"/>
    <row r="387" ht="15" customHeight="1" x14ac:dyDescent="0.25"/>
    <row r="388" ht="15" customHeight="1" x14ac:dyDescent="0.25"/>
    <row r="389" ht="15" customHeight="1" x14ac:dyDescent="0.25"/>
    <row r="390" ht="15" customHeight="1" x14ac:dyDescent="0.25"/>
    <row r="391" ht="15" customHeight="1" x14ac:dyDescent="0.25"/>
    <row r="393" ht="15" customHeight="1" x14ac:dyDescent="0.25"/>
    <row r="394" ht="15" customHeight="1" x14ac:dyDescent="0.25"/>
    <row r="395" ht="15" customHeight="1" x14ac:dyDescent="0.25"/>
    <row r="396" ht="15" customHeight="1" x14ac:dyDescent="0.25"/>
    <row r="397" ht="15" customHeight="1" x14ac:dyDescent="0.25"/>
    <row r="398" ht="15" customHeight="1" x14ac:dyDescent="0.25"/>
    <row r="399" ht="15" customHeight="1" x14ac:dyDescent="0.25"/>
    <row r="400" ht="15" customHeight="1" x14ac:dyDescent="0.25"/>
    <row r="401" ht="15" customHeight="1" x14ac:dyDescent="0.25"/>
    <row r="403" ht="15" customHeight="1" x14ac:dyDescent="0.25"/>
    <row r="404" ht="15" customHeight="1" x14ac:dyDescent="0.25"/>
    <row r="405" ht="15" customHeight="1" x14ac:dyDescent="0.25"/>
    <row r="406" ht="15" customHeight="1" x14ac:dyDescent="0.25"/>
    <row r="407" ht="15" customHeight="1" x14ac:dyDescent="0.25"/>
    <row r="408" ht="15" customHeight="1" x14ac:dyDescent="0.25"/>
    <row r="409" ht="15" customHeight="1" x14ac:dyDescent="0.25"/>
    <row r="410" ht="15" customHeight="1" x14ac:dyDescent="0.25"/>
    <row r="411" ht="15" customHeight="1" x14ac:dyDescent="0.25"/>
    <row r="413" ht="15" customHeight="1" x14ac:dyDescent="0.25"/>
    <row r="414" ht="15" customHeight="1" x14ac:dyDescent="0.25"/>
    <row r="415" ht="15" customHeight="1" x14ac:dyDescent="0.25"/>
    <row r="416" ht="15" customHeight="1" x14ac:dyDescent="0.25"/>
    <row r="417" ht="15" customHeight="1" x14ac:dyDescent="0.25"/>
    <row r="418" ht="15" customHeight="1" x14ac:dyDescent="0.25"/>
    <row r="421" ht="15" customHeight="1" x14ac:dyDescent="0.25"/>
    <row r="422" ht="15" customHeight="1" x14ac:dyDescent="0.25"/>
    <row r="423" ht="15" customHeight="1" x14ac:dyDescent="0.25"/>
    <row r="424" ht="15" customHeight="1" x14ac:dyDescent="0.25"/>
    <row r="425" ht="15" customHeight="1" x14ac:dyDescent="0.25"/>
    <row r="426" ht="15" customHeight="1" x14ac:dyDescent="0.25"/>
    <row r="427" ht="15" customHeight="1" x14ac:dyDescent="0.25"/>
    <row r="428" ht="15" customHeight="1" x14ac:dyDescent="0.25"/>
    <row r="429" ht="15" customHeight="1" x14ac:dyDescent="0.25"/>
    <row r="430" ht="15" customHeight="1" x14ac:dyDescent="0.25"/>
    <row r="431" ht="15" customHeight="1" x14ac:dyDescent="0.25"/>
    <row r="432" ht="15" customHeight="1" x14ac:dyDescent="0.25"/>
    <row r="434" ht="15" customHeight="1" x14ac:dyDescent="0.25"/>
    <row r="435" ht="15" customHeight="1" x14ac:dyDescent="0.25"/>
    <row r="436" ht="15" customHeight="1" x14ac:dyDescent="0.25"/>
    <row r="437" ht="15" customHeight="1" x14ac:dyDescent="0.25"/>
    <row r="438" ht="15" customHeight="1" x14ac:dyDescent="0.25"/>
    <row r="439" ht="15" customHeight="1" x14ac:dyDescent="0.25"/>
    <row r="440" ht="15" customHeight="1" x14ac:dyDescent="0.25"/>
    <row r="441" ht="15" customHeight="1" x14ac:dyDescent="0.25"/>
    <row r="442" ht="15" customHeight="1" x14ac:dyDescent="0.25"/>
    <row r="445" ht="15" customHeight="1" x14ac:dyDescent="0.25"/>
    <row r="446" ht="15" customHeight="1" x14ac:dyDescent="0.25"/>
    <row r="447" ht="15" customHeight="1" x14ac:dyDescent="0.25"/>
    <row r="448" ht="15" customHeight="1" x14ac:dyDescent="0.25"/>
    <row r="449" ht="15" customHeight="1" x14ac:dyDescent="0.25"/>
    <row r="450" ht="15" customHeight="1" x14ac:dyDescent="0.25"/>
    <row r="452" ht="15" customHeight="1" x14ac:dyDescent="0.25"/>
    <row r="453" ht="15" customHeight="1" x14ac:dyDescent="0.25"/>
    <row r="454" ht="15" customHeight="1" x14ac:dyDescent="0.25"/>
    <row r="455" ht="15" customHeight="1" x14ac:dyDescent="0.25"/>
    <row r="456" ht="15" customHeight="1" x14ac:dyDescent="0.25"/>
    <row r="457" ht="15" customHeight="1" x14ac:dyDescent="0.25"/>
    <row r="459" ht="15" customHeight="1" x14ac:dyDescent="0.25"/>
    <row r="460" ht="15" customHeight="1" x14ac:dyDescent="0.25"/>
    <row r="461" ht="15" customHeight="1" x14ac:dyDescent="0.25"/>
    <row r="462" ht="15" customHeight="1" x14ac:dyDescent="0.25"/>
    <row r="463" ht="15" customHeight="1" x14ac:dyDescent="0.25"/>
    <row r="464" ht="15" customHeight="1" x14ac:dyDescent="0.25"/>
    <row r="465" ht="15" customHeight="1" x14ac:dyDescent="0.25"/>
    <row r="466" ht="15" customHeight="1" x14ac:dyDescent="0.25"/>
    <row r="467" ht="15" customHeight="1" x14ac:dyDescent="0.25"/>
    <row r="470" ht="15" customHeight="1" x14ac:dyDescent="0.25"/>
    <row r="471" ht="15" customHeight="1" x14ac:dyDescent="0.25"/>
    <row r="472" ht="15" customHeight="1" x14ac:dyDescent="0.25"/>
    <row r="473" ht="15" customHeight="1" x14ac:dyDescent="0.25"/>
    <row r="474" ht="15" customHeight="1" x14ac:dyDescent="0.25"/>
    <row r="475" ht="15" customHeight="1" x14ac:dyDescent="0.25"/>
    <row r="476" ht="15" customHeight="1" x14ac:dyDescent="0.25"/>
    <row r="477" ht="15" customHeight="1" x14ac:dyDescent="0.25"/>
    <row r="478" ht="15" customHeight="1" x14ac:dyDescent="0.25"/>
    <row r="480" ht="15" customHeight="1" x14ac:dyDescent="0.25"/>
    <row r="481" ht="15" customHeight="1" x14ac:dyDescent="0.25"/>
    <row r="482" ht="15" customHeight="1" x14ac:dyDescent="0.25"/>
    <row r="483" ht="15" customHeight="1" x14ac:dyDescent="0.25"/>
    <row r="484" ht="15" customHeight="1" x14ac:dyDescent="0.25"/>
    <row r="485" ht="15" customHeight="1" x14ac:dyDescent="0.25"/>
    <row r="487" ht="15" customHeight="1" x14ac:dyDescent="0.25"/>
    <row r="488" ht="15" customHeight="1" x14ac:dyDescent="0.25"/>
    <row r="489" ht="15" customHeight="1" x14ac:dyDescent="0.25"/>
    <row r="490" ht="15" customHeight="1" x14ac:dyDescent="0.25"/>
    <row r="491" ht="15" customHeight="1" x14ac:dyDescent="0.25"/>
    <row r="492" ht="15" customHeight="1" x14ac:dyDescent="0.25"/>
    <row r="493" ht="15" customHeight="1" x14ac:dyDescent="0.25"/>
    <row r="494" ht="15" customHeight="1" x14ac:dyDescent="0.25"/>
    <row r="495" ht="15" customHeight="1" x14ac:dyDescent="0.25"/>
    <row r="496" ht="15" customHeight="1" x14ac:dyDescent="0.25"/>
    <row r="497" spans="2:33" ht="15" customHeight="1" x14ac:dyDescent="0.25"/>
    <row r="498" spans="2:33" ht="15" customHeight="1" x14ac:dyDescent="0.25"/>
    <row r="500" spans="2:33" ht="15" customHeight="1" x14ac:dyDescent="0.25"/>
    <row r="501" spans="2:33" ht="15" customHeight="1" x14ac:dyDescent="0.25"/>
    <row r="502" spans="2:33" ht="15" customHeight="1" x14ac:dyDescent="0.25"/>
    <row r="503" spans="2:33" ht="15" customHeight="1" x14ac:dyDescent="0.25"/>
    <row r="504" spans="2:33" ht="15" customHeight="1" x14ac:dyDescent="0.25"/>
    <row r="505" spans="2:33" ht="15" customHeight="1" x14ac:dyDescent="0.25"/>
    <row r="506" spans="2:33" ht="15" customHeight="1" x14ac:dyDescent="0.25"/>
    <row r="507" spans="2:33" ht="15" customHeight="1" x14ac:dyDescent="0.25"/>
    <row r="508" spans="2:33" ht="15" customHeight="1" x14ac:dyDescent="0.25"/>
    <row r="510" spans="2:33" ht="15" customHeight="1" x14ac:dyDescent="0.25"/>
    <row r="511" spans="2:33" ht="15" customHeight="1" x14ac:dyDescent="0.25">
      <c r="B511" s="86"/>
      <c r="C511" s="86"/>
      <c r="D511" s="86"/>
      <c r="E511" s="86"/>
      <c r="F511" s="86"/>
      <c r="G511" s="86"/>
      <c r="H511" s="86"/>
      <c r="I511" s="86"/>
      <c r="J511" s="86"/>
      <c r="K511" s="86"/>
      <c r="L511" s="86"/>
      <c r="M511" s="86"/>
      <c r="N511" s="86"/>
      <c r="O511" s="86"/>
      <c r="P511" s="86"/>
      <c r="Q511" s="86"/>
      <c r="R511" s="86"/>
      <c r="S511" s="86"/>
      <c r="T511" s="86"/>
      <c r="U511" s="86"/>
      <c r="V511" s="86"/>
      <c r="W511" s="86"/>
      <c r="X511" s="86"/>
      <c r="Y511" s="86"/>
      <c r="Z511" s="86"/>
      <c r="AA511" s="86"/>
      <c r="AB511" s="86"/>
      <c r="AC511" s="86"/>
      <c r="AD511" s="86"/>
      <c r="AE511" s="86"/>
      <c r="AF511" s="86"/>
      <c r="AG511" s="86"/>
    </row>
    <row r="512" spans="2:33" ht="15" customHeight="1" x14ac:dyDescent="0.25"/>
    <row r="513" ht="15" customHeight="1" x14ac:dyDescent="0.25"/>
    <row r="514" ht="15" customHeight="1" x14ac:dyDescent="0.25"/>
    <row r="515" ht="15" customHeight="1" x14ac:dyDescent="0.25"/>
    <row r="516" ht="15" customHeight="1" x14ac:dyDescent="0.25"/>
    <row r="517" ht="15" customHeight="1" x14ac:dyDescent="0.25"/>
    <row r="518" ht="15" customHeight="1" x14ac:dyDescent="0.25"/>
    <row r="519" ht="15" customHeight="1" x14ac:dyDescent="0.25"/>
    <row r="520" ht="15" customHeight="1" x14ac:dyDescent="0.25"/>
    <row r="521" ht="15" customHeight="1" x14ac:dyDescent="0.25"/>
    <row r="522" ht="15" customHeight="1" x14ac:dyDescent="0.25"/>
    <row r="523" ht="15" customHeight="1" x14ac:dyDescent="0.25"/>
    <row r="524" ht="15" customHeight="1" x14ac:dyDescent="0.25"/>
    <row r="525" ht="15" customHeight="1" x14ac:dyDescent="0.25"/>
    <row r="575" ht="15" customHeight="1" x14ac:dyDescent="0.25"/>
    <row r="576" ht="15" customHeight="1" x14ac:dyDescent="0.25"/>
    <row r="577" ht="15" customHeight="1" x14ac:dyDescent="0.25"/>
    <row r="578" ht="15" customHeight="1" x14ac:dyDescent="0.25"/>
    <row r="579" ht="15" customHeight="1" x14ac:dyDescent="0.25"/>
    <row r="580" ht="15" customHeight="1" x14ac:dyDescent="0.25"/>
    <row r="581" ht="15" customHeight="1" x14ac:dyDescent="0.25"/>
    <row r="582" ht="15" customHeight="1" x14ac:dyDescent="0.25"/>
    <row r="583" ht="15" customHeight="1" x14ac:dyDescent="0.25"/>
    <row r="584" ht="15" customHeight="1" x14ac:dyDescent="0.25"/>
    <row r="585" ht="15" customHeight="1" x14ac:dyDescent="0.25"/>
    <row r="587" ht="15" customHeight="1" x14ac:dyDescent="0.25"/>
    <row r="589" ht="15" customHeight="1" x14ac:dyDescent="0.25"/>
    <row r="590" ht="15" customHeight="1" x14ac:dyDescent="0.25"/>
    <row r="591" ht="15" customHeight="1" x14ac:dyDescent="0.25"/>
    <row r="592" ht="15" customHeight="1" x14ac:dyDescent="0.25"/>
    <row r="593" ht="15" customHeight="1" x14ac:dyDescent="0.25"/>
    <row r="594" ht="15" customHeight="1" x14ac:dyDescent="0.25"/>
    <row r="595" ht="15" customHeight="1" x14ac:dyDescent="0.25"/>
    <row r="597" ht="15" customHeight="1" x14ac:dyDescent="0.25"/>
    <row r="598" ht="15" customHeight="1" x14ac:dyDescent="0.25"/>
    <row r="599" ht="15" customHeight="1" x14ac:dyDescent="0.25"/>
    <row r="600" ht="15" customHeight="1" x14ac:dyDescent="0.25"/>
    <row r="601" ht="15" customHeight="1" x14ac:dyDescent="0.25"/>
    <row r="602" ht="15" customHeight="1" x14ac:dyDescent="0.25"/>
    <row r="603" ht="15" customHeight="1" x14ac:dyDescent="0.25"/>
    <row r="604" ht="15" customHeight="1" x14ac:dyDescent="0.25"/>
    <row r="605" ht="15" customHeight="1" x14ac:dyDescent="0.25"/>
    <row r="606" ht="15" customHeight="1" x14ac:dyDescent="0.25"/>
    <row r="607" ht="15" customHeight="1" x14ac:dyDescent="0.25"/>
    <row r="608" ht="15" customHeight="1" x14ac:dyDescent="0.25"/>
    <row r="609" ht="15" customHeight="1" x14ac:dyDescent="0.25"/>
    <row r="610" ht="15" customHeight="1" x14ac:dyDescent="0.25"/>
    <row r="611" ht="15" customHeight="1" x14ac:dyDescent="0.25"/>
    <row r="612" ht="15" customHeight="1" x14ac:dyDescent="0.25"/>
    <row r="613" ht="15" customHeight="1" x14ac:dyDescent="0.25"/>
    <row r="614" ht="15" customHeight="1" x14ac:dyDescent="0.25"/>
    <row r="615" ht="15" customHeight="1" x14ac:dyDescent="0.25"/>
    <row r="617" ht="15" customHeight="1" x14ac:dyDescent="0.25"/>
    <row r="618" ht="15" customHeight="1" x14ac:dyDescent="0.25"/>
    <row r="619" ht="15" customHeight="1" x14ac:dyDescent="0.25"/>
    <row r="620" ht="15" customHeight="1" x14ac:dyDescent="0.25"/>
    <row r="621" ht="15" customHeight="1" x14ac:dyDescent="0.25"/>
    <row r="622" ht="15" customHeight="1" x14ac:dyDescent="0.25"/>
    <row r="623" ht="15" customHeight="1" x14ac:dyDescent="0.25"/>
    <row r="624" ht="15" customHeight="1" x14ac:dyDescent="0.25"/>
    <row r="626" ht="15" customHeight="1" x14ac:dyDescent="0.25"/>
    <row r="627" ht="15" customHeight="1" x14ac:dyDescent="0.25"/>
    <row r="628" ht="15" customHeight="1" x14ac:dyDescent="0.25"/>
    <row r="629" ht="15" customHeight="1" x14ac:dyDescent="0.25"/>
    <row r="630" ht="15" customHeight="1" x14ac:dyDescent="0.25"/>
    <row r="632" ht="15" customHeight="1" x14ac:dyDescent="0.25"/>
    <row r="633" ht="15" customHeight="1" x14ac:dyDescent="0.25"/>
    <row r="634" ht="15" customHeight="1" x14ac:dyDescent="0.25"/>
    <row r="635" ht="15" customHeight="1" x14ac:dyDescent="0.25"/>
    <row r="636" ht="15" customHeight="1" x14ac:dyDescent="0.25"/>
    <row r="637" ht="15" customHeight="1" x14ac:dyDescent="0.25"/>
    <row r="639" ht="15" customHeight="1" x14ac:dyDescent="0.25"/>
    <row r="641" ht="15" customHeight="1" x14ac:dyDescent="0.25"/>
    <row r="642" ht="15" customHeight="1" x14ac:dyDescent="0.25"/>
    <row r="643" ht="15" customHeight="1" x14ac:dyDescent="0.25"/>
    <row r="644" ht="15" customHeight="1" x14ac:dyDescent="0.25"/>
    <row r="645" ht="15" customHeight="1" x14ac:dyDescent="0.25"/>
    <row r="646" ht="15" customHeight="1" x14ac:dyDescent="0.25"/>
    <row r="647" ht="15" customHeight="1" x14ac:dyDescent="0.25"/>
    <row r="648" ht="15" customHeight="1" x14ac:dyDescent="0.25"/>
    <row r="649" ht="15" customHeight="1" x14ac:dyDescent="0.25"/>
    <row r="650" ht="15" customHeight="1" x14ac:dyDescent="0.25"/>
    <row r="651" ht="15" customHeight="1" x14ac:dyDescent="0.25"/>
    <row r="652" ht="15" customHeight="1" x14ac:dyDescent="0.25"/>
    <row r="653" ht="15" customHeight="1" x14ac:dyDescent="0.25"/>
    <row r="654" ht="15" customHeight="1" x14ac:dyDescent="0.25"/>
    <row r="655" ht="15" customHeight="1" x14ac:dyDescent="0.25"/>
    <row r="656" ht="15" customHeight="1" x14ac:dyDescent="0.25"/>
    <row r="657" ht="15" customHeight="1" x14ac:dyDescent="0.25"/>
    <row r="658" ht="15" customHeight="1" x14ac:dyDescent="0.25"/>
    <row r="660" ht="15" customHeight="1" x14ac:dyDescent="0.25"/>
    <row r="662" ht="15" customHeight="1" x14ac:dyDescent="0.25"/>
    <row r="663" ht="15" customHeight="1" x14ac:dyDescent="0.25"/>
    <row r="664" ht="15" customHeight="1" x14ac:dyDescent="0.25"/>
    <row r="665" ht="15" customHeight="1" x14ac:dyDescent="0.25"/>
    <row r="666" ht="15" customHeight="1" x14ac:dyDescent="0.25"/>
    <row r="667" ht="15" customHeight="1" x14ac:dyDescent="0.25"/>
    <row r="668" ht="15" customHeight="1" x14ac:dyDescent="0.25"/>
    <row r="669" ht="15" customHeight="1" x14ac:dyDescent="0.25"/>
    <row r="670" ht="15" customHeight="1" x14ac:dyDescent="0.25"/>
    <row r="671" ht="15" customHeight="1" x14ac:dyDescent="0.25"/>
    <row r="672" ht="15" customHeight="1" x14ac:dyDescent="0.25"/>
    <row r="673" ht="15" customHeight="1" x14ac:dyDescent="0.25"/>
    <row r="674" ht="15" customHeight="1" x14ac:dyDescent="0.25"/>
    <row r="675" ht="15" customHeight="1" x14ac:dyDescent="0.25"/>
    <row r="676" ht="15" customHeight="1" x14ac:dyDescent="0.25"/>
    <row r="677" ht="15" customHeight="1" x14ac:dyDescent="0.25"/>
    <row r="678" ht="15" customHeight="1" x14ac:dyDescent="0.25"/>
    <row r="679" ht="15" customHeight="1" x14ac:dyDescent="0.25"/>
    <row r="681" ht="15" customHeight="1" x14ac:dyDescent="0.25"/>
    <row r="682" ht="15" customHeight="1" x14ac:dyDescent="0.25"/>
    <row r="683" ht="15" customHeight="1" x14ac:dyDescent="0.25"/>
    <row r="684" ht="15" customHeight="1" x14ac:dyDescent="0.25"/>
    <row r="685" ht="15" customHeight="1" x14ac:dyDescent="0.25"/>
    <row r="686" ht="15" customHeight="1" x14ac:dyDescent="0.25"/>
    <row r="688" ht="15" customHeight="1" x14ac:dyDescent="0.25"/>
    <row r="689" ht="15" customHeight="1" x14ac:dyDescent="0.25"/>
    <row r="690" ht="15" customHeight="1" x14ac:dyDescent="0.25"/>
    <row r="691" ht="15" customHeight="1" x14ac:dyDescent="0.25"/>
    <row r="692" ht="15" customHeight="1" x14ac:dyDescent="0.25"/>
    <row r="693" ht="15" customHeight="1" x14ac:dyDescent="0.25"/>
    <row r="694" ht="15" customHeight="1" x14ac:dyDescent="0.25"/>
    <row r="695" ht="15" customHeight="1" x14ac:dyDescent="0.25"/>
    <row r="696" ht="15" customHeight="1" x14ac:dyDescent="0.25"/>
    <row r="697" ht="15" customHeight="1" x14ac:dyDescent="0.25"/>
    <row r="698" ht="15" customHeight="1" x14ac:dyDescent="0.25"/>
    <row r="700" ht="15" customHeight="1" x14ac:dyDescent="0.25"/>
    <row r="701" ht="15" customHeight="1" x14ac:dyDescent="0.25"/>
    <row r="702" ht="15" customHeight="1" x14ac:dyDescent="0.25"/>
    <row r="703" ht="15" customHeight="1" x14ac:dyDescent="0.25"/>
    <row r="704" ht="15" customHeight="1" x14ac:dyDescent="0.25"/>
    <row r="705" spans="2:33" ht="15" customHeight="1" x14ac:dyDescent="0.25"/>
    <row r="706" spans="2:33" ht="15" customHeight="1" x14ac:dyDescent="0.25"/>
    <row r="707" spans="2:33" ht="15" customHeight="1" x14ac:dyDescent="0.25"/>
    <row r="708" spans="2:33" ht="15" customHeight="1" x14ac:dyDescent="0.25"/>
    <row r="709" spans="2:33" ht="15" customHeight="1" x14ac:dyDescent="0.25"/>
    <row r="710" spans="2:33" ht="15" customHeight="1" x14ac:dyDescent="0.25"/>
    <row r="711" spans="2:33" ht="15" customHeight="1" x14ac:dyDescent="0.25"/>
    <row r="712" spans="2:33" ht="15" customHeight="1" x14ac:dyDescent="0.25">
      <c r="B712" s="86"/>
      <c r="C712" s="86"/>
      <c r="D712" s="86"/>
      <c r="E712" s="86"/>
      <c r="F712" s="86"/>
      <c r="G712" s="86"/>
      <c r="H712" s="86"/>
      <c r="I712" s="86"/>
      <c r="J712" s="86"/>
      <c r="K712" s="86"/>
      <c r="L712" s="86"/>
      <c r="M712" s="86"/>
      <c r="N712" s="86"/>
      <c r="O712" s="86"/>
      <c r="P712" s="86"/>
      <c r="Q712" s="86"/>
      <c r="R712" s="86"/>
      <c r="S712" s="86"/>
      <c r="T712" s="86"/>
      <c r="U712" s="86"/>
      <c r="V712" s="86"/>
      <c r="W712" s="86"/>
      <c r="X712" s="86"/>
      <c r="Y712" s="86"/>
      <c r="Z712" s="86"/>
      <c r="AA712" s="86"/>
      <c r="AB712" s="86"/>
      <c r="AC712" s="86"/>
      <c r="AD712" s="86"/>
      <c r="AE712" s="86"/>
      <c r="AF712" s="86"/>
      <c r="AG712" s="86"/>
    </row>
    <row r="713" spans="2:33" ht="15" customHeight="1" x14ac:dyDescent="0.25"/>
    <row r="714" spans="2:33" ht="15" customHeight="1" x14ac:dyDescent="0.25"/>
    <row r="715" spans="2:33" ht="15" customHeight="1" x14ac:dyDescent="0.25"/>
    <row r="716" spans="2:33" ht="15" customHeight="1" x14ac:dyDescent="0.25"/>
    <row r="717" spans="2:33" ht="15" customHeight="1" x14ac:dyDescent="0.25"/>
    <row r="718" spans="2:33" ht="15" customHeight="1" x14ac:dyDescent="0.25"/>
    <row r="719" spans="2:33" ht="15" customHeight="1" x14ac:dyDescent="0.25"/>
    <row r="720" spans="2:33" ht="15" customHeight="1" x14ac:dyDescent="0.25"/>
    <row r="721" ht="15" customHeight="1" x14ac:dyDescent="0.25"/>
    <row r="722" ht="15" customHeight="1" x14ac:dyDescent="0.25"/>
    <row r="723" ht="15" customHeight="1" x14ac:dyDescent="0.25"/>
    <row r="724" ht="15" customHeight="1" x14ac:dyDescent="0.25"/>
    <row r="725" ht="15" customHeight="1" x14ac:dyDescent="0.25"/>
    <row r="726" ht="15" customHeight="1" x14ac:dyDescent="0.25"/>
    <row r="727" ht="15" customHeight="1" x14ac:dyDescent="0.25"/>
    <row r="728" ht="15" customHeight="1" x14ac:dyDescent="0.25"/>
    <row r="729" ht="15" customHeight="1" x14ac:dyDescent="0.25"/>
    <row r="730" ht="15" customHeight="1" x14ac:dyDescent="0.25"/>
    <row r="731" ht="15" customHeight="1" x14ac:dyDescent="0.25"/>
    <row r="732" ht="15" customHeight="1" x14ac:dyDescent="0.25"/>
    <row r="775" ht="15" customHeight="1" x14ac:dyDescent="0.25"/>
    <row r="776" ht="15" customHeight="1" x14ac:dyDescent="0.25"/>
    <row r="777" ht="15" customHeight="1" x14ac:dyDescent="0.25"/>
    <row r="778" ht="15" customHeight="1" x14ac:dyDescent="0.25"/>
    <row r="779" ht="15" customHeight="1" x14ac:dyDescent="0.25"/>
    <row r="780" ht="15" customHeight="1" x14ac:dyDescent="0.25"/>
    <row r="782" ht="15" customHeight="1" x14ac:dyDescent="0.25"/>
    <row r="783" ht="15" customHeight="1" x14ac:dyDescent="0.25"/>
    <row r="784" ht="15" customHeight="1" x14ac:dyDescent="0.25"/>
    <row r="785" ht="15" customHeight="1" x14ac:dyDescent="0.25"/>
    <row r="787" ht="15" customHeight="1" x14ac:dyDescent="0.25"/>
    <row r="788" ht="15" customHeight="1" x14ac:dyDescent="0.25"/>
    <row r="789" ht="15" customHeight="1" x14ac:dyDescent="0.25"/>
    <row r="790" ht="15" customHeight="1" x14ac:dyDescent="0.25"/>
    <row r="792" ht="15" customHeight="1" x14ac:dyDescent="0.25"/>
    <row r="793" ht="15" customHeight="1" x14ac:dyDescent="0.25"/>
    <row r="794" ht="15" customHeight="1" x14ac:dyDescent="0.25"/>
    <row r="795" ht="15" customHeight="1" x14ac:dyDescent="0.25"/>
    <row r="796" ht="15" customHeight="1" x14ac:dyDescent="0.25"/>
    <row r="797" ht="15" customHeight="1" x14ac:dyDescent="0.25"/>
    <row r="798" ht="15" customHeight="1" x14ac:dyDescent="0.25"/>
    <row r="799" ht="15" customHeight="1" x14ac:dyDescent="0.25"/>
    <row r="800" ht="15" customHeight="1" x14ac:dyDescent="0.25"/>
    <row r="801" ht="15" customHeight="1" x14ac:dyDescent="0.25"/>
    <row r="802" ht="15" customHeight="1" x14ac:dyDescent="0.25"/>
    <row r="803" ht="15" customHeight="1" x14ac:dyDescent="0.25"/>
    <row r="804" ht="15" customHeight="1" x14ac:dyDescent="0.25"/>
    <row r="805" ht="15" customHeight="1" x14ac:dyDescent="0.25"/>
    <row r="806" ht="15" customHeight="1" x14ac:dyDescent="0.25"/>
    <row r="808" ht="15" customHeight="1" x14ac:dyDescent="0.25"/>
    <row r="809" ht="15" customHeight="1" x14ac:dyDescent="0.25"/>
    <row r="810" ht="15" customHeight="1" x14ac:dyDescent="0.25"/>
    <row r="811" ht="15" customHeight="1" x14ac:dyDescent="0.25"/>
    <row r="812" ht="15" customHeight="1" x14ac:dyDescent="0.25"/>
    <row r="813" ht="15" customHeight="1" x14ac:dyDescent="0.25"/>
    <row r="814" ht="15" customHeight="1" x14ac:dyDescent="0.25"/>
    <row r="816" ht="15" customHeight="1" x14ac:dyDescent="0.25"/>
    <row r="817" ht="15" customHeight="1" x14ac:dyDescent="0.25"/>
    <row r="818" ht="15" customHeight="1" x14ac:dyDescent="0.25"/>
    <row r="819" ht="15" customHeight="1" x14ac:dyDescent="0.25"/>
    <row r="820" ht="15" customHeight="1" x14ac:dyDescent="0.25"/>
    <row r="822" ht="15" customHeight="1" x14ac:dyDescent="0.25"/>
    <row r="823" ht="15" customHeight="1" x14ac:dyDescent="0.25"/>
    <row r="825" ht="15" customHeight="1" x14ac:dyDescent="0.25"/>
    <row r="826" ht="15" customHeight="1" x14ac:dyDescent="0.25"/>
    <row r="827" ht="15" customHeight="1" x14ac:dyDescent="0.25"/>
    <row r="828" ht="15" customHeight="1" x14ac:dyDescent="0.25"/>
    <row r="829" ht="15" customHeight="1" x14ac:dyDescent="0.25"/>
    <row r="830" ht="15" customHeight="1" x14ac:dyDescent="0.25"/>
    <row r="831" ht="15" customHeight="1" x14ac:dyDescent="0.25"/>
    <row r="832" ht="15" customHeight="1" x14ac:dyDescent="0.25"/>
    <row r="833" ht="15" customHeight="1" x14ac:dyDescent="0.25"/>
    <row r="834" ht="15" customHeight="1" x14ac:dyDescent="0.25"/>
    <row r="835" ht="15" customHeight="1" x14ac:dyDescent="0.25"/>
    <row r="836" ht="15" customHeight="1" x14ac:dyDescent="0.25"/>
    <row r="837" ht="15" customHeight="1" x14ac:dyDescent="0.25"/>
    <row r="838" ht="15" customHeight="1" x14ac:dyDescent="0.25"/>
    <row r="840" ht="15" customHeight="1" x14ac:dyDescent="0.25"/>
    <row r="842" ht="15" customHeight="1" x14ac:dyDescent="0.25"/>
    <row r="843" ht="15" customHeight="1" x14ac:dyDescent="0.25"/>
    <row r="844" ht="15" customHeight="1" x14ac:dyDescent="0.25"/>
    <row r="845" ht="15" customHeight="1" x14ac:dyDescent="0.25"/>
    <row r="846" ht="15" customHeight="1" x14ac:dyDescent="0.25"/>
    <row r="847" ht="15" customHeight="1" x14ac:dyDescent="0.25"/>
    <row r="848" ht="15" customHeight="1" x14ac:dyDescent="0.25"/>
    <row r="849" ht="15" customHeight="1" x14ac:dyDescent="0.25"/>
    <row r="850" ht="15" customHeight="1" x14ac:dyDescent="0.25"/>
    <row r="851" ht="15" customHeight="1" x14ac:dyDescent="0.25"/>
    <row r="852" ht="15" customHeight="1" x14ac:dyDescent="0.25"/>
    <row r="853" ht="15" customHeight="1" x14ac:dyDescent="0.25"/>
    <row r="854" ht="15" customHeight="1" x14ac:dyDescent="0.25"/>
    <row r="855" ht="15" customHeight="1" x14ac:dyDescent="0.25"/>
    <row r="857" ht="15" customHeight="1" x14ac:dyDescent="0.25"/>
    <row r="858" ht="15" customHeight="1" x14ac:dyDescent="0.25"/>
    <row r="859" ht="15" customHeight="1" x14ac:dyDescent="0.25"/>
    <row r="860" ht="15" customHeight="1" x14ac:dyDescent="0.25"/>
    <row r="861" ht="15" customHeight="1" x14ac:dyDescent="0.25"/>
    <row r="863" ht="15" customHeight="1" x14ac:dyDescent="0.25"/>
    <row r="864" ht="15" customHeight="1" x14ac:dyDescent="0.25"/>
    <row r="865" ht="15" customHeight="1" x14ac:dyDescent="0.25"/>
    <row r="866" ht="15" customHeight="1" x14ac:dyDescent="0.25"/>
    <row r="867" ht="15" customHeight="1" x14ac:dyDescent="0.25"/>
    <row r="868" ht="15" customHeight="1" x14ac:dyDescent="0.25"/>
    <row r="869" ht="15" customHeight="1" x14ac:dyDescent="0.25"/>
    <row r="870" ht="15" customHeight="1" x14ac:dyDescent="0.25"/>
    <row r="871" ht="15" customHeight="1" x14ac:dyDescent="0.25"/>
    <row r="872" ht="15" customHeight="1" x14ac:dyDescent="0.25"/>
    <row r="873" ht="15" customHeight="1" x14ac:dyDescent="0.25"/>
    <row r="875" ht="15" customHeight="1" x14ac:dyDescent="0.25"/>
    <row r="876" ht="15" customHeight="1" x14ac:dyDescent="0.25"/>
    <row r="877" ht="15" customHeight="1" x14ac:dyDescent="0.25"/>
    <row r="878" ht="15" customHeight="1" x14ac:dyDescent="0.25"/>
    <row r="879" ht="15" customHeight="1" x14ac:dyDescent="0.25"/>
    <row r="880" ht="15" customHeight="1" x14ac:dyDescent="0.25"/>
    <row r="881" spans="2:33" ht="15" customHeight="1" x14ac:dyDescent="0.25"/>
    <row r="882" spans="2:33" ht="15" customHeight="1" x14ac:dyDescent="0.25"/>
    <row r="883" spans="2:33" ht="15" customHeight="1" x14ac:dyDescent="0.25"/>
    <row r="884" spans="2:33" ht="15" customHeight="1" x14ac:dyDescent="0.25"/>
    <row r="885" spans="2:33" ht="15" customHeight="1" x14ac:dyDescent="0.25"/>
    <row r="886" spans="2:33" ht="15" customHeight="1" x14ac:dyDescent="0.25"/>
    <row r="887" spans="2:33" ht="15" customHeight="1" x14ac:dyDescent="0.25">
      <c r="B887" s="86"/>
      <c r="C887" s="86"/>
      <c r="D887" s="86"/>
      <c r="E887" s="86"/>
      <c r="F887" s="86"/>
      <c r="G887" s="86"/>
      <c r="H887" s="86"/>
      <c r="I887" s="86"/>
      <c r="J887" s="86"/>
      <c r="K887" s="86"/>
      <c r="L887" s="86"/>
      <c r="M887" s="86"/>
      <c r="N887" s="86"/>
      <c r="O887" s="86"/>
      <c r="P887" s="86"/>
      <c r="Q887" s="86"/>
      <c r="R887" s="86"/>
      <c r="S887" s="86"/>
      <c r="T887" s="86"/>
      <c r="U887" s="86"/>
      <c r="V887" s="86"/>
      <c r="W887" s="86"/>
      <c r="X887" s="86"/>
      <c r="Y887" s="86"/>
      <c r="Z887" s="86"/>
      <c r="AA887" s="86"/>
      <c r="AB887" s="86"/>
      <c r="AC887" s="86"/>
      <c r="AD887" s="86"/>
      <c r="AE887" s="86"/>
      <c r="AF887" s="86"/>
      <c r="AG887" s="86"/>
    </row>
    <row r="888" spans="2:33" ht="15" customHeight="1" x14ac:dyDescent="0.25"/>
    <row r="889" spans="2:33" ht="15" customHeight="1" x14ac:dyDescent="0.25"/>
    <row r="890" spans="2:33" ht="15" customHeight="1" x14ac:dyDescent="0.25"/>
    <row r="891" spans="2:33" ht="15" customHeight="1" x14ac:dyDescent="0.25"/>
    <row r="892" spans="2:33" ht="15" customHeight="1" x14ac:dyDescent="0.25"/>
    <row r="893" spans="2:33" ht="15" customHeight="1" x14ac:dyDescent="0.25"/>
    <row r="894" spans="2:33" ht="15" customHeight="1" x14ac:dyDescent="0.25"/>
    <row r="895" spans="2:33" ht="15" customHeight="1" x14ac:dyDescent="0.25"/>
    <row r="896" spans="2:33" ht="15" customHeight="1" x14ac:dyDescent="0.25"/>
    <row r="897" ht="15" customHeight="1" x14ac:dyDescent="0.25"/>
    <row r="898" ht="15" customHeight="1" x14ac:dyDescent="0.25"/>
    <row r="899" ht="15" customHeight="1" x14ac:dyDescent="0.25"/>
    <row r="900" ht="15" customHeight="1" x14ac:dyDescent="0.25"/>
    <row r="901" ht="15" customHeight="1" x14ac:dyDescent="0.25"/>
    <row r="902" ht="15" customHeight="1" x14ac:dyDescent="0.25"/>
    <row r="903" ht="15" customHeight="1" x14ac:dyDescent="0.25"/>
    <row r="904" ht="15" customHeight="1" x14ac:dyDescent="0.25"/>
    <row r="905" ht="15" customHeight="1" x14ac:dyDescent="0.25"/>
    <row r="950" ht="15" customHeight="1" x14ac:dyDescent="0.25"/>
    <row r="951" ht="15" customHeight="1" x14ac:dyDescent="0.25"/>
    <row r="952" ht="15" customHeight="1" x14ac:dyDescent="0.25"/>
    <row r="953" ht="15" customHeight="1" x14ac:dyDescent="0.25"/>
    <row r="954" ht="15" customHeight="1" x14ac:dyDescent="0.25"/>
    <row r="955" ht="15" customHeight="1" x14ac:dyDescent="0.25"/>
    <row r="956" ht="15" customHeight="1" x14ac:dyDescent="0.25"/>
    <row r="957" ht="15" customHeight="1" x14ac:dyDescent="0.25"/>
    <row r="958" ht="15" customHeight="1" x14ac:dyDescent="0.25"/>
    <row r="959" ht="15" customHeight="1" x14ac:dyDescent="0.25"/>
    <row r="961" ht="15" customHeight="1" x14ac:dyDescent="0.25"/>
    <row r="962" ht="15" customHeight="1" x14ac:dyDescent="0.25"/>
    <row r="963" ht="15" customHeight="1" x14ac:dyDescent="0.25"/>
    <row r="964" ht="15" customHeight="1" x14ac:dyDescent="0.25"/>
    <row r="965" ht="15" customHeight="1" x14ac:dyDescent="0.25"/>
    <row r="966" ht="15" customHeight="1" x14ac:dyDescent="0.25"/>
    <row r="967" ht="15" customHeight="1" x14ac:dyDescent="0.25"/>
    <row r="968" ht="15" customHeight="1" x14ac:dyDescent="0.25"/>
    <row r="969" ht="15" customHeight="1" x14ac:dyDescent="0.25"/>
    <row r="970" ht="15" customHeight="1" x14ac:dyDescent="0.25"/>
    <row r="971" ht="15" customHeight="1" x14ac:dyDescent="0.25"/>
    <row r="972" ht="15" customHeight="1" x14ac:dyDescent="0.25"/>
    <row r="973" ht="15" customHeight="1" x14ac:dyDescent="0.25"/>
    <row r="974" ht="15" customHeight="1" x14ac:dyDescent="0.25"/>
    <row r="975" ht="15" customHeight="1" x14ac:dyDescent="0.25"/>
    <row r="976" ht="15" customHeight="1" x14ac:dyDescent="0.25"/>
    <row r="977" ht="15" customHeight="1" x14ac:dyDescent="0.25"/>
    <row r="978" ht="15" customHeight="1" x14ac:dyDescent="0.25"/>
    <row r="979" ht="15" customHeight="1" x14ac:dyDescent="0.25"/>
    <row r="980" ht="15" customHeight="1" x14ac:dyDescent="0.25"/>
    <row r="981" ht="15" customHeight="1" x14ac:dyDescent="0.25"/>
    <row r="982" ht="15" customHeight="1" x14ac:dyDescent="0.25"/>
    <row r="983" ht="15" customHeight="1" x14ac:dyDescent="0.25"/>
    <row r="984" ht="15" customHeight="1" x14ac:dyDescent="0.25"/>
    <row r="985" ht="15" customHeight="1" x14ac:dyDescent="0.25"/>
    <row r="988" ht="15" customHeight="1" x14ac:dyDescent="0.25"/>
    <row r="989" ht="15" customHeight="1" x14ac:dyDescent="0.25"/>
    <row r="990" ht="15" customHeight="1" x14ac:dyDescent="0.25"/>
    <row r="991" ht="15" customHeight="1" x14ac:dyDescent="0.25"/>
    <row r="992" ht="15" customHeight="1" x14ac:dyDescent="0.25"/>
    <row r="993" ht="15" customHeight="1" x14ac:dyDescent="0.25"/>
    <row r="994" ht="15" customHeight="1" x14ac:dyDescent="0.25"/>
    <row r="995" ht="15" customHeight="1" x14ac:dyDescent="0.25"/>
    <row r="996" ht="15" customHeight="1" x14ac:dyDescent="0.25"/>
    <row r="997" ht="15" customHeight="1" x14ac:dyDescent="0.25"/>
    <row r="998" ht="15" customHeight="1" x14ac:dyDescent="0.25"/>
    <row r="999" ht="15" customHeight="1" x14ac:dyDescent="0.25"/>
    <row r="1000" ht="15" customHeight="1" x14ac:dyDescent="0.25"/>
    <row r="1001" ht="15" customHeight="1" x14ac:dyDescent="0.25"/>
    <row r="1002" ht="15" customHeight="1" x14ac:dyDescent="0.25"/>
    <row r="1003" ht="15" customHeight="1" x14ac:dyDescent="0.25"/>
    <row r="1004" ht="15" customHeight="1" x14ac:dyDescent="0.25"/>
    <row r="1005" ht="15" customHeight="1" x14ac:dyDescent="0.25"/>
    <row r="1006" ht="15" customHeight="1" x14ac:dyDescent="0.25"/>
    <row r="1007" ht="15" customHeight="1" x14ac:dyDescent="0.25"/>
    <row r="1008" ht="15" customHeight="1" x14ac:dyDescent="0.25"/>
    <row r="1009" ht="15" customHeight="1" x14ac:dyDescent="0.25"/>
    <row r="1010" ht="15" customHeight="1" x14ac:dyDescent="0.25"/>
    <row r="1011" ht="15" customHeight="1" x14ac:dyDescent="0.25"/>
    <row r="1012" ht="15" customHeight="1" x14ac:dyDescent="0.25"/>
    <row r="1013" ht="15" customHeight="1" x14ac:dyDescent="0.25"/>
    <row r="1016" ht="15" customHeight="1" x14ac:dyDescent="0.25"/>
    <row r="1017" ht="15" customHeight="1" x14ac:dyDescent="0.25"/>
    <row r="1018" ht="15" customHeight="1" x14ac:dyDescent="0.25"/>
    <row r="1019" ht="15" customHeight="1" x14ac:dyDescent="0.25"/>
    <row r="1020" ht="15" customHeight="1" x14ac:dyDescent="0.25"/>
    <row r="1021" ht="15" customHeight="1" x14ac:dyDescent="0.25"/>
    <row r="1022" ht="15" customHeight="1" x14ac:dyDescent="0.25"/>
    <row r="1023" ht="15" customHeight="1" x14ac:dyDescent="0.25"/>
    <row r="1024" ht="15" customHeight="1" x14ac:dyDescent="0.25"/>
    <row r="1025" ht="15" customHeight="1" x14ac:dyDescent="0.25"/>
    <row r="1026" ht="15" customHeight="1" x14ac:dyDescent="0.25"/>
    <row r="1027" ht="15" customHeight="1" x14ac:dyDescent="0.25"/>
    <row r="1028" ht="15" customHeight="1" x14ac:dyDescent="0.25"/>
    <row r="1029" ht="15" customHeight="1" x14ac:dyDescent="0.25"/>
    <row r="1030" ht="15" customHeight="1" x14ac:dyDescent="0.25"/>
    <row r="1031" ht="15" customHeight="1" x14ac:dyDescent="0.25"/>
    <row r="1032" ht="15" customHeight="1" x14ac:dyDescent="0.25"/>
    <row r="1033" ht="15" customHeight="1" x14ac:dyDescent="0.25"/>
    <row r="1034" ht="15" customHeight="1" x14ac:dyDescent="0.25"/>
    <row r="1035" ht="15" customHeight="1" x14ac:dyDescent="0.25"/>
    <row r="1037" ht="15" customHeight="1" x14ac:dyDescent="0.25"/>
    <row r="1038" ht="15" customHeight="1" x14ac:dyDescent="0.25"/>
    <row r="1039" ht="15" customHeight="1" x14ac:dyDescent="0.25"/>
    <row r="1040" ht="15" customHeight="1" x14ac:dyDescent="0.25"/>
    <row r="1041" ht="15" customHeight="1" x14ac:dyDescent="0.25"/>
    <row r="1042" ht="15" customHeight="1" x14ac:dyDescent="0.25"/>
    <row r="1043" ht="15" customHeight="1" x14ac:dyDescent="0.25"/>
    <row r="1044" ht="15" customHeight="1" x14ac:dyDescent="0.25"/>
    <row r="1045" ht="15" customHeight="1" x14ac:dyDescent="0.25"/>
    <row r="1046" ht="15" customHeight="1" x14ac:dyDescent="0.25"/>
    <row r="1047" ht="15" customHeight="1" x14ac:dyDescent="0.25"/>
    <row r="1048" ht="15" customHeight="1" x14ac:dyDescent="0.25"/>
    <row r="1049" ht="15" customHeight="1" x14ac:dyDescent="0.25"/>
    <row r="1050" ht="15" customHeight="1" x14ac:dyDescent="0.25"/>
    <row r="1051" ht="15" customHeight="1" x14ac:dyDescent="0.25"/>
    <row r="1052" ht="15" customHeight="1" x14ac:dyDescent="0.25"/>
    <row r="1053" ht="15" customHeight="1" x14ac:dyDescent="0.25"/>
    <row r="1054" ht="15" customHeight="1" x14ac:dyDescent="0.25"/>
    <row r="1055" ht="15" customHeight="1" x14ac:dyDescent="0.25"/>
    <row r="1056" ht="15" customHeight="1" x14ac:dyDescent="0.25"/>
    <row r="1057" ht="15" customHeight="1" x14ac:dyDescent="0.25"/>
    <row r="1058" ht="15" customHeight="1" x14ac:dyDescent="0.25"/>
    <row r="1059" ht="15" customHeight="1" x14ac:dyDescent="0.25"/>
    <row r="1060" ht="15" customHeight="1" x14ac:dyDescent="0.25"/>
    <row r="1061" ht="15" customHeight="1" x14ac:dyDescent="0.25"/>
    <row r="1062" ht="15" customHeight="1" x14ac:dyDescent="0.25"/>
    <row r="1063" ht="15" customHeight="1" x14ac:dyDescent="0.25"/>
    <row r="1064" ht="15" customHeight="1" x14ac:dyDescent="0.25"/>
    <row r="1066" ht="15" customHeight="1" x14ac:dyDescent="0.25"/>
    <row r="1067" ht="15" customHeight="1" x14ac:dyDescent="0.25"/>
    <row r="1068" ht="15" customHeight="1" x14ac:dyDescent="0.25"/>
    <row r="1069" ht="15" customHeight="1" x14ac:dyDescent="0.25"/>
    <row r="1070" ht="15" customHeight="1" x14ac:dyDescent="0.25"/>
    <row r="1071" ht="15" customHeight="1" x14ac:dyDescent="0.25"/>
    <row r="1072" ht="15" customHeight="1" x14ac:dyDescent="0.25"/>
    <row r="1073" ht="15" customHeight="1" x14ac:dyDescent="0.25"/>
    <row r="1074" ht="15" customHeight="1" x14ac:dyDescent="0.25"/>
    <row r="1075" ht="15" customHeight="1" x14ac:dyDescent="0.25"/>
    <row r="1076" ht="15" customHeight="1" x14ac:dyDescent="0.25"/>
    <row r="1077" ht="15" customHeight="1" x14ac:dyDescent="0.25"/>
    <row r="1078" ht="15" customHeight="1" x14ac:dyDescent="0.25"/>
    <row r="1079" ht="15" customHeight="1" x14ac:dyDescent="0.25"/>
    <row r="1080" ht="15" customHeight="1" x14ac:dyDescent="0.25"/>
    <row r="1081" ht="15" customHeight="1" x14ac:dyDescent="0.25"/>
    <row r="1082" ht="15" customHeight="1" x14ac:dyDescent="0.25"/>
    <row r="1083" ht="15" customHeight="1" x14ac:dyDescent="0.25"/>
    <row r="1084" ht="15" customHeight="1" x14ac:dyDescent="0.25"/>
    <row r="1085" ht="15" customHeight="1" x14ac:dyDescent="0.25"/>
    <row r="1086" ht="15" customHeight="1" x14ac:dyDescent="0.25"/>
    <row r="1087" ht="15" customHeight="1" x14ac:dyDescent="0.25"/>
    <row r="1088" ht="15" customHeight="1" x14ac:dyDescent="0.25"/>
    <row r="1089" spans="2:33" ht="15" customHeight="1" x14ac:dyDescent="0.25"/>
    <row r="1090" spans="2:33" ht="15" customHeight="1" x14ac:dyDescent="0.25"/>
    <row r="1091" spans="2:33" ht="15" customHeight="1" x14ac:dyDescent="0.25"/>
    <row r="1092" spans="2:33" ht="15" customHeight="1" x14ac:dyDescent="0.25"/>
    <row r="1093" spans="2:33" ht="15" customHeight="1" x14ac:dyDescent="0.25"/>
    <row r="1094" spans="2:33" ht="15" customHeight="1" x14ac:dyDescent="0.25"/>
    <row r="1096" spans="2:33" ht="15" customHeight="1" x14ac:dyDescent="0.25"/>
    <row r="1097" spans="2:33" ht="15" customHeight="1" x14ac:dyDescent="0.25"/>
    <row r="1098" spans="2:33" ht="15" customHeight="1" x14ac:dyDescent="0.25"/>
    <row r="1099" spans="2:33" ht="15" customHeight="1" x14ac:dyDescent="0.25"/>
    <row r="1100" spans="2:33" ht="15" customHeight="1" x14ac:dyDescent="0.25">
      <c r="B1100" s="86"/>
      <c r="C1100" s="86"/>
      <c r="D1100" s="86"/>
      <c r="E1100" s="86"/>
      <c r="F1100" s="86"/>
      <c r="G1100" s="86"/>
      <c r="H1100" s="86"/>
      <c r="I1100" s="86"/>
      <c r="J1100" s="86"/>
      <c r="K1100" s="86"/>
      <c r="L1100" s="86"/>
      <c r="M1100" s="86"/>
      <c r="N1100" s="86"/>
      <c r="O1100" s="86"/>
      <c r="P1100" s="86"/>
      <c r="Q1100" s="86"/>
      <c r="R1100" s="86"/>
      <c r="S1100" s="86"/>
      <c r="T1100" s="86"/>
      <c r="U1100" s="86"/>
      <c r="V1100" s="86"/>
      <c r="W1100" s="86"/>
      <c r="X1100" s="86"/>
      <c r="Y1100" s="86"/>
      <c r="Z1100" s="86"/>
      <c r="AA1100" s="86"/>
      <c r="AB1100" s="86"/>
      <c r="AC1100" s="86"/>
      <c r="AD1100" s="86"/>
      <c r="AE1100" s="86"/>
      <c r="AF1100" s="86"/>
      <c r="AG1100" s="86"/>
    </row>
    <row r="1101" spans="2:33" ht="15" customHeight="1" x14ac:dyDescent="0.25"/>
    <row r="1102" spans="2:33" ht="15" customHeight="1" x14ac:dyDescent="0.25"/>
    <row r="1103" spans="2:33" ht="15" customHeight="1" x14ac:dyDescent="0.25"/>
    <row r="1104" spans="2:33" ht="15" customHeight="1" x14ac:dyDescent="0.25"/>
    <row r="1105" ht="15" customHeight="1" x14ac:dyDescent="0.25"/>
    <row r="1106" ht="15" customHeight="1" x14ac:dyDescent="0.25"/>
    <row r="1107" ht="15" customHeight="1" x14ac:dyDescent="0.25"/>
    <row r="1108" ht="15" customHeight="1" x14ac:dyDescent="0.25"/>
    <row r="1109" ht="15" customHeight="1" x14ac:dyDescent="0.25"/>
    <row r="1110" ht="15" customHeight="1" x14ac:dyDescent="0.25"/>
    <row r="1111" ht="15" customHeight="1" x14ac:dyDescent="0.25"/>
    <row r="1150" ht="15" customHeight="1" x14ac:dyDescent="0.25"/>
    <row r="1151" ht="15" customHeight="1" x14ac:dyDescent="0.25"/>
    <row r="1152" ht="15" customHeight="1" x14ac:dyDescent="0.25"/>
    <row r="1153" ht="15" customHeight="1" x14ac:dyDescent="0.25"/>
    <row r="1154" ht="15" customHeight="1" x14ac:dyDescent="0.25"/>
    <row r="1155" ht="15" customHeight="1" x14ac:dyDescent="0.25"/>
    <row r="1156" ht="15" customHeight="1" x14ac:dyDescent="0.25"/>
    <row r="1157" ht="15" customHeight="1" x14ac:dyDescent="0.25"/>
    <row r="1158" ht="15" customHeight="1" x14ac:dyDescent="0.25"/>
    <row r="1159" ht="15" customHeight="1" x14ac:dyDescent="0.25"/>
    <row r="1160" ht="15" customHeight="1" x14ac:dyDescent="0.25"/>
    <row r="1161" ht="15" customHeight="1" x14ac:dyDescent="0.25"/>
    <row r="1162" ht="15" customHeight="1" x14ac:dyDescent="0.25"/>
    <row r="1163" ht="15" customHeight="1" x14ac:dyDescent="0.25"/>
    <row r="1164" ht="15" customHeight="1" x14ac:dyDescent="0.25"/>
    <row r="1165" ht="15" customHeight="1" x14ac:dyDescent="0.25"/>
    <row r="1166" ht="15" customHeight="1" x14ac:dyDescent="0.25"/>
    <row r="1167" ht="15" customHeight="1" x14ac:dyDescent="0.25"/>
    <row r="1168" ht="15" customHeight="1" x14ac:dyDescent="0.25"/>
    <row r="1170" ht="15" customHeight="1" x14ac:dyDescent="0.25"/>
    <row r="1171" ht="15" customHeight="1" x14ac:dyDescent="0.25"/>
    <row r="1172" ht="15" customHeight="1" x14ac:dyDescent="0.25"/>
    <row r="1173" ht="15" customHeight="1" x14ac:dyDescent="0.25"/>
    <row r="1174" ht="15" customHeight="1" x14ac:dyDescent="0.25"/>
    <row r="1175" ht="15" customHeight="1" x14ac:dyDescent="0.25"/>
    <row r="1176" ht="15" customHeight="1" x14ac:dyDescent="0.25"/>
    <row r="1177" ht="15" customHeight="1" x14ac:dyDescent="0.25"/>
    <row r="1178" ht="15" customHeight="1" x14ac:dyDescent="0.25"/>
    <row r="1179" ht="15" customHeight="1" x14ac:dyDescent="0.25"/>
    <row r="1180" ht="15" customHeight="1" x14ac:dyDescent="0.25"/>
    <row r="1181" ht="15" customHeight="1" x14ac:dyDescent="0.25"/>
    <row r="1182" ht="15" customHeight="1" x14ac:dyDescent="0.25"/>
    <row r="1183" ht="15" customHeight="1" x14ac:dyDescent="0.25"/>
    <row r="1184" ht="15" customHeight="1" x14ac:dyDescent="0.25"/>
    <row r="1185" ht="15" customHeight="1" x14ac:dyDescent="0.25"/>
    <row r="1186" ht="15" customHeight="1" x14ac:dyDescent="0.25"/>
    <row r="1187" ht="15" customHeight="1" x14ac:dyDescent="0.25"/>
    <row r="1188" ht="15" customHeight="1" x14ac:dyDescent="0.25"/>
    <row r="1189" ht="15" customHeight="1" x14ac:dyDescent="0.25"/>
    <row r="1190" ht="15" customHeight="1" x14ac:dyDescent="0.25"/>
    <row r="1191" ht="15" customHeight="1" x14ac:dyDescent="0.25"/>
    <row r="1192" ht="15" customHeight="1" x14ac:dyDescent="0.25"/>
    <row r="1194" ht="15" customHeight="1" x14ac:dyDescent="0.25"/>
    <row r="1195" ht="15" customHeight="1" x14ac:dyDescent="0.25"/>
    <row r="1196" ht="15" customHeight="1" x14ac:dyDescent="0.25"/>
    <row r="1197" ht="15" customHeight="1" x14ac:dyDescent="0.25"/>
    <row r="1198" ht="15" customHeight="1" x14ac:dyDescent="0.25"/>
    <row r="1199" ht="15" customHeight="1" x14ac:dyDescent="0.25"/>
    <row r="1200" ht="15" customHeight="1" x14ac:dyDescent="0.25"/>
    <row r="1201" ht="15" customHeight="1" x14ac:dyDescent="0.25"/>
    <row r="1202" ht="15" customHeight="1" x14ac:dyDescent="0.25"/>
    <row r="1203" ht="15" customHeight="1" x14ac:dyDescent="0.25"/>
    <row r="1204" ht="15" customHeight="1" x14ac:dyDescent="0.25"/>
    <row r="1205" ht="15" customHeight="1" x14ac:dyDescent="0.25"/>
    <row r="1206" ht="15" customHeight="1" x14ac:dyDescent="0.25"/>
    <row r="1207" ht="15" customHeight="1" x14ac:dyDescent="0.25"/>
    <row r="1208" ht="15" customHeight="1" x14ac:dyDescent="0.25"/>
    <row r="1209" ht="15" customHeight="1" x14ac:dyDescent="0.25"/>
    <row r="1211" ht="15" customHeight="1" x14ac:dyDescent="0.25"/>
    <row r="1212" ht="15" customHeight="1" x14ac:dyDescent="0.25"/>
    <row r="1213" ht="15" customHeight="1" x14ac:dyDescent="0.25"/>
    <row r="1214" ht="15" customHeight="1" x14ac:dyDescent="0.25"/>
    <row r="1215" ht="15" customHeight="1" x14ac:dyDescent="0.25"/>
    <row r="1216" ht="15" customHeight="1" x14ac:dyDescent="0.25"/>
    <row r="1217" spans="2:33" ht="15" customHeight="1" x14ac:dyDescent="0.25"/>
    <row r="1218" spans="2:33" ht="15" customHeight="1" x14ac:dyDescent="0.25"/>
    <row r="1219" spans="2:33" ht="15" customHeight="1" x14ac:dyDescent="0.25"/>
    <row r="1220" spans="2:33" ht="15" customHeight="1" x14ac:dyDescent="0.25"/>
    <row r="1221" spans="2:33" ht="15" customHeight="1" x14ac:dyDescent="0.25"/>
    <row r="1222" spans="2:33" ht="15" customHeight="1" x14ac:dyDescent="0.25"/>
    <row r="1223" spans="2:33" ht="15" customHeight="1" x14ac:dyDescent="0.25"/>
    <row r="1224" spans="2:33" ht="15" customHeight="1" x14ac:dyDescent="0.25"/>
    <row r="1225" spans="2:33" ht="15" customHeight="1" x14ac:dyDescent="0.25"/>
    <row r="1226" spans="2:33" ht="15" customHeight="1" x14ac:dyDescent="0.25"/>
    <row r="1227" spans="2:33" ht="15" customHeight="1" x14ac:dyDescent="0.25">
      <c r="B1227" s="86"/>
      <c r="C1227" s="86"/>
      <c r="D1227" s="86"/>
      <c r="E1227" s="86"/>
      <c r="F1227" s="86"/>
      <c r="G1227" s="86"/>
      <c r="H1227" s="86"/>
      <c r="I1227" s="86"/>
      <c r="J1227" s="86"/>
      <c r="K1227" s="86"/>
      <c r="L1227" s="86"/>
      <c r="M1227" s="86"/>
      <c r="N1227" s="86"/>
      <c r="O1227" s="86"/>
      <c r="P1227" s="86"/>
      <c r="Q1227" s="86"/>
      <c r="R1227" s="86"/>
      <c r="S1227" s="86"/>
      <c r="T1227" s="86"/>
      <c r="U1227" s="86"/>
      <c r="V1227" s="86"/>
      <c r="W1227" s="86"/>
      <c r="X1227" s="86"/>
      <c r="Y1227" s="86"/>
      <c r="Z1227" s="86"/>
      <c r="AA1227" s="86"/>
      <c r="AB1227" s="86"/>
      <c r="AC1227" s="86"/>
      <c r="AD1227" s="86"/>
      <c r="AE1227" s="86"/>
      <c r="AF1227" s="86"/>
      <c r="AG1227" s="86"/>
    </row>
    <row r="1228" spans="2:33" ht="15" customHeight="1" x14ac:dyDescent="0.25"/>
    <row r="1229" spans="2:33" ht="15" customHeight="1" x14ac:dyDescent="0.25"/>
    <row r="1230" spans="2:33" ht="15" customHeight="1" x14ac:dyDescent="0.25"/>
    <row r="1231" spans="2:33" ht="15" customHeight="1" x14ac:dyDescent="0.25"/>
    <row r="1232" spans="2:33" ht="15" customHeight="1" x14ac:dyDescent="0.25"/>
    <row r="1233" ht="15" customHeight="1" x14ac:dyDescent="0.25"/>
    <row r="1234" ht="15" customHeight="1" x14ac:dyDescent="0.25"/>
    <row r="1235" ht="15" customHeight="1" x14ac:dyDescent="0.25"/>
    <row r="1236" ht="15" customHeight="1" x14ac:dyDescent="0.25"/>
    <row r="1237" ht="15" customHeight="1" x14ac:dyDescent="0.25"/>
    <row r="1300" ht="15" customHeight="1" x14ac:dyDescent="0.25"/>
    <row r="1301" ht="15" customHeight="1" x14ac:dyDescent="0.25"/>
    <row r="1302" ht="15" customHeight="1" x14ac:dyDescent="0.25"/>
    <row r="1303" ht="15" customHeight="1" x14ac:dyDescent="0.25"/>
    <row r="1304" ht="15" customHeight="1" x14ac:dyDescent="0.25"/>
    <row r="1305" ht="15" customHeight="1" x14ac:dyDescent="0.25"/>
    <row r="1307" ht="15" customHeight="1" x14ac:dyDescent="0.25"/>
    <row r="1308" ht="15" customHeight="1" x14ac:dyDescent="0.25"/>
    <row r="1309" ht="15" customHeight="1" x14ac:dyDescent="0.25"/>
    <row r="1310" ht="15" customHeight="1" x14ac:dyDescent="0.25"/>
    <row r="1311" ht="15" customHeight="1" x14ac:dyDescent="0.25"/>
    <row r="1312" ht="15" customHeight="1" x14ac:dyDescent="0.25"/>
    <row r="1313" ht="15" customHeight="1" x14ac:dyDescent="0.25"/>
    <row r="1314" ht="15" customHeight="1" x14ac:dyDescent="0.25"/>
    <row r="1315" ht="15" customHeight="1" x14ac:dyDescent="0.25"/>
    <row r="1316" ht="15" customHeight="1" x14ac:dyDescent="0.25"/>
    <row r="1317" ht="15" customHeight="1" x14ac:dyDescent="0.25"/>
    <row r="1318" ht="15" customHeight="1" x14ac:dyDescent="0.25"/>
    <row r="1319" ht="15" customHeight="1" x14ac:dyDescent="0.25"/>
    <row r="1320" ht="15" customHeight="1" x14ac:dyDescent="0.25"/>
    <row r="1321" ht="15" customHeight="1" x14ac:dyDescent="0.25"/>
    <row r="1322" ht="15" customHeight="1" x14ac:dyDescent="0.25"/>
    <row r="1323" ht="15" customHeight="1" x14ac:dyDescent="0.25"/>
    <row r="1324" ht="15" customHeight="1" x14ac:dyDescent="0.25"/>
    <row r="1325" ht="15" customHeight="1" x14ac:dyDescent="0.25"/>
    <row r="1327" ht="15" customHeight="1" x14ac:dyDescent="0.25"/>
    <row r="1329" ht="15" customHeight="1" x14ac:dyDescent="0.25"/>
    <row r="1330" ht="15" customHeight="1" x14ac:dyDescent="0.25"/>
    <row r="1331" ht="15" customHeight="1" x14ac:dyDescent="0.25"/>
    <row r="1332" ht="15" customHeight="1" x14ac:dyDescent="0.25"/>
    <row r="1333" ht="15" customHeight="1" x14ac:dyDescent="0.25"/>
    <row r="1334" ht="15" customHeight="1" x14ac:dyDescent="0.25"/>
    <row r="1335" ht="15" customHeight="1" x14ac:dyDescent="0.25"/>
    <row r="1336" ht="15" customHeight="1" x14ac:dyDescent="0.25"/>
    <row r="1337" ht="15" customHeight="1" x14ac:dyDescent="0.25"/>
    <row r="1338" ht="15" customHeight="1" x14ac:dyDescent="0.25"/>
    <row r="1340" ht="15" customHeight="1" x14ac:dyDescent="0.25"/>
    <row r="1341" ht="15" customHeight="1" x14ac:dyDescent="0.25"/>
    <row r="1342" ht="15" customHeight="1" x14ac:dyDescent="0.25"/>
    <row r="1343" ht="15" customHeight="1" x14ac:dyDescent="0.25"/>
    <row r="1344" ht="15" customHeight="1" x14ac:dyDescent="0.25"/>
    <row r="1345" ht="15" customHeight="1" x14ac:dyDescent="0.25"/>
    <row r="1346" ht="15" customHeight="1" x14ac:dyDescent="0.25"/>
    <row r="1347" ht="15" customHeight="1" x14ac:dyDescent="0.25"/>
    <row r="1348" ht="15" customHeight="1" x14ac:dyDescent="0.25"/>
    <row r="1350" ht="15" customHeight="1" x14ac:dyDescent="0.25"/>
    <row r="1352" ht="15" customHeight="1" x14ac:dyDescent="0.25"/>
    <row r="1353" ht="15" customHeight="1" x14ac:dyDescent="0.25"/>
    <row r="1354" ht="15" customHeight="1" x14ac:dyDescent="0.25"/>
    <row r="1355" ht="15" customHeight="1" x14ac:dyDescent="0.25"/>
    <row r="1356" ht="15" customHeight="1" x14ac:dyDescent="0.25"/>
    <row r="1357" ht="15" customHeight="1" x14ac:dyDescent="0.25"/>
    <row r="1358" ht="15" customHeight="1" x14ac:dyDescent="0.25"/>
    <row r="1359" ht="15" customHeight="1" x14ac:dyDescent="0.25"/>
    <row r="1361" ht="15" customHeight="1" x14ac:dyDescent="0.25"/>
    <row r="1362" ht="15" customHeight="1" x14ac:dyDescent="0.25"/>
    <row r="1363" ht="15" customHeight="1" x14ac:dyDescent="0.25"/>
    <row r="1364" ht="15" customHeight="1" x14ac:dyDescent="0.25"/>
    <row r="1365" ht="15" customHeight="1" x14ac:dyDescent="0.25"/>
    <row r="1366" ht="15" customHeight="1" x14ac:dyDescent="0.25"/>
    <row r="1367" ht="15" customHeight="1" x14ac:dyDescent="0.25"/>
    <row r="1368" ht="15" customHeight="1" x14ac:dyDescent="0.25"/>
    <row r="1369" ht="15" customHeight="1" x14ac:dyDescent="0.25"/>
    <row r="1370" ht="15" customHeight="1" x14ac:dyDescent="0.25"/>
    <row r="1371" ht="15" customHeight="1" x14ac:dyDescent="0.25"/>
    <row r="1372" ht="15" customHeight="1" x14ac:dyDescent="0.25"/>
    <row r="1373" ht="15" customHeight="1" x14ac:dyDescent="0.25"/>
    <row r="1375" ht="15" customHeight="1" x14ac:dyDescent="0.25"/>
    <row r="1376" ht="15" customHeight="1" x14ac:dyDescent="0.25"/>
    <row r="1377" spans="2:33" ht="15" customHeight="1" x14ac:dyDescent="0.25"/>
    <row r="1378" spans="2:33" ht="15" customHeight="1" x14ac:dyDescent="0.25"/>
    <row r="1379" spans="2:33" ht="15" customHeight="1" x14ac:dyDescent="0.25"/>
    <row r="1380" spans="2:33" ht="15" customHeight="1" x14ac:dyDescent="0.25"/>
    <row r="1381" spans="2:33" ht="15" customHeight="1" x14ac:dyDescent="0.25"/>
    <row r="1382" spans="2:33" ht="15" customHeight="1" x14ac:dyDescent="0.25"/>
    <row r="1383" spans="2:33" ht="15" customHeight="1" x14ac:dyDescent="0.25"/>
    <row r="1385" spans="2:33" ht="15" customHeight="1" x14ac:dyDescent="0.25"/>
    <row r="1386" spans="2:33" ht="15" customHeight="1" x14ac:dyDescent="0.25"/>
    <row r="1387" spans="2:33" ht="15" customHeight="1" x14ac:dyDescent="0.25"/>
    <row r="1388" spans="2:33" ht="15" customHeight="1" x14ac:dyDescent="0.25"/>
    <row r="1389" spans="2:33" ht="15" customHeight="1" x14ac:dyDescent="0.25"/>
    <row r="1390" spans="2:33" ht="15" customHeight="1" x14ac:dyDescent="0.25">
      <c r="B1390" s="86"/>
      <c r="C1390" s="86"/>
      <c r="D1390" s="86"/>
      <c r="E1390" s="86"/>
      <c r="F1390" s="86"/>
      <c r="G1390" s="86"/>
      <c r="H1390" s="86"/>
      <c r="I1390" s="86"/>
      <c r="J1390" s="86"/>
      <c r="K1390" s="86"/>
      <c r="L1390" s="86"/>
      <c r="M1390" s="86"/>
      <c r="N1390" s="86"/>
      <c r="O1390" s="86"/>
      <c r="P1390" s="86"/>
      <c r="Q1390" s="86"/>
      <c r="R1390" s="86"/>
      <c r="S1390" s="86"/>
      <c r="T1390" s="86"/>
      <c r="U1390" s="86"/>
      <c r="V1390" s="86"/>
      <c r="W1390" s="86"/>
      <c r="X1390" s="86"/>
      <c r="Y1390" s="86"/>
      <c r="Z1390" s="86"/>
      <c r="AA1390" s="86"/>
      <c r="AB1390" s="86"/>
      <c r="AC1390" s="86"/>
      <c r="AD1390" s="86"/>
      <c r="AE1390" s="86"/>
      <c r="AF1390" s="86"/>
      <c r="AG1390" s="86"/>
    </row>
    <row r="1391" spans="2:33" ht="15" customHeight="1" x14ac:dyDescent="0.25"/>
    <row r="1392" spans="2:33" ht="15" customHeight="1" x14ac:dyDescent="0.25"/>
    <row r="1393" ht="15" customHeight="1" x14ac:dyDescent="0.25"/>
    <row r="1394" ht="15" customHeight="1" x14ac:dyDescent="0.25"/>
    <row r="1395" ht="15" customHeight="1" x14ac:dyDescent="0.25"/>
    <row r="1396" ht="15" customHeight="1" x14ac:dyDescent="0.25"/>
    <row r="1397" ht="15" customHeight="1" x14ac:dyDescent="0.25"/>
    <row r="1398" ht="15" customHeight="1" x14ac:dyDescent="0.25"/>
    <row r="1399" ht="15" customHeight="1" x14ac:dyDescent="0.25"/>
    <row r="1400" ht="15" customHeight="1" x14ac:dyDescent="0.25"/>
    <row r="1401" ht="15" customHeight="1" x14ac:dyDescent="0.25"/>
    <row r="1402" ht="15" customHeight="1" x14ac:dyDescent="0.25"/>
    <row r="1403" ht="15" customHeight="1" x14ac:dyDescent="0.25"/>
    <row r="1404" ht="15" customHeight="1" x14ac:dyDescent="0.25"/>
    <row r="1405" ht="15" customHeight="1" x14ac:dyDescent="0.25"/>
    <row r="1406" ht="15" customHeight="1" x14ac:dyDescent="0.25"/>
    <row r="1407" ht="15" customHeight="1" x14ac:dyDescent="0.25"/>
    <row r="1408" ht="15" customHeight="1" x14ac:dyDescent="0.25"/>
    <row r="1409" ht="15" customHeight="1" x14ac:dyDescent="0.25"/>
    <row r="1410" ht="15" customHeight="1" x14ac:dyDescent="0.25"/>
    <row r="1425" ht="15" customHeight="1" x14ac:dyDescent="0.25"/>
    <row r="1426" ht="15" customHeight="1" x14ac:dyDescent="0.25"/>
    <row r="1427" ht="15" customHeight="1" x14ac:dyDescent="0.25"/>
    <row r="1428" ht="15" customHeight="1" x14ac:dyDescent="0.25"/>
    <row r="1429" ht="15" customHeight="1" x14ac:dyDescent="0.25"/>
    <row r="1430" ht="15" customHeight="1" x14ac:dyDescent="0.25"/>
    <row r="1431" ht="15" customHeight="1" x14ac:dyDescent="0.25"/>
    <row r="1432" ht="15" customHeight="1" x14ac:dyDescent="0.25"/>
    <row r="1433" ht="15" customHeight="1" x14ac:dyDescent="0.25"/>
    <row r="1434" ht="15" customHeight="1" x14ac:dyDescent="0.25"/>
    <row r="1435" ht="15" customHeight="1" x14ac:dyDescent="0.25"/>
    <row r="1436" ht="15" customHeight="1" x14ac:dyDescent="0.25"/>
    <row r="1437" ht="15" customHeight="1" x14ac:dyDescent="0.25"/>
    <row r="1438" ht="15" customHeight="1" x14ac:dyDescent="0.25"/>
    <row r="1439" ht="15" customHeight="1" x14ac:dyDescent="0.25"/>
    <row r="1440" ht="15" customHeight="1" x14ac:dyDescent="0.25"/>
    <row r="1441" ht="15" customHeight="1" x14ac:dyDescent="0.25"/>
    <row r="1442" ht="15" customHeight="1" x14ac:dyDescent="0.25"/>
    <row r="1443" ht="15" customHeight="1" x14ac:dyDescent="0.25"/>
    <row r="1444" ht="15" customHeight="1" x14ac:dyDescent="0.25"/>
    <row r="1445" ht="15" customHeight="1" x14ac:dyDescent="0.25"/>
    <row r="1446" ht="15" customHeight="1" x14ac:dyDescent="0.25"/>
    <row r="1447" ht="15" customHeight="1" x14ac:dyDescent="0.25"/>
    <row r="1448" ht="15" customHeight="1" x14ac:dyDescent="0.25"/>
    <row r="1449" ht="15" customHeight="1" x14ac:dyDescent="0.25"/>
    <row r="1451" ht="15" customHeight="1" x14ac:dyDescent="0.25"/>
    <row r="1452" ht="15" customHeight="1" x14ac:dyDescent="0.25"/>
    <row r="1453" ht="15" customHeight="1" x14ac:dyDescent="0.25"/>
    <row r="1454" ht="15" customHeight="1" x14ac:dyDescent="0.25"/>
    <row r="1455" ht="15" customHeight="1" x14ac:dyDescent="0.25"/>
    <row r="1456" ht="15" customHeight="1" x14ac:dyDescent="0.25"/>
    <row r="1457" ht="15" customHeight="1" x14ac:dyDescent="0.25"/>
    <row r="1458" ht="15" customHeight="1" x14ac:dyDescent="0.25"/>
    <row r="1459" ht="15" customHeight="1" x14ac:dyDescent="0.25"/>
    <row r="1460" ht="15" customHeight="1" x14ac:dyDescent="0.25"/>
    <row r="1461" ht="15" customHeight="1" x14ac:dyDescent="0.25"/>
    <row r="1462" ht="15" customHeight="1" x14ac:dyDescent="0.25"/>
    <row r="1463" ht="15" customHeight="1" x14ac:dyDescent="0.25"/>
    <row r="1464" ht="15" customHeight="1" x14ac:dyDescent="0.25"/>
    <row r="1465" ht="15" customHeight="1" x14ac:dyDescent="0.25"/>
    <row r="1466" ht="15" customHeight="1" x14ac:dyDescent="0.25"/>
    <row r="1467" ht="15" customHeight="1" x14ac:dyDescent="0.25"/>
    <row r="1468" ht="15" customHeight="1" x14ac:dyDescent="0.25"/>
    <row r="1469" ht="15" customHeight="1" x14ac:dyDescent="0.25"/>
    <row r="1470" ht="15" customHeight="1" x14ac:dyDescent="0.25"/>
    <row r="1471" ht="15" customHeight="1" x14ac:dyDescent="0.25"/>
    <row r="1472" ht="15" customHeight="1" x14ac:dyDescent="0.25"/>
    <row r="1473" ht="15" customHeight="1" x14ac:dyDescent="0.25"/>
    <row r="1474" ht="15" customHeight="1" x14ac:dyDescent="0.25"/>
    <row r="1475" ht="15" customHeight="1" x14ac:dyDescent="0.25"/>
    <row r="1477" ht="15" customHeight="1" x14ac:dyDescent="0.25"/>
    <row r="1478" ht="15" customHeight="1" x14ac:dyDescent="0.25"/>
    <row r="1479" ht="15" customHeight="1" x14ac:dyDescent="0.25"/>
    <row r="1480" ht="15" customHeight="1" x14ac:dyDescent="0.25"/>
    <row r="1481" ht="15" customHeight="1" x14ac:dyDescent="0.25"/>
    <row r="1482" ht="15" customHeight="1" x14ac:dyDescent="0.25"/>
    <row r="1483" ht="15" customHeight="1" x14ac:dyDescent="0.25"/>
    <row r="1484" ht="15" customHeight="1" x14ac:dyDescent="0.25"/>
    <row r="1485" ht="15" customHeight="1" x14ac:dyDescent="0.25"/>
    <row r="1486" ht="15" customHeight="1" x14ac:dyDescent="0.25"/>
    <row r="1487" ht="15" customHeight="1" x14ac:dyDescent="0.25"/>
    <row r="1489" spans="2:33" ht="15" customHeight="1" x14ac:dyDescent="0.25"/>
    <row r="1491" spans="2:33" ht="15" customHeight="1" x14ac:dyDescent="0.25"/>
    <row r="1492" spans="2:33" ht="15" customHeight="1" x14ac:dyDescent="0.25"/>
    <row r="1493" spans="2:33" ht="15" customHeight="1" x14ac:dyDescent="0.25"/>
    <row r="1494" spans="2:33" ht="15" customHeight="1" x14ac:dyDescent="0.25"/>
    <row r="1495" spans="2:33" ht="15" customHeight="1" x14ac:dyDescent="0.25"/>
    <row r="1496" spans="2:33" ht="15" customHeight="1" x14ac:dyDescent="0.25"/>
    <row r="1497" spans="2:33" ht="15" customHeight="1" x14ac:dyDescent="0.25"/>
    <row r="1498" spans="2:33" ht="15" customHeight="1" x14ac:dyDescent="0.25"/>
    <row r="1500" spans="2:33" ht="15" customHeight="1" x14ac:dyDescent="0.25"/>
    <row r="1501" spans="2:33" ht="15" customHeight="1" x14ac:dyDescent="0.25"/>
    <row r="1502" spans="2:33" ht="15" customHeight="1" x14ac:dyDescent="0.25">
      <c r="B1502" s="86"/>
      <c r="C1502" s="86"/>
      <c r="D1502" s="86"/>
      <c r="E1502" s="86"/>
      <c r="F1502" s="86"/>
      <c r="G1502" s="86"/>
      <c r="H1502" s="86"/>
      <c r="I1502" s="86"/>
      <c r="J1502" s="86"/>
      <c r="K1502" s="86"/>
      <c r="L1502" s="86"/>
      <c r="M1502" s="86"/>
      <c r="N1502" s="86"/>
      <c r="O1502" s="86"/>
      <c r="P1502" s="86"/>
      <c r="Q1502" s="86"/>
      <c r="R1502" s="86"/>
      <c r="S1502" s="86"/>
      <c r="T1502" s="86"/>
      <c r="U1502" s="86"/>
      <c r="V1502" s="86"/>
      <c r="W1502" s="86"/>
      <c r="X1502" s="86"/>
      <c r="Y1502" s="86"/>
      <c r="Z1502" s="86"/>
      <c r="AA1502" s="86"/>
      <c r="AB1502" s="86"/>
      <c r="AC1502" s="86"/>
      <c r="AD1502" s="86"/>
      <c r="AE1502" s="86"/>
      <c r="AF1502" s="86"/>
      <c r="AG1502" s="86"/>
    </row>
    <row r="1503" spans="2:33" ht="15" customHeight="1" x14ac:dyDescent="0.25"/>
    <row r="1504" spans="2:33" ht="15" customHeight="1" x14ac:dyDescent="0.25"/>
    <row r="1505" ht="15" customHeight="1" x14ac:dyDescent="0.25"/>
    <row r="1506" ht="15" customHeight="1" x14ac:dyDescent="0.25"/>
    <row r="1507" ht="15" customHeight="1" x14ac:dyDescent="0.25"/>
    <row r="1508" ht="15" customHeight="1" x14ac:dyDescent="0.25"/>
    <row r="1509" ht="15" customHeight="1" x14ac:dyDescent="0.25"/>
    <row r="1510" ht="15" customHeight="1" x14ac:dyDescent="0.25"/>
    <row r="1511" ht="15" customHeight="1" x14ac:dyDescent="0.25"/>
    <row r="1512" ht="15" customHeight="1" x14ac:dyDescent="0.25"/>
    <row r="1513" ht="15" customHeight="1" x14ac:dyDescent="0.25"/>
    <row r="1514" ht="15" customHeight="1" x14ac:dyDescent="0.25"/>
    <row r="1515" ht="15" customHeight="1" x14ac:dyDescent="0.25"/>
    <row r="1516" ht="15" customHeight="1" x14ac:dyDescent="0.25"/>
    <row r="1517" ht="15" customHeight="1" x14ac:dyDescent="0.25"/>
    <row r="1518" ht="15" customHeight="1" x14ac:dyDescent="0.25"/>
    <row r="1519" ht="15" customHeight="1" x14ac:dyDescent="0.25"/>
    <row r="1520" ht="15" customHeight="1" x14ac:dyDescent="0.25"/>
    <row r="1521" ht="15" customHeight="1" x14ac:dyDescent="0.25"/>
    <row r="1522" ht="15" customHeight="1" x14ac:dyDescent="0.25"/>
    <row r="1523" ht="15" customHeight="1" x14ac:dyDescent="0.25"/>
    <row r="1524" ht="15" customHeight="1" x14ac:dyDescent="0.25"/>
    <row r="1525" ht="15" customHeight="1" x14ac:dyDescent="0.25"/>
    <row r="1526" ht="15" customHeight="1" x14ac:dyDescent="0.25"/>
    <row r="1575" ht="15" customHeight="1" x14ac:dyDescent="0.25"/>
    <row r="1576" ht="15" customHeight="1" x14ac:dyDescent="0.25"/>
    <row r="1577" ht="15" customHeight="1" x14ac:dyDescent="0.25"/>
    <row r="1578" ht="15" customHeight="1" x14ac:dyDescent="0.25"/>
    <row r="1579" ht="15" customHeight="1" x14ac:dyDescent="0.25"/>
    <row r="1580" ht="15" customHeight="1" x14ac:dyDescent="0.25"/>
    <row r="1582" ht="15" customHeight="1" x14ac:dyDescent="0.25"/>
    <row r="1583" ht="15" customHeight="1" x14ac:dyDescent="0.25"/>
    <row r="1584" ht="15" customHeight="1" x14ac:dyDescent="0.25"/>
    <row r="1585" ht="15" customHeight="1" x14ac:dyDescent="0.25"/>
    <row r="1587" ht="15" customHeight="1" x14ac:dyDescent="0.25"/>
    <row r="1588" ht="15" customHeight="1" x14ac:dyDescent="0.25"/>
    <row r="1589" ht="15" customHeight="1" x14ac:dyDescent="0.25"/>
    <row r="1590" ht="15" customHeight="1" x14ac:dyDescent="0.25"/>
    <row r="1592" ht="15" customHeight="1" x14ac:dyDescent="0.25"/>
    <row r="1594" ht="15" customHeight="1" x14ac:dyDescent="0.25"/>
    <row r="1595" ht="15" customHeight="1" x14ac:dyDescent="0.25"/>
    <row r="1596" ht="15" customHeight="1" x14ac:dyDescent="0.25"/>
    <row r="1597" ht="15" customHeight="1" x14ac:dyDescent="0.25"/>
    <row r="1599" ht="15" customHeight="1" x14ac:dyDescent="0.25"/>
    <row r="1600" ht="15" customHeight="1" x14ac:dyDescent="0.25"/>
    <row r="1601" spans="2:33" ht="15" customHeight="1" x14ac:dyDescent="0.25"/>
    <row r="1602" spans="2:33" ht="15" customHeight="1" x14ac:dyDescent="0.25"/>
    <row r="1603" spans="2:33" ht="15" customHeight="1" x14ac:dyDescent="0.25"/>
    <row r="1604" spans="2:33" ht="15" customHeight="1" x14ac:dyDescent="0.25">
      <c r="B1604" s="86"/>
      <c r="C1604" s="86"/>
      <c r="D1604" s="86"/>
      <c r="E1604" s="86"/>
      <c r="F1604" s="86"/>
      <c r="G1604" s="86"/>
      <c r="H1604" s="86"/>
      <c r="I1604" s="86"/>
      <c r="J1604" s="86"/>
      <c r="K1604" s="86"/>
      <c r="L1604" s="86"/>
      <c r="M1604" s="86"/>
      <c r="N1604" s="86"/>
      <c r="O1604" s="86"/>
      <c r="P1604" s="86"/>
      <c r="Q1604" s="86"/>
      <c r="R1604" s="86"/>
      <c r="S1604" s="86"/>
      <c r="T1604" s="86"/>
      <c r="U1604" s="86"/>
      <c r="V1604" s="86"/>
      <c r="W1604" s="86"/>
      <c r="X1604" s="86"/>
      <c r="Y1604" s="86"/>
      <c r="Z1604" s="86"/>
      <c r="AA1604" s="86"/>
      <c r="AB1604" s="86"/>
      <c r="AC1604" s="86"/>
      <c r="AD1604" s="86"/>
      <c r="AE1604" s="86"/>
      <c r="AF1604" s="86"/>
      <c r="AG1604" s="86"/>
    </row>
    <row r="1605" spans="2:33" ht="15" customHeight="1" x14ac:dyDescent="0.25"/>
    <row r="1606" spans="2:33" ht="15" customHeight="1" x14ac:dyDescent="0.25"/>
    <row r="1607" spans="2:33" ht="15" customHeight="1" x14ac:dyDescent="0.25"/>
    <row r="1608" spans="2:33" ht="15" customHeight="1" x14ac:dyDescent="0.25"/>
    <row r="1609" spans="2:33" ht="15" customHeight="1" x14ac:dyDescent="0.25"/>
    <row r="1610" spans="2:33" ht="15" customHeight="1" x14ac:dyDescent="0.25"/>
    <row r="1625" ht="15" customHeight="1" x14ac:dyDescent="0.25"/>
    <row r="1626" ht="15" customHeight="1" x14ac:dyDescent="0.25"/>
    <row r="1627" ht="15" customHeight="1" x14ac:dyDescent="0.25"/>
    <row r="1628" ht="15" customHeight="1" x14ac:dyDescent="0.25"/>
    <row r="1629" ht="15" customHeight="1" x14ac:dyDescent="0.25"/>
    <row r="1630" ht="15" customHeight="1" x14ac:dyDescent="0.25"/>
    <row r="1631" ht="15" customHeight="1" x14ac:dyDescent="0.25"/>
    <row r="1632" ht="15" customHeight="1" x14ac:dyDescent="0.25"/>
    <row r="1633" ht="15" customHeight="1" x14ac:dyDescent="0.25"/>
    <row r="1634" ht="15" customHeight="1" x14ac:dyDescent="0.25"/>
    <row r="1635" ht="15" customHeight="1" x14ac:dyDescent="0.25"/>
    <row r="1636" ht="15" customHeight="1" x14ac:dyDescent="0.25"/>
    <row r="1637" ht="15" customHeight="1" x14ac:dyDescent="0.25"/>
    <row r="1638" ht="15" customHeight="1" x14ac:dyDescent="0.25"/>
    <row r="1640" ht="15" customHeight="1" x14ac:dyDescent="0.25"/>
    <row r="1641" ht="15" customHeight="1" x14ac:dyDescent="0.25"/>
    <row r="1642" ht="15" customHeight="1" x14ac:dyDescent="0.25"/>
    <row r="1643" ht="15" customHeight="1" x14ac:dyDescent="0.25"/>
    <row r="1644" ht="15" customHeight="1" x14ac:dyDescent="0.25"/>
    <row r="1645" ht="15" customHeight="1" x14ac:dyDescent="0.25"/>
    <row r="1646" ht="15" customHeight="1" x14ac:dyDescent="0.25"/>
    <row r="1647" ht="15" customHeight="1" x14ac:dyDescent="0.25"/>
    <row r="1648" ht="15" customHeight="1" x14ac:dyDescent="0.25"/>
    <row r="1649" ht="15" customHeight="1" x14ac:dyDescent="0.25"/>
    <row r="1650" ht="15" customHeight="1" x14ac:dyDescent="0.25"/>
    <row r="1651" ht="15" customHeight="1" x14ac:dyDescent="0.25"/>
    <row r="1652" ht="15" customHeight="1" x14ac:dyDescent="0.25"/>
    <row r="1653" ht="15" customHeight="1" x14ac:dyDescent="0.25"/>
    <row r="1654" ht="15" customHeight="1" x14ac:dyDescent="0.25"/>
    <row r="1655" ht="15" customHeight="1" x14ac:dyDescent="0.25"/>
    <row r="1656" ht="15" customHeight="1" x14ac:dyDescent="0.25"/>
    <row r="1657" ht="15" customHeight="1" x14ac:dyDescent="0.25"/>
    <row r="1658" ht="15" customHeight="1" x14ac:dyDescent="0.25"/>
    <row r="1659" ht="15" customHeight="1" x14ac:dyDescent="0.25"/>
    <row r="1660" ht="15" customHeight="1" x14ac:dyDescent="0.25"/>
    <row r="1661" ht="15" customHeight="1" x14ac:dyDescent="0.25"/>
    <row r="1662" ht="15" customHeight="1" x14ac:dyDescent="0.25"/>
    <row r="1663" ht="15" customHeight="1" x14ac:dyDescent="0.25"/>
    <row r="1665" ht="15" customHeight="1" x14ac:dyDescent="0.25"/>
    <row r="1668" ht="15" customHeight="1" x14ac:dyDescent="0.25"/>
    <row r="1669" ht="15" customHeight="1" x14ac:dyDescent="0.25"/>
    <row r="1670" ht="15" customHeight="1" x14ac:dyDescent="0.25"/>
    <row r="1671" ht="15" customHeight="1" x14ac:dyDescent="0.25"/>
    <row r="1672" ht="15" customHeight="1" x14ac:dyDescent="0.25"/>
    <row r="1673" ht="15" customHeight="1" x14ac:dyDescent="0.25"/>
    <row r="1674" ht="15" customHeight="1" x14ac:dyDescent="0.25"/>
    <row r="1675" ht="15" customHeight="1" x14ac:dyDescent="0.25"/>
    <row r="1676" ht="15" customHeight="1" x14ac:dyDescent="0.25"/>
    <row r="1677" ht="15" customHeight="1" x14ac:dyDescent="0.25"/>
    <row r="1678" ht="15" customHeight="1" x14ac:dyDescent="0.25"/>
    <row r="1679" ht="15" customHeight="1" x14ac:dyDescent="0.25"/>
    <row r="1680" ht="15" customHeight="1" x14ac:dyDescent="0.25"/>
    <row r="1681" ht="15" customHeight="1" x14ac:dyDescent="0.25"/>
    <row r="1682" ht="15" customHeight="1" x14ac:dyDescent="0.25"/>
    <row r="1683" ht="15" customHeight="1" x14ac:dyDescent="0.25"/>
    <row r="1684" ht="15" customHeight="1" x14ac:dyDescent="0.25"/>
    <row r="1686" ht="15" customHeight="1" x14ac:dyDescent="0.25"/>
    <row r="1688" ht="15" customHeight="1" x14ac:dyDescent="0.25"/>
    <row r="1689" ht="15" customHeight="1" x14ac:dyDescent="0.25"/>
    <row r="1690" ht="15" customHeight="1" x14ac:dyDescent="0.25"/>
    <row r="1691" ht="15" customHeight="1" x14ac:dyDescent="0.25"/>
    <row r="1692" ht="15" customHeight="1" x14ac:dyDescent="0.25"/>
    <row r="1693" ht="15" customHeight="1" x14ac:dyDescent="0.25"/>
    <row r="1694" ht="15" customHeight="1" x14ac:dyDescent="0.25"/>
    <row r="1695" ht="15" customHeight="1" x14ac:dyDescent="0.25"/>
    <row r="1697" spans="2:33" ht="15" customHeight="1" x14ac:dyDescent="0.25"/>
    <row r="1698" spans="2:33" ht="15" customHeight="1" x14ac:dyDescent="0.25">
      <c r="B1698" s="86"/>
      <c r="C1698" s="86"/>
      <c r="D1698" s="86"/>
      <c r="E1698" s="86"/>
      <c r="F1698" s="86"/>
      <c r="G1698" s="86"/>
      <c r="H1698" s="86"/>
      <c r="I1698" s="86"/>
      <c r="J1698" s="86"/>
      <c r="K1698" s="86"/>
      <c r="L1698" s="86"/>
      <c r="M1698" s="86"/>
      <c r="N1698" s="86"/>
      <c r="O1698" s="86"/>
      <c r="P1698" s="86"/>
      <c r="Q1698" s="86"/>
      <c r="R1698" s="86"/>
      <c r="S1698" s="86"/>
      <c r="T1698" s="86"/>
      <c r="U1698" s="86"/>
      <c r="V1698" s="86"/>
      <c r="W1698" s="86"/>
      <c r="X1698" s="86"/>
      <c r="Y1698" s="86"/>
      <c r="Z1698" s="86"/>
      <c r="AA1698" s="86"/>
      <c r="AB1698" s="86"/>
      <c r="AC1698" s="86"/>
      <c r="AD1698" s="86"/>
      <c r="AE1698" s="86"/>
      <c r="AF1698" s="86"/>
      <c r="AG1698" s="86"/>
    </row>
    <row r="1699" spans="2:33" ht="15" customHeight="1" x14ac:dyDescent="0.25"/>
    <row r="1700" spans="2:33" ht="15" customHeight="1" x14ac:dyDescent="0.25"/>
    <row r="1701" spans="2:33" ht="15" customHeight="1" x14ac:dyDescent="0.25"/>
    <row r="1702" spans="2:33" ht="15" customHeight="1" x14ac:dyDescent="0.25"/>
    <row r="1703" spans="2:33" ht="15" customHeight="1" x14ac:dyDescent="0.25"/>
    <row r="1704" spans="2:33" ht="15" customHeight="1" x14ac:dyDescent="0.25"/>
    <row r="1705" spans="2:33" ht="15" customHeight="1" x14ac:dyDescent="0.25"/>
    <row r="1706" spans="2:33" ht="15" customHeight="1" x14ac:dyDescent="0.25"/>
    <row r="1707" spans="2:33" ht="15" customHeight="1" x14ac:dyDescent="0.25"/>
    <row r="1708" spans="2:33" ht="15" customHeight="1" x14ac:dyDescent="0.25"/>
    <row r="1709" spans="2:33" ht="15" customHeight="1" x14ac:dyDescent="0.25"/>
    <row r="1710" spans="2:33" ht="15" customHeight="1" x14ac:dyDescent="0.25"/>
    <row r="1711" spans="2:33" ht="15" customHeight="1" x14ac:dyDescent="0.25"/>
    <row r="1712" spans="2:33" ht="15" customHeight="1" x14ac:dyDescent="0.25"/>
    <row r="1713" ht="15" customHeight="1" x14ac:dyDescent="0.25"/>
    <row r="1714" ht="15" customHeight="1" x14ac:dyDescent="0.25"/>
    <row r="1715" ht="15" customHeight="1" x14ac:dyDescent="0.25"/>
    <row r="1716" ht="15" customHeight="1" x14ac:dyDescent="0.25"/>
    <row r="1717" ht="15" customHeight="1" x14ac:dyDescent="0.25"/>
    <row r="1718" ht="15" customHeight="1" x14ac:dyDescent="0.25"/>
    <row r="1719" ht="15" customHeight="1" x14ac:dyDescent="0.25"/>
    <row r="1720" ht="15" customHeight="1" x14ac:dyDescent="0.25"/>
    <row r="1721" ht="15" customHeight="1" x14ac:dyDescent="0.25"/>
    <row r="1722" ht="15" customHeight="1" x14ac:dyDescent="0.25"/>
    <row r="1723" ht="15" customHeight="1" x14ac:dyDescent="0.25"/>
    <row r="1724" ht="15" customHeight="1" x14ac:dyDescent="0.25"/>
    <row r="1725" ht="15" customHeight="1" x14ac:dyDescent="0.25"/>
    <row r="1726" ht="15" customHeight="1" x14ac:dyDescent="0.25"/>
    <row r="1850" ht="15" customHeight="1" x14ac:dyDescent="0.25"/>
    <row r="1851" ht="15" customHeight="1" x14ac:dyDescent="0.25"/>
    <row r="1852" ht="15" customHeight="1" x14ac:dyDescent="0.25"/>
    <row r="1853" ht="15" customHeight="1" x14ac:dyDescent="0.25"/>
    <row r="1854" ht="15" customHeight="1" x14ac:dyDescent="0.25"/>
    <row r="1855" ht="15" customHeight="1" x14ac:dyDescent="0.25"/>
    <row r="1856" ht="15" customHeight="1" x14ac:dyDescent="0.25"/>
    <row r="1857" ht="15" customHeight="1" x14ac:dyDescent="0.25"/>
    <row r="1858" ht="15" customHeight="1" x14ac:dyDescent="0.25"/>
    <row r="1859" ht="15" customHeight="1" x14ac:dyDescent="0.25"/>
    <row r="1861" ht="15" customHeight="1" x14ac:dyDescent="0.25"/>
    <row r="1863" ht="15" customHeight="1" x14ac:dyDescent="0.25"/>
    <row r="1864" ht="15" customHeight="1" x14ac:dyDescent="0.25"/>
    <row r="1865" ht="15" customHeight="1" x14ac:dyDescent="0.25"/>
    <row r="1867" ht="15" customHeight="1" x14ac:dyDescent="0.25"/>
    <row r="1868" ht="15" customHeight="1" x14ac:dyDescent="0.25"/>
    <row r="1869" ht="15" customHeight="1" x14ac:dyDescent="0.25"/>
    <row r="1870" ht="15" customHeight="1" x14ac:dyDescent="0.25"/>
    <row r="1872" ht="15" customHeight="1" x14ac:dyDescent="0.25"/>
    <row r="1873" ht="15" customHeight="1" x14ac:dyDescent="0.25"/>
    <row r="1874" ht="15" customHeight="1" x14ac:dyDescent="0.25"/>
    <row r="1875" ht="15" customHeight="1" x14ac:dyDescent="0.25"/>
    <row r="1876" ht="15" customHeight="1" x14ac:dyDescent="0.25"/>
    <row r="1878" ht="15" customHeight="1" x14ac:dyDescent="0.25"/>
    <row r="1879" ht="15" customHeight="1" x14ac:dyDescent="0.25"/>
    <row r="1880" ht="15" customHeight="1" x14ac:dyDescent="0.25"/>
    <row r="1881" ht="15" customHeight="1" x14ac:dyDescent="0.25"/>
    <row r="1882" ht="15" customHeight="1" x14ac:dyDescent="0.25"/>
    <row r="1883" ht="15" customHeight="1" x14ac:dyDescent="0.25"/>
    <row r="1884" ht="15" customHeight="1" x14ac:dyDescent="0.25"/>
    <row r="1885" ht="15" customHeight="1" x14ac:dyDescent="0.25"/>
    <row r="1886" ht="15" customHeight="1" x14ac:dyDescent="0.25"/>
    <row r="1888" ht="15" customHeight="1" x14ac:dyDescent="0.25"/>
    <row r="1889" ht="15" customHeight="1" x14ac:dyDescent="0.25"/>
    <row r="1890" ht="15" customHeight="1" x14ac:dyDescent="0.25"/>
    <row r="1891" ht="15" customHeight="1" x14ac:dyDescent="0.25"/>
    <row r="1893" ht="15" customHeight="1" x14ac:dyDescent="0.25"/>
    <row r="1894" ht="15" customHeight="1" x14ac:dyDescent="0.25"/>
    <row r="1895" ht="15" customHeight="1" x14ac:dyDescent="0.25"/>
    <row r="1896" ht="15" customHeight="1" x14ac:dyDescent="0.25"/>
    <row r="1897" ht="15" customHeight="1" x14ac:dyDescent="0.25"/>
    <row r="1898" ht="15" customHeight="1" x14ac:dyDescent="0.25"/>
    <row r="1899" ht="15" customHeight="1" x14ac:dyDescent="0.25"/>
    <row r="1900" ht="15" customHeight="1" x14ac:dyDescent="0.25"/>
    <row r="1903" ht="15" customHeight="1" x14ac:dyDescent="0.25"/>
    <row r="1904" ht="15" customHeight="1" x14ac:dyDescent="0.25"/>
    <row r="1905" ht="15" customHeight="1" x14ac:dyDescent="0.25"/>
    <row r="1906" ht="15" customHeight="1" x14ac:dyDescent="0.25"/>
    <row r="1907" ht="15" customHeight="1" x14ac:dyDescent="0.25"/>
    <row r="1909" ht="15" customHeight="1" x14ac:dyDescent="0.25"/>
    <row r="1910" ht="15" customHeight="1" x14ac:dyDescent="0.25"/>
    <row r="1911" ht="15" customHeight="1" x14ac:dyDescent="0.25"/>
    <row r="1912" ht="15" customHeight="1" x14ac:dyDescent="0.25"/>
    <row r="1913" ht="15" customHeight="1" x14ac:dyDescent="0.25"/>
    <row r="1915" ht="15" customHeight="1" x14ac:dyDescent="0.25"/>
    <row r="1916" ht="15" customHeight="1" x14ac:dyDescent="0.25"/>
    <row r="1917" ht="15" customHeight="1" x14ac:dyDescent="0.25"/>
    <row r="1919" ht="15" customHeight="1" x14ac:dyDescent="0.25"/>
    <row r="1920" ht="15" customHeight="1" x14ac:dyDescent="0.25"/>
    <row r="1921" ht="15" customHeight="1" x14ac:dyDescent="0.25"/>
    <row r="1922" ht="15" customHeight="1" x14ac:dyDescent="0.25"/>
    <row r="1924" ht="15" customHeight="1" x14ac:dyDescent="0.25"/>
    <row r="1925" ht="15" customHeight="1" x14ac:dyDescent="0.25"/>
    <row r="1926" ht="15" customHeight="1" x14ac:dyDescent="0.25"/>
    <row r="1927" ht="15" customHeight="1" x14ac:dyDescent="0.25"/>
    <row r="1928" ht="15" customHeight="1" x14ac:dyDescent="0.25"/>
    <row r="1929" ht="15" customHeight="1" x14ac:dyDescent="0.25"/>
    <row r="1930" ht="15" customHeight="1" x14ac:dyDescent="0.25"/>
    <row r="1931" ht="15" customHeight="1" x14ac:dyDescent="0.25"/>
    <row r="1933" ht="15" customHeight="1" x14ac:dyDescent="0.25"/>
    <row r="1934" ht="15" customHeight="1" x14ac:dyDescent="0.25"/>
    <row r="1935" ht="15" customHeight="1" x14ac:dyDescent="0.25"/>
    <row r="1937" spans="2:33" ht="15" customHeight="1" x14ac:dyDescent="0.25"/>
    <row r="1938" spans="2:33" ht="15" customHeight="1" x14ac:dyDescent="0.25"/>
    <row r="1939" spans="2:33" ht="15" customHeight="1" x14ac:dyDescent="0.25"/>
    <row r="1940" spans="2:33" ht="15" customHeight="1" x14ac:dyDescent="0.25"/>
    <row r="1941" spans="2:33" ht="15" customHeight="1" x14ac:dyDescent="0.25"/>
    <row r="1942" spans="2:33" ht="15" customHeight="1" x14ac:dyDescent="0.25"/>
    <row r="1943" spans="2:33" ht="15" customHeight="1" x14ac:dyDescent="0.25"/>
    <row r="1944" spans="2:33" ht="15" customHeight="1" x14ac:dyDescent="0.25"/>
    <row r="1945" spans="2:33" ht="15" customHeight="1" x14ac:dyDescent="0.25">
      <c r="B1945" s="86"/>
      <c r="C1945" s="86"/>
      <c r="D1945" s="86"/>
      <c r="E1945" s="86"/>
      <c r="F1945" s="86"/>
      <c r="G1945" s="86"/>
      <c r="H1945" s="86"/>
      <c r="I1945" s="86"/>
      <c r="J1945" s="86"/>
      <c r="K1945" s="86"/>
      <c r="L1945" s="86"/>
      <c r="M1945" s="86"/>
      <c r="N1945" s="86"/>
      <c r="O1945" s="86"/>
      <c r="P1945" s="86"/>
      <c r="Q1945" s="86"/>
      <c r="R1945" s="86"/>
      <c r="S1945" s="86"/>
      <c r="T1945" s="86"/>
      <c r="U1945" s="86"/>
      <c r="V1945" s="86"/>
      <c r="W1945" s="86"/>
      <c r="X1945" s="86"/>
      <c r="Y1945" s="86"/>
      <c r="Z1945" s="86"/>
      <c r="AA1945" s="86"/>
      <c r="AB1945" s="86"/>
      <c r="AC1945" s="86"/>
      <c r="AD1945" s="86"/>
      <c r="AE1945" s="86"/>
      <c r="AF1945" s="86"/>
      <c r="AG1945" s="86"/>
    </row>
    <row r="1946" spans="2:33" ht="15" customHeight="1" x14ac:dyDescent="0.25"/>
    <row r="1947" spans="2:33" ht="15" customHeight="1" x14ac:dyDescent="0.25"/>
    <row r="1948" spans="2:33" ht="15" customHeight="1" x14ac:dyDescent="0.25"/>
    <row r="1949" spans="2:33" ht="15" customHeight="1" x14ac:dyDescent="0.25"/>
    <row r="1950" spans="2:33" ht="15" customHeight="1" x14ac:dyDescent="0.25"/>
    <row r="1951" spans="2:33" ht="15" customHeight="1" x14ac:dyDescent="0.25"/>
    <row r="1952" spans="2:33" ht="15" customHeight="1" x14ac:dyDescent="0.25"/>
    <row r="1953" ht="15" customHeight="1" x14ac:dyDescent="0.25"/>
    <row r="1954" ht="15" customHeight="1" x14ac:dyDescent="0.25"/>
    <row r="1955" ht="15" customHeight="1" x14ac:dyDescent="0.25"/>
    <row r="1975" ht="15" customHeight="1" x14ac:dyDescent="0.25"/>
    <row r="1976" ht="15" customHeight="1" x14ac:dyDescent="0.25"/>
    <row r="1977" ht="15" customHeight="1" x14ac:dyDescent="0.25"/>
    <row r="1978" ht="15" customHeight="1" x14ac:dyDescent="0.25"/>
    <row r="1979" ht="15" customHeight="1" x14ac:dyDescent="0.25"/>
    <row r="1980" ht="15" customHeight="1" x14ac:dyDescent="0.25"/>
    <row r="1981" ht="15" customHeight="1" x14ac:dyDescent="0.25"/>
    <row r="1982" ht="15" customHeight="1" x14ac:dyDescent="0.25"/>
    <row r="1984" ht="15" customHeight="1" x14ac:dyDescent="0.25"/>
    <row r="1985" ht="15" customHeight="1" x14ac:dyDescent="0.25"/>
    <row r="1986" ht="15" customHeight="1" x14ac:dyDescent="0.25"/>
    <row r="1988" ht="15" customHeight="1" x14ac:dyDescent="0.25"/>
    <row r="1990" ht="15" customHeight="1" x14ac:dyDescent="0.25"/>
    <row r="1991" ht="15" customHeight="1" x14ac:dyDescent="0.25"/>
    <row r="1992" ht="15" customHeight="1" x14ac:dyDescent="0.25"/>
    <row r="1993" ht="15" customHeight="1" x14ac:dyDescent="0.25"/>
    <row r="1994" ht="15" customHeight="1" x14ac:dyDescent="0.25"/>
    <row r="1995" ht="15" customHeight="1" x14ac:dyDescent="0.25"/>
    <row r="1996" ht="15" customHeight="1" x14ac:dyDescent="0.25"/>
    <row r="1997" ht="15" customHeight="1" x14ac:dyDescent="0.25"/>
    <row r="1998" ht="15" customHeight="1" x14ac:dyDescent="0.25"/>
    <row r="1999" ht="15" customHeight="1" x14ac:dyDescent="0.25"/>
    <row r="2000" ht="15" customHeight="1" x14ac:dyDescent="0.25"/>
    <row r="2001" ht="15" customHeight="1" x14ac:dyDescent="0.25"/>
    <row r="2002" ht="15" customHeight="1" x14ac:dyDescent="0.25"/>
    <row r="2004" ht="15" customHeight="1" x14ac:dyDescent="0.25"/>
    <row r="2006" ht="15" customHeight="1" x14ac:dyDescent="0.25"/>
    <row r="2008" ht="15" customHeight="1" x14ac:dyDescent="0.25"/>
    <row r="2009" ht="15" customHeight="1" x14ac:dyDescent="0.25"/>
    <row r="2011" ht="15" customHeight="1" x14ac:dyDescent="0.25"/>
    <row r="2012" ht="15" customHeight="1" x14ac:dyDescent="0.25"/>
    <row r="2013" ht="15" customHeight="1" x14ac:dyDescent="0.25"/>
    <row r="2014" ht="15" customHeight="1" x14ac:dyDescent="0.25"/>
    <row r="2015" ht="15" customHeight="1" x14ac:dyDescent="0.25"/>
    <row r="2016" ht="15" customHeight="1" x14ac:dyDescent="0.25"/>
    <row r="2017" spans="2:33" ht="15" customHeight="1" x14ac:dyDescent="0.25"/>
    <row r="2018" spans="2:33" ht="15" customHeight="1" x14ac:dyDescent="0.25"/>
    <row r="2019" spans="2:33" ht="15" customHeight="1" x14ac:dyDescent="0.25"/>
    <row r="2020" spans="2:33" ht="15" customHeight="1" x14ac:dyDescent="0.25"/>
    <row r="2022" spans="2:33" ht="15" customHeight="1" x14ac:dyDescent="0.25"/>
    <row r="2023" spans="2:33" ht="15" customHeight="1" x14ac:dyDescent="0.25"/>
    <row r="2024" spans="2:33" ht="15" customHeight="1" x14ac:dyDescent="0.25"/>
    <row r="2025" spans="2:33" ht="15" customHeight="1" x14ac:dyDescent="0.25"/>
    <row r="2026" spans="2:33" ht="15" customHeight="1" x14ac:dyDescent="0.25"/>
    <row r="2027" spans="2:33" ht="15" customHeight="1" x14ac:dyDescent="0.25"/>
    <row r="2028" spans="2:33" ht="15" customHeight="1" x14ac:dyDescent="0.25"/>
    <row r="2029" spans="2:33" ht="15" customHeight="1" x14ac:dyDescent="0.25"/>
    <row r="2030" spans="2:33" ht="15" customHeight="1" x14ac:dyDescent="0.25"/>
    <row r="2031" spans="2:33" ht="15" customHeight="1" x14ac:dyDescent="0.25">
      <c r="B2031" s="86"/>
      <c r="C2031" s="86"/>
      <c r="D2031" s="86"/>
      <c r="E2031" s="86"/>
      <c r="F2031" s="86"/>
      <c r="G2031" s="86"/>
      <c r="H2031" s="86"/>
      <c r="I2031" s="86"/>
      <c r="J2031" s="86"/>
      <c r="K2031" s="86"/>
      <c r="L2031" s="86"/>
      <c r="M2031" s="86"/>
      <c r="N2031" s="86"/>
      <c r="O2031" s="86"/>
      <c r="P2031" s="86"/>
      <c r="Q2031" s="86"/>
      <c r="R2031" s="86"/>
      <c r="S2031" s="86"/>
      <c r="T2031" s="86"/>
      <c r="U2031" s="86"/>
      <c r="V2031" s="86"/>
      <c r="W2031" s="86"/>
      <c r="X2031" s="86"/>
      <c r="Y2031" s="86"/>
      <c r="Z2031" s="86"/>
      <c r="AA2031" s="86"/>
      <c r="AB2031" s="86"/>
      <c r="AC2031" s="86"/>
      <c r="AD2031" s="86"/>
      <c r="AE2031" s="86"/>
      <c r="AF2031" s="86"/>
      <c r="AG2031" s="86"/>
    </row>
    <row r="2032" spans="2:33" ht="15" customHeight="1" x14ac:dyDescent="0.25"/>
    <row r="2033" ht="15" customHeight="1" x14ac:dyDescent="0.25"/>
    <row r="2034" ht="15" customHeight="1" x14ac:dyDescent="0.25"/>
    <row r="2035" ht="15" customHeight="1" x14ac:dyDescent="0.25"/>
    <row r="2036" ht="15" customHeight="1" x14ac:dyDescent="0.25"/>
    <row r="2037" ht="15" customHeight="1" x14ac:dyDescent="0.25"/>
    <row r="2038" ht="15" customHeight="1" x14ac:dyDescent="0.25"/>
    <row r="2039" ht="15" customHeight="1" x14ac:dyDescent="0.25"/>
    <row r="2040" ht="15" customHeight="1" x14ac:dyDescent="0.25"/>
    <row r="2041" ht="15" customHeight="1" x14ac:dyDescent="0.25"/>
    <row r="2042" ht="15" customHeight="1" x14ac:dyDescent="0.25"/>
    <row r="2043" ht="15" customHeight="1" x14ac:dyDescent="0.25"/>
    <row r="2044" ht="15" customHeight="1" x14ac:dyDescent="0.25"/>
    <row r="2045" ht="15" customHeight="1" x14ac:dyDescent="0.25"/>
    <row r="2046" ht="15" customHeight="1" x14ac:dyDescent="0.25"/>
    <row r="2047" ht="15" customHeight="1" x14ac:dyDescent="0.25"/>
    <row r="2048" ht="15" customHeight="1" x14ac:dyDescent="0.25"/>
    <row r="2049" ht="15" customHeight="1" x14ac:dyDescent="0.25"/>
    <row r="2050" ht="15" customHeight="1" x14ac:dyDescent="0.25"/>
    <row r="2051" ht="15" customHeight="1" x14ac:dyDescent="0.25"/>
    <row r="2052" ht="15" customHeight="1" x14ac:dyDescent="0.25"/>
    <row r="2053" ht="15" customHeight="1" x14ac:dyDescent="0.25"/>
    <row r="2100" ht="15" customHeight="1" x14ac:dyDescent="0.25"/>
    <row r="2101" ht="15" customHeight="1" x14ac:dyDescent="0.25"/>
    <row r="2102" ht="15" customHeight="1" x14ac:dyDescent="0.25"/>
    <row r="2103" ht="15" customHeight="1" x14ac:dyDescent="0.25"/>
    <row r="2104" ht="15" customHeight="1" x14ac:dyDescent="0.25"/>
    <row r="2105" ht="15" customHeight="1" x14ac:dyDescent="0.25"/>
    <row r="2107" ht="15" customHeight="1" x14ac:dyDescent="0.25"/>
    <row r="2108" ht="15" customHeight="1" x14ac:dyDescent="0.25"/>
    <row r="2110" ht="15" customHeight="1" x14ac:dyDescent="0.25"/>
    <row r="2111" ht="15" customHeight="1" x14ac:dyDescent="0.25"/>
    <row r="2112" ht="15" customHeight="1" x14ac:dyDescent="0.25"/>
    <row r="2113" ht="15" customHeight="1" x14ac:dyDescent="0.25"/>
    <row r="2114" ht="15" customHeight="1" x14ac:dyDescent="0.25"/>
    <row r="2115" ht="15" customHeight="1" x14ac:dyDescent="0.25"/>
    <row r="2116" ht="15" customHeight="1" x14ac:dyDescent="0.25"/>
    <row r="2117" ht="15" customHeight="1" x14ac:dyDescent="0.25"/>
    <row r="2118" ht="15" customHeight="1" x14ac:dyDescent="0.25"/>
    <row r="2119" ht="15" customHeight="1" x14ac:dyDescent="0.25"/>
    <row r="2120" ht="15" customHeight="1" x14ac:dyDescent="0.25"/>
    <row r="2121" ht="15" customHeight="1" x14ac:dyDescent="0.25"/>
    <row r="2122" ht="15" customHeight="1" x14ac:dyDescent="0.25"/>
    <row r="2124" ht="15" customHeight="1" x14ac:dyDescent="0.25"/>
    <row r="2125" ht="15" customHeight="1" x14ac:dyDescent="0.25"/>
    <row r="2126" ht="15" customHeight="1" x14ac:dyDescent="0.25"/>
    <row r="2127" ht="15" customHeight="1" x14ac:dyDescent="0.25"/>
    <row r="2128" ht="15" customHeight="1" x14ac:dyDescent="0.25"/>
    <row r="2129" ht="15" customHeight="1" x14ac:dyDescent="0.25"/>
    <row r="2131" ht="15" customHeight="1" x14ac:dyDescent="0.25"/>
    <row r="2133" ht="15" customHeight="1" x14ac:dyDescent="0.25"/>
    <row r="2134" ht="15" customHeight="1" x14ac:dyDescent="0.25"/>
    <row r="2136" ht="15" customHeight="1" x14ac:dyDescent="0.25"/>
    <row r="2137" ht="15" customHeight="1" x14ac:dyDescent="0.25"/>
    <row r="2138" ht="15" customHeight="1" x14ac:dyDescent="0.25"/>
    <row r="2139" ht="15" customHeight="1" x14ac:dyDescent="0.25"/>
    <row r="2140" ht="15" customHeight="1" x14ac:dyDescent="0.25"/>
    <row r="2141" ht="15" customHeight="1" x14ac:dyDescent="0.25"/>
    <row r="2142" ht="15" customHeight="1" x14ac:dyDescent="0.25"/>
    <row r="2143" ht="15" customHeight="1" x14ac:dyDescent="0.25"/>
    <row r="2144" ht="15" customHeight="1" x14ac:dyDescent="0.25"/>
    <row r="2145" spans="2:33" ht="15" customHeight="1" x14ac:dyDescent="0.25"/>
    <row r="2146" spans="2:33" ht="15" customHeight="1" x14ac:dyDescent="0.25"/>
    <row r="2148" spans="2:33" ht="15" customHeight="1" x14ac:dyDescent="0.25"/>
    <row r="2151" spans="2:33" ht="15" customHeight="1" x14ac:dyDescent="0.25"/>
    <row r="2152" spans="2:33" ht="15" customHeight="1" x14ac:dyDescent="0.25"/>
    <row r="2153" spans="2:33" ht="15" customHeight="1" x14ac:dyDescent="0.25">
      <c r="B2153" s="86"/>
      <c r="C2153" s="86"/>
      <c r="D2153" s="86"/>
      <c r="E2153" s="86"/>
      <c r="F2153" s="86"/>
      <c r="G2153" s="86"/>
      <c r="H2153" s="86"/>
      <c r="I2153" s="86"/>
      <c r="J2153" s="86"/>
      <c r="K2153" s="86"/>
      <c r="L2153" s="86"/>
      <c r="M2153" s="86"/>
      <c r="N2153" s="86"/>
      <c r="O2153" s="86"/>
      <c r="P2153" s="86"/>
      <c r="Q2153" s="86"/>
      <c r="R2153" s="86"/>
      <c r="S2153" s="86"/>
      <c r="T2153" s="86"/>
      <c r="U2153" s="86"/>
      <c r="V2153" s="86"/>
      <c r="W2153" s="86"/>
      <c r="X2153" s="86"/>
      <c r="Y2153" s="86"/>
      <c r="Z2153" s="86"/>
      <c r="AA2153" s="86"/>
      <c r="AB2153" s="86"/>
      <c r="AC2153" s="86"/>
      <c r="AD2153" s="86"/>
      <c r="AE2153" s="86"/>
      <c r="AF2153" s="86"/>
      <c r="AG2153" s="86"/>
    </row>
    <row r="2154" spans="2:33" ht="15" customHeight="1" x14ac:dyDescent="0.25"/>
    <row r="2155" spans="2:33" ht="15" customHeight="1" x14ac:dyDescent="0.25"/>
    <row r="2156" spans="2:33" ht="15" customHeight="1" x14ac:dyDescent="0.25"/>
    <row r="2157" spans="2:33" ht="15" customHeight="1" x14ac:dyDescent="0.25"/>
    <row r="2158" spans="2:33" ht="15" customHeight="1" x14ac:dyDescent="0.25"/>
    <row r="2159" spans="2:33" ht="15" customHeight="1" x14ac:dyDescent="0.25"/>
    <row r="2160" spans="2:33" ht="15" customHeight="1" x14ac:dyDescent="0.25"/>
    <row r="2161" ht="15" customHeight="1" x14ac:dyDescent="0.25"/>
    <row r="2162" ht="15" customHeight="1" x14ac:dyDescent="0.25"/>
    <row r="2250" ht="15" customHeight="1" x14ac:dyDescent="0.25"/>
    <row r="2251" ht="15" customHeight="1" x14ac:dyDescent="0.25"/>
    <row r="2252" ht="15" customHeight="1" x14ac:dyDescent="0.25"/>
    <row r="2253" ht="15" customHeight="1" x14ac:dyDescent="0.25"/>
    <row r="2254" ht="15" customHeight="1" x14ac:dyDescent="0.25"/>
    <row r="2255" ht="15" customHeight="1" x14ac:dyDescent="0.25"/>
    <row r="2256" ht="15" customHeight="1" x14ac:dyDescent="0.25"/>
    <row r="2257" ht="15" customHeight="1" x14ac:dyDescent="0.25"/>
    <row r="2258" ht="15" customHeight="1" x14ac:dyDescent="0.25"/>
    <row r="2260" ht="15" customHeight="1" x14ac:dyDescent="0.25"/>
    <row r="2261" ht="15" customHeight="1" x14ac:dyDescent="0.25"/>
    <row r="2262" ht="15" customHeight="1" x14ac:dyDescent="0.25"/>
    <row r="2264" ht="15" customHeight="1" x14ac:dyDescent="0.25"/>
    <row r="2266" ht="15" customHeight="1" x14ac:dyDescent="0.25"/>
    <row r="2267" ht="15" customHeight="1" x14ac:dyDescent="0.25"/>
    <row r="2268" ht="15" customHeight="1" x14ac:dyDescent="0.25"/>
    <row r="2269" ht="15" customHeight="1" x14ac:dyDescent="0.25"/>
    <row r="2271" ht="15" customHeight="1" x14ac:dyDescent="0.25"/>
    <row r="2273" ht="15" customHeight="1" x14ac:dyDescent="0.25"/>
    <row r="2274" ht="15" customHeight="1" x14ac:dyDescent="0.25"/>
    <row r="2275" ht="15" customHeight="1" x14ac:dyDescent="0.25"/>
    <row r="2276" ht="15" customHeight="1" x14ac:dyDescent="0.25"/>
    <row r="2277" ht="15" customHeight="1" x14ac:dyDescent="0.25"/>
    <row r="2278" ht="15" customHeight="1" x14ac:dyDescent="0.25"/>
    <row r="2279" ht="15" customHeight="1" x14ac:dyDescent="0.25"/>
    <row r="2280" ht="15" customHeight="1" x14ac:dyDescent="0.25"/>
    <row r="2282" ht="15" customHeight="1" x14ac:dyDescent="0.25"/>
    <row r="2284" ht="15" customHeight="1" x14ac:dyDescent="0.25"/>
    <row r="2285" ht="15" customHeight="1" x14ac:dyDescent="0.25"/>
    <row r="2286" ht="15" customHeight="1" x14ac:dyDescent="0.25"/>
    <row r="2288" ht="15" customHeight="1" x14ac:dyDescent="0.25"/>
    <row r="2289" ht="15" customHeight="1" x14ac:dyDescent="0.25"/>
    <row r="2290" ht="15" customHeight="1" x14ac:dyDescent="0.25"/>
    <row r="2291" ht="15" customHeight="1" x14ac:dyDescent="0.25"/>
    <row r="2292" ht="15" customHeight="1" x14ac:dyDescent="0.25"/>
    <row r="2293" ht="15" customHeight="1" x14ac:dyDescent="0.25"/>
    <row r="2294" ht="15" customHeight="1" x14ac:dyDescent="0.25"/>
    <row r="2295" ht="15" customHeight="1" x14ac:dyDescent="0.25"/>
    <row r="2296" ht="15" customHeight="1" x14ac:dyDescent="0.25"/>
    <row r="2297" ht="15" customHeight="1" x14ac:dyDescent="0.25"/>
    <row r="2298" ht="15" customHeight="1" x14ac:dyDescent="0.25"/>
    <row r="2301" ht="15" customHeight="1" x14ac:dyDescent="0.25"/>
    <row r="2302" ht="15" customHeight="1" x14ac:dyDescent="0.25"/>
    <row r="2303" ht="15" customHeight="1" x14ac:dyDescent="0.25"/>
    <row r="2305" spans="2:33" ht="15" customHeight="1" x14ac:dyDescent="0.25"/>
    <row r="2306" spans="2:33" ht="15" customHeight="1" x14ac:dyDescent="0.25"/>
    <row r="2307" spans="2:33" ht="15" customHeight="1" x14ac:dyDescent="0.25"/>
    <row r="2308" spans="2:33" ht="15" customHeight="1" x14ac:dyDescent="0.25"/>
    <row r="2309" spans="2:33" ht="15" customHeight="1" x14ac:dyDescent="0.25"/>
    <row r="2310" spans="2:33" ht="15" customHeight="1" x14ac:dyDescent="0.25"/>
    <row r="2311" spans="2:33" ht="15" customHeight="1" x14ac:dyDescent="0.25"/>
    <row r="2312" spans="2:33" ht="15" customHeight="1" x14ac:dyDescent="0.25"/>
    <row r="2313" spans="2:33" ht="15" customHeight="1" x14ac:dyDescent="0.25"/>
    <row r="2314" spans="2:33" ht="15" customHeight="1" x14ac:dyDescent="0.25"/>
    <row r="2315" spans="2:33" ht="15" customHeight="1" x14ac:dyDescent="0.25"/>
    <row r="2316" spans="2:33" ht="15" customHeight="1" x14ac:dyDescent="0.25"/>
    <row r="2317" spans="2:33" ht="15" customHeight="1" x14ac:dyDescent="0.25">
      <c r="B2317" s="86"/>
      <c r="C2317" s="86"/>
      <c r="D2317" s="86"/>
      <c r="E2317" s="86"/>
      <c r="F2317" s="86"/>
      <c r="G2317" s="86"/>
      <c r="H2317" s="86"/>
      <c r="I2317" s="86"/>
      <c r="J2317" s="86"/>
      <c r="K2317" s="86"/>
      <c r="L2317" s="86"/>
      <c r="M2317" s="86"/>
      <c r="N2317" s="86"/>
      <c r="O2317" s="86"/>
      <c r="P2317" s="86"/>
      <c r="Q2317" s="86"/>
      <c r="R2317" s="86"/>
      <c r="S2317" s="86"/>
      <c r="T2317" s="86"/>
      <c r="U2317" s="86"/>
      <c r="V2317" s="86"/>
      <c r="W2317" s="86"/>
      <c r="X2317" s="86"/>
      <c r="Y2317" s="86"/>
      <c r="Z2317" s="86"/>
      <c r="AA2317" s="86"/>
      <c r="AB2317" s="86"/>
      <c r="AC2317" s="86"/>
      <c r="AD2317" s="86"/>
      <c r="AE2317" s="86"/>
      <c r="AF2317" s="86"/>
      <c r="AG2317" s="86"/>
    </row>
    <row r="2318" spans="2:33" ht="15" customHeight="1" x14ac:dyDescent="0.25"/>
    <row r="2319" spans="2:33" ht="15" customHeight="1" x14ac:dyDescent="0.25"/>
    <row r="2320" spans="2:33" ht="15" customHeight="1" x14ac:dyDescent="0.25"/>
    <row r="2321" ht="15" customHeight="1" x14ac:dyDescent="0.25"/>
    <row r="2322" ht="15" customHeight="1" x14ac:dyDescent="0.25"/>
    <row r="2323" ht="15" customHeight="1" x14ac:dyDescent="0.25"/>
    <row r="2324" ht="15" customHeight="1" x14ac:dyDescent="0.25"/>
    <row r="2325" ht="15" customHeight="1" x14ac:dyDescent="0.25"/>
    <row r="2326" ht="15" customHeight="1" x14ac:dyDescent="0.25"/>
    <row r="2327" ht="15" customHeight="1" x14ac:dyDescent="0.25"/>
    <row r="2328" ht="15" customHeight="1" x14ac:dyDescent="0.25"/>
    <row r="2329" ht="15" customHeight="1" x14ac:dyDescent="0.25"/>
    <row r="2330" ht="15" customHeight="1" x14ac:dyDescent="0.25"/>
    <row r="2331" ht="15" customHeight="1" x14ac:dyDescent="0.25"/>
    <row r="2332" ht="15" customHeight="1" x14ac:dyDescent="0.25"/>
    <row r="2333" ht="15" customHeight="1" x14ac:dyDescent="0.25"/>
    <row r="2334" ht="15" customHeight="1" x14ac:dyDescent="0.25"/>
    <row r="2350" ht="15" customHeight="1" x14ac:dyDescent="0.25"/>
    <row r="2351" ht="15" customHeight="1" x14ac:dyDescent="0.25"/>
    <row r="2352" ht="15" customHeight="1" x14ac:dyDescent="0.25"/>
    <row r="2353" ht="15" customHeight="1" x14ac:dyDescent="0.25"/>
    <row r="2354" ht="15" customHeight="1" x14ac:dyDescent="0.25"/>
    <row r="2355" ht="15" customHeight="1" x14ac:dyDescent="0.25"/>
    <row r="2356" ht="15" customHeight="1" x14ac:dyDescent="0.25"/>
    <row r="2357" ht="15" customHeight="1" x14ac:dyDescent="0.25"/>
    <row r="2358" ht="15" customHeight="1" x14ac:dyDescent="0.25"/>
    <row r="2359" ht="15" customHeight="1" x14ac:dyDescent="0.25"/>
    <row r="2360" ht="15" customHeight="1" x14ac:dyDescent="0.25"/>
    <row r="2361" ht="15" customHeight="1" x14ac:dyDescent="0.25"/>
    <row r="2362" ht="15" customHeight="1" x14ac:dyDescent="0.25"/>
    <row r="2363" ht="15" customHeight="1" x14ac:dyDescent="0.25"/>
    <row r="2364" ht="15" customHeight="1" x14ac:dyDescent="0.25"/>
    <row r="2365" ht="15" customHeight="1" x14ac:dyDescent="0.25"/>
    <row r="2367" ht="15" customHeight="1" x14ac:dyDescent="0.25"/>
    <row r="2368" ht="15" customHeight="1" x14ac:dyDescent="0.25"/>
    <row r="2369" ht="15" customHeight="1" x14ac:dyDescent="0.25"/>
    <row r="2370" ht="15" customHeight="1" x14ac:dyDescent="0.25"/>
    <row r="2371" ht="15" customHeight="1" x14ac:dyDescent="0.25"/>
    <row r="2372" ht="15" customHeight="1" x14ac:dyDescent="0.25"/>
    <row r="2373" ht="15" customHeight="1" x14ac:dyDescent="0.25"/>
    <row r="2374" ht="15" customHeight="1" x14ac:dyDescent="0.25"/>
    <row r="2375" ht="15" customHeight="1" x14ac:dyDescent="0.25"/>
    <row r="2376" ht="15" customHeight="1" x14ac:dyDescent="0.25"/>
    <row r="2377" ht="15" customHeight="1" x14ac:dyDescent="0.25"/>
    <row r="2378" ht="15" customHeight="1" x14ac:dyDescent="0.25"/>
    <row r="2380" ht="15" customHeight="1" x14ac:dyDescent="0.25"/>
    <row r="2381" ht="15" customHeight="1" x14ac:dyDescent="0.25"/>
    <row r="2382" ht="15" customHeight="1" x14ac:dyDescent="0.25"/>
    <row r="2383" ht="15" customHeight="1" x14ac:dyDescent="0.25"/>
    <row r="2384" ht="15" customHeight="1" x14ac:dyDescent="0.25"/>
    <row r="2385" ht="15" customHeight="1" x14ac:dyDescent="0.25"/>
    <row r="2386" ht="15" customHeight="1" x14ac:dyDescent="0.25"/>
    <row r="2387" ht="15" customHeight="1" x14ac:dyDescent="0.25"/>
    <row r="2388" ht="15" customHeight="1" x14ac:dyDescent="0.25"/>
    <row r="2390" ht="15" customHeight="1" x14ac:dyDescent="0.25"/>
    <row r="2391" ht="15" customHeight="1" x14ac:dyDescent="0.25"/>
    <row r="2392" ht="15" customHeight="1" x14ac:dyDescent="0.25"/>
    <row r="2393" ht="15" customHeight="1" x14ac:dyDescent="0.25"/>
    <row r="2394" ht="15" customHeight="1" x14ac:dyDescent="0.25"/>
    <row r="2395" ht="15" customHeight="1" x14ac:dyDescent="0.25"/>
    <row r="2396" ht="15" customHeight="1" x14ac:dyDescent="0.25"/>
    <row r="2397" ht="15" customHeight="1" x14ac:dyDescent="0.25"/>
    <row r="2400" ht="15" customHeight="1" x14ac:dyDescent="0.25"/>
    <row r="2401" ht="15" customHeight="1" x14ac:dyDescent="0.25"/>
    <row r="2402" ht="15" customHeight="1" x14ac:dyDescent="0.25"/>
    <row r="2403" ht="15" customHeight="1" x14ac:dyDescent="0.25"/>
    <row r="2404" ht="15" customHeight="1" x14ac:dyDescent="0.25"/>
    <row r="2405" ht="15" customHeight="1" x14ac:dyDescent="0.25"/>
    <row r="2406" ht="15" customHeight="1" x14ac:dyDescent="0.25"/>
    <row r="2407" ht="15" customHeight="1" x14ac:dyDescent="0.25"/>
    <row r="2408" ht="15" customHeight="1" x14ac:dyDescent="0.25"/>
    <row r="2410" ht="15" customHeight="1" x14ac:dyDescent="0.25"/>
    <row r="2411" ht="15" customHeight="1" x14ac:dyDescent="0.25"/>
    <row r="2412" ht="15" customHeight="1" x14ac:dyDescent="0.25"/>
    <row r="2413" ht="15" customHeight="1" x14ac:dyDescent="0.25"/>
    <row r="2414" ht="15" customHeight="1" x14ac:dyDescent="0.25"/>
    <row r="2415" ht="15" customHeight="1" x14ac:dyDescent="0.25"/>
    <row r="2416" ht="15" customHeight="1" x14ac:dyDescent="0.25"/>
    <row r="2417" spans="2:33" ht="15" customHeight="1" x14ac:dyDescent="0.25"/>
    <row r="2418" spans="2:33" ht="15" customHeight="1" x14ac:dyDescent="0.25"/>
    <row r="2419" spans="2:33" ht="15" customHeight="1" x14ac:dyDescent="0.25">
      <c r="B2419" s="86"/>
      <c r="C2419" s="86"/>
      <c r="D2419" s="86"/>
      <c r="E2419" s="86"/>
      <c r="F2419" s="86"/>
      <c r="G2419" s="86"/>
      <c r="H2419" s="86"/>
      <c r="I2419" s="86"/>
      <c r="J2419" s="86"/>
      <c r="K2419" s="86"/>
      <c r="L2419" s="86"/>
      <c r="M2419" s="86"/>
      <c r="N2419" s="86"/>
      <c r="O2419" s="86"/>
      <c r="P2419" s="86"/>
      <c r="Q2419" s="86"/>
      <c r="R2419" s="86"/>
      <c r="S2419" s="86"/>
      <c r="T2419" s="86"/>
      <c r="U2419" s="86"/>
      <c r="V2419" s="86"/>
      <c r="W2419" s="86"/>
      <c r="X2419" s="86"/>
      <c r="Y2419" s="86"/>
      <c r="Z2419" s="86"/>
      <c r="AA2419" s="86"/>
      <c r="AB2419" s="86"/>
      <c r="AC2419" s="86"/>
      <c r="AD2419" s="86"/>
      <c r="AE2419" s="86"/>
      <c r="AF2419" s="86"/>
      <c r="AG2419" s="86"/>
    </row>
    <row r="2420" spans="2:33" ht="15" customHeight="1" x14ac:dyDescent="0.25"/>
    <row r="2421" spans="2:33" ht="15" customHeight="1" x14ac:dyDescent="0.25"/>
    <row r="2422" spans="2:33" ht="15" customHeight="1" x14ac:dyDescent="0.25"/>
    <row r="2423" spans="2:33" ht="15" customHeight="1" x14ac:dyDescent="0.25"/>
    <row r="2424" spans="2:33" ht="15" customHeight="1" x14ac:dyDescent="0.25"/>
    <row r="2425" spans="2:33" ht="15" customHeight="1" x14ac:dyDescent="0.25"/>
    <row r="2426" spans="2:33" ht="15" customHeight="1" x14ac:dyDescent="0.25"/>
    <row r="2427" spans="2:33" ht="15" customHeight="1" x14ac:dyDescent="0.25"/>
    <row r="2428" spans="2:33" ht="15" customHeight="1" x14ac:dyDescent="0.25"/>
    <row r="2429" spans="2:33" ht="15" customHeight="1" x14ac:dyDescent="0.25"/>
    <row r="2430" spans="2:33" ht="15" customHeight="1" x14ac:dyDescent="0.25"/>
    <row r="2431" spans="2:33" ht="15" customHeight="1" x14ac:dyDescent="0.25"/>
    <row r="2432" spans="2:33" ht="15" customHeight="1" x14ac:dyDescent="0.25"/>
    <row r="2433" ht="15" customHeight="1" x14ac:dyDescent="0.25"/>
    <row r="2434" ht="15" customHeight="1" x14ac:dyDescent="0.25"/>
    <row r="2435" ht="15" customHeight="1" x14ac:dyDescent="0.25"/>
    <row r="2436" ht="15" customHeight="1" x14ac:dyDescent="0.25"/>
    <row r="2437" ht="15" customHeight="1" x14ac:dyDescent="0.25"/>
    <row r="2450" ht="15" customHeight="1" x14ac:dyDescent="0.25"/>
    <row r="2451" ht="15" customHeight="1" x14ac:dyDescent="0.25"/>
    <row r="2452" ht="15" customHeight="1" x14ac:dyDescent="0.25"/>
    <row r="2453" ht="15" customHeight="1" x14ac:dyDescent="0.25"/>
    <row r="2454" ht="15" customHeight="1" x14ac:dyDescent="0.25"/>
    <row r="2455" ht="15" customHeight="1" x14ac:dyDescent="0.25"/>
    <row r="2457" ht="15" customHeight="1" x14ac:dyDescent="0.25"/>
    <row r="2459" ht="15" customHeight="1" x14ac:dyDescent="0.25"/>
    <row r="2461" ht="15" customHeight="1" x14ac:dyDescent="0.25"/>
    <row r="2462" ht="15" customHeight="1" x14ac:dyDescent="0.25"/>
    <row r="2463" ht="15" customHeight="1" x14ac:dyDescent="0.25"/>
    <row r="2464" ht="15" customHeight="1" x14ac:dyDescent="0.25"/>
    <row r="2465" ht="15" customHeight="1" x14ac:dyDescent="0.25"/>
    <row r="2467" ht="15" customHeight="1" x14ac:dyDescent="0.25"/>
    <row r="2468" ht="15" customHeight="1" x14ac:dyDescent="0.25"/>
    <row r="2469" ht="15" customHeight="1" x14ac:dyDescent="0.25"/>
    <row r="2470" ht="15" customHeight="1" x14ac:dyDescent="0.25"/>
    <row r="2471" ht="15" customHeight="1" x14ac:dyDescent="0.25"/>
    <row r="2472" ht="15" customHeight="1" x14ac:dyDescent="0.25"/>
    <row r="2473" ht="15" customHeight="1" x14ac:dyDescent="0.25"/>
    <row r="2475" ht="15" customHeight="1" x14ac:dyDescent="0.25"/>
    <row r="2476" ht="15" customHeight="1" x14ac:dyDescent="0.25"/>
    <row r="2477" ht="15" customHeight="1" x14ac:dyDescent="0.25"/>
    <row r="2478" ht="15" customHeight="1" x14ac:dyDescent="0.25"/>
    <row r="2479" ht="15" customHeight="1" x14ac:dyDescent="0.25"/>
    <row r="2480" ht="15" customHeight="1" x14ac:dyDescent="0.25"/>
    <row r="2481" ht="15" customHeight="1" x14ac:dyDescent="0.25"/>
    <row r="2482" ht="15" customHeight="1" x14ac:dyDescent="0.25"/>
    <row r="2483" ht="15" customHeight="1" x14ac:dyDescent="0.25"/>
    <row r="2484" ht="15" customHeight="1" x14ac:dyDescent="0.25"/>
    <row r="2486" ht="15" customHeight="1" x14ac:dyDescent="0.25"/>
    <row r="2488" ht="15" customHeight="1" x14ac:dyDescent="0.25"/>
    <row r="2489" ht="15" customHeight="1" x14ac:dyDescent="0.25"/>
    <row r="2490" ht="15" customHeight="1" x14ac:dyDescent="0.25"/>
    <row r="2491" ht="15" customHeight="1" x14ac:dyDescent="0.25"/>
    <row r="2492" ht="15" customHeight="1" x14ac:dyDescent="0.25"/>
    <row r="2495" ht="15" customHeight="1" x14ac:dyDescent="0.25"/>
    <row r="2496" ht="15" customHeight="1" x14ac:dyDescent="0.25"/>
    <row r="2498" spans="2:33" ht="15" customHeight="1" x14ac:dyDescent="0.25"/>
    <row r="2499" spans="2:33" ht="15" customHeight="1" x14ac:dyDescent="0.25"/>
    <row r="2500" spans="2:33" ht="15" customHeight="1" x14ac:dyDescent="0.25"/>
    <row r="2501" spans="2:33" ht="15" customHeight="1" x14ac:dyDescent="0.25"/>
    <row r="2502" spans="2:33" ht="15" customHeight="1" x14ac:dyDescent="0.25"/>
    <row r="2504" spans="2:33" ht="15" customHeight="1" x14ac:dyDescent="0.25"/>
    <row r="2505" spans="2:33" ht="15" customHeight="1" x14ac:dyDescent="0.25"/>
    <row r="2506" spans="2:33" ht="15" customHeight="1" x14ac:dyDescent="0.25"/>
    <row r="2507" spans="2:33" ht="15" customHeight="1" x14ac:dyDescent="0.25"/>
    <row r="2508" spans="2:33" ht="15" customHeight="1" x14ac:dyDescent="0.25"/>
    <row r="2509" spans="2:33" ht="15" customHeight="1" x14ac:dyDescent="0.25">
      <c r="B2509" s="86"/>
      <c r="C2509" s="86"/>
      <c r="D2509" s="86"/>
      <c r="E2509" s="86"/>
      <c r="F2509" s="86"/>
      <c r="G2509" s="86"/>
      <c r="H2509" s="86"/>
      <c r="I2509" s="86"/>
      <c r="J2509" s="86"/>
      <c r="K2509" s="86"/>
      <c r="L2509" s="86"/>
      <c r="M2509" s="86"/>
      <c r="N2509" s="86"/>
      <c r="O2509" s="86"/>
      <c r="P2509" s="86"/>
      <c r="Q2509" s="86"/>
      <c r="R2509" s="86"/>
      <c r="S2509" s="86"/>
      <c r="T2509" s="86"/>
      <c r="U2509" s="86"/>
      <c r="V2509" s="86"/>
      <c r="W2509" s="86"/>
      <c r="X2509" s="86"/>
      <c r="Y2509" s="86"/>
      <c r="Z2509" s="86"/>
      <c r="AA2509" s="86"/>
      <c r="AB2509" s="86"/>
      <c r="AC2509" s="86"/>
      <c r="AD2509" s="86"/>
      <c r="AE2509" s="86"/>
      <c r="AF2509" s="86"/>
      <c r="AG2509" s="86"/>
    </row>
    <row r="2510" spans="2:33" ht="15" customHeight="1" x14ac:dyDescent="0.25"/>
    <row r="2511" spans="2:33" ht="15" customHeight="1" x14ac:dyDescent="0.25"/>
    <row r="2512" spans="2:33" ht="15" customHeight="1" x14ac:dyDescent="0.25"/>
    <row r="2513" ht="15" customHeight="1" x14ac:dyDescent="0.25"/>
    <row r="2514" ht="15" customHeight="1" x14ac:dyDescent="0.25"/>
    <row r="2515" ht="15" customHeight="1" x14ac:dyDescent="0.25"/>
    <row r="2516" ht="15" customHeight="1" x14ac:dyDescent="0.25"/>
    <row r="2517" ht="15" customHeight="1" x14ac:dyDescent="0.25"/>
    <row r="2518" ht="15" customHeight="1" x14ac:dyDescent="0.25"/>
    <row r="2519" ht="15" customHeight="1" x14ac:dyDescent="0.25"/>
    <row r="2520" ht="15" customHeight="1" x14ac:dyDescent="0.25"/>
    <row r="2521" ht="15" customHeight="1" x14ac:dyDescent="0.25"/>
    <row r="2522" ht="15" customHeight="1" x14ac:dyDescent="0.25"/>
    <row r="2523" ht="15" customHeight="1" x14ac:dyDescent="0.25"/>
    <row r="2524" ht="15" customHeight="1" x14ac:dyDescent="0.25"/>
    <row r="2525" ht="15" customHeight="1" x14ac:dyDescent="0.25"/>
    <row r="2526" ht="15" customHeight="1" x14ac:dyDescent="0.25"/>
    <row r="2527" ht="15" customHeight="1" x14ac:dyDescent="0.25"/>
    <row r="2528" ht="15" customHeight="1" x14ac:dyDescent="0.25"/>
    <row r="2529" ht="15" customHeight="1" x14ac:dyDescent="0.25"/>
    <row r="2550" ht="15" customHeight="1" x14ac:dyDescent="0.25"/>
    <row r="2551" ht="15" customHeight="1" x14ac:dyDescent="0.25"/>
    <row r="2552" ht="15" customHeight="1" x14ac:dyDescent="0.25"/>
    <row r="2553" ht="15" customHeight="1" x14ac:dyDescent="0.25"/>
    <row r="2554" ht="15" customHeight="1" x14ac:dyDescent="0.25"/>
    <row r="2555" ht="15" customHeight="1" x14ac:dyDescent="0.25"/>
    <row r="2556" ht="15" customHeight="1" x14ac:dyDescent="0.25"/>
    <row r="2557" ht="15" customHeight="1" x14ac:dyDescent="0.25"/>
    <row r="2558" ht="15" customHeight="1" x14ac:dyDescent="0.25"/>
    <row r="2559" ht="15" customHeight="1" x14ac:dyDescent="0.25"/>
    <row r="2561" ht="15" customHeight="1" x14ac:dyDescent="0.25"/>
    <row r="2562" ht="15" customHeight="1" x14ac:dyDescent="0.25"/>
    <row r="2563" ht="15" customHeight="1" x14ac:dyDescent="0.25"/>
    <row r="2564" ht="15" customHeight="1" x14ac:dyDescent="0.25"/>
    <row r="2565" ht="15" customHeight="1" x14ac:dyDescent="0.25"/>
    <row r="2566" ht="15" customHeight="1" x14ac:dyDescent="0.25"/>
    <row r="2568" ht="15" customHeight="1" x14ac:dyDescent="0.25"/>
    <row r="2569" ht="15" customHeight="1" x14ac:dyDescent="0.25"/>
    <row r="2570" ht="15" customHeight="1" x14ac:dyDescent="0.25"/>
    <row r="2571" ht="15" customHeight="1" x14ac:dyDescent="0.25"/>
    <row r="2572" ht="15" customHeight="1" x14ac:dyDescent="0.25"/>
    <row r="2573" ht="15" customHeight="1" x14ac:dyDescent="0.25"/>
    <row r="2575" ht="15" customHeight="1" x14ac:dyDescent="0.25"/>
    <row r="2576" ht="15" customHeight="1" x14ac:dyDescent="0.25"/>
    <row r="2577" ht="15" customHeight="1" x14ac:dyDescent="0.25"/>
    <row r="2578" ht="15" customHeight="1" x14ac:dyDescent="0.25"/>
    <row r="2579" ht="15" customHeight="1" x14ac:dyDescent="0.25"/>
    <row r="2581" ht="15" customHeight="1" x14ac:dyDescent="0.25"/>
    <row r="2582" ht="15" customHeight="1" x14ac:dyDescent="0.25"/>
    <row r="2583" ht="15" customHeight="1" x14ac:dyDescent="0.25"/>
    <row r="2584" ht="15" customHeight="1" x14ac:dyDescent="0.25"/>
    <row r="2585" ht="15" customHeight="1" x14ac:dyDescent="0.25"/>
    <row r="2586" ht="15" customHeight="1" x14ac:dyDescent="0.25"/>
    <row r="2588" ht="15" customHeight="1" x14ac:dyDescent="0.25"/>
    <row r="2589" ht="15" customHeight="1" x14ac:dyDescent="0.25"/>
    <row r="2590" ht="15" customHeight="1" x14ac:dyDescent="0.25"/>
    <row r="2591" ht="15" customHeight="1" x14ac:dyDescent="0.25"/>
    <row r="2592" ht="15" customHeight="1" x14ac:dyDescent="0.25"/>
    <row r="2593" spans="2:33" ht="15" customHeight="1" x14ac:dyDescent="0.25"/>
    <row r="2595" spans="2:33" ht="15" customHeight="1" x14ac:dyDescent="0.25"/>
    <row r="2596" spans="2:33" ht="15" customHeight="1" x14ac:dyDescent="0.25"/>
    <row r="2597" spans="2:33" ht="15" customHeight="1" x14ac:dyDescent="0.25"/>
    <row r="2598" spans="2:33" ht="15" customHeight="1" x14ac:dyDescent="0.25">
      <c r="B2598" s="86"/>
      <c r="C2598" s="86"/>
      <c r="D2598" s="86"/>
      <c r="E2598" s="86"/>
      <c r="F2598" s="86"/>
      <c r="G2598" s="86"/>
      <c r="H2598" s="86"/>
      <c r="I2598" s="86"/>
      <c r="J2598" s="86"/>
      <c r="K2598" s="86"/>
      <c r="L2598" s="86"/>
      <c r="M2598" s="86"/>
      <c r="N2598" s="86"/>
      <c r="O2598" s="86"/>
      <c r="P2598" s="86"/>
      <c r="Q2598" s="86"/>
      <c r="R2598" s="86"/>
      <c r="S2598" s="86"/>
      <c r="T2598" s="86"/>
      <c r="U2598" s="86"/>
      <c r="V2598" s="86"/>
      <c r="W2598" s="86"/>
      <c r="X2598" s="86"/>
      <c r="Y2598" s="86"/>
      <c r="Z2598" s="86"/>
      <c r="AA2598" s="86"/>
      <c r="AB2598" s="86"/>
      <c r="AC2598" s="86"/>
      <c r="AD2598" s="86"/>
      <c r="AE2598" s="86"/>
      <c r="AF2598" s="86"/>
      <c r="AG2598" s="86"/>
    </row>
    <row r="2599" spans="2:33" ht="15" customHeight="1" x14ac:dyDescent="0.25"/>
    <row r="2600" spans="2:33" ht="15" customHeight="1" x14ac:dyDescent="0.25"/>
    <row r="2601" spans="2:33" ht="15" customHeight="1" x14ac:dyDescent="0.25"/>
    <row r="2602" spans="2:33" ht="15" customHeight="1" x14ac:dyDescent="0.25"/>
    <row r="2603" spans="2:33" ht="15" customHeight="1" x14ac:dyDescent="0.25"/>
    <row r="2604" spans="2:33" ht="15" customHeight="1" x14ac:dyDescent="0.25"/>
    <row r="2605" spans="2:33" ht="15" customHeight="1" x14ac:dyDescent="0.25"/>
    <row r="2606" spans="2:33" ht="15" customHeight="1" x14ac:dyDescent="0.25"/>
    <row r="2607" spans="2:33" ht="15" customHeight="1" x14ac:dyDescent="0.25"/>
    <row r="2608" spans="2:33" ht="15" customHeight="1" x14ac:dyDescent="0.25"/>
    <row r="2609" ht="15" customHeight="1" x14ac:dyDescent="0.25"/>
    <row r="2610" ht="15" customHeight="1" x14ac:dyDescent="0.25"/>
    <row r="2611" ht="15" customHeight="1" x14ac:dyDescent="0.25"/>
    <row r="2612" ht="15" customHeight="1" x14ac:dyDescent="0.25"/>
    <row r="2613" ht="15" customHeight="1" x14ac:dyDescent="0.25"/>
    <row r="2614" ht="15" customHeight="1" x14ac:dyDescent="0.25"/>
    <row r="2615" ht="15" customHeight="1" x14ac:dyDescent="0.25"/>
    <row r="2625" ht="15" customHeight="1" x14ac:dyDescent="0.25"/>
    <row r="2626" ht="15" customHeight="1" x14ac:dyDescent="0.25"/>
    <row r="2627" ht="15" customHeight="1" x14ac:dyDescent="0.25"/>
    <row r="2628" ht="15" customHeight="1" x14ac:dyDescent="0.25"/>
    <row r="2629" ht="15" customHeight="1" x14ac:dyDescent="0.25"/>
    <row r="2630" ht="15" customHeight="1" x14ac:dyDescent="0.25"/>
    <row r="2631" ht="15" customHeight="1" x14ac:dyDescent="0.25"/>
    <row r="2632" ht="15" customHeight="1" x14ac:dyDescent="0.25"/>
    <row r="2633" ht="15" customHeight="1" x14ac:dyDescent="0.25"/>
    <row r="2634" ht="15" customHeight="1" x14ac:dyDescent="0.25"/>
    <row r="2635" ht="15" customHeight="1" x14ac:dyDescent="0.25"/>
    <row r="2636" ht="15" customHeight="1" x14ac:dyDescent="0.25"/>
    <row r="2637" ht="15" customHeight="1" x14ac:dyDescent="0.25"/>
    <row r="2638" ht="15" customHeight="1" x14ac:dyDescent="0.25"/>
    <row r="2639" ht="15" customHeight="1" x14ac:dyDescent="0.25"/>
    <row r="2640" ht="15" customHeight="1" x14ac:dyDescent="0.25"/>
    <row r="2641" ht="15" customHeight="1" x14ac:dyDescent="0.25"/>
    <row r="2642" ht="15" customHeight="1" x14ac:dyDescent="0.25"/>
    <row r="2643" ht="15" customHeight="1" x14ac:dyDescent="0.25"/>
    <row r="2644" ht="15" customHeight="1" x14ac:dyDescent="0.25"/>
    <row r="2645" ht="15" customHeight="1" x14ac:dyDescent="0.25"/>
    <row r="2646" ht="15" customHeight="1" x14ac:dyDescent="0.25"/>
    <row r="2648" ht="15" customHeight="1" x14ac:dyDescent="0.25"/>
    <row r="2649" ht="15" customHeight="1" x14ac:dyDescent="0.25"/>
    <row r="2650" ht="15" customHeight="1" x14ac:dyDescent="0.25"/>
    <row r="2651" ht="15" customHeight="1" x14ac:dyDescent="0.25"/>
    <row r="2652" ht="15" customHeight="1" x14ac:dyDescent="0.25"/>
    <row r="2653" ht="15" customHeight="1" x14ac:dyDescent="0.25"/>
    <row r="2654" ht="15" customHeight="1" x14ac:dyDescent="0.25"/>
    <row r="2655" ht="15" customHeight="1" x14ac:dyDescent="0.25"/>
    <row r="2656" ht="15" customHeight="1" x14ac:dyDescent="0.25"/>
    <row r="2657" ht="15" customHeight="1" x14ac:dyDescent="0.25"/>
    <row r="2658" ht="15" customHeight="1" x14ac:dyDescent="0.25"/>
    <row r="2659" ht="15" customHeight="1" x14ac:dyDescent="0.25"/>
    <row r="2662" ht="15" customHeight="1" x14ac:dyDescent="0.25"/>
    <row r="2663" ht="15" customHeight="1" x14ac:dyDescent="0.25"/>
    <row r="2664" ht="15" customHeight="1" x14ac:dyDescent="0.25"/>
    <row r="2665" ht="15" customHeight="1" x14ac:dyDescent="0.25"/>
    <row r="2666" ht="15" customHeight="1" x14ac:dyDescent="0.25"/>
    <row r="2667" ht="15" customHeight="1" x14ac:dyDescent="0.25"/>
    <row r="2668" ht="15" customHeight="1" x14ac:dyDescent="0.25"/>
    <row r="2669" ht="15" customHeight="1" x14ac:dyDescent="0.25"/>
    <row r="2670" ht="15" customHeight="1" x14ac:dyDescent="0.25"/>
    <row r="2671" ht="15" customHeight="1" x14ac:dyDescent="0.25"/>
    <row r="2672" ht="15" customHeight="1" x14ac:dyDescent="0.25"/>
    <row r="2673" ht="15" customHeight="1" x14ac:dyDescent="0.25"/>
    <row r="2674" ht="15" customHeight="1" x14ac:dyDescent="0.25"/>
    <row r="2675" ht="15" customHeight="1" x14ac:dyDescent="0.25"/>
    <row r="2676" ht="15" customHeight="1" x14ac:dyDescent="0.25"/>
    <row r="2677" ht="15" customHeight="1" x14ac:dyDescent="0.25"/>
    <row r="2678" ht="15" customHeight="1" x14ac:dyDescent="0.25"/>
    <row r="2679" ht="15" customHeight="1" x14ac:dyDescent="0.25"/>
    <row r="2680" ht="15" customHeight="1" x14ac:dyDescent="0.25"/>
    <row r="2681" ht="15" customHeight="1" x14ac:dyDescent="0.25"/>
    <row r="2682" ht="15" customHeight="1" x14ac:dyDescent="0.25"/>
    <row r="2683" ht="15" customHeight="1" x14ac:dyDescent="0.25"/>
    <row r="2684" ht="15" customHeight="1" x14ac:dyDescent="0.25"/>
    <row r="2685" ht="15" customHeight="1" x14ac:dyDescent="0.25"/>
    <row r="2686" ht="15" customHeight="1" x14ac:dyDescent="0.25"/>
    <row r="2687" ht="15" customHeight="1" x14ac:dyDescent="0.25"/>
    <row r="2689" ht="15" customHeight="1" x14ac:dyDescent="0.25"/>
    <row r="2690" ht="15" customHeight="1" x14ac:dyDescent="0.25"/>
    <row r="2691" ht="15" customHeight="1" x14ac:dyDescent="0.25"/>
    <row r="2692" ht="15" customHeight="1" x14ac:dyDescent="0.25"/>
    <row r="2693" ht="15" customHeight="1" x14ac:dyDescent="0.25"/>
    <row r="2694" ht="15" customHeight="1" x14ac:dyDescent="0.25"/>
    <row r="2695" ht="15" customHeight="1" x14ac:dyDescent="0.25"/>
    <row r="2696" ht="15" customHeight="1" x14ac:dyDescent="0.25"/>
    <row r="2697" ht="15" customHeight="1" x14ac:dyDescent="0.25"/>
    <row r="2698" ht="15" customHeight="1" x14ac:dyDescent="0.25"/>
    <row r="2699" ht="15" customHeight="1" x14ac:dyDescent="0.25"/>
    <row r="2700" ht="15" customHeight="1" x14ac:dyDescent="0.25"/>
    <row r="2701" ht="15" customHeight="1" x14ac:dyDescent="0.25"/>
    <row r="2702" ht="15" customHeight="1" x14ac:dyDescent="0.25"/>
    <row r="2703" ht="15" customHeight="1" x14ac:dyDescent="0.25"/>
    <row r="2704" ht="15" customHeight="1" x14ac:dyDescent="0.25"/>
    <row r="2707" spans="2:33" ht="15" customHeight="1" x14ac:dyDescent="0.25"/>
    <row r="2708" spans="2:33" ht="15" customHeight="1" x14ac:dyDescent="0.25"/>
    <row r="2709" spans="2:33" ht="15" customHeight="1" x14ac:dyDescent="0.25"/>
    <row r="2710" spans="2:33" ht="15" customHeight="1" x14ac:dyDescent="0.25"/>
    <row r="2711" spans="2:33" ht="15" customHeight="1" x14ac:dyDescent="0.25"/>
    <row r="2712" spans="2:33" ht="15" customHeight="1" x14ac:dyDescent="0.25"/>
    <row r="2713" spans="2:33" ht="15" customHeight="1" x14ac:dyDescent="0.25"/>
    <row r="2714" spans="2:33" ht="15" customHeight="1" x14ac:dyDescent="0.25"/>
    <row r="2715" spans="2:33" ht="15" customHeight="1" x14ac:dyDescent="0.25"/>
    <row r="2716" spans="2:33" ht="15" customHeight="1" x14ac:dyDescent="0.25"/>
    <row r="2717" spans="2:33" ht="15" customHeight="1" x14ac:dyDescent="0.25"/>
    <row r="2718" spans="2:33" ht="15" customHeight="1" x14ac:dyDescent="0.25"/>
    <row r="2719" spans="2:33" ht="15" customHeight="1" x14ac:dyDescent="0.25">
      <c r="B2719" s="86"/>
      <c r="C2719" s="86"/>
      <c r="D2719" s="86"/>
      <c r="E2719" s="86"/>
      <c r="F2719" s="86"/>
      <c r="G2719" s="86"/>
      <c r="H2719" s="86"/>
      <c r="I2719" s="86"/>
      <c r="J2719" s="86"/>
      <c r="K2719" s="86"/>
      <c r="L2719" s="86"/>
      <c r="M2719" s="86"/>
      <c r="N2719" s="86"/>
      <c r="O2719" s="86"/>
      <c r="P2719" s="86"/>
      <c r="Q2719" s="86"/>
      <c r="R2719" s="86"/>
      <c r="S2719" s="86"/>
      <c r="T2719" s="86"/>
      <c r="U2719" s="86"/>
      <c r="V2719" s="86"/>
      <c r="W2719" s="86"/>
      <c r="X2719" s="86"/>
      <c r="Y2719" s="86"/>
      <c r="Z2719" s="86"/>
      <c r="AA2719" s="86"/>
      <c r="AB2719" s="86"/>
      <c r="AC2719" s="86"/>
      <c r="AD2719" s="86"/>
      <c r="AE2719" s="86"/>
      <c r="AF2719" s="86"/>
      <c r="AG2719" s="86"/>
    </row>
    <row r="2720" spans="2:33" ht="15" customHeight="1" x14ac:dyDescent="0.25"/>
    <row r="2721" ht="15" customHeight="1" x14ac:dyDescent="0.25"/>
    <row r="2722" ht="15" customHeight="1" x14ac:dyDescent="0.25"/>
    <row r="2723" ht="15" customHeight="1" x14ac:dyDescent="0.25"/>
    <row r="2724" ht="15" customHeight="1" x14ac:dyDescent="0.25"/>
    <row r="2725" ht="15" customHeight="1" x14ac:dyDescent="0.25"/>
    <row r="2726" ht="15" customHeight="1" x14ac:dyDescent="0.25"/>
    <row r="2727" ht="15" customHeight="1" x14ac:dyDescent="0.25"/>
    <row r="2728" ht="15" customHeight="1" x14ac:dyDescent="0.25"/>
    <row r="2729" ht="15" customHeight="1" x14ac:dyDescent="0.25"/>
    <row r="2730" ht="15" customHeight="1" x14ac:dyDescent="0.25"/>
    <row r="2731" ht="15" customHeight="1" x14ac:dyDescent="0.25"/>
    <row r="2732" ht="15" customHeight="1" x14ac:dyDescent="0.25"/>
    <row r="2733" ht="15" customHeight="1" x14ac:dyDescent="0.25"/>
    <row r="2734" ht="15" customHeight="1" x14ac:dyDescent="0.25"/>
    <row r="2735" ht="15" customHeight="1" x14ac:dyDescent="0.25"/>
    <row r="2736" ht="15" customHeight="1" x14ac:dyDescent="0.25"/>
    <row r="2737" ht="15" customHeight="1" x14ac:dyDescent="0.25"/>
    <row r="2738" ht="15" customHeight="1" x14ac:dyDescent="0.25"/>
    <row r="2739" ht="15" customHeight="1" x14ac:dyDescent="0.25"/>
    <row r="2740" ht="15" customHeight="1" x14ac:dyDescent="0.25"/>
    <row r="2741" ht="15" customHeight="1" x14ac:dyDescent="0.25"/>
    <row r="2742" ht="15" customHeight="1" x14ac:dyDescent="0.25"/>
    <row r="2743" ht="15" customHeight="1" x14ac:dyDescent="0.25"/>
    <row r="2775" ht="15" customHeight="1" x14ac:dyDescent="0.25"/>
    <row r="2776" ht="15" customHeight="1" x14ac:dyDescent="0.25"/>
    <row r="2777" ht="15" customHeight="1" x14ac:dyDescent="0.25"/>
    <row r="2778" ht="15" customHeight="1" x14ac:dyDescent="0.25"/>
    <row r="2779" ht="15" customHeight="1" x14ac:dyDescent="0.25"/>
    <row r="2780" ht="15" customHeight="1" x14ac:dyDescent="0.25"/>
    <row r="2781" ht="15" customHeight="1" x14ac:dyDescent="0.25"/>
    <row r="2782" ht="15" customHeight="1" x14ac:dyDescent="0.25"/>
    <row r="2783" ht="15" customHeight="1" x14ac:dyDescent="0.25"/>
    <row r="2784" ht="15" customHeight="1" x14ac:dyDescent="0.25"/>
    <row r="2785" ht="15" customHeight="1" x14ac:dyDescent="0.25"/>
    <row r="2786" ht="15" customHeight="1" x14ac:dyDescent="0.25"/>
    <row r="2788" ht="15" customHeight="1" x14ac:dyDescent="0.25"/>
    <row r="2789" ht="15" customHeight="1" x14ac:dyDescent="0.25"/>
    <row r="2790" ht="15" customHeight="1" x14ac:dyDescent="0.25"/>
    <row r="2791" ht="15" customHeight="1" x14ac:dyDescent="0.25"/>
    <row r="2793" ht="15" customHeight="1" x14ac:dyDescent="0.25"/>
    <row r="2794" ht="15" customHeight="1" x14ac:dyDescent="0.25"/>
    <row r="2795" ht="15" customHeight="1" x14ac:dyDescent="0.25"/>
    <row r="2796" ht="15" customHeight="1" x14ac:dyDescent="0.25"/>
    <row r="2797" ht="15" customHeight="1" x14ac:dyDescent="0.25"/>
    <row r="2798" ht="15" customHeight="1" x14ac:dyDescent="0.25"/>
    <row r="2799" ht="15" customHeight="1" x14ac:dyDescent="0.25"/>
    <row r="2800" ht="15" customHeight="1" x14ac:dyDescent="0.25"/>
    <row r="2801" ht="15" customHeight="1" x14ac:dyDescent="0.25"/>
    <row r="2802" ht="15" customHeight="1" x14ac:dyDescent="0.25"/>
    <row r="2804" ht="15" customHeight="1" x14ac:dyDescent="0.25"/>
    <row r="2805" ht="15" customHeight="1" x14ac:dyDescent="0.25"/>
    <row r="2806" ht="15" customHeight="1" x14ac:dyDescent="0.25"/>
    <row r="2807" ht="15" customHeight="1" x14ac:dyDescent="0.25"/>
    <row r="2809" ht="15" customHeight="1" x14ac:dyDescent="0.25"/>
    <row r="2810" ht="15" customHeight="1" x14ac:dyDescent="0.25"/>
    <row r="2811" ht="15" customHeight="1" x14ac:dyDescent="0.25"/>
    <row r="2812" ht="15" customHeight="1" x14ac:dyDescent="0.25"/>
    <row r="2813" ht="15" customHeight="1" x14ac:dyDescent="0.25"/>
    <row r="2814" ht="15" customHeight="1" x14ac:dyDescent="0.25"/>
    <row r="2815" ht="15" customHeight="1" x14ac:dyDescent="0.25"/>
    <row r="2816" ht="15" customHeight="1" x14ac:dyDescent="0.25"/>
    <row r="2818" ht="15" customHeight="1" x14ac:dyDescent="0.25"/>
    <row r="2819" ht="15" customHeight="1" x14ac:dyDescent="0.25"/>
    <row r="2820" ht="15" customHeight="1" x14ac:dyDescent="0.25"/>
    <row r="2821" ht="15" customHeight="1" x14ac:dyDescent="0.25"/>
    <row r="2822" ht="15" customHeight="1" x14ac:dyDescent="0.25"/>
    <row r="2823" ht="15" customHeight="1" x14ac:dyDescent="0.25"/>
    <row r="2825" ht="15" customHeight="1" x14ac:dyDescent="0.25"/>
    <row r="2826" ht="15" customHeight="1" x14ac:dyDescent="0.25"/>
    <row r="2827" ht="15" customHeight="1" x14ac:dyDescent="0.25"/>
    <row r="2828" ht="15" customHeight="1" x14ac:dyDescent="0.25"/>
    <row r="2831" ht="15" customHeight="1" x14ac:dyDescent="0.25"/>
    <row r="2832" ht="15" customHeight="1" x14ac:dyDescent="0.25"/>
    <row r="2833" spans="2:33" ht="15" customHeight="1" x14ac:dyDescent="0.25"/>
    <row r="2834" spans="2:33" ht="15" customHeight="1" x14ac:dyDescent="0.25"/>
    <row r="2835" spans="2:33" ht="15" customHeight="1" x14ac:dyDescent="0.25"/>
    <row r="2836" spans="2:33" ht="15" customHeight="1" x14ac:dyDescent="0.25"/>
    <row r="2837" spans="2:33" ht="15" customHeight="1" x14ac:dyDescent="0.25">
      <c r="B2837" s="86"/>
      <c r="C2837" s="86"/>
      <c r="D2837" s="86"/>
      <c r="E2837" s="86"/>
      <c r="F2837" s="86"/>
      <c r="G2837" s="86"/>
      <c r="H2837" s="86"/>
      <c r="I2837" s="86"/>
      <c r="J2837" s="86"/>
      <c r="K2837" s="86"/>
      <c r="L2837" s="86"/>
      <c r="M2837" s="86"/>
      <c r="N2837" s="86"/>
      <c r="O2837" s="86"/>
      <c r="P2837" s="86"/>
      <c r="Q2837" s="86"/>
      <c r="R2837" s="86"/>
      <c r="S2837" s="86"/>
      <c r="T2837" s="86"/>
      <c r="U2837" s="86"/>
      <c r="V2837" s="86"/>
      <c r="W2837" s="86"/>
      <c r="X2837" s="86"/>
      <c r="Y2837" s="86"/>
      <c r="Z2837" s="86"/>
      <c r="AA2837" s="86"/>
      <c r="AB2837" s="86"/>
      <c r="AC2837" s="86"/>
      <c r="AD2837" s="86"/>
      <c r="AE2837" s="86"/>
      <c r="AF2837" s="86"/>
      <c r="AG2837" s="86"/>
    </row>
    <row r="2838" spans="2:33" ht="15" customHeight="1" x14ac:dyDescent="0.25"/>
    <row r="2839" spans="2:33" ht="15" customHeight="1" x14ac:dyDescent="0.25"/>
    <row r="2840" spans="2:33" ht="15" customHeight="1" x14ac:dyDescent="0.25"/>
    <row r="2841" spans="2:33" ht="15" customHeight="1" x14ac:dyDescent="0.25"/>
  </sheetData>
  <mergeCells count="20">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 ref="B2719:AG2719"/>
    <mergeCell ref="B2837:AG2837"/>
    <mergeCell ref="B2031:AG2031"/>
    <mergeCell ref="B2153:AG2153"/>
    <mergeCell ref="B2317:AG2317"/>
    <mergeCell ref="B2419:AG2419"/>
    <mergeCell ref="B2509:AG2509"/>
    <mergeCell ref="B2598:AG2598"/>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zoomScaleNormal="100" workbookViewId="0">
      <pane xSplit="2" ySplit="1" topLeftCell="C2" activePane="bottomRight" state="frozen"/>
      <selection pane="topRight" activeCell="C1" sqref="C1"/>
      <selection pane="bottomLeft" activeCell="A2" sqref="A2"/>
      <selection pane="bottomRight" activeCell="A31" sqref="A31:XFD31"/>
    </sheetView>
  </sheetViews>
  <sheetFormatPr defaultRowHeight="15" customHeight="1" x14ac:dyDescent="0.25"/>
  <cols>
    <col min="1" max="1" width="26.28515625" customWidth="1"/>
    <col min="2" max="2" width="49" customWidth="1"/>
  </cols>
  <sheetData>
    <row r="1" spans="1:34" ht="15" customHeight="1" thickBot="1" x14ac:dyDescent="0.3">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x14ac:dyDescent="0.25"/>
    <row r="3" spans="1:34" ht="15" customHeight="1" x14ac:dyDescent="0.25">
      <c r="C3" s="26" t="s">
        <v>36</v>
      </c>
      <c r="D3" s="26" t="s">
        <v>297</v>
      </c>
      <c r="E3" s="27"/>
      <c r="F3" s="27"/>
      <c r="G3" s="27"/>
      <c r="H3" s="27"/>
    </row>
    <row r="4" spans="1:34" ht="15" customHeight="1" x14ac:dyDescent="0.25">
      <c r="C4" s="26" t="s">
        <v>35</v>
      </c>
      <c r="D4" s="26" t="s">
        <v>298</v>
      </c>
      <c r="E4" s="27"/>
      <c r="F4" s="27"/>
      <c r="G4" s="26" t="s">
        <v>34</v>
      </c>
      <c r="H4" s="27"/>
    </row>
    <row r="5" spans="1:34" ht="15" customHeight="1" x14ac:dyDescent="0.25">
      <c r="C5" s="26" t="s">
        <v>33</v>
      </c>
      <c r="D5" s="26" t="s">
        <v>299</v>
      </c>
      <c r="E5" s="27"/>
      <c r="F5" s="27"/>
      <c r="G5" s="27"/>
      <c r="H5" s="27"/>
    </row>
    <row r="6" spans="1:34" ht="15" customHeight="1" x14ac:dyDescent="0.25">
      <c r="C6" s="26" t="s">
        <v>32</v>
      </c>
      <c r="D6" s="27"/>
      <c r="E6" s="26" t="s">
        <v>300</v>
      </c>
      <c r="F6" s="27"/>
      <c r="G6" s="27"/>
      <c r="H6" s="27"/>
    </row>
    <row r="7" spans="1:34" ht="15" customHeight="1" x14ac:dyDescent="0.25">
      <c r="C7" s="27"/>
      <c r="D7" s="27"/>
      <c r="E7" s="27"/>
      <c r="F7" s="27"/>
      <c r="G7" s="27"/>
      <c r="H7" s="27"/>
    </row>
    <row r="10" spans="1:34" ht="15" customHeight="1" x14ac:dyDescent="0.25">
      <c r="A10" s="6" t="s">
        <v>5</v>
      </c>
      <c r="B10" s="15" t="s">
        <v>6</v>
      </c>
      <c r="AH10" s="28" t="s">
        <v>301</v>
      </c>
    </row>
    <row r="11" spans="1:34" ht="15" customHeight="1" x14ac:dyDescent="0.25">
      <c r="B11" s="13" t="s">
        <v>7</v>
      </c>
      <c r="AH11" s="28" t="s">
        <v>302</v>
      </c>
    </row>
    <row r="12" spans="1:34" ht="15" customHeight="1" x14ac:dyDescent="0.25">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x14ac:dyDescent="0.3">
      <c r="B13" s="14" t="s">
        <v>8</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x14ac:dyDescent="0.25"/>
    <row r="15" spans="1:34" ht="15" customHeight="1" x14ac:dyDescent="0.25">
      <c r="B15" s="16" t="s">
        <v>9</v>
      </c>
    </row>
    <row r="17" spans="1:34" ht="15" customHeight="1" x14ac:dyDescent="0.25">
      <c r="B17" s="16" t="s">
        <v>10</v>
      </c>
    </row>
    <row r="18" spans="1:34" ht="15" customHeight="1" x14ac:dyDescent="0.25">
      <c r="A18" s="6" t="s">
        <v>11</v>
      </c>
      <c r="B18" s="17" t="s">
        <v>12</v>
      </c>
      <c r="C18" s="18">
        <v>51.983494</v>
      </c>
      <c r="D18" s="18">
        <v>51.983494</v>
      </c>
      <c r="E18" s="18">
        <v>51.983494</v>
      </c>
      <c r="F18" s="18">
        <v>51.983494</v>
      </c>
      <c r="G18" s="18">
        <v>51.898598</v>
      </c>
      <c r="H18" s="18">
        <v>50.043205</v>
      </c>
      <c r="I18" s="18">
        <v>49.821995000000001</v>
      </c>
      <c r="J18" s="18">
        <v>49.593604999999997</v>
      </c>
      <c r="K18" s="18">
        <v>49.33493</v>
      </c>
      <c r="L18" s="18">
        <v>49.068992999999999</v>
      </c>
      <c r="M18" s="18">
        <v>48.800674000000001</v>
      </c>
      <c r="N18" s="18">
        <v>48.396839</v>
      </c>
      <c r="O18" s="18">
        <v>47.992995999999998</v>
      </c>
      <c r="P18" s="18">
        <v>47.589148999999999</v>
      </c>
      <c r="Q18" s="18">
        <v>46.932205000000003</v>
      </c>
      <c r="R18" s="18">
        <v>46.242587999999998</v>
      </c>
      <c r="S18" s="18">
        <v>45.544994000000003</v>
      </c>
      <c r="T18" s="18">
        <v>44.679993000000003</v>
      </c>
      <c r="U18" s="18">
        <v>43.845283999999999</v>
      </c>
      <c r="V18" s="18">
        <v>42.797015999999999</v>
      </c>
      <c r="W18" s="18">
        <v>41.690562999999997</v>
      </c>
      <c r="X18" s="18">
        <v>40.719619999999999</v>
      </c>
      <c r="Y18" s="18">
        <v>39.629105000000003</v>
      </c>
      <c r="Z18" s="18">
        <v>38.538592999999999</v>
      </c>
      <c r="AA18" s="18">
        <v>37.786071999999997</v>
      </c>
      <c r="AB18" s="18">
        <v>37.194580000000002</v>
      </c>
      <c r="AC18" s="18">
        <v>36.619025999999998</v>
      </c>
      <c r="AD18" s="18">
        <v>36.218055999999997</v>
      </c>
      <c r="AE18" s="18">
        <v>35.817089000000003</v>
      </c>
      <c r="AF18" s="18">
        <v>35.636929000000002</v>
      </c>
      <c r="AG18" s="18">
        <v>35.517353</v>
      </c>
      <c r="AH18" s="19">
        <v>-1.2617E-2</v>
      </c>
    </row>
    <row r="19" spans="1:34" ht="15" customHeight="1" x14ac:dyDescent="0.25">
      <c r="A19" s="6" t="s">
        <v>13</v>
      </c>
      <c r="B19" s="17" t="s">
        <v>14</v>
      </c>
      <c r="C19" s="18">
        <v>208.948837</v>
      </c>
      <c r="D19" s="18">
        <v>211.092163</v>
      </c>
      <c r="E19" s="18">
        <v>207.00723300000001</v>
      </c>
      <c r="F19" s="18">
        <v>199.885605</v>
      </c>
      <c r="G19" s="18">
        <v>200.39172400000001</v>
      </c>
      <c r="H19" s="18">
        <v>228.20289600000001</v>
      </c>
      <c r="I19" s="18">
        <v>248.22820999999999</v>
      </c>
      <c r="J19" s="18">
        <v>298.01370200000002</v>
      </c>
      <c r="K19" s="18">
        <v>308.28359999999998</v>
      </c>
      <c r="L19" s="18">
        <v>306.69671599999998</v>
      </c>
      <c r="M19" s="18">
        <v>323.51608299999998</v>
      </c>
      <c r="N19" s="18">
        <v>330.87738000000002</v>
      </c>
      <c r="O19" s="18">
        <v>336.46090700000002</v>
      </c>
      <c r="P19" s="18">
        <v>347.05206299999998</v>
      </c>
      <c r="Q19" s="18">
        <v>331.85986300000002</v>
      </c>
      <c r="R19" s="18">
        <v>318.38296500000001</v>
      </c>
      <c r="S19" s="18">
        <v>312.05178799999999</v>
      </c>
      <c r="T19" s="18">
        <v>318.30221599999999</v>
      </c>
      <c r="U19" s="18">
        <v>327.45529199999999</v>
      </c>
      <c r="V19" s="18">
        <v>338.03387500000002</v>
      </c>
      <c r="W19" s="18">
        <v>345.20864899999998</v>
      </c>
      <c r="X19" s="18">
        <v>351.50451700000002</v>
      </c>
      <c r="Y19" s="18">
        <v>367.02511600000003</v>
      </c>
      <c r="Z19" s="18">
        <v>388.82327299999997</v>
      </c>
      <c r="AA19" s="18">
        <v>409.46066300000001</v>
      </c>
      <c r="AB19" s="18">
        <v>418.57861300000002</v>
      </c>
      <c r="AC19" s="18">
        <v>421.71017499999999</v>
      </c>
      <c r="AD19" s="18">
        <v>412.02520800000002</v>
      </c>
      <c r="AE19" s="18">
        <v>424.65466300000003</v>
      </c>
      <c r="AF19" s="18">
        <v>424.00869799999998</v>
      </c>
      <c r="AG19" s="18">
        <v>426.10546900000003</v>
      </c>
      <c r="AH19" s="19">
        <v>2.4038E-2</v>
      </c>
    </row>
    <row r="20" spans="1:34" ht="15" customHeight="1" x14ac:dyDescent="0.25">
      <c r="A20" s="6" t="s">
        <v>15</v>
      </c>
      <c r="B20" s="16" t="s">
        <v>278</v>
      </c>
      <c r="C20" s="20">
        <v>260.93231200000002</v>
      </c>
      <c r="D20" s="20">
        <v>263.07568400000002</v>
      </c>
      <c r="E20" s="20">
        <v>258.990723</v>
      </c>
      <c r="F20" s="20">
        <v>251.86911000000001</v>
      </c>
      <c r="G20" s="20">
        <v>252.29032900000001</v>
      </c>
      <c r="H20" s="20">
        <v>278.24609400000003</v>
      </c>
      <c r="I20" s="20">
        <v>298.05020100000002</v>
      </c>
      <c r="J20" s="20">
        <v>347.60730000000001</v>
      </c>
      <c r="K20" s="20">
        <v>357.618561</v>
      </c>
      <c r="L20" s="20">
        <v>355.765717</v>
      </c>
      <c r="M20" s="20">
        <v>372.31677200000001</v>
      </c>
      <c r="N20" s="20">
        <v>379.27423099999999</v>
      </c>
      <c r="O20" s="20">
        <v>384.45391799999999</v>
      </c>
      <c r="P20" s="20">
        <v>394.64120500000001</v>
      </c>
      <c r="Q20" s="20">
        <v>378.79208399999999</v>
      </c>
      <c r="R20" s="20">
        <v>364.62554899999998</v>
      </c>
      <c r="S20" s="20">
        <v>357.59680200000003</v>
      </c>
      <c r="T20" s="20">
        <v>362.98220800000001</v>
      </c>
      <c r="U20" s="20">
        <v>371.300568</v>
      </c>
      <c r="V20" s="20">
        <v>380.83090199999998</v>
      </c>
      <c r="W20" s="20">
        <v>386.89920000000001</v>
      </c>
      <c r="X20" s="20">
        <v>392.224152</v>
      </c>
      <c r="Y20" s="20">
        <v>406.65420499999999</v>
      </c>
      <c r="Z20" s="20">
        <v>427.36187699999999</v>
      </c>
      <c r="AA20" s="20">
        <v>447.246735</v>
      </c>
      <c r="AB20" s="20">
        <v>455.77322400000003</v>
      </c>
      <c r="AC20" s="20">
        <v>458.32922400000001</v>
      </c>
      <c r="AD20" s="20">
        <v>448.24328600000001</v>
      </c>
      <c r="AE20" s="20">
        <v>460.47177099999999</v>
      </c>
      <c r="AF20" s="20">
        <v>459.64566000000002</v>
      </c>
      <c r="AG20" s="20">
        <v>461.62280299999998</v>
      </c>
      <c r="AH20" s="21">
        <v>1.9198E-2</v>
      </c>
    </row>
    <row r="22" spans="1:34" ht="15" customHeight="1" x14ac:dyDescent="0.25">
      <c r="B22" s="16" t="s">
        <v>307</v>
      </c>
    </row>
    <row r="23" spans="1:34" ht="15" customHeight="1" x14ac:dyDescent="0.25">
      <c r="A23" s="6" t="s">
        <v>16</v>
      </c>
      <c r="B23" s="17" t="s">
        <v>12</v>
      </c>
      <c r="C23" s="18">
        <v>3615.1694339999999</v>
      </c>
      <c r="D23" s="18">
        <v>3615.1694339999999</v>
      </c>
      <c r="E23" s="18">
        <v>3615.1694339999999</v>
      </c>
      <c r="F23" s="18">
        <v>3615.1694339999999</v>
      </c>
      <c r="G23" s="18">
        <v>3609.2651369999999</v>
      </c>
      <c r="H23" s="18">
        <v>3480.2329100000002</v>
      </c>
      <c r="I23" s="18">
        <v>3464.8491210000002</v>
      </c>
      <c r="J23" s="18">
        <v>3448.9660640000002</v>
      </c>
      <c r="K23" s="18">
        <v>3430.9765619999998</v>
      </c>
      <c r="L23" s="18">
        <v>3412.4821780000002</v>
      </c>
      <c r="M23" s="18">
        <v>3393.8217770000001</v>
      </c>
      <c r="N23" s="18">
        <v>3365.7368160000001</v>
      </c>
      <c r="O23" s="18">
        <v>3337.6518550000001</v>
      </c>
      <c r="P23" s="18">
        <v>3309.5666500000002</v>
      </c>
      <c r="Q23" s="18">
        <v>3263.8803710000002</v>
      </c>
      <c r="R23" s="18">
        <v>3215.920654</v>
      </c>
      <c r="S23" s="18">
        <v>3167.4064939999998</v>
      </c>
      <c r="T23" s="18">
        <v>3107.250732</v>
      </c>
      <c r="U23" s="18">
        <v>3049.201172</v>
      </c>
      <c r="V23" s="18">
        <v>2976.3002929999998</v>
      </c>
      <c r="W23" s="18">
        <v>2899.3522950000001</v>
      </c>
      <c r="X23" s="18">
        <v>2831.8286130000001</v>
      </c>
      <c r="Y23" s="18">
        <v>2755.9887699999999</v>
      </c>
      <c r="Z23" s="18">
        <v>2680.1496579999998</v>
      </c>
      <c r="AA23" s="18">
        <v>2627.8159179999998</v>
      </c>
      <c r="AB23" s="18">
        <v>2586.6811520000001</v>
      </c>
      <c r="AC23" s="18">
        <v>2546.654297</v>
      </c>
      <c r="AD23" s="18">
        <v>2518.7690429999998</v>
      </c>
      <c r="AE23" s="18">
        <v>2490.883789</v>
      </c>
      <c r="AF23" s="18">
        <v>2478.3544919999999</v>
      </c>
      <c r="AG23" s="18">
        <v>2470.038818</v>
      </c>
      <c r="AH23" s="19">
        <v>-1.2617E-2</v>
      </c>
    </row>
    <row r="24" spans="1:34" ht="15" customHeight="1" x14ac:dyDescent="0.25">
      <c r="A24" s="6" t="s">
        <v>17</v>
      </c>
      <c r="B24" s="17" t="s">
        <v>14</v>
      </c>
      <c r="C24" s="18">
        <v>6033.984375</v>
      </c>
      <c r="D24" s="18">
        <v>8297.8359380000002</v>
      </c>
      <c r="E24" s="18">
        <v>7089.953125</v>
      </c>
      <c r="F24" s="18">
        <v>6069.6020509999998</v>
      </c>
      <c r="G24" s="18">
        <v>5555.6284180000002</v>
      </c>
      <c r="H24" s="18">
        <v>6366.5825199999999</v>
      </c>
      <c r="I24" s="18">
        <v>7061.0239259999998</v>
      </c>
      <c r="J24" s="18">
        <v>8558.0146480000003</v>
      </c>
      <c r="K24" s="18">
        <v>8831.4248050000006</v>
      </c>
      <c r="L24" s="18">
        <v>9183.5195309999999</v>
      </c>
      <c r="M24" s="18">
        <v>10394.734375</v>
      </c>
      <c r="N24" s="18">
        <v>10696.338867</v>
      </c>
      <c r="O24" s="18">
        <v>11039.819336</v>
      </c>
      <c r="P24" s="18">
        <v>11375.915039</v>
      </c>
      <c r="Q24" s="18">
        <v>10768.619140999999</v>
      </c>
      <c r="R24" s="18">
        <v>10025.049805000001</v>
      </c>
      <c r="S24" s="18">
        <v>9841.0332030000009</v>
      </c>
      <c r="T24" s="18">
        <v>9927.7587889999995</v>
      </c>
      <c r="U24" s="18">
        <v>10079.439453000001</v>
      </c>
      <c r="V24" s="18">
        <v>10278.846680000001</v>
      </c>
      <c r="W24" s="18">
        <v>10307.288086</v>
      </c>
      <c r="X24" s="18">
        <v>10499.438477</v>
      </c>
      <c r="Y24" s="18">
        <v>10972.840819999999</v>
      </c>
      <c r="Z24" s="18">
        <v>11606.875977</v>
      </c>
      <c r="AA24" s="18">
        <v>12087.480469</v>
      </c>
      <c r="AB24" s="18">
        <v>12085.212890999999</v>
      </c>
      <c r="AC24" s="18">
        <v>12198.428711</v>
      </c>
      <c r="AD24" s="18">
        <v>12015.205078000001</v>
      </c>
      <c r="AE24" s="18">
        <v>12086.815430000001</v>
      </c>
      <c r="AF24" s="18">
        <v>11901.193359000001</v>
      </c>
      <c r="AG24" s="18">
        <v>12098.570312</v>
      </c>
      <c r="AH24" s="19">
        <v>2.3460000000000002E-2</v>
      </c>
    </row>
    <row r="25" spans="1:34" ht="15" customHeight="1" x14ac:dyDescent="0.25">
      <c r="A25" s="6" t="s">
        <v>18</v>
      </c>
      <c r="B25" s="16" t="s">
        <v>278</v>
      </c>
      <c r="C25" s="20">
        <v>9649.1542969999991</v>
      </c>
      <c r="D25" s="20">
        <v>11913.005859000001</v>
      </c>
      <c r="E25" s="20">
        <v>10705.123046999999</v>
      </c>
      <c r="F25" s="20">
        <v>9684.7714840000008</v>
      </c>
      <c r="G25" s="20">
        <v>9164.8935550000006</v>
      </c>
      <c r="H25" s="20">
        <v>9846.8154300000006</v>
      </c>
      <c r="I25" s="20">
        <v>10525.873046999999</v>
      </c>
      <c r="J25" s="20">
        <v>12006.980469</v>
      </c>
      <c r="K25" s="20">
        <v>12262.401367</v>
      </c>
      <c r="L25" s="20">
        <v>12596.001953000001</v>
      </c>
      <c r="M25" s="20">
        <v>13788.556640999999</v>
      </c>
      <c r="N25" s="20">
        <v>14062.076171999999</v>
      </c>
      <c r="O25" s="20">
        <v>14377.470703000001</v>
      </c>
      <c r="P25" s="20">
        <v>14685.481444999999</v>
      </c>
      <c r="Q25" s="20">
        <v>14032.5</v>
      </c>
      <c r="R25" s="20">
        <v>13240.970703000001</v>
      </c>
      <c r="S25" s="20">
        <v>13008.439453000001</v>
      </c>
      <c r="T25" s="20">
        <v>13035.009765999999</v>
      </c>
      <c r="U25" s="20">
        <v>13128.640625</v>
      </c>
      <c r="V25" s="20">
        <v>13255.146484000001</v>
      </c>
      <c r="W25" s="20">
        <v>13206.640625</v>
      </c>
      <c r="X25" s="20">
        <v>13331.267578000001</v>
      </c>
      <c r="Y25" s="20">
        <v>13728.830078000001</v>
      </c>
      <c r="Z25" s="20">
        <v>14287.025390999999</v>
      </c>
      <c r="AA25" s="20">
        <v>14715.296875</v>
      </c>
      <c r="AB25" s="20">
        <v>14671.894531</v>
      </c>
      <c r="AC25" s="20">
        <v>14745.083008</v>
      </c>
      <c r="AD25" s="20">
        <v>14533.974609000001</v>
      </c>
      <c r="AE25" s="20">
        <v>14577.699219</v>
      </c>
      <c r="AF25" s="20">
        <v>14379.547852</v>
      </c>
      <c r="AG25" s="20">
        <v>14568.609375</v>
      </c>
      <c r="AH25" s="21">
        <v>1.3828E-2</v>
      </c>
    </row>
    <row r="27" spans="1:34" ht="15" customHeight="1" x14ac:dyDescent="0.25">
      <c r="B27" s="16" t="s">
        <v>19</v>
      </c>
    </row>
    <row r="29" spans="1:34" ht="15" customHeight="1" x14ac:dyDescent="0.25">
      <c r="B29" s="16" t="s">
        <v>20</v>
      </c>
    </row>
    <row r="30" spans="1:34" ht="15" customHeight="1" x14ac:dyDescent="0.25">
      <c r="A30" s="6" t="s">
        <v>21</v>
      </c>
      <c r="B30" s="17" t="s">
        <v>12</v>
      </c>
      <c r="C30" s="22">
        <v>19.288084000000001</v>
      </c>
      <c r="D30" s="22">
        <v>18.101911999999999</v>
      </c>
      <c r="E30" s="22">
        <v>17.991903000000001</v>
      </c>
      <c r="F30" s="22">
        <v>18.629631</v>
      </c>
      <c r="G30" s="22">
        <v>18.629631</v>
      </c>
      <c r="H30" s="22">
        <v>18.629631</v>
      </c>
      <c r="I30" s="22">
        <v>18.629631</v>
      </c>
      <c r="J30" s="22">
        <v>20.287724000000001</v>
      </c>
      <c r="K30" s="22">
        <v>20.287724000000001</v>
      </c>
      <c r="L30" s="22">
        <v>20.223951</v>
      </c>
      <c r="M30" s="22">
        <v>20.160178999999999</v>
      </c>
      <c r="N30" s="22">
        <v>20.096405000000001</v>
      </c>
      <c r="O30" s="22">
        <v>19.813414000000002</v>
      </c>
      <c r="P30" s="22">
        <v>19.530419999999999</v>
      </c>
      <c r="Q30" s="22">
        <v>19.247429</v>
      </c>
      <c r="R30" s="22">
        <v>18.964435999999999</v>
      </c>
      <c r="S30" s="22">
        <v>18.402441</v>
      </c>
      <c r="T30" s="22">
        <v>18.119447999999998</v>
      </c>
      <c r="U30" s="22">
        <v>17.836458</v>
      </c>
      <c r="V30" s="22">
        <v>17.617239000000001</v>
      </c>
      <c r="W30" s="22">
        <v>17.398019999999999</v>
      </c>
      <c r="X30" s="22">
        <v>17.178801</v>
      </c>
      <c r="Y30" s="22">
        <v>17.178801</v>
      </c>
      <c r="Z30" s="22">
        <v>17.178801</v>
      </c>
      <c r="AA30" s="22">
        <v>17.178801</v>
      </c>
      <c r="AB30" s="22">
        <v>17.178801</v>
      </c>
      <c r="AC30" s="22">
        <v>17.178801</v>
      </c>
      <c r="AD30" s="22">
        <v>17.178801</v>
      </c>
      <c r="AE30" s="22">
        <v>17.178801</v>
      </c>
      <c r="AF30" s="22">
        <v>17.178801</v>
      </c>
      <c r="AG30" s="22">
        <v>17.178801</v>
      </c>
      <c r="AH30" s="19">
        <v>-3.8530000000000001E-3</v>
      </c>
    </row>
    <row r="31" spans="1:34" x14ac:dyDescent="0.25">
      <c r="A31" s="6" t="s">
        <v>22</v>
      </c>
      <c r="B31" s="17" t="s">
        <v>14</v>
      </c>
      <c r="C31" s="22">
        <v>40.792960999999998</v>
      </c>
      <c r="D31" s="22">
        <v>44.075527000000001</v>
      </c>
      <c r="E31" s="22">
        <v>40.650841</v>
      </c>
      <c r="F31" s="22">
        <v>38.570923000000001</v>
      </c>
      <c r="G31" s="22">
        <v>40.760662000000004</v>
      </c>
      <c r="H31" s="22">
        <v>37.795712000000002</v>
      </c>
      <c r="I31" s="22">
        <v>38.793964000000003</v>
      </c>
      <c r="J31" s="22">
        <v>41.107529</v>
      </c>
      <c r="K31" s="22">
        <v>43.286194000000002</v>
      </c>
      <c r="L31" s="22">
        <v>42.643723000000001</v>
      </c>
      <c r="M31" s="22">
        <v>45.432628999999999</v>
      </c>
      <c r="N31" s="22">
        <v>42.737029999999997</v>
      </c>
      <c r="O31" s="22">
        <v>45.677520999999999</v>
      </c>
      <c r="P31" s="22">
        <v>45.432113999999999</v>
      </c>
      <c r="Q31" s="22">
        <v>48.028419</v>
      </c>
      <c r="R31" s="22">
        <v>47.770781999999997</v>
      </c>
      <c r="S31" s="22">
        <v>46.982444999999998</v>
      </c>
      <c r="T31" s="22">
        <v>46.882579999999997</v>
      </c>
      <c r="U31" s="22">
        <v>46.738242999999997</v>
      </c>
      <c r="V31" s="22">
        <v>47.050362</v>
      </c>
      <c r="W31" s="22">
        <v>46.683838000000002</v>
      </c>
      <c r="X31" s="22">
        <v>45.998997000000003</v>
      </c>
      <c r="Y31" s="22">
        <v>45.332565000000002</v>
      </c>
      <c r="Z31" s="22">
        <v>44.880885999999997</v>
      </c>
      <c r="AA31" s="22">
        <v>43.996181</v>
      </c>
      <c r="AB31" s="22">
        <v>42.912135999999997</v>
      </c>
      <c r="AC31" s="22">
        <v>42.616580999999996</v>
      </c>
      <c r="AD31" s="22">
        <v>42.364983000000002</v>
      </c>
      <c r="AE31" s="22">
        <v>41.943871000000001</v>
      </c>
      <c r="AF31" s="22">
        <v>41.600414000000001</v>
      </c>
      <c r="AG31" s="22">
        <v>41.667332000000002</v>
      </c>
      <c r="AH31" s="19">
        <v>7.0699999999999995E-4</v>
      </c>
    </row>
    <row r="32" spans="1:34" x14ac:dyDescent="0.25">
      <c r="A32" s="6" t="s">
        <v>23</v>
      </c>
      <c r="B32" s="16" t="s">
        <v>279</v>
      </c>
      <c r="C32" s="23">
        <v>60.081051000000002</v>
      </c>
      <c r="D32" s="23">
        <v>62.177436999999998</v>
      </c>
      <c r="E32" s="23">
        <v>58.642746000000002</v>
      </c>
      <c r="F32" s="23">
        <v>57.200558000000001</v>
      </c>
      <c r="G32" s="23">
        <v>59.390293</v>
      </c>
      <c r="H32" s="23">
        <v>56.425345999999998</v>
      </c>
      <c r="I32" s="23">
        <v>57.423594999999999</v>
      </c>
      <c r="J32" s="23">
        <v>61.395251999999999</v>
      </c>
      <c r="K32" s="23">
        <v>63.573917000000002</v>
      </c>
      <c r="L32" s="23">
        <v>62.867676000000003</v>
      </c>
      <c r="M32" s="23">
        <v>65.592811999999995</v>
      </c>
      <c r="N32" s="23">
        <v>62.833430999999997</v>
      </c>
      <c r="O32" s="23">
        <v>65.490936000000005</v>
      </c>
      <c r="P32" s="23">
        <v>64.962531999999996</v>
      </c>
      <c r="Q32" s="23">
        <v>67.275847999999996</v>
      </c>
      <c r="R32" s="23">
        <v>66.735221999999993</v>
      </c>
      <c r="S32" s="23">
        <v>65.384888000000004</v>
      </c>
      <c r="T32" s="23">
        <v>65.002028999999993</v>
      </c>
      <c r="U32" s="23">
        <v>64.574698999999995</v>
      </c>
      <c r="V32" s="23">
        <v>64.667603</v>
      </c>
      <c r="W32" s="23">
        <v>64.081856000000002</v>
      </c>
      <c r="X32" s="23">
        <v>63.177799</v>
      </c>
      <c r="Y32" s="23">
        <v>62.511364</v>
      </c>
      <c r="Z32" s="23">
        <v>62.059680999999998</v>
      </c>
      <c r="AA32" s="23">
        <v>61.174979999999998</v>
      </c>
      <c r="AB32" s="23">
        <v>60.090930999999998</v>
      </c>
      <c r="AC32" s="23">
        <v>59.795380000000002</v>
      </c>
      <c r="AD32" s="23">
        <v>59.543785</v>
      </c>
      <c r="AE32" s="23">
        <v>59.122664999999998</v>
      </c>
      <c r="AF32" s="23">
        <v>58.779212999999999</v>
      </c>
      <c r="AG32" s="23">
        <v>58.846127000000003</v>
      </c>
      <c r="AH32" s="21">
        <v>-6.9200000000000002E-4</v>
      </c>
    </row>
    <row r="34" spans="1:34" x14ac:dyDescent="0.25">
      <c r="B34" s="16" t="s">
        <v>24</v>
      </c>
    </row>
    <row r="35" spans="1:34" x14ac:dyDescent="0.25">
      <c r="A35" s="6" t="s">
        <v>25</v>
      </c>
      <c r="B35" s="17" t="s">
        <v>12</v>
      </c>
      <c r="C35" s="22">
        <v>1.19574</v>
      </c>
      <c r="D35" s="22">
        <v>1.19574</v>
      </c>
      <c r="E35" s="22">
        <v>1.19574</v>
      </c>
      <c r="F35" s="22">
        <v>1.19574</v>
      </c>
      <c r="G35" s="22">
        <v>1.19574</v>
      </c>
      <c r="H35" s="22">
        <v>1.19574</v>
      </c>
      <c r="I35" s="22">
        <v>1.19574</v>
      </c>
      <c r="J35" s="22">
        <v>1.19574</v>
      </c>
      <c r="K35" s="22">
        <v>1.19574</v>
      </c>
      <c r="L35" s="22">
        <v>1.19574</v>
      </c>
      <c r="M35" s="22">
        <v>1.19574</v>
      </c>
      <c r="N35" s="22">
        <v>1.076166</v>
      </c>
      <c r="O35" s="22">
        <v>0.956592</v>
      </c>
      <c r="P35" s="22">
        <v>0.83701800000000004</v>
      </c>
      <c r="Q35" s="22">
        <v>0.71744399999999997</v>
      </c>
      <c r="R35" s="22">
        <v>0.59787000000000001</v>
      </c>
      <c r="S35" s="22">
        <v>0.478296</v>
      </c>
      <c r="T35" s="22">
        <v>0.35872199999999999</v>
      </c>
      <c r="U35" s="22">
        <v>0.239148</v>
      </c>
      <c r="V35" s="22">
        <v>0.119574</v>
      </c>
      <c r="W35" s="22">
        <v>0</v>
      </c>
      <c r="X35" s="22">
        <v>0</v>
      </c>
      <c r="Y35" s="22">
        <v>0</v>
      </c>
      <c r="Z35" s="22">
        <v>0</v>
      </c>
      <c r="AA35" s="22">
        <v>0</v>
      </c>
      <c r="AB35" s="22">
        <v>0</v>
      </c>
      <c r="AC35" s="22">
        <v>0</v>
      </c>
      <c r="AD35" s="22">
        <v>0</v>
      </c>
      <c r="AE35" s="22">
        <v>0</v>
      </c>
      <c r="AF35" s="22">
        <v>0</v>
      </c>
      <c r="AG35" s="22">
        <v>0</v>
      </c>
      <c r="AH35" s="19" t="s">
        <v>26</v>
      </c>
    </row>
    <row r="36" spans="1:34" x14ac:dyDescent="0.25">
      <c r="A36" s="6" t="s">
        <v>27</v>
      </c>
      <c r="B36" s="17" t="s">
        <v>14</v>
      </c>
      <c r="C36" s="22">
        <v>13.198703</v>
      </c>
      <c r="D36" s="22">
        <v>13.198703</v>
      </c>
      <c r="E36" s="22">
        <v>13.198703</v>
      </c>
      <c r="F36" s="22">
        <v>13.198703</v>
      </c>
      <c r="G36" s="22">
        <v>13.198703</v>
      </c>
      <c r="H36" s="22">
        <v>13.198703</v>
      </c>
      <c r="I36" s="22">
        <v>13.198703</v>
      </c>
      <c r="J36" s="22">
        <v>13.198703</v>
      </c>
      <c r="K36" s="22">
        <v>13.198703</v>
      </c>
      <c r="L36" s="22">
        <v>13.198703</v>
      </c>
      <c r="M36" s="22">
        <v>13.198703</v>
      </c>
      <c r="N36" s="22">
        <v>13.318277</v>
      </c>
      <c r="O36" s="22">
        <v>13.437851</v>
      </c>
      <c r="P36" s="22">
        <v>13.557425</v>
      </c>
      <c r="Q36" s="22">
        <v>13.676999</v>
      </c>
      <c r="R36" s="22">
        <v>13.796573</v>
      </c>
      <c r="S36" s="22">
        <v>13.916147</v>
      </c>
      <c r="T36" s="22">
        <v>14.035722</v>
      </c>
      <c r="U36" s="22">
        <v>14.155295000000001</v>
      </c>
      <c r="V36" s="22">
        <v>14.274869000000001</v>
      </c>
      <c r="W36" s="22">
        <v>14.394444</v>
      </c>
      <c r="X36" s="22">
        <v>14.394444</v>
      </c>
      <c r="Y36" s="22">
        <v>14.394444</v>
      </c>
      <c r="Z36" s="22">
        <v>14.394444</v>
      </c>
      <c r="AA36" s="22">
        <v>14.394444</v>
      </c>
      <c r="AB36" s="22">
        <v>14.394444</v>
      </c>
      <c r="AC36" s="22">
        <v>14.394444</v>
      </c>
      <c r="AD36" s="22">
        <v>14.394444</v>
      </c>
      <c r="AE36" s="22">
        <v>14.394444</v>
      </c>
      <c r="AF36" s="22">
        <v>14.394444</v>
      </c>
      <c r="AG36" s="22">
        <v>14.394444</v>
      </c>
      <c r="AH36" s="19">
        <v>2.895E-3</v>
      </c>
    </row>
    <row r="37" spans="1:34" x14ac:dyDescent="0.25">
      <c r="A37" s="6" t="s">
        <v>28</v>
      </c>
      <c r="B37" s="16" t="s">
        <v>280</v>
      </c>
      <c r="C37" s="23">
        <v>14.394444</v>
      </c>
      <c r="D37" s="23">
        <v>14.394444</v>
      </c>
      <c r="E37" s="23">
        <v>14.394444</v>
      </c>
      <c r="F37" s="23">
        <v>14.394444</v>
      </c>
      <c r="G37" s="23">
        <v>14.394444</v>
      </c>
      <c r="H37" s="23">
        <v>14.394444</v>
      </c>
      <c r="I37" s="23">
        <v>14.394444</v>
      </c>
      <c r="J37" s="23">
        <v>14.394444</v>
      </c>
      <c r="K37" s="23">
        <v>14.394444</v>
      </c>
      <c r="L37" s="23">
        <v>14.394444</v>
      </c>
      <c r="M37" s="23">
        <v>14.394444</v>
      </c>
      <c r="N37" s="23">
        <v>14.394444</v>
      </c>
      <c r="O37" s="23">
        <v>14.394444</v>
      </c>
      <c r="P37" s="23">
        <v>14.394443000000001</v>
      </c>
      <c r="Q37" s="23">
        <v>14.394444</v>
      </c>
      <c r="R37" s="23">
        <v>14.394444</v>
      </c>
      <c r="S37" s="23">
        <v>14.394444</v>
      </c>
      <c r="T37" s="23">
        <v>14.394444</v>
      </c>
      <c r="U37" s="23">
        <v>14.394444</v>
      </c>
      <c r="V37" s="23">
        <v>14.394444</v>
      </c>
      <c r="W37" s="23">
        <v>14.394444</v>
      </c>
      <c r="X37" s="23">
        <v>14.394444</v>
      </c>
      <c r="Y37" s="23">
        <v>14.394444</v>
      </c>
      <c r="Z37" s="23">
        <v>14.394444</v>
      </c>
      <c r="AA37" s="23">
        <v>14.394444</v>
      </c>
      <c r="AB37" s="23">
        <v>14.394444</v>
      </c>
      <c r="AC37" s="23">
        <v>14.394444</v>
      </c>
      <c r="AD37" s="23">
        <v>14.394444</v>
      </c>
      <c r="AE37" s="23">
        <v>14.394444</v>
      </c>
      <c r="AF37" s="23">
        <v>14.394444</v>
      </c>
      <c r="AG37" s="23">
        <v>14.394444</v>
      </c>
      <c r="AH37" s="21">
        <v>0</v>
      </c>
    </row>
    <row r="38" spans="1:34" ht="15.75" thickBot="1" x14ac:dyDescent="0.3"/>
    <row r="39" spans="1:34" x14ac:dyDescent="0.25">
      <c r="B39" s="24" t="s">
        <v>294</v>
      </c>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row>
    <row r="40" spans="1:34" x14ac:dyDescent="0.25">
      <c r="B40" s="7" t="s">
        <v>308</v>
      </c>
    </row>
    <row r="41" spans="1:34" x14ac:dyDescent="0.25">
      <c r="B41" s="7" t="s">
        <v>281</v>
      </c>
    </row>
    <row r="42" spans="1:34" x14ac:dyDescent="0.25">
      <c r="B42" s="7" t="s">
        <v>31</v>
      </c>
    </row>
    <row r="43" spans="1:34" x14ac:dyDescent="0.25">
      <c r="B43" s="7" t="s">
        <v>30</v>
      </c>
    </row>
    <row r="44" spans="1:34" x14ac:dyDescent="0.25">
      <c r="B44" s="7" t="s">
        <v>309</v>
      </c>
    </row>
    <row r="45" spans="1:34" x14ac:dyDescent="0.25">
      <c r="B45" s="7" t="s">
        <v>310</v>
      </c>
    </row>
    <row r="46" spans="1:34" x14ac:dyDescent="0.25">
      <c r="B46" s="7" t="s">
        <v>311</v>
      </c>
    </row>
    <row r="112" spans="2:34" ht="15" customHeight="1" x14ac:dyDescent="0.25">
      <c r="B112" s="86"/>
      <c r="C112" s="86"/>
      <c r="D112" s="86"/>
      <c r="E112" s="86"/>
      <c r="F112" s="86"/>
      <c r="G112" s="86"/>
      <c r="H112" s="86"/>
      <c r="I112" s="86"/>
      <c r="J112" s="86"/>
      <c r="K112" s="86"/>
      <c r="L112" s="86"/>
      <c r="M112" s="86"/>
      <c r="N112" s="86"/>
      <c r="O112" s="86"/>
      <c r="P112" s="86"/>
      <c r="Q112" s="86"/>
      <c r="R112" s="86"/>
      <c r="S112" s="86"/>
      <c r="T112" s="86"/>
      <c r="U112" s="86"/>
      <c r="V112" s="86"/>
      <c r="W112" s="86"/>
      <c r="X112" s="86"/>
      <c r="Y112" s="86"/>
      <c r="Z112" s="86"/>
      <c r="AA112" s="86"/>
      <c r="AB112" s="86"/>
      <c r="AC112" s="86"/>
      <c r="AD112" s="86"/>
      <c r="AE112" s="86"/>
      <c r="AF112" s="86"/>
      <c r="AG112" s="86"/>
      <c r="AH112" s="86"/>
    </row>
    <row r="308" spans="2:34" ht="15" customHeight="1" x14ac:dyDescent="0.25">
      <c r="B308" s="86"/>
      <c r="C308" s="86"/>
      <c r="D308" s="86"/>
      <c r="E308" s="86"/>
      <c r="F308" s="86"/>
      <c r="G308" s="86"/>
      <c r="H308" s="86"/>
      <c r="I308" s="86"/>
      <c r="J308" s="86"/>
      <c r="K308" s="86"/>
      <c r="L308" s="86"/>
      <c r="M308" s="86"/>
      <c r="N308" s="86"/>
      <c r="O308" s="86"/>
      <c r="P308" s="86"/>
      <c r="Q308" s="86"/>
      <c r="R308" s="86"/>
      <c r="S308" s="86"/>
      <c r="T308" s="86"/>
      <c r="U308" s="86"/>
      <c r="V308" s="86"/>
      <c r="W308" s="86"/>
      <c r="X308" s="86"/>
      <c r="Y308" s="86"/>
      <c r="Z308" s="86"/>
      <c r="AA308" s="86"/>
      <c r="AB308" s="86"/>
      <c r="AC308" s="86"/>
      <c r="AD308" s="86"/>
      <c r="AE308" s="86"/>
      <c r="AF308" s="86"/>
      <c r="AG308" s="86"/>
      <c r="AH308" s="86"/>
    </row>
    <row r="500" spans="2:34" ht="15" customHeight="1" x14ac:dyDescent="0.25">
      <c r="B500" s="87"/>
      <c r="C500" s="86"/>
      <c r="D500" s="86"/>
      <c r="E500" s="86"/>
      <c r="F500" s="86"/>
      <c r="G500" s="86"/>
      <c r="H500" s="86"/>
      <c r="I500" s="86"/>
      <c r="J500" s="86"/>
      <c r="K500" s="86"/>
      <c r="L500" s="86"/>
      <c r="M500" s="86"/>
      <c r="N500" s="86"/>
      <c r="O500" s="86"/>
      <c r="P500" s="86"/>
      <c r="Q500" s="86"/>
      <c r="R500" s="86"/>
      <c r="S500" s="86"/>
      <c r="T500" s="86"/>
      <c r="U500" s="86"/>
      <c r="V500" s="86"/>
      <c r="W500" s="86"/>
      <c r="X500" s="86"/>
      <c r="Y500" s="86"/>
      <c r="Z500" s="86"/>
      <c r="AA500" s="86"/>
      <c r="AB500" s="86"/>
      <c r="AC500" s="86"/>
      <c r="AD500" s="86"/>
      <c r="AE500" s="86"/>
      <c r="AF500" s="86"/>
      <c r="AG500" s="86"/>
    </row>
    <row r="511" spans="2:34" ht="15" customHeight="1" x14ac:dyDescent="0.25">
      <c r="B511" s="86"/>
      <c r="C511" s="86"/>
      <c r="D511" s="86"/>
      <c r="E511" s="86"/>
      <c r="F511" s="86"/>
      <c r="G511" s="86"/>
      <c r="H511" s="86"/>
      <c r="I511" s="86"/>
      <c r="J511" s="86"/>
      <c r="K511" s="86"/>
      <c r="L511" s="86"/>
      <c r="M511" s="86"/>
      <c r="N511" s="86"/>
      <c r="O511" s="86"/>
      <c r="P511" s="86"/>
      <c r="Q511" s="86"/>
      <c r="R511" s="86"/>
      <c r="S511" s="86"/>
      <c r="T511" s="86"/>
      <c r="U511" s="86"/>
      <c r="V511" s="86"/>
      <c r="W511" s="86"/>
      <c r="X511" s="86"/>
      <c r="Y511" s="86"/>
      <c r="Z511" s="86"/>
      <c r="AA511" s="86"/>
      <c r="AB511" s="86"/>
      <c r="AC511" s="86"/>
      <c r="AD511" s="86"/>
      <c r="AE511" s="86"/>
      <c r="AF511" s="86"/>
      <c r="AG511" s="86"/>
      <c r="AH511" s="86"/>
    </row>
    <row r="712" spans="2:34" ht="15" customHeight="1" x14ac:dyDescent="0.25">
      <c r="B712" s="86"/>
      <c r="C712" s="86"/>
      <c r="D712" s="86"/>
      <c r="E712" s="86"/>
      <c r="F712" s="86"/>
      <c r="G712" s="86"/>
      <c r="H712" s="86"/>
      <c r="I712" s="86"/>
      <c r="J712" s="86"/>
      <c r="K712" s="86"/>
      <c r="L712" s="86"/>
      <c r="M712" s="86"/>
      <c r="N712" s="86"/>
      <c r="O712" s="86"/>
      <c r="P712" s="86"/>
      <c r="Q712" s="86"/>
      <c r="R712" s="86"/>
      <c r="S712" s="86"/>
      <c r="T712" s="86"/>
      <c r="U712" s="86"/>
      <c r="V712" s="86"/>
      <c r="W712" s="86"/>
      <c r="X712" s="86"/>
      <c r="Y712" s="86"/>
      <c r="Z712" s="86"/>
      <c r="AA712" s="86"/>
      <c r="AB712" s="86"/>
      <c r="AC712" s="86"/>
      <c r="AD712" s="86"/>
      <c r="AE712" s="86"/>
      <c r="AF712" s="86"/>
      <c r="AG712" s="86"/>
      <c r="AH712" s="86"/>
    </row>
    <row r="887" spans="2:34" ht="15" customHeight="1" x14ac:dyDescent="0.25">
      <c r="B887" s="86"/>
      <c r="C887" s="86"/>
      <c r="D887" s="86"/>
      <c r="E887" s="86"/>
      <c r="F887" s="86"/>
      <c r="G887" s="86"/>
      <c r="H887" s="86"/>
      <c r="I887" s="86"/>
      <c r="J887" s="86"/>
      <c r="K887" s="86"/>
      <c r="L887" s="86"/>
      <c r="M887" s="86"/>
      <c r="N887" s="86"/>
      <c r="O887" s="86"/>
      <c r="P887" s="86"/>
      <c r="Q887" s="86"/>
      <c r="R887" s="86"/>
      <c r="S887" s="86"/>
      <c r="T887" s="86"/>
      <c r="U887" s="86"/>
      <c r="V887" s="86"/>
      <c r="W887" s="86"/>
      <c r="X887" s="86"/>
      <c r="Y887" s="86"/>
      <c r="Z887" s="86"/>
      <c r="AA887" s="86"/>
      <c r="AB887" s="86"/>
      <c r="AC887" s="86"/>
      <c r="AD887" s="86"/>
      <c r="AE887" s="86"/>
      <c r="AF887" s="86"/>
      <c r="AG887" s="86"/>
      <c r="AH887" s="86"/>
    </row>
    <row r="1100" spans="2:34" ht="15" customHeight="1" x14ac:dyDescent="0.25">
      <c r="B1100" s="86"/>
      <c r="C1100" s="86"/>
      <c r="D1100" s="86"/>
      <c r="E1100" s="86"/>
      <c r="F1100" s="86"/>
      <c r="G1100" s="86"/>
      <c r="H1100" s="86"/>
      <c r="I1100" s="86"/>
      <c r="J1100" s="86"/>
      <c r="K1100" s="86"/>
      <c r="L1100" s="86"/>
      <c r="M1100" s="86"/>
      <c r="N1100" s="86"/>
      <c r="O1100" s="86"/>
      <c r="P1100" s="86"/>
      <c r="Q1100" s="86"/>
      <c r="R1100" s="86"/>
      <c r="S1100" s="86"/>
      <c r="T1100" s="86"/>
      <c r="U1100" s="86"/>
      <c r="V1100" s="86"/>
      <c r="W1100" s="86"/>
      <c r="X1100" s="86"/>
      <c r="Y1100" s="86"/>
      <c r="Z1100" s="86"/>
      <c r="AA1100" s="86"/>
      <c r="AB1100" s="86"/>
      <c r="AC1100" s="86"/>
      <c r="AD1100" s="86"/>
      <c r="AE1100" s="86"/>
      <c r="AF1100" s="86"/>
      <c r="AG1100" s="86"/>
      <c r="AH1100" s="86"/>
    </row>
    <row r="1227" spans="2:34" ht="15" customHeight="1" x14ac:dyDescent="0.25">
      <c r="B1227" s="86"/>
      <c r="C1227" s="86"/>
      <c r="D1227" s="86"/>
      <c r="E1227" s="86"/>
      <c r="F1227" s="86"/>
      <c r="G1227" s="86"/>
      <c r="H1227" s="86"/>
      <c r="I1227" s="86"/>
      <c r="J1227" s="86"/>
      <c r="K1227" s="86"/>
      <c r="L1227" s="86"/>
      <c r="M1227" s="86"/>
      <c r="N1227" s="86"/>
      <c r="O1227" s="86"/>
      <c r="P1227" s="86"/>
      <c r="Q1227" s="86"/>
      <c r="R1227" s="86"/>
      <c r="S1227" s="86"/>
      <c r="T1227" s="86"/>
      <c r="U1227" s="86"/>
      <c r="V1227" s="86"/>
      <c r="W1227" s="86"/>
      <c r="X1227" s="86"/>
      <c r="Y1227" s="86"/>
      <c r="Z1227" s="86"/>
      <c r="AA1227" s="86"/>
      <c r="AB1227" s="86"/>
      <c r="AC1227" s="86"/>
      <c r="AD1227" s="86"/>
      <c r="AE1227" s="86"/>
      <c r="AF1227" s="86"/>
      <c r="AG1227" s="86"/>
      <c r="AH1227" s="86"/>
    </row>
    <row r="1390" spans="2:34" ht="15" customHeight="1" x14ac:dyDescent="0.25">
      <c r="B1390" s="86"/>
      <c r="C1390" s="86"/>
      <c r="D1390" s="86"/>
      <c r="E1390" s="86"/>
      <c r="F1390" s="86"/>
      <c r="G1390" s="86"/>
      <c r="H1390" s="86"/>
      <c r="I1390" s="86"/>
      <c r="J1390" s="86"/>
      <c r="K1390" s="86"/>
      <c r="L1390" s="86"/>
      <c r="M1390" s="86"/>
      <c r="N1390" s="86"/>
      <c r="O1390" s="86"/>
      <c r="P1390" s="86"/>
      <c r="Q1390" s="86"/>
      <c r="R1390" s="86"/>
      <c r="S1390" s="86"/>
      <c r="T1390" s="86"/>
      <c r="U1390" s="86"/>
      <c r="V1390" s="86"/>
      <c r="W1390" s="86"/>
      <c r="X1390" s="86"/>
      <c r="Y1390" s="86"/>
      <c r="Z1390" s="86"/>
      <c r="AA1390" s="86"/>
      <c r="AB1390" s="86"/>
      <c r="AC1390" s="86"/>
      <c r="AD1390" s="86"/>
      <c r="AE1390" s="86"/>
      <c r="AF1390" s="86"/>
      <c r="AG1390" s="86"/>
      <c r="AH1390" s="86"/>
    </row>
    <row r="1502" spans="2:34" ht="15" customHeight="1" x14ac:dyDescent="0.25">
      <c r="B1502" s="86"/>
      <c r="C1502" s="86"/>
      <c r="D1502" s="86"/>
      <c r="E1502" s="86"/>
      <c r="F1502" s="86"/>
      <c r="G1502" s="86"/>
      <c r="H1502" s="86"/>
      <c r="I1502" s="86"/>
      <c r="J1502" s="86"/>
      <c r="K1502" s="86"/>
      <c r="L1502" s="86"/>
      <c r="M1502" s="86"/>
      <c r="N1502" s="86"/>
      <c r="O1502" s="86"/>
      <c r="P1502" s="86"/>
      <c r="Q1502" s="86"/>
      <c r="R1502" s="86"/>
      <c r="S1502" s="86"/>
      <c r="T1502" s="86"/>
      <c r="U1502" s="86"/>
      <c r="V1502" s="86"/>
      <c r="W1502" s="86"/>
      <c r="X1502" s="86"/>
      <c r="Y1502" s="86"/>
      <c r="Z1502" s="86"/>
      <c r="AA1502" s="86"/>
      <c r="AB1502" s="86"/>
      <c r="AC1502" s="86"/>
      <c r="AD1502" s="86"/>
      <c r="AE1502" s="86"/>
      <c r="AF1502" s="86"/>
      <c r="AG1502" s="86"/>
      <c r="AH1502" s="86"/>
    </row>
    <row r="1604" spans="2:34" ht="15" customHeight="1" x14ac:dyDescent="0.25">
      <c r="B1604" s="86"/>
      <c r="C1604" s="86"/>
      <c r="D1604" s="86"/>
      <c r="E1604" s="86"/>
      <c r="F1604" s="86"/>
      <c r="G1604" s="86"/>
      <c r="H1604" s="86"/>
      <c r="I1604" s="86"/>
      <c r="J1604" s="86"/>
      <c r="K1604" s="86"/>
      <c r="L1604" s="86"/>
      <c r="M1604" s="86"/>
      <c r="N1604" s="86"/>
      <c r="O1604" s="86"/>
      <c r="P1604" s="86"/>
      <c r="Q1604" s="86"/>
      <c r="R1604" s="86"/>
      <c r="S1604" s="86"/>
      <c r="T1604" s="86"/>
      <c r="U1604" s="86"/>
      <c r="V1604" s="86"/>
      <c r="W1604" s="86"/>
      <c r="X1604" s="86"/>
      <c r="Y1604" s="86"/>
      <c r="Z1604" s="86"/>
      <c r="AA1604" s="86"/>
      <c r="AB1604" s="86"/>
      <c r="AC1604" s="86"/>
      <c r="AD1604" s="86"/>
      <c r="AE1604" s="86"/>
      <c r="AF1604" s="86"/>
      <c r="AG1604" s="86"/>
      <c r="AH1604" s="86"/>
    </row>
    <row r="1698" spans="2:34" ht="15" customHeight="1" x14ac:dyDescent="0.25">
      <c r="B1698" s="86"/>
      <c r="C1698" s="86"/>
      <c r="D1698" s="86"/>
      <c r="E1698" s="86"/>
      <c r="F1698" s="86"/>
      <c r="G1698" s="86"/>
      <c r="H1698" s="86"/>
      <c r="I1698" s="86"/>
      <c r="J1698" s="86"/>
      <c r="K1698" s="86"/>
      <c r="L1698" s="86"/>
      <c r="M1698" s="86"/>
      <c r="N1698" s="86"/>
      <c r="O1698" s="86"/>
      <c r="P1698" s="86"/>
      <c r="Q1698" s="86"/>
      <c r="R1698" s="86"/>
      <c r="S1698" s="86"/>
      <c r="T1698" s="86"/>
      <c r="U1698" s="86"/>
      <c r="V1698" s="86"/>
      <c r="W1698" s="86"/>
      <c r="X1698" s="86"/>
      <c r="Y1698" s="86"/>
      <c r="Z1698" s="86"/>
      <c r="AA1698" s="86"/>
      <c r="AB1698" s="86"/>
      <c r="AC1698" s="86"/>
      <c r="AD1698" s="86"/>
      <c r="AE1698" s="86"/>
      <c r="AF1698" s="86"/>
      <c r="AG1698" s="86"/>
      <c r="AH1698" s="86"/>
    </row>
    <row r="1945" spans="2:34" ht="15" customHeight="1" x14ac:dyDescent="0.25">
      <c r="B1945" s="86"/>
      <c r="C1945" s="86"/>
      <c r="D1945" s="86"/>
      <c r="E1945" s="86"/>
      <c r="F1945" s="86"/>
      <c r="G1945" s="86"/>
      <c r="H1945" s="86"/>
      <c r="I1945" s="86"/>
      <c r="J1945" s="86"/>
      <c r="K1945" s="86"/>
      <c r="L1945" s="86"/>
      <c r="M1945" s="86"/>
      <c r="N1945" s="86"/>
      <c r="O1945" s="86"/>
      <c r="P1945" s="86"/>
      <c r="Q1945" s="86"/>
      <c r="R1945" s="86"/>
      <c r="S1945" s="86"/>
      <c r="T1945" s="86"/>
      <c r="U1945" s="86"/>
      <c r="V1945" s="86"/>
      <c r="W1945" s="86"/>
      <c r="X1945" s="86"/>
      <c r="Y1945" s="86"/>
      <c r="Z1945" s="86"/>
      <c r="AA1945" s="86"/>
      <c r="AB1945" s="86"/>
      <c r="AC1945" s="86"/>
      <c r="AD1945" s="86"/>
      <c r="AE1945" s="86"/>
      <c r="AF1945" s="86"/>
      <c r="AG1945" s="86"/>
      <c r="AH1945" s="86"/>
    </row>
    <row r="2031" spans="2:34" ht="15" customHeight="1" x14ac:dyDescent="0.25">
      <c r="B2031" s="86"/>
      <c r="C2031" s="86"/>
      <c r="D2031" s="86"/>
      <c r="E2031" s="86"/>
      <c r="F2031" s="86"/>
      <c r="G2031" s="86"/>
      <c r="H2031" s="86"/>
      <c r="I2031" s="86"/>
      <c r="J2031" s="86"/>
      <c r="K2031" s="86"/>
      <c r="L2031" s="86"/>
      <c r="M2031" s="86"/>
      <c r="N2031" s="86"/>
      <c r="O2031" s="86"/>
      <c r="P2031" s="86"/>
      <c r="Q2031" s="86"/>
      <c r="R2031" s="86"/>
      <c r="S2031" s="86"/>
      <c r="T2031" s="86"/>
      <c r="U2031" s="86"/>
      <c r="V2031" s="86"/>
      <c r="W2031" s="86"/>
      <c r="X2031" s="86"/>
      <c r="Y2031" s="86"/>
      <c r="Z2031" s="86"/>
      <c r="AA2031" s="86"/>
      <c r="AB2031" s="86"/>
      <c r="AC2031" s="86"/>
      <c r="AD2031" s="86"/>
      <c r="AE2031" s="86"/>
      <c r="AF2031" s="86"/>
      <c r="AG2031" s="86"/>
      <c r="AH2031" s="86"/>
    </row>
    <row r="2153" spans="2:34" ht="15" customHeight="1" x14ac:dyDescent="0.25">
      <c r="B2153" s="86"/>
      <c r="C2153" s="86"/>
      <c r="D2153" s="86"/>
      <c r="E2153" s="86"/>
      <c r="F2153" s="86"/>
      <c r="G2153" s="86"/>
      <c r="H2153" s="86"/>
      <c r="I2153" s="86"/>
      <c r="J2153" s="86"/>
      <c r="K2153" s="86"/>
      <c r="L2153" s="86"/>
      <c r="M2153" s="86"/>
      <c r="N2153" s="86"/>
      <c r="O2153" s="86"/>
      <c r="P2153" s="86"/>
      <c r="Q2153" s="86"/>
      <c r="R2153" s="86"/>
      <c r="S2153" s="86"/>
      <c r="T2153" s="86"/>
      <c r="U2153" s="86"/>
      <c r="V2153" s="86"/>
      <c r="W2153" s="86"/>
      <c r="X2153" s="86"/>
      <c r="Y2153" s="86"/>
      <c r="Z2153" s="86"/>
      <c r="AA2153" s="86"/>
      <c r="AB2153" s="86"/>
      <c r="AC2153" s="86"/>
      <c r="AD2153" s="86"/>
      <c r="AE2153" s="86"/>
      <c r="AF2153" s="86"/>
      <c r="AG2153" s="86"/>
      <c r="AH2153" s="86"/>
    </row>
    <row r="2317" spans="2:34" ht="15" customHeight="1" x14ac:dyDescent="0.25">
      <c r="B2317" s="86"/>
      <c r="C2317" s="86"/>
      <c r="D2317" s="86"/>
      <c r="E2317" s="86"/>
      <c r="F2317" s="86"/>
      <c r="G2317" s="86"/>
      <c r="H2317" s="86"/>
      <c r="I2317" s="86"/>
      <c r="J2317" s="86"/>
      <c r="K2317" s="86"/>
      <c r="L2317" s="86"/>
      <c r="M2317" s="86"/>
      <c r="N2317" s="86"/>
      <c r="O2317" s="86"/>
      <c r="P2317" s="86"/>
      <c r="Q2317" s="86"/>
      <c r="R2317" s="86"/>
      <c r="S2317" s="86"/>
      <c r="T2317" s="86"/>
      <c r="U2317" s="86"/>
      <c r="V2317" s="86"/>
      <c r="W2317" s="86"/>
      <c r="X2317" s="86"/>
      <c r="Y2317" s="86"/>
      <c r="Z2317" s="86"/>
      <c r="AA2317" s="86"/>
      <c r="AB2317" s="86"/>
      <c r="AC2317" s="86"/>
      <c r="AD2317" s="86"/>
      <c r="AE2317" s="86"/>
      <c r="AF2317" s="86"/>
      <c r="AG2317" s="86"/>
      <c r="AH2317" s="86"/>
    </row>
    <row r="2419" spans="2:34" ht="15" customHeight="1" x14ac:dyDescent="0.25">
      <c r="B2419" s="86"/>
      <c r="C2419" s="86"/>
      <c r="D2419" s="86"/>
      <c r="E2419" s="86"/>
      <c r="F2419" s="86"/>
      <c r="G2419" s="86"/>
      <c r="H2419" s="86"/>
      <c r="I2419" s="86"/>
      <c r="J2419" s="86"/>
      <c r="K2419" s="86"/>
      <c r="L2419" s="86"/>
      <c r="M2419" s="86"/>
      <c r="N2419" s="86"/>
      <c r="O2419" s="86"/>
      <c r="P2419" s="86"/>
      <c r="Q2419" s="86"/>
      <c r="R2419" s="86"/>
      <c r="S2419" s="86"/>
      <c r="T2419" s="86"/>
      <c r="U2419" s="86"/>
      <c r="V2419" s="86"/>
      <c r="W2419" s="86"/>
      <c r="X2419" s="86"/>
      <c r="Y2419" s="86"/>
      <c r="Z2419" s="86"/>
      <c r="AA2419" s="86"/>
      <c r="AB2419" s="86"/>
      <c r="AC2419" s="86"/>
      <c r="AD2419" s="86"/>
      <c r="AE2419" s="86"/>
      <c r="AF2419" s="86"/>
      <c r="AG2419" s="86"/>
      <c r="AH2419" s="86"/>
    </row>
    <row r="2509" spans="2:34" ht="15" customHeight="1" x14ac:dyDescent="0.25">
      <c r="B2509" s="86"/>
      <c r="C2509" s="86"/>
      <c r="D2509" s="86"/>
      <c r="E2509" s="86"/>
      <c r="F2509" s="86"/>
      <c r="G2509" s="86"/>
      <c r="H2509" s="86"/>
      <c r="I2509" s="86"/>
      <c r="J2509" s="86"/>
      <c r="K2509" s="86"/>
      <c r="L2509" s="86"/>
      <c r="M2509" s="86"/>
      <c r="N2509" s="86"/>
      <c r="O2509" s="86"/>
      <c r="P2509" s="86"/>
      <c r="Q2509" s="86"/>
      <c r="R2509" s="86"/>
      <c r="S2509" s="86"/>
      <c r="T2509" s="86"/>
      <c r="U2509" s="86"/>
      <c r="V2509" s="86"/>
      <c r="W2509" s="86"/>
      <c r="X2509" s="86"/>
      <c r="Y2509" s="86"/>
      <c r="Z2509" s="86"/>
      <c r="AA2509" s="86"/>
      <c r="AB2509" s="86"/>
      <c r="AC2509" s="86"/>
      <c r="AD2509" s="86"/>
      <c r="AE2509" s="86"/>
      <c r="AF2509" s="86"/>
      <c r="AG2509" s="86"/>
      <c r="AH2509" s="86"/>
    </row>
    <row r="2598" spans="2:34" ht="15" customHeight="1" x14ac:dyDescent="0.25">
      <c r="B2598" s="86"/>
      <c r="C2598" s="86"/>
      <c r="D2598" s="86"/>
      <c r="E2598" s="86"/>
      <c r="F2598" s="86"/>
      <c r="G2598" s="86"/>
      <c r="H2598" s="86"/>
      <c r="I2598" s="86"/>
      <c r="J2598" s="86"/>
      <c r="K2598" s="86"/>
      <c r="L2598" s="86"/>
      <c r="M2598" s="86"/>
      <c r="N2598" s="86"/>
      <c r="O2598" s="86"/>
      <c r="P2598" s="86"/>
      <c r="Q2598" s="86"/>
      <c r="R2598" s="86"/>
      <c r="S2598" s="86"/>
      <c r="T2598" s="86"/>
      <c r="U2598" s="86"/>
      <c r="V2598" s="86"/>
      <c r="W2598" s="86"/>
      <c r="X2598" s="86"/>
      <c r="Y2598" s="86"/>
      <c r="Z2598" s="86"/>
      <c r="AA2598" s="86"/>
      <c r="AB2598" s="86"/>
      <c r="AC2598" s="86"/>
      <c r="AD2598" s="86"/>
      <c r="AE2598" s="86"/>
      <c r="AF2598" s="86"/>
      <c r="AG2598" s="86"/>
      <c r="AH2598" s="86"/>
    </row>
    <row r="2719" spans="2:34" ht="15" customHeight="1" x14ac:dyDescent="0.25">
      <c r="B2719" s="86"/>
      <c r="C2719" s="86"/>
      <c r="D2719" s="86"/>
      <c r="E2719" s="86"/>
      <c r="F2719" s="86"/>
      <c r="G2719" s="86"/>
      <c r="H2719" s="86"/>
      <c r="I2719" s="86"/>
      <c r="J2719" s="86"/>
      <c r="K2719" s="86"/>
      <c r="L2719" s="86"/>
      <c r="M2719" s="86"/>
      <c r="N2719" s="86"/>
      <c r="O2719" s="86"/>
      <c r="P2719" s="86"/>
      <c r="Q2719" s="86"/>
      <c r="R2719" s="86"/>
      <c r="S2719" s="86"/>
      <c r="T2719" s="86"/>
      <c r="U2719" s="86"/>
      <c r="V2719" s="86"/>
      <c r="W2719" s="86"/>
      <c r="X2719" s="86"/>
      <c r="Y2719" s="86"/>
      <c r="Z2719" s="86"/>
      <c r="AA2719" s="86"/>
      <c r="AB2719" s="86"/>
      <c r="AC2719" s="86"/>
      <c r="AD2719" s="86"/>
      <c r="AE2719" s="86"/>
      <c r="AF2719" s="86"/>
      <c r="AG2719" s="86"/>
      <c r="AH2719" s="86"/>
    </row>
    <row r="2837" spans="2:34" ht="15" customHeight="1" x14ac:dyDescent="0.25">
      <c r="B2837" s="86"/>
      <c r="C2837" s="86"/>
      <c r="D2837" s="86"/>
      <c r="E2837" s="86"/>
      <c r="F2837" s="86"/>
      <c r="G2837" s="86"/>
      <c r="H2837" s="86"/>
      <c r="I2837" s="86"/>
      <c r="J2837" s="86"/>
      <c r="K2837" s="86"/>
      <c r="L2837" s="86"/>
      <c r="M2837" s="86"/>
      <c r="N2837" s="86"/>
      <c r="O2837" s="86"/>
      <c r="P2837" s="86"/>
      <c r="Q2837" s="86"/>
      <c r="R2837" s="86"/>
      <c r="S2837" s="86"/>
      <c r="T2837" s="86"/>
      <c r="U2837" s="86"/>
      <c r="V2837" s="86"/>
      <c r="W2837" s="86"/>
      <c r="X2837" s="86"/>
      <c r="Y2837" s="86"/>
      <c r="Z2837" s="86"/>
      <c r="AA2837" s="86"/>
      <c r="AB2837" s="86"/>
      <c r="AC2837" s="86"/>
      <c r="AD2837" s="86"/>
      <c r="AE2837" s="86"/>
      <c r="AF2837" s="86"/>
      <c r="AG2837" s="86"/>
      <c r="AH2837" s="86"/>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112:AH112"/>
    <mergeCell ref="B308:AH308"/>
    <mergeCell ref="B500:AG500"/>
    <mergeCell ref="B511:AH511"/>
    <mergeCell ref="B712:AH712"/>
  </mergeCells>
  <pageMargins left="0.75" right="0.75" top="1" bottom="1" header="0.5" footer="0.5"/>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159"/>
  <sheetViews>
    <sheetView zoomScaleNormal="100" workbookViewId="0">
      <selection activeCell="B15" sqref="B15"/>
    </sheetView>
  </sheetViews>
  <sheetFormatPr defaultColWidth="9" defaultRowHeight="15" x14ac:dyDescent="0.25"/>
  <cols>
    <col min="1" max="1" width="26.28515625" customWidth="1"/>
  </cols>
  <sheetData>
    <row r="1" spans="1:47" ht="21" x14ac:dyDescent="0.35">
      <c r="A1" s="34" t="s">
        <v>330</v>
      </c>
    </row>
    <row r="2" spans="1:47" ht="21" x14ac:dyDescent="0.35">
      <c r="A2" s="34" t="s">
        <v>37</v>
      </c>
    </row>
    <row r="3" spans="1:47" ht="21" x14ac:dyDescent="0.35">
      <c r="A3" s="34" t="s">
        <v>331</v>
      </c>
    </row>
    <row r="4" spans="1:47" ht="21" x14ac:dyDescent="0.35">
      <c r="A4" s="34" t="s">
        <v>38</v>
      </c>
    </row>
    <row r="7" spans="1:47" ht="18.75" x14ac:dyDescent="0.3">
      <c r="A7" s="35" t="s">
        <v>39</v>
      </c>
    </row>
    <row r="8" spans="1:47" x14ac:dyDescent="0.25">
      <c r="A8" t="s">
        <v>40</v>
      </c>
      <c r="B8" t="s">
        <v>41</v>
      </c>
      <c r="C8" t="s">
        <v>42</v>
      </c>
      <c r="D8" t="s">
        <v>43</v>
      </c>
      <c r="E8" t="s">
        <v>44</v>
      </c>
      <c r="F8" t="s">
        <v>45</v>
      </c>
      <c r="G8" t="s">
        <v>46</v>
      </c>
      <c r="H8" t="s">
        <v>47</v>
      </c>
      <c r="I8" t="s">
        <v>48</v>
      </c>
      <c r="J8" t="s">
        <v>49</v>
      </c>
      <c r="K8" t="s">
        <v>50</v>
      </c>
      <c r="L8" t="s">
        <v>51</v>
      </c>
      <c r="M8" t="s">
        <v>52</v>
      </c>
      <c r="N8" t="s">
        <v>53</v>
      </c>
      <c r="O8" t="s">
        <v>54</v>
      </c>
      <c r="P8" t="s">
        <v>55</v>
      </c>
      <c r="Q8" t="s">
        <v>56</v>
      </c>
      <c r="R8" t="s">
        <v>57</v>
      </c>
      <c r="S8" t="s">
        <v>58</v>
      </c>
      <c r="T8" t="s">
        <v>59</v>
      </c>
      <c r="U8" t="s">
        <v>60</v>
      </c>
      <c r="V8" t="s">
        <v>61</v>
      </c>
      <c r="W8" t="s">
        <v>62</v>
      </c>
      <c r="X8" t="s">
        <v>63</v>
      </c>
      <c r="Y8" t="s">
        <v>64</v>
      </c>
      <c r="Z8" t="s">
        <v>65</v>
      </c>
      <c r="AA8" t="s">
        <v>66</v>
      </c>
      <c r="AB8" t="s">
        <v>67</v>
      </c>
      <c r="AC8" t="s">
        <v>68</v>
      </c>
      <c r="AD8" t="s">
        <v>69</v>
      </c>
      <c r="AE8" t="s">
        <v>70</v>
      </c>
      <c r="AF8" t="s">
        <v>71</v>
      </c>
      <c r="AG8" t="s">
        <v>72</v>
      </c>
      <c r="AH8" t="s">
        <v>73</v>
      </c>
      <c r="AI8" t="s">
        <v>74</v>
      </c>
      <c r="AJ8" t="s">
        <v>75</v>
      </c>
      <c r="AK8" t="s">
        <v>76</v>
      </c>
      <c r="AL8" t="s">
        <v>332</v>
      </c>
      <c r="AM8" t="s">
        <v>333</v>
      </c>
      <c r="AN8" t="s">
        <v>334</v>
      </c>
      <c r="AO8" t="s">
        <v>335</v>
      </c>
      <c r="AP8" t="s">
        <v>336</v>
      </c>
      <c r="AQ8" t="s">
        <v>337</v>
      </c>
      <c r="AR8" t="s">
        <v>338</v>
      </c>
      <c r="AS8" t="s">
        <v>339</v>
      </c>
      <c r="AT8" t="s">
        <v>340</v>
      </c>
      <c r="AU8" t="s">
        <v>341</v>
      </c>
    </row>
    <row r="9" spans="1:47" x14ac:dyDescent="0.25">
      <c r="A9" t="s">
        <v>77</v>
      </c>
      <c r="B9">
        <v>358380.79999999999</v>
      </c>
      <c r="C9">
        <v>349124.5</v>
      </c>
      <c r="D9">
        <v>363798.5</v>
      </c>
      <c r="E9">
        <v>373817.3</v>
      </c>
      <c r="F9">
        <v>365011.8</v>
      </c>
      <c r="G9">
        <v>347937.5</v>
      </c>
      <c r="H9">
        <v>371953.2</v>
      </c>
      <c r="I9">
        <v>375760.2</v>
      </c>
      <c r="J9">
        <v>387396.2</v>
      </c>
      <c r="K9">
        <v>378786.2</v>
      </c>
      <c r="L9">
        <v>378498.4</v>
      </c>
      <c r="M9">
        <v>381710.1</v>
      </c>
      <c r="N9">
        <v>390771.5</v>
      </c>
      <c r="O9">
        <v>382163.9</v>
      </c>
      <c r="P9">
        <v>375998.3</v>
      </c>
      <c r="Q9">
        <v>386156.5</v>
      </c>
      <c r="R9">
        <v>392952.2</v>
      </c>
      <c r="S9">
        <v>414009.7</v>
      </c>
      <c r="T9">
        <v>419884.79999999999</v>
      </c>
      <c r="U9">
        <v>420564</v>
      </c>
      <c r="V9">
        <v>426253.5</v>
      </c>
      <c r="W9">
        <v>426438</v>
      </c>
      <c r="X9">
        <v>426601.5</v>
      </c>
      <c r="Y9">
        <v>426631.5</v>
      </c>
      <c r="Z9">
        <v>426216.6</v>
      </c>
      <c r="AA9">
        <v>434736.9</v>
      </c>
      <c r="AB9">
        <v>435601.5</v>
      </c>
      <c r="AC9">
        <v>435569.8</v>
      </c>
      <c r="AD9">
        <v>435924.3</v>
      </c>
      <c r="AE9">
        <v>437012.9</v>
      </c>
      <c r="AF9">
        <v>437761.2</v>
      </c>
      <c r="AG9">
        <v>439366.8</v>
      </c>
      <c r="AH9">
        <v>440272.5</v>
      </c>
      <c r="AI9">
        <v>440771.5</v>
      </c>
      <c r="AJ9">
        <v>441186.3</v>
      </c>
      <c r="AK9">
        <v>441464.6</v>
      </c>
      <c r="AL9">
        <v>442329.7</v>
      </c>
      <c r="AM9">
        <v>442987.3</v>
      </c>
      <c r="AN9">
        <v>443420.1</v>
      </c>
      <c r="AO9">
        <v>443696.5</v>
      </c>
      <c r="AP9">
        <v>444111.5</v>
      </c>
      <c r="AQ9">
        <v>444504.2</v>
      </c>
      <c r="AR9">
        <v>445041.1</v>
      </c>
      <c r="AS9">
        <v>445453.3</v>
      </c>
      <c r="AT9">
        <v>445232.7</v>
      </c>
      <c r="AU9">
        <v>446455.8</v>
      </c>
    </row>
    <row r="10" spans="1:47" x14ac:dyDescent="0.25">
      <c r="A10" t="s">
        <v>78</v>
      </c>
      <c r="B10">
        <v>1453.41</v>
      </c>
      <c r="C10">
        <v>2529.41</v>
      </c>
      <c r="D10">
        <v>3683.41</v>
      </c>
      <c r="E10">
        <v>4715.4399999999996</v>
      </c>
      <c r="F10">
        <v>7031.23</v>
      </c>
      <c r="G10">
        <v>8354.23</v>
      </c>
      <c r="H10">
        <v>11622.99</v>
      </c>
      <c r="I10">
        <v>13716.78</v>
      </c>
      <c r="J10">
        <v>17544.740000000002</v>
      </c>
      <c r="K10">
        <v>21484.5</v>
      </c>
      <c r="L10">
        <v>26692.57</v>
      </c>
      <c r="M10">
        <v>30624</v>
      </c>
      <c r="N10">
        <v>31197</v>
      </c>
      <c r="O10">
        <v>32814.01</v>
      </c>
      <c r="P10">
        <v>32333</v>
      </c>
      <c r="Q10">
        <v>35393.519999999997</v>
      </c>
      <c r="R10">
        <v>37205.53</v>
      </c>
      <c r="S10">
        <v>48919.51</v>
      </c>
      <c r="T10">
        <v>49031.61</v>
      </c>
      <c r="U10">
        <v>52057.91</v>
      </c>
      <c r="V10">
        <v>54360.89</v>
      </c>
      <c r="W10">
        <v>54962.97</v>
      </c>
      <c r="X10">
        <v>62089.04</v>
      </c>
      <c r="Y10">
        <v>65911.72</v>
      </c>
      <c r="Z10">
        <v>70643.33</v>
      </c>
      <c r="AA10">
        <v>79872.47</v>
      </c>
      <c r="AB10">
        <v>86951.15</v>
      </c>
      <c r="AC10">
        <v>93863.48</v>
      </c>
      <c r="AD10">
        <v>94757.65</v>
      </c>
      <c r="AE10">
        <v>96735.03</v>
      </c>
      <c r="AF10">
        <v>98444.02</v>
      </c>
      <c r="AG10">
        <v>101702.69</v>
      </c>
      <c r="AH10">
        <v>105080.85</v>
      </c>
      <c r="AI10">
        <v>112793.77</v>
      </c>
      <c r="AJ10">
        <v>116892.24</v>
      </c>
      <c r="AK10">
        <v>124088.41</v>
      </c>
      <c r="AL10">
        <v>129402.83</v>
      </c>
      <c r="AM10">
        <v>138717.12</v>
      </c>
      <c r="AN10">
        <v>144897.51999999999</v>
      </c>
      <c r="AO10">
        <v>155135.9</v>
      </c>
      <c r="AP10">
        <v>159912.82999999999</v>
      </c>
      <c r="AQ10">
        <v>169032.28</v>
      </c>
      <c r="AR10">
        <v>173414.12</v>
      </c>
      <c r="AS10">
        <v>180922.35</v>
      </c>
      <c r="AT10">
        <v>184784.68</v>
      </c>
      <c r="AU10">
        <v>188617.4</v>
      </c>
    </row>
    <row r="11" spans="1:47" x14ac:dyDescent="0.25">
      <c r="A11" t="s">
        <v>79</v>
      </c>
      <c r="B11">
        <v>6997.43</v>
      </c>
      <c r="C11">
        <v>7143.38</v>
      </c>
      <c r="D11">
        <v>6971.02</v>
      </c>
      <c r="E11">
        <v>6319.81</v>
      </c>
      <c r="F11">
        <v>6057.39</v>
      </c>
      <c r="G11">
        <v>8266.52</v>
      </c>
      <c r="H11">
        <v>8716.9</v>
      </c>
      <c r="I11">
        <v>9038.92</v>
      </c>
      <c r="J11">
        <v>9208.18</v>
      </c>
      <c r="K11">
        <v>11997.93</v>
      </c>
      <c r="L11">
        <v>8462.34</v>
      </c>
      <c r="M11">
        <v>10240.42</v>
      </c>
      <c r="N11">
        <v>6300.36</v>
      </c>
      <c r="O11">
        <v>9260.9699999999993</v>
      </c>
      <c r="P11">
        <v>8892.7199999999993</v>
      </c>
      <c r="Q11">
        <v>7758.32</v>
      </c>
      <c r="R11">
        <v>7918.38</v>
      </c>
      <c r="S11">
        <v>8085.39</v>
      </c>
      <c r="T11">
        <v>8145.5</v>
      </c>
      <c r="U11">
        <v>8172.13</v>
      </c>
      <c r="V11">
        <v>8203.73</v>
      </c>
      <c r="W11">
        <v>8229</v>
      </c>
      <c r="X11">
        <v>8180.23</v>
      </c>
      <c r="Y11">
        <v>8103.16</v>
      </c>
      <c r="Z11">
        <v>8045.48</v>
      </c>
      <c r="AA11">
        <v>7905.92</v>
      </c>
      <c r="AB11">
        <v>7834.53</v>
      </c>
      <c r="AC11">
        <v>7690.12</v>
      </c>
      <c r="AD11">
        <v>7689.75</v>
      </c>
      <c r="AE11">
        <v>7650.3</v>
      </c>
      <c r="AF11">
        <v>7634.06</v>
      </c>
      <c r="AG11">
        <v>7693.85</v>
      </c>
      <c r="AH11">
        <v>7715.96</v>
      </c>
      <c r="AI11">
        <v>7725.27</v>
      </c>
      <c r="AJ11">
        <v>7761.59</v>
      </c>
      <c r="AK11">
        <v>7755.49</v>
      </c>
      <c r="AL11">
        <v>7782.51</v>
      </c>
      <c r="AM11">
        <v>7774.67</v>
      </c>
      <c r="AN11">
        <v>7744.41</v>
      </c>
      <c r="AO11">
        <v>7721.08</v>
      </c>
      <c r="AP11">
        <v>7695.88</v>
      </c>
      <c r="AQ11">
        <v>7712.57</v>
      </c>
      <c r="AR11">
        <v>7701.84</v>
      </c>
      <c r="AS11">
        <v>7680.33</v>
      </c>
      <c r="AT11">
        <v>7670.09</v>
      </c>
      <c r="AU11">
        <v>7658.64</v>
      </c>
    </row>
    <row r="12" spans="1:47" x14ac:dyDescent="0.25">
      <c r="A12" t="s">
        <v>80</v>
      </c>
      <c r="B12">
        <v>0</v>
      </c>
      <c r="C12">
        <v>0</v>
      </c>
      <c r="D12">
        <v>0</v>
      </c>
      <c r="E12">
        <v>0</v>
      </c>
      <c r="F12">
        <v>5</v>
      </c>
      <c r="G12">
        <v>123</v>
      </c>
      <c r="H12">
        <v>398</v>
      </c>
      <c r="I12">
        <v>842</v>
      </c>
      <c r="J12">
        <v>1173</v>
      </c>
      <c r="K12">
        <v>1757.71</v>
      </c>
      <c r="L12">
        <v>1426</v>
      </c>
      <c r="M12">
        <v>1779</v>
      </c>
      <c r="N12">
        <v>2001</v>
      </c>
      <c r="O12">
        <v>2191</v>
      </c>
      <c r="P12">
        <v>2194</v>
      </c>
      <c r="Q12">
        <v>2254.11</v>
      </c>
      <c r="R12">
        <v>2590.5300000000002</v>
      </c>
      <c r="S12">
        <v>3479.48</v>
      </c>
      <c r="T12">
        <v>3729.67</v>
      </c>
      <c r="U12">
        <v>4101.3599999999997</v>
      </c>
      <c r="V12">
        <v>4339.71</v>
      </c>
      <c r="W12">
        <v>4948.63</v>
      </c>
      <c r="X12">
        <v>5294.32</v>
      </c>
      <c r="Y12">
        <v>5402.63</v>
      </c>
      <c r="Z12">
        <v>6775.5</v>
      </c>
      <c r="AA12">
        <v>7795.56</v>
      </c>
      <c r="AB12">
        <v>8732.41</v>
      </c>
      <c r="AC12">
        <v>9823.4699999999993</v>
      </c>
      <c r="AD12">
        <v>11227.58</v>
      </c>
      <c r="AE12">
        <v>12784.3</v>
      </c>
      <c r="AF12">
        <v>16546.830000000002</v>
      </c>
      <c r="AG12">
        <v>18243.05</v>
      </c>
      <c r="AH12">
        <v>20134.38</v>
      </c>
      <c r="AI12">
        <v>22116.59</v>
      </c>
      <c r="AJ12">
        <v>24421.73</v>
      </c>
      <c r="AK12">
        <v>28835.14</v>
      </c>
      <c r="AL12">
        <v>32492.45</v>
      </c>
      <c r="AM12">
        <v>36514.71</v>
      </c>
      <c r="AN12">
        <v>41164.5</v>
      </c>
      <c r="AO12">
        <v>45590.8</v>
      </c>
      <c r="AP12">
        <v>51145.22</v>
      </c>
      <c r="AQ12">
        <v>54488.5</v>
      </c>
      <c r="AR12">
        <v>56975.57</v>
      </c>
      <c r="AS12">
        <v>58937.9</v>
      </c>
      <c r="AT12">
        <v>60762.67</v>
      </c>
      <c r="AU12">
        <v>62179.97</v>
      </c>
    </row>
    <row r="13" spans="1:47" x14ac:dyDescent="0.25">
      <c r="A13" t="s">
        <v>81</v>
      </c>
      <c r="B13">
        <v>86668.58</v>
      </c>
      <c r="C13">
        <v>92144.58</v>
      </c>
      <c r="D13">
        <v>88190.58</v>
      </c>
      <c r="E13">
        <v>90585.23</v>
      </c>
      <c r="F13">
        <v>84992.27</v>
      </c>
      <c r="G13">
        <v>85526.59</v>
      </c>
      <c r="H13">
        <v>88291.22</v>
      </c>
      <c r="I13">
        <v>89487.62</v>
      </c>
      <c r="J13">
        <v>97581.99</v>
      </c>
      <c r="K13">
        <v>101207.8</v>
      </c>
      <c r="L13">
        <v>96045.98</v>
      </c>
      <c r="M13">
        <v>95687.01</v>
      </c>
      <c r="N13">
        <v>95565</v>
      </c>
      <c r="O13">
        <v>95029.01</v>
      </c>
      <c r="P13">
        <v>95470</v>
      </c>
      <c r="Q13">
        <v>83454.600000000006</v>
      </c>
      <c r="R13">
        <v>78636.44</v>
      </c>
      <c r="S13">
        <v>81051.16</v>
      </c>
      <c r="T13">
        <v>69916.27</v>
      </c>
      <c r="U13">
        <v>80287.199999999997</v>
      </c>
      <c r="V13">
        <v>73386.14</v>
      </c>
      <c r="W13">
        <v>68045.740000000005</v>
      </c>
      <c r="X13">
        <v>74340.98</v>
      </c>
      <c r="Y13">
        <v>80779.09</v>
      </c>
      <c r="Z13">
        <v>75834.09</v>
      </c>
      <c r="AA13">
        <v>82677.41</v>
      </c>
      <c r="AB13">
        <v>75980.73</v>
      </c>
      <c r="AC13">
        <v>82824.05</v>
      </c>
      <c r="AD13">
        <v>82864.78</v>
      </c>
      <c r="AE13">
        <v>89708.09</v>
      </c>
      <c r="AF13">
        <v>91531.05</v>
      </c>
      <c r="AG13">
        <v>91531.05</v>
      </c>
      <c r="AH13">
        <v>91572.66</v>
      </c>
      <c r="AI13">
        <v>91572.66</v>
      </c>
      <c r="AJ13">
        <v>91655.88</v>
      </c>
      <c r="AK13">
        <v>91822.32</v>
      </c>
      <c r="AL13">
        <v>87048.12</v>
      </c>
      <c r="AM13">
        <v>87214.55</v>
      </c>
      <c r="AN13">
        <v>87381</v>
      </c>
      <c r="AO13">
        <v>92942.27</v>
      </c>
      <c r="AP13">
        <v>93150.33</v>
      </c>
      <c r="AQ13">
        <v>93566.44</v>
      </c>
      <c r="AR13">
        <v>94398.65</v>
      </c>
      <c r="AS13">
        <v>95230.82</v>
      </c>
      <c r="AT13">
        <v>96063.03</v>
      </c>
      <c r="AU13">
        <v>96063.03</v>
      </c>
    </row>
    <row r="14" spans="1:47" x14ac:dyDescent="0.25">
      <c r="A14" t="s">
        <v>82</v>
      </c>
      <c r="B14">
        <v>97362.16</v>
      </c>
      <c r="C14">
        <v>92204.69</v>
      </c>
      <c r="D14">
        <v>97287.24</v>
      </c>
      <c r="E14">
        <v>91097.93</v>
      </c>
      <c r="F14">
        <v>76661.64</v>
      </c>
      <c r="G14">
        <v>71258.570000000007</v>
      </c>
      <c r="H14">
        <v>65177.45</v>
      </c>
      <c r="I14">
        <v>63091.11</v>
      </c>
      <c r="J14">
        <v>64779.21</v>
      </c>
      <c r="K14">
        <v>64238.38</v>
      </c>
      <c r="L14">
        <v>57142.41</v>
      </c>
      <c r="M14">
        <v>57243.38</v>
      </c>
      <c r="N14">
        <v>55265.55</v>
      </c>
      <c r="O14">
        <v>46520.81</v>
      </c>
      <c r="P14">
        <v>44038.21</v>
      </c>
      <c r="Q14">
        <v>31125.9</v>
      </c>
      <c r="R14">
        <v>35373.81</v>
      </c>
      <c r="S14">
        <v>19471.189999999999</v>
      </c>
      <c r="T14">
        <v>5484.64</v>
      </c>
      <c r="U14">
        <v>5565.84</v>
      </c>
      <c r="V14">
        <v>4949.22</v>
      </c>
      <c r="W14">
        <v>4771.3599999999997</v>
      </c>
      <c r="X14">
        <v>4351.34</v>
      </c>
      <c r="Y14">
        <v>3905.76</v>
      </c>
      <c r="Z14">
        <v>3916.5</v>
      </c>
      <c r="AA14">
        <v>3738.32</v>
      </c>
      <c r="AB14">
        <v>3737.32</v>
      </c>
      <c r="AC14">
        <v>2584.9299999999998</v>
      </c>
      <c r="AD14">
        <v>2627.06</v>
      </c>
      <c r="AE14">
        <v>2645</v>
      </c>
      <c r="AF14">
        <v>2456.0700000000002</v>
      </c>
      <c r="AG14">
        <v>2499.37</v>
      </c>
      <c r="AH14">
        <v>2532.17</v>
      </c>
      <c r="AI14">
        <v>2500.7800000000002</v>
      </c>
      <c r="AJ14">
        <v>2120.31</v>
      </c>
      <c r="AK14">
        <v>2074.75</v>
      </c>
      <c r="AL14">
        <v>104.48</v>
      </c>
      <c r="AM14">
        <v>99.27</v>
      </c>
      <c r="AN14">
        <v>99.59</v>
      </c>
      <c r="AO14">
        <v>94.46</v>
      </c>
      <c r="AP14">
        <v>94.46</v>
      </c>
      <c r="AQ14">
        <v>90.07</v>
      </c>
      <c r="AR14">
        <v>90.72</v>
      </c>
      <c r="AS14">
        <v>86.92</v>
      </c>
      <c r="AT14">
        <v>87.73</v>
      </c>
      <c r="AU14">
        <v>88.62</v>
      </c>
    </row>
    <row r="15" spans="1:47" x14ac:dyDescent="0.25">
      <c r="A15" t="s">
        <v>83</v>
      </c>
      <c r="B15">
        <v>40015.800000000003</v>
      </c>
      <c r="C15">
        <v>43057.99</v>
      </c>
      <c r="D15">
        <v>47278.59</v>
      </c>
      <c r="E15">
        <v>43912.88</v>
      </c>
      <c r="F15">
        <v>42619.74</v>
      </c>
      <c r="G15">
        <v>54093.18</v>
      </c>
      <c r="H15">
        <v>63514.07</v>
      </c>
      <c r="I15">
        <v>63899.03</v>
      </c>
      <c r="J15">
        <v>60403.56</v>
      </c>
      <c r="K15">
        <v>59038.3</v>
      </c>
      <c r="L15">
        <v>65743.649999999994</v>
      </c>
      <c r="M15">
        <v>63421.96</v>
      </c>
      <c r="N15">
        <v>62934.239999999998</v>
      </c>
      <c r="O15">
        <v>66979.59</v>
      </c>
      <c r="P15">
        <v>69561.62</v>
      </c>
      <c r="Q15">
        <v>74470.259999999995</v>
      </c>
      <c r="R15">
        <v>76989.41</v>
      </c>
      <c r="S15">
        <v>83922.45</v>
      </c>
      <c r="T15">
        <v>101916.1</v>
      </c>
      <c r="U15">
        <v>96186.95</v>
      </c>
      <c r="V15">
        <v>99728.41</v>
      </c>
      <c r="W15">
        <v>105182.5</v>
      </c>
      <c r="X15">
        <v>96821.06</v>
      </c>
      <c r="Y15">
        <v>93319.9</v>
      </c>
      <c r="Z15">
        <v>95666.85</v>
      </c>
      <c r="AA15">
        <v>88717.43</v>
      </c>
      <c r="AB15">
        <v>92233</v>
      </c>
      <c r="AC15">
        <v>85495.38</v>
      </c>
      <c r="AD15">
        <v>85813.2</v>
      </c>
      <c r="AE15">
        <v>82220.929999999993</v>
      </c>
      <c r="AF15">
        <v>81566.97</v>
      </c>
      <c r="AG15">
        <v>70336.41</v>
      </c>
      <c r="AH15">
        <v>70043.929999999993</v>
      </c>
      <c r="AI15">
        <v>68278.8</v>
      </c>
      <c r="AJ15">
        <v>68627.710000000006</v>
      </c>
      <c r="AK15">
        <v>67198.62</v>
      </c>
      <c r="AL15">
        <v>67266.27</v>
      </c>
      <c r="AM15">
        <v>67505.600000000006</v>
      </c>
      <c r="AN15">
        <v>68650.61</v>
      </c>
      <c r="AO15">
        <v>67873.7</v>
      </c>
      <c r="AP15">
        <v>68202.070000000007</v>
      </c>
      <c r="AQ15">
        <v>67896.58</v>
      </c>
      <c r="AR15">
        <v>68472.27</v>
      </c>
      <c r="AS15">
        <v>68041.429999999993</v>
      </c>
      <c r="AT15">
        <v>68614.28</v>
      </c>
      <c r="AU15">
        <v>69154.7</v>
      </c>
    </row>
    <row r="16" spans="1:47" x14ac:dyDescent="0.25">
      <c r="A16" t="s">
        <v>84</v>
      </c>
      <c r="B16">
        <v>8193.9599999999991</v>
      </c>
      <c r="C16">
        <v>7877.58</v>
      </c>
      <c r="D16">
        <v>8776.76</v>
      </c>
      <c r="E16">
        <v>6929.51</v>
      </c>
      <c r="F16">
        <v>7336.52</v>
      </c>
      <c r="G16">
        <v>5187.67</v>
      </c>
      <c r="H16">
        <v>4561.87</v>
      </c>
      <c r="I16">
        <v>4271.87</v>
      </c>
      <c r="J16">
        <v>4071.33</v>
      </c>
      <c r="K16">
        <v>6616.76</v>
      </c>
      <c r="L16">
        <v>5266.72</v>
      </c>
      <c r="M16">
        <v>5087.45</v>
      </c>
      <c r="N16">
        <v>4150.07</v>
      </c>
      <c r="O16">
        <v>4189.29</v>
      </c>
      <c r="P16">
        <v>3719.72</v>
      </c>
      <c r="Q16">
        <v>3511.56</v>
      </c>
      <c r="R16">
        <v>3358.75</v>
      </c>
      <c r="S16">
        <v>3196.07</v>
      </c>
      <c r="T16">
        <v>3370.57</v>
      </c>
      <c r="U16">
        <v>2789.51</v>
      </c>
      <c r="V16">
        <v>3529.05</v>
      </c>
      <c r="W16">
        <v>6677.83</v>
      </c>
      <c r="X16">
        <v>4558.28</v>
      </c>
      <c r="Y16">
        <v>3428.4</v>
      </c>
      <c r="Z16">
        <v>5989.77</v>
      </c>
      <c r="AA16">
        <v>2608.0500000000002</v>
      </c>
      <c r="AB16">
        <v>7298.25</v>
      </c>
      <c r="AC16">
        <v>4931.9799999999996</v>
      </c>
      <c r="AD16">
        <v>5902.13</v>
      </c>
      <c r="AE16">
        <v>4773.99</v>
      </c>
      <c r="AF16">
        <v>4550.53</v>
      </c>
      <c r="AG16">
        <v>6077.36</v>
      </c>
      <c r="AH16">
        <v>5635.85</v>
      </c>
      <c r="AI16">
        <v>5525.19</v>
      </c>
      <c r="AJ16">
        <v>5859.8</v>
      </c>
      <c r="AK16">
        <v>5233.6099999999997</v>
      </c>
      <c r="AL16">
        <v>7917.99</v>
      </c>
      <c r="AM16">
        <v>5884.44</v>
      </c>
      <c r="AN16">
        <v>6604.3</v>
      </c>
      <c r="AO16">
        <v>4278.4799999999996</v>
      </c>
      <c r="AP16">
        <v>4863.5600000000004</v>
      </c>
      <c r="AQ16">
        <v>4581.3</v>
      </c>
      <c r="AR16">
        <v>4987.6499999999996</v>
      </c>
      <c r="AS16">
        <v>4371.99</v>
      </c>
      <c r="AT16">
        <v>4825.29</v>
      </c>
      <c r="AU16">
        <v>5720.7</v>
      </c>
    </row>
    <row r="18" spans="1:47" ht="18.75" x14ac:dyDescent="0.3">
      <c r="A18" s="35" t="s">
        <v>85</v>
      </c>
    </row>
    <row r="19" spans="1:47" x14ac:dyDescent="0.25">
      <c r="A19" t="s">
        <v>40</v>
      </c>
      <c r="B19" t="s">
        <v>41</v>
      </c>
      <c r="C19" t="s">
        <v>42</v>
      </c>
      <c r="D19" t="s">
        <v>43</v>
      </c>
      <c r="E19" t="s">
        <v>44</v>
      </c>
      <c r="F19" t="s">
        <v>45</v>
      </c>
      <c r="G19" t="s">
        <v>46</v>
      </c>
      <c r="H19" t="s">
        <v>47</v>
      </c>
      <c r="I19" t="s">
        <v>48</v>
      </c>
      <c r="J19" t="s">
        <v>49</v>
      </c>
      <c r="K19" t="s">
        <v>50</v>
      </c>
      <c r="L19" t="s">
        <v>51</v>
      </c>
      <c r="M19" t="s">
        <v>52</v>
      </c>
      <c r="N19" t="s">
        <v>53</v>
      </c>
      <c r="O19" t="s">
        <v>54</v>
      </c>
      <c r="P19" t="s">
        <v>55</v>
      </c>
      <c r="Q19" t="s">
        <v>56</v>
      </c>
      <c r="R19" t="s">
        <v>57</v>
      </c>
      <c r="S19" t="s">
        <v>58</v>
      </c>
      <c r="T19" t="s">
        <v>59</v>
      </c>
      <c r="U19" t="s">
        <v>60</v>
      </c>
      <c r="V19" t="s">
        <v>61</v>
      </c>
      <c r="W19" t="s">
        <v>62</v>
      </c>
      <c r="X19" t="s">
        <v>63</v>
      </c>
      <c r="Y19" t="s">
        <v>64</v>
      </c>
      <c r="Z19" t="s">
        <v>65</v>
      </c>
      <c r="AA19" t="s">
        <v>66</v>
      </c>
      <c r="AB19" t="s">
        <v>67</v>
      </c>
      <c r="AC19" t="s">
        <v>68</v>
      </c>
      <c r="AD19" t="s">
        <v>69</v>
      </c>
      <c r="AE19" t="s">
        <v>70</v>
      </c>
      <c r="AF19" t="s">
        <v>71</v>
      </c>
      <c r="AG19" t="s">
        <v>72</v>
      </c>
      <c r="AH19" t="s">
        <v>73</v>
      </c>
      <c r="AI19" t="s">
        <v>74</v>
      </c>
      <c r="AJ19" t="s">
        <v>75</v>
      </c>
      <c r="AK19" t="s">
        <v>76</v>
      </c>
      <c r="AL19" t="s">
        <v>332</v>
      </c>
      <c r="AM19" t="s">
        <v>333</v>
      </c>
      <c r="AN19" t="s">
        <v>334</v>
      </c>
      <c r="AO19" t="s">
        <v>335</v>
      </c>
      <c r="AP19" t="s">
        <v>336</v>
      </c>
      <c r="AQ19" t="s">
        <v>337</v>
      </c>
      <c r="AR19" t="s">
        <v>338</v>
      </c>
      <c r="AS19" t="s">
        <v>339</v>
      </c>
      <c r="AT19" t="s">
        <v>340</v>
      </c>
      <c r="AU19" t="s">
        <v>341</v>
      </c>
    </row>
    <row r="20" spans="1:47" x14ac:dyDescent="0.25">
      <c r="A20" t="s">
        <v>77</v>
      </c>
      <c r="B20">
        <v>40741.370000000003</v>
      </c>
      <c r="C20">
        <v>41953.37</v>
      </c>
      <c r="D20">
        <v>40291.379999999997</v>
      </c>
      <c r="E20">
        <v>41897.25</v>
      </c>
      <c r="F20">
        <v>36728</v>
      </c>
      <c r="G20">
        <v>40286.800000000003</v>
      </c>
      <c r="H20">
        <v>40033.370000000003</v>
      </c>
      <c r="I20">
        <v>42202.52</v>
      </c>
      <c r="J20">
        <v>41441.68</v>
      </c>
      <c r="K20">
        <v>39047.83</v>
      </c>
      <c r="L20">
        <v>39686</v>
      </c>
      <c r="M20">
        <v>39482.99</v>
      </c>
      <c r="N20">
        <v>36548</v>
      </c>
      <c r="O20">
        <v>41831</v>
      </c>
      <c r="P20">
        <v>40798</v>
      </c>
      <c r="Q20">
        <v>44285.91</v>
      </c>
      <c r="R20">
        <v>50459.12</v>
      </c>
      <c r="S20">
        <v>51302.94</v>
      </c>
      <c r="T20">
        <v>51450.95</v>
      </c>
      <c r="U20">
        <v>51596.33</v>
      </c>
      <c r="V20">
        <v>51687.53</v>
      </c>
      <c r="W20">
        <v>51766.57</v>
      </c>
      <c r="X20">
        <v>51847.05</v>
      </c>
      <c r="Y20">
        <v>52209.73</v>
      </c>
      <c r="Z20">
        <v>52221</v>
      </c>
      <c r="AA20">
        <v>52233.74</v>
      </c>
      <c r="AB20">
        <v>52247.11</v>
      </c>
      <c r="AC20">
        <v>52260.72</v>
      </c>
      <c r="AD20">
        <v>52273.37</v>
      </c>
      <c r="AE20">
        <v>52285.32</v>
      </c>
      <c r="AF20">
        <v>52368.24</v>
      </c>
      <c r="AG20">
        <v>52433.39</v>
      </c>
      <c r="AH20">
        <v>52442.84</v>
      </c>
      <c r="AI20">
        <v>52449.65</v>
      </c>
      <c r="AJ20">
        <v>52447.73</v>
      </c>
      <c r="AK20">
        <v>52450.65</v>
      </c>
      <c r="AL20">
        <v>52451.59</v>
      </c>
      <c r="AM20">
        <v>52454.57</v>
      </c>
      <c r="AN20">
        <v>52458.66</v>
      </c>
      <c r="AO20">
        <v>52458.86</v>
      </c>
      <c r="AP20">
        <v>52458.86</v>
      </c>
      <c r="AQ20">
        <v>52458.83</v>
      </c>
      <c r="AR20">
        <v>52458.85</v>
      </c>
      <c r="AS20">
        <v>52458.8</v>
      </c>
      <c r="AT20">
        <v>52458.82</v>
      </c>
      <c r="AU20">
        <v>52458.85</v>
      </c>
    </row>
    <row r="21" spans="1:47" x14ac:dyDescent="0.25">
      <c r="A21" t="s">
        <v>78</v>
      </c>
      <c r="B21">
        <v>0</v>
      </c>
      <c r="C21">
        <v>0</v>
      </c>
      <c r="D21">
        <v>0</v>
      </c>
      <c r="E21">
        <v>0</v>
      </c>
      <c r="F21">
        <v>102</v>
      </c>
      <c r="G21">
        <v>183</v>
      </c>
      <c r="H21">
        <v>198</v>
      </c>
      <c r="I21">
        <v>195</v>
      </c>
      <c r="J21">
        <v>192</v>
      </c>
      <c r="K21">
        <v>176.96</v>
      </c>
      <c r="L21">
        <v>172</v>
      </c>
      <c r="M21">
        <v>190</v>
      </c>
      <c r="N21">
        <v>186</v>
      </c>
      <c r="O21">
        <v>206</v>
      </c>
      <c r="P21">
        <v>182</v>
      </c>
      <c r="Q21">
        <v>181.8</v>
      </c>
      <c r="R21">
        <v>181.83</v>
      </c>
      <c r="S21">
        <v>181.91</v>
      </c>
      <c r="T21">
        <v>181.92</v>
      </c>
      <c r="U21">
        <v>181.93</v>
      </c>
      <c r="V21">
        <v>181.94</v>
      </c>
      <c r="W21">
        <v>182</v>
      </c>
      <c r="X21">
        <v>182.01</v>
      </c>
      <c r="Y21">
        <v>182.09</v>
      </c>
      <c r="Z21">
        <v>182.15</v>
      </c>
      <c r="AA21">
        <v>183.78</v>
      </c>
      <c r="AB21">
        <v>185.55</v>
      </c>
      <c r="AC21">
        <v>187.48</v>
      </c>
      <c r="AD21">
        <v>189.59</v>
      </c>
      <c r="AE21">
        <v>192.37</v>
      </c>
      <c r="AF21">
        <v>215.04</v>
      </c>
      <c r="AG21">
        <v>228.5</v>
      </c>
      <c r="AH21">
        <v>244.79</v>
      </c>
      <c r="AI21">
        <v>261.79000000000002</v>
      </c>
      <c r="AJ21">
        <v>285.81</v>
      </c>
      <c r="AK21">
        <v>319.58999999999997</v>
      </c>
      <c r="AL21">
        <v>371.08</v>
      </c>
      <c r="AM21">
        <v>442.3</v>
      </c>
      <c r="AN21">
        <v>536.27</v>
      </c>
      <c r="AO21">
        <v>643.33000000000004</v>
      </c>
      <c r="AP21">
        <v>759.27</v>
      </c>
      <c r="AQ21">
        <v>860.06</v>
      </c>
      <c r="AR21">
        <v>917.13</v>
      </c>
      <c r="AS21">
        <v>945.68</v>
      </c>
      <c r="AT21">
        <v>967.35</v>
      </c>
      <c r="AU21">
        <v>982.55</v>
      </c>
    </row>
    <row r="22" spans="1:47" x14ac:dyDescent="0.25">
      <c r="A22" t="s">
        <v>79</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row>
    <row r="23" spans="1:47" x14ac:dyDescent="0.25">
      <c r="A23" t="s">
        <v>80</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row>
    <row r="24" spans="1:47" x14ac:dyDescent="0.25">
      <c r="A24" t="s">
        <v>81</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row>
    <row r="25" spans="1:47" x14ac:dyDescent="0.25">
      <c r="A25" t="s">
        <v>82</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row>
    <row r="26" spans="1:47" x14ac:dyDescent="0.25">
      <c r="A26" t="s">
        <v>83</v>
      </c>
      <c r="B26">
        <v>267.07</v>
      </c>
      <c r="C26">
        <v>277.82</v>
      </c>
      <c r="D26">
        <v>236.77</v>
      </c>
      <c r="E26">
        <v>456.94</v>
      </c>
      <c r="F26">
        <v>447.62</v>
      </c>
      <c r="G26">
        <v>454.97</v>
      </c>
      <c r="H26">
        <v>449.29</v>
      </c>
      <c r="I26">
        <v>418.8</v>
      </c>
      <c r="J26">
        <v>444.36</v>
      </c>
      <c r="K26">
        <v>416.68</v>
      </c>
      <c r="L26">
        <v>225.22</v>
      </c>
      <c r="M26">
        <v>265.72000000000003</v>
      </c>
      <c r="N26">
        <v>391.17</v>
      </c>
      <c r="O26">
        <v>113.27</v>
      </c>
      <c r="P26">
        <v>263.31</v>
      </c>
      <c r="Q26">
        <v>398.28</v>
      </c>
      <c r="R26">
        <v>413.95</v>
      </c>
      <c r="S26">
        <v>452.33</v>
      </c>
      <c r="T26">
        <v>458.89</v>
      </c>
      <c r="U26">
        <v>516.14</v>
      </c>
      <c r="V26">
        <v>555.08000000000004</v>
      </c>
      <c r="W26">
        <v>595.08000000000004</v>
      </c>
      <c r="X26">
        <v>630.86</v>
      </c>
      <c r="Y26">
        <v>341.65</v>
      </c>
      <c r="Z26">
        <v>350.7</v>
      </c>
      <c r="AA26">
        <v>361.93</v>
      </c>
      <c r="AB26">
        <v>370.79</v>
      </c>
      <c r="AC26">
        <v>385.85</v>
      </c>
      <c r="AD26">
        <v>403.13</v>
      </c>
      <c r="AE26">
        <v>422.53</v>
      </c>
      <c r="AF26">
        <v>488.69</v>
      </c>
      <c r="AG26">
        <v>560.97</v>
      </c>
      <c r="AH26">
        <v>566.85</v>
      </c>
      <c r="AI26">
        <v>569.88</v>
      </c>
      <c r="AJ26">
        <v>566.48</v>
      </c>
      <c r="AK26">
        <v>579.49</v>
      </c>
      <c r="AL26">
        <v>610.58000000000004</v>
      </c>
      <c r="AM26">
        <v>657.46</v>
      </c>
      <c r="AN26">
        <v>748.67</v>
      </c>
      <c r="AO26">
        <v>858.39</v>
      </c>
      <c r="AP26">
        <v>1003.78</v>
      </c>
      <c r="AQ26">
        <v>1145.1400000000001</v>
      </c>
      <c r="AR26">
        <v>1243.72</v>
      </c>
      <c r="AS26">
        <v>1317.47</v>
      </c>
      <c r="AT26">
        <v>1380.75</v>
      </c>
      <c r="AU26">
        <v>1413.07</v>
      </c>
    </row>
    <row r="27" spans="1:47" x14ac:dyDescent="0.25">
      <c r="A27" t="s">
        <v>84</v>
      </c>
      <c r="B27">
        <v>1306.21</v>
      </c>
      <c r="C27">
        <v>823.06</v>
      </c>
      <c r="D27">
        <v>1305.52</v>
      </c>
      <c r="E27">
        <v>1139.06</v>
      </c>
      <c r="F27">
        <v>1121.5899999999999</v>
      </c>
      <c r="G27">
        <v>1017.23</v>
      </c>
      <c r="H27">
        <v>1039.3599999999999</v>
      </c>
      <c r="I27">
        <v>998.93</v>
      </c>
      <c r="J27">
        <v>1179.72</v>
      </c>
      <c r="K27">
        <v>1595.16</v>
      </c>
      <c r="L27">
        <v>1669.78</v>
      </c>
      <c r="M27">
        <v>1909.28</v>
      </c>
      <c r="N27">
        <v>1778.83</v>
      </c>
      <c r="O27">
        <v>1483.73</v>
      </c>
      <c r="P27">
        <v>1450.69</v>
      </c>
      <c r="Q27">
        <v>926.58</v>
      </c>
      <c r="R27">
        <v>884.98</v>
      </c>
      <c r="S27">
        <v>183.79</v>
      </c>
      <c r="T27">
        <v>182.88</v>
      </c>
      <c r="U27">
        <v>184.15</v>
      </c>
      <c r="V27">
        <v>184.94</v>
      </c>
      <c r="W27">
        <v>211.07</v>
      </c>
      <c r="X27">
        <v>188.64</v>
      </c>
      <c r="Y27">
        <v>190.04</v>
      </c>
      <c r="Z27">
        <v>215.06</v>
      </c>
      <c r="AA27">
        <v>189.72</v>
      </c>
      <c r="AB27">
        <v>240.78</v>
      </c>
      <c r="AC27">
        <v>221.96</v>
      </c>
      <c r="AD27">
        <v>268.66000000000003</v>
      </c>
      <c r="AE27">
        <v>227.23</v>
      </c>
      <c r="AF27">
        <v>340.15</v>
      </c>
      <c r="AG27">
        <v>191.32</v>
      </c>
      <c r="AH27">
        <v>219.22</v>
      </c>
      <c r="AI27">
        <v>191.44</v>
      </c>
      <c r="AJ27">
        <v>204.18</v>
      </c>
      <c r="AK27">
        <v>190.3</v>
      </c>
      <c r="AL27">
        <v>220.29</v>
      </c>
      <c r="AM27">
        <v>185.71</v>
      </c>
      <c r="AN27">
        <v>190.24</v>
      </c>
      <c r="AO27">
        <v>191.16</v>
      </c>
      <c r="AP27">
        <v>194.79</v>
      </c>
      <c r="AQ27">
        <v>191.76</v>
      </c>
      <c r="AR27">
        <v>191.16</v>
      </c>
      <c r="AS27">
        <v>190.61</v>
      </c>
      <c r="AT27">
        <v>190.04</v>
      </c>
      <c r="AU27">
        <v>189.45</v>
      </c>
    </row>
    <row r="29" spans="1:47" ht="18.75" x14ac:dyDescent="0.3">
      <c r="A29" s="35" t="s">
        <v>86</v>
      </c>
    </row>
    <row r="30" spans="1:47" x14ac:dyDescent="0.25">
      <c r="A30" t="s">
        <v>40</v>
      </c>
      <c r="B30" t="s">
        <v>41</v>
      </c>
      <c r="C30" t="s">
        <v>42</v>
      </c>
      <c r="D30" t="s">
        <v>43</v>
      </c>
      <c r="E30" t="s">
        <v>44</v>
      </c>
      <c r="F30" t="s">
        <v>45</v>
      </c>
      <c r="G30" t="s">
        <v>46</v>
      </c>
      <c r="H30" t="s">
        <v>47</v>
      </c>
      <c r="I30" t="s">
        <v>48</v>
      </c>
      <c r="J30" t="s">
        <v>49</v>
      </c>
      <c r="K30" t="s">
        <v>50</v>
      </c>
      <c r="L30" t="s">
        <v>51</v>
      </c>
      <c r="M30" t="s">
        <v>52</v>
      </c>
      <c r="N30" t="s">
        <v>53</v>
      </c>
      <c r="O30" t="s">
        <v>54</v>
      </c>
      <c r="P30" t="s">
        <v>55</v>
      </c>
      <c r="Q30" t="s">
        <v>56</v>
      </c>
      <c r="R30" t="s">
        <v>57</v>
      </c>
      <c r="S30" t="s">
        <v>58</v>
      </c>
      <c r="T30" t="s">
        <v>59</v>
      </c>
      <c r="U30" t="s">
        <v>60</v>
      </c>
      <c r="V30" t="s">
        <v>61</v>
      </c>
      <c r="W30" t="s">
        <v>62</v>
      </c>
      <c r="X30" t="s">
        <v>63</v>
      </c>
      <c r="Y30" t="s">
        <v>64</v>
      </c>
      <c r="Z30" t="s">
        <v>65</v>
      </c>
      <c r="AA30" t="s">
        <v>66</v>
      </c>
      <c r="AB30" t="s">
        <v>67</v>
      </c>
      <c r="AC30" t="s">
        <v>68</v>
      </c>
      <c r="AD30" t="s">
        <v>69</v>
      </c>
      <c r="AE30" t="s">
        <v>70</v>
      </c>
      <c r="AF30" t="s">
        <v>71</v>
      </c>
      <c r="AG30" t="s">
        <v>72</v>
      </c>
      <c r="AH30" t="s">
        <v>73</v>
      </c>
      <c r="AI30" t="s">
        <v>74</v>
      </c>
      <c r="AJ30" t="s">
        <v>75</v>
      </c>
      <c r="AK30" t="s">
        <v>76</v>
      </c>
      <c r="AL30" t="s">
        <v>332</v>
      </c>
      <c r="AM30" t="s">
        <v>333</v>
      </c>
      <c r="AN30" t="s">
        <v>334</v>
      </c>
      <c r="AO30" t="s">
        <v>335</v>
      </c>
      <c r="AP30" t="s">
        <v>336</v>
      </c>
      <c r="AQ30" t="s">
        <v>337</v>
      </c>
      <c r="AR30" t="s">
        <v>338</v>
      </c>
      <c r="AS30" t="s">
        <v>339</v>
      </c>
      <c r="AT30" t="s">
        <v>340</v>
      </c>
      <c r="AU30" t="s">
        <v>341</v>
      </c>
    </row>
    <row r="31" spans="1:47" x14ac:dyDescent="0.25">
      <c r="A31" t="s">
        <v>77</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c r="AQ31">
        <v>0</v>
      </c>
      <c r="AR31">
        <v>0</v>
      </c>
      <c r="AS31">
        <v>0</v>
      </c>
      <c r="AT31">
        <v>0</v>
      </c>
      <c r="AU31">
        <v>0</v>
      </c>
    </row>
    <row r="32" spans="1:47" x14ac:dyDescent="0.25">
      <c r="A32" t="s">
        <v>78</v>
      </c>
      <c r="B32">
        <v>40</v>
      </c>
      <c r="C32">
        <v>36</v>
      </c>
      <c r="D32">
        <v>40</v>
      </c>
      <c r="E32">
        <v>142</v>
      </c>
      <c r="F32">
        <v>347</v>
      </c>
      <c r="G32">
        <v>458</v>
      </c>
      <c r="H32">
        <v>488</v>
      </c>
      <c r="I32">
        <v>468</v>
      </c>
      <c r="J32">
        <v>499</v>
      </c>
      <c r="K32">
        <v>611.28</v>
      </c>
      <c r="L32">
        <v>606</v>
      </c>
      <c r="M32">
        <v>594</v>
      </c>
      <c r="N32">
        <v>604</v>
      </c>
      <c r="O32">
        <v>640</v>
      </c>
      <c r="P32">
        <v>645</v>
      </c>
      <c r="Q32">
        <v>677.27</v>
      </c>
      <c r="R32">
        <v>940.07</v>
      </c>
      <c r="S32">
        <v>940.02</v>
      </c>
      <c r="T32">
        <v>947.11</v>
      </c>
      <c r="U32">
        <v>955.04</v>
      </c>
      <c r="V32">
        <v>1226.21</v>
      </c>
      <c r="W32">
        <v>1234.8699999999999</v>
      </c>
      <c r="X32">
        <v>1243.9100000000001</v>
      </c>
      <c r="Y32">
        <v>1253.1300000000001</v>
      </c>
      <c r="Z32">
        <v>1262.74</v>
      </c>
      <c r="AA32">
        <v>1539.39</v>
      </c>
      <c r="AB32">
        <v>1553.64</v>
      </c>
      <c r="AC32">
        <v>1568.21</v>
      </c>
      <c r="AD32">
        <v>1583.18</v>
      </c>
      <c r="AE32">
        <v>1598.55</v>
      </c>
      <c r="AF32">
        <v>1614.34</v>
      </c>
      <c r="AG32">
        <v>1630.47</v>
      </c>
      <c r="AH32">
        <v>1646.86</v>
      </c>
      <c r="AI32">
        <v>1663.7</v>
      </c>
      <c r="AJ32">
        <v>1680.8</v>
      </c>
      <c r="AK32">
        <v>1698.19</v>
      </c>
      <c r="AL32">
        <v>1715.94</v>
      </c>
      <c r="AM32">
        <v>1733.89</v>
      </c>
      <c r="AN32">
        <v>1752.17</v>
      </c>
      <c r="AO32">
        <v>1770.74</v>
      </c>
      <c r="AP32">
        <v>1789.25</v>
      </c>
      <c r="AQ32">
        <v>1807.9</v>
      </c>
      <c r="AR32">
        <v>1826.81</v>
      </c>
      <c r="AS32">
        <v>1846.04</v>
      </c>
      <c r="AT32">
        <v>1865.54</v>
      </c>
      <c r="AU32">
        <v>1885.59</v>
      </c>
    </row>
    <row r="33" spans="1:47" x14ac:dyDescent="0.25">
      <c r="A33" t="s">
        <v>79</v>
      </c>
      <c r="B33">
        <v>0</v>
      </c>
      <c r="C33">
        <v>0</v>
      </c>
      <c r="D33">
        <v>0</v>
      </c>
      <c r="E33">
        <v>5</v>
      </c>
      <c r="F33">
        <v>5</v>
      </c>
      <c r="G33">
        <v>5</v>
      </c>
      <c r="H33">
        <v>5</v>
      </c>
      <c r="I33">
        <v>5</v>
      </c>
      <c r="J33">
        <v>5</v>
      </c>
      <c r="K33">
        <v>2.5</v>
      </c>
      <c r="L33">
        <v>3</v>
      </c>
      <c r="M33">
        <v>3</v>
      </c>
      <c r="N33">
        <v>2</v>
      </c>
      <c r="O33">
        <v>2</v>
      </c>
      <c r="P33">
        <v>3</v>
      </c>
      <c r="Q33">
        <v>3</v>
      </c>
      <c r="R33">
        <v>3</v>
      </c>
      <c r="S33">
        <v>3</v>
      </c>
      <c r="T33">
        <v>3</v>
      </c>
      <c r="U33">
        <v>3.53</v>
      </c>
      <c r="V33">
        <v>3.53</v>
      </c>
      <c r="W33">
        <v>3.53</v>
      </c>
      <c r="X33">
        <v>3.53</v>
      </c>
      <c r="Y33">
        <v>3.53</v>
      </c>
      <c r="Z33">
        <v>3.53</v>
      </c>
      <c r="AA33">
        <v>3.53</v>
      </c>
      <c r="AB33">
        <v>3.53</v>
      </c>
      <c r="AC33">
        <v>3.53</v>
      </c>
      <c r="AD33">
        <v>3.53</v>
      </c>
      <c r="AE33">
        <v>3.53</v>
      </c>
      <c r="AF33">
        <v>3.53</v>
      </c>
      <c r="AG33">
        <v>3.53</v>
      </c>
      <c r="AH33">
        <v>3.53</v>
      </c>
      <c r="AI33">
        <v>3.53</v>
      </c>
      <c r="AJ33">
        <v>3.53</v>
      </c>
      <c r="AK33">
        <v>3.53</v>
      </c>
      <c r="AL33">
        <v>3.53</v>
      </c>
      <c r="AM33">
        <v>3.53</v>
      </c>
      <c r="AN33">
        <v>3.53</v>
      </c>
      <c r="AO33">
        <v>3.53</v>
      </c>
      <c r="AP33">
        <v>3.53</v>
      </c>
      <c r="AQ33">
        <v>4.49</v>
      </c>
      <c r="AR33">
        <v>4.49</v>
      </c>
      <c r="AS33">
        <v>4.49</v>
      </c>
      <c r="AT33">
        <v>4.49</v>
      </c>
      <c r="AU33">
        <v>4.49</v>
      </c>
    </row>
    <row r="34" spans="1:47" x14ac:dyDescent="0.25">
      <c r="A34" t="s">
        <v>80</v>
      </c>
      <c r="B34">
        <v>0</v>
      </c>
      <c r="C34">
        <v>0</v>
      </c>
      <c r="D34">
        <v>0</v>
      </c>
      <c r="E34">
        <v>0</v>
      </c>
      <c r="F34">
        <v>0</v>
      </c>
      <c r="G34">
        <v>0</v>
      </c>
      <c r="H34">
        <v>0</v>
      </c>
      <c r="I34">
        <v>0</v>
      </c>
      <c r="J34">
        <v>0</v>
      </c>
      <c r="K34">
        <v>0</v>
      </c>
      <c r="L34">
        <v>0</v>
      </c>
      <c r="M34">
        <v>0</v>
      </c>
      <c r="N34">
        <v>0</v>
      </c>
      <c r="O34">
        <v>0</v>
      </c>
      <c r="P34">
        <v>0</v>
      </c>
      <c r="Q34">
        <v>0</v>
      </c>
      <c r="R34">
        <v>0</v>
      </c>
      <c r="S34">
        <v>3.65</v>
      </c>
      <c r="T34">
        <v>3.65</v>
      </c>
      <c r="U34">
        <v>7.98</v>
      </c>
      <c r="V34">
        <v>12.49</v>
      </c>
      <c r="W34">
        <v>17.149999999999999</v>
      </c>
      <c r="X34">
        <v>21.95</v>
      </c>
      <c r="Y34">
        <v>26.92</v>
      </c>
      <c r="Z34">
        <v>32.03</v>
      </c>
      <c r="AA34">
        <v>37.270000000000003</v>
      </c>
      <c r="AB34">
        <v>42.65</v>
      </c>
      <c r="AC34">
        <v>48.13</v>
      </c>
      <c r="AD34">
        <v>53.76</v>
      </c>
      <c r="AE34">
        <v>59.49</v>
      </c>
      <c r="AF34">
        <v>65.34</v>
      </c>
      <c r="AG34">
        <v>71.28</v>
      </c>
      <c r="AH34">
        <v>77.319999999999993</v>
      </c>
      <c r="AI34">
        <v>83.44</v>
      </c>
      <c r="AJ34">
        <v>89.63</v>
      </c>
      <c r="AK34">
        <v>95.9</v>
      </c>
      <c r="AL34">
        <v>102.24</v>
      </c>
      <c r="AM34">
        <v>108.64</v>
      </c>
      <c r="AN34">
        <v>115.07</v>
      </c>
      <c r="AO34">
        <v>121.46</v>
      </c>
      <c r="AP34">
        <v>127.83</v>
      </c>
      <c r="AQ34">
        <v>134.22999999999999</v>
      </c>
      <c r="AR34">
        <v>140.72999999999999</v>
      </c>
      <c r="AS34">
        <v>147.25</v>
      </c>
      <c r="AT34">
        <v>153.86000000000001</v>
      </c>
      <c r="AU34">
        <v>160.61000000000001</v>
      </c>
    </row>
    <row r="35" spans="1:47" x14ac:dyDescent="0.25">
      <c r="A35" t="s">
        <v>81</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0</v>
      </c>
      <c r="AR35">
        <v>0</v>
      </c>
      <c r="AS35">
        <v>0</v>
      </c>
      <c r="AT35">
        <v>0</v>
      </c>
      <c r="AU35">
        <v>0</v>
      </c>
    </row>
    <row r="36" spans="1:47" x14ac:dyDescent="0.25">
      <c r="A36" t="s">
        <v>82</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row>
    <row r="37" spans="1:47" x14ac:dyDescent="0.25">
      <c r="A37" t="s">
        <v>83</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row>
    <row r="38" spans="1:47" x14ac:dyDescent="0.25">
      <c r="A38" t="s">
        <v>84</v>
      </c>
      <c r="B38">
        <v>0.88</v>
      </c>
      <c r="C38">
        <v>0.88</v>
      </c>
      <c r="D38">
        <v>0.88</v>
      </c>
      <c r="E38">
        <v>0.48</v>
      </c>
      <c r="F38">
        <v>2.72</v>
      </c>
      <c r="G38">
        <v>0</v>
      </c>
      <c r="H38">
        <v>0</v>
      </c>
      <c r="I38">
        <v>8.16</v>
      </c>
      <c r="J38">
        <v>2.17</v>
      </c>
      <c r="K38">
        <v>5.8</v>
      </c>
      <c r="L38">
        <v>7</v>
      </c>
      <c r="M38">
        <v>7</v>
      </c>
      <c r="N38">
        <v>7</v>
      </c>
      <c r="O38">
        <v>6</v>
      </c>
      <c r="P38">
        <v>3</v>
      </c>
      <c r="Q38">
        <v>18.79</v>
      </c>
      <c r="R38">
        <v>18.79</v>
      </c>
      <c r="S38">
        <v>48.27</v>
      </c>
      <c r="T38">
        <v>27.62</v>
      </c>
      <c r="U38">
        <v>27.62</v>
      </c>
      <c r="V38">
        <v>18.95</v>
      </c>
      <c r="W38">
        <v>53.14</v>
      </c>
      <c r="X38">
        <v>18.79</v>
      </c>
      <c r="Y38">
        <v>17.809999999999999</v>
      </c>
      <c r="Z38">
        <v>17.829999999999998</v>
      </c>
      <c r="AA38">
        <v>9.7799999999999994</v>
      </c>
      <c r="AB38">
        <v>45.33</v>
      </c>
      <c r="AC38">
        <v>45.33</v>
      </c>
      <c r="AD38">
        <v>39.78</v>
      </c>
      <c r="AE38">
        <v>9.9499999999999993</v>
      </c>
      <c r="AF38">
        <v>28.75</v>
      </c>
      <c r="AG38">
        <v>1.1000000000000001</v>
      </c>
      <c r="AH38">
        <v>1.1000000000000001</v>
      </c>
      <c r="AI38">
        <v>1.1000000000000001</v>
      </c>
      <c r="AJ38">
        <v>1.1000000000000001</v>
      </c>
      <c r="AK38">
        <v>1.1000000000000001</v>
      </c>
      <c r="AL38">
        <v>485.2</v>
      </c>
      <c r="AM38">
        <v>339.03</v>
      </c>
      <c r="AN38">
        <v>342</v>
      </c>
      <c r="AO38">
        <v>45.15</v>
      </c>
      <c r="AP38">
        <v>48.27</v>
      </c>
      <c r="AQ38">
        <v>48.27</v>
      </c>
      <c r="AR38">
        <v>48.27</v>
      </c>
      <c r="AS38">
        <v>48.27</v>
      </c>
      <c r="AT38">
        <v>48.27</v>
      </c>
      <c r="AU38">
        <v>48.27</v>
      </c>
    </row>
    <row r="40" spans="1:47" ht="18.75" x14ac:dyDescent="0.3">
      <c r="A40" s="35" t="s">
        <v>87</v>
      </c>
    </row>
    <row r="41" spans="1:47" x14ac:dyDescent="0.25">
      <c r="A41" t="s">
        <v>40</v>
      </c>
      <c r="B41" t="s">
        <v>41</v>
      </c>
      <c r="C41" t="s">
        <v>42</v>
      </c>
      <c r="D41" t="s">
        <v>43</v>
      </c>
      <c r="E41" t="s">
        <v>44</v>
      </c>
      <c r="F41" t="s">
        <v>45</v>
      </c>
      <c r="G41" t="s">
        <v>46</v>
      </c>
      <c r="H41" t="s">
        <v>47</v>
      </c>
      <c r="I41" t="s">
        <v>48</v>
      </c>
      <c r="J41" t="s">
        <v>49</v>
      </c>
      <c r="K41" t="s">
        <v>50</v>
      </c>
      <c r="L41" t="s">
        <v>51</v>
      </c>
      <c r="M41" t="s">
        <v>52</v>
      </c>
      <c r="N41" t="s">
        <v>53</v>
      </c>
      <c r="O41" t="s">
        <v>54</v>
      </c>
      <c r="P41" t="s">
        <v>55</v>
      </c>
      <c r="Q41" t="s">
        <v>56</v>
      </c>
      <c r="R41" t="s">
        <v>57</v>
      </c>
      <c r="S41" t="s">
        <v>58</v>
      </c>
      <c r="T41" t="s">
        <v>59</v>
      </c>
      <c r="U41" t="s">
        <v>60</v>
      </c>
      <c r="V41" t="s">
        <v>61</v>
      </c>
      <c r="W41" t="s">
        <v>62</v>
      </c>
      <c r="X41" t="s">
        <v>63</v>
      </c>
      <c r="Y41" t="s">
        <v>64</v>
      </c>
      <c r="Z41" t="s">
        <v>65</v>
      </c>
      <c r="AA41" t="s">
        <v>66</v>
      </c>
      <c r="AB41" t="s">
        <v>67</v>
      </c>
      <c r="AC41" t="s">
        <v>68</v>
      </c>
      <c r="AD41" t="s">
        <v>69</v>
      </c>
      <c r="AE41" t="s">
        <v>70</v>
      </c>
      <c r="AF41" t="s">
        <v>71</v>
      </c>
      <c r="AG41" t="s">
        <v>72</v>
      </c>
      <c r="AH41" t="s">
        <v>73</v>
      </c>
      <c r="AI41" t="s">
        <v>74</v>
      </c>
      <c r="AJ41" t="s">
        <v>75</v>
      </c>
      <c r="AK41" t="s">
        <v>76</v>
      </c>
      <c r="AL41" t="s">
        <v>332</v>
      </c>
      <c r="AM41" t="s">
        <v>333</v>
      </c>
      <c r="AN41" t="s">
        <v>334</v>
      </c>
      <c r="AO41" t="s">
        <v>335</v>
      </c>
      <c r="AP41" t="s">
        <v>336</v>
      </c>
      <c r="AQ41" t="s">
        <v>337</v>
      </c>
      <c r="AR41" t="s">
        <v>338</v>
      </c>
      <c r="AS41" t="s">
        <v>339</v>
      </c>
      <c r="AT41" t="s">
        <v>340</v>
      </c>
      <c r="AU41" t="s">
        <v>341</v>
      </c>
    </row>
    <row r="42" spans="1:47" x14ac:dyDescent="0.25">
      <c r="A42" t="s">
        <v>77</v>
      </c>
      <c r="B42">
        <v>926.06</v>
      </c>
      <c r="C42">
        <v>926.06</v>
      </c>
      <c r="D42">
        <v>926.06</v>
      </c>
      <c r="E42">
        <v>1096.6600000000001</v>
      </c>
      <c r="F42">
        <v>1074.1400000000001</v>
      </c>
      <c r="G42">
        <v>1007.81</v>
      </c>
      <c r="H42">
        <v>1112.47</v>
      </c>
      <c r="I42">
        <v>851.5</v>
      </c>
      <c r="J42">
        <v>1005.76</v>
      </c>
      <c r="K42">
        <v>1128.69</v>
      </c>
      <c r="L42">
        <v>979.2</v>
      </c>
      <c r="M42">
        <v>779.28</v>
      </c>
      <c r="N42">
        <v>824.89</v>
      </c>
      <c r="O42">
        <v>910.29</v>
      </c>
      <c r="P42">
        <v>1001.52</v>
      </c>
      <c r="Q42">
        <v>1001.51</v>
      </c>
      <c r="R42">
        <v>1001.53</v>
      </c>
      <c r="S42">
        <v>1001.5</v>
      </c>
      <c r="T42">
        <v>1001.5</v>
      </c>
      <c r="U42">
        <v>1001.53</v>
      </c>
      <c r="V42">
        <v>1001.51</v>
      </c>
      <c r="W42">
        <v>1001.51</v>
      </c>
      <c r="X42">
        <v>1001.53</v>
      </c>
      <c r="Y42">
        <v>1001.53</v>
      </c>
      <c r="Z42">
        <v>1001.53</v>
      </c>
      <c r="AA42">
        <v>1001.52</v>
      </c>
      <c r="AB42">
        <v>1001.52</v>
      </c>
      <c r="AC42">
        <v>1001.5</v>
      </c>
      <c r="AD42">
        <v>1001.52</v>
      </c>
      <c r="AE42">
        <v>1001.51</v>
      </c>
      <c r="AF42">
        <v>1001.52</v>
      </c>
      <c r="AG42">
        <v>1001.51</v>
      </c>
      <c r="AH42">
        <v>1001.52</v>
      </c>
      <c r="AI42">
        <v>1001.52</v>
      </c>
      <c r="AJ42">
        <v>1001.51</v>
      </c>
      <c r="AK42">
        <v>1001.53</v>
      </c>
      <c r="AL42">
        <v>1001.52</v>
      </c>
      <c r="AM42">
        <v>1001.52</v>
      </c>
      <c r="AN42">
        <v>1001.52</v>
      </c>
      <c r="AO42">
        <v>1001.52</v>
      </c>
      <c r="AP42">
        <v>1001.52</v>
      </c>
      <c r="AQ42">
        <v>1054.08</v>
      </c>
      <c r="AR42">
        <v>1105.8499999999999</v>
      </c>
      <c r="AS42">
        <v>1157.18</v>
      </c>
      <c r="AT42">
        <v>1207.82</v>
      </c>
      <c r="AU42">
        <v>1207.82</v>
      </c>
    </row>
    <row r="43" spans="1:47" x14ac:dyDescent="0.25">
      <c r="A43" t="s">
        <v>78</v>
      </c>
      <c r="B43">
        <v>85</v>
      </c>
      <c r="C43">
        <v>110</v>
      </c>
      <c r="D43">
        <v>157</v>
      </c>
      <c r="E43">
        <v>149</v>
      </c>
      <c r="F43">
        <v>154</v>
      </c>
      <c r="G43">
        <v>387</v>
      </c>
      <c r="H43">
        <v>664.19</v>
      </c>
      <c r="I43">
        <v>800</v>
      </c>
      <c r="J43">
        <v>765</v>
      </c>
      <c r="K43">
        <v>748.68</v>
      </c>
      <c r="L43">
        <v>803.57</v>
      </c>
      <c r="M43">
        <v>999</v>
      </c>
      <c r="N43">
        <v>1309</v>
      </c>
      <c r="O43">
        <v>1153</v>
      </c>
      <c r="P43">
        <v>1057</v>
      </c>
      <c r="Q43">
        <v>1056.93</v>
      </c>
      <c r="R43">
        <v>1057.31</v>
      </c>
      <c r="S43">
        <v>1058.0999999999999</v>
      </c>
      <c r="T43">
        <v>1101.22</v>
      </c>
      <c r="U43">
        <v>1102.26</v>
      </c>
      <c r="V43">
        <v>1147.93</v>
      </c>
      <c r="W43">
        <v>1193.73</v>
      </c>
      <c r="X43">
        <v>1239.51</v>
      </c>
      <c r="Y43">
        <v>1285.7</v>
      </c>
      <c r="Z43">
        <v>1332.66</v>
      </c>
      <c r="AA43">
        <v>1418.81</v>
      </c>
      <c r="AB43">
        <v>1506.32</v>
      </c>
      <c r="AC43">
        <v>1595.13</v>
      </c>
      <c r="AD43">
        <v>1686.43</v>
      </c>
      <c r="AE43">
        <v>1779.67</v>
      </c>
      <c r="AF43">
        <v>1875.69</v>
      </c>
      <c r="AG43">
        <v>1925.17</v>
      </c>
      <c r="AH43">
        <v>1978.23</v>
      </c>
      <c r="AI43">
        <v>2084.0700000000002</v>
      </c>
      <c r="AJ43">
        <v>2200.23</v>
      </c>
      <c r="AK43">
        <v>2327.44</v>
      </c>
      <c r="AL43">
        <v>2459.5100000000002</v>
      </c>
      <c r="AM43">
        <v>2603.59</v>
      </c>
      <c r="AN43">
        <v>2754.38</v>
      </c>
      <c r="AO43">
        <v>2902.41</v>
      </c>
      <c r="AP43">
        <v>3041.06</v>
      </c>
      <c r="AQ43">
        <v>3233.53</v>
      </c>
      <c r="AR43">
        <v>3422.88</v>
      </c>
      <c r="AS43">
        <v>3615.59</v>
      </c>
      <c r="AT43">
        <v>3810.58</v>
      </c>
      <c r="AU43">
        <v>3954</v>
      </c>
    </row>
    <row r="44" spans="1:47" x14ac:dyDescent="0.25">
      <c r="A44" t="s">
        <v>79</v>
      </c>
      <c r="B44">
        <v>318</v>
      </c>
      <c r="C44">
        <v>318</v>
      </c>
      <c r="D44">
        <v>318</v>
      </c>
      <c r="E44">
        <v>322</v>
      </c>
      <c r="F44">
        <v>245</v>
      </c>
      <c r="G44">
        <v>378</v>
      </c>
      <c r="H44">
        <v>363</v>
      </c>
      <c r="I44">
        <v>387</v>
      </c>
      <c r="J44">
        <v>331</v>
      </c>
      <c r="K44">
        <v>253.9</v>
      </c>
      <c r="L44">
        <v>427</v>
      </c>
      <c r="M44">
        <v>395</v>
      </c>
      <c r="N44">
        <v>288</v>
      </c>
      <c r="O44">
        <v>487</v>
      </c>
      <c r="P44">
        <v>314</v>
      </c>
      <c r="Q44">
        <v>233.04</v>
      </c>
      <c r="R44">
        <v>265.93</v>
      </c>
      <c r="S44">
        <v>269.06</v>
      </c>
      <c r="T44">
        <v>265.93</v>
      </c>
      <c r="U44">
        <v>265.93</v>
      </c>
      <c r="V44">
        <v>264.62</v>
      </c>
      <c r="W44">
        <v>265.39</v>
      </c>
      <c r="X44">
        <v>265.93</v>
      </c>
      <c r="Y44">
        <v>264.06</v>
      </c>
      <c r="Z44">
        <v>264.06</v>
      </c>
      <c r="AA44">
        <v>264.06</v>
      </c>
      <c r="AB44">
        <v>264.06</v>
      </c>
      <c r="AC44">
        <v>210.35</v>
      </c>
      <c r="AD44">
        <v>210.35</v>
      </c>
      <c r="AE44">
        <v>210.35</v>
      </c>
      <c r="AF44">
        <v>210.35</v>
      </c>
      <c r="AG44">
        <v>210.35</v>
      </c>
      <c r="AH44">
        <v>210.35</v>
      </c>
      <c r="AI44">
        <v>210.35</v>
      </c>
      <c r="AJ44">
        <v>210.35</v>
      </c>
      <c r="AK44">
        <v>210.35</v>
      </c>
      <c r="AL44">
        <v>241.52</v>
      </c>
      <c r="AM44">
        <v>229.88</v>
      </c>
      <c r="AN44">
        <v>212.53</v>
      </c>
      <c r="AO44">
        <v>212.53</v>
      </c>
      <c r="AP44">
        <v>203.34</v>
      </c>
      <c r="AQ44">
        <v>195.92</v>
      </c>
      <c r="AR44">
        <v>196.96</v>
      </c>
      <c r="AS44">
        <v>198.8</v>
      </c>
      <c r="AT44">
        <v>200.63</v>
      </c>
      <c r="AU44">
        <v>200.63</v>
      </c>
    </row>
    <row r="45" spans="1:47" x14ac:dyDescent="0.25">
      <c r="A45" t="s">
        <v>80</v>
      </c>
      <c r="B45">
        <v>0</v>
      </c>
      <c r="C45">
        <v>0</v>
      </c>
      <c r="D45">
        <v>0</v>
      </c>
      <c r="E45">
        <v>0</v>
      </c>
      <c r="F45">
        <v>0</v>
      </c>
      <c r="G45">
        <v>0</v>
      </c>
      <c r="H45">
        <v>0</v>
      </c>
      <c r="I45">
        <v>0</v>
      </c>
      <c r="J45">
        <v>0</v>
      </c>
      <c r="K45">
        <v>0</v>
      </c>
      <c r="L45">
        <v>0</v>
      </c>
      <c r="M45">
        <v>0</v>
      </c>
      <c r="N45">
        <v>0</v>
      </c>
      <c r="O45">
        <v>0</v>
      </c>
      <c r="P45">
        <v>0</v>
      </c>
      <c r="Q45">
        <v>0</v>
      </c>
      <c r="R45">
        <v>0.22</v>
      </c>
      <c r="S45">
        <v>0.61</v>
      </c>
      <c r="T45">
        <v>1.03</v>
      </c>
      <c r="U45">
        <v>1.36</v>
      </c>
      <c r="V45">
        <v>1.78</v>
      </c>
      <c r="W45">
        <v>2.2200000000000002</v>
      </c>
      <c r="X45">
        <v>2.64</v>
      </c>
      <c r="Y45">
        <v>3.06</v>
      </c>
      <c r="Z45">
        <v>3.5</v>
      </c>
      <c r="AA45">
        <v>4</v>
      </c>
      <c r="AB45">
        <v>4.5599999999999996</v>
      </c>
      <c r="AC45">
        <v>5.84</v>
      </c>
      <c r="AD45">
        <v>7.2</v>
      </c>
      <c r="AE45">
        <v>26.8</v>
      </c>
      <c r="AF45">
        <v>28.92</v>
      </c>
      <c r="AG45">
        <v>31.78</v>
      </c>
      <c r="AH45">
        <v>35.590000000000003</v>
      </c>
      <c r="AI45">
        <v>58.67</v>
      </c>
      <c r="AJ45">
        <v>84.44</v>
      </c>
      <c r="AK45">
        <v>112.89</v>
      </c>
      <c r="AL45">
        <v>155.86000000000001</v>
      </c>
      <c r="AM45">
        <v>199.26</v>
      </c>
      <c r="AN45">
        <v>243.6</v>
      </c>
      <c r="AO45">
        <v>286.18</v>
      </c>
      <c r="AP45">
        <v>325.41000000000003</v>
      </c>
      <c r="AQ45">
        <v>362.55</v>
      </c>
      <c r="AR45">
        <v>400.36</v>
      </c>
      <c r="AS45">
        <v>441.67</v>
      </c>
      <c r="AT45">
        <v>485.07</v>
      </c>
      <c r="AU45">
        <v>528.46</v>
      </c>
    </row>
    <row r="46" spans="1:47" x14ac:dyDescent="0.25">
      <c r="A46" t="s">
        <v>81</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c r="AQ46">
        <v>0</v>
      </c>
      <c r="AR46">
        <v>0</v>
      </c>
      <c r="AS46">
        <v>0</v>
      </c>
      <c r="AT46">
        <v>0</v>
      </c>
      <c r="AU46">
        <v>0</v>
      </c>
    </row>
    <row r="47" spans="1:47" x14ac:dyDescent="0.25">
      <c r="A47" t="s">
        <v>82</v>
      </c>
      <c r="B47">
        <v>8374.98</v>
      </c>
      <c r="C47">
        <v>8119.94</v>
      </c>
      <c r="D47">
        <v>8768.6299999999992</v>
      </c>
      <c r="E47">
        <v>8765.9699999999993</v>
      </c>
      <c r="F47">
        <v>7688.15</v>
      </c>
      <c r="G47">
        <v>7492.97</v>
      </c>
      <c r="H47">
        <v>6494.95</v>
      </c>
      <c r="I47">
        <v>6173.75</v>
      </c>
      <c r="J47">
        <v>6848.48</v>
      </c>
      <c r="K47">
        <v>5521.82</v>
      </c>
      <c r="L47">
        <v>4854.08</v>
      </c>
      <c r="M47">
        <v>4812.21</v>
      </c>
      <c r="N47">
        <v>4829.16</v>
      </c>
      <c r="O47">
        <v>4959.76</v>
      </c>
      <c r="P47">
        <v>4972.72</v>
      </c>
      <c r="Q47">
        <v>3725.57</v>
      </c>
      <c r="R47">
        <v>3842.88</v>
      </c>
      <c r="S47">
        <v>4108.59</v>
      </c>
      <c r="T47">
        <v>3869.49</v>
      </c>
      <c r="U47">
        <v>3950.68</v>
      </c>
      <c r="V47">
        <v>3334.07</v>
      </c>
      <c r="W47">
        <v>3378.63</v>
      </c>
      <c r="X47">
        <v>3380.7</v>
      </c>
      <c r="Y47">
        <v>3373.67</v>
      </c>
      <c r="Z47">
        <v>3384.41</v>
      </c>
      <c r="AA47">
        <v>3372.76</v>
      </c>
      <c r="AB47">
        <v>3406.32</v>
      </c>
      <c r="AC47">
        <v>2280.7600000000002</v>
      </c>
      <c r="AD47">
        <v>2323.83</v>
      </c>
      <c r="AE47">
        <v>2346.0500000000002</v>
      </c>
      <c r="AF47">
        <v>2158.25</v>
      </c>
      <c r="AG47">
        <v>2200.0100000000002</v>
      </c>
      <c r="AH47">
        <v>2233.1999999999998</v>
      </c>
      <c r="AI47">
        <v>2215.13</v>
      </c>
      <c r="AJ47">
        <v>1834.74</v>
      </c>
      <c r="AK47">
        <v>1799.29</v>
      </c>
      <c r="AL47">
        <v>0</v>
      </c>
      <c r="AM47">
        <v>0</v>
      </c>
      <c r="AN47">
        <v>0</v>
      </c>
      <c r="AO47">
        <v>0</v>
      </c>
      <c r="AP47">
        <v>0</v>
      </c>
      <c r="AQ47">
        <v>0</v>
      </c>
      <c r="AR47">
        <v>0</v>
      </c>
      <c r="AS47">
        <v>0</v>
      </c>
      <c r="AT47">
        <v>0</v>
      </c>
      <c r="AU47">
        <v>0</v>
      </c>
    </row>
    <row r="48" spans="1:47" x14ac:dyDescent="0.25">
      <c r="A48" t="s">
        <v>83</v>
      </c>
      <c r="B48">
        <v>165.12</v>
      </c>
      <c r="C48">
        <v>354.87</v>
      </c>
      <c r="D48">
        <v>804.62</v>
      </c>
      <c r="E48">
        <v>1158.9100000000001</v>
      </c>
      <c r="F48">
        <v>1489.51</v>
      </c>
      <c r="G48">
        <v>2111.4</v>
      </c>
      <c r="H48">
        <v>2260.7800000000002</v>
      </c>
      <c r="I48">
        <v>2103.87</v>
      </c>
      <c r="J48">
        <v>1291.8499999999999</v>
      </c>
      <c r="K48">
        <v>1363.72</v>
      </c>
      <c r="L48">
        <v>2630.25</v>
      </c>
      <c r="M48">
        <v>2462.5700000000002</v>
      </c>
      <c r="N48">
        <v>2564.71</v>
      </c>
      <c r="O48">
        <v>2328.5700000000002</v>
      </c>
      <c r="P48">
        <v>2106.4899999999998</v>
      </c>
      <c r="Q48">
        <v>1156.43</v>
      </c>
      <c r="R48">
        <v>1090.7</v>
      </c>
      <c r="S48">
        <v>978.09</v>
      </c>
      <c r="T48">
        <v>1059.95</v>
      </c>
      <c r="U48">
        <v>880.78</v>
      </c>
      <c r="V48">
        <v>1474.43</v>
      </c>
      <c r="W48">
        <v>1419.39</v>
      </c>
      <c r="X48">
        <v>1414.75</v>
      </c>
      <c r="Y48">
        <v>1412.63</v>
      </c>
      <c r="Z48">
        <v>1411.56</v>
      </c>
      <c r="AA48">
        <v>1410.32</v>
      </c>
      <c r="AB48">
        <v>1407.75</v>
      </c>
      <c r="AC48">
        <v>2757.85</v>
      </c>
      <c r="AD48">
        <v>2798.09</v>
      </c>
      <c r="AE48">
        <v>2828.68</v>
      </c>
      <c r="AF48">
        <v>3047.81</v>
      </c>
      <c r="AG48">
        <v>3084.37</v>
      </c>
      <c r="AH48">
        <v>3118.41</v>
      </c>
      <c r="AI48">
        <v>3124.29</v>
      </c>
      <c r="AJ48">
        <v>3404.56</v>
      </c>
      <c r="AK48">
        <v>3398.26</v>
      </c>
      <c r="AL48">
        <v>3447.3</v>
      </c>
      <c r="AM48">
        <v>3386.2</v>
      </c>
      <c r="AN48">
        <v>3323.85</v>
      </c>
      <c r="AO48">
        <v>3253.48</v>
      </c>
      <c r="AP48">
        <v>3169.65</v>
      </c>
      <c r="AQ48">
        <v>3094.09</v>
      </c>
      <c r="AR48">
        <v>3047.93</v>
      </c>
      <c r="AS48">
        <v>2990.62</v>
      </c>
      <c r="AT48">
        <v>2930.7</v>
      </c>
      <c r="AU48">
        <v>2932.47</v>
      </c>
    </row>
    <row r="49" spans="1:47" x14ac:dyDescent="0.25">
      <c r="A49" t="s">
        <v>84</v>
      </c>
      <c r="B49">
        <v>1911.5</v>
      </c>
      <c r="C49">
        <v>1624.09</v>
      </c>
      <c r="D49">
        <v>1586.95</v>
      </c>
      <c r="E49">
        <v>708.16</v>
      </c>
      <c r="F49">
        <v>1014.59</v>
      </c>
      <c r="G49">
        <v>563.73</v>
      </c>
      <c r="H49">
        <v>693.24</v>
      </c>
      <c r="I49">
        <v>762.46</v>
      </c>
      <c r="J49">
        <v>512.59</v>
      </c>
      <c r="K49">
        <v>1608.56</v>
      </c>
      <c r="L49">
        <v>491.61</v>
      </c>
      <c r="M49">
        <v>348.22</v>
      </c>
      <c r="N49">
        <v>247.13</v>
      </c>
      <c r="O49">
        <v>309.67</v>
      </c>
      <c r="P49">
        <v>207.79</v>
      </c>
      <c r="Q49">
        <v>78.3</v>
      </c>
      <c r="R49">
        <v>98.34</v>
      </c>
      <c r="S49">
        <v>76.680000000000007</v>
      </c>
      <c r="T49">
        <v>150.4</v>
      </c>
      <c r="U49">
        <v>171.31</v>
      </c>
      <c r="V49">
        <v>137.75</v>
      </c>
      <c r="W49">
        <v>150.11000000000001</v>
      </c>
      <c r="X49">
        <v>152.65</v>
      </c>
      <c r="Y49">
        <v>156.13</v>
      </c>
      <c r="Z49">
        <v>160.62</v>
      </c>
      <c r="AA49">
        <v>163.81</v>
      </c>
      <c r="AB49">
        <v>169.88</v>
      </c>
      <c r="AC49">
        <v>46.27</v>
      </c>
      <c r="AD49">
        <v>57.77</v>
      </c>
      <c r="AE49">
        <v>65.05</v>
      </c>
      <c r="AF49">
        <v>113.32</v>
      </c>
      <c r="AG49">
        <v>118.6</v>
      </c>
      <c r="AH49">
        <v>122.92</v>
      </c>
      <c r="AI49">
        <v>119.62</v>
      </c>
      <c r="AJ49">
        <v>176.02</v>
      </c>
      <c r="AK49">
        <v>160.69999999999999</v>
      </c>
      <c r="AL49">
        <v>798.22</v>
      </c>
      <c r="AM49">
        <v>756.95</v>
      </c>
      <c r="AN49">
        <v>698.56</v>
      </c>
      <c r="AO49">
        <v>632.29999999999995</v>
      </c>
      <c r="AP49">
        <v>558.49</v>
      </c>
      <c r="AQ49">
        <v>559.80999999999995</v>
      </c>
      <c r="AR49">
        <v>497.69</v>
      </c>
      <c r="AS49">
        <v>438.72</v>
      </c>
      <c r="AT49">
        <v>407.32</v>
      </c>
      <c r="AU49">
        <v>407.56</v>
      </c>
    </row>
    <row r="51" spans="1:47" ht="18.75" x14ac:dyDescent="0.3">
      <c r="A51" s="35" t="s">
        <v>88</v>
      </c>
    </row>
    <row r="52" spans="1:47" x14ac:dyDescent="0.25">
      <c r="A52" t="s">
        <v>40</v>
      </c>
      <c r="B52" t="s">
        <v>41</v>
      </c>
      <c r="C52" t="s">
        <v>42</v>
      </c>
      <c r="D52" t="s">
        <v>43</v>
      </c>
      <c r="E52" t="s">
        <v>44</v>
      </c>
      <c r="F52" t="s">
        <v>45</v>
      </c>
      <c r="G52" t="s">
        <v>46</v>
      </c>
      <c r="H52" t="s">
        <v>47</v>
      </c>
      <c r="I52" t="s">
        <v>48</v>
      </c>
      <c r="J52" t="s">
        <v>49</v>
      </c>
      <c r="K52" t="s">
        <v>50</v>
      </c>
      <c r="L52" t="s">
        <v>51</v>
      </c>
      <c r="M52" t="s">
        <v>52</v>
      </c>
      <c r="N52" t="s">
        <v>53</v>
      </c>
      <c r="O52" t="s">
        <v>54</v>
      </c>
      <c r="P52" t="s">
        <v>55</v>
      </c>
      <c r="Q52" t="s">
        <v>56</v>
      </c>
      <c r="R52" t="s">
        <v>57</v>
      </c>
      <c r="S52" t="s">
        <v>58</v>
      </c>
      <c r="T52" t="s">
        <v>59</v>
      </c>
      <c r="U52" t="s">
        <v>60</v>
      </c>
      <c r="V52" t="s">
        <v>61</v>
      </c>
      <c r="W52" t="s">
        <v>62</v>
      </c>
      <c r="X52" t="s">
        <v>63</v>
      </c>
      <c r="Y52" t="s">
        <v>64</v>
      </c>
      <c r="Z52" t="s">
        <v>65</v>
      </c>
      <c r="AA52" t="s">
        <v>66</v>
      </c>
      <c r="AB52" t="s">
        <v>67</v>
      </c>
      <c r="AC52" t="s">
        <v>68</v>
      </c>
      <c r="AD52" t="s">
        <v>69</v>
      </c>
      <c r="AE52" t="s">
        <v>70</v>
      </c>
      <c r="AF52" t="s">
        <v>71</v>
      </c>
      <c r="AG52" t="s">
        <v>72</v>
      </c>
      <c r="AH52" t="s">
        <v>73</v>
      </c>
      <c r="AI52" t="s">
        <v>74</v>
      </c>
      <c r="AJ52" t="s">
        <v>75</v>
      </c>
      <c r="AK52" t="s">
        <v>76</v>
      </c>
      <c r="AL52" t="s">
        <v>332</v>
      </c>
      <c r="AM52" t="s">
        <v>333</v>
      </c>
      <c r="AN52" t="s">
        <v>334</v>
      </c>
      <c r="AO52" t="s">
        <v>335</v>
      </c>
      <c r="AP52" t="s">
        <v>336</v>
      </c>
      <c r="AQ52" t="s">
        <v>337</v>
      </c>
      <c r="AR52" t="s">
        <v>338</v>
      </c>
      <c r="AS52" t="s">
        <v>339</v>
      </c>
      <c r="AT52" t="s">
        <v>340</v>
      </c>
      <c r="AU52" t="s">
        <v>341</v>
      </c>
    </row>
    <row r="53" spans="1:47" x14ac:dyDescent="0.25">
      <c r="A53" t="s">
        <v>77</v>
      </c>
      <c r="B53">
        <v>3875</v>
      </c>
      <c r="C53">
        <v>3731</v>
      </c>
      <c r="D53">
        <v>2793.76</v>
      </c>
      <c r="E53">
        <v>3536.09</v>
      </c>
      <c r="F53">
        <v>2964.24</v>
      </c>
      <c r="G53">
        <v>3325.35</v>
      </c>
      <c r="H53">
        <v>3921.29</v>
      </c>
      <c r="I53">
        <v>2957.28</v>
      </c>
      <c r="J53">
        <v>3410.31</v>
      </c>
      <c r="K53">
        <v>2963.11</v>
      </c>
      <c r="L53">
        <v>2615</v>
      </c>
      <c r="M53">
        <v>3262</v>
      </c>
      <c r="N53">
        <v>2597</v>
      </c>
      <c r="O53">
        <v>2535</v>
      </c>
      <c r="P53">
        <v>2994</v>
      </c>
      <c r="Q53">
        <v>2994.02</v>
      </c>
      <c r="R53">
        <v>2993.98</v>
      </c>
      <c r="S53">
        <v>2993.98</v>
      </c>
      <c r="T53">
        <v>2994.01</v>
      </c>
      <c r="U53">
        <v>3033.23</v>
      </c>
      <c r="V53">
        <v>3033.24</v>
      </c>
      <c r="W53">
        <v>3033.24</v>
      </c>
      <c r="X53">
        <v>3033.24</v>
      </c>
      <c r="Y53">
        <v>3033.25</v>
      </c>
      <c r="Z53">
        <v>3033.25</v>
      </c>
      <c r="AA53">
        <v>3033.26</v>
      </c>
      <c r="AB53">
        <v>3033.23</v>
      </c>
      <c r="AC53">
        <v>3033.26</v>
      </c>
      <c r="AD53">
        <v>3033.23</v>
      </c>
      <c r="AE53">
        <v>3033.23</v>
      </c>
      <c r="AF53">
        <v>3033.27</v>
      </c>
      <c r="AG53">
        <v>3033.23</v>
      </c>
      <c r="AH53">
        <v>3033.25</v>
      </c>
      <c r="AI53">
        <v>3033.26</v>
      </c>
      <c r="AJ53">
        <v>3033.25</v>
      </c>
      <c r="AK53">
        <v>3033.23</v>
      </c>
      <c r="AL53">
        <v>3033.23</v>
      </c>
      <c r="AM53">
        <v>3033.25</v>
      </c>
      <c r="AN53">
        <v>3033.23</v>
      </c>
      <c r="AO53">
        <v>3033.24</v>
      </c>
      <c r="AP53">
        <v>3033.25</v>
      </c>
      <c r="AQ53">
        <v>3063.65</v>
      </c>
      <c r="AR53">
        <v>3093.78</v>
      </c>
      <c r="AS53">
        <v>3123.73</v>
      </c>
      <c r="AT53">
        <v>3123.74</v>
      </c>
      <c r="AU53">
        <v>3123.74</v>
      </c>
    </row>
    <row r="54" spans="1:47" x14ac:dyDescent="0.25">
      <c r="A54" t="s">
        <v>78</v>
      </c>
      <c r="B54">
        <v>0</v>
      </c>
      <c r="C54">
        <v>0</v>
      </c>
      <c r="D54">
        <v>0</v>
      </c>
      <c r="E54">
        <v>0</v>
      </c>
      <c r="F54">
        <v>270</v>
      </c>
      <c r="G54">
        <v>389</v>
      </c>
      <c r="H54">
        <v>693</v>
      </c>
      <c r="I54">
        <v>733</v>
      </c>
      <c r="J54">
        <v>737</v>
      </c>
      <c r="K54">
        <v>785.85</v>
      </c>
      <c r="L54">
        <v>792</v>
      </c>
      <c r="M54">
        <v>766</v>
      </c>
      <c r="N54">
        <v>781</v>
      </c>
      <c r="O54">
        <v>825</v>
      </c>
      <c r="P54">
        <v>888</v>
      </c>
      <c r="Q54">
        <v>888.01</v>
      </c>
      <c r="R54">
        <v>1030.3900000000001</v>
      </c>
      <c r="S54">
        <v>1153.45</v>
      </c>
      <c r="T54">
        <v>1188.75</v>
      </c>
      <c r="U54">
        <v>1222.44</v>
      </c>
      <c r="V54">
        <v>1255.77</v>
      </c>
      <c r="W54">
        <v>1289.03</v>
      </c>
      <c r="X54">
        <v>1322.22</v>
      </c>
      <c r="Y54">
        <v>1355.24</v>
      </c>
      <c r="Z54">
        <v>1388.23</v>
      </c>
      <c r="AA54">
        <v>1421.09</v>
      </c>
      <c r="AB54">
        <v>1453.85</v>
      </c>
      <c r="AC54">
        <v>1486.77</v>
      </c>
      <c r="AD54">
        <v>1624.79</v>
      </c>
      <c r="AE54">
        <v>1657.67</v>
      </c>
      <c r="AF54">
        <v>1749.22</v>
      </c>
      <c r="AG54">
        <v>1808.8</v>
      </c>
      <c r="AH54">
        <v>1870.01</v>
      </c>
      <c r="AI54">
        <v>1934.38</v>
      </c>
      <c r="AJ54">
        <v>2014.28</v>
      </c>
      <c r="AK54">
        <v>2117.09</v>
      </c>
      <c r="AL54">
        <v>2232.5100000000002</v>
      </c>
      <c r="AM54">
        <v>2390.0300000000002</v>
      </c>
      <c r="AN54">
        <v>2602.89</v>
      </c>
      <c r="AO54">
        <v>2890.01</v>
      </c>
      <c r="AP54">
        <v>3179.19</v>
      </c>
      <c r="AQ54">
        <v>3449.43</v>
      </c>
      <c r="AR54">
        <v>3613.69</v>
      </c>
      <c r="AS54">
        <v>3710.42</v>
      </c>
      <c r="AT54">
        <v>3736.47</v>
      </c>
      <c r="AU54">
        <v>3743.52</v>
      </c>
    </row>
    <row r="55" spans="1:47" x14ac:dyDescent="0.25">
      <c r="A55" t="s">
        <v>79</v>
      </c>
      <c r="B55">
        <v>610</v>
      </c>
      <c r="C55">
        <v>610</v>
      </c>
      <c r="D55">
        <v>562</v>
      </c>
      <c r="E55">
        <v>647</v>
      </c>
      <c r="F55">
        <v>576</v>
      </c>
      <c r="G55">
        <v>585</v>
      </c>
      <c r="H55">
        <v>569</v>
      </c>
      <c r="I55">
        <v>579</v>
      </c>
      <c r="J55">
        <v>558</v>
      </c>
      <c r="K55">
        <v>474.7</v>
      </c>
      <c r="L55">
        <v>309</v>
      </c>
      <c r="M55">
        <v>328</v>
      </c>
      <c r="N55">
        <v>270</v>
      </c>
      <c r="O55">
        <v>508</v>
      </c>
      <c r="P55">
        <v>505</v>
      </c>
      <c r="Q55">
        <v>505</v>
      </c>
      <c r="R55">
        <v>505</v>
      </c>
      <c r="S55">
        <v>505</v>
      </c>
      <c r="T55">
        <v>505</v>
      </c>
      <c r="U55">
        <v>505</v>
      </c>
      <c r="V55">
        <v>505</v>
      </c>
      <c r="W55">
        <v>505</v>
      </c>
      <c r="X55">
        <v>505</v>
      </c>
      <c r="Y55">
        <v>505</v>
      </c>
      <c r="Z55">
        <v>505</v>
      </c>
      <c r="AA55">
        <v>505</v>
      </c>
      <c r="AB55">
        <v>505</v>
      </c>
      <c r="AC55">
        <v>505</v>
      </c>
      <c r="AD55">
        <v>505</v>
      </c>
      <c r="AE55">
        <v>505</v>
      </c>
      <c r="AF55">
        <v>505</v>
      </c>
      <c r="AG55">
        <v>505</v>
      </c>
      <c r="AH55">
        <v>505</v>
      </c>
      <c r="AI55">
        <v>505</v>
      </c>
      <c r="AJ55">
        <v>505</v>
      </c>
      <c r="AK55">
        <v>505</v>
      </c>
      <c r="AL55">
        <v>505</v>
      </c>
      <c r="AM55">
        <v>505</v>
      </c>
      <c r="AN55">
        <v>505</v>
      </c>
      <c r="AO55">
        <v>505</v>
      </c>
      <c r="AP55">
        <v>505</v>
      </c>
      <c r="AQ55">
        <v>509.39</v>
      </c>
      <c r="AR55">
        <v>509.39</v>
      </c>
      <c r="AS55">
        <v>509.39</v>
      </c>
      <c r="AT55">
        <v>509.39</v>
      </c>
      <c r="AU55">
        <v>509.39</v>
      </c>
    </row>
    <row r="56" spans="1:47" x14ac:dyDescent="0.25">
      <c r="A56" t="s">
        <v>80</v>
      </c>
      <c r="B56">
        <v>0</v>
      </c>
      <c r="C56">
        <v>0</v>
      </c>
      <c r="D56">
        <v>0</v>
      </c>
      <c r="E56">
        <v>0</v>
      </c>
      <c r="F56">
        <v>0</v>
      </c>
      <c r="G56">
        <v>0</v>
      </c>
      <c r="H56">
        <v>0</v>
      </c>
      <c r="I56">
        <v>0</v>
      </c>
      <c r="J56">
        <v>0</v>
      </c>
      <c r="K56">
        <v>0</v>
      </c>
      <c r="L56">
        <v>0</v>
      </c>
      <c r="M56">
        <v>0</v>
      </c>
      <c r="N56">
        <v>0</v>
      </c>
      <c r="O56">
        <v>0</v>
      </c>
      <c r="P56">
        <v>0</v>
      </c>
      <c r="Q56">
        <v>0</v>
      </c>
      <c r="R56">
        <v>0.14000000000000001</v>
      </c>
      <c r="S56">
        <v>18.43</v>
      </c>
      <c r="T56">
        <v>18.68</v>
      </c>
      <c r="U56">
        <v>35.58</v>
      </c>
      <c r="V56">
        <v>105.26</v>
      </c>
      <c r="W56">
        <v>122.26</v>
      </c>
      <c r="X56">
        <v>139.28</v>
      </c>
      <c r="Y56">
        <v>156.21</v>
      </c>
      <c r="Z56">
        <v>172.99</v>
      </c>
      <c r="AA56">
        <v>189.78</v>
      </c>
      <c r="AB56">
        <v>206.31</v>
      </c>
      <c r="AC56">
        <v>222.86</v>
      </c>
      <c r="AD56">
        <v>239.36</v>
      </c>
      <c r="AE56">
        <v>255.74</v>
      </c>
      <c r="AF56">
        <v>291.57</v>
      </c>
      <c r="AG56">
        <v>317.95999999999998</v>
      </c>
      <c r="AH56">
        <v>345.06</v>
      </c>
      <c r="AI56">
        <v>370.1</v>
      </c>
      <c r="AJ56">
        <v>399.79</v>
      </c>
      <c r="AK56">
        <v>436.37</v>
      </c>
      <c r="AL56">
        <v>531.71</v>
      </c>
      <c r="AM56">
        <v>649.07000000000005</v>
      </c>
      <c r="AN56">
        <v>787.77</v>
      </c>
      <c r="AO56">
        <v>829.47</v>
      </c>
      <c r="AP56">
        <v>903.32</v>
      </c>
      <c r="AQ56">
        <v>974.54</v>
      </c>
      <c r="AR56">
        <v>1012.77</v>
      </c>
      <c r="AS56">
        <v>1033.1099999999999</v>
      </c>
      <c r="AT56">
        <v>1040.92</v>
      </c>
      <c r="AU56">
        <v>1042.67</v>
      </c>
    </row>
    <row r="57" spans="1:47" x14ac:dyDescent="0.25">
      <c r="A57" t="s">
        <v>81</v>
      </c>
      <c r="B57">
        <v>4378</v>
      </c>
      <c r="C57">
        <v>4366</v>
      </c>
      <c r="D57">
        <v>4119</v>
      </c>
      <c r="E57">
        <v>1129</v>
      </c>
      <c r="F57">
        <v>0</v>
      </c>
      <c r="G57">
        <v>0</v>
      </c>
      <c r="H57">
        <v>0</v>
      </c>
      <c r="I57">
        <v>409</v>
      </c>
      <c r="J57">
        <v>4479</v>
      </c>
      <c r="K57">
        <v>5012.22</v>
      </c>
      <c r="L57">
        <v>4277</v>
      </c>
      <c r="M57">
        <v>4545</v>
      </c>
      <c r="N57">
        <v>5120</v>
      </c>
      <c r="O57">
        <v>4874</v>
      </c>
      <c r="P57">
        <v>5016</v>
      </c>
      <c r="Q57">
        <v>4940.6400000000003</v>
      </c>
      <c r="R57">
        <v>4940.6400000000003</v>
      </c>
      <c r="S57">
        <v>4940.6400000000003</v>
      </c>
      <c r="T57">
        <v>4940.6400000000003</v>
      </c>
      <c r="U57">
        <v>4940.6400000000003</v>
      </c>
      <c r="V57">
        <v>4940.6400000000003</v>
      </c>
      <c r="W57">
        <v>4940.6400000000003</v>
      </c>
      <c r="X57">
        <v>4940.6400000000003</v>
      </c>
      <c r="Y57">
        <v>4940.6400000000003</v>
      </c>
      <c r="Z57">
        <v>4940.6400000000003</v>
      </c>
      <c r="AA57">
        <v>4940.6400000000003</v>
      </c>
      <c r="AB57">
        <v>4940.6400000000003</v>
      </c>
      <c r="AC57">
        <v>4940.6400000000003</v>
      </c>
      <c r="AD57">
        <v>4940.6400000000003</v>
      </c>
      <c r="AE57">
        <v>4940.6400000000003</v>
      </c>
      <c r="AF57">
        <v>4940.6400000000003</v>
      </c>
      <c r="AG57">
        <v>4940.6400000000003</v>
      </c>
      <c r="AH57">
        <v>4940.6400000000003</v>
      </c>
      <c r="AI57">
        <v>4940.6400000000003</v>
      </c>
      <c r="AJ57">
        <v>4940.6400000000003</v>
      </c>
      <c r="AK57">
        <v>4940.6400000000003</v>
      </c>
      <c r="AL57">
        <v>0</v>
      </c>
      <c r="AM57">
        <v>0</v>
      </c>
      <c r="AN57">
        <v>0</v>
      </c>
      <c r="AO57">
        <v>5353.22</v>
      </c>
      <c r="AP57">
        <v>5353.23</v>
      </c>
      <c r="AQ57">
        <v>5353.25</v>
      </c>
      <c r="AR57">
        <v>5353.25</v>
      </c>
      <c r="AS57">
        <v>5353.23</v>
      </c>
      <c r="AT57">
        <v>5353.25</v>
      </c>
      <c r="AU57">
        <v>5353.24</v>
      </c>
    </row>
    <row r="58" spans="1:47" x14ac:dyDescent="0.25">
      <c r="A58" t="s">
        <v>82</v>
      </c>
      <c r="B58">
        <v>3101.05</v>
      </c>
      <c r="C58">
        <v>3107.93</v>
      </c>
      <c r="D58">
        <v>3093.98</v>
      </c>
      <c r="E58">
        <v>3127.39</v>
      </c>
      <c r="F58">
        <v>3123.34</v>
      </c>
      <c r="G58">
        <v>2308.09</v>
      </c>
      <c r="H58">
        <v>2613.65</v>
      </c>
      <c r="I58">
        <v>2110.21</v>
      </c>
      <c r="J58">
        <v>2612.52</v>
      </c>
      <c r="K58">
        <v>3100.21</v>
      </c>
      <c r="L58">
        <v>1734.25</v>
      </c>
      <c r="M58">
        <v>2206.12</v>
      </c>
      <c r="N58">
        <v>2106.7199999999998</v>
      </c>
      <c r="O58">
        <v>2351.71</v>
      </c>
      <c r="P58">
        <v>1831.15</v>
      </c>
      <c r="Q58">
        <v>2138.6</v>
      </c>
      <c r="R58">
        <v>2138.6</v>
      </c>
      <c r="S58">
        <v>2138.6</v>
      </c>
      <c r="T58">
        <v>171.09</v>
      </c>
      <c r="U58">
        <v>171.09</v>
      </c>
      <c r="V58">
        <v>171.09</v>
      </c>
      <c r="W58">
        <v>171.09</v>
      </c>
      <c r="X58">
        <v>171.09</v>
      </c>
      <c r="Y58">
        <v>171.09</v>
      </c>
      <c r="Z58">
        <v>171.09</v>
      </c>
      <c r="AA58">
        <v>171.09</v>
      </c>
      <c r="AB58">
        <v>171.09</v>
      </c>
      <c r="AC58">
        <v>171.09</v>
      </c>
      <c r="AD58">
        <v>171.09</v>
      </c>
      <c r="AE58">
        <v>171.09</v>
      </c>
      <c r="AF58">
        <v>171.09</v>
      </c>
      <c r="AG58">
        <v>171.09</v>
      </c>
      <c r="AH58">
        <v>171.09</v>
      </c>
      <c r="AI58">
        <v>171.09</v>
      </c>
      <c r="AJ58">
        <v>171.09</v>
      </c>
      <c r="AK58">
        <v>171.09</v>
      </c>
      <c r="AL58">
        <v>0</v>
      </c>
      <c r="AM58">
        <v>0</v>
      </c>
      <c r="AN58">
        <v>0</v>
      </c>
      <c r="AO58">
        <v>0</v>
      </c>
      <c r="AP58">
        <v>0</v>
      </c>
      <c r="AQ58">
        <v>0</v>
      </c>
      <c r="AR58">
        <v>0</v>
      </c>
      <c r="AS58">
        <v>0</v>
      </c>
      <c r="AT58">
        <v>0</v>
      </c>
      <c r="AU58">
        <v>0</v>
      </c>
    </row>
    <row r="59" spans="1:47" x14ac:dyDescent="0.25">
      <c r="A59" t="s">
        <v>83</v>
      </c>
      <c r="B59">
        <v>1980</v>
      </c>
      <c r="C59">
        <v>2332</v>
      </c>
      <c r="D59">
        <v>1876</v>
      </c>
      <c r="E59">
        <v>1483</v>
      </c>
      <c r="F59">
        <v>1974</v>
      </c>
      <c r="G59">
        <v>2035</v>
      </c>
      <c r="H59">
        <v>2177</v>
      </c>
      <c r="I59">
        <v>1967</v>
      </c>
      <c r="J59">
        <v>1966</v>
      </c>
      <c r="K59">
        <v>2016.2</v>
      </c>
      <c r="L59">
        <v>3143</v>
      </c>
      <c r="M59">
        <v>3420</v>
      </c>
      <c r="N59">
        <v>2337</v>
      </c>
      <c r="O59">
        <v>2065</v>
      </c>
      <c r="P59">
        <v>1941</v>
      </c>
      <c r="Q59">
        <v>1304.76</v>
      </c>
      <c r="R59">
        <v>1166.8499999999999</v>
      </c>
      <c r="S59">
        <v>1186.6099999999999</v>
      </c>
      <c r="T59">
        <v>1166.8599999999999</v>
      </c>
      <c r="U59">
        <v>1164.8699999999999</v>
      </c>
      <c r="V59">
        <v>1186.6400000000001</v>
      </c>
      <c r="W59">
        <v>1234.08</v>
      </c>
      <c r="X59">
        <v>905.98</v>
      </c>
      <c r="Y59">
        <v>732.13</v>
      </c>
      <c r="Z59">
        <v>819.19</v>
      </c>
      <c r="AA59">
        <v>591.89</v>
      </c>
      <c r="AB59">
        <v>1002.01</v>
      </c>
      <c r="AC59">
        <v>982.33</v>
      </c>
      <c r="AD59">
        <v>945.03</v>
      </c>
      <c r="AE59">
        <v>909.17</v>
      </c>
      <c r="AF59">
        <v>937</v>
      </c>
      <c r="AG59">
        <v>586.91</v>
      </c>
      <c r="AH59">
        <v>596.66</v>
      </c>
      <c r="AI59">
        <v>365.66</v>
      </c>
      <c r="AJ59">
        <v>385.1</v>
      </c>
      <c r="AK59">
        <v>383.45</v>
      </c>
      <c r="AL59">
        <v>0.12</v>
      </c>
      <c r="AM59">
        <v>0.12</v>
      </c>
      <c r="AN59">
        <v>0.12</v>
      </c>
      <c r="AO59">
        <v>0.01</v>
      </c>
      <c r="AP59">
        <v>0.01</v>
      </c>
      <c r="AQ59">
        <v>0.03</v>
      </c>
      <c r="AR59">
        <v>0.03</v>
      </c>
      <c r="AS59">
        <v>0.01</v>
      </c>
      <c r="AT59">
        <v>0.01</v>
      </c>
      <c r="AU59">
        <v>0.01</v>
      </c>
    </row>
    <row r="60" spans="1:47" x14ac:dyDescent="0.25">
      <c r="A60" t="s">
        <v>84</v>
      </c>
      <c r="B60">
        <v>3622.76</v>
      </c>
      <c r="C60">
        <v>3622.79</v>
      </c>
      <c r="D60">
        <v>3622.74</v>
      </c>
      <c r="E60">
        <v>3341.97</v>
      </c>
      <c r="F60">
        <v>4200.75</v>
      </c>
      <c r="G60">
        <v>2546.0100000000002</v>
      </c>
      <c r="H60">
        <v>1910.48</v>
      </c>
      <c r="I60">
        <v>1629.3</v>
      </c>
      <c r="J60">
        <v>1323.38</v>
      </c>
      <c r="K60">
        <v>1592.6</v>
      </c>
      <c r="L60">
        <v>1069.75</v>
      </c>
      <c r="M60">
        <v>700.88</v>
      </c>
      <c r="N60">
        <v>253.28</v>
      </c>
      <c r="O60">
        <v>386.29</v>
      </c>
      <c r="P60">
        <v>184.85</v>
      </c>
      <c r="Q60">
        <v>1232.8399999999999</v>
      </c>
      <c r="R60">
        <v>835.85</v>
      </c>
      <c r="S60">
        <v>1463.66</v>
      </c>
      <c r="T60">
        <v>1136.24</v>
      </c>
      <c r="U60">
        <v>977.97</v>
      </c>
      <c r="V60">
        <v>1050.45</v>
      </c>
      <c r="W60">
        <v>1512.41</v>
      </c>
      <c r="X60">
        <v>851.87</v>
      </c>
      <c r="Y60">
        <v>576.27</v>
      </c>
      <c r="Z60">
        <v>927.46</v>
      </c>
      <c r="AA60">
        <v>309.67</v>
      </c>
      <c r="AB60">
        <v>1680.38</v>
      </c>
      <c r="AC60">
        <v>1579.86</v>
      </c>
      <c r="AD60">
        <v>1739.05</v>
      </c>
      <c r="AE60">
        <v>1615.61</v>
      </c>
      <c r="AF60">
        <v>1688.05</v>
      </c>
      <c r="AG60">
        <v>693.43</v>
      </c>
      <c r="AH60">
        <v>203.03</v>
      </c>
      <c r="AI60">
        <v>888.42</v>
      </c>
      <c r="AJ60">
        <v>971.75</v>
      </c>
      <c r="AK60">
        <v>964.68</v>
      </c>
      <c r="AL60">
        <v>1392.12</v>
      </c>
      <c r="AM60">
        <v>1071.3900000000001</v>
      </c>
      <c r="AN60">
        <v>1030.8900000000001</v>
      </c>
      <c r="AO60">
        <v>19.97</v>
      </c>
      <c r="AP60">
        <v>59.47</v>
      </c>
      <c r="AQ60">
        <v>54.66</v>
      </c>
      <c r="AR60">
        <v>99.67</v>
      </c>
      <c r="AS60">
        <v>75.98</v>
      </c>
      <c r="AT60">
        <v>78.52</v>
      </c>
      <c r="AU60">
        <v>90.41</v>
      </c>
    </row>
    <row r="62" spans="1:47" ht="18.75" x14ac:dyDescent="0.3">
      <c r="A62" s="35" t="s">
        <v>89</v>
      </c>
    </row>
    <row r="63" spans="1:47" x14ac:dyDescent="0.25">
      <c r="A63" t="s">
        <v>40</v>
      </c>
      <c r="B63" t="s">
        <v>41</v>
      </c>
      <c r="C63" t="s">
        <v>42</v>
      </c>
      <c r="D63" t="s">
        <v>43</v>
      </c>
      <c r="E63" t="s">
        <v>44</v>
      </c>
      <c r="F63" t="s">
        <v>45</v>
      </c>
      <c r="G63" t="s">
        <v>46</v>
      </c>
      <c r="H63" t="s">
        <v>47</v>
      </c>
      <c r="I63" t="s">
        <v>48</v>
      </c>
      <c r="J63" t="s">
        <v>49</v>
      </c>
      <c r="K63" t="s">
        <v>50</v>
      </c>
      <c r="L63" t="s">
        <v>51</v>
      </c>
      <c r="M63" t="s">
        <v>52</v>
      </c>
      <c r="N63" t="s">
        <v>53</v>
      </c>
      <c r="O63" t="s">
        <v>54</v>
      </c>
      <c r="P63" t="s">
        <v>55</v>
      </c>
      <c r="Q63" t="s">
        <v>56</v>
      </c>
      <c r="R63" t="s">
        <v>57</v>
      </c>
      <c r="S63" t="s">
        <v>58</v>
      </c>
      <c r="T63" t="s">
        <v>59</v>
      </c>
      <c r="U63" t="s">
        <v>60</v>
      </c>
      <c r="V63" t="s">
        <v>61</v>
      </c>
      <c r="W63" t="s">
        <v>62</v>
      </c>
      <c r="X63" t="s">
        <v>63</v>
      </c>
      <c r="Y63" t="s">
        <v>64</v>
      </c>
      <c r="Z63" t="s">
        <v>65</v>
      </c>
      <c r="AA63" t="s">
        <v>66</v>
      </c>
      <c r="AB63" t="s">
        <v>67</v>
      </c>
      <c r="AC63" t="s">
        <v>68</v>
      </c>
      <c r="AD63" t="s">
        <v>69</v>
      </c>
      <c r="AE63" t="s">
        <v>70</v>
      </c>
      <c r="AF63" t="s">
        <v>71</v>
      </c>
      <c r="AG63" t="s">
        <v>72</v>
      </c>
      <c r="AH63" t="s">
        <v>73</v>
      </c>
      <c r="AI63" t="s">
        <v>74</v>
      </c>
      <c r="AJ63" t="s">
        <v>75</v>
      </c>
      <c r="AK63" t="s">
        <v>76</v>
      </c>
      <c r="AL63" t="s">
        <v>332</v>
      </c>
      <c r="AM63" t="s">
        <v>333</v>
      </c>
      <c r="AN63" t="s">
        <v>334</v>
      </c>
      <c r="AO63" t="s">
        <v>335</v>
      </c>
      <c r="AP63" t="s">
        <v>336</v>
      </c>
      <c r="AQ63" t="s">
        <v>337</v>
      </c>
      <c r="AR63" t="s">
        <v>338</v>
      </c>
      <c r="AS63" t="s">
        <v>339</v>
      </c>
      <c r="AT63" t="s">
        <v>340</v>
      </c>
      <c r="AU63" t="s">
        <v>341</v>
      </c>
    </row>
    <row r="64" spans="1:47" x14ac:dyDescent="0.25">
      <c r="A64" t="s">
        <v>77</v>
      </c>
      <c r="B64">
        <v>173112.6</v>
      </c>
      <c r="C64">
        <v>172347.6</v>
      </c>
      <c r="D64">
        <v>180856.6</v>
      </c>
      <c r="E64">
        <v>187783.8</v>
      </c>
      <c r="F64">
        <v>189423</v>
      </c>
      <c r="G64">
        <v>177402.2</v>
      </c>
      <c r="H64">
        <v>189675.6</v>
      </c>
      <c r="I64">
        <v>191955.4</v>
      </c>
      <c r="J64">
        <v>202512.3</v>
      </c>
      <c r="K64">
        <v>197207.4</v>
      </c>
      <c r="L64">
        <v>194413.3</v>
      </c>
      <c r="M64">
        <v>197315.9</v>
      </c>
      <c r="N64">
        <v>201677.6</v>
      </c>
      <c r="O64">
        <v>199829.6</v>
      </c>
      <c r="P64">
        <v>199599.8</v>
      </c>
      <c r="Q64">
        <v>201613.1</v>
      </c>
      <c r="R64">
        <v>201612.9</v>
      </c>
      <c r="S64">
        <v>201613.1</v>
      </c>
      <c r="T64">
        <v>207642.5</v>
      </c>
      <c r="U64">
        <v>207984.9</v>
      </c>
      <c r="V64">
        <v>208292.9</v>
      </c>
      <c r="W64">
        <v>208293</v>
      </c>
      <c r="X64">
        <v>208292.8</v>
      </c>
      <c r="Y64">
        <v>208292.9</v>
      </c>
      <c r="Z64">
        <v>208293</v>
      </c>
      <c r="AA64">
        <v>216247</v>
      </c>
      <c r="AB64">
        <v>216524.5</v>
      </c>
      <c r="AC64">
        <v>216524.5</v>
      </c>
      <c r="AD64">
        <v>216524.5</v>
      </c>
      <c r="AE64">
        <v>216774.1</v>
      </c>
      <c r="AF64">
        <v>216774</v>
      </c>
      <c r="AG64">
        <v>216998.5</v>
      </c>
      <c r="AH64">
        <v>217200.9</v>
      </c>
      <c r="AI64">
        <v>217383</v>
      </c>
      <c r="AJ64">
        <v>217382.8</v>
      </c>
      <c r="AK64">
        <v>217546.6</v>
      </c>
      <c r="AL64">
        <v>217546.6</v>
      </c>
      <c r="AM64">
        <v>217546.6</v>
      </c>
      <c r="AN64">
        <v>217546.6</v>
      </c>
      <c r="AO64">
        <v>217546.6</v>
      </c>
      <c r="AP64">
        <v>217546.6</v>
      </c>
      <c r="AQ64">
        <v>217546.5</v>
      </c>
      <c r="AR64">
        <v>217546.6</v>
      </c>
      <c r="AS64">
        <v>217546.6</v>
      </c>
      <c r="AT64">
        <v>217546.6</v>
      </c>
      <c r="AU64">
        <v>217546.8</v>
      </c>
    </row>
    <row r="65" spans="1:47" x14ac:dyDescent="0.25">
      <c r="A65" t="s">
        <v>78</v>
      </c>
      <c r="B65">
        <v>416</v>
      </c>
      <c r="C65">
        <v>419</v>
      </c>
      <c r="D65">
        <v>617</v>
      </c>
      <c r="E65">
        <v>565</v>
      </c>
      <c r="F65">
        <v>1322</v>
      </c>
      <c r="G65">
        <v>1535.14</v>
      </c>
      <c r="H65">
        <v>1393.8</v>
      </c>
      <c r="I65">
        <v>2278.06</v>
      </c>
      <c r="J65">
        <v>4717.8599999999997</v>
      </c>
      <c r="K65">
        <v>6124.31</v>
      </c>
      <c r="L65">
        <v>6421</v>
      </c>
      <c r="M65">
        <v>9781</v>
      </c>
      <c r="N65">
        <v>9905</v>
      </c>
      <c r="O65">
        <v>10640</v>
      </c>
      <c r="P65">
        <v>11097</v>
      </c>
      <c r="Q65">
        <v>10587.86</v>
      </c>
      <c r="R65">
        <v>10588.55</v>
      </c>
      <c r="S65">
        <v>10590.22</v>
      </c>
      <c r="T65">
        <v>10950.85</v>
      </c>
      <c r="U65">
        <v>13124.59</v>
      </c>
      <c r="V65">
        <v>13402.85</v>
      </c>
      <c r="W65">
        <v>13745.53</v>
      </c>
      <c r="X65">
        <v>14090.14</v>
      </c>
      <c r="Y65">
        <v>14435.59</v>
      </c>
      <c r="Z65">
        <v>14780.64</v>
      </c>
      <c r="AA65">
        <v>15175.99</v>
      </c>
      <c r="AB65">
        <v>15578.16</v>
      </c>
      <c r="AC65">
        <v>15987.86</v>
      </c>
      <c r="AD65">
        <v>16407.009999999998</v>
      </c>
      <c r="AE65">
        <v>16835.11</v>
      </c>
      <c r="AF65">
        <v>17319.310000000001</v>
      </c>
      <c r="AG65">
        <v>17804.98</v>
      </c>
      <c r="AH65">
        <v>18303.8</v>
      </c>
      <c r="AI65">
        <v>18843.77</v>
      </c>
      <c r="AJ65">
        <v>19418.400000000001</v>
      </c>
      <c r="AK65">
        <v>20219.37</v>
      </c>
      <c r="AL65">
        <v>21165.37</v>
      </c>
      <c r="AM65">
        <v>22210.97</v>
      </c>
      <c r="AN65">
        <v>23321.97</v>
      </c>
      <c r="AO65">
        <v>24396.639999999999</v>
      </c>
      <c r="AP65">
        <v>25410.54</v>
      </c>
      <c r="AQ65">
        <v>26346.15</v>
      </c>
      <c r="AR65">
        <v>27153.79</v>
      </c>
      <c r="AS65">
        <v>27901.61</v>
      </c>
      <c r="AT65">
        <v>28625.62</v>
      </c>
      <c r="AU65">
        <v>29345.68</v>
      </c>
    </row>
    <row r="66" spans="1:47" x14ac:dyDescent="0.25">
      <c r="A66" t="s">
        <v>79</v>
      </c>
      <c r="B66">
        <v>646</v>
      </c>
      <c r="C66">
        <v>646</v>
      </c>
      <c r="D66">
        <v>646</v>
      </c>
      <c r="E66">
        <v>439</v>
      </c>
      <c r="F66">
        <v>550</v>
      </c>
      <c r="G66">
        <v>843.91</v>
      </c>
      <c r="H66">
        <v>1088.82</v>
      </c>
      <c r="I66">
        <v>1232.8499999999999</v>
      </c>
      <c r="J66">
        <v>1613.84</v>
      </c>
      <c r="K66">
        <v>943.52</v>
      </c>
      <c r="L66">
        <v>925.31</v>
      </c>
      <c r="M66">
        <v>1348.41</v>
      </c>
      <c r="N66">
        <v>1705.73</v>
      </c>
      <c r="O66">
        <v>1627.51</v>
      </c>
      <c r="P66">
        <v>1511.07</v>
      </c>
      <c r="Q66">
        <v>1162.75</v>
      </c>
      <c r="R66">
        <v>1243.71</v>
      </c>
      <c r="S66">
        <v>1243.7</v>
      </c>
      <c r="T66">
        <v>1243.67</v>
      </c>
      <c r="U66">
        <v>1286.71</v>
      </c>
      <c r="V66">
        <v>1329.18</v>
      </c>
      <c r="W66">
        <v>1329</v>
      </c>
      <c r="X66">
        <v>1328.96</v>
      </c>
      <c r="Y66">
        <v>1328.92</v>
      </c>
      <c r="Z66">
        <v>1328.87</v>
      </c>
      <c r="AA66">
        <v>1328.81</v>
      </c>
      <c r="AB66">
        <v>1328.75</v>
      </c>
      <c r="AC66">
        <v>1328.72</v>
      </c>
      <c r="AD66">
        <v>1328.67</v>
      </c>
      <c r="AE66">
        <v>1328.6</v>
      </c>
      <c r="AF66">
        <v>1328.49</v>
      </c>
      <c r="AG66">
        <v>1369.34</v>
      </c>
      <c r="AH66">
        <v>1409.91</v>
      </c>
      <c r="AI66">
        <v>1449.5</v>
      </c>
      <c r="AJ66">
        <v>1489.65</v>
      </c>
      <c r="AK66">
        <v>1528.81</v>
      </c>
      <c r="AL66">
        <v>1528.49</v>
      </c>
      <c r="AM66">
        <v>1528.14</v>
      </c>
      <c r="AN66">
        <v>1527.73</v>
      </c>
      <c r="AO66">
        <v>1527.27</v>
      </c>
      <c r="AP66">
        <v>1526.7</v>
      </c>
      <c r="AQ66">
        <v>1562.61</v>
      </c>
      <c r="AR66">
        <v>1561.77</v>
      </c>
      <c r="AS66">
        <v>1560.77</v>
      </c>
      <c r="AT66">
        <v>1559.51</v>
      </c>
      <c r="AU66">
        <v>1557.93</v>
      </c>
    </row>
    <row r="67" spans="1:47" x14ac:dyDescent="0.25">
      <c r="A67" t="s">
        <v>80</v>
      </c>
      <c r="B67">
        <v>0</v>
      </c>
      <c r="C67">
        <v>0</v>
      </c>
      <c r="D67">
        <v>0</v>
      </c>
      <c r="E67">
        <v>0</v>
      </c>
      <c r="F67">
        <v>0</v>
      </c>
      <c r="G67">
        <v>0</v>
      </c>
      <c r="H67">
        <v>0</v>
      </c>
      <c r="I67">
        <v>0</v>
      </c>
      <c r="J67">
        <v>0</v>
      </c>
      <c r="K67">
        <v>0</v>
      </c>
      <c r="L67">
        <v>1</v>
      </c>
      <c r="M67">
        <v>1</v>
      </c>
      <c r="N67">
        <v>1</v>
      </c>
      <c r="O67">
        <v>1</v>
      </c>
      <c r="P67">
        <v>1</v>
      </c>
      <c r="Q67">
        <v>0.26</v>
      </c>
      <c r="R67">
        <v>0.95</v>
      </c>
      <c r="S67">
        <v>188.22</v>
      </c>
      <c r="T67">
        <v>372.99</v>
      </c>
      <c r="U67">
        <v>612.9</v>
      </c>
      <c r="V67">
        <v>730.36</v>
      </c>
      <c r="W67">
        <v>909.67</v>
      </c>
      <c r="X67">
        <v>1089.5</v>
      </c>
      <c r="Y67">
        <v>1269.24</v>
      </c>
      <c r="Z67">
        <v>1446.04</v>
      </c>
      <c r="AA67">
        <v>1625.64</v>
      </c>
      <c r="AB67">
        <v>1807.78</v>
      </c>
      <c r="AC67">
        <v>1991.71</v>
      </c>
      <c r="AD67">
        <v>2185.6799999999998</v>
      </c>
      <c r="AE67">
        <v>2381.35</v>
      </c>
      <c r="AF67">
        <v>2628.27</v>
      </c>
      <c r="AG67">
        <v>2872.66</v>
      </c>
      <c r="AH67">
        <v>3137.85</v>
      </c>
      <c r="AI67">
        <v>3430.51</v>
      </c>
      <c r="AJ67">
        <v>3797.85</v>
      </c>
      <c r="AK67">
        <v>4217.3599999999997</v>
      </c>
      <c r="AL67">
        <v>4766.13</v>
      </c>
      <c r="AM67">
        <v>5402.34</v>
      </c>
      <c r="AN67">
        <v>6095.36</v>
      </c>
      <c r="AO67">
        <v>6748.21</v>
      </c>
      <c r="AP67">
        <v>7350.14</v>
      </c>
      <c r="AQ67">
        <v>7873.87</v>
      </c>
      <c r="AR67">
        <v>8274.48</v>
      </c>
      <c r="AS67">
        <v>8614.82</v>
      </c>
      <c r="AT67">
        <v>8928.85</v>
      </c>
      <c r="AU67">
        <v>9235.25</v>
      </c>
    </row>
    <row r="68" spans="1:47" x14ac:dyDescent="0.25">
      <c r="A68" t="s">
        <v>81</v>
      </c>
      <c r="B68">
        <v>4321.58</v>
      </c>
      <c r="C68">
        <v>4321.58</v>
      </c>
      <c r="D68">
        <v>4321.58</v>
      </c>
      <c r="E68">
        <v>3624.23</v>
      </c>
      <c r="F68">
        <v>3596.28</v>
      </c>
      <c r="G68">
        <v>3551.59</v>
      </c>
      <c r="H68">
        <v>3525.22</v>
      </c>
      <c r="I68">
        <v>4212.62</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v>0</v>
      </c>
      <c r="AO68">
        <v>0</v>
      </c>
      <c r="AP68">
        <v>0</v>
      </c>
      <c r="AQ68">
        <v>0</v>
      </c>
      <c r="AR68">
        <v>0</v>
      </c>
      <c r="AS68">
        <v>0</v>
      </c>
      <c r="AT68">
        <v>0</v>
      </c>
      <c r="AU68">
        <v>0</v>
      </c>
    </row>
    <row r="69" spans="1:47" x14ac:dyDescent="0.25">
      <c r="A69" t="s">
        <v>82</v>
      </c>
      <c r="B69">
        <v>0</v>
      </c>
      <c r="C69">
        <v>0</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row>
    <row r="70" spans="1:47" x14ac:dyDescent="0.25">
      <c r="A70" t="s">
        <v>83</v>
      </c>
      <c r="B70">
        <v>269</v>
      </c>
      <c r="C70">
        <v>1326</v>
      </c>
      <c r="D70">
        <v>3945</v>
      </c>
      <c r="E70">
        <v>228</v>
      </c>
      <c r="F70">
        <v>264</v>
      </c>
      <c r="G70">
        <v>222.4</v>
      </c>
      <c r="H70">
        <v>174.24</v>
      </c>
      <c r="I70">
        <v>185.01</v>
      </c>
      <c r="J70">
        <v>112.84</v>
      </c>
      <c r="K70">
        <v>156.54</v>
      </c>
      <c r="L70">
        <v>141.41</v>
      </c>
      <c r="M70">
        <v>164.89</v>
      </c>
      <c r="N70">
        <v>188.25</v>
      </c>
      <c r="O70">
        <v>169.76</v>
      </c>
      <c r="P70">
        <v>163.06</v>
      </c>
      <c r="Q70">
        <v>163.21</v>
      </c>
      <c r="R70">
        <v>153.13999999999999</v>
      </c>
      <c r="S70">
        <v>158.82</v>
      </c>
      <c r="T70">
        <v>159.80000000000001</v>
      </c>
      <c r="U70">
        <v>160.19</v>
      </c>
      <c r="V70">
        <v>160.55000000000001</v>
      </c>
      <c r="W70">
        <v>160.81</v>
      </c>
      <c r="X70">
        <v>161.49</v>
      </c>
      <c r="Y70">
        <v>162.25</v>
      </c>
      <c r="Z70">
        <v>163.29</v>
      </c>
      <c r="AA70">
        <v>164.42</v>
      </c>
      <c r="AB70">
        <v>164.75</v>
      </c>
      <c r="AC70">
        <v>164.46</v>
      </c>
      <c r="AD70">
        <v>164.35</v>
      </c>
      <c r="AE70">
        <v>164.47</v>
      </c>
      <c r="AF70">
        <v>165.41</v>
      </c>
      <c r="AG70">
        <v>165.8</v>
      </c>
      <c r="AH70">
        <v>166.73</v>
      </c>
      <c r="AI70">
        <v>167.37</v>
      </c>
      <c r="AJ70">
        <v>168.26</v>
      </c>
      <c r="AK70">
        <v>169.08</v>
      </c>
      <c r="AL70">
        <v>171.03</v>
      </c>
      <c r="AM70">
        <v>172.43</v>
      </c>
      <c r="AN70">
        <v>174.08</v>
      </c>
      <c r="AO70">
        <v>175.6</v>
      </c>
      <c r="AP70">
        <v>177.25</v>
      </c>
      <c r="AQ70">
        <v>179.03</v>
      </c>
      <c r="AR70">
        <v>180.84</v>
      </c>
      <c r="AS70">
        <v>182.64</v>
      </c>
      <c r="AT70">
        <v>184.57</v>
      </c>
      <c r="AU70">
        <v>186.63</v>
      </c>
    </row>
    <row r="71" spans="1:47" x14ac:dyDescent="0.25">
      <c r="A71" t="s">
        <v>84</v>
      </c>
      <c r="B71">
        <v>180.26</v>
      </c>
      <c r="C71">
        <v>366.03</v>
      </c>
      <c r="D71">
        <v>668.83</v>
      </c>
      <c r="E71">
        <v>532.89</v>
      </c>
      <c r="F71">
        <v>392.12</v>
      </c>
      <c r="G71">
        <v>585.88</v>
      </c>
      <c r="H71">
        <v>546.17999999999995</v>
      </c>
      <c r="I71">
        <v>518.65</v>
      </c>
      <c r="J71">
        <v>475.06</v>
      </c>
      <c r="K71">
        <v>496.68</v>
      </c>
      <c r="L71">
        <v>532.04</v>
      </c>
      <c r="M71">
        <v>660.06</v>
      </c>
      <c r="N71">
        <v>421.08</v>
      </c>
      <c r="O71">
        <v>593.07000000000005</v>
      </c>
      <c r="P71">
        <v>501.07</v>
      </c>
      <c r="Q71">
        <v>501.05</v>
      </c>
      <c r="R71">
        <v>501.03</v>
      </c>
      <c r="S71">
        <v>501.04</v>
      </c>
      <c r="T71">
        <v>501.07</v>
      </c>
      <c r="U71">
        <v>501.13</v>
      </c>
      <c r="V71">
        <v>501.23</v>
      </c>
      <c r="W71">
        <v>501.41</v>
      </c>
      <c r="X71">
        <v>501.45</v>
      </c>
      <c r="Y71">
        <v>501.49</v>
      </c>
      <c r="Z71">
        <v>501.54</v>
      </c>
      <c r="AA71">
        <v>501.6</v>
      </c>
      <c r="AB71">
        <v>501.66</v>
      </c>
      <c r="AC71">
        <v>501.69</v>
      </c>
      <c r="AD71">
        <v>501.74</v>
      </c>
      <c r="AE71">
        <v>501.81</v>
      </c>
      <c r="AF71">
        <v>393.94</v>
      </c>
      <c r="AG71">
        <v>394.08</v>
      </c>
      <c r="AH71">
        <v>394.25</v>
      </c>
      <c r="AI71">
        <v>394.43</v>
      </c>
      <c r="AJ71">
        <v>394.66</v>
      </c>
      <c r="AK71">
        <v>394.93</v>
      </c>
      <c r="AL71">
        <v>395.24</v>
      </c>
      <c r="AM71">
        <v>395.6</v>
      </c>
      <c r="AN71">
        <v>396.01</v>
      </c>
      <c r="AO71">
        <v>396.46</v>
      </c>
      <c r="AP71">
        <v>397.03</v>
      </c>
      <c r="AQ71">
        <v>397.74</v>
      </c>
      <c r="AR71">
        <v>398.58</v>
      </c>
      <c r="AS71">
        <v>399.58</v>
      </c>
      <c r="AT71">
        <v>400.84</v>
      </c>
      <c r="AU71">
        <v>402.43</v>
      </c>
    </row>
    <row r="73" spans="1:47" ht="18.75" x14ac:dyDescent="0.3">
      <c r="A73" s="35" t="s">
        <v>90</v>
      </c>
    </row>
    <row r="74" spans="1:47" x14ac:dyDescent="0.25">
      <c r="A74" t="s">
        <v>40</v>
      </c>
      <c r="B74" t="s">
        <v>41</v>
      </c>
      <c r="C74" t="s">
        <v>42</v>
      </c>
      <c r="D74" t="s">
        <v>43</v>
      </c>
      <c r="E74" t="s">
        <v>44</v>
      </c>
      <c r="F74" t="s">
        <v>45</v>
      </c>
      <c r="G74" t="s">
        <v>46</v>
      </c>
      <c r="H74" t="s">
        <v>47</v>
      </c>
      <c r="I74" t="s">
        <v>48</v>
      </c>
      <c r="J74" t="s">
        <v>49</v>
      </c>
      <c r="K74" t="s">
        <v>50</v>
      </c>
      <c r="L74" t="s">
        <v>51</v>
      </c>
      <c r="M74" t="s">
        <v>52</v>
      </c>
      <c r="N74" t="s">
        <v>53</v>
      </c>
      <c r="O74" t="s">
        <v>54</v>
      </c>
      <c r="P74" t="s">
        <v>55</v>
      </c>
      <c r="Q74" t="s">
        <v>56</v>
      </c>
      <c r="R74" t="s">
        <v>57</v>
      </c>
      <c r="S74" t="s">
        <v>58</v>
      </c>
      <c r="T74" t="s">
        <v>59</v>
      </c>
      <c r="U74" t="s">
        <v>60</v>
      </c>
      <c r="V74" t="s">
        <v>61</v>
      </c>
      <c r="W74" t="s">
        <v>62</v>
      </c>
      <c r="X74" t="s">
        <v>63</v>
      </c>
      <c r="Y74" t="s">
        <v>64</v>
      </c>
      <c r="Z74" t="s">
        <v>65</v>
      </c>
      <c r="AA74" t="s">
        <v>66</v>
      </c>
      <c r="AB74" t="s">
        <v>67</v>
      </c>
      <c r="AC74" t="s">
        <v>68</v>
      </c>
      <c r="AD74" t="s">
        <v>69</v>
      </c>
      <c r="AE74" t="s">
        <v>70</v>
      </c>
      <c r="AF74" t="s">
        <v>71</v>
      </c>
      <c r="AG74" t="s">
        <v>72</v>
      </c>
      <c r="AH74" t="s">
        <v>73</v>
      </c>
      <c r="AI74" t="s">
        <v>74</v>
      </c>
      <c r="AJ74" t="s">
        <v>75</v>
      </c>
      <c r="AK74" t="s">
        <v>76</v>
      </c>
      <c r="AL74" t="s">
        <v>332</v>
      </c>
      <c r="AM74" t="s">
        <v>333</v>
      </c>
      <c r="AN74" t="s">
        <v>334</v>
      </c>
      <c r="AO74" t="s">
        <v>335</v>
      </c>
      <c r="AP74" t="s">
        <v>336</v>
      </c>
      <c r="AQ74" t="s">
        <v>337</v>
      </c>
      <c r="AR74" t="s">
        <v>338</v>
      </c>
      <c r="AS74" t="s">
        <v>339</v>
      </c>
      <c r="AT74" t="s">
        <v>340</v>
      </c>
      <c r="AU74" t="s">
        <v>341</v>
      </c>
    </row>
    <row r="75" spans="1:47" x14ac:dyDescent="0.25">
      <c r="A75" t="s">
        <v>77</v>
      </c>
      <c r="B75">
        <v>35480</v>
      </c>
      <c r="C75">
        <v>36031.99</v>
      </c>
      <c r="D75">
        <v>34315</v>
      </c>
      <c r="E75">
        <v>39614.99</v>
      </c>
      <c r="F75">
        <v>39685.01</v>
      </c>
      <c r="G75">
        <v>32555</v>
      </c>
      <c r="H75">
        <v>34907</v>
      </c>
      <c r="I75">
        <v>33887</v>
      </c>
      <c r="J75">
        <v>37936</v>
      </c>
      <c r="K75">
        <v>39199.480000000003</v>
      </c>
      <c r="L75">
        <v>35042.89</v>
      </c>
      <c r="M75">
        <v>36513</v>
      </c>
      <c r="N75">
        <v>40016.01</v>
      </c>
      <c r="O75">
        <v>38280.99</v>
      </c>
      <c r="P75">
        <v>36210.019999999997</v>
      </c>
      <c r="Q75">
        <v>40201.39</v>
      </c>
      <c r="R75">
        <v>40194.480000000003</v>
      </c>
      <c r="S75">
        <v>40229.9</v>
      </c>
      <c r="T75">
        <v>40230.120000000003</v>
      </c>
      <c r="U75">
        <v>40193.25</v>
      </c>
      <c r="V75">
        <v>40193.360000000001</v>
      </c>
      <c r="W75">
        <v>40262.199999999997</v>
      </c>
      <c r="X75">
        <v>40228.11</v>
      </c>
      <c r="Y75">
        <v>40230.239999999998</v>
      </c>
      <c r="Z75">
        <v>40262.21</v>
      </c>
      <c r="AA75">
        <v>40262.18</v>
      </c>
      <c r="AB75">
        <v>40863.480000000003</v>
      </c>
      <c r="AC75">
        <v>40863.46</v>
      </c>
      <c r="AD75">
        <v>40863.46</v>
      </c>
      <c r="AE75">
        <v>41404.65</v>
      </c>
      <c r="AF75">
        <v>41404.67</v>
      </c>
      <c r="AG75">
        <v>41891.730000000003</v>
      </c>
      <c r="AH75">
        <v>41891.72</v>
      </c>
      <c r="AI75">
        <v>41891.699999999997</v>
      </c>
      <c r="AJ75">
        <v>41891.71</v>
      </c>
      <c r="AK75">
        <v>41891.71</v>
      </c>
      <c r="AL75">
        <v>42330.06</v>
      </c>
      <c r="AM75">
        <v>42724.61</v>
      </c>
      <c r="AN75">
        <v>42724.61</v>
      </c>
      <c r="AO75">
        <v>42724.59</v>
      </c>
      <c r="AP75">
        <v>42724.62</v>
      </c>
      <c r="AQ75">
        <v>42724.6</v>
      </c>
      <c r="AR75">
        <v>42724.61</v>
      </c>
      <c r="AS75">
        <v>42724.62</v>
      </c>
      <c r="AT75">
        <v>42724.63</v>
      </c>
      <c r="AU75">
        <v>42724.63</v>
      </c>
    </row>
    <row r="76" spans="1:47" x14ac:dyDescent="0.25">
      <c r="A76" t="s">
        <v>78</v>
      </c>
      <c r="B76">
        <v>26</v>
      </c>
      <c r="C76">
        <v>145</v>
      </c>
      <c r="D76">
        <v>494</v>
      </c>
      <c r="E76">
        <v>1400</v>
      </c>
      <c r="F76">
        <v>2300</v>
      </c>
      <c r="G76">
        <v>2800</v>
      </c>
      <c r="H76">
        <v>3900</v>
      </c>
      <c r="I76">
        <v>4600</v>
      </c>
      <c r="J76">
        <v>5200</v>
      </c>
      <c r="K76">
        <v>6900.64</v>
      </c>
      <c r="L76">
        <v>11396</v>
      </c>
      <c r="M76">
        <v>10758</v>
      </c>
      <c r="N76">
        <v>10464</v>
      </c>
      <c r="O76">
        <v>11922.01</v>
      </c>
      <c r="P76">
        <v>10957</v>
      </c>
      <c r="Q76">
        <v>14436.84</v>
      </c>
      <c r="R76">
        <v>15840.41</v>
      </c>
      <c r="S76">
        <v>15845.88</v>
      </c>
      <c r="T76">
        <v>15851.45</v>
      </c>
      <c r="U76">
        <v>15857.69</v>
      </c>
      <c r="V76">
        <v>15864.13</v>
      </c>
      <c r="W76">
        <v>15873.41</v>
      </c>
      <c r="X76">
        <v>15883.12</v>
      </c>
      <c r="Y76">
        <v>15893.64</v>
      </c>
      <c r="Z76">
        <v>15906.04</v>
      </c>
      <c r="AA76">
        <v>20454.37</v>
      </c>
      <c r="AB76">
        <v>23480.44</v>
      </c>
      <c r="AC76">
        <v>26519.73</v>
      </c>
      <c r="AD76">
        <v>27144.23</v>
      </c>
      <c r="AE76">
        <v>27777.52</v>
      </c>
      <c r="AF76">
        <v>28650.55</v>
      </c>
      <c r="AG76">
        <v>29519.65</v>
      </c>
      <c r="AH76">
        <v>30468.080000000002</v>
      </c>
      <c r="AI76">
        <v>34029.57</v>
      </c>
      <c r="AJ76">
        <v>35345.519999999997</v>
      </c>
      <c r="AK76">
        <v>39642.559999999998</v>
      </c>
      <c r="AL76">
        <v>42406.09</v>
      </c>
      <c r="AM76">
        <v>48126.720000000001</v>
      </c>
      <c r="AN76">
        <v>51957.77</v>
      </c>
      <c r="AO76">
        <v>57907.68</v>
      </c>
      <c r="AP76">
        <v>61081.599999999999</v>
      </c>
      <c r="AQ76">
        <v>66113.36</v>
      </c>
      <c r="AR76">
        <v>67863.91</v>
      </c>
      <c r="AS76">
        <v>71512.89</v>
      </c>
      <c r="AT76">
        <v>72496.14</v>
      </c>
      <c r="AU76">
        <v>73400.41</v>
      </c>
    </row>
    <row r="77" spans="1:47" x14ac:dyDescent="0.25">
      <c r="A77" t="s">
        <v>79</v>
      </c>
      <c r="B77">
        <v>807.53</v>
      </c>
      <c r="C77">
        <v>733.51</v>
      </c>
      <c r="D77">
        <v>598.95000000000005</v>
      </c>
      <c r="E77">
        <v>484.04</v>
      </c>
      <c r="F77">
        <v>657.05</v>
      </c>
      <c r="G77">
        <v>735.1</v>
      </c>
      <c r="H77">
        <v>607.89</v>
      </c>
      <c r="I77">
        <v>672.86</v>
      </c>
      <c r="J77">
        <v>586.34</v>
      </c>
      <c r="K77">
        <v>905.14</v>
      </c>
      <c r="L77">
        <v>937.11</v>
      </c>
      <c r="M77">
        <v>1444.15</v>
      </c>
      <c r="N77">
        <v>962.05</v>
      </c>
      <c r="O77">
        <v>1310.77</v>
      </c>
      <c r="P77">
        <v>1249.3900000000001</v>
      </c>
      <c r="Q77">
        <v>756.17</v>
      </c>
      <c r="R77">
        <v>767.62</v>
      </c>
      <c r="S77">
        <v>773.88</v>
      </c>
      <c r="T77">
        <v>772.61</v>
      </c>
      <c r="U77">
        <v>759.22</v>
      </c>
      <c r="V77">
        <v>758.82</v>
      </c>
      <c r="W77">
        <v>784.37</v>
      </c>
      <c r="X77">
        <v>770.68</v>
      </c>
      <c r="Y77">
        <v>769.88</v>
      </c>
      <c r="Z77">
        <v>781.76</v>
      </c>
      <c r="AA77">
        <v>780.58</v>
      </c>
      <c r="AB77">
        <v>780.41</v>
      </c>
      <c r="AC77">
        <v>767.81</v>
      </c>
      <c r="AD77">
        <v>780.87</v>
      </c>
      <c r="AE77">
        <v>754.83</v>
      </c>
      <c r="AF77">
        <v>754.27</v>
      </c>
      <c r="AG77">
        <v>779.3</v>
      </c>
      <c r="AH77">
        <v>765.67</v>
      </c>
      <c r="AI77">
        <v>765.03</v>
      </c>
      <c r="AJ77">
        <v>764.29</v>
      </c>
      <c r="AK77">
        <v>750.62</v>
      </c>
      <c r="AL77">
        <v>754.81</v>
      </c>
      <c r="AM77">
        <v>784.72</v>
      </c>
      <c r="AN77">
        <v>783.36</v>
      </c>
      <c r="AO77">
        <v>782.12</v>
      </c>
      <c r="AP77">
        <v>782.76</v>
      </c>
      <c r="AQ77">
        <v>787.71</v>
      </c>
      <c r="AR77">
        <v>786.25</v>
      </c>
      <c r="AS77">
        <v>784.8</v>
      </c>
      <c r="AT77">
        <v>783.24</v>
      </c>
      <c r="AU77">
        <v>783.61</v>
      </c>
    </row>
    <row r="78" spans="1:47" x14ac:dyDescent="0.25">
      <c r="A78" t="s">
        <v>80</v>
      </c>
      <c r="B78">
        <v>0</v>
      </c>
      <c r="C78">
        <v>0</v>
      </c>
      <c r="D78">
        <v>0</v>
      </c>
      <c r="E78">
        <v>0</v>
      </c>
      <c r="F78">
        <v>5</v>
      </c>
      <c r="G78">
        <v>123</v>
      </c>
      <c r="H78">
        <v>398</v>
      </c>
      <c r="I78">
        <v>842</v>
      </c>
      <c r="J78">
        <v>1173</v>
      </c>
      <c r="K78">
        <v>1757.71</v>
      </c>
      <c r="L78">
        <v>1425</v>
      </c>
      <c r="M78">
        <v>1776</v>
      </c>
      <c r="N78">
        <v>1998</v>
      </c>
      <c r="O78">
        <v>2163</v>
      </c>
      <c r="P78">
        <v>2168</v>
      </c>
      <c r="Q78">
        <v>2168</v>
      </c>
      <c r="R78">
        <v>2169.9699999999998</v>
      </c>
      <c r="S78">
        <v>2174.56</v>
      </c>
      <c r="T78">
        <v>2179.17</v>
      </c>
      <c r="U78">
        <v>2184.7800000000002</v>
      </c>
      <c r="V78">
        <v>2189.98</v>
      </c>
      <c r="W78">
        <v>2196.85</v>
      </c>
      <c r="X78">
        <v>2204.6799999999998</v>
      </c>
      <c r="Y78">
        <v>2213.5500000000002</v>
      </c>
      <c r="Z78">
        <v>2548.61</v>
      </c>
      <c r="AA78">
        <v>3038.16</v>
      </c>
      <c r="AB78">
        <v>3198.15</v>
      </c>
      <c r="AC78">
        <v>3699.65</v>
      </c>
      <c r="AD78">
        <v>4069.13</v>
      </c>
      <c r="AE78">
        <v>4459.7299999999996</v>
      </c>
      <c r="AF78">
        <v>5072.47</v>
      </c>
      <c r="AG78">
        <v>5675.31</v>
      </c>
      <c r="AH78">
        <v>6347.37</v>
      </c>
      <c r="AI78">
        <v>7330.43</v>
      </c>
      <c r="AJ78">
        <v>8323.26</v>
      </c>
      <c r="AK78">
        <v>9958.99</v>
      </c>
      <c r="AL78">
        <v>12186.32</v>
      </c>
      <c r="AM78">
        <v>15133.07</v>
      </c>
      <c r="AN78">
        <v>18326.669999999998</v>
      </c>
      <c r="AO78">
        <v>21566.41</v>
      </c>
      <c r="AP78">
        <v>24227.89</v>
      </c>
      <c r="AQ78">
        <v>26587.89</v>
      </c>
      <c r="AR78">
        <v>27950.43</v>
      </c>
      <c r="AS78">
        <v>29111.9</v>
      </c>
      <c r="AT78">
        <v>29805.31</v>
      </c>
      <c r="AU78">
        <v>30297.55</v>
      </c>
    </row>
    <row r="79" spans="1:47" x14ac:dyDescent="0.25">
      <c r="A79" t="s">
        <v>81</v>
      </c>
      <c r="B79">
        <v>77969</v>
      </c>
      <c r="C79">
        <v>83457</v>
      </c>
      <c r="D79">
        <v>79750</v>
      </c>
      <c r="E79">
        <v>85832</v>
      </c>
      <c r="F79">
        <v>81395.98</v>
      </c>
      <c r="G79">
        <v>81975</v>
      </c>
      <c r="H79">
        <v>84766</v>
      </c>
      <c r="I79">
        <v>84866</v>
      </c>
      <c r="J79">
        <v>93102.99</v>
      </c>
      <c r="K79">
        <v>96195.59</v>
      </c>
      <c r="L79">
        <v>91768.98</v>
      </c>
      <c r="M79">
        <v>91142.01</v>
      </c>
      <c r="N79">
        <v>90445</v>
      </c>
      <c r="O79">
        <v>90155.01</v>
      </c>
      <c r="P79">
        <v>90454</v>
      </c>
      <c r="Q79">
        <v>78513.960000000006</v>
      </c>
      <c r="R79">
        <v>73695.8</v>
      </c>
      <c r="S79">
        <v>76110.52</v>
      </c>
      <c r="T79">
        <v>64975.64</v>
      </c>
      <c r="U79">
        <v>75346.559999999998</v>
      </c>
      <c r="V79">
        <v>68445.5</v>
      </c>
      <c r="W79">
        <v>63105.11</v>
      </c>
      <c r="X79">
        <v>69400.34</v>
      </c>
      <c r="Y79">
        <v>75838.45</v>
      </c>
      <c r="Z79">
        <v>70893.45</v>
      </c>
      <c r="AA79">
        <v>77736.77</v>
      </c>
      <c r="AB79">
        <v>71040.09</v>
      </c>
      <c r="AC79">
        <v>77883.41</v>
      </c>
      <c r="AD79">
        <v>77924.14</v>
      </c>
      <c r="AE79">
        <v>84767.45</v>
      </c>
      <c r="AF79">
        <v>86590.41</v>
      </c>
      <c r="AG79">
        <v>86590.41</v>
      </c>
      <c r="AH79">
        <v>86632.02</v>
      </c>
      <c r="AI79">
        <v>86632.02</v>
      </c>
      <c r="AJ79">
        <v>86715.24</v>
      </c>
      <c r="AK79">
        <v>86881.68</v>
      </c>
      <c r="AL79">
        <v>87048.12</v>
      </c>
      <c r="AM79">
        <v>87214.55</v>
      </c>
      <c r="AN79">
        <v>87381</v>
      </c>
      <c r="AO79">
        <v>87589.05</v>
      </c>
      <c r="AP79">
        <v>87797.09</v>
      </c>
      <c r="AQ79">
        <v>88213.2</v>
      </c>
      <c r="AR79">
        <v>89045.4</v>
      </c>
      <c r="AS79">
        <v>89877.59</v>
      </c>
      <c r="AT79">
        <v>90709.79</v>
      </c>
      <c r="AU79">
        <v>90709.79</v>
      </c>
    </row>
    <row r="80" spans="1:47" x14ac:dyDescent="0.25">
      <c r="A80" t="s">
        <v>82</v>
      </c>
      <c r="B80">
        <v>28734.080000000002</v>
      </c>
      <c r="C80">
        <v>23808.080000000002</v>
      </c>
      <c r="D80">
        <v>27468.720000000001</v>
      </c>
      <c r="E80">
        <v>22638.21</v>
      </c>
      <c r="F80">
        <v>10461.15</v>
      </c>
      <c r="G80">
        <v>10336.620000000001</v>
      </c>
      <c r="H80">
        <v>4329.34</v>
      </c>
      <c r="I80">
        <v>3596.74</v>
      </c>
      <c r="J80">
        <v>2742.24</v>
      </c>
      <c r="K80">
        <v>94.81</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v>0</v>
      </c>
      <c r="AO80">
        <v>0</v>
      </c>
      <c r="AP80">
        <v>0</v>
      </c>
      <c r="AQ80">
        <v>0</v>
      </c>
      <c r="AR80">
        <v>0</v>
      </c>
      <c r="AS80">
        <v>0</v>
      </c>
      <c r="AT80">
        <v>0</v>
      </c>
      <c r="AU80">
        <v>0</v>
      </c>
    </row>
    <row r="81" spans="1:47" x14ac:dyDescent="0.25">
      <c r="A81" t="s">
        <v>83</v>
      </c>
      <c r="B81">
        <v>13282.59</v>
      </c>
      <c r="C81">
        <v>11807.7</v>
      </c>
      <c r="D81">
        <v>13530.81</v>
      </c>
      <c r="E81">
        <v>11214.3</v>
      </c>
      <c r="F81">
        <v>7490.9</v>
      </c>
      <c r="G81">
        <v>16885.54</v>
      </c>
      <c r="H81">
        <v>24281.59</v>
      </c>
      <c r="I81">
        <v>23380.22</v>
      </c>
      <c r="J81">
        <v>18653.16</v>
      </c>
      <c r="K81">
        <v>15720.97</v>
      </c>
      <c r="L81">
        <v>16218.48</v>
      </c>
      <c r="M81">
        <v>14862.2</v>
      </c>
      <c r="N81">
        <v>8378.6200000000008</v>
      </c>
      <c r="O81">
        <v>11831.22</v>
      </c>
      <c r="P81">
        <v>11504.17</v>
      </c>
      <c r="Q81">
        <v>9751.43</v>
      </c>
      <c r="R81">
        <v>12661.08</v>
      </c>
      <c r="S81">
        <v>16084.9</v>
      </c>
      <c r="T81">
        <v>19884.34</v>
      </c>
      <c r="U81">
        <v>13823.89</v>
      </c>
      <c r="V81">
        <v>17526.53</v>
      </c>
      <c r="W81">
        <v>23150.5</v>
      </c>
      <c r="X81">
        <v>20545.72</v>
      </c>
      <c r="Y81">
        <v>19372.939999999999</v>
      </c>
      <c r="Z81">
        <v>25389.35</v>
      </c>
      <c r="AA81">
        <v>21398.93</v>
      </c>
      <c r="AB81">
        <v>26543.49</v>
      </c>
      <c r="AC81">
        <v>20464.93</v>
      </c>
      <c r="AD81">
        <v>20015.419999999998</v>
      </c>
      <c r="AE81">
        <v>16768.240000000002</v>
      </c>
      <c r="AF81">
        <v>16155.25</v>
      </c>
      <c r="AG81">
        <v>5265.33</v>
      </c>
      <c r="AH81">
        <v>4989.55</v>
      </c>
      <c r="AI81">
        <v>4046.97</v>
      </c>
      <c r="AJ81">
        <v>4037.94</v>
      </c>
      <c r="AK81">
        <v>3694.78</v>
      </c>
      <c r="AL81">
        <v>3993.06</v>
      </c>
      <c r="AM81">
        <v>4469.17</v>
      </c>
      <c r="AN81">
        <v>4732.95</v>
      </c>
      <c r="AO81">
        <v>4432.57</v>
      </c>
      <c r="AP81">
        <v>4596.84</v>
      </c>
      <c r="AQ81">
        <v>4613.88</v>
      </c>
      <c r="AR81">
        <v>4757.4399999999996</v>
      </c>
      <c r="AS81">
        <v>4601.67</v>
      </c>
      <c r="AT81">
        <v>4709.57</v>
      </c>
      <c r="AU81">
        <v>4852.41</v>
      </c>
    </row>
    <row r="82" spans="1:47" x14ac:dyDescent="0.25">
      <c r="A82" t="s">
        <v>84</v>
      </c>
      <c r="B82">
        <v>309.95</v>
      </c>
      <c r="C82">
        <v>309.95</v>
      </c>
      <c r="D82">
        <v>309.95</v>
      </c>
      <c r="E82">
        <v>182.56</v>
      </c>
      <c r="F82">
        <v>215.24</v>
      </c>
      <c r="G82">
        <v>73.47</v>
      </c>
      <c r="H82">
        <v>45.67</v>
      </c>
      <c r="I82">
        <v>65.78</v>
      </c>
      <c r="J82">
        <v>45.15</v>
      </c>
      <c r="K82">
        <v>381.13</v>
      </c>
      <c r="L82">
        <v>657.48</v>
      </c>
      <c r="M82">
        <v>544.26</v>
      </c>
      <c r="N82">
        <v>377.97</v>
      </c>
      <c r="O82">
        <v>459.69</v>
      </c>
      <c r="P82">
        <v>409.18</v>
      </c>
      <c r="Q82">
        <v>15.38</v>
      </c>
      <c r="R82">
        <v>156.56</v>
      </c>
      <c r="S82">
        <v>132.34</v>
      </c>
      <c r="T82">
        <v>539.23</v>
      </c>
      <c r="U82">
        <v>84.08</v>
      </c>
      <c r="V82">
        <v>1000.86</v>
      </c>
      <c r="W82">
        <v>3605.96</v>
      </c>
      <c r="X82">
        <v>2234.2800000000002</v>
      </c>
      <c r="Y82">
        <v>1372.22</v>
      </c>
      <c r="Z82">
        <v>3631.94</v>
      </c>
      <c r="AA82">
        <v>875.73</v>
      </c>
      <c r="AB82">
        <v>4113.8500000000004</v>
      </c>
      <c r="AC82">
        <v>1998.32</v>
      </c>
      <c r="AD82">
        <v>2758.81</v>
      </c>
      <c r="AE82">
        <v>1821.14</v>
      </c>
      <c r="AF82">
        <v>1456.37</v>
      </c>
      <c r="AG82">
        <v>4175.8500000000004</v>
      </c>
      <c r="AH82">
        <v>4212.34</v>
      </c>
      <c r="AI82">
        <v>3408.68</v>
      </c>
      <c r="AJ82">
        <v>3589.03</v>
      </c>
      <c r="AK82">
        <v>3003.27</v>
      </c>
      <c r="AL82">
        <v>4115.29</v>
      </c>
      <c r="AM82">
        <v>2659.02</v>
      </c>
      <c r="AN82">
        <v>3427.68</v>
      </c>
      <c r="AO82">
        <v>2475.3000000000002</v>
      </c>
      <c r="AP82">
        <v>3127.13</v>
      </c>
      <c r="AQ82">
        <v>2847.24</v>
      </c>
      <c r="AR82">
        <v>3271.8</v>
      </c>
      <c r="AS82">
        <v>2712.5</v>
      </c>
      <c r="AT82">
        <v>3184.36</v>
      </c>
      <c r="AU82">
        <v>4029.9</v>
      </c>
    </row>
    <row r="84" spans="1:47" ht="18.75" x14ac:dyDescent="0.3">
      <c r="A84" s="35" t="s">
        <v>91</v>
      </c>
    </row>
    <row r="85" spans="1:47" x14ac:dyDescent="0.25">
      <c r="A85" t="s">
        <v>40</v>
      </c>
      <c r="B85" t="s">
        <v>41</v>
      </c>
      <c r="C85" t="s">
        <v>42</v>
      </c>
      <c r="D85" t="s">
        <v>43</v>
      </c>
      <c r="E85" t="s">
        <v>44</v>
      </c>
      <c r="F85" t="s">
        <v>45</v>
      </c>
      <c r="G85" t="s">
        <v>46</v>
      </c>
      <c r="H85" t="s">
        <v>47</v>
      </c>
      <c r="I85" t="s">
        <v>48</v>
      </c>
      <c r="J85" t="s">
        <v>49</v>
      </c>
      <c r="K85" t="s">
        <v>50</v>
      </c>
      <c r="L85" t="s">
        <v>51</v>
      </c>
      <c r="M85" t="s">
        <v>52</v>
      </c>
      <c r="N85" t="s">
        <v>53</v>
      </c>
      <c r="O85" t="s">
        <v>54</v>
      </c>
      <c r="P85" t="s">
        <v>55</v>
      </c>
      <c r="Q85" t="s">
        <v>56</v>
      </c>
      <c r="R85" t="s">
        <v>57</v>
      </c>
      <c r="S85" t="s">
        <v>58</v>
      </c>
      <c r="T85" t="s">
        <v>59</v>
      </c>
      <c r="U85" t="s">
        <v>60</v>
      </c>
      <c r="V85" t="s">
        <v>61</v>
      </c>
      <c r="W85" t="s">
        <v>62</v>
      </c>
      <c r="X85" t="s">
        <v>63</v>
      </c>
      <c r="Y85" t="s">
        <v>64</v>
      </c>
      <c r="Z85" t="s">
        <v>65</v>
      </c>
      <c r="AA85" t="s">
        <v>66</v>
      </c>
      <c r="AB85" t="s">
        <v>67</v>
      </c>
      <c r="AC85" t="s">
        <v>68</v>
      </c>
      <c r="AD85" t="s">
        <v>69</v>
      </c>
      <c r="AE85" t="s">
        <v>70</v>
      </c>
      <c r="AF85" t="s">
        <v>71</v>
      </c>
      <c r="AG85" t="s">
        <v>72</v>
      </c>
      <c r="AH85" t="s">
        <v>73</v>
      </c>
      <c r="AI85" t="s">
        <v>74</v>
      </c>
      <c r="AJ85" t="s">
        <v>75</v>
      </c>
      <c r="AK85" t="s">
        <v>76</v>
      </c>
      <c r="AL85" t="s">
        <v>332</v>
      </c>
      <c r="AM85" t="s">
        <v>333</v>
      </c>
      <c r="AN85" t="s">
        <v>334</v>
      </c>
      <c r="AO85" t="s">
        <v>335</v>
      </c>
      <c r="AP85" t="s">
        <v>336</v>
      </c>
      <c r="AQ85" t="s">
        <v>337</v>
      </c>
      <c r="AR85" t="s">
        <v>338</v>
      </c>
      <c r="AS85" t="s">
        <v>339</v>
      </c>
      <c r="AT85" t="s">
        <v>340</v>
      </c>
      <c r="AU85" t="s">
        <v>341</v>
      </c>
    </row>
    <row r="86" spans="1:47" x14ac:dyDescent="0.25">
      <c r="A86" t="s">
        <v>77</v>
      </c>
      <c r="B86">
        <v>36440</v>
      </c>
      <c r="C86">
        <v>33651</v>
      </c>
      <c r="D86">
        <v>33513</v>
      </c>
      <c r="E86">
        <v>34588</v>
      </c>
      <c r="F86">
        <v>33549</v>
      </c>
      <c r="G86">
        <v>33269</v>
      </c>
      <c r="H86">
        <v>34206</v>
      </c>
      <c r="I86">
        <v>32185</v>
      </c>
      <c r="J86">
        <v>35337</v>
      </c>
      <c r="K86">
        <v>34494.879999999997</v>
      </c>
      <c r="L86">
        <v>34774</v>
      </c>
      <c r="M86">
        <v>36599</v>
      </c>
      <c r="N86">
        <v>35991</v>
      </c>
      <c r="O86">
        <v>30732</v>
      </c>
      <c r="P86">
        <v>32935</v>
      </c>
      <c r="Q86">
        <v>33738.22</v>
      </c>
      <c r="R86">
        <v>34368.94</v>
      </c>
      <c r="S86">
        <v>38153.279999999999</v>
      </c>
      <c r="T86">
        <v>38153.25</v>
      </c>
      <c r="U86">
        <v>38153.26</v>
      </c>
      <c r="V86">
        <v>38153.269999999997</v>
      </c>
      <c r="W86">
        <v>38153.230000000003</v>
      </c>
      <c r="X86">
        <v>38153.269999999997</v>
      </c>
      <c r="Y86">
        <v>38191.410000000003</v>
      </c>
      <c r="Z86">
        <v>38229.629999999997</v>
      </c>
      <c r="AA86">
        <v>38267.86</v>
      </c>
      <c r="AB86">
        <v>38306.089999999997</v>
      </c>
      <c r="AC86">
        <v>38344.42</v>
      </c>
      <c r="AD86">
        <v>38382.78</v>
      </c>
      <c r="AE86">
        <v>38421.120000000003</v>
      </c>
      <c r="AF86">
        <v>38459.58</v>
      </c>
      <c r="AG86">
        <v>38498.03</v>
      </c>
      <c r="AH86">
        <v>38536.49</v>
      </c>
      <c r="AI86">
        <v>38575.08</v>
      </c>
      <c r="AJ86">
        <v>38613.64</v>
      </c>
      <c r="AK86">
        <v>38652.239999999998</v>
      </c>
      <c r="AL86">
        <v>38690.93</v>
      </c>
      <c r="AM86">
        <v>38729.61</v>
      </c>
      <c r="AN86">
        <v>38768.31</v>
      </c>
      <c r="AO86">
        <v>38807.06</v>
      </c>
      <c r="AP86">
        <v>38845.89</v>
      </c>
      <c r="AQ86">
        <v>38884.71</v>
      </c>
      <c r="AR86">
        <v>38923.599999999999</v>
      </c>
      <c r="AS86">
        <v>38962.550000000003</v>
      </c>
      <c r="AT86">
        <v>39001.5</v>
      </c>
      <c r="AU86">
        <v>39040.559999999998</v>
      </c>
    </row>
    <row r="87" spans="1:47" x14ac:dyDescent="0.25">
      <c r="A87" t="s">
        <v>78</v>
      </c>
      <c r="B87">
        <v>53</v>
      </c>
      <c r="C87">
        <v>325</v>
      </c>
      <c r="D87">
        <v>325</v>
      </c>
      <c r="E87">
        <v>412</v>
      </c>
      <c r="F87">
        <v>365</v>
      </c>
      <c r="G87">
        <v>343</v>
      </c>
      <c r="H87">
        <v>747</v>
      </c>
      <c r="I87">
        <v>877</v>
      </c>
      <c r="J87">
        <v>868</v>
      </c>
      <c r="K87">
        <v>911.32</v>
      </c>
      <c r="L87">
        <v>903</v>
      </c>
      <c r="M87">
        <v>966</v>
      </c>
      <c r="N87">
        <v>927</v>
      </c>
      <c r="O87">
        <v>873</v>
      </c>
      <c r="P87">
        <v>884</v>
      </c>
      <c r="Q87">
        <v>884</v>
      </c>
      <c r="R87">
        <v>885</v>
      </c>
      <c r="S87">
        <v>887.31</v>
      </c>
      <c r="T87">
        <v>889.64</v>
      </c>
      <c r="U87">
        <v>1008.18</v>
      </c>
      <c r="V87">
        <v>1124.3499999999999</v>
      </c>
      <c r="W87">
        <v>1245.17</v>
      </c>
      <c r="X87">
        <v>1369.69</v>
      </c>
      <c r="Y87">
        <v>1497.67</v>
      </c>
      <c r="Z87">
        <v>1628.83</v>
      </c>
      <c r="AA87">
        <v>1770.91</v>
      </c>
      <c r="AB87">
        <v>1916.32</v>
      </c>
      <c r="AC87">
        <v>2065.79</v>
      </c>
      <c r="AD87">
        <v>2223.11</v>
      </c>
      <c r="AE87">
        <v>2384.0300000000002</v>
      </c>
      <c r="AF87">
        <v>2552.8000000000002</v>
      </c>
      <c r="AG87">
        <v>2727.04</v>
      </c>
      <c r="AH87">
        <v>2908.15</v>
      </c>
      <c r="AI87">
        <v>3100.09</v>
      </c>
      <c r="AJ87">
        <v>3309.26</v>
      </c>
      <c r="AK87">
        <v>3548.76</v>
      </c>
      <c r="AL87">
        <v>3835.53</v>
      </c>
      <c r="AM87">
        <v>4146.99</v>
      </c>
      <c r="AN87">
        <v>4478.46</v>
      </c>
      <c r="AO87">
        <v>4795.55</v>
      </c>
      <c r="AP87">
        <v>5092.3500000000004</v>
      </c>
      <c r="AQ87">
        <v>5370.75</v>
      </c>
      <c r="AR87">
        <v>5619.18</v>
      </c>
      <c r="AS87">
        <v>5852.22</v>
      </c>
      <c r="AT87">
        <v>6080.23</v>
      </c>
      <c r="AU87">
        <v>6301.06</v>
      </c>
    </row>
    <row r="88" spans="1:47" x14ac:dyDescent="0.25">
      <c r="A88" t="s">
        <v>79</v>
      </c>
      <c r="B88">
        <v>27.33</v>
      </c>
      <c r="C88">
        <v>32</v>
      </c>
      <c r="D88">
        <v>27</v>
      </c>
      <c r="E88">
        <v>38</v>
      </c>
      <c r="F88">
        <v>0</v>
      </c>
      <c r="G88">
        <v>0</v>
      </c>
      <c r="H88">
        <v>0</v>
      </c>
      <c r="I88">
        <v>39</v>
      </c>
      <c r="J88">
        <v>42</v>
      </c>
      <c r="K88">
        <v>64.400000000000006</v>
      </c>
      <c r="L88">
        <v>82</v>
      </c>
      <c r="M88">
        <v>108</v>
      </c>
      <c r="N88">
        <v>56</v>
      </c>
      <c r="O88">
        <v>46</v>
      </c>
      <c r="P88">
        <v>82</v>
      </c>
      <c r="Q88">
        <v>82</v>
      </c>
      <c r="R88">
        <v>82</v>
      </c>
      <c r="S88">
        <v>82</v>
      </c>
      <c r="T88">
        <v>82</v>
      </c>
      <c r="U88">
        <v>82</v>
      </c>
      <c r="V88">
        <v>82</v>
      </c>
      <c r="W88">
        <v>82</v>
      </c>
      <c r="X88">
        <v>82</v>
      </c>
      <c r="Y88">
        <v>82</v>
      </c>
      <c r="Z88">
        <v>82</v>
      </c>
      <c r="AA88">
        <v>82</v>
      </c>
      <c r="AB88">
        <v>82</v>
      </c>
      <c r="AC88">
        <v>82</v>
      </c>
      <c r="AD88">
        <v>82</v>
      </c>
      <c r="AE88">
        <v>82</v>
      </c>
      <c r="AF88">
        <v>82</v>
      </c>
      <c r="AG88">
        <v>82</v>
      </c>
      <c r="AH88">
        <v>82</v>
      </c>
      <c r="AI88">
        <v>82</v>
      </c>
      <c r="AJ88">
        <v>82</v>
      </c>
      <c r="AK88">
        <v>82</v>
      </c>
      <c r="AL88">
        <v>82</v>
      </c>
      <c r="AM88">
        <v>82</v>
      </c>
      <c r="AN88">
        <v>82</v>
      </c>
      <c r="AO88">
        <v>82</v>
      </c>
      <c r="AP88">
        <v>82</v>
      </c>
      <c r="AQ88">
        <v>82</v>
      </c>
      <c r="AR88">
        <v>82</v>
      </c>
      <c r="AS88">
        <v>82</v>
      </c>
      <c r="AT88">
        <v>82</v>
      </c>
      <c r="AU88">
        <v>82</v>
      </c>
    </row>
    <row r="89" spans="1:47" x14ac:dyDescent="0.25">
      <c r="A89" t="s">
        <v>80</v>
      </c>
      <c r="B89">
        <v>0</v>
      </c>
      <c r="C89">
        <v>0</v>
      </c>
      <c r="D89">
        <v>0</v>
      </c>
      <c r="E89">
        <v>0</v>
      </c>
      <c r="F89">
        <v>0</v>
      </c>
      <c r="G89">
        <v>0</v>
      </c>
      <c r="H89">
        <v>0</v>
      </c>
      <c r="I89">
        <v>0</v>
      </c>
      <c r="J89">
        <v>0</v>
      </c>
      <c r="K89">
        <v>0</v>
      </c>
      <c r="L89">
        <v>0</v>
      </c>
      <c r="M89">
        <v>0</v>
      </c>
      <c r="N89">
        <v>0</v>
      </c>
      <c r="O89">
        <v>0</v>
      </c>
      <c r="P89">
        <v>0</v>
      </c>
      <c r="Q89">
        <v>5.26</v>
      </c>
      <c r="R89">
        <v>6.26</v>
      </c>
      <c r="S89">
        <v>8.26</v>
      </c>
      <c r="T89">
        <v>10.37</v>
      </c>
      <c r="U89">
        <v>70.16</v>
      </c>
      <c r="V89">
        <v>72.97</v>
      </c>
      <c r="W89">
        <v>76.02</v>
      </c>
      <c r="X89">
        <v>79.27</v>
      </c>
      <c r="Y89">
        <v>82.78</v>
      </c>
      <c r="Z89">
        <v>86.69</v>
      </c>
      <c r="AA89">
        <v>90.97</v>
      </c>
      <c r="AB89">
        <v>95.48</v>
      </c>
      <c r="AC89">
        <v>100.62</v>
      </c>
      <c r="AD89">
        <v>110.4</v>
      </c>
      <c r="AE89">
        <v>120.88</v>
      </c>
      <c r="AF89">
        <v>136.36000000000001</v>
      </c>
      <c r="AG89">
        <v>154.72999999999999</v>
      </c>
      <c r="AH89">
        <v>244.35</v>
      </c>
      <c r="AI89">
        <v>345.37</v>
      </c>
      <c r="AJ89">
        <v>463.64</v>
      </c>
      <c r="AK89">
        <v>609.78</v>
      </c>
      <c r="AL89">
        <v>798.98</v>
      </c>
      <c r="AM89">
        <v>1010.43</v>
      </c>
      <c r="AN89">
        <v>1240.03</v>
      </c>
      <c r="AO89">
        <v>1455.72</v>
      </c>
      <c r="AP89">
        <v>1651.96</v>
      </c>
      <c r="AQ89">
        <v>1830.27</v>
      </c>
      <c r="AR89">
        <v>1979.73</v>
      </c>
      <c r="AS89">
        <v>2113.79</v>
      </c>
      <c r="AT89">
        <v>2234.4299999999998</v>
      </c>
      <c r="AU89">
        <v>2353.86</v>
      </c>
    </row>
    <row r="90" spans="1:47" x14ac:dyDescent="0.25">
      <c r="A90" t="s">
        <v>81</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c r="AP90">
        <v>0</v>
      </c>
      <c r="AQ90">
        <v>0</v>
      </c>
      <c r="AR90">
        <v>0</v>
      </c>
      <c r="AS90">
        <v>0</v>
      </c>
      <c r="AT90">
        <v>0</v>
      </c>
      <c r="AU90">
        <v>0</v>
      </c>
    </row>
    <row r="91" spans="1:47" x14ac:dyDescent="0.25">
      <c r="A91" t="s">
        <v>82</v>
      </c>
      <c r="B91">
        <v>413.26</v>
      </c>
      <c r="C91">
        <v>316.98</v>
      </c>
      <c r="D91">
        <v>380.97</v>
      </c>
      <c r="E91">
        <v>380.18</v>
      </c>
      <c r="F91">
        <v>137.79</v>
      </c>
      <c r="G91">
        <v>43.57</v>
      </c>
      <c r="H91">
        <v>48.77</v>
      </c>
      <c r="I91">
        <v>50.54</v>
      </c>
      <c r="J91">
        <v>64.180000000000007</v>
      </c>
      <c r="K91">
        <v>67.62</v>
      </c>
      <c r="L91">
        <v>61.83</v>
      </c>
      <c r="M91">
        <v>27.48</v>
      </c>
      <c r="N91">
        <v>29.44</v>
      </c>
      <c r="O91">
        <v>4.91</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c r="AP91">
        <v>0</v>
      </c>
      <c r="AQ91">
        <v>0</v>
      </c>
      <c r="AR91">
        <v>0</v>
      </c>
      <c r="AS91">
        <v>0</v>
      </c>
      <c r="AT91">
        <v>0</v>
      </c>
      <c r="AU91">
        <v>0</v>
      </c>
    </row>
    <row r="92" spans="1:47" x14ac:dyDescent="0.25">
      <c r="A92" t="s">
        <v>83</v>
      </c>
      <c r="B92">
        <v>41.65</v>
      </c>
      <c r="C92">
        <v>90.76</v>
      </c>
      <c r="D92">
        <v>172.59</v>
      </c>
      <c r="E92">
        <v>133.66</v>
      </c>
      <c r="F92">
        <v>129.41</v>
      </c>
      <c r="G92">
        <v>98.95</v>
      </c>
      <c r="H92">
        <v>109.3</v>
      </c>
      <c r="I92">
        <v>60.7</v>
      </c>
      <c r="J92">
        <v>30.49</v>
      </c>
      <c r="K92">
        <v>32.090000000000003</v>
      </c>
      <c r="L92">
        <v>119.35</v>
      </c>
      <c r="M92">
        <v>69.02</v>
      </c>
      <c r="N92">
        <v>70.72</v>
      </c>
      <c r="O92">
        <v>51.46</v>
      </c>
      <c r="P92">
        <v>39.9</v>
      </c>
      <c r="Q92">
        <v>247.24</v>
      </c>
      <c r="R92">
        <v>380.91</v>
      </c>
      <c r="S92">
        <v>151.19999999999999</v>
      </c>
      <c r="T92">
        <v>151.08000000000001</v>
      </c>
      <c r="U92">
        <v>116.1</v>
      </c>
      <c r="V92">
        <v>150.65</v>
      </c>
      <c r="W92">
        <v>115.51</v>
      </c>
      <c r="X92">
        <v>115.51</v>
      </c>
      <c r="Y92">
        <v>57.19</v>
      </c>
      <c r="Z92">
        <v>57.19</v>
      </c>
      <c r="AA92">
        <v>22.2</v>
      </c>
      <c r="AB92">
        <v>22.16</v>
      </c>
      <c r="AC92">
        <v>22.11</v>
      </c>
      <c r="AD92">
        <v>22.06</v>
      </c>
      <c r="AE92">
        <v>22.01</v>
      </c>
      <c r="AF92">
        <v>21.96</v>
      </c>
      <c r="AG92">
        <v>21.92</v>
      </c>
      <c r="AH92">
        <v>21.87</v>
      </c>
      <c r="AI92">
        <v>21.81</v>
      </c>
      <c r="AJ92">
        <v>21.75</v>
      </c>
      <c r="AK92">
        <v>21.7</v>
      </c>
      <c r="AL92">
        <v>21.7</v>
      </c>
      <c r="AM92">
        <v>21.7</v>
      </c>
      <c r="AN92">
        <v>21.7</v>
      </c>
      <c r="AO92">
        <v>21.69</v>
      </c>
      <c r="AP92">
        <v>21.69</v>
      </c>
      <c r="AQ92">
        <v>21.68</v>
      </c>
      <c r="AR92">
        <v>21.68</v>
      </c>
      <c r="AS92">
        <v>21.67</v>
      </c>
      <c r="AT92">
        <v>192.58</v>
      </c>
      <c r="AU92">
        <v>168.86</v>
      </c>
    </row>
    <row r="93" spans="1:47" x14ac:dyDescent="0.25">
      <c r="A93" t="s">
        <v>84</v>
      </c>
      <c r="B93">
        <v>8.2899999999999991</v>
      </c>
      <c r="C93">
        <v>7.35</v>
      </c>
      <c r="D93">
        <v>10.64</v>
      </c>
      <c r="E93">
        <v>9.4499999999999993</v>
      </c>
      <c r="F93">
        <v>4.71</v>
      </c>
      <c r="G93">
        <v>2.37</v>
      </c>
      <c r="H93">
        <v>3.53</v>
      </c>
      <c r="I93">
        <v>2.65</v>
      </c>
      <c r="J93">
        <v>1.93</v>
      </c>
      <c r="K93">
        <v>6.79</v>
      </c>
      <c r="L93">
        <v>5.82</v>
      </c>
      <c r="M93">
        <v>2.5099999999999998</v>
      </c>
      <c r="N93">
        <v>2.84</v>
      </c>
      <c r="O93">
        <v>1.64</v>
      </c>
      <c r="P93">
        <v>1.1000000000000001</v>
      </c>
      <c r="Q93">
        <v>10.78</v>
      </c>
      <c r="R93">
        <v>19.850000000000001</v>
      </c>
      <c r="S93">
        <v>0.47</v>
      </c>
      <c r="T93">
        <v>0.6</v>
      </c>
      <c r="U93">
        <v>0.77</v>
      </c>
      <c r="V93">
        <v>1.02</v>
      </c>
      <c r="W93">
        <v>1.37</v>
      </c>
      <c r="X93">
        <v>1.37</v>
      </c>
      <c r="Y93">
        <v>1.37</v>
      </c>
      <c r="Z93">
        <v>1.37</v>
      </c>
      <c r="AA93">
        <v>1.38</v>
      </c>
      <c r="AB93">
        <v>1.41</v>
      </c>
      <c r="AC93">
        <v>1.46</v>
      </c>
      <c r="AD93">
        <v>1.51</v>
      </c>
      <c r="AE93">
        <v>1.56</v>
      </c>
      <c r="AF93">
        <v>1.61</v>
      </c>
      <c r="AG93">
        <v>1.66</v>
      </c>
      <c r="AH93">
        <v>1.71</v>
      </c>
      <c r="AI93">
        <v>1.76</v>
      </c>
      <c r="AJ93">
        <v>1.82</v>
      </c>
      <c r="AK93">
        <v>1.88</v>
      </c>
      <c r="AL93">
        <v>1.87</v>
      </c>
      <c r="AM93">
        <v>1.87</v>
      </c>
      <c r="AN93">
        <v>1.87</v>
      </c>
      <c r="AO93">
        <v>1.88</v>
      </c>
      <c r="AP93">
        <v>1.89</v>
      </c>
      <c r="AQ93">
        <v>1.89</v>
      </c>
      <c r="AR93">
        <v>1.9</v>
      </c>
      <c r="AS93">
        <v>1.91</v>
      </c>
      <c r="AT93">
        <v>33.93</v>
      </c>
      <c r="AU93">
        <v>24.1</v>
      </c>
    </row>
    <row r="95" spans="1:47" ht="18.75" x14ac:dyDescent="0.3">
      <c r="A95" s="35" t="s">
        <v>92</v>
      </c>
    </row>
    <row r="96" spans="1:47" x14ac:dyDescent="0.25">
      <c r="A96" t="s">
        <v>40</v>
      </c>
      <c r="B96" t="s">
        <v>41</v>
      </c>
      <c r="C96" t="s">
        <v>42</v>
      </c>
      <c r="D96" t="s">
        <v>43</v>
      </c>
      <c r="E96" t="s">
        <v>44</v>
      </c>
      <c r="F96" t="s">
        <v>45</v>
      </c>
      <c r="G96" t="s">
        <v>46</v>
      </c>
      <c r="H96" t="s">
        <v>47</v>
      </c>
      <c r="I96" t="s">
        <v>48</v>
      </c>
      <c r="J96" t="s">
        <v>49</v>
      </c>
      <c r="K96" t="s">
        <v>50</v>
      </c>
      <c r="L96" t="s">
        <v>51</v>
      </c>
      <c r="M96" t="s">
        <v>52</v>
      </c>
      <c r="N96" t="s">
        <v>53</v>
      </c>
      <c r="O96" t="s">
        <v>54</v>
      </c>
      <c r="P96" t="s">
        <v>55</v>
      </c>
      <c r="Q96" t="s">
        <v>56</v>
      </c>
      <c r="R96" t="s">
        <v>57</v>
      </c>
      <c r="S96" t="s">
        <v>58</v>
      </c>
      <c r="T96" t="s">
        <v>59</v>
      </c>
      <c r="U96" t="s">
        <v>60</v>
      </c>
      <c r="V96" t="s">
        <v>61</v>
      </c>
      <c r="W96" t="s">
        <v>62</v>
      </c>
      <c r="X96" t="s">
        <v>63</v>
      </c>
      <c r="Y96" t="s">
        <v>64</v>
      </c>
      <c r="Z96" t="s">
        <v>65</v>
      </c>
      <c r="AA96" t="s">
        <v>66</v>
      </c>
      <c r="AB96" t="s">
        <v>67</v>
      </c>
      <c r="AC96" t="s">
        <v>68</v>
      </c>
      <c r="AD96" t="s">
        <v>69</v>
      </c>
      <c r="AE96" t="s">
        <v>70</v>
      </c>
      <c r="AF96" t="s">
        <v>71</v>
      </c>
      <c r="AG96" t="s">
        <v>72</v>
      </c>
      <c r="AH96" t="s">
        <v>73</v>
      </c>
      <c r="AI96" t="s">
        <v>74</v>
      </c>
      <c r="AJ96" t="s">
        <v>75</v>
      </c>
      <c r="AK96" t="s">
        <v>76</v>
      </c>
      <c r="AL96" t="s">
        <v>332</v>
      </c>
      <c r="AM96" t="s">
        <v>333</v>
      </c>
      <c r="AN96" t="s">
        <v>334</v>
      </c>
      <c r="AO96" t="s">
        <v>335</v>
      </c>
      <c r="AP96" t="s">
        <v>336</v>
      </c>
      <c r="AQ96" t="s">
        <v>337</v>
      </c>
      <c r="AR96" t="s">
        <v>338</v>
      </c>
      <c r="AS96" t="s">
        <v>339</v>
      </c>
      <c r="AT96" t="s">
        <v>340</v>
      </c>
      <c r="AU96" t="s">
        <v>341</v>
      </c>
    </row>
    <row r="97" spans="1:47" x14ac:dyDescent="0.25">
      <c r="A97" t="s">
        <v>77</v>
      </c>
      <c r="B97">
        <v>2316</v>
      </c>
      <c r="C97">
        <v>1966</v>
      </c>
      <c r="D97">
        <v>2113</v>
      </c>
      <c r="E97">
        <v>2150</v>
      </c>
      <c r="F97">
        <v>1695</v>
      </c>
      <c r="G97">
        <v>1620</v>
      </c>
      <c r="H97">
        <v>2036</v>
      </c>
      <c r="I97">
        <v>2319</v>
      </c>
      <c r="J97">
        <v>2028</v>
      </c>
      <c r="K97">
        <v>1821.38</v>
      </c>
      <c r="L97">
        <v>1977</v>
      </c>
      <c r="M97">
        <v>1971</v>
      </c>
      <c r="N97">
        <v>2062</v>
      </c>
      <c r="O97">
        <v>1991</v>
      </c>
      <c r="P97">
        <v>2043</v>
      </c>
      <c r="Q97">
        <v>2043.02</v>
      </c>
      <c r="R97">
        <v>2042.98</v>
      </c>
      <c r="S97">
        <v>2034.64</v>
      </c>
      <c r="T97">
        <v>1733.2</v>
      </c>
      <c r="U97">
        <v>1752.85</v>
      </c>
      <c r="V97">
        <v>1749.79</v>
      </c>
      <c r="W97">
        <v>1749.74</v>
      </c>
      <c r="X97">
        <v>1730.78</v>
      </c>
      <c r="Y97">
        <v>1306.46</v>
      </c>
      <c r="Z97">
        <v>800.58</v>
      </c>
      <c r="AA97">
        <v>1083.69</v>
      </c>
      <c r="AB97">
        <v>908.48</v>
      </c>
      <c r="AC97">
        <v>722.81</v>
      </c>
      <c r="AD97">
        <v>685.25</v>
      </c>
      <c r="AE97">
        <v>666.41</v>
      </c>
      <c r="AF97">
        <v>634.45000000000005</v>
      </c>
      <c r="AG97">
        <v>622.97</v>
      </c>
      <c r="AH97">
        <v>622.1</v>
      </c>
      <c r="AI97">
        <v>596.49</v>
      </c>
      <c r="AJ97">
        <v>599.95000000000005</v>
      </c>
      <c r="AK97">
        <v>554</v>
      </c>
      <c r="AL97">
        <v>557.14</v>
      </c>
      <c r="AM97">
        <v>529.51</v>
      </c>
      <c r="AN97">
        <v>524.26</v>
      </c>
      <c r="AO97">
        <v>508.21</v>
      </c>
      <c r="AP97">
        <v>493.01</v>
      </c>
      <c r="AQ97">
        <v>480.62</v>
      </c>
      <c r="AR97">
        <v>486.98</v>
      </c>
      <c r="AS97">
        <v>478.84</v>
      </c>
      <c r="AT97">
        <v>491.28</v>
      </c>
      <c r="AU97">
        <v>505.55</v>
      </c>
    </row>
    <row r="98" spans="1:47" x14ac:dyDescent="0.25">
      <c r="A98" t="s">
        <v>78</v>
      </c>
      <c r="B98">
        <v>741</v>
      </c>
      <c r="C98">
        <v>921</v>
      </c>
      <c r="D98">
        <v>1430</v>
      </c>
      <c r="E98">
        <v>1473</v>
      </c>
      <c r="F98">
        <v>1558</v>
      </c>
      <c r="G98">
        <v>1629</v>
      </c>
      <c r="H98">
        <v>2372</v>
      </c>
      <c r="I98">
        <v>2601</v>
      </c>
      <c r="J98">
        <v>3058</v>
      </c>
      <c r="K98">
        <v>3518.87</v>
      </c>
      <c r="L98">
        <v>4089</v>
      </c>
      <c r="M98">
        <v>4586</v>
      </c>
      <c r="N98">
        <v>4634</v>
      </c>
      <c r="O98">
        <v>4119</v>
      </c>
      <c r="P98">
        <v>4206</v>
      </c>
      <c r="Q98">
        <v>4206</v>
      </c>
      <c r="R98">
        <v>4206.1099999999997</v>
      </c>
      <c r="S98">
        <v>15769.94</v>
      </c>
      <c r="T98">
        <v>15347.17</v>
      </c>
      <c r="U98">
        <v>15301.37</v>
      </c>
      <c r="V98">
        <v>15129.24</v>
      </c>
      <c r="W98">
        <v>15071.71</v>
      </c>
      <c r="X98">
        <v>21206.05</v>
      </c>
      <c r="Y98">
        <v>23490.57</v>
      </c>
      <c r="Z98">
        <v>27204.89</v>
      </c>
      <c r="AA98">
        <v>29182.71</v>
      </c>
      <c r="AB98">
        <v>30569.98</v>
      </c>
      <c r="AC98">
        <v>31781.22</v>
      </c>
      <c r="AD98">
        <v>30619.53</v>
      </c>
      <c r="AE98">
        <v>30246.01</v>
      </c>
      <c r="AF98">
        <v>29004.62</v>
      </c>
      <c r="AG98">
        <v>29035.8</v>
      </c>
      <c r="AH98">
        <v>29254.17</v>
      </c>
      <c r="AI98">
        <v>29980.02</v>
      </c>
      <c r="AJ98">
        <v>30361.1</v>
      </c>
      <c r="AK98">
        <v>30113.61</v>
      </c>
      <c r="AL98">
        <v>30451.95</v>
      </c>
      <c r="AM98">
        <v>31252.58</v>
      </c>
      <c r="AN98">
        <v>30938.7</v>
      </c>
      <c r="AO98">
        <v>32060.54</v>
      </c>
      <c r="AP98">
        <v>31143.439999999999</v>
      </c>
      <c r="AQ98">
        <v>32308.49</v>
      </c>
      <c r="AR98">
        <v>32693.200000000001</v>
      </c>
      <c r="AS98">
        <v>34076.6</v>
      </c>
      <c r="AT98">
        <v>34900.14</v>
      </c>
      <c r="AU98">
        <v>35844.17</v>
      </c>
    </row>
    <row r="99" spans="1:47" x14ac:dyDescent="0.25">
      <c r="A99" t="s">
        <v>79</v>
      </c>
      <c r="B99">
        <v>1725.17</v>
      </c>
      <c r="C99">
        <v>1855.17</v>
      </c>
      <c r="D99">
        <v>1870.36</v>
      </c>
      <c r="E99">
        <v>1917.39</v>
      </c>
      <c r="F99">
        <v>1861.5</v>
      </c>
      <c r="G99">
        <v>1908.78</v>
      </c>
      <c r="H99">
        <v>1972.19</v>
      </c>
      <c r="I99">
        <v>2089.12</v>
      </c>
      <c r="J99">
        <v>2250.1</v>
      </c>
      <c r="K99">
        <v>3497.7</v>
      </c>
      <c r="L99">
        <v>2120.3000000000002</v>
      </c>
      <c r="M99">
        <v>2127.4499999999998</v>
      </c>
      <c r="N99">
        <v>1158.51</v>
      </c>
      <c r="O99">
        <v>1837.13</v>
      </c>
      <c r="P99">
        <v>1844.11</v>
      </c>
      <c r="Q99">
        <v>1631.82</v>
      </c>
      <c r="R99">
        <v>1631.82</v>
      </c>
      <c r="S99">
        <v>1807.02</v>
      </c>
      <c r="T99">
        <v>1788.06</v>
      </c>
      <c r="U99">
        <v>1785.96</v>
      </c>
      <c r="V99">
        <v>1778.17</v>
      </c>
      <c r="W99">
        <v>1775.53</v>
      </c>
      <c r="X99">
        <v>1743</v>
      </c>
      <c r="Y99">
        <v>1671.79</v>
      </c>
      <c r="Z99">
        <v>1606.43</v>
      </c>
      <c r="AA99">
        <v>1482.13</v>
      </c>
      <c r="AB99">
        <v>1419.91</v>
      </c>
      <c r="AC99">
        <v>1353.69</v>
      </c>
      <c r="AD99">
        <v>1340.59</v>
      </c>
      <c r="AE99">
        <v>1333.82</v>
      </c>
      <c r="AF99">
        <v>1322.39</v>
      </c>
      <c r="AG99">
        <v>1318.26</v>
      </c>
      <c r="AH99">
        <v>1317.95</v>
      </c>
      <c r="AI99">
        <v>1308.77</v>
      </c>
      <c r="AJ99">
        <v>1310.01</v>
      </c>
      <c r="AK99">
        <v>1295.6300000000001</v>
      </c>
      <c r="AL99">
        <v>1296.79</v>
      </c>
      <c r="AM99">
        <v>1286.81</v>
      </c>
      <c r="AN99">
        <v>1284.92</v>
      </c>
      <c r="AO99">
        <v>1279.1199999999999</v>
      </c>
      <c r="AP99">
        <v>1273.6300000000001</v>
      </c>
      <c r="AQ99">
        <v>1269.1400000000001</v>
      </c>
      <c r="AR99">
        <v>1271.44</v>
      </c>
      <c r="AS99">
        <v>1268.5</v>
      </c>
      <c r="AT99">
        <v>1273</v>
      </c>
      <c r="AU99">
        <v>1278.17</v>
      </c>
    </row>
    <row r="100" spans="1:47" x14ac:dyDescent="0.25">
      <c r="A100" t="s">
        <v>80</v>
      </c>
      <c r="B100">
        <v>0</v>
      </c>
      <c r="C100">
        <v>0</v>
      </c>
      <c r="D100">
        <v>0</v>
      </c>
      <c r="E100">
        <v>0</v>
      </c>
      <c r="F100">
        <v>0</v>
      </c>
      <c r="G100">
        <v>0</v>
      </c>
      <c r="H100">
        <v>0</v>
      </c>
      <c r="I100">
        <v>0</v>
      </c>
      <c r="J100">
        <v>0</v>
      </c>
      <c r="K100">
        <v>0</v>
      </c>
      <c r="L100">
        <v>0</v>
      </c>
      <c r="M100">
        <v>2</v>
      </c>
      <c r="N100">
        <v>2</v>
      </c>
      <c r="O100">
        <v>25</v>
      </c>
      <c r="P100">
        <v>23</v>
      </c>
      <c r="Q100">
        <v>23</v>
      </c>
      <c r="R100">
        <v>319.41000000000003</v>
      </c>
      <c r="S100">
        <v>912.5</v>
      </c>
      <c r="T100">
        <v>888.66</v>
      </c>
      <c r="U100">
        <v>886.52</v>
      </c>
      <c r="V100">
        <v>876.85</v>
      </c>
      <c r="W100">
        <v>1015.56</v>
      </c>
      <c r="X100">
        <v>1102.56</v>
      </c>
      <c r="Y100">
        <v>989.34</v>
      </c>
      <c r="Z100">
        <v>1780.21</v>
      </c>
      <c r="AA100">
        <v>2017.55</v>
      </c>
      <c r="AB100">
        <v>2303.0100000000002</v>
      </c>
      <c r="AC100">
        <v>2376.67</v>
      </c>
      <c r="AD100">
        <v>2755.79</v>
      </c>
      <c r="AE100">
        <v>3185.11</v>
      </c>
      <c r="AF100">
        <v>4935.75</v>
      </c>
      <c r="AG100">
        <v>5068.67</v>
      </c>
      <c r="AH100">
        <v>5262.64</v>
      </c>
      <c r="AI100">
        <v>5271.81</v>
      </c>
      <c r="AJ100">
        <v>5422.67</v>
      </c>
      <c r="AK100">
        <v>7129.05</v>
      </c>
      <c r="AL100">
        <v>7325.38</v>
      </c>
      <c r="AM100">
        <v>7135.43</v>
      </c>
      <c r="AN100">
        <v>7082.7</v>
      </c>
      <c r="AO100">
        <v>6935.56</v>
      </c>
      <c r="AP100">
        <v>8459.59</v>
      </c>
      <c r="AQ100">
        <v>8325.4699999999993</v>
      </c>
      <c r="AR100">
        <v>8455.52</v>
      </c>
      <c r="AS100">
        <v>8385.52</v>
      </c>
      <c r="AT100">
        <v>8617.1299999999992</v>
      </c>
      <c r="AU100">
        <v>8876.16</v>
      </c>
    </row>
    <row r="101" spans="1:47" x14ac:dyDescent="0.25">
      <c r="A101" t="s">
        <v>81</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row>
    <row r="102" spans="1:47" x14ac:dyDescent="0.25">
      <c r="A102" t="s">
        <v>82</v>
      </c>
      <c r="B102">
        <v>43581.07</v>
      </c>
      <c r="C102">
        <v>44117.04</v>
      </c>
      <c r="D102">
        <v>43868.23</v>
      </c>
      <c r="E102">
        <v>42131.1</v>
      </c>
      <c r="F102">
        <v>40805</v>
      </c>
      <c r="G102">
        <v>37566.910000000003</v>
      </c>
      <c r="H102">
        <v>38509.519999999997</v>
      </c>
      <c r="I102">
        <v>38070.06</v>
      </c>
      <c r="J102">
        <v>38933.51</v>
      </c>
      <c r="K102">
        <v>43727.18</v>
      </c>
      <c r="L102">
        <v>38468.68</v>
      </c>
      <c r="M102">
        <v>38222.75</v>
      </c>
      <c r="N102">
        <v>36385.089999999997</v>
      </c>
      <c r="O102">
        <v>28913.59</v>
      </c>
      <c r="P102">
        <v>27252.84</v>
      </c>
      <c r="Q102">
        <v>23554.78</v>
      </c>
      <c r="R102">
        <v>27816.82</v>
      </c>
      <c r="S102">
        <v>11779.94</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c r="AP102">
        <v>0</v>
      </c>
      <c r="AQ102">
        <v>0</v>
      </c>
      <c r="AR102">
        <v>0</v>
      </c>
      <c r="AS102">
        <v>0</v>
      </c>
      <c r="AT102">
        <v>0</v>
      </c>
      <c r="AU102">
        <v>0</v>
      </c>
    </row>
    <row r="103" spans="1:47" x14ac:dyDescent="0.25">
      <c r="A103" t="s">
        <v>83</v>
      </c>
      <c r="B103">
        <v>19568.759999999998</v>
      </c>
      <c r="C103">
        <v>22063.15</v>
      </c>
      <c r="D103">
        <v>22337.97</v>
      </c>
      <c r="E103">
        <v>23347.1</v>
      </c>
      <c r="F103">
        <v>26233.32</v>
      </c>
      <c r="G103">
        <v>27594.87</v>
      </c>
      <c r="H103">
        <v>28106.9</v>
      </c>
      <c r="I103">
        <v>29938.05</v>
      </c>
      <c r="J103">
        <v>31739.48</v>
      </c>
      <c r="K103">
        <v>31585.45</v>
      </c>
      <c r="L103">
        <v>33998.07</v>
      </c>
      <c r="M103">
        <v>31541.040000000001</v>
      </c>
      <c r="N103">
        <v>36050.99</v>
      </c>
      <c r="O103">
        <v>38692.25</v>
      </c>
      <c r="P103">
        <v>40690.339999999997</v>
      </c>
      <c r="Q103">
        <v>45033.64</v>
      </c>
      <c r="R103">
        <v>44597.279999999999</v>
      </c>
      <c r="S103">
        <v>48861.02</v>
      </c>
      <c r="T103">
        <v>62823.519999999997</v>
      </c>
      <c r="U103">
        <v>63023.13</v>
      </c>
      <c r="V103">
        <v>62955.26</v>
      </c>
      <c r="W103">
        <v>62878.33</v>
      </c>
      <c r="X103">
        <v>57075.95</v>
      </c>
      <c r="Y103">
        <v>55581.21</v>
      </c>
      <c r="Z103">
        <v>52228.42</v>
      </c>
      <c r="AA103">
        <v>50221.23</v>
      </c>
      <c r="AB103">
        <v>49182.05</v>
      </c>
      <c r="AC103">
        <v>48479.39</v>
      </c>
      <c r="AD103">
        <v>49363.9</v>
      </c>
      <c r="AE103">
        <v>49454.04</v>
      </c>
      <c r="AF103">
        <v>49209.95</v>
      </c>
      <c r="AG103">
        <v>49402.66</v>
      </c>
      <c r="AH103">
        <v>49388.26</v>
      </c>
      <c r="AI103">
        <v>49331.63</v>
      </c>
      <c r="AJ103">
        <v>49391.519999999997</v>
      </c>
      <c r="AK103">
        <v>48698.59</v>
      </c>
      <c r="AL103">
        <v>48755.519999999997</v>
      </c>
      <c r="AM103">
        <v>48744.78</v>
      </c>
      <c r="AN103">
        <v>49579.11</v>
      </c>
      <c r="AO103">
        <v>49257.11</v>
      </c>
      <c r="AP103">
        <v>49388.85</v>
      </c>
      <c r="AQ103">
        <v>49129.14</v>
      </c>
      <c r="AR103">
        <v>49479.16</v>
      </c>
      <c r="AS103">
        <v>49305.120000000003</v>
      </c>
      <c r="AT103">
        <v>49573.04</v>
      </c>
      <c r="AU103">
        <v>49880.18</v>
      </c>
    </row>
    <row r="104" spans="1:47" x14ac:dyDescent="0.25">
      <c r="A104" t="s">
        <v>84</v>
      </c>
      <c r="B104">
        <v>509.44</v>
      </c>
      <c r="C104">
        <v>860.08</v>
      </c>
      <c r="D104">
        <v>922.06</v>
      </c>
      <c r="E104">
        <v>635.87</v>
      </c>
      <c r="F104">
        <v>14.15</v>
      </c>
      <c r="G104">
        <v>26.51</v>
      </c>
      <c r="H104">
        <v>25.4</v>
      </c>
      <c r="I104">
        <v>28.93</v>
      </c>
      <c r="J104">
        <v>27</v>
      </c>
      <c r="K104">
        <v>78.41</v>
      </c>
      <c r="L104">
        <v>80.239999999999995</v>
      </c>
      <c r="M104">
        <v>48.21</v>
      </c>
      <c r="N104">
        <v>98.92</v>
      </c>
      <c r="O104">
        <v>38.159999999999997</v>
      </c>
      <c r="P104">
        <v>63.82</v>
      </c>
      <c r="Q104">
        <v>55.32</v>
      </c>
      <c r="R104">
        <v>117.3</v>
      </c>
      <c r="S104">
        <v>80.62</v>
      </c>
      <c r="T104">
        <v>82.7</v>
      </c>
      <c r="U104">
        <v>92.57</v>
      </c>
      <c r="V104">
        <v>101.95</v>
      </c>
      <c r="W104">
        <v>112.55</v>
      </c>
      <c r="X104">
        <v>103.49</v>
      </c>
      <c r="Y104">
        <v>89.13</v>
      </c>
      <c r="Z104">
        <v>75.930000000000007</v>
      </c>
      <c r="AA104">
        <v>54.75</v>
      </c>
      <c r="AB104">
        <v>46.32</v>
      </c>
      <c r="AC104">
        <v>37.94</v>
      </c>
      <c r="AD104">
        <v>36.9</v>
      </c>
      <c r="AE104">
        <v>36.14</v>
      </c>
      <c r="AF104">
        <v>34.270000000000003</v>
      </c>
      <c r="AG104">
        <v>33.31</v>
      </c>
      <c r="AH104">
        <v>33</v>
      </c>
      <c r="AI104">
        <v>31.58</v>
      </c>
      <c r="AJ104">
        <v>31.64</v>
      </c>
      <c r="AK104">
        <v>29.45</v>
      </c>
      <c r="AL104">
        <v>28.4</v>
      </c>
      <c r="AM104">
        <v>26.02</v>
      </c>
      <c r="AN104">
        <v>24.87</v>
      </c>
      <c r="AO104">
        <v>23.42</v>
      </c>
      <c r="AP104">
        <v>22.02</v>
      </c>
      <c r="AQ104">
        <v>20.74</v>
      </c>
      <c r="AR104">
        <v>20.36</v>
      </c>
      <c r="AS104">
        <v>19.41</v>
      </c>
      <c r="AT104">
        <v>19.25</v>
      </c>
      <c r="AU104">
        <v>19.079999999999998</v>
      </c>
    </row>
    <row r="106" spans="1:47" ht="18.75" x14ac:dyDescent="0.3">
      <c r="A106" s="35" t="s">
        <v>93</v>
      </c>
    </row>
    <row r="107" spans="1:47" x14ac:dyDescent="0.25">
      <c r="A107" t="s">
        <v>40</v>
      </c>
      <c r="B107" t="s">
        <v>41</v>
      </c>
      <c r="C107" t="s">
        <v>42</v>
      </c>
      <c r="D107" t="s">
        <v>43</v>
      </c>
      <c r="E107" t="s">
        <v>44</v>
      </c>
      <c r="F107" t="s">
        <v>45</v>
      </c>
      <c r="G107" t="s">
        <v>46</v>
      </c>
      <c r="H107" t="s">
        <v>47</v>
      </c>
      <c r="I107" t="s">
        <v>48</v>
      </c>
      <c r="J107" t="s">
        <v>49</v>
      </c>
      <c r="K107" t="s">
        <v>50</v>
      </c>
      <c r="L107" t="s">
        <v>51</v>
      </c>
      <c r="M107" t="s">
        <v>52</v>
      </c>
      <c r="N107" t="s">
        <v>53</v>
      </c>
      <c r="O107" t="s">
        <v>54</v>
      </c>
      <c r="P107" t="s">
        <v>55</v>
      </c>
      <c r="Q107" t="s">
        <v>56</v>
      </c>
      <c r="R107" t="s">
        <v>57</v>
      </c>
      <c r="S107" t="s">
        <v>58</v>
      </c>
      <c r="T107" t="s">
        <v>59</v>
      </c>
      <c r="U107" t="s">
        <v>60</v>
      </c>
      <c r="V107" t="s">
        <v>61</v>
      </c>
      <c r="W107" t="s">
        <v>62</v>
      </c>
      <c r="X107" t="s">
        <v>63</v>
      </c>
      <c r="Y107" t="s">
        <v>64</v>
      </c>
      <c r="Z107" t="s">
        <v>65</v>
      </c>
      <c r="AA107" t="s">
        <v>66</v>
      </c>
      <c r="AB107" t="s">
        <v>67</v>
      </c>
      <c r="AC107" t="s">
        <v>68</v>
      </c>
      <c r="AD107" t="s">
        <v>69</v>
      </c>
      <c r="AE107" t="s">
        <v>70</v>
      </c>
      <c r="AF107" t="s">
        <v>71</v>
      </c>
      <c r="AG107" t="s">
        <v>72</v>
      </c>
      <c r="AH107" t="s">
        <v>73</v>
      </c>
      <c r="AI107" t="s">
        <v>74</v>
      </c>
      <c r="AJ107" t="s">
        <v>75</v>
      </c>
      <c r="AK107" t="s">
        <v>76</v>
      </c>
      <c r="AL107" t="s">
        <v>332</v>
      </c>
      <c r="AM107" t="s">
        <v>333</v>
      </c>
      <c r="AN107" t="s">
        <v>334</v>
      </c>
      <c r="AO107" t="s">
        <v>335</v>
      </c>
      <c r="AP107" t="s">
        <v>336</v>
      </c>
      <c r="AQ107" t="s">
        <v>337</v>
      </c>
      <c r="AR107" t="s">
        <v>338</v>
      </c>
      <c r="AS107" t="s">
        <v>339</v>
      </c>
      <c r="AT107" t="s">
        <v>340</v>
      </c>
      <c r="AU107" t="s">
        <v>341</v>
      </c>
    </row>
    <row r="108" spans="1:47" x14ac:dyDescent="0.25">
      <c r="A108" t="s">
        <v>77</v>
      </c>
      <c r="B108">
        <v>60327</v>
      </c>
      <c r="C108">
        <v>53902.91</v>
      </c>
      <c r="D108">
        <v>64015.8</v>
      </c>
      <c r="E108">
        <v>58525.63</v>
      </c>
      <c r="F108">
        <v>56298.400000000001</v>
      </c>
      <c r="G108">
        <v>53970.879999999997</v>
      </c>
      <c r="H108">
        <v>60772.07</v>
      </c>
      <c r="I108">
        <v>64477.04</v>
      </c>
      <c r="J108">
        <v>58666.27</v>
      </c>
      <c r="K108">
        <v>57572.87</v>
      </c>
      <c r="L108">
        <v>64999.01</v>
      </c>
      <c r="M108">
        <v>61840</v>
      </c>
      <c r="N108">
        <v>66503.02</v>
      </c>
      <c r="O108">
        <v>61791</v>
      </c>
      <c r="P108">
        <v>56107.99</v>
      </c>
      <c r="Q108">
        <v>56127.08</v>
      </c>
      <c r="R108">
        <v>56127.05</v>
      </c>
      <c r="S108">
        <v>72486.33</v>
      </c>
      <c r="T108">
        <v>72486.34</v>
      </c>
      <c r="U108">
        <v>72486.27</v>
      </c>
      <c r="V108">
        <v>77593.37</v>
      </c>
      <c r="W108">
        <v>77593.429999999993</v>
      </c>
      <c r="X108">
        <v>77593.41</v>
      </c>
      <c r="Y108">
        <v>77593.440000000002</v>
      </c>
      <c r="Z108">
        <v>77593.48</v>
      </c>
      <c r="AA108">
        <v>77954.070000000007</v>
      </c>
      <c r="AB108">
        <v>78316.42</v>
      </c>
      <c r="AC108">
        <v>78680.710000000006</v>
      </c>
      <c r="AD108">
        <v>79046.679999999993</v>
      </c>
      <c r="AE108">
        <v>79414.53</v>
      </c>
      <c r="AF108">
        <v>80144.73</v>
      </c>
      <c r="AG108">
        <v>80840.679999999993</v>
      </c>
      <c r="AH108">
        <v>81506.09</v>
      </c>
      <c r="AI108">
        <v>82144.13</v>
      </c>
      <c r="AJ108">
        <v>82521.279999999999</v>
      </c>
      <c r="AK108">
        <v>82900.36</v>
      </c>
      <c r="AL108">
        <v>83281.259999999995</v>
      </c>
      <c r="AM108">
        <v>83664.05</v>
      </c>
      <c r="AN108">
        <v>84048.87</v>
      </c>
      <c r="AO108">
        <v>84435.520000000004</v>
      </c>
      <c r="AP108">
        <v>84824.08</v>
      </c>
      <c r="AQ108">
        <v>85214.98</v>
      </c>
      <c r="AR108">
        <v>85607.39</v>
      </c>
      <c r="AS108">
        <v>86001.7</v>
      </c>
      <c r="AT108">
        <v>85654.5</v>
      </c>
      <c r="AU108">
        <v>86796.58</v>
      </c>
    </row>
    <row r="109" spans="1:47" x14ac:dyDescent="0.25">
      <c r="A109" t="s">
        <v>78</v>
      </c>
      <c r="B109">
        <v>0</v>
      </c>
      <c r="C109">
        <v>0</v>
      </c>
      <c r="D109">
        <v>0</v>
      </c>
      <c r="E109">
        <v>0</v>
      </c>
      <c r="F109">
        <v>34</v>
      </c>
      <c r="G109">
        <v>123</v>
      </c>
      <c r="H109">
        <v>484.6</v>
      </c>
      <c r="I109">
        <v>507.98</v>
      </c>
      <c r="J109">
        <v>860</v>
      </c>
      <c r="K109">
        <v>1071.1400000000001</v>
      </c>
      <c r="L109">
        <v>868</v>
      </c>
      <c r="M109">
        <v>1223</v>
      </c>
      <c r="N109">
        <v>1631</v>
      </c>
      <c r="O109">
        <v>1724</v>
      </c>
      <c r="P109">
        <v>1693</v>
      </c>
      <c r="Q109">
        <v>1693</v>
      </c>
      <c r="R109">
        <v>1693.86</v>
      </c>
      <c r="S109">
        <v>1695.92</v>
      </c>
      <c r="T109">
        <v>1698.09</v>
      </c>
      <c r="U109">
        <v>1990.71</v>
      </c>
      <c r="V109">
        <v>2290.09</v>
      </c>
      <c r="W109">
        <v>2299.2399999999998</v>
      </c>
      <c r="X109">
        <v>2634.67</v>
      </c>
      <c r="Y109">
        <v>2987.27</v>
      </c>
      <c r="Z109">
        <v>3337.63</v>
      </c>
      <c r="AA109">
        <v>3740.1</v>
      </c>
      <c r="AB109">
        <v>4174.42</v>
      </c>
      <c r="AC109">
        <v>4651.75</v>
      </c>
      <c r="AD109">
        <v>5187.16</v>
      </c>
      <c r="AE109">
        <v>5769.82</v>
      </c>
      <c r="AF109">
        <v>6938.97</v>
      </c>
      <c r="AG109">
        <v>8308.9</v>
      </c>
      <c r="AH109">
        <v>9632.6299999999992</v>
      </c>
      <c r="AI109">
        <v>11012.51</v>
      </c>
      <c r="AJ109">
        <v>12317.75</v>
      </c>
      <c r="AK109">
        <v>13408.14</v>
      </c>
      <c r="AL109">
        <v>13982.74</v>
      </c>
      <c r="AM109">
        <v>14505.43</v>
      </c>
      <c r="AN109">
        <v>15136.01</v>
      </c>
      <c r="AO109">
        <v>15792.09</v>
      </c>
      <c r="AP109">
        <v>16357.15</v>
      </c>
      <c r="AQ109">
        <v>16932</v>
      </c>
      <c r="AR109">
        <v>17519.91</v>
      </c>
      <c r="AS109">
        <v>18122.060000000001</v>
      </c>
      <c r="AT109">
        <v>18753.169999999998</v>
      </c>
      <c r="AU109">
        <v>19386.72</v>
      </c>
    </row>
    <row r="110" spans="1:47" x14ac:dyDescent="0.25">
      <c r="A110" t="s">
        <v>79</v>
      </c>
      <c r="B110">
        <v>2863.41</v>
      </c>
      <c r="C110">
        <v>2948.7</v>
      </c>
      <c r="D110">
        <v>2948.7</v>
      </c>
      <c r="E110">
        <v>2467.38</v>
      </c>
      <c r="F110">
        <v>2162.84</v>
      </c>
      <c r="G110">
        <v>3810.74</v>
      </c>
      <c r="H110">
        <v>4111</v>
      </c>
      <c r="I110">
        <v>4034.09</v>
      </c>
      <c r="J110">
        <v>3821.9</v>
      </c>
      <c r="K110">
        <v>5856.07</v>
      </c>
      <c r="L110">
        <v>3658.62</v>
      </c>
      <c r="M110">
        <v>4486.41</v>
      </c>
      <c r="N110">
        <v>1858.06</v>
      </c>
      <c r="O110">
        <v>3319.56</v>
      </c>
      <c r="P110">
        <v>3275.15</v>
      </c>
      <c r="Q110">
        <v>3275.54</v>
      </c>
      <c r="R110">
        <v>3310.29</v>
      </c>
      <c r="S110">
        <v>3292.73</v>
      </c>
      <c r="T110">
        <v>3288.62</v>
      </c>
      <c r="U110">
        <v>3287.18</v>
      </c>
      <c r="V110">
        <v>3285.82</v>
      </c>
      <c r="W110">
        <v>3284.92</v>
      </c>
      <c r="X110">
        <v>3281.87</v>
      </c>
      <c r="Y110">
        <v>3278.72</v>
      </c>
      <c r="Z110">
        <v>3274.56</v>
      </c>
      <c r="AA110">
        <v>3269.22</v>
      </c>
      <c r="AB110">
        <v>3268.4</v>
      </c>
      <c r="AC110">
        <v>3269.72</v>
      </c>
      <c r="AD110">
        <v>3270.62</v>
      </c>
      <c r="AE110">
        <v>3269.51</v>
      </c>
      <c r="AF110">
        <v>3266.8</v>
      </c>
      <c r="AG110">
        <v>3262.89</v>
      </c>
      <c r="AH110">
        <v>3258.86</v>
      </c>
      <c r="AI110">
        <v>3255.35</v>
      </c>
      <c r="AJ110">
        <v>3251.12</v>
      </c>
      <c r="AK110">
        <v>3246.78</v>
      </c>
      <c r="AL110">
        <v>3237.46</v>
      </c>
      <c r="AM110">
        <v>3228.3</v>
      </c>
      <c r="AN110">
        <v>3218.65</v>
      </c>
      <c r="AO110">
        <v>3209.34</v>
      </c>
      <c r="AP110">
        <v>3198.75</v>
      </c>
      <c r="AQ110">
        <v>3186.73</v>
      </c>
      <c r="AR110">
        <v>3174.13</v>
      </c>
      <c r="AS110">
        <v>3161</v>
      </c>
      <c r="AT110">
        <v>3146.22</v>
      </c>
      <c r="AU110">
        <v>3129.69</v>
      </c>
    </row>
    <row r="111" spans="1:47" x14ac:dyDescent="0.25">
      <c r="A111" t="s">
        <v>80</v>
      </c>
      <c r="B111">
        <v>0</v>
      </c>
      <c r="C111">
        <v>0</v>
      </c>
      <c r="D111">
        <v>0</v>
      </c>
      <c r="E111">
        <v>0</v>
      </c>
      <c r="F111">
        <v>0</v>
      </c>
      <c r="G111">
        <v>0</v>
      </c>
      <c r="H111">
        <v>0</v>
      </c>
      <c r="I111">
        <v>0</v>
      </c>
      <c r="J111">
        <v>0</v>
      </c>
      <c r="K111">
        <v>0</v>
      </c>
      <c r="L111">
        <v>0</v>
      </c>
      <c r="M111">
        <v>0</v>
      </c>
      <c r="N111">
        <v>0</v>
      </c>
      <c r="O111">
        <v>2</v>
      </c>
      <c r="P111">
        <v>2</v>
      </c>
      <c r="Q111">
        <v>19.54</v>
      </c>
      <c r="R111">
        <v>20.37</v>
      </c>
      <c r="S111">
        <v>22.15</v>
      </c>
      <c r="T111">
        <v>59.19</v>
      </c>
      <c r="U111">
        <v>61.25</v>
      </c>
      <c r="V111">
        <v>63.61</v>
      </c>
      <c r="W111">
        <v>102.16</v>
      </c>
      <c r="X111">
        <v>105.69</v>
      </c>
      <c r="Y111">
        <v>109.38</v>
      </c>
      <c r="Z111">
        <v>149.29</v>
      </c>
      <c r="AA111">
        <v>164.97</v>
      </c>
      <c r="AB111">
        <v>387.48</v>
      </c>
      <c r="AC111">
        <v>657.83</v>
      </c>
      <c r="AD111">
        <v>1007.56</v>
      </c>
      <c r="AE111">
        <v>1364.51</v>
      </c>
      <c r="AF111">
        <v>2282.84</v>
      </c>
      <c r="AG111">
        <v>2904.97</v>
      </c>
      <c r="AH111">
        <v>3515.96</v>
      </c>
      <c r="AI111">
        <v>4136.49</v>
      </c>
      <c r="AJ111">
        <v>4731.88</v>
      </c>
      <c r="AK111">
        <v>5110.41</v>
      </c>
      <c r="AL111">
        <v>5445.8</v>
      </c>
      <c r="AM111">
        <v>5730.04</v>
      </c>
      <c r="AN111">
        <v>6109.41</v>
      </c>
      <c r="AO111">
        <v>6514.28</v>
      </c>
      <c r="AP111">
        <v>6842.57</v>
      </c>
      <c r="AQ111">
        <v>7170.24</v>
      </c>
      <c r="AR111">
        <v>7508.62</v>
      </c>
      <c r="AS111">
        <v>7856.21</v>
      </c>
      <c r="AT111">
        <v>8235.89</v>
      </c>
      <c r="AU111">
        <v>8396.49</v>
      </c>
    </row>
    <row r="112" spans="1:47" x14ac:dyDescent="0.25">
      <c r="A112" t="s">
        <v>81</v>
      </c>
      <c r="B112">
        <v>0</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v>0</v>
      </c>
      <c r="AK112">
        <v>0</v>
      </c>
      <c r="AL112">
        <v>0</v>
      </c>
      <c r="AM112">
        <v>0</v>
      </c>
      <c r="AN112">
        <v>0</v>
      </c>
      <c r="AO112">
        <v>0</v>
      </c>
      <c r="AP112">
        <v>0</v>
      </c>
      <c r="AQ112">
        <v>0</v>
      </c>
      <c r="AR112">
        <v>0</v>
      </c>
      <c r="AS112">
        <v>0</v>
      </c>
      <c r="AT112">
        <v>0</v>
      </c>
      <c r="AU112">
        <v>0</v>
      </c>
    </row>
    <row r="113" spans="1:47" x14ac:dyDescent="0.25">
      <c r="A113" t="s">
        <v>82</v>
      </c>
      <c r="B113">
        <v>0</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c r="AK113">
        <v>0</v>
      </c>
      <c r="AL113">
        <v>0</v>
      </c>
      <c r="AM113">
        <v>0</v>
      </c>
      <c r="AN113">
        <v>0</v>
      </c>
      <c r="AO113">
        <v>0</v>
      </c>
      <c r="AP113">
        <v>0</v>
      </c>
      <c r="AQ113">
        <v>0</v>
      </c>
      <c r="AR113">
        <v>0</v>
      </c>
      <c r="AS113">
        <v>0</v>
      </c>
      <c r="AT113">
        <v>0</v>
      </c>
      <c r="AU113">
        <v>0</v>
      </c>
    </row>
    <row r="114" spans="1:47" x14ac:dyDescent="0.25">
      <c r="A114" t="s">
        <v>83</v>
      </c>
      <c r="B114">
        <v>2382.92</v>
      </c>
      <c r="C114">
        <v>2388.62</v>
      </c>
      <c r="D114">
        <v>2388.62</v>
      </c>
      <c r="E114">
        <v>2635.13</v>
      </c>
      <c r="F114">
        <v>1635.69</v>
      </c>
      <c r="G114">
        <v>2089</v>
      </c>
      <c r="H114">
        <v>3214.86</v>
      </c>
      <c r="I114">
        <v>2557.92</v>
      </c>
      <c r="J114">
        <v>1520.03</v>
      </c>
      <c r="K114">
        <v>1689.2</v>
      </c>
      <c r="L114">
        <v>1768.08</v>
      </c>
      <c r="M114">
        <v>1872.05</v>
      </c>
      <c r="N114">
        <v>3761.41</v>
      </c>
      <c r="O114">
        <v>2122.27</v>
      </c>
      <c r="P114">
        <v>2948.6</v>
      </c>
      <c r="Q114">
        <v>1330.82</v>
      </c>
      <c r="R114">
        <v>1290.78</v>
      </c>
      <c r="S114">
        <v>1300.28</v>
      </c>
      <c r="T114">
        <v>1304.49</v>
      </c>
      <c r="U114">
        <v>1276.8399999999999</v>
      </c>
      <c r="V114">
        <v>1541</v>
      </c>
      <c r="W114">
        <v>1541.01</v>
      </c>
      <c r="X114">
        <v>1866.74</v>
      </c>
      <c r="Y114">
        <v>1896.39</v>
      </c>
      <c r="Z114">
        <v>1900.35</v>
      </c>
      <c r="AA114">
        <v>1951.78</v>
      </c>
      <c r="AB114">
        <v>2342.35</v>
      </c>
      <c r="AC114">
        <v>2341.02</v>
      </c>
      <c r="AD114">
        <v>2340.12</v>
      </c>
      <c r="AE114">
        <v>2315.0300000000002</v>
      </c>
      <c r="AF114">
        <v>2317.73</v>
      </c>
      <c r="AG114">
        <v>2321.65</v>
      </c>
      <c r="AH114">
        <v>2294.4899999999998</v>
      </c>
      <c r="AI114">
        <v>2329.19</v>
      </c>
      <c r="AJ114">
        <v>2333.42</v>
      </c>
      <c r="AK114">
        <v>2337.7600000000002</v>
      </c>
      <c r="AL114">
        <v>2347.08</v>
      </c>
      <c r="AM114">
        <v>2341.27</v>
      </c>
      <c r="AN114">
        <v>2344.87</v>
      </c>
      <c r="AO114">
        <v>2354.17</v>
      </c>
      <c r="AP114">
        <v>2323.4299999999998</v>
      </c>
      <c r="AQ114">
        <v>2367.9899999999998</v>
      </c>
      <c r="AR114">
        <v>2370.1999999999998</v>
      </c>
      <c r="AS114">
        <v>2402.5100000000002</v>
      </c>
      <c r="AT114">
        <v>2391.25</v>
      </c>
      <c r="AU114">
        <v>2433.8200000000002</v>
      </c>
    </row>
    <row r="115" spans="1:47" x14ac:dyDescent="0.25">
      <c r="A115" t="s">
        <v>84</v>
      </c>
      <c r="B115">
        <v>91.06</v>
      </c>
      <c r="C115">
        <v>35.56</v>
      </c>
      <c r="D115">
        <v>91.56</v>
      </c>
      <c r="E115">
        <v>94.57</v>
      </c>
      <c r="F115">
        <v>111.11</v>
      </c>
      <c r="G115">
        <v>107.1</v>
      </c>
      <c r="H115">
        <v>91.71</v>
      </c>
      <c r="I115">
        <v>46.18</v>
      </c>
      <c r="J115">
        <v>289.31</v>
      </c>
      <c r="K115">
        <v>556.96</v>
      </c>
      <c r="L115">
        <v>130.32</v>
      </c>
      <c r="M115">
        <v>187.96</v>
      </c>
      <c r="N115">
        <v>335.65</v>
      </c>
      <c r="O115">
        <v>276.77999999999997</v>
      </c>
      <c r="P115">
        <v>307.08</v>
      </c>
      <c r="Q115">
        <v>107</v>
      </c>
      <c r="R115">
        <v>107</v>
      </c>
      <c r="S115">
        <v>107</v>
      </c>
      <c r="T115">
        <v>107</v>
      </c>
      <c r="U115">
        <v>107</v>
      </c>
      <c r="V115">
        <v>107</v>
      </c>
      <c r="W115">
        <v>107</v>
      </c>
      <c r="X115">
        <v>107</v>
      </c>
      <c r="Y115">
        <v>123.44</v>
      </c>
      <c r="Z115">
        <v>131.18</v>
      </c>
      <c r="AA115">
        <v>171.47</v>
      </c>
      <c r="AB115">
        <v>171.47</v>
      </c>
      <c r="AC115">
        <v>171.47</v>
      </c>
      <c r="AD115">
        <v>171.47</v>
      </c>
      <c r="AE115">
        <v>171.47</v>
      </c>
      <c r="AF115">
        <v>171.47</v>
      </c>
      <c r="AG115">
        <v>147.87</v>
      </c>
      <c r="AH115">
        <v>131.18</v>
      </c>
      <c r="AI115">
        <v>171.47</v>
      </c>
      <c r="AJ115">
        <v>171.47</v>
      </c>
      <c r="AK115">
        <v>171.47</v>
      </c>
      <c r="AL115">
        <v>164.04</v>
      </c>
      <c r="AM115">
        <v>131.18</v>
      </c>
      <c r="AN115">
        <v>171.47</v>
      </c>
      <c r="AO115">
        <v>171.47</v>
      </c>
      <c r="AP115">
        <v>131.18</v>
      </c>
      <c r="AQ115">
        <v>133.22999999999999</v>
      </c>
      <c r="AR115">
        <v>131.18</v>
      </c>
      <c r="AS115">
        <v>152.63999999999999</v>
      </c>
      <c r="AT115">
        <v>131.18</v>
      </c>
      <c r="AU115">
        <v>171.47</v>
      </c>
    </row>
    <row r="117" spans="1:47" ht="18.75" x14ac:dyDescent="0.3">
      <c r="A117" s="35" t="s">
        <v>94</v>
      </c>
    </row>
    <row r="118" spans="1:47" x14ac:dyDescent="0.25">
      <c r="A118" t="s">
        <v>40</v>
      </c>
      <c r="B118" t="s">
        <v>41</v>
      </c>
      <c r="C118" t="s">
        <v>42</v>
      </c>
      <c r="D118" t="s">
        <v>43</v>
      </c>
      <c r="E118" t="s">
        <v>44</v>
      </c>
      <c r="F118" t="s">
        <v>45</v>
      </c>
      <c r="G118" t="s">
        <v>46</v>
      </c>
      <c r="H118" t="s">
        <v>47</v>
      </c>
      <c r="I118" t="s">
        <v>48</v>
      </c>
      <c r="J118" t="s">
        <v>49</v>
      </c>
      <c r="K118" t="s">
        <v>50</v>
      </c>
      <c r="L118" t="s">
        <v>51</v>
      </c>
      <c r="M118" t="s">
        <v>52</v>
      </c>
      <c r="N118" t="s">
        <v>53</v>
      </c>
      <c r="O118" t="s">
        <v>54</v>
      </c>
      <c r="P118" t="s">
        <v>55</v>
      </c>
      <c r="Q118" t="s">
        <v>56</v>
      </c>
      <c r="R118" t="s">
        <v>57</v>
      </c>
      <c r="S118" t="s">
        <v>58</v>
      </c>
      <c r="T118" t="s">
        <v>59</v>
      </c>
      <c r="U118" t="s">
        <v>60</v>
      </c>
      <c r="V118" t="s">
        <v>61</v>
      </c>
      <c r="W118" t="s">
        <v>62</v>
      </c>
      <c r="X118" t="s">
        <v>63</v>
      </c>
      <c r="Y118" t="s">
        <v>64</v>
      </c>
      <c r="Z118" t="s">
        <v>65</v>
      </c>
      <c r="AA118" t="s">
        <v>66</v>
      </c>
      <c r="AB118" t="s">
        <v>67</v>
      </c>
      <c r="AC118" t="s">
        <v>68</v>
      </c>
      <c r="AD118" t="s">
        <v>69</v>
      </c>
      <c r="AE118" t="s">
        <v>70</v>
      </c>
      <c r="AF118" t="s">
        <v>71</v>
      </c>
      <c r="AG118" t="s">
        <v>72</v>
      </c>
      <c r="AH118" t="s">
        <v>73</v>
      </c>
      <c r="AI118" t="s">
        <v>74</v>
      </c>
      <c r="AJ118" t="s">
        <v>75</v>
      </c>
      <c r="AK118" t="s">
        <v>76</v>
      </c>
      <c r="AL118" t="s">
        <v>332</v>
      </c>
      <c r="AM118" t="s">
        <v>333</v>
      </c>
      <c r="AN118" t="s">
        <v>334</v>
      </c>
      <c r="AO118" t="s">
        <v>335</v>
      </c>
      <c r="AP118" t="s">
        <v>336</v>
      </c>
      <c r="AQ118" t="s">
        <v>337</v>
      </c>
      <c r="AR118" t="s">
        <v>338</v>
      </c>
      <c r="AS118" t="s">
        <v>339</v>
      </c>
      <c r="AT118" t="s">
        <v>340</v>
      </c>
      <c r="AU118" t="s">
        <v>341</v>
      </c>
    </row>
    <row r="119" spans="1:47" x14ac:dyDescent="0.25">
      <c r="A119" t="s">
        <v>77</v>
      </c>
      <c r="B119">
        <v>4573</v>
      </c>
      <c r="C119">
        <v>4032</v>
      </c>
      <c r="D119">
        <v>4393</v>
      </c>
      <c r="E119">
        <v>4030</v>
      </c>
      <c r="F119">
        <v>2962</v>
      </c>
      <c r="G119">
        <v>3866</v>
      </c>
      <c r="H119">
        <v>4641</v>
      </c>
      <c r="I119">
        <v>4240</v>
      </c>
      <c r="J119">
        <v>4449</v>
      </c>
      <c r="K119">
        <v>4706.09</v>
      </c>
      <c r="L119">
        <v>3426</v>
      </c>
      <c r="M119">
        <v>3285</v>
      </c>
      <c r="N119">
        <v>3855</v>
      </c>
      <c r="O119">
        <v>3591</v>
      </c>
      <c r="P119">
        <v>3666</v>
      </c>
      <c r="Q119">
        <v>3660.45</v>
      </c>
      <c r="R119">
        <v>3660.45</v>
      </c>
      <c r="S119">
        <v>3660.43</v>
      </c>
      <c r="T119">
        <v>3660.43</v>
      </c>
      <c r="U119">
        <v>3696.35</v>
      </c>
      <c r="V119">
        <v>3799.28</v>
      </c>
      <c r="W119">
        <v>3831.52</v>
      </c>
      <c r="X119">
        <v>3831.53</v>
      </c>
      <c r="Y119">
        <v>3831.52</v>
      </c>
      <c r="Z119">
        <v>3831.52</v>
      </c>
      <c r="AA119">
        <v>3710.86</v>
      </c>
      <c r="AB119">
        <v>3551.85</v>
      </c>
      <c r="AC119">
        <v>3388.99</v>
      </c>
      <c r="AD119">
        <v>3367.25</v>
      </c>
      <c r="AE119">
        <v>3261.38</v>
      </c>
      <c r="AF119">
        <v>3235.49</v>
      </c>
      <c r="AG119">
        <v>3340.47</v>
      </c>
      <c r="AH119">
        <v>3329.75</v>
      </c>
      <c r="AI119">
        <v>2990.77</v>
      </c>
      <c r="AJ119">
        <v>2985.37</v>
      </c>
      <c r="AK119">
        <v>2723.05</v>
      </c>
      <c r="AL119">
        <v>2721.77</v>
      </c>
      <c r="AM119">
        <v>2584.88</v>
      </c>
      <c r="AN119">
        <v>2589.23</v>
      </c>
      <c r="AO119">
        <v>2453.96</v>
      </c>
      <c r="AP119">
        <v>2450.33</v>
      </c>
      <c r="AQ119">
        <v>2334.4499999999998</v>
      </c>
      <c r="AR119">
        <v>2348</v>
      </c>
      <c r="AS119">
        <v>2247.61</v>
      </c>
      <c r="AT119">
        <v>2265.33</v>
      </c>
      <c r="AU119">
        <v>2285.31</v>
      </c>
    </row>
    <row r="120" spans="1:47" x14ac:dyDescent="0.25">
      <c r="A120" t="s">
        <v>78</v>
      </c>
      <c r="B120">
        <v>92</v>
      </c>
      <c r="C120">
        <v>573</v>
      </c>
      <c r="D120">
        <v>620</v>
      </c>
      <c r="E120">
        <v>574</v>
      </c>
      <c r="F120">
        <v>579</v>
      </c>
      <c r="G120">
        <v>507</v>
      </c>
      <c r="H120">
        <v>682</v>
      </c>
      <c r="I120">
        <v>655</v>
      </c>
      <c r="J120">
        <v>646</v>
      </c>
      <c r="K120">
        <v>615.26</v>
      </c>
      <c r="L120">
        <v>620</v>
      </c>
      <c r="M120">
        <v>746</v>
      </c>
      <c r="N120">
        <v>739</v>
      </c>
      <c r="O120">
        <v>694</v>
      </c>
      <c r="P120">
        <v>707</v>
      </c>
      <c r="Q120">
        <v>775.02</v>
      </c>
      <c r="R120">
        <v>775.18</v>
      </c>
      <c r="S120">
        <v>775.96</v>
      </c>
      <c r="T120">
        <v>858.01</v>
      </c>
      <c r="U120">
        <v>1295.3399999999999</v>
      </c>
      <c r="V120">
        <v>2669.78</v>
      </c>
      <c r="W120">
        <v>2754.88</v>
      </c>
      <c r="X120">
        <v>2839.03</v>
      </c>
      <c r="Y120">
        <v>3447.83</v>
      </c>
      <c r="Z120">
        <v>3531.97</v>
      </c>
      <c r="AA120">
        <v>4893.53</v>
      </c>
      <c r="AB120">
        <v>6439.58</v>
      </c>
      <c r="AC120">
        <v>7932.6</v>
      </c>
      <c r="AD120">
        <v>8004.52</v>
      </c>
      <c r="AE120">
        <v>8404.0300000000007</v>
      </c>
      <c r="AF120">
        <v>8435.99</v>
      </c>
      <c r="AG120">
        <v>8624.1299999999992</v>
      </c>
      <c r="AH120">
        <v>8683.15</v>
      </c>
      <c r="AI120">
        <v>9791.5400000000009</v>
      </c>
      <c r="AJ120">
        <v>9864.61</v>
      </c>
      <c r="AK120">
        <v>10597.5</v>
      </c>
      <c r="AL120">
        <v>10683.97</v>
      </c>
      <c r="AM120">
        <v>11204.44</v>
      </c>
      <c r="AN120">
        <v>11316.47</v>
      </c>
      <c r="AO120">
        <v>11872.76</v>
      </c>
      <c r="AP120">
        <v>11952.68</v>
      </c>
      <c r="AQ120">
        <v>12502.07</v>
      </c>
      <c r="AR120">
        <v>12673.16</v>
      </c>
      <c r="AS120">
        <v>13226.64</v>
      </c>
      <c r="AT120">
        <v>13434.76</v>
      </c>
      <c r="AU120">
        <v>13656.86</v>
      </c>
    </row>
    <row r="121" spans="1:47" x14ac:dyDescent="0.25">
      <c r="A121" t="s">
        <v>79</v>
      </c>
      <c r="B121">
        <v>0</v>
      </c>
      <c r="C121">
        <v>0</v>
      </c>
      <c r="D121">
        <v>0</v>
      </c>
      <c r="E121">
        <v>0</v>
      </c>
      <c r="F121">
        <v>0</v>
      </c>
      <c r="G121">
        <v>0</v>
      </c>
      <c r="H121">
        <v>0</v>
      </c>
      <c r="I121">
        <v>0</v>
      </c>
      <c r="J121">
        <v>0</v>
      </c>
      <c r="K121">
        <v>0</v>
      </c>
      <c r="L121">
        <v>0</v>
      </c>
      <c r="M121">
        <v>0</v>
      </c>
      <c r="N121">
        <v>0</v>
      </c>
      <c r="O121">
        <v>123</v>
      </c>
      <c r="P121">
        <v>109</v>
      </c>
      <c r="Q121">
        <v>109</v>
      </c>
      <c r="R121">
        <v>109</v>
      </c>
      <c r="S121">
        <v>109</v>
      </c>
      <c r="T121">
        <v>196.6</v>
      </c>
      <c r="U121">
        <v>196.6</v>
      </c>
      <c r="V121">
        <v>196.6</v>
      </c>
      <c r="W121">
        <v>199.26</v>
      </c>
      <c r="X121">
        <v>199.26</v>
      </c>
      <c r="Y121">
        <v>199.26</v>
      </c>
      <c r="Z121">
        <v>199.26</v>
      </c>
      <c r="AA121">
        <v>190.6</v>
      </c>
      <c r="AB121">
        <v>182.48</v>
      </c>
      <c r="AC121">
        <v>169.31</v>
      </c>
      <c r="AD121">
        <v>168.11</v>
      </c>
      <c r="AE121">
        <v>162.66999999999999</v>
      </c>
      <c r="AF121">
        <v>161.22999999999999</v>
      </c>
      <c r="AG121">
        <v>163.19</v>
      </c>
      <c r="AH121">
        <v>162.69999999999999</v>
      </c>
      <c r="AI121">
        <v>145.75</v>
      </c>
      <c r="AJ121">
        <v>145.63999999999999</v>
      </c>
      <c r="AK121">
        <v>132.77000000000001</v>
      </c>
      <c r="AL121">
        <v>132.91</v>
      </c>
      <c r="AM121">
        <v>126.29</v>
      </c>
      <c r="AN121">
        <v>126.7</v>
      </c>
      <c r="AO121">
        <v>120.17</v>
      </c>
      <c r="AP121">
        <v>120.17</v>
      </c>
      <c r="AQ121">
        <v>114.58</v>
      </c>
      <c r="AR121">
        <v>115.41</v>
      </c>
      <c r="AS121">
        <v>110.58</v>
      </c>
      <c r="AT121">
        <v>111.61</v>
      </c>
      <c r="AU121">
        <v>112.74</v>
      </c>
    </row>
    <row r="122" spans="1:47" x14ac:dyDescent="0.25">
      <c r="A122" t="s">
        <v>80</v>
      </c>
      <c r="B122">
        <v>0</v>
      </c>
      <c r="C122">
        <v>0</v>
      </c>
      <c r="D122">
        <v>0</v>
      </c>
      <c r="E122">
        <v>0</v>
      </c>
      <c r="F122">
        <v>0</v>
      </c>
      <c r="G122">
        <v>0</v>
      </c>
      <c r="H122">
        <v>0</v>
      </c>
      <c r="I122">
        <v>0</v>
      </c>
      <c r="J122">
        <v>0</v>
      </c>
      <c r="K122">
        <v>0</v>
      </c>
      <c r="L122">
        <v>0</v>
      </c>
      <c r="M122">
        <v>0</v>
      </c>
      <c r="N122">
        <v>0</v>
      </c>
      <c r="O122">
        <v>0</v>
      </c>
      <c r="P122">
        <v>0</v>
      </c>
      <c r="Q122">
        <v>38.049999999999997</v>
      </c>
      <c r="R122">
        <v>73.2</v>
      </c>
      <c r="S122">
        <v>149.37</v>
      </c>
      <c r="T122">
        <v>192.9</v>
      </c>
      <c r="U122">
        <v>235.49</v>
      </c>
      <c r="V122">
        <v>278.02</v>
      </c>
      <c r="W122">
        <v>495.19</v>
      </c>
      <c r="X122">
        <v>535.09</v>
      </c>
      <c r="Y122">
        <v>536.09</v>
      </c>
      <c r="Z122">
        <v>537.84</v>
      </c>
      <c r="AA122">
        <v>608.52</v>
      </c>
      <c r="AB122">
        <v>667.82</v>
      </c>
      <c r="AC122">
        <v>701.74</v>
      </c>
      <c r="AD122">
        <v>779.84</v>
      </c>
      <c r="AE122">
        <v>911.2</v>
      </c>
      <c r="AF122">
        <v>1086.07</v>
      </c>
      <c r="AG122">
        <v>1125.01</v>
      </c>
      <c r="AH122">
        <v>1146.08</v>
      </c>
      <c r="AI122">
        <v>1066.2</v>
      </c>
      <c r="AJ122">
        <v>1084.43</v>
      </c>
      <c r="AK122">
        <v>1139.72</v>
      </c>
      <c r="AL122">
        <v>1154.78</v>
      </c>
      <c r="AM122">
        <v>1119.76</v>
      </c>
      <c r="AN122">
        <v>1135.74</v>
      </c>
      <c r="AO122">
        <v>1103.92</v>
      </c>
      <c r="AP122">
        <v>1225.4100000000001</v>
      </c>
      <c r="AQ122">
        <v>1196.76</v>
      </c>
      <c r="AR122">
        <v>1218.8</v>
      </c>
      <c r="AS122">
        <v>1197.92</v>
      </c>
      <c r="AT122">
        <v>1224</v>
      </c>
      <c r="AU122">
        <v>1251.07</v>
      </c>
    </row>
    <row r="123" spans="1:47" x14ac:dyDescent="0.25">
      <c r="A123" t="s">
        <v>81</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v>0</v>
      </c>
      <c r="AM123">
        <v>0</v>
      </c>
      <c r="AN123">
        <v>0</v>
      </c>
      <c r="AO123">
        <v>0</v>
      </c>
      <c r="AP123">
        <v>0</v>
      </c>
      <c r="AQ123">
        <v>0</v>
      </c>
      <c r="AR123">
        <v>0</v>
      </c>
      <c r="AS123">
        <v>0</v>
      </c>
      <c r="AT123">
        <v>0</v>
      </c>
      <c r="AU123">
        <v>0</v>
      </c>
    </row>
    <row r="124" spans="1:47" x14ac:dyDescent="0.25">
      <c r="A124" t="s">
        <v>82</v>
      </c>
      <c r="B124">
        <v>13157.72</v>
      </c>
      <c r="C124">
        <v>12734.72</v>
      </c>
      <c r="D124">
        <v>13706.72</v>
      </c>
      <c r="E124">
        <v>14055.07</v>
      </c>
      <c r="F124">
        <v>14446.21</v>
      </c>
      <c r="G124">
        <v>13510.41</v>
      </c>
      <c r="H124">
        <v>13181.21</v>
      </c>
      <c r="I124">
        <v>13089.82</v>
      </c>
      <c r="J124">
        <v>13578.27</v>
      </c>
      <c r="K124">
        <v>11726.75</v>
      </c>
      <c r="L124">
        <v>12023.56</v>
      </c>
      <c r="M124">
        <v>11974.82</v>
      </c>
      <c r="N124">
        <v>11915.14</v>
      </c>
      <c r="O124">
        <v>10290.84</v>
      </c>
      <c r="P124">
        <v>9981.5</v>
      </c>
      <c r="Q124">
        <v>1706.95</v>
      </c>
      <c r="R124">
        <v>1575.51</v>
      </c>
      <c r="S124">
        <v>1444.06</v>
      </c>
      <c r="T124">
        <v>1444.06</v>
      </c>
      <c r="U124">
        <v>1444.06</v>
      </c>
      <c r="V124">
        <v>1444.07</v>
      </c>
      <c r="W124">
        <v>1221.6500000000001</v>
      </c>
      <c r="X124">
        <v>799.55</v>
      </c>
      <c r="Y124">
        <v>361</v>
      </c>
      <c r="Z124">
        <v>361</v>
      </c>
      <c r="AA124">
        <v>194.47</v>
      </c>
      <c r="AB124">
        <v>159.91</v>
      </c>
      <c r="AC124">
        <v>133.08000000000001</v>
      </c>
      <c r="AD124">
        <v>132.13999999999999</v>
      </c>
      <c r="AE124">
        <v>127.86</v>
      </c>
      <c r="AF124">
        <v>126.73</v>
      </c>
      <c r="AG124">
        <v>128.27000000000001</v>
      </c>
      <c r="AH124">
        <v>127.89</v>
      </c>
      <c r="AI124">
        <v>114.56</v>
      </c>
      <c r="AJ124">
        <v>114.48</v>
      </c>
      <c r="AK124">
        <v>104.37</v>
      </c>
      <c r="AL124">
        <v>104.48</v>
      </c>
      <c r="AM124">
        <v>99.27</v>
      </c>
      <c r="AN124">
        <v>99.59</v>
      </c>
      <c r="AO124">
        <v>94.46</v>
      </c>
      <c r="AP124">
        <v>94.46</v>
      </c>
      <c r="AQ124">
        <v>90.07</v>
      </c>
      <c r="AR124">
        <v>90.72</v>
      </c>
      <c r="AS124">
        <v>86.92</v>
      </c>
      <c r="AT124">
        <v>87.73</v>
      </c>
      <c r="AU124">
        <v>88.62</v>
      </c>
    </row>
    <row r="125" spans="1:47" x14ac:dyDescent="0.25">
      <c r="A125" t="s">
        <v>83</v>
      </c>
      <c r="B125">
        <v>1896.28</v>
      </c>
      <c r="C125">
        <v>2247.2800000000002</v>
      </c>
      <c r="D125">
        <v>1869.28</v>
      </c>
      <c r="E125">
        <v>3083.94</v>
      </c>
      <c r="F125">
        <v>2763.79</v>
      </c>
      <c r="G125">
        <v>2503.59</v>
      </c>
      <c r="H125">
        <v>2678.79</v>
      </c>
      <c r="I125">
        <v>3253.18</v>
      </c>
      <c r="J125">
        <v>4493.7299999999996</v>
      </c>
      <c r="K125">
        <v>6022.45</v>
      </c>
      <c r="L125">
        <v>7348.4</v>
      </c>
      <c r="M125">
        <v>8613.18</v>
      </c>
      <c r="N125">
        <v>9045.8700000000008</v>
      </c>
      <c r="O125">
        <v>9436.16</v>
      </c>
      <c r="P125">
        <v>9714.5</v>
      </c>
      <c r="Q125">
        <v>14877.15</v>
      </c>
      <c r="R125">
        <v>14977.46</v>
      </c>
      <c r="S125">
        <v>14512.86</v>
      </c>
      <c r="T125">
        <v>14644.4</v>
      </c>
      <c r="U125">
        <v>14979.18</v>
      </c>
      <c r="V125">
        <v>13924.21</v>
      </c>
      <c r="W125">
        <v>13847.29</v>
      </c>
      <c r="X125">
        <v>13951.26</v>
      </c>
      <c r="Y125">
        <v>13650.46</v>
      </c>
      <c r="Z125">
        <v>13253.71</v>
      </c>
      <c r="AA125">
        <v>12503.35</v>
      </c>
      <c r="AB125">
        <v>11109.27</v>
      </c>
      <c r="AC125">
        <v>9809.23</v>
      </c>
      <c r="AD125">
        <v>9673.07</v>
      </c>
      <c r="AE125">
        <v>9248.89</v>
      </c>
      <c r="AF125">
        <v>9135.48</v>
      </c>
      <c r="AG125">
        <v>8839.84</v>
      </c>
      <c r="AH125">
        <v>8814.1299999999992</v>
      </c>
      <c r="AI125">
        <v>8235.0300000000007</v>
      </c>
      <c r="AJ125">
        <v>8231.7099999999991</v>
      </c>
      <c r="AK125">
        <v>7828.55</v>
      </c>
      <c r="AL125">
        <v>7832.91</v>
      </c>
      <c r="AM125">
        <v>7625.5</v>
      </c>
      <c r="AN125">
        <v>7638.28</v>
      </c>
      <c r="AO125">
        <v>7433.7</v>
      </c>
      <c r="AP125">
        <v>7433.6</v>
      </c>
      <c r="AQ125">
        <v>7258.6</v>
      </c>
      <c r="AR125">
        <v>7284.47</v>
      </c>
      <c r="AS125">
        <v>7133.12</v>
      </c>
      <c r="AT125">
        <v>7165.4</v>
      </c>
      <c r="AU125">
        <v>7200.9</v>
      </c>
    </row>
    <row r="126" spans="1:47" x14ac:dyDescent="0.25">
      <c r="A126" t="s">
        <v>84</v>
      </c>
      <c r="B126">
        <v>17.899999999999999</v>
      </c>
      <c r="C126">
        <v>19.5</v>
      </c>
      <c r="D126">
        <v>25.9</v>
      </c>
      <c r="E126">
        <v>22.6</v>
      </c>
      <c r="F126">
        <v>17.899999999999999</v>
      </c>
      <c r="G126">
        <v>20.8</v>
      </c>
      <c r="H126">
        <v>12.3</v>
      </c>
      <c r="I126">
        <v>11.3</v>
      </c>
      <c r="J126">
        <v>15</v>
      </c>
      <c r="K126">
        <v>12.4</v>
      </c>
      <c r="L126">
        <v>2</v>
      </c>
      <c r="M126">
        <v>1</v>
      </c>
      <c r="N126">
        <v>1</v>
      </c>
      <c r="O126">
        <v>1</v>
      </c>
      <c r="P126">
        <v>1</v>
      </c>
      <c r="Q126">
        <v>17.03</v>
      </c>
      <c r="R126">
        <v>25.9</v>
      </c>
      <c r="S126">
        <v>25.9</v>
      </c>
      <c r="T126">
        <v>24.72</v>
      </c>
      <c r="U126">
        <v>8.1999999999999993</v>
      </c>
      <c r="V126">
        <v>8.1999999999999993</v>
      </c>
      <c r="W126">
        <v>8.1999999999999993</v>
      </c>
      <c r="X126">
        <v>8.1999999999999993</v>
      </c>
      <c r="Y126">
        <v>8.1999999999999993</v>
      </c>
      <c r="Z126">
        <v>8.1999999999999993</v>
      </c>
      <c r="AA126">
        <v>7.95</v>
      </c>
      <c r="AB126">
        <v>7.61</v>
      </c>
      <c r="AC126">
        <v>7.06</v>
      </c>
      <c r="AD126">
        <v>7.01</v>
      </c>
      <c r="AE126">
        <v>6.78</v>
      </c>
      <c r="AF126">
        <v>6.72</v>
      </c>
      <c r="AG126">
        <v>6.81</v>
      </c>
      <c r="AH126">
        <v>6.79</v>
      </c>
      <c r="AI126">
        <v>6.08</v>
      </c>
      <c r="AJ126">
        <v>6.07</v>
      </c>
      <c r="AK126">
        <v>5.54</v>
      </c>
      <c r="AL126">
        <v>5.54</v>
      </c>
      <c r="AM126">
        <v>5.27</v>
      </c>
      <c r="AN126">
        <v>5.28</v>
      </c>
      <c r="AO126">
        <v>5.01</v>
      </c>
      <c r="AP126">
        <v>5.01</v>
      </c>
      <c r="AQ126">
        <v>4.78</v>
      </c>
      <c r="AR126">
        <v>4.8099999999999996</v>
      </c>
      <c r="AS126">
        <v>4.6100000000000003</v>
      </c>
      <c r="AT126">
        <v>4.6500000000000004</v>
      </c>
      <c r="AU126">
        <v>4.7</v>
      </c>
    </row>
    <row r="128" spans="1:47" ht="18.75" x14ac:dyDescent="0.3">
      <c r="A128" s="35" t="s">
        <v>95</v>
      </c>
    </row>
    <row r="129" spans="1:47" x14ac:dyDescent="0.25">
      <c r="A129" t="s">
        <v>40</v>
      </c>
      <c r="B129" t="s">
        <v>41</v>
      </c>
      <c r="C129" t="s">
        <v>42</v>
      </c>
      <c r="D129" t="s">
        <v>43</v>
      </c>
      <c r="E129" t="s">
        <v>44</v>
      </c>
      <c r="F129" t="s">
        <v>45</v>
      </c>
      <c r="G129" t="s">
        <v>46</v>
      </c>
      <c r="H129" t="s">
        <v>47</v>
      </c>
      <c r="I129" t="s">
        <v>48</v>
      </c>
      <c r="J129" t="s">
        <v>49</v>
      </c>
      <c r="K129" t="s">
        <v>50</v>
      </c>
      <c r="L129" t="s">
        <v>51</v>
      </c>
      <c r="M129" t="s">
        <v>52</v>
      </c>
      <c r="N129" t="s">
        <v>53</v>
      </c>
      <c r="O129" t="s">
        <v>54</v>
      </c>
      <c r="P129" t="s">
        <v>55</v>
      </c>
      <c r="Q129" t="s">
        <v>56</v>
      </c>
      <c r="R129" t="s">
        <v>57</v>
      </c>
      <c r="S129" t="s">
        <v>58</v>
      </c>
      <c r="T129" t="s">
        <v>59</v>
      </c>
      <c r="U129" t="s">
        <v>60</v>
      </c>
      <c r="V129" t="s">
        <v>61</v>
      </c>
      <c r="W129" t="s">
        <v>62</v>
      </c>
      <c r="X129" t="s">
        <v>63</v>
      </c>
      <c r="Y129" t="s">
        <v>64</v>
      </c>
      <c r="Z129" t="s">
        <v>65</v>
      </c>
      <c r="AA129" t="s">
        <v>66</v>
      </c>
      <c r="AB129" t="s">
        <v>67</v>
      </c>
      <c r="AC129" t="s">
        <v>68</v>
      </c>
      <c r="AD129" t="s">
        <v>69</v>
      </c>
      <c r="AE129" t="s">
        <v>70</v>
      </c>
      <c r="AF129" t="s">
        <v>71</v>
      </c>
      <c r="AG129" t="s">
        <v>72</v>
      </c>
      <c r="AH129" t="s">
        <v>73</v>
      </c>
      <c r="AI129" t="s">
        <v>74</v>
      </c>
      <c r="AJ129" t="s">
        <v>75</v>
      </c>
      <c r="AK129" t="s">
        <v>76</v>
      </c>
      <c r="AL129" t="s">
        <v>332</v>
      </c>
      <c r="AM129" t="s">
        <v>333</v>
      </c>
      <c r="AN129" t="s">
        <v>334</v>
      </c>
      <c r="AO129" t="s">
        <v>335</v>
      </c>
      <c r="AP129" t="s">
        <v>336</v>
      </c>
      <c r="AQ129" t="s">
        <v>337</v>
      </c>
      <c r="AR129" t="s">
        <v>338</v>
      </c>
      <c r="AS129" t="s">
        <v>339</v>
      </c>
      <c r="AT129" t="s">
        <v>340</v>
      </c>
      <c r="AU129" t="s">
        <v>341</v>
      </c>
    </row>
    <row r="130" spans="1:47" x14ac:dyDescent="0.25">
      <c r="A130" t="s">
        <v>77</v>
      </c>
      <c r="B130">
        <v>330.63</v>
      </c>
      <c r="C130">
        <v>330.63</v>
      </c>
      <c r="D130">
        <v>330.63</v>
      </c>
      <c r="E130">
        <v>348.29</v>
      </c>
      <c r="F130">
        <v>379.06</v>
      </c>
      <c r="G130">
        <v>380.43</v>
      </c>
      <c r="H130">
        <v>388.07</v>
      </c>
      <c r="I130">
        <v>430.19</v>
      </c>
      <c r="J130">
        <v>347.19</v>
      </c>
      <c r="K130">
        <v>410.67</v>
      </c>
      <c r="L130">
        <v>422</v>
      </c>
      <c r="M130">
        <v>419</v>
      </c>
      <c r="N130">
        <v>448</v>
      </c>
      <c r="O130">
        <v>419</v>
      </c>
      <c r="P130">
        <v>376</v>
      </c>
      <c r="Q130">
        <v>375.99</v>
      </c>
      <c r="R130">
        <v>376.02</v>
      </c>
      <c r="S130">
        <v>419.59</v>
      </c>
      <c r="T130">
        <v>419.58</v>
      </c>
      <c r="U130">
        <v>419.57</v>
      </c>
      <c r="V130">
        <v>472.09</v>
      </c>
      <c r="W130">
        <v>472.07</v>
      </c>
      <c r="X130">
        <v>603.39</v>
      </c>
      <c r="Y130">
        <v>653.54</v>
      </c>
      <c r="Z130">
        <v>642.04</v>
      </c>
      <c r="AA130">
        <v>634.28</v>
      </c>
      <c r="AB130">
        <v>541.6</v>
      </c>
      <c r="AC130">
        <v>442.31</v>
      </c>
      <c r="AD130">
        <v>439.25</v>
      </c>
      <c r="AE130">
        <v>443.84</v>
      </c>
      <c r="AF130">
        <v>398.65</v>
      </c>
      <c r="AG130">
        <v>400.66</v>
      </c>
      <c r="AH130">
        <v>403.11</v>
      </c>
      <c r="AI130">
        <v>402.94</v>
      </c>
      <c r="AJ130">
        <v>408.32</v>
      </c>
      <c r="AK130">
        <v>411.7</v>
      </c>
      <c r="AL130">
        <v>415.42</v>
      </c>
      <c r="AM130">
        <v>420.13</v>
      </c>
      <c r="AN130">
        <v>427</v>
      </c>
      <c r="AO130">
        <v>429.87</v>
      </c>
      <c r="AP130">
        <v>437.06</v>
      </c>
      <c r="AQ130">
        <v>444.32</v>
      </c>
      <c r="AR130">
        <v>450.64</v>
      </c>
      <c r="AS130">
        <v>456.64</v>
      </c>
      <c r="AT130">
        <v>464.14</v>
      </c>
      <c r="AU130">
        <v>471.9</v>
      </c>
    </row>
    <row r="131" spans="1:47" x14ac:dyDescent="0.25">
      <c r="A131" t="s">
        <v>78</v>
      </c>
      <c r="B131">
        <v>0.41</v>
      </c>
      <c r="C131">
        <v>0.41</v>
      </c>
      <c r="D131">
        <v>0.41</v>
      </c>
      <c r="E131">
        <v>0.44</v>
      </c>
      <c r="F131">
        <v>0.23</v>
      </c>
      <c r="G131">
        <v>0.09</v>
      </c>
      <c r="H131">
        <v>0.4</v>
      </c>
      <c r="I131">
        <v>0.45</v>
      </c>
      <c r="J131">
        <v>0.28000000000000003</v>
      </c>
      <c r="K131">
        <v>0.33</v>
      </c>
      <c r="L131">
        <v>1</v>
      </c>
      <c r="M131">
        <v>1</v>
      </c>
      <c r="N131">
        <v>0</v>
      </c>
      <c r="O131">
        <v>0</v>
      </c>
      <c r="P131">
        <v>0</v>
      </c>
      <c r="Q131">
        <v>0</v>
      </c>
      <c r="R131">
        <v>0</v>
      </c>
      <c r="S131">
        <v>0</v>
      </c>
      <c r="T131">
        <v>2.5099999999999998</v>
      </c>
      <c r="U131">
        <v>5.37</v>
      </c>
      <c r="V131">
        <v>52.05</v>
      </c>
      <c r="W131">
        <v>55.18</v>
      </c>
      <c r="X131">
        <v>58.8</v>
      </c>
      <c r="Y131">
        <v>62.09</v>
      </c>
      <c r="Z131">
        <v>65.3</v>
      </c>
      <c r="AA131">
        <v>68.58</v>
      </c>
      <c r="AB131">
        <v>68.25</v>
      </c>
      <c r="AC131">
        <v>60.82</v>
      </c>
      <c r="AD131">
        <v>60.48</v>
      </c>
      <c r="AE131">
        <v>61.17</v>
      </c>
      <c r="AF131">
        <v>56.88</v>
      </c>
      <c r="AG131">
        <v>57.18</v>
      </c>
      <c r="AH131">
        <v>57.53</v>
      </c>
      <c r="AI131">
        <v>57.49</v>
      </c>
      <c r="AJ131">
        <v>58.29</v>
      </c>
      <c r="AK131">
        <v>58.57</v>
      </c>
      <c r="AL131">
        <v>59.03</v>
      </c>
      <c r="AM131">
        <v>59.69</v>
      </c>
      <c r="AN131">
        <v>60.48</v>
      </c>
      <c r="AO131">
        <v>60.76</v>
      </c>
      <c r="AP131">
        <v>61.47</v>
      </c>
      <c r="AQ131">
        <v>62.11</v>
      </c>
      <c r="AR131">
        <v>62.74</v>
      </c>
      <c r="AS131">
        <v>63.37</v>
      </c>
      <c r="AT131">
        <v>64.010000000000005</v>
      </c>
      <c r="AU131">
        <v>64.64</v>
      </c>
    </row>
    <row r="132" spans="1:47" x14ac:dyDescent="0.25">
      <c r="A132" t="s">
        <v>79</v>
      </c>
      <c r="B132">
        <v>0</v>
      </c>
      <c r="C132">
        <v>0</v>
      </c>
      <c r="D132">
        <v>0</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c r="AL132">
        <v>0</v>
      </c>
      <c r="AM132">
        <v>0</v>
      </c>
      <c r="AN132">
        <v>0</v>
      </c>
      <c r="AO132">
        <v>0</v>
      </c>
      <c r="AP132">
        <v>0</v>
      </c>
      <c r="AQ132">
        <v>0</v>
      </c>
      <c r="AR132">
        <v>0</v>
      </c>
      <c r="AS132">
        <v>0</v>
      </c>
      <c r="AT132">
        <v>0</v>
      </c>
      <c r="AU132">
        <v>0</v>
      </c>
    </row>
    <row r="133" spans="1:47" x14ac:dyDescent="0.25">
      <c r="A133" t="s">
        <v>80</v>
      </c>
      <c r="B133">
        <v>0</v>
      </c>
      <c r="C133">
        <v>0</v>
      </c>
      <c r="D133">
        <v>0</v>
      </c>
      <c r="E133">
        <v>0</v>
      </c>
      <c r="F133">
        <v>0</v>
      </c>
      <c r="G133">
        <v>0</v>
      </c>
      <c r="H133">
        <v>0</v>
      </c>
      <c r="I133">
        <v>0</v>
      </c>
      <c r="J133">
        <v>0</v>
      </c>
      <c r="K133">
        <v>0</v>
      </c>
      <c r="L133">
        <v>0</v>
      </c>
      <c r="M133">
        <v>0</v>
      </c>
      <c r="N133">
        <v>0</v>
      </c>
      <c r="O133">
        <v>0</v>
      </c>
      <c r="P133">
        <v>0</v>
      </c>
      <c r="Q133">
        <v>0</v>
      </c>
      <c r="R133">
        <v>0</v>
      </c>
      <c r="S133">
        <v>1.3</v>
      </c>
      <c r="T133">
        <v>1.3</v>
      </c>
      <c r="U133">
        <v>2.79</v>
      </c>
      <c r="V133">
        <v>4.41</v>
      </c>
      <c r="W133">
        <v>6.28</v>
      </c>
      <c r="X133">
        <v>7.98</v>
      </c>
      <c r="Y133">
        <v>9.81</v>
      </c>
      <c r="Z133">
        <v>11.51</v>
      </c>
      <c r="AA133">
        <v>11.51</v>
      </c>
      <c r="AB133">
        <v>11.46</v>
      </c>
      <c r="AC133">
        <v>10.210000000000001</v>
      </c>
      <c r="AD133">
        <v>10.15</v>
      </c>
      <c r="AE133">
        <v>10.27</v>
      </c>
      <c r="AF133">
        <v>9.5500000000000007</v>
      </c>
      <c r="AG133">
        <v>9.6</v>
      </c>
      <c r="AH133">
        <v>9.66</v>
      </c>
      <c r="AI133">
        <v>9.65</v>
      </c>
      <c r="AJ133">
        <v>9.7799999999999994</v>
      </c>
      <c r="AK133">
        <v>9.83</v>
      </c>
      <c r="AL133">
        <v>9.91</v>
      </c>
      <c r="AM133">
        <v>10.02</v>
      </c>
      <c r="AN133">
        <v>10.15</v>
      </c>
      <c r="AO133">
        <v>10.199999999999999</v>
      </c>
      <c r="AP133">
        <v>10.32</v>
      </c>
      <c r="AQ133">
        <v>10.42</v>
      </c>
      <c r="AR133">
        <v>10.53</v>
      </c>
      <c r="AS133">
        <v>10.64</v>
      </c>
      <c r="AT133">
        <v>10.74</v>
      </c>
      <c r="AU133">
        <v>10.85</v>
      </c>
    </row>
    <row r="134" spans="1:47" x14ac:dyDescent="0.25">
      <c r="A134" t="s">
        <v>81</v>
      </c>
      <c r="B134">
        <v>0</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c r="AP134">
        <v>0</v>
      </c>
      <c r="AQ134">
        <v>0</v>
      </c>
      <c r="AR134">
        <v>0</v>
      </c>
      <c r="AS134">
        <v>0</v>
      </c>
      <c r="AT134">
        <v>0</v>
      </c>
      <c r="AU134">
        <v>0</v>
      </c>
    </row>
    <row r="135" spans="1:47" x14ac:dyDescent="0.25">
      <c r="A135" t="s">
        <v>82</v>
      </c>
      <c r="B135">
        <v>0</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c r="AP135">
        <v>0</v>
      </c>
      <c r="AQ135">
        <v>0</v>
      </c>
      <c r="AR135">
        <v>0</v>
      </c>
      <c r="AS135">
        <v>0</v>
      </c>
      <c r="AT135">
        <v>0</v>
      </c>
      <c r="AU135">
        <v>0</v>
      </c>
    </row>
    <row r="136" spans="1:47" x14ac:dyDescent="0.25">
      <c r="A136" t="s">
        <v>83</v>
      </c>
      <c r="B136">
        <v>0</v>
      </c>
      <c r="C136">
        <v>0</v>
      </c>
      <c r="D136">
        <v>0</v>
      </c>
      <c r="E136">
        <v>0</v>
      </c>
      <c r="F136">
        <v>0</v>
      </c>
      <c r="G136">
        <v>0</v>
      </c>
      <c r="H136">
        <v>0</v>
      </c>
      <c r="I136">
        <v>0</v>
      </c>
      <c r="J136">
        <v>0</v>
      </c>
      <c r="K136">
        <v>0</v>
      </c>
      <c r="L136">
        <v>26</v>
      </c>
      <c r="M136">
        <v>27</v>
      </c>
      <c r="N136">
        <v>37</v>
      </c>
      <c r="O136">
        <v>59</v>
      </c>
      <c r="P136">
        <v>92</v>
      </c>
      <c r="Q136">
        <v>117.86</v>
      </c>
      <c r="R136">
        <v>167.92</v>
      </c>
      <c r="S136">
        <v>146.97</v>
      </c>
      <c r="T136">
        <v>173.45</v>
      </c>
      <c r="U136">
        <v>173.45</v>
      </c>
      <c r="V136">
        <v>167.1</v>
      </c>
      <c r="W136">
        <v>153.49</v>
      </c>
      <c r="X136">
        <v>65.83</v>
      </c>
      <c r="Y136">
        <v>26.07</v>
      </c>
      <c r="Z136">
        <v>3.5</v>
      </c>
      <c r="AA136">
        <v>1.81</v>
      </c>
      <c r="AB136">
        <v>0</v>
      </c>
      <c r="AC136">
        <v>0</v>
      </c>
      <c r="AD136">
        <v>0</v>
      </c>
      <c r="AE136">
        <v>0</v>
      </c>
      <c r="AF136">
        <v>0</v>
      </c>
      <c r="AG136">
        <v>0</v>
      </c>
      <c r="AH136">
        <v>0</v>
      </c>
      <c r="AI136">
        <v>0</v>
      </c>
      <c r="AJ136">
        <v>0</v>
      </c>
      <c r="AK136">
        <v>0</v>
      </c>
      <c r="AL136">
        <v>0</v>
      </c>
      <c r="AM136">
        <v>0</v>
      </c>
      <c r="AN136">
        <v>0</v>
      </c>
      <c r="AO136">
        <v>0</v>
      </c>
      <c r="AP136">
        <v>0</v>
      </c>
      <c r="AQ136">
        <v>0</v>
      </c>
      <c r="AR136">
        <v>0</v>
      </c>
      <c r="AS136">
        <v>0</v>
      </c>
      <c r="AT136">
        <v>0</v>
      </c>
      <c r="AU136">
        <v>0</v>
      </c>
    </row>
    <row r="137" spans="1:47" x14ac:dyDescent="0.25">
      <c r="A137" t="s">
        <v>84</v>
      </c>
      <c r="B137">
        <v>22.09</v>
      </c>
      <c r="C137">
        <v>22.09</v>
      </c>
      <c r="D137">
        <v>22.09</v>
      </c>
      <c r="E137">
        <v>22.33</v>
      </c>
      <c r="F137">
        <v>18.54</v>
      </c>
      <c r="G137">
        <v>24.78</v>
      </c>
      <c r="H137">
        <v>36.869999999999997</v>
      </c>
      <c r="I137">
        <v>24.37</v>
      </c>
      <c r="J137">
        <v>23.29</v>
      </c>
      <c r="K137">
        <v>23</v>
      </c>
      <c r="L137">
        <v>0</v>
      </c>
      <c r="M137">
        <v>0</v>
      </c>
      <c r="N137">
        <v>0</v>
      </c>
      <c r="O137">
        <v>0</v>
      </c>
      <c r="P137">
        <v>0</v>
      </c>
      <c r="Q137">
        <v>5.2</v>
      </c>
      <c r="R137">
        <v>35.83</v>
      </c>
      <c r="S137">
        <v>23.56</v>
      </c>
      <c r="T137">
        <v>60.29</v>
      </c>
      <c r="U137">
        <v>164.84</v>
      </c>
      <c r="V137">
        <v>40.229999999999997</v>
      </c>
      <c r="W137">
        <v>31.34</v>
      </c>
      <c r="X137">
        <v>0.36</v>
      </c>
      <c r="Y137">
        <v>0</v>
      </c>
      <c r="Z137">
        <v>0</v>
      </c>
      <c r="AA137">
        <v>0</v>
      </c>
      <c r="AB137">
        <v>0</v>
      </c>
      <c r="AC137">
        <v>0</v>
      </c>
      <c r="AD137">
        <v>0</v>
      </c>
      <c r="AE137">
        <v>0</v>
      </c>
      <c r="AF137">
        <v>0</v>
      </c>
      <c r="AG137">
        <v>0</v>
      </c>
      <c r="AH137">
        <v>0</v>
      </c>
      <c r="AI137">
        <v>0</v>
      </c>
      <c r="AJ137">
        <v>0</v>
      </c>
      <c r="AK137">
        <v>0</v>
      </c>
      <c r="AL137">
        <v>0</v>
      </c>
      <c r="AM137">
        <v>0</v>
      </c>
      <c r="AN137">
        <v>0</v>
      </c>
      <c r="AO137">
        <v>0</v>
      </c>
      <c r="AP137">
        <v>0</v>
      </c>
      <c r="AQ137">
        <v>0</v>
      </c>
      <c r="AR137">
        <v>0</v>
      </c>
      <c r="AS137">
        <v>0</v>
      </c>
      <c r="AT137">
        <v>0</v>
      </c>
      <c r="AU137">
        <v>0</v>
      </c>
    </row>
    <row r="139" spans="1:47" ht="18.75" x14ac:dyDescent="0.3">
      <c r="A139" s="35" t="s">
        <v>96</v>
      </c>
    </row>
    <row r="140" spans="1:47" x14ac:dyDescent="0.25">
      <c r="A140" t="s">
        <v>40</v>
      </c>
      <c r="B140" t="s">
        <v>41</v>
      </c>
      <c r="C140" t="s">
        <v>42</v>
      </c>
      <c r="D140" t="s">
        <v>43</v>
      </c>
      <c r="E140" t="s">
        <v>44</v>
      </c>
      <c r="F140" t="s">
        <v>45</v>
      </c>
      <c r="G140" t="s">
        <v>46</v>
      </c>
      <c r="H140" t="s">
        <v>47</v>
      </c>
      <c r="I140" t="s">
        <v>48</v>
      </c>
      <c r="J140" t="s">
        <v>49</v>
      </c>
      <c r="K140" t="s">
        <v>50</v>
      </c>
      <c r="L140" t="s">
        <v>51</v>
      </c>
      <c r="M140" t="s">
        <v>52</v>
      </c>
      <c r="N140" t="s">
        <v>53</v>
      </c>
      <c r="O140" t="s">
        <v>54</v>
      </c>
      <c r="P140" t="s">
        <v>55</v>
      </c>
      <c r="Q140" t="s">
        <v>56</v>
      </c>
      <c r="R140" t="s">
        <v>57</v>
      </c>
      <c r="S140" t="s">
        <v>58</v>
      </c>
      <c r="T140" t="s">
        <v>59</v>
      </c>
      <c r="U140" t="s">
        <v>60</v>
      </c>
      <c r="V140" t="s">
        <v>61</v>
      </c>
      <c r="W140" t="s">
        <v>62</v>
      </c>
      <c r="X140" t="s">
        <v>63</v>
      </c>
      <c r="Y140" t="s">
        <v>64</v>
      </c>
      <c r="Z140" t="s">
        <v>65</v>
      </c>
      <c r="AA140" t="s">
        <v>66</v>
      </c>
      <c r="AB140" t="s">
        <v>67</v>
      </c>
      <c r="AC140" t="s">
        <v>68</v>
      </c>
      <c r="AD140" t="s">
        <v>69</v>
      </c>
      <c r="AE140" t="s">
        <v>70</v>
      </c>
      <c r="AF140" t="s">
        <v>71</v>
      </c>
      <c r="AG140" t="s">
        <v>72</v>
      </c>
      <c r="AH140" t="s">
        <v>73</v>
      </c>
      <c r="AI140" t="s">
        <v>74</v>
      </c>
      <c r="AJ140" t="s">
        <v>75</v>
      </c>
      <c r="AK140" t="s">
        <v>76</v>
      </c>
      <c r="AL140" t="s">
        <v>332</v>
      </c>
      <c r="AM140" t="s">
        <v>333</v>
      </c>
      <c r="AN140" t="s">
        <v>334</v>
      </c>
      <c r="AO140" t="s">
        <v>335</v>
      </c>
      <c r="AP140" t="s">
        <v>336</v>
      </c>
      <c r="AQ140" t="s">
        <v>337</v>
      </c>
      <c r="AR140" t="s">
        <v>338</v>
      </c>
      <c r="AS140" t="s">
        <v>339</v>
      </c>
      <c r="AT140" t="s">
        <v>340</v>
      </c>
      <c r="AU140" t="s">
        <v>341</v>
      </c>
    </row>
    <row r="141" spans="1:47" x14ac:dyDescent="0.25">
      <c r="A141" t="s">
        <v>77</v>
      </c>
      <c r="B141">
        <v>259.11</v>
      </c>
      <c r="C141">
        <v>251.87</v>
      </c>
      <c r="D141">
        <v>250.25</v>
      </c>
      <c r="E141">
        <v>246.58</v>
      </c>
      <c r="F141">
        <v>253.95</v>
      </c>
      <c r="G141">
        <v>253.95</v>
      </c>
      <c r="H141">
        <v>260.35000000000002</v>
      </c>
      <c r="I141">
        <v>255.2</v>
      </c>
      <c r="J141">
        <v>262.76</v>
      </c>
      <c r="K141">
        <v>233.82</v>
      </c>
      <c r="L141">
        <v>164</v>
      </c>
      <c r="M141">
        <v>243</v>
      </c>
      <c r="N141">
        <v>249</v>
      </c>
      <c r="O141">
        <v>253</v>
      </c>
      <c r="P141">
        <v>267</v>
      </c>
      <c r="Q141">
        <v>115.84</v>
      </c>
      <c r="R141">
        <v>114.72</v>
      </c>
      <c r="S141">
        <v>114</v>
      </c>
      <c r="T141">
        <v>112.95</v>
      </c>
      <c r="U141">
        <v>246.46</v>
      </c>
      <c r="V141">
        <v>277.14999999999998</v>
      </c>
      <c r="W141">
        <v>281.58999999999997</v>
      </c>
      <c r="X141">
        <v>286.38</v>
      </c>
      <c r="Y141">
        <v>287.41000000000003</v>
      </c>
      <c r="Z141">
        <v>308.39999999999998</v>
      </c>
      <c r="AA141">
        <v>308.39999999999998</v>
      </c>
      <c r="AB141">
        <v>307.25</v>
      </c>
      <c r="AC141">
        <v>307.11</v>
      </c>
      <c r="AD141">
        <v>306.97000000000003</v>
      </c>
      <c r="AE141">
        <v>306.82</v>
      </c>
      <c r="AF141">
        <v>306.69</v>
      </c>
      <c r="AG141">
        <v>305.58</v>
      </c>
      <c r="AH141">
        <v>304.77999999999997</v>
      </c>
      <c r="AI141">
        <v>303</v>
      </c>
      <c r="AJ141">
        <v>300.77</v>
      </c>
      <c r="AK141">
        <v>299.52</v>
      </c>
      <c r="AL141">
        <v>300.2</v>
      </c>
      <c r="AM141">
        <v>298.51</v>
      </c>
      <c r="AN141">
        <v>297.77999999999997</v>
      </c>
      <c r="AO141">
        <v>297.05</v>
      </c>
      <c r="AP141">
        <v>296.31</v>
      </c>
      <c r="AQ141">
        <v>297.45</v>
      </c>
      <c r="AR141">
        <v>294.82</v>
      </c>
      <c r="AS141">
        <v>295.02</v>
      </c>
      <c r="AT141">
        <v>294.29000000000002</v>
      </c>
      <c r="AU141">
        <v>294.02999999999997</v>
      </c>
    </row>
    <row r="142" spans="1:47" x14ac:dyDescent="0.25">
      <c r="A142" t="s">
        <v>78</v>
      </c>
      <c r="B142">
        <v>0</v>
      </c>
      <c r="C142">
        <v>0</v>
      </c>
      <c r="D142">
        <v>0</v>
      </c>
      <c r="E142">
        <v>0</v>
      </c>
      <c r="F142">
        <v>0</v>
      </c>
      <c r="G142">
        <v>0</v>
      </c>
      <c r="H142">
        <v>0</v>
      </c>
      <c r="I142">
        <v>1.3</v>
      </c>
      <c r="J142">
        <v>1.6</v>
      </c>
      <c r="K142">
        <v>19.850000000000001</v>
      </c>
      <c r="L142">
        <v>21</v>
      </c>
      <c r="M142">
        <v>14</v>
      </c>
      <c r="N142">
        <v>17</v>
      </c>
      <c r="O142">
        <v>18</v>
      </c>
      <c r="P142">
        <v>17</v>
      </c>
      <c r="Q142">
        <v>6.8</v>
      </c>
      <c r="R142">
        <v>6.8</v>
      </c>
      <c r="S142">
        <v>20.82</v>
      </c>
      <c r="T142">
        <v>14.02</v>
      </c>
      <c r="U142">
        <v>11.17</v>
      </c>
      <c r="V142">
        <v>13.81</v>
      </c>
      <c r="W142">
        <v>14.55</v>
      </c>
      <c r="X142">
        <v>15.32</v>
      </c>
      <c r="Y142">
        <v>15.38</v>
      </c>
      <c r="Z142">
        <v>15.82</v>
      </c>
      <c r="AA142">
        <v>15.82</v>
      </c>
      <c r="AB142">
        <v>16.309999999999999</v>
      </c>
      <c r="AC142">
        <v>16.84</v>
      </c>
      <c r="AD142">
        <v>17.38</v>
      </c>
      <c r="AE142">
        <v>17.91</v>
      </c>
      <c r="AF142">
        <v>18.45</v>
      </c>
      <c r="AG142">
        <v>18.920000000000002</v>
      </c>
      <c r="AH142">
        <v>19.41</v>
      </c>
      <c r="AI142">
        <v>19.829999999999998</v>
      </c>
      <c r="AJ142">
        <v>20.22</v>
      </c>
      <c r="AK142">
        <v>20.67</v>
      </c>
      <c r="AL142">
        <v>21.24</v>
      </c>
      <c r="AM142">
        <v>21.65</v>
      </c>
      <c r="AN142">
        <v>22.13</v>
      </c>
      <c r="AO142">
        <v>22.6</v>
      </c>
      <c r="AP142">
        <v>23.06</v>
      </c>
      <c r="AQ142">
        <v>23.68</v>
      </c>
      <c r="AR142">
        <v>23.99</v>
      </c>
      <c r="AS142">
        <v>24.53</v>
      </c>
      <c r="AT142">
        <v>24.99</v>
      </c>
      <c r="AU142">
        <v>25.49</v>
      </c>
    </row>
    <row r="143" spans="1:47" x14ac:dyDescent="0.25">
      <c r="A143" t="s">
        <v>79</v>
      </c>
      <c r="B143">
        <v>0</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row>
    <row r="144" spans="1:47" x14ac:dyDescent="0.25">
      <c r="A144" t="s">
        <v>80</v>
      </c>
      <c r="B144">
        <v>0</v>
      </c>
      <c r="C144">
        <v>0</v>
      </c>
      <c r="D144">
        <v>0</v>
      </c>
      <c r="E144">
        <v>0</v>
      </c>
      <c r="F144">
        <v>0</v>
      </c>
      <c r="G144">
        <v>0</v>
      </c>
      <c r="H144">
        <v>0</v>
      </c>
      <c r="I144">
        <v>0</v>
      </c>
      <c r="J144">
        <v>0</v>
      </c>
      <c r="K144">
        <v>0</v>
      </c>
      <c r="L144">
        <v>0</v>
      </c>
      <c r="M144">
        <v>0</v>
      </c>
      <c r="N144">
        <v>0</v>
      </c>
      <c r="O144">
        <v>0</v>
      </c>
      <c r="P144">
        <v>0</v>
      </c>
      <c r="Q144">
        <v>0</v>
      </c>
      <c r="R144">
        <v>0</v>
      </c>
      <c r="S144">
        <v>0</v>
      </c>
      <c r="T144">
        <v>0.73</v>
      </c>
      <c r="U144">
        <v>1.1200000000000001</v>
      </c>
      <c r="V144">
        <v>2.0299999999999998</v>
      </c>
      <c r="W144">
        <v>2.8</v>
      </c>
      <c r="X144">
        <v>2.85</v>
      </c>
      <c r="Y144">
        <v>2.86</v>
      </c>
      <c r="Z144">
        <v>2.94</v>
      </c>
      <c r="AA144">
        <v>2.94</v>
      </c>
      <c r="AB144">
        <v>2.93</v>
      </c>
      <c r="AC144">
        <v>2.93</v>
      </c>
      <c r="AD144">
        <v>2.93</v>
      </c>
      <c r="AE144">
        <v>2.92</v>
      </c>
      <c r="AF144">
        <v>2.92</v>
      </c>
      <c r="AG144">
        <v>3.81</v>
      </c>
      <c r="AH144">
        <v>4.7300000000000004</v>
      </c>
      <c r="AI144">
        <v>5.65</v>
      </c>
      <c r="AJ144">
        <v>5.61</v>
      </c>
      <c r="AK144">
        <v>5.58</v>
      </c>
      <c r="AL144">
        <v>5.6</v>
      </c>
      <c r="AM144">
        <v>6.41</v>
      </c>
      <c r="AN144">
        <v>7.26</v>
      </c>
      <c r="AO144">
        <v>8.1199999999999992</v>
      </c>
      <c r="AP144">
        <v>9.01</v>
      </c>
      <c r="AQ144">
        <v>9.98</v>
      </c>
      <c r="AR144">
        <v>10.82</v>
      </c>
      <c r="AS144">
        <v>11.76</v>
      </c>
      <c r="AT144">
        <v>12.65</v>
      </c>
      <c r="AU144">
        <v>12.64</v>
      </c>
    </row>
    <row r="145" spans="1:47" x14ac:dyDescent="0.25">
      <c r="A145" t="s">
        <v>81</v>
      </c>
      <c r="B145">
        <v>0</v>
      </c>
      <c r="C145">
        <v>0</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c r="AP145">
        <v>0</v>
      </c>
      <c r="AQ145">
        <v>0</v>
      </c>
      <c r="AR145">
        <v>0</v>
      </c>
      <c r="AS145">
        <v>0</v>
      </c>
      <c r="AT145">
        <v>0</v>
      </c>
      <c r="AU145">
        <v>0</v>
      </c>
    </row>
    <row r="146" spans="1:47" x14ac:dyDescent="0.25">
      <c r="A146" t="s">
        <v>82</v>
      </c>
      <c r="B146">
        <v>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c r="AP146">
        <v>0</v>
      </c>
      <c r="AQ146">
        <v>0</v>
      </c>
      <c r="AR146">
        <v>0</v>
      </c>
      <c r="AS146">
        <v>0</v>
      </c>
      <c r="AT146">
        <v>0</v>
      </c>
      <c r="AU146">
        <v>0</v>
      </c>
    </row>
    <row r="147" spans="1:47" x14ac:dyDescent="0.25">
      <c r="A147" t="s">
        <v>83</v>
      </c>
      <c r="B147">
        <v>162.4</v>
      </c>
      <c r="C147">
        <v>169.77</v>
      </c>
      <c r="D147">
        <v>116.92</v>
      </c>
      <c r="E147">
        <v>171.91</v>
      </c>
      <c r="F147">
        <v>191.5</v>
      </c>
      <c r="G147">
        <v>97.44</v>
      </c>
      <c r="H147">
        <v>61.32</v>
      </c>
      <c r="I147">
        <v>34.270000000000003</v>
      </c>
      <c r="J147">
        <v>151.62</v>
      </c>
      <c r="K147">
        <v>35</v>
      </c>
      <c r="L147">
        <v>125.39</v>
      </c>
      <c r="M147">
        <v>124.29</v>
      </c>
      <c r="N147">
        <v>108.51</v>
      </c>
      <c r="O147">
        <v>110.64</v>
      </c>
      <c r="P147">
        <v>98.24</v>
      </c>
      <c r="Q147">
        <v>89.43</v>
      </c>
      <c r="R147">
        <v>89.34</v>
      </c>
      <c r="S147">
        <v>89.37</v>
      </c>
      <c r="T147">
        <v>89.33</v>
      </c>
      <c r="U147">
        <v>72.39</v>
      </c>
      <c r="V147">
        <v>86.98</v>
      </c>
      <c r="W147">
        <v>86.98</v>
      </c>
      <c r="X147">
        <v>86.98</v>
      </c>
      <c r="Y147">
        <v>86.99</v>
      </c>
      <c r="Z147">
        <v>89.59</v>
      </c>
      <c r="AA147">
        <v>89.59</v>
      </c>
      <c r="AB147">
        <v>88.37</v>
      </c>
      <c r="AC147">
        <v>88.2</v>
      </c>
      <c r="AD147">
        <v>88.03</v>
      </c>
      <c r="AE147">
        <v>87.86</v>
      </c>
      <c r="AF147">
        <v>87.7</v>
      </c>
      <c r="AG147">
        <v>86.98</v>
      </c>
      <c r="AH147">
        <v>86.98</v>
      </c>
      <c r="AI147">
        <v>86.98</v>
      </c>
      <c r="AJ147">
        <v>86.98</v>
      </c>
      <c r="AK147">
        <v>86.97</v>
      </c>
      <c r="AL147">
        <v>86.98</v>
      </c>
      <c r="AM147">
        <v>86.98</v>
      </c>
      <c r="AN147">
        <v>86.98</v>
      </c>
      <c r="AO147">
        <v>86.98</v>
      </c>
      <c r="AP147">
        <v>86.98</v>
      </c>
      <c r="AQ147">
        <v>86.98</v>
      </c>
      <c r="AR147">
        <v>86.8</v>
      </c>
      <c r="AS147">
        <v>86.61</v>
      </c>
      <c r="AT147">
        <v>86.41</v>
      </c>
      <c r="AU147">
        <v>86.34</v>
      </c>
    </row>
    <row r="148" spans="1:47" x14ac:dyDescent="0.25">
      <c r="A148" t="s">
        <v>84</v>
      </c>
      <c r="B148">
        <v>71.63</v>
      </c>
      <c r="C148">
        <v>41.21</v>
      </c>
      <c r="D148">
        <v>60.64</v>
      </c>
      <c r="E148">
        <v>57.56</v>
      </c>
      <c r="F148">
        <v>61.1</v>
      </c>
      <c r="G148">
        <v>57.78</v>
      </c>
      <c r="H148">
        <v>59.13</v>
      </c>
      <c r="I148">
        <v>77.16</v>
      </c>
      <c r="J148">
        <v>78.73</v>
      </c>
      <c r="K148">
        <v>101.67</v>
      </c>
      <c r="L148">
        <v>429.61</v>
      </c>
      <c r="M148">
        <v>426.71</v>
      </c>
      <c r="N148">
        <v>373.49</v>
      </c>
      <c r="O148">
        <v>377.36</v>
      </c>
      <c r="P148">
        <v>335.76</v>
      </c>
      <c r="Q148">
        <v>277.33999999999997</v>
      </c>
      <c r="R148">
        <v>282.58</v>
      </c>
      <c r="S148">
        <v>275.63</v>
      </c>
      <c r="T148">
        <v>283.73</v>
      </c>
      <c r="U148">
        <v>197.18</v>
      </c>
      <c r="V148">
        <v>103.57</v>
      </c>
      <c r="W148">
        <v>108.63</v>
      </c>
      <c r="X148">
        <v>112.82</v>
      </c>
      <c r="Y148">
        <v>114.41</v>
      </c>
      <c r="Z148">
        <v>42.01</v>
      </c>
      <c r="AA148">
        <v>43.11</v>
      </c>
      <c r="AB148">
        <v>41.88</v>
      </c>
      <c r="AC148">
        <v>41.7</v>
      </c>
      <c r="AD148">
        <v>41.43</v>
      </c>
      <c r="AE148">
        <v>41.21</v>
      </c>
      <c r="AF148">
        <v>40.9</v>
      </c>
      <c r="AG148">
        <v>39.85</v>
      </c>
      <c r="AH148">
        <v>38.26</v>
      </c>
      <c r="AI148">
        <v>37.15</v>
      </c>
      <c r="AJ148">
        <v>35.25</v>
      </c>
      <c r="AK148">
        <v>34.409999999999997</v>
      </c>
      <c r="AL148">
        <v>34.67</v>
      </c>
      <c r="AM148">
        <v>33.72</v>
      </c>
      <c r="AN148">
        <v>33.24</v>
      </c>
      <c r="AO148">
        <v>32.75</v>
      </c>
      <c r="AP148">
        <v>32.69</v>
      </c>
      <c r="AQ148">
        <v>32.19</v>
      </c>
      <c r="AR148">
        <v>31.72</v>
      </c>
      <c r="AS148">
        <v>31.54</v>
      </c>
      <c r="AT148">
        <v>31.01</v>
      </c>
      <c r="AU148">
        <v>31.42</v>
      </c>
    </row>
    <row r="150" spans="1:47" ht="18.75" x14ac:dyDescent="0.3">
      <c r="A150" s="35" t="s">
        <v>97</v>
      </c>
    </row>
    <row r="151" spans="1:47" x14ac:dyDescent="0.25">
      <c r="A151" t="s">
        <v>40</v>
      </c>
      <c r="B151" t="s">
        <v>41</v>
      </c>
      <c r="C151" t="s">
        <v>42</v>
      </c>
      <c r="D151" t="s">
        <v>43</v>
      </c>
      <c r="E151" t="s">
        <v>44</v>
      </c>
      <c r="F151" t="s">
        <v>45</v>
      </c>
      <c r="G151" t="s">
        <v>46</v>
      </c>
      <c r="H151" t="s">
        <v>47</v>
      </c>
      <c r="I151" t="s">
        <v>48</v>
      </c>
      <c r="J151" t="s">
        <v>49</v>
      </c>
      <c r="K151" t="s">
        <v>50</v>
      </c>
      <c r="L151" t="s">
        <v>51</v>
      </c>
      <c r="M151" t="s">
        <v>52</v>
      </c>
      <c r="N151" t="s">
        <v>53</v>
      </c>
      <c r="O151" t="s">
        <v>54</v>
      </c>
      <c r="P151" t="s">
        <v>55</v>
      </c>
      <c r="Q151" t="s">
        <v>56</v>
      </c>
      <c r="R151" t="s">
        <v>57</v>
      </c>
      <c r="S151" t="s">
        <v>58</v>
      </c>
      <c r="T151" t="s">
        <v>59</v>
      </c>
      <c r="U151" t="s">
        <v>60</v>
      </c>
      <c r="V151" t="s">
        <v>61</v>
      </c>
      <c r="W151" t="s">
        <v>62</v>
      </c>
      <c r="X151" t="s">
        <v>63</v>
      </c>
      <c r="Y151" t="s">
        <v>64</v>
      </c>
      <c r="Z151" t="s">
        <v>65</v>
      </c>
      <c r="AA151" t="s">
        <v>66</v>
      </c>
      <c r="AB151" t="s">
        <v>67</v>
      </c>
      <c r="AC151" t="s">
        <v>68</v>
      </c>
      <c r="AD151" t="s">
        <v>69</v>
      </c>
      <c r="AE151" t="s">
        <v>70</v>
      </c>
      <c r="AF151" t="s">
        <v>71</v>
      </c>
      <c r="AG151" t="s">
        <v>72</v>
      </c>
      <c r="AH151" t="s">
        <v>73</v>
      </c>
      <c r="AI151" t="s">
        <v>74</v>
      </c>
      <c r="AJ151" t="s">
        <v>75</v>
      </c>
      <c r="AK151" t="s">
        <v>76</v>
      </c>
      <c r="AL151" t="s">
        <v>332</v>
      </c>
      <c r="AM151" t="s">
        <v>333</v>
      </c>
      <c r="AN151" t="s">
        <v>334</v>
      </c>
      <c r="AO151" t="s">
        <v>335</v>
      </c>
      <c r="AP151" t="s">
        <v>336</v>
      </c>
      <c r="AQ151" t="s">
        <v>337</v>
      </c>
      <c r="AR151" t="s">
        <v>338</v>
      </c>
      <c r="AS151" t="s">
        <v>339</v>
      </c>
      <c r="AT151" t="s">
        <v>340</v>
      </c>
      <c r="AU151" t="s">
        <v>341</v>
      </c>
    </row>
    <row r="152" spans="1:47" x14ac:dyDescent="0.25">
      <c r="A152" t="s">
        <v>77</v>
      </c>
      <c r="B152">
        <v>0</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c r="AP152">
        <v>0</v>
      </c>
      <c r="AQ152">
        <v>0</v>
      </c>
      <c r="AR152">
        <v>0</v>
      </c>
      <c r="AS152">
        <v>0</v>
      </c>
      <c r="AT152">
        <v>0</v>
      </c>
      <c r="AU152">
        <v>0</v>
      </c>
    </row>
    <row r="153" spans="1:47" x14ac:dyDescent="0.25">
      <c r="A153" t="s">
        <v>78</v>
      </c>
      <c r="B153">
        <v>0</v>
      </c>
      <c r="C153">
        <v>0</v>
      </c>
      <c r="D153">
        <v>0</v>
      </c>
      <c r="E153">
        <v>0</v>
      </c>
      <c r="F153">
        <v>0</v>
      </c>
      <c r="G153">
        <v>0</v>
      </c>
      <c r="H153">
        <v>0</v>
      </c>
      <c r="I153">
        <v>0</v>
      </c>
      <c r="J153">
        <v>0</v>
      </c>
      <c r="K153">
        <v>0</v>
      </c>
      <c r="L153">
        <v>0</v>
      </c>
      <c r="M153">
        <v>0</v>
      </c>
      <c r="N153">
        <v>0</v>
      </c>
      <c r="O153">
        <v>0</v>
      </c>
      <c r="P153">
        <v>0</v>
      </c>
      <c r="Q153">
        <v>0</v>
      </c>
      <c r="R153">
        <v>0</v>
      </c>
      <c r="S153">
        <v>0</v>
      </c>
      <c r="T153">
        <v>0.9</v>
      </c>
      <c r="U153">
        <v>1.82</v>
      </c>
      <c r="V153">
        <v>2.75</v>
      </c>
      <c r="W153">
        <v>3.67</v>
      </c>
      <c r="X153">
        <v>4.59</v>
      </c>
      <c r="Y153">
        <v>5.51</v>
      </c>
      <c r="Z153">
        <v>6.43</v>
      </c>
      <c r="AA153">
        <v>7.36</v>
      </c>
      <c r="AB153">
        <v>8.33</v>
      </c>
      <c r="AC153">
        <v>9.26</v>
      </c>
      <c r="AD153">
        <v>10.24</v>
      </c>
      <c r="AE153">
        <v>11.16</v>
      </c>
      <c r="AF153">
        <v>12.14</v>
      </c>
      <c r="AG153">
        <v>13.13</v>
      </c>
      <c r="AH153">
        <v>14.05</v>
      </c>
      <c r="AI153">
        <v>15.03</v>
      </c>
      <c r="AJ153">
        <v>15.95</v>
      </c>
      <c r="AK153">
        <v>16.93</v>
      </c>
      <c r="AL153">
        <v>17.86</v>
      </c>
      <c r="AM153">
        <v>18.84</v>
      </c>
      <c r="AN153">
        <v>19.82</v>
      </c>
      <c r="AO153">
        <v>20.8</v>
      </c>
      <c r="AP153">
        <v>21.77</v>
      </c>
      <c r="AQ153">
        <v>22.75</v>
      </c>
      <c r="AR153">
        <v>23.73</v>
      </c>
      <c r="AS153">
        <v>24.71</v>
      </c>
      <c r="AT153">
        <v>25.69</v>
      </c>
      <c r="AU153">
        <v>26.73</v>
      </c>
    </row>
    <row r="154" spans="1:47" x14ac:dyDescent="0.25">
      <c r="A154" t="s">
        <v>79</v>
      </c>
      <c r="B154">
        <v>0</v>
      </c>
      <c r="C154">
        <v>0</v>
      </c>
      <c r="D154">
        <v>0</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c r="AP154">
        <v>0</v>
      </c>
      <c r="AQ154">
        <v>0</v>
      </c>
      <c r="AR154">
        <v>0</v>
      </c>
      <c r="AS154">
        <v>0</v>
      </c>
      <c r="AT154">
        <v>0</v>
      </c>
      <c r="AU154">
        <v>0</v>
      </c>
    </row>
    <row r="155" spans="1:47" x14ac:dyDescent="0.25">
      <c r="A155" t="s">
        <v>80</v>
      </c>
      <c r="B155">
        <v>0</v>
      </c>
      <c r="C155">
        <v>0</v>
      </c>
      <c r="D155">
        <v>0</v>
      </c>
      <c r="E155">
        <v>0</v>
      </c>
      <c r="F155">
        <v>0</v>
      </c>
      <c r="G155">
        <v>0</v>
      </c>
      <c r="H155">
        <v>0</v>
      </c>
      <c r="I155">
        <v>0</v>
      </c>
      <c r="J155">
        <v>0</v>
      </c>
      <c r="K155">
        <v>0</v>
      </c>
      <c r="L155">
        <v>0</v>
      </c>
      <c r="M155">
        <v>0</v>
      </c>
      <c r="N155">
        <v>0</v>
      </c>
      <c r="O155">
        <v>0</v>
      </c>
      <c r="P155">
        <v>0</v>
      </c>
      <c r="Q155">
        <v>0</v>
      </c>
      <c r="R155">
        <v>0</v>
      </c>
      <c r="S155">
        <v>0.44</v>
      </c>
      <c r="T155">
        <v>0.94</v>
      </c>
      <c r="U155">
        <v>1.42</v>
      </c>
      <c r="V155">
        <v>1.9</v>
      </c>
      <c r="W155">
        <v>2.37</v>
      </c>
      <c r="X155">
        <v>2.85</v>
      </c>
      <c r="Y155">
        <v>3.34</v>
      </c>
      <c r="Z155">
        <v>3.82</v>
      </c>
      <c r="AA155">
        <v>4.3</v>
      </c>
      <c r="AB155">
        <v>4.8099999999999996</v>
      </c>
      <c r="AC155">
        <v>5.28</v>
      </c>
      <c r="AD155">
        <v>5.79</v>
      </c>
      <c r="AE155">
        <v>6.27</v>
      </c>
      <c r="AF155">
        <v>6.78</v>
      </c>
      <c r="AG155">
        <v>7.29</v>
      </c>
      <c r="AH155">
        <v>7.76</v>
      </c>
      <c r="AI155">
        <v>8.27</v>
      </c>
      <c r="AJ155">
        <v>8.75</v>
      </c>
      <c r="AK155">
        <v>9.26</v>
      </c>
      <c r="AL155">
        <v>9.74</v>
      </c>
      <c r="AM155">
        <v>10.25</v>
      </c>
      <c r="AN155">
        <v>10.76</v>
      </c>
      <c r="AO155">
        <v>11.27</v>
      </c>
      <c r="AP155">
        <v>11.78</v>
      </c>
      <c r="AQ155">
        <v>12.29</v>
      </c>
      <c r="AR155">
        <v>12.8</v>
      </c>
      <c r="AS155">
        <v>13.31</v>
      </c>
      <c r="AT155">
        <v>13.82</v>
      </c>
      <c r="AU155">
        <v>14.35</v>
      </c>
    </row>
    <row r="156" spans="1:47" x14ac:dyDescent="0.25">
      <c r="A156" t="s">
        <v>81</v>
      </c>
      <c r="B156">
        <v>0</v>
      </c>
      <c r="C156">
        <v>0</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v>0</v>
      </c>
      <c r="AL156">
        <v>0</v>
      </c>
      <c r="AM156">
        <v>0</v>
      </c>
      <c r="AN156">
        <v>0</v>
      </c>
      <c r="AO156">
        <v>0</v>
      </c>
      <c r="AP156">
        <v>0</v>
      </c>
      <c r="AQ156">
        <v>0</v>
      </c>
      <c r="AR156">
        <v>0</v>
      </c>
      <c r="AS156">
        <v>0</v>
      </c>
      <c r="AT156">
        <v>0</v>
      </c>
      <c r="AU156">
        <v>0</v>
      </c>
    </row>
    <row r="157" spans="1:47" x14ac:dyDescent="0.25">
      <c r="A157" t="s">
        <v>82</v>
      </c>
      <c r="B157">
        <v>0</v>
      </c>
      <c r="C157">
        <v>0</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c r="AL157">
        <v>0</v>
      </c>
      <c r="AM157">
        <v>0</v>
      </c>
      <c r="AN157">
        <v>0</v>
      </c>
      <c r="AO157">
        <v>0</v>
      </c>
      <c r="AP157">
        <v>0</v>
      </c>
      <c r="AQ157">
        <v>0</v>
      </c>
      <c r="AR157">
        <v>0</v>
      </c>
      <c r="AS157">
        <v>0</v>
      </c>
      <c r="AT157">
        <v>0</v>
      </c>
      <c r="AU157">
        <v>0</v>
      </c>
    </row>
    <row r="158" spans="1:47" x14ac:dyDescent="0.25">
      <c r="A158" t="s">
        <v>83</v>
      </c>
      <c r="B158">
        <v>0</v>
      </c>
      <c r="C158">
        <v>0</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v>0</v>
      </c>
      <c r="AL158">
        <v>0</v>
      </c>
      <c r="AM158">
        <v>0</v>
      </c>
      <c r="AN158">
        <v>0</v>
      </c>
      <c r="AO158">
        <v>0</v>
      </c>
      <c r="AP158">
        <v>0</v>
      </c>
      <c r="AQ158">
        <v>0</v>
      </c>
      <c r="AR158">
        <v>0</v>
      </c>
      <c r="AS158">
        <v>0</v>
      </c>
      <c r="AT158">
        <v>0</v>
      </c>
      <c r="AU158">
        <v>0</v>
      </c>
    </row>
    <row r="159" spans="1:47" x14ac:dyDescent="0.25">
      <c r="A159" t="s">
        <v>84</v>
      </c>
      <c r="B159">
        <v>142</v>
      </c>
      <c r="C159">
        <v>145</v>
      </c>
      <c r="D159">
        <v>149</v>
      </c>
      <c r="E159">
        <v>182</v>
      </c>
      <c r="F159">
        <v>162</v>
      </c>
      <c r="G159">
        <v>162</v>
      </c>
      <c r="H159">
        <v>98</v>
      </c>
      <c r="I159">
        <v>98</v>
      </c>
      <c r="J159">
        <v>98</v>
      </c>
      <c r="K159">
        <v>157.6</v>
      </c>
      <c r="L159">
        <v>191.06</v>
      </c>
      <c r="M159">
        <v>251.38</v>
      </c>
      <c r="N159">
        <v>252.89</v>
      </c>
      <c r="O159">
        <v>255.89</v>
      </c>
      <c r="P159">
        <v>254.39</v>
      </c>
      <c r="Q159">
        <v>265.98</v>
      </c>
      <c r="R159">
        <v>274.74</v>
      </c>
      <c r="S159">
        <v>277.11</v>
      </c>
      <c r="T159">
        <v>274.08999999999997</v>
      </c>
      <c r="U159">
        <v>272.69</v>
      </c>
      <c r="V159">
        <v>272.89999999999998</v>
      </c>
      <c r="W159">
        <v>274.64999999999998</v>
      </c>
      <c r="X159">
        <v>277.37</v>
      </c>
      <c r="Y159">
        <v>277.89999999999998</v>
      </c>
      <c r="Z159">
        <v>276.63</v>
      </c>
      <c r="AA159">
        <v>279.08</v>
      </c>
      <c r="AB159">
        <v>277.67</v>
      </c>
      <c r="AC159">
        <v>278.91000000000003</v>
      </c>
      <c r="AD159">
        <v>277.99</v>
      </c>
      <c r="AE159">
        <v>276.02</v>
      </c>
      <c r="AF159">
        <v>274.97000000000003</v>
      </c>
      <c r="AG159">
        <v>273.48</v>
      </c>
      <c r="AH159">
        <v>272.08</v>
      </c>
      <c r="AI159">
        <v>273.47000000000003</v>
      </c>
      <c r="AJ159">
        <v>276.81</v>
      </c>
      <c r="AK159">
        <v>275.89</v>
      </c>
      <c r="AL159">
        <v>277.10000000000002</v>
      </c>
      <c r="AM159">
        <v>278.69</v>
      </c>
      <c r="AN159">
        <v>282.19</v>
      </c>
      <c r="AO159">
        <v>283.60000000000002</v>
      </c>
      <c r="AP159">
        <v>285.60000000000002</v>
      </c>
      <c r="AQ159">
        <v>288.98</v>
      </c>
      <c r="AR159">
        <v>290.51</v>
      </c>
      <c r="AS159">
        <v>296.20999999999998</v>
      </c>
      <c r="AT159">
        <v>295.89999999999998</v>
      </c>
      <c r="AU159">
        <v>301.89999999999998</v>
      </c>
    </row>
  </sheetData>
  <pageMargins left="0.75" right="0.75" top="0.75" bottom="0.5" header="0.5" footer="0.75"/>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728A83-B067-4638-A52F-4A7CB86CF44F}">
  <dimension ref="A1:N55"/>
  <sheetViews>
    <sheetView topLeftCell="A28" workbookViewId="0">
      <selection activeCell="A52" sqref="A52"/>
    </sheetView>
  </sheetViews>
  <sheetFormatPr defaultColWidth="9.140625" defaultRowHeight="15" x14ac:dyDescent="0.25"/>
  <cols>
    <col min="1" max="1" width="28.7109375" customWidth="1"/>
    <col min="2" max="13" width="15.7109375" customWidth="1"/>
    <col min="14" max="14" width="27.42578125" customWidth="1"/>
  </cols>
  <sheetData>
    <row r="1" spans="1:14" x14ac:dyDescent="0.25">
      <c r="A1" t="s">
        <v>349</v>
      </c>
    </row>
    <row r="2" spans="1:14" x14ac:dyDescent="0.25">
      <c r="A2" t="s">
        <v>350</v>
      </c>
    </row>
    <row r="3" spans="1:14" x14ac:dyDescent="0.25">
      <c r="A3" t="s">
        <v>351</v>
      </c>
    </row>
    <row r="4" spans="1:14" x14ac:dyDescent="0.25">
      <c r="A4" t="s">
        <v>352</v>
      </c>
    </row>
    <row r="5" spans="1:14" x14ac:dyDescent="0.25">
      <c r="A5" t="s">
        <v>353</v>
      </c>
    </row>
    <row r="9" spans="1:14" x14ac:dyDescent="0.25">
      <c r="A9" t="s">
        <v>354</v>
      </c>
      <c r="B9" t="s">
        <v>39</v>
      </c>
    </row>
    <row r="10" spans="1:14" x14ac:dyDescent="0.25">
      <c r="A10" t="s">
        <v>355</v>
      </c>
      <c r="B10" t="s">
        <v>356</v>
      </c>
    </row>
    <row r="11" spans="1:14" x14ac:dyDescent="0.25">
      <c r="A11" t="s">
        <v>357</v>
      </c>
      <c r="B11" s="37">
        <v>42005</v>
      </c>
      <c r="C11" s="37">
        <v>42036</v>
      </c>
      <c r="D11" s="37">
        <v>42064</v>
      </c>
      <c r="E11" s="37">
        <v>42095</v>
      </c>
      <c r="F11" s="37">
        <v>42125</v>
      </c>
      <c r="G11" s="37">
        <v>42156</v>
      </c>
      <c r="H11" s="37">
        <v>42186</v>
      </c>
      <c r="I11" s="37">
        <v>42217</v>
      </c>
      <c r="J11" s="37">
        <v>42248</v>
      </c>
      <c r="K11" s="37">
        <v>42278</v>
      </c>
      <c r="L11" s="37">
        <v>42309</v>
      </c>
      <c r="M11" s="37">
        <v>42339</v>
      </c>
      <c r="N11" s="42" t="s">
        <v>390</v>
      </c>
    </row>
    <row r="12" spans="1:14" x14ac:dyDescent="0.25">
      <c r="B12" t="s">
        <v>358</v>
      </c>
    </row>
    <row r="13" spans="1:14" x14ac:dyDescent="0.25">
      <c r="A13" t="s">
        <v>359</v>
      </c>
      <c r="B13" s="38">
        <v>57211066</v>
      </c>
      <c r="C13" s="38">
        <v>51887549</v>
      </c>
      <c r="D13" s="38">
        <v>51928707</v>
      </c>
      <c r="E13" s="38">
        <v>44615918</v>
      </c>
      <c r="F13" s="38">
        <v>41273083</v>
      </c>
      <c r="G13" s="38">
        <v>40984150</v>
      </c>
      <c r="H13" s="38">
        <v>43038080</v>
      </c>
      <c r="I13" s="38">
        <v>42821817</v>
      </c>
      <c r="J13" s="38">
        <v>40051862</v>
      </c>
      <c r="K13" s="38">
        <v>41066197</v>
      </c>
      <c r="L13" s="38">
        <v>45130806</v>
      </c>
      <c r="M13" s="38">
        <v>50003722</v>
      </c>
      <c r="N13" s="38">
        <f>SUM(B13:M13)</f>
        <v>550012957</v>
      </c>
    </row>
    <row r="14" spans="1:14" x14ac:dyDescent="0.25">
      <c r="A14" t="s">
        <v>360</v>
      </c>
      <c r="B14" s="38">
        <v>37669235</v>
      </c>
      <c r="C14" s="38">
        <v>34013218</v>
      </c>
      <c r="D14" s="38">
        <v>33173669</v>
      </c>
      <c r="E14" s="38">
        <v>28699811</v>
      </c>
      <c r="F14" s="38">
        <v>25910082</v>
      </c>
      <c r="G14" s="38">
        <v>25327992</v>
      </c>
      <c r="H14" s="38">
        <v>25979724</v>
      </c>
      <c r="I14" s="38">
        <v>25478511</v>
      </c>
      <c r="J14" s="38">
        <v>25022584</v>
      </c>
      <c r="K14" s="38">
        <v>26123765</v>
      </c>
      <c r="L14" s="38">
        <v>27941235</v>
      </c>
      <c r="M14" s="38">
        <v>32045247</v>
      </c>
      <c r="N14" s="38">
        <f t="shared" ref="N14:N22" si="0">SUM(B14:M14)</f>
        <v>347385073</v>
      </c>
    </row>
    <row r="15" spans="1:14" x14ac:dyDescent="0.25">
      <c r="A15" s="41" t="s">
        <v>361</v>
      </c>
      <c r="B15" s="38">
        <v>7190066</v>
      </c>
      <c r="C15" s="38">
        <v>6844655</v>
      </c>
      <c r="D15" s="38">
        <v>6613699</v>
      </c>
      <c r="E15" s="38">
        <v>5688669</v>
      </c>
      <c r="F15" s="38">
        <v>5082749</v>
      </c>
      <c r="G15" s="38">
        <v>5430405</v>
      </c>
      <c r="H15" s="38">
        <v>5991055</v>
      </c>
      <c r="I15" s="38">
        <v>6330435</v>
      </c>
      <c r="J15" s="38">
        <v>6041405</v>
      </c>
      <c r="K15" s="38">
        <v>6138156</v>
      </c>
      <c r="L15" s="38">
        <v>6294045</v>
      </c>
      <c r="M15" s="38">
        <v>6842938</v>
      </c>
      <c r="N15" s="43">
        <f t="shared" si="0"/>
        <v>74488277</v>
      </c>
    </row>
    <row r="16" spans="1:14" x14ac:dyDescent="0.25">
      <c r="A16" t="s">
        <v>362</v>
      </c>
      <c r="B16" s="38">
        <v>9180622</v>
      </c>
      <c r="C16" s="38">
        <v>8307371</v>
      </c>
      <c r="D16" s="38">
        <v>9230529</v>
      </c>
      <c r="E16" s="38">
        <v>7737381</v>
      </c>
      <c r="F16" s="38">
        <v>7985257</v>
      </c>
      <c r="G16" s="38">
        <v>8084872</v>
      </c>
      <c r="H16" s="38">
        <v>8900017</v>
      </c>
      <c r="I16" s="38">
        <v>8678391</v>
      </c>
      <c r="J16" s="38">
        <v>6965168</v>
      </c>
      <c r="K16" s="38">
        <v>6323797</v>
      </c>
      <c r="L16" s="38">
        <v>8448485</v>
      </c>
      <c r="M16" s="38">
        <v>8533084</v>
      </c>
      <c r="N16" s="38">
        <f t="shared" si="0"/>
        <v>98374974</v>
      </c>
    </row>
    <row r="17" spans="1:14" x14ac:dyDescent="0.25">
      <c r="A17" s="41" t="s">
        <v>363</v>
      </c>
      <c r="B17" s="38">
        <v>92383</v>
      </c>
      <c r="C17" s="38">
        <v>85781</v>
      </c>
      <c r="D17" s="38">
        <v>84787</v>
      </c>
      <c r="E17" s="38">
        <v>74433</v>
      </c>
      <c r="F17" s="38">
        <v>66229</v>
      </c>
      <c r="G17" s="38">
        <v>63635</v>
      </c>
      <c r="H17" s="38">
        <v>66291</v>
      </c>
      <c r="I17" s="38">
        <v>69265</v>
      </c>
      <c r="J17" s="38">
        <v>65022</v>
      </c>
      <c r="K17" s="38">
        <v>73599</v>
      </c>
      <c r="L17" s="38">
        <v>74497</v>
      </c>
      <c r="M17" s="38">
        <v>84241</v>
      </c>
      <c r="N17" s="43">
        <f t="shared" si="0"/>
        <v>900163</v>
      </c>
    </row>
    <row r="18" spans="1:14" x14ac:dyDescent="0.25">
      <c r="A18" s="41" t="s">
        <v>364</v>
      </c>
      <c r="B18" s="38">
        <v>2014274</v>
      </c>
      <c r="C18" s="38">
        <v>1874168</v>
      </c>
      <c r="D18" s="38">
        <v>1889483</v>
      </c>
      <c r="E18" s="38">
        <v>1556326</v>
      </c>
      <c r="F18" s="38">
        <v>1586397</v>
      </c>
      <c r="G18" s="38">
        <v>1577410</v>
      </c>
      <c r="H18" s="38">
        <v>1632967</v>
      </c>
      <c r="I18" s="38">
        <v>1756391</v>
      </c>
      <c r="J18" s="38">
        <v>1312213</v>
      </c>
      <c r="K18" s="38">
        <v>1476359</v>
      </c>
      <c r="L18" s="38">
        <v>1468138</v>
      </c>
      <c r="M18" s="38">
        <v>1615706</v>
      </c>
      <c r="N18" s="43">
        <f t="shared" si="0"/>
        <v>19759832</v>
      </c>
    </row>
    <row r="19" spans="1:14" x14ac:dyDescent="0.25">
      <c r="A19" t="s">
        <v>365</v>
      </c>
      <c r="B19" s="39" t="s">
        <v>366</v>
      </c>
      <c r="C19" s="39" t="s">
        <v>366</v>
      </c>
      <c r="D19" s="39" t="s">
        <v>366</v>
      </c>
      <c r="E19" s="39" t="s">
        <v>366</v>
      </c>
      <c r="F19" s="39" t="s">
        <v>366</v>
      </c>
      <c r="G19" s="39" t="s">
        <v>366</v>
      </c>
      <c r="H19" s="39" t="s">
        <v>366</v>
      </c>
      <c r="I19" s="39" t="s">
        <v>366</v>
      </c>
      <c r="J19" s="39" t="s">
        <v>366</v>
      </c>
      <c r="K19" s="39" t="s">
        <v>366</v>
      </c>
      <c r="L19" s="39" t="s">
        <v>366</v>
      </c>
      <c r="M19" s="39" t="s">
        <v>366</v>
      </c>
      <c r="N19" s="39" t="s">
        <v>366</v>
      </c>
    </row>
    <row r="20" spans="1:14" x14ac:dyDescent="0.25">
      <c r="A20" t="s">
        <v>367</v>
      </c>
      <c r="B20">
        <v>-124</v>
      </c>
      <c r="C20">
        <v>-164</v>
      </c>
      <c r="D20">
        <v>-13</v>
      </c>
      <c r="E20" s="38">
        <v>1538</v>
      </c>
      <c r="F20" s="38">
        <v>1615</v>
      </c>
      <c r="G20" s="38">
        <v>1951</v>
      </c>
      <c r="H20">
        <v>870</v>
      </c>
      <c r="I20">
        <v>22</v>
      </c>
      <c r="J20" s="38">
        <v>1791</v>
      </c>
      <c r="K20" s="38">
        <v>1524</v>
      </c>
      <c r="L20" s="38">
        <v>1979</v>
      </c>
      <c r="M20" s="38">
        <v>1831</v>
      </c>
      <c r="N20" s="38">
        <f t="shared" si="0"/>
        <v>12820</v>
      </c>
    </row>
    <row r="21" spans="1:14" x14ac:dyDescent="0.25">
      <c r="A21" t="s">
        <v>368</v>
      </c>
      <c r="B21" s="38">
        <v>1053353</v>
      </c>
      <c r="C21" s="38">
        <v>748057</v>
      </c>
      <c r="D21" s="38">
        <v>924413</v>
      </c>
      <c r="E21" s="38">
        <v>832222</v>
      </c>
      <c r="F21" s="38">
        <v>611620</v>
      </c>
      <c r="G21" s="38">
        <v>469148</v>
      </c>
      <c r="H21" s="38">
        <v>435550</v>
      </c>
      <c r="I21" s="38">
        <v>477306</v>
      </c>
      <c r="J21" s="38">
        <v>616094</v>
      </c>
      <c r="K21" s="38">
        <v>907927</v>
      </c>
      <c r="L21" s="38">
        <v>885149</v>
      </c>
      <c r="M21" s="38">
        <v>872178</v>
      </c>
      <c r="N21" s="38">
        <f t="shared" si="0"/>
        <v>8833017</v>
      </c>
    </row>
    <row r="22" spans="1:14" x14ac:dyDescent="0.25">
      <c r="A22" t="s">
        <v>369</v>
      </c>
      <c r="B22" s="38">
        <v>11257</v>
      </c>
      <c r="C22" s="38">
        <v>14463</v>
      </c>
      <c r="D22" s="38">
        <v>12140</v>
      </c>
      <c r="E22" s="38">
        <v>25538</v>
      </c>
      <c r="F22" s="38">
        <v>29134</v>
      </c>
      <c r="G22" s="38">
        <v>28737</v>
      </c>
      <c r="H22" s="38">
        <v>31620</v>
      </c>
      <c r="I22" s="38">
        <v>31496</v>
      </c>
      <c r="J22" s="38">
        <v>27584</v>
      </c>
      <c r="K22" s="38">
        <v>21070</v>
      </c>
      <c r="L22" s="38">
        <v>17278</v>
      </c>
      <c r="M22" s="38">
        <v>8498</v>
      </c>
      <c r="N22" s="38">
        <f t="shared" si="0"/>
        <v>258815</v>
      </c>
    </row>
    <row r="23" spans="1:14" x14ac:dyDescent="0.25">
      <c r="A23" t="s">
        <v>370</v>
      </c>
      <c r="B23" s="39" t="s">
        <v>366</v>
      </c>
      <c r="C23" s="39" t="s">
        <v>366</v>
      </c>
      <c r="D23" s="39" t="s">
        <v>366</v>
      </c>
      <c r="E23" s="39" t="s">
        <v>366</v>
      </c>
      <c r="F23" s="39" t="s">
        <v>366</v>
      </c>
      <c r="G23" s="39" t="s">
        <v>366</v>
      </c>
      <c r="H23" s="39" t="s">
        <v>366</v>
      </c>
      <c r="I23" s="39" t="s">
        <v>366</v>
      </c>
      <c r="J23" s="39" t="s">
        <v>366</v>
      </c>
      <c r="K23" s="39" t="s">
        <v>366</v>
      </c>
      <c r="L23" s="39" t="s">
        <v>366</v>
      </c>
      <c r="M23" s="39" t="s">
        <v>366</v>
      </c>
      <c r="N23" s="39" t="s">
        <v>366</v>
      </c>
    </row>
    <row r="25" spans="1:14" x14ac:dyDescent="0.25">
      <c r="A25" t="s">
        <v>371</v>
      </c>
    </row>
    <row r="26" spans="1:14" x14ac:dyDescent="0.25">
      <c r="A26" t="s">
        <v>366</v>
      </c>
      <c r="B26" t="s">
        <v>372</v>
      </c>
    </row>
    <row r="27" spans="1:14" x14ac:dyDescent="0.25">
      <c r="A27" t="s">
        <v>373</v>
      </c>
      <c r="B27" t="s">
        <v>374</v>
      </c>
    </row>
    <row r="32" spans="1:14" x14ac:dyDescent="0.25">
      <c r="A32" t="s">
        <v>375</v>
      </c>
    </row>
    <row r="33" spans="1:2" x14ac:dyDescent="0.25">
      <c r="A33">
        <v>1</v>
      </c>
      <c r="B33" t="s">
        <v>376</v>
      </c>
    </row>
    <row r="34" spans="1:2" x14ac:dyDescent="0.25">
      <c r="A34">
        <v>2</v>
      </c>
      <c r="B34" t="s">
        <v>377</v>
      </c>
    </row>
    <row r="35" spans="1:2" x14ac:dyDescent="0.25">
      <c r="A35">
        <v>3</v>
      </c>
      <c r="B35" t="s">
        <v>378</v>
      </c>
    </row>
    <row r="36" spans="1:2" x14ac:dyDescent="0.25">
      <c r="A36">
        <v>4</v>
      </c>
      <c r="B36" t="s">
        <v>379</v>
      </c>
    </row>
    <row r="37" spans="1:2" x14ac:dyDescent="0.25">
      <c r="A37">
        <v>5</v>
      </c>
      <c r="B37" t="s">
        <v>380</v>
      </c>
    </row>
    <row r="38" spans="1:2" x14ac:dyDescent="0.25">
      <c r="A38">
        <v>6</v>
      </c>
      <c r="B38" t="s">
        <v>381</v>
      </c>
    </row>
    <row r="39" spans="1:2" x14ac:dyDescent="0.25">
      <c r="A39">
        <v>7</v>
      </c>
      <c r="B39" t="s">
        <v>382</v>
      </c>
    </row>
    <row r="40" spans="1:2" x14ac:dyDescent="0.25">
      <c r="A40">
        <v>8</v>
      </c>
      <c r="B40" t="s">
        <v>383</v>
      </c>
    </row>
    <row r="41" spans="1:2" x14ac:dyDescent="0.25">
      <c r="A41">
        <v>9</v>
      </c>
      <c r="B41" t="s">
        <v>384</v>
      </c>
    </row>
    <row r="42" spans="1:2" x14ac:dyDescent="0.25">
      <c r="A42">
        <v>10</v>
      </c>
      <c r="B42" t="s">
        <v>385</v>
      </c>
    </row>
    <row r="43" spans="1:2" x14ac:dyDescent="0.25">
      <c r="A43">
        <v>11</v>
      </c>
      <c r="B43" t="s">
        <v>386</v>
      </c>
    </row>
    <row r="44" spans="1:2" x14ac:dyDescent="0.25">
      <c r="A44">
        <v>12</v>
      </c>
      <c r="B44" t="s">
        <v>387</v>
      </c>
    </row>
    <row r="48" spans="1:2" x14ac:dyDescent="0.25">
      <c r="A48" t="s">
        <v>388</v>
      </c>
    </row>
    <row r="49" spans="1:2" x14ac:dyDescent="0.25">
      <c r="A49" t="s">
        <v>389</v>
      </c>
    </row>
    <row r="52" spans="1:2" x14ac:dyDescent="0.25">
      <c r="A52" s="40" t="s">
        <v>391</v>
      </c>
      <c r="B52" s="41"/>
    </row>
    <row r="53" spans="1:2" x14ac:dyDescent="0.25">
      <c r="A53" t="s">
        <v>347</v>
      </c>
      <c r="B53">
        <f>N15/SUM(N15,N17:N18)</f>
        <v>0.78286526317577265</v>
      </c>
    </row>
    <row r="54" spans="1:2" x14ac:dyDescent="0.25">
      <c r="A54" t="s">
        <v>348</v>
      </c>
      <c r="B54">
        <v>0</v>
      </c>
    </row>
    <row r="55" spans="1:2" x14ac:dyDescent="0.25">
      <c r="A55" t="s">
        <v>107</v>
      </c>
      <c r="B55">
        <f>SUM(N17:N18)/SUM(N15,N17:N18)</f>
        <v>0.21713473682422735</v>
      </c>
    </row>
  </sheetData>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F20"/>
  <sheetViews>
    <sheetView workbookViewId="0"/>
  </sheetViews>
  <sheetFormatPr defaultRowHeight="15" x14ac:dyDescent="0.25"/>
  <cols>
    <col min="1" max="1" width="26" style="2" customWidth="1"/>
  </cols>
  <sheetData>
    <row r="1" spans="1:32" x14ac:dyDescent="0.25">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x14ac:dyDescent="0.25">
      <c r="A2" s="2" t="s">
        <v>98</v>
      </c>
      <c r="B2">
        <f>'Canada Generation Projection'!Q14/B20</f>
        <v>4.9871278142029192E-2</v>
      </c>
      <c r="C2">
        <f>'Canada Generation Projection'!R14/C20</f>
        <v>5.5704589921295226E-2</v>
      </c>
      <c r="D2">
        <f>'Canada Generation Projection'!S14/D20</f>
        <v>2.9406679106728929E-2</v>
      </c>
      <c r="E2">
        <f>'Canada Generation Projection'!T14/E20</f>
        <v>8.2914781472480572E-3</v>
      </c>
      <c r="F2">
        <f>'Canada Generation Projection'!U14/F20</f>
        <v>8.3106362030141052E-3</v>
      </c>
      <c r="G2">
        <f>'Canada Generation Projection'!V14/G20</f>
        <v>7.3348873394934854E-3</v>
      </c>
      <c r="H2">
        <f>'Canada Generation Projection'!W14/H20</f>
        <v>7.0243910826967562E-3</v>
      </c>
      <c r="I2">
        <f>'Canada Generation Projection'!X14/I20</f>
        <v>6.3780498485313201E-3</v>
      </c>
      <c r="J2">
        <f>'Canada Generation Projection'!Y14/J20</f>
        <v>5.6812528778928603E-3</v>
      </c>
      <c r="K2">
        <f>'Canada Generation Projection'!Z14/K20</f>
        <v>5.6507966115477495E-3</v>
      </c>
      <c r="L2">
        <f>'Canada Generation Projection'!AA14/L20</f>
        <v>5.2797247705204048E-3</v>
      </c>
      <c r="M2">
        <f>'Canada Generation Projection'!AB14/M20</f>
        <v>5.2025081431352075E-3</v>
      </c>
      <c r="N2">
        <f>'Canada Generation Projection'!AC14/N20</f>
        <v>3.5763559034527096E-3</v>
      </c>
      <c r="O2">
        <f>'Canada Generation Projection'!AD14/O20</f>
        <v>3.6145248848575848E-3</v>
      </c>
      <c r="P2">
        <f>'Canada Generation Projection'!AE14/P20</f>
        <v>3.6058485035946834E-3</v>
      </c>
      <c r="Q2">
        <f>'Canada Generation Projection'!AF14/Q20</f>
        <v>3.3168139728096263E-3</v>
      </c>
      <c r="R2">
        <f>'Canada Generation Projection'!AG14/R20</f>
        <v>3.3892033822795278E-3</v>
      </c>
      <c r="S2">
        <f>'Canada Generation Projection'!AH14/S20</f>
        <v>3.4080886603463341E-3</v>
      </c>
      <c r="T2">
        <f>'Canada Generation Projection'!AI14/T20</f>
        <v>3.328672161184838E-3</v>
      </c>
      <c r="U2">
        <f>'Canada Generation Projection'!AJ14/U20</f>
        <v>2.7953046170256938E-3</v>
      </c>
      <c r="V2">
        <f>'Canada Generation Projection'!AK14/V20</f>
        <v>2.6998348178661961E-3</v>
      </c>
      <c r="W2">
        <f>'Canada Generation Projection'!AL14/W20</f>
        <v>1.349270515113851E-4</v>
      </c>
      <c r="X2">
        <f>'Canada Generation Projection'!AM14/X20</f>
        <v>1.2618570646314115E-4</v>
      </c>
      <c r="Y2">
        <f>'Canada Generation Projection'!AN14/Y20</f>
        <v>1.2449340876841366E-4</v>
      </c>
      <c r="Z2">
        <f>'Canada Generation Projection'!AO14/Z20</f>
        <v>1.1557098274695049E-4</v>
      </c>
      <c r="AA2">
        <f>'Canada Generation Projection'!AP14/AA20</f>
        <v>1.1392034632943061E-4</v>
      </c>
      <c r="AB2">
        <f>'Canada Generation Projection'!AQ14/AB20</f>
        <v>1.069877682346795E-4</v>
      </c>
      <c r="AC2">
        <f>'Canada Generation Projection'!AR14/AC20</f>
        <v>1.0659373424358493E-4</v>
      </c>
      <c r="AD2">
        <f>'Canada Generation Projection'!AS14/AD20</f>
        <v>1.0098463035303353E-4</v>
      </c>
      <c r="AE2">
        <f>'Canada Generation Projection'!AT14/AE20</f>
        <v>1.0106671639399485E-4</v>
      </c>
      <c r="AF2">
        <f>'Canada Generation Projection'!AU14/AF20</f>
        <v>1.0117144477412501E-4</v>
      </c>
    </row>
    <row r="3" spans="1:32" x14ac:dyDescent="0.25">
      <c r="A3" s="2" t="s">
        <v>347</v>
      </c>
      <c r="B3">
        <f>'Canada Generation Projection'!Q$15/B$20*'Canada NG Gen by Turbine Type'!$B$53</f>
        <v>9.3411097421543118E-2</v>
      </c>
      <c r="C3">
        <f>'Canada Generation Projection'!R$15/C$20*'Canada NG Gen by Turbine Type'!$B$53</f>
        <v>9.4913318335075852E-2</v>
      </c>
      <c r="D3">
        <f>'Canada Generation Projection'!S$15/D$20*'Canada NG Gen by Turbine Type'!$B$53</f>
        <v>9.9224441944358366E-2</v>
      </c>
      <c r="E3">
        <f>'Canada Generation Projection'!T$15/E$20*'Canada NG Gen by Turbine Type'!$B$53</f>
        <v>0.12061842499822424</v>
      </c>
      <c r="F3">
        <f>'Canada Generation Projection'!U$15/F$20*'Canada NG Gen by Turbine Type'!$B$53</f>
        <v>0.11243634800770419</v>
      </c>
      <c r="G3">
        <f>'Canada Generation Projection'!V$15/G$20*'Canada NG Gen by Turbine Type'!$B$53</f>
        <v>0.11570779211661576</v>
      </c>
      <c r="H3">
        <f>'Canada Generation Projection'!W$15/H$20*'Canada NG Gen by Turbine Type'!$B$53</f>
        <v>0.12122634456993442</v>
      </c>
      <c r="I3">
        <f>'Canada Generation Projection'!X$15/I$20*'Canada NG Gen by Turbine Type'!$B$53</f>
        <v>0.11110196660888948</v>
      </c>
      <c r="J3">
        <f>'Canada Generation Projection'!Y$15/J$20*'Canada NG Gen by Turbine Type'!$B$53</f>
        <v>0.10626735110193518</v>
      </c>
      <c r="K3">
        <f>'Canada Generation Projection'!Z$15/K$20*'Canada NG Gen by Turbine Type'!$B$53</f>
        <v>0.10805877570437533</v>
      </c>
      <c r="L3">
        <f>'Canada Generation Projection'!AA$15/L$20*'Canada NG Gen by Turbine Type'!$B$53</f>
        <v>9.8091366594185436E-2</v>
      </c>
      <c r="M3">
        <f>'Canada Generation Projection'!AB$15/M$20*'Canada NG Gen by Turbine Type'!$B$53</f>
        <v>0.1005138346379268</v>
      </c>
      <c r="N3">
        <f>'Canada Generation Projection'!AC$15/N$20*'Canada NG Gen by Turbine Type'!$B$53</f>
        <v>9.2602266126260296E-2</v>
      </c>
      <c r="O3">
        <f>'Canada Generation Projection'!AD$15/O$20*'Canada NG Gen by Turbine Type'!$B$53</f>
        <v>9.2431999471049298E-2</v>
      </c>
      <c r="P3">
        <f>'Canada Generation Projection'!AE$15/P$20*'Canada NG Gen by Turbine Type'!$B$53</f>
        <v>8.775082493907721E-2</v>
      </c>
      <c r="Q3">
        <f>'Canada Generation Projection'!AF$15/Q$20*'Canada NG Gen by Turbine Type'!$B$53</f>
        <v>8.6234634477463823E-2</v>
      </c>
      <c r="R3">
        <f>'Canada Generation Projection'!AG$15/R$20*'Canada NG Gen by Turbine Type'!$B$53</f>
        <v>7.4667962327033557E-2</v>
      </c>
      <c r="S3">
        <f>'Canada Generation Projection'!AH$15/S$20*'Canada NG Gen by Turbine Type'!$B$53</f>
        <v>7.3803261361336914E-2</v>
      </c>
      <c r="T3">
        <f>'Canada Generation Projection'!AI$15/T$20*'Canada NG Gen by Turbine Type'!$B$53</f>
        <v>7.1148940863799928E-2</v>
      </c>
      <c r="U3">
        <f>'Canada Generation Projection'!AJ$15/U$20*'Canada NG Gen by Turbine Type'!$B$53</f>
        <v>7.0829848173211987E-2</v>
      </c>
      <c r="V3">
        <f>'Canada Generation Projection'!AK$15/V$20*'Canada NG Gen by Turbine Type'!$B$53</f>
        <v>6.845714740632082E-2</v>
      </c>
      <c r="W3">
        <f>'Canada Generation Projection'!AL$15/W$20*'Canada NG Gen by Turbine Type'!$B$53</f>
        <v>6.8006470462918189E-2</v>
      </c>
      <c r="X3">
        <f>'Canada Generation Projection'!AM$15/X$20*'Canada NG Gen by Turbine Type'!$B$53</f>
        <v>6.7176746540517807E-2</v>
      </c>
      <c r="Y3">
        <f>'Canada Generation Projection'!AN$15/Y$20*'Canada NG Gen by Turbine Type'!$B$53</f>
        <v>6.7183411023679862E-2</v>
      </c>
      <c r="Z3">
        <f>'Canada Generation Projection'!AO$15/Z$20*'Canada NG Gen by Turbine Type'!$B$53</f>
        <v>6.5011384173954134E-2</v>
      </c>
      <c r="AA3">
        <f>'Canada Generation Projection'!AP$15/AA$20*'Canada NG Gen by Turbine Type'!$B$53</f>
        <v>6.439289262908765E-2</v>
      </c>
      <c r="AB3">
        <f>'Canada Generation Projection'!AQ$15/AB$20*'Canada NG Gen by Turbine Type'!$B$53</f>
        <v>6.3137718986613217E-2</v>
      </c>
      <c r="AC3">
        <f>'Canada Generation Projection'!AR$15/AC$20*'Canada NG Gen by Turbine Type'!$B$53</f>
        <v>6.2984021178352098E-2</v>
      </c>
      <c r="AD3">
        <f>'Canada Generation Projection'!AS$15/AD$20*'Canada NG Gen by Turbine Type'!$B$53</f>
        <v>6.1886513727782227E-2</v>
      </c>
      <c r="AE3">
        <f>'Canada Generation Projection'!AT$15/AE$20*'Canada NG Gen by Turbine Type'!$B$53</f>
        <v>6.188160371119119E-2</v>
      </c>
      <c r="AF3">
        <f>'Canada Generation Projection'!AU$15/AF$20*'Canada NG Gen by Turbine Type'!$B$53</f>
        <v>6.1806611040571502E-2</v>
      </c>
    </row>
    <row r="4" spans="1:32" x14ac:dyDescent="0.25">
      <c r="A4" s="2" t="s">
        <v>348</v>
      </c>
      <c r="B4">
        <f>'Canada Generation Projection'!Q$15/B$20*'Canada NG Gen by Turbine Type'!$B$54</f>
        <v>0</v>
      </c>
      <c r="C4">
        <f>'Canada Generation Projection'!R$15/C$20*'Canada NG Gen by Turbine Type'!$B$54</f>
        <v>0</v>
      </c>
      <c r="D4">
        <f>'Canada Generation Projection'!S$15/D$20*'Canada NG Gen by Turbine Type'!$B$54</f>
        <v>0</v>
      </c>
      <c r="E4">
        <f>'Canada Generation Projection'!T$15/E$20*'Canada NG Gen by Turbine Type'!$B$54</f>
        <v>0</v>
      </c>
      <c r="F4">
        <f>'Canada Generation Projection'!U$15/F$20*'Canada NG Gen by Turbine Type'!$B$54</f>
        <v>0</v>
      </c>
      <c r="G4">
        <f>'Canada Generation Projection'!V$15/G$20*'Canada NG Gen by Turbine Type'!$B$54</f>
        <v>0</v>
      </c>
      <c r="H4">
        <f>'Canada Generation Projection'!W$15/H$20*'Canada NG Gen by Turbine Type'!$B$54</f>
        <v>0</v>
      </c>
      <c r="I4">
        <f>'Canada Generation Projection'!X$15/I$20*'Canada NG Gen by Turbine Type'!$B$54</f>
        <v>0</v>
      </c>
      <c r="J4">
        <f>'Canada Generation Projection'!Y$15/J$20*'Canada NG Gen by Turbine Type'!$B$54</f>
        <v>0</v>
      </c>
      <c r="K4">
        <f>'Canada Generation Projection'!Z$15/K$20*'Canada NG Gen by Turbine Type'!$B$54</f>
        <v>0</v>
      </c>
      <c r="L4">
        <f>'Canada Generation Projection'!AA$15/L$20*'Canada NG Gen by Turbine Type'!$B$54</f>
        <v>0</v>
      </c>
      <c r="M4">
        <f>'Canada Generation Projection'!AB$15/M$20*'Canada NG Gen by Turbine Type'!$B$54</f>
        <v>0</v>
      </c>
      <c r="N4">
        <f>'Canada Generation Projection'!AC$15/N$20*'Canada NG Gen by Turbine Type'!$B$54</f>
        <v>0</v>
      </c>
      <c r="O4">
        <f>'Canada Generation Projection'!AD$15/O$20*'Canada NG Gen by Turbine Type'!$B$54</f>
        <v>0</v>
      </c>
      <c r="P4">
        <f>'Canada Generation Projection'!AE$15/P$20*'Canada NG Gen by Turbine Type'!$B$54</f>
        <v>0</v>
      </c>
      <c r="Q4">
        <f>'Canada Generation Projection'!AF$15/Q$20*'Canada NG Gen by Turbine Type'!$B$54</f>
        <v>0</v>
      </c>
      <c r="R4">
        <f>'Canada Generation Projection'!AG$15/R$20*'Canada NG Gen by Turbine Type'!$B$54</f>
        <v>0</v>
      </c>
      <c r="S4">
        <f>'Canada Generation Projection'!AH$15/S$20*'Canada NG Gen by Turbine Type'!$B$54</f>
        <v>0</v>
      </c>
      <c r="T4">
        <f>'Canada Generation Projection'!AI$15/T$20*'Canada NG Gen by Turbine Type'!$B$54</f>
        <v>0</v>
      </c>
      <c r="U4">
        <f>'Canada Generation Projection'!AJ$15/U$20*'Canada NG Gen by Turbine Type'!$B$54</f>
        <v>0</v>
      </c>
      <c r="V4">
        <f>'Canada Generation Projection'!AK$15/V$20*'Canada NG Gen by Turbine Type'!$B$54</f>
        <v>0</v>
      </c>
      <c r="W4">
        <f>'Canada Generation Projection'!AL$15/W$20*'Canada NG Gen by Turbine Type'!$B$54</f>
        <v>0</v>
      </c>
      <c r="X4">
        <f>'Canada Generation Projection'!AM$15/X$20*'Canada NG Gen by Turbine Type'!$B$54</f>
        <v>0</v>
      </c>
      <c r="Y4">
        <f>'Canada Generation Projection'!AN$15/Y$20*'Canada NG Gen by Turbine Type'!$B$54</f>
        <v>0</v>
      </c>
      <c r="Z4">
        <f>'Canada Generation Projection'!AO$15/Z$20*'Canada NG Gen by Turbine Type'!$B$54</f>
        <v>0</v>
      </c>
      <c r="AA4">
        <f>'Canada Generation Projection'!AP$15/AA$20*'Canada NG Gen by Turbine Type'!$B$54</f>
        <v>0</v>
      </c>
      <c r="AB4">
        <f>'Canada Generation Projection'!AQ$15/AB$20*'Canada NG Gen by Turbine Type'!$B$54</f>
        <v>0</v>
      </c>
      <c r="AC4">
        <f>'Canada Generation Projection'!AR$15/AC$20*'Canada NG Gen by Turbine Type'!$B$54</f>
        <v>0</v>
      </c>
      <c r="AD4">
        <f>'Canada Generation Projection'!AS$15/AD$20*'Canada NG Gen by Turbine Type'!$B$54</f>
        <v>0</v>
      </c>
      <c r="AE4">
        <f>'Canada Generation Projection'!AT$15/AE$20*'Canada NG Gen by Turbine Type'!$B$54</f>
        <v>0</v>
      </c>
      <c r="AF4">
        <f>'Canada Generation Projection'!AU$15/AF$20*'Canada NG Gen by Turbine Type'!$B$54</f>
        <v>0</v>
      </c>
    </row>
    <row r="5" spans="1:32" x14ac:dyDescent="0.25">
      <c r="A5" s="2" t="s">
        <v>99</v>
      </c>
      <c r="B5">
        <f>'Canada Generation Projection'!Q13/B20</f>
        <v>0.13371460966050103</v>
      </c>
      <c r="C5">
        <f>'Canada Generation Projection'!R13/C20</f>
        <v>0.12383202835856633</v>
      </c>
      <c r="D5">
        <f>'Canada Generation Projection'!S13/D20</f>
        <v>0.12240882315606512</v>
      </c>
      <c r="E5">
        <f>'Canada Generation Projection'!T13/E20</f>
        <v>0.10569685974687398</v>
      </c>
      <c r="F5">
        <f>'Canada Generation Projection'!U13/F20</f>
        <v>0.1198808645161618</v>
      </c>
      <c r="G5">
        <f>'Canada Generation Projection'!V13/G20</f>
        <v>0.10876038429899992</v>
      </c>
      <c r="H5">
        <f>'Canada Generation Projection'!W13/H20</f>
        <v>0.10017686556275403</v>
      </c>
      <c r="I5">
        <f>'Canada Generation Projection'!X13/I20</f>
        <v>0.10896654277272515</v>
      </c>
      <c r="J5">
        <f>'Canada Generation Projection'!Y13/J20</f>
        <v>0.11749990719759185</v>
      </c>
      <c r="K5">
        <f>'Canada Generation Projection'!Z13/K20</f>
        <v>0.10941478841103205</v>
      </c>
      <c r="L5">
        <f>'Canada Generation Projection'!AA13/L20</f>
        <v>0.11676741679135853</v>
      </c>
      <c r="M5">
        <f>'Canada Generation Projection'!AB13/M20</f>
        <v>0.10576840263781467</v>
      </c>
      <c r="N5">
        <f>'Canada Generation Projection'!AC13/N20</f>
        <v>0.11459044545320857</v>
      </c>
      <c r="O5">
        <f>'Canada Generation Projection'!AD13/O20</f>
        <v>0.11401216926459583</v>
      </c>
      <c r="P5">
        <f>'Canada Generation Projection'!AE13/P20</f>
        <v>0.12229632593075128</v>
      </c>
      <c r="Q5">
        <f>'Canada Generation Projection'!AF13/Q20</f>
        <v>0.12360863720738274</v>
      </c>
      <c r="R5">
        <f>'Canada Generation Projection'!AG13/R20</f>
        <v>0.12411821548774156</v>
      </c>
      <c r="S5">
        <f>'Canada Generation Projection'!AH13/S20</f>
        <v>0.12324912787994106</v>
      </c>
      <c r="T5">
        <f>'Canada Generation Projection'!AI13/T20</f>
        <v>0.12188811653469891</v>
      </c>
      <c r="U5">
        <f>'Canada Generation Projection'!AJ13/U20</f>
        <v>0.1208342669428305</v>
      </c>
      <c r="V5">
        <f>'Canada Generation Projection'!AK13/V20</f>
        <v>0.11948673169936214</v>
      </c>
      <c r="W5">
        <f>'Canada Generation Projection'!AL13/W20</f>
        <v>0.11241525814710213</v>
      </c>
      <c r="X5">
        <f>'Canada Generation Projection'!AM13/X20</f>
        <v>0.11086158563125764</v>
      </c>
      <c r="Y5">
        <f>'Canada Generation Projection'!AN13/Y20</f>
        <v>0.10923143439695507</v>
      </c>
      <c r="Z5">
        <f>'Canada Generation Projection'!AO13/Z20</f>
        <v>0.11371405338378589</v>
      </c>
      <c r="AA5">
        <f>'Canada Generation Projection'!AP13/AA20</f>
        <v>0.11234086231527368</v>
      </c>
      <c r="AB5">
        <f>'Canada Generation Projection'!AQ13/AB20</f>
        <v>0.1111409414595764</v>
      </c>
      <c r="AC5">
        <f>'Canada Generation Projection'!AR13/AC20</f>
        <v>0.11091605611831115</v>
      </c>
      <c r="AD5">
        <f>'Canada Generation Projection'!AS13/AD20</f>
        <v>0.11064023419139753</v>
      </c>
      <c r="AE5">
        <f>'Canada Generation Projection'!AT13/AE20</f>
        <v>0.11066653378499736</v>
      </c>
      <c r="AF5">
        <f>'Canada Generation Projection'!AU13/AF20</f>
        <v>0.10966864742135086</v>
      </c>
    </row>
    <row r="6" spans="1:32" x14ac:dyDescent="0.25">
      <c r="A6" s="2" t="s">
        <v>101</v>
      </c>
      <c r="B6">
        <f>'Canada Generation Projection'!Q9/B20</f>
        <v>0.61871683125154597</v>
      </c>
      <c r="C6">
        <f>'Canada Generation Projection'!R9/C20</f>
        <v>0.61879795135640714</v>
      </c>
      <c r="D6">
        <f>'Canada Generation Projection'!S9/D20</f>
        <v>0.62526483460811144</v>
      </c>
      <c r="E6">
        <f>'Canada Generation Projection'!T9/E20</f>
        <v>0.63476648304384986</v>
      </c>
      <c r="F6">
        <f>'Canada Generation Projection'!U9/F20</f>
        <v>0.62796530336560585</v>
      </c>
      <c r="G6">
        <f>'Canada Generation Projection'!V9/G20</f>
        <v>0.63172002872468513</v>
      </c>
      <c r="H6">
        <f>'Canada Generation Projection'!W9/H20</f>
        <v>0.62780156695848555</v>
      </c>
      <c r="I6">
        <f>'Canada Generation Projection'!X9/I20</f>
        <v>0.62529832935560858</v>
      </c>
      <c r="J6">
        <f>'Canada Generation Projection'!Y9/J20</f>
        <v>0.62057101234452394</v>
      </c>
      <c r="K6">
        <f>'Canada Generation Projection'!Z9/K20</f>
        <v>0.61495297307938268</v>
      </c>
      <c r="L6">
        <f>'Canada Generation Projection'!AA9/L20</f>
        <v>0.61399002214611165</v>
      </c>
      <c r="M6">
        <f>'Canada Generation Projection'!AB9/M20</f>
        <v>0.60637578556610383</v>
      </c>
      <c r="N6">
        <f>'Canada Generation Projection'!AC9/N20</f>
        <v>0.60262855303459517</v>
      </c>
      <c r="O6">
        <f>'Canada Generation Projection'!AD9/O20</f>
        <v>0.59978045048994821</v>
      </c>
      <c r="P6">
        <f>'Canada Generation Projection'!AE9/P20</f>
        <v>0.59576646938244726</v>
      </c>
      <c r="Q6">
        <f>'Canada Generation Projection'!AF9/Q20</f>
        <v>0.59117715086048417</v>
      </c>
      <c r="R6">
        <f>'Canada Generation Projection'!AG9/R20</f>
        <v>0.59579151731089552</v>
      </c>
      <c r="S6">
        <f>'Canada Generation Projection'!AH9/S20</f>
        <v>0.59256989645731972</v>
      </c>
      <c r="T6">
        <f>'Canada Generation Projection'!AI9/T20</f>
        <v>0.5866904811673489</v>
      </c>
      <c r="U6">
        <f>'Canada Generation Projection'!AJ9/U20</f>
        <v>0.5816366952749753</v>
      </c>
      <c r="V6">
        <f>'Canada Generation Projection'!AK9/V20</f>
        <v>0.57446993514176314</v>
      </c>
      <c r="W6">
        <f>'Canada Generation Projection'!AL9/W20</f>
        <v>0.57123126164735372</v>
      </c>
      <c r="X6">
        <f>'Canada Generation Projection'!AM9/X20</f>
        <v>0.56309726407474003</v>
      </c>
      <c r="Y6">
        <f>'Canada Generation Projection'!AN9/Y20</f>
        <v>0.55430143353178896</v>
      </c>
      <c r="Z6">
        <f>'Canada Generation Projection'!AO9/Z20</f>
        <v>0.54285878198583859</v>
      </c>
      <c r="AA6">
        <f>'Canada Generation Projection'!AP9/AA20</f>
        <v>0.5356059272589766</v>
      </c>
      <c r="AB6">
        <f>'Canada Generation Projection'!AQ9/AB20</f>
        <v>0.5279950297428847</v>
      </c>
      <c r="AC6">
        <f>'Canada Generation Projection'!AR9/AC20</f>
        <v>0.52291217747875551</v>
      </c>
      <c r="AD6">
        <f>'Canada Generation Projection'!AS9/AD20</f>
        <v>0.51753263736814248</v>
      </c>
      <c r="AE6">
        <f>'Canada Generation Projection'!AT9/AE20</f>
        <v>0.51291698415858422</v>
      </c>
      <c r="AF6">
        <f>'Canada Generation Projection'!AU9/AF20</f>
        <v>0.50968831317747454</v>
      </c>
    </row>
    <row r="7" spans="1:32" x14ac:dyDescent="0.25">
      <c r="A7" s="2" t="s">
        <v>100</v>
      </c>
      <c r="B7">
        <f>'Canada Generation Projection'!Q10/B20</f>
        <v>5.6709045532674481E-2</v>
      </c>
      <c r="C7">
        <f>'Canada Generation Projection'!R10/C20</f>
        <v>5.8589074556980071E-2</v>
      </c>
      <c r="D7">
        <f>'Canada Generation Projection'!S10/D20</f>
        <v>7.3881479900736263E-2</v>
      </c>
      <c r="E7">
        <f>'Canada Generation Projection'!T10/E20</f>
        <v>7.4124194630712181E-2</v>
      </c>
      <c r="F7">
        <f>'Canada Generation Projection'!U10/F20</f>
        <v>7.773028895894421E-2</v>
      </c>
      <c r="G7">
        <f>'Canada Generation Projection'!V10/G20</f>
        <v>8.0564412942766339E-2</v>
      </c>
      <c r="H7">
        <f>'Canada Generation Projection'!W10/H20</f>
        <v>8.09164255781432E-2</v>
      </c>
      <c r="I7">
        <f>'Canada Generation Projection'!X10/I20</f>
        <v>9.1008055488069214E-2</v>
      </c>
      <c r="J7">
        <f>'Canada Generation Projection'!Y10/J20</f>
        <v>9.5874080572505321E-2</v>
      </c>
      <c r="K7">
        <f>'Canada Generation Projection'!Z10/K20</f>
        <v>0.10192546656260679</v>
      </c>
      <c r="L7">
        <f>'Canada Generation Projection'!AA10/L20</f>
        <v>0.11280592842283375</v>
      </c>
      <c r="M7">
        <f>'Canada Generation Projection'!AB10/M20</f>
        <v>0.1210396931303637</v>
      </c>
      <c r="N7">
        <f>'Canada Generation Projection'!AC10/N20</f>
        <v>0.12986394634153162</v>
      </c>
      <c r="O7">
        <f>'Canada Generation Projection'!AD10/O20</f>
        <v>0.13037535646525977</v>
      </c>
      <c r="P7">
        <f>'Canada Generation Projection'!AE10/P20</f>
        <v>0.13187594070725397</v>
      </c>
      <c r="Q7">
        <f>'Canada Generation Projection'!AF10/Q20</f>
        <v>0.13294429762814183</v>
      </c>
      <c r="R7">
        <f>'Canada Generation Projection'!AG10/R20</f>
        <v>0.13791119399485724</v>
      </c>
      <c r="S7">
        <f>'Canada Generation Projection'!AH10/S20</f>
        <v>0.14143001982669176</v>
      </c>
      <c r="T7">
        <f>'Canada Generation Projection'!AI10/T20</f>
        <v>0.15013455088175909</v>
      </c>
      <c r="U7">
        <f>'Canada Generation Projection'!AJ10/U20</f>
        <v>0.15410454988491093</v>
      </c>
      <c r="V7">
        <f>'Canada Generation Projection'!AK10/V20</f>
        <v>0.16147401364581557</v>
      </c>
      <c r="W7">
        <f>'Canada Generation Projection'!AL10/W20</f>
        <v>0.16711277095261301</v>
      </c>
      <c r="X7">
        <f>'Canada Generation Projection'!AM10/X20</f>
        <v>0.17632837499478518</v>
      </c>
      <c r="Y7">
        <f>'Canada Generation Projection'!AN10/Y20</f>
        <v>0.18113049690620939</v>
      </c>
      <c r="Z7">
        <f>'Canada Generation Projection'!AO10/Z20</f>
        <v>0.1898074150151666</v>
      </c>
      <c r="AA7">
        <f>'Canada Generation Projection'!AP10/AA20</f>
        <v>0.19285755850221639</v>
      </c>
      <c r="AB7">
        <f>'Canada Generation Projection'!AQ10/AB20</f>
        <v>0.20078146327100535</v>
      </c>
      <c r="AC7">
        <f>'Canada Generation Projection'!AR10/AC20</f>
        <v>0.20375725993568283</v>
      </c>
      <c r="AD7">
        <f>'Canada Generation Projection'!AS10/AD20</f>
        <v>0.21019761432756737</v>
      </c>
      <c r="AE7">
        <f>'Canada Generation Projection'!AT10/AE20</f>
        <v>0.2128756508322705</v>
      </c>
      <c r="AF7">
        <f>'Canada Generation Projection'!AU10/AF20</f>
        <v>0.21533169563912261</v>
      </c>
    </row>
    <row r="8" spans="1:32" x14ac:dyDescent="0.25">
      <c r="A8" s="2" t="s">
        <v>102</v>
      </c>
      <c r="B8">
        <f>'Canada Generation Projection'!Q12/B20</f>
        <v>3.6116336161437714E-3</v>
      </c>
      <c r="C8">
        <f>'Canada Generation Projection'!R12/C20</f>
        <v>4.079413875090439E-3</v>
      </c>
      <c r="D8">
        <f>'Canada Generation Projection'!S12/D20</f>
        <v>5.2549408545795699E-3</v>
      </c>
      <c r="E8">
        <f>'Canada Generation Projection'!T12/E20</f>
        <v>5.638378690569784E-3</v>
      </c>
      <c r="F8">
        <f>'Canada Generation Projection'!U12/F20</f>
        <v>6.1239473103060675E-3</v>
      </c>
      <c r="G8">
        <f>'Canada Generation Projection'!V12/G20</f>
        <v>6.4315758717683339E-3</v>
      </c>
      <c r="H8">
        <f>'Canada Generation Projection'!W12/H20</f>
        <v>7.285367786871175E-3</v>
      </c>
      <c r="I8">
        <f>'Canada Generation Projection'!X12/I20</f>
        <v>7.7602386561556524E-3</v>
      </c>
      <c r="J8">
        <f>'Canada Generation Projection'!Y12/J20</f>
        <v>7.8585748319636387E-3</v>
      </c>
      <c r="K8">
        <f>'Canada Generation Projection'!Z12/K20</f>
        <v>9.7758132111685891E-3</v>
      </c>
      <c r="L8">
        <f>'Canada Generation Projection'!AA12/L20</f>
        <v>1.1009868398659839E-2</v>
      </c>
      <c r="M8">
        <f>'Canada Generation Projection'!AB12/M20</f>
        <v>1.2155885536747004E-2</v>
      </c>
      <c r="N8">
        <f>'Canada Generation Projection'!AC12/N20</f>
        <v>1.3591170719087399E-2</v>
      </c>
      <c r="O8">
        <f>'Canada Generation Projection'!AD12/O20</f>
        <v>1.5447826584367819E-2</v>
      </c>
      <c r="P8">
        <f>'Canada Generation Projection'!AE12/P20</f>
        <v>1.742844953667505E-2</v>
      </c>
      <c r="Q8">
        <f>'Canada Generation Projection'!AF12/Q20</f>
        <v>2.2345762518863676E-2</v>
      </c>
      <c r="R8">
        <f>'Canada Generation Projection'!AG12/R20</f>
        <v>2.4737996680401279E-2</v>
      </c>
      <c r="S8">
        <f>'Canada Generation Projection'!AH12/S20</f>
        <v>2.709918850673692E-2</v>
      </c>
      <c r="T8">
        <f>'Canada Generation Projection'!AI12/T20</f>
        <v>2.9438366203080227E-2</v>
      </c>
      <c r="U8">
        <f>'Canada Generation Projection'!AJ12/U20</f>
        <v>3.2196317814260599E-2</v>
      </c>
      <c r="V8">
        <f>'Canada Generation Projection'!AK12/V20</f>
        <v>3.752264848779191E-2</v>
      </c>
      <c r="W8">
        <f>'Canada Generation Projection'!AL12/W20</f>
        <v>4.1961241145492961E-2</v>
      </c>
      <c r="X8">
        <f>'Canada Generation Projection'!AM12/X20</f>
        <v>4.6415175558040943E-2</v>
      </c>
      <c r="Y8">
        <f>'Canada Generation Projection'!AN12/Y20</f>
        <v>5.1458067328520575E-2</v>
      </c>
      <c r="Z8">
        <f>'Canada Generation Projection'!AO12/Z20</f>
        <v>5.5779944529109365E-2</v>
      </c>
      <c r="AA8">
        <f>'Canada Generation Projection'!AP12/AA20</f>
        <v>6.1681994235601542E-2</v>
      </c>
      <c r="AB8">
        <f>'Canada Generation Projection'!AQ12/AB20</f>
        <v>6.4723026639894904E-2</v>
      </c>
      <c r="AC8">
        <f>'Canada Generation Projection'!AR12/AC20</f>
        <v>6.6944871769805667E-2</v>
      </c>
      <c r="AD8">
        <f>'Canada Generation Projection'!AS12/AD20</f>
        <v>6.8474712900184712E-2</v>
      </c>
      <c r="AE8">
        <f>'Canada Generation Projection'!AT12/AE20</f>
        <v>6.999981233593866E-2</v>
      </c>
      <c r="AF8">
        <f>'Canada Generation Projection'!AU12/AF20</f>
        <v>7.0986655392820466E-2</v>
      </c>
    </row>
    <row r="9" spans="1:32" x14ac:dyDescent="0.25">
      <c r="A9" s="2" t="s">
        <v>103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x14ac:dyDescent="0.25">
      <c r="A10" s="2" t="s">
        <v>104</v>
      </c>
      <c r="B10">
        <f>'Canada Generation Projection'!Q11/B20</f>
        <v>1.243071958191949E-2</v>
      </c>
      <c r="C10">
        <f>'Canada Generation Projection'!R11/C20</f>
        <v>1.2469397860761556E-2</v>
      </c>
      <c r="D10">
        <f>'Canada Generation Projection'!S11/D20</f>
        <v>1.2211090805582763E-2</v>
      </c>
      <c r="E10">
        <f>'Canada Generation Projection'!T11/E20</f>
        <v>1.2314068972331647E-2</v>
      </c>
      <c r="F10">
        <f>'Canada Generation Projection'!U11/F20</f>
        <v>1.2202219149982331E-2</v>
      </c>
      <c r="G10">
        <f>'Canada Generation Projection'!V11/G20</f>
        <v>1.2158165390429783E-2</v>
      </c>
      <c r="H10">
        <f>'Canada Generation Projection'!W11/H20</f>
        <v>1.2114724988160946E-2</v>
      </c>
      <c r="I10">
        <f>'Canada Generation Projection'!X11/I20</f>
        <v>1.1990309815470949E-2</v>
      </c>
      <c r="J10">
        <f>'Canada Generation Projection'!Y11/J20</f>
        <v>1.1786720400133727E-2</v>
      </c>
      <c r="K10">
        <f>'Canada Generation Projection'!Z11/K20</f>
        <v>1.1608163187099499E-2</v>
      </c>
      <c r="L10">
        <f>'Canada Generation Projection'!AA11/L20</f>
        <v>1.1165732644009255E-2</v>
      </c>
      <c r="M10">
        <f>'Canada Generation Projection'!AB11/M20</f>
        <v>1.09059984487914E-2</v>
      </c>
      <c r="N10">
        <f>'Canada Generation Projection'!AC11/N20</f>
        <v>1.0639594132243331E-2</v>
      </c>
      <c r="O10">
        <f>'Canada Generation Projection'!AD11/O20</f>
        <v>1.0580189540145111E-2</v>
      </c>
      <c r="P10">
        <f>'Canada Generation Projection'!AE11/P20</f>
        <v>1.0429422611361212E-2</v>
      </c>
      <c r="Q10">
        <f>'Canada Generation Projection'!AF11/Q20</f>
        <v>1.0309460592437127E-2</v>
      </c>
      <c r="R10">
        <f>'Canada Generation Projection'!AG11/R20</f>
        <v>1.043303810270242E-2</v>
      </c>
      <c r="S10">
        <f>'Canada Generation Projection'!AH11/S20</f>
        <v>1.0385035672836303E-2</v>
      </c>
      <c r="T10">
        <f>'Canada Generation Projection'!AI11/T20</f>
        <v>1.0282748257198311E-2</v>
      </c>
      <c r="U10">
        <f>'Canada Generation Projection'!AJ11/U20</f>
        <v>1.0232469951309222E-2</v>
      </c>
      <c r="V10">
        <f>'Canada Generation Projection'!AK11/V20</f>
        <v>1.0092079494692423E-2</v>
      </c>
      <c r="W10">
        <f>'Canada Generation Projection'!AL11/W20</f>
        <v>1.0050451068700896E-2</v>
      </c>
      <c r="X10">
        <f>'Canada Generation Projection'!AM11/X20</f>
        <v>9.8826657244665012E-3</v>
      </c>
      <c r="Y10">
        <f>'Canada Generation Projection'!AN11/Y20</f>
        <v>9.6809719831327488E-3</v>
      </c>
      <c r="Z10">
        <f>'Canada Generation Projection'!AO11/Z20</f>
        <v>9.4466737610398518E-3</v>
      </c>
      <c r="AA10">
        <f>'Canada Generation Projection'!AP11/AA20</f>
        <v>9.281360522017135E-3</v>
      </c>
      <c r="AB10">
        <f>'Canada Generation Projection'!AQ11/AB20</f>
        <v>9.1612151843426456E-3</v>
      </c>
      <c r="AC10">
        <f>'Canada Generation Projection'!AR11/AC20</f>
        <v>9.0494696444732379E-3</v>
      </c>
      <c r="AD10">
        <f>'Canada Generation Projection'!AS11/AD20</f>
        <v>8.9230934887173721E-3</v>
      </c>
      <c r="AE10">
        <f>'Canada Generation Projection'!AT11/AE20</f>
        <v>8.8360972386460276E-3</v>
      </c>
      <c r="AF10">
        <f>'Canada Generation Projection'!AU11/AF20</f>
        <v>8.7433499639461149E-3</v>
      </c>
    </row>
    <row r="11" spans="1:32" x14ac:dyDescent="0.25">
      <c r="A11" s="2" t="s">
        <v>105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2" x14ac:dyDescent="0.25">
      <c r="A12" s="2" t="s">
        <v>106</v>
      </c>
      <c r="B12">
        <f>'Canada Generation Projection'!Q16/B20</f>
        <v>5.6263749954996965E-3</v>
      </c>
      <c r="C12">
        <f>'Canada Generation Projection'!R16/C20</f>
        <v>5.2891614275688802E-3</v>
      </c>
      <c r="D12">
        <f>'Canada Generation Projection'!S16/D20</f>
        <v>4.8269163257429635E-3</v>
      </c>
      <c r="E12">
        <f>'Canada Generation Projection'!T16/E20</f>
        <v>5.0955044449170562E-3</v>
      </c>
      <c r="F12">
        <f>'Canada Generation Projection'!U16/F20</f>
        <v>4.1651579626201755E-3</v>
      </c>
      <c r="G12">
        <f>'Canada Generation Projection'!V16/G20</f>
        <v>5.2301542799551215E-3</v>
      </c>
      <c r="H12">
        <f>'Canada Generation Projection'!W16/H20</f>
        <v>9.831094175196356E-3</v>
      </c>
      <c r="I12">
        <f>'Canada Generation Projection'!X16/I20</f>
        <v>6.6813756368298829E-3</v>
      </c>
      <c r="J12">
        <f>'Canada Generation Projection'!Y16/J20</f>
        <v>4.9868930417045296E-3</v>
      </c>
      <c r="K12">
        <f>'Canada Generation Projection'!Z16/K20</f>
        <v>8.6421478411720584E-3</v>
      </c>
      <c r="L12">
        <f>'Canada Generation Projection'!AA16/L20</f>
        <v>3.6834155951753038E-3</v>
      </c>
      <c r="M12">
        <f>'Canada Generation Projection'!AB16/M20</f>
        <v>1.0159473915970944E-2</v>
      </c>
      <c r="N12">
        <f>'Canada Generation Projection'!AC16/N20</f>
        <v>6.8235951413425878E-3</v>
      </c>
      <c r="O12">
        <f>'Canada Generation Projection'!AD16/O20</f>
        <v>8.1206351429600008E-3</v>
      </c>
      <c r="P12">
        <f>'Canada Generation Projection'!AE16/P20</f>
        <v>6.508236180595834E-3</v>
      </c>
      <c r="Q12">
        <f>'Canada Generation Projection'!AF16/Q20</f>
        <v>6.1452896243549193E-3</v>
      </c>
      <c r="R12">
        <f>'Canada Generation Projection'!AG16/R20</f>
        <v>8.2410403691051386E-3</v>
      </c>
      <c r="S12">
        <f>'Canada Generation Projection'!AH16/S20</f>
        <v>7.5853818963232678E-3</v>
      </c>
      <c r="T12">
        <f>'Canada Generation Projection'!AI16/T20</f>
        <v>7.3543239062439925E-3</v>
      </c>
      <c r="U12">
        <f>'Canada Generation Projection'!AJ16/U20</f>
        <v>7.7252505505549475E-3</v>
      </c>
      <c r="V12">
        <f>'Canada Generation Projection'!AK16/V20</f>
        <v>6.810402458673431E-3</v>
      </c>
      <c r="W12">
        <f>'Canada Generation Projection'!AL16/W20</f>
        <v>1.022541198886516E-2</v>
      </c>
      <c r="X12">
        <f>'Canada Generation Projection'!AM16/X20</f>
        <v>7.4799256425905729E-3</v>
      </c>
      <c r="Y12">
        <f>'Canada Generation Projection'!AN16/Y20</f>
        <v>8.2557668393336125E-3</v>
      </c>
      <c r="Z12">
        <f>'Canada Generation Projection'!AO16/Z20</f>
        <v>5.2346828103236572E-3</v>
      </c>
      <c r="AA12">
        <f>'Canada Generation Projection'!AP16/AA20</f>
        <v>5.8655350369888381E-3</v>
      </c>
      <c r="AB12">
        <f>'Canada Generation Projection'!AQ16/AB20</f>
        <v>5.4418015167484977E-3</v>
      </c>
      <c r="AC12">
        <f>'Canada Generation Projection'!AR16/AC20</f>
        <v>5.8603641820989451E-3</v>
      </c>
      <c r="AD12">
        <f>'Canada Generation Projection'!AS16/AD20</f>
        <v>5.0794269909935465E-3</v>
      </c>
      <c r="AE12">
        <f>'Canada Generation Projection'!AT16/AE20</f>
        <v>5.5588306844725792E-3</v>
      </c>
      <c r="AF12">
        <f>'Canada Generation Projection'!AU16/AF20</f>
        <v>6.5309352755510818E-3</v>
      </c>
    </row>
    <row r="13" spans="1:32" x14ac:dyDescent="0.25">
      <c r="A13" s="2" t="s">
        <v>107</v>
      </c>
      <c r="B13">
        <f>'Canada Generation Projection'!Q$15/B$20*'Canada NG Gen by Turbine Type'!$B$55</f>
        <v>2.5908409798143052E-2</v>
      </c>
      <c r="C13">
        <f>'Canada Generation Projection'!R$15/C$20*'Canada NG Gen by Turbine Type'!$B$55</f>
        <v>2.6325064308254511E-2</v>
      </c>
      <c r="D13">
        <f>'Canada Generation Projection'!S$15/D$20*'Canada NG Gen by Turbine Type'!$B$55</f>
        <v>2.752079329809487E-2</v>
      </c>
      <c r="E13">
        <f>'Canada Generation Projection'!T$15/E$20*'Canada NG Gen by Turbine Type'!$B$55</f>
        <v>3.3454607325273319E-2</v>
      </c>
      <c r="F13">
        <f>'Canada Generation Projection'!U$15/F$20*'Canada NG Gen by Turbine Type'!$B$55</f>
        <v>3.1185234525661382E-2</v>
      </c>
      <c r="G13">
        <f>'Canada Generation Projection'!V$15/G$20*'Canada NG Gen by Turbine Type'!$B$55</f>
        <v>3.2092599035286065E-2</v>
      </c>
      <c r="H13">
        <f>'Canada Generation Projection'!W$15/H$20*'Canada NG Gen by Turbine Type'!$B$55</f>
        <v>3.3623219297757717E-2</v>
      </c>
      <c r="I13">
        <f>'Canada Generation Projection'!X$15/I$20*'Canada NG Gen by Turbine Type'!$B$55</f>
        <v>3.0815131817719766E-2</v>
      </c>
      <c r="J13">
        <f>'Canada Generation Projection'!Y$15/J$20*'Canada NG Gen by Turbine Type'!$B$55</f>
        <v>2.9474207631748888E-2</v>
      </c>
      <c r="K13">
        <f>'Canada Generation Projection'!Z$15/K$20*'Canada NG Gen by Turbine Type'!$B$55</f>
        <v>2.9971075391615191E-2</v>
      </c>
      <c r="L13">
        <f>'Canada Generation Projection'!AA$15/L$20*'Canada NG Gen by Turbine Type'!$B$55</f>
        <v>2.7206524637145763E-2</v>
      </c>
      <c r="M13">
        <f>'Canada Generation Projection'!AB$15/M$20*'Canada NG Gen by Turbine Type'!$B$55</f>
        <v>2.7878417983146456E-2</v>
      </c>
      <c r="N13">
        <f>'Canada Generation Projection'!AC$15/N$20*'Canada NG Gen by Turbine Type'!$B$55</f>
        <v>2.568407314827818E-2</v>
      </c>
      <c r="O13">
        <f>'Canada Generation Projection'!AD$15/O$20*'Canada NG Gen by Turbine Type'!$B$55</f>
        <v>2.5636848156816425E-2</v>
      </c>
      <c r="P13">
        <f>'Canada Generation Projection'!AE$15/P$20*'Canada NG Gen by Turbine Type'!$B$55</f>
        <v>2.4338482208243459E-2</v>
      </c>
      <c r="Q13">
        <f>'Canada Generation Projection'!AF$15/Q$20*'Canada NG Gen by Turbine Type'!$B$55</f>
        <v>2.3917953118062191E-2</v>
      </c>
      <c r="R13">
        <f>'Canada Generation Projection'!AG$15/R$20*'Canada NG Gen by Turbine Type'!$B$55</f>
        <v>2.070983234498365E-2</v>
      </c>
      <c r="S13">
        <f>'Canada Generation Projection'!AH$15/S$20*'Canada NG Gen by Turbine Type'!$B$55</f>
        <v>2.0469999738467755E-2</v>
      </c>
      <c r="T13">
        <f>'Canada Generation Projection'!AI$15/T$20*'Canada NG Gen by Turbine Type'!$B$55</f>
        <v>1.9733800024685791E-2</v>
      </c>
      <c r="U13">
        <f>'Canada Generation Projection'!AJ$15/U$20*'Canada NG Gen by Turbine Type'!$B$55</f>
        <v>1.964529679092079E-2</v>
      </c>
      <c r="V13">
        <f>'Canada Generation Projection'!AK$15/V$20*'Canada NG Gen by Turbine Type'!$B$55</f>
        <v>1.8987206847714457E-2</v>
      </c>
      <c r="W13">
        <f>'Canada Generation Projection'!AL$15/W$20*'Canada NG Gen by Turbine Type'!$B$55</f>
        <v>1.8862207535442623E-2</v>
      </c>
      <c r="X13">
        <f>'Canada Generation Projection'!AM$15/X$20*'Canada NG Gen by Turbine Type'!$B$55</f>
        <v>1.8632076127138301E-2</v>
      </c>
      <c r="Y13">
        <f>'Canada Generation Projection'!AN$15/Y$20*'Canada NG Gen by Turbine Type'!$B$55</f>
        <v>1.863392458161129E-2</v>
      </c>
      <c r="Z13">
        <f>'Canada Generation Projection'!AO$15/Z$20*'Canada NG Gen by Turbine Type'!$B$55</f>
        <v>1.8031493358035004E-2</v>
      </c>
      <c r="AA13">
        <f>'Canada Generation Projection'!AP$15/AA$20*'Canada NG Gen by Turbine Type'!$B$55</f>
        <v>1.7859949153508917E-2</v>
      </c>
      <c r="AB13">
        <f>'Canada Generation Projection'!AQ$15/AB$20*'Canada NG Gen by Turbine Type'!$B$55</f>
        <v>1.7511815430699709E-2</v>
      </c>
      <c r="AC13">
        <f>'Canada Generation Projection'!AR$15/AC$20*'Canada NG Gen by Turbine Type'!$B$55</f>
        <v>1.7469185958277011E-2</v>
      </c>
      <c r="AD13">
        <f>'Canada Generation Projection'!AS$15/AD$20*'Canada NG Gen by Turbine Type'!$B$55</f>
        <v>1.7164782374861645E-2</v>
      </c>
      <c r="AE13">
        <f>'Canada Generation Projection'!AT$15/AE$20*'Canada NG Gen by Turbine Type'!$B$55</f>
        <v>1.7163420537505403E-2</v>
      </c>
      <c r="AF13">
        <f>'Canada Generation Projection'!AU$15/AF$20*'Canada NG Gen by Turbine Type'!$B$55</f>
        <v>1.7142620644388807E-2</v>
      </c>
    </row>
    <row r="14" spans="1:32" x14ac:dyDescent="0.25">
      <c r="A14" s="2" t="s">
        <v>108</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5" spans="1:32" x14ac:dyDescent="0.25">
      <c r="A15" s="2" t="s">
        <v>109</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2" x14ac:dyDescent="0.25">
      <c r="A16" s="2" t="s">
        <v>129</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2" x14ac:dyDescent="0.25">
      <c r="A17" s="2" t="s">
        <v>130</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row>
    <row r="18" spans="1:32" x14ac:dyDescent="0.25">
      <c r="A18" s="2" t="s">
        <v>131</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row>
    <row r="20" spans="1:32" x14ac:dyDescent="0.25">
      <c r="A20" s="2" t="s">
        <v>128</v>
      </c>
      <c r="B20">
        <f>SUM(Table15[2020])</f>
        <v>624124.77000000014</v>
      </c>
      <c r="C20">
        <f>SUM(Table15[2021])</f>
        <v>635025.05000000005</v>
      </c>
      <c r="D20">
        <f>SUM(Table15[2022])</f>
        <v>662134.94999999984</v>
      </c>
      <c r="E20">
        <f>SUM(Table15[2023])</f>
        <v>661479.15999999992</v>
      </c>
      <c r="F20">
        <f>SUM(Table15[2024])</f>
        <v>669724.89999999991</v>
      </c>
      <c r="G20">
        <f>SUM(Table15[2025])</f>
        <v>674750.65</v>
      </c>
      <c r="H20">
        <f>SUM(Table15[2026])</f>
        <v>679256.02999999991</v>
      </c>
      <c r="I20">
        <f>SUM(Table15[2027])</f>
        <v>682236.75</v>
      </c>
      <c r="J20">
        <f>SUM(Table15[2028])</f>
        <v>687482.16</v>
      </c>
      <c r="K20">
        <f>SUM(Table15[2029])</f>
        <v>693088.12</v>
      </c>
      <c r="L20">
        <f>SUM(Table15[2030])</f>
        <v>708052.06</v>
      </c>
      <c r="M20">
        <f>SUM(Table15[2031])</f>
        <v>718368.89</v>
      </c>
      <c r="N20">
        <f>SUM(Table15[2032])</f>
        <v>722783.21000000008</v>
      </c>
      <c r="O20">
        <f>SUM(Table15[2033])</f>
        <v>726806.45</v>
      </c>
      <c r="P20">
        <f>SUM(Table15[2034])</f>
        <v>733530.54</v>
      </c>
      <c r="Q20">
        <f>SUM(Table15[2035])</f>
        <v>740490.73</v>
      </c>
      <c r="R20">
        <f>SUM(Table15[2036])</f>
        <v>737450.58000000007</v>
      </c>
      <c r="S20">
        <f>SUM(Table15[2037])</f>
        <v>742988.29999999993</v>
      </c>
      <c r="T20">
        <f>SUM(Table15[2038])</f>
        <v>751284.56</v>
      </c>
      <c r="U20">
        <f>SUM(Table15[2039])</f>
        <v>758525.56</v>
      </c>
      <c r="V20">
        <f>SUM(Table15[2040])</f>
        <v>768472.94</v>
      </c>
      <c r="W20">
        <f>SUM(Table15[2041])</f>
        <v>774344.35</v>
      </c>
      <c r="X20">
        <f>SUM(Table15[2042])</f>
        <v>786697.65999999992</v>
      </c>
      <c r="Y20">
        <f>SUM(Table15[2043])</f>
        <v>799962.03</v>
      </c>
      <c r="Z20">
        <f>SUM(Table15[2044])</f>
        <v>817333.19</v>
      </c>
      <c r="AA20">
        <f>SUM(Table15[2045])</f>
        <v>829175.84999999986</v>
      </c>
      <c r="AB20">
        <f>SUM(Table15[2046])</f>
        <v>841871.94</v>
      </c>
      <c r="AC20">
        <f>SUM(Table15[2047])</f>
        <v>851081.91999999993</v>
      </c>
      <c r="AD20">
        <f>SUM(Table15[2048])</f>
        <v>860725.04</v>
      </c>
      <c r="AE20">
        <f>SUM(Table15[2049])</f>
        <v>868040.47000000009</v>
      </c>
      <c r="AF20">
        <f>SUM(Table15[2050])</f>
        <v>875938.85999999987</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988FF3-D1D2-48C2-A082-25E8D6840FE0}">
  <dimension ref="A1:AH2841"/>
  <sheetViews>
    <sheetView topLeftCell="B1" workbookViewId="0">
      <selection activeCell="B47" sqref="B47"/>
    </sheetView>
  </sheetViews>
  <sheetFormatPr defaultColWidth="8.7109375" defaultRowHeight="15" x14ac:dyDescent="0.25"/>
  <cols>
    <col min="1" max="1" width="21.42578125" hidden="1" customWidth="1"/>
    <col min="2" max="2" width="46.7109375" customWidth="1"/>
  </cols>
  <sheetData>
    <row r="1" spans="1:33" ht="15" customHeight="1" thickBot="1" x14ac:dyDescent="0.3">
      <c r="A1" s="45"/>
      <c r="B1" s="68" t="s">
        <v>397</v>
      </c>
      <c r="C1" s="69">
        <v>2022</v>
      </c>
      <c r="D1" s="69">
        <v>2023</v>
      </c>
      <c r="E1" s="69">
        <v>2024</v>
      </c>
      <c r="F1" s="69">
        <v>2025</v>
      </c>
      <c r="G1" s="69">
        <v>2026</v>
      </c>
      <c r="H1" s="69">
        <v>2027</v>
      </c>
      <c r="I1" s="69">
        <v>2028</v>
      </c>
      <c r="J1" s="69">
        <v>2029</v>
      </c>
      <c r="K1" s="69">
        <v>2030</v>
      </c>
      <c r="L1" s="69">
        <v>2031</v>
      </c>
      <c r="M1" s="69">
        <v>2032</v>
      </c>
      <c r="N1" s="69">
        <v>2033</v>
      </c>
      <c r="O1" s="69">
        <v>2034</v>
      </c>
      <c r="P1" s="69">
        <v>2035</v>
      </c>
      <c r="Q1" s="69">
        <v>2036</v>
      </c>
      <c r="R1" s="69">
        <v>2037</v>
      </c>
      <c r="S1" s="69">
        <v>2038</v>
      </c>
      <c r="T1" s="69">
        <v>2039</v>
      </c>
      <c r="U1" s="69">
        <v>2040</v>
      </c>
      <c r="V1" s="69">
        <v>2041</v>
      </c>
      <c r="W1" s="69">
        <v>2042</v>
      </c>
      <c r="X1" s="69">
        <v>2043</v>
      </c>
      <c r="Y1" s="69">
        <v>2044</v>
      </c>
      <c r="Z1" s="69">
        <v>2045</v>
      </c>
      <c r="AA1" s="69">
        <v>2046</v>
      </c>
      <c r="AB1" s="69">
        <v>2047</v>
      </c>
      <c r="AC1" s="69">
        <v>2048</v>
      </c>
      <c r="AD1" s="69">
        <v>2049</v>
      </c>
      <c r="AE1" s="69">
        <v>2050</v>
      </c>
      <c r="AF1" s="45"/>
      <c r="AG1" s="45"/>
    </row>
    <row r="2" spans="1:33" ht="15" customHeight="1" thickTop="1" x14ac:dyDescent="0.25">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x14ac:dyDescent="0.25">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x14ac:dyDescent="0.25">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x14ac:dyDescent="0.25">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x14ac:dyDescent="0.25">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x14ac:dyDescent="0.25">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x14ac:dyDescent="0.25">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x14ac:dyDescent="0.25">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x14ac:dyDescent="0.25">
      <c r="A10" s="48" t="s">
        <v>138</v>
      </c>
      <c r="B10" s="70" t="s">
        <v>139</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x14ac:dyDescent="0.25">
      <c r="A11" s="45"/>
      <c r="B11" s="71" t="s">
        <v>407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x14ac:dyDescent="0.25">
      <c r="A12" s="45"/>
      <c r="B12" s="71"/>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x14ac:dyDescent="0.3">
      <c r="A13" s="45"/>
      <c r="B13" s="72" t="s">
        <v>140</v>
      </c>
      <c r="C13" s="72">
        <v>2022</v>
      </c>
      <c r="D13" s="72">
        <v>2023</v>
      </c>
      <c r="E13" s="72">
        <v>2024</v>
      </c>
      <c r="F13" s="72">
        <v>2025</v>
      </c>
      <c r="G13" s="72">
        <v>2026</v>
      </c>
      <c r="H13" s="72">
        <v>2027</v>
      </c>
      <c r="I13" s="72">
        <v>2028</v>
      </c>
      <c r="J13" s="72">
        <v>2029</v>
      </c>
      <c r="K13" s="72">
        <v>2030</v>
      </c>
      <c r="L13" s="72">
        <v>2031</v>
      </c>
      <c r="M13" s="72">
        <v>2032</v>
      </c>
      <c r="N13" s="72">
        <v>2033</v>
      </c>
      <c r="O13" s="72">
        <v>2034</v>
      </c>
      <c r="P13" s="72">
        <v>2035</v>
      </c>
      <c r="Q13" s="72">
        <v>2036</v>
      </c>
      <c r="R13" s="72">
        <v>2037</v>
      </c>
      <c r="S13" s="72">
        <v>2038</v>
      </c>
      <c r="T13" s="72">
        <v>2039</v>
      </c>
      <c r="U13" s="72">
        <v>2040</v>
      </c>
      <c r="V13" s="72">
        <v>2041</v>
      </c>
      <c r="W13" s="72">
        <v>2042</v>
      </c>
      <c r="X13" s="72">
        <v>2043</v>
      </c>
      <c r="Y13" s="72">
        <v>2044</v>
      </c>
      <c r="Z13" s="72">
        <v>2045</v>
      </c>
      <c r="AA13" s="72">
        <v>2046</v>
      </c>
      <c r="AB13" s="72">
        <v>2047</v>
      </c>
      <c r="AC13" s="72">
        <v>2048</v>
      </c>
      <c r="AD13" s="72">
        <v>2049</v>
      </c>
      <c r="AE13" s="72">
        <v>2050</v>
      </c>
      <c r="AF13" s="73" t="s">
        <v>402</v>
      </c>
      <c r="AG13" s="49"/>
    </row>
    <row r="14" spans="1:33" ht="15" customHeight="1" thickTop="1" x14ac:dyDescent="0.25">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x14ac:dyDescent="0.25">
      <c r="A15" s="45"/>
      <c r="B15" s="74" t="s">
        <v>141</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x14ac:dyDescent="0.25">
      <c r="A16" s="48" t="s">
        <v>142</v>
      </c>
      <c r="B16" s="75" t="s">
        <v>143</v>
      </c>
      <c r="C16" s="76">
        <v>29.133368000000001</v>
      </c>
      <c r="D16" s="76">
        <v>31.306763</v>
      </c>
      <c r="E16" s="76">
        <v>31.488976000000001</v>
      </c>
      <c r="F16" s="76">
        <v>30.414380999999999</v>
      </c>
      <c r="G16" s="76">
        <v>29.316693999999998</v>
      </c>
      <c r="H16" s="76">
        <v>28.432261</v>
      </c>
      <c r="I16" s="76">
        <v>27.927178999999999</v>
      </c>
      <c r="J16" s="76">
        <v>27.736774</v>
      </c>
      <c r="K16" s="76">
        <v>27.826453999999998</v>
      </c>
      <c r="L16" s="76">
        <v>28.114606999999999</v>
      </c>
      <c r="M16" s="76">
        <v>28.577341000000001</v>
      </c>
      <c r="N16" s="76">
        <v>29.166181999999999</v>
      </c>
      <c r="O16" s="76">
        <v>29.755032</v>
      </c>
      <c r="P16" s="76">
        <v>30.227194000000001</v>
      </c>
      <c r="Q16" s="76">
        <v>30.581852000000001</v>
      </c>
      <c r="R16" s="76">
        <v>30.898972000000001</v>
      </c>
      <c r="S16" s="76">
        <v>31.307200999999999</v>
      </c>
      <c r="T16" s="76">
        <v>31.507280000000002</v>
      </c>
      <c r="U16" s="76">
        <v>31.831757</v>
      </c>
      <c r="V16" s="76">
        <v>32.150084999999997</v>
      </c>
      <c r="W16" s="76">
        <v>32.377547999999997</v>
      </c>
      <c r="X16" s="76">
        <v>32.495739</v>
      </c>
      <c r="Y16" s="76">
        <v>32.527752</v>
      </c>
      <c r="Z16" s="76">
        <v>32.601685000000003</v>
      </c>
      <c r="AA16" s="76">
        <v>32.818344000000003</v>
      </c>
      <c r="AB16" s="76">
        <v>32.858730000000001</v>
      </c>
      <c r="AC16" s="76">
        <v>32.944167999999998</v>
      </c>
      <c r="AD16" s="76">
        <v>32.974564000000001</v>
      </c>
      <c r="AE16" s="76">
        <v>32.963577000000001</v>
      </c>
      <c r="AF16" s="77">
        <v>4.4209999999999996E-3</v>
      </c>
      <c r="AG16" s="49"/>
    </row>
    <row r="17" spans="1:33" ht="15" customHeight="1" x14ac:dyDescent="0.25">
      <c r="A17" s="48" t="s">
        <v>144</v>
      </c>
      <c r="B17" s="75" t="s">
        <v>145</v>
      </c>
      <c r="C17" s="76">
        <v>35.242496000000003</v>
      </c>
      <c r="D17" s="76">
        <v>32.825690999999999</v>
      </c>
      <c r="E17" s="76">
        <v>31.613775</v>
      </c>
      <c r="F17" s="76">
        <v>29.971098000000001</v>
      </c>
      <c r="G17" s="76">
        <v>29.506724999999999</v>
      </c>
      <c r="H17" s="76">
        <v>29.058900999999999</v>
      </c>
      <c r="I17" s="76">
        <v>28.775815999999999</v>
      </c>
      <c r="J17" s="76">
        <v>28.863544000000001</v>
      </c>
      <c r="K17" s="76">
        <v>28.871641</v>
      </c>
      <c r="L17" s="76">
        <v>29.047982999999999</v>
      </c>
      <c r="M17" s="76">
        <v>29.134986999999999</v>
      </c>
      <c r="N17" s="76">
        <v>29.251018999999999</v>
      </c>
      <c r="O17" s="76">
        <v>29.296842999999999</v>
      </c>
      <c r="P17" s="76">
        <v>29.470129</v>
      </c>
      <c r="Q17" s="76">
        <v>29.486605000000001</v>
      </c>
      <c r="R17" s="76">
        <v>29.608255</v>
      </c>
      <c r="S17" s="76">
        <v>29.697092000000001</v>
      </c>
      <c r="T17" s="76">
        <v>29.738928000000001</v>
      </c>
      <c r="U17" s="76">
        <v>29.786014999999999</v>
      </c>
      <c r="V17" s="76">
        <v>29.942484</v>
      </c>
      <c r="W17" s="76">
        <v>29.935656000000002</v>
      </c>
      <c r="X17" s="76">
        <v>30.04907</v>
      </c>
      <c r="Y17" s="76">
        <v>29.954853</v>
      </c>
      <c r="Z17" s="76">
        <v>29.998642</v>
      </c>
      <c r="AA17" s="76">
        <v>30.208777999999999</v>
      </c>
      <c r="AB17" s="76">
        <v>30.235264000000001</v>
      </c>
      <c r="AC17" s="76">
        <v>30.267240999999999</v>
      </c>
      <c r="AD17" s="76">
        <v>30.332972999999999</v>
      </c>
      <c r="AE17" s="76">
        <v>30.333071</v>
      </c>
      <c r="AF17" s="77">
        <v>-5.3429999999999997E-3</v>
      </c>
      <c r="AG17" s="49"/>
    </row>
    <row r="18" spans="1:33" ht="15" customHeight="1" x14ac:dyDescent="0.25">
      <c r="A18" s="48" t="s">
        <v>146</v>
      </c>
      <c r="B18" s="75" t="s">
        <v>147</v>
      </c>
      <c r="C18" s="76">
        <v>14.293920999999999</v>
      </c>
      <c r="D18" s="76">
        <v>14.064584</v>
      </c>
      <c r="E18" s="76">
        <v>12.820667</v>
      </c>
      <c r="F18" s="76">
        <v>12.096767</v>
      </c>
      <c r="G18" s="76">
        <v>11.490399999999999</v>
      </c>
      <c r="H18" s="76">
        <v>11.084415999999999</v>
      </c>
      <c r="I18" s="76">
        <v>10.822556000000001</v>
      </c>
      <c r="J18" s="76">
        <v>10.873314000000001</v>
      </c>
      <c r="K18" s="76">
        <v>10.916109000000001</v>
      </c>
      <c r="L18" s="76">
        <v>11.018428999999999</v>
      </c>
      <c r="M18" s="76">
        <v>11.109650999999999</v>
      </c>
      <c r="N18" s="76">
        <v>11.256351</v>
      </c>
      <c r="O18" s="76">
        <v>11.376830999999999</v>
      </c>
      <c r="P18" s="76">
        <v>11.484237</v>
      </c>
      <c r="Q18" s="76">
        <v>11.535565</v>
      </c>
      <c r="R18" s="76">
        <v>11.619213999999999</v>
      </c>
      <c r="S18" s="76">
        <v>11.759008</v>
      </c>
      <c r="T18" s="76">
        <v>11.765636000000001</v>
      </c>
      <c r="U18" s="76">
        <v>11.858184</v>
      </c>
      <c r="V18" s="76">
        <v>11.954751999999999</v>
      </c>
      <c r="W18" s="76">
        <v>11.979805000000001</v>
      </c>
      <c r="X18" s="76">
        <v>11.966863</v>
      </c>
      <c r="Y18" s="76">
        <v>11.924365999999999</v>
      </c>
      <c r="Z18" s="76">
        <v>11.983916000000001</v>
      </c>
      <c r="AA18" s="76">
        <v>12.294510000000001</v>
      </c>
      <c r="AB18" s="76">
        <v>12.278926999999999</v>
      </c>
      <c r="AC18" s="76">
        <v>12.246207999999999</v>
      </c>
      <c r="AD18" s="76">
        <v>12.250840999999999</v>
      </c>
      <c r="AE18" s="76">
        <v>12.285347</v>
      </c>
      <c r="AF18" s="77">
        <v>-5.3940000000000004E-3</v>
      </c>
      <c r="AG18" s="49"/>
    </row>
    <row r="19" spans="1:33" ht="15" customHeight="1" x14ac:dyDescent="0.25">
      <c r="A19" s="48" t="s">
        <v>148</v>
      </c>
      <c r="B19" s="75" t="s">
        <v>149</v>
      </c>
      <c r="C19" s="76">
        <v>42.669246999999999</v>
      </c>
      <c r="D19" s="76">
        <v>41.433242999999997</v>
      </c>
      <c r="E19" s="76">
        <v>40.553882999999999</v>
      </c>
      <c r="F19" s="76">
        <v>39.341568000000002</v>
      </c>
      <c r="G19" s="76">
        <v>38.636054999999999</v>
      </c>
      <c r="H19" s="76">
        <v>38.098618000000002</v>
      </c>
      <c r="I19" s="76">
        <v>37.736530000000002</v>
      </c>
      <c r="J19" s="76">
        <v>37.638126</v>
      </c>
      <c r="K19" s="76">
        <v>37.737510999999998</v>
      </c>
      <c r="L19" s="76">
        <v>37.934016999999997</v>
      </c>
      <c r="M19" s="76">
        <v>38.113976000000001</v>
      </c>
      <c r="N19" s="76">
        <v>38.685684000000002</v>
      </c>
      <c r="O19" s="76">
        <v>39.125293999999997</v>
      </c>
      <c r="P19" s="76">
        <v>39.167233000000003</v>
      </c>
      <c r="Q19" s="76">
        <v>39.408442999999998</v>
      </c>
      <c r="R19" s="76">
        <v>39.708202</v>
      </c>
      <c r="S19" s="76">
        <v>40.126545</v>
      </c>
      <c r="T19" s="76">
        <v>40.421805999999997</v>
      </c>
      <c r="U19" s="76">
        <v>40.716976000000003</v>
      </c>
      <c r="V19" s="76">
        <v>40.952396</v>
      </c>
      <c r="W19" s="76">
        <v>41.084854</v>
      </c>
      <c r="X19" s="76">
        <v>41.174621999999999</v>
      </c>
      <c r="Y19" s="76">
        <v>41.248722000000001</v>
      </c>
      <c r="Z19" s="76">
        <v>41.339100000000002</v>
      </c>
      <c r="AA19" s="76">
        <v>41.270775</v>
      </c>
      <c r="AB19" s="76">
        <v>41.153132999999997</v>
      </c>
      <c r="AC19" s="76">
        <v>41.092044999999999</v>
      </c>
      <c r="AD19" s="76">
        <v>40.905059999999999</v>
      </c>
      <c r="AE19" s="76">
        <v>40.599277000000001</v>
      </c>
      <c r="AF19" s="77">
        <v>-1.774E-3</v>
      </c>
      <c r="AG19" s="49"/>
    </row>
    <row r="20" spans="1:33" ht="15" customHeight="1" x14ac:dyDescent="0.25">
      <c r="A20" s="45"/>
      <c r="B20" s="49"/>
      <c r="C20" s="49"/>
      <c r="D20" s="49"/>
      <c r="E20" s="49"/>
      <c r="F20" s="49"/>
      <c r="G20" s="49"/>
      <c r="H20" s="49"/>
      <c r="I20" s="49"/>
      <c r="J20" s="49"/>
      <c r="K20" s="49"/>
      <c r="L20" s="49"/>
      <c r="M20" s="49"/>
      <c r="N20" s="49"/>
      <c r="O20" s="49"/>
      <c r="P20" s="49"/>
      <c r="Q20" s="49"/>
      <c r="R20" s="49"/>
      <c r="S20" s="49"/>
      <c r="T20" s="49"/>
      <c r="U20" s="49"/>
      <c r="V20" s="49"/>
      <c r="W20" s="49"/>
      <c r="X20" s="49"/>
      <c r="Y20" s="49"/>
      <c r="Z20" s="49"/>
      <c r="AA20" s="49"/>
      <c r="AB20" s="49"/>
      <c r="AC20" s="49"/>
      <c r="AD20" s="49"/>
      <c r="AE20" s="49"/>
      <c r="AF20" s="49"/>
      <c r="AG20" s="49"/>
    </row>
    <row r="21" spans="1:33" ht="15" customHeight="1" x14ac:dyDescent="0.25">
      <c r="A21" s="45"/>
      <c r="B21" s="74" t="s">
        <v>150</v>
      </c>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x14ac:dyDescent="0.25">
      <c r="A22" s="48" t="s">
        <v>151</v>
      </c>
      <c r="B22" s="75" t="s">
        <v>143</v>
      </c>
      <c r="C22" s="76">
        <v>27.825644</v>
      </c>
      <c r="D22" s="76">
        <v>26.750048</v>
      </c>
      <c r="E22" s="76">
        <v>24.895067000000001</v>
      </c>
      <c r="F22" s="76">
        <v>22.915489000000001</v>
      </c>
      <c r="G22" s="76">
        <v>21.863067999999998</v>
      </c>
      <c r="H22" s="76">
        <v>21.29063</v>
      </c>
      <c r="I22" s="76">
        <v>21.164490000000001</v>
      </c>
      <c r="J22" s="76">
        <v>21.271128000000001</v>
      </c>
      <c r="K22" s="76">
        <v>21.567475999999999</v>
      </c>
      <c r="L22" s="76">
        <v>21.957166999999998</v>
      </c>
      <c r="M22" s="76">
        <v>22.450292999999999</v>
      </c>
      <c r="N22" s="76">
        <v>22.999268000000001</v>
      </c>
      <c r="O22" s="76">
        <v>23.455528000000001</v>
      </c>
      <c r="P22" s="76">
        <v>23.727990999999999</v>
      </c>
      <c r="Q22" s="76">
        <v>23.893875000000001</v>
      </c>
      <c r="R22" s="76">
        <v>24.081244999999999</v>
      </c>
      <c r="S22" s="76">
        <v>24.430447000000001</v>
      </c>
      <c r="T22" s="76">
        <v>24.450624000000001</v>
      </c>
      <c r="U22" s="76">
        <v>24.742602999999999</v>
      </c>
      <c r="V22" s="76">
        <v>24.982395</v>
      </c>
      <c r="W22" s="76">
        <v>25.090612</v>
      </c>
      <c r="X22" s="76">
        <v>25.093864</v>
      </c>
      <c r="Y22" s="76">
        <v>25.044073000000001</v>
      </c>
      <c r="Z22" s="76">
        <v>25.106045000000002</v>
      </c>
      <c r="AA22" s="76">
        <v>25.327110000000001</v>
      </c>
      <c r="AB22" s="76">
        <v>25.361146999999999</v>
      </c>
      <c r="AC22" s="76">
        <v>25.452358</v>
      </c>
      <c r="AD22" s="76">
        <v>25.443525000000001</v>
      </c>
      <c r="AE22" s="76">
        <v>25.401167000000001</v>
      </c>
      <c r="AF22" s="77">
        <v>-3.251E-3</v>
      </c>
      <c r="AG22" s="49"/>
    </row>
    <row r="23" spans="1:33" ht="15" customHeight="1" x14ac:dyDescent="0.25">
      <c r="A23" s="48" t="s">
        <v>152</v>
      </c>
      <c r="B23" s="75" t="s">
        <v>145</v>
      </c>
      <c r="C23" s="76">
        <v>35.263694999999998</v>
      </c>
      <c r="D23" s="76">
        <v>32.981144</v>
      </c>
      <c r="E23" s="76">
        <v>30.614763</v>
      </c>
      <c r="F23" s="76">
        <v>27.813896</v>
      </c>
      <c r="G23" s="76">
        <v>26.172981</v>
      </c>
      <c r="H23" s="76">
        <v>24.572749999999999</v>
      </c>
      <c r="I23" s="76">
        <v>23.124897000000001</v>
      </c>
      <c r="J23" s="76">
        <v>23.207827000000002</v>
      </c>
      <c r="K23" s="76">
        <v>23.210224</v>
      </c>
      <c r="L23" s="76">
        <v>23.375800999999999</v>
      </c>
      <c r="M23" s="76">
        <v>23.469553000000001</v>
      </c>
      <c r="N23" s="76">
        <v>23.574058999999998</v>
      </c>
      <c r="O23" s="76">
        <v>23.628924999999999</v>
      </c>
      <c r="P23" s="76">
        <v>23.780881999999998</v>
      </c>
      <c r="Q23" s="76">
        <v>23.807659000000001</v>
      </c>
      <c r="R23" s="76">
        <v>23.920522999999999</v>
      </c>
      <c r="S23" s="76">
        <v>24.003952000000002</v>
      </c>
      <c r="T23" s="76">
        <v>24.045341000000001</v>
      </c>
      <c r="U23" s="76">
        <v>24.092535000000002</v>
      </c>
      <c r="V23" s="76">
        <v>24.247444000000002</v>
      </c>
      <c r="W23" s="76">
        <v>24.240576000000001</v>
      </c>
      <c r="X23" s="76">
        <v>24.354948</v>
      </c>
      <c r="Y23" s="76">
        <v>24.264793000000001</v>
      </c>
      <c r="Z23" s="76">
        <v>24.334454000000001</v>
      </c>
      <c r="AA23" s="76">
        <v>24.855765999999999</v>
      </c>
      <c r="AB23" s="76">
        <v>24.870148</v>
      </c>
      <c r="AC23" s="76">
        <v>24.901744999999998</v>
      </c>
      <c r="AD23" s="76">
        <v>24.972280999999999</v>
      </c>
      <c r="AE23" s="76">
        <v>24.973918999999999</v>
      </c>
      <c r="AF23" s="77">
        <v>-1.2246999999999999E-2</v>
      </c>
      <c r="AG23" s="49"/>
    </row>
    <row r="24" spans="1:33" ht="15" customHeight="1" x14ac:dyDescent="0.25">
      <c r="A24" s="48" t="s">
        <v>153</v>
      </c>
      <c r="B24" s="75" t="s">
        <v>154</v>
      </c>
      <c r="C24" s="76">
        <v>12.628995</v>
      </c>
      <c r="D24" s="76">
        <v>7.8650659999999997</v>
      </c>
      <c r="E24" s="76">
        <v>9.434374</v>
      </c>
      <c r="F24" s="76">
        <v>9.7382729999999995</v>
      </c>
      <c r="G24" s="76">
        <v>11.133956</v>
      </c>
      <c r="H24" s="76">
        <v>12.534561999999999</v>
      </c>
      <c r="I24" s="76">
        <v>14.025283999999999</v>
      </c>
      <c r="J24" s="76">
        <v>14.102822</v>
      </c>
      <c r="K24" s="76">
        <v>14.186954</v>
      </c>
      <c r="L24" s="76">
        <v>14.294547</v>
      </c>
      <c r="M24" s="76">
        <v>14.392586</v>
      </c>
      <c r="N24" s="76">
        <v>14.48232</v>
      </c>
      <c r="O24" s="76">
        <v>14.582383</v>
      </c>
      <c r="P24" s="76">
        <v>14.694341</v>
      </c>
      <c r="Q24" s="76">
        <v>14.783643</v>
      </c>
      <c r="R24" s="76">
        <v>14.880509999999999</v>
      </c>
      <c r="S24" s="76">
        <v>14.985899</v>
      </c>
      <c r="T24" s="76">
        <v>15.052875</v>
      </c>
      <c r="U24" s="76">
        <v>15.137447999999999</v>
      </c>
      <c r="V24" s="76">
        <v>15.264226000000001</v>
      </c>
      <c r="W24" s="76">
        <v>15.277987</v>
      </c>
      <c r="X24" s="76">
        <v>15.347211</v>
      </c>
      <c r="Y24" s="76">
        <v>15.376574</v>
      </c>
      <c r="Z24" s="76">
        <v>15.433166</v>
      </c>
      <c r="AA24" s="76">
        <v>15.594908</v>
      </c>
      <c r="AB24" s="76">
        <v>15.594113999999999</v>
      </c>
      <c r="AC24" s="76">
        <v>15.714553</v>
      </c>
      <c r="AD24" s="76">
        <v>15.804392</v>
      </c>
      <c r="AE24" s="76">
        <v>15.873075</v>
      </c>
      <c r="AF24" s="77">
        <v>8.1989999999999997E-3</v>
      </c>
      <c r="AG24" s="49"/>
    </row>
    <row r="25" spans="1:33" ht="15" customHeight="1" x14ac:dyDescent="0.25">
      <c r="A25" s="48" t="s">
        <v>155</v>
      </c>
      <c r="B25" s="75" t="s">
        <v>147</v>
      </c>
      <c r="C25" s="76">
        <v>10.986808</v>
      </c>
      <c r="D25" s="76">
        <v>10.325419</v>
      </c>
      <c r="E25" s="76">
        <v>9.3254219999999997</v>
      </c>
      <c r="F25" s="76">
        <v>8.8462060000000005</v>
      </c>
      <c r="G25" s="76">
        <v>8.4563649999999999</v>
      </c>
      <c r="H25" s="76">
        <v>8.2451399999999992</v>
      </c>
      <c r="I25" s="76">
        <v>8.1537489999999995</v>
      </c>
      <c r="J25" s="76">
        <v>8.1912269999999996</v>
      </c>
      <c r="K25" s="76">
        <v>8.2165320000000008</v>
      </c>
      <c r="L25" s="76">
        <v>8.2962330000000009</v>
      </c>
      <c r="M25" s="76">
        <v>8.3676929999999992</v>
      </c>
      <c r="N25" s="76">
        <v>8.4998389999999997</v>
      </c>
      <c r="O25" s="76">
        <v>8.6007459999999991</v>
      </c>
      <c r="P25" s="76">
        <v>8.6883189999999999</v>
      </c>
      <c r="Q25" s="76">
        <v>8.7239880000000003</v>
      </c>
      <c r="R25" s="76">
        <v>8.7927320000000009</v>
      </c>
      <c r="S25" s="76">
        <v>8.9164480000000008</v>
      </c>
      <c r="T25" s="76">
        <v>8.9131370000000008</v>
      </c>
      <c r="U25" s="76">
        <v>8.9955510000000007</v>
      </c>
      <c r="V25" s="76">
        <v>9.0808020000000003</v>
      </c>
      <c r="W25" s="76">
        <v>9.0962859999999992</v>
      </c>
      <c r="X25" s="76">
        <v>9.0763879999999997</v>
      </c>
      <c r="Y25" s="76">
        <v>9.0307539999999999</v>
      </c>
      <c r="Z25" s="76">
        <v>9.0795709999999996</v>
      </c>
      <c r="AA25" s="76">
        <v>9.2763690000000008</v>
      </c>
      <c r="AB25" s="76">
        <v>9.235811</v>
      </c>
      <c r="AC25" s="76">
        <v>9.1928889999999992</v>
      </c>
      <c r="AD25" s="76">
        <v>9.1929289999999995</v>
      </c>
      <c r="AE25" s="76">
        <v>9.224361</v>
      </c>
      <c r="AF25" s="77">
        <v>-6.2249999999999996E-3</v>
      </c>
      <c r="AG25" s="49"/>
    </row>
    <row r="26" spans="1:33" ht="15" customHeight="1" x14ac:dyDescent="0.25">
      <c r="A26" s="48" t="s">
        <v>156</v>
      </c>
      <c r="B26" s="75" t="s">
        <v>149</v>
      </c>
      <c r="C26" s="76">
        <v>36.670883000000003</v>
      </c>
      <c r="D26" s="76">
        <v>35.900337</v>
      </c>
      <c r="E26" s="76">
        <v>34.342381000000003</v>
      </c>
      <c r="F26" s="76">
        <v>32.872684</v>
      </c>
      <c r="G26" s="76">
        <v>32.054313999999998</v>
      </c>
      <c r="H26" s="76">
        <v>31.460438</v>
      </c>
      <c r="I26" s="76">
        <v>30.960937999999999</v>
      </c>
      <c r="J26" s="76">
        <v>30.716866</v>
      </c>
      <c r="K26" s="76">
        <v>30.680281000000001</v>
      </c>
      <c r="L26" s="76">
        <v>30.663637000000001</v>
      </c>
      <c r="M26" s="76">
        <v>30.632755</v>
      </c>
      <c r="N26" s="76">
        <v>30.980528</v>
      </c>
      <c r="O26" s="76">
        <v>31.210360999999999</v>
      </c>
      <c r="P26" s="76">
        <v>31.136457</v>
      </c>
      <c r="Q26" s="76">
        <v>31.231977000000001</v>
      </c>
      <c r="R26" s="76">
        <v>31.342302</v>
      </c>
      <c r="S26" s="76">
        <v>31.591194000000002</v>
      </c>
      <c r="T26" s="76">
        <v>31.754964999999999</v>
      </c>
      <c r="U26" s="76">
        <v>31.889710999999998</v>
      </c>
      <c r="V26" s="76">
        <v>31.993582</v>
      </c>
      <c r="W26" s="76">
        <v>32.010455999999998</v>
      </c>
      <c r="X26" s="76">
        <v>32.017532000000003</v>
      </c>
      <c r="Y26" s="76">
        <v>31.980668999999999</v>
      </c>
      <c r="Z26" s="76">
        <v>31.929119</v>
      </c>
      <c r="AA26" s="76">
        <v>31.752293000000002</v>
      </c>
      <c r="AB26" s="76">
        <v>31.488890000000001</v>
      </c>
      <c r="AC26" s="76">
        <v>31.376942</v>
      </c>
      <c r="AD26" s="76">
        <v>31.126701000000001</v>
      </c>
      <c r="AE26" s="76">
        <v>30.802555000000002</v>
      </c>
      <c r="AF26" s="77">
        <v>-6.2090000000000001E-3</v>
      </c>
      <c r="AG26" s="49"/>
    </row>
    <row r="27" spans="1:33" ht="15" customHeight="1" x14ac:dyDescent="0.25">
      <c r="A27" s="45"/>
      <c r="B27" s="49"/>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x14ac:dyDescent="0.25">
      <c r="A28" s="45"/>
      <c r="B28" s="74" t="s">
        <v>157</v>
      </c>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x14ac:dyDescent="0.25">
      <c r="A29" s="48" t="s">
        <v>158</v>
      </c>
      <c r="B29" s="75" t="s">
        <v>143</v>
      </c>
      <c r="C29" s="76">
        <v>23.435020000000002</v>
      </c>
      <c r="D29" s="76">
        <v>21.469131000000001</v>
      </c>
      <c r="E29" s="76">
        <v>19.205514999999998</v>
      </c>
      <c r="F29" s="76">
        <v>17.003975000000001</v>
      </c>
      <c r="G29" s="76">
        <v>15.932600000000001</v>
      </c>
      <c r="H29" s="76">
        <v>15.368119999999999</v>
      </c>
      <c r="I29" s="76">
        <v>15.270111</v>
      </c>
      <c r="J29" s="76">
        <v>15.401593999999999</v>
      </c>
      <c r="K29" s="76">
        <v>15.727974</v>
      </c>
      <c r="L29" s="76">
        <v>16.148448999999999</v>
      </c>
      <c r="M29" s="76">
        <v>16.682365000000001</v>
      </c>
      <c r="N29" s="76">
        <v>17.278714999999998</v>
      </c>
      <c r="O29" s="76">
        <v>17.769476000000001</v>
      </c>
      <c r="P29" s="76">
        <v>18.054673999999999</v>
      </c>
      <c r="Q29" s="76">
        <v>18.227862999999999</v>
      </c>
      <c r="R29" s="76">
        <v>18.434585999999999</v>
      </c>
      <c r="S29" s="76">
        <v>18.832411</v>
      </c>
      <c r="T29" s="76">
        <v>18.834531999999999</v>
      </c>
      <c r="U29" s="76">
        <v>19.175160999999999</v>
      </c>
      <c r="V29" s="76">
        <v>19.442754999999998</v>
      </c>
      <c r="W29" s="76">
        <v>19.555237000000002</v>
      </c>
      <c r="X29" s="76">
        <v>19.550401999999998</v>
      </c>
      <c r="Y29" s="76">
        <v>19.489827999999999</v>
      </c>
      <c r="Z29" s="76">
        <v>19.551672</v>
      </c>
      <c r="AA29" s="76">
        <v>19.545283999999999</v>
      </c>
      <c r="AB29" s="76">
        <v>19.586832000000001</v>
      </c>
      <c r="AC29" s="76">
        <v>19.694735999999999</v>
      </c>
      <c r="AD29" s="76">
        <v>19.679703</v>
      </c>
      <c r="AE29" s="76">
        <v>19.630019999999998</v>
      </c>
      <c r="AF29" s="77">
        <v>-6.3080000000000002E-3</v>
      </c>
      <c r="AG29" s="49"/>
    </row>
    <row r="30" spans="1:33" ht="15" customHeight="1" x14ac:dyDescent="0.25">
      <c r="A30" s="48" t="s">
        <v>159</v>
      </c>
      <c r="B30" s="75" t="s">
        <v>145</v>
      </c>
      <c r="C30" s="76">
        <v>35.187302000000003</v>
      </c>
      <c r="D30" s="76">
        <v>32.804630000000003</v>
      </c>
      <c r="E30" s="76">
        <v>30.476191</v>
      </c>
      <c r="F30" s="76">
        <v>27.636358000000001</v>
      </c>
      <c r="G30" s="76">
        <v>25.955219</v>
      </c>
      <c r="H30" s="76">
        <v>24.321341</v>
      </c>
      <c r="I30" s="76">
        <v>22.837069</v>
      </c>
      <c r="J30" s="76">
        <v>22.933368999999999</v>
      </c>
      <c r="K30" s="76">
        <v>22.940442999999998</v>
      </c>
      <c r="L30" s="76">
        <v>23.109438000000001</v>
      </c>
      <c r="M30" s="76">
        <v>23.212620000000001</v>
      </c>
      <c r="N30" s="76">
        <v>23.333881000000002</v>
      </c>
      <c r="O30" s="76">
        <v>23.39049</v>
      </c>
      <c r="P30" s="76">
        <v>23.561223999999999</v>
      </c>
      <c r="Q30" s="76">
        <v>23.589086999999999</v>
      </c>
      <c r="R30" s="76">
        <v>23.713947000000001</v>
      </c>
      <c r="S30" s="76">
        <v>23.804403000000001</v>
      </c>
      <c r="T30" s="76">
        <v>23.853134000000001</v>
      </c>
      <c r="U30" s="76">
        <v>23.908232000000002</v>
      </c>
      <c r="V30" s="76">
        <v>24.072897000000001</v>
      </c>
      <c r="W30" s="76">
        <v>24.073511</v>
      </c>
      <c r="X30" s="76">
        <v>24.198322000000001</v>
      </c>
      <c r="Y30" s="76">
        <v>24.118036</v>
      </c>
      <c r="Z30" s="76">
        <v>24.174662000000001</v>
      </c>
      <c r="AA30" s="76">
        <v>24.400406</v>
      </c>
      <c r="AB30" s="76">
        <v>24.425331</v>
      </c>
      <c r="AC30" s="76">
        <v>24.465714999999999</v>
      </c>
      <c r="AD30" s="76">
        <v>24.54307</v>
      </c>
      <c r="AE30" s="76">
        <v>24.550739</v>
      </c>
      <c r="AF30" s="77">
        <v>-1.2773E-2</v>
      </c>
      <c r="AG30" s="49"/>
    </row>
    <row r="31" spans="1:33" x14ac:dyDescent="0.25">
      <c r="A31" s="48" t="s">
        <v>160</v>
      </c>
      <c r="B31" s="75" t="s">
        <v>154</v>
      </c>
      <c r="C31" s="76">
        <v>13.34515</v>
      </c>
      <c r="D31" s="76">
        <v>8.4961450000000003</v>
      </c>
      <c r="E31" s="76">
        <v>10.168447</v>
      </c>
      <c r="F31" s="76">
        <v>10.736027</v>
      </c>
      <c r="G31" s="76">
        <v>12.278802000000001</v>
      </c>
      <c r="H31" s="76">
        <v>13.923551</v>
      </c>
      <c r="I31" s="76">
        <v>15.540428</v>
      </c>
      <c r="J31" s="76">
        <v>15.624060999999999</v>
      </c>
      <c r="K31" s="76">
        <v>15.728377999999999</v>
      </c>
      <c r="L31" s="76">
        <v>15.850405</v>
      </c>
      <c r="M31" s="76">
        <v>15.970654</v>
      </c>
      <c r="N31" s="76">
        <v>16.084973999999999</v>
      </c>
      <c r="O31" s="76">
        <v>16.205594999999999</v>
      </c>
      <c r="P31" s="76">
        <v>16.335402999999999</v>
      </c>
      <c r="Q31" s="76">
        <v>16.434000000000001</v>
      </c>
      <c r="R31" s="76">
        <v>16.537801999999999</v>
      </c>
      <c r="S31" s="76">
        <v>16.65823</v>
      </c>
      <c r="T31" s="76">
        <v>16.734859</v>
      </c>
      <c r="U31" s="76">
        <v>16.834289999999999</v>
      </c>
      <c r="V31" s="76">
        <v>16.971537000000001</v>
      </c>
      <c r="W31" s="76">
        <v>16.992591999999998</v>
      </c>
      <c r="X31" s="76">
        <v>17.066227000000001</v>
      </c>
      <c r="Y31" s="76">
        <v>17.056498999999999</v>
      </c>
      <c r="Z31" s="76">
        <v>17.117035000000001</v>
      </c>
      <c r="AA31" s="76">
        <v>17.292304999999999</v>
      </c>
      <c r="AB31" s="76">
        <v>17.297117</v>
      </c>
      <c r="AC31" s="76">
        <v>17.411476</v>
      </c>
      <c r="AD31" s="76">
        <v>17.497350999999998</v>
      </c>
      <c r="AE31" s="76">
        <v>17.570716999999998</v>
      </c>
      <c r="AF31" s="77">
        <v>9.8729999999999998E-3</v>
      </c>
      <c r="AG31" s="49"/>
    </row>
    <row r="32" spans="1:33" x14ac:dyDescent="0.25">
      <c r="A32" s="48" t="s">
        <v>161</v>
      </c>
      <c r="B32" s="75" t="s">
        <v>162</v>
      </c>
      <c r="C32" s="76">
        <v>7.3309170000000003</v>
      </c>
      <c r="D32" s="76">
        <v>6.2700329999999997</v>
      </c>
      <c r="E32" s="76">
        <v>5.1604200000000002</v>
      </c>
      <c r="F32" s="76">
        <v>4.5920259999999997</v>
      </c>
      <c r="G32" s="76">
        <v>4.1592359999999999</v>
      </c>
      <c r="H32" s="76">
        <v>3.9202270000000001</v>
      </c>
      <c r="I32" s="76">
        <v>3.8369740000000001</v>
      </c>
      <c r="J32" s="76">
        <v>3.8520029999999998</v>
      </c>
      <c r="K32" s="76">
        <v>3.9104890000000001</v>
      </c>
      <c r="L32" s="76">
        <v>4.015809</v>
      </c>
      <c r="M32" s="76">
        <v>4.1266280000000002</v>
      </c>
      <c r="N32" s="76">
        <v>4.2846310000000001</v>
      </c>
      <c r="O32" s="76">
        <v>4.4108970000000003</v>
      </c>
      <c r="P32" s="76">
        <v>4.5220779999999996</v>
      </c>
      <c r="Q32" s="76">
        <v>4.5410050000000002</v>
      </c>
      <c r="R32" s="76">
        <v>4.5855629999999996</v>
      </c>
      <c r="S32" s="76">
        <v>4.709835</v>
      </c>
      <c r="T32" s="76">
        <v>4.6547780000000003</v>
      </c>
      <c r="U32" s="76">
        <v>4.7746180000000003</v>
      </c>
      <c r="V32" s="76">
        <v>4.8514379999999999</v>
      </c>
      <c r="W32" s="76">
        <v>4.8454240000000004</v>
      </c>
      <c r="X32" s="76">
        <v>4.7942140000000002</v>
      </c>
      <c r="Y32" s="76">
        <v>4.7445890000000004</v>
      </c>
      <c r="Z32" s="76">
        <v>4.7421860000000002</v>
      </c>
      <c r="AA32" s="76">
        <v>4.7064450000000004</v>
      </c>
      <c r="AB32" s="76">
        <v>4.6718780000000004</v>
      </c>
      <c r="AC32" s="76">
        <v>4.6380869999999996</v>
      </c>
      <c r="AD32" s="76">
        <v>4.5964590000000003</v>
      </c>
      <c r="AE32" s="76">
        <v>4.5926539999999996</v>
      </c>
      <c r="AF32" s="77">
        <v>-1.6563000000000001E-2</v>
      </c>
      <c r="AG32" s="49"/>
    </row>
    <row r="33" spans="1:33" x14ac:dyDescent="0.25">
      <c r="A33" s="48" t="s">
        <v>163</v>
      </c>
      <c r="B33" s="75" t="s">
        <v>164</v>
      </c>
      <c r="C33" s="76">
        <v>5.4304249999999996</v>
      </c>
      <c r="D33" s="76">
        <v>5.4466970000000003</v>
      </c>
      <c r="E33" s="76">
        <v>5.6790830000000003</v>
      </c>
      <c r="F33" s="76">
        <v>5.6766920000000001</v>
      </c>
      <c r="G33" s="76">
        <v>5.7069979999999996</v>
      </c>
      <c r="H33" s="76">
        <v>5.757409</v>
      </c>
      <c r="I33" s="76">
        <v>5.7974399999999999</v>
      </c>
      <c r="J33" s="76">
        <v>5.8433669999999998</v>
      </c>
      <c r="K33" s="76">
        <v>5.947584</v>
      </c>
      <c r="L33" s="76">
        <v>6.0097779999999998</v>
      </c>
      <c r="M33" s="76">
        <v>6.110779</v>
      </c>
      <c r="N33" s="76">
        <v>6.1829609999999997</v>
      </c>
      <c r="O33" s="76">
        <v>6.2506630000000003</v>
      </c>
      <c r="P33" s="76">
        <v>6.3259449999999999</v>
      </c>
      <c r="Q33" s="76">
        <v>6.403143</v>
      </c>
      <c r="R33" s="76">
        <v>6.4953659999999998</v>
      </c>
      <c r="S33" s="76">
        <v>6.5684300000000002</v>
      </c>
      <c r="T33" s="76">
        <v>6.6390440000000002</v>
      </c>
      <c r="U33" s="76">
        <v>6.7099260000000003</v>
      </c>
      <c r="V33" s="76">
        <v>6.7595479999999997</v>
      </c>
      <c r="W33" s="76">
        <v>6.8068</v>
      </c>
      <c r="X33" s="76">
        <v>6.8561490000000003</v>
      </c>
      <c r="Y33" s="76">
        <v>6.9083310000000004</v>
      </c>
      <c r="Z33" s="76">
        <v>6.9656209999999996</v>
      </c>
      <c r="AA33" s="76">
        <v>7.01844</v>
      </c>
      <c r="AB33" s="76">
        <v>7.0695379999999997</v>
      </c>
      <c r="AC33" s="76">
        <v>7.1226570000000002</v>
      </c>
      <c r="AD33" s="76">
        <v>7.1712059999999997</v>
      </c>
      <c r="AE33" s="76">
        <v>7.2262329999999997</v>
      </c>
      <c r="AF33" s="77">
        <v>1.0255999999999999E-2</v>
      </c>
      <c r="AG33" s="49"/>
    </row>
    <row r="34" spans="1:33" x14ac:dyDescent="0.25">
      <c r="A34" s="48" t="s">
        <v>165</v>
      </c>
      <c r="B34" s="75" t="s">
        <v>166</v>
      </c>
      <c r="C34" s="76">
        <v>2.7995990000000002</v>
      </c>
      <c r="D34" s="76">
        <v>2.739652</v>
      </c>
      <c r="E34" s="76">
        <v>2.81602</v>
      </c>
      <c r="F34" s="76">
        <v>2.8787729999999998</v>
      </c>
      <c r="G34" s="76">
        <v>2.8711600000000002</v>
      </c>
      <c r="H34" s="76">
        <v>2.854581</v>
      </c>
      <c r="I34" s="76">
        <v>2.8362250000000002</v>
      </c>
      <c r="J34" s="76">
        <v>2.8263880000000001</v>
      </c>
      <c r="K34" s="76">
        <v>2.8201990000000001</v>
      </c>
      <c r="L34" s="76">
        <v>2.8153779999999999</v>
      </c>
      <c r="M34" s="76">
        <v>2.808907</v>
      </c>
      <c r="N34" s="76">
        <v>2.8084190000000002</v>
      </c>
      <c r="O34" s="76">
        <v>2.8094380000000001</v>
      </c>
      <c r="P34" s="76">
        <v>2.811175</v>
      </c>
      <c r="Q34" s="76">
        <v>2.8150270000000002</v>
      </c>
      <c r="R34" s="76">
        <v>2.8257270000000001</v>
      </c>
      <c r="S34" s="76">
        <v>2.8389229999999999</v>
      </c>
      <c r="T34" s="76">
        <v>2.847067</v>
      </c>
      <c r="U34" s="76">
        <v>2.8494899999999999</v>
      </c>
      <c r="V34" s="76">
        <v>2.85175</v>
      </c>
      <c r="W34" s="76">
        <v>2.8516870000000001</v>
      </c>
      <c r="X34" s="76">
        <v>2.8542700000000001</v>
      </c>
      <c r="Y34" s="76">
        <v>2.8538139999999999</v>
      </c>
      <c r="Z34" s="76">
        <v>2.8573719999999998</v>
      </c>
      <c r="AA34" s="76">
        <v>2.860795</v>
      </c>
      <c r="AB34" s="76">
        <v>2.8650159999999998</v>
      </c>
      <c r="AC34" s="76">
        <v>2.8701219999999998</v>
      </c>
      <c r="AD34" s="76">
        <v>2.8668680000000002</v>
      </c>
      <c r="AE34" s="76">
        <v>2.867251</v>
      </c>
      <c r="AF34" s="77">
        <v>8.5300000000000003E-4</v>
      </c>
      <c r="AG34" s="49"/>
    </row>
    <row r="35" spans="1:33" x14ac:dyDescent="0.25">
      <c r="A35" s="48" t="s">
        <v>167</v>
      </c>
      <c r="B35" s="75" t="s">
        <v>168</v>
      </c>
      <c r="C35" s="76" t="s">
        <v>305</v>
      </c>
      <c r="D35" s="76" t="s">
        <v>305</v>
      </c>
      <c r="E35" s="76" t="s">
        <v>305</v>
      </c>
      <c r="F35" s="76" t="s">
        <v>305</v>
      </c>
      <c r="G35" s="76" t="s">
        <v>305</v>
      </c>
      <c r="H35" s="76" t="s">
        <v>305</v>
      </c>
      <c r="I35" s="76" t="s">
        <v>305</v>
      </c>
      <c r="J35" s="76" t="s">
        <v>305</v>
      </c>
      <c r="K35" s="76" t="s">
        <v>305</v>
      </c>
      <c r="L35" s="76" t="s">
        <v>305</v>
      </c>
      <c r="M35" s="76" t="s">
        <v>305</v>
      </c>
      <c r="N35" s="76" t="s">
        <v>305</v>
      </c>
      <c r="O35" s="76" t="s">
        <v>305</v>
      </c>
      <c r="P35" s="76" t="s">
        <v>305</v>
      </c>
      <c r="Q35" s="76" t="s">
        <v>305</v>
      </c>
      <c r="R35" s="76" t="s">
        <v>305</v>
      </c>
      <c r="S35" s="76" t="s">
        <v>305</v>
      </c>
      <c r="T35" s="76" t="s">
        <v>305</v>
      </c>
      <c r="U35" s="76" t="s">
        <v>305</v>
      </c>
      <c r="V35" s="76" t="s">
        <v>305</v>
      </c>
      <c r="W35" s="76" t="s">
        <v>305</v>
      </c>
      <c r="X35" s="76" t="s">
        <v>305</v>
      </c>
      <c r="Y35" s="76" t="s">
        <v>305</v>
      </c>
      <c r="Z35" s="76" t="s">
        <v>305</v>
      </c>
      <c r="AA35" s="76" t="s">
        <v>305</v>
      </c>
      <c r="AB35" s="76" t="s">
        <v>305</v>
      </c>
      <c r="AC35" s="76" t="s">
        <v>305</v>
      </c>
      <c r="AD35" s="76" t="s">
        <v>305</v>
      </c>
      <c r="AE35" s="76" t="s">
        <v>305</v>
      </c>
      <c r="AF35" s="77" t="s">
        <v>305</v>
      </c>
      <c r="AG35" s="49" t="s">
        <v>305</v>
      </c>
    </row>
    <row r="36" spans="1:33" x14ac:dyDescent="0.25">
      <c r="A36" s="48" t="s">
        <v>169</v>
      </c>
      <c r="B36" s="75" t="s">
        <v>149</v>
      </c>
      <c r="C36" s="76">
        <v>24.421028</v>
      </c>
      <c r="D36" s="76">
        <v>23.969260999999999</v>
      </c>
      <c r="E36" s="76">
        <v>22.165068000000002</v>
      </c>
      <c r="F36" s="76">
        <v>20.957455</v>
      </c>
      <c r="G36" s="76">
        <v>20.154661000000001</v>
      </c>
      <c r="H36" s="76">
        <v>19.591453999999999</v>
      </c>
      <c r="I36" s="76">
        <v>19.228178</v>
      </c>
      <c r="J36" s="76">
        <v>19.033812999999999</v>
      </c>
      <c r="K36" s="76">
        <v>18.984463000000002</v>
      </c>
      <c r="L36" s="76">
        <v>18.977394</v>
      </c>
      <c r="M36" s="76">
        <v>18.989550000000001</v>
      </c>
      <c r="N36" s="76">
        <v>19.311668000000001</v>
      </c>
      <c r="O36" s="76">
        <v>19.408781000000001</v>
      </c>
      <c r="P36" s="76">
        <v>19.357766999999999</v>
      </c>
      <c r="Q36" s="76">
        <v>19.480951000000001</v>
      </c>
      <c r="R36" s="76">
        <v>19.64303</v>
      </c>
      <c r="S36" s="76">
        <v>19.909723</v>
      </c>
      <c r="T36" s="76">
        <v>20.139053000000001</v>
      </c>
      <c r="U36" s="76">
        <v>20.302842999999999</v>
      </c>
      <c r="V36" s="76">
        <v>20.438231999999999</v>
      </c>
      <c r="W36" s="76">
        <v>20.447336</v>
      </c>
      <c r="X36" s="76">
        <v>20.409019000000001</v>
      </c>
      <c r="Y36" s="76">
        <v>20.401765999999999</v>
      </c>
      <c r="Z36" s="76">
        <v>20.352792999999998</v>
      </c>
      <c r="AA36" s="76">
        <v>20.226258999999999</v>
      </c>
      <c r="AB36" s="76">
        <v>20.095247000000001</v>
      </c>
      <c r="AC36" s="76">
        <v>20.023175999999999</v>
      </c>
      <c r="AD36" s="76">
        <v>19.89432</v>
      </c>
      <c r="AE36" s="76">
        <v>19.708027000000001</v>
      </c>
      <c r="AF36" s="77">
        <v>-7.6290000000000004E-3</v>
      </c>
      <c r="AG36" s="49"/>
    </row>
    <row r="37" spans="1:33" x14ac:dyDescent="0.25">
      <c r="A37" s="45"/>
      <c r="B37" s="49"/>
      <c r="C37" s="49"/>
      <c r="D37" s="49"/>
      <c r="E37" s="49"/>
      <c r="F37" s="49"/>
      <c r="G37" s="49"/>
      <c r="H37" s="49"/>
      <c r="I37" s="49"/>
      <c r="J37" s="49"/>
      <c r="K37" s="49"/>
      <c r="L37" s="49"/>
      <c r="M37" s="49"/>
      <c r="N37" s="49"/>
      <c r="O37" s="49"/>
      <c r="P37" s="49"/>
      <c r="Q37" s="49"/>
      <c r="R37" s="49"/>
      <c r="S37" s="49"/>
      <c r="T37" s="49"/>
      <c r="U37" s="49"/>
      <c r="V37" s="49"/>
      <c r="W37" s="49"/>
      <c r="X37" s="49"/>
      <c r="Y37" s="49"/>
      <c r="Z37" s="49"/>
      <c r="AA37" s="49"/>
      <c r="AB37" s="49"/>
      <c r="AC37" s="49"/>
      <c r="AD37" s="49"/>
      <c r="AE37" s="49"/>
      <c r="AF37" s="49"/>
      <c r="AG37" s="49"/>
    </row>
    <row r="38" spans="1:33" x14ac:dyDescent="0.25">
      <c r="A38" s="45"/>
      <c r="B38" s="74" t="s">
        <v>170</v>
      </c>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x14ac:dyDescent="0.25">
      <c r="A39" s="48" t="s">
        <v>171</v>
      </c>
      <c r="B39" s="75" t="s">
        <v>143</v>
      </c>
      <c r="C39" s="76">
        <v>25.673756000000001</v>
      </c>
      <c r="D39" s="76">
        <v>24.128675000000001</v>
      </c>
      <c r="E39" s="76">
        <v>22.471951000000001</v>
      </c>
      <c r="F39" s="76">
        <v>20.815957999999998</v>
      </c>
      <c r="G39" s="76">
        <v>19.998926000000001</v>
      </c>
      <c r="H39" s="76">
        <v>19.561989000000001</v>
      </c>
      <c r="I39" s="76">
        <v>19.492156999999999</v>
      </c>
      <c r="J39" s="76">
        <v>19.602236000000001</v>
      </c>
      <c r="K39" s="76">
        <v>19.865448000000001</v>
      </c>
      <c r="L39" s="76">
        <v>20.198456</v>
      </c>
      <c r="M39" s="76">
        <v>20.616091000000001</v>
      </c>
      <c r="N39" s="76">
        <v>21.075576999999999</v>
      </c>
      <c r="O39" s="76">
        <v>21.446708999999998</v>
      </c>
      <c r="P39" s="76">
        <v>21.658113</v>
      </c>
      <c r="Q39" s="76">
        <v>21.785758999999999</v>
      </c>
      <c r="R39" s="76">
        <v>21.940096</v>
      </c>
      <c r="S39" s="76">
        <v>22.238503000000001</v>
      </c>
      <c r="T39" s="76">
        <v>22.234596</v>
      </c>
      <c r="U39" s="76">
        <v>22.490117999999999</v>
      </c>
      <c r="V39" s="76">
        <v>22.685780000000001</v>
      </c>
      <c r="W39" s="76">
        <v>22.765637999999999</v>
      </c>
      <c r="X39" s="76">
        <v>22.760217999999998</v>
      </c>
      <c r="Y39" s="76">
        <v>22.715187</v>
      </c>
      <c r="Z39" s="76">
        <v>22.775300999999999</v>
      </c>
      <c r="AA39" s="76">
        <v>23.024887</v>
      </c>
      <c r="AB39" s="76">
        <v>23.057397999999999</v>
      </c>
      <c r="AC39" s="76">
        <v>23.138636000000002</v>
      </c>
      <c r="AD39" s="76">
        <v>23.127609</v>
      </c>
      <c r="AE39" s="76">
        <v>23.092307999999999</v>
      </c>
      <c r="AF39" s="77">
        <v>-3.7780000000000001E-3</v>
      </c>
      <c r="AG39" s="49"/>
    </row>
    <row r="40" spans="1:33" x14ac:dyDescent="0.25">
      <c r="A40" s="48" t="s">
        <v>172</v>
      </c>
      <c r="B40" s="75" t="s">
        <v>173</v>
      </c>
      <c r="C40" s="76">
        <v>38.155422000000002</v>
      </c>
      <c r="D40" s="76">
        <v>33.744048999999997</v>
      </c>
      <c r="E40" s="76">
        <v>32.413798999999997</v>
      </c>
      <c r="F40" s="76">
        <v>30.254673</v>
      </c>
      <c r="G40" s="76">
        <v>29.96781</v>
      </c>
      <c r="H40" s="76">
        <v>29.806168</v>
      </c>
      <c r="I40" s="76">
        <v>29.845123000000001</v>
      </c>
      <c r="J40" s="76">
        <v>29.921641999999999</v>
      </c>
      <c r="K40" s="76">
        <v>30.057252999999999</v>
      </c>
      <c r="L40" s="76">
        <v>30.034431000000001</v>
      </c>
      <c r="M40" s="76">
        <v>30.226928999999998</v>
      </c>
      <c r="N40" s="76">
        <v>30.330379000000001</v>
      </c>
      <c r="O40" s="76">
        <v>30.467768</v>
      </c>
      <c r="P40" s="76">
        <v>30.563355999999999</v>
      </c>
      <c r="Q40" s="76">
        <v>30.925975999999999</v>
      </c>
      <c r="R40" s="76">
        <v>30.996416</v>
      </c>
      <c r="S40" s="76">
        <v>31.117224</v>
      </c>
      <c r="T40" s="76">
        <v>31.273572999999999</v>
      </c>
      <c r="U40" s="76">
        <v>31.334126000000001</v>
      </c>
      <c r="V40" s="76">
        <v>31.351469000000002</v>
      </c>
      <c r="W40" s="76">
        <v>31.450728999999999</v>
      </c>
      <c r="X40" s="76">
        <v>31.335975999999999</v>
      </c>
      <c r="Y40" s="76">
        <v>31.554224000000001</v>
      </c>
      <c r="Z40" s="76">
        <v>31.580019</v>
      </c>
      <c r="AA40" s="76">
        <v>32.420741999999997</v>
      </c>
      <c r="AB40" s="76">
        <v>32.430134000000002</v>
      </c>
      <c r="AC40" s="76">
        <v>32.712605000000003</v>
      </c>
      <c r="AD40" s="76">
        <v>32.812477000000001</v>
      </c>
      <c r="AE40" s="76">
        <v>33.119743</v>
      </c>
      <c r="AF40" s="77">
        <v>-5.0419999999999996E-3</v>
      </c>
      <c r="AG40" s="49"/>
    </row>
    <row r="41" spans="1:33" x14ac:dyDescent="0.25">
      <c r="A41" s="48" t="s">
        <v>174</v>
      </c>
      <c r="B41" s="75" t="s">
        <v>175</v>
      </c>
      <c r="C41" s="76">
        <v>34.785815999999997</v>
      </c>
      <c r="D41" s="76">
        <v>30.500900000000001</v>
      </c>
      <c r="E41" s="76">
        <v>27.654461000000001</v>
      </c>
      <c r="F41" s="76">
        <v>25.814499000000001</v>
      </c>
      <c r="G41" s="76">
        <v>25.540665000000001</v>
      </c>
      <c r="H41" s="76">
        <v>25.387986999999999</v>
      </c>
      <c r="I41" s="76">
        <v>25.400079999999999</v>
      </c>
      <c r="J41" s="76">
        <v>25.444728999999999</v>
      </c>
      <c r="K41" s="76">
        <v>25.533380999999999</v>
      </c>
      <c r="L41" s="76">
        <v>25.497232</v>
      </c>
      <c r="M41" s="76">
        <v>25.631806999999998</v>
      </c>
      <c r="N41" s="76">
        <v>25.694863999999999</v>
      </c>
      <c r="O41" s="76">
        <v>25.783964000000001</v>
      </c>
      <c r="P41" s="76">
        <v>25.841785000000002</v>
      </c>
      <c r="Q41" s="76">
        <v>26.121752000000001</v>
      </c>
      <c r="R41" s="76">
        <v>26.161154</v>
      </c>
      <c r="S41" s="76">
        <v>26.242393</v>
      </c>
      <c r="T41" s="76">
        <v>26.358506999999999</v>
      </c>
      <c r="U41" s="76">
        <v>26.395033000000002</v>
      </c>
      <c r="V41" s="76">
        <v>26.397086999999999</v>
      </c>
      <c r="W41" s="76">
        <v>26.466999000000001</v>
      </c>
      <c r="X41" s="76">
        <v>26.361927000000001</v>
      </c>
      <c r="Y41" s="76">
        <v>26.536808000000001</v>
      </c>
      <c r="Z41" s="76">
        <v>26.548639000000001</v>
      </c>
      <c r="AA41" s="76">
        <v>27.288558999999999</v>
      </c>
      <c r="AB41" s="76">
        <v>27.287635999999999</v>
      </c>
      <c r="AC41" s="76">
        <v>27.511337000000001</v>
      </c>
      <c r="AD41" s="76">
        <v>27.584212999999998</v>
      </c>
      <c r="AE41" s="76">
        <v>27.827411999999999</v>
      </c>
      <c r="AF41" s="77">
        <v>-7.9389999999999999E-3</v>
      </c>
      <c r="AG41" s="49"/>
    </row>
    <row r="42" spans="1:33" x14ac:dyDescent="0.25">
      <c r="A42" s="48" t="s">
        <v>176</v>
      </c>
      <c r="B42" s="75" t="s">
        <v>177</v>
      </c>
      <c r="C42" s="76">
        <v>26.739815</v>
      </c>
      <c r="D42" s="76">
        <v>22.567796999999999</v>
      </c>
      <c r="E42" s="76">
        <v>21.658487000000001</v>
      </c>
      <c r="F42" s="76">
        <v>20.17568</v>
      </c>
      <c r="G42" s="76">
        <v>19.946626999999999</v>
      </c>
      <c r="H42" s="76">
        <v>19.713881000000001</v>
      </c>
      <c r="I42" s="76">
        <v>19.619630999999998</v>
      </c>
      <c r="J42" s="76">
        <v>19.732991999999999</v>
      </c>
      <c r="K42" s="76">
        <v>19.754887</v>
      </c>
      <c r="L42" s="76">
        <v>19.972422000000002</v>
      </c>
      <c r="M42" s="76">
        <v>20.131733000000001</v>
      </c>
      <c r="N42" s="76">
        <v>20.218672000000002</v>
      </c>
      <c r="O42" s="76">
        <v>20.368309</v>
      </c>
      <c r="P42" s="76">
        <v>20.522895999999999</v>
      </c>
      <c r="Q42" s="76">
        <v>20.622114</v>
      </c>
      <c r="R42" s="76">
        <v>20.746122</v>
      </c>
      <c r="S42" s="76">
        <v>20.869146000000001</v>
      </c>
      <c r="T42" s="76">
        <v>20.96678</v>
      </c>
      <c r="U42" s="76">
        <v>21.087648000000002</v>
      </c>
      <c r="V42" s="76">
        <v>21.294411</v>
      </c>
      <c r="W42" s="76">
        <v>21.343142</v>
      </c>
      <c r="X42" s="76">
        <v>21.507014999999999</v>
      </c>
      <c r="Y42" s="76">
        <v>21.467026000000001</v>
      </c>
      <c r="Z42" s="76">
        <v>21.622814000000002</v>
      </c>
      <c r="AA42" s="76">
        <v>21.944468000000001</v>
      </c>
      <c r="AB42" s="76">
        <v>21.990461</v>
      </c>
      <c r="AC42" s="76">
        <v>22.051092000000001</v>
      </c>
      <c r="AD42" s="76">
        <v>22.151415</v>
      </c>
      <c r="AE42" s="76">
        <v>22.180281000000001</v>
      </c>
      <c r="AF42" s="77">
        <v>-6.6550000000000003E-3</v>
      </c>
      <c r="AG42" s="49"/>
    </row>
    <row r="43" spans="1:33" x14ac:dyDescent="0.25">
      <c r="A43" s="48" t="s">
        <v>178</v>
      </c>
      <c r="B43" s="75" t="s">
        <v>179</v>
      </c>
      <c r="C43" s="76">
        <v>37.123702999999999</v>
      </c>
      <c r="D43" s="76">
        <v>32.857501999999997</v>
      </c>
      <c r="E43" s="76">
        <v>31.169696999999999</v>
      </c>
      <c r="F43" s="76">
        <v>29.060146</v>
      </c>
      <c r="G43" s="76">
        <v>28.13373</v>
      </c>
      <c r="H43" s="76">
        <v>27.197217999999999</v>
      </c>
      <c r="I43" s="76">
        <v>26.424462999999999</v>
      </c>
      <c r="J43" s="76">
        <v>26.520130000000002</v>
      </c>
      <c r="K43" s="76">
        <v>26.545546000000002</v>
      </c>
      <c r="L43" s="76">
        <v>26.701553000000001</v>
      </c>
      <c r="M43" s="76">
        <v>26.827372</v>
      </c>
      <c r="N43" s="76">
        <v>26.946200999999999</v>
      </c>
      <c r="O43" s="76">
        <v>26.993939999999998</v>
      </c>
      <c r="P43" s="76">
        <v>27.200310000000002</v>
      </c>
      <c r="Q43" s="76">
        <v>27.206823</v>
      </c>
      <c r="R43" s="76">
        <v>27.345296999999999</v>
      </c>
      <c r="S43" s="76">
        <v>27.446815000000001</v>
      </c>
      <c r="T43" s="76">
        <v>27.489861000000001</v>
      </c>
      <c r="U43" s="76">
        <v>27.537863000000002</v>
      </c>
      <c r="V43" s="76">
        <v>27.708594999999999</v>
      </c>
      <c r="W43" s="76">
        <v>27.718976999999999</v>
      </c>
      <c r="X43" s="76">
        <v>27.838846</v>
      </c>
      <c r="Y43" s="76">
        <v>27.744848000000001</v>
      </c>
      <c r="Z43" s="76">
        <v>27.800470000000001</v>
      </c>
      <c r="AA43" s="76">
        <v>28.387547000000001</v>
      </c>
      <c r="AB43" s="76">
        <v>28.413376</v>
      </c>
      <c r="AC43" s="76">
        <v>28.461220000000001</v>
      </c>
      <c r="AD43" s="76">
        <v>28.524797</v>
      </c>
      <c r="AE43" s="76">
        <v>28.533144</v>
      </c>
      <c r="AF43" s="77">
        <v>-9.3559999999999997E-3</v>
      </c>
      <c r="AG43" s="49"/>
    </row>
    <row r="44" spans="1:33" x14ac:dyDescent="0.25">
      <c r="A44" s="48" t="s">
        <v>180</v>
      </c>
      <c r="B44" s="75" t="s">
        <v>154</v>
      </c>
      <c r="C44" s="76">
        <v>15.39181</v>
      </c>
      <c r="D44" s="76">
        <v>15.551938</v>
      </c>
      <c r="E44" s="76">
        <v>17.300775999999999</v>
      </c>
      <c r="F44" s="76">
        <v>16.409485</v>
      </c>
      <c r="G44" s="76">
        <v>16.427686999999999</v>
      </c>
      <c r="H44" s="76">
        <v>16.502735000000001</v>
      </c>
      <c r="I44" s="76">
        <v>16.535357000000001</v>
      </c>
      <c r="J44" s="76">
        <v>16.614215999999999</v>
      </c>
      <c r="K44" s="76">
        <v>16.714341999999998</v>
      </c>
      <c r="L44" s="76">
        <v>16.791964</v>
      </c>
      <c r="M44" s="76">
        <v>16.89019</v>
      </c>
      <c r="N44" s="76">
        <v>16.984158000000001</v>
      </c>
      <c r="O44" s="76">
        <v>17.077217000000001</v>
      </c>
      <c r="P44" s="76">
        <v>17.192131</v>
      </c>
      <c r="Q44" s="76">
        <v>17.249979</v>
      </c>
      <c r="R44" s="76">
        <v>17.340447999999999</v>
      </c>
      <c r="S44" s="76">
        <v>17.439603999999999</v>
      </c>
      <c r="T44" s="76">
        <v>17.511599</v>
      </c>
      <c r="U44" s="76">
        <v>17.576930999999998</v>
      </c>
      <c r="V44" s="76">
        <v>17.686035</v>
      </c>
      <c r="W44" s="76">
        <v>17.712140999999999</v>
      </c>
      <c r="X44" s="76">
        <v>17.789486</v>
      </c>
      <c r="Y44" s="76">
        <v>17.786715999999998</v>
      </c>
      <c r="Z44" s="76">
        <v>17.831644000000001</v>
      </c>
      <c r="AA44" s="76">
        <v>18.012905</v>
      </c>
      <c r="AB44" s="76">
        <v>18.00956</v>
      </c>
      <c r="AC44" s="76">
        <v>18.112957000000002</v>
      </c>
      <c r="AD44" s="76">
        <v>18.199448</v>
      </c>
      <c r="AE44" s="76">
        <v>18.28933</v>
      </c>
      <c r="AF44" s="77">
        <v>6.1789999999999996E-3</v>
      </c>
      <c r="AG44" s="49"/>
    </row>
    <row r="45" spans="1:33" x14ac:dyDescent="0.25">
      <c r="A45" s="48" t="s">
        <v>181</v>
      </c>
      <c r="B45" s="75" t="s">
        <v>182</v>
      </c>
      <c r="C45" s="76">
        <v>17.54928</v>
      </c>
      <c r="D45" s="76">
        <v>16.298449000000002</v>
      </c>
      <c r="E45" s="76">
        <v>14.88739</v>
      </c>
      <c r="F45" s="76">
        <v>14.304173</v>
      </c>
      <c r="G45" s="76">
        <v>13.609575</v>
      </c>
      <c r="H45" s="76">
        <v>13.258362</v>
      </c>
      <c r="I45" s="76">
        <v>13.009375</v>
      </c>
      <c r="J45" s="76">
        <v>12.877625</v>
      </c>
      <c r="K45" s="76">
        <v>12.804221</v>
      </c>
      <c r="L45" s="76">
        <v>12.793189999999999</v>
      </c>
      <c r="M45" s="76">
        <v>12.772278999999999</v>
      </c>
      <c r="N45" s="76">
        <v>12.814316</v>
      </c>
      <c r="O45" s="76">
        <v>12.811182000000001</v>
      </c>
      <c r="P45" s="76">
        <v>12.783016999999999</v>
      </c>
      <c r="Q45" s="76">
        <v>12.651464000000001</v>
      </c>
      <c r="R45" s="76">
        <v>12.542598999999999</v>
      </c>
      <c r="S45" s="76">
        <v>12.536258</v>
      </c>
      <c r="T45" s="76">
        <v>12.333598</v>
      </c>
      <c r="U45" s="76">
        <v>12.31179</v>
      </c>
      <c r="V45" s="76">
        <v>12.251882</v>
      </c>
      <c r="W45" s="76">
        <v>12.115541</v>
      </c>
      <c r="X45" s="76">
        <v>11.941437000000001</v>
      </c>
      <c r="Y45" s="76">
        <v>11.766513</v>
      </c>
      <c r="Z45" s="76">
        <v>11.69476</v>
      </c>
      <c r="AA45" s="76">
        <v>12.298188</v>
      </c>
      <c r="AB45" s="76">
        <v>12.136044</v>
      </c>
      <c r="AC45" s="76">
        <v>11.981798</v>
      </c>
      <c r="AD45" s="76">
        <v>11.858985000000001</v>
      </c>
      <c r="AE45" s="76">
        <v>11.776168999999999</v>
      </c>
      <c r="AF45" s="77">
        <v>-1.4147E-2</v>
      </c>
      <c r="AG45" s="49"/>
    </row>
    <row r="46" spans="1:33" x14ac:dyDescent="0.25">
      <c r="A46" s="48" t="s">
        <v>183</v>
      </c>
      <c r="B46" s="75" t="s">
        <v>149</v>
      </c>
      <c r="C46" s="76">
        <v>42.503979000000001</v>
      </c>
      <c r="D46" s="76">
        <v>44.014454000000001</v>
      </c>
      <c r="E46" s="76">
        <v>42.699257000000003</v>
      </c>
      <c r="F46" s="76">
        <v>40.270164000000001</v>
      </c>
      <c r="G46" s="76">
        <v>39.897511000000002</v>
      </c>
      <c r="H46" s="76">
        <v>39.828831000000001</v>
      </c>
      <c r="I46" s="76">
        <v>39.741402000000001</v>
      </c>
      <c r="J46" s="76">
        <v>39.724139999999998</v>
      </c>
      <c r="K46" s="76">
        <v>39.732391</v>
      </c>
      <c r="L46" s="76">
        <v>39.929423999999997</v>
      </c>
      <c r="M46" s="76">
        <v>40.166943000000003</v>
      </c>
      <c r="N46" s="76">
        <v>40.565944999999999</v>
      </c>
      <c r="O46" s="76">
        <v>40.854523</v>
      </c>
      <c r="P46" s="76">
        <v>41.056289999999997</v>
      </c>
      <c r="Q46" s="76">
        <v>41.068629999999999</v>
      </c>
      <c r="R46" s="76">
        <v>41.392082000000002</v>
      </c>
      <c r="S46" s="76">
        <v>41.665050999999998</v>
      </c>
      <c r="T46" s="76">
        <v>42.074824999999997</v>
      </c>
      <c r="U46" s="76">
        <v>42.285224999999997</v>
      </c>
      <c r="V46" s="76">
        <v>42.527729000000001</v>
      </c>
      <c r="W46" s="76">
        <v>42.529423000000001</v>
      </c>
      <c r="X46" s="76">
        <v>42.497456</v>
      </c>
      <c r="Y46" s="76">
        <v>42.464610999999998</v>
      </c>
      <c r="Z46" s="76">
        <v>42.516261999999998</v>
      </c>
      <c r="AA46" s="76">
        <v>42.623565999999997</v>
      </c>
      <c r="AB46" s="76">
        <v>42.482261999999999</v>
      </c>
      <c r="AC46" s="76">
        <v>42.484820999999997</v>
      </c>
      <c r="AD46" s="76">
        <v>42.022789000000003</v>
      </c>
      <c r="AE46" s="76">
        <v>41.658324999999998</v>
      </c>
      <c r="AF46" s="77">
        <v>-7.1699999999999997E-4</v>
      </c>
      <c r="AG46" s="49"/>
    </row>
    <row r="47" spans="1:33" x14ac:dyDescent="0.25">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x14ac:dyDescent="0.25">
      <c r="A48" s="45"/>
      <c r="B48" s="74" t="s">
        <v>184</v>
      </c>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1:33" x14ac:dyDescent="0.25">
      <c r="A49" s="48" t="s">
        <v>185</v>
      </c>
      <c r="B49" s="75" t="s">
        <v>145</v>
      </c>
      <c r="C49" s="76">
        <v>35.259407000000003</v>
      </c>
      <c r="D49" s="76">
        <v>32.908622999999999</v>
      </c>
      <c r="E49" s="76">
        <v>30.715005999999999</v>
      </c>
      <c r="F49" s="76">
        <v>27.876041000000001</v>
      </c>
      <c r="G49" s="76">
        <v>26.264648000000001</v>
      </c>
      <c r="H49" s="76">
        <v>24.649519000000002</v>
      </c>
      <c r="I49" s="76">
        <v>23.123522000000001</v>
      </c>
      <c r="J49" s="76">
        <v>23.303953</v>
      </c>
      <c r="K49" s="76">
        <v>23.443438</v>
      </c>
      <c r="L49" s="76">
        <v>23.430513000000001</v>
      </c>
      <c r="M49" s="76">
        <v>23.544266</v>
      </c>
      <c r="N49" s="76">
        <v>23.535339</v>
      </c>
      <c r="O49" s="76">
        <v>23.673569000000001</v>
      </c>
      <c r="P49" s="76">
        <v>23.769455000000001</v>
      </c>
      <c r="Q49" s="76">
        <v>23.840540000000001</v>
      </c>
      <c r="R49" s="76">
        <v>23.890585000000002</v>
      </c>
      <c r="S49" s="76">
        <v>23.930655000000002</v>
      </c>
      <c r="T49" s="76">
        <v>24.005789</v>
      </c>
      <c r="U49" s="76">
        <v>24.099160999999999</v>
      </c>
      <c r="V49" s="76">
        <v>24.257807</v>
      </c>
      <c r="W49" s="76">
        <v>24.249801999999999</v>
      </c>
      <c r="X49" s="76">
        <v>24.362133</v>
      </c>
      <c r="Y49" s="76">
        <v>24.304323</v>
      </c>
      <c r="Z49" s="76">
        <v>24.419262</v>
      </c>
      <c r="AA49" s="76">
        <v>24.659782</v>
      </c>
      <c r="AB49" s="76">
        <v>24.697873999999999</v>
      </c>
      <c r="AC49" s="76">
        <v>24.746410000000001</v>
      </c>
      <c r="AD49" s="76">
        <v>24.866105999999998</v>
      </c>
      <c r="AE49" s="76">
        <v>24.873063999999999</v>
      </c>
      <c r="AF49" s="77">
        <v>-1.2385E-2</v>
      </c>
      <c r="AG49" s="49"/>
    </row>
    <row r="50" spans="1:33" ht="15" customHeight="1" x14ac:dyDescent="0.25">
      <c r="A50" s="48" t="s">
        <v>186</v>
      </c>
      <c r="B50" s="75" t="s">
        <v>154</v>
      </c>
      <c r="C50" s="76">
        <v>21.746656000000002</v>
      </c>
      <c r="D50" s="76">
        <v>18.583587999999999</v>
      </c>
      <c r="E50" s="76">
        <v>18.437738</v>
      </c>
      <c r="F50" s="76">
        <v>17.426687000000001</v>
      </c>
      <c r="G50" s="76">
        <v>17.396132999999999</v>
      </c>
      <c r="H50" s="76">
        <v>17.450890000000001</v>
      </c>
      <c r="I50" s="76">
        <v>17.445499000000002</v>
      </c>
      <c r="J50" s="76">
        <v>17.50403</v>
      </c>
      <c r="K50" s="76">
        <v>17.585357999999999</v>
      </c>
      <c r="L50" s="76">
        <v>17.627741</v>
      </c>
      <c r="M50" s="76">
        <v>17.713676</v>
      </c>
      <c r="N50" s="76">
        <v>17.789324000000001</v>
      </c>
      <c r="O50" s="76">
        <v>17.860551999999998</v>
      </c>
      <c r="P50" s="76">
        <v>17.979301</v>
      </c>
      <c r="Q50" s="76">
        <v>18.031911999999998</v>
      </c>
      <c r="R50" s="76">
        <v>18.093886999999999</v>
      </c>
      <c r="S50" s="76">
        <v>18.164891999999998</v>
      </c>
      <c r="T50" s="76">
        <v>18.222367999999999</v>
      </c>
      <c r="U50" s="76">
        <v>18.234998999999998</v>
      </c>
      <c r="V50" s="76">
        <v>18.210297000000001</v>
      </c>
      <c r="W50" s="76">
        <v>18.106007000000002</v>
      </c>
      <c r="X50" s="76">
        <v>17.987822000000001</v>
      </c>
      <c r="Y50" s="76">
        <v>17.796372999999999</v>
      </c>
      <c r="Z50" s="76">
        <v>17.579772999999999</v>
      </c>
      <c r="AA50" s="76">
        <v>17.799135</v>
      </c>
      <c r="AB50" s="76">
        <v>17.826294000000001</v>
      </c>
      <c r="AC50" s="76">
        <v>17.931380999999998</v>
      </c>
      <c r="AD50" s="76">
        <v>18.026841999999998</v>
      </c>
      <c r="AE50" s="76">
        <v>18.092517999999998</v>
      </c>
      <c r="AF50" s="77">
        <v>-6.5490000000000001E-3</v>
      </c>
      <c r="AG50" s="49"/>
    </row>
    <row r="51" spans="1:33" ht="15" customHeight="1" x14ac:dyDescent="0.25">
      <c r="A51" s="48" t="s">
        <v>187</v>
      </c>
      <c r="B51" s="75" t="s">
        <v>147</v>
      </c>
      <c r="C51" s="76">
        <v>7.0200610000000001</v>
      </c>
      <c r="D51" s="76">
        <v>5.6218500000000002</v>
      </c>
      <c r="E51" s="76">
        <v>4.4825049999999997</v>
      </c>
      <c r="F51" s="76">
        <v>3.8676200000000001</v>
      </c>
      <c r="G51" s="76">
        <v>3.3850189999999998</v>
      </c>
      <c r="H51" s="76">
        <v>3.0860349999999999</v>
      </c>
      <c r="I51" s="76">
        <v>2.9677769999999999</v>
      </c>
      <c r="J51" s="76">
        <v>2.9629919999999998</v>
      </c>
      <c r="K51" s="76">
        <v>2.9999069999999999</v>
      </c>
      <c r="L51" s="76">
        <v>3.0713910000000002</v>
      </c>
      <c r="M51" s="76">
        <v>3.152358</v>
      </c>
      <c r="N51" s="76">
        <v>3.2819440000000002</v>
      </c>
      <c r="O51" s="76">
        <v>3.3912620000000002</v>
      </c>
      <c r="P51" s="76">
        <v>3.5111520000000001</v>
      </c>
      <c r="Q51" s="76">
        <v>3.5463550000000001</v>
      </c>
      <c r="R51" s="76">
        <v>3.593677</v>
      </c>
      <c r="S51" s="76">
        <v>3.7334200000000002</v>
      </c>
      <c r="T51" s="76">
        <v>3.7044619999999999</v>
      </c>
      <c r="U51" s="76">
        <v>3.8440750000000001</v>
      </c>
      <c r="V51" s="76">
        <v>3.9176389999999999</v>
      </c>
      <c r="W51" s="76">
        <v>3.8986429999999999</v>
      </c>
      <c r="X51" s="76">
        <v>3.8471060000000001</v>
      </c>
      <c r="Y51" s="76">
        <v>3.7783739999999999</v>
      </c>
      <c r="Z51" s="76">
        <v>3.7701190000000002</v>
      </c>
      <c r="AA51" s="76">
        <v>3.746305</v>
      </c>
      <c r="AB51" s="76">
        <v>3.714029</v>
      </c>
      <c r="AC51" s="76">
        <v>3.6974870000000002</v>
      </c>
      <c r="AD51" s="76">
        <v>3.642601</v>
      </c>
      <c r="AE51" s="76">
        <v>3.6407699999999998</v>
      </c>
      <c r="AF51" s="77">
        <v>-2.3175999999999999E-2</v>
      </c>
      <c r="AG51" s="49"/>
    </row>
    <row r="52" spans="1:33" ht="15" customHeight="1" x14ac:dyDescent="0.25">
      <c r="A52" s="48" t="s">
        <v>188</v>
      </c>
      <c r="B52" s="75" t="s">
        <v>189</v>
      </c>
      <c r="C52" s="76">
        <v>2.1347619999999998</v>
      </c>
      <c r="D52" s="76">
        <v>2.0571269999999999</v>
      </c>
      <c r="E52" s="76">
        <v>2.0538599999999998</v>
      </c>
      <c r="F52" s="76">
        <v>2.037131</v>
      </c>
      <c r="G52" s="76">
        <v>2.0081639999999998</v>
      </c>
      <c r="H52" s="76">
        <v>1.988704</v>
      </c>
      <c r="I52" s="76">
        <v>1.964183</v>
      </c>
      <c r="J52" s="76">
        <v>1.9527490000000001</v>
      </c>
      <c r="K52" s="76">
        <v>1.954107</v>
      </c>
      <c r="L52" s="76">
        <v>1.9472039999999999</v>
      </c>
      <c r="M52" s="76">
        <v>1.91757</v>
      </c>
      <c r="N52" s="76">
        <v>1.9060710000000001</v>
      </c>
      <c r="O52" s="76">
        <v>1.904636</v>
      </c>
      <c r="P52" s="76">
        <v>1.8978330000000001</v>
      </c>
      <c r="Q52" s="76">
        <v>1.8915120000000001</v>
      </c>
      <c r="R52" s="76">
        <v>1.889286</v>
      </c>
      <c r="S52" s="76">
        <v>1.914712</v>
      </c>
      <c r="T52" s="76">
        <v>1.91035</v>
      </c>
      <c r="U52" s="76">
        <v>1.9124460000000001</v>
      </c>
      <c r="V52" s="76">
        <v>1.9111039999999999</v>
      </c>
      <c r="W52" s="76">
        <v>1.9094120000000001</v>
      </c>
      <c r="X52" s="76">
        <v>1.9090240000000001</v>
      </c>
      <c r="Y52" s="76">
        <v>1.9037930000000001</v>
      </c>
      <c r="Z52" s="76">
        <v>1.8997839999999999</v>
      </c>
      <c r="AA52" s="76">
        <v>1.9004989999999999</v>
      </c>
      <c r="AB52" s="76">
        <v>1.895365</v>
      </c>
      <c r="AC52" s="76">
        <v>1.8867290000000001</v>
      </c>
      <c r="AD52" s="76">
        <v>1.8902159999999999</v>
      </c>
      <c r="AE52" s="76">
        <v>1.8872800000000001</v>
      </c>
      <c r="AF52" s="77">
        <v>-4.3909999999999999E-3</v>
      </c>
      <c r="AG52" s="49"/>
    </row>
    <row r="53" spans="1:33" ht="15" customHeight="1" x14ac:dyDescent="0.25">
      <c r="A53" s="48" t="s">
        <v>190</v>
      </c>
      <c r="B53" s="75" t="s">
        <v>191</v>
      </c>
      <c r="C53" s="76">
        <v>0.71087199999999995</v>
      </c>
      <c r="D53" s="76">
        <v>0.71079999999999999</v>
      </c>
      <c r="E53" s="76">
        <v>0.71073900000000001</v>
      </c>
      <c r="F53" s="76">
        <v>0.710677</v>
      </c>
      <c r="G53" s="76">
        <v>0.71060599999999996</v>
      </c>
      <c r="H53" s="76">
        <v>0.71054399999999995</v>
      </c>
      <c r="I53" s="76">
        <v>0.71048299999999998</v>
      </c>
      <c r="J53" s="76">
        <v>0.71041100000000001</v>
      </c>
      <c r="K53" s="76">
        <v>0.71034900000000001</v>
      </c>
      <c r="L53" s="76">
        <v>0.71027700000000005</v>
      </c>
      <c r="M53" s="76">
        <v>0.71021599999999996</v>
      </c>
      <c r="N53" s="76">
        <v>0.71015399999999995</v>
      </c>
      <c r="O53" s="76">
        <v>0.71008300000000002</v>
      </c>
      <c r="P53" s="76">
        <v>0.71002100000000001</v>
      </c>
      <c r="Q53" s="76">
        <v>0.70994900000000005</v>
      </c>
      <c r="R53" s="76">
        <v>0.70988799999999996</v>
      </c>
      <c r="S53" s="76">
        <v>0.70982599999999996</v>
      </c>
      <c r="T53" s="76">
        <v>0.70975500000000002</v>
      </c>
      <c r="U53" s="76">
        <v>0.70969300000000002</v>
      </c>
      <c r="V53" s="76">
        <v>0.70963100000000001</v>
      </c>
      <c r="W53" s="76">
        <v>0.70955999999999997</v>
      </c>
      <c r="X53" s="76">
        <v>0.70949799999999996</v>
      </c>
      <c r="Y53" s="76">
        <v>0.709426</v>
      </c>
      <c r="Z53" s="76">
        <v>0.70936500000000002</v>
      </c>
      <c r="AA53" s="76">
        <v>0.70930300000000002</v>
      </c>
      <c r="AB53" s="76">
        <v>0.70923199999999997</v>
      </c>
      <c r="AC53" s="76">
        <v>0.70916999999999997</v>
      </c>
      <c r="AD53" s="76">
        <v>0.70910799999999996</v>
      </c>
      <c r="AE53" s="76">
        <v>0.70903700000000003</v>
      </c>
      <c r="AF53" s="77">
        <v>-9.2E-5</v>
      </c>
      <c r="AG53" s="49"/>
    </row>
    <row r="54" spans="1:33" ht="15" customHeight="1" x14ac:dyDescent="0.25">
      <c r="A54" s="45"/>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1:33" ht="15" customHeight="1" x14ac:dyDescent="0.25">
      <c r="A55" s="45"/>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1:33" ht="15" customHeight="1" x14ac:dyDescent="0.25">
      <c r="A56" s="45"/>
      <c r="B56" s="74" t="s">
        <v>192</v>
      </c>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1:33" ht="15" customHeight="1" x14ac:dyDescent="0.25">
      <c r="A57" s="48" t="s">
        <v>193</v>
      </c>
      <c r="B57" s="75" t="s">
        <v>143</v>
      </c>
      <c r="C57" s="76">
        <v>28.079664000000001</v>
      </c>
      <c r="D57" s="76">
        <v>28.863071000000001</v>
      </c>
      <c r="E57" s="76">
        <v>27.577629000000002</v>
      </c>
      <c r="F57" s="76">
        <v>26.031884999999999</v>
      </c>
      <c r="G57" s="76">
        <v>24.921838999999999</v>
      </c>
      <c r="H57" s="76">
        <v>24.151785</v>
      </c>
      <c r="I57" s="76">
        <v>23.797934999999999</v>
      </c>
      <c r="J57" s="76">
        <v>23.714777000000002</v>
      </c>
      <c r="K57" s="76">
        <v>23.87669</v>
      </c>
      <c r="L57" s="76">
        <v>24.191362000000002</v>
      </c>
      <c r="M57" s="76">
        <v>24.642890999999999</v>
      </c>
      <c r="N57" s="76">
        <v>25.197872</v>
      </c>
      <c r="O57" s="76">
        <v>25.706682000000001</v>
      </c>
      <c r="P57" s="76">
        <v>26.062887</v>
      </c>
      <c r="Q57" s="76">
        <v>26.30707</v>
      </c>
      <c r="R57" s="76">
        <v>26.539770000000001</v>
      </c>
      <c r="S57" s="76">
        <v>26.90296</v>
      </c>
      <c r="T57" s="76">
        <v>26.989214</v>
      </c>
      <c r="U57" s="76">
        <v>27.284808999999999</v>
      </c>
      <c r="V57" s="76">
        <v>27.549026000000001</v>
      </c>
      <c r="W57" s="76">
        <v>27.698435</v>
      </c>
      <c r="X57" s="76">
        <v>27.740465</v>
      </c>
      <c r="Y57" s="76">
        <v>27.713034</v>
      </c>
      <c r="Z57" s="76">
        <v>27.764099000000002</v>
      </c>
      <c r="AA57" s="76">
        <v>27.921662999999999</v>
      </c>
      <c r="AB57" s="76">
        <v>27.942893999999999</v>
      </c>
      <c r="AC57" s="76">
        <v>28.018711</v>
      </c>
      <c r="AD57" s="76">
        <v>28.013480999999999</v>
      </c>
      <c r="AE57" s="76">
        <v>27.968328</v>
      </c>
      <c r="AF57" s="77">
        <v>-1.4200000000000001E-4</v>
      </c>
      <c r="AG57" s="49"/>
    </row>
    <row r="58" spans="1:33" ht="15" customHeight="1" x14ac:dyDescent="0.25">
      <c r="A58" s="48" t="s">
        <v>194</v>
      </c>
      <c r="B58" s="75" t="s">
        <v>173</v>
      </c>
      <c r="C58" s="76">
        <v>38.155422000000002</v>
      </c>
      <c r="D58" s="76">
        <v>33.744048999999997</v>
      </c>
      <c r="E58" s="76">
        <v>32.413798999999997</v>
      </c>
      <c r="F58" s="76">
        <v>30.254673</v>
      </c>
      <c r="G58" s="76">
        <v>29.96781</v>
      </c>
      <c r="H58" s="76">
        <v>29.806168</v>
      </c>
      <c r="I58" s="76">
        <v>29.845123000000001</v>
      </c>
      <c r="J58" s="76">
        <v>29.921641999999999</v>
      </c>
      <c r="K58" s="76">
        <v>30.057252999999999</v>
      </c>
      <c r="L58" s="76">
        <v>30.034431000000001</v>
      </c>
      <c r="M58" s="76">
        <v>30.226928999999998</v>
      </c>
      <c r="N58" s="76">
        <v>30.330379000000001</v>
      </c>
      <c r="O58" s="76">
        <v>30.467768</v>
      </c>
      <c r="P58" s="76">
        <v>30.563355999999999</v>
      </c>
      <c r="Q58" s="76">
        <v>30.925975999999999</v>
      </c>
      <c r="R58" s="76">
        <v>30.996416</v>
      </c>
      <c r="S58" s="76">
        <v>31.117224</v>
      </c>
      <c r="T58" s="76">
        <v>31.273572999999999</v>
      </c>
      <c r="U58" s="76">
        <v>31.334126000000001</v>
      </c>
      <c r="V58" s="76">
        <v>31.351469000000002</v>
      </c>
      <c r="W58" s="76">
        <v>31.450728999999999</v>
      </c>
      <c r="X58" s="76">
        <v>31.335975999999999</v>
      </c>
      <c r="Y58" s="76">
        <v>31.554224000000001</v>
      </c>
      <c r="Z58" s="76">
        <v>31.580019</v>
      </c>
      <c r="AA58" s="76">
        <v>32.420741999999997</v>
      </c>
      <c r="AB58" s="76">
        <v>32.430134000000002</v>
      </c>
      <c r="AC58" s="76">
        <v>32.712605000000003</v>
      </c>
      <c r="AD58" s="76">
        <v>32.812477000000001</v>
      </c>
      <c r="AE58" s="76">
        <v>33.119743</v>
      </c>
      <c r="AF58" s="77">
        <v>-5.0419999999999996E-3</v>
      </c>
      <c r="AG58" s="49"/>
    </row>
    <row r="59" spans="1:33" ht="15" customHeight="1" x14ac:dyDescent="0.25">
      <c r="A59" s="48" t="s">
        <v>195</v>
      </c>
      <c r="B59" s="75" t="s">
        <v>175</v>
      </c>
      <c r="C59" s="76">
        <v>34.782677</v>
      </c>
      <c r="D59" s="76">
        <v>30.452632999999999</v>
      </c>
      <c r="E59" s="76">
        <v>27.655825</v>
      </c>
      <c r="F59" s="76">
        <v>25.838930000000001</v>
      </c>
      <c r="G59" s="76">
        <v>25.571242999999999</v>
      </c>
      <c r="H59" s="76">
        <v>25.414442000000001</v>
      </c>
      <c r="I59" s="76">
        <v>25.417324000000001</v>
      </c>
      <c r="J59" s="76">
        <v>25.462954</v>
      </c>
      <c r="K59" s="76">
        <v>25.552574</v>
      </c>
      <c r="L59" s="76">
        <v>25.517675000000001</v>
      </c>
      <c r="M59" s="76">
        <v>25.653202</v>
      </c>
      <c r="N59" s="76">
        <v>25.717319</v>
      </c>
      <c r="O59" s="76">
        <v>25.807234000000001</v>
      </c>
      <c r="P59" s="76">
        <v>25.865997</v>
      </c>
      <c r="Q59" s="76">
        <v>26.146042000000001</v>
      </c>
      <c r="R59" s="76">
        <v>26.186482999999999</v>
      </c>
      <c r="S59" s="76">
        <v>26.268536000000001</v>
      </c>
      <c r="T59" s="76">
        <v>26.385166000000002</v>
      </c>
      <c r="U59" s="76">
        <v>26.422464000000002</v>
      </c>
      <c r="V59" s="76">
        <v>26.425398000000001</v>
      </c>
      <c r="W59" s="76">
        <v>26.495975000000001</v>
      </c>
      <c r="X59" s="76">
        <v>26.391787999999998</v>
      </c>
      <c r="Y59" s="76">
        <v>26.567183</v>
      </c>
      <c r="Z59" s="76">
        <v>26.580030000000001</v>
      </c>
      <c r="AA59" s="76">
        <v>27.324665</v>
      </c>
      <c r="AB59" s="76">
        <v>27.324311999999999</v>
      </c>
      <c r="AC59" s="76">
        <v>27.548143</v>
      </c>
      <c r="AD59" s="76">
        <v>27.621510000000001</v>
      </c>
      <c r="AE59" s="76">
        <v>27.864849</v>
      </c>
      <c r="AF59" s="77">
        <v>-7.8879999999999992E-3</v>
      </c>
      <c r="AG59" s="49"/>
    </row>
    <row r="60" spans="1:33" ht="15" customHeight="1" x14ac:dyDescent="0.25">
      <c r="A60" s="48" t="s">
        <v>196</v>
      </c>
      <c r="B60" s="75" t="s">
        <v>177</v>
      </c>
      <c r="C60" s="76">
        <v>26.739815</v>
      </c>
      <c r="D60" s="76">
        <v>22.567796999999999</v>
      </c>
      <c r="E60" s="76">
        <v>21.658487000000001</v>
      </c>
      <c r="F60" s="76">
        <v>20.17568</v>
      </c>
      <c r="G60" s="76">
        <v>19.946626999999999</v>
      </c>
      <c r="H60" s="76">
        <v>19.713881000000001</v>
      </c>
      <c r="I60" s="76">
        <v>19.619630999999998</v>
      </c>
      <c r="J60" s="76">
        <v>19.732991999999999</v>
      </c>
      <c r="K60" s="76">
        <v>19.754887</v>
      </c>
      <c r="L60" s="76">
        <v>19.972422000000002</v>
      </c>
      <c r="M60" s="76">
        <v>20.131733000000001</v>
      </c>
      <c r="N60" s="76">
        <v>20.218672000000002</v>
      </c>
      <c r="O60" s="76">
        <v>20.368309</v>
      </c>
      <c r="P60" s="76">
        <v>20.522895999999999</v>
      </c>
      <c r="Q60" s="76">
        <v>20.622114</v>
      </c>
      <c r="R60" s="76">
        <v>20.746122</v>
      </c>
      <c r="S60" s="76">
        <v>20.869146000000001</v>
      </c>
      <c r="T60" s="76">
        <v>20.96678</v>
      </c>
      <c r="U60" s="76">
        <v>21.087648000000002</v>
      </c>
      <c r="V60" s="76">
        <v>21.294411</v>
      </c>
      <c r="W60" s="76">
        <v>21.343142</v>
      </c>
      <c r="X60" s="76">
        <v>21.507014999999999</v>
      </c>
      <c r="Y60" s="76">
        <v>21.467026000000001</v>
      </c>
      <c r="Z60" s="76">
        <v>21.622814000000002</v>
      </c>
      <c r="AA60" s="76">
        <v>21.944468000000001</v>
      </c>
      <c r="AB60" s="76">
        <v>21.990461</v>
      </c>
      <c r="AC60" s="76">
        <v>22.051092000000001</v>
      </c>
      <c r="AD60" s="76">
        <v>22.151415</v>
      </c>
      <c r="AE60" s="76">
        <v>22.180281000000001</v>
      </c>
      <c r="AF60" s="77">
        <v>-6.6550000000000003E-3</v>
      </c>
      <c r="AG60" s="49"/>
    </row>
    <row r="61" spans="1:33" ht="15" customHeight="1" x14ac:dyDescent="0.25">
      <c r="A61" s="48" t="s">
        <v>197</v>
      </c>
      <c r="B61" s="75" t="s">
        <v>145</v>
      </c>
      <c r="C61" s="76">
        <v>36.677619999999997</v>
      </c>
      <c r="D61" s="76">
        <v>32.847237</v>
      </c>
      <c r="E61" s="76">
        <v>31.066772</v>
      </c>
      <c r="F61" s="76">
        <v>28.850601000000001</v>
      </c>
      <c r="G61" s="76">
        <v>27.806213</v>
      </c>
      <c r="H61" s="76">
        <v>26.772061999999998</v>
      </c>
      <c r="I61" s="76">
        <v>25.893951000000001</v>
      </c>
      <c r="J61" s="76">
        <v>25.991576999999999</v>
      </c>
      <c r="K61" s="76">
        <v>26.001940000000001</v>
      </c>
      <c r="L61" s="76">
        <v>26.168555999999999</v>
      </c>
      <c r="M61" s="76">
        <v>26.275074</v>
      </c>
      <c r="N61" s="76">
        <v>26.402332000000001</v>
      </c>
      <c r="O61" s="76">
        <v>26.447607000000001</v>
      </c>
      <c r="P61" s="76">
        <v>26.633845999999998</v>
      </c>
      <c r="Q61" s="76">
        <v>26.645638999999999</v>
      </c>
      <c r="R61" s="76">
        <v>26.773325</v>
      </c>
      <c r="S61" s="76">
        <v>26.862781999999999</v>
      </c>
      <c r="T61" s="76">
        <v>26.907473</v>
      </c>
      <c r="U61" s="76">
        <v>26.957165</v>
      </c>
      <c r="V61" s="76">
        <v>27.116112000000001</v>
      </c>
      <c r="W61" s="76">
        <v>27.111333999999999</v>
      </c>
      <c r="X61" s="76">
        <v>27.231009</v>
      </c>
      <c r="Y61" s="76">
        <v>27.144974000000001</v>
      </c>
      <c r="Z61" s="76">
        <v>27.202577999999999</v>
      </c>
      <c r="AA61" s="76">
        <v>27.69154</v>
      </c>
      <c r="AB61" s="76">
        <v>27.715928999999999</v>
      </c>
      <c r="AC61" s="76">
        <v>27.750174000000001</v>
      </c>
      <c r="AD61" s="76">
        <v>27.821075</v>
      </c>
      <c r="AE61" s="76">
        <v>27.823706000000001</v>
      </c>
      <c r="AF61" s="77">
        <v>-9.8189999999999996E-3</v>
      </c>
      <c r="AG61" s="49"/>
    </row>
    <row r="62" spans="1:33" ht="15" customHeight="1" x14ac:dyDescent="0.25">
      <c r="A62" s="48" t="s">
        <v>198</v>
      </c>
      <c r="B62" s="75" t="s">
        <v>154</v>
      </c>
      <c r="C62" s="76">
        <v>15.551993</v>
      </c>
      <c r="D62" s="76">
        <v>15.007058000000001</v>
      </c>
      <c r="E62" s="76">
        <v>16.830483999999998</v>
      </c>
      <c r="F62" s="76">
        <v>16.090751999999998</v>
      </c>
      <c r="G62" s="76">
        <v>16.222121999999999</v>
      </c>
      <c r="H62" s="76">
        <v>16.403403999999998</v>
      </c>
      <c r="I62" s="76">
        <v>16.530327</v>
      </c>
      <c r="J62" s="76">
        <v>16.608893999999999</v>
      </c>
      <c r="K62" s="76">
        <v>16.708054000000001</v>
      </c>
      <c r="L62" s="76">
        <v>16.785976000000002</v>
      </c>
      <c r="M62" s="76">
        <v>16.884041</v>
      </c>
      <c r="N62" s="76">
        <v>16.976837</v>
      </c>
      <c r="O62" s="76">
        <v>17.068816999999999</v>
      </c>
      <c r="P62" s="76">
        <v>17.183195000000001</v>
      </c>
      <c r="Q62" s="76">
        <v>17.241271999999999</v>
      </c>
      <c r="R62" s="76">
        <v>17.328797999999999</v>
      </c>
      <c r="S62" s="76">
        <v>17.425045000000001</v>
      </c>
      <c r="T62" s="76">
        <v>17.495161</v>
      </c>
      <c r="U62" s="76">
        <v>17.557133</v>
      </c>
      <c r="V62" s="76">
        <v>17.656974999999999</v>
      </c>
      <c r="W62" s="76">
        <v>17.672941000000002</v>
      </c>
      <c r="X62" s="76">
        <v>17.738797999999999</v>
      </c>
      <c r="Y62" s="76">
        <v>17.726212</v>
      </c>
      <c r="Z62" s="76">
        <v>17.761419</v>
      </c>
      <c r="AA62" s="76">
        <v>17.944437000000001</v>
      </c>
      <c r="AB62" s="76">
        <v>17.942336999999998</v>
      </c>
      <c r="AC62" s="76">
        <v>18.046040999999999</v>
      </c>
      <c r="AD62" s="76">
        <v>18.132389</v>
      </c>
      <c r="AE62" s="76">
        <v>18.218988</v>
      </c>
      <c r="AF62" s="77">
        <v>5.6690000000000004E-3</v>
      </c>
      <c r="AG62" s="49"/>
    </row>
    <row r="63" spans="1:33" ht="15" customHeight="1" x14ac:dyDescent="0.25">
      <c r="A63" s="48" t="s">
        <v>199</v>
      </c>
      <c r="B63" s="75" t="s">
        <v>147</v>
      </c>
      <c r="C63" s="76">
        <v>8.8813879999999994</v>
      </c>
      <c r="D63" s="76">
        <v>7.9760629999999999</v>
      </c>
      <c r="E63" s="76">
        <v>6.8525369999999999</v>
      </c>
      <c r="F63" s="76">
        <v>6.2938799999999997</v>
      </c>
      <c r="G63" s="76">
        <v>5.8523630000000004</v>
      </c>
      <c r="H63" s="76">
        <v>5.6242720000000004</v>
      </c>
      <c r="I63" s="76">
        <v>5.5256740000000004</v>
      </c>
      <c r="J63" s="76">
        <v>5.5660980000000002</v>
      </c>
      <c r="K63" s="76">
        <v>5.6419519999999999</v>
      </c>
      <c r="L63" s="76">
        <v>5.7658389999999997</v>
      </c>
      <c r="M63" s="76">
        <v>5.8794620000000002</v>
      </c>
      <c r="N63" s="76">
        <v>6.0391919999999999</v>
      </c>
      <c r="O63" s="76">
        <v>6.1688780000000003</v>
      </c>
      <c r="P63" s="76">
        <v>6.2802569999999998</v>
      </c>
      <c r="Q63" s="76">
        <v>6.3064010000000001</v>
      </c>
      <c r="R63" s="76">
        <v>6.3494010000000003</v>
      </c>
      <c r="S63" s="76">
        <v>6.4567449999999997</v>
      </c>
      <c r="T63" s="76">
        <v>6.4118079999999997</v>
      </c>
      <c r="U63" s="76">
        <v>6.5034130000000001</v>
      </c>
      <c r="V63" s="76">
        <v>6.5701400000000003</v>
      </c>
      <c r="W63" s="76">
        <v>6.5532859999999999</v>
      </c>
      <c r="X63" s="76">
        <v>6.5022229999999999</v>
      </c>
      <c r="Y63" s="76">
        <v>6.4439890000000002</v>
      </c>
      <c r="Z63" s="76">
        <v>6.4482590000000002</v>
      </c>
      <c r="AA63" s="76">
        <v>6.519228</v>
      </c>
      <c r="AB63" s="76">
        <v>6.479012</v>
      </c>
      <c r="AC63" s="76">
        <v>6.4378450000000003</v>
      </c>
      <c r="AD63" s="76">
        <v>6.398898</v>
      </c>
      <c r="AE63" s="76">
        <v>6.3921910000000004</v>
      </c>
      <c r="AF63" s="77">
        <v>-1.1677E-2</v>
      </c>
      <c r="AG63" s="49"/>
    </row>
    <row r="64" spans="1:33" ht="15" customHeight="1" x14ac:dyDescent="0.25">
      <c r="A64" s="48" t="s">
        <v>200</v>
      </c>
      <c r="B64" s="75" t="s">
        <v>164</v>
      </c>
      <c r="C64" s="76">
        <v>5.4304249999999996</v>
      </c>
      <c r="D64" s="76">
        <v>5.4466970000000003</v>
      </c>
      <c r="E64" s="76">
        <v>5.6790830000000003</v>
      </c>
      <c r="F64" s="76">
        <v>5.6766920000000001</v>
      </c>
      <c r="G64" s="76">
        <v>5.7069979999999996</v>
      </c>
      <c r="H64" s="76">
        <v>5.757409</v>
      </c>
      <c r="I64" s="76">
        <v>5.7974399999999999</v>
      </c>
      <c r="J64" s="76">
        <v>5.8433669999999998</v>
      </c>
      <c r="K64" s="76">
        <v>5.947584</v>
      </c>
      <c r="L64" s="76">
        <v>6.0097779999999998</v>
      </c>
      <c r="M64" s="76">
        <v>6.110779</v>
      </c>
      <c r="N64" s="76">
        <v>6.1829609999999997</v>
      </c>
      <c r="O64" s="76">
        <v>6.2506630000000003</v>
      </c>
      <c r="P64" s="76">
        <v>6.3259449999999999</v>
      </c>
      <c r="Q64" s="76">
        <v>6.403143</v>
      </c>
      <c r="R64" s="76">
        <v>6.4953659999999998</v>
      </c>
      <c r="S64" s="76">
        <v>6.5684300000000002</v>
      </c>
      <c r="T64" s="76">
        <v>6.6390440000000002</v>
      </c>
      <c r="U64" s="76">
        <v>6.7099260000000003</v>
      </c>
      <c r="V64" s="76">
        <v>6.7595479999999997</v>
      </c>
      <c r="W64" s="76">
        <v>6.8068</v>
      </c>
      <c r="X64" s="76">
        <v>6.8561490000000003</v>
      </c>
      <c r="Y64" s="76">
        <v>6.9083310000000004</v>
      </c>
      <c r="Z64" s="76">
        <v>6.9656209999999996</v>
      </c>
      <c r="AA64" s="76">
        <v>7.01844</v>
      </c>
      <c r="AB64" s="76">
        <v>7.0695379999999997</v>
      </c>
      <c r="AC64" s="76">
        <v>7.1226570000000002</v>
      </c>
      <c r="AD64" s="76">
        <v>7.1712059999999997</v>
      </c>
      <c r="AE64" s="76">
        <v>7.2262329999999997</v>
      </c>
      <c r="AF64" s="77">
        <v>1.0255999999999999E-2</v>
      </c>
      <c r="AG64" s="49"/>
    </row>
    <row r="65" spans="1:33" ht="15" customHeight="1" x14ac:dyDescent="0.25">
      <c r="A65" s="48" t="s">
        <v>201</v>
      </c>
      <c r="B65" s="75" t="s">
        <v>202</v>
      </c>
      <c r="C65" s="76">
        <v>2.175554</v>
      </c>
      <c r="D65" s="76">
        <v>2.0990869999999999</v>
      </c>
      <c r="E65" s="76">
        <v>2.0955119999999998</v>
      </c>
      <c r="F65" s="76">
        <v>2.0862959999999999</v>
      </c>
      <c r="G65" s="76">
        <v>2.0662630000000002</v>
      </c>
      <c r="H65" s="76">
        <v>2.0563570000000002</v>
      </c>
      <c r="I65" s="76">
        <v>2.0444930000000001</v>
      </c>
      <c r="J65" s="76">
        <v>2.0449220000000001</v>
      </c>
      <c r="K65" s="76">
        <v>2.0535730000000001</v>
      </c>
      <c r="L65" s="76">
        <v>2.046573</v>
      </c>
      <c r="M65" s="76">
        <v>2.0187650000000001</v>
      </c>
      <c r="N65" s="76">
        <v>2.004686</v>
      </c>
      <c r="O65" s="76">
        <v>2.0024310000000001</v>
      </c>
      <c r="P65" s="76">
        <v>1.994464</v>
      </c>
      <c r="Q65" s="76">
        <v>1.987976</v>
      </c>
      <c r="R65" s="76">
        <v>1.987349</v>
      </c>
      <c r="S65" s="76">
        <v>2.0134780000000001</v>
      </c>
      <c r="T65" s="76">
        <v>2.0109469999999998</v>
      </c>
      <c r="U65" s="76">
        <v>2.0145949999999999</v>
      </c>
      <c r="V65" s="76">
        <v>2.0117470000000002</v>
      </c>
      <c r="W65" s="76">
        <v>2.0089969999999999</v>
      </c>
      <c r="X65" s="76">
        <v>2.0086349999999999</v>
      </c>
      <c r="Y65" s="76">
        <v>2.0055360000000002</v>
      </c>
      <c r="Z65" s="76">
        <v>2.0037029999999998</v>
      </c>
      <c r="AA65" s="76">
        <v>2.0078170000000002</v>
      </c>
      <c r="AB65" s="76">
        <v>2.0058449999999999</v>
      </c>
      <c r="AC65" s="76">
        <v>2.003943</v>
      </c>
      <c r="AD65" s="76">
        <v>2.0070610000000002</v>
      </c>
      <c r="AE65" s="76">
        <v>2.0072410000000001</v>
      </c>
      <c r="AF65" s="77">
        <v>-2.872E-3</v>
      </c>
      <c r="AG65" s="49"/>
    </row>
    <row r="66" spans="1:33" x14ac:dyDescent="0.25">
      <c r="A66" s="48" t="s">
        <v>203</v>
      </c>
      <c r="B66" s="75" t="s">
        <v>168</v>
      </c>
      <c r="C66" s="76" t="s">
        <v>305</v>
      </c>
      <c r="D66" s="76" t="s">
        <v>305</v>
      </c>
      <c r="E66" s="76" t="s">
        <v>305</v>
      </c>
      <c r="F66" s="76" t="s">
        <v>305</v>
      </c>
      <c r="G66" s="76" t="s">
        <v>305</v>
      </c>
      <c r="H66" s="76" t="s">
        <v>305</v>
      </c>
      <c r="I66" s="76" t="s">
        <v>305</v>
      </c>
      <c r="J66" s="76" t="s">
        <v>305</v>
      </c>
      <c r="K66" s="76" t="s">
        <v>305</v>
      </c>
      <c r="L66" s="76" t="s">
        <v>305</v>
      </c>
      <c r="M66" s="76" t="s">
        <v>305</v>
      </c>
      <c r="N66" s="76" t="s">
        <v>305</v>
      </c>
      <c r="O66" s="76" t="s">
        <v>305</v>
      </c>
      <c r="P66" s="76" t="s">
        <v>305</v>
      </c>
      <c r="Q66" s="76" t="s">
        <v>305</v>
      </c>
      <c r="R66" s="76" t="s">
        <v>305</v>
      </c>
      <c r="S66" s="76" t="s">
        <v>305</v>
      </c>
      <c r="T66" s="76" t="s">
        <v>305</v>
      </c>
      <c r="U66" s="76" t="s">
        <v>305</v>
      </c>
      <c r="V66" s="76" t="s">
        <v>305</v>
      </c>
      <c r="W66" s="76" t="s">
        <v>305</v>
      </c>
      <c r="X66" s="76" t="s">
        <v>305</v>
      </c>
      <c r="Y66" s="76" t="s">
        <v>305</v>
      </c>
      <c r="Z66" s="76" t="s">
        <v>305</v>
      </c>
      <c r="AA66" s="76" t="s">
        <v>305</v>
      </c>
      <c r="AB66" s="76" t="s">
        <v>305</v>
      </c>
      <c r="AC66" s="76" t="s">
        <v>305</v>
      </c>
      <c r="AD66" s="76" t="s">
        <v>305</v>
      </c>
      <c r="AE66" s="76" t="s">
        <v>305</v>
      </c>
      <c r="AF66" s="77" t="s">
        <v>305</v>
      </c>
      <c r="AG66" s="49" t="s">
        <v>305</v>
      </c>
    </row>
    <row r="67" spans="1:33" ht="15" customHeight="1" x14ac:dyDescent="0.25">
      <c r="A67" s="48" t="s">
        <v>204</v>
      </c>
      <c r="B67" s="75" t="s">
        <v>149</v>
      </c>
      <c r="C67" s="76">
        <v>35.829422000000001</v>
      </c>
      <c r="D67" s="76">
        <v>34.915806000000003</v>
      </c>
      <c r="E67" s="76">
        <v>33.621994000000001</v>
      </c>
      <c r="F67" s="76">
        <v>32.327888000000002</v>
      </c>
      <c r="G67" s="76">
        <v>31.561640000000001</v>
      </c>
      <c r="H67" s="76">
        <v>31.015574000000001</v>
      </c>
      <c r="I67" s="76">
        <v>30.627668</v>
      </c>
      <c r="J67" s="76">
        <v>30.479344999999999</v>
      </c>
      <c r="K67" s="76">
        <v>30.520932999999999</v>
      </c>
      <c r="L67" s="76">
        <v>30.618459999999999</v>
      </c>
      <c r="M67" s="76">
        <v>30.700859000000001</v>
      </c>
      <c r="N67" s="76">
        <v>31.153542999999999</v>
      </c>
      <c r="O67" s="76">
        <v>31.446527</v>
      </c>
      <c r="P67" s="76">
        <v>31.449998999999998</v>
      </c>
      <c r="Q67" s="76">
        <v>31.634070999999999</v>
      </c>
      <c r="R67" s="76">
        <v>31.862348999999998</v>
      </c>
      <c r="S67" s="76">
        <v>32.203876000000001</v>
      </c>
      <c r="T67" s="76">
        <v>32.469318000000001</v>
      </c>
      <c r="U67" s="76">
        <v>32.694557000000003</v>
      </c>
      <c r="V67" s="76">
        <v>32.876797000000003</v>
      </c>
      <c r="W67" s="76">
        <v>32.951667999999998</v>
      </c>
      <c r="X67" s="76">
        <v>32.996758</v>
      </c>
      <c r="Y67" s="76">
        <v>33.034153000000003</v>
      </c>
      <c r="Z67" s="76">
        <v>33.064751000000001</v>
      </c>
      <c r="AA67" s="76">
        <v>32.964348000000001</v>
      </c>
      <c r="AB67" s="76">
        <v>32.814720000000001</v>
      </c>
      <c r="AC67" s="76">
        <v>32.763190999999999</v>
      </c>
      <c r="AD67" s="76">
        <v>32.582087999999999</v>
      </c>
      <c r="AE67" s="76">
        <v>32.309727000000002</v>
      </c>
      <c r="AF67" s="77">
        <v>-3.686E-3</v>
      </c>
      <c r="AG67" s="49"/>
    </row>
    <row r="68" spans="1:33" ht="15" customHeight="1" x14ac:dyDescent="0.25">
      <c r="A68" s="45"/>
      <c r="B68" s="49"/>
      <c r="C68" s="49"/>
      <c r="D68" s="49"/>
      <c r="E68" s="49"/>
      <c r="F68" s="49"/>
      <c r="G68" s="49"/>
      <c r="H68" s="49"/>
      <c r="I68" s="49"/>
      <c r="J68" s="49"/>
      <c r="K68" s="49"/>
      <c r="L68" s="49"/>
      <c r="M68" s="49"/>
      <c r="N68" s="49"/>
      <c r="O68" s="49"/>
      <c r="P68" s="49"/>
      <c r="Q68" s="49"/>
      <c r="R68" s="49"/>
      <c r="S68" s="49"/>
      <c r="T68" s="49"/>
      <c r="U68" s="49"/>
      <c r="V68" s="49"/>
      <c r="W68" s="49"/>
      <c r="X68" s="49"/>
      <c r="Y68" s="49"/>
      <c r="Z68" s="49"/>
      <c r="AA68" s="49"/>
      <c r="AB68" s="49"/>
      <c r="AC68" s="49"/>
      <c r="AD68" s="49"/>
      <c r="AE68" s="49"/>
      <c r="AF68" s="49"/>
      <c r="AG68" s="49"/>
    </row>
    <row r="69" spans="1:33" ht="15" customHeight="1" x14ac:dyDescent="0.25">
      <c r="A69" s="45"/>
      <c r="B69" s="74" t="s">
        <v>205</v>
      </c>
      <c r="C69" s="49"/>
      <c r="D69" s="49"/>
      <c r="E69" s="49"/>
      <c r="F69" s="49"/>
      <c r="G69" s="49"/>
      <c r="H69" s="49"/>
      <c r="I69" s="49"/>
      <c r="J69" s="49"/>
      <c r="K69" s="49"/>
      <c r="L69" s="49"/>
      <c r="M69" s="49"/>
      <c r="N69" s="49"/>
      <c r="O69" s="49"/>
      <c r="P69" s="49"/>
      <c r="Q69" s="49"/>
      <c r="R69" s="49"/>
      <c r="S69" s="49"/>
      <c r="T69" s="49"/>
      <c r="U69" s="49"/>
      <c r="V69" s="49"/>
      <c r="W69" s="49"/>
      <c r="X69" s="49"/>
      <c r="Y69" s="49"/>
      <c r="Z69" s="49"/>
      <c r="AA69" s="49"/>
      <c r="AB69" s="49"/>
      <c r="AC69" s="49"/>
      <c r="AD69" s="49"/>
      <c r="AE69" s="49"/>
      <c r="AF69" s="49"/>
      <c r="AG69" s="49"/>
    </row>
    <row r="70" spans="1:33" ht="15" customHeight="1" x14ac:dyDescent="0.25">
      <c r="A70" s="45"/>
      <c r="B70" s="74" t="s">
        <v>408</v>
      </c>
      <c r="C70" s="49"/>
      <c r="D70" s="49"/>
      <c r="E70" s="49"/>
      <c r="F70" s="49"/>
      <c r="G70" s="49"/>
      <c r="H70" s="49"/>
      <c r="I70" s="49"/>
      <c r="J70" s="49"/>
      <c r="K70" s="49"/>
      <c r="L70" s="49"/>
      <c r="M70" s="49"/>
      <c r="N70" s="49"/>
      <c r="O70" s="49"/>
      <c r="P70" s="49"/>
      <c r="Q70" s="49"/>
      <c r="R70" s="49"/>
      <c r="S70" s="49"/>
      <c r="T70" s="49"/>
      <c r="U70" s="49"/>
      <c r="V70" s="49"/>
      <c r="W70" s="49"/>
      <c r="X70" s="49"/>
      <c r="Y70" s="49"/>
      <c r="Z70" s="49"/>
      <c r="AA70" s="49"/>
      <c r="AB70" s="49"/>
      <c r="AC70" s="49"/>
      <c r="AD70" s="49"/>
      <c r="AE70" s="49"/>
      <c r="AF70" s="49"/>
      <c r="AG70" s="49"/>
    </row>
    <row r="71" spans="1:33" ht="15" customHeight="1" x14ac:dyDescent="0.25">
      <c r="A71" s="48" t="s">
        <v>206</v>
      </c>
      <c r="B71" s="75" t="s">
        <v>141</v>
      </c>
      <c r="C71" s="79">
        <v>322.794464</v>
      </c>
      <c r="D71" s="79">
        <v>311.10562099999999</v>
      </c>
      <c r="E71" s="79">
        <v>296.58255000000003</v>
      </c>
      <c r="F71" s="79">
        <v>287.51538099999999</v>
      </c>
      <c r="G71" s="79">
        <v>281.89727800000003</v>
      </c>
      <c r="H71" s="79">
        <v>278.23700000000002</v>
      </c>
      <c r="I71" s="79">
        <v>276.01394699999997</v>
      </c>
      <c r="J71" s="79">
        <v>276.53045700000001</v>
      </c>
      <c r="K71" s="79">
        <v>277.74963400000001</v>
      </c>
      <c r="L71" s="79">
        <v>279.739014</v>
      </c>
      <c r="M71" s="79">
        <v>281.66982999999999</v>
      </c>
      <c r="N71" s="79">
        <v>286.213348</v>
      </c>
      <c r="O71" s="79">
        <v>289.80993699999999</v>
      </c>
      <c r="P71" s="79">
        <v>291.724762</v>
      </c>
      <c r="Q71" s="79">
        <v>294.61843900000002</v>
      </c>
      <c r="R71" s="79">
        <v>298.18087800000001</v>
      </c>
      <c r="S71" s="79">
        <v>302.58004799999998</v>
      </c>
      <c r="T71" s="79">
        <v>305.62887599999999</v>
      </c>
      <c r="U71" s="79">
        <v>309.17578099999997</v>
      </c>
      <c r="V71" s="79">
        <v>312.54153400000001</v>
      </c>
      <c r="W71" s="79">
        <v>315.09899899999999</v>
      </c>
      <c r="X71" s="79">
        <v>317.38449100000003</v>
      </c>
      <c r="Y71" s="79">
        <v>319.519745</v>
      </c>
      <c r="Z71" s="79">
        <v>322.40081800000002</v>
      </c>
      <c r="AA71" s="79">
        <v>325.77969400000001</v>
      </c>
      <c r="AB71" s="79">
        <v>327.33889799999997</v>
      </c>
      <c r="AC71" s="79">
        <v>329.25366200000002</v>
      </c>
      <c r="AD71" s="79">
        <v>330.65850799999998</v>
      </c>
      <c r="AE71" s="79">
        <v>331.64892600000002</v>
      </c>
      <c r="AF71" s="77">
        <v>9.6699999999999998E-4</v>
      </c>
      <c r="AG71" s="49"/>
    </row>
    <row r="72" spans="1:33" ht="15" customHeight="1" x14ac:dyDescent="0.25">
      <c r="A72" s="48" t="s">
        <v>207</v>
      </c>
      <c r="B72" s="75" t="s">
        <v>150</v>
      </c>
      <c r="C72" s="79">
        <v>237.58575400000001</v>
      </c>
      <c r="D72" s="79">
        <v>225.87794500000001</v>
      </c>
      <c r="E72" s="79">
        <v>213.011932</v>
      </c>
      <c r="F72" s="79">
        <v>203.11526499999999</v>
      </c>
      <c r="G72" s="79">
        <v>197.851303</v>
      </c>
      <c r="H72" s="79">
        <v>193.91622899999999</v>
      </c>
      <c r="I72" s="79">
        <v>191.972565</v>
      </c>
      <c r="J72" s="79">
        <v>191.99533099999999</v>
      </c>
      <c r="K72" s="79">
        <v>192.808594</v>
      </c>
      <c r="L72" s="79">
        <v>194.00732400000001</v>
      </c>
      <c r="M72" s="79">
        <v>195.20188899999999</v>
      </c>
      <c r="N72" s="79">
        <v>198.03672800000001</v>
      </c>
      <c r="O72" s="79">
        <v>200.05308500000001</v>
      </c>
      <c r="P72" s="79">
        <v>200.73554999999999</v>
      </c>
      <c r="Q72" s="79">
        <v>201.89059399999999</v>
      </c>
      <c r="R72" s="79">
        <v>203.22679099999999</v>
      </c>
      <c r="S72" s="79">
        <v>205.254211</v>
      </c>
      <c r="T72" s="79">
        <v>206.31689499999999</v>
      </c>
      <c r="U72" s="79">
        <v>207.71612500000001</v>
      </c>
      <c r="V72" s="79">
        <v>209.116455</v>
      </c>
      <c r="W72" s="79">
        <v>209.91201799999999</v>
      </c>
      <c r="X72" s="79">
        <v>210.615692</v>
      </c>
      <c r="Y72" s="79">
        <v>211.145477</v>
      </c>
      <c r="Z72" s="79">
        <v>212.010605</v>
      </c>
      <c r="AA72" s="79">
        <v>213.26052899999999</v>
      </c>
      <c r="AB72" s="79">
        <v>212.95162999999999</v>
      </c>
      <c r="AC72" s="79">
        <v>213.52230800000001</v>
      </c>
      <c r="AD72" s="79">
        <v>213.60995500000001</v>
      </c>
      <c r="AE72" s="79">
        <v>213.533905</v>
      </c>
      <c r="AF72" s="77">
        <v>-3.8049999999999998E-3</v>
      </c>
      <c r="AG72" s="49"/>
    </row>
    <row r="73" spans="1:33" x14ac:dyDescent="0.25">
      <c r="A73" s="48" t="s">
        <v>208</v>
      </c>
      <c r="B73" s="75" t="s">
        <v>157</v>
      </c>
      <c r="C73" s="79">
        <v>310.10330199999999</v>
      </c>
      <c r="D73" s="79">
        <v>282.26937900000001</v>
      </c>
      <c r="E73" s="79">
        <v>252.551987</v>
      </c>
      <c r="F73" s="79">
        <v>234.86604299999999</v>
      </c>
      <c r="G73" s="79">
        <v>226.70996099999999</v>
      </c>
      <c r="H73" s="79">
        <v>221.57540900000001</v>
      </c>
      <c r="I73" s="79">
        <v>219.738846</v>
      </c>
      <c r="J73" s="79">
        <v>221.33729600000001</v>
      </c>
      <c r="K73" s="79">
        <v>224.22203099999999</v>
      </c>
      <c r="L73" s="79">
        <v>228.29579200000001</v>
      </c>
      <c r="M73" s="79">
        <v>233.62683100000001</v>
      </c>
      <c r="N73" s="79">
        <v>240.33781400000001</v>
      </c>
      <c r="O73" s="79">
        <v>245.94323700000001</v>
      </c>
      <c r="P73" s="79">
        <v>250.18936199999999</v>
      </c>
      <c r="Q73" s="79">
        <v>253.301422</v>
      </c>
      <c r="R73" s="79">
        <v>257.26852400000001</v>
      </c>
      <c r="S73" s="79">
        <v>262.927032</v>
      </c>
      <c r="T73" s="79">
        <v>265.25408900000002</v>
      </c>
      <c r="U73" s="79">
        <v>271.08898900000003</v>
      </c>
      <c r="V73" s="79">
        <v>276.17294299999998</v>
      </c>
      <c r="W73" s="79">
        <v>279.27426100000002</v>
      </c>
      <c r="X73" s="79">
        <v>280.348389</v>
      </c>
      <c r="Y73" s="79">
        <v>281.26077299999997</v>
      </c>
      <c r="Z73" s="79">
        <v>283.24661300000002</v>
      </c>
      <c r="AA73" s="79">
        <v>285.42950400000001</v>
      </c>
      <c r="AB73" s="79">
        <v>287.51950099999999</v>
      </c>
      <c r="AC73" s="79">
        <v>289.11874399999999</v>
      </c>
      <c r="AD73" s="79">
        <v>290.22354100000001</v>
      </c>
      <c r="AE73" s="79">
        <v>292.79836999999998</v>
      </c>
      <c r="AF73" s="77">
        <v>-2.049E-3</v>
      </c>
      <c r="AG73" s="49"/>
    </row>
    <row r="74" spans="1:33" ht="15" customHeight="1" x14ac:dyDescent="0.25">
      <c r="A74" s="48" t="s">
        <v>209</v>
      </c>
      <c r="B74" s="75" t="s">
        <v>170</v>
      </c>
      <c r="C74" s="79">
        <v>881.96179199999995</v>
      </c>
      <c r="D74" s="79">
        <v>779.21691899999996</v>
      </c>
      <c r="E74" s="79">
        <v>718.76898200000005</v>
      </c>
      <c r="F74" s="79">
        <v>663.46997099999999</v>
      </c>
      <c r="G74" s="79">
        <v>647.39758300000005</v>
      </c>
      <c r="H74" s="79">
        <v>634.12219200000004</v>
      </c>
      <c r="I74" s="79">
        <v>624.34558100000004</v>
      </c>
      <c r="J74" s="79">
        <v>620.49530000000004</v>
      </c>
      <c r="K74" s="79">
        <v>615.71276899999998</v>
      </c>
      <c r="L74" s="79">
        <v>611.47125200000005</v>
      </c>
      <c r="M74" s="79">
        <v>610.01403800000003</v>
      </c>
      <c r="N74" s="79">
        <v>608.57330300000001</v>
      </c>
      <c r="O74" s="79">
        <v>607.87622099999999</v>
      </c>
      <c r="P74" s="79">
        <v>607.89910899999995</v>
      </c>
      <c r="Q74" s="79">
        <v>609.51086399999997</v>
      </c>
      <c r="R74" s="79">
        <v>609.85699499999998</v>
      </c>
      <c r="S74" s="79">
        <v>611.14373799999998</v>
      </c>
      <c r="T74" s="79">
        <v>612.75714100000005</v>
      </c>
      <c r="U74" s="79">
        <v>614.47161900000003</v>
      </c>
      <c r="V74" s="79">
        <v>617.21283000000005</v>
      </c>
      <c r="W74" s="79">
        <v>619.520081</v>
      </c>
      <c r="X74" s="79">
        <v>620.98687700000005</v>
      </c>
      <c r="Y74" s="79">
        <v>624.36004600000001</v>
      </c>
      <c r="Z74" s="79">
        <v>627.828125</v>
      </c>
      <c r="AA74" s="79">
        <v>645.26946999999996</v>
      </c>
      <c r="AB74" s="79">
        <v>649.33062700000005</v>
      </c>
      <c r="AC74" s="79">
        <v>656.659851</v>
      </c>
      <c r="AD74" s="79">
        <v>662.27075200000002</v>
      </c>
      <c r="AE74" s="79">
        <v>670.69799799999998</v>
      </c>
      <c r="AF74" s="77">
        <v>-9.7319999999999993E-3</v>
      </c>
      <c r="AG74" s="49"/>
    </row>
    <row r="75" spans="1:33" ht="15" customHeight="1" x14ac:dyDescent="0.25">
      <c r="A75" s="48" t="s">
        <v>210</v>
      </c>
      <c r="B75" s="75" t="s">
        <v>211</v>
      </c>
      <c r="C75" s="79">
        <v>1752.4453120000001</v>
      </c>
      <c r="D75" s="79">
        <v>1598.4698490000001</v>
      </c>
      <c r="E75" s="79">
        <v>1480.9155270000001</v>
      </c>
      <c r="F75" s="79">
        <v>1388.9666749999999</v>
      </c>
      <c r="G75" s="79">
        <v>1353.8562010000001</v>
      </c>
      <c r="H75" s="79">
        <v>1327.8508300000001</v>
      </c>
      <c r="I75" s="79">
        <v>1312.070923</v>
      </c>
      <c r="J75" s="79">
        <v>1310.3583980000001</v>
      </c>
      <c r="K75" s="79">
        <v>1310.4930420000001</v>
      </c>
      <c r="L75" s="79">
        <v>1313.513428</v>
      </c>
      <c r="M75" s="79">
        <v>1320.512573</v>
      </c>
      <c r="N75" s="79">
        <v>1333.1611330000001</v>
      </c>
      <c r="O75" s="79">
        <v>1343.682495</v>
      </c>
      <c r="P75" s="79">
        <v>1350.548828</v>
      </c>
      <c r="Q75" s="79">
        <v>1359.321289</v>
      </c>
      <c r="R75" s="79">
        <v>1368.533203</v>
      </c>
      <c r="S75" s="79">
        <v>1381.905029</v>
      </c>
      <c r="T75" s="79">
        <v>1389.9570309999999</v>
      </c>
      <c r="U75" s="79">
        <v>1402.4525149999999</v>
      </c>
      <c r="V75" s="79">
        <v>1415.0437010000001</v>
      </c>
      <c r="W75" s="79">
        <v>1423.8054199999999</v>
      </c>
      <c r="X75" s="79">
        <v>1429.3354489999999</v>
      </c>
      <c r="Y75" s="79">
        <v>1436.2861330000001</v>
      </c>
      <c r="Z75" s="79">
        <v>1445.486206</v>
      </c>
      <c r="AA75" s="79">
        <v>1469.7392580000001</v>
      </c>
      <c r="AB75" s="79">
        <v>1477.140625</v>
      </c>
      <c r="AC75" s="79">
        <v>1488.5546879999999</v>
      </c>
      <c r="AD75" s="79">
        <v>1496.7626949999999</v>
      </c>
      <c r="AE75" s="79">
        <v>1508.6791989999999</v>
      </c>
      <c r="AF75" s="77">
        <v>-5.3350000000000003E-3</v>
      </c>
      <c r="AG75" s="49"/>
    </row>
    <row r="76" spans="1:33" ht="15" customHeight="1" x14ac:dyDescent="0.25">
      <c r="A76" s="48" t="s">
        <v>212</v>
      </c>
      <c r="B76" s="75" t="s">
        <v>213</v>
      </c>
      <c r="C76" s="79">
        <v>1.2899940000000001</v>
      </c>
      <c r="D76" s="79">
        <v>1.153556</v>
      </c>
      <c r="E76" s="79">
        <v>1.040157</v>
      </c>
      <c r="F76" s="79">
        <v>0.96700699999999995</v>
      </c>
      <c r="G76" s="79">
        <v>0.93400700000000003</v>
      </c>
      <c r="H76" s="79">
        <v>0.90322400000000003</v>
      </c>
      <c r="I76" s="79">
        <v>0.873027</v>
      </c>
      <c r="J76" s="79">
        <v>0.84012299999999995</v>
      </c>
      <c r="K76" s="79">
        <v>0.80676700000000001</v>
      </c>
      <c r="L76" s="79">
        <v>0.76968800000000004</v>
      </c>
      <c r="M76" s="79">
        <v>0.73878299999999997</v>
      </c>
      <c r="N76" s="79">
        <v>0.70918999999999999</v>
      </c>
      <c r="O76" s="79">
        <v>0.68329700000000004</v>
      </c>
      <c r="P76" s="79">
        <v>0.65939099999999995</v>
      </c>
      <c r="Q76" s="79">
        <v>0.64221600000000001</v>
      </c>
      <c r="R76" s="79">
        <v>0.62533300000000003</v>
      </c>
      <c r="S76" s="79">
        <v>0.61408099999999999</v>
      </c>
      <c r="T76" s="79">
        <v>0.60781600000000002</v>
      </c>
      <c r="U76" s="79">
        <v>0.60402999999999996</v>
      </c>
      <c r="V76" s="79">
        <v>0.60172700000000001</v>
      </c>
      <c r="W76" s="79">
        <v>0.60324699999999998</v>
      </c>
      <c r="X76" s="79">
        <v>0.60368699999999997</v>
      </c>
      <c r="Y76" s="79">
        <v>0.61092500000000005</v>
      </c>
      <c r="Z76" s="79">
        <v>0.61596499999999998</v>
      </c>
      <c r="AA76" s="79">
        <v>0.636548</v>
      </c>
      <c r="AB76" s="79">
        <v>0.64446199999999998</v>
      </c>
      <c r="AC76" s="79">
        <v>0.65710000000000002</v>
      </c>
      <c r="AD76" s="79">
        <v>0.66825599999999996</v>
      </c>
      <c r="AE76" s="79">
        <v>0.68325899999999995</v>
      </c>
      <c r="AF76" s="77">
        <v>-2.2440999999999999E-2</v>
      </c>
      <c r="AG76" s="49"/>
    </row>
    <row r="77" spans="1:33" ht="15" customHeight="1" x14ac:dyDescent="0.25">
      <c r="A77" s="48" t="s">
        <v>214</v>
      </c>
      <c r="B77" s="74" t="s">
        <v>215</v>
      </c>
      <c r="C77" s="80">
        <v>1753.7353519999999</v>
      </c>
      <c r="D77" s="80">
        <v>1599.623413</v>
      </c>
      <c r="E77" s="80">
        <v>1481.955688</v>
      </c>
      <c r="F77" s="80">
        <v>1389.933716</v>
      </c>
      <c r="G77" s="80">
        <v>1354.7901609999999</v>
      </c>
      <c r="H77" s="80">
        <v>1328.7540280000001</v>
      </c>
      <c r="I77" s="80">
        <v>1312.94397</v>
      </c>
      <c r="J77" s="80">
        <v>1311.198486</v>
      </c>
      <c r="K77" s="80">
        <v>1311.2998050000001</v>
      </c>
      <c r="L77" s="80">
        <v>1314.283081</v>
      </c>
      <c r="M77" s="80">
        <v>1321.2513429999999</v>
      </c>
      <c r="N77" s="80">
        <v>1333.870361</v>
      </c>
      <c r="O77" s="80">
        <v>1344.365845</v>
      </c>
      <c r="P77" s="80">
        <v>1351.2082519999999</v>
      </c>
      <c r="Q77" s="80">
        <v>1359.963501</v>
      </c>
      <c r="R77" s="80">
        <v>1369.1585689999999</v>
      </c>
      <c r="S77" s="80">
        <v>1382.5191649999999</v>
      </c>
      <c r="T77" s="80">
        <v>1390.5648189999999</v>
      </c>
      <c r="U77" s="80">
        <v>1403.056519</v>
      </c>
      <c r="V77" s="80">
        <v>1415.6453859999999</v>
      </c>
      <c r="W77" s="80">
        <v>1424.4086910000001</v>
      </c>
      <c r="X77" s="80">
        <v>1429.939087</v>
      </c>
      <c r="Y77" s="80">
        <v>1436.897095</v>
      </c>
      <c r="Z77" s="80">
        <v>1446.102173</v>
      </c>
      <c r="AA77" s="80">
        <v>1470.3758539999999</v>
      </c>
      <c r="AB77" s="80">
        <v>1477.785034</v>
      </c>
      <c r="AC77" s="80">
        <v>1489.2117920000001</v>
      </c>
      <c r="AD77" s="80">
        <v>1497.430908</v>
      </c>
      <c r="AE77" s="80">
        <v>1509.362427</v>
      </c>
      <c r="AF77" s="78">
        <v>-5.3449999999999999E-3</v>
      </c>
      <c r="AG77" s="49"/>
    </row>
    <row r="78" spans="1:33" ht="15" customHeight="1" x14ac:dyDescent="0.25">
      <c r="A78" s="45"/>
      <c r="B78" s="49"/>
      <c r="C78" s="49"/>
      <c r="D78" s="49"/>
      <c r="E78" s="49"/>
      <c r="F78" s="49"/>
      <c r="G78" s="49"/>
      <c r="H78" s="49"/>
      <c r="I78" s="49"/>
      <c r="J78" s="49"/>
      <c r="K78" s="49"/>
      <c r="L78" s="49"/>
      <c r="M78" s="49"/>
      <c r="N78" s="49"/>
      <c r="O78" s="49"/>
      <c r="P78" s="49"/>
      <c r="Q78" s="49"/>
      <c r="R78" s="49"/>
      <c r="S78" s="49"/>
      <c r="T78" s="49"/>
      <c r="U78" s="49"/>
      <c r="V78" s="49"/>
      <c r="W78" s="49"/>
      <c r="X78" s="49"/>
      <c r="Y78" s="49"/>
      <c r="Z78" s="49"/>
      <c r="AA78" s="49"/>
      <c r="AB78" s="49"/>
      <c r="AC78" s="49"/>
      <c r="AD78" s="49"/>
      <c r="AE78" s="49"/>
      <c r="AF78" s="49"/>
      <c r="AG78" s="49"/>
    </row>
    <row r="79" spans="1:33" x14ac:dyDescent="0.25">
      <c r="A79" s="45"/>
      <c r="B79" s="49"/>
      <c r="C79" s="49"/>
      <c r="D79" s="49"/>
      <c r="E79" s="49"/>
      <c r="F79" s="49"/>
      <c r="G79" s="49"/>
      <c r="H79" s="49"/>
      <c r="I79" s="49"/>
      <c r="J79" s="49"/>
      <c r="K79" s="49"/>
      <c r="L79" s="49"/>
      <c r="M79" s="49"/>
      <c r="N79" s="49"/>
      <c r="O79" s="49"/>
      <c r="P79" s="49"/>
      <c r="Q79" s="49"/>
      <c r="R79" s="49"/>
      <c r="S79" s="49"/>
      <c r="T79" s="49"/>
      <c r="U79" s="49"/>
      <c r="V79" s="49"/>
      <c r="W79" s="49"/>
      <c r="X79" s="49"/>
      <c r="Y79" s="49"/>
      <c r="Z79" s="49"/>
      <c r="AA79" s="49"/>
      <c r="AB79" s="49"/>
      <c r="AC79" s="49"/>
      <c r="AD79" s="49"/>
      <c r="AE79" s="49"/>
      <c r="AF79" s="49"/>
      <c r="AG79" s="49"/>
    </row>
    <row r="80" spans="1:33" ht="15" customHeight="1" x14ac:dyDescent="0.25">
      <c r="A80" s="45"/>
      <c r="B80" s="74" t="s">
        <v>216</v>
      </c>
      <c r="C80" s="49"/>
      <c r="D80" s="49"/>
      <c r="E80" s="49"/>
      <c r="F80" s="49"/>
      <c r="G80" s="49"/>
      <c r="H80" s="49"/>
      <c r="I80" s="49"/>
      <c r="J80" s="49"/>
      <c r="K80" s="49"/>
      <c r="L80" s="49"/>
      <c r="M80" s="49"/>
      <c r="N80" s="49"/>
      <c r="O80" s="49"/>
      <c r="P80" s="49"/>
      <c r="Q80" s="49"/>
      <c r="R80" s="49"/>
      <c r="S80" s="49"/>
      <c r="T80" s="49"/>
      <c r="U80" s="49"/>
      <c r="V80" s="49"/>
      <c r="W80" s="49"/>
      <c r="X80" s="49"/>
      <c r="Y80" s="49"/>
      <c r="Z80" s="49"/>
      <c r="AA80" s="49"/>
      <c r="AB80" s="49"/>
      <c r="AC80" s="49"/>
      <c r="AD80" s="49"/>
      <c r="AE80" s="49"/>
      <c r="AF80" s="49"/>
      <c r="AG80" s="49"/>
    </row>
    <row r="81" spans="1:33" x14ac:dyDescent="0.25">
      <c r="A81" s="45"/>
      <c r="B81" s="74" t="s">
        <v>141</v>
      </c>
      <c r="C81" s="49"/>
      <c r="D81" s="49"/>
      <c r="E81" s="49"/>
      <c r="F81" s="49"/>
      <c r="G81" s="49"/>
      <c r="H81" s="49"/>
      <c r="I81" s="49"/>
      <c r="J81" s="49"/>
      <c r="K81" s="49"/>
      <c r="L81" s="49"/>
      <c r="M81" s="49"/>
      <c r="N81" s="49"/>
      <c r="O81" s="49"/>
      <c r="P81" s="49"/>
      <c r="Q81" s="49"/>
      <c r="R81" s="49"/>
      <c r="S81" s="49"/>
      <c r="T81" s="49"/>
      <c r="U81" s="49"/>
      <c r="V81" s="49"/>
      <c r="W81" s="49"/>
      <c r="X81" s="49"/>
      <c r="Y81" s="49"/>
      <c r="Z81" s="49"/>
      <c r="AA81" s="49"/>
      <c r="AB81" s="49"/>
      <c r="AC81" s="49"/>
      <c r="AD81" s="49"/>
      <c r="AE81" s="49"/>
      <c r="AF81" s="49"/>
      <c r="AG81" s="49"/>
    </row>
    <row r="82" spans="1:33" ht="15" customHeight="1" x14ac:dyDescent="0.25">
      <c r="A82" s="48" t="s">
        <v>217</v>
      </c>
      <c r="B82" s="75" t="s">
        <v>143</v>
      </c>
      <c r="C82" s="76">
        <v>29.133368000000001</v>
      </c>
      <c r="D82" s="76">
        <v>32.600932999999998</v>
      </c>
      <c r="E82" s="76">
        <v>33.591048999999998</v>
      </c>
      <c r="F82" s="76">
        <v>33.150249000000002</v>
      </c>
      <c r="G82" s="76">
        <v>32.635117000000001</v>
      </c>
      <c r="H82" s="76">
        <v>32.334290000000003</v>
      </c>
      <c r="I82" s="76">
        <v>32.446052999999999</v>
      </c>
      <c r="J82" s="76">
        <v>32.931576</v>
      </c>
      <c r="K82" s="76">
        <v>33.77552</v>
      </c>
      <c r="L82" s="76">
        <v>34.906070999999997</v>
      </c>
      <c r="M82" s="76">
        <v>36.293835000000001</v>
      </c>
      <c r="N82" s="76">
        <v>37.918900000000001</v>
      </c>
      <c r="O82" s="76">
        <v>39.611206000000003</v>
      </c>
      <c r="P82" s="76">
        <v>41.182040999999998</v>
      </c>
      <c r="Q82" s="76">
        <v>42.624862999999998</v>
      </c>
      <c r="R82" s="76">
        <v>44.030830000000002</v>
      </c>
      <c r="S82" s="76">
        <v>45.598953000000002</v>
      </c>
      <c r="T82" s="76">
        <v>46.898192999999999</v>
      </c>
      <c r="U82" s="76">
        <v>48.437809000000001</v>
      </c>
      <c r="V82" s="76">
        <v>50.019119000000003</v>
      </c>
      <c r="W82" s="76">
        <v>51.510776999999997</v>
      </c>
      <c r="X82" s="76">
        <v>52.883899999999997</v>
      </c>
      <c r="Y82" s="76">
        <v>54.158352000000001</v>
      </c>
      <c r="Z82" s="76">
        <v>55.546275999999999</v>
      </c>
      <c r="AA82" s="76">
        <v>57.234603999999997</v>
      </c>
      <c r="AB82" s="76">
        <v>58.666496000000002</v>
      </c>
      <c r="AC82" s="76">
        <v>60.229030999999999</v>
      </c>
      <c r="AD82" s="76">
        <v>61.731524999999998</v>
      </c>
      <c r="AE82" s="76">
        <v>63.200648999999999</v>
      </c>
      <c r="AF82" s="77">
        <v>2.8043999999999999E-2</v>
      </c>
      <c r="AG82" s="49"/>
    </row>
    <row r="83" spans="1:33" ht="15" customHeight="1" x14ac:dyDescent="0.25">
      <c r="A83" s="48" t="s">
        <v>218</v>
      </c>
      <c r="B83" s="75" t="s">
        <v>145</v>
      </c>
      <c r="C83" s="76">
        <v>35.242496000000003</v>
      </c>
      <c r="D83" s="76">
        <v>34.182651999999997</v>
      </c>
      <c r="E83" s="76">
        <v>33.724178000000002</v>
      </c>
      <c r="F83" s="76">
        <v>32.667090999999999</v>
      </c>
      <c r="G83" s="76">
        <v>32.846657</v>
      </c>
      <c r="H83" s="76">
        <v>33.046928000000001</v>
      </c>
      <c r="I83" s="76">
        <v>33.432006999999999</v>
      </c>
      <c r="J83" s="76">
        <v>34.269374999999997</v>
      </c>
      <c r="K83" s="76">
        <v>35.044159000000001</v>
      </c>
      <c r="L83" s="76">
        <v>36.064919000000003</v>
      </c>
      <c r="M83" s="76">
        <v>37.002056000000003</v>
      </c>
      <c r="N83" s="76">
        <v>38.029193999999997</v>
      </c>
      <c r="O83" s="76">
        <v>39.001244</v>
      </c>
      <c r="P83" s="76">
        <v>40.150604000000001</v>
      </c>
      <c r="Q83" s="76">
        <v>41.098312</v>
      </c>
      <c r="R83" s="76">
        <v>42.191569999999999</v>
      </c>
      <c r="S83" s="76">
        <v>43.253830000000001</v>
      </c>
      <c r="T83" s="76">
        <v>44.266022</v>
      </c>
      <c r="U83" s="76">
        <v>45.324840999999999</v>
      </c>
      <c r="V83" s="76">
        <v>46.584533999999998</v>
      </c>
      <c r="W83" s="76">
        <v>47.625869999999999</v>
      </c>
      <c r="X83" s="76">
        <v>48.902163999999999</v>
      </c>
      <c r="Y83" s="76">
        <v>49.874504000000002</v>
      </c>
      <c r="Z83" s="76">
        <v>51.111248000000003</v>
      </c>
      <c r="AA83" s="76">
        <v>52.683566999999996</v>
      </c>
      <c r="AB83" s="76">
        <v>53.982517000000001</v>
      </c>
      <c r="AC83" s="76">
        <v>55.335030000000003</v>
      </c>
      <c r="AD83" s="76">
        <v>56.786217000000001</v>
      </c>
      <c r="AE83" s="76">
        <v>58.157210999999997</v>
      </c>
      <c r="AF83" s="77">
        <v>1.805E-2</v>
      </c>
      <c r="AG83" s="49"/>
    </row>
    <row r="84" spans="1:33" ht="15" customHeight="1" x14ac:dyDescent="0.25">
      <c r="A84" s="48" t="s">
        <v>219</v>
      </c>
      <c r="B84" s="75" t="s">
        <v>147</v>
      </c>
      <c r="C84" s="76">
        <v>14.293920999999999</v>
      </c>
      <c r="D84" s="76">
        <v>14.645989999999999</v>
      </c>
      <c r="E84" s="76">
        <v>13.676522</v>
      </c>
      <c r="F84" s="76">
        <v>13.184908999999999</v>
      </c>
      <c r="G84" s="76">
        <v>12.791022999999999</v>
      </c>
      <c r="H84" s="76">
        <v>12.605636000000001</v>
      </c>
      <c r="I84" s="76">
        <v>12.573746</v>
      </c>
      <c r="J84" s="76">
        <v>12.909769000000001</v>
      </c>
      <c r="K84" s="76">
        <v>13.249883000000001</v>
      </c>
      <c r="L84" s="76">
        <v>13.680078999999999</v>
      </c>
      <c r="M84" s="76">
        <v>14.109493000000001</v>
      </c>
      <c r="N84" s="76">
        <v>14.634359999999999</v>
      </c>
      <c r="O84" s="76">
        <v>15.145339</v>
      </c>
      <c r="P84" s="76">
        <v>15.646319</v>
      </c>
      <c r="Q84" s="76">
        <v>16.078226000000001</v>
      </c>
      <c r="R84" s="76">
        <v>16.557303999999998</v>
      </c>
      <c r="S84" s="76">
        <v>17.127001</v>
      </c>
      <c r="T84" s="76">
        <v>17.513002</v>
      </c>
      <c r="U84" s="76">
        <v>18.044384000000001</v>
      </c>
      <c r="V84" s="76">
        <v>18.599208999999998</v>
      </c>
      <c r="W84" s="76">
        <v>19.059166000000001</v>
      </c>
      <c r="X84" s="76">
        <v>19.474995</v>
      </c>
      <c r="Y84" s="76">
        <v>19.853939</v>
      </c>
      <c r="Z84" s="76">
        <v>20.418022000000001</v>
      </c>
      <c r="AA84" s="76">
        <v>21.441403999999999</v>
      </c>
      <c r="AB84" s="76">
        <v>21.922989000000001</v>
      </c>
      <c r="AC84" s="76">
        <v>22.388704000000001</v>
      </c>
      <c r="AD84" s="76">
        <v>22.934742</v>
      </c>
      <c r="AE84" s="76">
        <v>23.554538999999998</v>
      </c>
      <c r="AF84" s="77">
        <v>1.7999000000000001E-2</v>
      </c>
      <c r="AG84" s="49"/>
    </row>
    <row r="85" spans="1:33" ht="15" customHeight="1" x14ac:dyDescent="0.25">
      <c r="A85" s="48" t="s">
        <v>220</v>
      </c>
      <c r="B85" s="75" t="s">
        <v>149</v>
      </c>
      <c r="C85" s="76">
        <v>42.669246999999999</v>
      </c>
      <c r="D85" s="76">
        <v>43.146023</v>
      </c>
      <c r="E85" s="76">
        <v>43.261093000000002</v>
      </c>
      <c r="F85" s="76">
        <v>42.880462999999999</v>
      </c>
      <c r="G85" s="76">
        <v>43.009357000000001</v>
      </c>
      <c r="H85" s="76">
        <v>43.327247999999997</v>
      </c>
      <c r="I85" s="76">
        <v>43.842647999999997</v>
      </c>
      <c r="J85" s="76">
        <v>44.687339999999999</v>
      </c>
      <c r="K85" s="76">
        <v>45.805477000000003</v>
      </c>
      <c r="L85" s="76">
        <v>47.097492000000003</v>
      </c>
      <c r="M85" s="76">
        <v>48.405566999999998</v>
      </c>
      <c r="N85" s="76">
        <v>50.295189000000001</v>
      </c>
      <c r="O85" s="76">
        <v>52.085312000000002</v>
      </c>
      <c r="P85" s="76">
        <v>53.362102999999998</v>
      </c>
      <c r="Q85" s="76">
        <v>54.927329999999998</v>
      </c>
      <c r="R85" s="76">
        <v>56.583927000000003</v>
      </c>
      <c r="S85" s="76">
        <v>58.444336</v>
      </c>
      <c r="T85" s="76">
        <v>60.167355000000001</v>
      </c>
      <c r="U85" s="76">
        <v>61.958289999999998</v>
      </c>
      <c r="V85" s="76">
        <v>63.713763999999998</v>
      </c>
      <c r="W85" s="76">
        <v>65.363594000000006</v>
      </c>
      <c r="X85" s="76">
        <v>67.008003000000002</v>
      </c>
      <c r="Y85" s="76">
        <v>68.678673000000003</v>
      </c>
      <c r="Z85" s="76">
        <v>70.432961000000006</v>
      </c>
      <c r="AA85" s="76">
        <v>71.975487000000001</v>
      </c>
      <c r="AB85" s="76">
        <v>73.475455999999994</v>
      </c>
      <c r="AC85" s="76">
        <v>75.125107</v>
      </c>
      <c r="AD85" s="76">
        <v>76.578170999999998</v>
      </c>
      <c r="AE85" s="76">
        <v>77.840477000000007</v>
      </c>
      <c r="AF85" s="77">
        <v>2.1703E-2</v>
      </c>
      <c r="AG85" s="49"/>
    </row>
    <row r="86" spans="1:33" ht="15" customHeight="1" x14ac:dyDescent="0.25">
      <c r="A86" s="45"/>
      <c r="B86" s="49"/>
      <c r="C86" s="49"/>
      <c r="D86" s="49"/>
      <c r="E86" s="49"/>
      <c r="F86" s="49"/>
      <c r="G86" s="49"/>
      <c r="H86" s="49"/>
      <c r="I86" s="49"/>
      <c r="J86" s="49"/>
      <c r="K86" s="49"/>
      <c r="L86" s="49"/>
      <c r="M86" s="49"/>
      <c r="N86" s="49"/>
      <c r="O86" s="49"/>
      <c r="P86" s="49"/>
      <c r="Q86" s="49"/>
      <c r="R86" s="49"/>
      <c r="S86" s="49"/>
      <c r="T86" s="49"/>
      <c r="U86" s="49"/>
      <c r="V86" s="49"/>
      <c r="W86" s="49"/>
      <c r="X86" s="49"/>
      <c r="Y86" s="49"/>
      <c r="Z86" s="49"/>
      <c r="AA86" s="49"/>
      <c r="AB86" s="49"/>
      <c r="AC86" s="49"/>
      <c r="AD86" s="49"/>
      <c r="AE86" s="49"/>
      <c r="AF86" s="49"/>
      <c r="AG86" s="49"/>
    </row>
    <row r="87" spans="1:33" ht="15" customHeight="1" x14ac:dyDescent="0.25">
      <c r="A87" s="45"/>
      <c r="B87" s="74" t="s">
        <v>150</v>
      </c>
      <c r="C87" s="49"/>
      <c r="D87" s="49"/>
      <c r="E87" s="49"/>
      <c r="F87" s="49"/>
      <c r="G87" s="49"/>
      <c r="H87" s="49"/>
      <c r="I87" s="49"/>
      <c r="J87" s="49"/>
      <c r="K87" s="49"/>
      <c r="L87" s="49"/>
      <c r="M87" s="49"/>
      <c r="N87" s="49"/>
      <c r="O87" s="49"/>
      <c r="P87" s="49"/>
      <c r="Q87" s="49"/>
      <c r="R87" s="49"/>
      <c r="S87" s="49"/>
      <c r="T87" s="49"/>
      <c r="U87" s="49"/>
      <c r="V87" s="49"/>
      <c r="W87" s="49"/>
      <c r="X87" s="49"/>
      <c r="Y87" s="49"/>
      <c r="Z87" s="49"/>
      <c r="AA87" s="49"/>
      <c r="AB87" s="49"/>
      <c r="AC87" s="49"/>
      <c r="AD87" s="49"/>
      <c r="AE87" s="49"/>
      <c r="AF87" s="49"/>
      <c r="AG87" s="49"/>
    </row>
    <row r="88" spans="1:33" ht="15" customHeight="1" x14ac:dyDescent="0.25">
      <c r="A88" s="48" t="s">
        <v>221</v>
      </c>
      <c r="B88" s="75" t="s">
        <v>143</v>
      </c>
      <c r="C88" s="76">
        <v>27.825644</v>
      </c>
      <c r="D88" s="76">
        <v>27.85585</v>
      </c>
      <c r="E88" s="76">
        <v>26.556958999999999</v>
      </c>
      <c r="F88" s="76">
        <v>24.976807000000001</v>
      </c>
      <c r="G88" s="76">
        <v>24.337795</v>
      </c>
      <c r="H88" s="76">
        <v>24.212544999999999</v>
      </c>
      <c r="I88" s="76">
        <v>24.589096000000001</v>
      </c>
      <c r="J88" s="76">
        <v>25.254981999999998</v>
      </c>
      <c r="K88" s="76">
        <v>26.178425000000001</v>
      </c>
      <c r="L88" s="76">
        <v>27.261216999999998</v>
      </c>
      <c r="M88" s="76">
        <v>28.512353999999998</v>
      </c>
      <c r="N88" s="76">
        <v>29.901306000000002</v>
      </c>
      <c r="O88" s="76">
        <v>31.225031000000001</v>
      </c>
      <c r="P88" s="76">
        <v>32.327418999999999</v>
      </c>
      <c r="Q88" s="76">
        <v>33.303187999999999</v>
      </c>
      <c r="R88" s="76">
        <v>34.315617000000003</v>
      </c>
      <c r="S88" s="76">
        <v>35.582957999999998</v>
      </c>
      <c r="T88" s="76">
        <v>36.394447</v>
      </c>
      <c r="U88" s="76">
        <v>37.650371999999997</v>
      </c>
      <c r="V88" s="76">
        <v>38.867626000000001</v>
      </c>
      <c r="W88" s="76">
        <v>39.91769</v>
      </c>
      <c r="X88" s="76">
        <v>40.838012999999997</v>
      </c>
      <c r="Y88" s="76">
        <v>41.698109000000002</v>
      </c>
      <c r="Z88" s="76">
        <v>42.775314000000002</v>
      </c>
      <c r="AA88" s="76">
        <v>44.170029</v>
      </c>
      <c r="AB88" s="76">
        <v>45.280189999999997</v>
      </c>
      <c r="AC88" s="76">
        <v>46.532390999999997</v>
      </c>
      <c r="AD88" s="76">
        <v>47.632702000000002</v>
      </c>
      <c r="AE88" s="76">
        <v>48.701335999999998</v>
      </c>
      <c r="AF88" s="77">
        <v>2.0192000000000002E-2</v>
      </c>
      <c r="AG88" s="49"/>
    </row>
    <row r="89" spans="1:33" ht="15" customHeight="1" x14ac:dyDescent="0.25">
      <c r="A89" s="48" t="s">
        <v>222</v>
      </c>
      <c r="B89" s="75" t="s">
        <v>145</v>
      </c>
      <c r="C89" s="76">
        <v>35.263694999999998</v>
      </c>
      <c r="D89" s="76">
        <v>34.344527999999997</v>
      </c>
      <c r="E89" s="76">
        <v>32.658478000000002</v>
      </c>
      <c r="F89" s="76">
        <v>30.315842</v>
      </c>
      <c r="G89" s="76">
        <v>29.135559000000001</v>
      </c>
      <c r="H89" s="76">
        <v>27.945101000000001</v>
      </c>
      <c r="I89" s="76">
        <v>26.866716</v>
      </c>
      <c r="J89" s="76">
        <v>27.554403000000001</v>
      </c>
      <c r="K89" s="76">
        <v>28.172378999999999</v>
      </c>
      <c r="L89" s="76">
        <v>29.022541</v>
      </c>
      <c r="M89" s="76">
        <v>29.806835</v>
      </c>
      <c r="N89" s="76">
        <v>30.648589999999999</v>
      </c>
      <c r="O89" s="76">
        <v>31.455866</v>
      </c>
      <c r="P89" s="76">
        <v>32.399478999999999</v>
      </c>
      <c r="Q89" s="76">
        <v>33.183022000000001</v>
      </c>
      <c r="R89" s="76">
        <v>34.086585999999997</v>
      </c>
      <c r="S89" s="76">
        <v>34.961765</v>
      </c>
      <c r="T89" s="76">
        <v>35.791187000000001</v>
      </c>
      <c r="U89" s="76">
        <v>36.661175</v>
      </c>
      <c r="V89" s="76">
        <v>37.72419</v>
      </c>
      <c r="W89" s="76">
        <v>38.565331</v>
      </c>
      <c r="X89" s="76">
        <v>39.635489999999997</v>
      </c>
      <c r="Y89" s="76">
        <v>40.400620000000004</v>
      </c>
      <c r="Z89" s="76">
        <v>41.460686000000003</v>
      </c>
      <c r="AA89" s="76">
        <v>43.348011</v>
      </c>
      <c r="AB89" s="76">
        <v>44.403556999999999</v>
      </c>
      <c r="AC89" s="76">
        <v>45.525748999999998</v>
      </c>
      <c r="AD89" s="76">
        <v>46.750487999999997</v>
      </c>
      <c r="AE89" s="76">
        <v>47.882179000000001</v>
      </c>
      <c r="AF89" s="77">
        <v>1.0985E-2</v>
      </c>
      <c r="AG89" s="49"/>
    </row>
    <row r="90" spans="1:33" ht="15" customHeight="1" x14ac:dyDescent="0.25">
      <c r="A90" s="48" t="s">
        <v>223</v>
      </c>
      <c r="B90" s="75" t="s">
        <v>154</v>
      </c>
      <c r="C90" s="76">
        <v>12.628995</v>
      </c>
      <c r="D90" s="76">
        <v>8.190194</v>
      </c>
      <c r="E90" s="76">
        <v>10.064173</v>
      </c>
      <c r="F90" s="76">
        <v>10.614261000000001</v>
      </c>
      <c r="G90" s="76">
        <v>12.394233</v>
      </c>
      <c r="H90" s="76">
        <v>14.254799</v>
      </c>
      <c r="I90" s="76">
        <v>16.294703999999999</v>
      </c>
      <c r="J90" s="76">
        <v>16.744129000000001</v>
      </c>
      <c r="K90" s="76">
        <v>17.220006999999999</v>
      </c>
      <c r="L90" s="76">
        <v>17.747589000000001</v>
      </c>
      <c r="M90" s="76">
        <v>18.278893</v>
      </c>
      <c r="N90" s="76">
        <v>18.828437999999998</v>
      </c>
      <c r="O90" s="76">
        <v>19.412710000000001</v>
      </c>
      <c r="P90" s="76">
        <v>20.019818999999998</v>
      </c>
      <c r="Q90" s="76">
        <v>20.605381000000001</v>
      </c>
      <c r="R90" s="76">
        <v>21.204630000000002</v>
      </c>
      <c r="S90" s="76">
        <v>21.826968999999998</v>
      </c>
      <c r="T90" s="76">
        <v>22.406015</v>
      </c>
      <c r="U90" s="76">
        <v>23.034382000000001</v>
      </c>
      <c r="V90" s="76">
        <v>23.748093000000001</v>
      </c>
      <c r="W90" s="76">
        <v>24.306380999999998</v>
      </c>
      <c r="X90" s="76">
        <v>24.976209999999998</v>
      </c>
      <c r="Y90" s="76">
        <v>25.601828000000001</v>
      </c>
      <c r="Z90" s="76">
        <v>26.294802000000001</v>
      </c>
      <c r="AA90" s="76">
        <v>27.197239</v>
      </c>
      <c r="AB90" s="76">
        <v>27.841978000000001</v>
      </c>
      <c r="AC90" s="76">
        <v>28.729586000000001</v>
      </c>
      <c r="AD90" s="76">
        <v>29.587326000000001</v>
      </c>
      <c r="AE90" s="76">
        <v>30.433244999999999</v>
      </c>
      <c r="AF90" s="77">
        <v>3.1911000000000002E-2</v>
      </c>
      <c r="AG90" s="49"/>
    </row>
    <row r="91" spans="1:33" ht="15" customHeight="1" x14ac:dyDescent="0.25">
      <c r="A91" s="48" t="s">
        <v>224</v>
      </c>
      <c r="B91" s="75" t="s">
        <v>147</v>
      </c>
      <c r="C91" s="76">
        <v>10.986808</v>
      </c>
      <c r="D91" s="76">
        <v>10.752255</v>
      </c>
      <c r="E91" s="76">
        <v>9.9479480000000002</v>
      </c>
      <c r="F91" s="76">
        <v>9.6419490000000003</v>
      </c>
      <c r="G91" s="76">
        <v>9.4135589999999993</v>
      </c>
      <c r="H91" s="76">
        <v>9.3766979999999993</v>
      </c>
      <c r="I91" s="76">
        <v>9.4731009999999998</v>
      </c>
      <c r="J91" s="76">
        <v>9.7253550000000004</v>
      </c>
      <c r="K91" s="76">
        <v>9.9731579999999997</v>
      </c>
      <c r="L91" s="76">
        <v>10.300300999999999</v>
      </c>
      <c r="M91" s="76">
        <v>10.62715</v>
      </c>
      <c r="N91" s="76">
        <v>11.050625</v>
      </c>
      <c r="O91" s="76">
        <v>11.449692000000001</v>
      </c>
      <c r="P91" s="76">
        <v>11.837113</v>
      </c>
      <c r="Q91" s="76">
        <v>12.159459</v>
      </c>
      <c r="R91" s="76">
        <v>12.529586</v>
      </c>
      <c r="S91" s="76">
        <v>12.986810999999999</v>
      </c>
      <c r="T91" s="76">
        <v>13.267094</v>
      </c>
      <c r="U91" s="76">
        <v>13.688367</v>
      </c>
      <c r="V91" s="76">
        <v>14.127917</v>
      </c>
      <c r="W91" s="76">
        <v>14.471655999999999</v>
      </c>
      <c r="X91" s="76">
        <v>14.771008</v>
      </c>
      <c r="Y91" s="76">
        <v>15.036106999999999</v>
      </c>
      <c r="Z91" s="76">
        <v>15.46964</v>
      </c>
      <c r="AA91" s="76">
        <v>16.177821999999999</v>
      </c>
      <c r="AB91" s="76">
        <v>16.489763</v>
      </c>
      <c r="AC91" s="76">
        <v>16.806581000000001</v>
      </c>
      <c r="AD91" s="76">
        <v>17.210038999999998</v>
      </c>
      <c r="AE91" s="76">
        <v>17.685751</v>
      </c>
      <c r="AF91" s="77">
        <v>1.7148E-2</v>
      </c>
      <c r="AG91" s="49"/>
    </row>
    <row r="92" spans="1:33" x14ac:dyDescent="0.25">
      <c r="A92" s="48" t="s">
        <v>225</v>
      </c>
      <c r="B92" s="75" t="s">
        <v>149</v>
      </c>
      <c r="C92" s="76">
        <v>36.670883000000003</v>
      </c>
      <c r="D92" s="76">
        <v>37.384396000000002</v>
      </c>
      <c r="E92" s="76">
        <v>36.634932999999997</v>
      </c>
      <c r="F92" s="76">
        <v>35.829681000000001</v>
      </c>
      <c r="G92" s="76">
        <v>35.682613000000003</v>
      </c>
      <c r="H92" s="76">
        <v>35.778049000000003</v>
      </c>
      <c r="I92" s="76">
        <v>35.970699000000003</v>
      </c>
      <c r="J92" s="76">
        <v>36.469802999999999</v>
      </c>
      <c r="K92" s="76">
        <v>37.239471000000002</v>
      </c>
      <c r="L92" s="76">
        <v>38.070853999999997</v>
      </c>
      <c r="M92" s="76">
        <v>38.904254999999999</v>
      </c>
      <c r="N92" s="76">
        <v>40.277724999999997</v>
      </c>
      <c r="O92" s="76">
        <v>41.548606999999997</v>
      </c>
      <c r="P92" s="76">
        <v>42.420836999999999</v>
      </c>
      <c r="Q92" s="76">
        <v>43.531005999999998</v>
      </c>
      <c r="R92" s="76">
        <v>44.662574999999997</v>
      </c>
      <c r="S92" s="76">
        <v>46.012588999999998</v>
      </c>
      <c r="T92" s="76">
        <v>47.266869</v>
      </c>
      <c r="U92" s="76">
        <v>48.525996999999997</v>
      </c>
      <c r="V92" s="76">
        <v>49.775635000000001</v>
      </c>
      <c r="W92" s="76">
        <v>50.926758</v>
      </c>
      <c r="X92" s="76">
        <v>52.105659000000003</v>
      </c>
      <c r="Y92" s="76">
        <v>53.247463000000003</v>
      </c>
      <c r="Z92" s="76">
        <v>54.400368</v>
      </c>
      <c r="AA92" s="76">
        <v>55.375427000000002</v>
      </c>
      <c r="AB92" s="76">
        <v>56.220759999999999</v>
      </c>
      <c r="AC92" s="76">
        <v>57.363804000000002</v>
      </c>
      <c r="AD92" s="76">
        <v>58.272151999999998</v>
      </c>
      <c r="AE92" s="76">
        <v>59.05735</v>
      </c>
      <c r="AF92" s="77">
        <v>1.7163999999999999E-2</v>
      </c>
      <c r="AG92" s="49"/>
    </row>
    <row r="93" spans="1:33" ht="15" customHeight="1" x14ac:dyDescent="0.25">
      <c r="A93" s="45"/>
      <c r="B93" s="49"/>
      <c r="C93" s="49"/>
      <c r="D93" s="49"/>
      <c r="E93" s="49"/>
      <c r="F93" s="49"/>
      <c r="G93" s="49"/>
      <c r="H93" s="49"/>
      <c r="I93" s="49"/>
      <c r="J93" s="49"/>
      <c r="K93" s="49"/>
      <c r="L93" s="49"/>
      <c r="M93" s="49"/>
      <c r="N93" s="49"/>
      <c r="O93" s="49"/>
      <c r="P93" s="49"/>
      <c r="Q93" s="49"/>
      <c r="R93" s="49"/>
      <c r="S93" s="49"/>
      <c r="T93" s="49"/>
      <c r="U93" s="49"/>
      <c r="V93" s="49"/>
      <c r="W93" s="49"/>
      <c r="X93" s="49"/>
      <c r="Y93" s="49"/>
      <c r="Z93" s="49"/>
      <c r="AA93" s="49"/>
      <c r="AB93" s="49"/>
      <c r="AC93" s="49"/>
      <c r="AD93" s="49"/>
      <c r="AE93" s="49"/>
      <c r="AF93" s="49"/>
      <c r="AG93" s="49"/>
    </row>
    <row r="94" spans="1:33" ht="15" customHeight="1" x14ac:dyDescent="0.25">
      <c r="A94" s="45"/>
      <c r="B94" s="74" t="s">
        <v>157</v>
      </c>
      <c r="C94" s="49"/>
      <c r="D94" s="49"/>
      <c r="E94" s="49"/>
      <c r="F94" s="49"/>
      <c r="G94" s="49"/>
      <c r="H94" s="49"/>
      <c r="I94" s="49"/>
      <c r="J94" s="49"/>
      <c r="K94" s="49"/>
      <c r="L94" s="49"/>
      <c r="M94" s="49"/>
      <c r="N94" s="49"/>
      <c r="O94" s="49"/>
      <c r="P94" s="49"/>
      <c r="Q94" s="49"/>
      <c r="R94" s="49"/>
      <c r="S94" s="49"/>
      <c r="T94" s="49"/>
      <c r="U94" s="49"/>
      <c r="V94" s="49"/>
      <c r="W94" s="49"/>
      <c r="X94" s="49"/>
      <c r="Y94" s="49"/>
      <c r="Z94" s="49"/>
      <c r="AA94" s="49"/>
      <c r="AB94" s="49"/>
      <c r="AC94" s="49"/>
      <c r="AD94" s="49"/>
      <c r="AE94" s="49"/>
      <c r="AF94" s="49"/>
      <c r="AG94" s="49"/>
    </row>
    <row r="95" spans="1:33" ht="15" customHeight="1" x14ac:dyDescent="0.25">
      <c r="A95" s="48" t="s">
        <v>226</v>
      </c>
      <c r="B95" s="75" t="s">
        <v>143</v>
      </c>
      <c r="C95" s="76">
        <v>23.435020000000002</v>
      </c>
      <c r="D95" s="76">
        <v>22.356629999999999</v>
      </c>
      <c r="E95" s="76">
        <v>20.487594999999999</v>
      </c>
      <c r="F95" s="76">
        <v>18.533535000000001</v>
      </c>
      <c r="G95" s="76">
        <v>17.736046000000002</v>
      </c>
      <c r="H95" s="76">
        <v>17.477232000000001</v>
      </c>
      <c r="I95" s="76">
        <v>17.740955</v>
      </c>
      <c r="J95" s="76">
        <v>18.286145999999999</v>
      </c>
      <c r="K95" s="76">
        <v>19.090485000000001</v>
      </c>
      <c r="L95" s="76">
        <v>20.049326000000001</v>
      </c>
      <c r="M95" s="76">
        <v>21.186962000000001</v>
      </c>
      <c r="N95" s="76">
        <v>22.464024999999999</v>
      </c>
      <c r="O95" s="76">
        <v>23.655508000000001</v>
      </c>
      <c r="P95" s="76">
        <v>24.597995999999998</v>
      </c>
      <c r="Q95" s="76">
        <v>25.405923999999999</v>
      </c>
      <c r="R95" s="76">
        <v>26.269162999999999</v>
      </c>
      <c r="S95" s="76">
        <v>27.429414999999999</v>
      </c>
      <c r="T95" s="76">
        <v>28.034966000000001</v>
      </c>
      <c r="U95" s="76">
        <v>29.178497</v>
      </c>
      <c r="V95" s="76">
        <v>30.24905</v>
      </c>
      <c r="W95" s="76">
        <v>31.111232999999999</v>
      </c>
      <c r="X95" s="76">
        <v>31.816524999999999</v>
      </c>
      <c r="Y95" s="76">
        <v>32.450352000000002</v>
      </c>
      <c r="Z95" s="76">
        <v>33.311852000000002</v>
      </c>
      <c r="AA95" s="76">
        <v>34.086624</v>
      </c>
      <c r="AB95" s="76">
        <v>34.970641999999998</v>
      </c>
      <c r="AC95" s="76">
        <v>36.006217999999997</v>
      </c>
      <c r="AD95" s="76">
        <v>36.842278</v>
      </c>
      <c r="AE95" s="76">
        <v>37.636386999999999</v>
      </c>
      <c r="AF95" s="77">
        <v>1.7062999999999998E-2</v>
      </c>
      <c r="AG95" s="49"/>
    </row>
    <row r="96" spans="1:33" ht="15" customHeight="1" x14ac:dyDescent="0.25">
      <c r="A96" s="48" t="s">
        <v>227</v>
      </c>
      <c r="B96" s="75" t="s">
        <v>145</v>
      </c>
      <c r="C96" s="76">
        <v>35.187302000000003</v>
      </c>
      <c r="D96" s="76">
        <v>34.160721000000002</v>
      </c>
      <c r="E96" s="76">
        <v>32.510654000000002</v>
      </c>
      <c r="F96" s="76">
        <v>30.122333999999999</v>
      </c>
      <c r="G96" s="76">
        <v>28.893148</v>
      </c>
      <c r="H96" s="76">
        <v>27.659189000000001</v>
      </c>
      <c r="I96" s="76">
        <v>26.532314</v>
      </c>
      <c r="J96" s="76">
        <v>27.228542000000001</v>
      </c>
      <c r="K96" s="76">
        <v>27.844920999999999</v>
      </c>
      <c r="L96" s="76">
        <v>28.691835000000001</v>
      </c>
      <c r="M96" s="76">
        <v>29.480526000000001</v>
      </c>
      <c r="N96" s="76">
        <v>30.336335999999999</v>
      </c>
      <c r="O96" s="76">
        <v>31.138449000000001</v>
      </c>
      <c r="P96" s="76">
        <v>32.100211999999999</v>
      </c>
      <c r="Q96" s="76">
        <v>32.878376000000003</v>
      </c>
      <c r="R96" s="76">
        <v>33.792220999999998</v>
      </c>
      <c r="S96" s="76">
        <v>34.671123999999999</v>
      </c>
      <c r="T96" s="76">
        <v>35.505093000000002</v>
      </c>
      <c r="U96" s="76">
        <v>36.380726000000003</v>
      </c>
      <c r="V96" s="76">
        <v>37.452629000000002</v>
      </c>
      <c r="W96" s="76">
        <v>38.299540999999998</v>
      </c>
      <c r="X96" s="76">
        <v>39.380600000000001</v>
      </c>
      <c r="Y96" s="76">
        <v>40.156269000000002</v>
      </c>
      <c r="Z96" s="76">
        <v>41.188437999999998</v>
      </c>
      <c r="AA96" s="76">
        <v>42.553871000000001</v>
      </c>
      <c r="AB96" s="76">
        <v>43.609371000000003</v>
      </c>
      <c r="AC96" s="76">
        <v>44.728596000000003</v>
      </c>
      <c r="AD96" s="76">
        <v>45.946964000000001</v>
      </c>
      <c r="AE96" s="76">
        <v>47.070819999999998</v>
      </c>
      <c r="AF96" s="77">
        <v>1.0446E-2</v>
      </c>
      <c r="AG96" s="49"/>
    </row>
    <row r="97" spans="1:33" ht="15" customHeight="1" x14ac:dyDescent="0.25">
      <c r="A97" s="48" t="s">
        <v>228</v>
      </c>
      <c r="B97" s="75" t="s">
        <v>154</v>
      </c>
      <c r="C97" s="76">
        <v>13.34515</v>
      </c>
      <c r="D97" s="76">
        <v>8.8473620000000004</v>
      </c>
      <c r="E97" s="76">
        <v>10.847251</v>
      </c>
      <c r="F97" s="76">
        <v>11.701765</v>
      </c>
      <c r="G97" s="76">
        <v>13.668666</v>
      </c>
      <c r="H97" s="76">
        <v>15.834412</v>
      </c>
      <c r="I97" s="76">
        <v>18.055012000000001</v>
      </c>
      <c r="J97" s="76">
        <v>18.550280000000001</v>
      </c>
      <c r="K97" s="76">
        <v>19.090975</v>
      </c>
      <c r="L97" s="76">
        <v>19.679285</v>
      </c>
      <c r="M97" s="76">
        <v>20.283073000000002</v>
      </c>
      <c r="N97" s="76">
        <v>20.912044999999999</v>
      </c>
      <c r="O97" s="76">
        <v>21.573601</v>
      </c>
      <c r="P97" s="76">
        <v>22.25563</v>
      </c>
      <c r="Q97" s="76">
        <v>22.905643000000001</v>
      </c>
      <c r="R97" s="76">
        <v>23.566257</v>
      </c>
      <c r="S97" s="76">
        <v>24.262720000000002</v>
      </c>
      <c r="T97" s="76">
        <v>24.90963</v>
      </c>
      <c r="U97" s="76">
        <v>25.616434000000002</v>
      </c>
      <c r="V97" s="76">
        <v>26.404326999999999</v>
      </c>
      <c r="W97" s="76">
        <v>27.034216000000001</v>
      </c>
      <c r="X97" s="76">
        <v>27.773752000000002</v>
      </c>
      <c r="Y97" s="76">
        <v>28.398886000000001</v>
      </c>
      <c r="Z97" s="76">
        <v>29.163754000000001</v>
      </c>
      <c r="AA97" s="76">
        <v>30.157468999999999</v>
      </c>
      <c r="AB97" s="76">
        <v>30.882546999999999</v>
      </c>
      <c r="AC97" s="76">
        <v>31.831925999999999</v>
      </c>
      <c r="AD97" s="76">
        <v>32.756706000000001</v>
      </c>
      <c r="AE97" s="76">
        <v>33.688113999999999</v>
      </c>
      <c r="AF97" s="77">
        <v>3.3624000000000001E-2</v>
      </c>
      <c r="AG97" s="49"/>
    </row>
    <row r="98" spans="1:33" ht="15" customHeight="1" x14ac:dyDescent="0.25">
      <c r="A98" s="48" t="s">
        <v>229</v>
      </c>
      <c r="B98" s="75" t="s">
        <v>162</v>
      </c>
      <c r="C98" s="76">
        <v>7.3309170000000003</v>
      </c>
      <c r="D98" s="76">
        <v>6.5292260000000004</v>
      </c>
      <c r="E98" s="76">
        <v>5.5049089999999996</v>
      </c>
      <c r="F98" s="76">
        <v>5.0050929999999996</v>
      </c>
      <c r="G98" s="76">
        <v>4.6300290000000004</v>
      </c>
      <c r="H98" s="76">
        <v>4.4582369999999996</v>
      </c>
      <c r="I98" s="76">
        <v>4.4578319999999998</v>
      </c>
      <c r="J98" s="76">
        <v>4.573442</v>
      </c>
      <c r="K98" s="76">
        <v>4.7465190000000002</v>
      </c>
      <c r="L98" s="76">
        <v>4.985881</v>
      </c>
      <c r="M98" s="76">
        <v>5.2409059999999998</v>
      </c>
      <c r="N98" s="76">
        <v>5.5704409999999998</v>
      </c>
      <c r="O98" s="76">
        <v>5.8719799999999998</v>
      </c>
      <c r="P98" s="76">
        <v>6.1609559999999997</v>
      </c>
      <c r="Q98" s="76">
        <v>6.3292349999999997</v>
      </c>
      <c r="R98" s="76">
        <v>6.5343970000000002</v>
      </c>
      <c r="S98" s="76">
        <v>6.859877</v>
      </c>
      <c r="T98" s="76">
        <v>6.928579</v>
      </c>
      <c r="U98" s="76">
        <v>7.2654500000000004</v>
      </c>
      <c r="V98" s="76">
        <v>7.5478690000000004</v>
      </c>
      <c r="W98" s="76">
        <v>7.7087849999999998</v>
      </c>
      <c r="X98" s="76">
        <v>7.8021539999999998</v>
      </c>
      <c r="Y98" s="76">
        <v>7.8996890000000004</v>
      </c>
      <c r="Z98" s="76">
        <v>8.0796670000000006</v>
      </c>
      <c r="AA98" s="76">
        <v>8.2079559999999994</v>
      </c>
      <c r="AB98" s="76">
        <v>8.3412450000000007</v>
      </c>
      <c r="AC98" s="76">
        <v>8.4794230000000006</v>
      </c>
      <c r="AD98" s="76">
        <v>8.6050090000000008</v>
      </c>
      <c r="AE98" s="76">
        <v>8.8054380000000005</v>
      </c>
      <c r="AF98" s="77">
        <v>6.5669999999999999E-3</v>
      </c>
      <c r="AG98" s="49"/>
    </row>
    <row r="99" spans="1:33" ht="15" customHeight="1" x14ac:dyDescent="0.25">
      <c r="A99" s="48" t="s">
        <v>230</v>
      </c>
      <c r="B99" s="75" t="s">
        <v>164</v>
      </c>
      <c r="C99" s="76">
        <v>5.4304249999999996</v>
      </c>
      <c r="D99" s="76">
        <v>5.6718549999999999</v>
      </c>
      <c r="E99" s="76">
        <v>6.0581950000000004</v>
      </c>
      <c r="F99" s="76">
        <v>6.1873269999999998</v>
      </c>
      <c r="G99" s="76">
        <v>6.3529850000000003</v>
      </c>
      <c r="H99" s="76">
        <v>6.5475529999999997</v>
      </c>
      <c r="I99" s="76">
        <v>6.7355179999999999</v>
      </c>
      <c r="J99" s="76">
        <v>6.9377659999999999</v>
      </c>
      <c r="K99" s="76">
        <v>7.2191280000000004</v>
      </c>
      <c r="L99" s="76">
        <v>7.4615220000000004</v>
      </c>
      <c r="M99" s="76">
        <v>7.7608199999999998</v>
      </c>
      <c r="N99" s="76">
        <v>8.038456</v>
      </c>
      <c r="O99" s="76">
        <v>8.3211580000000005</v>
      </c>
      <c r="P99" s="76">
        <v>8.6185759999999991</v>
      </c>
      <c r="Q99" s="76">
        <v>8.9246759999999998</v>
      </c>
      <c r="R99" s="76">
        <v>9.2558539999999994</v>
      </c>
      <c r="S99" s="76">
        <v>9.5669219999999999</v>
      </c>
      <c r="T99" s="76">
        <v>9.8821329999999996</v>
      </c>
      <c r="U99" s="76">
        <v>10.210374</v>
      </c>
      <c r="V99" s="76">
        <v>10.516508999999999</v>
      </c>
      <c r="W99" s="76">
        <v>10.829219999999999</v>
      </c>
      <c r="X99" s="76">
        <v>11.157767</v>
      </c>
      <c r="Y99" s="76">
        <v>11.502295999999999</v>
      </c>
      <c r="Z99" s="76">
        <v>11.867922999999999</v>
      </c>
      <c r="AA99" s="76">
        <v>12.240033</v>
      </c>
      <c r="AB99" s="76">
        <v>12.622064999999999</v>
      </c>
      <c r="AC99" s="76">
        <v>13.021750000000001</v>
      </c>
      <c r="AD99" s="76">
        <v>13.425182</v>
      </c>
      <c r="AE99" s="76">
        <v>13.854766</v>
      </c>
      <c r="AF99" s="77">
        <v>3.4015999999999998E-2</v>
      </c>
      <c r="AG99" s="49"/>
    </row>
    <row r="100" spans="1:33" ht="15" customHeight="1" x14ac:dyDescent="0.25">
      <c r="A100" s="48" t="s">
        <v>231</v>
      </c>
      <c r="B100" s="75" t="s">
        <v>166</v>
      </c>
      <c r="C100" s="76">
        <v>2.7995990000000002</v>
      </c>
      <c r="D100" s="76">
        <v>2.8529049999999998</v>
      </c>
      <c r="E100" s="76">
        <v>3.0040049999999998</v>
      </c>
      <c r="F100" s="76">
        <v>3.1377269999999999</v>
      </c>
      <c r="G100" s="76">
        <v>3.1961529999999998</v>
      </c>
      <c r="H100" s="76">
        <v>3.2463419999999998</v>
      </c>
      <c r="I100" s="76">
        <v>3.2951519999999999</v>
      </c>
      <c r="J100" s="76">
        <v>3.3557399999999999</v>
      </c>
      <c r="K100" s="76">
        <v>3.4231340000000001</v>
      </c>
      <c r="L100" s="76">
        <v>3.4954710000000002</v>
      </c>
      <c r="M100" s="76">
        <v>3.5673729999999999</v>
      </c>
      <c r="N100" s="76">
        <v>3.6512199999999999</v>
      </c>
      <c r="O100" s="76">
        <v>3.7400479999999998</v>
      </c>
      <c r="P100" s="76">
        <v>3.829993</v>
      </c>
      <c r="Q100" s="76">
        <v>3.9235730000000002</v>
      </c>
      <c r="R100" s="76">
        <v>4.0266419999999998</v>
      </c>
      <c r="S100" s="76">
        <v>4.1348919999999998</v>
      </c>
      <c r="T100" s="76">
        <v>4.2378229999999997</v>
      </c>
      <c r="U100" s="76">
        <v>4.336017</v>
      </c>
      <c r="V100" s="76">
        <v>4.4367539999999996</v>
      </c>
      <c r="W100" s="76">
        <v>4.536867</v>
      </c>
      <c r="X100" s="76">
        <v>4.6450690000000003</v>
      </c>
      <c r="Y100" s="76">
        <v>4.7515689999999999</v>
      </c>
      <c r="Z100" s="76">
        <v>4.8683480000000001</v>
      </c>
      <c r="AA100" s="76">
        <v>4.9891750000000004</v>
      </c>
      <c r="AB100" s="76">
        <v>5.1152439999999997</v>
      </c>
      <c r="AC100" s="76">
        <v>5.2472009999999996</v>
      </c>
      <c r="AD100" s="76">
        <v>5.3670499999999999</v>
      </c>
      <c r="AE100" s="76">
        <v>5.497344</v>
      </c>
      <c r="AF100" s="77">
        <v>2.4392E-2</v>
      </c>
      <c r="AG100" s="49"/>
    </row>
    <row r="101" spans="1:33" x14ac:dyDescent="0.25">
      <c r="A101" s="48" t="s">
        <v>232</v>
      </c>
      <c r="B101" s="75" t="s">
        <v>168</v>
      </c>
      <c r="C101" s="76" t="s">
        <v>305</v>
      </c>
      <c r="D101" s="76" t="s">
        <v>305</v>
      </c>
      <c r="E101" s="76" t="s">
        <v>305</v>
      </c>
      <c r="F101" s="76" t="s">
        <v>305</v>
      </c>
      <c r="G101" s="76" t="s">
        <v>305</v>
      </c>
      <c r="H101" s="76" t="s">
        <v>305</v>
      </c>
      <c r="I101" s="76" t="s">
        <v>305</v>
      </c>
      <c r="J101" s="76" t="s">
        <v>305</v>
      </c>
      <c r="K101" s="76" t="s">
        <v>305</v>
      </c>
      <c r="L101" s="76" t="s">
        <v>305</v>
      </c>
      <c r="M101" s="76" t="s">
        <v>305</v>
      </c>
      <c r="N101" s="76" t="s">
        <v>305</v>
      </c>
      <c r="O101" s="76" t="s">
        <v>305</v>
      </c>
      <c r="P101" s="76" t="s">
        <v>305</v>
      </c>
      <c r="Q101" s="76" t="s">
        <v>305</v>
      </c>
      <c r="R101" s="76" t="s">
        <v>305</v>
      </c>
      <c r="S101" s="76" t="s">
        <v>305</v>
      </c>
      <c r="T101" s="76" t="s">
        <v>305</v>
      </c>
      <c r="U101" s="76" t="s">
        <v>305</v>
      </c>
      <c r="V101" s="76" t="s">
        <v>305</v>
      </c>
      <c r="W101" s="76" t="s">
        <v>305</v>
      </c>
      <c r="X101" s="76" t="s">
        <v>305</v>
      </c>
      <c r="Y101" s="76" t="s">
        <v>305</v>
      </c>
      <c r="Z101" s="76" t="s">
        <v>305</v>
      </c>
      <c r="AA101" s="76" t="s">
        <v>305</v>
      </c>
      <c r="AB101" s="76" t="s">
        <v>305</v>
      </c>
      <c r="AC101" s="76" t="s">
        <v>305</v>
      </c>
      <c r="AD101" s="76" t="s">
        <v>305</v>
      </c>
      <c r="AE101" s="76" t="s">
        <v>305</v>
      </c>
      <c r="AF101" s="77" t="s">
        <v>305</v>
      </c>
      <c r="AG101" s="49" t="s">
        <v>305</v>
      </c>
    </row>
    <row r="102" spans="1:33" x14ac:dyDescent="0.25">
      <c r="A102" s="48" t="s">
        <v>233</v>
      </c>
      <c r="B102" s="75" t="s">
        <v>149</v>
      </c>
      <c r="C102" s="76">
        <v>24.421028</v>
      </c>
      <c r="D102" s="76">
        <v>24.96011</v>
      </c>
      <c r="E102" s="76">
        <v>23.644715999999999</v>
      </c>
      <c r="F102" s="76">
        <v>22.842644</v>
      </c>
      <c r="G102" s="76">
        <v>22.436012000000002</v>
      </c>
      <c r="H102" s="76">
        <v>22.280173999999999</v>
      </c>
      <c r="I102" s="76">
        <v>22.339473999999999</v>
      </c>
      <c r="J102" s="76">
        <v>22.598642000000002</v>
      </c>
      <c r="K102" s="76">
        <v>23.043182000000002</v>
      </c>
      <c r="L102" s="76">
        <v>23.561640000000001</v>
      </c>
      <c r="M102" s="76">
        <v>24.117135999999999</v>
      </c>
      <c r="N102" s="76">
        <v>25.107063</v>
      </c>
      <c r="O102" s="76">
        <v>25.837824000000001</v>
      </c>
      <c r="P102" s="76">
        <v>26.373349999999999</v>
      </c>
      <c r="Q102" s="76">
        <v>27.152471999999999</v>
      </c>
      <c r="R102" s="76">
        <v>27.991188000000001</v>
      </c>
      <c r="S102" s="76">
        <v>28.998522000000001</v>
      </c>
      <c r="T102" s="76">
        <v>29.97673</v>
      </c>
      <c r="U102" s="76">
        <v>30.894469999999998</v>
      </c>
      <c r="V102" s="76">
        <v>31.797815</v>
      </c>
      <c r="W102" s="76">
        <v>32.53051</v>
      </c>
      <c r="X102" s="76">
        <v>33.213847999999999</v>
      </c>
      <c r="Y102" s="76">
        <v>33.968719</v>
      </c>
      <c r="Z102" s="76">
        <v>34.676791999999999</v>
      </c>
      <c r="AA102" s="76">
        <v>35.274234999999997</v>
      </c>
      <c r="AB102" s="76">
        <v>35.878371999999999</v>
      </c>
      <c r="AC102" s="76">
        <v>36.606673999999998</v>
      </c>
      <c r="AD102" s="76">
        <v>37.244061000000002</v>
      </c>
      <c r="AE102" s="76">
        <v>37.78595</v>
      </c>
      <c r="AF102" s="77">
        <v>1.5710999999999999E-2</v>
      </c>
      <c r="AG102" s="49"/>
    </row>
    <row r="103" spans="1:33" ht="15" customHeight="1" x14ac:dyDescent="0.25">
      <c r="A103" s="45"/>
      <c r="B103" s="49"/>
      <c r="C103" s="49"/>
      <c r="D103" s="49"/>
      <c r="E103" s="49"/>
      <c r="F103" s="49"/>
      <c r="G103" s="49"/>
      <c r="H103" s="49"/>
      <c r="I103" s="49"/>
      <c r="J103" s="49"/>
      <c r="K103" s="49"/>
      <c r="L103" s="49"/>
      <c r="M103" s="49"/>
      <c r="N103" s="49"/>
      <c r="O103" s="49"/>
      <c r="P103" s="49"/>
      <c r="Q103" s="49"/>
      <c r="R103" s="49"/>
      <c r="S103" s="49"/>
      <c r="T103" s="49"/>
      <c r="U103" s="49"/>
      <c r="V103" s="49"/>
      <c r="W103" s="49"/>
      <c r="X103" s="49"/>
      <c r="Y103" s="49"/>
      <c r="Z103" s="49"/>
      <c r="AA103" s="49"/>
      <c r="AB103" s="49"/>
      <c r="AC103" s="49"/>
      <c r="AD103" s="49"/>
      <c r="AE103" s="49"/>
      <c r="AF103" s="49"/>
      <c r="AG103" s="49"/>
    </row>
    <row r="104" spans="1:33" ht="15" customHeight="1" x14ac:dyDescent="0.25">
      <c r="A104" s="45"/>
      <c r="B104" s="49"/>
      <c r="C104" s="49"/>
      <c r="D104" s="49"/>
      <c r="E104" s="49"/>
      <c r="F104" s="49"/>
      <c r="G104" s="49"/>
      <c r="H104" s="49"/>
      <c r="I104" s="49"/>
      <c r="J104" s="49"/>
      <c r="K104" s="49"/>
      <c r="L104" s="49"/>
      <c r="M104" s="49"/>
      <c r="N104" s="49"/>
      <c r="O104" s="49"/>
      <c r="P104" s="49"/>
      <c r="Q104" s="49"/>
      <c r="R104" s="49"/>
      <c r="S104" s="49"/>
      <c r="T104" s="49"/>
      <c r="U104" s="49"/>
      <c r="V104" s="49"/>
      <c r="W104" s="49"/>
      <c r="X104" s="49"/>
      <c r="Y104" s="49"/>
      <c r="Z104" s="49"/>
      <c r="AA104" s="49"/>
      <c r="AB104" s="49"/>
      <c r="AC104" s="49"/>
      <c r="AD104" s="49"/>
      <c r="AE104" s="49"/>
      <c r="AF104" s="49"/>
      <c r="AG104" s="49"/>
    </row>
    <row r="105" spans="1:33" ht="15" customHeight="1" x14ac:dyDescent="0.25">
      <c r="A105" s="45"/>
      <c r="B105" s="74" t="s">
        <v>170</v>
      </c>
      <c r="C105" s="49"/>
      <c r="D105" s="49"/>
      <c r="E105" s="49"/>
      <c r="F105" s="49"/>
      <c r="G105" s="49"/>
      <c r="H105" s="49"/>
      <c r="I105" s="49"/>
      <c r="J105" s="49"/>
      <c r="K105" s="49"/>
      <c r="L105" s="49"/>
      <c r="M105" s="49"/>
      <c r="N105" s="49"/>
      <c r="O105" s="49"/>
      <c r="P105" s="49"/>
      <c r="Q105" s="49"/>
      <c r="R105" s="49"/>
      <c r="S105" s="49"/>
      <c r="T105" s="49"/>
      <c r="U105" s="49"/>
      <c r="V105" s="49"/>
      <c r="W105" s="49"/>
      <c r="X105" s="49"/>
      <c r="Y105" s="49"/>
      <c r="Z105" s="49"/>
      <c r="AA105" s="49"/>
      <c r="AB105" s="49"/>
      <c r="AC105" s="49"/>
      <c r="AD105" s="49"/>
      <c r="AE105" s="49"/>
      <c r="AF105" s="49"/>
      <c r="AG105" s="49"/>
    </row>
    <row r="106" spans="1:33" ht="15" customHeight="1" x14ac:dyDescent="0.25">
      <c r="A106" s="48" t="s">
        <v>234</v>
      </c>
      <c r="B106" s="75" t="s">
        <v>143</v>
      </c>
      <c r="C106" s="76">
        <v>25.673756000000001</v>
      </c>
      <c r="D106" s="76">
        <v>25.126116</v>
      </c>
      <c r="E106" s="76">
        <v>23.972083999999999</v>
      </c>
      <c r="F106" s="76">
        <v>22.688417000000001</v>
      </c>
      <c r="G106" s="76">
        <v>22.262647999999999</v>
      </c>
      <c r="H106" s="76">
        <v>22.246663999999999</v>
      </c>
      <c r="I106" s="76">
        <v>22.646167999999999</v>
      </c>
      <c r="J106" s="76">
        <v>23.273523000000001</v>
      </c>
      <c r="K106" s="76">
        <v>24.112515999999999</v>
      </c>
      <c r="L106" s="76">
        <v>25.077665</v>
      </c>
      <c r="M106" s="76">
        <v>26.182877000000001</v>
      </c>
      <c r="N106" s="76">
        <v>27.400317999999999</v>
      </c>
      <c r="O106" s="76">
        <v>28.550802000000001</v>
      </c>
      <c r="P106" s="76">
        <v>29.507380999999999</v>
      </c>
      <c r="Q106" s="76">
        <v>30.364902000000001</v>
      </c>
      <c r="R106" s="76">
        <v>31.264492000000001</v>
      </c>
      <c r="S106" s="76">
        <v>32.390388000000002</v>
      </c>
      <c r="T106" s="76">
        <v>33.095917</v>
      </c>
      <c r="U106" s="76">
        <v>34.222808999999998</v>
      </c>
      <c r="V106" s="76">
        <v>35.294552000000003</v>
      </c>
      <c r="W106" s="76">
        <v>36.218792000000001</v>
      </c>
      <c r="X106" s="76">
        <v>37.040210999999999</v>
      </c>
      <c r="Y106" s="76">
        <v>37.820537999999999</v>
      </c>
      <c r="Z106" s="76">
        <v>38.804226</v>
      </c>
      <c r="AA106" s="76">
        <v>40.154991000000003</v>
      </c>
      <c r="AB106" s="76">
        <v>41.167042000000002</v>
      </c>
      <c r="AC106" s="76">
        <v>42.302405999999998</v>
      </c>
      <c r="AD106" s="76">
        <v>43.297089</v>
      </c>
      <c r="AE106" s="76">
        <v>44.274585999999999</v>
      </c>
      <c r="AF106" s="77">
        <v>1.9653E-2</v>
      </c>
      <c r="AG106" s="49"/>
    </row>
    <row r="107" spans="1:33" ht="15" customHeight="1" x14ac:dyDescent="0.25">
      <c r="A107" s="48" t="s">
        <v>235</v>
      </c>
      <c r="B107" s="75" t="s">
        <v>173</v>
      </c>
      <c r="C107" s="76">
        <v>38.155422000000002</v>
      </c>
      <c r="D107" s="76">
        <v>35.138969000000003</v>
      </c>
      <c r="E107" s="76">
        <v>34.57761</v>
      </c>
      <c r="F107" s="76">
        <v>32.976173000000003</v>
      </c>
      <c r="G107" s="76">
        <v>33.359932000000001</v>
      </c>
      <c r="H107" s="76">
        <v>33.896748000000002</v>
      </c>
      <c r="I107" s="76">
        <v>34.674334999999999</v>
      </c>
      <c r="J107" s="76">
        <v>35.525641999999998</v>
      </c>
      <c r="K107" s="76">
        <v>36.483246000000001</v>
      </c>
      <c r="L107" s="76">
        <v>37.289653999999999</v>
      </c>
      <c r="M107" s="76">
        <v>38.388846999999998</v>
      </c>
      <c r="N107" s="76">
        <v>39.432471999999997</v>
      </c>
      <c r="O107" s="76">
        <v>40.560032</v>
      </c>
      <c r="P107" s="76">
        <v>41.640037999999997</v>
      </c>
      <c r="Q107" s="76">
        <v>43.104500000000002</v>
      </c>
      <c r="R107" s="76">
        <v>44.169688999999998</v>
      </c>
      <c r="S107" s="76">
        <v>45.322249999999997</v>
      </c>
      <c r="T107" s="76">
        <v>46.550319999999999</v>
      </c>
      <c r="U107" s="76">
        <v>47.680573000000003</v>
      </c>
      <c r="V107" s="76">
        <v>48.776634000000001</v>
      </c>
      <c r="W107" s="76">
        <v>50.036262999999998</v>
      </c>
      <c r="X107" s="76">
        <v>50.996490000000001</v>
      </c>
      <c r="Y107" s="76">
        <v>52.537441000000001</v>
      </c>
      <c r="Z107" s="76">
        <v>53.805576000000002</v>
      </c>
      <c r="AA107" s="76">
        <v>56.541190999999998</v>
      </c>
      <c r="AB107" s="76">
        <v>57.901271999999999</v>
      </c>
      <c r="AC107" s="76">
        <v>59.805683000000002</v>
      </c>
      <c r="AD107" s="76">
        <v>61.428082000000003</v>
      </c>
      <c r="AE107" s="76">
        <v>63.500064999999999</v>
      </c>
      <c r="AF107" s="77">
        <v>1.8357999999999999E-2</v>
      </c>
      <c r="AG107" s="49"/>
    </row>
    <row r="108" spans="1:33" ht="15" customHeight="1" x14ac:dyDescent="0.25">
      <c r="A108" s="48" t="s">
        <v>236</v>
      </c>
      <c r="B108" s="75" t="s">
        <v>175</v>
      </c>
      <c r="C108" s="76">
        <v>34.785815999999997</v>
      </c>
      <c r="D108" s="76">
        <v>31.761756999999999</v>
      </c>
      <c r="E108" s="76">
        <v>29.500557000000001</v>
      </c>
      <c r="F108" s="76">
        <v>28.136593000000001</v>
      </c>
      <c r="G108" s="76">
        <v>28.431668999999999</v>
      </c>
      <c r="H108" s="76">
        <v>28.872221</v>
      </c>
      <c r="I108" s="76">
        <v>29.510045999999999</v>
      </c>
      <c r="J108" s="76">
        <v>30.210253000000002</v>
      </c>
      <c r="K108" s="76">
        <v>30.992207000000001</v>
      </c>
      <c r="L108" s="76">
        <v>31.656433</v>
      </c>
      <c r="M108" s="76">
        <v>32.552943999999997</v>
      </c>
      <c r="N108" s="76">
        <v>33.405845999999997</v>
      </c>
      <c r="O108" s="76">
        <v>34.324748999999997</v>
      </c>
      <c r="P108" s="76">
        <v>35.207287000000001</v>
      </c>
      <c r="Q108" s="76">
        <v>36.408394000000001</v>
      </c>
      <c r="R108" s="76">
        <v>37.279471999999998</v>
      </c>
      <c r="S108" s="76">
        <v>38.222057</v>
      </c>
      <c r="T108" s="76">
        <v>39.234305999999997</v>
      </c>
      <c r="U108" s="76">
        <v>40.164845</v>
      </c>
      <c r="V108" s="76">
        <v>41.068604000000001</v>
      </c>
      <c r="W108" s="76">
        <v>42.107441000000001</v>
      </c>
      <c r="X108" s="76">
        <v>42.901671999999998</v>
      </c>
      <c r="Y108" s="76">
        <v>44.183495000000001</v>
      </c>
      <c r="Z108" s="76">
        <v>45.233184999999999</v>
      </c>
      <c r="AA108" s="76">
        <v>47.590758999999998</v>
      </c>
      <c r="AB108" s="76">
        <v>48.719776000000003</v>
      </c>
      <c r="AC108" s="76">
        <v>50.296646000000003</v>
      </c>
      <c r="AD108" s="76">
        <v>51.640278000000002</v>
      </c>
      <c r="AE108" s="76">
        <v>53.353146000000002</v>
      </c>
      <c r="AF108" s="77">
        <v>1.5393E-2</v>
      </c>
      <c r="AG108" s="49"/>
    </row>
    <row r="109" spans="1:33" ht="15" customHeight="1" x14ac:dyDescent="0.25">
      <c r="A109" s="48" t="s">
        <v>237</v>
      </c>
      <c r="B109" s="75" t="s">
        <v>177</v>
      </c>
      <c r="C109" s="76">
        <v>26.739815</v>
      </c>
      <c r="D109" s="76">
        <v>23.500710999999999</v>
      </c>
      <c r="E109" s="76">
        <v>23.104317000000002</v>
      </c>
      <c r="F109" s="76">
        <v>21.990542999999999</v>
      </c>
      <c r="G109" s="76">
        <v>22.204429999999999</v>
      </c>
      <c r="H109" s="76">
        <v>22.419402999999999</v>
      </c>
      <c r="I109" s="76">
        <v>22.794266</v>
      </c>
      <c r="J109" s="76">
        <v>23.428768000000002</v>
      </c>
      <c r="K109" s="76">
        <v>23.978318999999999</v>
      </c>
      <c r="L109" s="76">
        <v>24.797031</v>
      </c>
      <c r="M109" s="76">
        <v>25.567731999999999</v>
      </c>
      <c r="N109" s="76">
        <v>26.286256999999999</v>
      </c>
      <c r="O109" s="76">
        <v>27.115189000000001</v>
      </c>
      <c r="P109" s="76">
        <v>27.960740999999999</v>
      </c>
      <c r="Q109" s="76">
        <v>28.743019</v>
      </c>
      <c r="R109" s="76">
        <v>29.563089000000002</v>
      </c>
      <c r="S109" s="76">
        <v>30.395921999999999</v>
      </c>
      <c r="T109" s="76">
        <v>31.20879</v>
      </c>
      <c r="U109" s="76">
        <v>32.088695999999999</v>
      </c>
      <c r="V109" s="76">
        <v>33.129855999999997</v>
      </c>
      <c r="W109" s="76">
        <v>33.955685000000003</v>
      </c>
      <c r="X109" s="76">
        <v>35.00074</v>
      </c>
      <c r="Y109" s="76">
        <v>35.742362999999997</v>
      </c>
      <c r="Z109" s="76">
        <v>36.840632999999997</v>
      </c>
      <c r="AA109" s="76">
        <v>38.270755999999999</v>
      </c>
      <c r="AB109" s="76">
        <v>39.262115000000001</v>
      </c>
      <c r="AC109" s="76">
        <v>40.314140000000002</v>
      </c>
      <c r="AD109" s="76">
        <v>41.469558999999997</v>
      </c>
      <c r="AE109" s="76">
        <v>42.525970000000001</v>
      </c>
      <c r="AF109" s="77">
        <v>1.6708000000000001E-2</v>
      </c>
      <c r="AG109" s="49"/>
    </row>
    <row r="110" spans="1:33" ht="15" customHeight="1" x14ac:dyDescent="0.25">
      <c r="A110" s="48" t="s">
        <v>238</v>
      </c>
      <c r="B110" s="75" t="s">
        <v>179</v>
      </c>
      <c r="C110" s="76">
        <v>37.123702999999999</v>
      </c>
      <c r="D110" s="76">
        <v>34.215778</v>
      </c>
      <c r="E110" s="76">
        <v>33.250453999999998</v>
      </c>
      <c r="F110" s="76">
        <v>31.674195999999998</v>
      </c>
      <c r="G110" s="76">
        <v>31.318249000000002</v>
      </c>
      <c r="H110" s="76">
        <v>30.929749000000001</v>
      </c>
      <c r="I110" s="76">
        <v>30.700182000000002</v>
      </c>
      <c r="J110" s="76">
        <v>31.487065999999999</v>
      </c>
      <c r="K110" s="76">
        <v>32.220764000000003</v>
      </c>
      <c r="L110" s="76">
        <v>33.151676000000002</v>
      </c>
      <c r="M110" s="76">
        <v>34.071334999999998</v>
      </c>
      <c r="N110" s="76">
        <v>35.032707000000002</v>
      </c>
      <c r="O110" s="76">
        <v>35.935519999999997</v>
      </c>
      <c r="P110" s="76">
        <v>37.058163</v>
      </c>
      <c r="Q110" s="76">
        <v>37.920760999999999</v>
      </c>
      <c r="R110" s="76">
        <v>38.966869000000003</v>
      </c>
      <c r="S110" s="76">
        <v>39.976298999999997</v>
      </c>
      <c r="T110" s="76">
        <v>40.918312</v>
      </c>
      <c r="U110" s="76">
        <v>41.903869999999998</v>
      </c>
      <c r="V110" s="76">
        <v>43.109046999999997</v>
      </c>
      <c r="W110" s="76">
        <v>44.099266</v>
      </c>
      <c r="X110" s="76">
        <v>45.305222000000001</v>
      </c>
      <c r="Y110" s="76">
        <v>46.194873999999999</v>
      </c>
      <c r="Z110" s="76">
        <v>47.366039000000001</v>
      </c>
      <c r="AA110" s="76">
        <v>49.507373999999999</v>
      </c>
      <c r="AB110" s="76">
        <v>50.729691000000003</v>
      </c>
      <c r="AC110" s="76">
        <v>52.033237</v>
      </c>
      <c r="AD110" s="76">
        <v>53.401138000000003</v>
      </c>
      <c r="AE110" s="76">
        <v>54.706234000000002</v>
      </c>
      <c r="AF110" s="77">
        <v>1.3944E-2</v>
      </c>
      <c r="AG110" s="49"/>
    </row>
    <row r="111" spans="1:33" ht="15" customHeight="1" x14ac:dyDescent="0.25">
      <c r="A111" s="48" t="s">
        <v>239</v>
      </c>
      <c r="B111" s="75" t="s">
        <v>154</v>
      </c>
      <c r="C111" s="76">
        <v>15.39181</v>
      </c>
      <c r="D111" s="76">
        <v>16.19483</v>
      </c>
      <c r="E111" s="76">
        <v>18.455704000000001</v>
      </c>
      <c r="F111" s="76">
        <v>17.885569</v>
      </c>
      <c r="G111" s="76">
        <v>18.287172000000002</v>
      </c>
      <c r="H111" s="76">
        <v>18.767561000000001</v>
      </c>
      <c r="I111" s="76">
        <v>19.210927999999999</v>
      </c>
      <c r="J111" s="76">
        <v>19.72588</v>
      </c>
      <c r="K111" s="76">
        <v>20.287731000000001</v>
      </c>
      <c r="L111" s="76">
        <v>20.848289000000001</v>
      </c>
      <c r="M111" s="76">
        <v>21.450903</v>
      </c>
      <c r="N111" s="76">
        <v>22.081071999999999</v>
      </c>
      <c r="O111" s="76">
        <v>22.733944000000001</v>
      </c>
      <c r="P111" s="76">
        <v>23.422851999999999</v>
      </c>
      <c r="Q111" s="76">
        <v>24.042952</v>
      </c>
      <c r="R111" s="76">
        <v>24.710025999999999</v>
      </c>
      <c r="S111" s="76">
        <v>25.400791000000002</v>
      </c>
      <c r="T111" s="76">
        <v>26.065795999999999</v>
      </c>
      <c r="U111" s="76">
        <v>26.746497999999999</v>
      </c>
      <c r="V111" s="76">
        <v>27.515944000000001</v>
      </c>
      <c r="W111" s="76">
        <v>28.178975999999999</v>
      </c>
      <c r="X111" s="76">
        <v>28.950792</v>
      </c>
      <c r="Y111" s="76">
        <v>29.614688999999998</v>
      </c>
      <c r="Z111" s="76">
        <v>30.381294</v>
      </c>
      <c r="AA111" s="76">
        <v>31.414185</v>
      </c>
      <c r="AB111" s="76">
        <v>32.154549000000003</v>
      </c>
      <c r="AC111" s="76">
        <v>33.114384000000001</v>
      </c>
      <c r="AD111" s="76">
        <v>34.071102000000003</v>
      </c>
      <c r="AE111" s="76">
        <v>35.065899000000002</v>
      </c>
      <c r="AF111" s="77">
        <v>2.9843999999999999E-2</v>
      </c>
      <c r="AG111" s="49"/>
    </row>
    <row r="112" spans="1:33" ht="15" customHeight="1" x14ac:dyDescent="0.25">
      <c r="A112" s="48" t="s">
        <v>240</v>
      </c>
      <c r="B112" s="75" t="s">
        <v>182</v>
      </c>
      <c r="C112" s="81">
        <v>17.54928</v>
      </c>
      <c r="D112" s="81">
        <v>16.972200000000001</v>
      </c>
      <c r="E112" s="81">
        <v>15.881209999999999</v>
      </c>
      <c r="F112" s="81">
        <v>15.590877000000001</v>
      </c>
      <c r="G112" s="81">
        <v>15.150073000000001</v>
      </c>
      <c r="H112" s="81">
        <v>15.077931</v>
      </c>
      <c r="I112" s="81">
        <v>15.114409999999999</v>
      </c>
      <c r="J112" s="81">
        <v>15.289465999999999</v>
      </c>
      <c r="K112" s="81">
        <v>15.541657000000001</v>
      </c>
      <c r="L112" s="81">
        <v>15.883558000000001</v>
      </c>
      <c r="M112" s="81">
        <v>16.221067000000001</v>
      </c>
      <c r="N112" s="81">
        <v>16.659867999999999</v>
      </c>
      <c r="O112" s="81">
        <v>17.05481</v>
      </c>
      <c r="P112" s="81">
        <v>17.415800000000001</v>
      </c>
      <c r="Q112" s="81">
        <v>17.633558000000001</v>
      </c>
      <c r="R112" s="81">
        <v>17.873118999999999</v>
      </c>
      <c r="S112" s="81">
        <v>18.259066000000001</v>
      </c>
      <c r="T112" s="81">
        <v>18.358405999999999</v>
      </c>
      <c r="U112" s="81">
        <v>18.734629000000002</v>
      </c>
      <c r="V112" s="81">
        <v>19.061485000000001</v>
      </c>
      <c r="W112" s="81">
        <v>19.275113999999999</v>
      </c>
      <c r="X112" s="81">
        <v>19.433617000000002</v>
      </c>
      <c r="Y112" s="81">
        <v>19.591116</v>
      </c>
      <c r="Z112" s="81">
        <v>19.925363999999998</v>
      </c>
      <c r="AA112" s="81">
        <v>21.447821000000001</v>
      </c>
      <c r="AB112" s="81">
        <v>21.667884999999998</v>
      </c>
      <c r="AC112" s="81">
        <v>21.905306</v>
      </c>
      <c r="AD112" s="81">
        <v>22.201149000000001</v>
      </c>
      <c r="AE112" s="81">
        <v>22.578299999999999</v>
      </c>
      <c r="AF112" s="82">
        <v>9.0399999999999994E-3</v>
      </c>
      <c r="AG112" s="49"/>
    </row>
    <row r="113" spans="1:33" ht="15" customHeight="1" x14ac:dyDescent="0.25">
      <c r="A113" s="48" t="s">
        <v>241</v>
      </c>
      <c r="B113" s="75" t="s">
        <v>149</v>
      </c>
      <c r="C113" s="76">
        <v>42.503979000000001</v>
      </c>
      <c r="D113" s="76">
        <v>45.833939000000001</v>
      </c>
      <c r="E113" s="76">
        <v>45.549683000000002</v>
      </c>
      <c r="F113" s="76">
        <v>43.892589999999998</v>
      </c>
      <c r="G113" s="76">
        <v>44.413597000000003</v>
      </c>
      <c r="H113" s="76">
        <v>45.294913999999999</v>
      </c>
      <c r="I113" s="76">
        <v>46.171925000000002</v>
      </c>
      <c r="J113" s="76">
        <v>47.164042999999999</v>
      </c>
      <c r="K113" s="76">
        <v>48.226849000000001</v>
      </c>
      <c r="L113" s="76">
        <v>49.574916999999999</v>
      </c>
      <c r="M113" s="76">
        <v>51.012875000000001</v>
      </c>
      <c r="N113" s="76">
        <v>52.739711999999997</v>
      </c>
      <c r="O113" s="76">
        <v>54.387337000000002</v>
      </c>
      <c r="P113" s="76">
        <v>55.935786999999998</v>
      </c>
      <c r="Q113" s="76">
        <v>57.241295000000001</v>
      </c>
      <c r="R113" s="76">
        <v>58.983448000000003</v>
      </c>
      <c r="S113" s="76">
        <v>60.685164999999998</v>
      </c>
      <c r="T113" s="76">
        <v>62.627850000000002</v>
      </c>
      <c r="U113" s="76">
        <v>64.344666000000004</v>
      </c>
      <c r="V113" s="76">
        <v>66.164664999999999</v>
      </c>
      <c r="W113" s="76">
        <v>67.661811999999998</v>
      </c>
      <c r="X113" s="76">
        <v>69.160797000000002</v>
      </c>
      <c r="Y113" s="76">
        <v>70.703117000000006</v>
      </c>
      <c r="Z113" s="76">
        <v>72.438582999999994</v>
      </c>
      <c r="AA113" s="76">
        <v>74.334739999999996</v>
      </c>
      <c r="AB113" s="76">
        <v>75.848502999999994</v>
      </c>
      <c r="AC113" s="76">
        <v>77.671402</v>
      </c>
      <c r="AD113" s="76">
        <v>78.670670000000001</v>
      </c>
      <c r="AE113" s="76">
        <v>79.870979000000005</v>
      </c>
      <c r="AF113" s="77">
        <v>2.2785E-2</v>
      </c>
      <c r="AG113" s="49"/>
    </row>
    <row r="114" spans="1:33" ht="15" customHeight="1" x14ac:dyDescent="0.25">
      <c r="A114" s="45"/>
      <c r="B114" s="49"/>
      <c r="C114" s="49"/>
      <c r="D114" s="49"/>
      <c r="E114" s="49"/>
      <c r="F114" s="49"/>
      <c r="G114" s="49"/>
      <c r="H114" s="49"/>
      <c r="I114" s="49"/>
      <c r="J114" s="49"/>
      <c r="K114" s="49"/>
      <c r="L114" s="49"/>
      <c r="M114" s="49"/>
      <c r="N114" s="49"/>
      <c r="O114" s="49"/>
      <c r="P114" s="49"/>
      <c r="Q114" s="49"/>
      <c r="R114" s="49"/>
      <c r="S114" s="49"/>
      <c r="T114" s="49"/>
      <c r="U114" s="49"/>
      <c r="V114" s="49"/>
      <c r="W114" s="49"/>
      <c r="X114" s="49"/>
      <c r="Y114" s="49"/>
      <c r="Z114" s="49"/>
      <c r="AA114" s="49"/>
      <c r="AB114" s="49"/>
      <c r="AC114" s="49"/>
      <c r="AD114" s="49"/>
      <c r="AE114" s="49"/>
      <c r="AF114" s="49"/>
      <c r="AG114" s="49"/>
    </row>
    <row r="115" spans="1:33" ht="15" customHeight="1" x14ac:dyDescent="0.25">
      <c r="A115" s="45"/>
      <c r="B115" s="74" t="s">
        <v>184</v>
      </c>
      <c r="C115" s="49"/>
      <c r="D115" s="49"/>
      <c r="E115" s="49"/>
      <c r="F115" s="49"/>
      <c r="G115" s="49"/>
      <c r="H115" s="49"/>
      <c r="I115" s="49"/>
      <c r="J115" s="49"/>
      <c r="K115" s="49"/>
      <c r="L115" s="49"/>
      <c r="M115" s="49"/>
      <c r="N115" s="49"/>
      <c r="O115" s="49"/>
      <c r="P115" s="49"/>
      <c r="Q115" s="49"/>
      <c r="R115" s="49"/>
      <c r="S115" s="49"/>
      <c r="T115" s="49"/>
      <c r="U115" s="49"/>
      <c r="V115" s="49"/>
      <c r="W115" s="49"/>
      <c r="X115" s="49"/>
      <c r="Y115" s="49"/>
      <c r="Z115" s="49"/>
      <c r="AA115" s="49"/>
      <c r="AB115" s="49"/>
      <c r="AC115" s="49"/>
      <c r="AD115" s="49"/>
      <c r="AE115" s="49"/>
      <c r="AF115" s="49"/>
      <c r="AG115" s="49"/>
    </row>
    <row r="116" spans="1:33" ht="15" customHeight="1" x14ac:dyDescent="0.25">
      <c r="A116" s="48" t="s">
        <v>242</v>
      </c>
      <c r="B116" s="75" t="s">
        <v>145</v>
      </c>
      <c r="C116" s="76">
        <v>35.259407000000003</v>
      </c>
      <c r="D116" s="76">
        <v>34.269008999999997</v>
      </c>
      <c r="E116" s="76">
        <v>32.765411</v>
      </c>
      <c r="F116" s="76">
        <v>30.383576999999999</v>
      </c>
      <c r="G116" s="76">
        <v>29.2376</v>
      </c>
      <c r="H116" s="76">
        <v>28.032406000000002</v>
      </c>
      <c r="I116" s="76">
        <v>26.865120000000001</v>
      </c>
      <c r="J116" s="76">
        <v>27.668533</v>
      </c>
      <c r="K116" s="76">
        <v>28.455449999999999</v>
      </c>
      <c r="L116" s="76">
        <v>29.090471000000001</v>
      </c>
      <c r="M116" s="76">
        <v>29.901721999999999</v>
      </c>
      <c r="N116" s="76">
        <v>30.598248999999999</v>
      </c>
      <c r="O116" s="76">
        <v>31.515294999999998</v>
      </c>
      <c r="P116" s="76">
        <v>32.383910999999998</v>
      </c>
      <c r="Q116" s="76">
        <v>33.228850999999999</v>
      </c>
      <c r="R116" s="76">
        <v>34.043925999999999</v>
      </c>
      <c r="S116" s="76">
        <v>34.855010999999998</v>
      </c>
      <c r="T116" s="76">
        <v>35.732315</v>
      </c>
      <c r="U116" s="76">
        <v>36.671261000000001</v>
      </c>
      <c r="V116" s="76">
        <v>37.740310999999998</v>
      </c>
      <c r="W116" s="76">
        <v>38.580008999999997</v>
      </c>
      <c r="X116" s="76">
        <v>39.647185999999998</v>
      </c>
      <c r="Y116" s="76">
        <v>40.466434</v>
      </c>
      <c r="Z116" s="76">
        <v>41.605182999999997</v>
      </c>
      <c r="AA116" s="76">
        <v>43.006217999999997</v>
      </c>
      <c r="AB116" s="76">
        <v>44.095973999999998</v>
      </c>
      <c r="AC116" s="76">
        <v>45.241764000000003</v>
      </c>
      <c r="AD116" s="76">
        <v>46.551720000000003</v>
      </c>
      <c r="AE116" s="76">
        <v>47.688811999999999</v>
      </c>
      <c r="AF116" s="77">
        <v>1.0843E-2</v>
      </c>
      <c r="AG116" s="49"/>
    </row>
    <row r="117" spans="1:33" ht="15" customHeight="1" x14ac:dyDescent="0.25">
      <c r="A117" s="48" t="s">
        <v>243</v>
      </c>
      <c r="B117" s="75" t="s">
        <v>154</v>
      </c>
      <c r="C117" s="76">
        <v>21.746656000000002</v>
      </c>
      <c r="D117" s="76">
        <v>19.351803</v>
      </c>
      <c r="E117" s="76">
        <v>19.668565999999998</v>
      </c>
      <c r="F117" s="76">
        <v>18.99427</v>
      </c>
      <c r="G117" s="76">
        <v>19.36524</v>
      </c>
      <c r="H117" s="76">
        <v>19.845839999999999</v>
      </c>
      <c r="I117" s="76">
        <v>20.268340999999999</v>
      </c>
      <c r="J117" s="76">
        <v>20.782347000000001</v>
      </c>
      <c r="K117" s="76">
        <v>21.344961000000001</v>
      </c>
      <c r="L117" s="76">
        <v>21.885960000000001</v>
      </c>
      <c r="M117" s="76">
        <v>22.496748</v>
      </c>
      <c r="N117" s="76">
        <v>23.127866999999998</v>
      </c>
      <c r="O117" s="76">
        <v>23.776751999999998</v>
      </c>
      <c r="P117" s="76">
        <v>24.495305999999999</v>
      </c>
      <c r="Q117" s="76">
        <v>25.132807</v>
      </c>
      <c r="R117" s="76">
        <v>25.783670000000001</v>
      </c>
      <c r="S117" s="76">
        <v>26.457172</v>
      </c>
      <c r="T117" s="76">
        <v>27.123766</v>
      </c>
      <c r="U117" s="76">
        <v>27.747868</v>
      </c>
      <c r="V117" s="76">
        <v>28.331589000000001</v>
      </c>
      <c r="W117" s="76">
        <v>28.805592000000001</v>
      </c>
      <c r="X117" s="76">
        <v>29.273562999999999</v>
      </c>
      <c r="Y117" s="76">
        <v>29.630768</v>
      </c>
      <c r="Z117" s="76">
        <v>29.952159999999999</v>
      </c>
      <c r="AA117" s="76">
        <v>31.041374000000001</v>
      </c>
      <c r="AB117" s="76">
        <v>31.827347</v>
      </c>
      <c r="AC117" s="76">
        <v>32.782425000000003</v>
      </c>
      <c r="AD117" s="76">
        <v>33.747967000000003</v>
      </c>
      <c r="AE117" s="76">
        <v>34.688557000000003</v>
      </c>
      <c r="AF117" s="77">
        <v>1.6816999999999999E-2</v>
      </c>
      <c r="AG117" s="49"/>
    </row>
    <row r="118" spans="1:33" ht="15" customHeight="1" x14ac:dyDescent="0.25">
      <c r="A118" s="48" t="s">
        <v>244</v>
      </c>
      <c r="B118" s="75" t="s">
        <v>147</v>
      </c>
      <c r="C118" s="76">
        <v>7.0200610000000001</v>
      </c>
      <c r="D118" s="76">
        <v>5.8542480000000001</v>
      </c>
      <c r="E118" s="76">
        <v>4.7817379999999998</v>
      </c>
      <c r="F118" s="76">
        <v>4.2155240000000003</v>
      </c>
      <c r="G118" s="76">
        <v>3.7681770000000001</v>
      </c>
      <c r="H118" s="76">
        <v>3.5095610000000002</v>
      </c>
      <c r="I118" s="76">
        <v>3.4479899999999999</v>
      </c>
      <c r="J118" s="76">
        <v>3.5179290000000001</v>
      </c>
      <c r="K118" s="76">
        <v>3.6412629999999999</v>
      </c>
      <c r="L118" s="76">
        <v>3.8133270000000001</v>
      </c>
      <c r="M118" s="76">
        <v>4.0035619999999996</v>
      </c>
      <c r="N118" s="76">
        <v>4.2668499999999998</v>
      </c>
      <c r="O118" s="76">
        <v>4.5145970000000002</v>
      </c>
      <c r="P118" s="76">
        <v>4.7836530000000002</v>
      </c>
      <c r="Q118" s="76">
        <v>4.9428960000000002</v>
      </c>
      <c r="R118" s="76">
        <v>5.120965</v>
      </c>
      <c r="S118" s="76">
        <v>5.4377269999999998</v>
      </c>
      <c r="T118" s="76">
        <v>5.5140459999999996</v>
      </c>
      <c r="U118" s="76">
        <v>5.8494599999999997</v>
      </c>
      <c r="V118" s="76">
        <v>6.0950660000000001</v>
      </c>
      <c r="W118" s="76">
        <v>6.2025119999999996</v>
      </c>
      <c r="X118" s="76">
        <v>6.2608189999999997</v>
      </c>
      <c r="Y118" s="76">
        <v>6.2909519999999999</v>
      </c>
      <c r="Z118" s="76">
        <v>6.4234739999999997</v>
      </c>
      <c r="AA118" s="76">
        <v>6.5334880000000002</v>
      </c>
      <c r="AB118" s="76">
        <v>6.6310859999999998</v>
      </c>
      <c r="AC118" s="76">
        <v>6.7598010000000004</v>
      </c>
      <c r="AD118" s="76">
        <v>6.8192959999999996</v>
      </c>
      <c r="AE118" s="76">
        <v>6.9804029999999999</v>
      </c>
      <c r="AF118" s="77">
        <v>-2.02E-4</v>
      </c>
      <c r="AG118" s="49"/>
    </row>
    <row r="119" spans="1:33" ht="15" customHeight="1" x14ac:dyDescent="0.25">
      <c r="A119" s="48" t="s">
        <v>245</v>
      </c>
      <c r="B119" s="75" t="s">
        <v>189</v>
      </c>
      <c r="C119" s="76">
        <v>2.1347619999999998</v>
      </c>
      <c r="D119" s="76">
        <v>2.1421649999999999</v>
      </c>
      <c r="E119" s="76">
        <v>2.1909679999999998</v>
      </c>
      <c r="F119" s="76">
        <v>2.220377</v>
      </c>
      <c r="G119" s="76">
        <v>2.2354729999999998</v>
      </c>
      <c r="H119" s="76">
        <v>2.2616329999999998</v>
      </c>
      <c r="I119" s="76">
        <v>2.282006</v>
      </c>
      <c r="J119" s="76">
        <v>2.3184779999999998</v>
      </c>
      <c r="K119" s="76">
        <v>2.3718789999999998</v>
      </c>
      <c r="L119" s="76">
        <v>2.4175779999999998</v>
      </c>
      <c r="M119" s="76">
        <v>2.4353539999999998</v>
      </c>
      <c r="N119" s="76">
        <v>2.4780790000000001</v>
      </c>
      <c r="O119" s="76">
        <v>2.535536</v>
      </c>
      <c r="P119" s="76">
        <v>2.5856400000000002</v>
      </c>
      <c r="Q119" s="76">
        <v>2.6363819999999998</v>
      </c>
      <c r="R119" s="76">
        <v>2.692221</v>
      </c>
      <c r="S119" s="76">
        <v>2.7887789999999999</v>
      </c>
      <c r="T119" s="76">
        <v>2.8435320000000002</v>
      </c>
      <c r="U119" s="76">
        <v>2.9101349999999999</v>
      </c>
      <c r="V119" s="76">
        <v>2.9732970000000001</v>
      </c>
      <c r="W119" s="76">
        <v>3.0377619999999999</v>
      </c>
      <c r="X119" s="76">
        <v>3.1067650000000002</v>
      </c>
      <c r="Y119" s="76">
        <v>3.169794</v>
      </c>
      <c r="Z119" s="76">
        <v>3.2368239999999999</v>
      </c>
      <c r="AA119" s="76">
        <v>3.3144369999999999</v>
      </c>
      <c r="AB119" s="76">
        <v>3.3840140000000001</v>
      </c>
      <c r="AC119" s="76">
        <v>3.4493469999999999</v>
      </c>
      <c r="AD119" s="76">
        <v>3.5386649999999999</v>
      </c>
      <c r="AE119" s="76">
        <v>3.618458</v>
      </c>
      <c r="AF119" s="77">
        <v>1.9025E-2</v>
      </c>
      <c r="AG119" s="49"/>
    </row>
    <row r="120" spans="1:33" ht="15" customHeight="1" x14ac:dyDescent="0.25">
      <c r="A120" s="48" t="s">
        <v>246</v>
      </c>
      <c r="B120" s="75" t="s">
        <v>191</v>
      </c>
      <c r="C120" s="76">
        <v>0.71087199999999995</v>
      </c>
      <c r="D120" s="76">
        <v>0.74018399999999995</v>
      </c>
      <c r="E120" s="76">
        <v>0.758185</v>
      </c>
      <c r="F120" s="76">
        <v>0.77460499999999999</v>
      </c>
      <c r="G120" s="76">
        <v>0.79104099999999999</v>
      </c>
      <c r="H120" s="76">
        <v>0.80805899999999997</v>
      </c>
      <c r="I120" s="76">
        <v>0.82544499999999998</v>
      </c>
      <c r="J120" s="76">
        <v>0.84346299999999996</v>
      </c>
      <c r="K120" s="76">
        <v>0.86221599999999998</v>
      </c>
      <c r="L120" s="76">
        <v>0.88185400000000003</v>
      </c>
      <c r="M120" s="76">
        <v>0.90198900000000004</v>
      </c>
      <c r="N120" s="76">
        <v>0.92327000000000004</v>
      </c>
      <c r="O120" s="76">
        <v>0.94529300000000005</v>
      </c>
      <c r="P120" s="76">
        <v>0.96734500000000001</v>
      </c>
      <c r="Q120" s="76">
        <v>0.98952499999999999</v>
      </c>
      <c r="R120" s="76">
        <v>1.011585</v>
      </c>
      <c r="S120" s="76">
        <v>1.0338620000000001</v>
      </c>
      <c r="T120" s="76">
        <v>1.0564610000000001</v>
      </c>
      <c r="U120" s="76">
        <v>1.0799270000000001</v>
      </c>
      <c r="V120" s="76">
        <v>1.1040449999999999</v>
      </c>
      <c r="W120" s="76">
        <v>1.128868</v>
      </c>
      <c r="X120" s="76">
        <v>1.154644</v>
      </c>
      <c r="Y120" s="76">
        <v>1.181187</v>
      </c>
      <c r="Z120" s="76">
        <v>1.2086060000000001</v>
      </c>
      <c r="AA120" s="76">
        <v>1.237012</v>
      </c>
      <c r="AB120" s="76">
        <v>1.266273</v>
      </c>
      <c r="AC120" s="76">
        <v>1.2965150000000001</v>
      </c>
      <c r="AD120" s="76">
        <v>1.3275189999999999</v>
      </c>
      <c r="AE120" s="76">
        <v>1.3594269999999999</v>
      </c>
      <c r="AF120" s="77">
        <v>2.3425000000000001E-2</v>
      </c>
      <c r="AG120" s="49"/>
    </row>
    <row r="121" spans="1:33" ht="15" customHeight="1" x14ac:dyDescent="0.25">
      <c r="A121" s="45"/>
      <c r="B121" s="49"/>
      <c r="C121" s="49"/>
      <c r="D121" s="49"/>
      <c r="E121" s="49"/>
      <c r="F121" s="49"/>
      <c r="G121" s="49"/>
      <c r="H121" s="49"/>
      <c r="I121" s="49"/>
      <c r="J121" s="49"/>
      <c r="K121" s="49"/>
      <c r="L121" s="49"/>
      <c r="M121" s="49"/>
      <c r="N121" s="49"/>
      <c r="O121" s="49"/>
      <c r="P121" s="49"/>
      <c r="Q121" s="49"/>
      <c r="R121" s="49"/>
      <c r="S121" s="49"/>
      <c r="T121" s="49"/>
      <c r="U121" s="49"/>
      <c r="V121" s="49"/>
      <c r="W121" s="49"/>
      <c r="X121" s="49"/>
      <c r="Y121" s="49"/>
      <c r="Z121" s="49"/>
      <c r="AA121" s="49"/>
      <c r="AB121" s="49"/>
      <c r="AC121" s="49"/>
      <c r="AD121" s="49"/>
      <c r="AE121" s="49"/>
      <c r="AF121" s="49"/>
      <c r="AG121" s="49"/>
    </row>
    <row r="122" spans="1:33" ht="15" customHeight="1" x14ac:dyDescent="0.25">
      <c r="A122" s="45"/>
      <c r="B122" s="74" t="s">
        <v>192</v>
      </c>
      <c r="C122" s="49"/>
      <c r="D122" s="49"/>
      <c r="E122" s="49"/>
      <c r="F122" s="49"/>
      <c r="G122" s="49"/>
      <c r="H122" s="49"/>
      <c r="I122" s="49"/>
      <c r="J122" s="49"/>
      <c r="K122" s="49"/>
      <c r="L122" s="49"/>
      <c r="M122" s="49"/>
      <c r="N122" s="49"/>
      <c r="O122" s="49"/>
      <c r="P122" s="49"/>
      <c r="Q122" s="49"/>
      <c r="R122" s="49"/>
      <c r="S122" s="49"/>
      <c r="T122" s="49"/>
      <c r="U122" s="49"/>
      <c r="V122" s="49"/>
      <c r="W122" s="49"/>
      <c r="X122" s="49"/>
      <c r="Y122" s="49"/>
      <c r="Z122" s="49"/>
      <c r="AA122" s="49"/>
      <c r="AB122" s="49"/>
      <c r="AC122" s="49"/>
      <c r="AD122" s="49"/>
      <c r="AE122" s="49"/>
      <c r="AF122" s="49"/>
      <c r="AG122" s="49"/>
    </row>
    <row r="123" spans="1:33" ht="15" customHeight="1" x14ac:dyDescent="0.25">
      <c r="A123" s="48" t="s">
        <v>247</v>
      </c>
      <c r="B123" s="75" t="s">
        <v>143</v>
      </c>
      <c r="C123" s="76">
        <v>28.079664000000001</v>
      </c>
      <c r="D123" s="76">
        <v>30.056221000000001</v>
      </c>
      <c r="E123" s="76">
        <v>29.418596000000001</v>
      </c>
      <c r="F123" s="76">
        <v>28.373532999999998</v>
      </c>
      <c r="G123" s="76">
        <v>27.742795999999998</v>
      </c>
      <c r="H123" s="76">
        <v>27.466362</v>
      </c>
      <c r="I123" s="76">
        <v>27.648658999999999</v>
      </c>
      <c r="J123" s="76">
        <v>28.156300000000002</v>
      </c>
      <c r="K123" s="76">
        <v>28.981328999999999</v>
      </c>
      <c r="L123" s="76">
        <v>30.035112000000002</v>
      </c>
      <c r="M123" s="76">
        <v>31.296999</v>
      </c>
      <c r="N123" s="76">
        <v>32.759708000000003</v>
      </c>
      <c r="O123" s="76">
        <v>34.221867000000003</v>
      </c>
      <c r="P123" s="76">
        <v>35.508521999999999</v>
      </c>
      <c r="Q123" s="76">
        <v>36.666687000000003</v>
      </c>
      <c r="R123" s="76">
        <v>37.818995999999999</v>
      </c>
      <c r="S123" s="76">
        <v>39.184173999999999</v>
      </c>
      <c r="T123" s="76">
        <v>40.173107000000002</v>
      </c>
      <c r="U123" s="76">
        <v>41.518802999999998</v>
      </c>
      <c r="V123" s="76">
        <v>42.860793999999999</v>
      </c>
      <c r="W123" s="76">
        <v>44.066581999999997</v>
      </c>
      <c r="X123" s="76">
        <v>45.145119000000001</v>
      </c>
      <c r="Y123" s="76">
        <v>46.141899000000002</v>
      </c>
      <c r="Z123" s="76">
        <v>47.304070000000003</v>
      </c>
      <c r="AA123" s="76">
        <v>48.694881000000002</v>
      </c>
      <c r="AB123" s="76">
        <v>49.889682999999998</v>
      </c>
      <c r="AC123" s="76">
        <v>51.224235999999998</v>
      </c>
      <c r="AD123" s="76">
        <v>52.443908999999998</v>
      </c>
      <c r="AE123" s="76">
        <v>53.623322000000002</v>
      </c>
      <c r="AF123" s="77">
        <v>2.3373999999999999E-2</v>
      </c>
      <c r="AG123" s="49"/>
    </row>
    <row r="124" spans="1:33" ht="15" customHeight="1" x14ac:dyDescent="0.25">
      <c r="A124" s="48" t="s">
        <v>248</v>
      </c>
      <c r="B124" s="75" t="s">
        <v>173</v>
      </c>
      <c r="C124" s="76">
        <v>38.155422000000002</v>
      </c>
      <c r="D124" s="76">
        <v>35.138969000000003</v>
      </c>
      <c r="E124" s="76">
        <v>34.57761</v>
      </c>
      <c r="F124" s="76">
        <v>32.976173000000003</v>
      </c>
      <c r="G124" s="76">
        <v>33.359932000000001</v>
      </c>
      <c r="H124" s="76">
        <v>33.896748000000002</v>
      </c>
      <c r="I124" s="76">
        <v>34.674334999999999</v>
      </c>
      <c r="J124" s="76">
        <v>35.525641999999998</v>
      </c>
      <c r="K124" s="76">
        <v>36.483246000000001</v>
      </c>
      <c r="L124" s="76">
        <v>37.289653999999999</v>
      </c>
      <c r="M124" s="76">
        <v>38.388846999999998</v>
      </c>
      <c r="N124" s="76">
        <v>39.432471999999997</v>
      </c>
      <c r="O124" s="76">
        <v>40.560032</v>
      </c>
      <c r="P124" s="76">
        <v>41.640037999999997</v>
      </c>
      <c r="Q124" s="76">
        <v>43.104500000000002</v>
      </c>
      <c r="R124" s="76">
        <v>44.169688999999998</v>
      </c>
      <c r="S124" s="76">
        <v>45.322249999999997</v>
      </c>
      <c r="T124" s="76">
        <v>46.550319999999999</v>
      </c>
      <c r="U124" s="76">
        <v>47.680573000000003</v>
      </c>
      <c r="V124" s="76">
        <v>48.776634000000001</v>
      </c>
      <c r="W124" s="76">
        <v>50.036262999999998</v>
      </c>
      <c r="X124" s="76">
        <v>50.996490000000001</v>
      </c>
      <c r="Y124" s="76">
        <v>52.537441000000001</v>
      </c>
      <c r="Z124" s="76">
        <v>53.805576000000002</v>
      </c>
      <c r="AA124" s="76">
        <v>56.541190999999998</v>
      </c>
      <c r="AB124" s="76">
        <v>57.901271999999999</v>
      </c>
      <c r="AC124" s="76">
        <v>59.805683000000002</v>
      </c>
      <c r="AD124" s="76">
        <v>61.428082000000003</v>
      </c>
      <c r="AE124" s="76">
        <v>63.500064999999999</v>
      </c>
      <c r="AF124" s="77">
        <v>1.8357999999999999E-2</v>
      </c>
      <c r="AG124" s="49"/>
    </row>
    <row r="125" spans="1:33" ht="15" customHeight="1" x14ac:dyDescent="0.25">
      <c r="A125" s="48" t="s">
        <v>249</v>
      </c>
      <c r="B125" s="75" t="s">
        <v>175</v>
      </c>
      <c r="C125" s="76">
        <v>34.782677</v>
      </c>
      <c r="D125" s="76">
        <v>31.711493999999998</v>
      </c>
      <c r="E125" s="76">
        <v>29.502012000000001</v>
      </c>
      <c r="F125" s="76">
        <v>28.163221</v>
      </c>
      <c r="G125" s="76">
        <v>28.465707999999999</v>
      </c>
      <c r="H125" s="76">
        <v>28.902305999999999</v>
      </c>
      <c r="I125" s="76">
        <v>29.530080999999999</v>
      </c>
      <c r="J125" s="76">
        <v>30.23189</v>
      </c>
      <c r="K125" s="76">
        <v>31.015502999999999</v>
      </c>
      <c r="L125" s="76">
        <v>31.681816000000001</v>
      </c>
      <c r="M125" s="76">
        <v>32.580115999999997</v>
      </c>
      <c r="N125" s="76">
        <v>33.435040000000001</v>
      </c>
      <c r="O125" s="76">
        <v>34.355724000000002</v>
      </c>
      <c r="P125" s="76">
        <v>35.240276000000001</v>
      </c>
      <c r="Q125" s="76">
        <v>36.442248999999997</v>
      </c>
      <c r="R125" s="76">
        <v>37.315567000000001</v>
      </c>
      <c r="S125" s="76">
        <v>38.260136000000003</v>
      </c>
      <c r="T125" s="76">
        <v>39.273986999999998</v>
      </c>
      <c r="U125" s="76">
        <v>40.206584999999997</v>
      </c>
      <c r="V125" s="76">
        <v>41.112651999999997</v>
      </c>
      <c r="W125" s="76">
        <v>42.153542000000002</v>
      </c>
      <c r="X125" s="76">
        <v>42.950268000000001</v>
      </c>
      <c r="Y125" s="76">
        <v>44.234070000000003</v>
      </c>
      <c r="Z125" s="76">
        <v>45.286670999999998</v>
      </c>
      <c r="AA125" s="76">
        <v>47.653725000000001</v>
      </c>
      <c r="AB125" s="76">
        <v>48.785259000000003</v>
      </c>
      <c r="AC125" s="76">
        <v>50.363937</v>
      </c>
      <c r="AD125" s="76">
        <v>51.710098000000002</v>
      </c>
      <c r="AE125" s="76">
        <v>53.424919000000003</v>
      </c>
      <c r="AF125" s="77">
        <v>1.5445E-2</v>
      </c>
      <c r="AG125" s="49"/>
    </row>
    <row r="126" spans="1:33" ht="15" customHeight="1" x14ac:dyDescent="0.25">
      <c r="A126" s="48" t="s">
        <v>250</v>
      </c>
      <c r="B126" s="75" t="s">
        <v>177</v>
      </c>
      <c r="C126" s="76">
        <v>26.739815</v>
      </c>
      <c r="D126" s="76">
        <v>23.500710999999999</v>
      </c>
      <c r="E126" s="76">
        <v>23.104317000000002</v>
      </c>
      <c r="F126" s="76">
        <v>21.990542999999999</v>
      </c>
      <c r="G126" s="76">
        <v>22.204429999999999</v>
      </c>
      <c r="H126" s="76">
        <v>22.419402999999999</v>
      </c>
      <c r="I126" s="76">
        <v>22.794266</v>
      </c>
      <c r="J126" s="76">
        <v>23.428768000000002</v>
      </c>
      <c r="K126" s="76">
        <v>23.978318999999999</v>
      </c>
      <c r="L126" s="76">
        <v>24.797031</v>
      </c>
      <c r="M126" s="76">
        <v>25.567731999999999</v>
      </c>
      <c r="N126" s="76">
        <v>26.286256999999999</v>
      </c>
      <c r="O126" s="76">
        <v>27.115189000000001</v>
      </c>
      <c r="P126" s="76">
        <v>27.960740999999999</v>
      </c>
      <c r="Q126" s="76">
        <v>28.743019</v>
      </c>
      <c r="R126" s="76">
        <v>29.563089000000002</v>
      </c>
      <c r="S126" s="76">
        <v>30.395921999999999</v>
      </c>
      <c r="T126" s="76">
        <v>31.20879</v>
      </c>
      <c r="U126" s="76">
        <v>32.088695999999999</v>
      </c>
      <c r="V126" s="76">
        <v>33.129855999999997</v>
      </c>
      <c r="W126" s="76">
        <v>33.955685000000003</v>
      </c>
      <c r="X126" s="76">
        <v>35.00074</v>
      </c>
      <c r="Y126" s="76">
        <v>35.742362999999997</v>
      </c>
      <c r="Z126" s="76">
        <v>36.840632999999997</v>
      </c>
      <c r="AA126" s="76">
        <v>38.270755999999999</v>
      </c>
      <c r="AB126" s="76">
        <v>39.262115000000001</v>
      </c>
      <c r="AC126" s="76">
        <v>40.314140000000002</v>
      </c>
      <c r="AD126" s="76">
        <v>41.469558999999997</v>
      </c>
      <c r="AE126" s="76">
        <v>42.525970000000001</v>
      </c>
      <c r="AF126" s="77">
        <v>1.6708000000000001E-2</v>
      </c>
      <c r="AG126" s="49"/>
    </row>
    <row r="127" spans="1:33" ht="15" customHeight="1" x14ac:dyDescent="0.25">
      <c r="A127" s="48" t="s">
        <v>251</v>
      </c>
      <c r="B127" s="75" t="s">
        <v>145</v>
      </c>
      <c r="C127" s="76">
        <v>36.677619999999997</v>
      </c>
      <c r="D127" s="76">
        <v>34.205086000000001</v>
      </c>
      <c r="E127" s="76">
        <v>33.140658999999999</v>
      </c>
      <c r="F127" s="76">
        <v>31.445800999999999</v>
      </c>
      <c r="G127" s="76">
        <v>30.953658999999998</v>
      </c>
      <c r="H127" s="76">
        <v>30.446245000000001</v>
      </c>
      <c r="I127" s="76">
        <v>30.083829999999999</v>
      </c>
      <c r="J127" s="76">
        <v>30.859518000000001</v>
      </c>
      <c r="K127" s="76">
        <v>31.560939999999999</v>
      </c>
      <c r="L127" s="76">
        <v>32.489924999999999</v>
      </c>
      <c r="M127" s="76">
        <v>33.369906999999998</v>
      </c>
      <c r="N127" s="76">
        <v>34.325623</v>
      </c>
      <c r="O127" s="76">
        <v>35.208218000000002</v>
      </c>
      <c r="P127" s="76">
        <v>36.286403999999997</v>
      </c>
      <c r="Q127" s="76">
        <v>37.138584000000002</v>
      </c>
      <c r="R127" s="76">
        <v>38.151809999999998</v>
      </c>
      <c r="S127" s="76">
        <v>39.125652000000002</v>
      </c>
      <c r="T127" s="76">
        <v>40.051437</v>
      </c>
      <c r="U127" s="76">
        <v>41.020229</v>
      </c>
      <c r="V127" s="76">
        <v>42.187263000000002</v>
      </c>
      <c r="W127" s="76">
        <v>43.132537999999997</v>
      </c>
      <c r="X127" s="76">
        <v>44.316020999999999</v>
      </c>
      <c r="Y127" s="76">
        <v>45.196086999999999</v>
      </c>
      <c r="Z127" s="76">
        <v>46.347355</v>
      </c>
      <c r="AA127" s="76">
        <v>48.293548999999999</v>
      </c>
      <c r="AB127" s="76">
        <v>49.484454999999997</v>
      </c>
      <c r="AC127" s="76">
        <v>50.733288000000002</v>
      </c>
      <c r="AD127" s="76">
        <v>52.083705999999999</v>
      </c>
      <c r="AE127" s="76">
        <v>53.346035000000001</v>
      </c>
      <c r="AF127" s="77">
        <v>1.3469999999999999E-2</v>
      </c>
      <c r="AG127" s="49"/>
    </row>
    <row r="128" spans="1:33" ht="15" customHeight="1" x14ac:dyDescent="0.25">
      <c r="A128" s="48" t="s">
        <v>252</v>
      </c>
      <c r="B128" s="75" t="s">
        <v>154</v>
      </c>
      <c r="C128" s="76">
        <v>15.551993</v>
      </c>
      <c r="D128" s="76">
        <v>15.627425000000001</v>
      </c>
      <c r="E128" s="76">
        <v>17.954018000000001</v>
      </c>
      <c r="F128" s="76">
        <v>17.538163999999998</v>
      </c>
      <c r="G128" s="76">
        <v>18.058340000000001</v>
      </c>
      <c r="H128" s="76">
        <v>18.654598</v>
      </c>
      <c r="I128" s="76">
        <v>19.205083999999999</v>
      </c>
      <c r="J128" s="76">
        <v>19.719563000000001</v>
      </c>
      <c r="K128" s="76">
        <v>20.280097999999999</v>
      </c>
      <c r="L128" s="76">
        <v>20.840857</v>
      </c>
      <c r="M128" s="76">
        <v>21.443093999999999</v>
      </c>
      <c r="N128" s="76">
        <v>22.071553999999999</v>
      </c>
      <c r="O128" s="76">
        <v>22.722760999999998</v>
      </c>
      <c r="P128" s="76">
        <v>23.410677</v>
      </c>
      <c r="Q128" s="76">
        <v>24.030815</v>
      </c>
      <c r="R128" s="76">
        <v>24.693422000000002</v>
      </c>
      <c r="S128" s="76">
        <v>25.379584999999999</v>
      </c>
      <c r="T128" s="76">
        <v>26.041328</v>
      </c>
      <c r="U128" s="76">
        <v>26.716372</v>
      </c>
      <c r="V128" s="76">
        <v>27.470734</v>
      </c>
      <c r="W128" s="76">
        <v>28.116610999999999</v>
      </c>
      <c r="X128" s="76">
        <v>28.868303000000001</v>
      </c>
      <c r="Y128" s="76">
        <v>29.513950000000001</v>
      </c>
      <c r="Z128" s="76">
        <v>30.261645999999999</v>
      </c>
      <c r="AA128" s="76">
        <v>31.294775000000001</v>
      </c>
      <c r="AB128" s="76">
        <v>32.034534000000001</v>
      </c>
      <c r="AC128" s="76">
        <v>32.992049999999999</v>
      </c>
      <c r="AD128" s="76">
        <v>33.94556</v>
      </c>
      <c r="AE128" s="76">
        <v>34.931033999999997</v>
      </c>
      <c r="AF128" s="77">
        <v>2.9321E-2</v>
      </c>
      <c r="AG128" s="49"/>
    </row>
    <row r="129" spans="1:33" ht="15" customHeight="1" x14ac:dyDescent="0.25">
      <c r="A129" s="48" t="s">
        <v>253</v>
      </c>
      <c r="B129" s="75" t="s">
        <v>147</v>
      </c>
      <c r="C129" s="76">
        <v>8.8813879999999994</v>
      </c>
      <c r="D129" s="76">
        <v>8.3057800000000004</v>
      </c>
      <c r="E129" s="76">
        <v>7.309984</v>
      </c>
      <c r="F129" s="76">
        <v>6.8600339999999997</v>
      </c>
      <c r="G129" s="76">
        <v>6.5148039999999998</v>
      </c>
      <c r="H129" s="76">
        <v>6.3961439999999996</v>
      </c>
      <c r="I129" s="76">
        <v>6.4197790000000001</v>
      </c>
      <c r="J129" s="76">
        <v>6.608568</v>
      </c>
      <c r="K129" s="76">
        <v>6.8481540000000001</v>
      </c>
      <c r="L129" s="76">
        <v>7.1586559999999997</v>
      </c>
      <c r="M129" s="76">
        <v>7.4670420000000002</v>
      </c>
      <c r="N129" s="76">
        <v>7.8515430000000004</v>
      </c>
      <c r="O129" s="76">
        <v>8.2122820000000001</v>
      </c>
      <c r="P129" s="76">
        <v>8.5563289999999999</v>
      </c>
      <c r="Q129" s="76">
        <v>8.7898370000000003</v>
      </c>
      <c r="R129" s="76">
        <v>9.0478529999999999</v>
      </c>
      <c r="S129" s="76">
        <v>9.4042519999999996</v>
      </c>
      <c r="T129" s="76">
        <v>9.5438960000000002</v>
      </c>
      <c r="U129" s="76">
        <v>9.8961269999999999</v>
      </c>
      <c r="V129" s="76">
        <v>10.221828</v>
      </c>
      <c r="W129" s="76">
        <v>10.425893</v>
      </c>
      <c r="X129" s="76">
        <v>10.581784000000001</v>
      </c>
      <c r="Y129" s="76">
        <v>10.729170999999999</v>
      </c>
      <c r="Z129" s="76">
        <v>10.98645</v>
      </c>
      <c r="AA129" s="76">
        <v>11.369418</v>
      </c>
      <c r="AB129" s="76">
        <v>11.567731</v>
      </c>
      <c r="AC129" s="76">
        <v>11.769767</v>
      </c>
      <c r="AD129" s="76">
        <v>11.979346</v>
      </c>
      <c r="AE129" s="76">
        <v>12.255666</v>
      </c>
      <c r="AF129" s="77">
        <v>1.1566999999999999E-2</v>
      </c>
      <c r="AG129" s="49"/>
    </row>
    <row r="130" spans="1:33" ht="15" customHeight="1" x14ac:dyDescent="0.25">
      <c r="A130" s="48" t="s">
        <v>254</v>
      </c>
      <c r="B130" s="75" t="s">
        <v>164</v>
      </c>
      <c r="C130" s="76">
        <v>5.4304249999999996</v>
      </c>
      <c r="D130" s="76">
        <v>5.6718549999999999</v>
      </c>
      <c r="E130" s="76">
        <v>6.0581950000000004</v>
      </c>
      <c r="F130" s="76">
        <v>6.1873269999999998</v>
      </c>
      <c r="G130" s="76">
        <v>6.3529850000000003</v>
      </c>
      <c r="H130" s="76">
        <v>6.5475529999999997</v>
      </c>
      <c r="I130" s="76">
        <v>6.7355179999999999</v>
      </c>
      <c r="J130" s="76">
        <v>6.9377659999999999</v>
      </c>
      <c r="K130" s="76">
        <v>7.2191280000000004</v>
      </c>
      <c r="L130" s="76">
        <v>7.4615220000000004</v>
      </c>
      <c r="M130" s="76">
        <v>7.7608199999999998</v>
      </c>
      <c r="N130" s="76">
        <v>8.038456</v>
      </c>
      <c r="O130" s="76">
        <v>8.3211580000000005</v>
      </c>
      <c r="P130" s="76">
        <v>8.6185759999999991</v>
      </c>
      <c r="Q130" s="76">
        <v>8.9246759999999998</v>
      </c>
      <c r="R130" s="76">
        <v>9.2558539999999994</v>
      </c>
      <c r="S130" s="76">
        <v>9.5669219999999999</v>
      </c>
      <c r="T130" s="76">
        <v>9.8821329999999996</v>
      </c>
      <c r="U130" s="76">
        <v>10.210374</v>
      </c>
      <c r="V130" s="76">
        <v>10.516508999999999</v>
      </c>
      <c r="W130" s="76">
        <v>10.829219999999999</v>
      </c>
      <c r="X130" s="76">
        <v>11.157767</v>
      </c>
      <c r="Y130" s="76">
        <v>11.502295999999999</v>
      </c>
      <c r="Z130" s="76">
        <v>11.867922999999999</v>
      </c>
      <c r="AA130" s="76">
        <v>12.240033</v>
      </c>
      <c r="AB130" s="76">
        <v>12.622064999999999</v>
      </c>
      <c r="AC130" s="76">
        <v>13.021750000000001</v>
      </c>
      <c r="AD130" s="76">
        <v>13.425182</v>
      </c>
      <c r="AE130" s="76">
        <v>13.854766</v>
      </c>
      <c r="AF130" s="77">
        <v>3.4015999999999998E-2</v>
      </c>
      <c r="AG130" s="49"/>
    </row>
    <row r="131" spans="1:33" ht="15" customHeight="1" x14ac:dyDescent="0.25">
      <c r="A131" s="48" t="s">
        <v>255</v>
      </c>
      <c r="B131" s="75" t="s">
        <v>202</v>
      </c>
      <c r="C131" s="76">
        <v>2.175554</v>
      </c>
      <c r="D131" s="76">
        <v>2.1858590000000002</v>
      </c>
      <c r="E131" s="76">
        <v>2.2353990000000001</v>
      </c>
      <c r="F131" s="76">
        <v>2.273965</v>
      </c>
      <c r="G131" s="76">
        <v>2.3001480000000001</v>
      </c>
      <c r="H131" s="76">
        <v>2.3385699999999998</v>
      </c>
      <c r="I131" s="76">
        <v>2.375311</v>
      </c>
      <c r="J131" s="76">
        <v>2.4279139999999999</v>
      </c>
      <c r="K131" s="76">
        <v>2.49261</v>
      </c>
      <c r="L131" s="76">
        <v>2.5409510000000002</v>
      </c>
      <c r="M131" s="76">
        <v>2.5638749999999999</v>
      </c>
      <c r="N131" s="76">
        <v>2.6062889999999999</v>
      </c>
      <c r="O131" s="76">
        <v>2.6657250000000001</v>
      </c>
      <c r="P131" s="76">
        <v>2.717292</v>
      </c>
      <c r="Q131" s="76">
        <v>2.7708330000000001</v>
      </c>
      <c r="R131" s="76">
        <v>2.8319589999999999</v>
      </c>
      <c r="S131" s="76">
        <v>2.9326319999999999</v>
      </c>
      <c r="T131" s="76">
        <v>2.9932690000000002</v>
      </c>
      <c r="U131" s="76">
        <v>3.065572</v>
      </c>
      <c r="V131" s="76">
        <v>3.1298780000000002</v>
      </c>
      <c r="W131" s="76">
        <v>3.196196</v>
      </c>
      <c r="X131" s="76">
        <v>3.2688730000000001</v>
      </c>
      <c r="Y131" s="76">
        <v>3.3391959999999998</v>
      </c>
      <c r="Z131" s="76">
        <v>3.4138799999999998</v>
      </c>
      <c r="AA131" s="76">
        <v>3.5015969999999998</v>
      </c>
      <c r="AB131" s="76">
        <v>3.581267</v>
      </c>
      <c r="AC131" s="76">
        <v>3.66364</v>
      </c>
      <c r="AD131" s="76">
        <v>3.757409</v>
      </c>
      <c r="AE131" s="76">
        <v>3.8484590000000001</v>
      </c>
      <c r="AF131" s="77">
        <v>2.0580000000000001E-2</v>
      </c>
      <c r="AG131" s="49"/>
    </row>
    <row r="132" spans="1:33" ht="15" customHeight="1" x14ac:dyDescent="0.25">
      <c r="A132" s="48" t="s">
        <v>256</v>
      </c>
      <c r="B132" s="75" t="s">
        <v>168</v>
      </c>
      <c r="C132" s="76" t="s">
        <v>305</v>
      </c>
      <c r="D132" s="76" t="s">
        <v>305</v>
      </c>
      <c r="E132" s="76" t="s">
        <v>305</v>
      </c>
      <c r="F132" s="76" t="s">
        <v>305</v>
      </c>
      <c r="G132" s="76" t="s">
        <v>305</v>
      </c>
      <c r="H132" s="76" t="s">
        <v>305</v>
      </c>
      <c r="I132" s="76" t="s">
        <v>305</v>
      </c>
      <c r="J132" s="76" t="s">
        <v>305</v>
      </c>
      <c r="K132" s="76" t="s">
        <v>305</v>
      </c>
      <c r="L132" s="76" t="s">
        <v>305</v>
      </c>
      <c r="M132" s="76" t="s">
        <v>305</v>
      </c>
      <c r="N132" s="76" t="s">
        <v>305</v>
      </c>
      <c r="O132" s="76" t="s">
        <v>305</v>
      </c>
      <c r="P132" s="76" t="s">
        <v>305</v>
      </c>
      <c r="Q132" s="76" t="s">
        <v>305</v>
      </c>
      <c r="R132" s="76" t="s">
        <v>305</v>
      </c>
      <c r="S132" s="76" t="s">
        <v>305</v>
      </c>
      <c r="T132" s="76" t="s">
        <v>305</v>
      </c>
      <c r="U132" s="76" t="s">
        <v>305</v>
      </c>
      <c r="V132" s="76" t="s">
        <v>305</v>
      </c>
      <c r="W132" s="76" t="s">
        <v>305</v>
      </c>
      <c r="X132" s="76" t="s">
        <v>305</v>
      </c>
      <c r="Y132" s="76" t="s">
        <v>305</v>
      </c>
      <c r="Z132" s="76" t="s">
        <v>305</v>
      </c>
      <c r="AA132" s="76" t="s">
        <v>305</v>
      </c>
      <c r="AB132" s="76" t="s">
        <v>305</v>
      </c>
      <c r="AC132" s="76" t="s">
        <v>305</v>
      </c>
      <c r="AD132" s="76" t="s">
        <v>305</v>
      </c>
      <c r="AE132" s="76" t="s">
        <v>305</v>
      </c>
      <c r="AF132" s="77" t="s">
        <v>305</v>
      </c>
      <c r="AG132" s="49" t="s">
        <v>305</v>
      </c>
    </row>
    <row r="133" spans="1:33" ht="15" customHeight="1" x14ac:dyDescent="0.25">
      <c r="A133" s="48" t="s">
        <v>257</v>
      </c>
      <c r="B133" s="75" t="s">
        <v>149</v>
      </c>
      <c r="C133" s="76">
        <v>35.829422000000001</v>
      </c>
      <c r="D133" s="76">
        <v>36.359164999999997</v>
      </c>
      <c r="E133" s="76">
        <v>35.866458999999999</v>
      </c>
      <c r="F133" s="76">
        <v>35.235881999999997</v>
      </c>
      <c r="G133" s="76">
        <v>35.134171000000002</v>
      </c>
      <c r="H133" s="76">
        <v>35.272132999999997</v>
      </c>
      <c r="I133" s="76">
        <v>35.583508000000002</v>
      </c>
      <c r="J133" s="76">
        <v>36.187798000000001</v>
      </c>
      <c r="K133" s="76">
        <v>37.046059</v>
      </c>
      <c r="L133" s="76">
        <v>38.014763000000002</v>
      </c>
      <c r="M133" s="76">
        <v>38.990749000000001</v>
      </c>
      <c r="N133" s="76">
        <v>40.502662999999998</v>
      </c>
      <c r="O133" s="76">
        <v>41.863002999999999</v>
      </c>
      <c r="P133" s="76">
        <v>42.848014999999997</v>
      </c>
      <c r="Q133" s="76">
        <v>44.091442000000001</v>
      </c>
      <c r="R133" s="76">
        <v>45.403637000000003</v>
      </c>
      <c r="S133" s="76">
        <v>46.904964</v>
      </c>
      <c r="T133" s="76">
        <v>48.330173000000002</v>
      </c>
      <c r="U133" s="76">
        <v>49.750717000000002</v>
      </c>
      <c r="V133" s="76">
        <v>51.149737999999999</v>
      </c>
      <c r="W133" s="76">
        <v>52.424168000000002</v>
      </c>
      <c r="X133" s="76">
        <v>53.699261</v>
      </c>
      <c r="Y133" s="76">
        <v>55.001506999999997</v>
      </c>
      <c r="Z133" s="76">
        <v>56.335239000000001</v>
      </c>
      <c r="AA133" s="76">
        <v>57.489230999999997</v>
      </c>
      <c r="AB133" s="76">
        <v>58.587916999999997</v>
      </c>
      <c r="AC133" s="76">
        <v>59.898162999999997</v>
      </c>
      <c r="AD133" s="76">
        <v>60.996772999999997</v>
      </c>
      <c r="AE133" s="76">
        <v>61.947029000000001</v>
      </c>
      <c r="AF133" s="77">
        <v>1.9746E-2</v>
      </c>
      <c r="AG133" s="49"/>
    </row>
    <row r="134" spans="1:33" ht="15" customHeight="1" x14ac:dyDescent="0.25">
      <c r="A134" s="45"/>
      <c r="B134" s="49"/>
      <c r="C134" s="49"/>
      <c r="D134" s="49"/>
      <c r="E134" s="49"/>
      <c r="F134" s="49"/>
      <c r="G134" s="49"/>
      <c r="H134" s="49"/>
      <c r="I134" s="49"/>
      <c r="J134" s="49"/>
      <c r="K134" s="49"/>
      <c r="L134" s="49"/>
      <c r="M134" s="49"/>
      <c r="N134" s="49"/>
      <c r="O134" s="49"/>
      <c r="P134" s="49"/>
      <c r="Q134" s="49"/>
      <c r="R134" s="49"/>
      <c r="S134" s="49"/>
      <c r="T134" s="49"/>
      <c r="U134" s="49"/>
      <c r="V134" s="49"/>
      <c r="W134" s="49"/>
      <c r="X134" s="49"/>
      <c r="Y134" s="49"/>
      <c r="Z134" s="49"/>
      <c r="AA134" s="49"/>
      <c r="AB134" s="49"/>
      <c r="AC134" s="49"/>
      <c r="AD134" s="49"/>
      <c r="AE134" s="49"/>
      <c r="AF134" s="49"/>
      <c r="AG134" s="49"/>
    </row>
    <row r="135" spans="1:33" ht="15" customHeight="1" x14ac:dyDescent="0.25">
      <c r="A135" s="45"/>
      <c r="B135" s="74" t="s">
        <v>205</v>
      </c>
      <c r="C135" s="49"/>
      <c r="D135" s="49"/>
      <c r="E135" s="49"/>
      <c r="F135" s="49"/>
      <c r="G135" s="49"/>
      <c r="H135" s="49"/>
      <c r="I135" s="49"/>
      <c r="J135" s="49"/>
      <c r="K135" s="49"/>
      <c r="L135" s="49"/>
      <c r="M135" s="49"/>
      <c r="N135" s="49"/>
      <c r="O135" s="49"/>
      <c r="P135" s="49"/>
      <c r="Q135" s="49"/>
      <c r="R135" s="49"/>
      <c r="S135" s="49"/>
      <c r="T135" s="49"/>
      <c r="U135" s="49"/>
      <c r="V135" s="49"/>
      <c r="W135" s="49"/>
      <c r="X135" s="49"/>
      <c r="Y135" s="49"/>
      <c r="Z135" s="49"/>
      <c r="AA135" s="49"/>
      <c r="AB135" s="49"/>
      <c r="AC135" s="49"/>
      <c r="AD135" s="49"/>
      <c r="AE135" s="49"/>
      <c r="AF135" s="49"/>
      <c r="AG135" s="49"/>
    </row>
    <row r="136" spans="1:33" ht="15" customHeight="1" x14ac:dyDescent="0.25">
      <c r="A136" s="45"/>
      <c r="B136" s="74" t="s">
        <v>258</v>
      </c>
      <c r="C136" s="49"/>
      <c r="D136" s="49"/>
      <c r="E136" s="49"/>
      <c r="F136" s="49"/>
      <c r="G136" s="49"/>
      <c r="H136" s="49"/>
      <c r="I136" s="49"/>
      <c r="J136" s="49"/>
      <c r="K136" s="49"/>
      <c r="L136" s="49"/>
      <c r="M136" s="49"/>
      <c r="N136" s="49"/>
      <c r="O136" s="49"/>
      <c r="P136" s="49"/>
      <c r="Q136" s="49"/>
      <c r="R136" s="49"/>
      <c r="S136" s="49"/>
      <c r="T136" s="49"/>
      <c r="U136" s="49"/>
      <c r="V136" s="49"/>
      <c r="W136" s="49"/>
      <c r="X136" s="49"/>
      <c r="Y136" s="49"/>
      <c r="Z136" s="49"/>
      <c r="AA136" s="49"/>
      <c r="AB136" s="49"/>
      <c r="AC136" s="49"/>
      <c r="AD136" s="49"/>
      <c r="AE136" s="49"/>
      <c r="AF136" s="49"/>
      <c r="AG136" s="49"/>
    </row>
    <row r="137" spans="1:33" ht="15" customHeight="1" x14ac:dyDescent="0.25">
      <c r="A137" s="48" t="s">
        <v>259</v>
      </c>
      <c r="B137" s="75" t="s">
        <v>141</v>
      </c>
      <c r="C137" s="79">
        <v>322.79443400000002</v>
      </c>
      <c r="D137" s="79">
        <v>323.96618699999999</v>
      </c>
      <c r="E137" s="79">
        <v>316.38116500000001</v>
      </c>
      <c r="F137" s="79">
        <v>313.378265</v>
      </c>
      <c r="G137" s="79">
        <v>313.80584700000003</v>
      </c>
      <c r="H137" s="79">
        <v>316.42208900000003</v>
      </c>
      <c r="I137" s="79">
        <v>320.67553700000002</v>
      </c>
      <c r="J137" s="79">
        <v>328.32162499999998</v>
      </c>
      <c r="K137" s="79">
        <v>337.13021900000001</v>
      </c>
      <c r="L137" s="79">
        <v>347.31375100000002</v>
      </c>
      <c r="M137" s="79">
        <v>357.72671500000001</v>
      </c>
      <c r="N137" s="79">
        <v>372.10546900000003</v>
      </c>
      <c r="O137" s="79">
        <v>385.80773900000003</v>
      </c>
      <c r="P137" s="79">
        <v>397.45077500000002</v>
      </c>
      <c r="Q137" s="79">
        <v>410.63799999999998</v>
      </c>
      <c r="R137" s="79">
        <v>424.90579200000002</v>
      </c>
      <c r="S137" s="79">
        <v>440.70797700000003</v>
      </c>
      <c r="T137" s="79">
        <v>454.92474399999998</v>
      </c>
      <c r="U137" s="79">
        <v>470.46719400000001</v>
      </c>
      <c r="V137" s="79">
        <v>486.252319</v>
      </c>
      <c r="W137" s="79">
        <v>501.30401599999999</v>
      </c>
      <c r="X137" s="79">
        <v>516.514771</v>
      </c>
      <c r="Y137" s="79">
        <v>531.99688700000002</v>
      </c>
      <c r="Z137" s="79">
        <v>549.30181900000002</v>
      </c>
      <c r="AA137" s="79">
        <v>568.15393100000006</v>
      </c>
      <c r="AB137" s="79">
        <v>584.43603499999995</v>
      </c>
      <c r="AC137" s="79">
        <v>601.94653300000004</v>
      </c>
      <c r="AD137" s="79">
        <v>619.02429199999995</v>
      </c>
      <c r="AE137" s="79">
        <v>635.86627199999998</v>
      </c>
      <c r="AF137" s="77">
        <v>2.4509E-2</v>
      </c>
      <c r="AG137" s="49"/>
    </row>
    <row r="138" spans="1:33" ht="15" customHeight="1" x14ac:dyDescent="0.25">
      <c r="A138" s="48" t="s">
        <v>260</v>
      </c>
      <c r="B138" s="75" t="s">
        <v>150</v>
      </c>
      <c r="C138" s="79">
        <v>237.58575400000001</v>
      </c>
      <c r="D138" s="79">
        <v>235.215363</v>
      </c>
      <c r="E138" s="79">
        <v>227.23172</v>
      </c>
      <c r="F138" s="79">
        <v>221.38610800000001</v>
      </c>
      <c r="G138" s="79">
        <v>220.246521</v>
      </c>
      <c r="H138" s="79">
        <v>220.52917500000001</v>
      </c>
      <c r="I138" s="79">
        <v>223.035492</v>
      </c>
      <c r="J138" s="79">
        <v>227.95399499999999</v>
      </c>
      <c r="K138" s="79">
        <v>234.02946499999999</v>
      </c>
      <c r="L138" s="79">
        <v>240.872421</v>
      </c>
      <c r="M138" s="79">
        <v>247.91056800000001</v>
      </c>
      <c r="N138" s="79">
        <v>257.46719400000001</v>
      </c>
      <c r="O138" s="79">
        <v>266.319458</v>
      </c>
      <c r="P138" s="79">
        <v>273.48553500000003</v>
      </c>
      <c r="Q138" s="79">
        <v>281.39428700000002</v>
      </c>
      <c r="R138" s="79">
        <v>289.59683200000001</v>
      </c>
      <c r="S138" s="79">
        <v>298.95288099999999</v>
      </c>
      <c r="T138" s="79">
        <v>307.10012799999998</v>
      </c>
      <c r="U138" s="79">
        <v>316.07788099999999</v>
      </c>
      <c r="V138" s="79">
        <v>325.34350599999999</v>
      </c>
      <c r="W138" s="79">
        <v>333.957672</v>
      </c>
      <c r="X138" s="79">
        <v>342.75811800000002</v>
      </c>
      <c r="Y138" s="79">
        <v>351.55493200000001</v>
      </c>
      <c r="Z138" s="79">
        <v>361.22058099999998</v>
      </c>
      <c r="AA138" s="79">
        <v>371.92254600000001</v>
      </c>
      <c r="AB138" s="79">
        <v>380.20718399999998</v>
      </c>
      <c r="AC138" s="79">
        <v>390.36471599999999</v>
      </c>
      <c r="AD138" s="79">
        <v>399.89819299999999</v>
      </c>
      <c r="AE138" s="79">
        <v>409.405823</v>
      </c>
      <c r="AF138" s="77">
        <v>1.9625E-2</v>
      </c>
      <c r="AG138" s="49"/>
    </row>
    <row r="139" spans="1:33" ht="15" customHeight="1" x14ac:dyDescent="0.25">
      <c r="A139" s="48" t="s">
        <v>261</v>
      </c>
      <c r="B139" s="75" t="s">
        <v>157</v>
      </c>
      <c r="C139" s="79">
        <v>310.10330199999999</v>
      </c>
      <c r="D139" s="79">
        <v>293.937927</v>
      </c>
      <c r="E139" s="79">
        <v>269.41128500000002</v>
      </c>
      <c r="F139" s="79">
        <v>255.99295000000001</v>
      </c>
      <c r="G139" s="79">
        <v>252.37174999999999</v>
      </c>
      <c r="H139" s="79">
        <v>251.98429899999999</v>
      </c>
      <c r="I139" s="79">
        <v>255.294601</v>
      </c>
      <c r="J139" s="79">
        <v>262.791382</v>
      </c>
      <c r="K139" s="79">
        <v>272.15884399999999</v>
      </c>
      <c r="L139" s="79">
        <v>283.44372600000003</v>
      </c>
      <c r="M139" s="79">
        <v>296.71109000000001</v>
      </c>
      <c r="N139" s="79">
        <v>312.462738</v>
      </c>
      <c r="O139" s="79">
        <v>327.410461</v>
      </c>
      <c r="P139" s="79">
        <v>340.86224399999998</v>
      </c>
      <c r="Q139" s="79">
        <v>353.05050699999998</v>
      </c>
      <c r="R139" s="79">
        <v>366.60595699999999</v>
      </c>
      <c r="S139" s="79">
        <v>382.95333900000003</v>
      </c>
      <c r="T139" s="79">
        <v>394.82739299999997</v>
      </c>
      <c r="U139" s="79">
        <v>412.51119999999997</v>
      </c>
      <c r="V139" s="79">
        <v>429.67004400000002</v>
      </c>
      <c r="W139" s="79">
        <v>444.30892899999998</v>
      </c>
      <c r="X139" s="79">
        <v>456.24182100000002</v>
      </c>
      <c r="Y139" s="79">
        <v>468.29614299999997</v>
      </c>
      <c r="Z139" s="79">
        <v>482.59146099999998</v>
      </c>
      <c r="AA139" s="79">
        <v>497.78393599999998</v>
      </c>
      <c r="AB139" s="79">
        <v>513.341858</v>
      </c>
      <c r="AC139" s="79">
        <v>528.57128899999998</v>
      </c>
      <c r="AD139" s="79">
        <v>543.32611099999997</v>
      </c>
      <c r="AE139" s="79">
        <v>561.378601</v>
      </c>
      <c r="AF139" s="77">
        <v>2.1422E-2</v>
      </c>
      <c r="AG139" s="49"/>
    </row>
    <row r="140" spans="1:33" ht="15" customHeight="1" x14ac:dyDescent="0.25">
      <c r="A140" s="48" t="s">
        <v>262</v>
      </c>
      <c r="B140" s="75" t="s">
        <v>170</v>
      </c>
      <c r="C140" s="79">
        <v>881.96179199999995</v>
      </c>
      <c r="D140" s="79">
        <v>811.42846699999996</v>
      </c>
      <c r="E140" s="79">
        <v>766.75103799999999</v>
      </c>
      <c r="F140" s="79">
        <v>723.15112299999998</v>
      </c>
      <c r="G140" s="79">
        <v>720.67791699999998</v>
      </c>
      <c r="H140" s="79">
        <v>721.14880400000004</v>
      </c>
      <c r="I140" s="79">
        <v>725.37042199999996</v>
      </c>
      <c r="J140" s="79">
        <v>736.70733600000005</v>
      </c>
      <c r="K140" s="79">
        <v>747.34710700000005</v>
      </c>
      <c r="L140" s="79">
        <v>759.18035899999995</v>
      </c>
      <c r="M140" s="79">
        <v>774.73083499999996</v>
      </c>
      <c r="N140" s="79">
        <v>791.205017</v>
      </c>
      <c r="O140" s="79">
        <v>809.23150599999997</v>
      </c>
      <c r="P140" s="79">
        <v>828.21209699999997</v>
      </c>
      <c r="Q140" s="79">
        <v>849.53375200000005</v>
      </c>
      <c r="R140" s="79">
        <v>869.042236</v>
      </c>
      <c r="S140" s="79">
        <v>890.13116500000001</v>
      </c>
      <c r="T140" s="79">
        <v>912.08129899999994</v>
      </c>
      <c r="U140" s="79">
        <v>935.030396</v>
      </c>
      <c r="V140" s="79">
        <v>960.26007100000004</v>
      </c>
      <c r="W140" s="79">
        <v>985.62011700000005</v>
      </c>
      <c r="X140" s="79">
        <v>1010.600464</v>
      </c>
      <c r="Y140" s="79">
        <v>1039.5527340000001</v>
      </c>
      <c r="Z140" s="79">
        <v>1069.6843260000001</v>
      </c>
      <c r="AA140" s="79">
        <v>1125.338379</v>
      </c>
      <c r="AB140" s="79">
        <v>1159.325073</v>
      </c>
      <c r="AC140" s="79">
        <v>1200.5155030000001</v>
      </c>
      <c r="AD140" s="79">
        <v>1239.8339840000001</v>
      </c>
      <c r="AE140" s="79">
        <v>1285.9207759999999</v>
      </c>
      <c r="AF140" s="77">
        <v>1.3558000000000001E-2</v>
      </c>
      <c r="AG140" s="49"/>
    </row>
    <row r="141" spans="1:33" x14ac:dyDescent="0.25">
      <c r="A141" s="48" t="s">
        <v>263</v>
      </c>
      <c r="B141" s="75" t="s">
        <v>211</v>
      </c>
      <c r="C141" s="79">
        <v>1752.4451899999999</v>
      </c>
      <c r="D141" s="79">
        <v>1664.5479740000001</v>
      </c>
      <c r="E141" s="79">
        <v>1579.775269</v>
      </c>
      <c r="F141" s="79">
        <v>1513.908447</v>
      </c>
      <c r="G141" s="79">
        <v>1507.102173</v>
      </c>
      <c r="H141" s="79">
        <v>1510.084351</v>
      </c>
      <c r="I141" s="79">
        <v>1524.3759769999999</v>
      </c>
      <c r="J141" s="79">
        <v>1555.774414</v>
      </c>
      <c r="K141" s="79">
        <v>1590.6655270000001</v>
      </c>
      <c r="L141" s="79">
        <v>1630.8104249999999</v>
      </c>
      <c r="M141" s="79">
        <v>1677.079346</v>
      </c>
      <c r="N141" s="79">
        <v>1733.240356</v>
      </c>
      <c r="O141" s="79">
        <v>1788.7691649999999</v>
      </c>
      <c r="P141" s="79">
        <v>1840.01062</v>
      </c>
      <c r="Q141" s="79">
        <v>1894.616577</v>
      </c>
      <c r="R141" s="79">
        <v>1950.1507570000001</v>
      </c>
      <c r="S141" s="79">
        <v>2012.7452390000001</v>
      </c>
      <c r="T141" s="79">
        <v>2068.9335940000001</v>
      </c>
      <c r="U141" s="79">
        <v>2134.0866700000001</v>
      </c>
      <c r="V141" s="79">
        <v>2201.5258789999998</v>
      </c>
      <c r="W141" s="79">
        <v>2265.1909179999998</v>
      </c>
      <c r="X141" s="79">
        <v>2326.1152339999999</v>
      </c>
      <c r="Y141" s="79">
        <v>2391.400635</v>
      </c>
      <c r="Z141" s="79">
        <v>2462.7983399999998</v>
      </c>
      <c r="AA141" s="79">
        <v>2563.1987300000001</v>
      </c>
      <c r="AB141" s="79">
        <v>2637.3100589999999</v>
      </c>
      <c r="AC141" s="79">
        <v>2721.3984380000002</v>
      </c>
      <c r="AD141" s="79">
        <v>2802.0825199999999</v>
      </c>
      <c r="AE141" s="79">
        <v>2892.5715329999998</v>
      </c>
      <c r="AF141" s="77">
        <v>1.8058999999999999E-2</v>
      </c>
      <c r="AG141" s="49"/>
    </row>
    <row r="142" spans="1:33" x14ac:dyDescent="0.25">
      <c r="A142" s="48" t="s">
        <v>264</v>
      </c>
      <c r="B142" s="75" t="s">
        <v>213</v>
      </c>
      <c r="C142" s="79">
        <v>1.2899940000000001</v>
      </c>
      <c r="D142" s="79">
        <v>1.201241</v>
      </c>
      <c r="E142" s="79">
        <v>1.109594</v>
      </c>
      <c r="F142" s="79">
        <v>1.053992</v>
      </c>
      <c r="G142" s="79">
        <v>1.0397289999999999</v>
      </c>
      <c r="H142" s="79">
        <v>1.027182</v>
      </c>
      <c r="I142" s="79">
        <v>1.0142910000000001</v>
      </c>
      <c r="J142" s="79">
        <v>0.99746900000000005</v>
      </c>
      <c r="K142" s="79">
        <v>0.97924699999999998</v>
      </c>
      <c r="L142" s="79">
        <v>0.95561600000000002</v>
      </c>
      <c r="M142" s="79">
        <v>0.93827000000000005</v>
      </c>
      <c r="N142" s="79">
        <v>0.92201699999999998</v>
      </c>
      <c r="O142" s="79">
        <v>0.90963499999999997</v>
      </c>
      <c r="P142" s="79">
        <v>0.89836499999999997</v>
      </c>
      <c r="Q142" s="79">
        <v>0.89511799999999997</v>
      </c>
      <c r="R142" s="79">
        <v>0.89109499999999997</v>
      </c>
      <c r="S142" s="79">
        <v>0.89440900000000001</v>
      </c>
      <c r="T142" s="79">
        <v>0.90472699999999995</v>
      </c>
      <c r="U142" s="79">
        <v>0.91914099999999999</v>
      </c>
      <c r="V142" s="79">
        <v>0.93616699999999997</v>
      </c>
      <c r="W142" s="79">
        <v>0.95972999999999997</v>
      </c>
      <c r="X142" s="79">
        <v>0.98244699999999996</v>
      </c>
      <c r="Y142" s="79">
        <v>1.0171840000000001</v>
      </c>
      <c r="Z142" s="79">
        <v>1.049472</v>
      </c>
      <c r="AA142" s="79">
        <v>1.1101289999999999</v>
      </c>
      <c r="AB142" s="79">
        <v>1.1506320000000001</v>
      </c>
      <c r="AC142" s="79">
        <v>1.2013210000000001</v>
      </c>
      <c r="AD142" s="79">
        <v>1.251039</v>
      </c>
      <c r="AE142" s="79">
        <v>1.3100050000000001</v>
      </c>
      <c r="AF142" s="77">
        <v>5.5000000000000003E-4</v>
      </c>
      <c r="AG142" s="49"/>
    </row>
    <row r="143" spans="1:33" x14ac:dyDescent="0.25">
      <c r="A143" s="48" t="s">
        <v>265</v>
      </c>
      <c r="B143" s="74" t="s">
        <v>215</v>
      </c>
      <c r="C143" s="80">
        <v>1753.7352289999999</v>
      </c>
      <c r="D143" s="80">
        <v>1665.749268</v>
      </c>
      <c r="E143" s="80">
        <v>1580.884888</v>
      </c>
      <c r="F143" s="80">
        <v>1514.962524</v>
      </c>
      <c r="G143" s="80">
        <v>1508.141846</v>
      </c>
      <c r="H143" s="80">
        <v>1511.1114500000001</v>
      </c>
      <c r="I143" s="80">
        <v>1525.390259</v>
      </c>
      <c r="J143" s="80">
        <v>1556.771851</v>
      </c>
      <c r="K143" s="80">
        <v>1591.6448969999999</v>
      </c>
      <c r="L143" s="80">
        <v>1631.765991</v>
      </c>
      <c r="M143" s="80">
        <v>1678.017456</v>
      </c>
      <c r="N143" s="80">
        <v>1734.1623540000001</v>
      </c>
      <c r="O143" s="80">
        <v>1789.6789550000001</v>
      </c>
      <c r="P143" s="80">
        <v>1840.909058</v>
      </c>
      <c r="Q143" s="80">
        <v>1895.5117190000001</v>
      </c>
      <c r="R143" s="80">
        <v>1951.0419919999999</v>
      </c>
      <c r="S143" s="80">
        <v>2013.6397710000001</v>
      </c>
      <c r="T143" s="80">
        <v>2069.8383789999998</v>
      </c>
      <c r="U143" s="80">
        <v>2135.0058589999999</v>
      </c>
      <c r="V143" s="80">
        <v>2202.4621579999998</v>
      </c>
      <c r="W143" s="80">
        <v>2266.150635</v>
      </c>
      <c r="X143" s="80">
        <v>2327.0976559999999</v>
      </c>
      <c r="Y143" s="80">
        <v>2392.4179690000001</v>
      </c>
      <c r="Z143" s="80">
        <v>2463.8479000000002</v>
      </c>
      <c r="AA143" s="80">
        <v>2564.3090820000002</v>
      </c>
      <c r="AB143" s="80">
        <v>2638.460693</v>
      </c>
      <c r="AC143" s="80">
        <v>2722.5996089999999</v>
      </c>
      <c r="AD143" s="80">
        <v>2803.3332519999999</v>
      </c>
      <c r="AE143" s="80">
        <v>2893.8815920000002</v>
      </c>
      <c r="AF143" s="78">
        <v>1.8048999999999999E-2</v>
      </c>
      <c r="AG143" s="49"/>
    </row>
    <row r="144" spans="1:33" x14ac:dyDescent="0.25">
      <c r="A144" s="45"/>
      <c r="B144" s="49"/>
      <c r="C144" s="49"/>
      <c r="D144" s="49"/>
      <c r="E144" s="49"/>
      <c r="F144" s="49"/>
      <c r="G144" s="49"/>
      <c r="H144" s="49"/>
      <c r="I144" s="49"/>
      <c r="J144" s="49"/>
      <c r="K144" s="49"/>
      <c r="L144" s="49"/>
      <c r="M144" s="49"/>
      <c r="N144" s="49"/>
      <c r="O144" s="49"/>
      <c r="P144" s="49"/>
      <c r="Q144" s="49"/>
      <c r="R144" s="49"/>
      <c r="S144" s="49"/>
      <c r="T144" s="49"/>
      <c r="U144" s="49"/>
      <c r="V144" s="49"/>
      <c r="W144" s="49"/>
      <c r="X144" s="49"/>
      <c r="Y144" s="49"/>
      <c r="Z144" s="49"/>
      <c r="AA144" s="49"/>
      <c r="AB144" s="49"/>
      <c r="AC144" s="49"/>
      <c r="AD144" s="49"/>
      <c r="AE144" s="49"/>
      <c r="AF144" s="49"/>
      <c r="AG144" s="49"/>
    </row>
    <row r="145" spans="2:34" ht="15.75" thickBot="1" x14ac:dyDescent="0.3">
      <c r="B145" s="49"/>
      <c r="C145" s="49"/>
      <c r="D145" s="49"/>
      <c r="E145" s="49"/>
      <c r="F145" s="49"/>
      <c r="G145" s="49"/>
      <c r="H145" s="49"/>
      <c r="I145" s="49"/>
      <c r="J145" s="49"/>
      <c r="K145" s="49"/>
      <c r="L145" s="49"/>
      <c r="M145" s="49"/>
      <c r="N145" s="49"/>
      <c r="O145" s="49"/>
      <c r="P145" s="49"/>
      <c r="Q145" s="49"/>
      <c r="R145" s="49"/>
      <c r="S145" s="49"/>
      <c r="T145" s="49"/>
      <c r="U145" s="49"/>
      <c r="V145" s="49"/>
      <c r="W145" s="49"/>
      <c r="X145" s="49"/>
      <c r="Y145" s="49"/>
      <c r="Z145" s="49"/>
      <c r="AA145" s="49"/>
      <c r="AB145" s="49"/>
      <c r="AC145" s="49"/>
      <c r="AD145" s="49"/>
      <c r="AE145" s="49"/>
      <c r="AF145" s="49"/>
      <c r="AG145" s="49"/>
      <c r="AH145" s="45"/>
    </row>
    <row r="146" spans="2:34" x14ac:dyDescent="0.25">
      <c r="B146" s="88" t="s">
        <v>409</v>
      </c>
      <c r="C146" s="89"/>
      <c r="D146" s="89"/>
      <c r="E146" s="89"/>
      <c r="F146" s="89"/>
      <c r="G146" s="89"/>
      <c r="H146" s="89"/>
      <c r="I146" s="89"/>
      <c r="J146" s="89"/>
      <c r="K146" s="89"/>
      <c r="L146" s="89"/>
      <c r="M146" s="89"/>
      <c r="N146" s="89"/>
      <c r="O146" s="89"/>
      <c r="P146" s="89"/>
      <c r="Q146" s="89"/>
      <c r="R146" s="89"/>
      <c r="S146" s="89"/>
      <c r="T146" s="89"/>
      <c r="U146" s="89"/>
      <c r="V146" s="89"/>
      <c r="W146" s="89"/>
      <c r="X146" s="89"/>
      <c r="Y146" s="89"/>
      <c r="Z146" s="89"/>
      <c r="AA146" s="89"/>
      <c r="AB146" s="89"/>
      <c r="AC146" s="89"/>
      <c r="AD146" s="89"/>
      <c r="AE146" s="89"/>
      <c r="AF146" s="89"/>
      <c r="AG146" s="89"/>
      <c r="AH146" s="67"/>
    </row>
    <row r="147" spans="2:34" x14ac:dyDescent="0.25">
      <c r="B147" s="49" t="s">
        <v>285</v>
      </c>
      <c r="C147" s="49"/>
      <c r="D147" s="49"/>
      <c r="E147" s="49"/>
      <c r="F147" s="49"/>
      <c r="G147" s="49"/>
      <c r="H147" s="49"/>
      <c r="I147" s="49"/>
      <c r="J147" s="49"/>
      <c r="K147" s="49"/>
      <c r="L147" s="49"/>
      <c r="M147" s="49"/>
      <c r="N147" s="49"/>
      <c r="O147" s="49"/>
      <c r="P147" s="49"/>
      <c r="Q147" s="49"/>
      <c r="R147" s="49"/>
      <c r="S147" s="49"/>
      <c r="T147" s="49"/>
      <c r="U147" s="49"/>
      <c r="V147" s="49"/>
      <c r="W147" s="49"/>
      <c r="X147" s="49"/>
      <c r="Y147" s="49"/>
      <c r="Z147" s="49"/>
      <c r="AA147" s="49"/>
      <c r="AB147" s="49"/>
      <c r="AC147" s="49"/>
      <c r="AD147" s="49"/>
      <c r="AE147" s="49"/>
      <c r="AF147" s="49"/>
      <c r="AG147" s="49"/>
      <c r="AH147" s="45"/>
    </row>
    <row r="148" spans="2:34" x14ac:dyDescent="0.25">
      <c r="B148" s="49" t="s">
        <v>410</v>
      </c>
      <c r="C148" s="49"/>
      <c r="D148" s="49"/>
      <c r="E148" s="49"/>
      <c r="F148" s="49"/>
      <c r="G148" s="49"/>
      <c r="H148" s="49"/>
      <c r="I148" s="49"/>
      <c r="J148" s="49"/>
      <c r="K148" s="49"/>
      <c r="L148" s="49"/>
      <c r="M148" s="49"/>
      <c r="N148" s="49"/>
      <c r="O148" s="49"/>
      <c r="P148" s="49"/>
      <c r="Q148" s="49"/>
      <c r="R148" s="49"/>
      <c r="S148" s="49"/>
      <c r="T148" s="49"/>
      <c r="U148" s="49"/>
      <c r="V148" s="49"/>
      <c r="W148" s="49"/>
      <c r="X148" s="49"/>
      <c r="Y148" s="49"/>
      <c r="Z148" s="49"/>
      <c r="AA148" s="49"/>
      <c r="AB148" s="49"/>
      <c r="AC148" s="49"/>
      <c r="AD148" s="49"/>
      <c r="AE148" s="49"/>
      <c r="AF148" s="49"/>
      <c r="AG148" s="49"/>
      <c r="AH148" s="45"/>
    </row>
    <row r="149" spans="2:34" x14ac:dyDescent="0.25">
      <c r="B149" s="49" t="s">
        <v>411</v>
      </c>
      <c r="C149" s="49"/>
      <c r="D149" s="49"/>
      <c r="E149" s="49"/>
      <c r="F149" s="49"/>
      <c r="G149" s="49"/>
      <c r="H149" s="49"/>
      <c r="I149" s="49"/>
      <c r="J149" s="49"/>
      <c r="K149" s="49"/>
      <c r="L149" s="49"/>
      <c r="M149" s="49"/>
      <c r="N149" s="49"/>
      <c r="O149" s="49"/>
      <c r="P149" s="49"/>
      <c r="Q149" s="49"/>
      <c r="R149" s="49"/>
      <c r="S149" s="49"/>
      <c r="T149" s="49"/>
      <c r="U149" s="49"/>
      <c r="V149" s="49"/>
      <c r="W149" s="49"/>
      <c r="X149" s="49"/>
      <c r="Y149" s="49"/>
      <c r="Z149" s="49"/>
      <c r="AA149" s="49"/>
      <c r="AB149" s="49"/>
      <c r="AC149" s="49"/>
      <c r="AD149" s="49"/>
      <c r="AE149" s="49"/>
      <c r="AF149" s="49"/>
      <c r="AG149" s="49"/>
      <c r="AH149" s="45"/>
    </row>
    <row r="150" spans="2:34" ht="15" customHeight="1" x14ac:dyDescent="0.25">
      <c r="B150" s="49" t="s">
        <v>287</v>
      </c>
      <c r="C150" s="49"/>
      <c r="D150" s="49"/>
      <c r="E150" s="49"/>
      <c r="F150" s="49"/>
      <c r="G150" s="49"/>
      <c r="H150" s="49"/>
      <c r="I150" s="49"/>
      <c r="J150" s="49"/>
      <c r="K150" s="49"/>
      <c r="L150" s="49"/>
      <c r="M150" s="49"/>
      <c r="N150" s="49"/>
      <c r="O150" s="49"/>
      <c r="P150" s="49"/>
      <c r="Q150" s="49"/>
      <c r="R150" s="49"/>
      <c r="S150" s="49"/>
      <c r="T150" s="49"/>
      <c r="U150" s="49"/>
      <c r="V150" s="49"/>
      <c r="W150" s="49"/>
      <c r="X150" s="49"/>
      <c r="Y150" s="49"/>
      <c r="Z150" s="49"/>
      <c r="AA150" s="49"/>
      <c r="AB150" s="49"/>
      <c r="AC150" s="49"/>
      <c r="AD150" s="49"/>
      <c r="AE150" s="49"/>
      <c r="AF150" s="49"/>
      <c r="AG150" s="49"/>
      <c r="AH150" s="45"/>
    </row>
    <row r="151" spans="2:34" ht="15" customHeight="1" x14ac:dyDescent="0.25">
      <c r="B151" s="49" t="s">
        <v>412</v>
      </c>
      <c r="C151" s="49"/>
      <c r="D151" s="49"/>
      <c r="E151" s="49"/>
      <c r="F151" s="49"/>
      <c r="G151" s="49"/>
      <c r="H151" s="49"/>
      <c r="I151" s="49"/>
      <c r="J151" s="49"/>
      <c r="K151" s="49"/>
      <c r="L151" s="49"/>
      <c r="M151" s="49"/>
      <c r="N151" s="49"/>
      <c r="O151" s="49"/>
      <c r="P151" s="49"/>
      <c r="Q151" s="49"/>
      <c r="R151" s="49"/>
      <c r="S151" s="49"/>
      <c r="T151" s="49"/>
      <c r="U151" s="49"/>
      <c r="V151" s="49"/>
      <c r="W151" s="49"/>
      <c r="X151" s="49"/>
      <c r="Y151" s="49"/>
      <c r="Z151" s="49"/>
      <c r="AA151" s="49"/>
      <c r="AB151" s="49"/>
      <c r="AC151" s="49"/>
      <c r="AD151" s="49"/>
      <c r="AE151" s="49"/>
      <c r="AF151" s="49"/>
      <c r="AG151" s="49"/>
      <c r="AH151" s="45"/>
    </row>
    <row r="152" spans="2:34" ht="15" customHeight="1" x14ac:dyDescent="0.25">
      <c r="B152" s="49" t="s">
        <v>413</v>
      </c>
      <c r="C152" s="49"/>
      <c r="D152" s="49"/>
      <c r="E152" s="49"/>
      <c r="F152" s="49"/>
      <c r="G152" s="49"/>
      <c r="H152" s="49"/>
      <c r="I152" s="49"/>
      <c r="J152" s="49"/>
      <c r="K152" s="49"/>
      <c r="L152" s="49"/>
      <c r="M152" s="49"/>
      <c r="N152" s="49"/>
      <c r="O152" s="49"/>
      <c r="P152" s="49"/>
      <c r="Q152" s="49"/>
      <c r="R152" s="49"/>
      <c r="S152" s="49"/>
      <c r="T152" s="49"/>
      <c r="U152" s="49"/>
      <c r="V152" s="49"/>
      <c r="W152" s="49"/>
      <c r="X152" s="49"/>
      <c r="Y152" s="49"/>
      <c r="Z152" s="49"/>
      <c r="AA152" s="49"/>
      <c r="AB152" s="49"/>
      <c r="AC152" s="49"/>
      <c r="AD152" s="49"/>
      <c r="AE152" s="49"/>
      <c r="AF152" s="49"/>
      <c r="AG152" s="49"/>
      <c r="AH152" s="45"/>
    </row>
    <row r="153" spans="2:34" ht="15" customHeight="1" x14ac:dyDescent="0.25">
      <c r="B153" s="49" t="s">
        <v>290</v>
      </c>
      <c r="C153" s="49"/>
      <c r="D153" s="49"/>
      <c r="E153" s="49"/>
      <c r="F153" s="49"/>
      <c r="G153" s="49"/>
      <c r="H153" s="49"/>
      <c r="I153" s="49"/>
      <c r="J153" s="49"/>
      <c r="K153" s="49"/>
      <c r="L153" s="49"/>
      <c r="M153" s="49"/>
      <c r="N153" s="49"/>
      <c r="O153" s="49"/>
      <c r="P153" s="49"/>
      <c r="Q153" s="49"/>
      <c r="R153" s="49"/>
      <c r="S153" s="49"/>
      <c r="T153" s="49"/>
      <c r="U153" s="49"/>
      <c r="V153" s="49"/>
      <c r="W153" s="49"/>
      <c r="X153" s="49"/>
      <c r="Y153" s="49"/>
      <c r="Z153" s="49"/>
      <c r="AA153" s="49"/>
      <c r="AB153" s="49"/>
      <c r="AC153" s="49"/>
      <c r="AD153" s="49"/>
      <c r="AE153" s="49"/>
      <c r="AF153" s="49"/>
      <c r="AG153" s="49"/>
      <c r="AH153" s="45"/>
    </row>
    <row r="154" spans="2:34" ht="15" customHeight="1" x14ac:dyDescent="0.25">
      <c r="B154" s="49" t="s">
        <v>267</v>
      </c>
      <c r="C154" s="49"/>
      <c r="D154" s="49"/>
      <c r="E154" s="49"/>
      <c r="F154" s="49"/>
      <c r="G154" s="49"/>
      <c r="H154" s="49"/>
      <c r="I154" s="49"/>
      <c r="J154" s="49"/>
      <c r="K154" s="49"/>
      <c r="L154" s="49"/>
      <c r="M154" s="49"/>
      <c r="N154" s="49"/>
      <c r="O154" s="49"/>
      <c r="P154" s="49"/>
      <c r="Q154" s="49"/>
      <c r="R154" s="49"/>
      <c r="S154" s="49"/>
      <c r="T154" s="49"/>
      <c r="U154" s="49"/>
      <c r="V154" s="49"/>
      <c r="W154" s="49"/>
      <c r="X154" s="49"/>
      <c r="Y154" s="49"/>
      <c r="Z154" s="49"/>
      <c r="AA154" s="49"/>
      <c r="AB154" s="49"/>
      <c r="AC154" s="49"/>
      <c r="AD154" s="49"/>
      <c r="AE154" s="49"/>
      <c r="AF154" s="49"/>
      <c r="AG154" s="49"/>
      <c r="AH154" s="45"/>
    </row>
    <row r="155" spans="2:34" ht="15" customHeight="1" x14ac:dyDescent="0.25">
      <c r="B155" s="49" t="s">
        <v>414</v>
      </c>
      <c r="C155" s="49"/>
      <c r="D155" s="49"/>
      <c r="E155" s="49"/>
      <c r="F155" s="49"/>
      <c r="G155" s="49"/>
      <c r="H155" s="49"/>
      <c r="I155" s="49"/>
      <c r="J155" s="49"/>
      <c r="K155" s="49"/>
      <c r="L155" s="49"/>
      <c r="M155" s="49"/>
      <c r="N155" s="49"/>
      <c r="O155" s="49"/>
      <c r="P155" s="49"/>
      <c r="Q155" s="49"/>
      <c r="R155" s="49"/>
      <c r="S155" s="49"/>
      <c r="T155" s="49"/>
      <c r="U155" s="49"/>
      <c r="V155" s="49"/>
      <c r="W155" s="49"/>
      <c r="X155" s="49"/>
      <c r="Y155" s="49"/>
      <c r="Z155" s="49"/>
      <c r="AA155" s="49"/>
      <c r="AB155" s="49"/>
      <c r="AC155" s="49"/>
      <c r="AD155" s="49"/>
      <c r="AE155" s="49"/>
      <c r="AF155" s="49"/>
      <c r="AG155" s="49"/>
      <c r="AH155" s="45"/>
    </row>
    <row r="156" spans="2:34" ht="15" customHeight="1" x14ac:dyDescent="0.25">
      <c r="B156" s="49" t="s">
        <v>292</v>
      </c>
      <c r="C156" s="49"/>
      <c r="D156" s="49"/>
      <c r="E156" s="49"/>
      <c r="F156" s="49"/>
      <c r="G156" s="49"/>
      <c r="H156" s="49"/>
      <c r="I156" s="49"/>
      <c r="J156" s="49"/>
      <c r="K156" s="49"/>
      <c r="L156" s="49"/>
      <c r="M156" s="49"/>
      <c r="N156" s="49"/>
      <c r="O156" s="49"/>
      <c r="P156" s="49"/>
      <c r="Q156" s="49"/>
      <c r="R156" s="49"/>
      <c r="S156" s="49"/>
      <c r="T156" s="49"/>
      <c r="U156" s="49"/>
      <c r="V156" s="49"/>
      <c r="W156" s="49"/>
      <c r="X156" s="49"/>
      <c r="Y156" s="49"/>
      <c r="Z156" s="49"/>
      <c r="AA156" s="49"/>
      <c r="AB156" s="49"/>
      <c r="AC156" s="49"/>
      <c r="AD156" s="49"/>
      <c r="AE156" s="49"/>
      <c r="AF156" s="49"/>
      <c r="AG156" s="49"/>
      <c r="AH156" s="45"/>
    </row>
    <row r="157" spans="2:34" ht="15" customHeight="1" x14ac:dyDescent="0.25">
      <c r="B157" s="49" t="s">
        <v>293</v>
      </c>
      <c r="C157" s="49"/>
      <c r="D157" s="49"/>
      <c r="E157" s="49"/>
      <c r="F157" s="49"/>
      <c r="G157" s="49"/>
      <c r="H157" s="49"/>
      <c r="I157" s="49"/>
      <c r="J157" s="49"/>
      <c r="K157" s="49"/>
      <c r="L157" s="49"/>
      <c r="M157" s="49"/>
      <c r="N157" s="49"/>
      <c r="O157" s="49"/>
      <c r="P157" s="49"/>
      <c r="Q157" s="49"/>
      <c r="R157" s="49"/>
      <c r="S157" s="49"/>
      <c r="T157" s="49"/>
      <c r="U157" s="49"/>
      <c r="V157" s="49"/>
      <c r="W157" s="49"/>
      <c r="X157" s="49"/>
      <c r="Y157" s="49"/>
      <c r="Z157" s="49"/>
      <c r="AA157" s="49"/>
      <c r="AB157" s="49"/>
      <c r="AC157" s="49"/>
      <c r="AD157" s="49"/>
      <c r="AE157" s="49"/>
      <c r="AF157" s="49"/>
      <c r="AG157" s="49"/>
      <c r="AH157" s="45"/>
    </row>
    <row r="158" spans="2:34" ht="15" customHeight="1" x14ac:dyDescent="0.25">
      <c r="B158" s="49" t="s">
        <v>294</v>
      </c>
      <c r="C158" s="49"/>
      <c r="D158" s="49"/>
      <c r="E158" s="49"/>
      <c r="F158" s="49"/>
      <c r="G158" s="49"/>
      <c r="H158" s="49"/>
      <c r="I158" s="49"/>
      <c r="J158" s="49"/>
      <c r="K158" s="49"/>
      <c r="L158" s="49"/>
      <c r="M158" s="49"/>
      <c r="N158" s="49"/>
      <c r="O158" s="49"/>
      <c r="P158" s="49"/>
      <c r="Q158" s="49"/>
      <c r="R158" s="49"/>
      <c r="S158" s="49"/>
      <c r="T158" s="49"/>
      <c r="U158" s="49"/>
      <c r="V158" s="49"/>
      <c r="W158" s="49"/>
      <c r="X158" s="49"/>
      <c r="Y158" s="49"/>
      <c r="Z158" s="49"/>
      <c r="AA158" s="49"/>
      <c r="AB158" s="49"/>
      <c r="AC158" s="49"/>
      <c r="AD158" s="49"/>
      <c r="AE158" s="49"/>
      <c r="AF158" s="49"/>
      <c r="AG158" s="49"/>
      <c r="AH158" s="45"/>
    </row>
    <row r="159" spans="2:34" ht="15" customHeight="1" x14ac:dyDescent="0.25">
      <c r="B159" s="49" t="s">
        <v>404</v>
      </c>
      <c r="C159" s="49"/>
      <c r="D159" s="49"/>
      <c r="E159" s="49"/>
      <c r="F159" s="49"/>
      <c r="G159" s="49"/>
      <c r="H159" s="49"/>
      <c r="I159" s="49"/>
      <c r="J159" s="49"/>
      <c r="K159" s="49"/>
      <c r="L159" s="49"/>
      <c r="M159" s="49"/>
      <c r="N159" s="49"/>
      <c r="O159" s="49"/>
      <c r="P159" s="49"/>
      <c r="Q159" s="49"/>
      <c r="R159" s="49"/>
      <c r="S159" s="49"/>
      <c r="T159" s="49"/>
      <c r="U159" s="49"/>
      <c r="V159" s="49"/>
      <c r="W159" s="49"/>
      <c r="X159" s="49"/>
      <c r="Y159" s="49"/>
      <c r="Z159" s="49"/>
      <c r="AA159" s="49"/>
      <c r="AB159" s="49"/>
      <c r="AC159" s="49"/>
      <c r="AD159" s="49"/>
      <c r="AE159" s="49"/>
      <c r="AF159" s="49"/>
      <c r="AG159" s="49"/>
      <c r="AH159" s="45"/>
    </row>
    <row r="160" spans="2:34" ht="15" customHeight="1" x14ac:dyDescent="0.25">
      <c r="B160" s="49" t="s">
        <v>415</v>
      </c>
      <c r="C160" s="49"/>
      <c r="D160" s="49"/>
      <c r="E160" s="49"/>
      <c r="F160" s="49"/>
      <c r="G160" s="49"/>
      <c r="H160" s="49"/>
      <c r="I160" s="49"/>
      <c r="J160" s="49"/>
      <c r="K160" s="49"/>
      <c r="L160" s="49"/>
      <c r="M160" s="49"/>
      <c r="N160" s="49"/>
      <c r="O160" s="49"/>
      <c r="P160" s="49"/>
      <c r="Q160" s="49"/>
      <c r="R160" s="49"/>
      <c r="S160" s="49"/>
      <c r="T160" s="49"/>
      <c r="U160" s="49"/>
      <c r="V160" s="49"/>
      <c r="W160" s="49"/>
      <c r="X160" s="49"/>
      <c r="Y160" s="49"/>
      <c r="Z160" s="49"/>
      <c r="AA160" s="49"/>
      <c r="AB160" s="49"/>
      <c r="AC160" s="49"/>
      <c r="AD160" s="49"/>
      <c r="AE160" s="49"/>
      <c r="AF160" s="49"/>
      <c r="AG160" s="49"/>
      <c r="AH160" s="45"/>
    </row>
    <row r="161" spans="2:33" ht="15" customHeight="1" x14ac:dyDescent="0.25">
      <c r="B161" s="49"/>
      <c r="C161" s="49"/>
      <c r="D161" s="49"/>
      <c r="E161" s="49"/>
      <c r="F161" s="49"/>
      <c r="G161" s="49"/>
      <c r="H161" s="49"/>
      <c r="I161" s="49"/>
      <c r="J161" s="49"/>
      <c r="K161" s="49"/>
      <c r="L161" s="49"/>
      <c r="M161" s="49"/>
      <c r="N161" s="49"/>
      <c r="O161" s="49"/>
      <c r="P161" s="49"/>
      <c r="Q161" s="49"/>
      <c r="R161" s="49"/>
      <c r="S161" s="49"/>
      <c r="T161" s="49"/>
      <c r="U161" s="49"/>
      <c r="V161" s="49"/>
      <c r="W161" s="49"/>
      <c r="X161" s="49"/>
      <c r="Y161" s="49"/>
      <c r="Z161" s="49"/>
      <c r="AA161" s="49"/>
      <c r="AB161" s="49"/>
      <c r="AC161" s="49"/>
      <c r="AD161" s="49"/>
      <c r="AE161" s="49"/>
      <c r="AF161" s="49"/>
      <c r="AG161" s="49"/>
    </row>
    <row r="162" spans="2:33" ht="15" customHeight="1" x14ac:dyDescent="0.25">
      <c r="B162" s="49"/>
      <c r="C162" s="49"/>
      <c r="D162" s="49"/>
      <c r="E162" s="49"/>
      <c r="F162" s="49"/>
      <c r="G162" s="49"/>
      <c r="H162" s="49"/>
      <c r="I162" s="49"/>
      <c r="J162" s="49"/>
      <c r="K162" s="49"/>
      <c r="L162" s="49"/>
      <c r="M162" s="49"/>
      <c r="N162" s="49"/>
      <c r="O162" s="49"/>
      <c r="P162" s="49"/>
      <c r="Q162" s="49"/>
      <c r="R162" s="49"/>
      <c r="S162" s="49"/>
      <c r="T162" s="49"/>
      <c r="U162" s="49"/>
      <c r="V162" s="49"/>
      <c r="W162" s="49"/>
      <c r="X162" s="49"/>
      <c r="Y162" s="49"/>
      <c r="Z162" s="49"/>
      <c r="AA162" s="49"/>
      <c r="AB162" s="49"/>
      <c r="AC162" s="49"/>
      <c r="AD162" s="49"/>
      <c r="AE162" s="49"/>
      <c r="AF162" s="49"/>
      <c r="AG162" s="49"/>
    </row>
    <row r="163" spans="2:33" ht="15" customHeight="1" x14ac:dyDescent="0.25">
      <c r="B163" s="49"/>
      <c r="C163" s="49"/>
      <c r="D163" s="49"/>
      <c r="E163" s="49"/>
      <c r="F163" s="49"/>
      <c r="G163" s="49"/>
      <c r="H163" s="49"/>
      <c r="I163" s="49"/>
      <c r="J163" s="49"/>
      <c r="K163" s="49"/>
      <c r="L163" s="49"/>
      <c r="M163" s="49"/>
      <c r="N163" s="49"/>
      <c r="O163" s="49"/>
      <c r="P163" s="49"/>
      <c r="Q163" s="49"/>
      <c r="R163" s="49"/>
      <c r="S163" s="49"/>
      <c r="T163" s="49"/>
      <c r="U163" s="49"/>
      <c r="V163" s="49"/>
      <c r="W163" s="49"/>
      <c r="X163" s="49"/>
      <c r="Y163" s="49"/>
      <c r="Z163" s="49"/>
      <c r="AA163" s="49"/>
      <c r="AB163" s="49"/>
      <c r="AC163" s="49"/>
      <c r="AD163" s="49"/>
      <c r="AE163" s="49"/>
      <c r="AF163" s="49"/>
      <c r="AG163" s="49"/>
    </row>
    <row r="164" spans="2:33" ht="15" customHeight="1" x14ac:dyDescent="0.25">
      <c r="B164" s="49"/>
      <c r="C164" s="49"/>
      <c r="D164" s="49"/>
      <c r="E164" s="49"/>
      <c r="F164" s="49"/>
      <c r="G164" s="49"/>
      <c r="H164" s="49"/>
      <c r="I164" s="49"/>
      <c r="J164" s="49"/>
      <c r="K164" s="49"/>
      <c r="L164" s="49"/>
      <c r="M164" s="49"/>
      <c r="N164" s="49"/>
      <c r="O164" s="49"/>
      <c r="P164" s="49"/>
      <c r="Q164" s="49"/>
      <c r="R164" s="49"/>
      <c r="S164" s="49"/>
      <c r="T164" s="49"/>
      <c r="U164" s="49"/>
      <c r="V164" s="49"/>
      <c r="W164" s="49"/>
      <c r="X164" s="49"/>
      <c r="Y164" s="49"/>
      <c r="Z164" s="49"/>
      <c r="AA164" s="49"/>
      <c r="AB164" s="49"/>
      <c r="AC164" s="49"/>
      <c r="AD164" s="49"/>
      <c r="AE164" s="49"/>
      <c r="AF164" s="49"/>
      <c r="AG164" s="49"/>
    </row>
    <row r="165" spans="2:33" x14ac:dyDescent="0.25">
      <c r="B165" s="49"/>
      <c r="C165" s="49"/>
      <c r="D165" s="49"/>
      <c r="E165" s="49"/>
      <c r="F165" s="49"/>
      <c r="G165" s="49"/>
      <c r="H165" s="49"/>
      <c r="I165" s="49"/>
      <c r="J165" s="49"/>
      <c r="K165" s="49"/>
      <c r="L165" s="49"/>
      <c r="M165" s="49"/>
      <c r="N165" s="49"/>
      <c r="O165" s="49"/>
      <c r="P165" s="49"/>
      <c r="Q165" s="49"/>
      <c r="R165" s="49"/>
      <c r="S165" s="49"/>
      <c r="T165" s="49"/>
      <c r="U165" s="49"/>
      <c r="V165" s="49"/>
      <c r="W165" s="49"/>
      <c r="X165" s="49"/>
      <c r="Y165" s="49"/>
      <c r="Z165" s="49"/>
      <c r="AA165" s="49"/>
      <c r="AB165" s="49"/>
      <c r="AC165" s="49"/>
      <c r="AD165" s="49"/>
      <c r="AE165" s="49"/>
      <c r="AF165" s="49"/>
      <c r="AG165" s="49"/>
    </row>
    <row r="166" spans="2:33" ht="15" customHeight="1" x14ac:dyDescent="0.25">
      <c r="B166" s="49"/>
      <c r="C166" s="49"/>
      <c r="D166" s="49"/>
      <c r="E166" s="49"/>
      <c r="F166" s="49"/>
      <c r="G166" s="49"/>
      <c r="H166" s="49"/>
      <c r="I166" s="49"/>
      <c r="J166" s="49"/>
      <c r="K166" s="49"/>
      <c r="L166" s="49"/>
      <c r="M166" s="49"/>
      <c r="N166" s="49"/>
      <c r="O166" s="49"/>
      <c r="P166" s="49"/>
      <c r="Q166" s="49"/>
      <c r="R166" s="49"/>
      <c r="S166" s="49"/>
      <c r="T166" s="49"/>
      <c r="U166" s="49"/>
      <c r="V166" s="49"/>
      <c r="W166" s="49"/>
      <c r="X166" s="49"/>
      <c r="Y166" s="49"/>
      <c r="Z166" s="49"/>
      <c r="AA166" s="49"/>
      <c r="AB166" s="49"/>
      <c r="AC166" s="49"/>
      <c r="AD166" s="49"/>
      <c r="AE166" s="49"/>
      <c r="AF166" s="49"/>
      <c r="AG166" s="49"/>
    </row>
    <row r="167" spans="2:33" ht="15" customHeight="1" x14ac:dyDescent="0.25">
      <c r="B167" s="49"/>
      <c r="C167" s="49"/>
      <c r="D167" s="49"/>
      <c r="E167" s="49"/>
      <c r="F167" s="49"/>
      <c r="G167" s="49"/>
      <c r="H167" s="49"/>
      <c r="I167" s="49"/>
      <c r="J167" s="49"/>
      <c r="K167" s="49"/>
      <c r="L167" s="49"/>
      <c r="M167" s="49"/>
      <c r="N167" s="49"/>
      <c r="O167" s="49"/>
      <c r="P167" s="49"/>
      <c r="Q167" s="49"/>
      <c r="R167" s="49"/>
      <c r="S167" s="49"/>
      <c r="T167" s="49"/>
      <c r="U167" s="49"/>
      <c r="V167" s="49"/>
      <c r="W167" s="49"/>
      <c r="X167" s="49"/>
      <c r="Y167" s="49"/>
      <c r="Z167" s="49"/>
      <c r="AA167" s="49"/>
      <c r="AB167" s="49"/>
      <c r="AC167" s="49"/>
      <c r="AD167" s="49"/>
      <c r="AE167" s="49"/>
      <c r="AF167" s="49"/>
      <c r="AG167" s="49"/>
    </row>
    <row r="168" spans="2:33" ht="15" customHeight="1" x14ac:dyDescent="0.25">
      <c r="B168" s="49"/>
      <c r="C168" s="49"/>
      <c r="D168" s="49"/>
      <c r="E168" s="49"/>
      <c r="F168" s="49"/>
      <c r="G168" s="49"/>
      <c r="H168" s="49"/>
      <c r="I168" s="49"/>
      <c r="J168" s="49"/>
      <c r="K168" s="49"/>
      <c r="L168" s="49"/>
      <c r="M168" s="49"/>
      <c r="N168" s="49"/>
      <c r="O168" s="49"/>
      <c r="P168" s="49"/>
      <c r="Q168" s="49"/>
      <c r="R168" s="49"/>
      <c r="S168" s="49"/>
      <c r="T168" s="49"/>
      <c r="U168" s="49"/>
      <c r="V168" s="49"/>
      <c r="W168" s="49"/>
      <c r="X168" s="49"/>
      <c r="Y168" s="49"/>
      <c r="Z168" s="49"/>
      <c r="AA168" s="49"/>
      <c r="AB168" s="49"/>
      <c r="AC168" s="49"/>
      <c r="AD168" s="49"/>
      <c r="AE168" s="49"/>
      <c r="AF168" s="49"/>
      <c r="AG168" s="49"/>
    </row>
    <row r="169" spans="2:33" ht="15" customHeight="1" x14ac:dyDescent="0.25">
      <c r="B169" s="49"/>
      <c r="C169" s="49"/>
      <c r="D169" s="49"/>
      <c r="E169" s="49"/>
      <c r="F169" s="49"/>
      <c r="G169" s="49"/>
      <c r="H169" s="49"/>
      <c r="I169" s="49"/>
      <c r="J169" s="49"/>
      <c r="K169" s="49"/>
      <c r="L169" s="49"/>
      <c r="M169" s="49"/>
      <c r="N169" s="49"/>
      <c r="O169" s="49"/>
      <c r="P169" s="49"/>
      <c r="Q169" s="49"/>
      <c r="R169" s="49"/>
      <c r="S169" s="49"/>
      <c r="T169" s="49"/>
      <c r="U169" s="49"/>
      <c r="V169" s="49"/>
      <c r="W169" s="49"/>
      <c r="X169" s="49"/>
      <c r="Y169" s="49"/>
      <c r="Z169" s="49"/>
      <c r="AA169" s="49"/>
      <c r="AB169" s="49"/>
      <c r="AC169" s="49"/>
      <c r="AD169" s="49"/>
      <c r="AE169" s="49"/>
      <c r="AF169" s="49"/>
      <c r="AG169" s="49"/>
    </row>
    <row r="170" spans="2:33" ht="15" customHeight="1" x14ac:dyDescent="0.25">
      <c r="B170" s="49"/>
      <c r="C170" s="49"/>
      <c r="D170" s="49"/>
      <c r="E170" s="49"/>
      <c r="F170" s="49"/>
      <c r="G170" s="49"/>
      <c r="H170" s="49"/>
      <c r="I170" s="49"/>
      <c r="J170" s="49"/>
      <c r="K170" s="49"/>
      <c r="L170" s="49"/>
      <c r="M170" s="49"/>
      <c r="N170" s="49"/>
      <c r="O170" s="49"/>
      <c r="P170" s="49"/>
      <c r="Q170" s="49"/>
      <c r="R170" s="49"/>
      <c r="S170" s="49"/>
      <c r="T170" s="49"/>
      <c r="U170" s="49"/>
      <c r="V170" s="49"/>
      <c r="W170" s="49"/>
      <c r="X170" s="49"/>
      <c r="Y170" s="49"/>
      <c r="Z170" s="49"/>
      <c r="AA170" s="49"/>
      <c r="AB170" s="49"/>
      <c r="AC170" s="49"/>
      <c r="AD170" s="49"/>
      <c r="AE170" s="49"/>
      <c r="AF170" s="49"/>
      <c r="AG170" s="49"/>
    </row>
    <row r="171" spans="2:33" ht="15" customHeight="1" x14ac:dyDescent="0.25">
      <c r="B171" s="49"/>
      <c r="C171" s="49"/>
      <c r="D171" s="49"/>
      <c r="E171" s="49"/>
      <c r="F171" s="49"/>
      <c r="G171" s="49"/>
      <c r="H171" s="49"/>
      <c r="I171" s="49"/>
      <c r="J171" s="49"/>
      <c r="K171" s="49"/>
      <c r="L171" s="49"/>
      <c r="M171" s="49"/>
      <c r="N171" s="49"/>
      <c r="O171" s="49"/>
      <c r="P171" s="49"/>
      <c r="Q171" s="49"/>
      <c r="R171" s="49"/>
      <c r="S171" s="49"/>
      <c r="T171" s="49"/>
      <c r="U171" s="49"/>
      <c r="V171" s="49"/>
      <c r="W171" s="49"/>
      <c r="X171" s="49"/>
      <c r="Y171" s="49"/>
      <c r="Z171" s="49"/>
      <c r="AA171" s="49"/>
      <c r="AB171" s="49"/>
      <c r="AC171" s="49"/>
      <c r="AD171" s="49"/>
      <c r="AE171" s="49"/>
      <c r="AF171" s="49"/>
      <c r="AG171" s="49"/>
    </row>
    <row r="172" spans="2:33" ht="15" customHeight="1" x14ac:dyDescent="0.25">
      <c r="B172" s="49"/>
      <c r="C172" s="49"/>
      <c r="D172" s="49"/>
      <c r="E172" s="49"/>
      <c r="F172" s="49"/>
      <c r="G172" s="49"/>
      <c r="H172" s="49"/>
      <c r="I172" s="49"/>
      <c r="J172" s="49"/>
      <c r="K172" s="49"/>
      <c r="L172" s="49"/>
      <c r="M172" s="49"/>
      <c r="N172" s="49"/>
      <c r="O172" s="49"/>
      <c r="P172" s="49"/>
      <c r="Q172" s="49"/>
      <c r="R172" s="49"/>
      <c r="S172" s="49"/>
      <c r="T172" s="49"/>
      <c r="U172" s="49"/>
      <c r="V172" s="49"/>
      <c r="W172" s="49"/>
      <c r="X172" s="49"/>
      <c r="Y172" s="49"/>
      <c r="Z172" s="49"/>
      <c r="AA172" s="49"/>
      <c r="AB172" s="49"/>
      <c r="AC172" s="49"/>
      <c r="AD172" s="49"/>
      <c r="AE172" s="49"/>
      <c r="AF172" s="49"/>
      <c r="AG172" s="49"/>
    </row>
    <row r="173" spans="2:33" ht="15" customHeight="1" x14ac:dyDescent="0.25">
      <c r="B173" s="49"/>
      <c r="C173" s="49"/>
      <c r="D173" s="49"/>
      <c r="E173" s="49"/>
      <c r="F173" s="49"/>
      <c r="G173" s="49"/>
      <c r="H173" s="49"/>
      <c r="I173" s="49"/>
      <c r="J173" s="49"/>
      <c r="K173" s="49"/>
      <c r="L173" s="49"/>
      <c r="M173" s="49"/>
      <c r="N173" s="49"/>
      <c r="O173" s="49"/>
      <c r="P173" s="49"/>
      <c r="Q173" s="49"/>
      <c r="R173" s="49"/>
      <c r="S173" s="49"/>
      <c r="T173" s="49"/>
      <c r="U173" s="49"/>
      <c r="V173" s="49"/>
      <c r="W173" s="49"/>
      <c r="X173" s="49"/>
      <c r="Y173" s="49"/>
      <c r="Z173" s="49"/>
      <c r="AA173" s="49"/>
      <c r="AB173" s="49"/>
      <c r="AC173" s="49"/>
      <c r="AD173" s="49"/>
      <c r="AE173" s="49"/>
      <c r="AF173" s="49"/>
      <c r="AG173" s="49"/>
    </row>
    <row r="174" spans="2:33" ht="15" customHeight="1" x14ac:dyDescent="0.25">
      <c r="B174" s="49"/>
      <c r="C174" s="49"/>
      <c r="D174" s="49"/>
      <c r="E174" s="49"/>
      <c r="F174" s="49"/>
      <c r="G174" s="49"/>
      <c r="H174" s="49"/>
      <c r="I174" s="49"/>
      <c r="J174" s="49"/>
      <c r="K174" s="49"/>
      <c r="L174" s="49"/>
      <c r="M174" s="49"/>
      <c r="N174" s="49"/>
      <c r="O174" s="49"/>
      <c r="P174" s="49"/>
      <c r="Q174" s="49"/>
      <c r="R174" s="49"/>
      <c r="S174" s="49"/>
      <c r="T174" s="49"/>
      <c r="U174" s="49"/>
      <c r="V174" s="49"/>
      <c r="W174" s="49"/>
      <c r="X174" s="49"/>
      <c r="Y174" s="49"/>
      <c r="Z174" s="49"/>
      <c r="AA174" s="49"/>
      <c r="AB174" s="49"/>
      <c r="AC174" s="49"/>
      <c r="AD174" s="49"/>
      <c r="AE174" s="49"/>
      <c r="AF174" s="49"/>
      <c r="AG174" s="49"/>
    </row>
    <row r="175" spans="2:33" ht="15" customHeight="1" x14ac:dyDescent="0.25">
      <c r="B175" s="49"/>
      <c r="C175" s="49"/>
      <c r="D175" s="49"/>
      <c r="E175" s="49"/>
      <c r="F175" s="49"/>
      <c r="G175" s="49"/>
      <c r="H175" s="49"/>
      <c r="I175" s="49"/>
      <c r="J175" s="49"/>
      <c r="K175" s="49"/>
      <c r="L175" s="49"/>
      <c r="M175" s="49"/>
      <c r="N175" s="49"/>
      <c r="O175" s="49"/>
      <c r="P175" s="49"/>
      <c r="Q175" s="49"/>
      <c r="R175" s="49"/>
      <c r="S175" s="49"/>
      <c r="T175" s="49"/>
      <c r="U175" s="49"/>
      <c r="V175" s="49"/>
      <c r="W175" s="49"/>
      <c r="X175" s="49"/>
      <c r="Y175" s="49"/>
      <c r="Z175" s="49"/>
      <c r="AA175" s="49"/>
      <c r="AB175" s="49"/>
      <c r="AC175" s="49"/>
      <c r="AD175" s="49"/>
      <c r="AE175" s="49"/>
      <c r="AF175" s="49"/>
      <c r="AG175" s="49"/>
    </row>
    <row r="176" spans="2:33" ht="15" customHeight="1" x14ac:dyDescent="0.25">
      <c r="B176" s="49"/>
      <c r="C176" s="49"/>
      <c r="D176" s="49"/>
      <c r="E176" s="49"/>
      <c r="F176" s="49"/>
      <c r="G176" s="49"/>
      <c r="H176" s="49"/>
      <c r="I176" s="49"/>
      <c r="J176" s="49"/>
      <c r="K176" s="49"/>
      <c r="L176" s="49"/>
      <c r="M176" s="49"/>
      <c r="N176" s="49"/>
      <c r="O176" s="49"/>
      <c r="P176" s="49"/>
      <c r="Q176" s="49"/>
      <c r="R176" s="49"/>
      <c r="S176" s="49"/>
      <c r="T176" s="49"/>
      <c r="U176" s="49"/>
      <c r="V176" s="49"/>
      <c r="W176" s="49"/>
      <c r="X176" s="49"/>
      <c r="Y176" s="49"/>
      <c r="Z176" s="49"/>
      <c r="AA176" s="49"/>
      <c r="AB176" s="49"/>
      <c r="AC176" s="49"/>
      <c r="AD176" s="49"/>
      <c r="AE176" s="49"/>
      <c r="AF176" s="49"/>
      <c r="AG176" s="49"/>
    </row>
    <row r="177" spans="2:33" ht="15" customHeight="1" x14ac:dyDescent="0.25">
      <c r="B177" s="49"/>
      <c r="C177" s="49"/>
      <c r="D177" s="49"/>
      <c r="E177" s="49"/>
      <c r="F177" s="49"/>
      <c r="G177" s="49"/>
      <c r="H177" s="49"/>
      <c r="I177" s="49"/>
      <c r="J177" s="49"/>
      <c r="K177" s="49"/>
      <c r="L177" s="49"/>
      <c r="M177" s="49"/>
      <c r="N177" s="49"/>
      <c r="O177" s="49"/>
      <c r="P177" s="49"/>
      <c r="Q177" s="49"/>
      <c r="R177" s="49"/>
      <c r="S177" s="49"/>
      <c r="T177" s="49"/>
      <c r="U177" s="49"/>
      <c r="V177" s="49"/>
      <c r="W177" s="49"/>
      <c r="X177" s="49"/>
      <c r="Y177" s="49"/>
      <c r="Z177" s="49"/>
      <c r="AA177" s="49"/>
      <c r="AB177" s="49"/>
      <c r="AC177" s="49"/>
      <c r="AD177" s="49"/>
      <c r="AE177" s="49"/>
      <c r="AF177" s="49"/>
      <c r="AG177" s="49"/>
    </row>
    <row r="178" spans="2:33" ht="15" customHeight="1" x14ac:dyDescent="0.25">
      <c r="B178" s="49"/>
      <c r="C178" s="49"/>
      <c r="D178" s="49"/>
      <c r="E178" s="49"/>
      <c r="F178" s="49"/>
      <c r="G178" s="49"/>
      <c r="H178" s="49"/>
      <c r="I178" s="49"/>
      <c r="J178" s="49"/>
      <c r="K178" s="49"/>
      <c r="L178" s="49"/>
      <c r="M178" s="49"/>
      <c r="N178" s="49"/>
      <c r="O178" s="49"/>
      <c r="P178" s="49"/>
      <c r="Q178" s="49"/>
      <c r="R178" s="49"/>
      <c r="S178" s="49"/>
      <c r="T178" s="49"/>
      <c r="U178" s="49"/>
      <c r="V178" s="49"/>
      <c r="W178" s="49"/>
      <c r="X178" s="49"/>
      <c r="Y178" s="49"/>
      <c r="Z178" s="49"/>
      <c r="AA178" s="49"/>
      <c r="AB178" s="49"/>
      <c r="AC178" s="49"/>
      <c r="AD178" s="49"/>
      <c r="AE178" s="49"/>
      <c r="AF178" s="49"/>
      <c r="AG178" s="49"/>
    </row>
    <row r="179" spans="2:33" ht="15" customHeight="1" x14ac:dyDescent="0.25">
      <c r="B179" s="49"/>
      <c r="C179" s="49"/>
      <c r="D179" s="49"/>
      <c r="E179" s="49"/>
      <c r="F179" s="49"/>
      <c r="G179" s="49"/>
      <c r="H179" s="49"/>
      <c r="I179" s="49"/>
      <c r="J179" s="49"/>
      <c r="K179" s="49"/>
      <c r="L179" s="49"/>
      <c r="M179" s="49"/>
      <c r="N179" s="49"/>
      <c r="O179" s="49"/>
      <c r="P179" s="49"/>
      <c r="Q179" s="49"/>
      <c r="R179" s="49"/>
      <c r="S179" s="49"/>
      <c r="T179" s="49"/>
      <c r="U179" s="49"/>
      <c r="V179" s="49"/>
      <c r="W179" s="49"/>
      <c r="X179" s="49"/>
      <c r="Y179" s="49"/>
      <c r="Z179" s="49"/>
      <c r="AA179" s="49"/>
      <c r="AB179" s="49"/>
      <c r="AC179" s="49"/>
      <c r="AD179" s="49"/>
      <c r="AE179" s="49"/>
      <c r="AF179" s="49"/>
      <c r="AG179" s="49"/>
    </row>
    <row r="180" spans="2:33" x14ac:dyDescent="0.25">
      <c r="B180" s="49"/>
      <c r="C180" s="49"/>
      <c r="D180" s="49"/>
      <c r="E180" s="49"/>
      <c r="F180" s="49"/>
      <c r="G180" s="49"/>
      <c r="H180" s="49"/>
      <c r="I180" s="49"/>
      <c r="J180" s="49"/>
      <c r="K180" s="49"/>
      <c r="L180" s="49"/>
      <c r="M180" s="49"/>
      <c r="N180" s="49"/>
      <c r="O180" s="49"/>
      <c r="P180" s="49"/>
      <c r="Q180" s="49"/>
      <c r="R180" s="49"/>
      <c r="S180" s="49"/>
      <c r="T180" s="49"/>
      <c r="U180" s="49"/>
      <c r="V180" s="49"/>
      <c r="W180" s="49"/>
      <c r="X180" s="49"/>
      <c r="Y180" s="49"/>
      <c r="Z180" s="49"/>
      <c r="AA180" s="49"/>
      <c r="AB180" s="49"/>
      <c r="AC180" s="49"/>
      <c r="AD180" s="49"/>
      <c r="AE180" s="49"/>
      <c r="AF180" s="49"/>
      <c r="AG180" s="49"/>
    </row>
    <row r="181" spans="2:33" ht="15" customHeight="1" x14ac:dyDescent="0.25">
      <c r="B181" s="49"/>
      <c r="C181" s="49"/>
      <c r="D181" s="49"/>
      <c r="E181" s="49"/>
      <c r="F181" s="49"/>
      <c r="G181" s="49"/>
      <c r="H181" s="49"/>
      <c r="I181" s="49"/>
      <c r="J181" s="49"/>
      <c r="K181" s="49"/>
      <c r="L181" s="49"/>
      <c r="M181" s="49"/>
      <c r="N181" s="49"/>
      <c r="O181" s="49"/>
      <c r="P181" s="49"/>
      <c r="Q181" s="49"/>
      <c r="R181" s="49"/>
      <c r="S181" s="49"/>
      <c r="T181" s="49"/>
      <c r="U181" s="49"/>
      <c r="V181" s="49"/>
      <c r="W181" s="49"/>
      <c r="X181" s="49"/>
      <c r="Y181" s="49"/>
      <c r="Z181" s="49"/>
      <c r="AA181" s="49"/>
      <c r="AB181" s="49"/>
      <c r="AC181" s="49"/>
      <c r="AD181" s="49"/>
      <c r="AE181" s="49"/>
      <c r="AF181" s="49"/>
      <c r="AG181" s="49"/>
    </row>
    <row r="182" spans="2:33" ht="15" customHeight="1" x14ac:dyDescent="0.25">
      <c r="B182" s="49"/>
      <c r="C182" s="49"/>
      <c r="D182" s="49"/>
      <c r="E182" s="49"/>
      <c r="F182" s="49"/>
      <c r="G182" s="49"/>
      <c r="H182" s="49"/>
      <c r="I182" s="49"/>
      <c r="J182" s="49"/>
      <c r="K182" s="49"/>
      <c r="L182" s="49"/>
      <c r="M182" s="49"/>
      <c r="N182" s="49"/>
      <c r="O182" s="49"/>
      <c r="P182" s="49"/>
      <c r="Q182" s="49"/>
      <c r="R182" s="49"/>
      <c r="S182" s="49"/>
      <c r="T182" s="49"/>
      <c r="U182" s="49"/>
      <c r="V182" s="49"/>
      <c r="W182" s="49"/>
      <c r="X182" s="49"/>
      <c r="Y182" s="49"/>
      <c r="Z182" s="49"/>
      <c r="AA182" s="49"/>
      <c r="AB182" s="49"/>
      <c r="AC182" s="49"/>
      <c r="AD182" s="49"/>
      <c r="AE182" s="49"/>
      <c r="AF182" s="49"/>
      <c r="AG182" s="49"/>
    </row>
    <row r="183" spans="2:33" ht="15" customHeight="1" x14ac:dyDescent="0.25">
      <c r="B183" s="49"/>
      <c r="C183" s="49"/>
      <c r="D183" s="49"/>
      <c r="E183" s="49"/>
      <c r="F183" s="49"/>
      <c r="G183" s="49"/>
      <c r="H183" s="49"/>
      <c r="I183" s="49"/>
      <c r="J183" s="49"/>
      <c r="K183" s="49"/>
      <c r="L183" s="49"/>
      <c r="M183" s="49"/>
      <c r="N183" s="49"/>
      <c r="O183" s="49"/>
      <c r="P183" s="49"/>
      <c r="Q183" s="49"/>
      <c r="R183" s="49"/>
      <c r="S183" s="49"/>
      <c r="T183" s="49"/>
      <c r="U183" s="49"/>
      <c r="V183" s="49"/>
      <c r="W183" s="49"/>
      <c r="X183" s="49"/>
      <c r="Y183" s="49"/>
      <c r="Z183" s="49"/>
      <c r="AA183" s="49"/>
      <c r="AB183" s="49"/>
      <c r="AC183" s="49"/>
      <c r="AD183" s="49"/>
      <c r="AE183" s="49"/>
      <c r="AF183" s="49"/>
      <c r="AG183" s="49"/>
    </row>
    <row r="184" spans="2:33" ht="15" customHeight="1" x14ac:dyDescent="0.25">
      <c r="B184" s="49"/>
      <c r="C184" s="49"/>
      <c r="D184" s="49"/>
      <c r="E184" s="49"/>
      <c r="F184" s="49"/>
      <c r="G184" s="49"/>
      <c r="H184" s="49"/>
      <c r="I184" s="49"/>
      <c r="J184" s="49"/>
      <c r="K184" s="49"/>
      <c r="L184" s="49"/>
      <c r="M184" s="49"/>
      <c r="N184" s="49"/>
      <c r="O184" s="49"/>
      <c r="P184" s="49"/>
      <c r="Q184" s="49"/>
      <c r="R184" s="49"/>
      <c r="S184" s="49"/>
      <c r="T184" s="49"/>
      <c r="U184" s="49"/>
      <c r="V184" s="49"/>
      <c r="W184" s="49"/>
      <c r="X184" s="49"/>
      <c r="Y184" s="49"/>
      <c r="Z184" s="49"/>
      <c r="AA184" s="49"/>
      <c r="AB184" s="49"/>
      <c r="AC184" s="49"/>
      <c r="AD184" s="49"/>
      <c r="AE184" s="49"/>
      <c r="AF184" s="49"/>
      <c r="AG184" s="49"/>
    </row>
    <row r="185" spans="2:33" ht="15" customHeight="1" x14ac:dyDescent="0.25">
      <c r="B185" s="49"/>
      <c r="C185" s="49"/>
      <c r="D185" s="49"/>
      <c r="E185" s="49"/>
      <c r="F185" s="49"/>
      <c r="G185" s="49"/>
      <c r="H185" s="49"/>
      <c r="I185" s="49"/>
      <c r="J185" s="49"/>
      <c r="K185" s="49"/>
      <c r="L185" s="49"/>
      <c r="M185" s="49"/>
      <c r="N185" s="49"/>
      <c r="O185" s="49"/>
      <c r="P185" s="49"/>
      <c r="Q185" s="49"/>
      <c r="R185" s="49"/>
      <c r="S185" s="49"/>
      <c r="T185" s="49"/>
      <c r="U185" s="49"/>
      <c r="V185" s="49"/>
      <c r="W185" s="49"/>
      <c r="X185" s="49"/>
      <c r="Y185" s="49"/>
      <c r="Z185" s="49"/>
      <c r="AA185" s="49"/>
      <c r="AB185" s="49"/>
      <c r="AC185" s="49"/>
      <c r="AD185" s="49"/>
      <c r="AE185" s="49"/>
      <c r="AF185" s="49"/>
      <c r="AG185" s="49"/>
    </row>
    <row r="186" spans="2:33" ht="15" customHeight="1" x14ac:dyDescent="0.25">
      <c r="B186" s="49"/>
      <c r="C186" s="49"/>
      <c r="D186" s="49"/>
      <c r="E186" s="49"/>
      <c r="F186" s="49"/>
      <c r="G186" s="49"/>
      <c r="H186" s="49"/>
      <c r="I186" s="49"/>
      <c r="J186" s="49"/>
      <c r="K186" s="49"/>
      <c r="L186" s="49"/>
      <c r="M186" s="49"/>
      <c r="N186" s="49"/>
      <c r="O186" s="49"/>
      <c r="P186" s="49"/>
      <c r="Q186" s="49"/>
      <c r="R186" s="49"/>
      <c r="S186" s="49"/>
      <c r="T186" s="49"/>
      <c r="U186" s="49"/>
      <c r="V186" s="49"/>
      <c r="W186" s="49"/>
      <c r="X186" s="49"/>
      <c r="Y186" s="49"/>
      <c r="Z186" s="49"/>
      <c r="AA186" s="49"/>
      <c r="AB186" s="49"/>
      <c r="AC186" s="49"/>
      <c r="AD186" s="49"/>
      <c r="AE186" s="49"/>
      <c r="AF186" s="49"/>
      <c r="AG186" s="49"/>
    </row>
    <row r="187" spans="2:33" ht="15" customHeight="1" x14ac:dyDescent="0.25">
      <c r="B187" s="49"/>
      <c r="C187" s="49"/>
      <c r="D187" s="49"/>
      <c r="E187" s="49"/>
      <c r="F187" s="49"/>
      <c r="G187" s="49"/>
      <c r="H187" s="49"/>
      <c r="I187" s="49"/>
      <c r="J187" s="49"/>
      <c r="K187" s="49"/>
      <c r="L187" s="49"/>
      <c r="M187" s="49"/>
      <c r="N187" s="49"/>
      <c r="O187" s="49"/>
      <c r="P187" s="49"/>
      <c r="Q187" s="49"/>
      <c r="R187" s="49"/>
      <c r="S187" s="49"/>
      <c r="T187" s="49"/>
      <c r="U187" s="49"/>
      <c r="V187" s="49"/>
      <c r="W187" s="49"/>
      <c r="X187" s="49"/>
      <c r="Y187" s="49"/>
      <c r="Z187" s="49"/>
      <c r="AA187" s="49"/>
      <c r="AB187" s="49"/>
      <c r="AC187" s="49"/>
      <c r="AD187" s="49"/>
      <c r="AE187" s="49"/>
      <c r="AF187" s="49"/>
      <c r="AG187" s="49"/>
    </row>
    <row r="188" spans="2:33" ht="15" customHeight="1" x14ac:dyDescent="0.25">
      <c r="B188" s="49"/>
      <c r="C188" s="49"/>
      <c r="D188" s="49"/>
      <c r="E188" s="49"/>
      <c r="F188" s="49"/>
      <c r="G188" s="49"/>
      <c r="H188" s="49"/>
      <c r="I188" s="49"/>
      <c r="J188" s="49"/>
      <c r="K188" s="49"/>
      <c r="L188" s="49"/>
      <c r="M188" s="49"/>
      <c r="N188" s="49"/>
      <c r="O188" s="49"/>
      <c r="P188" s="49"/>
      <c r="Q188" s="49"/>
      <c r="R188" s="49"/>
      <c r="S188" s="49"/>
      <c r="T188" s="49"/>
      <c r="U188" s="49"/>
      <c r="V188" s="49"/>
      <c r="W188" s="49"/>
      <c r="X188" s="49"/>
      <c r="Y188" s="49"/>
      <c r="Z188" s="49"/>
      <c r="AA188" s="49"/>
      <c r="AB188" s="49"/>
      <c r="AC188" s="49"/>
      <c r="AD188" s="49"/>
      <c r="AE188" s="49"/>
      <c r="AF188" s="49"/>
      <c r="AG188" s="49"/>
    </row>
    <row r="189" spans="2:33" ht="15" customHeight="1" x14ac:dyDescent="0.25">
      <c r="B189" s="49"/>
      <c r="C189" s="49"/>
      <c r="D189" s="49"/>
      <c r="E189" s="49"/>
      <c r="F189" s="49"/>
      <c r="G189" s="49"/>
      <c r="H189" s="49"/>
      <c r="I189" s="49"/>
      <c r="J189" s="49"/>
      <c r="K189" s="49"/>
      <c r="L189" s="49"/>
      <c r="M189" s="49"/>
      <c r="N189" s="49"/>
      <c r="O189" s="49"/>
      <c r="P189" s="49"/>
      <c r="Q189" s="49"/>
      <c r="R189" s="49"/>
      <c r="S189" s="49"/>
      <c r="T189" s="49"/>
      <c r="U189" s="49"/>
      <c r="V189" s="49"/>
      <c r="W189" s="49"/>
      <c r="X189" s="49"/>
      <c r="Y189" s="49"/>
      <c r="Z189" s="49"/>
      <c r="AA189" s="49"/>
      <c r="AB189" s="49"/>
      <c r="AC189" s="49"/>
      <c r="AD189" s="49"/>
      <c r="AE189" s="49"/>
      <c r="AF189" s="49"/>
      <c r="AG189" s="49"/>
    </row>
    <row r="190" spans="2:33" ht="15" customHeight="1" x14ac:dyDescent="0.25">
      <c r="B190" s="49"/>
      <c r="C190" s="49"/>
      <c r="D190" s="49"/>
      <c r="E190" s="49"/>
      <c r="F190" s="49"/>
      <c r="G190" s="49"/>
      <c r="H190" s="49"/>
      <c r="I190" s="49"/>
      <c r="J190" s="49"/>
      <c r="K190" s="49"/>
      <c r="L190" s="49"/>
      <c r="M190" s="49"/>
      <c r="N190" s="49"/>
      <c r="O190" s="49"/>
      <c r="P190" s="49"/>
      <c r="Q190" s="49"/>
      <c r="R190" s="49"/>
      <c r="S190" s="49"/>
      <c r="T190" s="49"/>
      <c r="U190" s="49"/>
      <c r="V190" s="49"/>
      <c r="W190" s="49"/>
      <c r="X190" s="49"/>
      <c r="Y190" s="49"/>
      <c r="Z190" s="49"/>
      <c r="AA190" s="49"/>
      <c r="AB190" s="49"/>
      <c r="AC190" s="49"/>
      <c r="AD190" s="49"/>
      <c r="AE190" s="49"/>
      <c r="AF190" s="49"/>
      <c r="AG190" s="49"/>
    </row>
    <row r="191" spans="2:33" ht="15" customHeight="1" x14ac:dyDescent="0.25">
      <c r="B191" s="49"/>
      <c r="C191" s="49"/>
      <c r="D191" s="49"/>
      <c r="E191" s="49"/>
      <c r="F191" s="49"/>
      <c r="G191" s="49"/>
      <c r="H191" s="49"/>
      <c r="I191" s="49"/>
      <c r="J191" s="49"/>
      <c r="K191" s="49"/>
      <c r="L191" s="49"/>
      <c r="M191" s="49"/>
      <c r="N191" s="49"/>
      <c r="O191" s="49"/>
      <c r="P191" s="49"/>
      <c r="Q191" s="49"/>
      <c r="R191" s="49"/>
      <c r="S191" s="49"/>
      <c r="T191" s="49"/>
      <c r="U191" s="49"/>
      <c r="V191" s="49"/>
      <c r="W191" s="49"/>
      <c r="X191" s="49"/>
      <c r="Y191" s="49"/>
      <c r="Z191" s="49"/>
      <c r="AA191" s="49"/>
      <c r="AB191" s="49"/>
      <c r="AC191" s="49"/>
      <c r="AD191" s="49"/>
      <c r="AE191" s="49"/>
      <c r="AF191" s="49"/>
      <c r="AG191" s="49"/>
    </row>
    <row r="192" spans="2:33" ht="15" customHeight="1" x14ac:dyDescent="0.25">
      <c r="B192" s="49"/>
      <c r="C192" s="49"/>
      <c r="D192" s="49"/>
      <c r="E192" s="49"/>
      <c r="F192" s="49"/>
      <c r="G192" s="49"/>
      <c r="H192" s="49"/>
      <c r="I192" s="49"/>
      <c r="J192" s="49"/>
      <c r="K192" s="49"/>
      <c r="L192" s="49"/>
      <c r="M192" s="49"/>
      <c r="N192" s="49"/>
      <c r="O192" s="49"/>
      <c r="P192" s="49"/>
      <c r="Q192" s="49"/>
      <c r="R192" s="49"/>
      <c r="S192" s="49"/>
      <c r="T192" s="49"/>
      <c r="U192" s="49"/>
      <c r="V192" s="49"/>
      <c r="W192" s="49"/>
      <c r="X192" s="49"/>
      <c r="Y192" s="49"/>
      <c r="Z192" s="49"/>
      <c r="AA192" s="49"/>
      <c r="AB192" s="49"/>
      <c r="AC192" s="49"/>
      <c r="AD192" s="49"/>
      <c r="AE192" s="49"/>
      <c r="AF192" s="49"/>
      <c r="AG192" s="49"/>
    </row>
    <row r="193" spans="2:33" ht="15" customHeight="1" x14ac:dyDescent="0.25">
      <c r="B193" s="49"/>
      <c r="C193" s="49"/>
      <c r="D193" s="49"/>
      <c r="E193" s="49"/>
      <c r="F193" s="49"/>
      <c r="G193" s="49"/>
      <c r="H193" s="49"/>
      <c r="I193" s="49"/>
      <c r="J193" s="49"/>
      <c r="K193" s="49"/>
      <c r="L193" s="49"/>
      <c r="M193" s="49"/>
      <c r="N193" s="49"/>
      <c r="O193" s="49"/>
      <c r="P193" s="49"/>
      <c r="Q193" s="49"/>
      <c r="R193" s="49"/>
      <c r="S193" s="49"/>
      <c r="T193" s="49"/>
      <c r="U193" s="49"/>
      <c r="V193" s="49"/>
      <c r="W193" s="49"/>
      <c r="X193" s="49"/>
      <c r="Y193" s="49"/>
      <c r="Z193" s="49"/>
      <c r="AA193" s="49"/>
      <c r="AB193" s="49"/>
      <c r="AC193" s="49"/>
      <c r="AD193" s="49"/>
      <c r="AE193" s="49"/>
      <c r="AF193" s="49"/>
      <c r="AG193" s="49"/>
    </row>
    <row r="194" spans="2:33" ht="15" customHeight="1" x14ac:dyDescent="0.25">
      <c r="B194" s="49"/>
      <c r="C194" s="49"/>
      <c r="D194" s="49"/>
      <c r="E194" s="49"/>
      <c r="F194" s="49"/>
      <c r="G194" s="49"/>
      <c r="H194" s="49"/>
      <c r="I194" s="49"/>
      <c r="J194" s="49"/>
      <c r="K194" s="49"/>
      <c r="L194" s="49"/>
      <c r="M194" s="49"/>
      <c r="N194" s="49"/>
      <c r="O194" s="49"/>
      <c r="P194" s="49"/>
      <c r="Q194" s="49"/>
      <c r="R194" s="49"/>
      <c r="S194" s="49"/>
      <c r="T194" s="49"/>
      <c r="U194" s="49"/>
      <c r="V194" s="49"/>
      <c r="W194" s="49"/>
      <c r="X194" s="49"/>
      <c r="Y194" s="49"/>
      <c r="Z194" s="49"/>
      <c r="AA194" s="49"/>
      <c r="AB194" s="49"/>
      <c r="AC194" s="49"/>
      <c r="AD194" s="49"/>
      <c r="AE194" s="49"/>
      <c r="AF194" s="49"/>
      <c r="AG194" s="49"/>
    </row>
    <row r="195" spans="2:33" ht="15" customHeight="1" x14ac:dyDescent="0.25">
      <c r="B195" s="49"/>
      <c r="C195" s="49"/>
      <c r="D195" s="49"/>
      <c r="E195" s="49"/>
      <c r="F195" s="49"/>
      <c r="G195" s="49"/>
      <c r="H195" s="49"/>
      <c r="I195" s="49"/>
      <c r="J195" s="49"/>
      <c r="K195" s="49"/>
      <c r="L195" s="49"/>
      <c r="M195" s="49"/>
      <c r="N195" s="49"/>
      <c r="O195" s="49"/>
      <c r="P195" s="49"/>
      <c r="Q195" s="49"/>
      <c r="R195" s="49"/>
      <c r="S195" s="49"/>
      <c r="T195" s="49"/>
      <c r="U195" s="49"/>
      <c r="V195" s="49"/>
      <c r="W195" s="49"/>
      <c r="X195" s="49"/>
      <c r="Y195" s="49"/>
      <c r="Z195" s="49"/>
      <c r="AA195" s="49"/>
      <c r="AB195" s="49"/>
      <c r="AC195" s="49"/>
      <c r="AD195" s="49"/>
      <c r="AE195" s="49"/>
      <c r="AF195" s="49"/>
      <c r="AG195" s="49"/>
    </row>
    <row r="196" spans="2:33" ht="15" customHeight="1" x14ac:dyDescent="0.25">
      <c r="B196" s="49"/>
      <c r="C196" s="49"/>
      <c r="D196" s="49"/>
      <c r="E196" s="49"/>
      <c r="F196" s="49"/>
      <c r="G196" s="49"/>
      <c r="H196" s="49"/>
      <c r="I196" s="49"/>
      <c r="J196" s="49"/>
      <c r="K196" s="49"/>
      <c r="L196" s="49"/>
      <c r="M196" s="49"/>
      <c r="N196" s="49"/>
      <c r="O196" s="49"/>
      <c r="P196" s="49"/>
      <c r="Q196" s="49"/>
      <c r="R196" s="49"/>
      <c r="S196" s="49"/>
      <c r="T196" s="49"/>
      <c r="U196" s="49"/>
      <c r="V196" s="49"/>
      <c r="W196" s="49"/>
      <c r="X196" s="49"/>
      <c r="Y196" s="49"/>
      <c r="Z196" s="49"/>
      <c r="AA196" s="49"/>
      <c r="AB196" s="49"/>
      <c r="AC196" s="49"/>
      <c r="AD196" s="49"/>
      <c r="AE196" s="49"/>
      <c r="AF196" s="49"/>
      <c r="AG196" s="49"/>
    </row>
    <row r="197" spans="2:33" ht="15" customHeight="1" x14ac:dyDescent="0.25">
      <c r="B197" s="49"/>
      <c r="C197" s="49"/>
      <c r="D197" s="49"/>
      <c r="E197" s="49"/>
      <c r="F197" s="49"/>
      <c r="G197" s="49"/>
      <c r="H197" s="49"/>
      <c r="I197" s="49"/>
      <c r="J197" s="49"/>
      <c r="K197" s="49"/>
      <c r="L197" s="49"/>
      <c r="M197" s="49"/>
      <c r="N197" s="49"/>
      <c r="O197" s="49"/>
      <c r="P197" s="49"/>
      <c r="Q197" s="49"/>
      <c r="R197" s="49"/>
      <c r="S197" s="49"/>
      <c r="T197" s="49"/>
      <c r="U197" s="49"/>
      <c r="V197" s="49"/>
      <c r="W197" s="49"/>
      <c r="X197" s="49"/>
      <c r="Y197" s="49"/>
      <c r="Z197" s="49"/>
      <c r="AA197" s="49"/>
      <c r="AB197" s="49"/>
      <c r="AC197" s="49"/>
      <c r="AD197" s="49"/>
      <c r="AE197" s="49"/>
      <c r="AF197" s="49"/>
      <c r="AG197" s="49"/>
    </row>
    <row r="198" spans="2:33" ht="15" customHeight="1" x14ac:dyDescent="0.25">
      <c r="B198" s="49"/>
      <c r="C198" s="49"/>
      <c r="D198" s="49"/>
      <c r="E198" s="49"/>
      <c r="F198" s="49"/>
      <c r="G198" s="49"/>
      <c r="H198" s="49"/>
      <c r="I198" s="49"/>
      <c r="J198" s="49"/>
      <c r="K198" s="49"/>
      <c r="L198" s="49"/>
      <c r="M198" s="49"/>
      <c r="N198" s="49"/>
      <c r="O198" s="49"/>
      <c r="P198" s="49"/>
      <c r="Q198" s="49"/>
      <c r="R198" s="49"/>
      <c r="S198" s="49"/>
      <c r="T198" s="49"/>
      <c r="U198" s="49"/>
      <c r="V198" s="49"/>
      <c r="W198" s="49"/>
      <c r="X198" s="49"/>
      <c r="Y198" s="49"/>
      <c r="Z198" s="49"/>
      <c r="AA198" s="49"/>
      <c r="AB198" s="49"/>
      <c r="AC198" s="49"/>
      <c r="AD198" s="49"/>
      <c r="AE198" s="49"/>
      <c r="AF198" s="49"/>
      <c r="AG198" s="49"/>
    </row>
    <row r="199" spans="2:33" ht="15" customHeight="1" x14ac:dyDescent="0.25">
      <c r="B199" s="49"/>
      <c r="C199" s="49"/>
      <c r="D199" s="49"/>
      <c r="E199" s="49"/>
      <c r="F199" s="49"/>
      <c r="G199" s="49"/>
      <c r="H199" s="49"/>
      <c r="I199" s="49"/>
      <c r="J199" s="49"/>
      <c r="K199" s="49"/>
      <c r="L199" s="49"/>
      <c r="M199" s="49"/>
      <c r="N199" s="49"/>
      <c r="O199" s="49"/>
      <c r="P199" s="49"/>
      <c r="Q199" s="49"/>
      <c r="R199" s="49"/>
      <c r="S199" s="49"/>
      <c r="T199" s="49"/>
      <c r="U199" s="49"/>
      <c r="V199" s="49"/>
      <c r="W199" s="49"/>
      <c r="X199" s="49"/>
      <c r="Y199" s="49"/>
      <c r="Z199" s="49"/>
      <c r="AA199" s="49"/>
      <c r="AB199" s="49"/>
      <c r="AC199" s="49"/>
      <c r="AD199" s="49"/>
      <c r="AE199" s="49"/>
      <c r="AF199" s="49"/>
      <c r="AG199" s="49"/>
    </row>
    <row r="200" spans="2:33" ht="15" customHeight="1" x14ac:dyDescent="0.25">
      <c r="B200" s="49"/>
      <c r="C200" s="49"/>
      <c r="D200" s="49"/>
      <c r="E200" s="49"/>
      <c r="F200" s="49"/>
      <c r="G200" s="49"/>
      <c r="H200" s="49"/>
      <c r="I200" s="49"/>
      <c r="J200" s="49"/>
      <c r="K200" s="49"/>
      <c r="L200" s="49"/>
      <c r="M200" s="49"/>
      <c r="N200" s="49"/>
      <c r="O200" s="49"/>
      <c r="P200" s="49"/>
      <c r="Q200" s="49"/>
      <c r="R200" s="49"/>
      <c r="S200" s="49"/>
      <c r="T200" s="49"/>
      <c r="U200" s="49"/>
      <c r="V200" s="49"/>
      <c r="W200" s="49"/>
      <c r="X200" s="49"/>
      <c r="Y200" s="49"/>
      <c r="Z200" s="49"/>
      <c r="AA200" s="49"/>
      <c r="AB200" s="49"/>
      <c r="AC200" s="49"/>
      <c r="AD200" s="49"/>
      <c r="AE200" s="49"/>
      <c r="AF200" s="49"/>
      <c r="AG200" s="49"/>
    </row>
    <row r="201" spans="2:33" ht="15" customHeight="1" x14ac:dyDescent="0.25">
      <c r="B201" s="49"/>
      <c r="C201" s="49"/>
      <c r="D201" s="49"/>
      <c r="E201" s="49"/>
      <c r="F201" s="49"/>
      <c r="G201" s="49"/>
      <c r="H201" s="49"/>
      <c r="I201" s="49"/>
      <c r="J201" s="49"/>
      <c r="K201" s="49"/>
      <c r="L201" s="49"/>
      <c r="M201" s="49"/>
      <c r="N201" s="49"/>
      <c r="O201" s="49"/>
      <c r="P201" s="49"/>
      <c r="Q201" s="49"/>
      <c r="R201" s="49"/>
      <c r="S201" s="49"/>
      <c r="T201" s="49"/>
      <c r="U201" s="49"/>
      <c r="V201" s="49"/>
      <c r="W201" s="49"/>
      <c r="X201" s="49"/>
      <c r="Y201" s="49"/>
      <c r="Z201" s="49"/>
      <c r="AA201" s="49"/>
      <c r="AB201" s="49"/>
      <c r="AC201" s="49"/>
      <c r="AD201" s="49"/>
      <c r="AE201" s="49"/>
      <c r="AF201" s="49"/>
      <c r="AG201" s="49"/>
    </row>
    <row r="202" spans="2:33" ht="15" customHeight="1" x14ac:dyDescent="0.25">
      <c r="B202" s="49"/>
      <c r="C202" s="49"/>
      <c r="D202" s="49"/>
      <c r="E202" s="49"/>
      <c r="F202" s="49"/>
      <c r="G202" s="49"/>
      <c r="H202" s="49"/>
      <c r="I202" s="49"/>
      <c r="J202" s="49"/>
      <c r="K202" s="49"/>
      <c r="L202" s="49"/>
      <c r="M202" s="49"/>
      <c r="N202" s="49"/>
      <c r="O202" s="49"/>
      <c r="P202" s="49"/>
      <c r="Q202" s="49"/>
      <c r="R202" s="49"/>
      <c r="S202" s="49"/>
      <c r="T202" s="49"/>
      <c r="U202" s="49"/>
      <c r="V202" s="49"/>
      <c r="W202" s="49"/>
      <c r="X202" s="49"/>
      <c r="Y202" s="49"/>
      <c r="Z202" s="49"/>
      <c r="AA202" s="49"/>
      <c r="AB202" s="49"/>
      <c r="AC202" s="49"/>
      <c r="AD202" s="49"/>
      <c r="AE202" s="49"/>
      <c r="AF202" s="49"/>
      <c r="AG202" s="49"/>
    </row>
    <row r="203" spans="2:33" ht="15" customHeight="1" x14ac:dyDescent="0.25">
      <c r="B203" s="49"/>
      <c r="C203" s="49"/>
      <c r="D203" s="49"/>
      <c r="E203" s="49"/>
      <c r="F203" s="49"/>
      <c r="G203" s="49"/>
      <c r="H203" s="49"/>
      <c r="I203" s="49"/>
      <c r="J203" s="49"/>
      <c r="K203" s="49"/>
      <c r="L203" s="49"/>
      <c r="M203" s="49"/>
      <c r="N203" s="49"/>
      <c r="O203" s="49"/>
      <c r="P203" s="49"/>
      <c r="Q203" s="49"/>
      <c r="R203" s="49"/>
      <c r="S203" s="49"/>
      <c r="T203" s="49"/>
      <c r="U203" s="49"/>
      <c r="V203" s="49"/>
      <c r="W203" s="49"/>
      <c r="X203" s="49"/>
      <c r="Y203" s="49"/>
      <c r="Z203" s="49"/>
      <c r="AA203" s="49"/>
      <c r="AB203" s="49"/>
      <c r="AC203" s="49"/>
      <c r="AD203" s="49"/>
      <c r="AE203" s="49"/>
      <c r="AF203" s="49"/>
      <c r="AG203" s="49"/>
    </row>
    <row r="204" spans="2:33" ht="15" customHeight="1" x14ac:dyDescent="0.25">
      <c r="B204" s="49"/>
      <c r="C204" s="49"/>
      <c r="D204" s="49"/>
      <c r="E204" s="49"/>
      <c r="F204" s="49"/>
      <c r="G204" s="49"/>
      <c r="H204" s="49"/>
      <c r="I204" s="49"/>
      <c r="J204" s="49"/>
      <c r="K204" s="49"/>
      <c r="L204" s="49"/>
      <c r="M204" s="49"/>
      <c r="N204" s="49"/>
      <c r="O204" s="49"/>
      <c r="P204" s="49"/>
      <c r="Q204" s="49"/>
      <c r="R204" s="49"/>
      <c r="S204" s="49"/>
      <c r="T204" s="49"/>
      <c r="U204" s="49"/>
      <c r="V204" s="49"/>
      <c r="W204" s="49"/>
      <c r="X204" s="49"/>
      <c r="Y204" s="49"/>
      <c r="Z204" s="49"/>
      <c r="AA204" s="49"/>
      <c r="AB204" s="49"/>
      <c r="AC204" s="49"/>
      <c r="AD204" s="49"/>
      <c r="AE204" s="49"/>
      <c r="AF204" s="49"/>
      <c r="AG204" s="49"/>
    </row>
    <row r="205" spans="2:33" x14ac:dyDescent="0.25">
      <c r="B205" s="49"/>
      <c r="C205" s="49"/>
      <c r="D205" s="49"/>
      <c r="E205" s="49"/>
      <c r="F205" s="49"/>
      <c r="G205" s="49"/>
      <c r="H205" s="49"/>
      <c r="I205" s="49"/>
      <c r="J205" s="49"/>
      <c r="K205" s="49"/>
      <c r="L205" s="49"/>
      <c r="M205" s="49"/>
      <c r="N205" s="49"/>
      <c r="O205" s="49"/>
      <c r="P205" s="49"/>
      <c r="Q205" s="49"/>
      <c r="R205" s="49"/>
      <c r="S205" s="49"/>
      <c r="T205" s="49"/>
      <c r="U205" s="49"/>
      <c r="V205" s="49"/>
      <c r="W205" s="49"/>
      <c r="X205" s="49"/>
      <c r="Y205" s="49"/>
      <c r="Z205" s="49"/>
      <c r="AA205" s="49"/>
      <c r="AB205" s="49"/>
      <c r="AC205" s="49"/>
      <c r="AD205" s="49"/>
      <c r="AE205" s="49"/>
      <c r="AF205" s="49"/>
      <c r="AG205" s="49"/>
    </row>
    <row r="206" spans="2:33" x14ac:dyDescent="0.25">
      <c r="B206" s="49"/>
      <c r="C206" s="49"/>
      <c r="D206" s="49"/>
      <c r="E206" s="49"/>
      <c r="F206" s="49"/>
      <c r="G206" s="49"/>
      <c r="H206" s="49"/>
      <c r="I206" s="49"/>
      <c r="J206" s="49"/>
      <c r="K206" s="49"/>
      <c r="L206" s="49"/>
      <c r="M206" s="49"/>
      <c r="N206" s="49"/>
      <c r="O206" s="49"/>
      <c r="P206" s="49"/>
      <c r="Q206" s="49"/>
      <c r="R206" s="49"/>
      <c r="S206" s="49"/>
      <c r="T206" s="49"/>
      <c r="U206" s="49"/>
      <c r="V206" s="49"/>
      <c r="W206" s="49"/>
      <c r="X206" s="49"/>
      <c r="Y206" s="49"/>
      <c r="Z206" s="49"/>
      <c r="AA206" s="49"/>
      <c r="AB206" s="49"/>
      <c r="AC206" s="49"/>
      <c r="AD206" s="49"/>
      <c r="AE206" s="49"/>
      <c r="AF206" s="49"/>
      <c r="AG206" s="49"/>
    </row>
    <row r="207" spans="2:33" ht="15" customHeight="1" x14ac:dyDescent="0.25">
      <c r="B207" s="49"/>
      <c r="C207" s="49"/>
      <c r="D207" s="49"/>
      <c r="E207" s="49"/>
      <c r="F207" s="49"/>
      <c r="G207" s="49"/>
      <c r="H207" s="49"/>
      <c r="I207" s="49"/>
      <c r="J207" s="49"/>
      <c r="K207" s="49"/>
      <c r="L207" s="49"/>
      <c r="M207" s="49"/>
      <c r="N207" s="49"/>
      <c r="O207" s="49"/>
      <c r="P207" s="49"/>
      <c r="Q207" s="49"/>
      <c r="R207" s="49"/>
      <c r="S207" s="49"/>
      <c r="T207" s="49"/>
      <c r="U207" s="49"/>
      <c r="V207" s="49"/>
      <c r="W207" s="49"/>
      <c r="X207" s="49"/>
      <c r="Y207" s="49"/>
      <c r="Z207" s="49"/>
      <c r="AA207" s="49"/>
      <c r="AB207" s="49"/>
      <c r="AC207" s="49"/>
      <c r="AD207" s="49"/>
      <c r="AE207" s="49"/>
      <c r="AF207" s="49"/>
      <c r="AG207" s="49"/>
    </row>
    <row r="208" spans="2:33" ht="15" customHeight="1" x14ac:dyDescent="0.25">
      <c r="B208" s="49"/>
      <c r="C208" s="49"/>
      <c r="D208" s="49"/>
      <c r="E208" s="49"/>
      <c r="F208" s="49"/>
      <c r="G208" s="49"/>
      <c r="H208" s="49"/>
      <c r="I208" s="49"/>
      <c r="J208" s="49"/>
      <c r="K208" s="49"/>
      <c r="L208" s="49"/>
      <c r="M208" s="49"/>
      <c r="N208" s="49"/>
      <c r="O208" s="49"/>
      <c r="P208" s="49"/>
      <c r="Q208" s="49"/>
      <c r="R208" s="49"/>
      <c r="S208" s="49"/>
      <c r="T208" s="49"/>
      <c r="U208" s="49"/>
      <c r="V208" s="49"/>
      <c r="W208" s="49"/>
      <c r="X208" s="49"/>
      <c r="Y208" s="49"/>
      <c r="Z208" s="49"/>
      <c r="AA208" s="49"/>
      <c r="AB208" s="49"/>
      <c r="AC208" s="49"/>
      <c r="AD208" s="49"/>
      <c r="AE208" s="49"/>
      <c r="AF208" s="49"/>
      <c r="AG208" s="49"/>
    </row>
    <row r="209" spans="2:33" ht="15" customHeight="1" x14ac:dyDescent="0.25">
      <c r="B209" s="49"/>
      <c r="C209" s="49"/>
      <c r="D209" s="49"/>
      <c r="E209" s="49"/>
      <c r="F209" s="49"/>
      <c r="G209" s="49"/>
      <c r="H209" s="49"/>
      <c r="I209" s="49"/>
      <c r="J209" s="49"/>
      <c r="K209" s="49"/>
      <c r="L209" s="49"/>
      <c r="M209" s="49"/>
      <c r="N209" s="49"/>
      <c r="O209" s="49"/>
      <c r="P209" s="49"/>
      <c r="Q209" s="49"/>
      <c r="R209" s="49"/>
      <c r="S209" s="49"/>
      <c r="T209" s="49"/>
      <c r="U209" s="49"/>
      <c r="V209" s="49"/>
      <c r="W209" s="49"/>
      <c r="X209" s="49"/>
      <c r="Y209" s="49"/>
      <c r="Z209" s="49"/>
      <c r="AA209" s="49"/>
      <c r="AB209" s="49"/>
      <c r="AC209" s="49"/>
      <c r="AD209" s="49"/>
      <c r="AE209" s="49"/>
      <c r="AF209" s="49"/>
      <c r="AG209" s="49"/>
    </row>
    <row r="210" spans="2:33" ht="15" customHeight="1" x14ac:dyDescent="0.25"/>
    <row r="211" spans="2:33" ht="15" customHeight="1" x14ac:dyDescent="0.25"/>
    <row r="212" spans="2:33" ht="15" customHeight="1" x14ac:dyDescent="0.25"/>
    <row r="213" spans="2:33" ht="15" customHeight="1" x14ac:dyDescent="0.25"/>
    <row r="214" spans="2:33" ht="15" customHeight="1" x14ac:dyDescent="0.25"/>
    <row r="215" spans="2:33" ht="15" customHeight="1" x14ac:dyDescent="0.25"/>
    <row r="216" spans="2:33" ht="15" customHeight="1" x14ac:dyDescent="0.25"/>
    <row r="217" spans="2:33" ht="15" customHeight="1" x14ac:dyDescent="0.25"/>
    <row r="218" spans="2:33" ht="15" customHeight="1" x14ac:dyDescent="0.25"/>
    <row r="219" spans="2:33" ht="15" customHeight="1" x14ac:dyDescent="0.25"/>
    <row r="220" spans="2:33" ht="15" customHeight="1" x14ac:dyDescent="0.25"/>
    <row r="221" spans="2:33" ht="15" customHeight="1" x14ac:dyDescent="0.25"/>
    <row r="222" spans="2:33" ht="15" customHeight="1" x14ac:dyDescent="0.25"/>
    <row r="223" spans="2:33" x14ac:dyDescent="0.25">
      <c r="B223" s="45"/>
      <c r="C223" s="45"/>
      <c r="D223" s="45"/>
      <c r="E223" s="45"/>
      <c r="F223" s="45"/>
      <c r="G223" s="45"/>
      <c r="H223" s="45"/>
      <c r="I223" s="45"/>
      <c r="J223" s="45"/>
      <c r="K223" s="45"/>
      <c r="L223" s="45"/>
      <c r="M223" s="45"/>
      <c r="N223" s="45"/>
      <c r="O223" s="45"/>
      <c r="P223" s="45"/>
      <c r="Q223" s="45"/>
      <c r="R223" s="45"/>
      <c r="S223" s="45"/>
      <c r="T223" s="45"/>
      <c r="U223" s="45"/>
      <c r="V223" s="45"/>
      <c r="W223" s="45"/>
      <c r="X223" s="45"/>
      <c r="Y223" s="45"/>
      <c r="Z223" s="45"/>
      <c r="AA223" s="45"/>
      <c r="AB223" s="45"/>
      <c r="AC223" s="45"/>
      <c r="AD223" s="45"/>
      <c r="AE223" s="45"/>
      <c r="AF223" s="45"/>
      <c r="AG223" s="45"/>
    </row>
    <row r="224" spans="2:33" ht="15" customHeight="1" x14ac:dyDescent="0.25"/>
    <row r="225" ht="15" customHeight="1" x14ac:dyDescent="0.25"/>
    <row r="227" ht="15" customHeight="1" x14ac:dyDescent="0.25"/>
    <row r="228" ht="15" customHeight="1" x14ac:dyDescent="0.25"/>
    <row r="229" ht="15" customHeight="1" x14ac:dyDescent="0.25"/>
    <row r="230" ht="15" customHeight="1" x14ac:dyDescent="0.25"/>
    <row r="231" ht="15" customHeight="1" x14ac:dyDescent="0.25"/>
    <row r="232" ht="15" customHeight="1" x14ac:dyDescent="0.25"/>
    <row r="233" ht="15" customHeight="1" x14ac:dyDescent="0.25"/>
    <row r="234" ht="15" customHeight="1" x14ac:dyDescent="0.25"/>
    <row r="235" ht="15" customHeight="1" x14ac:dyDescent="0.25"/>
    <row r="236" ht="15" customHeight="1" x14ac:dyDescent="0.25"/>
    <row r="237" ht="15" customHeight="1" x14ac:dyDescent="0.25"/>
    <row r="238" ht="15" customHeight="1" x14ac:dyDescent="0.25"/>
    <row r="239" ht="15" customHeight="1" x14ac:dyDescent="0.25"/>
    <row r="240" ht="15" customHeight="1" x14ac:dyDescent="0.25"/>
    <row r="241" ht="15" customHeight="1" x14ac:dyDescent="0.25"/>
    <row r="242" ht="15" customHeight="1" x14ac:dyDescent="0.25"/>
    <row r="243" ht="15" customHeight="1" x14ac:dyDescent="0.25"/>
    <row r="244" ht="15" customHeight="1" x14ac:dyDescent="0.25"/>
    <row r="245" ht="15" customHeight="1" x14ac:dyDescent="0.25"/>
    <row r="246" ht="15" customHeight="1" x14ac:dyDescent="0.25"/>
    <row r="247" ht="15" customHeight="1" x14ac:dyDescent="0.25"/>
    <row r="248" ht="15" customHeight="1" x14ac:dyDescent="0.25"/>
    <row r="249" ht="15" customHeight="1" x14ac:dyDescent="0.25"/>
    <row r="250" ht="15" customHeight="1" x14ac:dyDescent="0.25"/>
    <row r="251" ht="15" customHeight="1" x14ac:dyDescent="0.25"/>
    <row r="252" ht="15" customHeight="1" x14ac:dyDescent="0.25"/>
    <row r="253" ht="15" customHeight="1" x14ac:dyDescent="0.25"/>
    <row r="254" ht="15" customHeight="1" x14ac:dyDescent="0.25"/>
    <row r="255" ht="15" customHeight="1" x14ac:dyDescent="0.25"/>
    <row r="258" ht="15" customHeight="1" x14ac:dyDescent="0.25"/>
    <row r="259" ht="15" customHeight="1" x14ac:dyDescent="0.25"/>
    <row r="260" ht="15" customHeight="1" x14ac:dyDescent="0.25"/>
    <row r="261" ht="15" customHeight="1" x14ac:dyDescent="0.25"/>
    <row r="262" ht="15" customHeight="1" x14ac:dyDescent="0.25"/>
    <row r="263" ht="15" customHeight="1" x14ac:dyDescent="0.25"/>
    <row r="264" ht="15" customHeight="1" x14ac:dyDescent="0.25"/>
    <row r="265" ht="15" customHeight="1" x14ac:dyDescent="0.25"/>
    <row r="266" ht="15" customHeight="1" x14ac:dyDescent="0.25"/>
    <row r="267" ht="15" customHeight="1" x14ac:dyDescent="0.25"/>
    <row r="268" ht="15" customHeight="1" x14ac:dyDescent="0.25"/>
    <row r="270" ht="15" customHeight="1" x14ac:dyDescent="0.25"/>
    <row r="271" ht="15" customHeight="1" x14ac:dyDescent="0.25"/>
    <row r="272" ht="15" customHeight="1" x14ac:dyDescent="0.25"/>
    <row r="273" ht="15" customHeight="1" x14ac:dyDescent="0.25"/>
    <row r="274" ht="15" customHeight="1" x14ac:dyDescent="0.25"/>
    <row r="275" ht="15" customHeight="1" x14ac:dyDescent="0.25"/>
    <row r="276" ht="15" customHeight="1" x14ac:dyDescent="0.25"/>
    <row r="277" ht="15" customHeight="1" x14ac:dyDescent="0.25"/>
    <row r="278" ht="15" customHeight="1" x14ac:dyDescent="0.25"/>
    <row r="279" ht="15" customHeight="1" x14ac:dyDescent="0.25"/>
    <row r="280" ht="15" customHeight="1" x14ac:dyDescent="0.25"/>
    <row r="281" ht="15" customHeight="1" x14ac:dyDescent="0.25"/>
    <row r="282" ht="15" customHeight="1" x14ac:dyDescent="0.25"/>
    <row r="283" ht="15" customHeight="1" x14ac:dyDescent="0.25"/>
    <row r="284" ht="15" customHeight="1" x14ac:dyDescent="0.25"/>
    <row r="285" ht="15" customHeight="1" x14ac:dyDescent="0.25"/>
    <row r="286" ht="15" customHeight="1" x14ac:dyDescent="0.25"/>
    <row r="287" ht="15" customHeight="1" x14ac:dyDescent="0.25"/>
    <row r="288" ht="15" customHeight="1" x14ac:dyDescent="0.25"/>
    <row r="289" ht="15" customHeight="1" x14ac:dyDescent="0.25"/>
    <row r="290" ht="15" customHeight="1" x14ac:dyDescent="0.25"/>
    <row r="291" ht="15" customHeight="1" x14ac:dyDescent="0.25"/>
    <row r="292" ht="15" customHeight="1" x14ac:dyDescent="0.25"/>
    <row r="293" ht="15" customHeight="1" x14ac:dyDescent="0.25"/>
    <row r="294" ht="15" customHeight="1" x14ac:dyDescent="0.25"/>
    <row r="295" ht="15" customHeight="1" x14ac:dyDescent="0.25"/>
    <row r="296" ht="15" customHeight="1" x14ac:dyDescent="0.25"/>
    <row r="297" ht="15" customHeight="1" x14ac:dyDescent="0.25"/>
    <row r="298" ht="15" customHeight="1" x14ac:dyDescent="0.25"/>
    <row r="300" ht="15" customHeight="1" x14ac:dyDescent="0.25"/>
    <row r="301" ht="15" customHeight="1" x14ac:dyDescent="0.25"/>
    <row r="302" ht="15" customHeight="1" x14ac:dyDescent="0.25"/>
    <row r="303" ht="15" customHeight="1" x14ac:dyDescent="0.25"/>
    <row r="304" ht="15" customHeight="1" x14ac:dyDescent="0.25"/>
    <row r="305" spans="2:32" ht="15" customHeight="1" x14ac:dyDescent="0.25"/>
    <row r="306" spans="2:32" ht="15" customHeight="1" x14ac:dyDescent="0.25"/>
    <row r="307" spans="2:32" ht="15" customHeight="1" x14ac:dyDescent="0.25">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x14ac:dyDescent="0.25">
      <c r="B308" s="84"/>
      <c r="C308" s="84"/>
      <c r="D308" s="84"/>
      <c r="E308" s="84"/>
      <c r="F308" s="84"/>
      <c r="G308" s="84"/>
      <c r="H308" s="84"/>
      <c r="I308" s="84"/>
      <c r="J308" s="84"/>
      <c r="K308" s="84"/>
      <c r="L308" s="84"/>
      <c r="M308" s="84"/>
      <c r="N308" s="84"/>
      <c r="O308" s="84"/>
      <c r="P308" s="84"/>
      <c r="Q308" s="84"/>
      <c r="R308" s="84"/>
      <c r="S308" s="84"/>
      <c r="T308" s="84"/>
      <c r="U308" s="84"/>
      <c r="V308" s="84"/>
      <c r="W308" s="84"/>
      <c r="X308" s="84"/>
      <c r="Y308" s="84"/>
      <c r="Z308" s="84"/>
      <c r="AA308" s="84"/>
      <c r="AB308" s="84"/>
      <c r="AC308" s="84"/>
      <c r="AD308" s="84"/>
      <c r="AE308" s="84"/>
      <c r="AF308" s="84"/>
    </row>
    <row r="309" spans="2:32" ht="15" customHeight="1" x14ac:dyDescent="0.25"/>
    <row r="310" spans="2:32" ht="15" customHeight="1" x14ac:dyDescent="0.25"/>
    <row r="311" spans="2:32" ht="15" customHeight="1" x14ac:dyDescent="0.25"/>
    <row r="312" spans="2:32" ht="15" customHeight="1" x14ac:dyDescent="0.25"/>
    <row r="313" spans="2:32" ht="15" customHeight="1" x14ac:dyDescent="0.25"/>
    <row r="314" spans="2:32" ht="15" customHeight="1" x14ac:dyDescent="0.25"/>
    <row r="315" spans="2:32" ht="15" customHeight="1" x14ac:dyDescent="0.25"/>
    <row r="316" spans="2:32" ht="15" customHeight="1" x14ac:dyDescent="0.25"/>
    <row r="317" spans="2:32" ht="15" customHeight="1" x14ac:dyDescent="0.25"/>
    <row r="318" spans="2:32" ht="15" customHeight="1" x14ac:dyDescent="0.25"/>
    <row r="319" spans="2:32" ht="15" customHeight="1" x14ac:dyDescent="0.25"/>
    <row r="320" spans="2:32" ht="15" customHeight="1" x14ac:dyDescent="0.25"/>
    <row r="321" ht="15" customHeight="1" x14ac:dyDescent="0.25"/>
    <row r="322" ht="15" customHeight="1" x14ac:dyDescent="0.25"/>
    <row r="323" ht="15" customHeight="1" x14ac:dyDescent="0.25"/>
    <row r="324" ht="15" customHeight="1" x14ac:dyDescent="0.25"/>
    <row r="325" ht="15" customHeight="1" x14ac:dyDescent="0.25"/>
    <row r="326" ht="15" customHeight="1" x14ac:dyDescent="0.25"/>
    <row r="327" ht="15" customHeight="1" x14ac:dyDescent="0.25"/>
    <row r="328" ht="15" customHeight="1" x14ac:dyDescent="0.25"/>
    <row r="329" ht="15" customHeight="1" x14ac:dyDescent="0.25"/>
    <row r="330" ht="15" customHeight="1" x14ac:dyDescent="0.25"/>
    <row r="331" ht="15" customHeight="1" x14ac:dyDescent="0.25"/>
    <row r="332" ht="15" customHeight="1" x14ac:dyDescent="0.25"/>
    <row r="333" ht="15" customHeight="1" x14ac:dyDescent="0.25"/>
    <row r="334" ht="15" customHeight="1" x14ac:dyDescent="0.25"/>
    <row r="335" ht="15" customHeight="1" x14ac:dyDescent="0.25"/>
    <row r="336" ht="15" customHeight="1" x14ac:dyDescent="0.25"/>
    <row r="337" ht="15" customHeight="1" x14ac:dyDescent="0.25"/>
    <row r="338" ht="15" customHeight="1" x14ac:dyDescent="0.25"/>
    <row r="339" ht="15" customHeight="1" x14ac:dyDescent="0.25"/>
    <row r="340" ht="15" customHeight="1" x14ac:dyDescent="0.25"/>
    <row r="341" ht="15" customHeight="1" x14ac:dyDescent="0.25"/>
    <row r="342" ht="15" customHeight="1" x14ac:dyDescent="0.25"/>
    <row r="343" ht="15" customHeight="1" x14ac:dyDescent="0.25"/>
    <row r="344" ht="15" customHeight="1" x14ac:dyDescent="0.25"/>
    <row r="345" ht="15" customHeight="1" x14ac:dyDescent="0.25"/>
    <row r="375" ht="15" customHeight="1" x14ac:dyDescent="0.25"/>
    <row r="376" ht="15" customHeight="1" x14ac:dyDescent="0.25"/>
    <row r="377" ht="15" customHeight="1" x14ac:dyDescent="0.25"/>
    <row r="378" ht="15" customHeight="1" x14ac:dyDescent="0.25"/>
    <row r="379" ht="15" customHeight="1" x14ac:dyDescent="0.25"/>
    <row r="380" ht="15" customHeight="1" x14ac:dyDescent="0.25"/>
    <row r="381" ht="15" customHeight="1" x14ac:dyDescent="0.25"/>
    <row r="382" ht="15" customHeight="1" x14ac:dyDescent="0.25"/>
    <row r="383" ht="15" customHeight="1" x14ac:dyDescent="0.25"/>
    <row r="384" ht="15" customHeight="1" x14ac:dyDescent="0.25"/>
    <row r="386" ht="15" customHeight="1" x14ac:dyDescent="0.25"/>
    <row r="387" ht="15" customHeight="1" x14ac:dyDescent="0.25"/>
    <row r="388" ht="15" customHeight="1" x14ac:dyDescent="0.25"/>
    <row r="389" ht="15" customHeight="1" x14ac:dyDescent="0.25"/>
    <row r="390" ht="15" customHeight="1" x14ac:dyDescent="0.25"/>
    <row r="391" ht="15" customHeight="1" x14ac:dyDescent="0.25"/>
    <row r="393" ht="15" customHeight="1" x14ac:dyDescent="0.25"/>
    <row r="394" ht="15" customHeight="1" x14ac:dyDescent="0.25"/>
    <row r="395" ht="15" customHeight="1" x14ac:dyDescent="0.25"/>
    <row r="396" ht="15" customHeight="1" x14ac:dyDescent="0.25"/>
    <row r="397" ht="15" customHeight="1" x14ac:dyDescent="0.25"/>
    <row r="398" ht="15" customHeight="1" x14ac:dyDescent="0.25"/>
    <row r="399" ht="15" customHeight="1" x14ac:dyDescent="0.25"/>
    <row r="400" ht="15" customHeight="1" x14ac:dyDescent="0.25"/>
    <row r="401" ht="15" customHeight="1" x14ac:dyDescent="0.25"/>
    <row r="403" ht="15" customHeight="1" x14ac:dyDescent="0.25"/>
    <row r="404" ht="15" customHeight="1" x14ac:dyDescent="0.25"/>
    <row r="405" ht="15" customHeight="1" x14ac:dyDescent="0.25"/>
    <row r="406" ht="15" customHeight="1" x14ac:dyDescent="0.25"/>
    <row r="407" ht="15" customHeight="1" x14ac:dyDescent="0.25"/>
    <row r="408" ht="15" customHeight="1" x14ac:dyDescent="0.25"/>
    <row r="409" ht="15" customHeight="1" x14ac:dyDescent="0.25"/>
    <row r="410" ht="15" customHeight="1" x14ac:dyDescent="0.25"/>
    <row r="411" ht="15" customHeight="1" x14ac:dyDescent="0.25"/>
    <row r="413" ht="15" customHeight="1" x14ac:dyDescent="0.25"/>
    <row r="414" ht="15" customHeight="1" x14ac:dyDescent="0.25"/>
    <row r="415" ht="15" customHeight="1" x14ac:dyDescent="0.25"/>
    <row r="416" ht="15" customHeight="1" x14ac:dyDescent="0.25"/>
    <row r="417" ht="15" customHeight="1" x14ac:dyDescent="0.25"/>
    <row r="418" ht="15" customHeight="1" x14ac:dyDescent="0.25"/>
    <row r="421" ht="15" customHeight="1" x14ac:dyDescent="0.25"/>
    <row r="422" ht="15" customHeight="1" x14ac:dyDescent="0.25"/>
    <row r="423" ht="15" customHeight="1" x14ac:dyDescent="0.25"/>
    <row r="424" ht="15" customHeight="1" x14ac:dyDescent="0.25"/>
    <row r="425" ht="15" customHeight="1" x14ac:dyDescent="0.25"/>
    <row r="426" ht="15" customHeight="1" x14ac:dyDescent="0.25"/>
    <row r="427" ht="15" customHeight="1" x14ac:dyDescent="0.25"/>
    <row r="428" ht="15" customHeight="1" x14ac:dyDescent="0.25"/>
    <row r="429" ht="15" customHeight="1" x14ac:dyDescent="0.25"/>
    <row r="430" ht="15" customHeight="1" x14ac:dyDescent="0.25"/>
    <row r="431" ht="15" customHeight="1" x14ac:dyDescent="0.25"/>
    <row r="432" ht="15" customHeight="1" x14ac:dyDescent="0.25"/>
    <row r="434" ht="15" customHeight="1" x14ac:dyDescent="0.25"/>
    <row r="435" ht="15" customHeight="1" x14ac:dyDescent="0.25"/>
    <row r="436" ht="15" customHeight="1" x14ac:dyDescent="0.25"/>
    <row r="437" ht="15" customHeight="1" x14ac:dyDescent="0.25"/>
    <row r="438" ht="15" customHeight="1" x14ac:dyDescent="0.25"/>
    <row r="439" ht="15" customHeight="1" x14ac:dyDescent="0.25"/>
    <row r="440" ht="15" customHeight="1" x14ac:dyDescent="0.25"/>
    <row r="441" ht="15" customHeight="1" x14ac:dyDescent="0.25"/>
    <row r="442" ht="15" customHeight="1" x14ac:dyDescent="0.25"/>
    <row r="445" ht="15" customHeight="1" x14ac:dyDescent="0.25"/>
    <row r="446" ht="15" customHeight="1" x14ac:dyDescent="0.25"/>
    <row r="447" ht="15" customHeight="1" x14ac:dyDescent="0.25"/>
    <row r="448" ht="15" customHeight="1" x14ac:dyDescent="0.25"/>
    <row r="449" ht="15" customHeight="1" x14ac:dyDescent="0.25"/>
    <row r="450" ht="15" customHeight="1" x14ac:dyDescent="0.25"/>
    <row r="452" ht="15" customHeight="1" x14ac:dyDescent="0.25"/>
    <row r="453" ht="15" customHeight="1" x14ac:dyDescent="0.25"/>
    <row r="454" ht="15" customHeight="1" x14ac:dyDescent="0.25"/>
    <row r="455" ht="15" customHeight="1" x14ac:dyDescent="0.25"/>
    <row r="456" ht="15" customHeight="1" x14ac:dyDescent="0.25"/>
    <row r="457" ht="15" customHeight="1" x14ac:dyDescent="0.25"/>
    <row r="459" ht="15" customHeight="1" x14ac:dyDescent="0.25"/>
    <row r="460" ht="15" customHeight="1" x14ac:dyDescent="0.25"/>
    <row r="461" ht="15" customHeight="1" x14ac:dyDescent="0.25"/>
    <row r="462" ht="15" customHeight="1" x14ac:dyDescent="0.25"/>
    <row r="463" ht="15" customHeight="1" x14ac:dyDescent="0.25"/>
    <row r="464" ht="15" customHeight="1" x14ac:dyDescent="0.25"/>
    <row r="465" ht="15" customHeight="1" x14ac:dyDescent="0.25"/>
    <row r="466" ht="15" customHeight="1" x14ac:dyDescent="0.25"/>
    <row r="467" ht="15" customHeight="1" x14ac:dyDescent="0.25"/>
    <row r="470" ht="15" customHeight="1" x14ac:dyDescent="0.25"/>
    <row r="471" ht="15" customHeight="1" x14ac:dyDescent="0.25"/>
    <row r="472" ht="15" customHeight="1" x14ac:dyDescent="0.25"/>
    <row r="473" ht="15" customHeight="1" x14ac:dyDescent="0.25"/>
    <row r="474" ht="15" customHeight="1" x14ac:dyDescent="0.25"/>
    <row r="475" ht="15" customHeight="1" x14ac:dyDescent="0.25"/>
    <row r="476" ht="15" customHeight="1" x14ac:dyDescent="0.25"/>
    <row r="477" ht="15" customHeight="1" x14ac:dyDescent="0.25"/>
    <row r="478" ht="15" customHeight="1" x14ac:dyDescent="0.25"/>
    <row r="480" ht="15" customHeight="1" x14ac:dyDescent="0.25"/>
    <row r="481" ht="15" customHeight="1" x14ac:dyDescent="0.25"/>
    <row r="482" ht="15" customHeight="1" x14ac:dyDescent="0.25"/>
    <row r="483" ht="15" customHeight="1" x14ac:dyDescent="0.25"/>
    <row r="484" ht="15" customHeight="1" x14ac:dyDescent="0.25"/>
    <row r="485" ht="15" customHeight="1" x14ac:dyDescent="0.25"/>
    <row r="487" ht="15" customHeight="1" x14ac:dyDescent="0.25"/>
    <row r="488" ht="15" customHeight="1" x14ac:dyDescent="0.25"/>
    <row r="489" ht="15" customHeight="1" x14ac:dyDescent="0.25"/>
    <row r="490" ht="15" customHeight="1" x14ac:dyDescent="0.25"/>
    <row r="491" ht="15" customHeight="1" x14ac:dyDescent="0.25"/>
    <row r="492" ht="15" customHeight="1" x14ac:dyDescent="0.25"/>
    <row r="493" ht="15" customHeight="1" x14ac:dyDescent="0.25"/>
    <row r="494" ht="15" customHeight="1" x14ac:dyDescent="0.25"/>
    <row r="495" ht="15" customHeight="1" x14ac:dyDescent="0.25"/>
    <row r="496" ht="15" customHeight="1" x14ac:dyDescent="0.25"/>
    <row r="497" spans="2:32" ht="15" customHeight="1" x14ac:dyDescent="0.25"/>
    <row r="498" spans="2:32" ht="15" customHeight="1" x14ac:dyDescent="0.25"/>
    <row r="499" spans="2:32" x14ac:dyDescent="0.25">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row>
    <row r="500" spans="2:32" ht="15" customHeight="1" x14ac:dyDescent="0.25"/>
    <row r="501" spans="2:32" ht="15" customHeight="1" x14ac:dyDescent="0.25"/>
    <row r="502" spans="2:32" ht="15" customHeight="1" x14ac:dyDescent="0.25"/>
    <row r="503" spans="2:32" ht="15" customHeight="1" x14ac:dyDescent="0.25"/>
    <row r="504" spans="2:32" ht="15" customHeight="1" x14ac:dyDescent="0.25"/>
    <row r="505" spans="2:32" ht="15" customHeight="1" x14ac:dyDescent="0.25"/>
    <row r="506" spans="2:32" ht="15" customHeight="1" x14ac:dyDescent="0.25"/>
    <row r="507" spans="2:32" ht="15" customHeight="1" x14ac:dyDescent="0.25"/>
    <row r="508" spans="2:32" ht="15" customHeight="1" x14ac:dyDescent="0.25"/>
    <row r="509" spans="2:32" x14ac:dyDescent="0.25">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row>
    <row r="510" spans="2:32" ht="15" customHeight="1" x14ac:dyDescent="0.25">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row>
    <row r="511" spans="2:32" ht="15" customHeight="1" x14ac:dyDescent="0.25">
      <c r="B511" s="84"/>
      <c r="C511" s="84"/>
      <c r="D511" s="84"/>
      <c r="E511" s="84"/>
      <c r="F511" s="84"/>
      <c r="G511" s="84"/>
      <c r="H511" s="84"/>
      <c r="I511" s="84"/>
      <c r="J511" s="84"/>
      <c r="K511" s="84"/>
      <c r="L511" s="84"/>
      <c r="M511" s="84"/>
      <c r="N511" s="84"/>
      <c r="O511" s="84"/>
      <c r="P511" s="84"/>
      <c r="Q511" s="84"/>
      <c r="R511" s="84"/>
      <c r="S511" s="84"/>
      <c r="T511" s="84"/>
      <c r="U511" s="84"/>
      <c r="V511" s="84"/>
      <c r="W511" s="84"/>
      <c r="X511" s="84"/>
      <c r="Y511" s="84"/>
      <c r="Z511" s="84"/>
      <c r="AA511" s="84"/>
      <c r="AB511" s="84"/>
      <c r="AC511" s="84"/>
      <c r="AD511" s="84"/>
      <c r="AE511" s="84"/>
      <c r="AF511" s="84"/>
    </row>
    <row r="512" spans="2:32" ht="15" customHeight="1" x14ac:dyDescent="0.25"/>
    <row r="513" ht="15" customHeight="1" x14ac:dyDescent="0.25"/>
    <row r="514" ht="15" customHeight="1" x14ac:dyDescent="0.25"/>
    <row r="515" ht="15" customHeight="1" x14ac:dyDescent="0.25"/>
    <row r="516" ht="15" customHeight="1" x14ac:dyDescent="0.25"/>
    <row r="517" ht="15" customHeight="1" x14ac:dyDescent="0.25"/>
    <row r="518" ht="15" customHeight="1" x14ac:dyDescent="0.25"/>
    <row r="519" ht="15" customHeight="1" x14ac:dyDescent="0.25"/>
    <row r="520" ht="15" customHeight="1" x14ac:dyDescent="0.25"/>
    <row r="521" ht="15" customHeight="1" x14ac:dyDescent="0.25"/>
    <row r="522" ht="15" customHeight="1" x14ac:dyDescent="0.25"/>
    <row r="523" ht="15" customHeight="1" x14ac:dyDescent="0.25"/>
    <row r="524" ht="15" customHeight="1" x14ac:dyDescent="0.25"/>
    <row r="525" ht="15" customHeight="1" x14ac:dyDescent="0.25"/>
    <row r="575" ht="15" customHeight="1" x14ac:dyDescent="0.25"/>
    <row r="576" ht="15" customHeight="1" x14ac:dyDescent="0.25"/>
    <row r="577" ht="15" customHeight="1" x14ac:dyDescent="0.25"/>
    <row r="578" ht="15" customHeight="1" x14ac:dyDescent="0.25"/>
    <row r="579" ht="15" customHeight="1" x14ac:dyDescent="0.25"/>
    <row r="580" ht="15" customHeight="1" x14ac:dyDescent="0.25"/>
    <row r="581" ht="15" customHeight="1" x14ac:dyDescent="0.25"/>
    <row r="582" ht="15" customHeight="1" x14ac:dyDescent="0.25"/>
    <row r="583" ht="15" customHeight="1" x14ac:dyDescent="0.25"/>
    <row r="584" ht="15" customHeight="1" x14ac:dyDescent="0.25"/>
    <row r="585" ht="15" customHeight="1" x14ac:dyDescent="0.25"/>
    <row r="587" ht="15" customHeight="1" x14ac:dyDescent="0.25"/>
    <row r="589" ht="15" customHeight="1" x14ac:dyDescent="0.25"/>
    <row r="590" ht="15" customHeight="1" x14ac:dyDescent="0.25"/>
    <row r="591" ht="15" customHeight="1" x14ac:dyDescent="0.25"/>
    <row r="592" ht="15" customHeight="1" x14ac:dyDescent="0.25"/>
    <row r="593" ht="15" customHeight="1" x14ac:dyDescent="0.25"/>
    <row r="594" ht="15" customHeight="1" x14ac:dyDescent="0.25"/>
    <row r="595" ht="15" customHeight="1" x14ac:dyDescent="0.25"/>
    <row r="597" ht="15" customHeight="1" x14ac:dyDescent="0.25"/>
    <row r="598" ht="15" customHeight="1" x14ac:dyDescent="0.25"/>
    <row r="599" ht="15" customHeight="1" x14ac:dyDescent="0.25"/>
    <row r="600" ht="15" customHeight="1" x14ac:dyDescent="0.25"/>
    <row r="601" ht="15" customHeight="1" x14ac:dyDescent="0.25"/>
    <row r="602" ht="15" customHeight="1" x14ac:dyDescent="0.25"/>
    <row r="603" ht="15" customHeight="1" x14ac:dyDescent="0.25"/>
    <row r="604" ht="15" customHeight="1" x14ac:dyDescent="0.25"/>
    <row r="605" ht="15" customHeight="1" x14ac:dyDescent="0.25"/>
    <row r="606" ht="15" customHeight="1" x14ac:dyDescent="0.25"/>
    <row r="607" ht="15" customHeight="1" x14ac:dyDescent="0.25"/>
    <row r="608" ht="15" customHeight="1" x14ac:dyDescent="0.25"/>
    <row r="609" ht="15" customHeight="1" x14ac:dyDescent="0.25"/>
    <row r="610" ht="15" customHeight="1" x14ac:dyDescent="0.25"/>
    <row r="611" ht="15" customHeight="1" x14ac:dyDescent="0.25"/>
    <row r="612" ht="15" customHeight="1" x14ac:dyDescent="0.25"/>
    <row r="613" ht="15" customHeight="1" x14ac:dyDescent="0.25"/>
    <row r="614" ht="15" customHeight="1" x14ac:dyDescent="0.25"/>
    <row r="615" ht="15" customHeight="1" x14ac:dyDescent="0.25"/>
    <row r="617" ht="15" customHeight="1" x14ac:dyDescent="0.25"/>
    <row r="618" ht="15" customHeight="1" x14ac:dyDescent="0.25"/>
    <row r="619" ht="15" customHeight="1" x14ac:dyDescent="0.25"/>
    <row r="620" ht="15" customHeight="1" x14ac:dyDescent="0.25"/>
    <row r="621" ht="15" customHeight="1" x14ac:dyDescent="0.25"/>
    <row r="622" ht="15" customHeight="1" x14ac:dyDescent="0.25"/>
    <row r="623" ht="15" customHeight="1" x14ac:dyDescent="0.25"/>
    <row r="624" ht="15" customHeight="1" x14ac:dyDescent="0.25"/>
    <row r="626" ht="15" customHeight="1" x14ac:dyDescent="0.25"/>
    <row r="627" ht="15" customHeight="1" x14ac:dyDescent="0.25"/>
    <row r="628" ht="15" customHeight="1" x14ac:dyDescent="0.25"/>
    <row r="629" ht="15" customHeight="1" x14ac:dyDescent="0.25"/>
    <row r="630" ht="15" customHeight="1" x14ac:dyDescent="0.25"/>
    <row r="632" ht="15" customHeight="1" x14ac:dyDescent="0.25"/>
    <row r="633" ht="15" customHeight="1" x14ac:dyDescent="0.25"/>
    <row r="634" ht="15" customHeight="1" x14ac:dyDescent="0.25"/>
    <row r="635" ht="15" customHeight="1" x14ac:dyDescent="0.25"/>
    <row r="636" ht="15" customHeight="1" x14ac:dyDescent="0.25"/>
    <row r="637" ht="15" customHeight="1" x14ac:dyDescent="0.25"/>
    <row r="639" ht="15" customHeight="1" x14ac:dyDescent="0.25"/>
    <row r="641" ht="15" customHeight="1" x14ac:dyDescent="0.25"/>
    <row r="642" ht="15" customHeight="1" x14ac:dyDescent="0.25"/>
    <row r="643" ht="15" customHeight="1" x14ac:dyDescent="0.25"/>
    <row r="644" ht="15" customHeight="1" x14ac:dyDescent="0.25"/>
    <row r="645" ht="15" customHeight="1" x14ac:dyDescent="0.25"/>
    <row r="646" ht="15" customHeight="1" x14ac:dyDescent="0.25"/>
    <row r="647" ht="15" customHeight="1" x14ac:dyDescent="0.25"/>
    <row r="648" ht="15" customHeight="1" x14ac:dyDescent="0.25"/>
    <row r="649" ht="15" customHeight="1" x14ac:dyDescent="0.25"/>
    <row r="650" ht="15" customHeight="1" x14ac:dyDescent="0.25"/>
    <row r="651" ht="15" customHeight="1" x14ac:dyDescent="0.25"/>
    <row r="652" ht="15" customHeight="1" x14ac:dyDescent="0.25"/>
    <row r="653" ht="15" customHeight="1" x14ac:dyDescent="0.25"/>
    <row r="654" ht="15" customHeight="1" x14ac:dyDescent="0.25"/>
    <row r="655" ht="15" customHeight="1" x14ac:dyDescent="0.25"/>
    <row r="656" ht="15" customHeight="1" x14ac:dyDescent="0.25"/>
    <row r="657" ht="15" customHeight="1" x14ac:dyDescent="0.25"/>
    <row r="658" ht="15" customHeight="1" x14ac:dyDescent="0.25"/>
    <row r="660" ht="15" customHeight="1" x14ac:dyDescent="0.25"/>
    <row r="662" ht="15" customHeight="1" x14ac:dyDescent="0.25"/>
    <row r="663" ht="15" customHeight="1" x14ac:dyDescent="0.25"/>
    <row r="664" ht="15" customHeight="1" x14ac:dyDescent="0.25"/>
    <row r="665" ht="15" customHeight="1" x14ac:dyDescent="0.25"/>
    <row r="666" ht="15" customHeight="1" x14ac:dyDescent="0.25"/>
    <row r="667" ht="15" customHeight="1" x14ac:dyDescent="0.25"/>
    <row r="668" ht="15" customHeight="1" x14ac:dyDescent="0.25"/>
    <row r="669" ht="15" customHeight="1" x14ac:dyDescent="0.25"/>
    <row r="670" ht="15" customHeight="1" x14ac:dyDescent="0.25"/>
    <row r="671" ht="15" customHeight="1" x14ac:dyDescent="0.25"/>
    <row r="672" ht="15" customHeight="1" x14ac:dyDescent="0.25"/>
    <row r="673" ht="15" customHeight="1" x14ac:dyDescent="0.25"/>
    <row r="674" ht="15" customHeight="1" x14ac:dyDescent="0.25"/>
    <row r="675" ht="15" customHeight="1" x14ac:dyDescent="0.25"/>
    <row r="676" ht="15" customHeight="1" x14ac:dyDescent="0.25"/>
    <row r="677" ht="15" customHeight="1" x14ac:dyDescent="0.25"/>
    <row r="678" ht="15" customHeight="1" x14ac:dyDescent="0.25"/>
    <row r="679" ht="15" customHeight="1" x14ac:dyDescent="0.25"/>
    <row r="681" ht="15" customHeight="1" x14ac:dyDescent="0.25"/>
    <row r="682" ht="15" customHeight="1" x14ac:dyDescent="0.25"/>
    <row r="683" ht="15" customHeight="1" x14ac:dyDescent="0.25"/>
    <row r="684" ht="15" customHeight="1" x14ac:dyDescent="0.25"/>
    <row r="685" ht="15" customHeight="1" x14ac:dyDescent="0.25"/>
    <row r="686" ht="15" customHeight="1" x14ac:dyDescent="0.25"/>
    <row r="688" ht="15" customHeight="1" x14ac:dyDescent="0.25"/>
    <row r="689" ht="15" customHeight="1" x14ac:dyDescent="0.25"/>
    <row r="690" ht="15" customHeight="1" x14ac:dyDescent="0.25"/>
    <row r="691" ht="15" customHeight="1" x14ac:dyDescent="0.25"/>
    <row r="692" ht="15" customHeight="1" x14ac:dyDescent="0.25"/>
    <row r="693" ht="15" customHeight="1" x14ac:dyDescent="0.25"/>
    <row r="694" ht="15" customHeight="1" x14ac:dyDescent="0.25"/>
    <row r="695" ht="15" customHeight="1" x14ac:dyDescent="0.25"/>
    <row r="696" ht="15" customHeight="1" x14ac:dyDescent="0.25"/>
    <row r="697" ht="15" customHeight="1" x14ac:dyDescent="0.25"/>
    <row r="698" ht="15" customHeight="1" x14ac:dyDescent="0.25"/>
    <row r="700" ht="15" customHeight="1" x14ac:dyDescent="0.25"/>
    <row r="701" ht="15" customHeight="1" x14ac:dyDescent="0.25"/>
    <row r="702" ht="15" customHeight="1" x14ac:dyDescent="0.25"/>
    <row r="703" ht="15" customHeight="1" x14ac:dyDescent="0.25"/>
    <row r="704" ht="15" customHeight="1" x14ac:dyDescent="0.25"/>
    <row r="705" spans="2:32" ht="15" customHeight="1" x14ac:dyDescent="0.25"/>
    <row r="706" spans="2:32" ht="15" customHeight="1" x14ac:dyDescent="0.25"/>
    <row r="707" spans="2:32" ht="15" customHeight="1" x14ac:dyDescent="0.25"/>
    <row r="708" spans="2:32" ht="15" customHeight="1" x14ac:dyDescent="0.25"/>
    <row r="709" spans="2:32" ht="15" customHeight="1" x14ac:dyDescent="0.25"/>
    <row r="710" spans="2:32" ht="15" customHeight="1" x14ac:dyDescent="0.25"/>
    <row r="711" spans="2:32" ht="15" customHeight="1" x14ac:dyDescent="0.25">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x14ac:dyDescent="0.25">
      <c r="B712" s="84"/>
      <c r="C712" s="84"/>
      <c r="D712" s="84"/>
      <c r="E712" s="84"/>
      <c r="F712" s="84"/>
      <c r="G712" s="84"/>
      <c r="H712" s="84"/>
      <c r="I712" s="84"/>
      <c r="J712" s="84"/>
      <c r="K712" s="84"/>
      <c r="L712" s="84"/>
      <c r="M712" s="84"/>
      <c r="N712" s="84"/>
      <c r="O712" s="84"/>
      <c r="P712" s="84"/>
      <c r="Q712" s="84"/>
      <c r="R712" s="84"/>
      <c r="S712" s="84"/>
      <c r="T712" s="84"/>
      <c r="U712" s="84"/>
      <c r="V712" s="84"/>
      <c r="W712" s="84"/>
      <c r="X712" s="84"/>
      <c r="Y712" s="84"/>
      <c r="Z712" s="84"/>
      <c r="AA712" s="84"/>
      <c r="AB712" s="84"/>
      <c r="AC712" s="84"/>
      <c r="AD712" s="84"/>
      <c r="AE712" s="84"/>
      <c r="AF712" s="84"/>
    </row>
    <row r="713" spans="2:32" ht="15" customHeight="1" x14ac:dyDescent="0.25"/>
    <row r="714" spans="2:32" ht="15" customHeight="1" x14ac:dyDescent="0.25"/>
    <row r="715" spans="2:32" ht="15" customHeight="1" x14ac:dyDescent="0.25"/>
    <row r="716" spans="2:32" ht="15" customHeight="1" x14ac:dyDescent="0.25"/>
    <row r="717" spans="2:32" ht="15" customHeight="1" x14ac:dyDescent="0.25"/>
    <row r="718" spans="2:32" ht="15" customHeight="1" x14ac:dyDescent="0.25"/>
    <row r="719" spans="2:32" ht="15" customHeight="1" x14ac:dyDescent="0.25"/>
    <row r="720" spans="2:32" ht="15" customHeight="1" x14ac:dyDescent="0.25"/>
    <row r="721" ht="15" customHeight="1" x14ac:dyDescent="0.25"/>
    <row r="722" ht="15" customHeight="1" x14ac:dyDescent="0.25"/>
    <row r="723" ht="15" customHeight="1" x14ac:dyDescent="0.25"/>
    <row r="724" ht="15" customHeight="1" x14ac:dyDescent="0.25"/>
    <row r="725" ht="15" customHeight="1" x14ac:dyDescent="0.25"/>
    <row r="726" ht="15" customHeight="1" x14ac:dyDescent="0.25"/>
    <row r="727" ht="15" customHeight="1" x14ac:dyDescent="0.25"/>
    <row r="728" ht="15" customHeight="1" x14ac:dyDescent="0.25"/>
    <row r="729" ht="15" customHeight="1" x14ac:dyDescent="0.25"/>
    <row r="730" ht="15" customHeight="1" x14ac:dyDescent="0.25"/>
    <row r="731" ht="15" customHeight="1" x14ac:dyDescent="0.25"/>
    <row r="732" ht="15" customHeight="1" x14ac:dyDescent="0.25"/>
    <row r="775" ht="15" customHeight="1" x14ac:dyDescent="0.25"/>
    <row r="776" ht="15" customHeight="1" x14ac:dyDescent="0.25"/>
    <row r="777" ht="15" customHeight="1" x14ac:dyDescent="0.25"/>
    <row r="778" ht="15" customHeight="1" x14ac:dyDescent="0.25"/>
    <row r="779" ht="15" customHeight="1" x14ac:dyDescent="0.25"/>
    <row r="780" ht="15" customHeight="1" x14ac:dyDescent="0.25"/>
    <row r="782" ht="15" customHeight="1" x14ac:dyDescent="0.25"/>
    <row r="783" ht="15" customHeight="1" x14ac:dyDescent="0.25"/>
    <row r="784" ht="15" customHeight="1" x14ac:dyDescent="0.25"/>
    <row r="785" ht="15" customHeight="1" x14ac:dyDescent="0.25"/>
    <row r="787" ht="15" customHeight="1" x14ac:dyDescent="0.25"/>
    <row r="788" ht="15" customHeight="1" x14ac:dyDescent="0.25"/>
    <row r="789" ht="15" customHeight="1" x14ac:dyDescent="0.25"/>
    <row r="790" ht="15" customHeight="1" x14ac:dyDescent="0.25"/>
    <row r="792" ht="15" customHeight="1" x14ac:dyDescent="0.25"/>
    <row r="793" ht="15" customHeight="1" x14ac:dyDescent="0.25"/>
    <row r="794" ht="15" customHeight="1" x14ac:dyDescent="0.25"/>
    <row r="795" ht="15" customHeight="1" x14ac:dyDescent="0.25"/>
    <row r="796" ht="15" customHeight="1" x14ac:dyDescent="0.25"/>
    <row r="797" ht="15" customHeight="1" x14ac:dyDescent="0.25"/>
    <row r="798" ht="15" customHeight="1" x14ac:dyDescent="0.25"/>
    <row r="799" ht="15" customHeight="1" x14ac:dyDescent="0.25"/>
    <row r="800" ht="15" customHeight="1" x14ac:dyDescent="0.25"/>
    <row r="801" ht="15" customHeight="1" x14ac:dyDescent="0.25"/>
    <row r="802" ht="15" customHeight="1" x14ac:dyDescent="0.25"/>
    <row r="803" ht="15" customHeight="1" x14ac:dyDescent="0.25"/>
    <row r="804" ht="15" customHeight="1" x14ac:dyDescent="0.25"/>
    <row r="805" ht="15" customHeight="1" x14ac:dyDescent="0.25"/>
    <row r="806" ht="15" customHeight="1" x14ac:dyDescent="0.25"/>
    <row r="808" ht="15" customHeight="1" x14ac:dyDescent="0.25"/>
    <row r="809" ht="15" customHeight="1" x14ac:dyDescent="0.25"/>
    <row r="810" ht="15" customHeight="1" x14ac:dyDescent="0.25"/>
    <row r="811" ht="15" customHeight="1" x14ac:dyDescent="0.25"/>
    <row r="812" ht="15" customHeight="1" x14ac:dyDescent="0.25"/>
    <row r="813" ht="15" customHeight="1" x14ac:dyDescent="0.25"/>
    <row r="814" ht="15" customHeight="1" x14ac:dyDescent="0.25"/>
    <row r="816" ht="15" customHeight="1" x14ac:dyDescent="0.25"/>
    <row r="817" ht="15" customHeight="1" x14ac:dyDescent="0.25"/>
    <row r="818" ht="15" customHeight="1" x14ac:dyDescent="0.25"/>
    <row r="819" ht="15" customHeight="1" x14ac:dyDescent="0.25"/>
    <row r="820" ht="15" customHeight="1" x14ac:dyDescent="0.25"/>
    <row r="822" ht="15" customHeight="1" x14ac:dyDescent="0.25"/>
    <row r="823" ht="15" customHeight="1" x14ac:dyDescent="0.25"/>
    <row r="825" ht="15" customHeight="1" x14ac:dyDescent="0.25"/>
    <row r="826" ht="15" customHeight="1" x14ac:dyDescent="0.25"/>
    <row r="827" ht="15" customHeight="1" x14ac:dyDescent="0.25"/>
    <row r="828" ht="15" customHeight="1" x14ac:dyDescent="0.25"/>
    <row r="829" ht="15" customHeight="1" x14ac:dyDescent="0.25"/>
    <row r="830" ht="15" customHeight="1" x14ac:dyDescent="0.25"/>
    <row r="831" ht="15" customHeight="1" x14ac:dyDescent="0.25"/>
    <row r="832" ht="15" customHeight="1" x14ac:dyDescent="0.25"/>
    <row r="833" ht="15" customHeight="1" x14ac:dyDescent="0.25"/>
    <row r="834" ht="15" customHeight="1" x14ac:dyDescent="0.25"/>
    <row r="835" ht="15" customHeight="1" x14ac:dyDescent="0.25"/>
    <row r="836" ht="15" customHeight="1" x14ac:dyDescent="0.25"/>
    <row r="837" ht="15" customHeight="1" x14ac:dyDescent="0.25"/>
    <row r="838" ht="15" customHeight="1" x14ac:dyDescent="0.25"/>
    <row r="840" ht="15" customHeight="1" x14ac:dyDescent="0.25"/>
    <row r="842" ht="15" customHeight="1" x14ac:dyDescent="0.25"/>
    <row r="843" ht="15" customHeight="1" x14ac:dyDescent="0.25"/>
    <row r="844" ht="15" customHeight="1" x14ac:dyDescent="0.25"/>
    <row r="845" ht="15" customHeight="1" x14ac:dyDescent="0.25"/>
    <row r="846" ht="15" customHeight="1" x14ac:dyDescent="0.25"/>
    <row r="847" ht="15" customHeight="1" x14ac:dyDescent="0.25"/>
    <row r="848" ht="15" customHeight="1" x14ac:dyDescent="0.25"/>
    <row r="849" ht="15" customHeight="1" x14ac:dyDescent="0.25"/>
    <row r="850" ht="15" customHeight="1" x14ac:dyDescent="0.25"/>
    <row r="851" ht="15" customHeight="1" x14ac:dyDescent="0.25"/>
    <row r="852" ht="15" customHeight="1" x14ac:dyDescent="0.25"/>
    <row r="853" ht="15" customHeight="1" x14ac:dyDescent="0.25"/>
    <row r="854" ht="15" customHeight="1" x14ac:dyDescent="0.25"/>
    <row r="855" ht="15" customHeight="1" x14ac:dyDescent="0.25"/>
    <row r="857" ht="15" customHeight="1" x14ac:dyDescent="0.25"/>
    <row r="858" ht="15" customHeight="1" x14ac:dyDescent="0.25"/>
    <row r="859" ht="15" customHeight="1" x14ac:dyDescent="0.25"/>
    <row r="860" ht="15" customHeight="1" x14ac:dyDescent="0.25"/>
    <row r="861" ht="15" customHeight="1" x14ac:dyDescent="0.25"/>
    <row r="863" ht="15" customHeight="1" x14ac:dyDescent="0.25"/>
    <row r="864" ht="15" customHeight="1" x14ac:dyDescent="0.25"/>
    <row r="865" ht="15" customHeight="1" x14ac:dyDescent="0.25"/>
    <row r="866" ht="15" customHeight="1" x14ac:dyDescent="0.25"/>
    <row r="867" ht="15" customHeight="1" x14ac:dyDescent="0.25"/>
    <row r="868" ht="15" customHeight="1" x14ac:dyDescent="0.25"/>
    <row r="869" ht="15" customHeight="1" x14ac:dyDescent="0.25"/>
    <row r="870" ht="15" customHeight="1" x14ac:dyDescent="0.25"/>
    <row r="871" ht="15" customHeight="1" x14ac:dyDescent="0.25"/>
    <row r="872" ht="15" customHeight="1" x14ac:dyDescent="0.25"/>
    <row r="873" ht="15" customHeight="1" x14ac:dyDescent="0.25"/>
    <row r="875" ht="15" customHeight="1" x14ac:dyDescent="0.25"/>
    <row r="876" ht="15" customHeight="1" x14ac:dyDescent="0.25"/>
    <row r="877" ht="15" customHeight="1" x14ac:dyDescent="0.25"/>
    <row r="878" ht="15" customHeight="1" x14ac:dyDescent="0.25"/>
    <row r="879" ht="15" customHeight="1" x14ac:dyDescent="0.25"/>
    <row r="880" ht="15" customHeight="1" x14ac:dyDescent="0.25"/>
    <row r="881" spans="2:32" ht="15" customHeight="1" x14ac:dyDescent="0.25"/>
    <row r="882" spans="2:32" ht="15" customHeight="1" x14ac:dyDescent="0.25"/>
    <row r="883" spans="2:32" ht="15" customHeight="1" x14ac:dyDescent="0.25"/>
    <row r="884" spans="2:32" ht="15" customHeight="1" x14ac:dyDescent="0.25"/>
    <row r="885" spans="2:32" ht="15" customHeight="1" x14ac:dyDescent="0.25"/>
    <row r="886" spans="2:32" ht="15" customHeight="1" x14ac:dyDescent="0.25">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x14ac:dyDescent="0.25">
      <c r="B887" s="84"/>
      <c r="C887" s="84"/>
      <c r="D887" s="84"/>
      <c r="E887" s="84"/>
      <c r="F887" s="84"/>
      <c r="G887" s="84"/>
      <c r="H887" s="84"/>
      <c r="I887" s="84"/>
      <c r="J887" s="84"/>
      <c r="K887" s="84"/>
      <c r="L887" s="84"/>
      <c r="M887" s="84"/>
      <c r="N887" s="84"/>
      <c r="O887" s="84"/>
      <c r="P887" s="84"/>
      <c r="Q887" s="84"/>
      <c r="R887" s="84"/>
      <c r="S887" s="84"/>
      <c r="T887" s="84"/>
      <c r="U887" s="84"/>
      <c r="V887" s="84"/>
      <c r="W887" s="84"/>
      <c r="X887" s="84"/>
      <c r="Y887" s="84"/>
      <c r="Z887" s="84"/>
      <c r="AA887" s="84"/>
      <c r="AB887" s="84"/>
      <c r="AC887" s="84"/>
      <c r="AD887" s="84"/>
      <c r="AE887" s="84"/>
      <c r="AF887" s="84"/>
    </row>
    <row r="888" spans="2:32" ht="15" customHeight="1" x14ac:dyDescent="0.25"/>
    <row r="889" spans="2:32" ht="15" customHeight="1" x14ac:dyDescent="0.25"/>
    <row r="890" spans="2:32" ht="15" customHeight="1" x14ac:dyDescent="0.25"/>
    <row r="891" spans="2:32" ht="15" customHeight="1" x14ac:dyDescent="0.25"/>
    <row r="892" spans="2:32" ht="15" customHeight="1" x14ac:dyDescent="0.25"/>
    <row r="893" spans="2:32" ht="15" customHeight="1" x14ac:dyDescent="0.25"/>
    <row r="894" spans="2:32" ht="15" customHeight="1" x14ac:dyDescent="0.25"/>
    <row r="895" spans="2:32" ht="15" customHeight="1" x14ac:dyDescent="0.25"/>
    <row r="896" spans="2:32" ht="15" customHeight="1" x14ac:dyDescent="0.25"/>
    <row r="897" ht="15" customHeight="1" x14ac:dyDescent="0.25"/>
    <row r="898" ht="15" customHeight="1" x14ac:dyDescent="0.25"/>
    <row r="899" ht="15" customHeight="1" x14ac:dyDescent="0.25"/>
    <row r="900" ht="15" customHeight="1" x14ac:dyDescent="0.25"/>
    <row r="901" ht="15" customHeight="1" x14ac:dyDescent="0.25"/>
    <row r="902" ht="15" customHeight="1" x14ac:dyDescent="0.25"/>
    <row r="903" ht="15" customHeight="1" x14ac:dyDescent="0.25"/>
    <row r="904" ht="15" customHeight="1" x14ac:dyDescent="0.25"/>
    <row r="905" ht="15" customHeight="1" x14ac:dyDescent="0.25"/>
    <row r="950" ht="15" customHeight="1" x14ac:dyDescent="0.25"/>
    <row r="951" ht="15" customHeight="1" x14ac:dyDescent="0.25"/>
    <row r="952" ht="15" customHeight="1" x14ac:dyDescent="0.25"/>
    <row r="953" ht="15" customHeight="1" x14ac:dyDescent="0.25"/>
    <row r="954" ht="15" customHeight="1" x14ac:dyDescent="0.25"/>
    <row r="955" ht="15" customHeight="1" x14ac:dyDescent="0.25"/>
    <row r="956" ht="15" customHeight="1" x14ac:dyDescent="0.25"/>
    <row r="957" ht="15" customHeight="1" x14ac:dyDescent="0.25"/>
    <row r="958" ht="15" customHeight="1" x14ac:dyDescent="0.25"/>
    <row r="959" ht="15" customHeight="1" x14ac:dyDescent="0.25"/>
    <row r="961" ht="15" customHeight="1" x14ac:dyDescent="0.25"/>
    <row r="962" ht="15" customHeight="1" x14ac:dyDescent="0.25"/>
    <row r="963" ht="15" customHeight="1" x14ac:dyDescent="0.25"/>
    <row r="964" ht="15" customHeight="1" x14ac:dyDescent="0.25"/>
    <row r="965" ht="15" customHeight="1" x14ac:dyDescent="0.25"/>
    <row r="966" ht="15" customHeight="1" x14ac:dyDescent="0.25"/>
    <row r="967" ht="15" customHeight="1" x14ac:dyDescent="0.25"/>
    <row r="968" ht="15" customHeight="1" x14ac:dyDescent="0.25"/>
    <row r="969" ht="15" customHeight="1" x14ac:dyDescent="0.25"/>
    <row r="970" ht="15" customHeight="1" x14ac:dyDescent="0.25"/>
    <row r="971" ht="15" customHeight="1" x14ac:dyDescent="0.25"/>
    <row r="972" ht="15" customHeight="1" x14ac:dyDescent="0.25"/>
    <row r="973" ht="15" customHeight="1" x14ac:dyDescent="0.25"/>
    <row r="974" ht="15" customHeight="1" x14ac:dyDescent="0.25"/>
    <row r="975" ht="15" customHeight="1" x14ac:dyDescent="0.25"/>
    <row r="976" ht="15" customHeight="1" x14ac:dyDescent="0.25"/>
    <row r="977" ht="15" customHeight="1" x14ac:dyDescent="0.25"/>
    <row r="978" ht="15" customHeight="1" x14ac:dyDescent="0.25"/>
    <row r="979" ht="15" customHeight="1" x14ac:dyDescent="0.25"/>
    <row r="980" ht="15" customHeight="1" x14ac:dyDescent="0.25"/>
    <row r="981" ht="15" customHeight="1" x14ac:dyDescent="0.25"/>
    <row r="982" ht="15" customHeight="1" x14ac:dyDescent="0.25"/>
    <row r="983" ht="15" customHeight="1" x14ac:dyDescent="0.25"/>
    <row r="984" ht="15" customHeight="1" x14ac:dyDescent="0.25"/>
    <row r="985" ht="15" customHeight="1" x14ac:dyDescent="0.25"/>
    <row r="988" ht="15" customHeight="1" x14ac:dyDescent="0.25"/>
    <row r="989" ht="15" customHeight="1" x14ac:dyDescent="0.25"/>
    <row r="990" ht="15" customHeight="1" x14ac:dyDescent="0.25"/>
    <row r="991" ht="15" customHeight="1" x14ac:dyDescent="0.25"/>
    <row r="992" ht="15" customHeight="1" x14ac:dyDescent="0.25"/>
    <row r="993" ht="15" customHeight="1" x14ac:dyDescent="0.25"/>
    <row r="994" ht="15" customHeight="1" x14ac:dyDescent="0.25"/>
    <row r="995" ht="15" customHeight="1" x14ac:dyDescent="0.25"/>
    <row r="996" ht="15" customHeight="1" x14ac:dyDescent="0.25"/>
    <row r="997" ht="15" customHeight="1" x14ac:dyDescent="0.25"/>
    <row r="998" ht="15" customHeight="1" x14ac:dyDescent="0.25"/>
    <row r="999" ht="15" customHeight="1" x14ac:dyDescent="0.25"/>
    <row r="1000" ht="15" customHeight="1" x14ac:dyDescent="0.25"/>
    <row r="1001" ht="15" customHeight="1" x14ac:dyDescent="0.25"/>
    <row r="1002" ht="15" customHeight="1" x14ac:dyDescent="0.25"/>
    <row r="1003" ht="15" customHeight="1" x14ac:dyDescent="0.25"/>
    <row r="1004" ht="15" customHeight="1" x14ac:dyDescent="0.25"/>
    <row r="1005" ht="15" customHeight="1" x14ac:dyDescent="0.25"/>
    <row r="1006" ht="15" customHeight="1" x14ac:dyDescent="0.25"/>
    <row r="1007" ht="15" customHeight="1" x14ac:dyDescent="0.25"/>
    <row r="1008" ht="15" customHeight="1" x14ac:dyDescent="0.25"/>
    <row r="1009" ht="15" customHeight="1" x14ac:dyDescent="0.25"/>
    <row r="1010" ht="15" customHeight="1" x14ac:dyDescent="0.25"/>
    <row r="1011" ht="15" customHeight="1" x14ac:dyDescent="0.25"/>
    <row r="1012" ht="15" customHeight="1" x14ac:dyDescent="0.25"/>
    <row r="1013" ht="15" customHeight="1" x14ac:dyDescent="0.25"/>
    <row r="1016" ht="15" customHeight="1" x14ac:dyDescent="0.25"/>
    <row r="1017" ht="15" customHeight="1" x14ac:dyDescent="0.25"/>
    <row r="1018" ht="15" customHeight="1" x14ac:dyDescent="0.25"/>
    <row r="1019" ht="15" customHeight="1" x14ac:dyDescent="0.25"/>
    <row r="1020" ht="15" customHeight="1" x14ac:dyDescent="0.25"/>
    <row r="1021" ht="15" customHeight="1" x14ac:dyDescent="0.25"/>
    <row r="1022" ht="15" customHeight="1" x14ac:dyDescent="0.25"/>
    <row r="1023" ht="15" customHeight="1" x14ac:dyDescent="0.25"/>
    <row r="1024" ht="15" customHeight="1" x14ac:dyDescent="0.25"/>
    <row r="1025" ht="15" customHeight="1" x14ac:dyDescent="0.25"/>
    <row r="1026" ht="15" customHeight="1" x14ac:dyDescent="0.25"/>
    <row r="1027" ht="15" customHeight="1" x14ac:dyDescent="0.25"/>
    <row r="1028" ht="15" customHeight="1" x14ac:dyDescent="0.25"/>
    <row r="1029" ht="15" customHeight="1" x14ac:dyDescent="0.25"/>
    <row r="1030" ht="15" customHeight="1" x14ac:dyDescent="0.25"/>
    <row r="1031" ht="15" customHeight="1" x14ac:dyDescent="0.25"/>
    <row r="1032" ht="15" customHeight="1" x14ac:dyDescent="0.25"/>
    <row r="1033" ht="15" customHeight="1" x14ac:dyDescent="0.25"/>
    <row r="1034" ht="15" customHeight="1" x14ac:dyDescent="0.25"/>
    <row r="1035" ht="15" customHeight="1" x14ac:dyDescent="0.25"/>
    <row r="1037" ht="15" customHeight="1" x14ac:dyDescent="0.25"/>
    <row r="1038" ht="15" customHeight="1" x14ac:dyDescent="0.25"/>
    <row r="1039" ht="15" customHeight="1" x14ac:dyDescent="0.25"/>
    <row r="1040" ht="15" customHeight="1" x14ac:dyDescent="0.25"/>
    <row r="1041" ht="15" customHeight="1" x14ac:dyDescent="0.25"/>
    <row r="1042" ht="15" customHeight="1" x14ac:dyDescent="0.25"/>
    <row r="1043" ht="15" customHeight="1" x14ac:dyDescent="0.25"/>
    <row r="1044" ht="15" customHeight="1" x14ac:dyDescent="0.25"/>
    <row r="1045" ht="15" customHeight="1" x14ac:dyDescent="0.25"/>
    <row r="1046" ht="15" customHeight="1" x14ac:dyDescent="0.25"/>
    <row r="1047" ht="15" customHeight="1" x14ac:dyDescent="0.25"/>
    <row r="1048" ht="15" customHeight="1" x14ac:dyDescent="0.25"/>
    <row r="1049" ht="15" customHeight="1" x14ac:dyDescent="0.25"/>
    <row r="1050" ht="15" customHeight="1" x14ac:dyDescent="0.25"/>
    <row r="1051" ht="15" customHeight="1" x14ac:dyDescent="0.25"/>
    <row r="1052" ht="15" customHeight="1" x14ac:dyDescent="0.25"/>
    <row r="1053" ht="15" customHeight="1" x14ac:dyDescent="0.25"/>
    <row r="1054" ht="15" customHeight="1" x14ac:dyDescent="0.25"/>
    <row r="1055" ht="15" customHeight="1" x14ac:dyDescent="0.25"/>
    <row r="1056" ht="15" customHeight="1" x14ac:dyDescent="0.25"/>
    <row r="1057" ht="15" customHeight="1" x14ac:dyDescent="0.25"/>
    <row r="1058" ht="15" customHeight="1" x14ac:dyDescent="0.25"/>
    <row r="1059" ht="15" customHeight="1" x14ac:dyDescent="0.25"/>
    <row r="1060" ht="15" customHeight="1" x14ac:dyDescent="0.25"/>
    <row r="1061" ht="15" customHeight="1" x14ac:dyDescent="0.25"/>
    <row r="1062" ht="15" customHeight="1" x14ac:dyDescent="0.25"/>
    <row r="1063" ht="15" customHeight="1" x14ac:dyDescent="0.25"/>
    <row r="1064" ht="15" customHeight="1" x14ac:dyDescent="0.25"/>
    <row r="1066" ht="15" customHeight="1" x14ac:dyDescent="0.25"/>
    <row r="1067" ht="15" customHeight="1" x14ac:dyDescent="0.25"/>
    <row r="1068" ht="15" customHeight="1" x14ac:dyDescent="0.25"/>
    <row r="1069" ht="15" customHeight="1" x14ac:dyDescent="0.25"/>
    <row r="1070" ht="15" customHeight="1" x14ac:dyDescent="0.25"/>
    <row r="1071" ht="15" customHeight="1" x14ac:dyDescent="0.25"/>
    <row r="1072" ht="15" customHeight="1" x14ac:dyDescent="0.25"/>
    <row r="1073" ht="15" customHeight="1" x14ac:dyDescent="0.25"/>
    <row r="1074" ht="15" customHeight="1" x14ac:dyDescent="0.25"/>
    <row r="1075" ht="15" customHeight="1" x14ac:dyDescent="0.25"/>
    <row r="1076" ht="15" customHeight="1" x14ac:dyDescent="0.25"/>
    <row r="1077" ht="15" customHeight="1" x14ac:dyDescent="0.25"/>
    <row r="1078" ht="15" customHeight="1" x14ac:dyDescent="0.25"/>
    <row r="1079" ht="15" customHeight="1" x14ac:dyDescent="0.25"/>
    <row r="1080" ht="15" customHeight="1" x14ac:dyDescent="0.25"/>
    <row r="1081" ht="15" customHeight="1" x14ac:dyDescent="0.25"/>
    <row r="1082" ht="15" customHeight="1" x14ac:dyDescent="0.25"/>
    <row r="1083" ht="15" customHeight="1" x14ac:dyDescent="0.25"/>
    <row r="1084" ht="15" customHeight="1" x14ac:dyDescent="0.25"/>
    <row r="1085" ht="15" customHeight="1" x14ac:dyDescent="0.25"/>
    <row r="1086" ht="15" customHeight="1" x14ac:dyDescent="0.25"/>
    <row r="1087" ht="15" customHeight="1" x14ac:dyDescent="0.25"/>
    <row r="1088" ht="15" customHeight="1" x14ac:dyDescent="0.25"/>
    <row r="1089" spans="2:32" ht="15" customHeight="1" x14ac:dyDescent="0.25"/>
    <row r="1090" spans="2:32" ht="15" customHeight="1" x14ac:dyDescent="0.25"/>
    <row r="1091" spans="2:32" ht="15" customHeight="1" x14ac:dyDescent="0.25"/>
    <row r="1092" spans="2:32" ht="15" customHeight="1" x14ac:dyDescent="0.25"/>
    <row r="1093" spans="2:32" ht="15" customHeight="1" x14ac:dyDescent="0.25"/>
    <row r="1094" spans="2:32" ht="15" customHeight="1" x14ac:dyDescent="0.25"/>
    <row r="1096" spans="2:32" ht="15" customHeight="1" x14ac:dyDescent="0.25">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x14ac:dyDescent="0.25"/>
    <row r="1098" spans="2:32" ht="15" customHeight="1" x14ac:dyDescent="0.25"/>
    <row r="1099" spans="2:32" ht="15" customHeight="1" x14ac:dyDescent="0.25"/>
    <row r="1100" spans="2:32" ht="15" customHeight="1" x14ac:dyDescent="0.25">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x14ac:dyDescent="0.25">
      <c r="B1101" s="84"/>
      <c r="C1101" s="84"/>
      <c r="D1101" s="84"/>
      <c r="E1101" s="84"/>
      <c r="F1101" s="84"/>
      <c r="G1101" s="84"/>
      <c r="H1101" s="84"/>
      <c r="I1101" s="84"/>
      <c r="J1101" s="84"/>
      <c r="K1101" s="84"/>
      <c r="L1101" s="84"/>
      <c r="M1101" s="84"/>
      <c r="N1101" s="84"/>
      <c r="O1101" s="84"/>
      <c r="P1101" s="84"/>
      <c r="Q1101" s="84"/>
      <c r="R1101" s="84"/>
      <c r="S1101" s="84"/>
      <c r="T1101" s="84"/>
      <c r="U1101" s="84"/>
      <c r="V1101" s="84"/>
      <c r="W1101" s="84"/>
      <c r="X1101" s="84"/>
      <c r="Y1101" s="84"/>
      <c r="Z1101" s="84"/>
      <c r="AA1101" s="84"/>
      <c r="AB1101" s="84"/>
      <c r="AC1101" s="84"/>
      <c r="AD1101" s="84"/>
      <c r="AE1101" s="84"/>
      <c r="AF1101" s="84"/>
    </row>
    <row r="1102" spans="2:32" ht="15" customHeight="1" x14ac:dyDescent="0.25"/>
    <row r="1103" spans="2:32" ht="15" customHeight="1" x14ac:dyDescent="0.25"/>
    <row r="1104" spans="2:32" ht="15" customHeight="1" x14ac:dyDescent="0.25"/>
    <row r="1105" ht="15" customHeight="1" x14ac:dyDescent="0.25"/>
    <row r="1106" ht="15" customHeight="1" x14ac:dyDescent="0.25"/>
    <row r="1107" ht="15" customHeight="1" x14ac:dyDescent="0.25"/>
    <row r="1108" ht="15" customHeight="1" x14ac:dyDescent="0.25"/>
    <row r="1109" ht="15" customHeight="1" x14ac:dyDescent="0.25"/>
    <row r="1110" ht="15" customHeight="1" x14ac:dyDescent="0.25"/>
    <row r="1111" ht="15" customHeight="1" x14ac:dyDescent="0.25"/>
    <row r="1150" ht="15" customHeight="1" x14ac:dyDescent="0.25"/>
    <row r="1151" ht="15" customHeight="1" x14ac:dyDescent="0.25"/>
    <row r="1152" ht="15" customHeight="1" x14ac:dyDescent="0.25"/>
    <row r="1153" ht="15" customHeight="1" x14ac:dyDescent="0.25"/>
    <row r="1154" ht="15" customHeight="1" x14ac:dyDescent="0.25"/>
    <row r="1155" ht="15" customHeight="1" x14ac:dyDescent="0.25"/>
    <row r="1156" ht="15" customHeight="1" x14ac:dyDescent="0.25"/>
    <row r="1157" ht="15" customHeight="1" x14ac:dyDescent="0.25"/>
    <row r="1158" ht="15" customHeight="1" x14ac:dyDescent="0.25"/>
    <row r="1159" ht="15" customHeight="1" x14ac:dyDescent="0.25"/>
    <row r="1160" ht="15" customHeight="1" x14ac:dyDescent="0.25"/>
    <row r="1161" ht="15" customHeight="1" x14ac:dyDescent="0.25"/>
    <row r="1162" ht="15" customHeight="1" x14ac:dyDescent="0.25"/>
    <row r="1163" ht="15" customHeight="1" x14ac:dyDescent="0.25"/>
    <row r="1164" ht="15" customHeight="1" x14ac:dyDescent="0.25"/>
    <row r="1165" ht="15" customHeight="1" x14ac:dyDescent="0.25"/>
    <row r="1166" ht="15" customHeight="1" x14ac:dyDescent="0.25"/>
    <row r="1167" ht="15" customHeight="1" x14ac:dyDescent="0.25"/>
    <row r="1168" ht="15" customHeight="1" x14ac:dyDescent="0.25"/>
    <row r="1170" ht="15" customHeight="1" x14ac:dyDescent="0.25"/>
    <row r="1171" ht="15" customHeight="1" x14ac:dyDescent="0.25"/>
    <row r="1172" ht="15" customHeight="1" x14ac:dyDescent="0.25"/>
    <row r="1173" ht="15" customHeight="1" x14ac:dyDescent="0.25"/>
    <row r="1174" ht="15" customHeight="1" x14ac:dyDescent="0.25"/>
    <row r="1175" ht="15" customHeight="1" x14ac:dyDescent="0.25"/>
    <row r="1176" ht="15" customHeight="1" x14ac:dyDescent="0.25"/>
    <row r="1177" ht="15" customHeight="1" x14ac:dyDescent="0.25"/>
    <row r="1178" ht="15" customHeight="1" x14ac:dyDescent="0.25"/>
    <row r="1179" ht="15" customHeight="1" x14ac:dyDescent="0.25"/>
    <row r="1180" ht="15" customHeight="1" x14ac:dyDescent="0.25"/>
    <row r="1181" ht="15" customHeight="1" x14ac:dyDescent="0.25"/>
    <row r="1182" ht="15" customHeight="1" x14ac:dyDescent="0.25"/>
    <row r="1183" ht="15" customHeight="1" x14ac:dyDescent="0.25"/>
    <row r="1184" ht="15" customHeight="1" x14ac:dyDescent="0.25"/>
    <row r="1185" ht="15" customHeight="1" x14ac:dyDescent="0.25"/>
    <row r="1186" ht="15" customHeight="1" x14ac:dyDescent="0.25"/>
    <row r="1187" ht="15" customHeight="1" x14ac:dyDescent="0.25"/>
    <row r="1188" ht="15" customHeight="1" x14ac:dyDescent="0.25"/>
    <row r="1189" ht="15" customHeight="1" x14ac:dyDescent="0.25"/>
    <row r="1190" ht="15" customHeight="1" x14ac:dyDescent="0.25"/>
    <row r="1191" ht="15" customHeight="1" x14ac:dyDescent="0.25"/>
    <row r="1192" ht="15" customHeight="1" x14ac:dyDescent="0.25"/>
    <row r="1194" ht="15" customHeight="1" x14ac:dyDescent="0.25"/>
    <row r="1195" ht="15" customHeight="1" x14ac:dyDescent="0.25"/>
    <row r="1196" ht="15" customHeight="1" x14ac:dyDescent="0.25"/>
    <row r="1197" ht="15" customHeight="1" x14ac:dyDescent="0.25"/>
    <row r="1198" ht="15" customHeight="1" x14ac:dyDescent="0.25"/>
    <row r="1199" ht="15" customHeight="1" x14ac:dyDescent="0.25"/>
    <row r="1200" ht="15" customHeight="1" x14ac:dyDescent="0.25"/>
    <row r="1201" ht="15" customHeight="1" x14ac:dyDescent="0.25"/>
    <row r="1202" ht="15" customHeight="1" x14ac:dyDescent="0.25"/>
    <row r="1203" ht="15" customHeight="1" x14ac:dyDescent="0.25"/>
    <row r="1204" ht="15" customHeight="1" x14ac:dyDescent="0.25"/>
    <row r="1205" ht="15" customHeight="1" x14ac:dyDescent="0.25"/>
    <row r="1206" ht="15" customHeight="1" x14ac:dyDescent="0.25"/>
    <row r="1207" ht="15" customHeight="1" x14ac:dyDescent="0.25"/>
    <row r="1208" ht="15" customHeight="1" x14ac:dyDescent="0.25"/>
    <row r="1209" ht="15" customHeight="1" x14ac:dyDescent="0.25"/>
    <row r="1211" ht="15" customHeight="1" x14ac:dyDescent="0.25"/>
    <row r="1212" ht="15" customHeight="1" x14ac:dyDescent="0.25"/>
    <row r="1213" ht="15" customHeight="1" x14ac:dyDescent="0.25"/>
    <row r="1214" ht="15" customHeight="1" x14ac:dyDescent="0.25"/>
    <row r="1215" ht="15" customHeight="1" x14ac:dyDescent="0.25"/>
    <row r="1216" ht="15" customHeight="1" x14ac:dyDescent="0.25"/>
    <row r="1217" spans="2:32" ht="15" customHeight="1" x14ac:dyDescent="0.25"/>
    <row r="1218" spans="2:32" ht="15" customHeight="1" x14ac:dyDescent="0.25"/>
    <row r="1219" spans="2:32" ht="15" customHeight="1" x14ac:dyDescent="0.25"/>
    <row r="1220" spans="2:32" ht="15" customHeight="1" x14ac:dyDescent="0.25"/>
    <row r="1221" spans="2:32" ht="15" customHeight="1" x14ac:dyDescent="0.25"/>
    <row r="1222" spans="2:32" ht="15" customHeight="1" x14ac:dyDescent="0.25"/>
    <row r="1223" spans="2:32" ht="15" customHeight="1" x14ac:dyDescent="0.25"/>
    <row r="1224" spans="2:32" ht="15" customHeight="1" x14ac:dyDescent="0.25"/>
    <row r="1225" spans="2:32" ht="15" customHeight="1" x14ac:dyDescent="0.25"/>
    <row r="1226" spans="2:32" ht="15" customHeight="1" x14ac:dyDescent="0.25"/>
    <row r="1227" spans="2:32" ht="15" customHeight="1" x14ac:dyDescent="0.25"/>
    <row r="1228" spans="2:32" ht="15" customHeight="1" x14ac:dyDescent="0.25">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x14ac:dyDescent="0.25">
      <c r="B1229" s="84"/>
      <c r="C1229" s="84"/>
      <c r="D1229" s="84"/>
      <c r="E1229" s="84"/>
      <c r="F1229" s="84"/>
      <c r="G1229" s="84"/>
      <c r="H1229" s="84"/>
      <c r="I1229" s="84"/>
      <c r="J1229" s="84"/>
      <c r="K1229" s="84"/>
      <c r="L1229" s="84"/>
      <c r="M1229" s="84"/>
      <c r="N1229" s="84"/>
      <c r="O1229" s="84"/>
      <c r="P1229" s="84"/>
      <c r="Q1229" s="84"/>
      <c r="R1229" s="84"/>
      <c r="S1229" s="84"/>
      <c r="T1229" s="84"/>
      <c r="U1229" s="84"/>
      <c r="V1229" s="84"/>
      <c r="W1229" s="84"/>
      <c r="X1229" s="84"/>
      <c r="Y1229" s="84"/>
      <c r="Z1229" s="84"/>
      <c r="AA1229" s="84"/>
      <c r="AB1229" s="84"/>
      <c r="AC1229" s="84"/>
      <c r="AD1229" s="84"/>
      <c r="AE1229" s="84"/>
      <c r="AF1229" s="84"/>
    </row>
    <row r="1230" spans="2:32" ht="15" customHeight="1" x14ac:dyDescent="0.25"/>
    <row r="1231" spans="2:32" ht="15" customHeight="1" x14ac:dyDescent="0.25"/>
    <row r="1232" spans="2:32" ht="15" customHeight="1" x14ac:dyDescent="0.25"/>
    <row r="1233" ht="15" customHeight="1" x14ac:dyDescent="0.25"/>
    <row r="1234" ht="15" customHeight="1" x14ac:dyDescent="0.25"/>
    <row r="1235" ht="15" customHeight="1" x14ac:dyDescent="0.25"/>
    <row r="1236" ht="15" customHeight="1" x14ac:dyDescent="0.25"/>
    <row r="1237" ht="15" customHeight="1" x14ac:dyDescent="0.25"/>
    <row r="1300" ht="15" customHeight="1" x14ac:dyDescent="0.25"/>
    <row r="1301" ht="15" customHeight="1" x14ac:dyDescent="0.25"/>
    <row r="1302" ht="15" customHeight="1" x14ac:dyDescent="0.25"/>
    <row r="1303" ht="15" customHeight="1" x14ac:dyDescent="0.25"/>
    <row r="1304" ht="15" customHeight="1" x14ac:dyDescent="0.25"/>
    <row r="1305" ht="15" customHeight="1" x14ac:dyDescent="0.25"/>
    <row r="1307" ht="15" customHeight="1" x14ac:dyDescent="0.25"/>
    <row r="1308" ht="15" customHeight="1" x14ac:dyDescent="0.25"/>
    <row r="1309" ht="15" customHeight="1" x14ac:dyDescent="0.25"/>
    <row r="1310" ht="15" customHeight="1" x14ac:dyDescent="0.25"/>
    <row r="1311" ht="15" customHeight="1" x14ac:dyDescent="0.25"/>
    <row r="1312" ht="15" customHeight="1" x14ac:dyDescent="0.25"/>
    <row r="1313" ht="15" customHeight="1" x14ac:dyDescent="0.25"/>
    <row r="1314" ht="15" customHeight="1" x14ac:dyDescent="0.25"/>
    <row r="1315" ht="15" customHeight="1" x14ac:dyDescent="0.25"/>
    <row r="1316" ht="15" customHeight="1" x14ac:dyDescent="0.25"/>
    <row r="1317" ht="15" customHeight="1" x14ac:dyDescent="0.25"/>
    <row r="1318" ht="15" customHeight="1" x14ac:dyDescent="0.25"/>
    <row r="1319" ht="15" customHeight="1" x14ac:dyDescent="0.25"/>
    <row r="1320" ht="15" customHeight="1" x14ac:dyDescent="0.25"/>
    <row r="1321" ht="15" customHeight="1" x14ac:dyDescent="0.25"/>
    <row r="1322" ht="15" customHeight="1" x14ac:dyDescent="0.25"/>
    <row r="1323" ht="15" customHeight="1" x14ac:dyDescent="0.25"/>
    <row r="1324" ht="15" customHeight="1" x14ac:dyDescent="0.25"/>
    <row r="1325" ht="15" customHeight="1" x14ac:dyDescent="0.25"/>
    <row r="1327" ht="15" customHeight="1" x14ac:dyDescent="0.25"/>
    <row r="1329" ht="15" customHeight="1" x14ac:dyDescent="0.25"/>
    <row r="1330" ht="15" customHeight="1" x14ac:dyDescent="0.25"/>
    <row r="1331" ht="15" customHeight="1" x14ac:dyDescent="0.25"/>
    <row r="1332" ht="15" customHeight="1" x14ac:dyDescent="0.25"/>
    <row r="1333" ht="15" customHeight="1" x14ac:dyDescent="0.25"/>
    <row r="1334" ht="15" customHeight="1" x14ac:dyDescent="0.25"/>
    <row r="1335" ht="15" customHeight="1" x14ac:dyDescent="0.25"/>
    <row r="1336" ht="15" customHeight="1" x14ac:dyDescent="0.25"/>
    <row r="1337" ht="15" customHeight="1" x14ac:dyDescent="0.25"/>
    <row r="1338" ht="15" customHeight="1" x14ac:dyDescent="0.25"/>
    <row r="1340" ht="15" customHeight="1" x14ac:dyDescent="0.25"/>
    <row r="1341" ht="15" customHeight="1" x14ac:dyDescent="0.25"/>
    <row r="1342" ht="15" customHeight="1" x14ac:dyDescent="0.25"/>
    <row r="1343" ht="15" customHeight="1" x14ac:dyDescent="0.25"/>
    <row r="1344" ht="15" customHeight="1" x14ac:dyDescent="0.25"/>
    <row r="1345" ht="15" customHeight="1" x14ac:dyDescent="0.25"/>
    <row r="1346" ht="15" customHeight="1" x14ac:dyDescent="0.25"/>
    <row r="1347" ht="15" customHeight="1" x14ac:dyDescent="0.25"/>
    <row r="1348" ht="15" customHeight="1" x14ac:dyDescent="0.25"/>
    <row r="1350" ht="15" customHeight="1" x14ac:dyDescent="0.25"/>
    <row r="1352" ht="15" customHeight="1" x14ac:dyDescent="0.25"/>
    <row r="1353" ht="15" customHeight="1" x14ac:dyDescent="0.25"/>
    <row r="1354" ht="15" customHeight="1" x14ac:dyDescent="0.25"/>
    <row r="1355" ht="15" customHeight="1" x14ac:dyDescent="0.25"/>
    <row r="1356" ht="15" customHeight="1" x14ac:dyDescent="0.25"/>
    <row r="1357" ht="15" customHeight="1" x14ac:dyDescent="0.25"/>
    <row r="1358" ht="15" customHeight="1" x14ac:dyDescent="0.25"/>
    <row r="1359" ht="15" customHeight="1" x14ac:dyDescent="0.25"/>
    <row r="1361" ht="15" customHeight="1" x14ac:dyDescent="0.25"/>
    <row r="1362" ht="15" customHeight="1" x14ac:dyDescent="0.25"/>
    <row r="1363" ht="15" customHeight="1" x14ac:dyDescent="0.25"/>
    <row r="1364" ht="15" customHeight="1" x14ac:dyDescent="0.25"/>
    <row r="1365" ht="15" customHeight="1" x14ac:dyDescent="0.25"/>
    <row r="1366" ht="15" customHeight="1" x14ac:dyDescent="0.25"/>
    <row r="1367" ht="15" customHeight="1" x14ac:dyDescent="0.25"/>
    <row r="1368" ht="15" customHeight="1" x14ac:dyDescent="0.25"/>
    <row r="1369" ht="15" customHeight="1" x14ac:dyDescent="0.25"/>
    <row r="1370" ht="15" customHeight="1" x14ac:dyDescent="0.25"/>
    <row r="1371" ht="15" customHeight="1" x14ac:dyDescent="0.25"/>
    <row r="1372" ht="15" customHeight="1" x14ac:dyDescent="0.25"/>
    <row r="1373" ht="15" customHeight="1" x14ac:dyDescent="0.25"/>
    <row r="1375" ht="15" customHeight="1" x14ac:dyDescent="0.25"/>
    <row r="1376" ht="15" customHeight="1" x14ac:dyDescent="0.25"/>
    <row r="1377" spans="2:32" ht="15" customHeight="1" x14ac:dyDescent="0.25"/>
    <row r="1378" spans="2:32" ht="15" customHeight="1" x14ac:dyDescent="0.25"/>
    <row r="1379" spans="2:32" ht="15" customHeight="1" x14ac:dyDescent="0.25"/>
    <row r="1380" spans="2:32" ht="15" customHeight="1" x14ac:dyDescent="0.25"/>
    <row r="1381" spans="2:32" ht="15" customHeight="1" x14ac:dyDescent="0.25"/>
    <row r="1382" spans="2:32" ht="15" customHeight="1" x14ac:dyDescent="0.25"/>
    <row r="1383" spans="2:32" ht="15" customHeight="1" x14ac:dyDescent="0.25"/>
    <row r="1384" spans="2:32" x14ac:dyDescent="0.25">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x14ac:dyDescent="0.25"/>
    <row r="1386" spans="2:32" ht="15" customHeight="1" x14ac:dyDescent="0.25"/>
    <row r="1387" spans="2:32" ht="15" customHeight="1" x14ac:dyDescent="0.25"/>
    <row r="1388" spans="2:32" ht="15" customHeight="1" x14ac:dyDescent="0.25"/>
    <row r="1389" spans="2:32" ht="15" customHeight="1" x14ac:dyDescent="0.25">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x14ac:dyDescent="0.25">
      <c r="B1390" s="84"/>
      <c r="C1390" s="84"/>
      <c r="D1390" s="84"/>
      <c r="E1390" s="84"/>
      <c r="F1390" s="84"/>
      <c r="G1390" s="84"/>
      <c r="H1390" s="84"/>
      <c r="I1390" s="84"/>
      <c r="J1390" s="84"/>
      <c r="K1390" s="84"/>
      <c r="L1390" s="84"/>
      <c r="M1390" s="84"/>
      <c r="N1390" s="84"/>
      <c r="O1390" s="84"/>
      <c r="P1390" s="84"/>
      <c r="Q1390" s="84"/>
      <c r="R1390" s="84"/>
      <c r="S1390" s="84"/>
      <c r="T1390" s="84"/>
      <c r="U1390" s="84"/>
      <c r="V1390" s="84"/>
      <c r="W1390" s="84"/>
      <c r="X1390" s="84"/>
      <c r="Y1390" s="84"/>
      <c r="Z1390" s="84"/>
      <c r="AA1390" s="84"/>
      <c r="AB1390" s="84"/>
      <c r="AC1390" s="84"/>
      <c r="AD1390" s="84"/>
      <c r="AE1390" s="84"/>
      <c r="AF1390" s="84"/>
    </row>
    <row r="1391" spans="2:32" ht="15" customHeight="1" x14ac:dyDescent="0.25"/>
    <row r="1392" spans="2:32" ht="15" customHeight="1" x14ac:dyDescent="0.25"/>
    <row r="1393" ht="15" customHeight="1" x14ac:dyDescent="0.25"/>
    <row r="1394" ht="15" customHeight="1" x14ac:dyDescent="0.25"/>
    <row r="1395" ht="15" customHeight="1" x14ac:dyDescent="0.25"/>
    <row r="1396" ht="15" customHeight="1" x14ac:dyDescent="0.25"/>
    <row r="1397" ht="15" customHeight="1" x14ac:dyDescent="0.25"/>
    <row r="1398" ht="15" customHeight="1" x14ac:dyDescent="0.25"/>
    <row r="1399" ht="15" customHeight="1" x14ac:dyDescent="0.25"/>
    <row r="1400" ht="15" customHeight="1" x14ac:dyDescent="0.25"/>
    <row r="1401" ht="15" customHeight="1" x14ac:dyDescent="0.25"/>
    <row r="1402" ht="15" customHeight="1" x14ac:dyDescent="0.25"/>
    <row r="1403" ht="15" customHeight="1" x14ac:dyDescent="0.25"/>
    <row r="1404" ht="15" customHeight="1" x14ac:dyDescent="0.25"/>
    <row r="1405" ht="15" customHeight="1" x14ac:dyDescent="0.25"/>
    <row r="1406" ht="15" customHeight="1" x14ac:dyDescent="0.25"/>
    <row r="1407" ht="15" customHeight="1" x14ac:dyDescent="0.25"/>
    <row r="1408" ht="15" customHeight="1" x14ac:dyDescent="0.25"/>
    <row r="1409" ht="15" customHeight="1" x14ac:dyDescent="0.25"/>
    <row r="1410" ht="15" customHeight="1" x14ac:dyDescent="0.25"/>
    <row r="1425" ht="15" customHeight="1" x14ac:dyDescent="0.25"/>
    <row r="1426" ht="15" customHeight="1" x14ac:dyDescent="0.25"/>
    <row r="1427" ht="15" customHeight="1" x14ac:dyDescent="0.25"/>
    <row r="1428" ht="15" customHeight="1" x14ac:dyDescent="0.25"/>
    <row r="1429" ht="15" customHeight="1" x14ac:dyDescent="0.25"/>
    <row r="1430" ht="15" customHeight="1" x14ac:dyDescent="0.25"/>
    <row r="1431" ht="15" customHeight="1" x14ac:dyDescent="0.25"/>
    <row r="1432" ht="15" customHeight="1" x14ac:dyDescent="0.25"/>
    <row r="1433" ht="15" customHeight="1" x14ac:dyDescent="0.25"/>
    <row r="1434" ht="15" customHeight="1" x14ac:dyDescent="0.25"/>
    <row r="1435" ht="15" customHeight="1" x14ac:dyDescent="0.25"/>
    <row r="1436" ht="15" customHeight="1" x14ac:dyDescent="0.25"/>
    <row r="1437" ht="15" customHeight="1" x14ac:dyDescent="0.25"/>
    <row r="1438" ht="15" customHeight="1" x14ac:dyDescent="0.25"/>
    <row r="1439" ht="15" customHeight="1" x14ac:dyDescent="0.25"/>
    <row r="1440" ht="15" customHeight="1" x14ac:dyDescent="0.25"/>
    <row r="1441" ht="15" customHeight="1" x14ac:dyDescent="0.25"/>
    <row r="1442" ht="15" customHeight="1" x14ac:dyDescent="0.25"/>
    <row r="1443" ht="15" customHeight="1" x14ac:dyDescent="0.25"/>
    <row r="1444" ht="15" customHeight="1" x14ac:dyDescent="0.25"/>
    <row r="1445" ht="15" customHeight="1" x14ac:dyDescent="0.25"/>
    <row r="1446" ht="15" customHeight="1" x14ac:dyDescent="0.25"/>
    <row r="1447" ht="15" customHeight="1" x14ac:dyDescent="0.25"/>
    <row r="1448" ht="15" customHeight="1" x14ac:dyDescent="0.25"/>
    <row r="1449" ht="15" customHeight="1" x14ac:dyDescent="0.25"/>
    <row r="1451" ht="15" customHeight="1" x14ac:dyDescent="0.25"/>
    <row r="1452" ht="15" customHeight="1" x14ac:dyDescent="0.25"/>
    <row r="1453" ht="15" customHeight="1" x14ac:dyDescent="0.25"/>
    <row r="1454" ht="15" customHeight="1" x14ac:dyDescent="0.25"/>
    <row r="1455" ht="15" customHeight="1" x14ac:dyDescent="0.25"/>
    <row r="1456" ht="15" customHeight="1" x14ac:dyDescent="0.25"/>
    <row r="1457" ht="15" customHeight="1" x14ac:dyDescent="0.25"/>
    <row r="1458" ht="15" customHeight="1" x14ac:dyDescent="0.25"/>
    <row r="1459" ht="15" customHeight="1" x14ac:dyDescent="0.25"/>
    <row r="1460" ht="15" customHeight="1" x14ac:dyDescent="0.25"/>
    <row r="1461" ht="15" customHeight="1" x14ac:dyDescent="0.25"/>
    <row r="1462" ht="15" customHeight="1" x14ac:dyDescent="0.25"/>
    <row r="1463" ht="15" customHeight="1" x14ac:dyDescent="0.25"/>
    <row r="1464" ht="15" customHeight="1" x14ac:dyDescent="0.25"/>
    <row r="1465" ht="15" customHeight="1" x14ac:dyDescent="0.25"/>
    <row r="1466" ht="15" customHeight="1" x14ac:dyDescent="0.25"/>
    <row r="1467" ht="15" customHeight="1" x14ac:dyDescent="0.25"/>
    <row r="1468" ht="15" customHeight="1" x14ac:dyDescent="0.25"/>
    <row r="1469" ht="15" customHeight="1" x14ac:dyDescent="0.25"/>
    <row r="1470" ht="15" customHeight="1" x14ac:dyDescent="0.25"/>
    <row r="1471" ht="15" customHeight="1" x14ac:dyDescent="0.25"/>
    <row r="1472" ht="15" customHeight="1" x14ac:dyDescent="0.25"/>
    <row r="1473" ht="15" customHeight="1" x14ac:dyDescent="0.25"/>
    <row r="1474" ht="15" customHeight="1" x14ac:dyDescent="0.25"/>
    <row r="1475" ht="15" customHeight="1" x14ac:dyDescent="0.25"/>
    <row r="1477" ht="15" customHeight="1" x14ac:dyDescent="0.25"/>
    <row r="1478" ht="15" customHeight="1" x14ac:dyDescent="0.25"/>
    <row r="1479" ht="15" customHeight="1" x14ac:dyDescent="0.25"/>
    <row r="1480" ht="15" customHeight="1" x14ac:dyDescent="0.25"/>
    <row r="1481" ht="15" customHeight="1" x14ac:dyDescent="0.25"/>
    <row r="1482" ht="15" customHeight="1" x14ac:dyDescent="0.25"/>
    <row r="1483" ht="15" customHeight="1" x14ac:dyDescent="0.25"/>
    <row r="1484" ht="15" customHeight="1" x14ac:dyDescent="0.25"/>
    <row r="1485" ht="15" customHeight="1" x14ac:dyDescent="0.25"/>
    <row r="1486" ht="15" customHeight="1" x14ac:dyDescent="0.25"/>
    <row r="1487" ht="15" customHeight="1" x14ac:dyDescent="0.25"/>
    <row r="1489" spans="2:32" ht="15" customHeight="1" x14ac:dyDescent="0.25"/>
    <row r="1490" spans="2:32" x14ac:dyDescent="0.25">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x14ac:dyDescent="0.25"/>
    <row r="1492" spans="2:32" ht="15" customHeight="1" x14ac:dyDescent="0.25"/>
    <row r="1493" spans="2:32" ht="15" customHeight="1" x14ac:dyDescent="0.25"/>
    <row r="1494" spans="2:32" ht="15" customHeight="1" x14ac:dyDescent="0.25"/>
    <row r="1495" spans="2:32" ht="15" customHeight="1" x14ac:dyDescent="0.25"/>
    <row r="1496" spans="2:32" ht="15" customHeight="1" x14ac:dyDescent="0.25"/>
    <row r="1497" spans="2:32" ht="15" customHeight="1" x14ac:dyDescent="0.25"/>
    <row r="1498" spans="2:32" ht="15" customHeight="1" x14ac:dyDescent="0.25"/>
    <row r="1499" spans="2:32" x14ac:dyDescent="0.25">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x14ac:dyDescent="0.25"/>
    <row r="1501" spans="2:32" ht="15" customHeight="1" x14ac:dyDescent="0.25">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x14ac:dyDescent="0.25">
      <c r="B1502" s="84"/>
      <c r="C1502" s="84"/>
      <c r="D1502" s="84"/>
      <c r="E1502" s="84"/>
      <c r="F1502" s="84"/>
      <c r="G1502" s="84"/>
      <c r="H1502" s="84"/>
      <c r="I1502" s="84"/>
      <c r="J1502" s="84"/>
      <c r="K1502" s="84"/>
      <c r="L1502" s="84"/>
      <c r="M1502" s="84"/>
      <c r="N1502" s="84"/>
      <c r="O1502" s="84"/>
      <c r="P1502" s="84"/>
      <c r="Q1502" s="84"/>
      <c r="R1502" s="84"/>
      <c r="S1502" s="84"/>
      <c r="T1502" s="84"/>
      <c r="U1502" s="84"/>
      <c r="V1502" s="84"/>
      <c r="W1502" s="84"/>
      <c r="X1502" s="84"/>
      <c r="Y1502" s="84"/>
      <c r="Z1502" s="84"/>
      <c r="AA1502" s="84"/>
      <c r="AB1502" s="84"/>
      <c r="AC1502" s="84"/>
      <c r="AD1502" s="84"/>
      <c r="AE1502" s="84"/>
      <c r="AF1502" s="84"/>
    </row>
    <row r="1503" spans="2:32" ht="15" customHeight="1" x14ac:dyDescent="0.25"/>
    <row r="1504" spans="2:32" ht="15" customHeight="1" x14ac:dyDescent="0.25"/>
    <row r="1505" ht="15" customHeight="1" x14ac:dyDescent="0.25"/>
    <row r="1506" ht="15" customHeight="1" x14ac:dyDescent="0.25"/>
    <row r="1507" ht="15" customHeight="1" x14ac:dyDescent="0.25"/>
    <row r="1508" ht="15" customHeight="1" x14ac:dyDescent="0.25"/>
    <row r="1509" ht="15" customHeight="1" x14ac:dyDescent="0.25"/>
    <row r="1510" ht="15" customHeight="1" x14ac:dyDescent="0.25"/>
    <row r="1511" ht="15" customHeight="1" x14ac:dyDescent="0.25"/>
    <row r="1512" ht="15" customHeight="1" x14ac:dyDescent="0.25"/>
    <row r="1513" ht="15" customHeight="1" x14ac:dyDescent="0.25"/>
    <row r="1514" ht="15" customHeight="1" x14ac:dyDescent="0.25"/>
    <row r="1515" ht="15" customHeight="1" x14ac:dyDescent="0.25"/>
    <row r="1516" ht="15" customHeight="1" x14ac:dyDescent="0.25"/>
    <row r="1517" ht="15" customHeight="1" x14ac:dyDescent="0.25"/>
    <row r="1518" ht="15" customHeight="1" x14ac:dyDescent="0.25"/>
    <row r="1519" ht="15" customHeight="1" x14ac:dyDescent="0.25"/>
    <row r="1520" ht="15" customHeight="1" x14ac:dyDescent="0.25"/>
    <row r="1521" ht="15" customHeight="1" x14ac:dyDescent="0.25"/>
    <row r="1522" ht="15" customHeight="1" x14ac:dyDescent="0.25"/>
    <row r="1523" ht="15" customHeight="1" x14ac:dyDescent="0.25"/>
    <row r="1524" ht="15" customHeight="1" x14ac:dyDescent="0.25"/>
    <row r="1525" ht="15" customHeight="1" x14ac:dyDescent="0.25"/>
    <row r="1526" ht="15" customHeight="1" x14ac:dyDescent="0.25"/>
    <row r="1575" ht="15" customHeight="1" x14ac:dyDescent="0.25"/>
    <row r="1576" ht="15" customHeight="1" x14ac:dyDescent="0.25"/>
    <row r="1577" ht="15" customHeight="1" x14ac:dyDescent="0.25"/>
    <row r="1578" ht="15" customHeight="1" x14ac:dyDescent="0.25"/>
    <row r="1579" ht="15" customHeight="1" x14ac:dyDescent="0.25"/>
    <row r="1580" ht="15" customHeight="1" x14ac:dyDescent="0.25"/>
    <row r="1582" ht="15" customHeight="1" x14ac:dyDescent="0.25"/>
    <row r="1583" ht="15" customHeight="1" x14ac:dyDescent="0.25"/>
    <row r="1584" ht="15" customHeight="1" x14ac:dyDescent="0.25"/>
    <row r="1585" ht="15" customHeight="1" x14ac:dyDescent="0.25"/>
    <row r="1587" ht="15" customHeight="1" x14ac:dyDescent="0.25"/>
    <row r="1588" ht="15" customHeight="1" x14ac:dyDescent="0.25"/>
    <row r="1589" ht="15" customHeight="1" x14ac:dyDescent="0.25"/>
    <row r="1590" ht="15" customHeight="1" x14ac:dyDescent="0.25"/>
    <row r="1592" ht="15" customHeight="1" x14ac:dyDescent="0.25"/>
    <row r="1594" ht="15" customHeight="1" x14ac:dyDescent="0.25"/>
    <row r="1595" ht="15" customHeight="1" x14ac:dyDescent="0.25"/>
    <row r="1596" ht="15" customHeight="1" x14ac:dyDescent="0.25"/>
    <row r="1597" ht="15" customHeight="1" x14ac:dyDescent="0.25"/>
    <row r="1599" ht="15" customHeight="1" x14ac:dyDescent="0.25"/>
    <row r="1600" ht="15" customHeight="1" x14ac:dyDescent="0.25"/>
    <row r="1601" spans="2:32" ht="15" customHeight="1" x14ac:dyDescent="0.25"/>
    <row r="1602" spans="2:32" ht="15" customHeight="1" x14ac:dyDescent="0.25"/>
    <row r="1603" spans="2:32" ht="15" customHeight="1" x14ac:dyDescent="0.25">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x14ac:dyDescent="0.25">
      <c r="B1604" s="84"/>
      <c r="C1604" s="84"/>
      <c r="D1604" s="84"/>
      <c r="E1604" s="84"/>
      <c r="F1604" s="84"/>
      <c r="G1604" s="84"/>
      <c r="H1604" s="84"/>
      <c r="I1604" s="84"/>
      <c r="J1604" s="84"/>
      <c r="K1604" s="84"/>
      <c r="L1604" s="84"/>
      <c r="M1604" s="84"/>
      <c r="N1604" s="84"/>
      <c r="O1604" s="84"/>
      <c r="P1604" s="84"/>
      <c r="Q1604" s="84"/>
      <c r="R1604" s="84"/>
      <c r="S1604" s="84"/>
      <c r="T1604" s="84"/>
      <c r="U1604" s="84"/>
      <c r="V1604" s="84"/>
      <c r="W1604" s="84"/>
      <c r="X1604" s="84"/>
      <c r="Y1604" s="84"/>
      <c r="Z1604" s="84"/>
      <c r="AA1604" s="84"/>
      <c r="AB1604" s="84"/>
      <c r="AC1604" s="84"/>
      <c r="AD1604" s="84"/>
      <c r="AE1604" s="84"/>
      <c r="AF1604" s="84"/>
    </row>
    <row r="1605" spans="2:32" ht="15" customHeight="1" x14ac:dyDescent="0.25"/>
    <row r="1606" spans="2:32" ht="15" customHeight="1" x14ac:dyDescent="0.25"/>
    <row r="1607" spans="2:32" ht="15" customHeight="1" x14ac:dyDescent="0.25"/>
    <row r="1608" spans="2:32" ht="15" customHeight="1" x14ac:dyDescent="0.25"/>
    <row r="1609" spans="2:32" ht="15" customHeight="1" x14ac:dyDescent="0.25"/>
    <row r="1610" spans="2:32" ht="15" customHeight="1" x14ac:dyDescent="0.25"/>
    <row r="1612" spans="2:32" x14ac:dyDescent="0.25">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x14ac:dyDescent="0.25">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x14ac:dyDescent="0.25">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x14ac:dyDescent="0.25">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x14ac:dyDescent="0.25">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x14ac:dyDescent="0.25"/>
    <row r="1626" ht="15" customHeight="1" x14ac:dyDescent="0.25"/>
    <row r="1627" ht="15" customHeight="1" x14ac:dyDescent="0.25"/>
    <row r="1628" ht="15" customHeight="1" x14ac:dyDescent="0.25"/>
    <row r="1629" ht="15" customHeight="1" x14ac:dyDescent="0.25"/>
    <row r="1630" ht="15" customHeight="1" x14ac:dyDescent="0.25"/>
    <row r="1631" ht="15" customHeight="1" x14ac:dyDescent="0.25"/>
    <row r="1632" ht="15" customHeight="1" x14ac:dyDescent="0.25"/>
    <row r="1633" ht="15" customHeight="1" x14ac:dyDescent="0.25"/>
    <row r="1634" ht="15" customHeight="1" x14ac:dyDescent="0.25"/>
    <row r="1635" ht="15" customHeight="1" x14ac:dyDescent="0.25"/>
    <row r="1636" ht="15" customHeight="1" x14ac:dyDescent="0.25"/>
    <row r="1637" ht="15" customHeight="1" x14ac:dyDescent="0.25"/>
    <row r="1638" ht="15" customHeight="1" x14ac:dyDescent="0.25"/>
    <row r="1640" ht="15" customHeight="1" x14ac:dyDescent="0.25"/>
    <row r="1641" ht="15" customHeight="1" x14ac:dyDescent="0.25"/>
    <row r="1642" ht="15" customHeight="1" x14ac:dyDescent="0.25"/>
    <row r="1643" ht="15" customHeight="1" x14ac:dyDescent="0.25"/>
    <row r="1644" ht="15" customHeight="1" x14ac:dyDescent="0.25"/>
    <row r="1645" ht="15" customHeight="1" x14ac:dyDescent="0.25"/>
    <row r="1646" ht="15" customHeight="1" x14ac:dyDescent="0.25"/>
    <row r="1647" ht="15" customHeight="1" x14ac:dyDescent="0.25"/>
    <row r="1648" ht="15" customHeight="1" x14ac:dyDescent="0.25"/>
    <row r="1649" ht="15" customHeight="1" x14ac:dyDescent="0.25"/>
    <row r="1650" ht="15" customHeight="1" x14ac:dyDescent="0.25"/>
    <row r="1651" ht="15" customHeight="1" x14ac:dyDescent="0.25"/>
    <row r="1652" ht="15" customHeight="1" x14ac:dyDescent="0.25"/>
    <row r="1653" ht="15" customHeight="1" x14ac:dyDescent="0.25"/>
    <row r="1654" ht="15" customHeight="1" x14ac:dyDescent="0.25"/>
    <row r="1655" ht="15" customHeight="1" x14ac:dyDescent="0.25"/>
    <row r="1656" ht="15" customHeight="1" x14ac:dyDescent="0.25"/>
    <row r="1657" ht="15" customHeight="1" x14ac:dyDescent="0.25"/>
    <row r="1658" ht="15" customHeight="1" x14ac:dyDescent="0.25"/>
    <row r="1659" ht="15" customHeight="1" x14ac:dyDescent="0.25"/>
    <row r="1660" ht="15" customHeight="1" x14ac:dyDescent="0.25"/>
    <row r="1661" ht="15" customHeight="1" x14ac:dyDescent="0.25"/>
    <row r="1662" ht="15" customHeight="1" x14ac:dyDescent="0.25"/>
    <row r="1663" ht="15" customHeight="1" x14ac:dyDescent="0.25"/>
    <row r="1665" ht="15" customHeight="1" x14ac:dyDescent="0.25"/>
    <row r="1668" ht="15" customHeight="1" x14ac:dyDescent="0.25"/>
    <row r="1669" ht="15" customHeight="1" x14ac:dyDescent="0.25"/>
    <row r="1670" ht="15" customHeight="1" x14ac:dyDescent="0.25"/>
    <row r="1671" ht="15" customHeight="1" x14ac:dyDescent="0.25"/>
    <row r="1672" ht="15" customHeight="1" x14ac:dyDescent="0.25"/>
    <row r="1673" ht="15" customHeight="1" x14ac:dyDescent="0.25"/>
    <row r="1674" ht="15" customHeight="1" x14ac:dyDescent="0.25"/>
    <row r="1675" ht="15" customHeight="1" x14ac:dyDescent="0.25"/>
    <row r="1676" ht="15" customHeight="1" x14ac:dyDescent="0.25"/>
    <row r="1677" ht="15" customHeight="1" x14ac:dyDescent="0.25"/>
    <row r="1678" ht="15" customHeight="1" x14ac:dyDescent="0.25"/>
    <row r="1679" ht="15" customHeight="1" x14ac:dyDescent="0.25"/>
    <row r="1680" ht="15" customHeight="1" x14ac:dyDescent="0.25"/>
    <row r="1681" ht="15" customHeight="1" x14ac:dyDescent="0.25"/>
    <row r="1682" ht="15" customHeight="1" x14ac:dyDescent="0.25"/>
    <row r="1683" ht="15" customHeight="1" x14ac:dyDescent="0.25"/>
    <row r="1684" ht="15" customHeight="1" x14ac:dyDescent="0.25"/>
    <row r="1686" ht="15" customHeight="1" x14ac:dyDescent="0.25"/>
    <row r="1688" ht="15" customHeight="1" x14ac:dyDescent="0.25"/>
    <row r="1689" ht="15" customHeight="1" x14ac:dyDescent="0.25"/>
    <row r="1690" ht="15" customHeight="1" x14ac:dyDescent="0.25"/>
    <row r="1691" ht="15" customHeight="1" x14ac:dyDescent="0.25"/>
    <row r="1692" ht="15" customHeight="1" x14ac:dyDescent="0.25"/>
    <row r="1693" ht="15" customHeight="1" x14ac:dyDescent="0.25"/>
    <row r="1694" ht="15" customHeight="1" x14ac:dyDescent="0.25"/>
    <row r="1695" ht="15" customHeight="1" x14ac:dyDescent="0.25"/>
    <row r="1697" spans="2:32" ht="15" customHeight="1" x14ac:dyDescent="0.25">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x14ac:dyDescent="0.25">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x14ac:dyDescent="0.25">
      <c r="B1699" s="84"/>
      <c r="C1699" s="84"/>
      <c r="D1699" s="84"/>
      <c r="E1699" s="84"/>
      <c r="F1699" s="84"/>
      <c r="G1699" s="84"/>
      <c r="H1699" s="84"/>
      <c r="I1699" s="84"/>
      <c r="J1699" s="84"/>
      <c r="K1699" s="84"/>
      <c r="L1699" s="84"/>
      <c r="M1699" s="84"/>
      <c r="N1699" s="84"/>
      <c r="O1699" s="84"/>
      <c r="P1699" s="84"/>
      <c r="Q1699" s="84"/>
      <c r="R1699" s="84"/>
      <c r="S1699" s="84"/>
      <c r="T1699" s="84"/>
      <c r="U1699" s="84"/>
      <c r="V1699" s="84"/>
      <c r="W1699" s="84"/>
      <c r="X1699" s="84"/>
      <c r="Y1699" s="84"/>
      <c r="Z1699" s="84"/>
      <c r="AA1699" s="84"/>
      <c r="AB1699" s="84"/>
      <c r="AC1699" s="84"/>
      <c r="AD1699" s="84"/>
      <c r="AE1699" s="84"/>
      <c r="AF1699" s="84"/>
    </row>
    <row r="1700" spans="2:32" ht="15" customHeight="1" x14ac:dyDescent="0.25"/>
    <row r="1701" spans="2:32" ht="15" customHeight="1" x14ac:dyDescent="0.25"/>
    <row r="1702" spans="2:32" ht="15" customHeight="1" x14ac:dyDescent="0.25"/>
    <row r="1703" spans="2:32" ht="15" customHeight="1" x14ac:dyDescent="0.25"/>
    <row r="1704" spans="2:32" ht="15" customHeight="1" x14ac:dyDescent="0.25"/>
    <row r="1705" spans="2:32" ht="15" customHeight="1" x14ac:dyDescent="0.25"/>
    <row r="1706" spans="2:32" ht="15" customHeight="1" x14ac:dyDescent="0.25"/>
    <row r="1707" spans="2:32" ht="15" customHeight="1" x14ac:dyDescent="0.25"/>
    <row r="1708" spans="2:32" ht="15" customHeight="1" x14ac:dyDescent="0.25"/>
    <row r="1709" spans="2:32" ht="15" customHeight="1" x14ac:dyDescent="0.25"/>
    <row r="1710" spans="2:32" ht="15" customHeight="1" x14ac:dyDescent="0.25"/>
    <row r="1711" spans="2:32" ht="15" customHeight="1" x14ac:dyDescent="0.25"/>
    <row r="1712" spans="2:32" ht="15" customHeight="1" x14ac:dyDescent="0.25"/>
    <row r="1713" ht="15" customHeight="1" x14ac:dyDescent="0.25"/>
    <row r="1714" ht="15" customHeight="1" x14ac:dyDescent="0.25"/>
    <row r="1715" ht="15" customHeight="1" x14ac:dyDescent="0.25"/>
    <row r="1716" ht="15" customHeight="1" x14ac:dyDescent="0.25"/>
    <row r="1717" ht="15" customHeight="1" x14ac:dyDescent="0.25"/>
    <row r="1718" ht="15" customHeight="1" x14ac:dyDescent="0.25"/>
    <row r="1719" ht="15" customHeight="1" x14ac:dyDescent="0.25"/>
    <row r="1720" ht="15" customHeight="1" x14ac:dyDescent="0.25"/>
    <row r="1721" ht="15" customHeight="1" x14ac:dyDescent="0.25"/>
    <row r="1722" ht="15" customHeight="1" x14ac:dyDescent="0.25"/>
    <row r="1723" ht="15" customHeight="1" x14ac:dyDescent="0.25"/>
    <row r="1724" ht="15" customHeight="1" x14ac:dyDescent="0.25"/>
    <row r="1725" ht="15" customHeight="1" x14ac:dyDescent="0.25"/>
    <row r="1726" ht="15" customHeight="1" x14ac:dyDescent="0.25"/>
    <row r="1850" ht="15" customHeight="1" x14ac:dyDescent="0.25"/>
    <row r="1851" ht="15" customHeight="1" x14ac:dyDescent="0.25"/>
    <row r="1852" ht="15" customHeight="1" x14ac:dyDescent="0.25"/>
    <row r="1853" ht="15" customHeight="1" x14ac:dyDescent="0.25"/>
    <row r="1854" ht="15" customHeight="1" x14ac:dyDescent="0.25"/>
    <row r="1855" ht="15" customHeight="1" x14ac:dyDescent="0.25"/>
    <row r="1856" ht="15" customHeight="1" x14ac:dyDescent="0.25"/>
    <row r="1857" ht="15" customHeight="1" x14ac:dyDescent="0.25"/>
    <row r="1858" ht="15" customHeight="1" x14ac:dyDescent="0.25"/>
    <row r="1859" ht="15" customHeight="1" x14ac:dyDescent="0.25"/>
    <row r="1861" ht="15" customHeight="1" x14ac:dyDescent="0.25"/>
    <row r="1863" ht="15" customHeight="1" x14ac:dyDescent="0.25"/>
    <row r="1864" ht="15" customHeight="1" x14ac:dyDescent="0.25"/>
    <row r="1865" ht="15" customHeight="1" x14ac:dyDescent="0.25"/>
    <row r="1867" ht="15" customHeight="1" x14ac:dyDescent="0.25"/>
    <row r="1868" ht="15" customHeight="1" x14ac:dyDescent="0.25"/>
    <row r="1869" ht="15" customHeight="1" x14ac:dyDescent="0.25"/>
    <row r="1870" ht="15" customHeight="1" x14ac:dyDescent="0.25"/>
    <row r="1872" ht="15" customHeight="1" x14ac:dyDescent="0.25"/>
    <row r="1873" ht="15" customHeight="1" x14ac:dyDescent="0.25"/>
    <row r="1874" ht="15" customHeight="1" x14ac:dyDescent="0.25"/>
    <row r="1875" ht="15" customHeight="1" x14ac:dyDescent="0.25"/>
    <row r="1876" ht="15" customHeight="1" x14ac:dyDescent="0.25"/>
    <row r="1878" ht="15" customHeight="1" x14ac:dyDescent="0.25"/>
    <row r="1879" ht="15" customHeight="1" x14ac:dyDescent="0.25"/>
    <row r="1880" ht="15" customHeight="1" x14ac:dyDescent="0.25"/>
    <row r="1881" ht="15" customHeight="1" x14ac:dyDescent="0.25"/>
    <row r="1882" ht="15" customHeight="1" x14ac:dyDescent="0.25"/>
    <row r="1883" ht="15" customHeight="1" x14ac:dyDescent="0.25"/>
    <row r="1884" ht="15" customHeight="1" x14ac:dyDescent="0.25"/>
    <row r="1885" ht="15" customHeight="1" x14ac:dyDescent="0.25"/>
    <row r="1886" ht="15" customHeight="1" x14ac:dyDescent="0.25"/>
    <row r="1888" ht="15" customHeight="1" x14ac:dyDescent="0.25"/>
    <row r="1889" ht="15" customHeight="1" x14ac:dyDescent="0.25"/>
    <row r="1890" ht="15" customHeight="1" x14ac:dyDescent="0.25"/>
    <row r="1891" ht="15" customHeight="1" x14ac:dyDescent="0.25"/>
    <row r="1893" ht="15" customHeight="1" x14ac:dyDescent="0.25"/>
    <row r="1894" ht="15" customHeight="1" x14ac:dyDescent="0.25"/>
    <row r="1895" ht="15" customHeight="1" x14ac:dyDescent="0.25"/>
    <row r="1896" ht="15" customHeight="1" x14ac:dyDescent="0.25"/>
    <row r="1897" ht="15" customHeight="1" x14ac:dyDescent="0.25"/>
    <row r="1898" ht="15" customHeight="1" x14ac:dyDescent="0.25"/>
    <row r="1899" ht="15" customHeight="1" x14ac:dyDescent="0.25"/>
    <row r="1900" ht="15" customHeight="1" x14ac:dyDescent="0.25"/>
    <row r="1903" ht="15" customHeight="1" x14ac:dyDescent="0.25"/>
    <row r="1904" ht="15" customHeight="1" x14ac:dyDescent="0.25"/>
    <row r="1905" ht="15" customHeight="1" x14ac:dyDescent="0.25"/>
    <row r="1906" ht="15" customHeight="1" x14ac:dyDescent="0.25"/>
    <row r="1907" ht="15" customHeight="1" x14ac:dyDescent="0.25"/>
    <row r="1909" ht="15" customHeight="1" x14ac:dyDescent="0.25"/>
    <row r="1910" ht="15" customHeight="1" x14ac:dyDescent="0.25"/>
    <row r="1911" ht="15" customHeight="1" x14ac:dyDescent="0.25"/>
    <row r="1912" ht="15" customHeight="1" x14ac:dyDescent="0.25"/>
    <row r="1913" ht="15" customHeight="1" x14ac:dyDescent="0.25"/>
    <row r="1915" ht="15" customHeight="1" x14ac:dyDescent="0.25"/>
    <row r="1916" ht="15" customHeight="1" x14ac:dyDescent="0.25"/>
    <row r="1917" ht="15" customHeight="1" x14ac:dyDescent="0.25"/>
    <row r="1919" ht="15" customHeight="1" x14ac:dyDescent="0.25"/>
    <row r="1920" ht="15" customHeight="1" x14ac:dyDescent="0.25"/>
    <row r="1921" ht="15" customHeight="1" x14ac:dyDescent="0.25"/>
    <row r="1922" ht="15" customHeight="1" x14ac:dyDescent="0.25"/>
    <row r="1924" ht="15" customHeight="1" x14ac:dyDescent="0.25"/>
    <row r="1925" ht="15" customHeight="1" x14ac:dyDescent="0.25"/>
    <row r="1926" ht="15" customHeight="1" x14ac:dyDescent="0.25"/>
    <row r="1927" ht="15" customHeight="1" x14ac:dyDescent="0.25"/>
    <row r="1928" ht="15" customHeight="1" x14ac:dyDescent="0.25"/>
    <row r="1929" ht="15" customHeight="1" x14ac:dyDescent="0.25"/>
    <row r="1930" ht="15" customHeight="1" x14ac:dyDescent="0.25"/>
    <row r="1931" ht="15" customHeight="1" x14ac:dyDescent="0.25"/>
    <row r="1933" ht="15" customHeight="1" x14ac:dyDescent="0.25"/>
    <row r="1934" ht="15" customHeight="1" x14ac:dyDescent="0.25"/>
    <row r="1935" ht="15" customHeight="1" x14ac:dyDescent="0.25"/>
    <row r="1937" spans="2:32" ht="15" customHeight="1" x14ac:dyDescent="0.25"/>
    <row r="1938" spans="2:32" ht="15" customHeight="1" x14ac:dyDescent="0.25"/>
    <row r="1939" spans="2:32" ht="15" customHeight="1" x14ac:dyDescent="0.25"/>
    <row r="1940" spans="2:32" ht="15" customHeight="1" x14ac:dyDescent="0.25"/>
    <row r="1941" spans="2:32" ht="15" customHeight="1" x14ac:dyDescent="0.25"/>
    <row r="1942" spans="2:32" ht="15" customHeight="1" x14ac:dyDescent="0.25"/>
    <row r="1943" spans="2:32" ht="15" customHeight="1" x14ac:dyDescent="0.25"/>
    <row r="1944" spans="2:32" ht="15" customHeight="1" x14ac:dyDescent="0.25">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x14ac:dyDescent="0.25">
      <c r="B1945" s="84"/>
      <c r="C1945" s="84"/>
      <c r="D1945" s="84"/>
      <c r="E1945" s="84"/>
      <c r="F1945" s="84"/>
      <c r="G1945" s="84"/>
      <c r="H1945" s="84"/>
      <c r="I1945" s="84"/>
      <c r="J1945" s="84"/>
      <c r="K1945" s="84"/>
      <c r="L1945" s="84"/>
      <c r="M1945" s="84"/>
      <c r="N1945" s="84"/>
      <c r="O1945" s="84"/>
      <c r="P1945" s="84"/>
      <c r="Q1945" s="84"/>
      <c r="R1945" s="84"/>
      <c r="S1945" s="84"/>
      <c r="T1945" s="84"/>
      <c r="U1945" s="84"/>
      <c r="V1945" s="84"/>
      <c r="W1945" s="84"/>
      <c r="X1945" s="84"/>
      <c r="Y1945" s="84"/>
      <c r="Z1945" s="84"/>
      <c r="AA1945" s="84"/>
      <c r="AB1945" s="84"/>
      <c r="AC1945" s="84"/>
      <c r="AD1945" s="84"/>
      <c r="AE1945" s="84"/>
      <c r="AF1945" s="84"/>
    </row>
    <row r="1946" spans="2:32" ht="15" customHeight="1" x14ac:dyDescent="0.25"/>
    <row r="1947" spans="2:32" ht="15" customHeight="1" x14ac:dyDescent="0.25"/>
    <row r="1948" spans="2:32" ht="15" customHeight="1" x14ac:dyDescent="0.25"/>
    <row r="1949" spans="2:32" ht="15" customHeight="1" x14ac:dyDescent="0.25"/>
    <row r="1950" spans="2:32" ht="15" customHeight="1" x14ac:dyDescent="0.25"/>
    <row r="1951" spans="2:32" ht="15" customHeight="1" x14ac:dyDescent="0.25"/>
    <row r="1952" spans="2:32" ht="15" customHeight="1" x14ac:dyDescent="0.25"/>
    <row r="1953" ht="15" customHeight="1" x14ac:dyDescent="0.25"/>
    <row r="1954" ht="15" customHeight="1" x14ac:dyDescent="0.25"/>
    <row r="1955" ht="15" customHeight="1" x14ac:dyDescent="0.25"/>
    <row r="1975" ht="15" customHeight="1" x14ac:dyDescent="0.25"/>
    <row r="1976" ht="15" customHeight="1" x14ac:dyDescent="0.25"/>
    <row r="1977" ht="15" customHeight="1" x14ac:dyDescent="0.25"/>
    <row r="1978" ht="15" customHeight="1" x14ac:dyDescent="0.25"/>
    <row r="1979" ht="15" customHeight="1" x14ac:dyDescent="0.25"/>
    <row r="1980" ht="15" customHeight="1" x14ac:dyDescent="0.25"/>
    <row r="1981" ht="15" customHeight="1" x14ac:dyDescent="0.25"/>
    <row r="1982" ht="15" customHeight="1" x14ac:dyDescent="0.25"/>
    <row r="1984" ht="15" customHeight="1" x14ac:dyDescent="0.25"/>
    <row r="1985" ht="15" customHeight="1" x14ac:dyDescent="0.25"/>
    <row r="1986" ht="15" customHeight="1" x14ac:dyDescent="0.25"/>
    <row r="1988" ht="15" customHeight="1" x14ac:dyDescent="0.25"/>
    <row r="1990" ht="15" customHeight="1" x14ac:dyDescent="0.25"/>
    <row r="1991" ht="15" customHeight="1" x14ac:dyDescent="0.25"/>
    <row r="1992" ht="15" customHeight="1" x14ac:dyDescent="0.25"/>
    <row r="1993" ht="15" customHeight="1" x14ac:dyDescent="0.25"/>
    <row r="1994" ht="15" customHeight="1" x14ac:dyDescent="0.25"/>
    <row r="1995" ht="15" customHeight="1" x14ac:dyDescent="0.25"/>
    <row r="1996" ht="15" customHeight="1" x14ac:dyDescent="0.25"/>
    <row r="1997" ht="15" customHeight="1" x14ac:dyDescent="0.25"/>
    <row r="1998" ht="15" customHeight="1" x14ac:dyDescent="0.25"/>
    <row r="1999" ht="15" customHeight="1" x14ac:dyDescent="0.25"/>
    <row r="2000" ht="15" customHeight="1" x14ac:dyDescent="0.25"/>
    <row r="2001" ht="15" customHeight="1" x14ac:dyDescent="0.25"/>
    <row r="2002" ht="15" customHeight="1" x14ac:dyDescent="0.25"/>
    <row r="2004" ht="15" customHeight="1" x14ac:dyDescent="0.25"/>
    <row r="2006" ht="15" customHeight="1" x14ac:dyDescent="0.25"/>
    <row r="2008" ht="15" customHeight="1" x14ac:dyDescent="0.25"/>
    <row r="2009" ht="15" customHeight="1" x14ac:dyDescent="0.25"/>
    <row r="2011" ht="15" customHeight="1" x14ac:dyDescent="0.25"/>
    <row r="2012" ht="15" customHeight="1" x14ac:dyDescent="0.25"/>
    <row r="2013" ht="15" customHeight="1" x14ac:dyDescent="0.25"/>
    <row r="2014" ht="15" customHeight="1" x14ac:dyDescent="0.25"/>
    <row r="2015" ht="15" customHeight="1" x14ac:dyDescent="0.25"/>
    <row r="2016" ht="15" customHeight="1" x14ac:dyDescent="0.25"/>
    <row r="2017" spans="2:32" ht="15" customHeight="1" x14ac:dyDescent="0.25"/>
    <row r="2018" spans="2:32" ht="15" customHeight="1" x14ac:dyDescent="0.25"/>
    <row r="2019" spans="2:32" ht="15" customHeight="1" x14ac:dyDescent="0.25"/>
    <row r="2020" spans="2:32" ht="15" customHeight="1" x14ac:dyDescent="0.25"/>
    <row r="2021" spans="2:32" x14ac:dyDescent="0.25">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x14ac:dyDescent="0.25"/>
    <row r="2023" spans="2:32" ht="15" customHeight="1" x14ac:dyDescent="0.25"/>
    <row r="2024" spans="2:32" ht="15" customHeight="1" x14ac:dyDescent="0.25"/>
    <row r="2025" spans="2:32" ht="15" customHeight="1" x14ac:dyDescent="0.25"/>
    <row r="2026" spans="2:32" ht="15" customHeight="1" x14ac:dyDescent="0.25"/>
    <row r="2027" spans="2:32" ht="15" customHeight="1" x14ac:dyDescent="0.25"/>
    <row r="2028" spans="2:32" ht="15" customHeight="1" x14ac:dyDescent="0.25"/>
    <row r="2029" spans="2:32" ht="15" customHeight="1" x14ac:dyDescent="0.25"/>
    <row r="2030" spans="2:32" ht="15" customHeight="1" x14ac:dyDescent="0.25">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x14ac:dyDescent="0.25">
      <c r="B2031" s="84"/>
      <c r="C2031" s="84"/>
      <c r="D2031" s="84"/>
      <c r="E2031" s="84"/>
      <c r="F2031" s="84"/>
      <c r="G2031" s="84"/>
      <c r="H2031" s="84"/>
      <c r="I2031" s="84"/>
      <c r="J2031" s="84"/>
      <c r="K2031" s="84"/>
      <c r="L2031" s="84"/>
      <c r="M2031" s="84"/>
      <c r="N2031" s="84"/>
      <c r="O2031" s="84"/>
      <c r="P2031" s="84"/>
      <c r="Q2031" s="84"/>
      <c r="R2031" s="84"/>
      <c r="S2031" s="84"/>
      <c r="T2031" s="84"/>
      <c r="U2031" s="84"/>
      <c r="V2031" s="84"/>
      <c r="W2031" s="84"/>
      <c r="X2031" s="84"/>
      <c r="Y2031" s="84"/>
      <c r="Z2031" s="84"/>
      <c r="AA2031" s="84"/>
      <c r="AB2031" s="84"/>
      <c r="AC2031" s="84"/>
      <c r="AD2031" s="84"/>
      <c r="AE2031" s="84"/>
      <c r="AF2031" s="84"/>
    </row>
    <row r="2032" spans="2:32" ht="15" customHeight="1" x14ac:dyDescent="0.25"/>
    <row r="2033" ht="15" customHeight="1" x14ac:dyDescent="0.25"/>
    <row r="2034" ht="15" customHeight="1" x14ac:dyDescent="0.25"/>
    <row r="2035" ht="15" customHeight="1" x14ac:dyDescent="0.25"/>
    <row r="2036" ht="15" customHeight="1" x14ac:dyDescent="0.25"/>
    <row r="2037" ht="15" customHeight="1" x14ac:dyDescent="0.25"/>
    <row r="2038" ht="15" customHeight="1" x14ac:dyDescent="0.25"/>
    <row r="2039" ht="15" customHeight="1" x14ac:dyDescent="0.25"/>
    <row r="2040" ht="15" customHeight="1" x14ac:dyDescent="0.25"/>
    <row r="2041" ht="15" customHeight="1" x14ac:dyDescent="0.25"/>
    <row r="2042" ht="15" customHeight="1" x14ac:dyDescent="0.25"/>
    <row r="2043" ht="15" customHeight="1" x14ac:dyDescent="0.25"/>
    <row r="2044" ht="15" customHeight="1" x14ac:dyDescent="0.25"/>
    <row r="2045" ht="15" customHeight="1" x14ac:dyDescent="0.25"/>
    <row r="2046" ht="15" customHeight="1" x14ac:dyDescent="0.25"/>
    <row r="2047" ht="15" customHeight="1" x14ac:dyDescent="0.25"/>
    <row r="2048" ht="15" customHeight="1" x14ac:dyDescent="0.25"/>
    <row r="2049" ht="15" customHeight="1" x14ac:dyDescent="0.25"/>
    <row r="2050" ht="15" customHeight="1" x14ac:dyDescent="0.25"/>
    <row r="2051" ht="15" customHeight="1" x14ac:dyDescent="0.25"/>
    <row r="2052" ht="15" customHeight="1" x14ac:dyDescent="0.25"/>
    <row r="2053" ht="15" customHeight="1" x14ac:dyDescent="0.25"/>
    <row r="2100" ht="15" customHeight="1" x14ac:dyDescent="0.25"/>
    <row r="2101" ht="15" customHeight="1" x14ac:dyDescent="0.25"/>
    <row r="2102" ht="15" customHeight="1" x14ac:dyDescent="0.25"/>
    <row r="2103" ht="15" customHeight="1" x14ac:dyDescent="0.25"/>
    <row r="2104" ht="15" customHeight="1" x14ac:dyDescent="0.25"/>
    <row r="2105" ht="15" customHeight="1" x14ac:dyDescent="0.25"/>
    <row r="2107" ht="15" customHeight="1" x14ac:dyDescent="0.25"/>
    <row r="2108" ht="15" customHeight="1" x14ac:dyDescent="0.25"/>
    <row r="2110" ht="15" customHeight="1" x14ac:dyDescent="0.25"/>
    <row r="2111" ht="15" customHeight="1" x14ac:dyDescent="0.25"/>
    <row r="2112" ht="15" customHeight="1" x14ac:dyDescent="0.25"/>
    <row r="2113" ht="15" customHeight="1" x14ac:dyDescent="0.25"/>
    <row r="2114" ht="15" customHeight="1" x14ac:dyDescent="0.25"/>
    <row r="2115" ht="15" customHeight="1" x14ac:dyDescent="0.25"/>
    <row r="2116" ht="15" customHeight="1" x14ac:dyDescent="0.25"/>
    <row r="2117" ht="15" customHeight="1" x14ac:dyDescent="0.25"/>
    <row r="2118" ht="15" customHeight="1" x14ac:dyDescent="0.25"/>
    <row r="2119" ht="15" customHeight="1" x14ac:dyDescent="0.25"/>
    <row r="2120" ht="15" customHeight="1" x14ac:dyDescent="0.25"/>
    <row r="2121" ht="15" customHeight="1" x14ac:dyDescent="0.25"/>
    <row r="2122" ht="15" customHeight="1" x14ac:dyDescent="0.25"/>
    <row r="2124" ht="15" customHeight="1" x14ac:dyDescent="0.25"/>
    <row r="2125" ht="15" customHeight="1" x14ac:dyDescent="0.25"/>
    <row r="2126" ht="15" customHeight="1" x14ac:dyDescent="0.25"/>
    <row r="2127" ht="15" customHeight="1" x14ac:dyDescent="0.25"/>
    <row r="2128" ht="15" customHeight="1" x14ac:dyDescent="0.25"/>
    <row r="2129" ht="15" customHeight="1" x14ac:dyDescent="0.25"/>
    <row r="2131" ht="15" customHeight="1" x14ac:dyDescent="0.25"/>
    <row r="2133" ht="15" customHeight="1" x14ac:dyDescent="0.25"/>
    <row r="2134" ht="15" customHeight="1" x14ac:dyDescent="0.25"/>
    <row r="2136" ht="15" customHeight="1" x14ac:dyDescent="0.25"/>
    <row r="2137" ht="15" customHeight="1" x14ac:dyDescent="0.25"/>
    <row r="2138" ht="15" customHeight="1" x14ac:dyDescent="0.25"/>
    <row r="2139" ht="15" customHeight="1" x14ac:dyDescent="0.25"/>
    <row r="2140" ht="15" customHeight="1" x14ac:dyDescent="0.25"/>
    <row r="2141" ht="15" customHeight="1" x14ac:dyDescent="0.25"/>
    <row r="2142" ht="15" customHeight="1" x14ac:dyDescent="0.25"/>
    <row r="2143" ht="15" customHeight="1" x14ac:dyDescent="0.25"/>
    <row r="2144" ht="15" customHeight="1" x14ac:dyDescent="0.25"/>
    <row r="2145" spans="2:32" ht="15" customHeight="1" x14ac:dyDescent="0.25"/>
    <row r="2146" spans="2:32" ht="15" customHeight="1" x14ac:dyDescent="0.25"/>
    <row r="2147" spans="2:32" x14ac:dyDescent="0.25">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x14ac:dyDescent="0.25"/>
    <row r="2149" spans="2:32" x14ac:dyDescent="0.25">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x14ac:dyDescent="0.25">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x14ac:dyDescent="0.25"/>
    <row r="2152" spans="2:32" ht="15" customHeight="1" x14ac:dyDescent="0.25">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x14ac:dyDescent="0.25">
      <c r="B2153" s="84"/>
      <c r="C2153" s="84"/>
      <c r="D2153" s="84"/>
      <c r="E2153" s="84"/>
      <c r="F2153" s="84"/>
      <c r="G2153" s="84"/>
      <c r="H2153" s="84"/>
      <c r="I2153" s="84"/>
      <c r="J2153" s="84"/>
      <c r="K2153" s="84"/>
      <c r="L2153" s="84"/>
      <c r="M2153" s="84"/>
      <c r="N2153" s="84"/>
      <c r="O2153" s="84"/>
      <c r="P2153" s="84"/>
      <c r="Q2153" s="84"/>
      <c r="R2153" s="84"/>
      <c r="S2153" s="84"/>
      <c r="T2153" s="84"/>
      <c r="U2153" s="84"/>
      <c r="V2153" s="84"/>
      <c r="W2153" s="84"/>
      <c r="X2153" s="84"/>
      <c r="Y2153" s="84"/>
      <c r="Z2153" s="84"/>
      <c r="AA2153" s="84"/>
      <c r="AB2153" s="84"/>
      <c r="AC2153" s="84"/>
      <c r="AD2153" s="84"/>
      <c r="AE2153" s="84"/>
      <c r="AF2153" s="84"/>
    </row>
    <row r="2154" spans="2:32" ht="15" customHeight="1" x14ac:dyDescent="0.25"/>
    <row r="2155" spans="2:32" ht="15" customHeight="1" x14ac:dyDescent="0.25"/>
    <row r="2156" spans="2:32" ht="15" customHeight="1" x14ac:dyDescent="0.25"/>
    <row r="2157" spans="2:32" ht="15" customHeight="1" x14ac:dyDescent="0.25"/>
    <row r="2158" spans="2:32" ht="15" customHeight="1" x14ac:dyDescent="0.25"/>
    <row r="2159" spans="2:32" ht="15" customHeight="1" x14ac:dyDescent="0.25"/>
    <row r="2160" spans="2:32" ht="15" customHeight="1" x14ac:dyDescent="0.25"/>
    <row r="2161" ht="15" customHeight="1" x14ac:dyDescent="0.25"/>
    <row r="2162" ht="15" customHeight="1" x14ac:dyDescent="0.25"/>
    <row r="2250" ht="15" customHeight="1" x14ac:dyDescent="0.25"/>
    <row r="2251" ht="15" customHeight="1" x14ac:dyDescent="0.25"/>
    <row r="2252" ht="15" customHeight="1" x14ac:dyDescent="0.25"/>
    <row r="2253" ht="15" customHeight="1" x14ac:dyDescent="0.25"/>
    <row r="2254" ht="15" customHeight="1" x14ac:dyDescent="0.25"/>
    <row r="2255" ht="15" customHeight="1" x14ac:dyDescent="0.25"/>
    <row r="2256" ht="15" customHeight="1" x14ac:dyDescent="0.25"/>
    <row r="2257" ht="15" customHeight="1" x14ac:dyDescent="0.25"/>
    <row r="2258" ht="15" customHeight="1" x14ac:dyDescent="0.25"/>
    <row r="2260" ht="15" customHeight="1" x14ac:dyDescent="0.25"/>
    <row r="2261" ht="15" customHeight="1" x14ac:dyDescent="0.25"/>
    <row r="2262" ht="15" customHeight="1" x14ac:dyDescent="0.25"/>
    <row r="2264" ht="15" customHeight="1" x14ac:dyDescent="0.25"/>
    <row r="2266" ht="15" customHeight="1" x14ac:dyDescent="0.25"/>
    <row r="2267" ht="15" customHeight="1" x14ac:dyDescent="0.25"/>
    <row r="2268" ht="15" customHeight="1" x14ac:dyDescent="0.25"/>
    <row r="2269" ht="15" customHeight="1" x14ac:dyDescent="0.25"/>
    <row r="2271" ht="15" customHeight="1" x14ac:dyDescent="0.25"/>
    <row r="2273" ht="15" customHeight="1" x14ac:dyDescent="0.25"/>
    <row r="2274" ht="15" customHeight="1" x14ac:dyDescent="0.25"/>
    <row r="2275" ht="15" customHeight="1" x14ac:dyDescent="0.25"/>
    <row r="2276" ht="15" customHeight="1" x14ac:dyDescent="0.25"/>
    <row r="2277" ht="15" customHeight="1" x14ac:dyDescent="0.25"/>
    <row r="2278" ht="15" customHeight="1" x14ac:dyDescent="0.25"/>
    <row r="2279" ht="15" customHeight="1" x14ac:dyDescent="0.25"/>
    <row r="2280" ht="15" customHeight="1" x14ac:dyDescent="0.25"/>
    <row r="2282" ht="15" customHeight="1" x14ac:dyDescent="0.25"/>
    <row r="2284" ht="15" customHeight="1" x14ac:dyDescent="0.25"/>
    <row r="2285" ht="15" customHeight="1" x14ac:dyDescent="0.25"/>
    <row r="2286" ht="15" customHeight="1" x14ac:dyDescent="0.25"/>
    <row r="2288" ht="15" customHeight="1" x14ac:dyDescent="0.25"/>
    <row r="2289" ht="15" customHeight="1" x14ac:dyDescent="0.25"/>
    <row r="2290" ht="15" customHeight="1" x14ac:dyDescent="0.25"/>
    <row r="2291" ht="15" customHeight="1" x14ac:dyDescent="0.25"/>
    <row r="2292" ht="15" customHeight="1" x14ac:dyDescent="0.25"/>
    <row r="2293" ht="15" customHeight="1" x14ac:dyDescent="0.25"/>
    <row r="2294" ht="15" customHeight="1" x14ac:dyDescent="0.25"/>
    <row r="2295" ht="15" customHeight="1" x14ac:dyDescent="0.25"/>
    <row r="2296" ht="15" customHeight="1" x14ac:dyDescent="0.25"/>
    <row r="2297" ht="15" customHeight="1" x14ac:dyDescent="0.25"/>
    <row r="2298" ht="15" customHeight="1" x14ac:dyDescent="0.25"/>
    <row r="2301" ht="15" customHeight="1" x14ac:dyDescent="0.25"/>
    <row r="2302" ht="15" customHeight="1" x14ac:dyDescent="0.25"/>
    <row r="2303" ht="15" customHeight="1" x14ac:dyDescent="0.25"/>
    <row r="2305" spans="2:32" ht="15" customHeight="1" x14ac:dyDescent="0.25"/>
    <row r="2306" spans="2:32" ht="15" customHeight="1" x14ac:dyDescent="0.25"/>
    <row r="2307" spans="2:32" ht="15" customHeight="1" x14ac:dyDescent="0.25"/>
    <row r="2308" spans="2:32" ht="15" customHeight="1" x14ac:dyDescent="0.25"/>
    <row r="2309" spans="2:32" ht="15" customHeight="1" x14ac:dyDescent="0.25"/>
    <row r="2310" spans="2:32" ht="15" customHeight="1" x14ac:dyDescent="0.25"/>
    <row r="2311" spans="2:32" ht="15" customHeight="1" x14ac:dyDescent="0.25"/>
    <row r="2312" spans="2:32" ht="15" customHeight="1" x14ac:dyDescent="0.25"/>
    <row r="2313" spans="2:32" ht="15" customHeight="1" x14ac:dyDescent="0.25"/>
    <row r="2314" spans="2:32" ht="15" customHeight="1" x14ac:dyDescent="0.25"/>
    <row r="2315" spans="2:32" ht="15" customHeight="1" x14ac:dyDescent="0.25"/>
    <row r="2316" spans="2:32" ht="15" customHeight="1" x14ac:dyDescent="0.25">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x14ac:dyDescent="0.25">
      <c r="B2317" s="84"/>
      <c r="C2317" s="84"/>
      <c r="D2317" s="84"/>
      <c r="E2317" s="84"/>
      <c r="F2317" s="84"/>
      <c r="G2317" s="84"/>
      <c r="H2317" s="84"/>
      <c r="I2317" s="84"/>
      <c r="J2317" s="84"/>
      <c r="K2317" s="84"/>
      <c r="L2317" s="84"/>
      <c r="M2317" s="84"/>
      <c r="N2317" s="84"/>
      <c r="O2317" s="84"/>
      <c r="P2317" s="84"/>
      <c r="Q2317" s="84"/>
      <c r="R2317" s="84"/>
      <c r="S2317" s="84"/>
      <c r="T2317" s="84"/>
      <c r="U2317" s="84"/>
      <c r="V2317" s="84"/>
      <c r="W2317" s="84"/>
      <c r="X2317" s="84"/>
      <c r="Y2317" s="84"/>
      <c r="Z2317" s="84"/>
      <c r="AA2317" s="84"/>
      <c r="AB2317" s="84"/>
      <c r="AC2317" s="84"/>
      <c r="AD2317" s="84"/>
      <c r="AE2317" s="84"/>
      <c r="AF2317" s="84"/>
    </row>
    <row r="2318" spans="2:32" ht="15" customHeight="1" x14ac:dyDescent="0.25"/>
    <row r="2319" spans="2:32" ht="15" customHeight="1" x14ac:dyDescent="0.25"/>
    <row r="2320" spans="2:32" ht="15" customHeight="1" x14ac:dyDescent="0.25"/>
    <row r="2321" ht="15" customHeight="1" x14ac:dyDescent="0.25"/>
    <row r="2322" ht="15" customHeight="1" x14ac:dyDescent="0.25"/>
    <row r="2323" ht="15" customHeight="1" x14ac:dyDescent="0.25"/>
    <row r="2324" ht="15" customHeight="1" x14ac:dyDescent="0.25"/>
    <row r="2325" ht="15" customHeight="1" x14ac:dyDescent="0.25"/>
    <row r="2326" ht="15" customHeight="1" x14ac:dyDescent="0.25"/>
    <row r="2327" ht="15" customHeight="1" x14ac:dyDescent="0.25"/>
    <row r="2328" ht="15" customHeight="1" x14ac:dyDescent="0.25"/>
    <row r="2329" ht="15" customHeight="1" x14ac:dyDescent="0.25"/>
    <row r="2330" ht="15" customHeight="1" x14ac:dyDescent="0.25"/>
    <row r="2331" ht="15" customHeight="1" x14ac:dyDescent="0.25"/>
    <row r="2332" ht="15" customHeight="1" x14ac:dyDescent="0.25"/>
    <row r="2333" ht="15" customHeight="1" x14ac:dyDescent="0.25"/>
    <row r="2334" ht="15" customHeight="1" x14ac:dyDescent="0.25"/>
    <row r="2350" ht="15" customHeight="1" x14ac:dyDescent="0.25"/>
    <row r="2351" ht="15" customHeight="1" x14ac:dyDescent="0.25"/>
    <row r="2352" ht="15" customHeight="1" x14ac:dyDescent="0.25"/>
    <row r="2353" ht="15" customHeight="1" x14ac:dyDescent="0.25"/>
    <row r="2354" ht="15" customHeight="1" x14ac:dyDescent="0.25"/>
    <row r="2355" ht="15" customHeight="1" x14ac:dyDescent="0.25"/>
    <row r="2356" ht="15" customHeight="1" x14ac:dyDescent="0.25"/>
    <row r="2357" ht="15" customHeight="1" x14ac:dyDescent="0.25"/>
    <row r="2358" ht="15" customHeight="1" x14ac:dyDescent="0.25"/>
    <row r="2359" ht="15" customHeight="1" x14ac:dyDescent="0.25"/>
    <row r="2360" ht="15" customHeight="1" x14ac:dyDescent="0.25"/>
    <row r="2361" ht="15" customHeight="1" x14ac:dyDescent="0.25"/>
    <row r="2362" ht="15" customHeight="1" x14ac:dyDescent="0.25"/>
    <row r="2363" ht="15" customHeight="1" x14ac:dyDescent="0.25"/>
    <row r="2364" ht="15" customHeight="1" x14ac:dyDescent="0.25"/>
    <row r="2365" ht="15" customHeight="1" x14ac:dyDescent="0.25"/>
    <row r="2367" ht="15" customHeight="1" x14ac:dyDescent="0.25"/>
    <row r="2368" ht="15" customHeight="1" x14ac:dyDescent="0.25"/>
    <row r="2369" ht="15" customHeight="1" x14ac:dyDescent="0.25"/>
    <row r="2370" ht="15" customHeight="1" x14ac:dyDescent="0.25"/>
    <row r="2371" ht="15" customHeight="1" x14ac:dyDescent="0.25"/>
    <row r="2372" ht="15" customHeight="1" x14ac:dyDescent="0.25"/>
    <row r="2373" ht="15" customHeight="1" x14ac:dyDescent="0.25"/>
    <row r="2374" ht="15" customHeight="1" x14ac:dyDescent="0.25"/>
    <row r="2375" ht="15" customHeight="1" x14ac:dyDescent="0.25"/>
    <row r="2376" ht="15" customHeight="1" x14ac:dyDescent="0.25"/>
    <row r="2377" ht="15" customHeight="1" x14ac:dyDescent="0.25"/>
    <row r="2378" ht="15" customHeight="1" x14ac:dyDescent="0.25"/>
    <row r="2380" ht="15" customHeight="1" x14ac:dyDescent="0.25"/>
    <row r="2381" ht="15" customHeight="1" x14ac:dyDescent="0.25"/>
    <row r="2382" ht="15" customHeight="1" x14ac:dyDescent="0.25"/>
    <row r="2383" ht="15" customHeight="1" x14ac:dyDescent="0.25"/>
    <row r="2384" ht="15" customHeight="1" x14ac:dyDescent="0.25"/>
    <row r="2385" ht="15" customHeight="1" x14ac:dyDescent="0.25"/>
    <row r="2386" ht="15" customHeight="1" x14ac:dyDescent="0.25"/>
    <row r="2387" ht="15" customHeight="1" x14ac:dyDescent="0.25"/>
    <row r="2388" ht="15" customHeight="1" x14ac:dyDescent="0.25"/>
    <row r="2390" ht="15" customHeight="1" x14ac:dyDescent="0.25"/>
    <row r="2391" ht="15" customHeight="1" x14ac:dyDescent="0.25"/>
    <row r="2392" ht="15" customHeight="1" x14ac:dyDescent="0.25"/>
    <row r="2393" ht="15" customHeight="1" x14ac:dyDescent="0.25"/>
    <row r="2394" ht="15" customHeight="1" x14ac:dyDescent="0.25"/>
    <row r="2395" ht="15" customHeight="1" x14ac:dyDescent="0.25"/>
    <row r="2396" ht="15" customHeight="1" x14ac:dyDescent="0.25"/>
    <row r="2397" ht="15" customHeight="1" x14ac:dyDescent="0.25"/>
    <row r="2400" ht="15" customHeight="1" x14ac:dyDescent="0.25"/>
    <row r="2401" ht="15" customHeight="1" x14ac:dyDescent="0.25"/>
    <row r="2402" ht="15" customHeight="1" x14ac:dyDescent="0.25"/>
    <row r="2403" ht="15" customHeight="1" x14ac:dyDescent="0.25"/>
    <row r="2404" ht="15" customHeight="1" x14ac:dyDescent="0.25"/>
    <row r="2405" ht="15" customHeight="1" x14ac:dyDescent="0.25"/>
    <row r="2406" ht="15" customHeight="1" x14ac:dyDescent="0.25"/>
    <row r="2407" ht="15" customHeight="1" x14ac:dyDescent="0.25"/>
    <row r="2408" ht="15" customHeight="1" x14ac:dyDescent="0.25"/>
    <row r="2410" ht="15" customHeight="1" x14ac:dyDescent="0.25"/>
    <row r="2411" ht="15" customHeight="1" x14ac:dyDescent="0.25"/>
    <row r="2412" ht="15" customHeight="1" x14ac:dyDescent="0.25"/>
    <row r="2413" ht="15" customHeight="1" x14ac:dyDescent="0.25"/>
    <row r="2414" ht="15" customHeight="1" x14ac:dyDescent="0.25"/>
    <row r="2415" ht="15" customHeight="1" x14ac:dyDescent="0.25"/>
    <row r="2416" ht="15" customHeight="1" x14ac:dyDescent="0.25"/>
    <row r="2417" spans="2:32" ht="15" customHeight="1" x14ac:dyDescent="0.25"/>
    <row r="2418" spans="2:32" ht="15" customHeight="1" x14ac:dyDescent="0.25">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x14ac:dyDescent="0.25">
      <c r="B2419" s="84"/>
      <c r="C2419" s="84"/>
      <c r="D2419" s="84"/>
      <c r="E2419" s="84"/>
      <c r="F2419" s="84"/>
      <c r="G2419" s="84"/>
      <c r="H2419" s="84"/>
      <c r="I2419" s="84"/>
      <c r="J2419" s="84"/>
      <c r="K2419" s="84"/>
      <c r="L2419" s="84"/>
      <c r="M2419" s="84"/>
      <c r="N2419" s="84"/>
      <c r="O2419" s="84"/>
      <c r="P2419" s="84"/>
      <c r="Q2419" s="84"/>
      <c r="R2419" s="84"/>
      <c r="S2419" s="84"/>
      <c r="T2419" s="84"/>
      <c r="U2419" s="84"/>
      <c r="V2419" s="84"/>
      <c r="W2419" s="84"/>
      <c r="X2419" s="84"/>
      <c r="Y2419" s="84"/>
      <c r="Z2419" s="84"/>
      <c r="AA2419" s="84"/>
      <c r="AB2419" s="84"/>
      <c r="AC2419" s="84"/>
      <c r="AD2419" s="84"/>
      <c r="AE2419" s="84"/>
      <c r="AF2419" s="84"/>
    </row>
    <row r="2420" spans="2:32" ht="15" customHeight="1" x14ac:dyDescent="0.25"/>
    <row r="2421" spans="2:32" ht="15" customHeight="1" x14ac:dyDescent="0.25"/>
    <row r="2422" spans="2:32" ht="15" customHeight="1" x14ac:dyDescent="0.25"/>
    <row r="2423" spans="2:32" ht="15" customHeight="1" x14ac:dyDescent="0.25"/>
    <row r="2424" spans="2:32" ht="15" customHeight="1" x14ac:dyDescent="0.25"/>
    <row r="2425" spans="2:32" ht="15" customHeight="1" x14ac:dyDescent="0.25"/>
    <row r="2426" spans="2:32" ht="15" customHeight="1" x14ac:dyDescent="0.25"/>
    <row r="2427" spans="2:32" ht="15" customHeight="1" x14ac:dyDescent="0.25"/>
    <row r="2428" spans="2:32" ht="15" customHeight="1" x14ac:dyDescent="0.25"/>
    <row r="2429" spans="2:32" ht="15" customHeight="1" x14ac:dyDescent="0.25"/>
    <row r="2430" spans="2:32" ht="15" customHeight="1" x14ac:dyDescent="0.25"/>
    <row r="2431" spans="2:32" ht="15" customHeight="1" x14ac:dyDescent="0.25"/>
    <row r="2432" spans="2:32" ht="15" customHeight="1" x14ac:dyDescent="0.25"/>
    <row r="2433" ht="15" customHeight="1" x14ac:dyDescent="0.25"/>
    <row r="2434" ht="15" customHeight="1" x14ac:dyDescent="0.25"/>
    <row r="2435" ht="15" customHeight="1" x14ac:dyDescent="0.25"/>
    <row r="2436" ht="15" customHeight="1" x14ac:dyDescent="0.25"/>
    <row r="2437" ht="15" customHeight="1" x14ac:dyDescent="0.25"/>
    <row r="2450" ht="15" customHeight="1" x14ac:dyDescent="0.25"/>
    <row r="2451" ht="15" customHeight="1" x14ac:dyDescent="0.25"/>
    <row r="2452" ht="15" customHeight="1" x14ac:dyDescent="0.25"/>
    <row r="2453" ht="15" customHeight="1" x14ac:dyDescent="0.25"/>
    <row r="2454" ht="15" customHeight="1" x14ac:dyDescent="0.25"/>
    <row r="2455" ht="15" customHeight="1" x14ac:dyDescent="0.25"/>
    <row r="2457" ht="15" customHeight="1" x14ac:dyDescent="0.25"/>
    <row r="2459" ht="15" customHeight="1" x14ac:dyDescent="0.25"/>
    <row r="2461" ht="15" customHeight="1" x14ac:dyDescent="0.25"/>
    <row r="2462" ht="15" customHeight="1" x14ac:dyDescent="0.25"/>
    <row r="2463" ht="15" customHeight="1" x14ac:dyDescent="0.25"/>
    <row r="2464" ht="15" customHeight="1" x14ac:dyDescent="0.25"/>
    <row r="2465" ht="15" customHeight="1" x14ac:dyDescent="0.25"/>
    <row r="2467" ht="15" customHeight="1" x14ac:dyDescent="0.25"/>
    <row r="2468" ht="15" customHeight="1" x14ac:dyDescent="0.25"/>
    <row r="2469" ht="15" customHeight="1" x14ac:dyDescent="0.25"/>
    <row r="2470" ht="15" customHeight="1" x14ac:dyDescent="0.25"/>
    <row r="2471" ht="15" customHeight="1" x14ac:dyDescent="0.25"/>
    <row r="2472" ht="15" customHeight="1" x14ac:dyDescent="0.25"/>
    <row r="2473" ht="15" customHeight="1" x14ac:dyDescent="0.25"/>
    <row r="2475" ht="15" customHeight="1" x14ac:dyDescent="0.25"/>
    <row r="2476" ht="15" customHeight="1" x14ac:dyDescent="0.25"/>
    <row r="2477" ht="15" customHeight="1" x14ac:dyDescent="0.25"/>
    <row r="2478" ht="15" customHeight="1" x14ac:dyDescent="0.25"/>
    <row r="2479" ht="15" customHeight="1" x14ac:dyDescent="0.25"/>
    <row r="2480" ht="15" customHeight="1" x14ac:dyDescent="0.25"/>
    <row r="2481" ht="15" customHeight="1" x14ac:dyDescent="0.25"/>
    <row r="2482" ht="15" customHeight="1" x14ac:dyDescent="0.25"/>
    <row r="2483" ht="15" customHeight="1" x14ac:dyDescent="0.25"/>
    <row r="2484" ht="15" customHeight="1" x14ac:dyDescent="0.25"/>
    <row r="2486" ht="15" customHeight="1" x14ac:dyDescent="0.25"/>
    <row r="2488" ht="15" customHeight="1" x14ac:dyDescent="0.25"/>
    <row r="2489" ht="15" customHeight="1" x14ac:dyDescent="0.25"/>
    <row r="2490" ht="15" customHeight="1" x14ac:dyDescent="0.25"/>
    <row r="2491" ht="15" customHeight="1" x14ac:dyDescent="0.25"/>
    <row r="2492" ht="15" customHeight="1" x14ac:dyDescent="0.25"/>
    <row r="2495" ht="15" customHeight="1" x14ac:dyDescent="0.25"/>
    <row r="2496" ht="15" customHeight="1" x14ac:dyDescent="0.25"/>
    <row r="2497" spans="2:32" x14ac:dyDescent="0.25">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x14ac:dyDescent="0.25"/>
    <row r="2499" spans="2:32" ht="15" customHeight="1" x14ac:dyDescent="0.25"/>
    <row r="2500" spans="2:32" ht="15" customHeight="1" x14ac:dyDescent="0.25"/>
    <row r="2501" spans="2:32" ht="15" customHeight="1" x14ac:dyDescent="0.25"/>
    <row r="2502" spans="2:32" ht="15" customHeight="1" x14ac:dyDescent="0.25"/>
    <row r="2503" spans="2:32" x14ac:dyDescent="0.25">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x14ac:dyDescent="0.25"/>
    <row r="2505" spans="2:32" ht="15" customHeight="1" x14ac:dyDescent="0.25"/>
    <row r="2506" spans="2:32" ht="15" customHeight="1" x14ac:dyDescent="0.25"/>
    <row r="2507" spans="2:32" ht="15" customHeight="1" x14ac:dyDescent="0.25"/>
    <row r="2508" spans="2:32" ht="15" customHeight="1" x14ac:dyDescent="0.25">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x14ac:dyDescent="0.25">
      <c r="B2509" s="84"/>
      <c r="C2509" s="84"/>
      <c r="D2509" s="84"/>
      <c r="E2509" s="84"/>
      <c r="F2509" s="84"/>
      <c r="G2509" s="84"/>
      <c r="H2509" s="84"/>
      <c r="I2509" s="84"/>
      <c r="J2509" s="84"/>
      <c r="K2509" s="84"/>
      <c r="L2509" s="84"/>
      <c r="M2509" s="84"/>
      <c r="N2509" s="84"/>
      <c r="O2509" s="84"/>
      <c r="P2509" s="84"/>
      <c r="Q2509" s="84"/>
      <c r="R2509" s="84"/>
      <c r="S2509" s="84"/>
      <c r="T2509" s="84"/>
      <c r="U2509" s="84"/>
      <c r="V2509" s="84"/>
      <c r="W2509" s="84"/>
      <c r="X2509" s="84"/>
      <c r="Y2509" s="84"/>
      <c r="Z2509" s="84"/>
      <c r="AA2509" s="84"/>
      <c r="AB2509" s="84"/>
      <c r="AC2509" s="84"/>
      <c r="AD2509" s="84"/>
      <c r="AE2509" s="84"/>
      <c r="AF2509" s="84"/>
    </row>
    <row r="2510" spans="2:32" ht="15" customHeight="1" x14ac:dyDescent="0.25"/>
    <row r="2511" spans="2:32" ht="15" customHeight="1" x14ac:dyDescent="0.25"/>
    <row r="2512" spans="2:32" ht="15" customHeight="1" x14ac:dyDescent="0.25"/>
    <row r="2513" ht="15" customHeight="1" x14ac:dyDescent="0.25"/>
    <row r="2514" ht="15" customHeight="1" x14ac:dyDescent="0.25"/>
    <row r="2515" ht="15" customHeight="1" x14ac:dyDescent="0.25"/>
    <row r="2516" ht="15" customHeight="1" x14ac:dyDescent="0.25"/>
    <row r="2517" ht="15" customHeight="1" x14ac:dyDescent="0.25"/>
    <row r="2518" ht="15" customHeight="1" x14ac:dyDescent="0.25"/>
    <row r="2519" ht="15" customHeight="1" x14ac:dyDescent="0.25"/>
    <row r="2520" ht="15" customHeight="1" x14ac:dyDescent="0.25"/>
    <row r="2521" ht="15" customHeight="1" x14ac:dyDescent="0.25"/>
    <row r="2522" ht="15" customHeight="1" x14ac:dyDescent="0.25"/>
    <row r="2523" ht="15" customHeight="1" x14ac:dyDescent="0.25"/>
    <row r="2524" ht="15" customHeight="1" x14ac:dyDescent="0.25"/>
    <row r="2525" ht="15" customHeight="1" x14ac:dyDescent="0.25"/>
    <row r="2526" ht="15" customHeight="1" x14ac:dyDescent="0.25"/>
    <row r="2527" ht="15" customHeight="1" x14ac:dyDescent="0.25"/>
    <row r="2528" ht="15" customHeight="1" x14ac:dyDescent="0.25"/>
    <row r="2529" ht="15" customHeight="1" x14ac:dyDescent="0.25"/>
    <row r="2550" ht="15" customHeight="1" x14ac:dyDescent="0.25"/>
    <row r="2551" ht="15" customHeight="1" x14ac:dyDescent="0.25"/>
    <row r="2552" ht="15" customHeight="1" x14ac:dyDescent="0.25"/>
    <row r="2553" ht="15" customHeight="1" x14ac:dyDescent="0.25"/>
    <row r="2554" ht="15" customHeight="1" x14ac:dyDescent="0.25"/>
    <row r="2555" ht="15" customHeight="1" x14ac:dyDescent="0.25"/>
    <row r="2556" ht="15" customHeight="1" x14ac:dyDescent="0.25"/>
    <row r="2557" ht="15" customHeight="1" x14ac:dyDescent="0.25"/>
    <row r="2558" ht="15" customHeight="1" x14ac:dyDescent="0.25"/>
    <row r="2559" ht="15" customHeight="1" x14ac:dyDescent="0.25"/>
    <row r="2561" ht="15" customHeight="1" x14ac:dyDescent="0.25"/>
    <row r="2562" ht="15" customHeight="1" x14ac:dyDescent="0.25"/>
    <row r="2563" ht="15" customHeight="1" x14ac:dyDescent="0.25"/>
    <row r="2564" ht="15" customHeight="1" x14ac:dyDescent="0.25"/>
    <row r="2565" ht="15" customHeight="1" x14ac:dyDescent="0.25"/>
    <row r="2566" ht="15" customHeight="1" x14ac:dyDescent="0.25"/>
    <row r="2568" ht="15" customHeight="1" x14ac:dyDescent="0.25"/>
    <row r="2569" ht="15" customHeight="1" x14ac:dyDescent="0.25"/>
    <row r="2570" ht="15" customHeight="1" x14ac:dyDescent="0.25"/>
    <row r="2571" ht="15" customHeight="1" x14ac:dyDescent="0.25"/>
    <row r="2572" ht="15" customHeight="1" x14ac:dyDescent="0.25"/>
    <row r="2573" ht="15" customHeight="1" x14ac:dyDescent="0.25"/>
    <row r="2575" ht="15" customHeight="1" x14ac:dyDescent="0.25"/>
    <row r="2576" ht="15" customHeight="1" x14ac:dyDescent="0.25"/>
    <row r="2577" ht="15" customHeight="1" x14ac:dyDescent="0.25"/>
    <row r="2578" ht="15" customHeight="1" x14ac:dyDescent="0.25"/>
    <row r="2579" ht="15" customHeight="1" x14ac:dyDescent="0.25"/>
    <row r="2581" ht="15" customHeight="1" x14ac:dyDescent="0.25"/>
    <row r="2582" ht="15" customHeight="1" x14ac:dyDescent="0.25"/>
    <row r="2583" ht="15" customHeight="1" x14ac:dyDescent="0.25"/>
    <row r="2584" ht="15" customHeight="1" x14ac:dyDescent="0.25"/>
    <row r="2585" ht="15" customHeight="1" x14ac:dyDescent="0.25"/>
    <row r="2586" ht="15" customHeight="1" x14ac:dyDescent="0.25"/>
    <row r="2588" ht="15" customHeight="1" x14ac:dyDescent="0.25"/>
    <row r="2589" ht="15" customHeight="1" x14ac:dyDescent="0.25"/>
    <row r="2590" ht="15" customHeight="1" x14ac:dyDescent="0.25"/>
    <row r="2591" ht="15" customHeight="1" x14ac:dyDescent="0.25"/>
    <row r="2592" ht="15" customHeight="1" x14ac:dyDescent="0.25"/>
    <row r="2593" spans="2:32" ht="15" customHeight="1" x14ac:dyDescent="0.25"/>
    <row r="2594" spans="2:32" x14ac:dyDescent="0.25">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x14ac:dyDescent="0.25"/>
    <row r="2596" spans="2:32" ht="15" customHeight="1" x14ac:dyDescent="0.25"/>
    <row r="2597" spans="2:32" ht="15" customHeight="1" x14ac:dyDescent="0.25">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x14ac:dyDescent="0.25">
      <c r="B2598" s="84"/>
      <c r="C2598" s="84"/>
      <c r="D2598" s="84"/>
      <c r="E2598" s="84"/>
      <c r="F2598" s="84"/>
      <c r="G2598" s="84"/>
      <c r="H2598" s="84"/>
      <c r="I2598" s="84"/>
      <c r="J2598" s="84"/>
      <c r="K2598" s="84"/>
      <c r="L2598" s="84"/>
      <c r="M2598" s="84"/>
      <c r="N2598" s="84"/>
      <c r="O2598" s="84"/>
      <c r="P2598" s="84"/>
      <c r="Q2598" s="84"/>
      <c r="R2598" s="84"/>
      <c r="S2598" s="84"/>
      <c r="T2598" s="84"/>
      <c r="U2598" s="84"/>
      <c r="V2598" s="84"/>
      <c r="W2598" s="84"/>
      <c r="X2598" s="84"/>
      <c r="Y2598" s="84"/>
      <c r="Z2598" s="84"/>
      <c r="AA2598" s="84"/>
      <c r="AB2598" s="84"/>
      <c r="AC2598" s="84"/>
      <c r="AD2598" s="84"/>
      <c r="AE2598" s="84"/>
      <c r="AF2598" s="84"/>
    </row>
    <row r="2599" spans="2:32" ht="15" customHeight="1" x14ac:dyDescent="0.25"/>
    <row r="2600" spans="2:32" ht="15" customHeight="1" x14ac:dyDescent="0.25"/>
    <row r="2601" spans="2:32" ht="15" customHeight="1" x14ac:dyDescent="0.25"/>
    <row r="2602" spans="2:32" ht="15" customHeight="1" x14ac:dyDescent="0.25"/>
    <row r="2603" spans="2:32" ht="15" customHeight="1" x14ac:dyDescent="0.25"/>
    <row r="2604" spans="2:32" ht="15" customHeight="1" x14ac:dyDescent="0.25"/>
    <row r="2605" spans="2:32" ht="15" customHeight="1" x14ac:dyDescent="0.25"/>
    <row r="2606" spans="2:32" ht="15" customHeight="1" x14ac:dyDescent="0.25"/>
    <row r="2607" spans="2:32" ht="15" customHeight="1" x14ac:dyDescent="0.25"/>
    <row r="2608" spans="2:32" ht="15" customHeight="1" x14ac:dyDescent="0.25"/>
    <row r="2609" ht="15" customHeight="1" x14ac:dyDescent="0.25"/>
    <row r="2610" ht="15" customHeight="1" x14ac:dyDescent="0.25"/>
    <row r="2611" ht="15" customHeight="1" x14ac:dyDescent="0.25"/>
    <row r="2612" ht="15" customHeight="1" x14ac:dyDescent="0.25"/>
    <row r="2613" ht="15" customHeight="1" x14ac:dyDescent="0.25"/>
    <row r="2614" ht="15" customHeight="1" x14ac:dyDescent="0.25"/>
    <row r="2615" ht="15" customHeight="1" x14ac:dyDescent="0.25"/>
    <row r="2625" ht="15" customHeight="1" x14ac:dyDescent="0.25"/>
    <row r="2626" ht="15" customHeight="1" x14ac:dyDescent="0.25"/>
    <row r="2627" ht="15" customHeight="1" x14ac:dyDescent="0.25"/>
    <row r="2628" ht="15" customHeight="1" x14ac:dyDescent="0.25"/>
    <row r="2629" ht="15" customHeight="1" x14ac:dyDescent="0.25"/>
    <row r="2630" ht="15" customHeight="1" x14ac:dyDescent="0.25"/>
    <row r="2631" ht="15" customHeight="1" x14ac:dyDescent="0.25"/>
    <row r="2632" ht="15" customHeight="1" x14ac:dyDescent="0.25"/>
    <row r="2633" ht="15" customHeight="1" x14ac:dyDescent="0.25"/>
    <row r="2634" ht="15" customHeight="1" x14ac:dyDescent="0.25"/>
    <row r="2635" ht="15" customHeight="1" x14ac:dyDescent="0.25"/>
    <row r="2636" ht="15" customHeight="1" x14ac:dyDescent="0.25"/>
    <row r="2637" ht="15" customHeight="1" x14ac:dyDescent="0.25"/>
    <row r="2638" ht="15" customHeight="1" x14ac:dyDescent="0.25"/>
    <row r="2639" ht="15" customHeight="1" x14ac:dyDescent="0.25"/>
    <row r="2640" ht="15" customHeight="1" x14ac:dyDescent="0.25"/>
    <row r="2641" ht="15" customHeight="1" x14ac:dyDescent="0.25"/>
    <row r="2642" ht="15" customHeight="1" x14ac:dyDescent="0.25"/>
    <row r="2643" ht="15" customHeight="1" x14ac:dyDescent="0.25"/>
    <row r="2644" ht="15" customHeight="1" x14ac:dyDescent="0.25"/>
    <row r="2645" ht="15" customHeight="1" x14ac:dyDescent="0.25"/>
    <row r="2646" ht="15" customHeight="1" x14ac:dyDescent="0.25"/>
    <row r="2648" ht="15" customHeight="1" x14ac:dyDescent="0.25"/>
    <row r="2649" ht="15" customHeight="1" x14ac:dyDescent="0.25"/>
    <row r="2650" ht="15" customHeight="1" x14ac:dyDescent="0.25"/>
    <row r="2651" ht="15" customHeight="1" x14ac:dyDescent="0.25"/>
    <row r="2652" ht="15" customHeight="1" x14ac:dyDescent="0.25"/>
    <row r="2653" ht="15" customHeight="1" x14ac:dyDescent="0.25"/>
    <row r="2654" ht="15" customHeight="1" x14ac:dyDescent="0.25"/>
    <row r="2655" ht="15" customHeight="1" x14ac:dyDescent="0.25"/>
    <row r="2656" ht="15" customHeight="1" x14ac:dyDescent="0.25"/>
    <row r="2657" ht="15" customHeight="1" x14ac:dyDescent="0.25"/>
    <row r="2658" ht="15" customHeight="1" x14ac:dyDescent="0.25"/>
    <row r="2659" ht="15" customHeight="1" x14ac:dyDescent="0.25"/>
    <row r="2662" ht="15" customHeight="1" x14ac:dyDescent="0.25"/>
    <row r="2663" ht="15" customHeight="1" x14ac:dyDescent="0.25"/>
    <row r="2664" ht="15" customHeight="1" x14ac:dyDescent="0.25"/>
    <row r="2665" ht="15" customHeight="1" x14ac:dyDescent="0.25"/>
    <row r="2666" ht="15" customHeight="1" x14ac:dyDescent="0.25"/>
    <row r="2667" ht="15" customHeight="1" x14ac:dyDescent="0.25"/>
    <row r="2668" ht="15" customHeight="1" x14ac:dyDescent="0.25"/>
    <row r="2669" ht="15" customHeight="1" x14ac:dyDescent="0.25"/>
    <row r="2670" ht="15" customHeight="1" x14ac:dyDescent="0.25"/>
    <row r="2671" ht="15" customHeight="1" x14ac:dyDescent="0.25"/>
    <row r="2672" ht="15" customHeight="1" x14ac:dyDescent="0.25"/>
    <row r="2673" ht="15" customHeight="1" x14ac:dyDescent="0.25"/>
    <row r="2674" ht="15" customHeight="1" x14ac:dyDescent="0.25"/>
    <row r="2675" ht="15" customHeight="1" x14ac:dyDescent="0.25"/>
    <row r="2676" ht="15" customHeight="1" x14ac:dyDescent="0.25"/>
    <row r="2677" ht="15" customHeight="1" x14ac:dyDescent="0.25"/>
    <row r="2678" ht="15" customHeight="1" x14ac:dyDescent="0.25"/>
    <row r="2679" ht="15" customHeight="1" x14ac:dyDescent="0.25"/>
    <row r="2680" ht="15" customHeight="1" x14ac:dyDescent="0.25"/>
    <row r="2681" ht="15" customHeight="1" x14ac:dyDescent="0.25"/>
    <row r="2682" ht="15" customHeight="1" x14ac:dyDescent="0.25"/>
    <row r="2683" ht="15" customHeight="1" x14ac:dyDescent="0.25"/>
    <row r="2684" ht="15" customHeight="1" x14ac:dyDescent="0.25"/>
    <row r="2685" ht="15" customHeight="1" x14ac:dyDescent="0.25"/>
    <row r="2686" ht="15" customHeight="1" x14ac:dyDescent="0.25"/>
    <row r="2687" ht="15" customHeight="1" x14ac:dyDescent="0.25"/>
    <row r="2689" ht="15" customHeight="1" x14ac:dyDescent="0.25"/>
    <row r="2690" ht="15" customHeight="1" x14ac:dyDescent="0.25"/>
    <row r="2691" ht="15" customHeight="1" x14ac:dyDescent="0.25"/>
    <row r="2692" ht="15" customHeight="1" x14ac:dyDescent="0.25"/>
    <row r="2693" ht="15" customHeight="1" x14ac:dyDescent="0.25"/>
    <row r="2694" ht="15" customHeight="1" x14ac:dyDescent="0.25"/>
    <row r="2695" ht="15" customHeight="1" x14ac:dyDescent="0.25"/>
    <row r="2696" ht="15" customHeight="1" x14ac:dyDescent="0.25"/>
    <row r="2697" ht="15" customHeight="1" x14ac:dyDescent="0.25"/>
    <row r="2698" ht="15" customHeight="1" x14ac:dyDescent="0.25"/>
    <row r="2699" ht="15" customHeight="1" x14ac:dyDescent="0.25"/>
    <row r="2700" ht="15" customHeight="1" x14ac:dyDescent="0.25"/>
    <row r="2701" ht="15" customHeight="1" x14ac:dyDescent="0.25"/>
    <row r="2702" ht="15" customHeight="1" x14ac:dyDescent="0.25"/>
    <row r="2703" ht="15" customHeight="1" x14ac:dyDescent="0.25"/>
    <row r="2704" ht="15" customHeight="1" x14ac:dyDescent="0.25"/>
    <row r="2705" spans="2:32" x14ac:dyDescent="0.25">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x14ac:dyDescent="0.25">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x14ac:dyDescent="0.25"/>
    <row r="2708" spans="2:32" ht="15" customHeight="1" x14ac:dyDescent="0.25"/>
    <row r="2709" spans="2:32" ht="15" customHeight="1" x14ac:dyDescent="0.25"/>
    <row r="2710" spans="2:32" ht="15" customHeight="1" x14ac:dyDescent="0.25"/>
    <row r="2711" spans="2:32" ht="15" customHeight="1" x14ac:dyDescent="0.25"/>
    <row r="2712" spans="2:32" ht="15" customHeight="1" x14ac:dyDescent="0.25"/>
    <row r="2713" spans="2:32" ht="15" customHeight="1" x14ac:dyDescent="0.25"/>
    <row r="2714" spans="2:32" ht="15" customHeight="1" x14ac:dyDescent="0.25"/>
    <row r="2715" spans="2:32" ht="15" customHeight="1" x14ac:dyDescent="0.25"/>
    <row r="2716" spans="2:32" ht="15" customHeight="1" x14ac:dyDescent="0.25"/>
    <row r="2717" spans="2:32" ht="15" customHeight="1" x14ac:dyDescent="0.25"/>
    <row r="2718" spans="2:32" ht="15" customHeight="1" x14ac:dyDescent="0.25">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x14ac:dyDescent="0.25">
      <c r="B2719" s="84"/>
      <c r="C2719" s="84"/>
      <c r="D2719" s="84"/>
      <c r="E2719" s="84"/>
      <c r="F2719" s="84"/>
      <c r="G2719" s="84"/>
      <c r="H2719" s="84"/>
      <c r="I2719" s="84"/>
      <c r="J2719" s="84"/>
      <c r="K2719" s="84"/>
      <c r="L2719" s="84"/>
      <c r="M2719" s="84"/>
      <c r="N2719" s="84"/>
      <c r="O2719" s="84"/>
      <c r="P2719" s="84"/>
      <c r="Q2719" s="84"/>
      <c r="R2719" s="84"/>
      <c r="S2719" s="84"/>
      <c r="T2719" s="84"/>
      <c r="U2719" s="84"/>
      <c r="V2719" s="84"/>
      <c r="W2719" s="84"/>
      <c r="X2719" s="84"/>
      <c r="Y2719" s="84"/>
      <c r="Z2719" s="84"/>
      <c r="AA2719" s="84"/>
      <c r="AB2719" s="84"/>
      <c r="AC2719" s="84"/>
      <c r="AD2719" s="84"/>
      <c r="AE2719" s="84"/>
      <c r="AF2719" s="84"/>
    </row>
    <row r="2720" spans="2:32" ht="15" customHeight="1" x14ac:dyDescent="0.25"/>
    <row r="2721" ht="15" customHeight="1" x14ac:dyDescent="0.25"/>
    <row r="2722" ht="15" customHeight="1" x14ac:dyDescent="0.25"/>
    <row r="2723" ht="15" customHeight="1" x14ac:dyDescent="0.25"/>
    <row r="2724" ht="15" customHeight="1" x14ac:dyDescent="0.25"/>
    <row r="2725" ht="15" customHeight="1" x14ac:dyDescent="0.25"/>
    <row r="2726" ht="15" customHeight="1" x14ac:dyDescent="0.25"/>
    <row r="2727" ht="15" customHeight="1" x14ac:dyDescent="0.25"/>
    <row r="2728" ht="15" customHeight="1" x14ac:dyDescent="0.25"/>
    <row r="2729" ht="15" customHeight="1" x14ac:dyDescent="0.25"/>
    <row r="2730" ht="15" customHeight="1" x14ac:dyDescent="0.25"/>
    <row r="2731" ht="15" customHeight="1" x14ac:dyDescent="0.25"/>
    <row r="2732" ht="15" customHeight="1" x14ac:dyDescent="0.25"/>
    <row r="2733" ht="15" customHeight="1" x14ac:dyDescent="0.25"/>
    <row r="2734" ht="15" customHeight="1" x14ac:dyDescent="0.25"/>
    <row r="2735" ht="15" customHeight="1" x14ac:dyDescent="0.25"/>
    <row r="2736" ht="15" customHeight="1" x14ac:dyDescent="0.25"/>
    <row r="2737" ht="15" customHeight="1" x14ac:dyDescent="0.25"/>
    <row r="2738" ht="15" customHeight="1" x14ac:dyDescent="0.25"/>
    <row r="2739" ht="15" customHeight="1" x14ac:dyDescent="0.25"/>
    <row r="2740" ht="15" customHeight="1" x14ac:dyDescent="0.25"/>
    <row r="2741" ht="15" customHeight="1" x14ac:dyDescent="0.25"/>
    <row r="2742" ht="15" customHeight="1" x14ac:dyDescent="0.25"/>
    <row r="2743" ht="15" customHeight="1" x14ac:dyDescent="0.25"/>
    <row r="2775" ht="15" customHeight="1" x14ac:dyDescent="0.25"/>
    <row r="2776" ht="15" customHeight="1" x14ac:dyDescent="0.25"/>
    <row r="2777" ht="15" customHeight="1" x14ac:dyDescent="0.25"/>
    <row r="2778" ht="15" customHeight="1" x14ac:dyDescent="0.25"/>
    <row r="2779" ht="15" customHeight="1" x14ac:dyDescent="0.25"/>
    <row r="2780" ht="15" customHeight="1" x14ac:dyDescent="0.25"/>
    <row r="2781" ht="15" customHeight="1" x14ac:dyDescent="0.25"/>
    <row r="2782" ht="15" customHeight="1" x14ac:dyDescent="0.25"/>
    <row r="2783" ht="15" customHeight="1" x14ac:dyDescent="0.25"/>
    <row r="2784" ht="15" customHeight="1" x14ac:dyDescent="0.25"/>
    <row r="2785" ht="15" customHeight="1" x14ac:dyDescent="0.25"/>
    <row r="2786" ht="15" customHeight="1" x14ac:dyDescent="0.25"/>
    <row r="2788" ht="15" customHeight="1" x14ac:dyDescent="0.25"/>
    <row r="2789" ht="15" customHeight="1" x14ac:dyDescent="0.25"/>
    <row r="2790" ht="15" customHeight="1" x14ac:dyDescent="0.25"/>
    <row r="2791" ht="15" customHeight="1" x14ac:dyDescent="0.25"/>
    <row r="2793" ht="15" customHeight="1" x14ac:dyDescent="0.25"/>
    <row r="2794" ht="15" customHeight="1" x14ac:dyDescent="0.25"/>
    <row r="2795" ht="15" customHeight="1" x14ac:dyDescent="0.25"/>
    <row r="2796" ht="15" customHeight="1" x14ac:dyDescent="0.25"/>
    <row r="2797" ht="15" customHeight="1" x14ac:dyDescent="0.25"/>
    <row r="2798" ht="15" customHeight="1" x14ac:dyDescent="0.25"/>
    <row r="2799" ht="15" customHeight="1" x14ac:dyDescent="0.25"/>
    <row r="2800" ht="15" customHeight="1" x14ac:dyDescent="0.25"/>
    <row r="2801" ht="15" customHeight="1" x14ac:dyDescent="0.25"/>
    <row r="2802" ht="15" customHeight="1" x14ac:dyDescent="0.25"/>
    <row r="2804" ht="15" customHeight="1" x14ac:dyDescent="0.25"/>
    <row r="2805" ht="15" customHeight="1" x14ac:dyDescent="0.25"/>
    <row r="2806" ht="15" customHeight="1" x14ac:dyDescent="0.25"/>
    <row r="2807" ht="15" customHeight="1" x14ac:dyDescent="0.25"/>
    <row r="2809" ht="15" customHeight="1" x14ac:dyDescent="0.25"/>
    <row r="2810" ht="15" customHeight="1" x14ac:dyDescent="0.25"/>
    <row r="2811" ht="15" customHeight="1" x14ac:dyDescent="0.25"/>
    <row r="2812" ht="15" customHeight="1" x14ac:dyDescent="0.25"/>
    <row r="2813" ht="15" customHeight="1" x14ac:dyDescent="0.25"/>
    <row r="2814" ht="15" customHeight="1" x14ac:dyDescent="0.25"/>
    <row r="2815" ht="15" customHeight="1" x14ac:dyDescent="0.25"/>
    <row r="2816" ht="15" customHeight="1" x14ac:dyDescent="0.25"/>
    <row r="2818" ht="15" customHeight="1" x14ac:dyDescent="0.25"/>
    <row r="2819" ht="15" customHeight="1" x14ac:dyDescent="0.25"/>
    <row r="2820" ht="15" customHeight="1" x14ac:dyDescent="0.25"/>
    <row r="2821" ht="15" customHeight="1" x14ac:dyDescent="0.25"/>
    <row r="2822" ht="15" customHeight="1" x14ac:dyDescent="0.25"/>
    <row r="2823" ht="15" customHeight="1" x14ac:dyDescent="0.25"/>
    <row r="2825" ht="15" customHeight="1" x14ac:dyDescent="0.25"/>
    <row r="2826" ht="15" customHeight="1" x14ac:dyDescent="0.25"/>
    <row r="2827" ht="15" customHeight="1" x14ac:dyDescent="0.25"/>
    <row r="2828" ht="15" customHeight="1" x14ac:dyDescent="0.25"/>
    <row r="2831" ht="15" customHeight="1" x14ac:dyDescent="0.25"/>
    <row r="2832" ht="15" customHeight="1" x14ac:dyDescent="0.25"/>
    <row r="2833" spans="2:32" ht="15" customHeight="1" x14ac:dyDescent="0.25"/>
    <row r="2834" spans="2:32" ht="15" customHeight="1" x14ac:dyDescent="0.25"/>
    <row r="2835" spans="2:32" ht="15" customHeight="1" x14ac:dyDescent="0.25"/>
    <row r="2836" spans="2:32" ht="15" customHeight="1" x14ac:dyDescent="0.25">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x14ac:dyDescent="0.25">
      <c r="B2837" s="84"/>
      <c r="C2837" s="84"/>
      <c r="D2837" s="84"/>
      <c r="E2837" s="84"/>
      <c r="F2837" s="84"/>
      <c r="G2837" s="84"/>
      <c r="H2837" s="84"/>
      <c r="I2837" s="84"/>
      <c r="J2837" s="84"/>
      <c r="K2837" s="84"/>
      <c r="L2837" s="84"/>
      <c r="M2837" s="84"/>
      <c r="N2837" s="84"/>
      <c r="O2837" s="84"/>
      <c r="P2837" s="84"/>
      <c r="Q2837" s="84"/>
      <c r="R2837" s="84"/>
      <c r="S2837" s="84"/>
      <c r="T2837" s="84"/>
      <c r="U2837" s="84"/>
      <c r="V2837" s="84"/>
      <c r="W2837" s="84"/>
      <c r="X2837" s="84"/>
      <c r="Y2837" s="84"/>
      <c r="Z2837" s="84"/>
      <c r="AA2837" s="84"/>
      <c r="AB2837" s="84"/>
      <c r="AC2837" s="84"/>
      <c r="AD2837" s="84"/>
      <c r="AE2837" s="84"/>
      <c r="AF2837" s="84"/>
    </row>
    <row r="2838" spans="2:32" ht="15" customHeight="1" x14ac:dyDescent="0.25"/>
    <row r="2839" spans="2:32" ht="15" customHeight="1" x14ac:dyDescent="0.25"/>
    <row r="2840" spans="2:32" ht="15" customHeight="1" x14ac:dyDescent="0.25"/>
    <row r="2841" spans="2:32" ht="15" customHeight="1" x14ac:dyDescent="0.25"/>
  </sheetData>
  <mergeCells count="20">
    <mergeCell ref="B2719:AF2719"/>
    <mergeCell ref="B2837:AF2837"/>
    <mergeCell ref="B2031:AF2031"/>
    <mergeCell ref="B2153:AF2153"/>
    <mergeCell ref="B2317:AF2317"/>
    <mergeCell ref="B2419:AF2419"/>
    <mergeCell ref="B2509:AF2509"/>
    <mergeCell ref="B2598:AF2598"/>
    <mergeCell ref="B146:AG146"/>
    <mergeCell ref="B1945:AF1945"/>
    <mergeCell ref="B308:AF308"/>
    <mergeCell ref="B511:AF511"/>
    <mergeCell ref="B712:AF712"/>
    <mergeCell ref="B887:AF887"/>
    <mergeCell ref="B1101:AF1101"/>
    <mergeCell ref="B1229:AF1229"/>
    <mergeCell ref="B1390:AF1390"/>
    <mergeCell ref="B1502:AF1502"/>
    <mergeCell ref="B1604:AF1604"/>
    <mergeCell ref="B1699:AF1699"/>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A52C6-BB8B-4D28-A028-8787C804DFED}">
  <dimension ref="A1:AG2841"/>
  <sheetViews>
    <sheetView topLeftCell="B1" workbookViewId="0">
      <selection activeCell="B10" sqref="B10:AG143"/>
    </sheetView>
  </sheetViews>
  <sheetFormatPr defaultColWidth="8.7109375" defaultRowHeight="15" x14ac:dyDescent="0.25"/>
  <cols>
    <col min="1" max="1" width="21.42578125" hidden="1" customWidth="1"/>
    <col min="2" max="2" width="46.7109375" customWidth="1"/>
  </cols>
  <sheetData>
    <row r="1" spans="1:33" ht="15" customHeight="1" thickBot="1" x14ac:dyDescent="0.3">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x14ac:dyDescent="0.25"/>
    <row r="3" spans="1:33" ht="15" customHeight="1" x14ac:dyDescent="0.25">
      <c r="C3" s="31" t="s">
        <v>36</v>
      </c>
      <c r="D3" s="31" t="s">
        <v>314</v>
      </c>
      <c r="E3" s="31"/>
      <c r="F3" s="31"/>
      <c r="G3" s="31"/>
    </row>
    <row r="4" spans="1:33" ht="15" customHeight="1" x14ac:dyDescent="0.25">
      <c r="C4" s="31" t="s">
        <v>35</v>
      </c>
      <c r="D4" s="31" t="s">
        <v>315</v>
      </c>
      <c r="E4" s="31"/>
      <c r="F4" s="31"/>
      <c r="G4" s="31" t="s">
        <v>316</v>
      </c>
    </row>
    <row r="5" spans="1:33" ht="15" customHeight="1" x14ac:dyDescent="0.25">
      <c r="C5" s="31" t="s">
        <v>33</v>
      </c>
      <c r="D5" s="31" t="s">
        <v>317</v>
      </c>
      <c r="E5" s="31"/>
      <c r="F5" s="31"/>
      <c r="G5" s="31"/>
    </row>
    <row r="6" spans="1:33" ht="15" customHeight="1" x14ac:dyDescent="0.25">
      <c r="C6" s="31" t="s">
        <v>32</v>
      </c>
      <c r="D6" s="31"/>
      <c r="E6" s="31" t="s">
        <v>318</v>
      </c>
      <c r="F6" s="31"/>
      <c r="G6" s="31"/>
    </row>
    <row r="10" spans="1:33" ht="15" customHeight="1" x14ac:dyDescent="0.25">
      <c r="A10" s="6" t="s">
        <v>138</v>
      </c>
      <c r="B10" s="15" t="s">
        <v>139</v>
      </c>
      <c r="AG10" s="36" t="s">
        <v>319</v>
      </c>
    </row>
    <row r="11" spans="1:33" ht="15" customHeight="1" x14ac:dyDescent="0.25">
      <c r="B11" s="13" t="s">
        <v>320</v>
      </c>
      <c r="AG11" s="36" t="s">
        <v>321</v>
      </c>
    </row>
    <row r="12" spans="1:33" ht="15" customHeight="1" x14ac:dyDescent="0.25">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x14ac:dyDescent="0.3">
      <c r="B13" s="14" t="s">
        <v>140</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x14ac:dyDescent="0.25"/>
    <row r="15" spans="1:33" ht="15" customHeight="1" x14ac:dyDescent="0.25">
      <c r="B15" s="16" t="s">
        <v>141</v>
      </c>
    </row>
    <row r="16" spans="1:33" ht="15" customHeight="1" x14ac:dyDescent="0.25">
      <c r="A16" s="6" t="s">
        <v>142</v>
      </c>
      <c r="B16" s="17" t="s">
        <v>143</v>
      </c>
      <c r="C16" s="25">
        <v>21.519539000000002</v>
      </c>
      <c r="D16" s="25">
        <v>23.171989</v>
      </c>
      <c r="E16" s="25">
        <v>22.882878999999999</v>
      </c>
      <c r="F16" s="25">
        <v>22.879546999999999</v>
      </c>
      <c r="G16" s="25">
        <v>22.814679999999999</v>
      </c>
      <c r="H16" s="25">
        <v>22.860277</v>
      </c>
      <c r="I16" s="25">
        <v>23.090302000000001</v>
      </c>
      <c r="J16" s="25">
        <v>23.526861</v>
      </c>
      <c r="K16" s="25">
        <v>24.041060999999999</v>
      </c>
      <c r="L16" s="25">
        <v>24.518084999999999</v>
      </c>
      <c r="M16" s="25">
        <v>24.986616000000001</v>
      </c>
      <c r="N16" s="25">
        <v>25.594235999999999</v>
      </c>
      <c r="O16" s="25">
        <v>26.029458999999999</v>
      </c>
      <c r="P16" s="25">
        <v>26.333237</v>
      </c>
      <c r="Q16" s="25">
        <v>26.526838000000001</v>
      </c>
      <c r="R16" s="25">
        <v>26.637015999999999</v>
      </c>
      <c r="S16" s="25">
        <v>26.823605000000001</v>
      </c>
      <c r="T16" s="25">
        <v>27.044892999999998</v>
      </c>
      <c r="U16" s="25">
        <v>27.215188999999999</v>
      </c>
      <c r="V16" s="25">
        <v>27.495535</v>
      </c>
      <c r="W16" s="25">
        <v>27.787013999999999</v>
      </c>
      <c r="X16" s="25">
        <v>28.060248999999999</v>
      </c>
      <c r="Y16" s="25">
        <v>28.415534999999998</v>
      </c>
      <c r="Z16" s="25">
        <v>28.739542</v>
      </c>
      <c r="AA16" s="25">
        <v>28.873835</v>
      </c>
      <c r="AB16" s="25">
        <v>28.852163000000001</v>
      </c>
      <c r="AC16" s="25">
        <v>28.765711</v>
      </c>
      <c r="AD16" s="25">
        <v>28.699755</v>
      </c>
      <c r="AE16" s="25">
        <v>28.682410999999998</v>
      </c>
      <c r="AF16" s="25">
        <v>28.628247999999999</v>
      </c>
      <c r="AG16" s="19">
        <v>9.8910000000000005E-3</v>
      </c>
    </row>
    <row r="17" spans="1:33" ht="15" customHeight="1" x14ac:dyDescent="0.25">
      <c r="A17" s="6" t="s">
        <v>144</v>
      </c>
      <c r="B17" s="17" t="s">
        <v>145</v>
      </c>
      <c r="C17" s="25">
        <v>21.744820000000001</v>
      </c>
      <c r="D17" s="25">
        <v>22.068128999999999</v>
      </c>
      <c r="E17" s="25">
        <v>21.495360999999999</v>
      </c>
      <c r="F17" s="25">
        <v>22.810974000000002</v>
      </c>
      <c r="G17" s="25">
        <v>23.416267000000001</v>
      </c>
      <c r="H17" s="25">
        <v>23.953699</v>
      </c>
      <c r="I17" s="25">
        <v>24.605654000000001</v>
      </c>
      <c r="J17" s="25">
        <v>24.700975</v>
      </c>
      <c r="K17" s="25">
        <v>24.801642999999999</v>
      </c>
      <c r="L17" s="25">
        <v>24.726500999999999</v>
      </c>
      <c r="M17" s="25">
        <v>24.89443</v>
      </c>
      <c r="N17" s="25">
        <v>25.006917999999999</v>
      </c>
      <c r="O17" s="25">
        <v>25.067779999999999</v>
      </c>
      <c r="P17" s="25">
        <v>25.021007999999998</v>
      </c>
      <c r="Q17" s="25">
        <v>25.012953</v>
      </c>
      <c r="R17" s="25">
        <v>25.030716000000002</v>
      </c>
      <c r="S17" s="25">
        <v>25.173168</v>
      </c>
      <c r="T17" s="25">
        <v>25.266403</v>
      </c>
      <c r="U17" s="25">
        <v>25.269179999999999</v>
      </c>
      <c r="V17" s="25">
        <v>25.488142</v>
      </c>
      <c r="W17" s="25">
        <v>25.65202</v>
      </c>
      <c r="X17" s="25">
        <v>25.722313</v>
      </c>
      <c r="Y17" s="25">
        <v>25.994267000000001</v>
      </c>
      <c r="Z17" s="25">
        <v>26.257401000000002</v>
      </c>
      <c r="AA17" s="25">
        <v>26.239376</v>
      </c>
      <c r="AB17" s="25">
        <v>26.421462999999999</v>
      </c>
      <c r="AC17" s="25">
        <v>26.391459999999999</v>
      </c>
      <c r="AD17" s="25">
        <v>26.301579</v>
      </c>
      <c r="AE17" s="25">
        <v>26.372859999999999</v>
      </c>
      <c r="AF17" s="25">
        <v>26.23348</v>
      </c>
      <c r="AG17" s="19">
        <v>6.4920000000000004E-3</v>
      </c>
    </row>
    <row r="18" spans="1:33" ht="15" customHeight="1" x14ac:dyDescent="0.25">
      <c r="A18" s="6" t="s">
        <v>146</v>
      </c>
      <c r="B18" s="17" t="s">
        <v>147</v>
      </c>
      <c r="C18" s="25">
        <v>11.714767</v>
      </c>
      <c r="D18" s="25">
        <v>12.151939</v>
      </c>
      <c r="E18" s="25">
        <v>11.530189</v>
      </c>
      <c r="F18" s="25">
        <v>11.049291</v>
      </c>
      <c r="G18" s="25">
        <v>10.738747999999999</v>
      </c>
      <c r="H18" s="25">
        <v>10.557093999999999</v>
      </c>
      <c r="I18" s="25">
        <v>10.430873999999999</v>
      </c>
      <c r="J18" s="25">
        <v>10.569336</v>
      </c>
      <c r="K18" s="25">
        <v>10.733542</v>
      </c>
      <c r="L18" s="25">
        <v>10.824615</v>
      </c>
      <c r="M18" s="25">
        <v>10.916719000000001</v>
      </c>
      <c r="N18" s="25">
        <v>11.249624000000001</v>
      </c>
      <c r="O18" s="25">
        <v>11.388998000000001</v>
      </c>
      <c r="P18" s="25">
        <v>11.442094000000001</v>
      </c>
      <c r="Q18" s="25">
        <v>11.442280999999999</v>
      </c>
      <c r="R18" s="25">
        <v>11.411037</v>
      </c>
      <c r="S18" s="25">
        <v>11.449185999999999</v>
      </c>
      <c r="T18" s="25">
        <v>11.482208</v>
      </c>
      <c r="U18" s="25">
        <v>11.520953</v>
      </c>
      <c r="V18" s="25">
        <v>11.549916</v>
      </c>
      <c r="W18" s="25">
        <v>11.630534000000001</v>
      </c>
      <c r="X18" s="25">
        <v>11.626328000000001</v>
      </c>
      <c r="Y18" s="25">
        <v>11.591697</v>
      </c>
      <c r="Z18" s="25">
        <v>11.577318</v>
      </c>
      <c r="AA18" s="25">
        <v>11.548356</v>
      </c>
      <c r="AB18" s="25">
        <v>11.546086000000001</v>
      </c>
      <c r="AC18" s="25">
        <v>11.550601</v>
      </c>
      <c r="AD18" s="25">
        <v>11.556094999999999</v>
      </c>
      <c r="AE18" s="25">
        <v>11.593724999999999</v>
      </c>
      <c r="AF18" s="25">
        <v>11.616578000000001</v>
      </c>
      <c r="AG18" s="19">
        <v>-2.9E-4</v>
      </c>
    </row>
    <row r="19" spans="1:33" ht="15" customHeight="1" x14ac:dyDescent="0.25">
      <c r="A19" s="6" t="s">
        <v>148</v>
      </c>
      <c r="B19" s="17" t="s">
        <v>149</v>
      </c>
      <c r="C19" s="25">
        <v>38.762390000000003</v>
      </c>
      <c r="D19" s="25">
        <v>38.520023000000002</v>
      </c>
      <c r="E19" s="25">
        <v>38.213290999999998</v>
      </c>
      <c r="F19" s="25">
        <v>37.571396</v>
      </c>
      <c r="G19" s="25">
        <v>37.389544999999998</v>
      </c>
      <c r="H19" s="25">
        <v>37.544311999999998</v>
      </c>
      <c r="I19" s="25">
        <v>37.608688000000001</v>
      </c>
      <c r="J19" s="25">
        <v>37.677120000000002</v>
      </c>
      <c r="K19" s="25">
        <v>37.800606000000002</v>
      </c>
      <c r="L19" s="25">
        <v>37.826484999999998</v>
      </c>
      <c r="M19" s="25">
        <v>37.956969999999998</v>
      </c>
      <c r="N19" s="25">
        <v>38.120724000000003</v>
      </c>
      <c r="O19" s="25">
        <v>38.280704</v>
      </c>
      <c r="P19" s="25">
        <v>38.361744000000002</v>
      </c>
      <c r="Q19" s="25">
        <v>38.052211999999997</v>
      </c>
      <c r="R19" s="25">
        <v>37.810265000000001</v>
      </c>
      <c r="S19" s="25">
        <v>37.659115</v>
      </c>
      <c r="T19" s="25">
        <v>37.508750999999997</v>
      </c>
      <c r="U19" s="25">
        <v>37.363532999999997</v>
      </c>
      <c r="V19" s="25">
        <v>37.418816</v>
      </c>
      <c r="W19" s="25">
        <v>37.326819999999998</v>
      </c>
      <c r="X19" s="25">
        <v>37.339638000000001</v>
      </c>
      <c r="Y19" s="25">
        <v>37.170746000000001</v>
      </c>
      <c r="Z19" s="25">
        <v>37.042541999999997</v>
      </c>
      <c r="AA19" s="25">
        <v>37.059157999999996</v>
      </c>
      <c r="AB19" s="25">
        <v>36.817813999999998</v>
      </c>
      <c r="AC19" s="25">
        <v>36.777476999999998</v>
      </c>
      <c r="AD19" s="25">
        <v>36.656680999999999</v>
      </c>
      <c r="AE19" s="25">
        <v>36.538505999999998</v>
      </c>
      <c r="AF19" s="25">
        <v>36.290455000000001</v>
      </c>
      <c r="AG19" s="19">
        <v>-2.2699999999999999E-3</v>
      </c>
    </row>
    <row r="20" spans="1:33" ht="15" customHeight="1" x14ac:dyDescent="0.25"/>
    <row r="21" spans="1:33" ht="15" customHeight="1" x14ac:dyDescent="0.25">
      <c r="B21" s="16" t="s">
        <v>150</v>
      </c>
    </row>
    <row r="22" spans="1:33" ht="15" customHeight="1" x14ac:dyDescent="0.25">
      <c r="A22" s="6" t="s">
        <v>151</v>
      </c>
      <c r="B22" s="17" t="s">
        <v>143</v>
      </c>
      <c r="C22" s="25">
        <v>18.822289999999999</v>
      </c>
      <c r="D22" s="25">
        <v>19.715876000000002</v>
      </c>
      <c r="E22" s="25">
        <v>18.120463999999998</v>
      </c>
      <c r="F22" s="25">
        <v>18.024939</v>
      </c>
      <c r="G22" s="25">
        <v>17.919872000000002</v>
      </c>
      <c r="H22" s="25">
        <v>18.009079</v>
      </c>
      <c r="I22" s="25">
        <v>18.3034</v>
      </c>
      <c r="J22" s="25">
        <v>18.778172000000001</v>
      </c>
      <c r="K22" s="25">
        <v>19.233488000000001</v>
      </c>
      <c r="L22" s="25">
        <v>19.571338999999998</v>
      </c>
      <c r="M22" s="25">
        <v>19.902462</v>
      </c>
      <c r="N22" s="25">
        <v>20.432221999999999</v>
      </c>
      <c r="O22" s="25">
        <v>20.743967000000001</v>
      </c>
      <c r="P22" s="25">
        <v>20.877276999999999</v>
      </c>
      <c r="Q22" s="25">
        <v>20.929076999999999</v>
      </c>
      <c r="R22" s="25">
        <v>20.949825000000001</v>
      </c>
      <c r="S22" s="25">
        <v>21.118493999999998</v>
      </c>
      <c r="T22" s="25">
        <v>21.305202000000001</v>
      </c>
      <c r="U22" s="25">
        <v>21.400407999999999</v>
      </c>
      <c r="V22" s="25">
        <v>21.663758999999999</v>
      </c>
      <c r="W22" s="25">
        <v>21.891473999999999</v>
      </c>
      <c r="X22" s="25">
        <v>22.078979</v>
      </c>
      <c r="Y22" s="25">
        <v>22.382663999999998</v>
      </c>
      <c r="Z22" s="25">
        <v>22.604012000000001</v>
      </c>
      <c r="AA22" s="25">
        <v>22.578735000000002</v>
      </c>
      <c r="AB22" s="25">
        <v>22.440573000000001</v>
      </c>
      <c r="AC22" s="25">
        <v>22.312597</v>
      </c>
      <c r="AD22" s="25">
        <v>22.263029</v>
      </c>
      <c r="AE22" s="25">
        <v>22.278421000000002</v>
      </c>
      <c r="AF22" s="25">
        <v>22.221496999999999</v>
      </c>
      <c r="AG22" s="19">
        <v>5.7409999999999996E-3</v>
      </c>
    </row>
    <row r="23" spans="1:33" ht="15" customHeight="1" x14ac:dyDescent="0.25">
      <c r="A23" s="6" t="s">
        <v>152</v>
      </c>
      <c r="B23" s="17" t="s">
        <v>145</v>
      </c>
      <c r="C23" s="25">
        <v>21.823187000000001</v>
      </c>
      <c r="D23" s="25">
        <v>22.151240999999999</v>
      </c>
      <c r="E23" s="25">
        <v>20.410336999999998</v>
      </c>
      <c r="F23" s="25">
        <v>20.680358999999999</v>
      </c>
      <c r="G23" s="25">
        <v>20.203226000000001</v>
      </c>
      <c r="H23" s="25">
        <v>19.669412999999999</v>
      </c>
      <c r="I23" s="25">
        <v>19.257957000000001</v>
      </c>
      <c r="J23" s="25">
        <v>19.355927999999999</v>
      </c>
      <c r="K23" s="25">
        <v>19.454554000000002</v>
      </c>
      <c r="L23" s="25">
        <v>19.407744999999998</v>
      </c>
      <c r="M23" s="25">
        <v>19.577158000000001</v>
      </c>
      <c r="N23" s="25">
        <v>20.015388000000002</v>
      </c>
      <c r="O23" s="25">
        <v>20.072495</v>
      </c>
      <c r="P23" s="25">
        <v>20.035830000000001</v>
      </c>
      <c r="Q23" s="25">
        <v>20.077394000000002</v>
      </c>
      <c r="R23" s="25">
        <v>20.092907</v>
      </c>
      <c r="S23" s="25">
        <v>20.242428</v>
      </c>
      <c r="T23" s="25">
        <v>20.340592999999998</v>
      </c>
      <c r="U23" s="25">
        <v>20.341208999999999</v>
      </c>
      <c r="V23" s="25">
        <v>20.574266000000001</v>
      </c>
      <c r="W23" s="25">
        <v>20.738567</v>
      </c>
      <c r="X23" s="25">
        <v>20.811585999999998</v>
      </c>
      <c r="Y23" s="25">
        <v>21.077397999999999</v>
      </c>
      <c r="Z23" s="25">
        <v>21.340584</v>
      </c>
      <c r="AA23" s="25">
        <v>21.334831000000001</v>
      </c>
      <c r="AB23" s="25">
        <v>21.519756000000001</v>
      </c>
      <c r="AC23" s="25">
        <v>21.496528999999999</v>
      </c>
      <c r="AD23" s="25">
        <v>21.407710999999999</v>
      </c>
      <c r="AE23" s="25">
        <v>21.483561999999999</v>
      </c>
      <c r="AF23" s="25">
        <v>21.350731</v>
      </c>
      <c r="AG23" s="19">
        <v>-7.54E-4</v>
      </c>
    </row>
    <row r="24" spans="1:33" ht="15" customHeight="1" x14ac:dyDescent="0.25">
      <c r="A24" s="6" t="s">
        <v>153</v>
      </c>
      <c r="B24" s="17" t="s">
        <v>154</v>
      </c>
      <c r="C24" s="25">
        <v>6.5100579999999999</v>
      </c>
      <c r="D24" s="25">
        <v>7.5571320000000002</v>
      </c>
      <c r="E24" s="25">
        <v>7.5076260000000001</v>
      </c>
      <c r="F24" s="25">
        <v>8.7682140000000004</v>
      </c>
      <c r="G24" s="25">
        <v>9.385942</v>
      </c>
      <c r="H24" s="25">
        <v>9.9388869999999994</v>
      </c>
      <c r="I24" s="25">
        <v>10.723703</v>
      </c>
      <c r="J24" s="25">
        <v>10.872849</v>
      </c>
      <c r="K24" s="25">
        <v>10.957001999999999</v>
      </c>
      <c r="L24" s="25">
        <v>11.106604000000001</v>
      </c>
      <c r="M24" s="25">
        <v>11.208329000000001</v>
      </c>
      <c r="N24" s="25">
        <v>11.39804</v>
      </c>
      <c r="O24" s="25">
        <v>11.494227</v>
      </c>
      <c r="P24" s="25">
        <v>11.57103</v>
      </c>
      <c r="Q24" s="25">
        <v>11.595969999999999</v>
      </c>
      <c r="R24" s="25">
        <v>11.640589</v>
      </c>
      <c r="S24" s="25">
        <v>11.608359999999999</v>
      </c>
      <c r="T24" s="25">
        <v>11.717171</v>
      </c>
      <c r="U24" s="25">
        <v>11.650703999999999</v>
      </c>
      <c r="V24" s="25">
        <v>12.228127000000001</v>
      </c>
      <c r="W24" s="25">
        <v>12.351459</v>
      </c>
      <c r="X24" s="25">
        <v>12.376053000000001</v>
      </c>
      <c r="Y24" s="25">
        <v>12.620767000000001</v>
      </c>
      <c r="Z24" s="25">
        <v>12.870324999999999</v>
      </c>
      <c r="AA24" s="25">
        <v>12.911318</v>
      </c>
      <c r="AB24" s="25">
        <v>13.078761999999999</v>
      </c>
      <c r="AC24" s="25">
        <v>13.098419</v>
      </c>
      <c r="AD24" s="25">
        <v>13.071736</v>
      </c>
      <c r="AE24" s="25">
        <v>13.146095000000001</v>
      </c>
      <c r="AF24" s="25">
        <v>13.070271999999999</v>
      </c>
      <c r="AG24" s="19">
        <v>2.4324999999999999E-2</v>
      </c>
    </row>
    <row r="25" spans="1:33" ht="15" customHeight="1" x14ac:dyDescent="0.25">
      <c r="A25" s="6" t="s">
        <v>155</v>
      </c>
      <c r="B25" s="17" t="s">
        <v>147</v>
      </c>
      <c r="C25" s="25">
        <v>8.4425779999999992</v>
      </c>
      <c r="D25" s="25">
        <v>8.8186400000000003</v>
      </c>
      <c r="E25" s="25">
        <v>8.4970009999999991</v>
      </c>
      <c r="F25" s="25">
        <v>8.1806230000000006</v>
      </c>
      <c r="G25" s="25">
        <v>8.0178919999999998</v>
      </c>
      <c r="H25" s="25">
        <v>7.970574</v>
      </c>
      <c r="I25" s="25">
        <v>7.9628040000000002</v>
      </c>
      <c r="J25" s="25">
        <v>8.0838149999999995</v>
      </c>
      <c r="K25" s="25">
        <v>8.2239009999999997</v>
      </c>
      <c r="L25" s="25">
        <v>8.2933249999999994</v>
      </c>
      <c r="M25" s="25">
        <v>8.3639290000000006</v>
      </c>
      <c r="N25" s="25">
        <v>8.5710899999999999</v>
      </c>
      <c r="O25" s="25">
        <v>8.6705909999999999</v>
      </c>
      <c r="P25" s="25">
        <v>8.6985139999999994</v>
      </c>
      <c r="Q25" s="25">
        <v>8.6712369999999996</v>
      </c>
      <c r="R25" s="25">
        <v>8.6270919999999993</v>
      </c>
      <c r="S25" s="25">
        <v>8.6517119999999998</v>
      </c>
      <c r="T25" s="25">
        <v>8.6734170000000006</v>
      </c>
      <c r="U25" s="25">
        <v>8.7012110000000007</v>
      </c>
      <c r="V25" s="25">
        <v>8.7203239999999997</v>
      </c>
      <c r="W25" s="25">
        <v>8.7892930000000007</v>
      </c>
      <c r="X25" s="25">
        <v>8.7741849999999992</v>
      </c>
      <c r="Y25" s="25">
        <v>8.7288960000000007</v>
      </c>
      <c r="Z25" s="25">
        <v>8.7058060000000008</v>
      </c>
      <c r="AA25" s="25">
        <v>8.6689620000000005</v>
      </c>
      <c r="AB25" s="25">
        <v>8.6579730000000001</v>
      </c>
      <c r="AC25" s="25">
        <v>8.6548890000000007</v>
      </c>
      <c r="AD25" s="25">
        <v>8.6534859999999991</v>
      </c>
      <c r="AE25" s="25">
        <v>8.6836369999999992</v>
      </c>
      <c r="AF25" s="25">
        <v>8.7002330000000008</v>
      </c>
      <c r="AG25" s="19">
        <v>1.0369999999999999E-3</v>
      </c>
    </row>
    <row r="26" spans="1:33" ht="15" customHeight="1" x14ac:dyDescent="0.25">
      <c r="A26" s="6" t="s">
        <v>156</v>
      </c>
      <c r="B26" s="17" t="s">
        <v>149</v>
      </c>
      <c r="C26" s="25">
        <v>33.230530000000002</v>
      </c>
      <c r="D26" s="25">
        <v>32.918514000000002</v>
      </c>
      <c r="E26" s="25">
        <v>32.008311999999997</v>
      </c>
      <c r="F26" s="25">
        <v>31.329121000000001</v>
      </c>
      <c r="G26" s="25">
        <v>31.108647999999999</v>
      </c>
      <c r="H26" s="25">
        <v>31.226942000000001</v>
      </c>
      <c r="I26" s="25">
        <v>31.192585000000001</v>
      </c>
      <c r="J26" s="25">
        <v>31.205448000000001</v>
      </c>
      <c r="K26" s="25">
        <v>31.239993999999999</v>
      </c>
      <c r="L26" s="25">
        <v>31.164197999999999</v>
      </c>
      <c r="M26" s="25">
        <v>31.207338</v>
      </c>
      <c r="N26" s="25">
        <v>31.252337000000001</v>
      </c>
      <c r="O26" s="25">
        <v>31.384094000000001</v>
      </c>
      <c r="P26" s="25">
        <v>31.392914000000001</v>
      </c>
      <c r="Q26" s="25">
        <v>31.002915999999999</v>
      </c>
      <c r="R26" s="25">
        <v>30.702438000000001</v>
      </c>
      <c r="S26" s="25">
        <v>30.551656999999999</v>
      </c>
      <c r="T26" s="25">
        <v>30.342772</v>
      </c>
      <c r="U26" s="25">
        <v>30.176033</v>
      </c>
      <c r="V26" s="25">
        <v>30.204934999999999</v>
      </c>
      <c r="W26" s="25">
        <v>30.056618</v>
      </c>
      <c r="X26" s="25">
        <v>30.057528000000001</v>
      </c>
      <c r="Y26" s="25">
        <v>29.873531</v>
      </c>
      <c r="Z26" s="25">
        <v>29.691974999999999</v>
      </c>
      <c r="AA26" s="25">
        <v>29.655783</v>
      </c>
      <c r="AB26" s="25">
        <v>29.391348000000001</v>
      </c>
      <c r="AC26" s="25">
        <v>29.304863000000001</v>
      </c>
      <c r="AD26" s="25">
        <v>29.157902</v>
      </c>
      <c r="AE26" s="25">
        <v>29.036933999999999</v>
      </c>
      <c r="AF26" s="25">
        <v>28.768715</v>
      </c>
      <c r="AG26" s="19">
        <v>-4.9589999999999999E-3</v>
      </c>
    </row>
    <row r="27" spans="1:33" ht="15" customHeight="1" x14ac:dyDescent="0.25"/>
    <row r="28" spans="1:33" ht="15" customHeight="1" x14ac:dyDescent="0.25">
      <c r="B28" s="16" t="s">
        <v>157</v>
      </c>
    </row>
    <row r="29" spans="1:33" ht="15" customHeight="1" x14ac:dyDescent="0.25">
      <c r="A29" s="6" t="s">
        <v>158</v>
      </c>
      <c r="B29" s="17" t="s">
        <v>143</v>
      </c>
      <c r="C29" s="25">
        <v>13.663833</v>
      </c>
      <c r="D29" s="25">
        <v>14.357594000000001</v>
      </c>
      <c r="E29" s="25">
        <v>12.540751999999999</v>
      </c>
      <c r="F29" s="25">
        <v>12.504602</v>
      </c>
      <c r="G29" s="25">
        <v>12.409207</v>
      </c>
      <c r="H29" s="25">
        <v>12.512104000000001</v>
      </c>
      <c r="I29" s="25">
        <v>12.822186</v>
      </c>
      <c r="J29" s="25">
        <v>13.316794</v>
      </c>
      <c r="K29" s="25">
        <v>13.784143</v>
      </c>
      <c r="L29" s="25">
        <v>14.126072000000001</v>
      </c>
      <c r="M29" s="25">
        <v>14.469291</v>
      </c>
      <c r="N29" s="25">
        <v>14.762370000000001</v>
      </c>
      <c r="O29" s="25">
        <v>15.093699000000001</v>
      </c>
      <c r="P29" s="25">
        <v>15.225082</v>
      </c>
      <c r="Q29" s="25">
        <v>15.235613000000001</v>
      </c>
      <c r="R29" s="25">
        <v>15.257844</v>
      </c>
      <c r="S29" s="25">
        <v>15.447799</v>
      </c>
      <c r="T29" s="25">
        <v>15.651039000000001</v>
      </c>
      <c r="U29" s="25">
        <v>15.74879</v>
      </c>
      <c r="V29" s="25">
        <v>16.043150000000001</v>
      </c>
      <c r="W29" s="25">
        <v>16.289669</v>
      </c>
      <c r="X29" s="25">
        <v>16.491389999999999</v>
      </c>
      <c r="Y29" s="25">
        <v>16.830480999999999</v>
      </c>
      <c r="Z29" s="25">
        <v>17.069897000000001</v>
      </c>
      <c r="AA29" s="25">
        <v>17.026378999999999</v>
      </c>
      <c r="AB29" s="25">
        <v>16.866844</v>
      </c>
      <c r="AC29" s="25">
        <v>16.727716000000001</v>
      </c>
      <c r="AD29" s="25">
        <v>16.679976</v>
      </c>
      <c r="AE29" s="25">
        <v>16.703078999999999</v>
      </c>
      <c r="AF29" s="25">
        <v>16.638475</v>
      </c>
      <c r="AG29" s="19">
        <v>6.8149999999999999E-3</v>
      </c>
    </row>
    <row r="30" spans="1:33" ht="15" customHeight="1" x14ac:dyDescent="0.25">
      <c r="A30" s="6" t="s">
        <v>159</v>
      </c>
      <c r="B30" s="17" t="s">
        <v>145</v>
      </c>
      <c r="C30" s="25">
        <v>21.752379999999999</v>
      </c>
      <c r="D30" s="25">
        <v>22.072089999999999</v>
      </c>
      <c r="E30" s="25">
        <v>20.410429000000001</v>
      </c>
      <c r="F30" s="25">
        <v>20.646559</v>
      </c>
      <c r="G30" s="25">
        <v>20.162946999999999</v>
      </c>
      <c r="H30" s="25">
        <v>19.615082000000001</v>
      </c>
      <c r="I30" s="25">
        <v>19.183277</v>
      </c>
      <c r="J30" s="25">
        <v>19.286733999999999</v>
      </c>
      <c r="K30" s="25">
        <v>19.397879</v>
      </c>
      <c r="L30" s="25">
        <v>19.367228000000001</v>
      </c>
      <c r="M30" s="25">
        <v>19.537780999999999</v>
      </c>
      <c r="N30" s="25">
        <v>19.664978000000001</v>
      </c>
      <c r="O30" s="25">
        <v>19.740728000000001</v>
      </c>
      <c r="P30" s="25">
        <v>19.708300000000001</v>
      </c>
      <c r="Q30" s="25">
        <v>19.713743000000001</v>
      </c>
      <c r="R30" s="25">
        <v>19.732658000000001</v>
      </c>
      <c r="S30" s="25">
        <v>19.883741000000001</v>
      </c>
      <c r="T30" s="25">
        <v>19.985137999999999</v>
      </c>
      <c r="U30" s="25">
        <v>19.992160999999999</v>
      </c>
      <c r="V30" s="25">
        <v>20.237798999999999</v>
      </c>
      <c r="W30" s="25">
        <v>20.408805999999998</v>
      </c>
      <c r="X30" s="25">
        <v>20.488091000000001</v>
      </c>
      <c r="Y30" s="25">
        <v>20.759394</v>
      </c>
      <c r="Z30" s="25">
        <v>21.023619</v>
      </c>
      <c r="AA30" s="25">
        <v>21.028748</v>
      </c>
      <c r="AB30" s="25">
        <v>21.221026999999999</v>
      </c>
      <c r="AC30" s="25">
        <v>21.206429</v>
      </c>
      <c r="AD30" s="25">
        <v>21.123951000000002</v>
      </c>
      <c r="AE30" s="25">
        <v>21.206486000000002</v>
      </c>
      <c r="AF30" s="25">
        <v>21.081644000000001</v>
      </c>
      <c r="AG30" s="19">
        <v>-1.0790000000000001E-3</v>
      </c>
    </row>
    <row r="31" spans="1:33" x14ac:dyDescent="0.25">
      <c r="A31" s="6" t="s">
        <v>160</v>
      </c>
      <c r="B31" s="17" t="s">
        <v>154</v>
      </c>
      <c r="C31" s="25">
        <v>7.0922299999999998</v>
      </c>
      <c r="D31" s="25">
        <v>8.2939620000000005</v>
      </c>
      <c r="E31" s="25">
        <v>8.4533079999999998</v>
      </c>
      <c r="F31" s="25">
        <v>9.9419559999999993</v>
      </c>
      <c r="G31" s="25">
        <v>10.752402999999999</v>
      </c>
      <c r="H31" s="25">
        <v>11.551449</v>
      </c>
      <c r="I31" s="25">
        <v>12.545612</v>
      </c>
      <c r="J31" s="25">
        <v>12.711119999999999</v>
      </c>
      <c r="K31" s="25">
        <v>12.829575999999999</v>
      </c>
      <c r="L31" s="25">
        <v>12.988939</v>
      </c>
      <c r="M31" s="25">
        <v>13.118169</v>
      </c>
      <c r="N31" s="25">
        <v>13.329255</v>
      </c>
      <c r="O31" s="25">
        <v>13.446094</v>
      </c>
      <c r="P31" s="25">
        <v>13.510265</v>
      </c>
      <c r="Q31" s="25">
        <v>13.572782999999999</v>
      </c>
      <c r="R31" s="25">
        <v>13.618667</v>
      </c>
      <c r="S31" s="25">
        <v>13.563599</v>
      </c>
      <c r="T31" s="25">
        <v>13.682615999999999</v>
      </c>
      <c r="U31" s="25">
        <v>13.633998999999999</v>
      </c>
      <c r="V31" s="25">
        <v>14.207245</v>
      </c>
      <c r="W31" s="25">
        <v>14.34065</v>
      </c>
      <c r="X31" s="25">
        <v>14.376683999999999</v>
      </c>
      <c r="Y31" s="25">
        <v>14.61781</v>
      </c>
      <c r="Z31" s="25">
        <v>14.86674</v>
      </c>
      <c r="AA31" s="25">
        <v>14.907736</v>
      </c>
      <c r="AB31" s="25">
        <v>15.082319</v>
      </c>
      <c r="AC31" s="25">
        <v>15.10018</v>
      </c>
      <c r="AD31" s="25">
        <v>15.080287999999999</v>
      </c>
      <c r="AE31" s="25">
        <v>15.156901</v>
      </c>
      <c r="AF31" s="25">
        <v>15.086491000000001</v>
      </c>
      <c r="AG31" s="19">
        <v>2.6369E-2</v>
      </c>
    </row>
    <row r="32" spans="1:33" x14ac:dyDescent="0.25">
      <c r="A32" s="6" t="s">
        <v>161</v>
      </c>
      <c r="B32" s="17" t="s">
        <v>162</v>
      </c>
      <c r="C32" s="25">
        <v>5.0712760000000001</v>
      </c>
      <c r="D32" s="25">
        <v>4.843464</v>
      </c>
      <c r="E32" s="25">
        <v>4.5120310000000003</v>
      </c>
      <c r="F32" s="25">
        <v>4.1554070000000003</v>
      </c>
      <c r="G32" s="25">
        <v>3.9805540000000001</v>
      </c>
      <c r="H32" s="25">
        <v>3.9263050000000002</v>
      </c>
      <c r="I32" s="25">
        <v>3.957039</v>
      </c>
      <c r="J32" s="25">
        <v>4.1145550000000002</v>
      </c>
      <c r="K32" s="25">
        <v>4.2619189999999998</v>
      </c>
      <c r="L32" s="25">
        <v>4.3481649999999998</v>
      </c>
      <c r="M32" s="25">
        <v>4.405538</v>
      </c>
      <c r="N32" s="25">
        <v>4.4050820000000002</v>
      </c>
      <c r="O32" s="25">
        <v>4.5017959999999997</v>
      </c>
      <c r="P32" s="25">
        <v>4.5067820000000003</v>
      </c>
      <c r="Q32" s="25">
        <v>4.436007</v>
      </c>
      <c r="R32" s="25">
        <v>4.3852440000000001</v>
      </c>
      <c r="S32" s="25">
        <v>4.3839329999999999</v>
      </c>
      <c r="T32" s="25">
        <v>4.4058349999999997</v>
      </c>
      <c r="U32" s="25">
        <v>4.4264789999999996</v>
      </c>
      <c r="V32" s="25">
        <v>4.4488719999999997</v>
      </c>
      <c r="W32" s="25">
        <v>4.5032389999999998</v>
      </c>
      <c r="X32" s="25">
        <v>4.5105209999999998</v>
      </c>
      <c r="Y32" s="25">
        <v>4.4475110000000004</v>
      </c>
      <c r="Z32" s="25">
        <v>4.4126279999999998</v>
      </c>
      <c r="AA32" s="25">
        <v>4.3397050000000004</v>
      </c>
      <c r="AB32" s="25">
        <v>4.3096290000000002</v>
      </c>
      <c r="AC32" s="25">
        <v>4.2911510000000002</v>
      </c>
      <c r="AD32" s="25">
        <v>4.2856820000000004</v>
      </c>
      <c r="AE32" s="25">
        <v>4.2957679999999998</v>
      </c>
      <c r="AF32" s="25">
        <v>4.3037200000000002</v>
      </c>
      <c r="AG32" s="19">
        <v>-5.6429999999999996E-3</v>
      </c>
    </row>
    <row r="33" spans="1:33" x14ac:dyDescent="0.25">
      <c r="A33" s="6" t="s">
        <v>163</v>
      </c>
      <c r="B33" s="17" t="s">
        <v>164</v>
      </c>
      <c r="C33" s="25">
        <v>3.9278590000000002</v>
      </c>
      <c r="D33" s="25">
        <v>3.5188109999999999</v>
      </c>
      <c r="E33" s="25">
        <v>3.3476979999999998</v>
      </c>
      <c r="F33" s="25">
        <v>3.1883330000000001</v>
      </c>
      <c r="G33" s="25">
        <v>3.0981640000000001</v>
      </c>
      <c r="H33" s="25">
        <v>3.0374970000000001</v>
      </c>
      <c r="I33" s="25">
        <v>3.0094270000000001</v>
      </c>
      <c r="J33" s="25">
        <v>3.0049709999999998</v>
      </c>
      <c r="K33" s="25">
        <v>3.0161980000000002</v>
      </c>
      <c r="L33" s="25">
        <v>3.0408119999999998</v>
      </c>
      <c r="M33" s="25">
        <v>3.0632079999999999</v>
      </c>
      <c r="N33" s="25">
        <v>3.0941109999999998</v>
      </c>
      <c r="O33" s="25">
        <v>3.112654</v>
      </c>
      <c r="P33" s="25">
        <v>3.12921</v>
      </c>
      <c r="Q33" s="25">
        <v>3.151268</v>
      </c>
      <c r="R33" s="25">
        <v>3.1732849999999999</v>
      </c>
      <c r="S33" s="25">
        <v>3.1994729999999998</v>
      </c>
      <c r="T33" s="25">
        <v>3.2216550000000002</v>
      </c>
      <c r="U33" s="25">
        <v>3.243439</v>
      </c>
      <c r="V33" s="25">
        <v>3.2680319999999998</v>
      </c>
      <c r="W33" s="25">
        <v>3.2877169999999998</v>
      </c>
      <c r="X33" s="25">
        <v>3.3065359999999999</v>
      </c>
      <c r="Y33" s="25">
        <v>3.3300299999999998</v>
      </c>
      <c r="Z33" s="25">
        <v>3.3564620000000001</v>
      </c>
      <c r="AA33" s="25">
        <v>3.3831509999999998</v>
      </c>
      <c r="AB33" s="25">
        <v>3.4100950000000001</v>
      </c>
      <c r="AC33" s="25">
        <v>3.4367239999999999</v>
      </c>
      <c r="AD33" s="25">
        <v>3.4589189999999999</v>
      </c>
      <c r="AE33" s="25">
        <v>3.4835039999999999</v>
      </c>
      <c r="AF33" s="25">
        <v>3.5086189999999999</v>
      </c>
      <c r="AG33" s="19">
        <v>-3.885E-3</v>
      </c>
    </row>
    <row r="34" spans="1:33" x14ac:dyDescent="0.25">
      <c r="A34" s="6" t="s">
        <v>165</v>
      </c>
      <c r="B34" s="17" t="s">
        <v>166</v>
      </c>
      <c r="C34" s="25">
        <v>2.7294890000000001</v>
      </c>
      <c r="D34" s="25">
        <v>2.6812749999999999</v>
      </c>
      <c r="E34" s="25">
        <v>2.6905429999999999</v>
      </c>
      <c r="F34" s="25">
        <v>2.6940870000000001</v>
      </c>
      <c r="G34" s="25">
        <v>2.6956470000000001</v>
      </c>
      <c r="H34" s="25">
        <v>2.6893959999999999</v>
      </c>
      <c r="I34" s="25">
        <v>2.6776430000000002</v>
      </c>
      <c r="J34" s="25">
        <v>2.675602</v>
      </c>
      <c r="K34" s="25">
        <v>2.6753939999999998</v>
      </c>
      <c r="L34" s="25">
        <v>2.6768879999999999</v>
      </c>
      <c r="M34" s="25">
        <v>2.6771919999999998</v>
      </c>
      <c r="N34" s="25">
        <v>2.6817190000000002</v>
      </c>
      <c r="O34" s="25">
        <v>2.687179</v>
      </c>
      <c r="P34" s="25">
        <v>2.68689</v>
      </c>
      <c r="Q34" s="25">
        <v>2.6759909999999998</v>
      </c>
      <c r="R34" s="25">
        <v>2.6713420000000001</v>
      </c>
      <c r="S34" s="25">
        <v>2.6660509999999999</v>
      </c>
      <c r="T34" s="25">
        <v>2.6639900000000001</v>
      </c>
      <c r="U34" s="25">
        <v>2.670385</v>
      </c>
      <c r="V34" s="25">
        <v>2.6727479999999999</v>
      </c>
      <c r="W34" s="25">
        <v>2.6784309999999998</v>
      </c>
      <c r="X34" s="25">
        <v>2.6771639999999999</v>
      </c>
      <c r="Y34" s="25">
        <v>2.6752799999999999</v>
      </c>
      <c r="Z34" s="25">
        <v>2.6798109999999999</v>
      </c>
      <c r="AA34" s="25">
        <v>2.6825350000000001</v>
      </c>
      <c r="AB34" s="25">
        <v>2.6850320000000001</v>
      </c>
      <c r="AC34" s="25">
        <v>2.6847880000000002</v>
      </c>
      <c r="AD34" s="25">
        <v>2.6833800000000001</v>
      </c>
      <c r="AE34" s="25">
        <v>2.684288</v>
      </c>
      <c r="AF34" s="25">
        <v>2.68431</v>
      </c>
      <c r="AG34" s="19">
        <v>-5.7499999999999999E-4</v>
      </c>
    </row>
    <row r="35" spans="1:33" x14ac:dyDescent="0.25">
      <c r="A35" s="6" t="s">
        <v>167</v>
      </c>
      <c r="B35" s="17" t="s">
        <v>168</v>
      </c>
      <c r="C35" s="25" t="s">
        <v>305</v>
      </c>
      <c r="D35" s="25" t="s">
        <v>305</v>
      </c>
      <c r="E35" s="25" t="s">
        <v>305</v>
      </c>
      <c r="F35" s="25" t="s">
        <v>305</v>
      </c>
      <c r="G35" s="25" t="s">
        <v>305</v>
      </c>
      <c r="H35" s="25" t="s">
        <v>305</v>
      </c>
      <c r="I35" s="25" t="s">
        <v>305</v>
      </c>
      <c r="J35" s="25" t="s">
        <v>305</v>
      </c>
      <c r="K35" s="25" t="s">
        <v>305</v>
      </c>
      <c r="L35" s="25" t="s">
        <v>305</v>
      </c>
      <c r="M35" s="25" t="s">
        <v>305</v>
      </c>
      <c r="N35" s="25" t="s">
        <v>305</v>
      </c>
      <c r="O35" s="25" t="s">
        <v>305</v>
      </c>
      <c r="P35" s="25" t="s">
        <v>305</v>
      </c>
      <c r="Q35" s="25" t="s">
        <v>305</v>
      </c>
      <c r="R35" s="25" t="s">
        <v>305</v>
      </c>
      <c r="S35" s="25" t="s">
        <v>305</v>
      </c>
      <c r="T35" s="25" t="s">
        <v>305</v>
      </c>
      <c r="U35" s="25" t="s">
        <v>305</v>
      </c>
      <c r="V35" s="25" t="s">
        <v>305</v>
      </c>
      <c r="W35" s="25" t="s">
        <v>305</v>
      </c>
      <c r="X35" s="25" t="s">
        <v>305</v>
      </c>
      <c r="Y35" s="25" t="s">
        <v>305</v>
      </c>
      <c r="Z35" s="25" t="s">
        <v>305</v>
      </c>
      <c r="AA35" s="25" t="s">
        <v>305</v>
      </c>
      <c r="AB35" s="25" t="s">
        <v>305</v>
      </c>
      <c r="AC35" s="25" t="s">
        <v>305</v>
      </c>
      <c r="AD35" s="25" t="s">
        <v>305</v>
      </c>
      <c r="AE35" s="25" t="s">
        <v>305</v>
      </c>
      <c r="AF35" s="25" t="s">
        <v>305</v>
      </c>
      <c r="AG35" s="19" t="s">
        <v>305</v>
      </c>
    </row>
    <row r="36" spans="1:33" x14ac:dyDescent="0.25">
      <c r="A36" s="6" t="s">
        <v>169</v>
      </c>
      <c r="B36" s="17" t="s">
        <v>149</v>
      </c>
      <c r="C36" s="25">
        <v>21.954326999999999</v>
      </c>
      <c r="D36" s="25">
        <v>21.585381999999999</v>
      </c>
      <c r="E36" s="25">
        <v>20.592312</v>
      </c>
      <c r="F36" s="25">
        <v>19.991261999999999</v>
      </c>
      <c r="G36" s="25">
        <v>19.767326000000001</v>
      </c>
      <c r="H36" s="25">
        <v>19.610733</v>
      </c>
      <c r="I36" s="25">
        <v>19.560320000000001</v>
      </c>
      <c r="J36" s="25">
        <v>19.572056</v>
      </c>
      <c r="K36" s="25">
        <v>19.607358999999999</v>
      </c>
      <c r="L36" s="25">
        <v>19.590821999999999</v>
      </c>
      <c r="M36" s="25">
        <v>19.607412</v>
      </c>
      <c r="N36" s="25">
        <v>19.627659000000001</v>
      </c>
      <c r="O36" s="25">
        <v>19.631359</v>
      </c>
      <c r="P36" s="25">
        <v>19.629396</v>
      </c>
      <c r="Q36" s="25">
        <v>19.429189999999998</v>
      </c>
      <c r="R36" s="25">
        <v>19.290569000000001</v>
      </c>
      <c r="S36" s="25">
        <v>19.131826</v>
      </c>
      <c r="T36" s="25">
        <v>19.040081000000001</v>
      </c>
      <c r="U36" s="25">
        <v>18.936440000000001</v>
      </c>
      <c r="V36" s="25">
        <v>18.923027000000001</v>
      </c>
      <c r="W36" s="25">
        <v>18.863256</v>
      </c>
      <c r="X36" s="25">
        <v>18.807621000000001</v>
      </c>
      <c r="Y36" s="25">
        <v>18.641673999999998</v>
      </c>
      <c r="Z36" s="25">
        <v>18.541803000000002</v>
      </c>
      <c r="AA36" s="25">
        <v>18.475939</v>
      </c>
      <c r="AB36" s="25">
        <v>18.302622</v>
      </c>
      <c r="AC36" s="25">
        <v>18.235422</v>
      </c>
      <c r="AD36" s="25">
        <v>18.142365000000002</v>
      </c>
      <c r="AE36" s="25">
        <v>18.062515000000001</v>
      </c>
      <c r="AF36" s="25">
        <v>17.956862999999998</v>
      </c>
      <c r="AG36" s="19">
        <v>-6.9069999999999999E-3</v>
      </c>
    </row>
    <row r="38" spans="1:33" x14ac:dyDescent="0.25">
      <c r="B38" s="16" t="s">
        <v>170</v>
      </c>
    </row>
    <row r="39" spans="1:33" x14ac:dyDescent="0.25">
      <c r="A39" s="6" t="s">
        <v>171</v>
      </c>
      <c r="B39" s="17" t="s">
        <v>143</v>
      </c>
      <c r="C39" s="25">
        <v>17.771591000000001</v>
      </c>
      <c r="D39" s="25">
        <v>18.268834999999999</v>
      </c>
      <c r="E39" s="25">
        <v>16.727415000000001</v>
      </c>
      <c r="F39" s="25">
        <v>16.714047999999998</v>
      </c>
      <c r="G39" s="25">
        <v>16.63475</v>
      </c>
      <c r="H39" s="25">
        <v>16.724779000000002</v>
      </c>
      <c r="I39" s="25">
        <v>16.989108999999999</v>
      </c>
      <c r="J39" s="25">
        <v>17.403635000000001</v>
      </c>
      <c r="K39" s="25">
        <v>17.787141999999999</v>
      </c>
      <c r="L39" s="25">
        <v>18.062943000000001</v>
      </c>
      <c r="M39" s="25">
        <v>18.338911</v>
      </c>
      <c r="N39" s="25">
        <v>18.912962</v>
      </c>
      <c r="O39" s="25">
        <v>19.174692</v>
      </c>
      <c r="P39" s="25">
        <v>19.274258</v>
      </c>
      <c r="Q39" s="25">
        <v>19.327058999999998</v>
      </c>
      <c r="R39" s="25">
        <v>19.342784999999999</v>
      </c>
      <c r="S39" s="25">
        <v>19.492384000000001</v>
      </c>
      <c r="T39" s="25">
        <v>19.649984</v>
      </c>
      <c r="U39" s="25">
        <v>19.722977</v>
      </c>
      <c r="V39" s="25">
        <v>19.951733000000001</v>
      </c>
      <c r="W39" s="25">
        <v>20.139430999999998</v>
      </c>
      <c r="X39" s="25">
        <v>20.291405000000001</v>
      </c>
      <c r="Y39" s="25">
        <v>20.549433000000001</v>
      </c>
      <c r="Z39" s="25">
        <v>20.727775999999999</v>
      </c>
      <c r="AA39" s="25">
        <v>20.689185999999999</v>
      </c>
      <c r="AB39" s="25">
        <v>20.564271999999999</v>
      </c>
      <c r="AC39" s="25">
        <v>20.456610000000001</v>
      </c>
      <c r="AD39" s="25">
        <v>20.419739</v>
      </c>
      <c r="AE39" s="25">
        <v>20.436654999999998</v>
      </c>
      <c r="AF39" s="25">
        <v>20.384316999999999</v>
      </c>
      <c r="AG39" s="19">
        <v>4.7410000000000004E-3</v>
      </c>
    </row>
    <row r="40" spans="1:33" x14ac:dyDescent="0.25">
      <c r="A40" s="6" t="s">
        <v>172</v>
      </c>
      <c r="B40" s="17" t="s">
        <v>173</v>
      </c>
      <c r="C40" s="25">
        <v>25.787903</v>
      </c>
      <c r="D40" s="25">
        <v>25.761244000000001</v>
      </c>
      <c r="E40" s="25">
        <v>25.495864999999998</v>
      </c>
      <c r="F40" s="25">
        <v>25.212344999999999</v>
      </c>
      <c r="G40" s="25">
        <v>24.975625999999998</v>
      </c>
      <c r="H40" s="25">
        <v>25.043126999999998</v>
      </c>
      <c r="I40" s="25">
        <v>25.355228</v>
      </c>
      <c r="J40" s="25">
        <v>25.594719000000001</v>
      </c>
      <c r="K40" s="25">
        <v>25.777564999999999</v>
      </c>
      <c r="L40" s="25">
        <v>26.200195000000001</v>
      </c>
      <c r="M40" s="25">
        <v>26.276876000000001</v>
      </c>
      <c r="N40" s="25">
        <v>27.198093</v>
      </c>
      <c r="O40" s="25">
        <v>27.413271000000002</v>
      </c>
      <c r="P40" s="25">
        <v>27.550775999999999</v>
      </c>
      <c r="Q40" s="25">
        <v>27.680271000000001</v>
      </c>
      <c r="R40" s="25">
        <v>27.711462000000001</v>
      </c>
      <c r="S40" s="25">
        <v>27.855463</v>
      </c>
      <c r="T40" s="25">
        <v>28.059764999999999</v>
      </c>
      <c r="U40" s="25">
        <v>28.008661</v>
      </c>
      <c r="V40" s="25">
        <v>28.442335</v>
      </c>
      <c r="W40" s="25">
        <v>28.682402</v>
      </c>
      <c r="X40" s="25">
        <v>28.964655</v>
      </c>
      <c r="Y40" s="25">
        <v>29.315156999999999</v>
      </c>
      <c r="Z40" s="25">
        <v>29.494403999999999</v>
      </c>
      <c r="AA40" s="25">
        <v>29.595737</v>
      </c>
      <c r="AB40" s="25">
        <v>29.879946</v>
      </c>
      <c r="AC40" s="25">
        <v>29.952456999999999</v>
      </c>
      <c r="AD40" s="25">
        <v>30.036066000000002</v>
      </c>
      <c r="AE40" s="25">
        <v>30.150231999999999</v>
      </c>
      <c r="AF40" s="25">
        <v>29.900158000000001</v>
      </c>
      <c r="AG40" s="19">
        <v>5.1149999999999998E-3</v>
      </c>
    </row>
    <row r="41" spans="1:33" x14ac:dyDescent="0.25">
      <c r="A41" s="6" t="s">
        <v>174</v>
      </c>
      <c r="B41" s="17" t="s">
        <v>175</v>
      </c>
      <c r="C41" s="25">
        <v>25.885534</v>
      </c>
      <c r="D41" s="25">
        <v>24.823554999999999</v>
      </c>
      <c r="E41" s="25">
        <v>21.931265</v>
      </c>
      <c r="F41" s="25">
        <v>21.752617000000001</v>
      </c>
      <c r="G41" s="25">
        <v>21.573097000000001</v>
      </c>
      <c r="H41" s="25">
        <v>21.630323000000001</v>
      </c>
      <c r="I41" s="25">
        <v>21.882795000000002</v>
      </c>
      <c r="J41" s="25">
        <v>22.068708000000001</v>
      </c>
      <c r="K41" s="25">
        <v>22.206301</v>
      </c>
      <c r="L41" s="25">
        <v>22.537537</v>
      </c>
      <c r="M41" s="25">
        <v>22.592310000000001</v>
      </c>
      <c r="N41" s="25">
        <v>23.553766</v>
      </c>
      <c r="O41" s="25">
        <v>23.718865999999998</v>
      </c>
      <c r="P41" s="25">
        <v>23.814568999999999</v>
      </c>
      <c r="Q41" s="25">
        <v>23.936171000000002</v>
      </c>
      <c r="R41" s="25">
        <v>23.943441</v>
      </c>
      <c r="S41" s="25">
        <v>24.047487</v>
      </c>
      <c r="T41" s="25">
        <v>24.204654999999999</v>
      </c>
      <c r="U41" s="25">
        <v>24.154181000000001</v>
      </c>
      <c r="V41" s="25">
        <v>24.491938000000001</v>
      </c>
      <c r="W41" s="25">
        <v>24.685376999999999</v>
      </c>
      <c r="X41" s="25">
        <v>24.854437000000001</v>
      </c>
      <c r="Y41" s="25">
        <v>25.146194000000001</v>
      </c>
      <c r="Z41" s="25">
        <v>25.343546</v>
      </c>
      <c r="AA41" s="25">
        <v>25.424524000000002</v>
      </c>
      <c r="AB41" s="25">
        <v>25.671301</v>
      </c>
      <c r="AC41" s="25">
        <v>25.718651000000001</v>
      </c>
      <c r="AD41" s="25">
        <v>25.792083999999999</v>
      </c>
      <c r="AE41" s="25">
        <v>25.879534</v>
      </c>
      <c r="AF41" s="25">
        <v>25.666084000000001</v>
      </c>
      <c r="AG41" s="19">
        <v>-2.9399999999999999E-4</v>
      </c>
    </row>
    <row r="42" spans="1:33" x14ac:dyDescent="0.25">
      <c r="A42" s="6" t="s">
        <v>176</v>
      </c>
      <c r="B42" s="17" t="s">
        <v>177</v>
      </c>
      <c r="C42" s="25">
        <v>14.720805</v>
      </c>
      <c r="D42" s="25">
        <v>15.38822</v>
      </c>
      <c r="E42" s="25">
        <v>14.073745000000001</v>
      </c>
      <c r="F42" s="25">
        <v>15.179766000000001</v>
      </c>
      <c r="G42" s="25">
        <v>15.292541999999999</v>
      </c>
      <c r="H42" s="25">
        <v>15.463751</v>
      </c>
      <c r="I42" s="25">
        <v>15.704660000000001</v>
      </c>
      <c r="J42" s="25">
        <v>15.898726</v>
      </c>
      <c r="K42" s="25">
        <v>16.052320000000002</v>
      </c>
      <c r="L42" s="25">
        <v>16.046509</v>
      </c>
      <c r="M42" s="25">
        <v>16.330721</v>
      </c>
      <c r="N42" s="25">
        <v>16.697517000000001</v>
      </c>
      <c r="O42" s="25">
        <v>16.757905999999998</v>
      </c>
      <c r="P42" s="25">
        <v>16.780107000000001</v>
      </c>
      <c r="Q42" s="25">
        <v>16.810594999999999</v>
      </c>
      <c r="R42" s="25">
        <v>16.876971999999999</v>
      </c>
      <c r="S42" s="25">
        <v>17.097425000000001</v>
      </c>
      <c r="T42" s="25">
        <v>17.235626</v>
      </c>
      <c r="U42" s="25">
        <v>17.279207</v>
      </c>
      <c r="V42" s="25">
        <v>17.533007000000001</v>
      </c>
      <c r="W42" s="25">
        <v>17.728833999999999</v>
      </c>
      <c r="X42" s="25">
        <v>17.813095000000001</v>
      </c>
      <c r="Y42" s="25">
        <v>18.115818000000001</v>
      </c>
      <c r="Z42" s="25">
        <v>18.40634</v>
      </c>
      <c r="AA42" s="25">
        <v>18.427332</v>
      </c>
      <c r="AB42" s="25">
        <v>18.612141000000001</v>
      </c>
      <c r="AC42" s="25">
        <v>18.622166</v>
      </c>
      <c r="AD42" s="25">
        <v>18.579236999999999</v>
      </c>
      <c r="AE42" s="25">
        <v>18.690104999999999</v>
      </c>
      <c r="AF42" s="25">
        <v>18.608125999999999</v>
      </c>
      <c r="AG42" s="19">
        <v>8.1130000000000004E-3</v>
      </c>
    </row>
    <row r="43" spans="1:33" x14ac:dyDescent="0.25">
      <c r="A43" s="6" t="s">
        <v>178</v>
      </c>
      <c r="B43" s="17" t="s">
        <v>179</v>
      </c>
      <c r="C43" s="25">
        <v>23.750263</v>
      </c>
      <c r="D43" s="25">
        <v>22.843326999999999</v>
      </c>
      <c r="E43" s="25">
        <v>21.936340000000001</v>
      </c>
      <c r="F43" s="25">
        <v>22.651623000000001</v>
      </c>
      <c r="G43" s="25">
        <v>22.721119000000002</v>
      </c>
      <c r="H43" s="25">
        <v>22.675623000000002</v>
      </c>
      <c r="I43" s="25">
        <v>22.731688999999999</v>
      </c>
      <c r="J43" s="25">
        <v>22.822958</v>
      </c>
      <c r="K43" s="25">
        <v>22.936223999999999</v>
      </c>
      <c r="L43" s="25">
        <v>22.910613999999999</v>
      </c>
      <c r="M43" s="25">
        <v>23.069980999999999</v>
      </c>
      <c r="N43" s="25">
        <v>23.535149000000001</v>
      </c>
      <c r="O43" s="25">
        <v>23.617864999999998</v>
      </c>
      <c r="P43" s="25">
        <v>23.558996</v>
      </c>
      <c r="Q43" s="25">
        <v>23.605259</v>
      </c>
      <c r="R43" s="25">
        <v>23.598023999999999</v>
      </c>
      <c r="S43" s="25">
        <v>23.764229</v>
      </c>
      <c r="T43" s="25">
        <v>23.864792000000001</v>
      </c>
      <c r="U43" s="25">
        <v>23.869284</v>
      </c>
      <c r="V43" s="25">
        <v>24.107859000000001</v>
      </c>
      <c r="W43" s="25">
        <v>24.278905999999999</v>
      </c>
      <c r="X43" s="25">
        <v>24.369807999999999</v>
      </c>
      <c r="Y43" s="25">
        <v>24.638463999999999</v>
      </c>
      <c r="Z43" s="25">
        <v>24.907893999999999</v>
      </c>
      <c r="AA43" s="25">
        <v>24.912158999999999</v>
      </c>
      <c r="AB43" s="25">
        <v>25.116586999999999</v>
      </c>
      <c r="AC43" s="25">
        <v>25.106068</v>
      </c>
      <c r="AD43" s="25">
        <v>25.002656999999999</v>
      </c>
      <c r="AE43" s="25">
        <v>25.088144</v>
      </c>
      <c r="AF43" s="25">
        <v>24.951025000000001</v>
      </c>
      <c r="AG43" s="19">
        <v>1.702E-3</v>
      </c>
    </row>
    <row r="44" spans="1:33" x14ac:dyDescent="0.25">
      <c r="A44" s="6" t="s">
        <v>180</v>
      </c>
      <c r="B44" s="17" t="s">
        <v>154</v>
      </c>
      <c r="C44" s="25">
        <v>12.357965999999999</v>
      </c>
      <c r="D44" s="25">
        <v>10.441763</v>
      </c>
      <c r="E44" s="25">
        <v>12.662357</v>
      </c>
      <c r="F44" s="25">
        <v>13.544411999999999</v>
      </c>
      <c r="G44" s="25">
        <v>13.756762999999999</v>
      </c>
      <c r="H44" s="25">
        <v>13.919001</v>
      </c>
      <c r="I44" s="25">
        <v>14.270379</v>
      </c>
      <c r="J44" s="25">
        <v>14.384391000000001</v>
      </c>
      <c r="K44" s="25">
        <v>14.458046</v>
      </c>
      <c r="L44" s="25">
        <v>14.603832000000001</v>
      </c>
      <c r="M44" s="25">
        <v>14.679204</v>
      </c>
      <c r="N44" s="25">
        <v>14.933182</v>
      </c>
      <c r="O44" s="25">
        <v>15.015419</v>
      </c>
      <c r="P44" s="25">
        <v>15.044872</v>
      </c>
      <c r="Q44" s="25">
        <v>15.107331</v>
      </c>
      <c r="R44" s="25">
        <v>15.142351</v>
      </c>
      <c r="S44" s="25">
        <v>15.144779</v>
      </c>
      <c r="T44" s="25">
        <v>15.235153</v>
      </c>
      <c r="U44" s="25">
        <v>15.196106</v>
      </c>
      <c r="V44" s="25">
        <v>15.646362</v>
      </c>
      <c r="W44" s="25">
        <v>15.738944999999999</v>
      </c>
      <c r="X44" s="25">
        <v>15.785648999999999</v>
      </c>
      <c r="Y44" s="25">
        <v>15.987933999999999</v>
      </c>
      <c r="Z44" s="25">
        <v>16.203949000000001</v>
      </c>
      <c r="AA44" s="25">
        <v>16.243936999999999</v>
      </c>
      <c r="AB44" s="25">
        <v>16.391148000000001</v>
      </c>
      <c r="AC44" s="25">
        <v>16.410231</v>
      </c>
      <c r="AD44" s="25">
        <v>16.386232</v>
      </c>
      <c r="AE44" s="25">
        <v>16.43816</v>
      </c>
      <c r="AF44" s="25">
        <v>16.369478000000001</v>
      </c>
      <c r="AG44" s="19">
        <v>9.7409999999999997E-3</v>
      </c>
    </row>
    <row r="45" spans="1:33" x14ac:dyDescent="0.25">
      <c r="A45" s="6" t="s">
        <v>181</v>
      </c>
      <c r="B45" s="17" t="s">
        <v>182</v>
      </c>
      <c r="C45" s="25">
        <v>14.654002999999999</v>
      </c>
      <c r="D45" s="25">
        <v>14.619699000000001</v>
      </c>
      <c r="E45" s="25">
        <v>13.872672</v>
      </c>
      <c r="F45" s="25">
        <v>13.306766</v>
      </c>
      <c r="G45" s="25">
        <v>12.89931</v>
      </c>
      <c r="H45" s="25">
        <v>12.541728000000001</v>
      </c>
      <c r="I45" s="25">
        <v>12.263358999999999</v>
      </c>
      <c r="J45" s="25">
        <v>12.130099</v>
      </c>
      <c r="K45" s="25">
        <v>12.005839</v>
      </c>
      <c r="L45" s="25">
        <v>11.846902</v>
      </c>
      <c r="M45" s="25">
        <v>11.685585</v>
      </c>
      <c r="N45" s="25">
        <v>12.332364</v>
      </c>
      <c r="O45" s="25">
        <v>12.244666</v>
      </c>
      <c r="P45" s="25">
        <v>12.103299</v>
      </c>
      <c r="Q45" s="25">
        <v>11.998526999999999</v>
      </c>
      <c r="R45" s="25">
        <v>11.817565999999999</v>
      </c>
      <c r="S45" s="25">
        <v>11.702035</v>
      </c>
      <c r="T45" s="25">
        <v>11.617929999999999</v>
      </c>
      <c r="U45" s="25">
        <v>11.537096999999999</v>
      </c>
      <c r="V45" s="25">
        <v>11.515666</v>
      </c>
      <c r="W45" s="25">
        <v>11.50357</v>
      </c>
      <c r="X45" s="25">
        <v>11.440135</v>
      </c>
      <c r="Y45" s="25">
        <v>11.341637</v>
      </c>
      <c r="Z45" s="25">
        <v>11.270405999999999</v>
      </c>
      <c r="AA45" s="25">
        <v>11.168049999999999</v>
      </c>
      <c r="AB45" s="25">
        <v>11.113301</v>
      </c>
      <c r="AC45" s="25">
        <v>11.064749000000001</v>
      </c>
      <c r="AD45" s="25">
        <v>11.018502</v>
      </c>
      <c r="AE45" s="25">
        <v>10.993929</v>
      </c>
      <c r="AF45" s="25">
        <v>10.952426000000001</v>
      </c>
      <c r="AG45" s="19">
        <v>-9.9900000000000006E-3</v>
      </c>
    </row>
    <row r="46" spans="1:33" x14ac:dyDescent="0.25">
      <c r="A46" s="6" t="s">
        <v>183</v>
      </c>
      <c r="B46" s="17" t="s">
        <v>149</v>
      </c>
      <c r="C46" s="25">
        <v>39.115726000000002</v>
      </c>
      <c r="D46" s="25">
        <v>39.616028</v>
      </c>
      <c r="E46" s="25">
        <v>38.115592999999997</v>
      </c>
      <c r="F46" s="25">
        <v>37.093181999999999</v>
      </c>
      <c r="G46" s="25">
        <v>37.086497999999999</v>
      </c>
      <c r="H46" s="25">
        <v>37.542118000000002</v>
      </c>
      <c r="I46" s="25">
        <v>37.558928999999999</v>
      </c>
      <c r="J46" s="25">
        <v>37.560974000000002</v>
      </c>
      <c r="K46" s="25">
        <v>37.509597999999997</v>
      </c>
      <c r="L46" s="25">
        <v>37.302562999999999</v>
      </c>
      <c r="M46" s="25">
        <v>37.303939999999997</v>
      </c>
      <c r="N46" s="25">
        <v>37.330086000000001</v>
      </c>
      <c r="O46" s="25">
        <v>37.461796</v>
      </c>
      <c r="P46" s="25">
        <v>37.336975000000002</v>
      </c>
      <c r="Q46" s="25">
        <v>36.881053999999999</v>
      </c>
      <c r="R46" s="25">
        <v>36.467250999999997</v>
      </c>
      <c r="S46" s="25">
        <v>36.202427</v>
      </c>
      <c r="T46" s="25">
        <v>35.905403</v>
      </c>
      <c r="U46" s="25">
        <v>35.639502999999998</v>
      </c>
      <c r="V46" s="25">
        <v>35.461379999999998</v>
      </c>
      <c r="W46" s="25">
        <v>35.281731000000001</v>
      </c>
      <c r="X46" s="25">
        <v>35.079762000000002</v>
      </c>
      <c r="Y46" s="25">
        <v>34.771469000000003</v>
      </c>
      <c r="Z46" s="25">
        <v>34.571162999999999</v>
      </c>
      <c r="AA46" s="25">
        <v>34.483638999999997</v>
      </c>
      <c r="AB46" s="25">
        <v>34.241878999999997</v>
      </c>
      <c r="AC46" s="25">
        <v>34.021766999999997</v>
      </c>
      <c r="AD46" s="25">
        <v>33.821972000000002</v>
      </c>
      <c r="AE46" s="25">
        <v>33.614403000000003</v>
      </c>
      <c r="AF46" s="25">
        <v>33.397739000000001</v>
      </c>
      <c r="AG46" s="19">
        <v>-5.4349999999999997E-3</v>
      </c>
    </row>
    <row r="48" spans="1:33" x14ac:dyDescent="0.25">
      <c r="B48" s="16" t="s">
        <v>184</v>
      </c>
    </row>
    <row r="49" spans="1:33" x14ac:dyDescent="0.25">
      <c r="A49" s="6" t="s">
        <v>185</v>
      </c>
      <c r="B49" s="17" t="s">
        <v>145</v>
      </c>
      <c r="C49" s="25">
        <v>21.749472000000001</v>
      </c>
      <c r="D49" s="25">
        <v>22.063303000000001</v>
      </c>
      <c r="E49" s="25">
        <v>20.153974999999999</v>
      </c>
      <c r="F49" s="25">
        <v>20.553830999999999</v>
      </c>
      <c r="G49" s="25">
        <v>19.961507999999998</v>
      </c>
      <c r="H49" s="25">
        <v>19.321975999999999</v>
      </c>
      <c r="I49" s="25">
        <v>18.867052000000001</v>
      </c>
      <c r="J49" s="25">
        <v>18.963041</v>
      </c>
      <c r="K49" s="25">
        <v>19.071278</v>
      </c>
      <c r="L49" s="25">
        <v>19.038746</v>
      </c>
      <c r="M49" s="25">
        <v>19.098368000000001</v>
      </c>
      <c r="N49" s="25">
        <v>19.294423999999999</v>
      </c>
      <c r="O49" s="25">
        <v>19.321995000000001</v>
      </c>
      <c r="P49" s="25">
        <v>19.367440999999999</v>
      </c>
      <c r="Q49" s="25">
        <v>19.355671000000001</v>
      </c>
      <c r="R49" s="25">
        <v>19.394863000000001</v>
      </c>
      <c r="S49" s="25">
        <v>19.574009</v>
      </c>
      <c r="T49" s="25">
        <v>19.640402000000002</v>
      </c>
      <c r="U49" s="25">
        <v>19.645766999999999</v>
      </c>
      <c r="V49" s="25">
        <v>19.901247000000001</v>
      </c>
      <c r="W49" s="25">
        <v>20.06513</v>
      </c>
      <c r="X49" s="25">
        <v>20.117165</v>
      </c>
      <c r="Y49" s="25">
        <v>20.384938999999999</v>
      </c>
      <c r="Z49" s="25">
        <v>20.628145</v>
      </c>
      <c r="AA49" s="25">
        <v>20.629405999999999</v>
      </c>
      <c r="AB49" s="25">
        <v>20.826429000000001</v>
      </c>
      <c r="AC49" s="25">
        <v>20.826172</v>
      </c>
      <c r="AD49" s="25">
        <v>20.740261</v>
      </c>
      <c r="AE49" s="25">
        <v>20.844083999999999</v>
      </c>
      <c r="AF49" s="25">
        <v>20.736098999999999</v>
      </c>
      <c r="AG49" s="19">
        <v>-1.6440000000000001E-3</v>
      </c>
    </row>
    <row r="50" spans="1:33" ht="15" customHeight="1" x14ac:dyDescent="0.25">
      <c r="A50" s="6" t="s">
        <v>186</v>
      </c>
      <c r="B50" s="17" t="s">
        <v>154</v>
      </c>
      <c r="C50" s="25">
        <v>13.006465</v>
      </c>
      <c r="D50" s="25">
        <v>13.345431</v>
      </c>
      <c r="E50" s="25">
        <v>12.638396999999999</v>
      </c>
      <c r="F50" s="25">
        <v>13.540524</v>
      </c>
      <c r="G50" s="25">
        <v>13.744135</v>
      </c>
      <c r="H50" s="25">
        <v>13.901823</v>
      </c>
      <c r="I50" s="25">
        <v>14.324615</v>
      </c>
      <c r="J50" s="25">
        <v>14.413228</v>
      </c>
      <c r="K50" s="25">
        <v>14.473246</v>
      </c>
      <c r="L50" s="25">
        <v>14.597925999999999</v>
      </c>
      <c r="M50" s="25">
        <v>14.661630000000001</v>
      </c>
      <c r="N50" s="25">
        <v>14.952104</v>
      </c>
      <c r="O50" s="25">
        <v>15.023061999999999</v>
      </c>
      <c r="P50" s="25">
        <v>15.028744</v>
      </c>
      <c r="Q50" s="25">
        <v>15.100775000000001</v>
      </c>
      <c r="R50" s="25">
        <v>15.121873000000001</v>
      </c>
      <c r="S50" s="25">
        <v>15.147895999999999</v>
      </c>
      <c r="T50" s="25">
        <v>15.209865000000001</v>
      </c>
      <c r="U50" s="25">
        <v>15.144525</v>
      </c>
      <c r="V50" s="25">
        <v>15.53472</v>
      </c>
      <c r="W50" s="25">
        <v>15.481628000000001</v>
      </c>
      <c r="X50" s="25">
        <v>15.415255999999999</v>
      </c>
      <c r="Y50" s="25">
        <v>15.467604</v>
      </c>
      <c r="Z50" s="25">
        <v>15.479861</v>
      </c>
      <c r="AA50" s="25">
        <v>15.233349</v>
      </c>
      <c r="AB50" s="25">
        <v>15.422539</v>
      </c>
      <c r="AC50" s="25">
        <v>15.494014999999999</v>
      </c>
      <c r="AD50" s="25">
        <v>15.477423999999999</v>
      </c>
      <c r="AE50" s="25">
        <v>15.574907</v>
      </c>
      <c r="AF50" s="25">
        <v>15.574647000000001</v>
      </c>
      <c r="AG50" s="19">
        <v>6.2329999999999998E-3</v>
      </c>
    </row>
    <row r="51" spans="1:33" ht="15" customHeight="1" x14ac:dyDescent="0.25">
      <c r="A51" s="6" t="s">
        <v>187</v>
      </c>
      <c r="B51" s="17" t="s">
        <v>147</v>
      </c>
      <c r="C51" s="25">
        <v>5.1575009999999999</v>
      </c>
      <c r="D51" s="25">
        <v>4.041245</v>
      </c>
      <c r="E51" s="25">
        <v>3.7581289999999998</v>
      </c>
      <c r="F51" s="25">
        <v>3.4303880000000002</v>
      </c>
      <c r="G51" s="25">
        <v>3.2667250000000001</v>
      </c>
      <c r="H51" s="25">
        <v>3.2325149999999998</v>
      </c>
      <c r="I51" s="25">
        <v>3.2705250000000001</v>
      </c>
      <c r="J51" s="25">
        <v>3.439616</v>
      </c>
      <c r="K51" s="25">
        <v>3.5675620000000001</v>
      </c>
      <c r="L51" s="25">
        <v>3.6400709999999998</v>
      </c>
      <c r="M51" s="25">
        <v>3.6826629999999998</v>
      </c>
      <c r="N51" s="25">
        <v>3.6999219999999999</v>
      </c>
      <c r="O51" s="25">
        <v>3.7920769999999999</v>
      </c>
      <c r="P51" s="25">
        <v>3.7757999999999998</v>
      </c>
      <c r="Q51" s="25">
        <v>3.6735660000000001</v>
      </c>
      <c r="R51" s="25">
        <v>3.6269550000000002</v>
      </c>
      <c r="S51" s="25">
        <v>3.6216330000000001</v>
      </c>
      <c r="T51" s="25">
        <v>3.6440419999999998</v>
      </c>
      <c r="U51" s="25">
        <v>3.668771</v>
      </c>
      <c r="V51" s="25">
        <v>3.7037520000000002</v>
      </c>
      <c r="W51" s="25">
        <v>3.7545600000000001</v>
      </c>
      <c r="X51" s="25">
        <v>3.7536160000000001</v>
      </c>
      <c r="Y51" s="25">
        <v>3.6780010000000001</v>
      </c>
      <c r="Z51" s="25">
        <v>3.6412019999999998</v>
      </c>
      <c r="AA51" s="25">
        <v>3.570948</v>
      </c>
      <c r="AB51" s="25">
        <v>3.545763</v>
      </c>
      <c r="AC51" s="25">
        <v>3.5304039999999999</v>
      </c>
      <c r="AD51" s="25">
        <v>3.534259</v>
      </c>
      <c r="AE51" s="25">
        <v>3.53999</v>
      </c>
      <c r="AF51" s="25">
        <v>3.5657800000000002</v>
      </c>
      <c r="AG51" s="19">
        <v>-1.2645999999999999E-2</v>
      </c>
    </row>
    <row r="52" spans="1:33" ht="15" customHeight="1" x14ac:dyDescent="0.25">
      <c r="A52" s="6" t="s">
        <v>188</v>
      </c>
      <c r="B52" s="17" t="s">
        <v>189</v>
      </c>
      <c r="C52" s="25">
        <v>2.11768</v>
      </c>
      <c r="D52" s="25">
        <v>2.0026860000000002</v>
      </c>
      <c r="E52" s="25">
        <v>2.0037690000000001</v>
      </c>
      <c r="F52" s="25">
        <v>2.0080779999999998</v>
      </c>
      <c r="G52" s="25">
        <v>1.9562059999999999</v>
      </c>
      <c r="H52" s="25">
        <v>1.9316139999999999</v>
      </c>
      <c r="I52" s="25">
        <v>1.9167369999999999</v>
      </c>
      <c r="J52" s="25">
        <v>1.9082570000000001</v>
      </c>
      <c r="K52" s="25">
        <v>1.9206289999999999</v>
      </c>
      <c r="L52" s="25">
        <v>1.9174880000000001</v>
      </c>
      <c r="M52" s="25">
        <v>1.9117390000000001</v>
      </c>
      <c r="N52" s="25">
        <v>1.90225</v>
      </c>
      <c r="O52" s="25">
        <v>1.8955740000000001</v>
      </c>
      <c r="P52" s="25">
        <v>1.892647</v>
      </c>
      <c r="Q52" s="25">
        <v>1.86805</v>
      </c>
      <c r="R52" s="25">
        <v>1.8561080000000001</v>
      </c>
      <c r="S52" s="25">
        <v>1.853899</v>
      </c>
      <c r="T52" s="25">
        <v>1.847783</v>
      </c>
      <c r="U52" s="25">
        <v>1.8449279999999999</v>
      </c>
      <c r="V52" s="25">
        <v>1.8448420000000001</v>
      </c>
      <c r="W52" s="25">
        <v>1.8468519999999999</v>
      </c>
      <c r="X52" s="25">
        <v>1.828859</v>
      </c>
      <c r="Y52" s="25">
        <v>1.8244009999999999</v>
      </c>
      <c r="Z52" s="25">
        <v>1.8172699999999999</v>
      </c>
      <c r="AA52" s="25">
        <v>1.811768</v>
      </c>
      <c r="AB52" s="25">
        <v>1.808238</v>
      </c>
      <c r="AC52" s="25">
        <v>1.7977369999999999</v>
      </c>
      <c r="AD52" s="25">
        <v>1.7817799999999999</v>
      </c>
      <c r="AE52" s="25">
        <v>1.7779860000000001</v>
      </c>
      <c r="AF52" s="25">
        <v>1.775739</v>
      </c>
      <c r="AG52" s="19">
        <v>-6.0540000000000004E-3</v>
      </c>
    </row>
    <row r="53" spans="1:33" ht="15" customHeight="1" x14ac:dyDescent="0.25">
      <c r="A53" s="6" t="s">
        <v>190</v>
      </c>
      <c r="B53" s="17" t="s">
        <v>191</v>
      </c>
      <c r="C53" s="25">
        <v>0.71781099999999998</v>
      </c>
      <c r="D53" s="25">
        <v>0.71886300000000003</v>
      </c>
      <c r="E53" s="25">
        <v>0.72096400000000005</v>
      </c>
      <c r="F53" s="25">
        <v>0.72201499999999996</v>
      </c>
      <c r="G53" s="25">
        <v>0.72411700000000001</v>
      </c>
      <c r="H53" s="25">
        <v>0.72516800000000003</v>
      </c>
      <c r="I53" s="25">
        <v>0.72726999999999997</v>
      </c>
      <c r="J53" s="25">
        <v>0.728321</v>
      </c>
      <c r="K53" s="25">
        <v>0.73042300000000004</v>
      </c>
      <c r="L53" s="25">
        <v>0.73252499999999998</v>
      </c>
      <c r="M53" s="25">
        <v>0.73357600000000001</v>
      </c>
      <c r="N53" s="25">
        <v>0.73567800000000005</v>
      </c>
      <c r="O53" s="25">
        <v>0.73777999999999999</v>
      </c>
      <c r="P53" s="25">
        <v>0.73883100000000002</v>
      </c>
      <c r="Q53" s="25">
        <v>0.74093299999999995</v>
      </c>
      <c r="R53" s="25">
        <v>0.743035</v>
      </c>
      <c r="S53" s="25">
        <v>0.74408600000000003</v>
      </c>
      <c r="T53" s="25">
        <v>0.74618799999999996</v>
      </c>
      <c r="U53" s="25">
        <v>0.74829000000000001</v>
      </c>
      <c r="V53" s="25">
        <v>0.75039100000000003</v>
      </c>
      <c r="W53" s="25">
        <v>0.752494</v>
      </c>
      <c r="X53" s="25">
        <v>0.75459500000000002</v>
      </c>
      <c r="Y53" s="25">
        <v>0.75669699999999995</v>
      </c>
      <c r="Z53" s="25">
        <v>0.758799</v>
      </c>
      <c r="AA53" s="25">
        <v>0.76090100000000005</v>
      </c>
      <c r="AB53" s="25">
        <v>0.76300299999999999</v>
      </c>
      <c r="AC53" s="25">
        <v>0.76510500000000004</v>
      </c>
      <c r="AD53" s="25">
        <v>0.76720699999999997</v>
      </c>
      <c r="AE53" s="25">
        <v>0.76930900000000002</v>
      </c>
      <c r="AF53" s="25">
        <v>0.77141099999999996</v>
      </c>
      <c r="AG53" s="19">
        <v>2.4859999999999999E-3</v>
      </c>
    </row>
    <row r="54" spans="1:33" ht="15" customHeight="1" x14ac:dyDescent="0.25"/>
    <row r="55" spans="1:33" ht="15" customHeight="1" x14ac:dyDescent="0.25"/>
    <row r="56" spans="1:33" ht="15" customHeight="1" x14ac:dyDescent="0.25">
      <c r="B56" s="16" t="s">
        <v>192</v>
      </c>
    </row>
    <row r="57" spans="1:33" ht="15" customHeight="1" x14ac:dyDescent="0.25">
      <c r="A57" s="6" t="s">
        <v>193</v>
      </c>
      <c r="B57" s="17" t="s">
        <v>143</v>
      </c>
      <c r="C57" s="25">
        <v>19.520824000000001</v>
      </c>
      <c r="D57" s="25">
        <v>20.929960000000001</v>
      </c>
      <c r="E57" s="25">
        <v>20.082417</v>
      </c>
      <c r="F57" s="25">
        <v>20.050674000000001</v>
      </c>
      <c r="G57" s="25">
        <v>19.965826</v>
      </c>
      <c r="H57" s="25">
        <v>20.02533</v>
      </c>
      <c r="I57" s="25">
        <v>20.268194000000001</v>
      </c>
      <c r="J57" s="25">
        <v>20.706121</v>
      </c>
      <c r="K57" s="25">
        <v>21.177541999999999</v>
      </c>
      <c r="L57" s="25">
        <v>21.577401999999999</v>
      </c>
      <c r="M57" s="25">
        <v>21.969906000000002</v>
      </c>
      <c r="N57" s="25">
        <v>22.476595</v>
      </c>
      <c r="O57" s="25">
        <v>22.838239999999999</v>
      </c>
      <c r="P57" s="25">
        <v>23.050046999999999</v>
      </c>
      <c r="Q57" s="25">
        <v>23.159852999999998</v>
      </c>
      <c r="R57" s="25">
        <v>23.215166</v>
      </c>
      <c r="S57" s="25">
        <v>23.376358</v>
      </c>
      <c r="T57" s="25">
        <v>23.562716000000002</v>
      </c>
      <c r="U57" s="25">
        <v>23.677050000000001</v>
      </c>
      <c r="V57" s="25">
        <v>23.936489000000002</v>
      </c>
      <c r="W57" s="25">
        <v>24.185407999999999</v>
      </c>
      <c r="X57" s="25">
        <v>24.404105999999999</v>
      </c>
      <c r="Y57" s="25">
        <v>24.725622000000001</v>
      </c>
      <c r="Z57" s="25">
        <v>24.990144999999998</v>
      </c>
      <c r="AA57" s="25">
        <v>25.032494</v>
      </c>
      <c r="AB57" s="25">
        <v>24.937096</v>
      </c>
      <c r="AC57" s="25">
        <v>24.814219000000001</v>
      </c>
      <c r="AD57" s="25">
        <v>24.741323000000001</v>
      </c>
      <c r="AE57" s="25">
        <v>24.724777</v>
      </c>
      <c r="AF57" s="25">
        <v>24.650307000000002</v>
      </c>
      <c r="AG57" s="19">
        <v>8.0780000000000001E-3</v>
      </c>
    </row>
    <row r="58" spans="1:33" ht="15" customHeight="1" x14ac:dyDescent="0.25">
      <c r="A58" s="6" t="s">
        <v>194</v>
      </c>
      <c r="B58" s="17" t="s">
        <v>173</v>
      </c>
      <c r="C58" s="25">
        <v>25.787903</v>
      </c>
      <c r="D58" s="25">
        <v>25.761244000000001</v>
      </c>
      <c r="E58" s="25">
        <v>25.495864999999998</v>
      </c>
      <c r="F58" s="25">
        <v>25.212344999999999</v>
      </c>
      <c r="G58" s="25">
        <v>24.975625999999998</v>
      </c>
      <c r="H58" s="25">
        <v>25.043126999999998</v>
      </c>
      <c r="I58" s="25">
        <v>25.355228</v>
      </c>
      <c r="J58" s="25">
        <v>25.594719000000001</v>
      </c>
      <c r="K58" s="25">
        <v>25.777564999999999</v>
      </c>
      <c r="L58" s="25">
        <v>26.200195000000001</v>
      </c>
      <c r="M58" s="25">
        <v>26.276876000000001</v>
      </c>
      <c r="N58" s="25">
        <v>27.198093</v>
      </c>
      <c r="O58" s="25">
        <v>27.413271000000002</v>
      </c>
      <c r="P58" s="25">
        <v>27.550775999999999</v>
      </c>
      <c r="Q58" s="25">
        <v>27.680271000000001</v>
      </c>
      <c r="R58" s="25">
        <v>27.711462000000001</v>
      </c>
      <c r="S58" s="25">
        <v>27.855463</v>
      </c>
      <c r="T58" s="25">
        <v>28.059764999999999</v>
      </c>
      <c r="U58" s="25">
        <v>28.008661</v>
      </c>
      <c r="V58" s="25">
        <v>28.442335</v>
      </c>
      <c r="W58" s="25">
        <v>28.682402</v>
      </c>
      <c r="X58" s="25">
        <v>28.964655</v>
      </c>
      <c r="Y58" s="25">
        <v>29.315156999999999</v>
      </c>
      <c r="Z58" s="25">
        <v>29.494403999999999</v>
      </c>
      <c r="AA58" s="25">
        <v>29.595737</v>
      </c>
      <c r="AB58" s="25">
        <v>29.879946</v>
      </c>
      <c r="AC58" s="25">
        <v>29.952456999999999</v>
      </c>
      <c r="AD58" s="25">
        <v>30.036066000000002</v>
      </c>
      <c r="AE58" s="25">
        <v>30.150231999999999</v>
      </c>
      <c r="AF58" s="25">
        <v>29.900158000000001</v>
      </c>
      <c r="AG58" s="19">
        <v>5.1149999999999998E-3</v>
      </c>
    </row>
    <row r="59" spans="1:33" ht="15" customHeight="1" x14ac:dyDescent="0.25">
      <c r="A59" s="6" t="s">
        <v>195</v>
      </c>
      <c r="B59" s="17" t="s">
        <v>175</v>
      </c>
      <c r="C59" s="25">
        <v>25.875972999999998</v>
      </c>
      <c r="D59" s="25">
        <v>24.818628</v>
      </c>
      <c r="E59" s="25">
        <v>21.957455</v>
      </c>
      <c r="F59" s="25">
        <v>21.790281</v>
      </c>
      <c r="G59" s="25">
        <v>21.608536000000001</v>
      </c>
      <c r="H59" s="25">
        <v>21.654921000000002</v>
      </c>
      <c r="I59" s="25">
        <v>21.892026999999999</v>
      </c>
      <c r="J59" s="25">
        <v>22.07807</v>
      </c>
      <c r="K59" s="25">
        <v>22.215803000000001</v>
      </c>
      <c r="L59" s="25">
        <v>22.54702</v>
      </c>
      <c r="M59" s="25">
        <v>22.602012999999999</v>
      </c>
      <c r="N59" s="25">
        <v>23.561116999999999</v>
      </c>
      <c r="O59" s="25">
        <v>23.726306999999998</v>
      </c>
      <c r="P59" s="25">
        <v>23.822149</v>
      </c>
      <c r="Q59" s="25">
        <v>23.943625999999998</v>
      </c>
      <c r="R59" s="25">
        <v>23.951032999999999</v>
      </c>
      <c r="S59" s="25">
        <v>24.055145</v>
      </c>
      <c r="T59" s="25">
        <v>24.212412</v>
      </c>
      <c r="U59" s="25">
        <v>24.161999000000002</v>
      </c>
      <c r="V59" s="25">
        <v>24.499897000000001</v>
      </c>
      <c r="W59" s="25">
        <v>24.693489</v>
      </c>
      <c r="X59" s="25">
        <v>24.862711000000001</v>
      </c>
      <c r="Y59" s="25">
        <v>25.154668999999998</v>
      </c>
      <c r="Z59" s="25">
        <v>25.352126999999999</v>
      </c>
      <c r="AA59" s="25">
        <v>25.433323000000001</v>
      </c>
      <c r="AB59" s="25">
        <v>25.680344000000002</v>
      </c>
      <c r="AC59" s="25">
        <v>25.727892000000001</v>
      </c>
      <c r="AD59" s="25">
        <v>25.801403000000001</v>
      </c>
      <c r="AE59" s="25">
        <v>25.888936999999999</v>
      </c>
      <c r="AF59" s="25">
        <v>25.675623000000002</v>
      </c>
      <c r="AG59" s="19">
        <v>-2.6800000000000001E-4</v>
      </c>
    </row>
    <row r="60" spans="1:33" ht="15" customHeight="1" x14ac:dyDescent="0.25">
      <c r="A60" s="6" t="s">
        <v>196</v>
      </c>
      <c r="B60" s="17" t="s">
        <v>177</v>
      </c>
      <c r="C60" s="25">
        <v>14.720805</v>
      </c>
      <c r="D60" s="25">
        <v>15.38822</v>
      </c>
      <c r="E60" s="25">
        <v>14.073745000000001</v>
      </c>
      <c r="F60" s="25">
        <v>15.179766000000001</v>
      </c>
      <c r="G60" s="25">
        <v>15.292541999999999</v>
      </c>
      <c r="H60" s="25">
        <v>15.463751</v>
      </c>
      <c r="I60" s="25">
        <v>15.704660000000001</v>
      </c>
      <c r="J60" s="25">
        <v>15.898726</v>
      </c>
      <c r="K60" s="25">
        <v>16.052320000000002</v>
      </c>
      <c r="L60" s="25">
        <v>16.046509</v>
      </c>
      <c r="M60" s="25">
        <v>16.330721</v>
      </c>
      <c r="N60" s="25">
        <v>16.697517000000001</v>
      </c>
      <c r="O60" s="25">
        <v>16.757905999999998</v>
      </c>
      <c r="P60" s="25">
        <v>16.780107000000001</v>
      </c>
      <c r="Q60" s="25">
        <v>16.810594999999999</v>
      </c>
      <c r="R60" s="25">
        <v>16.876971999999999</v>
      </c>
      <c r="S60" s="25">
        <v>17.097425000000001</v>
      </c>
      <c r="T60" s="25">
        <v>17.235626</v>
      </c>
      <c r="U60" s="25">
        <v>17.279207</v>
      </c>
      <c r="V60" s="25">
        <v>17.533007000000001</v>
      </c>
      <c r="W60" s="25">
        <v>17.728833999999999</v>
      </c>
      <c r="X60" s="25">
        <v>17.813095000000001</v>
      </c>
      <c r="Y60" s="25">
        <v>18.115818000000001</v>
      </c>
      <c r="Z60" s="25">
        <v>18.40634</v>
      </c>
      <c r="AA60" s="25">
        <v>18.427332</v>
      </c>
      <c r="AB60" s="25">
        <v>18.612141000000001</v>
      </c>
      <c r="AC60" s="25">
        <v>18.622166</v>
      </c>
      <c r="AD60" s="25">
        <v>18.579236999999999</v>
      </c>
      <c r="AE60" s="25">
        <v>18.690104999999999</v>
      </c>
      <c r="AF60" s="25">
        <v>18.608125999999999</v>
      </c>
      <c r="AG60" s="19">
        <v>8.1130000000000004E-3</v>
      </c>
    </row>
    <row r="61" spans="1:33" ht="15" customHeight="1" x14ac:dyDescent="0.25">
      <c r="A61" s="6" t="s">
        <v>197</v>
      </c>
      <c r="B61" s="17" t="s">
        <v>145</v>
      </c>
      <c r="C61" s="25">
        <v>23.276806000000001</v>
      </c>
      <c r="D61" s="25">
        <v>22.657783999999999</v>
      </c>
      <c r="E61" s="25">
        <v>21.509951000000001</v>
      </c>
      <c r="F61" s="25">
        <v>22.159213999999999</v>
      </c>
      <c r="G61" s="25">
        <v>22.127479999999998</v>
      </c>
      <c r="H61" s="25">
        <v>22.01108</v>
      </c>
      <c r="I61" s="25">
        <v>22.010615999999999</v>
      </c>
      <c r="J61" s="25">
        <v>22.090154999999999</v>
      </c>
      <c r="K61" s="25">
        <v>22.191229</v>
      </c>
      <c r="L61" s="25">
        <v>22.147449000000002</v>
      </c>
      <c r="M61" s="25">
        <v>22.299382999999999</v>
      </c>
      <c r="N61" s="25">
        <v>22.668865</v>
      </c>
      <c r="O61" s="25">
        <v>22.730412000000001</v>
      </c>
      <c r="P61" s="25">
        <v>22.678328</v>
      </c>
      <c r="Q61" s="25">
        <v>22.711632000000002</v>
      </c>
      <c r="R61" s="25">
        <v>22.719546999999999</v>
      </c>
      <c r="S61" s="25">
        <v>22.852823000000001</v>
      </c>
      <c r="T61" s="25">
        <v>22.942526000000001</v>
      </c>
      <c r="U61" s="25">
        <v>22.941147000000001</v>
      </c>
      <c r="V61" s="25">
        <v>23.172097999999998</v>
      </c>
      <c r="W61" s="25">
        <v>23.334955000000001</v>
      </c>
      <c r="X61" s="25">
        <v>23.412827</v>
      </c>
      <c r="Y61" s="25">
        <v>23.677961</v>
      </c>
      <c r="Z61" s="25">
        <v>23.933039000000001</v>
      </c>
      <c r="AA61" s="25">
        <v>23.931978000000001</v>
      </c>
      <c r="AB61" s="25">
        <v>24.119178999999999</v>
      </c>
      <c r="AC61" s="25">
        <v>24.097598999999999</v>
      </c>
      <c r="AD61" s="25">
        <v>24.005205</v>
      </c>
      <c r="AE61" s="25">
        <v>24.077518000000001</v>
      </c>
      <c r="AF61" s="25">
        <v>23.943971999999999</v>
      </c>
      <c r="AG61" s="19">
        <v>9.7499999999999996E-4</v>
      </c>
    </row>
    <row r="62" spans="1:33" ht="15" customHeight="1" x14ac:dyDescent="0.25">
      <c r="A62" s="6" t="s">
        <v>198</v>
      </c>
      <c r="B62" s="17" t="s">
        <v>154</v>
      </c>
      <c r="C62" s="25">
        <v>12.032716000000001</v>
      </c>
      <c r="D62" s="25">
        <v>10.461781999999999</v>
      </c>
      <c r="E62" s="25">
        <v>12.369011</v>
      </c>
      <c r="F62" s="25">
        <v>13.310703</v>
      </c>
      <c r="G62" s="25">
        <v>13.567265000000001</v>
      </c>
      <c r="H62" s="25">
        <v>13.763799000000001</v>
      </c>
      <c r="I62" s="25">
        <v>14.156385999999999</v>
      </c>
      <c r="J62" s="25">
        <v>14.267785999999999</v>
      </c>
      <c r="K62" s="25">
        <v>14.339729</v>
      </c>
      <c r="L62" s="25">
        <v>14.481854</v>
      </c>
      <c r="M62" s="25">
        <v>14.557441000000001</v>
      </c>
      <c r="N62" s="25">
        <v>14.810274</v>
      </c>
      <c r="O62" s="25">
        <v>14.891078</v>
      </c>
      <c r="P62" s="25">
        <v>14.920389999999999</v>
      </c>
      <c r="Q62" s="25">
        <v>14.983093</v>
      </c>
      <c r="R62" s="25">
        <v>15.017566</v>
      </c>
      <c r="S62" s="25">
        <v>15.015262999999999</v>
      </c>
      <c r="T62" s="25">
        <v>15.104892</v>
      </c>
      <c r="U62" s="25">
        <v>15.061521000000001</v>
      </c>
      <c r="V62" s="25">
        <v>15.516302</v>
      </c>
      <c r="W62" s="25">
        <v>15.603861</v>
      </c>
      <c r="X62" s="25">
        <v>15.644531000000001</v>
      </c>
      <c r="Y62" s="25">
        <v>15.845129</v>
      </c>
      <c r="Z62" s="25">
        <v>16.058098000000001</v>
      </c>
      <c r="AA62" s="25">
        <v>16.091763</v>
      </c>
      <c r="AB62" s="25">
        <v>16.241569999999999</v>
      </c>
      <c r="AC62" s="25">
        <v>16.261565999999998</v>
      </c>
      <c r="AD62" s="25">
        <v>16.237041000000001</v>
      </c>
      <c r="AE62" s="25">
        <v>16.292362000000001</v>
      </c>
      <c r="AF62" s="25">
        <v>16.224509999999999</v>
      </c>
      <c r="AG62" s="19">
        <v>1.0359999999999999E-2</v>
      </c>
    </row>
    <row r="63" spans="1:33" ht="15" customHeight="1" x14ac:dyDescent="0.25">
      <c r="A63" s="6" t="s">
        <v>199</v>
      </c>
      <c r="B63" s="17" t="s">
        <v>147</v>
      </c>
      <c r="C63" s="25">
        <v>6.7270459999999996</v>
      </c>
      <c r="D63" s="25">
        <v>6.3985450000000004</v>
      </c>
      <c r="E63" s="25">
        <v>6.0075589999999996</v>
      </c>
      <c r="F63" s="25">
        <v>5.6535339999999996</v>
      </c>
      <c r="G63" s="25">
        <v>5.4877250000000002</v>
      </c>
      <c r="H63" s="25">
        <v>5.4298890000000002</v>
      </c>
      <c r="I63" s="25">
        <v>5.4549649999999996</v>
      </c>
      <c r="J63" s="25">
        <v>5.5921599999999998</v>
      </c>
      <c r="K63" s="25">
        <v>5.7411250000000003</v>
      </c>
      <c r="L63" s="25">
        <v>5.8371339999999998</v>
      </c>
      <c r="M63" s="25">
        <v>5.9071439999999997</v>
      </c>
      <c r="N63" s="25">
        <v>6.0055019999999999</v>
      </c>
      <c r="O63" s="25">
        <v>6.0906529999999997</v>
      </c>
      <c r="P63" s="25">
        <v>6.1176259999999996</v>
      </c>
      <c r="Q63" s="25">
        <v>6.0768230000000001</v>
      </c>
      <c r="R63" s="25">
        <v>6.0405899999999999</v>
      </c>
      <c r="S63" s="25">
        <v>6.0360610000000001</v>
      </c>
      <c r="T63" s="25">
        <v>6.0444909999999998</v>
      </c>
      <c r="U63" s="25">
        <v>6.0540130000000003</v>
      </c>
      <c r="V63" s="25">
        <v>6.0681839999999996</v>
      </c>
      <c r="W63" s="25">
        <v>6.1186100000000003</v>
      </c>
      <c r="X63" s="25">
        <v>6.1060759999999998</v>
      </c>
      <c r="Y63" s="25">
        <v>6.0300459999999996</v>
      </c>
      <c r="Z63" s="25">
        <v>5.9919650000000004</v>
      </c>
      <c r="AA63" s="25">
        <v>5.9233000000000002</v>
      </c>
      <c r="AB63" s="25">
        <v>5.8871869999999999</v>
      </c>
      <c r="AC63" s="25">
        <v>5.8607959999999997</v>
      </c>
      <c r="AD63" s="25">
        <v>5.8476860000000004</v>
      </c>
      <c r="AE63" s="25">
        <v>5.8510099999999996</v>
      </c>
      <c r="AF63" s="25">
        <v>5.8478110000000001</v>
      </c>
      <c r="AG63" s="19">
        <v>-4.8180000000000002E-3</v>
      </c>
    </row>
    <row r="64" spans="1:33" ht="15" customHeight="1" x14ac:dyDescent="0.25">
      <c r="A64" s="6" t="s">
        <v>200</v>
      </c>
      <c r="B64" s="17" t="s">
        <v>164</v>
      </c>
      <c r="C64" s="25">
        <v>3.9278590000000002</v>
      </c>
      <c r="D64" s="25">
        <v>3.5188109999999999</v>
      </c>
      <c r="E64" s="25">
        <v>3.3476979999999998</v>
      </c>
      <c r="F64" s="25">
        <v>3.1883330000000001</v>
      </c>
      <c r="G64" s="25">
        <v>3.0981640000000001</v>
      </c>
      <c r="H64" s="25">
        <v>3.0374970000000001</v>
      </c>
      <c r="I64" s="25">
        <v>3.0094270000000001</v>
      </c>
      <c r="J64" s="25">
        <v>3.0049709999999998</v>
      </c>
      <c r="K64" s="25">
        <v>3.0161980000000002</v>
      </c>
      <c r="L64" s="25">
        <v>3.0408119999999998</v>
      </c>
      <c r="M64" s="25">
        <v>3.0632079999999999</v>
      </c>
      <c r="N64" s="25">
        <v>3.0941109999999998</v>
      </c>
      <c r="O64" s="25">
        <v>3.112654</v>
      </c>
      <c r="P64" s="25">
        <v>3.12921</v>
      </c>
      <c r="Q64" s="25">
        <v>3.151268</v>
      </c>
      <c r="R64" s="25">
        <v>3.1732849999999999</v>
      </c>
      <c r="S64" s="25">
        <v>3.1994729999999998</v>
      </c>
      <c r="T64" s="25">
        <v>3.2216550000000002</v>
      </c>
      <c r="U64" s="25">
        <v>3.243439</v>
      </c>
      <c r="V64" s="25">
        <v>3.2680319999999998</v>
      </c>
      <c r="W64" s="25">
        <v>3.2877169999999998</v>
      </c>
      <c r="X64" s="25">
        <v>3.3065359999999999</v>
      </c>
      <c r="Y64" s="25">
        <v>3.3300299999999998</v>
      </c>
      <c r="Z64" s="25">
        <v>3.3564620000000001</v>
      </c>
      <c r="AA64" s="25">
        <v>3.3831509999999998</v>
      </c>
      <c r="AB64" s="25">
        <v>3.4100950000000001</v>
      </c>
      <c r="AC64" s="25">
        <v>3.4367239999999999</v>
      </c>
      <c r="AD64" s="25">
        <v>3.4589189999999999</v>
      </c>
      <c r="AE64" s="25">
        <v>3.4835039999999999</v>
      </c>
      <c r="AF64" s="25">
        <v>3.5086189999999999</v>
      </c>
      <c r="AG64" s="19">
        <v>-3.885E-3</v>
      </c>
    </row>
    <row r="65" spans="1:33" ht="15" customHeight="1" x14ac:dyDescent="0.25">
      <c r="A65" s="6" t="s">
        <v>201</v>
      </c>
      <c r="B65" s="17" t="s">
        <v>202</v>
      </c>
      <c r="C65" s="25">
        <v>2.151859</v>
      </c>
      <c r="D65" s="25">
        <v>2.041804</v>
      </c>
      <c r="E65" s="25">
        <v>2.0444589999999998</v>
      </c>
      <c r="F65" s="25">
        <v>2.0553900000000001</v>
      </c>
      <c r="G65" s="25">
        <v>2.0093179999999999</v>
      </c>
      <c r="H65" s="25">
        <v>1.9875940000000001</v>
      </c>
      <c r="I65" s="25">
        <v>1.974667</v>
      </c>
      <c r="J65" s="25">
        <v>1.9668779999999999</v>
      </c>
      <c r="K65" s="25">
        <v>1.9785330000000001</v>
      </c>
      <c r="L65" s="25">
        <v>1.976764</v>
      </c>
      <c r="M65" s="25">
        <v>1.9718329999999999</v>
      </c>
      <c r="N65" s="25">
        <v>1.964469</v>
      </c>
      <c r="O65" s="25">
        <v>1.958048</v>
      </c>
      <c r="P65" s="25">
        <v>1.9578089999999999</v>
      </c>
      <c r="Q65" s="25">
        <v>1.9376119999999999</v>
      </c>
      <c r="R65" s="25">
        <v>1.9276720000000001</v>
      </c>
      <c r="S65" s="25">
        <v>1.9267939999999999</v>
      </c>
      <c r="T65" s="25">
        <v>1.9214519999999999</v>
      </c>
      <c r="U65" s="25">
        <v>1.9206179999999999</v>
      </c>
      <c r="V65" s="25">
        <v>1.921497</v>
      </c>
      <c r="W65" s="25">
        <v>1.9245810000000001</v>
      </c>
      <c r="X65" s="25">
        <v>1.9087369999999999</v>
      </c>
      <c r="Y65" s="25">
        <v>1.905591</v>
      </c>
      <c r="Z65" s="25">
        <v>1.9001619999999999</v>
      </c>
      <c r="AA65" s="25">
        <v>1.896935</v>
      </c>
      <c r="AB65" s="25">
        <v>1.8945289999999999</v>
      </c>
      <c r="AC65" s="25">
        <v>1.8862190000000001</v>
      </c>
      <c r="AD65" s="25">
        <v>1.872889</v>
      </c>
      <c r="AE65" s="25">
        <v>1.869953</v>
      </c>
      <c r="AF65" s="25">
        <v>1.8669150000000001</v>
      </c>
      <c r="AG65" s="19">
        <v>-4.8859999999999997E-3</v>
      </c>
    </row>
    <row r="66" spans="1:33" x14ac:dyDescent="0.25">
      <c r="A66" s="6" t="s">
        <v>203</v>
      </c>
      <c r="B66" s="17" t="s">
        <v>168</v>
      </c>
      <c r="C66" s="25" t="s">
        <v>305</v>
      </c>
      <c r="D66" s="25" t="s">
        <v>305</v>
      </c>
      <c r="E66" s="25" t="s">
        <v>305</v>
      </c>
      <c r="F66" s="25" t="s">
        <v>305</v>
      </c>
      <c r="G66" s="25" t="s">
        <v>305</v>
      </c>
      <c r="H66" s="25" t="s">
        <v>305</v>
      </c>
      <c r="I66" s="25" t="s">
        <v>305</v>
      </c>
      <c r="J66" s="25" t="s">
        <v>305</v>
      </c>
      <c r="K66" s="25" t="s">
        <v>305</v>
      </c>
      <c r="L66" s="25" t="s">
        <v>305</v>
      </c>
      <c r="M66" s="25" t="s">
        <v>305</v>
      </c>
      <c r="N66" s="25" t="s">
        <v>305</v>
      </c>
      <c r="O66" s="25" t="s">
        <v>305</v>
      </c>
      <c r="P66" s="25" t="s">
        <v>305</v>
      </c>
      <c r="Q66" s="25" t="s">
        <v>305</v>
      </c>
      <c r="R66" s="25" t="s">
        <v>305</v>
      </c>
      <c r="S66" s="25" t="s">
        <v>305</v>
      </c>
      <c r="T66" s="25" t="s">
        <v>305</v>
      </c>
      <c r="U66" s="25" t="s">
        <v>305</v>
      </c>
      <c r="V66" s="25" t="s">
        <v>305</v>
      </c>
      <c r="W66" s="25" t="s">
        <v>305</v>
      </c>
      <c r="X66" s="25" t="s">
        <v>305</v>
      </c>
      <c r="Y66" s="25" t="s">
        <v>305</v>
      </c>
      <c r="Z66" s="25" t="s">
        <v>305</v>
      </c>
      <c r="AA66" s="25" t="s">
        <v>305</v>
      </c>
      <c r="AB66" s="25" t="s">
        <v>305</v>
      </c>
      <c r="AC66" s="25" t="s">
        <v>305</v>
      </c>
      <c r="AD66" s="25" t="s">
        <v>305</v>
      </c>
      <c r="AE66" s="25" t="s">
        <v>305</v>
      </c>
      <c r="AF66" s="25" t="s">
        <v>305</v>
      </c>
      <c r="AG66" s="19" t="s">
        <v>305</v>
      </c>
    </row>
    <row r="67" spans="1:33" ht="15" customHeight="1" x14ac:dyDescent="0.25">
      <c r="A67" s="6" t="s">
        <v>204</v>
      </c>
      <c r="B67" s="17" t="s">
        <v>149</v>
      </c>
      <c r="C67" s="25">
        <v>32.508968000000003</v>
      </c>
      <c r="D67" s="25">
        <v>32.166167999999999</v>
      </c>
      <c r="E67" s="25">
        <v>31.513943000000001</v>
      </c>
      <c r="F67" s="25">
        <v>30.893537999999999</v>
      </c>
      <c r="G67" s="25">
        <v>30.700683999999999</v>
      </c>
      <c r="H67" s="25">
        <v>30.778041999999999</v>
      </c>
      <c r="I67" s="25">
        <v>30.796724000000001</v>
      </c>
      <c r="J67" s="25">
        <v>30.842818999999999</v>
      </c>
      <c r="K67" s="25">
        <v>30.930161999999999</v>
      </c>
      <c r="L67" s="25">
        <v>30.923807</v>
      </c>
      <c r="M67" s="25">
        <v>31.010801000000001</v>
      </c>
      <c r="N67" s="25">
        <v>31.099874</v>
      </c>
      <c r="O67" s="25">
        <v>31.225034999999998</v>
      </c>
      <c r="P67" s="25">
        <v>31.281096999999999</v>
      </c>
      <c r="Q67" s="25">
        <v>30.992538</v>
      </c>
      <c r="R67" s="25">
        <v>30.775299</v>
      </c>
      <c r="S67" s="25">
        <v>30.640684</v>
      </c>
      <c r="T67" s="25">
        <v>30.502255999999999</v>
      </c>
      <c r="U67" s="25">
        <v>30.375847</v>
      </c>
      <c r="V67" s="25">
        <v>30.421075999999999</v>
      </c>
      <c r="W67" s="25">
        <v>30.332274999999999</v>
      </c>
      <c r="X67" s="25">
        <v>30.332272</v>
      </c>
      <c r="Y67" s="25">
        <v>30.166447000000002</v>
      </c>
      <c r="Z67" s="25">
        <v>30.047378999999999</v>
      </c>
      <c r="AA67" s="25">
        <v>30.044782999999999</v>
      </c>
      <c r="AB67" s="25">
        <v>29.821831</v>
      </c>
      <c r="AC67" s="25">
        <v>29.770481</v>
      </c>
      <c r="AD67" s="25">
        <v>29.670555</v>
      </c>
      <c r="AE67" s="25">
        <v>29.580069000000002</v>
      </c>
      <c r="AF67" s="25">
        <v>29.370739</v>
      </c>
      <c r="AG67" s="19">
        <v>-3.4940000000000001E-3</v>
      </c>
    </row>
    <row r="68" spans="1:33" ht="15" customHeight="1" x14ac:dyDescent="0.25"/>
    <row r="69" spans="1:33" ht="15" customHeight="1" x14ac:dyDescent="0.25">
      <c r="B69" s="16" t="s">
        <v>205</v>
      </c>
    </row>
    <row r="70" spans="1:33" ht="15" customHeight="1" x14ac:dyDescent="0.25">
      <c r="B70" s="16" t="s">
        <v>324</v>
      </c>
    </row>
    <row r="71" spans="1:33" ht="15" customHeight="1" x14ac:dyDescent="0.25">
      <c r="A71" s="6" t="s">
        <v>206</v>
      </c>
      <c r="B71" s="17" t="s">
        <v>141</v>
      </c>
      <c r="C71" s="18">
        <v>275.19543499999997</v>
      </c>
      <c r="D71" s="18">
        <v>274.69827299999997</v>
      </c>
      <c r="E71" s="18">
        <v>272.04226699999998</v>
      </c>
      <c r="F71" s="18">
        <v>268.02911399999999</v>
      </c>
      <c r="G71" s="18">
        <v>266.80419899999998</v>
      </c>
      <c r="H71" s="18">
        <v>267.53424100000001</v>
      </c>
      <c r="I71" s="18">
        <v>267.90832499999999</v>
      </c>
      <c r="J71" s="18">
        <v>269.61636399999998</v>
      </c>
      <c r="K71" s="18">
        <v>271.74517800000001</v>
      </c>
      <c r="L71" s="18">
        <v>272.91384900000003</v>
      </c>
      <c r="M71" s="18">
        <v>274.753265</v>
      </c>
      <c r="N71" s="18">
        <v>278.11163299999998</v>
      </c>
      <c r="O71" s="18">
        <v>280.47540300000003</v>
      </c>
      <c r="P71" s="18">
        <v>281.95062300000001</v>
      </c>
      <c r="Q71" s="18">
        <v>281.42996199999999</v>
      </c>
      <c r="R71" s="18">
        <v>281.35778800000003</v>
      </c>
      <c r="S71" s="18">
        <v>282.30389400000001</v>
      </c>
      <c r="T71" s="18">
        <v>283.22006199999998</v>
      </c>
      <c r="U71" s="18">
        <v>284.15469400000001</v>
      </c>
      <c r="V71" s="18">
        <v>286.064392</v>
      </c>
      <c r="W71" s="18">
        <v>287.368469</v>
      </c>
      <c r="X71" s="18">
        <v>288.87005599999998</v>
      </c>
      <c r="Y71" s="18">
        <v>289.41064499999999</v>
      </c>
      <c r="Z71" s="18">
        <v>290.36166400000002</v>
      </c>
      <c r="AA71" s="18">
        <v>291.914917</v>
      </c>
      <c r="AB71" s="18">
        <v>292.26711999999998</v>
      </c>
      <c r="AC71" s="18">
        <v>293.71710200000001</v>
      </c>
      <c r="AD71" s="18">
        <v>294.71783399999998</v>
      </c>
      <c r="AE71" s="18">
        <v>295.96994000000001</v>
      </c>
      <c r="AF71" s="18">
        <v>296.49972500000001</v>
      </c>
      <c r="AG71" s="19">
        <v>2.575E-3</v>
      </c>
    </row>
    <row r="72" spans="1:33" ht="15" customHeight="1" x14ac:dyDescent="0.25">
      <c r="A72" s="6" t="s">
        <v>207</v>
      </c>
      <c r="B72" s="17" t="s">
        <v>150</v>
      </c>
      <c r="C72" s="18">
        <v>198.23921200000001</v>
      </c>
      <c r="D72" s="18">
        <v>201.05306999999999</v>
      </c>
      <c r="E72" s="18">
        <v>194.741806</v>
      </c>
      <c r="F72" s="18">
        <v>190.23672500000001</v>
      </c>
      <c r="G72" s="18">
        <v>188.21302800000001</v>
      </c>
      <c r="H72" s="18">
        <v>187.65823399999999</v>
      </c>
      <c r="I72" s="18">
        <v>187.63826</v>
      </c>
      <c r="J72" s="18">
        <v>188.45782500000001</v>
      </c>
      <c r="K72" s="18">
        <v>189.38261399999999</v>
      </c>
      <c r="L72" s="18">
        <v>189.44868500000001</v>
      </c>
      <c r="M72" s="18">
        <v>190.23713699999999</v>
      </c>
      <c r="N72" s="18">
        <v>192.083618</v>
      </c>
      <c r="O72" s="18">
        <v>193.46835300000001</v>
      </c>
      <c r="P72" s="18">
        <v>194.118515</v>
      </c>
      <c r="Q72" s="18">
        <v>193.13897700000001</v>
      </c>
      <c r="R72" s="18">
        <v>192.45632900000001</v>
      </c>
      <c r="S72" s="18">
        <v>192.71270799999999</v>
      </c>
      <c r="T72" s="18">
        <v>192.80084199999999</v>
      </c>
      <c r="U72" s="18">
        <v>192.959991</v>
      </c>
      <c r="V72" s="18">
        <v>194.02557400000001</v>
      </c>
      <c r="W72" s="18">
        <v>194.53627</v>
      </c>
      <c r="X72" s="18">
        <v>195.41012599999999</v>
      </c>
      <c r="Y72" s="18">
        <v>195.601562</v>
      </c>
      <c r="Z72" s="18">
        <v>195.910797</v>
      </c>
      <c r="AA72" s="18">
        <v>196.69555700000001</v>
      </c>
      <c r="AB72" s="18">
        <v>196.62048300000001</v>
      </c>
      <c r="AC72" s="18">
        <v>197.38299599999999</v>
      </c>
      <c r="AD72" s="18">
        <v>197.89434800000001</v>
      </c>
      <c r="AE72" s="18">
        <v>198.69300799999999</v>
      </c>
      <c r="AF72" s="18">
        <v>198.65846300000001</v>
      </c>
      <c r="AG72" s="19">
        <v>7.2999999999999999E-5</v>
      </c>
    </row>
    <row r="73" spans="1:33" x14ac:dyDescent="0.25">
      <c r="A73" s="6" t="s">
        <v>208</v>
      </c>
      <c r="B73" s="17" t="s">
        <v>157</v>
      </c>
      <c r="C73" s="18">
        <v>208.204117</v>
      </c>
      <c r="D73" s="18">
        <v>210.053955</v>
      </c>
      <c r="E73" s="18">
        <v>199.01409899999999</v>
      </c>
      <c r="F73" s="18">
        <v>195.01040599999999</v>
      </c>
      <c r="G73" s="18">
        <v>193.97601299999999</v>
      </c>
      <c r="H73" s="18">
        <v>194.49800099999999</v>
      </c>
      <c r="I73" s="18">
        <v>196.375092</v>
      </c>
      <c r="J73" s="18">
        <v>201.220505</v>
      </c>
      <c r="K73" s="18">
        <v>205.68647799999999</v>
      </c>
      <c r="L73" s="18">
        <v>208.69906599999999</v>
      </c>
      <c r="M73" s="18">
        <v>212.24527</v>
      </c>
      <c r="N73" s="18">
        <v>216.80934099999999</v>
      </c>
      <c r="O73" s="18">
        <v>221.010559</v>
      </c>
      <c r="P73" s="18">
        <v>221.60986299999999</v>
      </c>
      <c r="Q73" s="18">
        <v>220.988586</v>
      </c>
      <c r="R73" s="18">
        <v>220.650803</v>
      </c>
      <c r="S73" s="18">
        <v>222.124863</v>
      </c>
      <c r="T73" s="18">
        <v>224.479874</v>
      </c>
      <c r="U73" s="18">
        <v>225.49440000000001</v>
      </c>
      <c r="V73" s="18">
        <v>228.347443</v>
      </c>
      <c r="W73" s="18">
        <v>231.27825899999999</v>
      </c>
      <c r="X73" s="18">
        <v>233.87385599999999</v>
      </c>
      <c r="Y73" s="18">
        <v>235.76959199999999</v>
      </c>
      <c r="Z73" s="18">
        <v>236.96980300000001</v>
      </c>
      <c r="AA73" s="18">
        <v>236.51177999999999</v>
      </c>
      <c r="AB73" s="18">
        <v>237.47439600000001</v>
      </c>
      <c r="AC73" s="18">
        <v>237.511841</v>
      </c>
      <c r="AD73" s="18">
        <v>236.39202900000001</v>
      </c>
      <c r="AE73" s="18">
        <v>236.965576</v>
      </c>
      <c r="AF73" s="18">
        <v>238.35934399999999</v>
      </c>
      <c r="AG73" s="19">
        <v>4.6750000000000003E-3</v>
      </c>
    </row>
    <row r="74" spans="1:33" ht="15" customHeight="1" x14ac:dyDescent="0.25">
      <c r="A74" s="6" t="s">
        <v>209</v>
      </c>
      <c r="B74" s="17" t="s">
        <v>170</v>
      </c>
      <c r="C74" s="18">
        <v>609.53594999999996</v>
      </c>
      <c r="D74" s="18">
        <v>598.28845200000001</v>
      </c>
      <c r="E74" s="18">
        <v>547.89263900000003</v>
      </c>
      <c r="F74" s="18">
        <v>551.61621100000002</v>
      </c>
      <c r="G74" s="18">
        <v>547.54290800000001</v>
      </c>
      <c r="H74" s="18">
        <v>545.69781499999999</v>
      </c>
      <c r="I74" s="18">
        <v>546.79840100000001</v>
      </c>
      <c r="J74" s="18">
        <v>547.26238999999998</v>
      </c>
      <c r="K74" s="18">
        <v>546.77886999999998</v>
      </c>
      <c r="L74" s="18">
        <v>548.69134499999996</v>
      </c>
      <c r="M74" s="18">
        <v>548.89294400000006</v>
      </c>
      <c r="N74" s="18">
        <v>565.02355999999997</v>
      </c>
      <c r="O74" s="18">
        <v>565.95117200000004</v>
      </c>
      <c r="P74" s="18">
        <v>564.18975799999998</v>
      </c>
      <c r="Q74" s="18">
        <v>563.70739700000001</v>
      </c>
      <c r="R74" s="18">
        <v>561.88098100000002</v>
      </c>
      <c r="S74" s="18">
        <v>563.49658199999999</v>
      </c>
      <c r="T74" s="18">
        <v>565.82550000000003</v>
      </c>
      <c r="U74" s="18">
        <v>565.11724900000002</v>
      </c>
      <c r="V74" s="18">
        <v>572.72222899999997</v>
      </c>
      <c r="W74" s="18">
        <v>577.58526600000005</v>
      </c>
      <c r="X74" s="18">
        <v>581.76525900000001</v>
      </c>
      <c r="Y74" s="18">
        <v>589.78558299999997</v>
      </c>
      <c r="Z74" s="18">
        <v>596.39648399999999</v>
      </c>
      <c r="AA74" s="18">
        <v>599.49060099999997</v>
      </c>
      <c r="AB74" s="18">
        <v>607.73553500000003</v>
      </c>
      <c r="AC74" s="18">
        <v>611.27429199999995</v>
      </c>
      <c r="AD74" s="18">
        <v>614.31207300000005</v>
      </c>
      <c r="AE74" s="18">
        <v>619.45440699999995</v>
      </c>
      <c r="AF74" s="18">
        <v>619.66424600000005</v>
      </c>
      <c r="AG74" s="19">
        <v>5.6800000000000004E-4</v>
      </c>
    </row>
    <row r="75" spans="1:33" ht="15" customHeight="1" x14ac:dyDescent="0.25">
      <c r="A75" s="6" t="s">
        <v>210</v>
      </c>
      <c r="B75" s="17" t="s">
        <v>211</v>
      </c>
      <c r="C75" s="18">
        <v>1291.174683</v>
      </c>
      <c r="D75" s="18">
        <v>1284.09375</v>
      </c>
      <c r="E75" s="18">
        <v>1213.6907960000001</v>
      </c>
      <c r="F75" s="18">
        <v>1204.892456</v>
      </c>
      <c r="G75" s="18">
        <v>1196.5361330000001</v>
      </c>
      <c r="H75" s="18">
        <v>1195.3883060000001</v>
      </c>
      <c r="I75" s="18">
        <v>1198.719971</v>
      </c>
      <c r="J75" s="18">
        <v>1206.557129</v>
      </c>
      <c r="K75" s="18">
        <v>1213.5931399999999</v>
      </c>
      <c r="L75" s="18">
        <v>1219.7529300000001</v>
      </c>
      <c r="M75" s="18">
        <v>1226.1286620000001</v>
      </c>
      <c r="N75" s="18">
        <v>1252.0280760000001</v>
      </c>
      <c r="O75" s="18">
        <v>1260.905518</v>
      </c>
      <c r="P75" s="18">
        <v>1261.868774</v>
      </c>
      <c r="Q75" s="18">
        <v>1259.264893</v>
      </c>
      <c r="R75" s="18">
        <v>1256.345947</v>
      </c>
      <c r="S75" s="18">
        <v>1260.638062</v>
      </c>
      <c r="T75" s="18">
        <v>1266.326294</v>
      </c>
      <c r="U75" s="18">
        <v>1267.726318</v>
      </c>
      <c r="V75" s="18">
        <v>1281.159668</v>
      </c>
      <c r="W75" s="18">
        <v>1290.768311</v>
      </c>
      <c r="X75" s="18">
        <v>1299.919312</v>
      </c>
      <c r="Y75" s="18">
        <v>1310.5673830000001</v>
      </c>
      <c r="Z75" s="18">
        <v>1319.638672</v>
      </c>
      <c r="AA75" s="18">
        <v>1324.612793</v>
      </c>
      <c r="AB75" s="18">
        <v>1334.097534</v>
      </c>
      <c r="AC75" s="18">
        <v>1339.8862300000001</v>
      </c>
      <c r="AD75" s="18">
        <v>1343.316284</v>
      </c>
      <c r="AE75" s="18">
        <v>1351.0830080000001</v>
      </c>
      <c r="AF75" s="18">
        <v>1353.181885</v>
      </c>
      <c r="AG75" s="19">
        <v>1.619E-3</v>
      </c>
    </row>
    <row r="76" spans="1:33" ht="15" customHeight="1" x14ac:dyDescent="0.25">
      <c r="A76" s="6" t="s">
        <v>212</v>
      </c>
      <c r="B76" s="17" t="s">
        <v>213</v>
      </c>
      <c r="C76" s="18">
        <v>0.79351799999999995</v>
      </c>
      <c r="D76" s="18">
        <v>0.85520600000000002</v>
      </c>
      <c r="E76" s="18">
        <v>0.88273299999999999</v>
      </c>
      <c r="F76" s="18">
        <v>0.86548000000000003</v>
      </c>
      <c r="G76" s="18">
        <v>0.84421299999999999</v>
      </c>
      <c r="H76" s="18">
        <v>0.82575799999999999</v>
      </c>
      <c r="I76" s="18">
        <v>0.80896000000000001</v>
      </c>
      <c r="J76" s="18">
        <v>0.78920100000000004</v>
      </c>
      <c r="K76" s="18">
        <v>0.76737200000000005</v>
      </c>
      <c r="L76" s="18">
        <v>0.75133700000000003</v>
      </c>
      <c r="M76" s="18">
        <v>0.72710200000000003</v>
      </c>
      <c r="N76" s="18">
        <v>0.72403499999999998</v>
      </c>
      <c r="O76" s="18">
        <v>0.70578099999999999</v>
      </c>
      <c r="P76" s="18">
        <v>0.686639</v>
      </c>
      <c r="Q76" s="18">
        <v>0.67041700000000004</v>
      </c>
      <c r="R76" s="18">
        <v>0.65540500000000002</v>
      </c>
      <c r="S76" s="18">
        <v>0.646374</v>
      </c>
      <c r="T76" s="18">
        <v>0.64178199999999996</v>
      </c>
      <c r="U76" s="18">
        <v>0.63880700000000001</v>
      </c>
      <c r="V76" s="18">
        <v>0.64500599999999997</v>
      </c>
      <c r="W76" s="18">
        <v>0.65085599999999999</v>
      </c>
      <c r="X76" s="18">
        <v>0.65063700000000002</v>
      </c>
      <c r="Y76" s="18">
        <v>0.66227899999999995</v>
      </c>
      <c r="Z76" s="18">
        <v>0.68001599999999995</v>
      </c>
      <c r="AA76" s="18">
        <v>0.68970100000000001</v>
      </c>
      <c r="AB76" s="18">
        <v>0.70481199999999999</v>
      </c>
      <c r="AC76" s="18">
        <v>0.71571300000000004</v>
      </c>
      <c r="AD76" s="18">
        <v>0.729132</v>
      </c>
      <c r="AE76" s="18">
        <v>0.74276299999999995</v>
      </c>
      <c r="AF76" s="18">
        <v>0.75120200000000004</v>
      </c>
      <c r="AG76" s="19">
        <v>-1.8879999999999999E-3</v>
      </c>
    </row>
    <row r="77" spans="1:33" ht="15" customHeight="1" x14ac:dyDescent="0.25">
      <c r="A77" s="6" t="s">
        <v>214</v>
      </c>
      <c r="B77" s="16" t="s">
        <v>215</v>
      </c>
      <c r="C77" s="20">
        <v>1291.9681399999999</v>
      </c>
      <c r="D77" s="20">
        <v>1284.948975</v>
      </c>
      <c r="E77" s="20">
        <v>1214.573486</v>
      </c>
      <c r="F77" s="20">
        <v>1205.7579350000001</v>
      </c>
      <c r="G77" s="20">
        <v>1197.380371</v>
      </c>
      <c r="H77" s="20">
        <v>1196.214111</v>
      </c>
      <c r="I77" s="20">
        <v>1199.5289310000001</v>
      </c>
      <c r="J77" s="20">
        <v>1207.346313</v>
      </c>
      <c r="K77" s="20">
        <v>1214.3604740000001</v>
      </c>
      <c r="L77" s="20">
        <v>1220.5042719999999</v>
      </c>
      <c r="M77" s="20">
        <v>1226.8557129999999</v>
      </c>
      <c r="N77" s="20">
        <v>1252.7520750000001</v>
      </c>
      <c r="O77" s="20">
        <v>1261.611328</v>
      </c>
      <c r="P77" s="20">
        <v>1262.5554199999999</v>
      </c>
      <c r="Q77" s="20">
        <v>1259.935303</v>
      </c>
      <c r="R77" s="20">
        <v>1257.0013429999999</v>
      </c>
      <c r="S77" s="20">
        <v>1261.2844239999999</v>
      </c>
      <c r="T77" s="20">
        <v>1266.968018</v>
      </c>
      <c r="U77" s="20">
        <v>1268.365112</v>
      </c>
      <c r="V77" s="20">
        <v>1281.8046879999999</v>
      </c>
      <c r="W77" s="20">
        <v>1291.419189</v>
      </c>
      <c r="X77" s="20">
        <v>1300.5699460000001</v>
      </c>
      <c r="Y77" s="20">
        <v>1311.2296140000001</v>
      </c>
      <c r="Z77" s="20">
        <v>1320.318726</v>
      </c>
      <c r="AA77" s="20">
        <v>1325.30249</v>
      </c>
      <c r="AB77" s="20">
        <v>1334.8023679999999</v>
      </c>
      <c r="AC77" s="20">
        <v>1340.6019289999999</v>
      </c>
      <c r="AD77" s="20">
        <v>1344.0454099999999</v>
      </c>
      <c r="AE77" s="20">
        <v>1351.8258060000001</v>
      </c>
      <c r="AF77" s="20">
        <v>1353.9331050000001</v>
      </c>
      <c r="AG77" s="21">
        <v>1.6169999999999999E-3</v>
      </c>
    </row>
    <row r="78" spans="1:33" ht="15" customHeight="1" x14ac:dyDescent="0.25"/>
    <row r="80" spans="1:33" ht="15" customHeight="1" x14ac:dyDescent="0.25">
      <c r="B80" s="16" t="s">
        <v>216</v>
      </c>
    </row>
    <row r="81" spans="1:33" x14ac:dyDescent="0.25">
      <c r="B81" s="16" t="s">
        <v>141</v>
      </c>
    </row>
    <row r="82" spans="1:33" ht="15" customHeight="1" x14ac:dyDescent="0.25">
      <c r="A82" s="6" t="s">
        <v>217</v>
      </c>
      <c r="B82" s="17" t="s">
        <v>143</v>
      </c>
      <c r="C82" s="25">
        <v>21.519539000000002</v>
      </c>
      <c r="D82" s="25">
        <v>23.918144000000002</v>
      </c>
      <c r="E82" s="25">
        <v>24.217051000000001</v>
      </c>
      <c r="F82" s="25">
        <v>24.935790999999998</v>
      </c>
      <c r="G82" s="25">
        <v>25.653113999999999</v>
      </c>
      <c r="H82" s="25">
        <v>26.580560999999999</v>
      </c>
      <c r="I82" s="25">
        <v>27.797075</v>
      </c>
      <c r="J82" s="25">
        <v>29.328686000000001</v>
      </c>
      <c r="K82" s="25">
        <v>31.014244000000001</v>
      </c>
      <c r="L82" s="25">
        <v>32.694023000000001</v>
      </c>
      <c r="M82" s="25">
        <v>34.429127000000001</v>
      </c>
      <c r="N82" s="25">
        <v>36.408802000000001</v>
      </c>
      <c r="O82" s="25">
        <v>38.23621</v>
      </c>
      <c r="P82" s="25">
        <v>39.975242999999999</v>
      </c>
      <c r="Q82" s="25">
        <v>41.643776000000003</v>
      </c>
      <c r="R82" s="25">
        <v>43.255378999999998</v>
      </c>
      <c r="S82" s="25">
        <v>45.068809999999999</v>
      </c>
      <c r="T82" s="25">
        <v>47.014851</v>
      </c>
      <c r="U82" s="25">
        <v>48.922707000000003</v>
      </c>
      <c r="V82" s="25">
        <v>51.130653000000002</v>
      </c>
      <c r="W82" s="25">
        <v>53.447806999999997</v>
      </c>
      <c r="X82" s="25">
        <v>55.830475</v>
      </c>
      <c r="Y82" s="25">
        <v>58.463219000000002</v>
      </c>
      <c r="Z82" s="25">
        <v>61.121395</v>
      </c>
      <c r="AA82" s="25">
        <v>63.463867</v>
      </c>
      <c r="AB82" s="25">
        <v>65.540503999999999</v>
      </c>
      <c r="AC82" s="25">
        <v>67.531943999999996</v>
      </c>
      <c r="AD82" s="25">
        <v>69.613517999999999</v>
      </c>
      <c r="AE82" s="25">
        <v>71.843872000000005</v>
      </c>
      <c r="AF82" s="25">
        <v>74.008056999999994</v>
      </c>
      <c r="AG82" s="19">
        <v>4.3513999999999997E-2</v>
      </c>
    </row>
    <row r="83" spans="1:33" ht="15" customHeight="1" x14ac:dyDescent="0.25">
      <c r="A83" s="6" t="s">
        <v>218</v>
      </c>
      <c r="B83" s="17" t="s">
        <v>145</v>
      </c>
      <c r="C83" s="25">
        <v>21.744820000000001</v>
      </c>
      <c r="D83" s="25">
        <v>22.778738000000001</v>
      </c>
      <c r="E83" s="25">
        <v>22.748636000000001</v>
      </c>
      <c r="F83" s="25">
        <v>24.861052999999998</v>
      </c>
      <c r="G83" s="25">
        <v>26.329546000000001</v>
      </c>
      <c r="H83" s="25">
        <v>27.851925000000001</v>
      </c>
      <c r="I83" s="25">
        <v>29.621317000000001</v>
      </c>
      <c r="J83" s="25">
        <v>30.792341</v>
      </c>
      <c r="K83" s="25">
        <v>31.995436000000002</v>
      </c>
      <c r="L83" s="25">
        <v>32.971935000000002</v>
      </c>
      <c r="M83" s="25">
        <v>34.302104999999997</v>
      </c>
      <c r="N83" s="25">
        <v>35.573318</v>
      </c>
      <c r="O83" s="25">
        <v>36.823543999999998</v>
      </c>
      <c r="P83" s="25">
        <v>37.983207999999998</v>
      </c>
      <c r="Q83" s="25">
        <v>39.267166000000003</v>
      </c>
      <c r="R83" s="25">
        <v>40.646937999999999</v>
      </c>
      <c r="S83" s="25">
        <v>42.295757000000002</v>
      </c>
      <c r="T83" s="25">
        <v>43.923121999999999</v>
      </c>
      <c r="U83" s="25">
        <v>45.424511000000003</v>
      </c>
      <c r="V83" s="25">
        <v>47.397708999999999</v>
      </c>
      <c r="W83" s="25">
        <v>49.341186999999998</v>
      </c>
      <c r="X83" s="25">
        <v>51.178767999999998</v>
      </c>
      <c r="Y83" s="25">
        <v>53.481608999999999</v>
      </c>
      <c r="Z83" s="25">
        <v>55.842537</v>
      </c>
      <c r="AA83" s="25">
        <v>57.673405000000002</v>
      </c>
      <c r="AB83" s="25">
        <v>60.018929</v>
      </c>
      <c r="AC83" s="25">
        <v>61.958022999999997</v>
      </c>
      <c r="AD83" s="25">
        <v>63.796551000000001</v>
      </c>
      <c r="AE83" s="25">
        <v>66.058898999999997</v>
      </c>
      <c r="AF83" s="25">
        <v>67.817245</v>
      </c>
      <c r="AG83" s="19">
        <v>4.0001000000000002E-2</v>
      </c>
    </row>
    <row r="84" spans="1:33" ht="15" customHeight="1" x14ac:dyDescent="0.25">
      <c r="A84" s="6" t="s">
        <v>219</v>
      </c>
      <c r="B84" s="17" t="s">
        <v>147</v>
      </c>
      <c r="C84" s="25">
        <v>11.714767</v>
      </c>
      <c r="D84" s="25">
        <v>12.543241</v>
      </c>
      <c r="E84" s="25">
        <v>12.202449</v>
      </c>
      <c r="F84" s="25">
        <v>12.042318</v>
      </c>
      <c r="G84" s="25">
        <v>12.074783999999999</v>
      </c>
      <c r="H84" s="25">
        <v>12.275156000000001</v>
      </c>
      <c r="I84" s="25">
        <v>12.557124</v>
      </c>
      <c r="J84" s="25">
        <v>13.175777999999999</v>
      </c>
      <c r="K84" s="25">
        <v>13.846838999999999</v>
      </c>
      <c r="L84" s="25">
        <v>14.43425</v>
      </c>
      <c r="M84" s="25">
        <v>15.042178</v>
      </c>
      <c r="N84" s="25">
        <v>16.003031</v>
      </c>
      <c r="O84" s="25">
        <v>16.729973000000001</v>
      </c>
      <c r="P84" s="25">
        <v>17.369700999999999</v>
      </c>
      <c r="Q84" s="25">
        <v>17.962931000000001</v>
      </c>
      <c r="R84" s="25">
        <v>18.530180000000001</v>
      </c>
      <c r="S84" s="25">
        <v>19.236832</v>
      </c>
      <c r="T84" s="25">
        <v>19.960674000000001</v>
      </c>
      <c r="U84" s="25">
        <v>20.710352</v>
      </c>
      <c r="V84" s="25">
        <v>21.478207000000001</v>
      </c>
      <c r="W84" s="25">
        <v>22.371119</v>
      </c>
      <c r="X84" s="25">
        <v>23.132490000000001</v>
      </c>
      <c r="Y84" s="25">
        <v>23.849205000000001</v>
      </c>
      <c r="Z84" s="25">
        <v>24.621888999999999</v>
      </c>
      <c r="AA84" s="25">
        <v>25.382959</v>
      </c>
      <c r="AB84" s="25">
        <v>26.228062000000001</v>
      </c>
      <c r="AC84" s="25">
        <v>27.116817000000001</v>
      </c>
      <c r="AD84" s="25">
        <v>28.030218000000001</v>
      </c>
      <c r="AE84" s="25">
        <v>29.040030000000002</v>
      </c>
      <c r="AF84" s="25">
        <v>30.030491000000001</v>
      </c>
      <c r="AG84" s="19">
        <v>3.2993000000000001E-2</v>
      </c>
    </row>
    <row r="85" spans="1:33" ht="15" customHeight="1" x14ac:dyDescent="0.25">
      <c r="A85" s="6" t="s">
        <v>220</v>
      </c>
      <c r="B85" s="17" t="s">
        <v>149</v>
      </c>
      <c r="C85" s="25">
        <v>38.762390000000003</v>
      </c>
      <c r="D85" s="25">
        <v>39.760395000000003</v>
      </c>
      <c r="E85" s="25">
        <v>40.441296000000001</v>
      </c>
      <c r="F85" s="25">
        <v>40.948036000000002</v>
      </c>
      <c r="G85" s="25">
        <v>42.041279000000003</v>
      </c>
      <c r="H85" s="25">
        <v>43.654277999999998</v>
      </c>
      <c r="I85" s="25">
        <v>45.274918</v>
      </c>
      <c r="J85" s="25">
        <v>46.968456000000003</v>
      </c>
      <c r="K85" s="25">
        <v>48.764786000000001</v>
      </c>
      <c r="L85" s="25">
        <v>50.440311000000001</v>
      </c>
      <c r="M85" s="25">
        <v>52.301014000000002</v>
      </c>
      <c r="N85" s="25">
        <v>54.228222000000002</v>
      </c>
      <c r="O85" s="25">
        <v>56.232787999999999</v>
      </c>
      <c r="P85" s="25">
        <v>58.235149</v>
      </c>
      <c r="Q85" s="25">
        <v>59.737147999999998</v>
      </c>
      <c r="R85" s="25">
        <v>61.399422000000001</v>
      </c>
      <c r="S85" s="25">
        <v>63.274548000000003</v>
      </c>
      <c r="T85" s="25">
        <v>65.205223000000004</v>
      </c>
      <c r="U85" s="25">
        <v>67.165619000000007</v>
      </c>
      <c r="V85" s="25">
        <v>69.583977000000004</v>
      </c>
      <c r="W85" s="25">
        <v>71.797447000000005</v>
      </c>
      <c r="X85" s="25">
        <v>74.293342999999993</v>
      </c>
      <c r="Y85" s="25">
        <v>76.476523999999998</v>
      </c>
      <c r="Z85" s="25">
        <v>78.779670999999993</v>
      </c>
      <c r="AA85" s="25">
        <v>81.454978999999994</v>
      </c>
      <c r="AB85" s="25">
        <v>83.635261999999997</v>
      </c>
      <c r="AC85" s="25">
        <v>86.340796999999995</v>
      </c>
      <c r="AD85" s="25">
        <v>88.913673000000003</v>
      </c>
      <c r="AE85" s="25">
        <v>91.521866000000003</v>
      </c>
      <c r="AF85" s="25">
        <v>93.815933000000001</v>
      </c>
      <c r="AG85" s="19">
        <v>3.0948E-2</v>
      </c>
    </row>
    <row r="86" spans="1:33" ht="15" customHeight="1" x14ac:dyDescent="0.25"/>
    <row r="87" spans="1:33" ht="15" customHeight="1" x14ac:dyDescent="0.25">
      <c r="B87" s="16" t="s">
        <v>150</v>
      </c>
    </row>
    <row r="88" spans="1:33" ht="15" customHeight="1" x14ac:dyDescent="0.25">
      <c r="A88" s="6" t="s">
        <v>221</v>
      </c>
      <c r="B88" s="17" t="s">
        <v>143</v>
      </c>
      <c r="C88" s="25">
        <v>18.822289999999999</v>
      </c>
      <c r="D88" s="25">
        <v>20.350739999999998</v>
      </c>
      <c r="E88" s="25">
        <v>19.176967999999999</v>
      </c>
      <c r="F88" s="25">
        <v>19.644886</v>
      </c>
      <c r="G88" s="25">
        <v>20.149332000000001</v>
      </c>
      <c r="H88" s="25">
        <v>20.939876999999999</v>
      </c>
      <c r="I88" s="25">
        <v>22.034400999999999</v>
      </c>
      <c r="J88" s="25">
        <v>23.408949</v>
      </c>
      <c r="K88" s="25">
        <v>24.81222</v>
      </c>
      <c r="L88" s="25">
        <v>26.097705999999999</v>
      </c>
      <c r="M88" s="25">
        <v>27.423658</v>
      </c>
      <c r="N88" s="25">
        <v>29.065638</v>
      </c>
      <c r="O88" s="25">
        <v>30.472038000000001</v>
      </c>
      <c r="P88" s="25">
        <v>31.692806000000001</v>
      </c>
      <c r="Q88" s="25">
        <v>32.855998999999997</v>
      </c>
      <c r="R88" s="25">
        <v>34.020049999999998</v>
      </c>
      <c r="S88" s="25">
        <v>35.483128000000001</v>
      </c>
      <c r="T88" s="25">
        <v>37.036971999999999</v>
      </c>
      <c r="U88" s="25">
        <v>38.469906000000002</v>
      </c>
      <c r="V88" s="25">
        <v>40.285891999999997</v>
      </c>
      <c r="W88" s="25">
        <v>42.107844999999998</v>
      </c>
      <c r="X88" s="25">
        <v>43.929760000000002</v>
      </c>
      <c r="Y88" s="25">
        <v>46.050961000000001</v>
      </c>
      <c r="Z88" s="25">
        <v>48.072746000000002</v>
      </c>
      <c r="AA88" s="25">
        <v>49.627422000000003</v>
      </c>
      <c r="AB88" s="25">
        <v>50.975948000000002</v>
      </c>
      <c r="AC88" s="25">
        <v>52.382263000000002</v>
      </c>
      <c r="AD88" s="25">
        <v>54.000731999999999</v>
      </c>
      <c r="AE88" s="25">
        <v>55.80312</v>
      </c>
      <c r="AF88" s="25">
        <v>57.445701999999997</v>
      </c>
      <c r="AG88" s="19">
        <v>3.9225999999999997E-2</v>
      </c>
    </row>
    <row r="89" spans="1:33" ht="15" customHeight="1" x14ac:dyDescent="0.25">
      <c r="A89" s="6" t="s">
        <v>222</v>
      </c>
      <c r="B89" s="17" t="s">
        <v>145</v>
      </c>
      <c r="C89" s="25">
        <v>21.823187000000001</v>
      </c>
      <c r="D89" s="25">
        <v>22.864526999999999</v>
      </c>
      <c r="E89" s="25">
        <v>21.600349000000001</v>
      </c>
      <c r="F89" s="25">
        <v>22.538955999999999</v>
      </c>
      <c r="G89" s="25">
        <v>22.716763</v>
      </c>
      <c r="H89" s="25">
        <v>22.870412999999999</v>
      </c>
      <c r="I89" s="25">
        <v>23.183537000000001</v>
      </c>
      <c r="J89" s="25">
        <v>24.129183000000001</v>
      </c>
      <c r="K89" s="25">
        <v>25.097404000000001</v>
      </c>
      <c r="L89" s="25">
        <v>25.879559</v>
      </c>
      <c r="M89" s="25">
        <v>26.97542</v>
      </c>
      <c r="N89" s="25">
        <v>28.472673</v>
      </c>
      <c r="O89" s="25">
        <v>29.485673999999999</v>
      </c>
      <c r="P89" s="25">
        <v>30.415444999999998</v>
      </c>
      <c r="Q89" s="25">
        <v>31.518965000000001</v>
      </c>
      <c r="R89" s="25">
        <v>32.628517000000002</v>
      </c>
      <c r="S89" s="25">
        <v>34.011166000000003</v>
      </c>
      <c r="T89" s="25">
        <v>35.360092000000002</v>
      </c>
      <c r="U89" s="25">
        <v>36.565868000000002</v>
      </c>
      <c r="V89" s="25">
        <v>38.259872000000001</v>
      </c>
      <c r="W89" s="25">
        <v>39.890250999999999</v>
      </c>
      <c r="X89" s="25">
        <v>41.408070000000002</v>
      </c>
      <c r="Y89" s="25">
        <v>43.365456000000002</v>
      </c>
      <c r="Z89" s="25">
        <v>45.385769000000003</v>
      </c>
      <c r="AA89" s="25">
        <v>46.893352999999998</v>
      </c>
      <c r="AB89" s="25">
        <v>48.884224000000003</v>
      </c>
      <c r="AC89" s="25">
        <v>50.466414999999998</v>
      </c>
      <c r="AD89" s="25">
        <v>51.926085999999998</v>
      </c>
      <c r="AE89" s="25">
        <v>53.812156999999999</v>
      </c>
      <c r="AF89" s="25">
        <v>55.194648999999998</v>
      </c>
      <c r="AG89" s="19">
        <v>3.2514000000000001E-2</v>
      </c>
    </row>
    <row r="90" spans="1:33" ht="15" customHeight="1" x14ac:dyDescent="0.25">
      <c r="A90" s="6" t="s">
        <v>223</v>
      </c>
      <c r="B90" s="17" t="s">
        <v>154</v>
      </c>
      <c r="C90" s="25">
        <v>6.5100579999999999</v>
      </c>
      <c r="D90" s="25">
        <v>7.8004769999999999</v>
      </c>
      <c r="E90" s="25">
        <v>7.9453529999999999</v>
      </c>
      <c r="F90" s="25">
        <v>9.5562349999999991</v>
      </c>
      <c r="G90" s="25">
        <v>10.553672000000001</v>
      </c>
      <c r="H90" s="25">
        <v>11.556342000000001</v>
      </c>
      <c r="I90" s="25">
        <v>12.909644</v>
      </c>
      <c r="J90" s="25">
        <v>13.55414</v>
      </c>
      <c r="K90" s="25">
        <v>14.135114</v>
      </c>
      <c r="L90" s="25">
        <v>14.810273</v>
      </c>
      <c r="M90" s="25">
        <v>15.443987999999999</v>
      </c>
      <c r="N90" s="25">
        <v>16.214158999999999</v>
      </c>
      <c r="O90" s="25">
        <v>16.884550000000001</v>
      </c>
      <c r="P90" s="25">
        <v>17.565434</v>
      </c>
      <c r="Q90" s="25">
        <v>18.204203</v>
      </c>
      <c r="R90" s="25">
        <v>18.902946</v>
      </c>
      <c r="S90" s="25">
        <v>19.504273999999999</v>
      </c>
      <c r="T90" s="25">
        <v>20.369133000000001</v>
      </c>
      <c r="U90" s="25">
        <v>20.943598000000001</v>
      </c>
      <c r="V90" s="25">
        <v>22.739405000000001</v>
      </c>
      <c r="W90" s="25">
        <v>23.757801000000001</v>
      </c>
      <c r="X90" s="25">
        <v>24.624191</v>
      </c>
      <c r="Y90" s="25">
        <v>25.966453999999999</v>
      </c>
      <c r="Z90" s="25">
        <v>27.371773000000001</v>
      </c>
      <c r="AA90" s="25">
        <v>28.378710000000002</v>
      </c>
      <c r="AB90" s="25">
        <v>29.709683999999999</v>
      </c>
      <c r="AC90" s="25">
        <v>30.750561000000001</v>
      </c>
      <c r="AD90" s="25">
        <v>31.706526</v>
      </c>
      <c r="AE90" s="25">
        <v>32.928417000000003</v>
      </c>
      <c r="AF90" s="25">
        <v>33.788494</v>
      </c>
      <c r="AG90" s="19">
        <v>5.8429000000000002E-2</v>
      </c>
    </row>
    <row r="91" spans="1:33" ht="15" customHeight="1" x14ac:dyDescent="0.25">
      <c r="A91" s="6" t="s">
        <v>224</v>
      </c>
      <c r="B91" s="17" t="s">
        <v>147</v>
      </c>
      <c r="C91" s="25">
        <v>8.4425779999999992</v>
      </c>
      <c r="D91" s="25">
        <v>9.1026070000000008</v>
      </c>
      <c r="E91" s="25">
        <v>8.9924140000000001</v>
      </c>
      <c r="F91" s="25">
        <v>8.9158360000000005</v>
      </c>
      <c r="G91" s="25">
        <v>9.0154189999999996</v>
      </c>
      <c r="H91" s="25">
        <v>9.2677060000000004</v>
      </c>
      <c r="I91" s="25">
        <v>9.5859579999999998</v>
      </c>
      <c r="J91" s="25">
        <v>10.077318</v>
      </c>
      <c r="K91" s="25">
        <v>10.609268</v>
      </c>
      <c r="L91" s="25">
        <v>11.058864</v>
      </c>
      <c r="M91" s="25">
        <v>11.524680999999999</v>
      </c>
      <c r="N91" s="25">
        <v>12.192710999999999</v>
      </c>
      <c r="O91" s="25">
        <v>12.736744</v>
      </c>
      <c r="P91" s="25">
        <v>13.204803</v>
      </c>
      <c r="Q91" s="25">
        <v>13.612743999999999</v>
      </c>
      <c r="R91" s="25">
        <v>14.009382</v>
      </c>
      <c r="S91" s="25">
        <v>14.536538999999999</v>
      </c>
      <c r="T91" s="25">
        <v>15.077870000000001</v>
      </c>
      <c r="U91" s="25">
        <v>15.641514000000001</v>
      </c>
      <c r="V91" s="25">
        <v>16.216298999999999</v>
      </c>
      <c r="W91" s="25">
        <v>16.906044000000001</v>
      </c>
      <c r="X91" s="25">
        <v>17.457684</v>
      </c>
      <c r="Y91" s="25">
        <v>17.959168999999999</v>
      </c>
      <c r="Z91" s="25">
        <v>18.514944</v>
      </c>
      <c r="AA91" s="25">
        <v>19.054134000000001</v>
      </c>
      <c r="AB91" s="25">
        <v>19.667431000000001</v>
      </c>
      <c r="AC91" s="25">
        <v>20.318686</v>
      </c>
      <c r="AD91" s="25">
        <v>20.989712000000001</v>
      </c>
      <c r="AE91" s="25">
        <v>21.750826</v>
      </c>
      <c r="AF91" s="25">
        <v>22.491329</v>
      </c>
      <c r="AG91" s="19">
        <v>3.4365E-2</v>
      </c>
    </row>
    <row r="92" spans="1:33" x14ac:dyDescent="0.25">
      <c r="A92" s="6" t="s">
        <v>225</v>
      </c>
      <c r="B92" s="17" t="s">
        <v>149</v>
      </c>
      <c r="C92" s="25">
        <v>33.230530000000002</v>
      </c>
      <c r="D92" s="25">
        <v>33.978515999999999</v>
      </c>
      <c r="E92" s="25">
        <v>33.874538000000001</v>
      </c>
      <c r="F92" s="25">
        <v>34.144748999999997</v>
      </c>
      <c r="G92" s="25">
        <v>34.978957999999999</v>
      </c>
      <c r="H92" s="25">
        <v>36.308815000000003</v>
      </c>
      <c r="I92" s="25">
        <v>37.550941000000002</v>
      </c>
      <c r="J92" s="25">
        <v>38.900844999999997</v>
      </c>
      <c r="K92" s="25">
        <v>40.301246999999996</v>
      </c>
      <c r="L92" s="25">
        <v>41.556381000000002</v>
      </c>
      <c r="M92" s="25">
        <v>43.000675000000001</v>
      </c>
      <c r="N92" s="25">
        <v>44.457672000000002</v>
      </c>
      <c r="O92" s="25">
        <v>46.101951999999997</v>
      </c>
      <c r="P92" s="25">
        <v>47.656097000000003</v>
      </c>
      <c r="Q92" s="25">
        <v>48.670650000000002</v>
      </c>
      <c r="R92" s="25">
        <v>49.857143000000001</v>
      </c>
      <c r="S92" s="25">
        <v>51.332649000000004</v>
      </c>
      <c r="T92" s="25">
        <v>52.747883000000002</v>
      </c>
      <c r="U92" s="25">
        <v>54.245193</v>
      </c>
      <c r="V92" s="25">
        <v>56.169052000000001</v>
      </c>
      <c r="W92" s="25">
        <v>57.813347</v>
      </c>
      <c r="X92" s="25">
        <v>59.804386000000001</v>
      </c>
      <c r="Y92" s="25">
        <v>61.462963000000002</v>
      </c>
      <c r="Z92" s="25">
        <v>63.146968999999999</v>
      </c>
      <c r="AA92" s="25">
        <v>65.182570999999996</v>
      </c>
      <c r="AB92" s="25">
        <v>66.765311999999994</v>
      </c>
      <c r="AC92" s="25">
        <v>68.797684000000004</v>
      </c>
      <c r="AD92" s="25">
        <v>70.724791999999994</v>
      </c>
      <c r="AE92" s="25">
        <v>72.731880000000004</v>
      </c>
      <c r="AF92" s="25">
        <v>74.371184999999997</v>
      </c>
      <c r="AG92" s="19">
        <v>2.8169E-2</v>
      </c>
    </row>
    <row r="93" spans="1:33" ht="15" customHeight="1" x14ac:dyDescent="0.25"/>
    <row r="94" spans="1:33" ht="15" customHeight="1" x14ac:dyDescent="0.25">
      <c r="B94" s="16" t="s">
        <v>157</v>
      </c>
    </row>
    <row r="95" spans="1:33" ht="15" customHeight="1" x14ac:dyDescent="0.25">
      <c r="A95" s="6" t="s">
        <v>226</v>
      </c>
      <c r="B95" s="17" t="s">
        <v>143</v>
      </c>
      <c r="C95" s="25">
        <v>13.663833</v>
      </c>
      <c r="D95" s="25">
        <v>14.819919000000001</v>
      </c>
      <c r="E95" s="25">
        <v>13.271934</v>
      </c>
      <c r="F95" s="25">
        <v>13.628423</v>
      </c>
      <c r="G95" s="25">
        <v>13.95307</v>
      </c>
      <c r="H95" s="25">
        <v>14.548325</v>
      </c>
      <c r="I95" s="25">
        <v>15.435884</v>
      </c>
      <c r="J95" s="25">
        <v>16.600773</v>
      </c>
      <c r="K95" s="25">
        <v>17.782276</v>
      </c>
      <c r="L95" s="25">
        <v>18.83663</v>
      </c>
      <c r="M95" s="25">
        <v>19.937275</v>
      </c>
      <c r="N95" s="25">
        <v>21.000050000000002</v>
      </c>
      <c r="O95" s="25">
        <v>22.172025999999999</v>
      </c>
      <c r="P95" s="25">
        <v>23.112477999999999</v>
      </c>
      <c r="Q95" s="25">
        <v>23.917981999999999</v>
      </c>
      <c r="R95" s="25">
        <v>24.776942999999999</v>
      </c>
      <c r="S95" s="25">
        <v>25.955269000000001</v>
      </c>
      <c r="T95" s="25">
        <v>27.207771000000001</v>
      </c>
      <c r="U95" s="25">
        <v>28.310419</v>
      </c>
      <c r="V95" s="25">
        <v>29.833817</v>
      </c>
      <c r="W95" s="25">
        <v>31.332878000000001</v>
      </c>
      <c r="X95" s="25">
        <v>32.812331999999998</v>
      </c>
      <c r="Y95" s="25">
        <v>34.627685999999997</v>
      </c>
      <c r="Z95" s="25">
        <v>36.303150000000002</v>
      </c>
      <c r="AA95" s="25">
        <v>37.423499999999997</v>
      </c>
      <c r="AB95" s="25">
        <v>38.314681999999998</v>
      </c>
      <c r="AC95" s="25">
        <v>39.270896999999998</v>
      </c>
      <c r="AD95" s="25">
        <v>40.458590999999998</v>
      </c>
      <c r="AE95" s="25">
        <v>41.837971000000003</v>
      </c>
      <c r="AF95" s="25">
        <v>43.012805999999998</v>
      </c>
      <c r="AG95" s="19">
        <v>4.0335000000000003E-2</v>
      </c>
    </row>
    <row r="96" spans="1:33" ht="15" customHeight="1" x14ac:dyDescent="0.25">
      <c r="A96" s="6" t="s">
        <v>227</v>
      </c>
      <c r="B96" s="17" t="s">
        <v>145</v>
      </c>
      <c r="C96" s="25">
        <v>21.752379999999999</v>
      </c>
      <c r="D96" s="25">
        <v>22.782827000000001</v>
      </c>
      <c r="E96" s="25">
        <v>21.600446999999999</v>
      </c>
      <c r="F96" s="25">
        <v>22.502116999999998</v>
      </c>
      <c r="G96" s="25">
        <v>22.671472999999999</v>
      </c>
      <c r="H96" s="25">
        <v>22.807241000000001</v>
      </c>
      <c r="I96" s="25">
        <v>23.093634000000002</v>
      </c>
      <c r="J96" s="25">
        <v>24.042925</v>
      </c>
      <c r="K96" s="25">
        <v>25.024291999999999</v>
      </c>
      <c r="L96" s="25">
        <v>25.825529</v>
      </c>
      <c r="M96" s="25">
        <v>26.921161999999999</v>
      </c>
      <c r="N96" s="25">
        <v>27.974201000000001</v>
      </c>
      <c r="O96" s="25">
        <v>28.998322999999999</v>
      </c>
      <c r="P96" s="25">
        <v>29.918237999999999</v>
      </c>
      <c r="Q96" s="25">
        <v>30.948077999999999</v>
      </c>
      <c r="R96" s="25">
        <v>32.043514000000002</v>
      </c>
      <c r="S96" s="25">
        <v>33.408504000000001</v>
      </c>
      <c r="T96" s="25">
        <v>34.742167999999999</v>
      </c>
      <c r="U96" s="25">
        <v>35.938408000000003</v>
      </c>
      <c r="V96" s="25">
        <v>37.634182000000003</v>
      </c>
      <c r="W96" s="25">
        <v>39.255958999999997</v>
      </c>
      <c r="X96" s="25">
        <v>40.764423000000001</v>
      </c>
      <c r="Y96" s="25">
        <v>42.711177999999997</v>
      </c>
      <c r="Z96" s="25">
        <v>44.711669999999998</v>
      </c>
      <c r="AA96" s="25">
        <v>46.220592000000003</v>
      </c>
      <c r="AB96" s="25">
        <v>48.205630999999997</v>
      </c>
      <c r="AC96" s="25">
        <v>49.785361999999999</v>
      </c>
      <c r="AD96" s="25">
        <v>51.237803999999997</v>
      </c>
      <c r="AE96" s="25">
        <v>53.118130000000001</v>
      </c>
      <c r="AF96" s="25">
        <v>54.499023000000001</v>
      </c>
      <c r="AG96" s="19">
        <v>3.2177999999999998E-2</v>
      </c>
    </row>
    <row r="97" spans="1:33" ht="15" customHeight="1" x14ac:dyDescent="0.25">
      <c r="A97" s="6" t="s">
        <v>228</v>
      </c>
      <c r="B97" s="17" t="s">
        <v>154</v>
      </c>
      <c r="C97" s="25">
        <v>7.0922299999999998</v>
      </c>
      <c r="D97" s="25">
        <v>8.5610320000000009</v>
      </c>
      <c r="E97" s="25">
        <v>8.9461729999999999</v>
      </c>
      <c r="F97" s="25">
        <v>10.835464</v>
      </c>
      <c r="G97" s="25">
        <v>12.090138</v>
      </c>
      <c r="H97" s="25">
        <v>13.431333</v>
      </c>
      <c r="I97" s="25">
        <v>15.102933999999999</v>
      </c>
      <c r="J97" s="25">
        <v>15.845736</v>
      </c>
      <c r="K97" s="25">
        <v>16.550834999999999</v>
      </c>
      <c r="L97" s="25">
        <v>17.320302999999999</v>
      </c>
      <c r="M97" s="25">
        <v>18.075562000000001</v>
      </c>
      <c r="N97" s="25">
        <v>18.961387999999999</v>
      </c>
      <c r="O97" s="25">
        <v>19.751760000000001</v>
      </c>
      <c r="P97" s="25">
        <v>20.509295000000002</v>
      </c>
      <c r="Q97" s="25">
        <v>21.307549999999999</v>
      </c>
      <c r="R97" s="25">
        <v>22.115112</v>
      </c>
      <c r="S97" s="25">
        <v>22.789452000000001</v>
      </c>
      <c r="T97" s="25">
        <v>23.785865999999999</v>
      </c>
      <c r="U97" s="25">
        <v>24.508815999999999</v>
      </c>
      <c r="V97" s="25">
        <v>26.419771000000001</v>
      </c>
      <c r="W97" s="25">
        <v>27.583974999999999</v>
      </c>
      <c r="X97" s="25">
        <v>28.604773999999999</v>
      </c>
      <c r="Y97" s="25">
        <v>30.075248999999999</v>
      </c>
      <c r="Z97" s="25">
        <v>31.617619000000001</v>
      </c>
      <c r="AA97" s="25">
        <v>32.766781000000002</v>
      </c>
      <c r="AB97" s="25">
        <v>34.260959999999997</v>
      </c>
      <c r="AC97" s="25">
        <v>35.450001</v>
      </c>
      <c r="AD97" s="25">
        <v>36.578426</v>
      </c>
      <c r="AE97" s="25">
        <v>37.965096000000003</v>
      </c>
      <c r="AF97" s="25">
        <v>39.000706000000001</v>
      </c>
      <c r="AG97" s="19">
        <v>6.0539999999999997E-2</v>
      </c>
    </row>
    <row r="98" spans="1:33" ht="15" customHeight="1" x14ac:dyDescent="0.25">
      <c r="A98" s="6" t="s">
        <v>229</v>
      </c>
      <c r="B98" s="17" t="s">
        <v>162</v>
      </c>
      <c r="C98" s="25">
        <v>5.0712760000000001</v>
      </c>
      <c r="D98" s="25">
        <v>4.9994269999999998</v>
      </c>
      <c r="E98" s="25">
        <v>4.7751020000000004</v>
      </c>
      <c r="F98" s="25">
        <v>4.5288639999999996</v>
      </c>
      <c r="G98" s="25">
        <v>4.4757850000000001</v>
      </c>
      <c r="H98" s="25">
        <v>4.5652720000000002</v>
      </c>
      <c r="I98" s="25">
        <v>4.763649</v>
      </c>
      <c r="J98" s="25">
        <v>5.1292220000000004</v>
      </c>
      <c r="K98" s="25">
        <v>5.4981010000000001</v>
      </c>
      <c r="L98" s="25">
        <v>5.7981280000000002</v>
      </c>
      <c r="M98" s="25">
        <v>6.0704029999999998</v>
      </c>
      <c r="N98" s="25">
        <v>6.2664020000000002</v>
      </c>
      <c r="O98" s="25">
        <v>6.6129550000000004</v>
      </c>
      <c r="P98" s="25">
        <v>6.8415330000000001</v>
      </c>
      <c r="Q98" s="25">
        <v>6.9639680000000004</v>
      </c>
      <c r="R98" s="25">
        <v>7.1211200000000003</v>
      </c>
      <c r="S98" s="25">
        <v>7.3658489999999999</v>
      </c>
      <c r="T98" s="25">
        <v>7.6591050000000003</v>
      </c>
      <c r="U98" s="25">
        <v>7.9571490000000002</v>
      </c>
      <c r="V98" s="25">
        <v>8.2731150000000007</v>
      </c>
      <c r="W98" s="25">
        <v>8.6618969999999997</v>
      </c>
      <c r="X98" s="25">
        <v>8.9744220000000006</v>
      </c>
      <c r="Y98" s="25">
        <v>9.1504809999999992</v>
      </c>
      <c r="Z98" s="25">
        <v>9.3844910000000006</v>
      </c>
      <c r="AA98" s="25">
        <v>9.5385480000000005</v>
      </c>
      <c r="AB98" s="25">
        <v>9.7897420000000004</v>
      </c>
      <c r="AC98" s="25">
        <v>10.074139000000001</v>
      </c>
      <c r="AD98" s="25">
        <v>10.39526</v>
      </c>
      <c r="AE98" s="25">
        <v>10.760066</v>
      </c>
      <c r="AF98" s="25">
        <v>11.125721</v>
      </c>
      <c r="AG98" s="19">
        <v>2.7462E-2</v>
      </c>
    </row>
    <row r="99" spans="1:33" ht="15" customHeight="1" x14ac:dyDescent="0.25">
      <c r="A99" s="6" t="s">
        <v>230</v>
      </c>
      <c r="B99" s="17" t="s">
        <v>164</v>
      </c>
      <c r="C99" s="25">
        <v>3.9278590000000002</v>
      </c>
      <c r="D99" s="25">
        <v>3.6321189999999999</v>
      </c>
      <c r="E99" s="25">
        <v>3.5428829999999998</v>
      </c>
      <c r="F99" s="25">
        <v>3.4748770000000002</v>
      </c>
      <c r="G99" s="25">
        <v>3.4836140000000002</v>
      </c>
      <c r="H99" s="25">
        <v>3.5318200000000002</v>
      </c>
      <c r="I99" s="25">
        <v>3.6228739999999999</v>
      </c>
      <c r="J99" s="25">
        <v>3.7460089999999999</v>
      </c>
      <c r="K99" s="25">
        <v>3.8910559999999998</v>
      </c>
      <c r="L99" s="25">
        <v>4.054818</v>
      </c>
      <c r="M99" s="25">
        <v>4.2208030000000001</v>
      </c>
      <c r="N99" s="25">
        <v>4.4014939999999996</v>
      </c>
      <c r="O99" s="25">
        <v>4.5723609999999999</v>
      </c>
      <c r="P99" s="25">
        <v>4.7503060000000001</v>
      </c>
      <c r="Q99" s="25">
        <v>4.9470919999999996</v>
      </c>
      <c r="R99" s="25">
        <v>5.1530399999999998</v>
      </c>
      <c r="S99" s="25">
        <v>5.3757289999999998</v>
      </c>
      <c r="T99" s="25">
        <v>5.6005260000000003</v>
      </c>
      <c r="U99" s="25">
        <v>5.8304869999999998</v>
      </c>
      <c r="V99" s="25">
        <v>6.0772279999999999</v>
      </c>
      <c r="W99" s="25">
        <v>6.3238630000000002</v>
      </c>
      <c r="X99" s="25">
        <v>6.5788970000000004</v>
      </c>
      <c r="Y99" s="25">
        <v>6.8513330000000003</v>
      </c>
      <c r="Z99" s="25">
        <v>7.1383049999999999</v>
      </c>
      <c r="AA99" s="25">
        <v>7.4360689999999998</v>
      </c>
      <c r="AB99" s="25">
        <v>7.7463649999999999</v>
      </c>
      <c r="AC99" s="25">
        <v>8.0682399999999994</v>
      </c>
      <c r="AD99" s="25">
        <v>8.3898799999999998</v>
      </c>
      <c r="AE99" s="25">
        <v>8.7255020000000005</v>
      </c>
      <c r="AF99" s="25">
        <v>9.0702739999999995</v>
      </c>
      <c r="AG99" s="19">
        <v>2.9278999999999999E-2</v>
      </c>
    </row>
    <row r="100" spans="1:33" ht="15" customHeight="1" x14ac:dyDescent="0.25">
      <c r="A100" s="6" t="s">
        <v>231</v>
      </c>
      <c r="B100" s="17" t="s">
        <v>166</v>
      </c>
      <c r="C100" s="25">
        <v>2.7294890000000001</v>
      </c>
      <c r="D100" s="25">
        <v>2.767614</v>
      </c>
      <c r="E100" s="25">
        <v>2.847413</v>
      </c>
      <c r="F100" s="25">
        <v>2.9362119999999998</v>
      </c>
      <c r="G100" s="25">
        <v>3.0310190000000001</v>
      </c>
      <c r="H100" s="25">
        <v>3.127068</v>
      </c>
      <c r="I100" s="25">
        <v>3.2234590000000001</v>
      </c>
      <c r="J100" s="25">
        <v>3.3354170000000001</v>
      </c>
      <c r="K100" s="25">
        <v>3.4514010000000002</v>
      </c>
      <c r="L100" s="25">
        <v>3.569537</v>
      </c>
      <c r="M100" s="25">
        <v>3.6889110000000001</v>
      </c>
      <c r="N100" s="25">
        <v>3.814851</v>
      </c>
      <c r="O100" s="25">
        <v>3.9473560000000001</v>
      </c>
      <c r="P100" s="25">
        <v>4.0788399999999996</v>
      </c>
      <c r="Q100" s="25">
        <v>4.2009660000000002</v>
      </c>
      <c r="R100" s="25">
        <v>4.3379440000000002</v>
      </c>
      <c r="S100" s="25">
        <v>4.4794780000000003</v>
      </c>
      <c r="T100" s="25">
        <v>4.6310820000000001</v>
      </c>
      <c r="U100" s="25">
        <v>4.800351</v>
      </c>
      <c r="V100" s="25">
        <v>4.9702380000000002</v>
      </c>
      <c r="W100" s="25">
        <v>5.1519120000000003</v>
      </c>
      <c r="X100" s="25">
        <v>5.326657</v>
      </c>
      <c r="Y100" s="25">
        <v>5.5042249999999999</v>
      </c>
      <c r="Z100" s="25">
        <v>5.699249</v>
      </c>
      <c r="AA100" s="25">
        <v>5.8961360000000003</v>
      </c>
      <c r="AB100" s="25">
        <v>6.0993130000000004</v>
      </c>
      <c r="AC100" s="25">
        <v>6.3029549999999999</v>
      </c>
      <c r="AD100" s="25">
        <v>6.50875</v>
      </c>
      <c r="AE100" s="25">
        <v>6.7236200000000004</v>
      </c>
      <c r="AF100" s="25">
        <v>6.9393200000000004</v>
      </c>
      <c r="AG100" s="19">
        <v>3.2698999999999999E-2</v>
      </c>
    </row>
    <row r="101" spans="1:33" x14ac:dyDescent="0.25">
      <c r="A101" s="6" t="s">
        <v>232</v>
      </c>
      <c r="B101" s="17" t="s">
        <v>168</v>
      </c>
      <c r="C101" s="25" t="s">
        <v>305</v>
      </c>
      <c r="D101" s="25" t="s">
        <v>305</v>
      </c>
      <c r="E101" s="25" t="s">
        <v>305</v>
      </c>
      <c r="F101" s="25" t="s">
        <v>305</v>
      </c>
      <c r="G101" s="25" t="s">
        <v>305</v>
      </c>
      <c r="H101" s="25" t="s">
        <v>305</v>
      </c>
      <c r="I101" s="25" t="s">
        <v>305</v>
      </c>
      <c r="J101" s="25" t="s">
        <v>305</v>
      </c>
      <c r="K101" s="25" t="s">
        <v>305</v>
      </c>
      <c r="L101" s="25" t="s">
        <v>305</v>
      </c>
      <c r="M101" s="25" t="s">
        <v>305</v>
      </c>
      <c r="N101" s="25" t="s">
        <v>305</v>
      </c>
      <c r="O101" s="25" t="s">
        <v>305</v>
      </c>
      <c r="P101" s="25" t="s">
        <v>305</v>
      </c>
      <c r="Q101" s="25" t="s">
        <v>305</v>
      </c>
      <c r="R101" s="25" t="s">
        <v>305</v>
      </c>
      <c r="S101" s="25" t="s">
        <v>305</v>
      </c>
      <c r="T101" s="25" t="s">
        <v>305</v>
      </c>
      <c r="U101" s="25" t="s">
        <v>305</v>
      </c>
      <c r="V101" s="25" t="s">
        <v>305</v>
      </c>
      <c r="W101" s="25" t="s">
        <v>305</v>
      </c>
      <c r="X101" s="25" t="s">
        <v>305</v>
      </c>
      <c r="Y101" s="25" t="s">
        <v>305</v>
      </c>
      <c r="Z101" s="25" t="s">
        <v>305</v>
      </c>
      <c r="AA101" s="25" t="s">
        <v>305</v>
      </c>
      <c r="AB101" s="25" t="s">
        <v>305</v>
      </c>
      <c r="AC101" s="25" t="s">
        <v>305</v>
      </c>
      <c r="AD101" s="25" t="s">
        <v>305</v>
      </c>
      <c r="AE101" s="25" t="s">
        <v>305</v>
      </c>
      <c r="AF101" s="25" t="s">
        <v>305</v>
      </c>
      <c r="AG101" s="19" t="s">
        <v>305</v>
      </c>
    </row>
    <row r="102" spans="1:33" x14ac:dyDescent="0.25">
      <c r="A102" s="6" t="s">
        <v>233</v>
      </c>
      <c r="B102" s="17" t="s">
        <v>149</v>
      </c>
      <c r="C102" s="25">
        <v>21.954326999999999</v>
      </c>
      <c r="D102" s="25">
        <v>22.280446999999999</v>
      </c>
      <c r="E102" s="25">
        <v>21.792933999999999</v>
      </c>
      <c r="F102" s="25">
        <v>21.787928000000001</v>
      </c>
      <c r="G102" s="25">
        <v>22.226633</v>
      </c>
      <c r="H102" s="25">
        <v>22.802185000000001</v>
      </c>
      <c r="I102" s="25">
        <v>23.547533000000001</v>
      </c>
      <c r="J102" s="25">
        <v>24.398606999999998</v>
      </c>
      <c r="K102" s="25">
        <v>25.294533000000001</v>
      </c>
      <c r="L102" s="25">
        <v>26.123685999999999</v>
      </c>
      <c r="M102" s="25">
        <v>27.017106999999999</v>
      </c>
      <c r="N102" s="25">
        <v>27.921112000000001</v>
      </c>
      <c r="O102" s="25">
        <v>28.837664</v>
      </c>
      <c r="P102" s="25">
        <v>29.798458</v>
      </c>
      <c r="Q102" s="25">
        <v>30.501366000000001</v>
      </c>
      <c r="R102" s="25">
        <v>31.325613000000001</v>
      </c>
      <c r="S102" s="25">
        <v>32.145142</v>
      </c>
      <c r="T102" s="25">
        <v>33.099280999999998</v>
      </c>
      <c r="U102" s="25">
        <v>34.040619</v>
      </c>
      <c r="V102" s="25">
        <v>35.189231999999997</v>
      </c>
      <c r="W102" s="25">
        <v>36.283123000000003</v>
      </c>
      <c r="X102" s="25">
        <v>37.420853000000001</v>
      </c>
      <c r="Y102" s="25">
        <v>38.354103000000002</v>
      </c>
      <c r="Z102" s="25">
        <v>39.433506000000001</v>
      </c>
      <c r="AA102" s="25">
        <v>40.609591999999999</v>
      </c>
      <c r="AB102" s="25">
        <v>41.576191000000001</v>
      </c>
      <c r="AC102" s="25">
        <v>42.810467000000003</v>
      </c>
      <c r="AD102" s="25">
        <v>44.005732999999999</v>
      </c>
      <c r="AE102" s="25">
        <v>45.243094999999997</v>
      </c>
      <c r="AF102" s="25">
        <v>46.421021000000003</v>
      </c>
      <c r="AG102" s="19">
        <v>2.6157E-2</v>
      </c>
    </row>
    <row r="103" spans="1:33" ht="15" customHeight="1" x14ac:dyDescent="0.25"/>
    <row r="104" spans="1:33" ht="15" customHeight="1" x14ac:dyDescent="0.25"/>
    <row r="105" spans="1:33" ht="15" customHeight="1" x14ac:dyDescent="0.25">
      <c r="B105" s="16" t="s">
        <v>170</v>
      </c>
    </row>
    <row r="106" spans="1:33" ht="15" customHeight="1" x14ac:dyDescent="0.25">
      <c r="A106" s="6" t="s">
        <v>234</v>
      </c>
      <c r="B106" s="17" t="s">
        <v>143</v>
      </c>
      <c r="C106" s="25">
        <v>17.771591000000001</v>
      </c>
      <c r="D106" s="25">
        <v>18.857105000000001</v>
      </c>
      <c r="E106" s="25">
        <v>17.702696</v>
      </c>
      <c r="F106" s="25">
        <v>18.216183000000001</v>
      </c>
      <c r="G106" s="25">
        <v>18.704325000000001</v>
      </c>
      <c r="H106" s="25">
        <v>19.446570999999999</v>
      </c>
      <c r="I106" s="25">
        <v>20.452202</v>
      </c>
      <c r="J106" s="25">
        <v>21.695446</v>
      </c>
      <c r="K106" s="25">
        <v>22.946356000000002</v>
      </c>
      <c r="L106" s="25">
        <v>24.086309</v>
      </c>
      <c r="M106" s="25">
        <v>25.269235999999999</v>
      </c>
      <c r="N106" s="25">
        <v>26.904427999999999</v>
      </c>
      <c r="O106" s="25">
        <v>28.166837999999998</v>
      </c>
      <c r="P106" s="25">
        <v>29.259338</v>
      </c>
      <c r="Q106" s="25">
        <v>30.341031999999998</v>
      </c>
      <c r="R106" s="25">
        <v>31.410405999999998</v>
      </c>
      <c r="S106" s="25">
        <v>32.750950000000003</v>
      </c>
      <c r="T106" s="25">
        <v>34.159537999999998</v>
      </c>
      <c r="U106" s="25">
        <v>35.454517000000003</v>
      </c>
      <c r="V106" s="25">
        <v>37.102210999999997</v>
      </c>
      <c r="W106" s="25">
        <v>38.737819999999999</v>
      </c>
      <c r="X106" s="25">
        <v>40.373085000000003</v>
      </c>
      <c r="Y106" s="25">
        <v>42.279198000000001</v>
      </c>
      <c r="Z106" s="25">
        <v>44.082489000000002</v>
      </c>
      <c r="AA106" s="25">
        <v>45.474243000000001</v>
      </c>
      <c r="AB106" s="25">
        <v>46.713749</v>
      </c>
      <c r="AC106" s="25">
        <v>48.025042999999997</v>
      </c>
      <c r="AD106" s="25">
        <v>49.529682000000001</v>
      </c>
      <c r="AE106" s="25">
        <v>51.189853999999997</v>
      </c>
      <c r="AF106" s="25">
        <v>52.696334999999998</v>
      </c>
      <c r="AG106" s="19">
        <v>3.8191999999999997E-2</v>
      </c>
    </row>
    <row r="107" spans="1:33" ht="15" customHeight="1" x14ac:dyDescent="0.25">
      <c r="A107" s="6" t="s">
        <v>235</v>
      </c>
      <c r="B107" s="17" t="s">
        <v>173</v>
      </c>
      <c r="C107" s="25">
        <v>25.787903</v>
      </c>
      <c r="D107" s="25">
        <v>26.590775000000001</v>
      </c>
      <c r="E107" s="25">
        <v>26.982386000000002</v>
      </c>
      <c r="F107" s="25">
        <v>27.478241000000001</v>
      </c>
      <c r="G107" s="25">
        <v>28.082909000000001</v>
      </c>
      <c r="H107" s="25">
        <v>29.118649000000001</v>
      </c>
      <c r="I107" s="25">
        <v>30.523686999999999</v>
      </c>
      <c r="J107" s="25">
        <v>31.906485</v>
      </c>
      <c r="K107" s="25">
        <v>33.254424999999998</v>
      </c>
      <c r="L107" s="25">
        <v>34.937057000000003</v>
      </c>
      <c r="M107" s="25">
        <v>36.206982000000004</v>
      </c>
      <c r="N107" s="25">
        <v>38.690353000000002</v>
      </c>
      <c r="O107" s="25">
        <v>40.268974</v>
      </c>
      <c r="P107" s="25">
        <v>41.823528000000003</v>
      </c>
      <c r="Q107" s="25">
        <v>43.454517000000003</v>
      </c>
      <c r="R107" s="25">
        <v>45.000152999999997</v>
      </c>
      <c r="S107" s="25">
        <v>46.802525000000003</v>
      </c>
      <c r="T107" s="25">
        <v>48.779102000000002</v>
      </c>
      <c r="U107" s="25">
        <v>50.349072</v>
      </c>
      <c r="V107" s="25">
        <v>52.891319000000003</v>
      </c>
      <c r="W107" s="25">
        <v>55.170071</v>
      </c>
      <c r="X107" s="25">
        <v>57.629939999999998</v>
      </c>
      <c r="Y107" s="25">
        <v>60.314137000000002</v>
      </c>
      <c r="Z107" s="25">
        <v>62.726787999999999</v>
      </c>
      <c r="AA107" s="25">
        <v>65.050590999999997</v>
      </c>
      <c r="AB107" s="25">
        <v>67.875214</v>
      </c>
      <c r="AC107" s="25">
        <v>70.318016</v>
      </c>
      <c r="AD107" s="25">
        <v>72.854843000000002</v>
      </c>
      <c r="AE107" s="25">
        <v>75.520477</v>
      </c>
      <c r="AF107" s="25">
        <v>77.296126999999998</v>
      </c>
      <c r="AG107" s="19">
        <v>3.8579000000000002E-2</v>
      </c>
    </row>
    <row r="108" spans="1:33" ht="15" customHeight="1" x14ac:dyDescent="0.25">
      <c r="A108" s="6" t="s">
        <v>236</v>
      </c>
      <c r="B108" s="17" t="s">
        <v>175</v>
      </c>
      <c r="C108" s="25">
        <v>25.885534</v>
      </c>
      <c r="D108" s="25">
        <v>25.622890000000002</v>
      </c>
      <c r="E108" s="25">
        <v>23.209952999999999</v>
      </c>
      <c r="F108" s="25">
        <v>23.707578999999999</v>
      </c>
      <c r="G108" s="25">
        <v>24.257062999999999</v>
      </c>
      <c r="H108" s="25">
        <v>25.150444</v>
      </c>
      <c r="I108" s="25">
        <v>26.343427999999999</v>
      </c>
      <c r="J108" s="25">
        <v>27.510943999999999</v>
      </c>
      <c r="K108" s="25">
        <v>28.647304999999999</v>
      </c>
      <c r="L108" s="25">
        <v>30.053028000000001</v>
      </c>
      <c r="M108" s="25">
        <v>31.130006999999999</v>
      </c>
      <c r="N108" s="25">
        <v>33.506157000000002</v>
      </c>
      <c r="O108" s="25">
        <v>34.842044999999999</v>
      </c>
      <c r="P108" s="25">
        <v>36.151772000000001</v>
      </c>
      <c r="Q108" s="25">
        <v>37.576756000000003</v>
      </c>
      <c r="R108" s="25">
        <v>38.881332</v>
      </c>
      <c r="S108" s="25">
        <v>40.404395999999998</v>
      </c>
      <c r="T108" s="25">
        <v>42.077376999999998</v>
      </c>
      <c r="U108" s="25">
        <v>43.420158000000001</v>
      </c>
      <c r="V108" s="25">
        <v>45.545169999999999</v>
      </c>
      <c r="W108" s="25">
        <v>47.481864999999999</v>
      </c>
      <c r="X108" s="25">
        <v>49.451988</v>
      </c>
      <c r="Y108" s="25">
        <v>51.736752000000003</v>
      </c>
      <c r="Z108" s="25">
        <v>53.899009999999997</v>
      </c>
      <c r="AA108" s="25">
        <v>55.882384999999999</v>
      </c>
      <c r="AB108" s="25">
        <v>58.314864999999998</v>
      </c>
      <c r="AC108" s="25">
        <v>60.378498</v>
      </c>
      <c r="AD108" s="25">
        <v>62.56073</v>
      </c>
      <c r="AE108" s="25">
        <v>64.823204000000004</v>
      </c>
      <c r="AF108" s="25">
        <v>66.350448999999998</v>
      </c>
      <c r="AG108" s="19">
        <v>3.2989999999999998E-2</v>
      </c>
    </row>
    <row r="109" spans="1:33" ht="15" customHeight="1" x14ac:dyDescent="0.25">
      <c r="A109" s="6" t="s">
        <v>237</v>
      </c>
      <c r="B109" s="17" t="s">
        <v>177</v>
      </c>
      <c r="C109" s="25">
        <v>14.720805</v>
      </c>
      <c r="D109" s="25">
        <v>15.883732</v>
      </c>
      <c r="E109" s="25">
        <v>14.894306</v>
      </c>
      <c r="F109" s="25">
        <v>16.54401</v>
      </c>
      <c r="G109" s="25">
        <v>17.195129000000001</v>
      </c>
      <c r="H109" s="25">
        <v>17.980322000000001</v>
      </c>
      <c r="I109" s="25">
        <v>18.905930000000001</v>
      </c>
      <c r="J109" s="25">
        <v>19.819420000000001</v>
      </c>
      <c r="K109" s="25">
        <v>20.708345000000001</v>
      </c>
      <c r="L109" s="25">
        <v>21.397466999999999</v>
      </c>
      <c r="M109" s="25">
        <v>22.502146</v>
      </c>
      <c r="N109" s="25">
        <v>23.752870999999999</v>
      </c>
      <c r="O109" s="25">
        <v>24.616678</v>
      </c>
      <c r="P109" s="25">
        <v>25.473087</v>
      </c>
      <c r="Q109" s="25">
        <v>26.390502999999999</v>
      </c>
      <c r="R109" s="25">
        <v>27.406216000000001</v>
      </c>
      <c r="S109" s="25">
        <v>28.726956999999999</v>
      </c>
      <c r="T109" s="25">
        <v>29.962418</v>
      </c>
      <c r="U109" s="25">
        <v>31.061534999999999</v>
      </c>
      <c r="V109" s="25">
        <v>32.604354999999998</v>
      </c>
      <c r="W109" s="25">
        <v>34.101086000000002</v>
      </c>
      <c r="X109" s="25">
        <v>35.442081000000002</v>
      </c>
      <c r="Y109" s="25">
        <v>37.272185999999998</v>
      </c>
      <c r="Z109" s="25">
        <v>39.145409000000001</v>
      </c>
      <c r="AA109" s="25">
        <v>40.502749999999999</v>
      </c>
      <c r="AB109" s="25">
        <v>42.279293000000003</v>
      </c>
      <c r="AC109" s="25">
        <v>43.718406999999999</v>
      </c>
      <c r="AD109" s="25">
        <v>45.065403000000003</v>
      </c>
      <c r="AE109" s="25">
        <v>46.815086000000001</v>
      </c>
      <c r="AF109" s="25">
        <v>48.104626000000003</v>
      </c>
      <c r="AG109" s="19">
        <v>4.1676999999999999E-2</v>
      </c>
    </row>
    <row r="110" spans="1:33" ht="15" customHeight="1" x14ac:dyDescent="0.25">
      <c r="A110" s="6" t="s">
        <v>238</v>
      </c>
      <c r="B110" s="17" t="s">
        <v>179</v>
      </c>
      <c r="C110" s="25">
        <v>23.750263</v>
      </c>
      <c r="D110" s="25">
        <v>23.578897000000001</v>
      </c>
      <c r="E110" s="25">
        <v>23.215323999999999</v>
      </c>
      <c r="F110" s="25">
        <v>24.687381999999999</v>
      </c>
      <c r="G110" s="25">
        <v>25.547915</v>
      </c>
      <c r="H110" s="25">
        <v>26.365853999999999</v>
      </c>
      <c r="I110" s="25">
        <v>27.365362000000001</v>
      </c>
      <c r="J110" s="25">
        <v>28.451197000000001</v>
      </c>
      <c r="K110" s="25">
        <v>29.588944999999999</v>
      </c>
      <c r="L110" s="25">
        <v>30.550512000000001</v>
      </c>
      <c r="M110" s="25">
        <v>31.788191000000001</v>
      </c>
      <c r="N110" s="25">
        <v>33.479671000000003</v>
      </c>
      <c r="O110" s="25">
        <v>34.693676000000004</v>
      </c>
      <c r="P110" s="25">
        <v>35.763798000000001</v>
      </c>
      <c r="Q110" s="25">
        <v>37.057265999999998</v>
      </c>
      <c r="R110" s="25">
        <v>38.320411999999997</v>
      </c>
      <c r="S110" s="25">
        <v>39.928471000000002</v>
      </c>
      <c r="T110" s="25">
        <v>41.486561000000002</v>
      </c>
      <c r="U110" s="25">
        <v>42.90802</v>
      </c>
      <c r="V110" s="25">
        <v>44.830936000000001</v>
      </c>
      <c r="W110" s="25">
        <v>46.700026999999999</v>
      </c>
      <c r="X110" s="25">
        <v>48.487735999999998</v>
      </c>
      <c r="Y110" s="25">
        <v>50.692126999999999</v>
      </c>
      <c r="Z110" s="25">
        <v>52.972492000000003</v>
      </c>
      <c r="AA110" s="25">
        <v>54.756222000000001</v>
      </c>
      <c r="AB110" s="25">
        <v>57.054774999999999</v>
      </c>
      <c r="AC110" s="25">
        <v>58.940365</v>
      </c>
      <c r="AD110" s="25">
        <v>60.645912000000003</v>
      </c>
      <c r="AE110" s="25">
        <v>62.840930999999998</v>
      </c>
      <c r="AF110" s="25">
        <v>64.501914999999997</v>
      </c>
      <c r="AG110" s="19">
        <v>3.5052E-2</v>
      </c>
    </row>
    <row r="111" spans="1:33" ht="15" customHeight="1" x14ac:dyDescent="0.25">
      <c r="A111" s="6" t="s">
        <v>239</v>
      </c>
      <c r="B111" s="17" t="s">
        <v>154</v>
      </c>
      <c r="C111" s="25">
        <v>12.357965999999999</v>
      </c>
      <c r="D111" s="25">
        <v>10.777995000000001</v>
      </c>
      <c r="E111" s="25">
        <v>13.400627999999999</v>
      </c>
      <c r="F111" s="25">
        <v>14.761683</v>
      </c>
      <c r="G111" s="25">
        <v>15.468278</v>
      </c>
      <c r="H111" s="25">
        <v>16.184179</v>
      </c>
      <c r="I111" s="25">
        <v>17.179281</v>
      </c>
      <c r="J111" s="25">
        <v>17.931643000000001</v>
      </c>
      <c r="K111" s="25">
        <v>18.651646</v>
      </c>
      <c r="L111" s="25">
        <v>19.473707000000001</v>
      </c>
      <c r="M111" s="25">
        <v>20.226514999999999</v>
      </c>
      <c r="N111" s="25">
        <v>21.243036</v>
      </c>
      <c r="O111" s="25">
        <v>22.057034999999999</v>
      </c>
      <c r="P111" s="25">
        <v>22.838909000000001</v>
      </c>
      <c r="Q111" s="25">
        <v>23.716595000000002</v>
      </c>
      <c r="R111" s="25">
        <v>24.589396000000001</v>
      </c>
      <c r="S111" s="25">
        <v>25.446138000000001</v>
      </c>
      <c r="T111" s="25">
        <v>26.484794999999998</v>
      </c>
      <c r="U111" s="25">
        <v>27.3169</v>
      </c>
      <c r="V111" s="25">
        <v>29.095949000000001</v>
      </c>
      <c r="W111" s="25">
        <v>30.273571</v>
      </c>
      <c r="X111" s="25">
        <v>31.408142000000002</v>
      </c>
      <c r="Y111" s="25">
        <v>32.894196000000001</v>
      </c>
      <c r="Z111" s="25">
        <v>34.461506</v>
      </c>
      <c r="AA111" s="25">
        <v>35.703712000000003</v>
      </c>
      <c r="AB111" s="25">
        <v>37.234088999999997</v>
      </c>
      <c r="AC111" s="25">
        <v>38.525547000000003</v>
      </c>
      <c r="AD111" s="25">
        <v>39.746098000000003</v>
      </c>
      <c r="AE111" s="25">
        <v>41.174399999999999</v>
      </c>
      <c r="AF111" s="25">
        <v>42.317410000000002</v>
      </c>
      <c r="AG111" s="19">
        <v>4.3358000000000001E-2</v>
      </c>
    </row>
    <row r="112" spans="1:33" ht="15" customHeight="1" x14ac:dyDescent="0.25">
      <c r="A112" s="6" t="s">
        <v>240</v>
      </c>
      <c r="B112" s="17" t="s">
        <v>182</v>
      </c>
      <c r="C112" s="25">
        <v>14.654002999999999</v>
      </c>
      <c r="D112" s="25">
        <v>15.090463</v>
      </c>
      <c r="E112" s="25">
        <v>14.681509999999999</v>
      </c>
      <c r="F112" s="25">
        <v>14.502679000000001</v>
      </c>
      <c r="G112" s="25">
        <v>14.504148000000001</v>
      </c>
      <c r="H112" s="25">
        <v>14.582769000000001</v>
      </c>
      <c r="I112" s="25">
        <v>14.763145</v>
      </c>
      <c r="J112" s="25">
        <v>15.121434000000001</v>
      </c>
      <c r="K112" s="25">
        <v>15.48817</v>
      </c>
      <c r="L112" s="25">
        <v>15.797434000000001</v>
      </c>
      <c r="M112" s="25">
        <v>16.101600999999999</v>
      </c>
      <c r="N112" s="25">
        <v>17.54327</v>
      </c>
      <c r="O112" s="25">
        <v>17.986913999999999</v>
      </c>
      <c r="P112" s="25">
        <v>18.373446999999999</v>
      </c>
      <c r="Q112" s="25">
        <v>18.836165999999999</v>
      </c>
      <c r="R112" s="25">
        <v>19.190335999999999</v>
      </c>
      <c r="S112" s="25">
        <v>19.661667000000001</v>
      </c>
      <c r="T112" s="25">
        <v>20.196612999999999</v>
      </c>
      <c r="U112" s="25">
        <v>20.739374000000002</v>
      </c>
      <c r="V112" s="25">
        <v>21.414515000000002</v>
      </c>
      <c r="W112" s="25">
        <v>22.126902000000001</v>
      </c>
      <c r="X112" s="25">
        <v>22.762029999999999</v>
      </c>
      <c r="Y112" s="25">
        <v>23.334723</v>
      </c>
      <c r="Z112" s="25">
        <v>23.969168</v>
      </c>
      <c r="AA112" s="25">
        <v>24.547056000000001</v>
      </c>
      <c r="AB112" s="25">
        <v>25.244947</v>
      </c>
      <c r="AC112" s="25">
        <v>25.976206000000001</v>
      </c>
      <c r="AD112" s="25">
        <v>26.726246</v>
      </c>
      <c r="AE112" s="25">
        <v>27.537659000000001</v>
      </c>
      <c r="AF112" s="25">
        <v>28.313566000000002</v>
      </c>
      <c r="AG112" s="19">
        <v>2.2970999999999998E-2</v>
      </c>
    </row>
    <row r="113" spans="1:33" ht="15" customHeight="1" x14ac:dyDescent="0.25">
      <c r="A113" s="6" t="s">
        <v>241</v>
      </c>
      <c r="B113" s="17" t="s">
        <v>149</v>
      </c>
      <c r="C113" s="25">
        <v>39.115726000000002</v>
      </c>
      <c r="D113" s="25">
        <v>40.891689</v>
      </c>
      <c r="E113" s="25">
        <v>40.337898000000003</v>
      </c>
      <c r="F113" s="25">
        <v>40.426842000000001</v>
      </c>
      <c r="G113" s="25">
        <v>41.700527000000001</v>
      </c>
      <c r="H113" s="25">
        <v>43.651725999999996</v>
      </c>
      <c r="I113" s="25">
        <v>45.215015000000001</v>
      </c>
      <c r="J113" s="25">
        <v>46.823669000000002</v>
      </c>
      <c r="K113" s="25">
        <v>48.38937</v>
      </c>
      <c r="L113" s="25">
        <v>49.741680000000002</v>
      </c>
      <c r="M113" s="25">
        <v>51.401198999999998</v>
      </c>
      <c r="N113" s="25">
        <v>53.103507999999998</v>
      </c>
      <c r="O113" s="25">
        <v>55.029850000000003</v>
      </c>
      <c r="P113" s="25">
        <v>56.679493000000001</v>
      </c>
      <c r="Q113" s="25">
        <v>57.898581999999998</v>
      </c>
      <c r="R113" s="25">
        <v>59.218525</v>
      </c>
      <c r="S113" s="25">
        <v>60.827025999999996</v>
      </c>
      <c r="T113" s="25">
        <v>62.417960999999998</v>
      </c>
      <c r="U113" s="25">
        <v>64.066467000000003</v>
      </c>
      <c r="V113" s="25">
        <v>65.943932000000004</v>
      </c>
      <c r="W113" s="25">
        <v>67.863761999999994</v>
      </c>
      <c r="X113" s="25">
        <v>69.796951000000007</v>
      </c>
      <c r="Y113" s="25">
        <v>71.540169000000006</v>
      </c>
      <c r="Z113" s="25">
        <v>73.523705000000007</v>
      </c>
      <c r="AA113" s="25">
        <v>75.794060000000002</v>
      </c>
      <c r="AB113" s="25">
        <v>77.783767999999995</v>
      </c>
      <c r="AC113" s="25">
        <v>79.871346000000003</v>
      </c>
      <c r="AD113" s="25">
        <v>82.037857000000002</v>
      </c>
      <c r="AE113" s="25">
        <v>84.197556000000006</v>
      </c>
      <c r="AF113" s="25">
        <v>86.337860000000006</v>
      </c>
      <c r="AG113" s="19">
        <v>2.7678000000000001E-2</v>
      </c>
    </row>
    <row r="114" spans="1:33" ht="15" customHeight="1" x14ac:dyDescent="0.25"/>
    <row r="115" spans="1:33" ht="15" customHeight="1" x14ac:dyDescent="0.25">
      <c r="B115" s="16" t="s">
        <v>184</v>
      </c>
    </row>
    <row r="116" spans="1:33" ht="15" customHeight="1" x14ac:dyDescent="0.25">
      <c r="A116" s="6" t="s">
        <v>242</v>
      </c>
      <c r="B116" s="17" t="s">
        <v>145</v>
      </c>
      <c r="C116" s="25">
        <v>21.749472000000001</v>
      </c>
      <c r="D116" s="25">
        <v>22.773755999999999</v>
      </c>
      <c r="E116" s="25">
        <v>21.329041</v>
      </c>
      <c r="F116" s="25">
        <v>22.401056000000001</v>
      </c>
      <c r="G116" s="25">
        <v>22.444970999999999</v>
      </c>
      <c r="H116" s="25">
        <v>22.466434</v>
      </c>
      <c r="I116" s="25">
        <v>22.712948000000001</v>
      </c>
      <c r="J116" s="25">
        <v>23.639408</v>
      </c>
      <c r="K116" s="25">
        <v>24.602958999999998</v>
      </c>
      <c r="L116" s="25">
        <v>25.387509999999999</v>
      </c>
      <c r="M116" s="25">
        <v>26.315695000000002</v>
      </c>
      <c r="N116" s="25">
        <v>27.447075000000002</v>
      </c>
      <c r="O116" s="25">
        <v>28.383220999999999</v>
      </c>
      <c r="P116" s="25">
        <v>29.400794999999999</v>
      </c>
      <c r="Q116" s="25">
        <v>30.385952</v>
      </c>
      <c r="R116" s="25">
        <v>31.494976000000001</v>
      </c>
      <c r="S116" s="25">
        <v>32.888092</v>
      </c>
      <c r="T116" s="25">
        <v>34.142879000000001</v>
      </c>
      <c r="U116" s="25">
        <v>35.315722999999998</v>
      </c>
      <c r="V116" s="25">
        <v>37.008327000000001</v>
      </c>
      <c r="W116" s="25">
        <v>38.594909999999999</v>
      </c>
      <c r="X116" s="25">
        <v>40.026404999999997</v>
      </c>
      <c r="Y116" s="25">
        <v>41.940761999999999</v>
      </c>
      <c r="Z116" s="25">
        <v>43.870601999999998</v>
      </c>
      <c r="AA116" s="25">
        <v>45.342849999999999</v>
      </c>
      <c r="AB116" s="25">
        <v>47.309265000000003</v>
      </c>
      <c r="AC116" s="25">
        <v>48.892651000000001</v>
      </c>
      <c r="AD116" s="25">
        <v>50.307139999999997</v>
      </c>
      <c r="AE116" s="25">
        <v>52.210383999999998</v>
      </c>
      <c r="AF116" s="25">
        <v>53.605736</v>
      </c>
      <c r="AG116" s="19">
        <v>3.1594999999999998E-2</v>
      </c>
    </row>
    <row r="117" spans="1:33" ht="15" customHeight="1" x14ac:dyDescent="0.25">
      <c r="A117" s="6" t="s">
        <v>243</v>
      </c>
      <c r="B117" s="17" t="s">
        <v>154</v>
      </c>
      <c r="C117" s="25">
        <v>13.006465</v>
      </c>
      <c r="D117" s="25">
        <v>13.775164</v>
      </c>
      <c r="E117" s="25">
        <v>13.375271</v>
      </c>
      <c r="F117" s="25">
        <v>14.757445000000001</v>
      </c>
      <c r="G117" s="25">
        <v>15.454079</v>
      </c>
      <c r="H117" s="25">
        <v>16.164206</v>
      </c>
      <c r="I117" s="25">
        <v>17.244572000000002</v>
      </c>
      <c r="J117" s="25">
        <v>17.967590000000001</v>
      </c>
      <c r="K117" s="25">
        <v>18.671254999999999</v>
      </c>
      <c r="L117" s="25">
        <v>19.465831999999999</v>
      </c>
      <c r="M117" s="25">
        <v>20.202300999999999</v>
      </c>
      <c r="N117" s="25">
        <v>21.269953000000001</v>
      </c>
      <c r="O117" s="25">
        <v>22.068263999999999</v>
      </c>
      <c r="P117" s="25">
        <v>22.814425</v>
      </c>
      <c r="Q117" s="25">
        <v>23.706302999999998</v>
      </c>
      <c r="R117" s="25">
        <v>24.556141</v>
      </c>
      <c r="S117" s="25">
        <v>25.451374000000001</v>
      </c>
      <c r="T117" s="25">
        <v>26.440833999999999</v>
      </c>
      <c r="U117" s="25">
        <v>27.224174000000001</v>
      </c>
      <c r="V117" s="25">
        <v>28.888342000000002</v>
      </c>
      <c r="W117" s="25">
        <v>29.778625000000002</v>
      </c>
      <c r="X117" s="25">
        <v>30.671182999999999</v>
      </c>
      <c r="Y117" s="25">
        <v>31.823647000000001</v>
      </c>
      <c r="Z117" s="25">
        <v>32.921565999999999</v>
      </c>
      <c r="AA117" s="25">
        <v>33.482467999999997</v>
      </c>
      <c r="AB117" s="25">
        <v>35.033802000000001</v>
      </c>
      <c r="AC117" s="25">
        <v>36.374592</v>
      </c>
      <c r="AD117" s="25">
        <v>37.541710000000002</v>
      </c>
      <c r="AE117" s="25">
        <v>39.012118999999998</v>
      </c>
      <c r="AF117" s="25">
        <v>40.262656999999997</v>
      </c>
      <c r="AG117" s="19">
        <v>3.9733999999999998E-2</v>
      </c>
    </row>
    <row r="118" spans="1:33" ht="15" customHeight="1" x14ac:dyDescent="0.25">
      <c r="A118" s="6" t="s">
        <v>244</v>
      </c>
      <c r="B118" s="17" t="s">
        <v>147</v>
      </c>
      <c r="C118" s="25">
        <v>5.1575009999999999</v>
      </c>
      <c r="D118" s="25">
        <v>4.1713760000000004</v>
      </c>
      <c r="E118" s="25">
        <v>3.9772439999999998</v>
      </c>
      <c r="F118" s="25">
        <v>3.7386849999999998</v>
      </c>
      <c r="G118" s="25">
        <v>3.673146</v>
      </c>
      <c r="H118" s="25">
        <v>3.758575</v>
      </c>
      <c r="I118" s="25">
        <v>3.937195</v>
      </c>
      <c r="J118" s="25">
        <v>4.287839</v>
      </c>
      <c r="K118" s="25">
        <v>4.6023440000000004</v>
      </c>
      <c r="L118" s="25">
        <v>4.8539089999999998</v>
      </c>
      <c r="M118" s="25">
        <v>5.0743510000000001</v>
      </c>
      <c r="N118" s="25">
        <v>5.2632839999999996</v>
      </c>
      <c r="O118" s="25">
        <v>5.5704060000000002</v>
      </c>
      <c r="P118" s="25">
        <v>5.7318629999999997</v>
      </c>
      <c r="Q118" s="25">
        <v>5.7670329999999996</v>
      </c>
      <c r="R118" s="25">
        <v>5.889748</v>
      </c>
      <c r="S118" s="25">
        <v>6.0850390000000001</v>
      </c>
      <c r="T118" s="25">
        <v>6.334803</v>
      </c>
      <c r="U118" s="25">
        <v>6.5950749999999996</v>
      </c>
      <c r="V118" s="25">
        <v>6.8874909999999998</v>
      </c>
      <c r="W118" s="25">
        <v>7.2218270000000002</v>
      </c>
      <c r="X118" s="25">
        <v>7.4684350000000004</v>
      </c>
      <c r="Y118" s="25">
        <v>7.5672620000000004</v>
      </c>
      <c r="Z118" s="25">
        <v>7.7438729999999998</v>
      </c>
      <c r="AA118" s="25">
        <v>7.8488429999999996</v>
      </c>
      <c r="AB118" s="25">
        <v>8.0545469999999995</v>
      </c>
      <c r="AC118" s="25">
        <v>8.2881680000000006</v>
      </c>
      <c r="AD118" s="25">
        <v>8.5726230000000001</v>
      </c>
      <c r="AE118" s="25">
        <v>8.8669860000000007</v>
      </c>
      <c r="AF118" s="25">
        <v>9.2180440000000008</v>
      </c>
      <c r="AG118" s="19">
        <v>2.0226000000000001E-2</v>
      </c>
    </row>
    <row r="119" spans="1:33" ht="15" customHeight="1" x14ac:dyDescent="0.25">
      <c r="A119" s="6" t="s">
        <v>245</v>
      </c>
      <c r="B119" s="17" t="s">
        <v>189</v>
      </c>
      <c r="C119" s="25">
        <v>2.11768</v>
      </c>
      <c r="D119" s="25">
        <v>2.0671740000000001</v>
      </c>
      <c r="E119" s="25">
        <v>2.1205970000000001</v>
      </c>
      <c r="F119" s="25">
        <v>2.1885490000000001</v>
      </c>
      <c r="G119" s="25">
        <v>2.1995830000000001</v>
      </c>
      <c r="H119" s="25">
        <v>2.245965</v>
      </c>
      <c r="I119" s="25">
        <v>2.3074479999999999</v>
      </c>
      <c r="J119" s="25">
        <v>2.378841</v>
      </c>
      <c r="K119" s="25">
        <v>2.4777130000000001</v>
      </c>
      <c r="L119" s="25">
        <v>2.5569039999999998</v>
      </c>
      <c r="M119" s="25">
        <v>2.6341899999999998</v>
      </c>
      <c r="N119" s="25">
        <v>2.7060249999999999</v>
      </c>
      <c r="O119" s="25">
        <v>2.7845209999999998</v>
      </c>
      <c r="P119" s="25">
        <v>2.873138</v>
      </c>
      <c r="Q119" s="25">
        <v>2.9326020000000002</v>
      </c>
      <c r="R119" s="25">
        <v>3.0141010000000001</v>
      </c>
      <c r="S119" s="25">
        <v>3.114906</v>
      </c>
      <c r="T119" s="25">
        <v>3.212186</v>
      </c>
      <c r="U119" s="25">
        <v>3.3164889999999998</v>
      </c>
      <c r="V119" s="25">
        <v>3.4306649999999999</v>
      </c>
      <c r="W119" s="25">
        <v>3.5523850000000001</v>
      </c>
      <c r="X119" s="25">
        <v>3.6388159999999998</v>
      </c>
      <c r="Y119" s="25">
        <v>3.753593</v>
      </c>
      <c r="Z119" s="25">
        <v>3.864852</v>
      </c>
      <c r="AA119" s="25">
        <v>3.9822150000000001</v>
      </c>
      <c r="AB119" s="25">
        <v>4.1075900000000001</v>
      </c>
      <c r="AC119" s="25">
        <v>4.2204649999999999</v>
      </c>
      <c r="AD119" s="25">
        <v>4.3218490000000003</v>
      </c>
      <c r="AE119" s="25">
        <v>4.4535090000000004</v>
      </c>
      <c r="AF119" s="25">
        <v>4.590535</v>
      </c>
      <c r="AG119" s="19">
        <v>2.7038E-2</v>
      </c>
    </row>
    <row r="120" spans="1:33" ht="15" customHeight="1" x14ac:dyDescent="0.25">
      <c r="A120" s="6" t="s">
        <v>246</v>
      </c>
      <c r="B120" s="17" t="s">
        <v>191</v>
      </c>
      <c r="C120" s="25">
        <v>0.71781099999999998</v>
      </c>
      <c r="D120" s="25">
        <v>0.74200999999999995</v>
      </c>
      <c r="E120" s="25">
        <v>0.76300000000000001</v>
      </c>
      <c r="F120" s="25">
        <v>0.78690499999999997</v>
      </c>
      <c r="G120" s="25">
        <v>0.81420700000000001</v>
      </c>
      <c r="H120" s="25">
        <v>0.84318199999999999</v>
      </c>
      <c r="I120" s="25">
        <v>0.87551900000000005</v>
      </c>
      <c r="J120" s="25">
        <v>0.90792799999999996</v>
      </c>
      <c r="K120" s="25">
        <v>0.94228400000000001</v>
      </c>
      <c r="L120" s="25">
        <v>0.97679700000000003</v>
      </c>
      <c r="M120" s="25">
        <v>1.0107969999999999</v>
      </c>
      <c r="N120" s="25">
        <v>1.0465310000000001</v>
      </c>
      <c r="O120" s="25">
        <v>1.0837680000000001</v>
      </c>
      <c r="P120" s="25">
        <v>1.1215839999999999</v>
      </c>
      <c r="Q120" s="25">
        <v>1.163171</v>
      </c>
      <c r="R120" s="25">
        <v>1.206601</v>
      </c>
      <c r="S120" s="25">
        <v>1.2502070000000001</v>
      </c>
      <c r="T120" s="25">
        <v>1.2971729999999999</v>
      </c>
      <c r="U120" s="25">
        <v>1.3451439999999999</v>
      </c>
      <c r="V120" s="25">
        <v>1.395427</v>
      </c>
      <c r="W120" s="25">
        <v>1.4474070000000001</v>
      </c>
      <c r="X120" s="25">
        <v>1.5013909999999999</v>
      </c>
      <c r="Y120" s="25">
        <v>1.5568580000000001</v>
      </c>
      <c r="Z120" s="25">
        <v>1.6137649999999999</v>
      </c>
      <c r="AA120" s="25">
        <v>1.672439</v>
      </c>
      <c r="AB120" s="25">
        <v>1.733236</v>
      </c>
      <c r="AC120" s="25">
        <v>1.7962020000000001</v>
      </c>
      <c r="AD120" s="25">
        <v>1.860921</v>
      </c>
      <c r="AE120" s="25">
        <v>1.9269700000000001</v>
      </c>
      <c r="AF120" s="25">
        <v>1.9942059999999999</v>
      </c>
      <c r="AG120" s="19">
        <v>3.5861999999999998E-2</v>
      </c>
    </row>
    <row r="121" spans="1:33" ht="15" customHeight="1" x14ac:dyDescent="0.25"/>
    <row r="122" spans="1:33" ht="15" customHeight="1" x14ac:dyDescent="0.25">
      <c r="B122" s="16" t="s">
        <v>192</v>
      </c>
    </row>
    <row r="123" spans="1:33" ht="15" customHeight="1" x14ac:dyDescent="0.25">
      <c r="A123" s="6" t="s">
        <v>247</v>
      </c>
      <c r="B123" s="17" t="s">
        <v>143</v>
      </c>
      <c r="C123" s="25">
        <v>19.520824000000001</v>
      </c>
      <c r="D123" s="25">
        <v>21.603919999999999</v>
      </c>
      <c r="E123" s="25">
        <v>21.253309000000002</v>
      </c>
      <c r="F123" s="25">
        <v>21.852679999999999</v>
      </c>
      <c r="G123" s="25">
        <v>22.449829000000001</v>
      </c>
      <c r="H123" s="25">
        <v>23.284254000000001</v>
      </c>
      <c r="I123" s="25">
        <v>24.399702000000001</v>
      </c>
      <c r="J123" s="25">
        <v>25.812338</v>
      </c>
      <c r="K123" s="25">
        <v>27.320150000000002</v>
      </c>
      <c r="L123" s="25">
        <v>28.77272</v>
      </c>
      <c r="M123" s="25">
        <v>30.272393999999998</v>
      </c>
      <c r="N123" s="25">
        <v>31.973837</v>
      </c>
      <c r="O123" s="25">
        <v>33.548439000000002</v>
      </c>
      <c r="P123" s="25">
        <v>34.991183999999997</v>
      </c>
      <c r="Q123" s="25">
        <v>36.358035999999998</v>
      </c>
      <c r="R123" s="25">
        <v>37.698695999999998</v>
      </c>
      <c r="S123" s="25">
        <v>39.276772000000001</v>
      </c>
      <c r="T123" s="25">
        <v>40.961433</v>
      </c>
      <c r="U123" s="25">
        <v>42.562457999999999</v>
      </c>
      <c r="V123" s="25">
        <v>44.512256999999998</v>
      </c>
      <c r="W123" s="25">
        <v>46.520184</v>
      </c>
      <c r="X123" s="25">
        <v>48.555981000000003</v>
      </c>
      <c r="Y123" s="25">
        <v>50.871451999999998</v>
      </c>
      <c r="Z123" s="25">
        <v>53.147418999999999</v>
      </c>
      <c r="AA123" s="25">
        <v>55.020710000000001</v>
      </c>
      <c r="AB123" s="25">
        <v>56.647044999999999</v>
      </c>
      <c r="AC123" s="25">
        <v>58.255203000000002</v>
      </c>
      <c r="AD123" s="25">
        <v>60.012031999999998</v>
      </c>
      <c r="AE123" s="25">
        <v>61.930767000000003</v>
      </c>
      <c r="AF123" s="25">
        <v>63.724518000000003</v>
      </c>
      <c r="AG123" s="19">
        <v>4.1640000000000003E-2</v>
      </c>
    </row>
    <row r="124" spans="1:33" ht="15" customHeight="1" x14ac:dyDescent="0.25">
      <c r="A124" s="6" t="s">
        <v>248</v>
      </c>
      <c r="B124" s="17" t="s">
        <v>173</v>
      </c>
      <c r="C124" s="25">
        <v>25.787903</v>
      </c>
      <c r="D124" s="25">
        <v>26.590775000000001</v>
      </c>
      <c r="E124" s="25">
        <v>26.982386000000002</v>
      </c>
      <c r="F124" s="25">
        <v>27.478241000000001</v>
      </c>
      <c r="G124" s="25">
        <v>28.082909000000001</v>
      </c>
      <c r="H124" s="25">
        <v>29.118649000000001</v>
      </c>
      <c r="I124" s="25">
        <v>30.523686999999999</v>
      </c>
      <c r="J124" s="25">
        <v>31.906485</v>
      </c>
      <c r="K124" s="25">
        <v>33.254424999999998</v>
      </c>
      <c r="L124" s="25">
        <v>34.937057000000003</v>
      </c>
      <c r="M124" s="25">
        <v>36.206982000000004</v>
      </c>
      <c r="N124" s="25">
        <v>38.690353000000002</v>
      </c>
      <c r="O124" s="25">
        <v>40.268974</v>
      </c>
      <c r="P124" s="25">
        <v>41.823528000000003</v>
      </c>
      <c r="Q124" s="25">
        <v>43.454517000000003</v>
      </c>
      <c r="R124" s="25">
        <v>45.000152999999997</v>
      </c>
      <c r="S124" s="25">
        <v>46.802525000000003</v>
      </c>
      <c r="T124" s="25">
        <v>48.779102000000002</v>
      </c>
      <c r="U124" s="25">
        <v>50.349072</v>
      </c>
      <c r="V124" s="25">
        <v>52.891319000000003</v>
      </c>
      <c r="W124" s="25">
        <v>55.170071</v>
      </c>
      <c r="X124" s="25">
        <v>57.629939999999998</v>
      </c>
      <c r="Y124" s="25">
        <v>60.314137000000002</v>
      </c>
      <c r="Z124" s="25">
        <v>62.726787999999999</v>
      </c>
      <c r="AA124" s="25">
        <v>65.050590999999997</v>
      </c>
      <c r="AB124" s="25">
        <v>67.875214</v>
      </c>
      <c r="AC124" s="25">
        <v>70.318016</v>
      </c>
      <c r="AD124" s="25">
        <v>72.854843000000002</v>
      </c>
      <c r="AE124" s="25">
        <v>75.520477</v>
      </c>
      <c r="AF124" s="25">
        <v>77.296126999999998</v>
      </c>
      <c r="AG124" s="19">
        <v>3.8579000000000002E-2</v>
      </c>
    </row>
    <row r="125" spans="1:33" ht="15" customHeight="1" x14ac:dyDescent="0.25">
      <c r="A125" s="6" t="s">
        <v>249</v>
      </c>
      <c r="B125" s="17" t="s">
        <v>175</v>
      </c>
      <c r="C125" s="25">
        <v>25.875972999999998</v>
      </c>
      <c r="D125" s="25">
        <v>25.617805000000001</v>
      </c>
      <c r="E125" s="25">
        <v>23.237670999999999</v>
      </c>
      <c r="F125" s="25">
        <v>23.748631</v>
      </c>
      <c r="G125" s="25">
        <v>24.296911000000001</v>
      </c>
      <c r="H125" s="25">
        <v>25.179044999999999</v>
      </c>
      <c r="I125" s="25">
        <v>26.354541999999999</v>
      </c>
      <c r="J125" s="25">
        <v>27.522617</v>
      </c>
      <c r="K125" s="25">
        <v>28.659565000000001</v>
      </c>
      <c r="L125" s="25">
        <v>30.065671999999999</v>
      </c>
      <c r="M125" s="25">
        <v>31.143377000000001</v>
      </c>
      <c r="N125" s="25">
        <v>33.516613</v>
      </c>
      <c r="O125" s="25">
        <v>34.852974000000003</v>
      </c>
      <c r="P125" s="25">
        <v>36.163277000000001</v>
      </c>
      <c r="Q125" s="25">
        <v>37.588459</v>
      </c>
      <c r="R125" s="25">
        <v>38.893658000000002</v>
      </c>
      <c r="S125" s="25">
        <v>40.417262999999998</v>
      </c>
      <c r="T125" s="25">
        <v>42.090862000000001</v>
      </c>
      <c r="U125" s="25">
        <v>43.434212000000002</v>
      </c>
      <c r="V125" s="25">
        <v>45.559970999999997</v>
      </c>
      <c r="W125" s="25">
        <v>47.497467</v>
      </c>
      <c r="X125" s="25">
        <v>49.468449</v>
      </c>
      <c r="Y125" s="25">
        <v>51.754192000000003</v>
      </c>
      <c r="Z125" s="25">
        <v>53.917262999999998</v>
      </c>
      <c r="AA125" s="25">
        <v>55.901721999999999</v>
      </c>
      <c r="AB125" s="25">
        <v>58.335402999999999</v>
      </c>
      <c r="AC125" s="25">
        <v>60.400196000000001</v>
      </c>
      <c r="AD125" s="25">
        <v>62.583336000000003</v>
      </c>
      <c r="AE125" s="25">
        <v>64.846755999999999</v>
      </c>
      <c r="AF125" s="25">
        <v>66.375107</v>
      </c>
      <c r="AG125" s="19">
        <v>3.3015999999999997E-2</v>
      </c>
    </row>
    <row r="126" spans="1:33" ht="15" customHeight="1" x14ac:dyDescent="0.25">
      <c r="A126" s="6" t="s">
        <v>250</v>
      </c>
      <c r="B126" s="17" t="s">
        <v>177</v>
      </c>
      <c r="C126" s="25">
        <v>14.720805</v>
      </c>
      <c r="D126" s="25">
        <v>15.883732</v>
      </c>
      <c r="E126" s="25">
        <v>14.894306</v>
      </c>
      <c r="F126" s="25">
        <v>16.54401</v>
      </c>
      <c r="G126" s="25">
        <v>17.195129000000001</v>
      </c>
      <c r="H126" s="25">
        <v>17.980322000000001</v>
      </c>
      <c r="I126" s="25">
        <v>18.905930000000001</v>
      </c>
      <c r="J126" s="25">
        <v>19.819420000000001</v>
      </c>
      <c r="K126" s="25">
        <v>20.708345000000001</v>
      </c>
      <c r="L126" s="25">
        <v>21.397466999999999</v>
      </c>
      <c r="M126" s="25">
        <v>22.502146</v>
      </c>
      <c r="N126" s="25">
        <v>23.752870999999999</v>
      </c>
      <c r="O126" s="25">
        <v>24.616678</v>
      </c>
      <c r="P126" s="25">
        <v>25.473087</v>
      </c>
      <c r="Q126" s="25">
        <v>26.390502999999999</v>
      </c>
      <c r="R126" s="25">
        <v>27.406216000000001</v>
      </c>
      <c r="S126" s="25">
        <v>28.726956999999999</v>
      </c>
      <c r="T126" s="25">
        <v>29.962418</v>
      </c>
      <c r="U126" s="25">
        <v>31.061534999999999</v>
      </c>
      <c r="V126" s="25">
        <v>32.604354999999998</v>
      </c>
      <c r="W126" s="25">
        <v>34.101086000000002</v>
      </c>
      <c r="X126" s="25">
        <v>35.442081000000002</v>
      </c>
      <c r="Y126" s="25">
        <v>37.272185999999998</v>
      </c>
      <c r="Z126" s="25">
        <v>39.145409000000001</v>
      </c>
      <c r="AA126" s="25">
        <v>40.502749999999999</v>
      </c>
      <c r="AB126" s="25">
        <v>42.279293000000003</v>
      </c>
      <c r="AC126" s="25">
        <v>43.718406999999999</v>
      </c>
      <c r="AD126" s="25">
        <v>45.065403000000003</v>
      </c>
      <c r="AE126" s="25">
        <v>46.815086000000001</v>
      </c>
      <c r="AF126" s="25">
        <v>48.104626000000003</v>
      </c>
      <c r="AG126" s="19">
        <v>4.1676999999999999E-2</v>
      </c>
    </row>
    <row r="127" spans="1:33" ht="15" customHeight="1" x14ac:dyDescent="0.25">
      <c r="A127" s="6" t="s">
        <v>251</v>
      </c>
      <c r="B127" s="17" t="s">
        <v>145</v>
      </c>
      <c r="C127" s="25">
        <v>23.276806000000001</v>
      </c>
      <c r="D127" s="25">
        <v>23.387381000000001</v>
      </c>
      <c r="E127" s="25">
        <v>22.764074000000001</v>
      </c>
      <c r="F127" s="25">
        <v>24.150718999999999</v>
      </c>
      <c r="G127" s="25">
        <v>24.880419</v>
      </c>
      <c r="H127" s="25">
        <v>25.593164000000002</v>
      </c>
      <c r="I127" s="25">
        <v>26.497302999999999</v>
      </c>
      <c r="J127" s="25">
        <v>27.537680000000002</v>
      </c>
      <c r="K127" s="25">
        <v>28.627863000000001</v>
      </c>
      <c r="L127" s="25">
        <v>29.532859999999999</v>
      </c>
      <c r="M127" s="25">
        <v>30.726381</v>
      </c>
      <c r="N127" s="25">
        <v>32.247349</v>
      </c>
      <c r="O127" s="25">
        <v>33.390045000000001</v>
      </c>
      <c r="P127" s="25">
        <v>34.426895000000002</v>
      </c>
      <c r="Q127" s="25">
        <v>35.654384999999998</v>
      </c>
      <c r="R127" s="25">
        <v>36.893870999999997</v>
      </c>
      <c r="S127" s="25">
        <v>38.397132999999997</v>
      </c>
      <c r="T127" s="25">
        <v>39.883293000000002</v>
      </c>
      <c r="U127" s="25">
        <v>41.239578000000002</v>
      </c>
      <c r="V127" s="25">
        <v>43.090797000000002</v>
      </c>
      <c r="W127" s="25">
        <v>44.884354000000002</v>
      </c>
      <c r="X127" s="25">
        <v>46.583663999999999</v>
      </c>
      <c r="Y127" s="25">
        <v>48.715954000000004</v>
      </c>
      <c r="Z127" s="25">
        <v>50.899234999999997</v>
      </c>
      <c r="AA127" s="25">
        <v>52.60181</v>
      </c>
      <c r="AB127" s="25">
        <v>54.789065999999998</v>
      </c>
      <c r="AC127" s="25">
        <v>56.572834</v>
      </c>
      <c r="AD127" s="25">
        <v>58.226517000000001</v>
      </c>
      <c r="AE127" s="25">
        <v>60.309513000000003</v>
      </c>
      <c r="AF127" s="25">
        <v>61.898539999999997</v>
      </c>
      <c r="AG127" s="19">
        <v>3.4300999999999998E-2</v>
      </c>
    </row>
    <row r="128" spans="1:33" ht="15" customHeight="1" x14ac:dyDescent="0.25">
      <c r="A128" s="6" t="s">
        <v>252</v>
      </c>
      <c r="B128" s="17" t="s">
        <v>154</v>
      </c>
      <c r="C128" s="25">
        <v>12.032716000000001</v>
      </c>
      <c r="D128" s="25">
        <v>10.798659000000001</v>
      </c>
      <c r="E128" s="25">
        <v>13.090178</v>
      </c>
      <c r="F128" s="25">
        <v>14.506969</v>
      </c>
      <c r="G128" s="25">
        <v>15.255203</v>
      </c>
      <c r="H128" s="25">
        <v>16.003720999999999</v>
      </c>
      <c r="I128" s="25">
        <v>17.042051000000001</v>
      </c>
      <c r="J128" s="25">
        <v>17.786282</v>
      </c>
      <c r="K128" s="25">
        <v>18.499012</v>
      </c>
      <c r="L128" s="25">
        <v>19.311052</v>
      </c>
      <c r="M128" s="25">
        <v>20.058738999999999</v>
      </c>
      <c r="N128" s="25">
        <v>21.068194999999999</v>
      </c>
      <c r="O128" s="25">
        <v>21.874383999999999</v>
      </c>
      <c r="P128" s="25">
        <v>22.649939</v>
      </c>
      <c r="Q128" s="25">
        <v>23.521557000000001</v>
      </c>
      <c r="R128" s="25">
        <v>24.386759000000001</v>
      </c>
      <c r="S128" s="25">
        <v>25.228525000000001</v>
      </c>
      <c r="T128" s="25">
        <v>26.258348000000002</v>
      </c>
      <c r="U128" s="25">
        <v>27.074964999999999</v>
      </c>
      <c r="V128" s="25">
        <v>28.854092000000001</v>
      </c>
      <c r="W128" s="25">
        <v>30.013736999999999</v>
      </c>
      <c r="X128" s="25">
        <v>31.127365000000001</v>
      </c>
      <c r="Y128" s="25">
        <v>32.600380000000001</v>
      </c>
      <c r="Z128" s="25">
        <v>34.151321000000003</v>
      </c>
      <c r="AA128" s="25">
        <v>35.369236000000001</v>
      </c>
      <c r="AB128" s="25">
        <v>36.894309999999997</v>
      </c>
      <c r="AC128" s="25">
        <v>38.176537000000003</v>
      </c>
      <c r="AD128" s="25">
        <v>39.384224000000003</v>
      </c>
      <c r="AE128" s="25">
        <v>40.809204000000001</v>
      </c>
      <c r="AF128" s="25">
        <v>41.942646000000003</v>
      </c>
      <c r="AG128" s="19">
        <v>4.3998000000000002E-2</v>
      </c>
    </row>
    <row r="129" spans="1:33" ht="15" customHeight="1" x14ac:dyDescent="0.25">
      <c r="A129" s="6" t="s">
        <v>253</v>
      </c>
      <c r="B129" s="17" t="s">
        <v>147</v>
      </c>
      <c r="C129" s="25">
        <v>6.7270459999999996</v>
      </c>
      <c r="D129" s="25">
        <v>6.6045829999999999</v>
      </c>
      <c r="E129" s="25">
        <v>6.3578260000000002</v>
      </c>
      <c r="F129" s="25">
        <v>6.161632</v>
      </c>
      <c r="G129" s="25">
        <v>6.1704679999999996</v>
      </c>
      <c r="H129" s="25">
        <v>6.3135500000000002</v>
      </c>
      <c r="I129" s="25">
        <v>6.566916</v>
      </c>
      <c r="J129" s="25">
        <v>6.9712100000000001</v>
      </c>
      <c r="K129" s="25">
        <v>7.4063559999999997</v>
      </c>
      <c r="L129" s="25">
        <v>7.7836169999999996</v>
      </c>
      <c r="M129" s="25">
        <v>8.1394699999999993</v>
      </c>
      <c r="N129" s="25">
        <v>8.5430620000000008</v>
      </c>
      <c r="O129" s="25">
        <v>8.9469200000000004</v>
      </c>
      <c r="P129" s="25">
        <v>9.2868790000000008</v>
      </c>
      <c r="Q129" s="25">
        <v>9.5398429999999994</v>
      </c>
      <c r="R129" s="25">
        <v>9.8092070000000007</v>
      </c>
      <c r="S129" s="25">
        <v>10.141741</v>
      </c>
      <c r="T129" s="25">
        <v>10.507744000000001</v>
      </c>
      <c r="U129" s="25">
        <v>10.882846000000001</v>
      </c>
      <c r="V129" s="25">
        <v>11.284386</v>
      </c>
      <c r="W129" s="25">
        <v>11.769034</v>
      </c>
      <c r="X129" s="25">
        <v>12.149042</v>
      </c>
      <c r="Y129" s="25">
        <v>12.406451000000001</v>
      </c>
      <c r="Z129" s="25">
        <v>12.743321999999999</v>
      </c>
      <c r="AA129" s="25">
        <v>13.019246000000001</v>
      </c>
      <c r="AB129" s="25">
        <v>13.373319</v>
      </c>
      <c r="AC129" s="25">
        <v>13.759123000000001</v>
      </c>
      <c r="AD129" s="25">
        <v>14.184024000000001</v>
      </c>
      <c r="AE129" s="25">
        <v>14.655643</v>
      </c>
      <c r="AF129" s="25">
        <v>15.117414999999999</v>
      </c>
      <c r="AG129" s="19">
        <v>2.8313999999999999E-2</v>
      </c>
    </row>
    <row r="130" spans="1:33" ht="15" customHeight="1" x14ac:dyDescent="0.25">
      <c r="A130" s="6" t="s">
        <v>254</v>
      </c>
      <c r="B130" s="17" t="s">
        <v>164</v>
      </c>
      <c r="C130" s="25">
        <v>3.9278590000000002</v>
      </c>
      <c r="D130" s="25">
        <v>3.6321189999999999</v>
      </c>
      <c r="E130" s="25">
        <v>3.5428829999999998</v>
      </c>
      <c r="F130" s="25">
        <v>3.4748770000000002</v>
      </c>
      <c r="G130" s="25">
        <v>3.4836140000000002</v>
      </c>
      <c r="H130" s="25">
        <v>3.5318200000000002</v>
      </c>
      <c r="I130" s="25">
        <v>3.6228739999999999</v>
      </c>
      <c r="J130" s="25">
        <v>3.7460089999999999</v>
      </c>
      <c r="K130" s="25">
        <v>3.8910559999999998</v>
      </c>
      <c r="L130" s="25">
        <v>4.054818</v>
      </c>
      <c r="M130" s="25">
        <v>4.2208030000000001</v>
      </c>
      <c r="N130" s="25">
        <v>4.4014939999999996</v>
      </c>
      <c r="O130" s="25">
        <v>4.5723609999999999</v>
      </c>
      <c r="P130" s="25">
        <v>4.7503060000000001</v>
      </c>
      <c r="Q130" s="25">
        <v>4.9470919999999996</v>
      </c>
      <c r="R130" s="25">
        <v>5.1530399999999998</v>
      </c>
      <c r="S130" s="25">
        <v>5.3757289999999998</v>
      </c>
      <c r="T130" s="25">
        <v>5.6005260000000003</v>
      </c>
      <c r="U130" s="25">
        <v>5.8304869999999998</v>
      </c>
      <c r="V130" s="25">
        <v>6.0772279999999999</v>
      </c>
      <c r="W130" s="25">
        <v>6.3238630000000002</v>
      </c>
      <c r="X130" s="25">
        <v>6.5788970000000004</v>
      </c>
      <c r="Y130" s="25">
        <v>6.8513330000000003</v>
      </c>
      <c r="Z130" s="25">
        <v>7.1383049999999999</v>
      </c>
      <c r="AA130" s="25">
        <v>7.4360689999999998</v>
      </c>
      <c r="AB130" s="25">
        <v>7.7463649999999999</v>
      </c>
      <c r="AC130" s="25">
        <v>8.0682399999999994</v>
      </c>
      <c r="AD130" s="25">
        <v>8.3898799999999998</v>
      </c>
      <c r="AE130" s="25">
        <v>8.7255020000000005</v>
      </c>
      <c r="AF130" s="25">
        <v>9.0702739999999995</v>
      </c>
      <c r="AG130" s="19">
        <v>2.9278999999999999E-2</v>
      </c>
    </row>
    <row r="131" spans="1:33" ht="15" customHeight="1" x14ac:dyDescent="0.25">
      <c r="A131" s="6" t="s">
        <v>255</v>
      </c>
      <c r="B131" s="17" t="s">
        <v>202</v>
      </c>
      <c r="C131" s="25">
        <v>2.151859</v>
      </c>
      <c r="D131" s="25">
        <v>2.1075520000000001</v>
      </c>
      <c r="E131" s="25">
        <v>2.1636600000000001</v>
      </c>
      <c r="F131" s="25">
        <v>2.240113</v>
      </c>
      <c r="G131" s="25">
        <v>2.2593019999999999</v>
      </c>
      <c r="H131" s="25">
        <v>2.3110550000000001</v>
      </c>
      <c r="I131" s="25">
        <v>2.3771870000000002</v>
      </c>
      <c r="J131" s="25">
        <v>2.451918</v>
      </c>
      <c r="K131" s="25">
        <v>2.5524119999999999</v>
      </c>
      <c r="L131" s="25">
        <v>2.6359469999999998</v>
      </c>
      <c r="M131" s="25">
        <v>2.7169949999999998</v>
      </c>
      <c r="N131" s="25">
        <v>2.7945340000000001</v>
      </c>
      <c r="O131" s="25">
        <v>2.8762919999999998</v>
      </c>
      <c r="P131" s="25">
        <v>2.9720580000000001</v>
      </c>
      <c r="Q131" s="25">
        <v>3.0418050000000001</v>
      </c>
      <c r="R131" s="25">
        <v>3.1303130000000001</v>
      </c>
      <c r="S131" s="25">
        <v>3.237384</v>
      </c>
      <c r="T131" s="25">
        <v>3.340252</v>
      </c>
      <c r="U131" s="25">
        <v>3.4525510000000001</v>
      </c>
      <c r="V131" s="25">
        <v>3.573213</v>
      </c>
      <c r="W131" s="25">
        <v>3.7018949999999999</v>
      </c>
      <c r="X131" s="25">
        <v>3.7977460000000001</v>
      </c>
      <c r="Y131" s="25">
        <v>3.920636</v>
      </c>
      <c r="Z131" s="25">
        <v>4.0411419999999998</v>
      </c>
      <c r="AA131" s="25">
        <v>4.1694100000000001</v>
      </c>
      <c r="AB131" s="25">
        <v>4.3036070000000004</v>
      </c>
      <c r="AC131" s="25">
        <v>4.4281899999999998</v>
      </c>
      <c r="AD131" s="25">
        <v>4.54284</v>
      </c>
      <c r="AE131" s="25">
        <v>4.6838689999999996</v>
      </c>
      <c r="AF131" s="25">
        <v>4.8262369999999999</v>
      </c>
      <c r="AG131" s="19">
        <v>2.8243999999999998E-2</v>
      </c>
    </row>
    <row r="132" spans="1:33" ht="15" customHeight="1" x14ac:dyDescent="0.25">
      <c r="A132" s="6" t="s">
        <v>256</v>
      </c>
      <c r="B132" s="17" t="s">
        <v>168</v>
      </c>
      <c r="C132" s="25" t="s">
        <v>305</v>
      </c>
      <c r="D132" s="25" t="s">
        <v>305</v>
      </c>
      <c r="E132" s="25" t="s">
        <v>305</v>
      </c>
      <c r="F132" s="25" t="s">
        <v>305</v>
      </c>
      <c r="G132" s="25" t="s">
        <v>305</v>
      </c>
      <c r="H132" s="25" t="s">
        <v>305</v>
      </c>
      <c r="I132" s="25" t="s">
        <v>305</v>
      </c>
      <c r="J132" s="25" t="s">
        <v>305</v>
      </c>
      <c r="K132" s="25" t="s">
        <v>305</v>
      </c>
      <c r="L132" s="25" t="s">
        <v>305</v>
      </c>
      <c r="M132" s="25" t="s">
        <v>305</v>
      </c>
      <c r="N132" s="25" t="s">
        <v>305</v>
      </c>
      <c r="O132" s="25" t="s">
        <v>305</v>
      </c>
      <c r="P132" s="25" t="s">
        <v>305</v>
      </c>
      <c r="Q132" s="25" t="s">
        <v>305</v>
      </c>
      <c r="R132" s="25" t="s">
        <v>305</v>
      </c>
      <c r="S132" s="25" t="s">
        <v>305</v>
      </c>
      <c r="T132" s="25" t="s">
        <v>305</v>
      </c>
      <c r="U132" s="25" t="s">
        <v>305</v>
      </c>
      <c r="V132" s="25" t="s">
        <v>305</v>
      </c>
      <c r="W132" s="25" t="s">
        <v>305</v>
      </c>
      <c r="X132" s="25" t="s">
        <v>305</v>
      </c>
      <c r="Y132" s="25" t="s">
        <v>305</v>
      </c>
      <c r="Z132" s="25" t="s">
        <v>305</v>
      </c>
      <c r="AA132" s="25" t="s">
        <v>305</v>
      </c>
      <c r="AB132" s="25" t="s">
        <v>305</v>
      </c>
      <c r="AC132" s="25" t="s">
        <v>305</v>
      </c>
      <c r="AD132" s="25" t="s">
        <v>305</v>
      </c>
      <c r="AE132" s="25" t="s">
        <v>305</v>
      </c>
      <c r="AF132" s="25" t="s">
        <v>305</v>
      </c>
      <c r="AG132" s="19" t="s">
        <v>305</v>
      </c>
    </row>
    <row r="133" spans="1:33" ht="15" customHeight="1" x14ac:dyDescent="0.25">
      <c r="A133" s="6" t="s">
        <v>257</v>
      </c>
      <c r="B133" s="17" t="s">
        <v>149</v>
      </c>
      <c r="C133" s="25">
        <v>32.508968000000003</v>
      </c>
      <c r="D133" s="25">
        <v>33.201942000000003</v>
      </c>
      <c r="E133" s="25">
        <v>33.351345000000002</v>
      </c>
      <c r="F133" s="25">
        <v>33.670017000000001</v>
      </c>
      <c r="G133" s="25">
        <v>34.520237000000002</v>
      </c>
      <c r="H133" s="25">
        <v>35.786861000000002</v>
      </c>
      <c r="I133" s="25">
        <v>37.074390000000001</v>
      </c>
      <c r="J133" s="25">
        <v>38.448791999999997</v>
      </c>
      <c r="K133" s="25">
        <v>39.90155</v>
      </c>
      <c r="L133" s="25">
        <v>41.235827999999998</v>
      </c>
      <c r="M133" s="25">
        <v>42.729869999999998</v>
      </c>
      <c r="N133" s="25">
        <v>44.240788000000002</v>
      </c>
      <c r="O133" s="25">
        <v>45.868301000000002</v>
      </c>
      <c r="P133" s="25">
        <v>47.486355000000003</v>
      </c>
      <c r="Q133" s="25">
        <v>48.654358000000002</v>
      </c>
      <c r="R133" s="25">
        <v>49.975464000000002</v>
      </c>
      <c r="S133" s="25">
        <v>51.482235000000003</v>
      </c>
      <c r="T133" s="25">
        <v>53.025131000000002</v>
      </c>
      <c r="U133" s="25">
        <v>54.604382000000001</v>
      </c>
      <c r="V133" s="25">
        <v>56.570984000000003</v>
      </c>
      <c r="W133" s="25">
        <v>58.343570999999997</v>
      </c>
      <c r="X133" s="25">
        <v>60.351036000000001</v>
      </c>
      <c r="Y133" s="25">
        <v>62.065617000000003</v>
      </c>
      <c r="Z133" s="25">
        <v>63.902816999999999</v>
      </c>
      <c r="AA133" s="25">
        <v>66.037582</v>
      </c>
      <c r="AB133" s="25">
        <v>67.743195</v>
      </c>
      <c r="AC133" s="25">
        <v>69.890799999999999</v>
      </c>
      <c r="AD133" s="25">
        <v>71.968269000000006</v>
      </c>
      <c r="AE133" s="25">
        <v>74.092331000000001</v>
      </c>
      <c r="AF133" s="25">
        <v>75.927504999999996</v>
      </c>
      <c r="AG133" s="19">
        <v>2.9682E-2</v>
      </c>
    </row>
    <row r="134" spans="1:33" ht="15" customHeight="1" x14ac:dyDescent="0.25"/>
    <row r="135" spans="1:33" ht="15" customHeight="1" x14ac:dyDescent="0.25">
      <c r="B135" s="16" t="s">
        <v>205</v>
      </c>
    </row>
    <row r="136" spans="1:33" ht="15" customHeight="1" x14ac:dyDescent="0.25">
      <c r="B136" s="16" t="s">
        <v>258</v>
      </c>
    </row>
    <row r="137" spans="1:33" ht="15" customHeight="1" x14ac:dyDescent="0.25">
      <c r="A137" s="6" t="s">
        <v>259</v>
      </c>
      <c r="B137" s="17" t="s">
        <v>141</v>
      </c>
      <c r="C137" s="18">
        <v>275.19543499999997</v>
      </c>
      <c r="D137" s="18">
        <v>283.54376200000002</v>
      </c>
      <c r="E137" s="18">
        <v>287.90353399999998</v>
      </c>
      <c r="F137" s="18">
        <v>292.11755399999998</v>
      </c>
      <c r="G137" s="18">
        <v>299.99801600000001</v>
      </c>
      <c r="H137" s="18">
        <v>311.07278400000001</v>
      </c>
      <c r="I137" s="18">
        <v>322.51928700000002</v>
      </c>
      <c r="J137" s="18">
        <v>336.10488900000001</v>
      </c>
      <c r="K137" s="18">
        <v>350.56570399999998</v>
      </c>
      <c r="L137" s="18">
        <v>363.92120399999999</v>
      </c>
      <c r="M137" s="18">
        <v>378.58331299999998</v>
      </c>
      <c r="N137" s="18">
        <v>395.62469499999997</v>
      </c>
      <c r="O137" s="18">
        <v>412.006866</v>
      </c>
      <c r="P137" s="18">
        <v>428.01593000000003</v>
      </c>
      <c r="Q137" s="18">
        <v>441.80938700000002</v>
      </c>
      <c r="R137" s="18">
        <v>456.89193699999998</v>
      </c>
      <c r="S137" s="18">
        <v>474.32476800000001</v>
      </c>
      <c r="T137" s="18">
        <v>492.34982300000001</v>
      </c>
      <c r="U137" s="18">
        <v>510.80355800000001</v>
      </c>
      <c r="V137" s="18">
        <v>531.96490500000004</v>
      </c>
      <c r="W137" s="18">
        <v>552.74792500000001</v>
      </c>
      <c r="X137" s="18">
        <v>574.75439500000005</v>
      </c>
      <c r="Y137" s="18">
        <v>595.44464100000005</v>
      </c>
      <c r="Z137" s="18">
        <v>617.52239999999995</v>
      </c>
      <c r="AA137" s="18">
        <v>641.62072799999999</v>
      </c>
      <c r="AB137" s="18">
        <v>663.91326900000001</v>
      </c>
      <c r="AC137" s="18">
        <v>689.54620399999999</v>
      </c>
      <c r="AD137" s="18">
        <v>714.86132799999996</v>
      </c>
      <c r="AE137" s="18">
        <v>741.34722899999997</v>
      </c>
      <c r="AF137" s="18">
        <v>766.49359100000004</v>
      </c>
      <c r="AG137" s="19">
        <v>3.5954E-2</v>
      </c>
    </row>
    <row r="138" spans="1:33" ht="15" customHeight="1" x14ac:dyDescent="0.25">
      <c r="A138" s="6" t="s">
        <v>260</v>
      </c>
      <c r="B138" s="17" t="s">
        <v>150</v>
      </c>
      <c r="C138" s="18">
        <v>198.23921200000001</v>
      </c>
      <c r="D138" s="18">
        <v>207.52711500000001</v>
      </c>
      <c r="E138" s="18">
        <v>206.09610000000001</v>
      </c>
      <c r="F138" s="18">
        <v>207.333786</v>
      </c>
      <c r="G138" s="18">
        <v>211.62910500000001</v>
      </c>
      <c r="H138" s="18">
        <v>218.197754</v>
      </c>
      <c r="I138" s="18">
        <v>225.88681</v>
      </c>
      <c r="J138" s="18">
        <v>234.93232699999999</v>
      </c>
      <c r="K138" s="18">
        <v>244.313614</v>
      </c>
      <c r="L138" s="18">
        <v>252.623276</v>
      </c>
      <c r="M138" s="18">
        <v>262.128265</v>
      </c>
      <c r="N138" s="18">
        <v>273.24646000000001</v>
      </c>
      <c r="O138" s="18">
        <v>284.19708300000002</v>
      </c>
      <c r="P138" s="18">
        <v>294.68212899999997</v>
      </c>
      <c r="Q138" s="18">
        <v>303.20373499999999</v>
      </c>
      <c r="R138" s="18">
        <v>312.52642800000001</v>
      </c>
      <c r="S138" s="18">
        <v>323.79437300000001</v>
      </c>
      <c r="T138" s="18">
        <v>335.16503899999998</v>
      </c>
      <c r="U138" s="18">
        <v>346.86968999999999</v>
      </c>
      <c r="V138" s="18">
        <v>360.809662</v>
      </c>
      <c r="W138" s="18">
        <v>374.18691999999999</v>
      </c>
      <c r="X138" s="18">
        <v>388.800568</v>
      </c>
      <c r="Y138" s="18">
        <v>402.43823200000003</v>
      </c>
      <c r="Z138" s="18">
        <v>416.65039100000001</v>
      </c>
      <c r="AA138" s="18">
        <v>432.33123799999998</v>
      </c>
      <c r="AB138" s="18">
        <v>446.64257800000001</v>
      </c>
      <c r="AC138" s="18">
        <v>463.387024</v>
      </c>
      <c r="AD138" s="18">
        <v>480.00830100000002</v>
      </c>
      <c r="AE138" s="18">
        <v>497.68743899999998</v>
      </c>
      <c r="AF138" s="18">
        <v>513.56011999999998</v>
      </c>
      <c r="AG138" s="19">
        <v>3.3369000000000003E-2</v>
      </c>
    </row>
    <row r="139" spans="1:33" ht="15" customHeight="1" x14ac:dyDescent="0.25">
      <c r="A139" s="6" t="s">
        <v>261</v>
      </c>
      <c r="B139" s="17" t="s">
        <v>157</v>
      </c>
      <c r="C139" s="18">
        <v>208.204117</v>
      </c>
      <c r="D139" s="18">
        <v>216.81784099999999</v>
      </c>
      <c r="E139" s="18">
        <v>210.617493</v>
      </c>
      <c r="F139" s="18">
        <v>212.536484</v>
      </c>
      <c r="G139" s="18">
        <v>218.10908499999999</v>
      </c>
      <c r="H139" s="18">
        <v>226.15060399999999</v>
      </c>
      <c r="I139" s="18">
        <v>236.404572</v>
      </c>
      <c r="J139" s="18">
        <v>250.842331</v>
      </c>
      <c r="K139" s="18">
        <v>265.34646600000002</v>
      </c>
      <c r="L139" s="18">
        <v>278.29299900000001</v>
      </c>
      <c r="M139" s="18">
        <v>292.45333900000003</v>
      </c>
      <c r="N139" s="18">
        <v>308.41980000000001</v>
      </c>
      <c r="O139" s="18">
        <v>324.65545700000001</v>
      </c>
      <c r="P139" s="18">
        <v>336.41546599999998</v>
      </c>
      <c r="Q139" s="18">
        <v>346.92407200000002</v>
      </c>
      <c r="R139" s="18">
        <v>358.31094400000001</v>
      </c>
      <c r="S139" s="18">
        <v>373.21243299999998</v>
      </c>
      <c r="T139" s="18">
        <v>390.23586999999998</v>
      </c>
      <c r="U139" s="18">
        <v>405.35437000000002</v>
      </c>
      <c r="V139" s="18">
        <v>424.63455199999999</v>
      </c>
      <c r="W139" s="18">
        <v>444.85943600000002</v>
      </c>
      <c r="X139" s="18">
        <v>465.33047499999998</v>
      </c>
      <c r="Y139" s="18">
        <v>485.08148199999999</v>
      </c>
      <c r="Z139" s="18">
        <v>503.97198500000002</v>
      </c>
      <c r="AA139" s="18">
        <v>519.84619099999998</v>
      </c>
      <c r="AB139" s="18">
        <v>539.44628899999998</v>
      </c>
      <c r="AC139" s="18">
        <v>557.59570299999996</v>
      </c>
      <c r="AD139" s="18">
        <v>573.38745100000006</v>
      </c>
      <c r="AE139" s="18">
        <v>593.55273399999999</v>
      </c>
      <c r="AF139" s="18">
        <v>616.19250499999998</v>
      </c>
      <c r="AG139" s="19">
        <v>3.8123999999999998E-2</v>
      </c>
    </row>
    <row r="140" spans="1:33" ht="15" customHeight="1" x14ac:dyDescent="0.25">
      <c r="A140" s="6" t="s">
        <v>262</v>
      </c>
      <c r="B140" s="17" t="s">
        <v>170</v>
      </c>
      <c r="C140" s="18">
        <v>609.53594999999996</v>
      </c>
      <c r="D140" s="18">
        <v>617.55377199999998</v>
      </c>
      <c r="E140" s="18">
        <v>579.83715800000004</v>
      </c>
      <c r="F140" s="18">
        <v>601.19134499999996</v>
      </c>
      <c r="G140" s="18">
        <v>615.66418499999997</v>
      </c>
      <c r="H140" s="18">
        <v>634.50469999999996</v>
      </c>
      <c r="I140" s="18">
        <v>658.25891100000001</v>
      </c>
      <c r="J140" s="18">
        <v>682.219604</v>
      </c>
      <c r="K140" s="18">
        <v>705.37371800000005</v>
      </c>
      <c r="L140" s="18">
        <v>731.66094999999996</v>
      </c>
      <c r="M140" s="18">
        <v>756.32110599999999</v>
      </c>
      <c r="N140" s="18">
        <v>803.76812700000005</v>
      </c>
      <c r="O140" s="18">
        <v>831.35906999999997</v>
      </c>
      <c r="P140" s="18">
        <v>856.46978799999999</v>
      </c>
      <c r="Q140" s="18">
        <v>884.94915800000001</v>
      </c>
      <c r="R140" s="18">
        <v>912.42858899999999</v>
      </c>
      <c r="S140" s="18">
        <v>946.78247099999999</v>
      </c>
      <c r="T140" s="18">
        <v>983.63122599999997</v>
      </c>
      <c r="U140" s="18">
        <v>1015.8688959999999</v>
      </c>
      <c r="V140" s="18">
        <v>1065.0333250000001</v>
      </c>
      <c r="W140" s="18">
        <v>1110.9746090000001</v>
      </c>
      <c r="X140" s="18">
        <v>1157.517578</v>
      </c>
      <c r="Y140" s="18">
        <v>1213.4476320000001</v>
      </c>
      <c r="Z140" s="18">
        <v>1268.3774410000001</v>
      </c>
      <c r="AA140" s="18">
        <v>1317.6633300000001</v>
      </c>
      <c r="AB140" s="18">
        <v>1380.530518</v>
      </c>
      <c r="AC140" s="18">
        <v>1435.060669</v>
      </c>
      <c r="AD140" s="18">
        <v>1490.0623780000001</v>
      </c>
      <c r="AE140" s="18">
        <v>1551.6130370000001</v>
      </c>
      <c r="AF140" s="18">
        <v>1601.9195560000001</v>
      </c>
      <c r="AG140" s="19">
        <v>3.3881000000000001E-2</v>
      </c>
    </row>
    <row r="141" spans="1:33" x14ac:dyDescent="0.25">
      <c r="A141" s="6" t="s">
        <v>263</v>
      </c>
      <c r="B141" s="17" t="s">
        <v>211</v>
      </c>
      <c r="C141" s="18">
        <v>1291.174683</v>
      </c>
      <c r="D141" s="18">
        <v>1325.442505</v>
      </c>
      <c r="E141" s="18">
        <v>1284.454346</v>
      </c>
      <c r="F141" s="18">
        <v>1313.1791989999999</v>
      </c>
      <c r="G141" s="18">
        <v>1345.400269</v>
      </c>
      <c r="H141" s="18">
        <v>1389.9259030000001</v>
      </c>
      <c r="I141" s="18">
        <v>1443.069336</v>
      </c>
      <c r="J141" s="18">
        <v>1504.0992429999999</v>
      </c>
      <c r="K141" s="18">
        <v>1565.599487</v>
      </c>
      <c r="L141" s="18">
        <v>1626.4985349999999</v>
      </c>
      <c r="M141" s="18">
        <v>1689.4860839999999</v>
      </c>
      <c r="N141" s="18">
        <v>1781.059082</v>
      </c>
      <c r="O141" s="18">
        <v>1852.2186280000001</v>
      </c>
      <c r="P141" s="18">
        <v>1915.583374</v>
      </c>
      <c r="Q141" s="18">
        <v>1976.8862300000001</v>
      </c>
      <c r="R141" s="18">
        <v>2040.1579589999999</v>
      </c>
      <c r="S141" s="18">
        <v>2118.1140140000002</v>
      </c>
      <c r="T141" s="18">
        <v>2201.3820799999999</v>
      </c>
      <c r="U141" s="18">
        <v>2278.8964839999999</v>
      </c>
      <c r="V141" s="18">
        <v>2382.4426269999999</v>
      </c>
      <c r="W141" s="18">
        <v>2482.7690429999998</v>
      </c>
      <c r="X141" s="18">
        <v>2586.4030760000001</v>
      </c>
      <c r="Y141" s="18">
        <v>2696.411865</v>
      </c>
      <c r="Z141" s="18">
        <v>2806.5219729999999</v>
      </c>
      <c r="AA141" s="18">
        <v>2911.461182</v>
      </c>
      <c r="AB141" s="18">
        <v>3030.5327149999998</v>
      </c>
      <c r="AC141" s="18">
        <v>3145.5895999999998</v>
      </c>
      <c r="AD141" s="18">
        <v>3258.3195799999999</v>
      </c>
      <c r="AE141" s="18">
        <v>3384.2004390000002</v>
      </c>
      <c r="AF141" s="18">
        <v>3498.1660160000001</v>
      </c>
      <c r="AG141" s="19">
        <v>3.4965999999999997E-2</v>
      </c>
    </row>
    <row r="142" spans="1:33" x14ac:dyDescent="0.25">
      <c r="A142" s="6" t="s">
        <v>264</v>
      </c>
      <c r="B142" s="17" t="s">
        <v>213</v>
      </c>
      <c r="C142" s="18">
        <v>0.79351799999999995</v>
      </c>
      <c r="D142" s="18">
        <v>0.88274399999999997</v>
      </c>
      <c r="E142" s="18">
        <v>0.93420000000000003</v>
      </c>
      <c r="F142" s="18">
        <v>0.94326299999999996</v>
      </c>
      <c r="G142" s="18">
        <v>0.94924399999999998</v>
      </c>
      <c r="H142" s="18">
        <v>0.96014100000000002</v>
      </c>
      <c r="I142" s="18">
        <v>0.97385999999999995</v>
      </c>
      <c r="J142" s="18">
        <v>0.98382199999999997</v>
      </c>
      <c r="K142" s="18">
        <v>0.98995</v>
      </c>
      <c r="L142" s="18">
        <v>1.001881</v>
      </c>
      <c r="M142" s="18">
        <v>1.001876</v>
      </c>
      <c r="N142" s="18">
        <v>1.0299689999999999</v>
      </c>
      <c r="O142" s="18">
        <v>1.036764</v>
      </c>
      <c r="P142" s="18">
        <v>1.0423549999999999</v>
      </c>
      <c r="Q142" s="18">
        <v>1.0524690000000001</v>
      </c>
      <c r="R142" s="18">
        <v>1.0643</v>
      </c>
      <c r="S142" s="18">
        <v>1.0860320000000001</v>
      </c>
      <c r="T142" s="18">
        <v>1.1156740000000001</v>
      </c>
      <c r="U142" s="18">
        <v>1.1483350000000001</v>
      </c>
      <c r="V142" s="18">
        <v>1.199452</v>
      </c>
      <c r="W142" s="18">
        <v>1.2519089999999999</v>
      </c>
      <c r="X142" s="18">
        <v>1.2945489999999999</v>
      </c>
      <c r="Y142" s="18">
        <v>1.3625989999999999</v>
      </c>
      <c r="Z142" s="18">
        <v>1.4462140000000001</v>
      </c>
      <c r="AA142" s="18">
        <v>1.515943</v>
      </c>
      <c r="AB142" s="18">
        <v>1.6010489999999999</v>
      </c>
      <c r="AC142" s="18">
        <v>1.680247</v>
      </c>
      <c r="AD142" s="18">
        <v>1.768567</v>
      </c>
      <c r="AE142" s="18">
        <v>1.860476</v>
      </c>
      <c r="AF142" s="18">
        <v>1.941964</v>
      </c>
      <c r="AG142" s="19">
        <v>3.1343000000000003E-2</v>
      </c>
    </row>
    <row r="143" spans="1:33" x14ac:dyDescent="0.25">
      <c r="A143" s="6" t="s">
        <v>265</v>
      </c>
      <c r="B143" s="16" t="s">
        <v>215</v>
      </c>
      <c r="C143" s="20">
        <v>1291.9681399999999</v>
      </c>
      <c r="D143" s="20">
        <v>1326.3251949999999</v>
      </c>
      <c r="E143" s="20">
        <v>1285.388428</v>
      </c>
      <c r="F143" s="20">
        <v>1314.122437</v>
      </c>
      <c r="G143" s="20">
        <v>1346.3496090000001</v>
      </c>
      <c r="H143" s="20">
        <v>1390.885986</v>
      </c>
      <c r="I143" s="20">
        <v>1444.0433350000001</v>
      </c>
      <c r="J143" s="20">
        <v>1505.0830080000001</v>
      </c>
      <c r="K143" s="20">
        <v>1566.5894780000001</v>
      </c>
      <c r="L143" s="20">
        <v>1627.500366</v>
      </c>
      <c r="M143" s="20">
        <v>1690.4879149999999</v>
      </c>
      <c r="N143" s="20">
        <v>1782.0889890000001</v>
      </c>
      <c r="O143" s="20">
        <v>1853.255371</v>
      </c>
      <c r="P143" s="20">
        <v>1916.625732</v>
      </c>
      <c r="Q143" s="20">
        <v>1977.9388429999999</v>
      </c>
      <c r="R143" s="20">
        <v>2041.222168</v>
      </c>
      <c r="S143" s="20">
        <v>2119.1999510000001</v>
      </c>
      <c r="T143" s="20">
        <v>2202.4975589999999</v>
      </c>
      <c r="U143" s="20">
        <v>2280.044922</v>
      </c>
      <c r="V143" s="20">
        <v>2383.6420899999998</v>
      </c>
      <c r="W143" s="20">
        <v>2484.0207519999999</v>
      </c>
      <c r="X143" s="20">
        <v>2587.69751</v>
      </c>
      <c r="Y143" s="20">
        <v>2697.774414</v>
      </c>
      <c r="Z143" s="20">
        <v>2807.9682619999999</v>
      </c>
      <c r="AA143" s="20">
        <v>2912.9772950000001</v>
      </c>
      <c r="AB143" s="20">
        <v>3032.133789</v>
      </c>
      <c r="AC143" s="20">
        <v>3147.2697750000002</v>
      </c>
      <c r="AD143" s="20">
        <v>3260.0878910000001</v>
      </c>
      <c r="AE143" s="20">
        <v>3386.061279</v>
      </c>
      <c r="AF143" s="20">
        <v>3500.1079100000002</v>
      </c>
      <c r="AG143" s="21">
        <v>3.4964000000000002E-2</v>
      </c>
    </row>
    <row r="145" spans="2:2" ht="15.75" thickBot="1" x14ac:dyDescent="0.3"/>
    <row r="146" spans="2:2" ht="36.75" x14ac:dyDescent="0.25">
      <c r="B146" s="33" t="s">
        <v>306</v>
      </c>
    </row>
    <row r="147" spans="2:2" x14ac:dyDescent="0.25">
      <c r="B147" s="7" t="s">
        <v>285</v>
      </c>
    </row>
    <row r="148" spans="2:2" x14ac:dyDescent="0.25">
      <c r="B148" s="7" t="s">
        <v>325</v>
      </c>
    </row>
    <row r="149" spans="2:2" x14ac:dyDescent="0.25">
      <c r="B149" s="7" t="s">
        <v>266</v>
      </c>
    </row>
    <row r="150" spans="2:2" ht="15" customHeight="1" x14ac:dyDescent="0.25">
      <c r="B150" s="7" t="s">
        <v>287</v>
      </c>
    </row>
    <row r="151" spans="2:2" ht="15" customHeight="1" x14ac:dyDescent="0.25">
      <c r="B151" s="7" t="s">
        <v>288</v>
      </c>
    </row>
    <row r="152" spans="2:2" ht="15" customHeight="1" x14ac:dyDescent="0.25">
      <c r="B152" s="7" t="s">
        <v>289</v>
      </c>
    </row>
    <row r="153" spans="2:2" ht="15" customHeight="1" x14ac:dyDescent="0.25">
      <c r="B153" s="7" t="s">
        <v>290</v>
      </c>
    </row>
    <row r="154" spans="2:2" ht="15" customHeight="1" x14ac:dyDescent="0.25">
      <c r="B154" s="7" t="s">
        <v>267</v>
      </c>
    </row>
    <row r="155" spans="2:2" ht="15" customHeight="1" x14ac:dyDescent="0.25">
      <c r="B155" s="7" t="s">
        <v>291</v>
      </c>
    </row>
    <row r="156" spans="2:2" ht="15" customHeight="1" x14ac:dyDescent="0.25">
      <c r="B156" s="7" t="s">
        <v>292</v>
      </c>
    </row>
    <row r="157" spans="2:2" ht="15" customHeight="1" x14ac:dyDescent="0.25">
      <c r="B157" s="7" t="s">
        <v>293</v>
      </c>
    </row>
    <row r="158" spans="2:2" ht="15" customHeight="1" x14ac:dyDescent="0.25">
      <c r="B158" s="7" t="s">
        <v>294</v>
      </c>
    </row>
    <row r="159" spans="2:2" ht="15" customHeight="1" x14ac:dyDescent="0.25">
      <c r="B159" s="7" t="s">
        <v>326</v>
      </c>
    </row>
    <row r="160" spans="2:2" ht="15" customHeight="1" x14ac:dyDescent="0.25">
      <c r="B160" s="7" t="s">
        <v>327</v>
      </c>
    </row>
    <row r="161" ht="15" customHeight="1" x14ac:dyDescent="0.25"/>
    <row r="162" ht="15" customHeight="1" x14ac:dyDescent="0.25"/>
    <row r="163" ht="15" customHeight="1" x14ac:dyDescent="0.25"/>
    <row r="164" ht="15" customHeight="1" x14ac:dyDescent="0.25"/>
    <row r="166" ht="15" customHeight="1" x14ac:dyDescent="0.25"/>
    <row r="167" ht="15" customHeight="1" x14ac:dyDescent="0.25"/>
    <row r="168" ht="15" customHeight="1" x14ac:dyDescent="0.25"/>
    <row r="169" ht="15" customHeight="1" x14ac:dyDescent="0.25"/>
    <row r="170" ht="15" customHeight="1" x14ac:dyDescent="0.25"/>
    <row r="171" ht="15" customHeight="1" x14ac:dyDescent="0.25"/>
    <row r="172" ht="15" customHeight="1" x14ac:dyDescent="0.25"/>
    <row r="173" ht="15" customHeight="1" x14ac:dyDescent="0.25"/>
    <row r="174" ht="15" customHeight="1" x14ac:dyDescent="0.25"/>
    <row r="175" ht="15" customHeight="1" x14ac:dyDescent="0.25"/>
    <row r="176" ht="15" customHeight="1" x14ac:dyDescent="0.25"/>
    <row r="177" ht="15" customHeight="1" x14ac:dyDescent="0.25"/>
    <row r="178" ht="15" customHeight="1" x14ac:dyDescent="0.25"/>
    <row r="179" ht="15" customHeight="1" x14ac:dyDescent="0.25"/>
    <row r="181" ht="15" customHeight="1" x14ac:dyDescent="0.25"/>
    <row r="182" ht="15" customHeight="1" x14ac:dyDescent="0.25"/>
    <row r="183" ht="15" customHeight="1" x14ac:dyDescent="0.25"/>
    <row r="184" ht="15" customHeight="1" x14ac:dyDescent="0.25"/>
    <row r="185" ht="15" customHeight="1" x14ac:dyDescent="0.25"/>
    <row r="186" ht="15" customHeight="1" x14ac:dyDescent="0.25"/>
    <row r="187" ht="15" customHeight="1" x14ac:dyDescent="0.25"/>
    <row r="188" ht="15" customHeight="1" x14ac:dyDescent="0.25"/>
    <row r="189" ht="15" customHeight="1" x14ac:dyDescent="0.25"/>
    <row r="190" ht="15" customHeight="1" x14ac:dyDescent="0.25"/>
    <row r="191" ht="15" customHeight="1" x14ac:dyDescent="0.25"/>
    <row r="192" ht="15" customHeight="1" x14ac:dyDescent="0.25"/>
    <row r="193" ht="15" customHeight="1" x14ac:dyDescent="0.25"/>
    <row r="194" ht="15" customHeight="1" x14ac:dyDescent="0.25"/>
    <row r="195" ht="15" customHeight="1" x14ac:dyDescent="0.25"/>
    <row r="196" ht="15" customHeight="1" x14ac:dyDescent="0.25"/>
    <row r="197" ht="15" customHeight="1" x14ac:dyDescent="0.25"/>
    <row r="198" ht="15" customHeight="1" x14ac:dyDescent="0.25"/>
    <row r="199" ht="15" customHeight="1" x14ac:dyDescent="0.25"/>
    <row r="200" ht="15" customHeight="1" x14ac:dyDescent="0.25"/>
    <row r="201" ht="15" customHeight="1" x14ac:dyDescent="0.25"/>
    <row r="202" ht="15" customHeight="1" x14ac:dyDescent="0.25"/>
    <row r="203" ht="15" customHeight="1" x14ac:dyDescent="0.25"/>
    <row r="204" ht="15" customHeight="1" x14ac:dyDescent="0.25"/>
    <row r="207" ht="15" customHeight="1" x14ac:dyDescent="0.25"/>
    <row r="208" ht="15" customHeight="1" x14ac:dyDescent="0.25"/>
    <row r="209" ht="15" customHeight="1" x14ac:dyDescent="0.25"/>
    <row r="210" ht="15" customHeight="1" x14ac:dyDescent="0.25"/>
    <row r="211" ht="15" customHeight="1" x14ac:dyDescent="0.25"/>
    <row r="212" ht="15" customHeight="1" x14ac:dyDescent="0.25"/>
    <row r="213" ht="15" customHeight="1" x14ac:dyDescent="0.25"/>
    <row r="214" ht="15" customHeight="1" x14ac:dyDescent="0.25"/>
    <row r="215" ht="15" customHeight="1" x14ac:dyDescent="0.25"/>
    <row r="216" ht="15" customHeight="1" x14ac:dyDescent="0.25"/>
    <row r="217" ht="15" customHeight="1" x14ac:dyDescent="0.25"/>
    <row r="218" ht="15" customHeight="1" x14ac:dyDescent="0.25"/>
    <row r="219" ht="15" customHeight="1" x14ac:dyDescent="0.25"/>
    <row r="220" ht="15" customHeight="1" x14ac:dyDescent="0.25"/>
    <row r="221" ht="15" customHeight="1" x14ac:dyDescent="0.25"/>
    <row r="222" ht="15" customHeight="1" x14ac:dyDescent="0.25"/>
    <row r="224" ht="15" customHeight="1" x14ac:dyDescent="0.25"/>
    <row r="225" ht="15" customHeight="1" x14ac:dyDescent="0.25"/>
    <row r="227" ht="15" customHeight="1" x14ac:dyDescent="0.25"/>
    <row r="228" ht="15" customHeight="1" x14ac:dyDescent="0.25"/>
    <row r="229" ht="15" customHeight="1" x14ac:dyDescent="0.25"/>
    <row r="230" ht="15" customHeight="1" x14ac:dyDescent="0.25"/>
    <row r="231" ht="15" customHeight="1" x14ac:dyDescent="0.25"/>
    <row r="232" ht="15" customHeight="1" x14ac:dyDescent="0.25"/>
    <row r="233" ht="15" customHeight="1" x14ac:dyDescent="0.25"/>
    <row r="234" ht="15" customHeight="1" x14ac:dyDescent="0.25"/>
    <row r="235" ht="15" customHeight="1" x14ac:dyDescent="0.25"/>
    <row r="236" ht="15" customHeight="1" x14ac:dyDescent="0.25"/>
    <row r="237" ht="15" customHeight="1" x14ac:dyDescent="0.25"/>
    <row r="238" ht="15" customHeight="1" x14ac:dyDescent="0.25"/>
    <row r="239" ht="15" customHeight="1" x14ac:dyDescent="0.25"/>
    <row r="240" ht="15" customHeight="1" x14ac:dyDescent="0.25"/>
    <row r="241" ht="15" customHeight="1" x14ac:dyDescent="0.25"/>
    <row r="242" ht="15" customHeight="1" x14ac:dyDescent="0.25"/>
    <row r="243" ht="15" customHeight="1" x14ac:dyDescent="0.25"/>
    <row r="244" ht="15" customHeight="1" x14ac:dyDescent="0.25"/>
    <row r="245" ht="15" customHeight="1" x14ac:dyDescent="0.25"/>
    <row r="246" ht="15" customHeight="1" x14ac:dyDescent="0.25"/>
    <row r="247" ht="15" customHeight="1" x14ac:dyDescent="0.25"/>
    <row r="248" ht="15" customHeight="1" x14ac:dyDescent="0.25"/>
    <row r="249" ht="15" customHeight="1" x14ac:dyDescent="0.25"/>
    <row r="250" ht="15" customHeight="1" x14ac:dyDescent="0.25"/>
    <row r="251" ht="15" customHeight="1" x14ac:dyDescent="0.25"/>
    <row r="252" ht="15" customHeight="1" x14ac:dyDescent="0.25"/>
    <row r="253" ht="15" customHeight="1" x14ac:dyDescent="0.25"/>
    <row r="254" ht="15" customHeight="1" x14ac:dyDescent="0.25"/>
    <row r="255" ht="15" customHeight="1" x14ac:dyDescent="0.25"/>
    <row r="258" ht="15" customHeight="1" x14ac:dyDescent="0.25"/>
    <row r="259" ht="15" customHeight="1" x14ac:dyDescent="0.25"/>
    <row r="260" ht="15" customHeight="1" x14ac:dyDescent="0.25"/>
    <row r="261" ht="15" customHeight="1" x14ac:dyDescent="0.25"/>
    <row r="262" ht="15" customHeight="1" x14ac:dyDescent="0.25"/>
    <row r="263" ht="15" customHeight="1" x14ac:dyDescent="0.25"/>
    <row r="264" ht="15" customHeight="1" x14ac:dyDescent="0.25"/>
    <row r="265" ht="15" customHeight="1" x14ac:dyDescent="0.25"/>
    <row r="266" ht="15" customHeight="1" x14ac:dyDescent="0.25"/>
    <row r="267" ht="15" customHeight="1" x14ac:dyDescent="0.25"/>
    <row r="268" ht="15" customHeight="1" x14ac:dyDescent="0.25"/>
    <row r="270" ht="15" customHeight="1" x14ac:dyDescent="0.25"/>
    <row r="271" ht="15" customHeight="1" x14ac:dyDescent="0.25"/>
    <row r="272" ht="15" customHeight="1" x14ac:dyDescent="0.25"/>
    <row r="273" ht="15" customHeight="1" x14ac:dyDescent="0.25"/>
    <row r="274" ht="15" customHeight="1" x14ac:dyDescent="0.25"/>
    <row r="275" ht="15" customHeight="1" x14ac:dyDescent="0.25"/>
    <row r="276" ht="15" customHeight="1" x14ac:dyDescent="0.25"/>
    <row r="277" ht="15" customHeight="1" x14ac:dyDescent="0.25"/>
    <row r="278" ht="15" customHeight="1" x14ac:dyDescent="0.25"/>
    <row r="279" ht="15" customHeight="1" x14ac:dyDescent="0.25"/>
    <row r="280" ht="15" customHeight="1" x14ac:dyDescent="0.25"/>
    <row r="281" ht="15" customHeight="1" x14ac:dyDescent="0.25"/>
    <row r="282" ht="15" customHeight="1" x14ac:dyDescent="0.25"/>
    <row r="283" ht="15" customHeight="1" x14ac:dyDescent="0.25"/>
    <row r="284" ht="15" customHeight="1" x14ac:dyDescent="0.25"/>
    <row r="285" ht="15" customHeight="1" x14ac:dyDescent="0.25"/>
    <row r="286" ht="15" customHeight="1" x14ac:dyDescent="0.25"/>
    <row r="287" ht="15" customHeight="1" x14ac:dyDescent="0.25"/>
    <row r="288" ht="15" customHeight="1" x14ac:dyDescent="0.25"/>
    <row r="289" ht="15" customHeight="1" x14ac:dyDescent="0.25"/>
    <row r="290" ht="15" customHeight="1" x14ac:dyDescent="0.25"/>
    <row r="291" ht="15" customHeight="1" x14ac:dyDescent="0.25"/>
    <row r="292" ht="15" customHeight="1" x14ac:dyDescent="0.25"/>
    <row r="293" ht="15" customHeight="1" x14ac:dyDescent="0.25"/>
    <row r="294" ht="15" customHeight="1" x14ac:dyDescent="0.25"/>
    <row r="295" ht="15" customHeight="1" x14ac:dyDescent="0.25"/>
    <row r="296" ht="15" customHeight="1" x14ac:dyDescent="0.25"/>
    <row r="297" ht="15" customHeight="1" x14ac:dyDescent="0.25"/>
    <row r="298" ht="15" customHeight="1" x14ac:dyDescent="0.25"/>
    <row r="300" ht="15" customHeight="1" x14ac:dyDescent="0.25"/>
    <row r="301" ht="15" customHeight="1" x14ac:dyDescent="0.25"/>
    <row r="302" ht="15" customHeight="1" x14ac:dyDescent="0.25"/>
    <row r="303" ht="15" customHeight="1" x14ac:dyDescent="0.25"/>
    <row r="304" ht="15" customHeight="1" x14ac:dyDescent="0.25"/>
    <row r="305" spans="2:33" ht="15" customHeight="1" x14ac:dyDescent="0.25"/>
    <row r="306" spans="2:33" ht="15" customHeight="1" x14ac:dyDescent="0.25"/>
    <row r="307" spans="2:33" ht="15" customHeight="1" x14ac:dyDescent="0.25"/>
    <row r="308" spans="2:33" ht="15" customHeight="1" x14ac:dyDescent="0.25">
      <c r="B308" s="86"/>
      <c r="C308" s="86"/>
      <c r="D308" s="86"/>
      <c r="E308" s="86"/>
      <c r="F308" s="86"/>
      <c r="G308" s="86"/>
      <c r="H308" s="86"/>
      <c r="I308" s="86"/>
      <c r="J308" s="86"/>
      <c r="K308" s="86"/>
      <c r="L308" s="86"/>
      <c r="M308" s="86"/>
      <c r="N308" s="86"/>
      <c r="O308" s="86"/>
      <c r="P308" s="86"/>
      <c r="Q308" s="86"/>
      <c r="R308" s="86"/>
      <c r="S308" s="86"/>
      <c r="T308" s="86"/>
      <c r="U308" s="86"/>
      <c r="V308" s="86"/>
      <c r="W308" s="86"/>
      <c r="X308" s="86"/>
      <c r="Y308" s="86"/>
      <c r="Z308" s="86"/>
      <c r="AA308" s="86"/>
      <c r="AB308" s="86"/>
      <c r="AC308" s="86"/>
      <c r="AD308" s="86"/>
      <c r="AE308" s="86"/>
      <c r="AF308" s="86"/>
      <c r="AG308" s="86"/>
    </row>
    <row r="309" spans="2:33" ht="15" customHeight="1" x14ac:dyDescent="0.25"/>
    <row r="310" spans="2:33" ht="15" customHeight="1" x14ac:dyDescent="0.25"/>
    <row r="311" spans="2:33" ht="15" customHeight="1" x14ac:dyDescent="0.25"/>
    <row r="312" spans="2:33" ht="15" customHeight="1" x14ac:dyDescent="0.25"/>
    <row r="313" spans="2:33" ht="15" customHeight="1" x14ac:dyDescent="0.25"/>
    <row r="314" spans="2:33" ht="15" customHeight="1" x14ac:dyDescent="0.25"/>
    <row r="315" spans="2:33" ht="15" customHeight="1" x14ac:dyDescent="0.25"/>
    <row r="316" spans="2:33" ht="15" customHeight="1" x14ac:dyDescent="0.25"/>
    <row r="317" spans="2:33" ht="15" customHeight="1" x14ac:dyDescent="0.25"/>
    <row r="318" spans="2:33" ht="15" customHeight="1" x14ac:dyDescent="0.25"/>
    <row r="319" spans="2:33" ht="15" customHeight="1" x14ac:dyDescent="0.25"/>
    <row r="320" spans="2:33" ht="15" customHeight="1" x14ac:dyDescent="0.25"/>
    <row r="321" ht="15" customHeight="1" x14ac:dyDescent="0.25"/>
    <row r="322" ht="15" customHeight="1" x14ac:dyDescent="0.25"/>
    <row r="323" ht="15" customHeight="1" x14ac:dyDescent="0.25"/>
    <row r="324" ht="15" customHeight="1" x14ac:dyDescent="0.25"/>
    <row r="325" ht="15" customHeight="1" x14ac:dyDescent="0.25"/>
    <row r="326" ht="15" customHeight="1" x14ac:dyDescent="0.25"/>
    <row r="327" ht="15" customHeight="1" x14ac:dyDescent="0.25"/>
    <row r="328" ht="15" customHeight="1" x14ac:dyDescent="0.25"/>
    <row r="329" ht="15" customHeight="1" x14ac:dyDescent="0.25"/>
    <row r="330" ht="15" customHeight="1" x14ac:dyDescent="0.25"/>
    <row r="331" ht="15" customHeight="1" x14ac:dyDescent="0.25"/>
    <row r="332" ht="15" customHeight="1" x14ac:dyDescent="0.25"/>
    <row r="333" ht="15" customHeight="1" x14ac:dyDescent="0.25"/>
    <row r="334" ht="15" customHeight="1" x14ac:dyDescent="0.25"/>
    <row r="335" ht="15" customHeight="1" x14ac:dyDescent="0.25"/>
    <row r="336" ht="15" customHeight="1" x14ac:dyDescent="0.25"/>
    <row r="337" ht="15" customHeight="1" x14ac:dyDescent="0.25"/>
    <row r="338" ht="15" customHeight="1" x14ac:dyDescent="0.25"/>
    <row r="339" ht="15" customHeight="1" x14ac:dyDescent="0.25"/>
    <row r="340" ht="15" customHeight="1" x14ac:dyDescent="0.25"/>
    <row r="341" ht="15" customHeight="1" x14ac:dyDescent="0.25"/>
    <row r="342" ht="15" customHeight="1" x14ac:dyDescent="0.25"/>
    <row r="343" ht="15" customHeight="1" x14ac:dyDescent="0.25"/>
    <row r="344" ht="15" customHeight="1" x14ac:dyDescent="0.25"/>
    <row r="345" ht="15" customHeight="1" x14ac:dyDescent="0.25"/>
    <row r="375" ht="15" customHeight="1" x14ac:dyDescent="0.25"/>
    <row r="376" ht="15" customHeight="1" x14ac:dyDescent="0.25"/>
    <row r="377" ht="15" customHeight="1" x14ac:dyDescent="0.25"/>
    <row r="378" ht="15" customHeight="1" x14ac:dyDescent="0.25"/>
    <row r="379" ht="15" customHeight="1" x14ac:dyDescent="0.25"/>
    <row r="380" ht="15" customHeight="1" x14ac:dyDescent="0.25"/>
    <row r="381" ht="15" customHeight="1" x14ac:dyDescent="0.25"/>
    <row r="382" ht="15" customHeight="1" x14ac:dyDescent="0.25"/>
    <row r="383" ht="15" customHeight="1" x14ac:dyDescent="0.25"/>
    <row r="384" ht="15" customHeight="1" x14ac:dyDescent="0.25"/>
    <row r="386" ht="15" customHeight="1" x14ac:dyDescent="0.25"/>
    <row r="387" ht="15" customHeight="1" x14ac:dyDescent="0.25"/>
    <row r="388" ht="15" customHeight="1" x14ac:dyDescent="0.25"/>
    <row r="389" ht="15" customHeight="1" x14ac:dyDescent="0.25"/>
    <row r="390" ht="15" customHeight="1" x14ac:dyDescent="0.25"/>
    <row r="391" ht="15" customHeight="1" x14ac:dyDescent="0.25"/>
    <row r="393" ht="15" customHeight="1" x14ac:dyDescent="0.25"/>
    <row r="394" ht="15" customHeight="1" x14ac:dyDescent="0.25"/>
    <row r="395" ht="15" customHeight="1" x14ac:dyDescent="0.25"/>
    <row r="396" ht="15" customHeight="1" x14ac:dyDescent="0.25"/>
    <row r="397" ht="15" customHeight="1" x14ac:dyDescent="0.25"/>
    <row r="398" ht="15" customHeight="1" x14ac:dyDescent="0.25"/>
    <row r="399" ht="15" customHeight="1" x14ac:dyDescent="0.25"/>
    <row r="400" ht="15" customHeight="1" x14ac:dyDescent="0.25"/>
    <row r="401" ht="15" customHeight="1" x14ac:dyDescent="0.25"/>
    <row r="403" ht="15" customHeight="1" x14ac:dyDescent="0.25"/>
    <row r="404" ht="15" customHeight="1" x14ac:dyDescent="0.25"/>
    <row r="405" ht="15" customHeight="1" x14ac:dyDescent="0.25"/>
    <row r="406" ht="15" customHeight="1" x14ac:dyDescent="0.25"/>
    <row r="407" ht="15" customHeight="1" x14ac:dyDescent="0.25"/>
    <row r="408" ht="15" customHeight="1" x14ac:dyDescent="0.25"/>
    <row r="409" ht="15" customHeight="1" x14ac:dyDescent="0.25"/>
    <row r="410" ht="15" customHeight="1" x14ac:dyDescent="0.25"/>
    <row r="411" ht="15" customHeight="1" x14ac:dyDescent="0.25"/>
    <row r="413" ht="15" customHeight="1" x14ac:dyDescent="0.25"/>
    <row r="414" ht="15" customHeight="1" x14ac:dyDescent="0.25"/>
    <row r="415" ht="15" customHeight="1" x14ac:dyDescent="0.25"/>
    <row r="416" ht="15" customHeight="1" x14ac:dyDescent="0.25"/>
    <row r="417" ht="15" customHeight="1" x14ac:dyDescent="0.25"/>
    <row r="418" ht="15" customHeight="1" x14ac:dyDescent="0.25"/>
    <row r="421" ht="15" customHeight="1" x14ac:dyDescent="0.25"/>
    <row r="422" ht="15" customHeight="1" x14ac:dyDescent="0.25"/>
    <row r="423" ht="15" customHeight="1" x14ac:dyDescent="0.25"/>
    <row r="424" ht="15" customHeight="1" x14ac:dyDescent="0.25"/>
    <row r="425" ht="15" customHeight="1" x14ac:dyDescent="0.25"/>
    <row r="426" ht="15" customHeight="1" x14ac:dyDescent="0.25"/>
    <row r="427" ht="15" customHeight="1" x14ac:dyDescent="0.25"/>
    <row r="428" ht="15" customHeight="1" x14ac:dyDescent="0.25"/>
    <row r="429" ht="15" customHeight="1" x14ac:dyDescent="0.25"/>
    <row r="430" ht="15" customHeight="1" x14ac:dyDescent="0.25"/>
    <row r="431" ht="15" customHeight="1" x14ac:dyDescent="0.25"/>
    <row r="432" ht="15" customHeight="1" x14ac:dyDescent="0.25"/>
    <row r="434" ht="15" customHeight="1" x14ac:dyDescent="0.25"/>
    <row r="435" ht="15" customHeight="1" x14ac:dyDescent="0.25"/>
    <row r="436" ht="15" customHeight="1" x14ac:dyDescent="0.25"/>
    <row r="437" ht="15" customHeight="1" x14ac:dyDescent="0.25"/>
    <row r="438" ht="15" customHeight="1" x14ac:dyDescent="0.25"/>
    <row r="439" ht="15" customHeight="1" x14ac:dyDescent="0.25"/>
    <row r="440" ht="15" customHeight="1" x14ac:dyDescent="0.25"/>
    <row r="441" ht="15" customHeight="1" x14ac:dyDescent="0.25"/>
    <row r="442" ht="15" customHeight="1" x14ac:dyDescent="0.25"/>
    <row r="445" ht="15" customHeight="1" x14ac:dyDescent="0.25"/>
    <row r="446" ht="15" customHeight="1" x14ac:dyDescent="0.25"/>
    <row r="447" ht="15" customHeight="1" x14ac:dyDescent="0.25"/>
    <row r="448" ht="15" customHeight="1" x14ac:dyDescent="0.25"/>
    <row r="449" ht="15" customHeight="1" x14ac:dyDescent="0.25"/>
    <row r="450" ht="15" customHeight="1" x14ac:dyDescent="0.25"/>
    <row r="452" ht="15" customHeight="1" x14ac:dyDescent="0.25"/>
    <row r="453" ht="15" customHeight="1" x14ac:dyDescent="0.25"/>
    <row r="454" ht="15" customHeight="1" x14ac:dyDescent="0.25"/>
    <row r="455" ht="15" customHeight="1" x14ac:dyDescent="0.25"/>
    <row r="456" ht="15" customHeight="1" x14ac:dyDescent="0.25"/>
    <row r="457" ht="15" customHeight="1" x14ac:dyDescent="0.25"/>
    <row r="459" ht="15" customHeight="1" x14ac:dyDescent="0.25"/>
    <row r="460" ht="15" customHeight="1" x14ac:dyDescent="0.25"/>
    <row r="461" ht="15" customHeight="1" x14ac:dyDescent="0.25"/>
    <row r="462" ht="15" customHeight="1" x14ac:dyDescent="0.25"/>
    <row r="463" ht="15" customHeight="1" x14ac:dyDescent="0.25"/>
    <row r="464" ht="15" customHeight="1" x14ac:dyDescent="0.25"/>
    <row r="465" ht="15" customHeight="1" x14ac:dyDescent="0.25"/>
    <row r="466" ht="15" customHeight="1" x14ac:dyDescent="0.25"/>
    <row r="467" ht="15" customHeight="1" x14ac:dyDescent="0.25"/>
    <row r="470" ht="15" customHeight="1" x14ac:dyDescent="0.25"/>
    <row r="471" ht="15" customHeight="1" x14ac:dyDescent="0.25"/>
    <row r="472" ht="15" customHeight="1" x14ac:dyDescent="0.25"/>
    <row r="473" ht="15" customHeight="1" x14ac:dyDescent="0.25"/>
    <row r="474" ht="15" customHeight="1" x14ac:dyDescent="0.25"/>
    <row r="475" ht="15" customHeight="1" x14ac:dyDescent="0.25"/>
    <row r="476" ht="15" customHeight="1" x14ac:dyDescent="0.25"/>
    <row r="477" ht="15" customHeight="1" x14ac:dyDescent="0.25"/>
    <row r="478" ht="15" customHeight="1" x14ac:dyDescent="0.25"/>
    <row r="480" ht="15" customHeight="1" x14ac:dyDescent="0.25"/>
    <row r="481" ht="15" customHeight="1" x14ac:dyDescent="0.25"/>
    <row r="482" ht="15" customHeight="1" x14ac:dyDescent="0.25"/>
    <row r="483" ht="15" customHeight="1" x14ac:dyDescent="0.25"/>
    <row r="484" ht="15" customHeight="1" x14ac:dyDescent="0.25"/>
    <row r="485" ht="15" customHeight="1" x14ac:dyDescent="0.25"/>
    <row r="487" ht="15" customHeight="1" x14ac:dyDescent="0.25"/>
    <row r="488" ht="15" customHeight="1" x14ac:dyDescent="0.25"/>
    <row r="489" ht="15" customHeight="1" x14ac:dyDescent="0.25"/>
    <row r="490" ht="15" customHeight="1" x14ac:dyDescent="0.25"/>
    <row r="491" ht="15" customHeight="1" x14ac:dyDescent="0.25"/>
    <row r="492" ht="15" customHeight="1" x14ac:dyDescent="0.25"/>
    <row r="493" ht="15" customHeight="1" x14ac:dyDescent="0.25"/>
    <row r="494" ht="15" customHeight="1" x14ac:dyDescent="0.25"/>
    <row r="495" ht="15" customHeight="1" x14ac:dyDescent="0.25"/>
    <row r="496" ht="15" customHeight="1" x14ac:dyDescent="0.25"/>
    <row r="497" spans="2:33" ht="15" customHeight="1" x14ac:dyDescent="0.25"/>
    <row r="498" spans="2:33" ht="15" customHeight="1" x14ac:dyDescent="0.25"/>
    <row r="500" spans="2:33" ht="15" customHeight="1" x14ac:dyDescent="0.25"/>
    <row r="501" spans="2:33" ht="15" customHeight="1" x14ac:dyDescent="0.25"/>
    <row r="502" spans="2:33" ht="15" customHeight="1" x14ac:dyDescent="0.25"/>
    <row r="503" spans="2:33" ht="15" customHeight="1" x14ac:dyDescent="0.25"/>
    <row r="504" spans="2:33" ht="15" customHeight="1" x14ac:dyDescent="0.25"/>
    <row r="505" spans="2:33" ht="15" customHeight="1" x14ac:dyDescent="0.25"/>
    <row r="506" spans="2:33" ht="15" customHeight="1" x14ac:dyDescent="0.25"/>
    <row r="507" spans="2:33" ht="15" customHeight="1" x14ac:dyDescent="0.25"/>
    <row r="508" spans="2:33" ht="15" customHeight="1" x14ac:dyDescent="0.25"/>
    <row r="510" spans="2:33" ht="15" customHeight="1" x14ac:dyDescent="0.25"/>
    <row r="511" spans="2:33" ht="15" customHeight="1" x14ac:dyDescent="0.25">
      <c r="B511" s="86"/>
      <c r="C511" s="86"/>
      <c r="D511" s="86"/>
      <c r="E511" s="86"/>
      <c r="F511" s="86"/>
      <c r="G511" s="86"/>
      <c r="H511" s="86"/>
      <c r="I511" s="86"/>
      <c r="J511" s="86"/>
      <c r="K511" s="86"/>
      <c r="L511" s="86"/>
      <c r="M511" s="86"/>
      <c r="N511" s="86"/>
      <c r="O511" s="86"/>
      <c r="P511" s="86"/>
      <c r="Q511" s="86"/>
      <c r="R511" s="86"/>
      <c r="S511" s="86"/>
      <c r="T511" s="86"/>
      <c r="U511" s="86"/>
      <c r="V511" s="86"/>
      <c r="W511" s="86"/>
      <c r="X511" s="86"/>
      <c r="Y511" s="86"/>
      <c r="Z511" s="86"/>
      <c r="AA511" s="86"/>
      <c r="AB511" s="86"/>
      <c r="AC511" s="86"/>
      <c r="AD511" s="86"/>
      <c r="AE511" s="86"/>
      <c r="AF511" s="86"/>
      <c r="AG511" s="86"/>
    </row>
    <row r="512" spans="2:33" ht="15" customHeight="1" x14ac:dyDescent="0.25"/>
    <row r="513" ht="15" customHeight="1" x14ac:dyDescent="0.25"/>
    <row r="514" ht="15" customHeight="1" x14ac:dyDescent="0.25"/>
    <row r="515" ht="15" customHeight="1" x14ac:dyDescent="0.25"/>
    <row r="516" ht="15" customHeight="1" x14ac:dyDescent="0.25"/>
    <row r="517" ht="15" customHeight="1" x14ac:dyDescent="0.25"/>
    <row r="518" ht="15" customHeight="1" x14ac:dyDescent="0.25"/>
    <row r="519" ht="15" customHeight="1" x14ac:dyDescent="0.25"/>
    <row r="520" ht="15" customHeight="1" x14ac:dyDescent="0.25"/>
    <row r="521" ht="15" customHeight="1" x14ac:dyDescent="0.25"/>
    <row r="522" ht="15" customHeight="1" x14ac:dyDescent="0.25"/>
    <row r="523" ht="15" customHeight="1" x14ac:dyDescent="0.25"/>
    <row r="524" ht="15" customHeight="1" x14ac:dyDescent="0.25"/>
    <row r="525" ht="15" customHeight="1" x14ac:dyDescent="0.25"/>
    <row r="575" ht="15" customHeight="1" x14ac:dyDescent="0.25"/>
    <row r="576" ht="15" customHeight="1" x14ac:dyDescent="0.25"/>
    <row r="577" ht="15" customHeight="1" x14ac:dyDescent="0.25"/>
    <row r="578" ht="15" customHeight="1" x14ac:dyDescent="0.25"/>
    <row r="579" ht="15" customHeight="1" x14ac:dyDescent="0.25"/>
    <row r="580" ht="15" customHeight="1" x14ac:dyDescent="0.25"/>
    <row r="581" ht="15" customHeight="1" x14ac:dyDescent="0.25"/>
    <row r="582" ht="15" customHeight="1" x14ac:dyDescent="0.25"/>
    <row r="583" ht="15" customHeight="1" x14ac:dyDescent="0.25"/>
    <row r="584" ht="15" customHeight="1" x14ac:dyDescent="0.25"/>
    <row r="585" ht="15" customHeight="1" x14ac:dyDescent="0.25"/>
    <row r="587" ht="15" customHeight="1" x14ac:dyDescent="0.25"/>
    <row r="589" ht="15" customHeight="1" x14ac:dyDescent="0.25"/>
    <row r="590" ht="15" customHeight="1" x14ac:dyDescent="0.25"/>
    <row r="591" ht="15" customHeight="1" x14ac:dyDescent="0.25"/>
    <row r="592" ht="15" customHeight="1" x14ac:dyDescent="0.25"/>
    <row r="593" ht="15" customHeight="1" x14ac:dyDescent="0.25"/>
    <row r="594" ht="15" customHeight="1" x14ac:dyDescent="0.25"/>
    <row r="595" ht="15" customHeight="1" x14ac:dyDescent="0.25"/>
    <row r="597" ht="15" customHeight="1" x14ac:dyDescent="0.25"/>
    <row r="598" ht="15" customHeight="1" x14ac:dyDescent="0.25"/>
    <row r="599" ht="15" customHeight="1" x14ac:dyDescent="0.25"/>
    <row r="600" ht="15" customHeight="1" x14ac:dyDescent="0.25"/>
    <row r="601" ht="15" customHeight="1" x14ac:dyDescent="0.25"/>
    <row r="602" ht="15" customHeight="1" x14ac:dyDescent="0.25"/>
    <row r="603" ht="15" customHeight="1" x14ac:dyDescent="0.25"/>
    <row r="604" ht="15" customHeight="1" x14ac:dyDescent="0.25"/>
    <row r="605" ht="15" customHeight="1" x14ac:dyDescent="0.25"/>
    <row r="606" ht="15" customHeight="1" x14ac:dyDescent="0.25"/>
    <row r="607" ht="15" customHeight="1" x14ac:dyDescent="0.25"/>
    <row r="608" ht="15" customHeight="1" x14ac:dyDescent="0.25"/>
    <row r="609" ht="15" customHeight="1" x14ac:dyDescent="0.25"/>
    <row r="610" ht="15" customHeight="1" x14ac:dyDescent="0.25"/>
    <row r="611" ht="15" customHeight="1" x14ac:dyDescent="0.25"/>
    <row r="612" ht="15" customHeight="1" x14ac:dyDescent="0.25"/>
    <row r="613" ht="15" customHeight="1" x14ac:dyDescent="0.25"/>
    <row r="614" ht="15" customHeight="1" x14ac:dyDescent="0.25"/>
    <row r="615" ht="15" customHeight="1" x14ac:dyDescent="0.25"/>
    <row r="617" ht="15" customHeight="1" x14ac:dyDescent="0.25"/>
    <row r="618" ht="15" customHeight="1" x14ac:dyDescent="0.25"/>
    <row r="619" ht="15" customHeight="1" x14ac:dyDescent="0.25"/>
    <row r="620" ht="15" customHeight="1" x14ac:dyDescent="0.25"/>
    <row r="621" ht="15" customHeight="1" x14ac:dyDescent="0.25"/>
    <row r="622" ht="15" customHeight="1" x14ac:dyDescent="0.25"/>
    <row r="623" ht="15" customHeight="1" x14ac:dyDescent="0.25"/>
    <row r="624" ht="15" customHeight="1" x14ac:dyDescent="0.25"/>
    <row r="626" ht="15" customHeight="1" x14ac:dyDescent="0.25"/>
    <row r="627" ht="15" customHeight="1" x14ac:dyDescent="0.25"/>
    <row r="628" ht="15" customHeight="1" x14ac:dyDescent="0.25"/>
    <row r="629" ht="15" customHeight="1" x14ac:dyDescent="0.25"/>
    <row r="630" ht="15" customHeight="1" x14ac:dyDescent="0.25"/>
    <row r="632" ht="15" customHeight="1" x14ac:dyDescent="0.25"/>
    <row r="633" ht="15" customHeight="1" x14ac:dyDescent="0.25"/>
    <row r="634" ht="15" customHeight="1" x14ac:dyDescent="0.25"/>
    <row r="635" ht="15" customHeight="1" x14ac:dyDescent="0.25"/>
    <row r="636" ht="15" customHeight="1" x14ac:dyDescent="0.25"/>
    <row r="637" ht="15" customHeight="1" x14ac:dyDescent="0.25"/>
    <row r="639" ht="15" customHeight="1" x14ac:dyDescent="0.25"/>
    <row r="641" ht="15" customHeight="1" x14ac:dyDescent="0.25"/>
    <row r="642" ht="15" customHeight="1" x14ac:dyDescent="0.25"/>
    <row r="643" ht="15" customHeight="1" x14ac:dyDescent="0.25"/>
    <row r="644" ht="15" customHeight="1" x14ac:dyDescent="0.25"/>
    <row r="645" ht="15" customHeight="1" x14ac:dyDescent="0.25"/>
    <row r="646" ht="15" customHeight="1" x14ac:dyDescent="0.25"/>
    <row r="647" ht="15" customHeight="1" x14ac:dyDescent="0.25"/>
    <row r="648" ht="15" customHeight="1" x14ac:dyDescent="0.25"/>
    <row r="649" ht="15" customHeight="1" x14ac:dyDescent="0.25"/>
    <row r="650" ht="15" customHeight="1" x14ac:dyDescent="0.25"/>
    <row r="651" ht="15" customHeight="1" x14ac:dyDescent="0.25"/>
    <row r="652" ht="15" customHeight="1" x14ac:dyDescent="0.25"/>
    <row r="653" ht="15" customHeight="1" x14ac:dyDescent="0.25"/>
    <row r="654" ht="15" customHeight="1" x14ac:dyDescent="0.25"/>
    <row r="655" ht="15" customHeight="1" x14ac:dyDescent="0.25"/>
    <row r="656" ht="15" customHeight="1" x14ac:dyDescent="0.25"/>
    <row r="657" ht="15" customHeight="1" x14ac:dyDescent="0.25"/>
    <row r="658" ht="15" customHeight="1" x14ac:dyDescent="0.25"/>
    <row r="660" ht="15" customHeight="1" x14ac:dyDescent="0.25"/>
    <row r="662" ht="15" customHeight="1" x14ac:dyDescent="0.25"/>
    <row r="663" ht="15" customHeight="1" x14ac:dyDescent="0.25"/>
    <row r="664" ht="15" customHeight="1" x14ac:dyDescent="0.25"/>
    <row r="665" ht="15" customHeight="1" x14ac:dyDescent="0.25"/>
    <row r="666" ht="15" customHeight="1" x14ac:dyDescent="0.25"/>
    <row r="667" ht="15" customHeight="1" x14ac:dyDescent="0.25"/>
    <row r="668" ht="15" customHeight="1" x14ac:dyDescent="0.25"/>
    <row r="669" ht="15" customHeight="1" x14ac:dyDescent="0.25"/>
    <row r="670" ht="15" customHeight="1" x14ac:dyDescent="0.25"/>
    <row r="671" ht="15" customHeight="1" x14ac:dyDescent="0.25"/>
    <row r="672" ht="15" customHeight="1" x14ac:dyDescent="0.25"/>
    <row r="673" ht="15" customHeight="1" x14ac:dyDescent="0.25"/>
    <row r="674" ht="15" customHeight="1" x14ac:dyDescent="0.25"/>
    <row r="675" ht="15" customHeight="1" x14ac:dyDescent="0.25"/>
    <row r="676" ht="15" customHeight="1" x14ac:dyDescent="0.25"/>
    <row r="677" ht="15" customHeight="1" x14ac:dyDescent="0.25"/>
    <row r="678" ht="15" customHeight="1" x14ac:dyDescent="0.25"/>
    <row r="679" ht="15" customHeight="1" x14ac:dyDescent="0.25"/>
    <row r="681" ht="15" customHeight="1" x14ac:dyDescent="0.25"/>
    <row r="682" ht="15" customHeight="1" x14ac:dyDescent="0.25"/>
    <row r="683" ht="15" customHeight="1" x14ac:dyDescent="0.25"/>
    <row r="684" ht="15" customHeight="1" x14ac:dyDescent="0.25"/>
    <row r="685" ht="15" customHeight="1" x14ac:dyDescent="0.25"/>
    <row r="686" ht="15" customHeight="1" x14ac:dyDescent="0.25"/>
    <row r="688" ht="15" customHeight="1" x14ac:dyDescent="0.25"/>
    <row r="689" ht="15" customHeight="1" x14ac:dyDescent="0.25"/>
    <row r="690" ht="15" customHeight="1" x14ac:dyDescent="0.25"/>
    <row r="691" ht="15" customHeight="1" x14ac:dyDescent="0.25"/>
    <row r="692" ht="15" customHeight="1" x14ac:dyDescent="0.25"/>
    <row r="693" ht="15" customHeight="1" x14ac:dyDescent="0.25"/>
    <row r="694" ht="15" customHeight="1" x14ac:dyDescent="0.25"/>
    <row r="695" ht="15" customHeight="1" x14ac:dyDescent="0.25"/>
    <row r="696" ht="15" customHeight="1" x14ac:dyDescent="0.25"/>
    <row r="697" ht="15" customHeight="1" x14ac:dyDescent="0.25"/>
    <row r="698" ht="15" customHeight="1" x14ac:dyDescent="0.25"/>
    <row r="700" ht="15" customHeight="1" x14ac:dyDescent="0.25"/>
    <row r="701" ht="15" customHeight="1" x14ac:dyDescent="0.25"/>
    <row r="702" ht="15" customHeight="1" x14ac:dyDescent="0.25"/>
    <row r="703" ht="15" customHeight="1" x14ac:dyDescent="0.25"/>
    <row r="704" ht="15" customHeight="1" x14ac:dyDescent="0.25"/>
    <row r="705" spans="2:33" ht="15" customHeight="1" x14ac:dyDescent="0.25"/>
    <row r="706" spans="2:33" ht="15" customHeight="1" x14ac:dyDescent="0.25"/>
    <row r="707" spans="2:33" ht="15" customHeight="1" x14ac:dyDescent="0.25"/>
    <row r="708" spans="2:33" ht="15" customHeight="1" x14ac:dyDescent="0.25"/>
    <row r="709" spans="2:33" ht="15" customHeight="1" x14ac:dyDescent="0.25"/>
    <row r="710" spans="2:33" ht="15" customHeight="1" x14ac:dyDescent="0.25"/>
    <row r="711" spans="2:33" ht="15" customHeight="1" x14ac:dyDescent="0.25"/>
    <row r="712" spans="2:33" ht="15" customHeight="1" x14ac:dyDescent="0.25">
      <c r="B712" s="86"/>
      <c r="C712" s="86"/>
      <c r="D712" s="86"/>
      <c r="E712" s="86"/>
      <c r="F712" s="86"/>
      <c r="G712" s="86"/>
      <c r="H712" s="86"/>
      <c r="I712" s="86"/>
      <c r="J712" s="86"/>
      <c r="K712" s="86"/>
      <c r="L712" s="86"/>
      <c r="M712" s="86"/>
      <c r="N712" s="86"/>
      <c r="O712" s="86"/>
      <c r="P712" s="86"/>
      <c r="Q712" s="86"/>
      <c r="R712" s="86"/>
      <c r="S712" s="86"/>
      <c r="T712" s="86"/>
      <c r="U712" s="86"/>
      <c r="V712" s="86"/>
      <c r="W712" s="86"/>
      <c r="X712" s="86"/>
      <c r="Y712" s="86"/>
      <c r="Z712" s="86"/>
      <c r="AA712" s="86"/>
      <c r="AB712" s="86"/>
      <c r="AC712" s="86"/>
      <c r="AD712" s="86"/>
      <c r="AE712" s="86"/>
      <c r="AF712" s="86"/>
      <c r="AG712" s="86"/>
    </row>
    <row r="713" spans="2:33" ht="15" customHeight="1" x14ac:dyDescent="0.25"/>
    <row r="714" spans="2:33" ht="15" customHeight="1" x14ac:dyDescent="0.25"/>
    <row r="715" spans="2:33" ht="15" customHeight="1" x14ac:dyDescent="0.25"/>
    <row r="716" spans="2:33" ht="15" customHeight="1" x14ac:dyDescent="0.25"/>
    <row r="717" spans="2:33" ht="15" customHeight="1" x14ac:dyDescent="0.25"/>
    <row r="718" spans="2:33" ht="15" customHeight="1" x14ac:dyDescent="0.25"/>
    <row r="719" spans="2:33" ht="15" customHeight="1" x14ac:dyDescent="0.25"/>
    <row r="720" spans="2:33" ht="15" customHeight="1" x14ac:dyDescent="0.25"/>
    <row r="721" ht="15" customHeight="1" x14ac:dyDescent="0.25"/>
    <row r="722" ht="15" customHeight="1" x14ac:dyDescent="0.25"/>
    <row r="723" ht="15" customHeight="1" x14ac:dyDescent="0.25"/>
    <row r="724" ht="15" customHeight="1" x14ac:dyDescent="0.25"/>
    <row r="725" ht="15" customHeight="1" x14ac:dyDescent="0.25"/>
    <row r="726" ht="15" customHeight="1" x14ac:dyDescent="0.25"/>
    <row r="727" ht="15" customHeight="1" x14ac:dyDescent="0.25"/>
    <row r="728" ht="15" customHeight="1" x14ac:dyDescent="0.25"/>
    <row r="729" ht="15" customHeight="1" x14ac:dyDescent="0.25"/>
    <row r="730" ht="15" customHeight="1" x14ac:dyDescent="0.25"/>
    <row r="731" ht="15" customHeight="1" x14ac:dyDescent="0.25"/>
    <row r="732" ht="15" customHeight="1" x14ac:dyDescent="0.25"/>
    <row r="775" ht="15" customHeight="1" x14ac:dyDescent="0.25"/>
    <row r="776" ht="15" customHeight="1" x14ac:dyDescent="0.25"/>
    <row r="777" ht="15" customHeight="1" x14ac:dyDescent="0.25"/>
    <row r="778" ht="15" customHeight="1" x14ac:dyDescent="0.25"/>
    <row r="779" ht="15" customHeight="1" x14ac:dyDescent="0.25"/>
    <row r="780" ht="15" customHeight="1" x14ac:dyDescent="0.25"/>
    <row r="782" ht="15" customHeight="1" x14ac:dyDescent="0.25"/>
    <row r="783" ht="15" customHeight="1" x14ac:dyDescent="0.25"/>
    <row r="784" ht="15" customHeight="1" x14ac:dyDescent="0.25"/>
    <row r="785" ht="15" customHeight="1" x14ac:dyDescent="0.25"/>
    <row r="787" ht="15" customHeight="1" x14ac:dyDescent="0.25"/>
    <row r="788" ht="15" customHeight="1" x14ac:dyDescent="0.25"/>
    <row r="789" ht="15" customHeight="1" x14ac:dyDescent="0.25"/>
    <row r="790" ht="15" customHeight="1" x14ac:dyDescent="0.25"/>
    <row r="792" ht="15" customHeight="1" x14ac:dyDescent="0.25"/>
    <row r="793" ht="15" customHeight="1" x14ac:dyDescent="0.25"/>
    <row r="794" ht="15" customHeight="1" x14ac:dyDescent="0.25"/>
    <row r="795" ht="15" customHeight="1" x14ac:dyDescent="0.25"/>
    <row r="796" ht="15" customHeight="1" x14ac:dyDescent="0.25"/>
    <row r="797" ht="15" customHeight="1" x14ac:dyDescent="0.25"/>
    <row r="798" ht="15" customHeight="1" x14ac:dyDescent="0.25"/>
    <row r="799" ht="15" customHeight="1" x14ac:dyDescent="0.25"/>
    <row r="800" ht="15" customHeight="1" x14ac:dyDescent="0.25"/>
    <row r="801" ht="15" customHeight="1" x14ac:dyDescent="0.25"/>
    <row r="802" ht="15" customHeight="1" x14ac:dyDescent="0.25"/>
    <row r="803" ht="15" customHeight="1" x14ac:dyDescent="0.25"/>
    <row r="804" ht="15" customHeight="1" x14ac:dyDescent="0.25"/>
    <row r="805" ht="15" customHeight="1" x14ac:dyDescent="0.25"/>
    <row r="806" ht="15" customHeight="1" x14ac:dyDescent="0.25"/>
    <row r="808" ht="15" customHeight="1" x14ac:dyDescent="0.25"/>
    <row r="809" ht="15" customHeight="1" x14ac:dyDescent="0.25"/>
    <row r="810" ht="15" customHeight="1" x14ac:dyDescent="0.25"/>
    <row r="811" ht="15" customHeight="1" x14ac:dyDescent="0.25"/>
    <row r="812" ht="15" customHeight="1" x14ac:dyDescent="0.25"/>
    <row r="813" ht="15" customHeight="1" x14ac:dyDescent="0.25"/>
    <row r="814" ht="15" customHeight="1" x14ac:dyDescent="0.25"/>
    <row r="816" ht="15" customHeight="1" x14ac:dyDescent="0.25"/>
    <row r="817" ht="15" customHeight="1" x14ac:dyDescent="0.25"/>
    <row r="818" ht="15" customHeight="1" x14ac:dyDescent="0.25"/>
    <row r="819" ht="15" customHeight="1" x14ac:dyDescent="0.25"/>
    <row r="820" ht="15" customHeight="1" x14ac:dyDescent="0.25"/>
    <row r="822" ht="15" customHeight="1" x14ac:dyDescent="0.25"/>
    <row r="823" ht="15" customHeight="1" x14ac:dyDescent="0.25"/>
    <row r="825" ht="15" customHeight="1" x14ac:dyDescent="0.25"/>
    <row r="826" ht="15" customHeight="1" x14ac:dyDescent="0.25"/>
    <row r="827" ht="15" customHeight="1" x14ac:dyDescent="0.25"/>
    <row r="828" ht="15" customHeight="1" x14ac:dyDescent="0.25"/>
    <row r="829" ht="15" customHeight="1" x14ac:dyDescent="0.25"/>
    <row r="830" ht="15" customHeight="1" x14ac:dyDescent="0.25"/>
    <row r="831" ht="15" customHeight="1" x14ac:dyDescent="0.25"/>
    <row r="832" ht="15" customHeight="1" x14ac:dyDescent="0.25"/>
    <row r="833" ht="15" customHeight="1" x14ac:dyDescent="0.25"/>
    <row r="834" ht="15" customHeight="1" x14ac:dyDescent="0.25"/>
    <row r="835" ht="15" customHeight="1" x14ac:dyDescent="0.25"/>
    <row r="836" ht="15" customHeight="1" x14ac:dyDescent="0.25"/>
    <row r="837" ht="15" customHeight="1" x14ac:dyDescent="0.25"/>
    <row r="838" ht="15" customHeight="1" x14ac:dyDescent="0.25"/>
    <row r="840" ht="15" customHeight="1" x14ac:dyDescent="0.25"/>
    <row r="842" ht="15" customHeight="1" x14ac:dyDescent="0.25"/>
    <row r="843" ht="15" customHeight="1" x14ac:dyDescent="0.25"/>
    <row r="844" ht="15" customHeight="1" x14ac:dyDescent="0.25"/>
    <row r="845" ht="15" customHeight="1" x14ac:dyDescent="0.25"/>
    <row r="846" ht="15" customHeight="1" x14ac:dyDescent="0.25"/>
    <row r="847" ht="15" customHeight="1" x14ac:dyDescent="0.25"/>
    <row r="848" ht="15" customHeight="1" x14ac:dyDescent="0.25"/>
    <row r="849" ht="15" customHeight="1" x14ac:dyDescent="0.25"/>
    <row r="850" ht="15" customHeight="1" x14ac:dyDescent="0.25"/>
    <row r="851" ht="15" customHeight="1" x14ac:dyDescent="0.25"/>
    <row r="852" ht="15" customHeight="1" x14ac:dyDescent="0.25"/>
    <row r="853" ht="15" customHeight="1" x14ac:dyDescent="0.25"/>
    <row r="854" ht="15" customHeight="1" x14ac:dyDescent="0.25"/>
    <row r="855" ht="15" customHeight="1" x14ac:dyDescent="0.25"/>
    <row r="857" ht="15" customHeight="1" x14ac:dyDescent="0.25"/>
    <row r="858" ht="15" customHeight="1" x14ac:dyDescent="0.25"/>
    <row r="859" ht="15" customHeight="1" x14ac:dyDescent="0.25"/>
    <row r="860" ht="15" customHeight="1" x14ac:dyDescent="0.25"/>
    <row r="861" ht="15" customHeight="1" x14ac:dyDescent="0.25"/>
    <row r="863" ht="15" customHeight="1" x14ac:dyDescent="0.25"/>
    <row r="864" ht="15" customHeight="1" x14ac:dyDescent="0.25"/>
    <row r="865" ht="15" customHeight="1" x14ac:dyDescent="0.25"/>
    <row r="866" ht="15" customHeight="1" x14ac:dyDescent="0.25"/>
    <row r="867" ht="15" customHeight="1" x14ac:dyDescent="0.25"/>
    <row r="868" ht="15" customHeight="1" x14ac:dyDescent="0.25"/>
    <row r="869" ht="15" customHeight="1" x14ac:dyDescent="0.25"/>
    <row r="870" ht="15" customHeight="1" x14ac:dyDescent="0.25"/>
    <row r="871" ht="15" customHeight="1" x14ac:dyDescent="0.25"/>
    <row r="872" ht="15" customHeight="1" x14ac:dyDescent="0.25"/>
    <row r="873" ht="15" customHeight="1" x14ac:dyDescent="0.25"/>
    <row r="875" ht="15" customHeight="1" x14ac:dyDescent="0.25"/>
    <row r="876" ht="15" customHeight="1" x14ac:dyDescent="0.25"/>
    <row r="877" ht="15" customHeight="1" x14ac:dyDescent="0.25"/>
    <row r="878" ht="15" customHeight="1" x14ac:dyDescent="0.25"/>
    <row r="879" ht="15" customHeight="1" x14ac:dyDescent="0.25"/>
    <row r="880" ht="15" customHeight="1" x14ac:dyDescent="0.25"/>
    <row r="881" spans="2:33" ht="15" customHeight="1" x14ac:dyDescent="0.25"/>
    <row r="882" spans="2:33" ht="15" customHeight="1" x14ac:dyDescent="0.25"/>
    <row r="883" spans="2:33" ht="15" customHeight="1" x14ac:dyDescent="0.25"/>
    <row r="884" spans="2:33" ht="15" customHeight="1" x14ac:dyDescent="0.25"/>
    <row r="885" spans="2:33" ht="15" customHeight="1" x14ac:dyDescent="0.25"/>
    <row r="886" spans="2:33" ht="15" customHeight="1" x14ac:dyDescent="0.25"/>
    <row r="887" spans="2:33" ht="15" customHeight="1" x14ac:dyDescent="0.25">
      <c r="B887" s="86"/>
      <c r="C887" s="86"/>
      <c r="D887" s="86"/>
      <c r="E887" s="86"/>
      <c r="F887" s="86"/>
      <c r="G887" s="86"/>
      <c r="H887" s="86"/>
      <c r="I887" s="86"/>
      <c r="J887" s="86"/>
      <c r="K887" s="86"/>
      <c r="L887" s="86"/>
      <c r="M887" s="86"/>
      <c r="N887" s="86"/>
      <c r="O887" s="86"/>
      <c r="P887" s="86"/>
      <c r="Q887" s="86"/>
      <c r="R887" s="86"/>
      <c r="S887" s="86"/>
      <c r="T887" s="86"/>
      <c r="U887" s="86"/>
      <c r="V887" s="86"/>
      <c r="W887" s="86"/>
      <c r="X887" s="86"/>
      <c r="Y887" s="86"/>
      <c r="Z887" s="86"/>
      <c r="AA887" s="86"/>
      <c r="AB887" s="86"/>
      <c r="AC887" s="86"/>
      <c r="AD887" s="86"/>
      <c r="AE887" s="86"/>
      <c r="AF887" s="86"/>
      <c r="AG887" s="86"/>
    </row>
    <row r="888" spans="2:33" ht="15" customHeight="1" x14ac:dyDescent="0.25"/>
    <row r="889" spans="2:33" ht="15" customHeight="1" x14ac:dyDescent="0.25"/>
    <row r="890" spans="2:33" ht="15" customHeight="1" x14ac:dyDescent="0.25"/>
    <row r="891" spans="2:33" ht="15" customHeight="1" x14ac:dyDescent="0.25"/>
    <row r="892" spans="2:33" ht="15" customHeight="1" x14ac:dyDescent="0.25"/>
    <row r="893" spans="2:33" ht="15" customHeight="1" x14ac:dyDescent="0.25"/>
    <row r="894" spans="2:33" ht="15" customHeight="1" x14ac:dyDescent="0.25"/>
    <row r="895" spans="2:33" ht="15" customHeight="1" x14ac:dyDescent="0.25"/>
    <row r="896" spans="2:33" ht="15" customHeight="1" x14ac:dyDescent="0.25"/>
    <row r="897" ht="15" customHeight="1" x14ac:dyDescent="0.25"/>
    <row r="898" ht="15" customHeight="1" x14ac:dyDescent="0.25"/>
    <row r="899" ht="15" customHeight="1" x14ac:dyDescent="0.25"/>
    <row r="900" ht="15" customHeight="1" x14ac:dyDescent="0.25"/>
    <row r="901" ht="15" customHeight="1" x14ac:dyDescent="0.25"/>
    <row r="902" ht="15" customHeight="1" x14ac:dyDescent="0.25"/>
    <row r="903" ht="15" customHeight="1" x14ac:dyDescent="0.25"/>
    <row r="904" ht="15" customHeight="1" x14ac:dyDescent="0.25"/>
    <row r="905" ht="15" customHeight="1" x14ac:dyDescent="0.25"/>
    <row r="950" ht="15" customHeight="1" x14ac:dyDescent="0.25"/>
    <row r="951" ht="15" customHeight="1" x14ac:dyDescent="0.25"/>
    <row r="952" ht="15" customHeight="1" x14ac:dyDescent="0.25"/>
    <row r="953" ht="15" customHeight="1" x14ac:dyDescent="0.25"/>
    <row r="954" ht="15" customHeight="1" x14ac:dyDescent="0.25"/>
    <row r="955" ht="15" customHeight="1" x14ac:dyDescent="0.25"/>
    <row r="956" ht="15" customHeight="1" x14ac:dyDescent="0.25"/>
    <row r="957" ht="15" customHeight="1" x14ac:dyDescent="0.25"/>
    <row r="958" ht="15" customHeight="1" x14ac:dyDescent="0.25"/>
    <row r="959" ht="15" customHeight="1" x14ac:dyDescent="0.25"/>
    <row r="961" ht="15" customHeight="1" x14ac:dyDescent="0.25"/>
    <row r="962" ht="15" customHeight="1" x14ac:dyDescent="0.25"/>
    <row r="963" ht="15" customHeight="1" x14ac:dyDescent="0.25"/>
    <row r="964" ht="15" customHeight="1" x14ac:dyDescent="0.25"/>
    <row r="965" ht="15" customHeight="1" x14ac:dyDescent="0.25"/>
    <row r="966" ht="15" customHeight="1" x14ac:dyDescent="0.25"/>
    <row r="967" ht="15" customHeight="1" x14ac:dyDescent="0.25"/>
    <row r="968" ht="15" customHeight="1" x14ac:dyDescent="0.25"/>
    <row r="969" ht="15" customHeight="1" x14ac:dyDescent="0.25"/>
    <row r="970" ht="15" customHeight="1" x14ac:dyDescent="0.25"/>
    <row r="971" ht="15" customHeight="1" x14ac:dyDescent="0.25"/>
    <row r="972" ht="15" customHeight="1" x14ac:dyDescent="0.25"/>
    <row r="973" ht="15" customHeight="1" x14ac:dyDescent="0.25"/>
    <row r="974" ht="15" customHeight="1" x14ac:dyDescent="0.25"/>
    <row r="975" ht="15" customHeight="1" x14ac:dyDescent="0.25"/>
    <row r="976" ht="15" customHeight="1" x14ac:dyDescent="0.25"/>
    <row r="977" ht="15" customHeight="1" x14ac:dyDescent="0.25"/>
    <row r="978" ht="15" customHeight="1" x14ac:dyDescent="0.25"/>
    <row r="979" ht="15" customHeight="1" x14ac:dyDescent="0.25"/>
    <row r="980" ht="15" customHeight="1" x14ac:dyDescent="0.25"/>
    <row r="981" ht="15" customHeight="1" x14ac:dyDescent="0.25"/>
    <row r="982" ht="15" customHeight="1" x14ac:dyDescent="0.25"/>
    <row r="983" ht="15" customHeight="1" x14ac:dyDescent="0.25"/>
    <row r="984" ht="15" customHeight="1" x14ac:dyDescent="0.25"/>
    <row r="985" ht="15" customHeight="1" x14ac:dyDescent="0.25"/>
    <row r="988" ht="15" customHeight="1" x14ac:dyDescent="0.25"/>
    <row r="989" ht="15" customHeight="1" x14ac:dyDescent="0.25"/>
    <row r="990" ht="15" customHeight="1" x14ac:dyDescent="0.25"/>
    <row r="991" ht="15" customHeight="1" x14ac:dyDescent="0.25"/>
    <row r="992" ht="15" customHeight="1" x14ac:dyDescent="0.25"/>
    <row r="993" ht="15" customHeight="1" x14ac:dyDescent="0.25"/>
    <row r="994" ht="15" customHeight="1" x14ac:dyDescent="0.25"/>
    <row r="995" ht="15" customHeight="1" x14ac:dyDescent="0.25"/>
    <row r="996" ht="15" customHeight="1" x14ac:dyDescent="0.25"/>
    <row r="997" ht="15" customHeight="1" x14ac:dyDescent="0.25"/>
    <row r="998" ht="15" customHeight="1" x14ac:dyDescent="0.25"/>
    <row r="999" ht="15" customHeight="1" x14ac:dyDescent="0.25"/>
    <row r="1000" ht="15" customHeight="1" x14ac:dyDescent="0.25"/>
    <row r="1001" ht="15" customHeight="1" x14ac:dyDescent="0.25"/>
    <row r="1002" ht="15" customHeight="1" x14ac:dyDescent="0.25"/>
    <row r="1003" ht="15" customHeight="1" x14ac:dyDescent="0.25"/>
    <row r="1004" ht="15" customHeight="1" x14ac:dyDescent="0.25"/>
    <row r="1005" ht="15" customHeight="1" x14ac:dyDescent="0.25"/>
    <row r="1006" ht="15" customHeight="1" x14ac:dyDescent="0.25"/>
    <row r="1007" ht="15" customHeight="1" x14ac:dyDescent="0.25"/>
    <row r="1008" ht="15" customHeight="1" x14ac:dyDescent="0.25"/>
    <row r="1009" ht="15" customHeight="1" x14ac:dyDescent="0.25"/>
    <row r="1010" ht="15" customHeight="1" x14ac:dyDescent="0.25"/>
    <row r="1011" ht="15" customHeight="1" x14ac:dyDescent="0.25"/>
    <row r="1012" ht="15" customHeight="1" x14ac:dyDescent="0.25"/>
    <row r="1013" ht="15" customHeight="1" x14ac:dyDescent="0.25"/>
    <row r="1016" ht="15" customHeight="1" x14ac:dyDescent="0.25"/>
    <row r="1017" ht="15" customHeight="1" x14ac:dyDescent="0.25"/>
    <row r="1018" ht="15" customHeight="1" x14ac:dyDescent="0.25"/>
    <row r="1019" ht="15" customHeight="1" x14ac:dyDescent="0.25"/>
    <row r="1020" ht="15" customHeight="1" x14ac:dyDescent="0.25"/>
    <row r="1021" ht="15" customHeight="1" x14ac:dyDescent="0.25"/>
    <row r="1022" ht="15" customHeight="1" x14ac:dyDescent="0.25"/>
    <row r="1023" ht="15" customHeight="1" x14ac:dyDescent="0.25"/>
    <row r="1024" ht="15" customHeight="1" x14ac:dyDescent="0.25"/>
    <row r="1025" ht="15" customHeight="1" x14ac:dyDescent="0.25"/>
    <row r="1026" ht="15" customHeight="1" x14ac:dyDescent="0.25"/>
    <row r="1027" ht="15" customHeight="1" x14ac:dyDescent="0.25"/>
    <row r="1028" ht="15" customHeight="1" x14ac:dyDescent="0.25"/>
    <row r="1029" ht="15" customHeight="1" x14ac:dyDescent="0.25"/>
    <row r="1030" ht="15" customHeight="1" x14ac:dyDescent="0.25"/>
    <row r="1031" ht="15" customHeight="1" x14ac:dyDescent="0.25"/>
    <row r="1032" ht="15" customHeight="1" x14ac:dyDescent="0.25"/>
    <row r="1033" ht="15" customHeight="1" x14ac:dyDescent="0.25"/>
    <row r="1034" ht="15" customHeight="1" x14ac:dyDescent="0.25"/>
    <row r="1035" ht="15" customHeight="1" x14ac:dyDescent="0.25"/>
    <row r="1037" ht="15" customHeight="1" x14ac:dyDescent="0.25"/>
    <row r="1038" ht="15" customHeight="1" x14ac:dyDescent="0.25"/>
    <row r="1039" ht="15" customHeight="1" x14ac:dyDescent="0.25"/>
    <row r="1040" ht="15" customHeight="1" x14ac:dyDescent="0.25"/>
    <row r="1041" ht="15" customHeight="1" x14ac:dyDescent="0.25"/>
    <row r="1042" ht="15" customHeight="1" x14ac:dyDescent="0.25"/>
    <row r="1043" ht="15" customHeight="1" x14ac:dyDescent="0.25"/>
    <row r="1044" ht="15" customHeight="1" x14ac:dyDescent="0.25"/>
    <row r="1045" ht="15" customHeight="1" x14ac:dyDescent="0.25"/>
    <row r="1046" ht="15" customHeight="1" x14ac:dyDescent="0.25"/>
    <row r="1047" ht="15" customHeight="1" x14ac:dyDescent="0.25"/>
    <row r="1048" ht="15" customHeight="1" x14ac:dyDescent="0.25"/>
    <row r="1049" ht="15" customHeight="1" x14ac:dyDescent="0.25"/>
    <row r="1050" ht="15" customHeight="1" x14ac:dyDescent="0.25"/>
    <row r="1051" ht="15" customHeight="1" x14ac:dyDescent="0.25"/>
    <row r="1052" ht="15" customHeight="1" x14ac:dyDescent="0.25"/>
    <row r="1053" ht="15" customHeight="1" x14ac:dyDescent="0.25"/>
    <row r="1054" ht="15" customHeight="1" x14ac:dyDescent="0.25"/>
    <row r="1055" ht="15" customHeight="1" x14ac:dyDescent="0.25"/>
    <row r="1056" ht="15" customHeight="1" x14ac:dyDescent="0.25"/>
    <row r="1057" ht="15" customHeight="1" x14ac:dyDescent="0.25"/>
    <row r="1058" ht="15" customHeight="1" x14ac:dyDescent="0.25"/>
    <row r="1059" ht="15" customHeight="1" x14ac:dyDescent="0.25"/>
    <row r="1060" ht="15" customHeight="1" x14ac:dyDescent="0.25"/>
    <row r="1061" ht="15" customHeight="1" x14ac:dyDescent="0.25"/>
    <row r="1062" ht="15" customHeight="1" x14ac:dyDescent="0.25"/>
    <row r="1063" ht="15" customHeight="1" x14ac:dyDescent="0.25"/>
    <row r="1064" ht="15" customHeight="1" x14ac:dyDescent="0.25"/>
    <row r="1066" ht="15" customHeight="1" x14ac:dyDescent="0.25"/>
    <row r="1067" ht="15" customHeight="1" x14ac:dyDescent="0.25"/>
    <row r="1068" ht="15" customHeight="1" x14ac:dyDescent="0.25"/>
    <row r="1069" ht="15" customHeight="1" x14ac:dyDescent="0.25"/>
    <row r="1070" ht="15" customHeight="1" x14ac:dyDescent="0.25"/>
    <row r="1071" ht="15" customHeight="1" x14ac:dyDescent="0.25"/>
    <row r="1072" ht="15" customHeight="1" x14ac:dyDescent="0.25"/>
    <row r="1073" ht="15" customHeight="1" x14ac:dyDescent="0.25"/>
    <row r="1074" ht="15" customHeight="1" x14ac:dyDescent="0.25"/>
    <row r="1075" ht="15" customHeight="1" x14ac:dyDescent="0.25"/>
    <row r="1076" ht="15" customHeight="1" x14ac:dyDescent="0.25"/>
    <row r="1077" ht="15" customHeight="1" x14ac:dyDescent="0.25"/>
    <row r="1078" ht="15" customHeight="1" x14ac:dyDescent="0.25"/>
    <row r="1079" ht="15" customHeight="1" x14ac:dyDescent="0.25"/>
    <row r="1080" ht="15" customHeight="1" x14ac:dyDescent="0.25"/>
    <row r="1081" ht="15" customHeight="1" x14ac:dyDescent="0.25"/>
    <row r="1082" ht="15" customHeight="1" x14ac:dyDescent="0.25"/>
    <row r="1083" ht="15" customHeight="1" x14ac:dyDescent="0.25"/>
    <row r="1084" ht="15" customHeight="1" x14ac:dyDescent="0.25"/>
    <row r="1085" ht="15" customHeight="1" x14ac:dyDescent="0.25"/>
    <row r="1086" ht="15" customHeight="1" x14ac:dyDescent="0.25"/>
    <row r="1087" ht="15" customHeight="1" x14ac:dyDescent="0.25"/>
    <row r="1088" ht="15" customHeight="1" x14ac:dyDescent="0.25"/>
    <row r="1089" spans="2:33" ht="15" customHeight="1" x14ac:dyDescent="0.25"/>
    <row r="1090" spans="2:33" ht="15" customHeight="1" x14ac:dyDescent="0.25"/>
    <row r="1091" spans="2:33" ht="15" customHeight="1" x14ac:dyDescent="0.25"/>
    <row r="1092" spans="2:33" ht="15" customHeight="1" x14ac:dyDescent="0.25"/>
    <row r="1093" spans="2:33" ht="15" customHeight="1" x14ac:dyDescent="0.25"/>
    <row r="1094" spans="2:33" ht="15" customHeight="1" x14ac:dyDescent="0.25"/>
    <row r="1096" spans="2:33" ht="15" customHeight="1" x14ac:dyDescent="0.25"/>
    <row r="1097" spans="2:33" ht="15" customHeight="1" x14ac:dyDescent="0.25"/>
    <row r="1098" spans="2:33" ht="15" customHeight="1" x14ac:dyDescent="0.25"/>
    <row r="1099" spans="2:33" ht="15" customHeight="1" x14ac:dyDescent="0.25"/>
    <row r="1100" spans="2:33" ht="15" customHeight="1" x14ac:dyDescent="0.25">
      <c r="B1100" s="86"/>
      <c r="C1100" s="86"/>
      <c r="D1100" s="86"/>
      <c r="E1100" s="86"/>
      <c r="F1100" s="86"/>
      <c r="G1100" s="86"/>
      <c r="H1100" s="86"/>
      <c r="I1100" s="86"/>
      <c r="J1100" s="86"/>
      <c r="K1100" s="86"/>
      <c r="L1100" s="86"/>
      <c r="M1100" s="86"/>
      <c r="N1100" s="86"/>
      <c r="O1100" s="86"/>
      <c r="P1100" s="86"/>
      <c r="Q1100" s="86"/>
      <c r="R1100" s="86"/>
      <c r="S1100" s="86"/>
      <c r="T1100" s="86"/>
      <c r="U1100" s="86"/>
      <c r="V1100" s="86"/>
      <c r="W1100" s="86"/>
      <c r="X1100" s="86"/>
      <c r="Y1100" s="86"/>
      <c r="Z1100" s="86"/>
      <c r="AA1100" s="86"/>
      <c r="AB1100" s="86"/>
      <c r="AC1100" s="86"/>
      <c r="AD1100" s="86"/>
      <c r="AE1100" s="86"/>
      <c r="AF1100" s="86"/>
      <c r="AG1100" s="86"/>
    </row>
    <row r="1101" spans="2:33" ht="15" customHeight="1" x14ac:dyDescent="0.25"/>
    <row r="1102" spans="2:33" ht="15" customHeight="1" x14ac:dyDescent="0.25"/>
    <row r="1103" spans="2:33" ht="15" customHeight="1" x14ac:dyDescent="0.25"/>
    <row r="1104" spans="2:33" ht="15" customHeight="1" x14ac:dyDescent="0.25"/>
    <row r="1105" ht="15" customHeight="1" x14ac:dyDescent="0.25"/>
    <row r="1106" ht="15" customHeight="1" x14ac:dyDescent="0.25"/>
    <row r="1107" ht="15" customHeight="1" x14ac:dyDescent="0.25"/>
    <row r="1108" ht="15" customHeight="1" x14ac:dyDescent="0.25"/>
    <row r="1109" ht="15" customHeight="1" x14ac:dyDescent="0.25"/>
    <row r="1110" ht="15" customHeight="1" x14ac:dyDescent="0.25"/>
    <row r="1111" ht="15" customHeight="1" x14ac:dyDescent="0.25"/>
    <row r="1150" ht="15" customHeight="1" x14ac:dyDescent="0.25"/>
    <row r="1151" ht="15" customHeight="1" x14ac:dyDescent="0.25"/>
    <row r="1152" ht="15" customHeight="1" x14ac:dyDescent="0.25"/>
    <row r="1153" ht="15" customHeight="1" x14ac:dyDescent="0.25"/>
    <row r="1154" ht="15" customHeight="1" x14ac:dyDescent="0.25"/>
    <row r="1155" ht="15" customHeight="1" x14ac:dyDescent="0.25"/>
    <row r="1156" ht="15" customHeight="1" x14ac:dyDescent="0.25"/>
    <row r="1157" ht="15" customHeight="1" x14ac:dyDescent="0.25"/>
    <row r="1158" ht="15" customHeight="1" x14ac:dyDescent="0.25"/>
    <row r="1159" ht="15" customHeight="1" x14ac:dyDescent="0.25"/>
    <row r="1160" ht="15" customHeight="1" x14ac:dyDescent="0.25"/>
    <row r="1161" ht="15" customHeight="1" x14ac:dyDescent="0.25"/>
    <row r="1162" ht="15" customHeight="1" x14ac:dyDescent="0.25"/>
    <row r="1163" ht="15" customHeight="1" x14ac:dyDescent="0.25"/>
    <row r="1164" ht="15" customHeight="1" x14ac:dyDescent="0.25"/>
    <row r="1165" ht="15" customHeight="1" x14ac:dyDescent="0.25"/>
    <row r="1166" ht="15" customHeight="1" x14ac:dyDescent="0.25"/>
    <row r="1167" ht="15" customHeight="1" x14ac:dyDescent="0.25"/>
    <row r="1168" ht="15" customHeight="1" x14ac:dyDescent="0.25"/>
    <row r="1170" ht="15" customHeight="1" x14ac:dyDescent="0.25"/>
    <row r="1171" ht="15" customHeight="1" x14ac:dyDescent="0.25"/>
    <row r="1172" ht="15" customHeight="1" x14ac:dyDescent="0.25"/>
    <row r="1173" ht="15" customHeight="1" x14ac:dyDescent="0.25"/>
    <row r="1174" ht="15" customHeight="1" x14ac:dyDescent="0.25"/>
    <row r="1175" ht="15" customHeight="1" x14ac:dyDescent="0.25"/>
    <row r="1176" ht="15" customHeight="1" x14ac:dyDescent="0.25"/>
    <row r="1177" ht="15" customHeight="1" x14ac:dyDescent="0.25"/>
    <row r="1178" ht="15" customHeight="1" x14ac:dyDescent="0.25"/>
    <row r="1179" ht="15" customHeight="1" x14ac:dyDescent="0.25"/>
    <row r="1180" ht="15" customHeight="1" x14ac:dyDescent="0.25"/>
    <row r="1181" ht="15" customHeight="1" x14ac:dyDescent="0.25"/>
    <row r="1182" ht="15" customHeight="1" x14ac:dyDescent="0.25"/>
    <row r="1183" ht="15" customHeight="1" x14ac:dyDescent="0.25"/>
    <row r="1184" ht="15" customHeight="1" x14ac:dyDescent="0.25"/>
    <row r="1185" ht="15" customHeight="1" x14ac:dyDescent="0.25"/>
    <row r="1186" ht="15" customHeight="1" x14ac:dyDescent="0.25"/>
    <row r="1187" ht="15" customHeight="1" x14ac:dyDescent="0.25"/>
    <row r="1188" ht="15" customHeight="1" x14ac:dyDescent="0.25"/>
    <row r="1189" ht="15" customHeight="1" x14ac:dyDescent="0.25"/>
    <row r="1190" ht="15" customHeight="1" x14ac:dyDescent="0.25"/>
    <row r="1191" ht="15" customHeight="1" x14ac:dyDescent="0.25"/>
    <row r="1192" ht="15" customHeight="1" x14ac:dyDescent="0.25"/>
    <row r="1194" ht="15" customHeight="1" x14ac:dyDescent="0.25"/>
    <row r="1195" ht="15" customHeight="1" x14ac:dyDescent="0.25"/>
    <row r="1196" ht="15" customHeight="1" x14ac:dyDescent="0.25"/>
    <row r="1197" ht="15" customHeight="1" x14ac:dyDescent="0.25"/>
    <row r="1198" ht="15" customHeight="1" x14ac:dyDescent="0.25"/>
    <row r="1199" ht="15" customHeight="1" x14ac:dyDescent="0.25"/>
    <row r="1200" ht="15" customHeight="1" x14ac:dyDescent="0.25"/>
    <row r="1201" ht="15" customHeight="1" x14ac:dyDescent="0.25"/>
    <row r="1202" ht="15" customHeight="1" x14ac:dyDescent="0.25"/>
    <row r="1203" ht="15" customHeight="1" x14ac:dyDescent="0.25"/>
    <row r="1204" ht="15" customHeight="1" x14ac:dyDescent="0.25"/>
    <row r="1205" ht="15" customHeight="1" x14ac:dyDescent="0.25"/>
    <row r="1206" ht="15" customHeight="1" x14ac:dyDescent="0.25"/>
    <row r="1207" ht="15" customHeight="1" x14ac:dyDescent="0.25"/>
    <row r="1208" ht="15" customHeight="1" x14ac:dyDescent="0.25"/>
    <row r="1209" ht="15" customHeight="1" x14ac:dyDescent="0.25"/>
    <row r="1211" ht="15" customHeight="1" x14ac:dyDescent="0.25"/>
    <row r="1212" ht="15" customHeight="1" x14ac:dyDescent="0.25"/>
    <row r="1213" ht="15" customHeight="1" x14ac:dyDescent="0.25"/>
    <row r="1214" ht="15" customHeight="1" x14ac:dyDescent="0.25"/>
    <row r="1215" ht="15" customHeight="1" x14ac:dyDescent="0.25"/>
    <row r="1216" ht="15" customHeight="1" x14ac:dyDescent="0.25"/>
    <row r="1217" spans="2:33" ht="15" customHeight="1" x14ac:dyDescent="0.25"/>
    <row r="1218" spans="2:33" ht="15" customHeight="1" x14ac:dyDescent="0.25"/>
    <row r="1219" spans="2:33" ht="15" customHeight="1" x14ac:dyDescent="0.25"/>
    <row r="1220" spans="2:33" ht="15" customHeight="1" x14ac:dyDescent="0.25"/>
    <row r="1221" spans="2:33" ht="15" customHeight="1" x14ac:dyDescent="0.25"/>
    <row r="1222" spans="2:33" ht="15" customHeight="1" x14ac:dyDescent="0.25"/>
    <row r="1223" spans="2:33" ht="15" customHeight="1" x14ac:dyDescent="0.25"/>
    <row r="1224" spans="2:33" ht="15" customHeight="1" x14ac:dyDescent="0.25"/>
    <row r="1225" spans="2:33" ht="15" customHeight="1" x14ac:dyDescent="0.25"/>
    <row r="1226" spans="2:33" ht="15" customHeight="1" x14ac:dyDescent="0.25"/>
    <row r="1227" spans="2:33" ht="15" customHeight="1" x14ac:dyDescent="0.25">
      <c r="B1227" s="86"/>
      <c r="C1227" s="86"/>
      <c r="D1227" s="86"/>
      <c r="E1227" s="86"/>
      <c r="F1227" s="86"/>
      <c r="G1227" s="86"/>
      <c r="H1227" s="86"/>
      <c r="I1227" s="86"/>
      <c r="J1227" s="86"/>
      <c r="K1227" s="86"/>
      <c r="L1227" s="86"/>
      <c r="M1227" s="86"/>
      <c r="N1227" s="86"/>
      <c r="O1227" s="86"/>
      <c r="P1227" s="86"/>
      <c r="Q1227" s="86"/>
      <c r="R1227" s="86"/>
      <c r="S1227" s="86"/>
      <c r="T1227" s="86"/>
      <c r="U1227" s="86"/>
      <c r="V1227" s="86"/>
      <c r="W1227" s="86"/>
      <c r="X1227" s="86"/>
      <c r="Y1227" s="86"/>
      <c r="Z1227" s="86"/>
      <c r="AA1227" s="86"/>
      <c r="AB1227" s="86"/>
      <c r="AC1227" s="86"/>
      <c r="AD1227" s="86"/>
      <c r="AE1227" s="86"/>
      <c r="AF1227" s="86"/>
      <c r="AG1227" s="86"/>
    </row>
    <row r="1228" spans="2:33" ht="15" customHeight="1" x14ac:dyDescent="0.25"/>
    <row r="1229" spans="2:33" ht="15" customHeight="1" x14ac:dyDescent="0.25"/>
    <row r="1230" spans="2:33" ht="15" customHeight="1" x14ac:dyDescent="0.25"/>
    <row r="1231" spans="2:33" ht="15" customHeight="1" x14ac:dyDescent="0.25"/>
    <row r="1232" spans="2:33" ht="15" customHeight="1" x14ac:dyDescent="0.25"/>
    <row r="1233" ht="15" customHeight="1" x14ac:dyDescent="0.25"/>
    <row r="1234" ht="15" customHeight="1" x14ac:dyDescent="0.25"/>
    <row r="1235" ht="15" customHeight="1" x14ac:dyDescent="0.25"/>
    <row r="1236" ht="15" customHeight="1" x14ac:dyDescent="0.25"/>
    <row r="1237" ht="15" customHeight="1" x14ac:dyDescent="0.25"/>
    <row r="1300" ht="15" customHeight="1" x14ac:dyDescent="0.25"/>
    <row r="1301" ht="15" customHeight="1" x14ac:dyDescent="0.25"/>
    <row r="1302" ht="15" customHeight="1" x14ac:dyDescent="0.25"/>
    <row r="1303" ht="15" customHeight="1" x14ac:dyDescent="0.25"/>
    <row r="1304" ht="15" customHeight="1" x14ac:dyDescent="0.25"/>
    <row r="1305" ht="15" customHeight="1" x14ac:dyDescent="0.25"/>
    <row r="1307" ht="15" customHeight="1" x14ac:dyDescent="0.25"/>
    <row r="1308" ht="15" customHeight="1" x14ac:dyDescent="0.25"/>
    <row r="1309" ht="15" customHeight="1" x14ac:dyDescent="0.25"/>
    <row r="1310" ht="15" customHeight="1" x14ac:dyDescent="0.25"/>
    <row r="1311" ht="15" customHeight="1" x14ac:dyDescent="0.25"/>
    <row r="1312" ht="15" customHeight="1" x14ac:dyDescent="0.25"/>
    <row r="1313" ht="15" customHeight="1" x14ac:dyDescent="0.25"/>
    <row r="1314" ht="15" customHeight="1" x14ac:dyDescent="0.25"/>
    <row r="1315" ht="15" customHeight="1" x14ac:dyDescent="0.25"/>
    <row r="1316" ht="15" customHeight="1" x14ac:dyDescent="0.25"/>
    <row r="1317" ht="15" customHeight="1" x14ac:dyDescent="0.25"/>
    <row r="1318" ht="15" customHeight="1" x14ac:dyDescent="0.25"/>
    <row r="1319" ht="15" customHeight="1" x14ac:dyDescent="0.25"/>
    <row r="1320" ht="15" customHeight="1" x14ac:dyDescent="0.25"/>
    <row r="1321" ht="15" customHeight="1" x14ac:dyDescent="0.25"/>
    <row r="1322" ht="15" customHeight="1" x14ac:dyDescent="0.25"/>
    <row r="1323" ht="15" customHeight="1" x14ac:dyDescent="0.25"/>
    <row r="1324" ht="15" customHeight="1" x14ac:dyDescent="0.25"/>
    <row r="1325" ht="15" customHeight="1" x14ac:dyDescent="0.25"/>
    <row r="1327" ht="15" customHeight="1" x14ac:dyDescent="0.25"/>
    <row r="1329" ht="15" customHeight="1" x14ac:dyDescent="0.25"/>
    <row r="1330" ht="15" customHeight="1" x14ac:dyDescent="0.25"/>
    <row r="1331" ht="15" customHeight="1" x14ac:dyDescent="0.25"/>
    <row r="1332" ht="15" customHeight="1" x14ac:dyDescent="0.25"/>
    <row r="1333" ht="15" customHeight="1" x14ac:dyDescent="0.25"/>
    <row r="1334" ht="15" customHeight="1" x14ac:dyDescent="0.25"/>
    <row r="1335" ht="15" customHeight="1" x14ac:dyDescent="0.25"/>
    <row r="1336" ht="15" customHeight="1" x14ac:dyDescent="0.25"/>
    <row r="1337" ht="15" customHeight="1" x14ac:dyDescent="0.25"/>
    <row r="1338" ht="15" customHeight="1" x14ac:dyDescent="0.25"/>
    <row r="1340" ht="15" customHeight="1" x14ac:dyDescent="0.25"/>
    <row r="1341" ht="15" customHeight="1" x14ac:dyDescent="0.25"/>
    <row r="1342" ht="15" customHeight="1" x14ac:dyDescent="0.25"/>
    <row r="1343" ht="15" customHeight="1" x14ac:dyDescent="0.25"/>
    <row r="1344" ht="15" customHeight="1" x14ac:dyDescent="0.25"/>
    <row r="1345" ht="15" customHeight="1" x14ac:dyDescent="0.25"/>
    <row r="1346" ht="15" customHeight="1" x14ac:dyDescent="0.25"/>
    <row r="1347" ht="15" customHeight="1" x14ac:dyDescent="0.25"/>
    <row r="1348" ht="15" customHeight="1" x14ac:dyDescent="0.25"/>
    <row r="1350" ht="15" customHeight="1" x14ac:dyDescent="0.25"/>
    <row r="1352" ht="15" customHeight="1" x14ac:dyDescent="0.25"/>
    <row r="1353" ht="15" customHeight="1" x14ac:dyDescent="0.25"/>
    <row r="1354" ht="15" customHeight="1" x14ac:dyDescent="0.25"/>
    <row r="1355" ht="15" customHeight="1" x14ac:dyDescent="0.25"/>
    <row r="1356" ht="15" customHeight="1" x14ac:dyDescent="0.25"/>
    <row r="1357" ht="15" customHeight="1" x14ac:dyDescent="0.25"/>
    <row r="1358" ht="15" customHeight="1" x14ac:dyDescent="0.25"/>
    <row r="1359" ht="15" customHeight="1" x14ac:dyDescent="0.25"/>
    <row r="1361" ht="15" customHeight="1" x14ac:dyDescent="0.25"/>
    <row r="1362" ht="15" customHeight="1" x14ac:dyDescent="0.25"/>
    <row r="1363" ht="15" customHeight="1" x14ac:dyDescent="0.25"/>
    <row r="1364" ht="15" customHeight="1" x14ac:dyDescent="0.25"/>
    <row r="1365" ht="15" customHeight="1" x14ac:dyDescent="0.25"/>
    <row r="1366" ht="15" customHeight="1" x14ac:dyDescent="0.25"/>
    <row r="1367" ht="15" customHeight="1" x14ac:dyDescent="0.25"/>
    <row r="1368" ht="15" customHeight="1" x14ac:dyDescent="0.25"/>
    <row r="1369" ht="15" customHeight="1" x14ac:dyDescent="0.25"/>
    <row r="1370" ht="15" customHeight="1" x14ac:dyDescent="0.25"/>
    <row r="1371" ht="15" customHeight="1" x14ac:dyDescent="0.25"/>
    <row r="1372" ht="15" customHeight="1" x14ac:dyDescent="0.25"/>
    <row r="1373" ht="15" customHeight="1" x14ac:dyDescent="0.25"/>
    <row r="1375" ht="15" customHeight="1" x14ac:dyDescent="0.25"/>
    <row r="1376" ht="15" customHeight="1" x14ac:dyDescent="0.25"/>
    <row r="1377" spans="2:33" ht="15" customHeight="1" x14ac:dyDescent="0.25"/>
    <row r="1378" spans="2:33" ht="15" customHeight="1" x14ac:dyDescent="0.25"/>
    <row r="1379" spans="2:33" ht="15" customHeight="1" x14ac:dyDescent="0.25"/>
    <row r="1380" spans="2:33" ht="15" customHeight="1" x14ac:dyDescent="0.25"/>
    <row r="1381" spans="2:33" ht="15" customHeight="1" x14ac:dyDescent="0.25"/>
    <row r="1382" spans="2:33" ht="15" customHeight="1" x14ac:dyDescent="0.25"/>
    <row r="1383" spans="2:33" ht="15" customHeight="1" x14ac:dyDescent="0.25"/>
    <row r="1385" spans="2:33" ht="15" customHeight="1" x14ac:dyDescent="0.25"/>
    <row r="1386" spans="2:33" ht="15" customHeight="1" x14ac:dyDescent="0.25"/>
    <row r="1387" spans="2:33" ht="15" customHeight="1" x14ac:dyDescent="0.25"/>
    <row r="1388" spans="2:33" ht="15" customHeight="1" x14ac:dyDescent="0.25"/>
    <row r="1389" spans="2:33" ht="15" customHeight="1" x14ac:dyDescent="0.25"/>
    <row r="1390" spans="2:33" ht="15" customHeight="1" x14ac:dyDescent="0.25">
      <c r="B1390" s="86"/>
      <c r="C1390" s="86"/>
      <c r="D1390" s="86"/>
      <c r="E1390" s="86"/>
      <c r="F1390" s="86"/>
      <c r="G1390" s="86"/>
      <c r="H1390" s="86"/>
      <c r="I1390" s="86"/>
      <c r="J1390" s="86"/>
      <c r="K1390" s="86"/>
      <c r="L1390" s="86"/>
      <c r="M1390" s="86"/>
      <c r="N1390" s="86"/>
      <c r="O1390" s="86"/>
      <c r="P1390" s="86"/>
      <c r="Q1390" s="86"/>
      <c r="R1390" s="86"/>
      <c r="S1390" s="86"/>
      <c r="T1390" s="86"/>
      <c r="U1390" s="86"/>
      <c r="V1390" s="86"/>
      <c r="W1390" s="86"/>
      <c r="X1390" s="86"/>
      <c r="Y1390" s="86"/>
      <c r="Z1390" s="86"/>
      <c r="AA1390" s="86"/>
      <c r="AB1390" s="86"/>
      <c r="AC1390" s="86"/>
      <c r="AD1390" s="86"/>
      <c r="AE1390" s="86"/>
      <c r="AF1390" s="86"/>
      <c r="AG1390" s="86"/>
    </row>
    <row r="1391" spans="2:33" ht="15" customHeight="1" x14ac:dyDescent="0.25"/>
    <row r="1392" spans="2:33" ht="15" customHeight="1" x14ac:dyDescent="0.25"/>
    <row r="1393" ht="15" customHeight="1" x14ac:dyDescent="0.25"/>
    <row r="1394" ht="15" customHeight="1" x14ac:dyDescent="0.25"/>
    <row r="1395" ht="15" customHeight="1" x14ac:dyDescent="0.25"/>
    <row r="1396" ht="15" customHeight="1" x14ac:dyDescent="0.25"/>
    <row r="1397" ht="15" customHeight="1" x14ac:dyDescent="0.25"/>
    <row r="1398" ht="15" customHeight="1" x14ac:dyDescent="0.25"/>
    <row r="1399" ht="15" customHeight="1" x14ac:dyDescent="0.25"/>
    <row r="1400" ht="15" customHeight="1" x14ac:dyDescent="0.25"/>
    <row r="1401" ht="15" customHeight="1" x14ac:dyDescent="0.25"/>
    <row r="1402" ht="15" customHeight="1" x14ac:dyDescent="0.25"/>
    <row r="1403" ht="15" customHeight="1" x14ac:dyDescent="0.25"/>
    <row r="1404" ht="15" customHeight="1" x14ac:dyDescent="0.25"/>
    <row r="1405" ht="15" customHeight="1" x14ac:dyDescent="0.25"/>
    <row r="1406" ht="15" customHeight="1" x14ac:dyDescent="0.25"/>
    <row r="1407" ht="15" customHeight="1" x14ac:dyDescent="0.25"/>
    <row r="1408" ht="15" customHeight="1" x14ac:dyDescent="0.25"/>
    <row r="1409" ht="15" customHeight="1" x14ac:dyDescent="0.25"/>
    <row r="1410" ht="15" customHeight="1" x14ac:dyDescent="0.25"/>
    <row r="1425" ht="15" customHeight="1" x14ac:dyDescent="0.25"/>
    <row r="1426" ht="15" customHeight="1" x14ac:dyDescent="0.25"/>
    <row r="1427" ht="15" customHeight="1" x14ac:dyDescent="0.25"/>
    <row r="1428" ht="15" customHeight="1" x14ac:dyDescent="0.25"/>
    <row r="1429" ht="15" customHeight="1" x14ac:dyDescent="0.25"/>
    <row r="1430" ht="15" customHeight="1" x14ac:dyDescent="0.25"/>
    <row r="1431" ht="15" customHeight="1" x14ac:dyDescent="0.25"/>
    <row r="1432" ht="15" customHeight="1" x14ac:dyDescent="0.25"/>
    <row r="1433" ht="15" customHeight="1" x14ac:dyDescent="0.25"/>
    <row r="1434" ht="15" customHeight="1" x14ac:dyDescent="0.25"/>
    <row r="1435" ht="15" customHeight="1" x14ac:dyDescent="0.25"/>
    <row r="1436" ht="15" customHeight="1" x14ac:dyDescent="0.25"/>
    <row r="1437" ht="15" customHeight="1" x14ac:dyDescent="0.25"/>
    <row r="1438" ht="15" customHeight="1" x14ac:dyDescent="0.25"/>
    <row r="1439" ht="15" customHeight="1" x14ac:dyDescent="0.25"/>
    <row r="1440" ht="15" customHeight="1" x14ac:dyDescent="0.25"/>
    <row r="1441" ht="15" customHeight="1" x14ac:dyDescent="0.25"/>
    <row r="1442" ht="15" customHeight="1" x14ac:dyDescent="0.25"/>
    <row r="1443" ht="15" customHeight="1" x14ac:dyDescent="0.25"/>
    <row r="1444" ht="15" customHeight="1" x14ac:dyDescent="0.25"/>
    <row r="1445" ht="15" customHeight="1" x14ac:dyDescent="0.25"/>
    <row r="1446" ht="15" customHeight="1" x14ac:dyDescent="0.25"/>
    <row r="1447" ht="15" customHeight="1" x14ac:dyDescent="0.25"/>
    <row r="1448" ht="15" customHeight="1" x14ac:dyDescent="0.25"/>
    <row r="1449" ht="15" customHeight="1" x14ac:dyDescent="0.25"/>
    <row r="1451" ht="15" customHeight="1" x14ac:dyDescent="0.25"/>
    <row r="1452" ht="15" customHeight="1" x14ac:dyDescent="0.25"/>
    <row r="1453" ht="15" customHeight="1" x14ac:dyDescent="0.25"/>
    <row r="1454" ht="15" customHeight="1" x14ac:dyDescent="0.25"/>
    <row r="1455" ht="15" customHeight="1" x14ac:dyDescent="0.25"/>
    <row r="1456" ht="15" customHeight="1" x14ac:dyDescent="0.25"/>
    <row r="1457" ht="15" customHeight="1" x14ac:dyDescent="0.25"/>
    <row r="1458" ht="15" customHeight="1" x14ac:dyDescent="0.25"/>
    <row r="1459" ht="15" customHeight="1" x14ac:dyDescent="0.25"/>
    <row r="1460" ht="15" customHeight="1" x14ac:dyDescent="0.25"/>
    <row r="1461" ht="15" customHeight="1" x14ac:dyDescent="0.25"/>
    <row r="1462" ht="15" customHeight="1" x14ac:dyDescent="0.25"/>
    <row r="1463" ht="15" customHeight="1" x14ac:dyDescent="0.25"/>
    <row r="1464" ht="15" customHeight="1" x14ac:dyDescent="0.25"/>
    <row r="1465" ht="15" customHeight="1" x14ac:dyDescent="0.25"/>
    <row r="1466" ht="15" customHeight="1" x14ac:dyDescent="0.25"/>
    <row r="1467" ht="15" customHeight="1" x14ac:dyDescent="0.25"/>
    <row r="1468" ht="15" customHeight="1" x14ac:dyDescent="0.25"/>
    <row r="1469" ht="15" customHeight="1" x14ac:dyDescent="0.25"/>
    <row r="1470" ht="15" customHeight="1" x14ac:dyDescent="0.25"/>
    <row r="1471" ht="15" customHeight="1" x14ac:dyDescent="0.25"/>
    <row r="1472" ht="15" customHeight="1" x14ac:dyDescent="0.25"/>
    <row r="1473" ht="15" customHeight="1" x14ac:dyDescent="0.25"/>
    <row r="1474" ht="15" customHeight="1" x14ac:dyDescent="0.25"/>
    <row r="1475" ht="15" customHeight="1" x14ac:dyDescent="0.25"/>
    <row r="1477" ht="15" customHeight="1" x14ac:dyDescent="0.25"/>
    <row r="1478" ht="15" customHeight="1" x14ac:dyDescent="0.25"/>
    <row r="1479" ht="15" customHeight="1" x14ac:dyDescent="0.25"/>
    <row r="1480" ht="15" customHeight="1" x14ac:dyDescent="0.25"/>
    <row r="1481" ht="15" customHeight="1" x14ac:dyDescent="0.25"/>
    <row r="1482" ht="15" customHeight="1" x14ac:dyDescent="0.25"/>
    <row r="1483" ht="15" customHeight="1" x14ac:dyDescent="0.25"/>
    <row r="1484" ht="15" customHeight="1" x14ac:dyDescent="0.25"/>
    <row r="1485" ht="15" customHeight="1" x14ac:dyDescent="0.25"/>
    <row r="1486" ht="15" customHeight="1" x14ac:dyDescent="0.25"/>
    <row r="1487" ht="15" customHeight="1" x14ac:dyDescent="0.25"/>
    <row r="1489" spans="2:33" ht="15" customHeight="1" x14ac:dyDescent="0.25"/>
    <row r="1491" spans="2:33" ht="15" customHeight="1" x14ac:dyDescent="0.25"/>
    <row r="1492" spans="2:33" ht="15" customHeight="1" x14ac:dyDescent="0.25"/>
    <row r="1493" spans="2:33" ht="15" customHeight="1" x14ac:dyDescent="0.25"/>
    <row r="1494" spans="2:33" ht="15" customHeight="1" x14ac:dyDescent="0.25"/>
    <row r="1495" spans="2:33" ht="15" customHeight="1" x14ac:dyDescent="0.25"/>
    <row r="1496" spans="2:33" ht="15" customHeight="1" x14ac:dyDescent="0.25"/>
    <row r="1497" spans="2:33" ht="15" customHeight="1" x14ac:dyDescent="0.25"/>
    <row r="1498" spans="2:33" ht="15" customHeight="1" x14ac:dyDescent="0.25"/>
    <row r="1500" spans="2:33" ht="15" customHeight="1" x14ac:dyDescent="0.25"/>
    <row r="1501" spans="2:33" ht="15" customHeight="1" x14ac:dyDescent="0.25"/>
    <row r="1502" spans="2:33" ht="15" customHeight="1" x14ac:dyDescent="0.25">
      <c r="B1502" s="86"/>
      <c r="C1502" s="86"/>
      <c r="D1502" s="86"/>
      <c r="E1502" s="86"/>
      <c r="F1502" s="86"/>
      <c r="G1502" s="86"/>
      <c r="H1502" s="86"/>
      <c r="I1502" s="86"/>
      <c r="J1502" s="86"/>
      <c r="K1502" s="86"/>
      <c r="L1502" s="86"/>
      <c r="M1502" s="86"/>
      <c r="N1502" s="86"/>
      <c r="O1502" s="86"/>
      <c r="P1502" s="86"/>
      <c r="Q1502" s="86"/>
      <c r="R1502" s="86"/>
      <c r="S1502" s="86"/>
      <c r="T1502" s="86"/>
      <c r="U1502" s="86"/>
      <c r="V1502" s="86"/>
      <c r="W1502" s="86"/>
      <c r="X1502" s="86"/>
      <c r="Y1502" s="86"/>
      <c r="Z1502" s="86"/>
      <c r="AA1502" s="86"/>
      <c r="AB1502" s="86"/>
      <c r="AC1502" s="86"/>
      <c r="AD1502" s="86"/>
      <c r="AE1502" s="86"/>
      <c r="AF1502" s="86"/>
      <c r="AG1502" s="86"/>
    </row>
    <row r="1503" spans="2:33" ht="15" customHeight="1" x14ac:dyDescent="0.25"/>
    <row r="1504" spans="2:33" ht="15" customHeight="1" x14ac:dyDescent="0.25"/>
    <row r="1505" ht="15" customHeight="1" x14ac:dyDescent="0.25"/>
    <row r="1506" ht="15" customHeight="1" x14ac:dyDescent="0.25"/>
    <row r="1507" ht="15" customHeight="1" x14ac:dyDescent="0.25"/>
    <row r="1508" ht="15" customHeight="1" x14ac:dyDescent="0.25"/>
    <row r="1509" ht="15" customHeight="1" x14ac:dyDescent="0.25"/>
    <row r="1510" ht="15" customHeight="1" x14ac:dyDescent="0.25"/>
    <row r="1511" ht="15" customHeight="1" x14ac:dyDescent="0.25"/>
    <row r="1512" ht="15" customHeight="1" x14ac:dyDescent="0.25"/>
    <row r="1513" ht="15" customHeight="1" x14ac:dyDescent="0.25"/>
    <row r="1514" ht="15" customHeight="1" x14ac:dyDescent="0.25"/>
    <row r="1515" ht="15" customHeight="1" x14ac:dyDescent="0.25"/>
    <row r="1516" ht="15" customHeight="1" x14ac:dyDescent="0.25"/>
    <row r="1517" ht="15" customHeight="1" x14ac:dyDescent="0.25"/>
    <row r="1518" ht="15" customHeight="1" x14ac:dyDescent="0.25"/>
    <row r="1519" ht="15" customHeight="1" x14ac:dyDescent="0.25"/>
    <row r="1520" ht="15" customHeight="1" x14ac:dyDescent="0.25"/>
    <row r="1521" ht="15" customHeight="1" x14ac:dyDescent="0.25"/>
    <row r="1522" ht="15" customHeight="1" x14ac:dyDescent="0.25"/>
    <row r="1523" ht="15" customHeight="1" x14ac:dyDescent="0.25"/>
    <row r="1524" ht="15" customHeight="1" x14ac:dyDescent="0.25"/>
    <row r="1525" ht="15" customHeight="1" x14ac:dyDescent="0.25"/>
    <row r="1526" ht="15" customHeight="1" x14ac:dyDescent="0.25"/>
    <row r="1575" ht="15" customHeight="1" x14ac:dyDescent="0.25"/>
    <row r="1576" ht="15" customHeight="1" x14ac:dyDescent="0.25"/>
    <row r="1577" ht="15" customHeight="1" x14ac:dyDescent="0.25"/>
    <row r="1578" ht="15" customHeight="1" x14ac:dyDescent="0.25"/>
    <row r="1579" ht="15" customHeight="1" x14ac:dyDescent="0.25"/>
    <row r="1580" ht="15" customHeight="1" x14ac:dyDescent="0.25"/>
    <row r="1582" ht="15" customHeight="1" x14ac:dyDescent="0.25"/>
    <row r="1583" ht="15" customHeight="1" x14ac:dyDescent="0.25"/>
    <row r="1584" ht="15" customHeight="1" x14ac:dyDescent="0.25"/>
    <row r="1585" ht="15" customHeight="1" x14ac:dyDescent="0.25"/>
    <row r="1587" ht="15" customHeight="1" x14ac:dyDescent="0.25"/>
    <row r="1588" ht="15" customHeight="1" x14ac:dyDescent="0.25"/>
    <row r="1589" ht="15" customHeight="1" x14ac:dyDescent="0.25"/>
    <row r="1590" ht="15" customHeight="1" x14ac:dyDescent="0.25"/>
    <row r="1592" ht="15" customHeight="1" x14ac:dyDescent="0.25"/>
    <row r="1594" ht="15" customHeight="1" x14ac:dyDescent="0.25"/>
    <row r="1595" ht="15" customHeight="1" x14ac:dyDescent="0.25"/>
    <row r="1596" ht="15" customHeight="1" x14ac:dyDescent="0.25"/>
    <row r="1597" ht="15" customHeight="1" x14ac:dyDescent="0.25"/>
    <row r="1599" ht="15" customHeight="1" x14ac:dyDescent="0.25"/>
    <row r="1600" ht="15" customHeight="1" x14ac:dyDescent="0.25"/>
    <row r="1601" spans="2:33" ht="15" customHeight="1" x14ac:dyDescent="0.25"/>
    <row r="1602" spans="2:33" ht="15" customHeight="1" x14ac:dyDescent="0.25"/>
    <row r="1603" spans="2:33" ht="15" customHeight="1" x14ac:dyDescent="0.25"/>
    <row r="1604" spans="2:33" ht="15" customHeight="1" x14ac:dyDescent="0.25">
      <c r="B1604" s="86"/>
      <c r="C1604" s="86"/>
      <c r="D1604" s="86"/>
      <c r="E1604" s="86"/>
      <c r="F1604" s="86"/>
      <c r="G1604" s="86"/>
      <c r="H1604" s="86"/>
      <c r="I1604" s="86"/>
      <c r="J1604" s="86"/>
      <c r="K1604" s="86"/>
      <c r="L1604" s="86"/>
      <c r="M1604" s="86"/>
      <c r="N1604" s="86"/>
      <c r="O1604" s="86"/>
      <c r="P1604" s="86"/>
      <c r="Q1604" s="86"/>
      <c r="R1604" s="86"/>
      <c r="S1604" s="86"/>
      <c r="T1604" s="86"/>
      <c r="U1604" s="86"/>
      <c r="V1604" s="86"/>
      <c r="W1604" s="86"/>
      <c r="X1604" s="86"/>
      <c r="Y1604" s="86"/>
      <c r="Z1604" s="86"/>
      <c r="AA1604" s="86"/>
      <c r="AB1604" s="86"/>
      <c r="AC1604" s="86"/>
      <c r="AD1604" s="86"/>
      <c r="AE1604" s="86"/>
      <c r="AF1604" s="86"/>
      <c r="AG1604" s="86"/>
    </row>
    <row r="1605" spans="2:33" ht="15" customHeight="1" x14ac:dyDescent="0.25"/>
    <row r="1606" spans="2:33" ht="15" customHeight="1" x14ac:dyDescent="0.25"/>
    <row r="1607" spans="2:33" ht="15" customHeight="1" x14ac:dyDescent="0.25"/>
    <row r="1608" spans="2:33" ht="15" customHeight="1" x14ac:dyDescent="0.25"/>
    <row r="1609" spans="2:33" ht="15" customHeight="1" x14ac:dyDescent="0.25"/>
    <row r="1610" spans="2:33" ht="15" customHeight="1" x14ac:dyDescent="0.25"/>
    <row r="1625" ht="15" customHeight="1" x14ac:dyDescent="0.25"/>
    <row r="1626" ht="15" customHeight="1" x14ac:dyDescent="0.25"/>
    <row r="1627" ht="15" customHeight="1" x14ac:dyDescent="0.25"/>
    <row r="1628" ht="15" customHeight="1" x14ac:dyDescent="0.25"/>
    <row r="1629" ht="15" customHeight="1" x14ac:dyDescent="0.25"/>
    <row r="1630" ht="15" customHeight="1" x14ac:dyDescent="0.25"/>
    <row r="1631" ht="15" customHeight="1" x14ac:dyDescent="0.25"/>
    <row r="1632" ht="15" customHeight="1" x14ac:dyDescent="0.25"/>
    <row r="1633" ht="15" customHeight="1" x14ac:dyDescent="0.25"/>
    <row r="1634" ht="15" customHeight="1" x14ac:dyDescent="0.25"/>
    <row r="1635" ht="15" customHeight="1" x14ac:dyDescent="0.25"/>
    <row r="1636" ht="15" customHeight="1" x14ac:dyDescent="0.25"/>
    <row r="1637" ht="15" customHeight="1" x14ac:dyDescent="0.25"/>
    <row r="1638" ht="15" customHeight="1" x14ac:dyDescent="0.25"/>
    <row r="1640" ht="15" customHeight="1" x14ac:dyDescent="0.25"/>
    <row r="1641" ht="15" customHeight="1" x14ac:dyDescent="0.25"/>
    <row r="1642" ht="15" customHeight="1" x14ac:dyDescent="0.25"/>
    <row r="1643" ht="15" customHeight="1" x14ac:dyDescent="0.25"/>
    <row r="1644" ht="15" customHeight="1" x14ac:dyDescent="0.25"/>
    <row r="1645" ht="15" customHeight="1" x14ac:dyDescent="0.25"/>
    <row r="1646" ht="15" customHeight="1" x14ac:dyDescent="0.25"/>
    <row r="1647" ht="15" customHeight="1" x14ac:dyDescent="0.25"/>
    <row r="1648" ht="15" customHeight="1" x14ac:dyDescent="0.25"/>
    <row r="1649" ht="15" customHeight="1" x14ac:dyDescent="0.25"/>
    <row r="1650" ht="15" customHeight="1" x14ac:dyDescent="0.25"/>
    <row r="1651" ht="15" customHeight="1" x14ac:dyDescent="0.25"/>
    <row r="1652" ht="15" customHeight="1" x14ac:dyDescent="0.25"/>
    <row r="1653" ht="15" customHeight="1" x14ac:dyDescent="0.25"/>
    <row r="1654" ht="15" customHeight="1" x14ac:dyDescent="0.25"/>
    <row r="1655" ht="15" customHeight="1" x14ac:dyDescent="0.25"/>
    <row r="1656" ht="15" customHeight="1" x14ac:dyDescent="0.25"/>
    <row r="1657" ht="15" customHeight="1" x14ac:dyDescent="0.25"/>
    <row r="1658" ht="15" customHeight="1" x14ac:dyDescent="0.25"/>
    <row r="1659" ht="15" customHeight="1" x14ac:dyDescent="0.25"/>
    <row r="1660" ht="15" customHeight="1" x14ac:dyDescent="0.25"/>
    <row r="1661" ht="15" customHeight="1" x14ac:dyDescent="0.25"/>
    <row r="1662" ht="15" customHeight="1" x14ac:dyDescent="0.25"/>
    <row r="1663" ht="15" customHeight="1" x14ac:dyDescent="0.25"/>
    <row r="1665" ht="15" customHeight="1" x14ac:dyDescent="0.25"/>
    <row r="1668" ht="15" customHeight="1" x14ac:dyDescent="0.25"/>
    <row r="1669" ht="15" customHeight="1" x14ac:dyDescent="0.25"/>
    <row r="1670" ht="15" customHeight="1" x14ac:dyDescent="0.25"/>
    <row r="1671" ht="15" customHeight="1" x14ac:dyDescent="0.25"/>
    <row r="1672" ht="15" customHeight="1" x14ac:dyDescent="0.25"/>
    <row r="1673" ht="15" customHeight="1" x14ac:dyDescent="0.25"/>
    <row r="1674" ht="15" customHeight="1" x14ac:dyDescent="0.25"/>
    <row r="1675" ht="15" customHeight="1" x14ac:dyDescent="0.25"/>
    <row r="1676" ht="15" customHeight="1" x14ac:dyDescent="0.25"/>
    <row r="1677" ht="15" customHeight="1" x14ac:dyDescent="0.25"/>
    <row r="1678" ht="15" customHeight="1" x14ac:dyDescent="0.25"/>
    <row r="1679" ht="15" customHeight="1" x14ac:dyDescent="0.25"/>
    <row r="1680" ht="15" customHeight="1" x14ac:dyDescent="0.25"/>
    <row r="1681" ht="15" customHeight="1" x14ac:dyDescent="0.25"/>
    <row r="1682" ht="15" customHeight="1" x14ac:dyDescent="0.25"/>
    <row r="1683" ht="15" customHeight="1" x14ac:dyDescent="0.25"/>
    <row r="1684" ht="15" customHeight="1" x14ac:dyDescent="0.25"/>
    <row r="1686" ht="15" customHeight="1" x14ac:dyDescent="0.25"/>
    <row r="1688" ht="15" customHeight="1" x14ac:dyDescent="0.25"/>
    <row r="1689" ht="15" customHeight="1" x14ac:dyDescent="0.25"/>
    <row r="1690" ht="15" customHeight="1" x14ac:dyDescent="0.25"/>
    <row r="1691" ht="15" customHeight="1" x14ac:dyDescent="0.25"/>
    <row r="1692" ht="15" customHeight="1" x14ac:dyDescent="0.25"/>
    <row r="1693" ht="15" customHeight="1" x14ac:dyDescent="0.25"/>
    <row r="1694" ht="15" customHeight="1" x14ac:dyDescent="0.25"/>
    <row r="1695" ht="15" customHeight="1" x14ac:dyDescent="0.25"/>
    <row r="1697" spans="2:33" ht="15" customHeight="1" x14ac:dyDescent="0.25"/>
    <row r="1698" spans="2:33" ht="15" customHeight="1" x14ac:dyDescent="0.25">
      <c r="B1698" s="86"/>
      <c r="C1698" s="86"/>
      <c r="D1698" s="86"/>
      <c r="E1698" s="86"/>
      <c r="F1698" s="86"/>
      <c r="G1698" s="86"/>
      <c r="H1698" s="86"/>
      <c r="I1698" s="86"/>
      <c r="J1698" s="86"/>
      <c r="K1698" s="86"/>
      <c r="L1698" s="86"/>
      <c r="M1698" s="86"/>
      <c r="N1698" s="86"/>
      <c r="O1698" s="86"/>
      <c r="P1698" s="86"/>
      <c r="Q1698" s="86"/>
      <c r="R1698" s="86"/>
      <c r="S1698" s="86"/>
      <c r="T1698" s="86"/>
      <c r="U1698" s="86"/>
      <c r="V1698" s="86"/>
      <c r="W1698" s="86"/>
      <c r="X1698" s="86"/>
      <c r="Y1698" s="86"/>
      <c r="Z1698" s="86"/>
      <c r="AA1698" s="86"/>
      <c r="AB1698" s="86"/>
      <c r="AC1698" s="86"/>
      <c r="AD1698" s="86"/>
      <c r="AE1698" s="86"/>
      <c r="AF1698" s="86"/>
      <c r="AG1698" s="86"/>
    </row>
    <row r="1699" spans="2:33" ht="15" customHeight="1" x14ac:dyDescent="0.25"/>
    <row r="1700" spans="2:33" ht="15" customHeight="1" x14ac:dyDescent="0.25"/>
    <row r="1701" spans="2:33" ht="15" customHeight="1" x14ac:dyDescent="0.25"/>
    <row r="1702" spans="2:33" ht="15" customHeight="1" x14ac:dyDescent="0.25"/>
    <row r="1703" spans="2:33" ht="15" customHeight="1" x14ac:dyDescent="0.25"/>
    <row r="1704" spans="2:33" ht="15" customHeight="1" x14ac:dyDescent="0.25"/>
    <row r="1705" spans="2:33" ht="15" customHeight="1" x14ac:dyDescent="0.25"/>
    <row r="1706" spans="2:33" ht="15" customHeight="1" x14ac:dyDescent="0.25"/>
    <row r="1707" spans="2:33" ht="15" customHeight="1" x14ac:dyDescent="0.25"/>
    <row r="1708" spans="2:33" ht="15" customHeight="1" x14ac:dyDescent="0.25"/>
    <row r="1709" spans="2:33" ht="15" customHeight="1" x14ac:dyDescent="0.25"/>
    <row r="1710" spans="2:33" ht="15" customHeight="1" x14ac:dyDescent="0.25"/>
    <row r="1711" spans="2:33" ht="15" customHeight="1" x14ac:dyDescent="0.25"/>
    <row r="1712" spans="2:33" ht="15" customHeight="1" x14ac:dyDescent="0.25"/>
    <row r="1713" ht="15" customHeight="1" x14ac:dyDescent="0.25"/>
    <row r="1714" ht="15" customHeight="1" x14ac:dyDescent="0.25"/>
    <row r="1715" ht="15" customHeight="1" x14ac:dyDescent="0.25"/>
    <row r="1716" ht="15" customHeight="1" x14ac:dyDescent="0.25"/>
    <row r="1717" ht="15" customHeight="1" x14ac:dyDescent="0.25"/>
    <row r="1718" ht="15" customHeight="1" x14ac:dyDescent="0.25"/>
    <row r="1719" ht="15" customHeight="1" x14ac:dyDescent="0.25"/>
    <row r="1720" ht="15" customHeight="1" x14ac:dyDescent="0.25"/>
    <row r="1721" ht="15" customHeight="1" x14ac:dyDescent="0.25"/>
    <row r="1722" ht="15" customHeight="1" x14ac:dyDescent="0.25"/>
    <row r="1723" ht="15" customHeight="1" x14ac:dyDescent="0.25"/>
    <row r="1724" ht="15" customHeight="1" x14ac:dyDescent="0.25"/>
    <row r="1725" ht="15" customHeight="1" x14ac:dyDescent="0.25"/>
    <row r="1726" ht="15" customHeight="1" x14ac:dyDescent="0.25"/>
    <row r="1850" ht="15" customHeight="1" x14ac:dyDescent="0.25"/>
    <row r="1851" ht="15" customHeight="1" x14ac:dyDescent="0.25"/>
    <row r="1852" ht="15" customHeight="1" x14ac:dyDescent="0.25"/>
    <row r="1853" ht="15" customHeight="1" x14ac:dyDescent="0.25"/>
    <row r="1854" ht="15" customHeight="1" x14ac:dyDescent="0.25"/>
    <row r="1855" ht="15" customHeight="1" x14ac:dyDescent="0.25"/>
    <row r="1856" ht="15" customHeight="1" x14ac:dyDescent="0.25"/>
    <row r="1857" ht="15" customHeight="1" x14ac:dyDescent="0.25"/>
    <row r="1858" ht="15" customHeight="1" x14ac:dyDescent="0.25"/>
    <row r="1859" ht="15" customHeight="1" x14ac:dyDescent="0.25"/>
    <row r="1861" ht="15" customHeight="1" x14ac:dyDescent="0.25"/>
    <row r="1863" ht="15" customHeight="1" x14ac:dyDescent="0.25"/>
    <row r="1864" ht="15" customHeight="1" x14ac:dyDescent="0.25"/>
    <row r="1865" ht="15" customHeight="1" x14ac:dyDescent="0.25"/>
    <row r="1867" ht="15" customHeight="1" x14ac:dyDescent="0.25"/>
    <row r="1868" ht="15" customHeight="1" x14ac:dyDescent="0.25"/>
    <row r="1869" ht="15" customHeight="1" x14ac:dyDescent="0.25"/>
    <row r="1870" ht="15" customHeight="1" x14ac:dyDescent="0.25"/>
    <row r="1872" ht="15" customHeight="1" x14ac:dyDescent="0.25"/>
    <row r="1873" ht="15" customHeight="1" x14ac:dyDescent="0.25"/>
    <row r="1874" ht="15" customHeight="1" x14ac:dyDescent="0.25"/>
    <row r="1875" ht="15" customHeight="1" x14ac:dyDescent="0.25"/>
    <row r="1876" ht="15" customHeight="1" x14ac:dyDescent="0.25"/>
    <row r="1878" ht="15" customHeight="1" x14ac:dyDescent="0.25"/>
    <row r="1879" ht="15" customHeight="1" x14ac:dyDescent="0.25"/>
    <row r="1880" ht="15" customHeight="1" x14ac:dyDescent="0.25"/>
    <row r="1881" ht="15" customHeight="1" x14ac:dyDescent="0.25"/>
    <row r="1882" ht="15" customHeight="1" x14ac:dyDescent="0.25"/>
    <row r="1883" ht="15" customHeight="1" x14ac:dyDescent="0.25"/>
    <row r="1884" ht="15" customHeight="1" x14ac:dyDescent="0.25"/>
    <row r="1885" ht="15" customHeight="1" x14ac:dyDescent="0.25"/>
    <row r="1886" ht="15" customHeight="1" x14ac:dyDescent="0.25"/>
    <row r="1888" ht="15" customHeight="1" x14ac:dyDescent="0.25"/>
    <row r="1889" ht="15" customHeight="1" x14ac:dyDescent="0.25"/>
    <row r="1890" ht="15" customHeight="1" x14ac:dyDescent="0.25"/>
    <row r="1891" ht="15" customHeight="1" x14ac:dyDescent="0.25"/>
    <row r="1893" ht="15" customHeight="1" x14ac:dyDescent="0.25"/>
    <row r="1894" ht="15" customHeight="1" x14ac:dyDescent="0.25"/>
    <row r="1895" ht="15" customHeight="1" x14ac:dyDescent="0.25"/>
    <row r="1896" ht="15" customHeight="1" x14ac:dyDescent="0.25"/>
    <row r="1897" ht="15" customHeight="1" x14ac:dyDescent="0.25"/>
    <row r="1898" ht="15" customHeight="1" x14ac:dyDescent="0.25"/>
    <row r="1899" ht="15" customHeight="1" x14ac:dyDescent="0.25"/>
    <row r="1900" ht="15" customHeight="1" x14ac:dyDescent="0.25"/>
    <row r="1903" ht="15" customHeight="1" x14ac:dyDescent="0.25"/>
    <row r="1904" ht="15" customHeight="1" x14ac:dyDescent="0.25"/>
    <row r="1905" ht="15" customHeight="1" x14ac:dyDescent="0.25"/>
    <row r="1906" ht="15" customHeight="1" x14ac:dyDescent="0.25"/>
    <row r="1907" ht="15" customHeight="1" x14ac:dyDescent="0.25"/>
    <row r="1909" ht="15" customHeight="1" x14ac:dyDescent="0.25"/>
    <row r="1910" ht="15" customHeight="1" x14ac:dyDescent="0.25"/>
    <row r="1911" ht="15" customHeight="1" x14ac:dyDescent="0.25"/>
    <row r="1912" ht="15" customHeight="1" x14ac:dyDescent="0.25"/>
    <row r="1913" ht="15" customHeight="1" x14ac:dyDescent="0.25"/>
    <row r="1915" ht="15" customHeight="1" x14ac:dyDescent="0.25"/>
    <row r="1916" ht="15" customHeight="1" x14ac:dyDescent="0.25"/>
    <row r="1917" ht="15" customHeight="1" x14ac:dyDescent="0.25"/>
    <row r="1919" ht="15" customHeight="1" x14ac:dyDescent="0.25"/>
    <row r="1920" ht="15" customHeight="1" x14ac:dyDescent="0.25"/>
    <row r="1921" ht="15" customHeight="1" x14ac:dyDescent="0.25"/>
    <row r="1922" ht="15" customHeight="1" x14ac:dyDescent="0.25"/>
    <row r="1924" ht="15" customHeight="1" x14ac:dyDescent="0.25"/>
    <row r="1925" ht="15" customHeight="1" x14ac:dyDescent="0.25"/>
    <row r="1926" ht="15" customHeight="1" x14ac:dyDescent="0.25"/>
    <row r="1927" ht="15" customHeight="1" x14ac:dyDescent="0.25"/>
    <row r="1928" ht="15" customHeight="1" x14ac:dyDescent="0.25"/>
    <row r="1929" ht="15" customHeight="1" x14ac:dyDescent="0.25"/>
    <row r="1930" ht="15" customHeight="1" x14ac:dyDescent="0.25"/>
    <row r="1931" ht="15" customHeight="1" x14ac:dyDescent="0.25"/>
    <row r="1933" ht="15" customHeight="1" x14ac:dyDescent="0.25"/>
    <row r="1934" ht="15" customHeight="1" x14ac:dyDescent="0.25"/>
    <row r="1935" ht="15" customHeight="1" x14ac:dyDescent="0.25"/>
    <row r="1937" spans="2:33" ht="15" customHeight="1" x14ac:dyDescent="0.25"/>
    <row r="1938" spans="2:33" ht="15" customHeight="1" x14ac:dyDescent="0.25"/>
    <row r="1939" spans="2:33" ht="15" customHeight="1" x14ac:dyDescent="0.25"/>
    <row r="1940" spans="2:33" ht="15" customHeight="1" x14ac:dyDescent="0.25"/>
    <row r="1941" spans="2:33" ht="15" customHeight="1" x14ac:dyDescent="0.25"/>
    <row r="1942" spans="2:33" ht="15" customHeight="1" x14ac:dyDescent="0.25"/>
    <row r="1943" spans="2:33" ht="15" customHeight="1" x14ac:dyDescent="0.25"/>
    <row r="1944" spans="2:33" ht="15" customHeight="1" x14ac:dyDescent="0.25"/>
    <row r="1945" spans="2:33" ht="15" customHeight="1" x14ac:dyDescent="0.25">
      <c r="B1945" s="86"/>
      <c r="C1945" s="86"/>
      <c r="D1945" s="86"/>
      <c r="E1945" s="86"/>
      <c r="F1945" s="86"/>
      <c r="G1945" s="86"/>
      <c r="H1945" s="86"/>
      <c r="I1945" s="86"/>
      <c r="J1945" s="86"/>
      <c r="K1945" s="86"/>
      <c r="L1945" s="86"/>
      <c r="M1945" s="86"/>
      <c r="N1945" s="86"/>
      <c r="O1945" s="86"/>
      <c r="P1945" s="86"/>
      <c r="Q1945" s="86"/>
      <c r="R1945" s="86"/>
      <c r="S1945" s="86"/>
      <c r="T1945" s="86"/>
      <c r="U1945" s="86"/>
      <c r="V1945" s="86"/>
      <c r="W1945" s="86"/>
      <c r="X1945" s="86"/>
      <c r="Y1945" s="86"/>
      <c r="Z1945" s="86"/>
      <c r="AA1945" s="86"/>
      <c r="AB1945" s="86"/>
      <c r="AC1945" s="86"/>
      <c r="AD1945" s="86"/>
      <c r="AE1945" s="86"/>
      <c r="AF1945" s="86"/>
      <c r="AG1945" s="86"/>
    </row>
    <row r="1946" spans="2:33" ht="15" customHeight="1" x14ac:dyDescent="0.25"/>
    <row r="1947" spans="2:33" ht="15" customHeight="1" x14ac:dyDescent="0.25"/>
    <row r="1948" spans="2:33" ht="15" customHeight="1" x14ac:dyDescent="0.25"/>
    <row r="1949" spans="2:33" ht="15" customHeight="1" x14ac:dyDescent="0.25"/>
    <row r="1950" spans="2:33" ht="15" customHeight="1" x14ac:dyDescent="0.25"/>
    <row r="1951" spans="2:33" ht="15" customHeight="1" x14ac:dyDescent="0.25"/>
    <row r="1952" spans="2:33" ht="15" customHeight="1" x14ac:dyDescent="0.25"/>
    <row r="1953" ht="15" customHeight="1" x14ac:dyDescent="0.25"/>
    <row r="1954" ht="15" customHeight="1" x14ac:dyDescent="0.25"/>
    <row r="1955" ht="15" customHeight="1" x14ac:dyDescent="0.25"/>
    <row r="1975" ht="15" customHeight="1" x14ac:dyDescent="0.25"/>
    <row r="1976" ht="15" customHeight="1" x14ac:dyDescent="0.25"/>
    <row r="1977" ht="15" customHeight="1" x14ac:dyDescent="0.25"/>
    <row r="1978" ht="15" customHeight="1" x14ac:dyDescent="0.25"/>
    <row r="1979" ht="15" customHeight="1" x14ac:dyDescent="0.25"/>
    <row r="1980" ht="15" customHeight="1" x14ac:dyDescent="0.25"/>
    <row r="1981" ht="15" customHeight="1" x14ac:dyDescent="0.25"/>
    <row r="1982" ht="15" customHeight="1" x14ac:dyDescent="0.25"/>
    <row r="1984" ht="15" customHeight="1" x14ac:dyDescent="0.25"/>
    <row r="1985" ht="15" customHeight="1" x14ac:dyDescent="0.25"/>
    <row r="1986" ht="15" customHeight="1" x14ac:dyDescent="0.25"/>
    <row r="1988" ht="15" customHeight="1" x14ac:dyDescent="0.25"/>
    <row r="1990" ht="15" customHeight="1" x14ac:dyDescent="0.25"/>
    <row r="1991" ht="15" customHeight="1" x14ac:dyDescent="0.25"/>
    <row r="1992" ht="15" customHeight="1" x14ac:dyDescent="0.25"/>
    <row r="1993" ht="15" customHeight="1" x14ac:dyDescent="0.25"/>
    <row r="1994" ht="15" customHeight="1" x14ac:dyDescent="0.25"/>
    <row r="1995" ht="15" customHeight="1" x14ac:dyDescent="0.25"/>
    <row r="1996" ht="15" customHeight="1" x14ac:dyDescent="0.25"/>
    <row r="1997" ht="15" customHeight="1" x14ac:dyDescent="0.25"/>
    <row r="1998" ht="15" customHeight="1" x14ac:dyDescent="0.25"/>
    <row r="1999" ht="15" customHeight="1" x14ac:dyDescent="0.25"/>
    <row r="2000" ht="15" customHeight="1" x14ac:dyDescent="0.25"/>
    <row r="2001" ht="15" customHeight="1" x14ac:dyDescent="0.25"/>
    <row r="2002" ht="15" customHeight="1" x14ac:dyDescent="0.25"/>
    <row r="2004" ht="15" customHeight="1" x14ac:dyDescent="0.25"/>
    <row r="2006" ht="15" customHeight="1" x14ac:dyDescent="0.25"/>
    <row r="2008" ht="15" customHeight="1" x14ac:dyDescent="0.25"/>
    <row r="2009" ht="15" customHeight="1" x14ac:dyDescent="0.25"/>
    <row r="2011" ht="15" customHeight="1" x14ac:dyDescent="0.25"/>
    <row r="2012" ht="15" customHeight="1" x14ac:dyDescent="0.25"/>
    <row r="2013" ht="15" customHeight="1" x14ac:dyDescent="0.25"/>
    <row r="2014" ht="15" customHeight="1" x14ac:dyDescent="0.25"/>
    <row r="2015" ht="15" customHeight="1" x14ac:dyDescent="0.25"/>
    <row r="2016" ht="15" customHeight="1" x14ac:dyDescent="0.25"/>
    <row r="2017" spans="2:33" ht="15" customHeight="1" x14ac:dyDescent="0.25"/>
    <row r="2018" spans="2:33" ht="15" customHeight="1" x14ac:dyDescent="0.25"/>
    <row r="2019" spans="2:33" ht="15" customHeight="1" x14ac:dyDescent="0.25"/>
    <row r="2020" spans="2:33" ht="15" customHeight="1" x14ac:dyDescent="0.25"/>
    <row r="2022" spans="2:33" ht="15" customHeight="1" x14ac:dyDescent="0.25"/>
    <row r="2023" spans="2:33" ht="15" customHeight="1" x14ac:dyDescent="0.25"/>
    <row r="2024" spans="2:33" ht="15" customHeight="1" x14ac:dyDescent="0.25"/>
    <row r="2025" spans="2:33" ht="15" customHeight="1" x14ac:dyDescent="0.25"/>
    <row r="2026" spans="2:33" ht="15" customHeight="1" x14ac:dyDescent="0.25"/>
    <row r="2027" spans="2:33" ht="15" customHeight="1" x14ac:dyDescent="0.25"/>
    <row r="2028" spans="2:33" ht="15" customHeight="1" x14ac:dyDescent="0.25"/>
    <row r="2029" spans="2:33" ht="15" customHeight="1" x14ac:dyDescent="0.25"/>
    <row r="2030" spans="2:33" ht="15" customHeight="1" x14ac:dyDescent="0.25"/>
    <row r="2031" spans="2:33" ht="15" customHeight="1" x14ac:dyDescent="0.25">
      <c r="B2031" s="86"/>
      <c r="C2031" s="86"/>
      <c r="D2031" s="86"/>
      <c r="E2031" s="86"/>
      <c r="F2031" s="86"/>
      <c r="G2031" s="86"/>
      <c r="H2031" s="86"/>
      <c r="I2031" s="86"/>
      <c r="J2031" s="86"/>
      <c r="K2031" s="86"/>
      <c r="L2031" s="86"/>
      <c r="M2031" s="86"/>
      <c r="N2031" s="86"/>
      <c r="O2031" s="86"/>
      <c r="P2031" s="86"/>
      <c r="Q2031" s="86"/>
      <c r="R2031" s="86"/>
      <c r="S2031" s="86"/>
      <c r="T2031" s="86"/>
      <c r="U2031" s="86"/>
      <c r="V2031" s="86"/>
      <c r="W2031" s="86"/>
      <c r="X2031" s="86"/>
      <c r="Y2031" s="86"/>
      <c r="Z2031" s="86"/>
      <c r="AA2031" s="86"/>
      <c r="AB2031" s="86"/>
      <c r="AC2031" s="86"/>
      <c r="AD2031" s="86"/>
      <c r="AE2031" s="86"/>
      <c r="AF2031" s="86"/>
      <c r="AG2031" s="86"/>
    </row>
    <row r="2032" spans="2:33" ht="15" customHeight="1" x14ac:dyDescent="0.25"/>
    <row r="2033" ht="15" customHeight="1" x14ac:dyDescent="0.25"/>
    <row r="2034" ht="15" customHeight="1" x14ac:dyDescent="0.25"/>
    <row r="2035" ht="15" customHeight="1" x14ac:dyDescent="0.25"/>
    <row r="2036" ht="15" customHeight="1" x14ac:dyDescent="0.25"/>
    <row r="2037" ht="15" customHeight="1" x14ac:dyDescent="0.25"/>
    <row r="2038" ht="15" customHeight="1" x14ac:dyDescent="0.25"/>
    <row r="2039" ht="15" customHeight="1" x14ac:dyDescent="0.25"/>
    <row r="2040" ht="15" customHeight="1" x14ac:dyDescent="0.25"/>
    <row r="2041" ht="15" customHeight="1" x14ac:dyDescent="0.25"/>
    <row r="2042" ht="15" customHeight="1" x14ac:dyDescent="0.25"/>
    <row r="2043" ht="15" customHeight="1" x14ac:dyDescent="0.25"/>
    <row r="2044" ht="15" customHeight="1" x14ac:dyDescent="0.25"/>
    <row r="2045" ht="15" customHeight="1" x14ac:dyDescent="0.25"/>
    <row r="2046" ht="15" customHeight="1" x14ac:dyDescent="0.25"/>
    <row r="2047" ht="15" customHeight="1" x14ac:dyDescent="0.25"/>
    <row r="2048" ht="15" customHeight="1" x14ac:dyDescent="0.25"/>
    <row r="2049" ht="15" customHeight="1" x14ac:dyDescent="0.25"/>
    <row r="2050" ht="15" customHeight="1" x14ac:dyDescent="0.25"/>
    <row r="2051" ht="15" customHeight="1" x14ac:dyDescent="0.25"/>
    <row r="2052" ht="15" customHeight="1" x14ac:dyDescent="0.25"/>
    <row r="2053" ht="15" customHeight="1" x14ac:dyDescent="0.25"/>
    <row r="2100" ht="15" customHeight="1" x14ac:dyDescent="0.25"/>
    <row r="2101" ht="15" customHeight="1" x14ac:dyDescent="0.25"/>
    <row r="2102" ht="15" customHeight="1" x14ac:dyDescent="0.25"/>
    <row r="2103" ht="15" customHeight="1" x14ac:dyDescent="0.25"/>
    <row r="2104" ht="15" customHeight="1" x14ac:dyDescent="0.25"/>
    <row r="2105" ht="15" customHeight="1" x14ac:dyDescent="0.25"/>
    <row r="2107" ht="15" customHeight="1" x14ac:dyDescent="0.25"/>
    <row r="2108" ht="15" customHeight="1" x14ac:dyDescent="0.25"/>
    <row r="2110" ht="15" customHeight="1" x14ac:dyDescent="0.25"/>
    <row r="2111" ht="15" customHeight="1" x14ac:dyDescent="0.25"/>
    <row r="2112" ht="15" customHeight="1" x14ac:dyDescent="0.25"/>
    <row r="2113" ht="15" customHeight="1" x14ac:dyDescent="0.25"/>
    <row r="2114" ht="15" customHeight="1" x14ac:dyDescent="0.25"/>
    <row r="2115" ht="15" customHeight="1" x14ac:dyDescent="0.25"/>
    <row r="2116" ht="15" customHeight="1" x14ac:dyDescent="0.25"/>
    <row r="2117" ht="15" customHeight="1" x14ac:dyDescent="0.25"/>
    <row r="2118" ht="15" customHeight="1" x14ac:dyDescent="0.25"/>
    <row r="2119" ht="15" customHeight="1" x14ac:dyDescent="0.25"/>
    <row r="2120" ht="15" customHeight="1" x14ac:dyDescent="0.25"/>
    <row r="2121" ht="15" customHeight="1" x14ac:dyDescent="0.25"/>
    <row r="2122" ht="15" customHeight="1" x14ac:dyDescent="0.25"/>
    <row r="2124" ht="15" customHeight="1" x14ac:dyDescent="0.25"/>
    <row r="2125" ht="15" customHeight="1" x14ac:dyDescent="0.25"/>
    <row r="2126" ht="15" customHeight="1" x14ac:dyDescent="0.25"/>
    <row r="2127" ht="15" customHeight="1" x14ac:dyDescent="0.25"/>
    <row r="2128" ht="15" customHeight="1" x14ac:dyDescent="0.25"/>
    <row r="2129" ht="15" customHeight="1" x14ac:dyDescent="0.25"/>
    <row r="2131" ht="15" customHeight="1" x14ac:dyDescent="0.25"/>
    <row r="2133" ht="15" customHeight="1" x14ac:dyDescent="0.25"/>
    <row r="2134" ht="15" customHeight="1" x14ac:dyDescent="0.25"/>
    <row r="2136" ht="15" customHeight="1" x14ac:dyDescent="0.25"/>
    <row r="2137" ht="15" customHeight="1" x14ac:dyDescent="0.25"/>
    <row r="2138" ht="15" customHeight="1" x14ac:dyDescent="0.25"/>
    <row r="2139" ht="15" customHeight="1" x14ac:dyDescent="0.25"/>
    <row r="2140" ht="15" customHeight="1" x14ac:dyDescent="0.25"/>
    <row r="2141" ht="15" customHeight="1" x14ac:dyDescent="0.25"/>
    <row r="2142" ht="15" customHeight="1" x14ac:dyDescent="0.25"/>
    <row r="2143" ht="15" customHeight="1" x14ac:dyDescent="0.25"/>
    <row r="2144" ht="15" customHeight="1" x14ac:dyDescent="0.25"/>
    <row r="2145" spans="2:33" ht="15" customHeight="1" x14ac:dyDescent="0.25"/>
    <row r="2146" spans="2:33" ht="15" customHeight="1" x14ac:dyDescent="0.25"/>
    <row r="2148" spans="2:33" ht="15" customHeight="1" x14ac:dyDescent="0.25"/>
    <row r="2151" spans="2:33" ht="15" customHeight="1" x14ac:dyDescent="0.25"/>
    <row r="2152" spans="2:33" ht="15" customHeight="1" x14ac:dyDescent="0.25"/>
    <row r="2153" spans="2:33" ht="15" customHeight="1" x14ac:dyDescent="0.25">
      <c r="B2153" s="86"/>
      <c r="C2153" s="86"/>
      <c r="D2153" s="86"/>
      <c r="E2153" s="86"/>
      <c r="F2153" s="86"/>
      <c r="G2153" s="86"/>
      <c r="H2153" s="86"/>
      <c r="I2153" s="86"/>
      <c r="J2153" s="86"/>
      <c r="K2153" s="86"/>
      <c r="L2153" s="86"/>
      <c r="M2153" s="86"/>
      <c r="N2153" s="86"/>
      <c r="O2153" s="86"/>
      <c r="P2153" s="86"/>
      <c r="Q2153" s="86"/>
      <c r="R2153" s="86"/>
      <c r="S2153" s="86"/>
      <c r="T2153" s="86"/>
      <c r="U2153" s="86"/>
      <c r="V2153" s="86"/>
      <c r="W2153" s="86"/>
      <c r="X2153" s="86"/>
      <c r="Y2153" s="86"/>
      <c r="Z2153" s="86"/>
      <c r="AA2153" s="86"/>
      <c r="AB2153" s="86"/>
      <c r="AC2153" s="86"/>
      <c r="AD2153" s="86"/>
      <c r="AE2153" s="86"/>
      <c r="AF2153" s="86"/>
      <c r="AG2153" s="86"/>
    </row>
    <row r="2154" spans="2:33" ht="15" customHeight="1" x14ac:dyDescent="0.25"/>
    <row r="2155" spans="2:33" ht="15" customHeight="1" x14ac:dyDescent="0.25"/>
    <row r="2156" spans="2:33" ht="15" customHeight="1" x14ac:dyDescent="0.25"/>
    <row r="2157" spans="2:33" ht="15" customHeight="1" x14ac:dyDescent="0.25"/>
    <row r="2158" spans="2:33" ht="15" customHeight="1" x14ac:dyDescent="0.25"/>
    <row r="2159" spans="2:33" ht="15" customHeight="1" x14ac:dyDescent="0.25"/>
    <row r="2160" spans="2:33" ht="15" customHeight="1" x14ac:dyDescent="0.25"/>
    <row r="2161" ht="15" customHeight="1" x14ac:dyDescent="0.25"/>
    <row r="2162" ht="15" customHeight="1" x14ac:dyDescent="0.25"/>
    <row r="2250" ht="15" customHeight="1" x14ac:dyDescent="0.25"/>
    <row r="2251" ht="15" customHeight="1" x14ac:dyDescent="0.25"/>
    <row r="2252" ht="15" customHeight="1" x14ac:dyDescent="0.25"/>
    <row r="2253" ht="15" customHeight="1" x14ac:dyDescent="0.25"/>
    <row r="2254" ht="15" customHeight="1" x14ac:dyDescent="0.25"/>
    <row r="2255" ht="15" customHeight="1" x14ac:dyDescent="0.25"/>
    <row r="2256" ht="15" customHeight="1" x14ac:dyDescent="0.25"/>
    <row r="2257" ht="15" customHeight="1" x14ac:dyDescent="0.25"/>
    <row r="2258" ht="15" customHeight="1" x14ac:dyDescent="0.25"/>
    <row r="2260" ht="15" customHeight="1" x14ac:dyDescent="0.25"/>
    <row r="2261" ht="15" customHeight="1" x14ac:dyDescent="0.25"/>
    <row r="2262" ht="15" customHeight="1" x14ac:dyDescent="0.25"/>
    <row r="2264" ht="15" customHeight="1" x14ac:dyDescent="0.25"/>
    <row r="2266" ht="15" customHeight="1" x14ac:dyDescent="0.25"/>
    <row r="2267" ht="15" customHeight="1" x14ac:dyDescent="0.25"/>
    <row r="2268" ht="15" customHeight="1" x14ac:dyDescent="0.25"/>
    <row r="2269" ht="15" customHeight="1" x14ac:dyDescent="0.25"/>
    <row r="2271" ht="15" customHeight="1" x14ac:dyDescent="0.25"/>
    <row r="2273" ht="15" customHeight="1" x14ac:dyDescent="0.25"/>
    <row r="2274" ht="15" customHeight="1" x14ac:dyDescent="0.25"/>
    <row r="2275" ht="15" customHeight="1" x14ac:dyDescent="0.25"/>
    <row r="2276" ht="15" customHeight="1" x14ac:dyDescent="0.25"/>
    <row r="2277" ht="15" customHeight="1" x14ac:dyDescent="0.25"/>
    <row r="2278" ht="15" customHeight="1" x14ac:dyDescent="0.25"/>
    <row r="2279" ht="15" customHeight="1" x14ac:dyDescent="0.25"/>
    <row r="2280" ht="15" customHeight="1" x14ac:dyDescent="0.25"/>
    <row r="2282" ht="15" customHeight="1" x14ac:dyDescent="0.25"/>
    <row r="2284" ht="15" customHeight="1" x14ac:dyDescent="0.25"/>
    <row r="2285" ht="15" customHeight="1" x14ac:dyDescent="0.25"/>
    <row r="2286" ht="15" customHeight="1" x14ac:dyDescent="0.25"/>
    <row r="2288" ht="15" customHeight="1" x14ac:dyDescent="0.25"/>
    <row r="2289" ht="15" customHeight="1" x14ac:dyDescent="0.25"/>
    <row r="2290" ht="15" customHeight="1" x14ac:dyDescent="0.25"/>
    <row r="2291" ht="15" customHeight="1" x14ac:dyDescent="0.25"/>
    <row r="2292" ht="15" customHeight="1" x14ac:dyDescent="0.25"/>
    <row r="2293" ht="15" customHeight="1" x14ac:dyDescent="0.25"/>
    <row r="2294" ht="15" customHeight="1" x14ac:dyDescent="0.25"/>
    <row r="2295" ht="15" customHeight="1" x14ac:dyDescent="0.25"/>
    <row r="2296" ht="15" customHeight="1" x14ac:dyDescent="0.25"/>
    <row r="2297" ht="15" customHeight="1" x14ac:dyDescent="0.25"/>
    <row r="2298" ht="15" customHeight="1" x14ac:dyDescent="0.25"/>
    <row r="2301" ht="15" customHeight="1" x14ac:dyDescent="0.25"/>
    <row r="2302" ht="15" customHeight="1" x14ac:dyDescent="0.25"/>
    <row r="2303" ht="15" customHeight="1" x14ac:dyDescent="0.25"/>
    <row r="2305" spans="2:33" ht="15" customHeight="1" x14ac:dyDescent="0.25"/>
    <row r="2306" spans="2:33" ht="15" customHeight="1" x14ac:dyDescent="0.25"/>
    <row r="2307" spans="2:33" ht="15" customHeight="1" x14ac:dyDescent="0.25"/>
    <row r="2308" spans="2:33" ht="15" customHeight="1" x14ac:dyDescent="0.25"/>
    <row r="2309" spans="2:33" ht="15" customHeight="1" x14ac:dyDescent="0.25"/>
    <row r="2310" spans="2:33" ht="15" customHeight="1" x14ac:dyDescent="0.25"/>
    <row r="2311" spans="2:33" ht="15" customHeight="1" x14ac:dyDescent="0.25"/>
    <row r="2312" spans="2:33" ht="15" customHeight="1" x14ac:dyDescent="0.25"/>
    <row r="2313" spans="2:33" ht="15" customHeight="1" x14ac:dyDescent="0.25"/>
    <row r="2314" spans="2:33" ht="15" customHeight="1" x14ac:dyDescent="0.25"/>
    <row r="2315" spans="2:33" ht="15" customHeight="1" x14ac:dyDescent="0.25"/>
    <row r="2316" spans="2:33" ht="15" customHeight="1" x14ac:dyDescent="0.25"/>
    <row r="2317" spans="2:33" ht="15" customHeight="1" x14ac:dyDescent="0.25">
      <c r="B2317" s="86"/>
      <c r="C2317" s="86"/>
      <c r="D2317" s="86"/>
      <c r="E2317" s="86"/>
      <c r="F2317" s="86"/>
      <c r="G2317" s="86"/>
      <c r="H2317" s="86"/>
      <c r="I2317" s="86"/>
      <c r="J2317" s="86"/>
      <c r="K2317" s="86"/>
      <c r="L2317" s="86"/>
      <c r="M2317" s="86"/>
      <c r="N2317" s="86"/>
      <c r="O2317" s="86"/>
      <c r="P2317" s="86"/>
      <c r="Q2317" s="86"/>
      <c r="R2317" s="86"/>
      <c r="S2317" s="86"/>
      <c r="T2317" s="86"/>
      <c r="U2317" s="86"/>
      <c r="V2317" s="86"/>
      <c r="W2317" s="86"/>
      <c r="X2317" s="86"/>
      <c r="Y2317" s="86"/>
      <c r="Z2317" s="86"/>
      <c r="AA2317" s="86"/>
      <c r="AB2317" s="86"/>
      <c r="AC2317" s="86"/>
      <c r="AD2317" s="86"/>
      <c r="AE2317" s="86"/>
      <c r="AF2317" s="86"/>
      <c r="AG2317" s="86"/>
    </row>
    <row r="2318" spans="2:33" ht="15" customHeight="1" x14ac:dyDescent="0.25"/>
    <row r="2319" spans="2:33" ht="15" customHeight="1" x14ac:dyDescent="0.25"/>
    <row r="2320" spans="2:33" ht="15" customHeight="1" x14ac:dyDescent="0.25"/>
    <row r="2321" ht="15" customHeight="1" x14ac:dyDescent="0.25"/>
    <row r="2322" ht="15" customHeight="1" x14ac:dyDescent="0.25"/>
    <row r="2323" ht="15" customHeight="1" x14ac:dyDescent="0.25"/>
    <row r="2324" ht="15" customHeight="1" x14ac:dyDescent="0.25"/>
    <row r="2325" ht="15" customHeight="1" x14ac:dyDescent="0.25"/>
    <row r="2326" ht="15" customHeight="1" x14ac:dyDescent="0.25"/>
    <row r="2327" ht="15" customHeight="1" x14ac:dyDescent="0.25"/>
    <row r="2328" ht="15" customHeight="1" x14ac:dyDescent="0.25"/>
    <row r="2329" ht="15" customHeight="1" x14ac:dyDescent="0.25"/>
    <row r="2330" ht="15" customHeight="1" x14ac:dyDescent="0.25"/>
    <row r="2331" ht="15" customHeight="1" x14ac:dyDescent="0.25"/>
    <row r="2332" ht="15" customHeight="1" x14ac:dyDescent="0.25"/>
    <row r="2333" ht="15" customHeight="1" x14ac:dyDescent="0.25"/>
    <row r="2334" ht="15" customHeight="1" x14ac:dyDescent="0.25"/>
    <row r="2350" ht="15" customHeight="1" x14ac:dyDescent="0.25"/>
    <row r="2351" ht="15" customHeight="1" x14ac:dyDescent="0.25"/>
    <row r="2352" ht="15" customHeight="1" x14ac:dyDescent="0.25"/>
    <row r="2353" ht="15" customHeight="1" x14ac:dyDescent="0.25"/>
    <row r="2354" ht="15" customHeight="1" x14ac:dyDescent="0.25"/>
    <row r="2355" ht="15" customHeight="1" x14ac:dyDescent="0.25"/>
    <row r="2356" ht="15" customHeight="1" x14ac:dyDescent="0.25"/>
    <row r="2357" ht="15" customHeight="1" x14ac:dyDescent="0.25"/>
    <row r="2358" ht="15" customHeight="1" x14ac:dyDescent="0.25"/>
    <row r="2359" ht="15" customHeight="1" x14ac:dyDescent="0.25"/>
    <row r="2360" ht="15" customHeight="1" x14ac:dyDescent="0.25"/>
    <row r="2361" ht="15" customHeight="1" x14ac:dyDescent="0.25"/>
    <row r="2362" ht="15" customHeight="1" x14ac:dyDescent="0.25"/>
    <row r="2363" ht="15" customHeight="1" x14ac:dyDescent="0.25"/>
    <row r="2364" ht="15" customHeight="1" x14ac:dyDescent="0.25"/>
    <row r="2365" ht="15" customHeight="1" x14ac:dyDescent="0.25"/>
    <row r="2367" ht="15" customHeight="1" x14ac:dyDescent="0.25"/>
    <row r="2368" ht="15" customHeight="1" x14ac:dyDescent="0.25"/>
    <row r="2369" ht="15" customHeight="1" x14ac:dyDescent="0.25"/>
    <row r="2370" ht="15" customHeight="1" x14ac:dyDescent="0.25"/>
    <row r="2371" ht="15" customHeight="1" x14ac:dyDescent="0.25"/>
    <row r="2372" ht="15" customHeight="1" x14ac:dyDescent="0.25"/>
    <row r="2373" ht="15" customHeight="1" x14ac:dyDescent="0.25"/>
    <row r="2374" ht="15" customHeight="1" x14ac:dyDescent="0.25"/>
    <row r="2375" ht="15" customHeight="1" x14ac:dyDescent="0.25"/>
    <row r="2376" ht="15" customHeight="1" x14ac:dyDescent="0.25"/>
    <row r="2377" ht="15" customHeight="1" x14ac:dyDescent="0.25"/>
    <row r="2378" ht="15" customHeight="1" x14ac:dyDescent="0.25"/>
    <row r="2380" ht="15" customHeight="1" x14ac:dyDescent="0.25"/>
    <row r="2381" ht="15" customHeight="1" x14ac:dyDescent="0.25"/>
    <row r="2382" ht="15" customHeight="1" x14ac:dyDescent="0.25"/>
    <row r="2383" ht="15" customHeight="1" x14ac:dyDescent="0.25"/>
    <row r="2384" ht="15" customHeight="1" x14ac:dyDescent="0.25"/>
    <row r="2385" ht="15" customHeight="1" x14ac:dyDescent="0.25"/>
    <row r="2386" ht="15" customHeight="1" x14ac:dyDescent="0.25"/>
    <row r="2387" ht="15" customHeight="1" x14ac:dyDescent="0.25"/>
    <row r="2388" ht="15" customHeight="1" x14ac:dyDescent="0.25"/>
    <row r="2390" ht="15" customHeight="1" x14ac:dyDescent="0.25"/>
    <row r="2391" ht="15" customHeight="1" x14ac:dyDescent="0.25"/>
    <row r="2392" ht="15" customHeight="1" x14ac:dyDescent="0.25"/>
    <row r="2393" ht="15" customHeight="1" x14ac:dyDescent="0.25"/>
    <row r="2394" ht="15" customHeight="1" x14ac:dyDescent="0.25"/>
    <row r="2395" ht="15" customHeight="1" x14ac:dyDescent="0.25"/>
    <row r="2396" ht="15" customHeight="1" x14ac:dyDescent="0.25"/>
    <row r="2397" ht="15" customHeight="1" x14ac:dyDescent="0.25"/>
    <row r="2400" ht="15" customHeight="1" x14ac:dyDescent="0.25"/>
    <row r="2401" ht="15" customHeight="1" x14ac:dyDescent="0.25"/>
    <row r="2402" ht="15" customHeight="1" x14ac:dyDescent="0.25"/>
    <row r="2403" ht="15" customHeight="1" x14ac:dyDescent="0.25"/>
    <row r="2404" ht="15" customHeight="1" x14ac:dyDescent="0.25"/>
    <row r="2405" ht="15" customHeight="1" x14ac:dyDescent="0.25"/>
    <row r="2406" ht="15" customHeight="1" x14ac:dyDescent="0.25"/>
    <row r="2407" ht="15" customHeight="1" x14ac:dyDescent="0.25"/>
    <row r="2408" ht="15" customHeight="1" x14ac:dyDescent="0.25"/>
    <row r="2410" ht="15" customHeight="1" x14ac:dyDescent="0.25"/>
    <row r="2411" ht="15" customHeight="1" x14ac:dyDescent="0.25"/>
    <row r="2412" ht="15" customHeight="1" x14ac:dyDescent="0.25"/>
    <row r="2413" ht="15" customHeight="1" x14ac:dyDescent="0.25"/>
    <row r="2414" ht="15" customHeight="1" x14ac:dyDescent="0.25"/>
    <row r="2415" ht="15" customHeight="1" x14ac:dyDescent="0.25"/>
    <row r="2416" ht="15" customHeight="1" x14ac:dyDescent="0.25"/>
    <row r="2417" spans="2:33" ht="15" customHeight="1" x14ac:dyDescent="0.25"/>
    <row r="2418" spans="2:33" ht="15" customHeight="1" x14ac:dyDescent="0.25"/>
    <row r="2419" spans="2:33" ht="15" customHeight="1" x14ac:dyDescent="0.25">
      <c r="B2419" s="86"/>
      <c r="C2419" s="86"/>
      <c r="D2419" s="86"/>
      <c r="E2419" s="86"/>
      <c r="F2419" s="86"/>
      <c r="G2419" s="86"/>
      <c r="H2419" s="86"/>
      <c r="I2419" s="86"/>
      <c r="J2419" s="86"/>
      <c r="K2419" s="86"/>
      <c r="L2419" s="86"/>
      <c r="M2419" s="86"/>
      <c r="N2419" s="86"/>
      <c r="O2419" s="86"/>
      <c r="P2419" s="86"/>
      <c r="Q2419" s="86"/>
      <c r="R2419" s="86"/>
      <c r="S2419" s="86"/>
      <c r="T2419" s="86"/>
      <c r="U2419" s="86"/>
      <c r="V2419" s="86"/>
      <c r="W2419" s="86"/>
      <c r="X2419" s="86"/>
      <c r="Y2419" s="86"/>
      <c r="Z2419" s="86"/>
      <c r="AA2419" s="86"/>
      <c r="AB2419" s="86"/>
      <c r="AC2419" s="86"/>
      <c r="AD2419" s="86"/>
      <c r="AE2419" s="86"/>
      <c r="AF2419" s="86"/>
      <c r="AG2419" s="86"/>
    </row>
    <row r="2420" spans="2:33" ht="15" customHeight="1" x14ac:dyDescent="0.25"/>
    <row r="2421" spans="2:33" ht="15" customHeight="1" x14ac:dyDescent="0.25"/>
    <row r="2422" spans="2:33" ht="15" customHeight="1" x14ac:dyDescent="0.25"/>
    <row r="2423" spans="2:33" ht="15" customHeight="1" x14ac:dyDescent="0.25"/>
    <row r="2424" spans="2:33" ht="15" customHeight="1" x14ac:dyDescent="0.25"/>
    <row r="2425" spans="2:33" ht="15" customHeight="1" x14ac:dyDescent="0.25"/>
    <row r="2426" spans="2:33" ht="15" customHeight="1" x14ac:dyDescent="0.25"/>
    <row r="2427" spans="2:33" ht="15" customHeight="1" x14ac:dyDescent="0.25"/>
    <row r="2428" spans="2:33" ht="15" customHeight="1" x14ac:dyDescent="0.25"/>
    <row r="2429" spans="2:33" ht="15" customHeight="1" x14ac:dyDescent="0.25"/>
    <row r="2430" spans="2:33" ht="15" customHeight="1" x14ac:dyDescent="0.25"/>
    <row r="2431" spans="2:33" ht="15" customHeight="1" x14ac:dyDescent="0.25"/>
    <row r="2432" spans="2:33" ht="15" customHeight="1" x14ac:dyDescent="0.25"/>
    <row r="2433" ht="15" customHeight="1" x14ac:dyDescent="0.25"/>
    <row r="2434" ht="15" customHeight="1" x14ac:dyDescent="0.25"/>
    <row r="2435" ht="15" customHeight="1" x14ac:dyDescent="0.25"/>
    <row r="2436" ht="15" customHeight="1" x14ac:dyDescent="0.25"/>
    <row r="2437" ht="15" customHeight="1" x14ac:dyDescent="0.25"/>
    <row r="2450" ht="15" customHeight="1" x14ac:dyDescent="0.25"/>
    <row r="2451" ht="15" customHeight="1" x14ac:dyDescent="0.25"/>
    <row r="2452" ht="15" customHeight="1" x14ac:dyDescent="0.25"/>
    <row r="2453" ht="15" customHeight="1" x14ac:dyDescent="0.25"/>
    <row r="2454" ht="15" customHeight="1" x14ac:dyDescent="0.25"/>
    <row r="2455" ht="15" customHeight="1" x14ac:dyDescent="0.25"/>
    <row r="2457" ht="15" customHeight="1" x14ac:dyDescent="0.25"/>
    <row r="2459" ht="15" customHeight="1" x14ac:dyDescent="0.25"/>
    <row r="2461" ht="15" customHeight="1" x14ac:dyDescent="0.25"/>
    <row r="2462" ht="15" customHeight="1" x14ac:dyDescent="0.25"/>
    <row r="2463" ht="15" customHeight="1" x14ac:dyDescent="0.25"/>
    <row r="2464" ht="15" customHeight="1" x14ac:dyDescent="0.25"/>
    <row r="2465" ht="15" customHeight="1" x14ac:dyDescent="0.25"/>
    <row r="2467" ht="15" customHeight="1" x14ac:dyDescent="0.25"/>
    <row r="2468" ht="15" customHeight="1" x14ac:dyDescent="0.25"/>
    <row r="2469" ht="15" customHeight="1" x14ac:dyDescent="0.25"/>
    <row r="2470" ht="15" customHeight="1" x14ac:dyDescent="0.25"/>
    <row r="2471" ht="15" customHeight="1" x14ac:dyDescent="0.25"/>
    <row r="2472" ht="15" customHeight="1" x14ac:dyDescent="0.25"/>
    <row r="2473" ht="15" customHeight="1" x14ac:dyDescent="0.25"/>
    <row r="2475" ht="15" customHeight="1" x14ac:dyDescent="0.25"/>
    <row r="2476" ht="15" customHeight="1" x14ac:dyDescent="0.25"/>
    <row r="2477" ht="15" customHeight="1" x14ac:dyDescent="0.25"/>
    <row r="2478" ht="15" customHeight="1" x14ac:dyDescent="0.25"/>
    <row r="2479" ht="15" customHeight="1" x14ac:dyDescent="0.25"/>
    <row r="2480" ht="15" customHeight="1" x14ac:dyDescent="0.25"/>
    <row r="2481" ht="15" customHeight="1" x14ac:dyDescent="0.25"/>
    <row r="2482" ht="15" customHeight="1" x14ac:dyDescent="0.25"/>
    <row r="2483" ht="15" customHeight="1" x14ac:dyDescent="0.25"/>
    <row r="2484" ht="15" customHeight="1" x14ac:dyDescent="0.25"/>
    <row r="2486" ht="15" customHeight="1" x14ac:dyDescent="0.25"/>
    <row r="2488" ht="15" customHeight="1" x14ac:dyDescent="0.25"/>
    <row r="2489" ht="15" customHeight="1" x14ac:dyDescent="0.25"/>
    <row r="2490" ht="15" customHeight="1" x14ac:dyDescent="0.25"/>
    <row r="2491" ht="15" customHeight="1" x14ac:dyDescent="0.25"/>
    <row r="2492" ht="15" customHeight="1" x14ac:dyDescent="0.25"/>
    <row r="2495" ht="15" customHeight="1" x14ac:dyDescent="0.25"/>
    <row r="2496" ht="15" customHeight="1" x14ac:dyDescent="0.25"/>
    <row r="2498" spans="2:33" ht="15" customHeight="1" x14ac:dyDescent="0.25"/>
    <row r="2499" spans="2:33" ht="15" customHeight="1" x14ac:dyDescent="0.25"/>
    <row r="2500" spans="2:33" ht="15" customHeight="1" x14ac:dyDescent="0.25"/>
    <row r="2501" spans="2:33" ht="15" customHeight="1" x14ac:dyDescent="0.25"/>
    <row r="2502" spans="2:33" ht="15" customHeight="1" x14ac:dyDescent="0.25"/>
    <row r="2504" spans="2:33" ht="15" customHeight="1" x14ac:dyDescent="0.25"/>
    <row r="2505" spans="2:33" ht="15" customHeight="1" x14ac:dyDescent="0.25"/>
    <row r="2506" spans="2:33" ht="15" customHeight="1" x14ac:dyDescent="0.25"/>
    <row r="2507" spans="2:33" ht="15" customHeight="1" x14ac:dyDescent="0.25"/>
    <row r="2508" spans="2:33" ht="15" customHeight="1" x14ac:dyDescent="0.25"/>
    <row r="2509" spans="2:33" ht="15" customHeight="1" x14ac:dyDescent="0.25">
      <c r="B2509" s="86"/>
      <c r="C2509" s="86"/>
      <c r="D2509" s="86"/>
      <c r="E2509" s="86"/>
      <c r="F2509" s="86"/>
      <c r="G2509" s="86"/>
      <c r="H2509" s="86"/>
      <c r="I2509" s="86"/>
      <c r="J2509" s="86"/>
      <c r="K2509" s="86"/>
      <c r="L2509" s="86"/>
      <c r="M2509" s="86"/>
      <c r="N2509" s="86"/>
      <c r="O2509" s="86"/>
      <c r="P2509" s="86"/>
      <c r="Q2509" s="86"/>
      <c r="R2509" s="86"/>
      <c r="S2509" s="86"/>
      <c r="T2509" s="86"/>
      <c r="U2509" s="86"/>
      <c r="V2509" s="86"/>
      <c r="W2509" s="86"/>
      <c r="X2509" s="86"/>
      <c r="Y2509" s="86"/>
      <c r="Z2509" s="86"/>
      <c r="AA2509" s="86"/>
      <c r="AB2509" s="86"/>
      <c r="AC2509" s="86"/>
      <c r="AD2509" s="86"/>
      <c r="AE2509" s="86"/>
      <c r="AF2509" s="86"/>
      <c r="AG2509" s="86"/>
    </row>
    <row r="2510" spans="2:33" ht="15" customHeight="1" x14ac:dyDescent="0.25"/>
    <row r="2511" spans="2:33" ht="15" customHeight="1" x14ac:dyDescent="0.25"/>
    <row r="2512" spans="2:33" ht="15" customHeight="1" x14ac:dyDescent="0.25"/>
    <row r="2513" ht="15" customHeight="1" x14ac:dyDescent="0.25"/>
    <row r="2514" ht="15" customHeight="1" x14ac:dyDescent="0.25"/>
    <row r="2515" ht="15" customHeight="1" x14ac:dyDescent="0.25"/>
    <row r="2516" ht="15" customHeight="1" x14ac:dyDescent="0.25"/>
    <row r="2517" ht="15" customHeight="1" x14ac:dyDescent="0.25"/>
    <row r="2518" ht="15" customHeight="1" x14ac:dyDescent="0.25"/>
    <row r="2519" ht="15" customHeight="1" x14ac:dyDescent="0.25"/>
    <row r="2520" ht="15" customHeight="1" x14ac:dyDescent="0.25"/>
    <row r="2521" ht="15" customHeight="1" x14ac:dyDescent="0.25"/>
    <row r="2522" ht="15" customHeight="1" x14ac:dyDescent="0.25"/>
    <row r="2523" ht="15" customHeight="1" x14ac:dyDescent="0.25"/>
    <row r="2524" ht="15" customHeight="1" x14ac:dyDescent="0.25"/>
    <row r="2525" ht="15" customHeight="1" x14ac:dyDescent="0.25"/>
    <row r="2526" ht="15" customHeight="1" x14ac:dyDescent="0.25"/>
    <row r="2527" ht="15" customHeight="1" x14ac:dyDescent="0.25"/>
    <row r="2528" ht="15" customHeight="1" x14ac:dyDescent="0.25"/>
    <row r="2529" ht="15" customHeight="1" x14ac:dyDescent="0.25"/>
    <row r="2550" ht="15" customHeight="1" x14ac:dyDescent="0.25"/>
    <row r="2551" ht="15" customHeight="1" x14ac:dyDescent="0.25"/>
    <row r="2552" ht="15" customHeight="1" x14ac:dyDescent="0.25"/>
    <row r="2553" ht="15" customHeight="1" x14ac:dyDescent="0.25"/>
    <row r="2554" ht="15" customHeight="1" x14ac:dyDescent="0.25"/>
    <row r="2555" ht="15" customHeight="1" x14ac:dyDescent="0.25"/>
    <row r="2556" ht="15" customHeight="1" x14ac:dyDescent="0.25"/>
    <row r="2557" ht="15" customHeight="1" x14ac:dyDescent="0.25"/>
    <row r="2558" ht="15" customHeight="1" x14ac:dyDescent="0.25"/>
    <row r="2559" ht="15" customHeight="1" x14ac:dyDescent="0.25"/>
    <row r="2561" ht="15" customHeight="1" x14ac:dyDescent="0.25"/>
    <row r="2562" ht="15" customHeight="1" x14ac:dyDescent="0.25"/>
    <row r="2563" ht="15" customHeight="1" x14ac:dyDescent="0.25"/>
    <row r="2564" ht="15" customHeight="1" x14ac:dyDescent="0.25"/>
    <row r="2565" ht="15" customHeight="1" x14ac:dyDescent="0.25"/>
    <row r="2566" ht="15" customHeight="1" x14ac:dyDescent="0.25"/>
    <row r="2568" ht="15" customHeight="1" x14ac:dyDescent="0.25"/>
    <row r="2569" ht="15" customHeight="1" x14ac:dyDescent="0.25"/>
    <row r="2570" ht="15" customHeight="1" x14ac:dyDescent="0.25"/>
    <row r="2571" ht="15" customHeight="1" x14ac:dyDescent="0.25"/>
    <row r="2572" ht="15" customHeight="1" x14ac:dyDescent="0.25"/>
    <row r="2573" ht="15" customHeight="1" x14ac:dyDescent="0.25"/>
    <row r="2575" ht="15" customHeight="1" x14ac:dyDescent="0.25"/>
    <row r="2576" ht="15" customHeight="1" x14ac:dyDescent="0.25"/>
    <row r="2577" ht="15" customHeight="1" x14ac:dyDescent="0.25"/>
    <row r="2578" ht="15" customHeight="1" x14ac:dyDescent="0.25"/>
    <row r="2579" ht="15" customHeight="1" x14ac:dyDescent="0.25"/>
    <row r="2581" ht="15" customHeight="1" x14ac:dyDescent="0.25"/>
    <row r="2582" ht="15" customHeight="1" x14ac:dyDescent="0.25"/>
    <row r="2583" ht="15" customHeight="1" x14ac:dyDescent="0.25"/>
    <row r="2584" ht="15" customHeight="1" x14ac:dyDescent="0.25"/>
    <row r="2585" ht="15" customHeight="1" x14ac:dyDescent="0.25"/>
    <row r="2586" ht="15" customHeight="1" x14ac:dyDescent="0.25"/>
    <row r="2588" ht="15" customHeight="1" x14ac:dyDescent="0.25"/>
    <row r="2589" ht="15" customHeight="1" x14ac:dyDescent="0.25"/>
    <row r="2590" ht="15" customHeight="1" x14ac:dyDescent="0.25"/>
    <row r="2591" ht="15" customHeight="1" x14ac:dyDescent="0.25"/>
    <row r="2592" ht="15" customHeight="1" x14ac:dyDescent="0.25"/>
    <row r="2593" spans="2:33" ht="15" customHeight="1" x14ac:dyDescent="0.25"/>
    <row r="2595" spans="2:33" ht="15" customHeight="1" x14ac:dyDescent="0.25"/>
    <row r="2596" spans="2:33" ht="15" customHeight="1" x14ac:dyDescent="0.25"/>
    <row r="2597" spans="2:33" ht="15" customHeight="1" x14ac:dyDescent="0.25"/>
    <row r="2598" spans="2:33" ht="15" customHeight="1" x14ac:dyDescent="0.25">
      <c r="B2598" s="86"/>
      <c r="C2598" s="86"/>
      <c r="D2598" s="86"/>
      <c r="E2598" s="86"/>
      <c r="F2598" s="86"/>
      <c r="G2598" s="86"/>
      <c r="H2598" s="86"/>
      <c r="I2598" s="86"/>
      <c r="J2598" s="86"/>
      <c r="K2598" s="86"/>
      <c r="L2598" s="86"/>
      <c r="M2598" s="86"/>
      <c r="N2598" s="86"/>
      <c r="O2598" s="86"/>
      <c r="P2598" s="86"/>
      <c r="Q2598" s="86"/>
      <c r="R2598" s="86"/>
      <c r="S2598" s="86"/>
      <c r="T2598" s="86"/>
      <c r="U2598" s="86"/>
      <c r="V2598" s="86"/>
      <c r="W2598" s="86"/>
      <c r="X2598" s="86"/>
      <c r="Y2598" s="86"/>
      <c r="Z2598" s="86"/>
      <c r="AA2598" s="86"/>
      <c r="AB2598" s="86"/>
      <c r="AC2598" s="86"/>
      <c r="AD2598" s="86"/>
      <c r="AE2598" s="86"/>
      <c r="AF2598" s="86"/>
      <c r="AG2598" s="86"/>
    </row>
    <row r="2599" spans="2:33" ht="15" customHeight="1" x14ac:dyDescent="0.25"/>
    <row r="2600" spans="2:33" ht="15" customHeight="1" x14ac:dyDescent="0.25"/>
    <row r="2601" spans="2:33" ht="15" customHeight="1" x14ac:dyDescent="0.25"/>
    <row r="2602" spans="2:33" ht="15" customHeight="1" x14ac:dyDescent="0.25"/>
    <row r="2603" spans="2:33" ht="15" customHeight="1" x14ac:dyDescent="0.25"/>
    <row r="2604" spans="2:33" ht="15" customHeight="1" x14ac:dyDescent="0.25"/>
    <row r="2605" spans="2:33" ht="15" customHeight="1" x14ac:dyDescent="0.25"/>
    <row r="2606" spans="2:33" ht="15" customHeight="1" x14ac:dyDescent="0.25"/>
    <row r="2607" spans="2:33" ht="15" customHeight="1" x14ac:dyDescent="0.25"/>
    <row r="2608" spans="2:33" ht="15" customHeight="1" x14ac:dyDescent="0.25"/>
    <row r="2609" ht="15" customHeight="1" x14ac:dyDescent="0.25"/>
    <row r="2610" ht="15" customHeight="1" x14ac:dyDescent="0.25"/>
    <row r="2611" ht="15" customHeight="1" x14ac:dyDescent="0.25"/>
    <row r="2612" ht="15" customHeight="1" x14ac:dyDescent="0.25"/>
    <row r="2613" ht="15" customHeight="1" x14ac:dyDescent="0.25"/>
    <row r="2614" ht="15" customHeight="1" x14ac:dyDescent="0.25"/>
    <row r="2615" ht="15" customHeight="1" x14ac:dyDescent="0.25"/>
    <row r="2625" ht="15" customHeight="1" x14ac:dyDescent="0.25"/>
    <row r="2626" ht="15" customHeight="1" x14ac:dyDescent="0.25"/>
    <row r="2627" ht="15" customHeight="1" x14ac:dyDescent="0.25"/>
    <row r="2628" ht="15" customHeight="1" x14ac:dyDescent="0.25"/>
    <row r="2629" ht="15" customHeight="1" x14ac:dyDescent="0.25"/>
    <row r="2630" ht="15" customHeight="1" x14ac:dyDescent="0.25"/>
    <row r="2631" ht="15" customHeight="1" x14ac:dyDescent="0.25"/>
    <row r="2632" ht="15" customHeight="1" x14ac:dyDescent="0.25"/>
    <row r="2633" ht="15" customHeight="1" x14ac:dyDescent="0.25"/>
    <row r="2634" ht="15" customHeight="1" x14ac:dyDescent="0.25"/>
    <row r="2635" ht="15" customHeight="1" x14ac:dyDescent="0.25"/>
    <row r="2636" ht="15" customHeight="1" x14ac:dyDescent="0.25"/>
    <row r="2637" ht="15" customHeight="1" x14ac:dyDescent="0.25"/>
    <row r="2638" ht="15" customHeight="1" x14ac:dyDescent="0.25"/>
    <row r="2639" ht="15" customHeight="1" x14ac:dyDescent="0.25"/>
    <row r="2640" ht="15" customHeight="1" x14ac:dyDescent="0.25"/>
    <row r="2641" ht="15" customHeight="1" x14ac:dyDescent="0.25"/>
    <row r="2642" ht="15" customHeight="1" x14ac:dyDescent="0.25"/>
    <row r="2643" ht="15" customHeight="1" x14ac:dyDescent="0.25"/>
    <row r="2644" ht="15" customHeight="1" x14ac:dyDescent="0.25"/>
    <row r="2645" ht="15" customHeight="1" x14ac:dyDescent="0.25"/>
    <row r="2646" ht="15" customHeight="1" x14ac:dyDescent="0.25"/>
    <row r="2648" ht="15" customHeight="1" x14ac:dyDescent="0.25"/>
    <row r="2649" ht="15" customHeight="1" x14ac:dyDescent="0.25"/>
    <row r="2650" ht="15" customHeight="1" x14ac:dyDescent="0.25"/>
    <row r="2651" ht="15" customHeight="1" x14ac:dyDescent="0.25"/>
    <row r="2652" ht="15" customHeight="1" x14ac:dyDescent="0.25"/>
    <row r="2653" ht="15" customHeight="1" x14ac:dyDescent="0.25"/>
    <row r="2654" ht="15" customHeight="1" x14ac:dyDescent="0.25"/>
    <row r="2655" ht="15" customHeight="1" x14ac:dyDescent="0.25"/>
    <row r="2656" ht="15" customHeight="1" x14ac:dyDescent="0.25"/>
    <row r="2657" ht="15" customHeight="1" x14ac:dyDescent="0.25"/>
    <row r="2658" ht="15" customHeight="1" x14ac:dyDescent="0.25"/>
    <row r="2659" ht="15" customHeight="1" x14ac:dyDescent="0.25"/>
    <row r="2662" ht="15" customHeight="1" x14ac:dyDescent="0.25"/>
    <row r="2663" ht="15" customHeight="1" x14ac:dyDescent="0.25"/>
    <row r="2664" ht="15" customHeight="1" x14ac:dyDescent="0.25"/>
    <row r="2665" ht="15" customHeight="1" x14ac:dyDescent="0.25"/>
    <row r="2666" ht="15" customHeight="1" x14ac:dyDescent="0.25"/>
    <row r="2667" ht="15" customHeight="1" x14ac:dyDescent="0.25"/>
    <row r="2668" ht="15" customHeight="1" x14ac:dyDescent="0.25"/>
    <row r="2669" ht="15" customHeight="1" x14ac:dyDescent="0.25"/>
    <row r="2670" ht="15" customHeight="1" x14ac:dyDescent="0.25"/>
    <row r="2671" ht="15" customHeight="1" x14ac:dyDescent="0.25"/>
    <row r="2672" ht="15" customHeight="1" x14ac:dyDescent="0.25"/>
    <row r="2673" ht="15" customHeight="1" x14ac:dyDescent="0.25"/>
    <row r="2674" ht="15" customHeight="1" x14ac:dyDescent="0.25"/>
    <row r="2675" ht="15" customHeight="1" x14ac:dyDescent="0.25"/>
    <row r="2676" ht="15" customHeight="1" x14ac:dyDescent="0.25"/>
    <row r="2677" ht="15" customHeight="1" x14ac:dyDescent="0.25"/>
    <row r="2678" ht="15" customHeight="1" x14ac:dyDescent="0.25"/>
    <row r="2679" ht="15" customHeight="1" x14ac:dyDescent="0.25"/>
    <row r="2680" ht="15" customHeight="1" x14ac:dyDescent="0.25"/>
    <row r="2681" ht="15" customHeight="1" x14ac:dyDescent="0.25"/>
    <row r="2682" ht="15" customHeight="1" x14ac:dyDescent="0.25"/>
    <row r="2683" ht="15" customHeight="1" x14ac:dyDescent="0.25"/>
    <row r="2684" ht="15" customHeight="1" x14ac:dyDescent="0.25"/>
    <row r="2685" ht="15" customHeight="1" x14ac:dyDescent="0.25"/>
    <row r="2686" ht="15" customHeight="1" x14ac:dyDescent="0.25"/>
    <row r="2687" ht="15" customHeight="1" x14ac:dyDescent="0.25"/>
    <row r="2689" ht="15" customHeight="1" x14ac:dyDescent="0.25"/>
    <row r="2690" ht="15" customHeight="1" x14ac:dyDescent="0.25"/>
    <row r="2691" ht="15" customHeight="1" x14ac:dyDescent="0.25"/>
    <row r="2692" ht="15" customHeight="1" x14ac:dyDescent="0.25"/>
    <row r="2693" ht="15" customHeight="1" x14ac:dyDescent="0.25"/>
    <row r="2694" ht="15" customHeight="1" x14ac:dyDescent="0.25"/>
    <row r="2695" ht="15" customHeight="1" x14ac:dyDescent="0.25"/>
    <row r="2696" ht="15" customHeight="1" x14ac:dyDescent="0.25"/>
    <row r="2697" ht="15" customHeight="1" x14ac:dyDescent="0.25"/>
    <row r="2698" ht="15" customHeight="1" x14ac:dyDescent="0.25"/>
    <row r="2699" ht="15" customHeight="1" x14ac:dyDescent="0.25"/>
    <row r="2700" ht="15" customHeight="1" x14ac:dyDescent="0.25"/>
    <row r="2701" ht="15" customHeight="1" x14ac:dyDescent="0.25"/>
    <row r="2702" ht="15" customHeight="1" x14ac:dyDescent="0.25"/>
    <row r="2703" ht="15" customHeight="1" x14ac:dyDescent="0.25"/>
    <row r="2704" ht="15" customHeight="1" x14ac:dyDescent="0.25"/>
    <row r="2707" spans="2:33" ht="15" customHeight="1" x14ac:dyDescent="0.25"/>
    <row r="2708" spans="2:33" ht="15" customHeight="1" x14ac:dyDescent="0.25"/>
    <row r="2709" spans="2:33" ht="15" customHeight="1" x14ac:dyDescent="0.25"/>
    <row r="2710" spans="2:33" ht="15" customHeight="1" x14ac:dyDescent="0.25"/>
    <row r="2711" spans="2:33" ht="15" customHeight="1" x14ac:dyDescent="0.25"/>
    <row r="2712" spans="2:33" ht="15" customHeight="1" x14ac:dyDescent="0.25"/>
    <row r="2713" spans="2:33" ht="15" customHeight="1" x14ac:dyDescent="0.25"/>
    <row r="2714" spans="2:33" ht="15" customHeight="1" x14ac:dyDescent="0.25"/>
    <row r="2715" spans="2:33" ht="15" customHeight="1" x14ac:dyDescent="0.25"/>
    <row r="2716" spans="2:33" ht="15" customHeight="1" x14ac:dyDescent="0.25"/>
    <row r="2717" spans="2:33" ht="15" customHeight="1" x14ac:dyDescent="0.25"/>
    <row r="2718" spans="2:33" ht="15" customHeight="1" x14ac:dyDescent="0.25"/>
    <row r="2719" spans="2:33" ht="15" customHeight="1" x14ac:dyDescent="0.25">
      <c r="B2719" s="86"/>
      <c r="C2719" s="86"/>
      <c r="D2719" s="86"/>
      <c r="E2719" s="86"/>
      <c r="F2719" s="86"/>
      <c r="G2719" s="86"/>
      <c r="H2719" s="86"/>
      <c r="I2719" s="86"/>
      <c r="J2719" s="86"/>
      <c r="K2719" s="86"/>
      <c r="L2719" s="86"/>
      <c r="M2719" s="86"/>
      <c r="N2719" s="86"/>
      <c r="O2719" s="86"/>
      <c r="P2719" s="86"/>
      <c r="Q2719" s="86"/>
      <c r="R2719" s="86"/>
      <c r="S2719" s="86"/>
      <c r="T2719" s="86"/>
      <c r="U2719" s="86"/>
      <c r="V2719" s="86"/>
      <c r="W2719" s="86"/>
      <c r="X2719" s="86"/>
      <c r="Y2719" s="86"/>
      <c r="Z2719" s="86"/>
      <c r="AA2719" s="86"/>
      <c r="AB2719" s="86"/>
      <c r="AC2719" s="86"/>
      <c r="AD2719" s="86"/>
      <c r="AE2719" s="86"/>
      <c r="AF2719" s="86"/>
      <c r="AG2719" s="86"/>
    </row>
    <row r="2720" spans="2:33" ht="15" customHeight="1" x14ac:dyDescent="0.25"/>
    <row r="2721" ht="15" customHeight="1" x14ac:dyDescent="0.25"/>
    <row r="2722" ht="15" customHeight="1" x14ac:dyDescent="0.25"/>
    <row r="2723" ht="15" customHeight="1" x14ac:dyDescent="0.25"/>
    <row r="2724" ht="15" customHeight="1" x14ac:dyDescent="0.25"/>
    <row r="2725" ht="15" customHeight="1" x14ac:dyDescent="0.25"/>
    <row r="2726" ht="15" customHeight="1" x14ac:dyDescent="0.25"/>
    <row r="2727" ht="15" customHeight="1" x14ac:dyDescent="0.25"/>
    <row r="2728" ht="15" customHeight="1" x14ac:dyDescent="0.25"/>
    <row r="2729" ht="15" customHeight="1" x14ac:dyDescent="0.25"/>
    <row r="2730" ht="15" customHeight="1" x14ac:dyDescent="0.25"/>
    <row r="2731" ht="15" customHeight="1" x14ac:dyDescent="0.25"/>
    <row r="2732" ht="15" customHeight="1" x14ac:dyDescent="0.25"/>
    <row r="2733" ht="15" customHeight="1" x14ac:dyDescent="0.25"/>
    <row r="2734" ht="15" customHeight="1" x14ac:dyDescent="0.25"/>
    <row r="2735" ht="15" customHeight="1" x14ac:dyDescent="0.25"/>
    <row r="2736" ht="15" customHeight="1" x14ac:dyDescent="0.25"/>
    <row r="2737" ht="15" customHeight="1" x14ac:dyDescent="0.25"/>
    <row r="2738" ht="15" customHeight="1" x14ac:dyDescent="0.25"/>
    <row r="2739" ht="15" customHeight="1" x14ac:dyDescent="0.25"/>
    <row r="2740" ht="15" customHeight="1" x14ac:dyDescent="0.25"/>
    <row r="2741" ht="15" customHeight="1" x14ac:dyDescent="0.25"/>
    <row r="2742" ht="15" customHeight="1" x14ac:dyDescent="0.25"/>
    <row r="2743" ht="15" customHeight="1" x14ac:dyDescent="0.25"/>
    <row r="2775" ht="15" customHeight="1" x14ac:dyDescent="0.25"/>
    <row r="2776" ht="15" customHeight="1" x14ac:dyDescent="0.25"/>
    <row r="2777" ht="15" customHeight="1" x14ac:dyDescent="0.25"/>
    <row r="2778" ht="15" customHeight="1" x14ac:dyDescent="0.25"/>
    <row r="2779" ht="15" customHeight="1" x14ac:dyDescent="0.25"/>
    <row r="2780" ht="15" customHeight="1" x14ac:dyDescent="0.25"/>
    <row r="2781" ht="15" customHeight="1" x14ac:dyDescent="0.25"/>
    <row r="2782" ht="15" customHeight="1" x14ac:dyDescent="0.25"/>
    <row r="2783" ht="15" customHeight="1" x14ac:dyDescent="0.25"/>
    <row r="2784" ht="15" customHeight="1" x14ac:dyDescent="0.25"/>
    <row r="2785" ht="15" customHeight="1" x14ac:dyDescent="0.25"/>
    <row r="2786" ht="15" customHeight="1" x14ac:dyDescent="0.25"/>
    <row r="2788" ht="15" customHeight="1" x14ac:dyDescent="0.25"/>
    <row r="2789" ht="15" customHeight="1" x14ac:dyDescent="0.25"/>
    <row r="2790" ht="15" customHeight="1" x14ac:dyDescent="0.25"/>
    <row r="2791" ht="15" customHeight="1" x14ac:dyDescent="0.25"/>
    <row r="2793" ht="15" customHeight="1" x14ac:dyDescent="0.25"/>
    <row r="2794" ht="15" customHeight="1" x14ac:dyDescent="0.25"/>
    <row r="2795" ht="15" customHeight="1" x14ac:dyDescent="0.25"/>
    <row r="2796" ht="15" customHeight="1" x14ac:dyDescent="0.25"/>
    <row r="2797" ht="15" customHeight="1" x14ac:dyDescent="0.25"/>
    <row r="2798" ht="15" customHeight="1" x14ac:dyDescent="0.25"/>
    <row r="2799" ht="15" customHeight="1" x14ac:dyDescent="0.25"/>
    <row r="2800" ht="15" customHeight="1" x14ac:dyDescent="0.25"/>
    <row r="2801" ht="15" customHeight="1" x14ac:dyDescent="0.25"/>
    <row r="2802" ht="15" customHeight="1" x14ac:dyDescent="0.25"/>
    <row r="2804" ht="15" customHeight="1" x14ac:dyDescent="0.25"/>
    <row r="2805" ht="15" customHeight="1" x14ac:dyDescent="0.25"/>
    <row r="2806" ht="15" customHeight="1" x14ac:dyDescent="0.25"/>
    <row r="2807" ht="15" customHeight="1" x14ac:dyDescent="0.25"/>
    <row r="2809" ht="15" customHeight="1" x14ac:dyDescent="0.25"/>
    <row r="2810" ht="15" customHeight="1" x14ac:dyDescent="0.25"/>
    <row r="2811" ht="15" customHeight="1" x14ac:dyDescent="0.25"/>
    <row r="2812" ht="15" customHeight="1" x14ac:dyDescent="0.25"/>
    <row r="2813" ht="15" customHeight="1" x14ac:dyDescent="0.25"/>
    <row r="2814" ht="15" customHeight="1" x14ac:dyDescent="0.25"/>
    <row r="2815" ht="15" customHeight="1" x14ac:dyDescent="0.25"/>
    <row r="2816" ht="15" customHeight="1" x14ac:dyDescent="0.25"/>
    <row r="2818" ht="15" customHeight="1" x14ac:dyDescent="0.25"/>
    <row r="2819" ht="15" customHeight="1" x14ac:dyDescent="0.25"/>
    <row r="2820" ht="15" customHeight="1" x14ac:dyDescent="0.25"/>
    <row r="2821" ht="15" customHeight="1" x14ac:dyDescent="0.25"/>
    <row r="2822" ht="15" customHeight="1" x14ac:dyDescent="0.25"/>
    <row r="2823" ht="15" customHeight="1" x14ac:dyDescent="0.25"/>
    <row r="2825" ht="15" customHeight="1" x14ac:dyDescent="0.25"/>
    <row r="2826" ht="15" customHeight="1" x14ac:dyDescent="0.25"/>
    <row r="2827" ht="15" customHeight="1" x14ac:dyDescent="0.25"/>
    <row r="2828" ht="15" customHeight="1" x14ac:dyDescent="0.25"/>
    <row r="2831" ht="15" customHeight="1" x14ac:dyDescent="0.25"/>
    <row r="2832" ht="15" customHeight="1" x14ac:dyDescent="0.25"/>
    <row r="2833" spans="2:33" ht="15" customHeight="1" x14ac:dyDescent="0.25"/>
    <row r="2834" spans="2:33" ht="15" customHeight="1" x14ac:dyDescent="0.25"/>
    <row r="2835" spans="2:33" ht="15" customHeight="1" x14ac:dyDescent="0.25"/>
    <row r="2836" spans="2:33" ht="15" customHeight="1" x14ac:dyDescent="0.25"/>
    <row r="2837" spans="2:33" ht="15" customHeight="1" x14ac:dyDescent="0.25">
      <c r="B2837" s="86"/>
      <c r="C2837" s="86"/>
      <c r="D2837" s="86"/>
      <c r="E2837" s="86"/>
      <c r="F2837" s="86"/>
      <c r="G2837" s="86"/>
      <c r="H2837" s="86"/>
      <c r="I2837" s="86"/>
      <c r="J2837" s="86"/>
      <c r="K2837" s="86"/>
      <c r="L2837" s="86"/>
      <c r="M2837" s="86"/>
      <c r="N2837" s="86"/>
      <c r="O2837" s="86"/>
      <c r="P2837" s="86"/>
      <c r="Q2837" s="86"/>
      <c r="R2837" s="86"/>
      <c r="S2837" s="86"/>
      <c r="T2837" s="86"/>
      <c r="U2837" s="86"/>
      <c r="V2837" s="86"/>
      <c r="W2837" s="86"/>
      <c r="X2837" s="86"/>
      <c r="Y2837" s="86"/>
      <c r="Z2837" s="86"/>
      <c r="AA2837" s="86"/>
      <c r="AB2837" s="86"/>
      <c r="AC2837" s="86"/>
      <c r="AD2837" s="86"/>
      <c r="AE2837" s="86"/>
      <c r="AF2837" s="86"/>
      <c r="AG2837" s="86"/>
    </row>
    <row r="2838" spans="2:33" ht="15" customHeight="1" x14ac:dyDescent="0.25"/>
    <row r="2839" spans="2:33" ht="15" customHeight="1" x14ac:dyDescent="0.25"/>
    <row r="2840" spans="2:33" ht="15" customHeight="1" x14ac:dyDescent="0.25"/>
    <row r="2841" spans="2:33" ht="15" customHeight="1" x14ac:dyDescent="0.25"/>
  </sheetData>
  <mergeCells count="19">
    <mergeCell ref="B2031:AG2031"/>
    <mergeCell ref="B308:AG308"/>
    <mergeCell ref="B511:AG511"/>
    <mergeCell ref="B712:AG712"/>
    <mergeCell ref="B887:AG887"/>
    <mergeCell ref="B1100:AG1100"/>
    <mergeCell ref="B1227:AG1227"/>
    <mergeCell ref="B1390:AG1390"/>
    <mergeCell ref="B1502:AG1502"/>
    <mergeCell ref="B1604:AG1604"/>
    <mergeCell ref="B1698:AG1698"/>
    <mergeCell ref="B1945:AG1945"/>
    <mergeCell ref="B2837:AG2837"/>
    <mergeCell ref="B2153:AG2153"/>
    <mergeCell ref="B2317:AG2317"/>
    <mergeCell ref="B2419:AG2419"/>
    <mergeCell ref="B2509:AG2509"/>
    <mergeCell ref="B2598:AG2598"/>
    <mergeCell ref="B2719:AG2719"/>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9EFAF-451C-49D3-BFB4-3F4D2576DA7D}">
  <dimension ref="A1:AH2837"/>
  <sheetViews>
    <sheetView zoomScale="80" zoomScaleNormal="80" workbookViewId="0">
      <pane xSplit="2" ySplit="1" topLeftCell="C2" activePane="bottomRight" state="frozen"/>
      <selection pane="topRight" activeCell="C1" sqref="C1"/>
      <selection pane="bottomLeft" activeCell="A2" sqref="A2"/>
      <selection pane="bottomRight" activeCell="J55" sqref="J55"/>
    </sheetView>
  </sheetViews>
  <sheetFormatPr defaultRowHeight="15" customHeight="1" x14ac:dyDescent="0.25"/>
  <cols>
    <col min="1" max="1" width="21.85546875" customWidth="1"/>
    <col min="2" max="2" width="49" customWidth="1"/>
  </cols>
  <sheetData>
    <row r="1" spans="1:34" ht="15" customHeight="1" thickBot="1" x14ac:dyDescent="0.3">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x14ac:dyDescent="0.25"/>
    <row r="3" spans="1:34" ht="15" customHeight="1" x14ac:dyDescent="0.25">
      <c r="C3" s="26" t="s">
        <v>36</v>
      </c>
      <c r="D3" s="26" t="s">
        <v>297</v>
      </c>
      <c r="E3" s="27"/>
      <c r="F3" s="27"/>
      <c r="G3" s="27"/>
      <c r="H3" s="27"/>
    </row>
    <row r="4" spans="1:34" ht="15" customHeight="1" x14ac:dyDescent="0.25">
      <c r="C4" s="26" t="s">
        <v>35</v>
      </c>
      <c r="D4" s="26" t="s">
        <v>298</v>
      </c>
      <c r="E4" s="27"/>
      <c r="F4" s="27"/>
      <c r="G4" s="26" t="s">
        <v>34</v>
      </c>
      <c r="H4" s="27"/>
    </row>
    <row r="5" spans="1:34" ht="15" customHeight="1" x14ac:dyDescent="0.25">
      <c r="C5" s="26" t="s">
        <v>33</v>
      </c>
      <c r="D5" s="26" t="s">
        <v>299</v>
      </c>
      <c r="E5" s="27"/>
      <c r="F5" s="27"/>
      <c r="G5" s="27"/>
      <c r="H5" s="27"/>
    </row>
    <row r="6" spans="1:34" ht="15" customHeight="1" x14ac:dyDescent="0.25">
      <c r="C6" s="26" t="s">
        <v>32</v>
      </c>
      <c r="D6" s="27"/>
      <c r="E6" s="26" t="s">
        <v>300</v>
      </c>
      <c r="F6" s="27"/>
      <c r="G6" s="27"/>
      <c r="H6" s="27"/>
    </row>
    <row r="7" spans="1:34" ht="15" customHeight="1" x14ac:dyDescent="0.25">
      <c r="C7" s="27"/>
      <c r="D7" s="27"/>
      <c r="E7" s="27"/>
      <c r="F7" s="27"/>
      <c r="G7" s="27"/>
      <c r="H7" s="27"/>
    </row>
    <row r="10" spans="1:34" ht="15" customHeight="1" x14ac:dyDescent="0.25">
      <c r="A10" s="6" t="s">
        <v>138</v>
      </c>
      <c r="B10" s="15" t="s">
        <v>139</v>
      </c>
      <c r="AH10" s="28" t="s">
        <v>301</v>
      </c>
    </row>
    <row r="11" spans="1:34" ht="15" customHeight="1" x14ac:dyDescent="0.25">
      <c r="B11" s="13" t="s">
        <v>283</v>
      </c>
      <c r="AH11" s="28" t="s">
        <v>302</v>
      </c>
    </row>
    <row r="12" spans="1:34" ht="15" customHeight="1" x14ac:dyDescent="0.25">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x14ac:dyDescent="0.3">
      <c r="B13" s="14" t="s">
        <v>140</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x14ac:dyDescent="0.25"/>
    <row r="15" spans="1:34" ht="15" customHeight="1" x14ac:dyDescent="0.25">
      <c r="B15" s="16" t="s">
        <v>141</v>
      </c>
    </row>
    <row r="16" spans="1:34" ht="15" customHeight="1" x14ac:dyDescent="0.25">
      <c r="A16" s="6" t="s">
        <v>142</v>
      </c>
      <c r="B16" s="17" t="s">
        <v>143</v>
      </c>
      <c r="C16" s="25">
        <v>17.296467</v>
      </c>
      <c r="D16" s="25">
        <v>17.183254000000002</v>
      </c>
      <c r="E16" s="25">
        <v>17.386811999999999</v>
      </c>
      <c r="F16" s="25">
        <v>17.278085999999998</v>
      </c>
      <c r="G16" s="25">
        <v>17.282633000000001</v>
      </c>
      <c r="H16" s="25">
        <v>17.365963000000001</v>
      </c>
      <c r="I16" s="25">
        <v>17.281718999999999</v>
      </c>
      <c r="J16" s="25">
        <v>17.232769000000001</v>
      </c>
      <c r="K16" s="25">
        <v>17.352678000000001</v>
      </c>
      <c r="L16" s="25">
        <v>17.525155999999999</v>
      </c>
      <c r="M16" s="25">
        <v>18.105442</v>
      </c>
      <c r="N16" s="25">
        <v>18.397449000000002</v>
      </c>
      <c r="O16" s="25">
        <v>18.665576999999999</v>
      </c>
      <c r="P16" s="25">
        <v>18.886859999999999</v>
      </c>
      <c r="Q16" s="25">
        <v>19.101889</v>
      </c>
      <c r="R16" s="25">
        <v>19.237110000000001</v>
      </c>
      <c r="S16" s="25">
        <v>19.411159999999999</v>
      </c>
      <c r="T16" s="25">
        <v>19.712313000000002</v>
      </c>
      <c r="U16" s="25">
        <v>19.979467</v>
      </c>
      <c r="V16" s="25">
        <v>20.173356999999999</v>
      </c>
      <c r="W16" s="25">
        <v>20.375391</v>
      </c>
      <c r="X16" s="25">
        <v>20.580265000000001</v>
      </c>
      <c r="Y16" s="25">
        <v>20.773108000000001</v>
      </c>
      <c r="Z16" s="25">
        <v>20.871334000000001</v>
      </c>
      <c r="AA16" s="25">
        <v>21.039562</v>
      </c>
      <c r="AB16" s="25">
        <v>21.186533000000001</v>
      </c>
      <c r="AC16" s="25">
        <v>21.381789999999999</v>
      </c>
      <c r="AD16" s="25">
        <v>21.587627000000001</v>
      </c>
      <c r="AE16" s="25">
        <v>21.790129</v>
      </c>
      <c r="AF16" s="25">
        <v>22.029543</v>
      </c>
      <c r="AG16" s="25">
        <v>22.264085999999999</v>
      </c>
      <c r="AH16" s="19">
        <v>8.4510000000000002E-3</v>
      </c>
    </row>
    <row r="17" spans="1:34" ht="15" customHeight="1" x14ac:dyDescent="0.25">
      <c r="A17" s="6" t="s">
        <v>144</v>
      </c>
      <c r="B17" s="17" t="s">
        <v>145</v>
      </c>
      <c r="C17" s="25">
        <v>17.748362</v>
      </c>
      <c r="D17" s="25">
        <v>17.778863999999999</v>
      </c>
      <c r="E17" s="25">
        <v>18.840993999999998</v>
      </c>
      <c r="F17" s="25">
        <v>20.194541999999998</v>
      </c>
      <c r="G17" s="25">
        <v>20.900642000000001</v>
      </c>
      <c r="H17" s="25">
        <v>21.347785999999999</v>
      </c>
      <c r="I17" s="25">
        <v>21.959849999999999</v>
      </c>
      <c r="J17" s="25">
        <v>22.373480000000001</v>
      </c>
      <c r="K17" s="25">
        <v>22.572247000000001</v>
      </c>
      <c r="L17" s="25">
        <v>22.803101999999999</v>
      </c>
      <c r="M17" s="25">
        <v>23.134236999999999</v>
      </c>
      <c r="N17" s="25">
        <v>23.233163999999999</v>
      </c>
      <c r="O17" s="25">
        <v>23.457367000000001</v>
      </c>
      <c r="P17" s="25">
        <v>23.595133000000001</v>
      </c>
      <c r="Q17" s="25">
        <v>23.692457000000001</v>
      </c>
      <c r="R17" s="25">
        <v>23.53126</v>
      </c>
      <c r="S17" s="25">
        <v>23.427430999999999</v>
      </c>
      <c r="T17" s="25">
        <v>23.589839999999999</v>
      </c>
      <c r="U17" s="25">
        <v>23.769676</v>
      </c>
      <c r="V17" s="25">
        <v>23.632313</v>
      </c>
      <c r="W17" s="25">
        <v>24.000731999999999</v>
      </c>
      <c r="X17" s="25">
        <v>24.131430000000002</v>
      </c>
      <c r="Y17" s="25">
        <v>24.220469000000001</v>
      </c>
      <c r="Z17" s="25">
        <v>24.344158</v>
      </c>
      <c r="AA17" s="25">
        <v>24.514250000000001</v>
      </c>
      <c r="AB17" s="25">
        <v>24.754840999999999</v>
      </c>
      <c r="AC17" s="25">
        <v>24.880372999999999</v>
      </c>
      <c r="AD17" s="25">
        <v>24.974497</v>
      </c>
      <c r="AE17" s="25">
        <v>25.016258000000001</v>
      </c>
      <c r="AF17" s="25">
        <v>25.183064999999999</v>
      </c>
      <c r="AG17" s="25">
        <v>25.323920999999999</v>
      </c>
      <c r="AH17" s="19">
        <v>1.1919000000000001E-2</v>
      </c>
    </row>
    <row r="18" spans="1:34" ht="15" customHeight="1" x14ac:dyDescent="0.25">
      <c r="A18" s="6" t="s">
        <v>146</v>
      </c>
      <c r="B18" s="17" t="s">
        <v>147</v>
      </c>
      <c r="C18" s="25">
        <v>10.141716000000001</v>
      </c>
      <c r="D18" s="25">
        <v>10.51412</v>
      </c>
      <c r="E18" s="25">
        <v>10.202188</v>
      </c>
      <c r="F18" s="25">
        <v>9.9132259999999999</v>
      </c>
      <c r="G18" s="25">
        <v>9.6494809999999998</v>
      </c>
      <c r="H18" s="25">
        <v>9.6609160000000003</v>
      </c>
      <c r="I18" s="25">
        <v>9.7374840000000003</v>
      </c>
      <c r="J18" s="25">
        <v>9.8500920000000001</v>
      </c>
      <c r="K18" s="25">
        <v>9.9233119999999992</v>
      </c>
      <c r="L18" s="25">
        <v>10.06601</v>
      </c>
      <c r="M18" s="25">
        <v>10.422234</v>
      </c>
      <c r="N18" s="25">
        <v>10.498061</v>
      </c>
      <c r="O18" s="25">
        <v>10.580394</v>
      </c>
      <c r="P18" s="25">
        <v>10.658723</v>
      </c>
      <c r="Q18" s="25">
        <v>10.693797999999999</v>
      </c>
      <c r="R18" s="25">
        <v>10.700832</v>
      </c>
      <c r="S18" s="25">
        <v>10.715192</v>
      </c>
      <c r="T18" s="25">
        <v>10.731377999999999</v>
      </c>
      <c r="U18" s="25">
        <v>10.724482</v>
      </c>
      <c r="V18" s="25">
        <v>10.712460999999999</v>
      </c>
      <c r="W18" s="25">
        <v>10.708804000000001</v>
      </c>
      <c r="X18" s="25">
        <v>10.731961</v>
      </c>
      <c r="Y18" s="25">
        <v>10.757458</v>
      </c>
      <c r="Z18" s="25">
        <v>10.775259</v>
      </c>
      <c r="AA18" s="25">
        <v>10.802486</v>
      </c>
      <c r="AB18" s="25">
        <v>10.823373999999999</v>
      </c>
      <c r="AC18" s="25">
        <v>10.832981999999999</v>
      </c>
      <c r="AD18" s="25">
        <v>10.843533000000001</v>
      </c>
      <c r="AE18" s="25">
        <v>10.825556000000001</v>
      </c>
      <c r="AF18" s="25">
        <v>10.832338999999999</v>
      </c>
      <c r="AG18" s="25">
        <v>10.859444999999999</v>
      </c>
      <c r="AH18" s="19">
        <v>2.2820000000000002E-3</v>
      </c>
    </row>
    <row r="19" spans="1:34" ht="15" customHeight="1" x14ac:dyDescent="0.25">
      <c r="A19" s="6" t="s">
        <v>148</v>
      </c>
      <c r="B19" s="17" t="s">
        <v>149</v>
      </c>
      <c r="C19" s="25">
        <v>35.768967000000004</v>
      </c>
      <c r="D19" s="25">
        <v>36.572845000000001</v>
      </c>
      <c r="E19" s="25">
        <v>36.200896999999998</v>
      </c>
      <c r="F19" s="25">
        <v>35.847926999999999</v>
      </c>
      <c r="G19" s="25">
        <v>35.555779000000001</v>
      </c>
      <c r="H19" s="25">
        <v>35.370303999999997</v>
      </c>
      <c r="I19" s="25">
        <v>35.271217</v>
      </c>
      <c r="J19" s="25">
        <v>35.232407000000002</v>
      </c>
      <c r="K19" s="25">
        <v>35.179946999999999</v>
      </c>
      <c r="L19" s="25">
        <v>35.137309999999999</v>
      </c>
      <c r="M19" s="25">
        <v>35.114113000000003</v>
      </c>
      <c r="N19" s="25">
        <v>35.213706999999999</v>
      </c>
      <c r="O19" s="25">
        <v>35.215426999999998</v>
      </c>
      <c r="P19" s="25">
        <v>35.186942999999999</v>
      </c>
      <c r="Q19" s="25">
        <v>35.111834999999999</v>
      </c>
      <c r="R19" s="25">
        <v>34.965026999999999</v>
      </c>
      <c r="S19" s="25">
        <v>34.841293</v>
      </c>
      <c r="T19" s="25">
        <v>34.730331</v>
      </c>
      <c r="U19" s="25">
        <v>34.648322999999998</v>
      </c>
      <c r="V19" s="25">
        <v>34.567348000000003</v>
      </c>
      <c r="W19" s="25">
        <v>34.484665</v>
      </c>
      <c r="X19" s="25">
        <v>34.428879000000002</v>
      </c>
      <c r="Y19" s="25">
        <v>34.354916000000003</v>
      </c>
      <c r="Z19" s="25">
        <v>34.264564999999997</v>
      </c>
      <c r="AA19" s="25">
        <v>34.180298000000001</v>
      </c>
      <c r="AB19" s="25">
        <v>34.138596</v>
      </c>
      <c r="AC19" s="25">
        <v>34.020420000000001</v>
      </c>
      <c r="AD19" s="25">
        <v>33.894435999999999</v>
      </c>
      <c r="AE19" s="25">
        <v>33.717101999999997</v>
      </c>
      <c r="AF19" s="25">
        <v>33.468890999999999</v>
      </c>
      <c r="AG19" s="25">
        <v>33.255077</v>
      </c>
      <c r="AH19" s="19">
        <v>-2.4260000000000002E-3</v>
      </c>
    </row>
    <row r="21" spans="1:34" ht="15" customHeight="1" x14ac:dyDescent="0.25">
      <c r="B21" s="16" t="s">
        <v>150</v>
      </c>
    </row>
    <row r="22" spans="1:34" ht="15" customHeight="1" x14ac:dyDescent="0.25">
      <c r="A22" s="6" t="s">
        <v>151</v>
      </c>
      <c r="B22" s="17" t="s">
        <v>143</v>
      </c>
      <c r="C22" s="25">
        <v>12.770180999999999</v>
      </c>
      <c r="D22" s="25">
        <v>13.596351</v>
      </c>
      <c r="E22" s="25">
        <v>14.132167000000001</v>
      </c>
      <c r="F22" s="25">
        <v>13.946478000000001</v>
      </c>
      <c r="G22" s="25">
        <v>13.993321999999999</v>
      </c>
      <c r="H22" s="25">
        <v>14.109780000000001</v>
      </c>
      <c r="I22" s="25">
        <v>13.959495</v>
      </c>
      <c r="J22" s="25">
        <v>13.925439000000001</v>
      </c>
      <c r="K22" s="25">
        <v>14.114777</v>
      </c>
      <c r="L22" s="25">
        <v>14.294835000000001</v>
      </c>
      <c r="M22" s="25">
        <v>14.966532000000001</v>
      </c>
      <c r="N22" s="25">
        <v>15.145462999999999</v>
      </c>
      <c r="O22" s="25">
        <v>15.316516</v>
      </c>
      <c r="P22" s="25">
        <v>15.455636999999999</v>
      </c>
      <c r="Q22" s="25">
        <v>15.603415</v>
      </c>
      <c r="R22" s="25">
        <v>15.650969999999999</v>
      </c>
      <c r="S22" s="25">
        <v>15.789752</v>
      </c>
      <c r="T22" s="25">
        <v>16.088107999999998</v>
      </c>
      <c r="U22" s="25">
        <v>16.278292</v>
      </c>
      <c r="V22" s="25">
        <v>16.373463000000001</v>
      </c>
      <c r="W22" s="25">
        <v>16.514631000000001</v>
      </c>
      <c r="X22" s="25">
        <v>16.663309000000002</v>
      </c>
      <c r="Y22" s="25">
        <v>16.795403</v>
      </c>
      <c r="Z22" s="25">
        <v>16.807694999999999</v>
      </c>
      <c r="AA22" s="25">
        <v>16.958041999999999</v>
      </c>
      <c r="AB22" s="25">
        <v>17.057176999999999</v>
      </c>
      <c r="AC22" s="25">
        <v>17.224889999999998</v>
      </c>
      <c r="AD22" s="25">
        <v>17.384920000000001</v>
      </c>
      <c r="AE22" s="25">
        <v>17.530947000000001</v>
      </c>
      <c r="AF22" s="25">
        <v>17.725052000000002</v>
      </c>
      <c r="AG22" s="25">
        <v>17.895052</v>
      </c>
      <c r="AH22" s="19">
        <v>1.1311E-2</v>
      </c>
    </row>
    <row r="23" spans="1:34" ht="15" customHeight="1" x14ac:dyDescent="0.25">
      <c r="A23" s="6" t="s">
        <v>152</v>
      </c>
      <c r="B23" s="17" t="s">
        <v>145</v>
      </c>
      <c r="C23" s="25">
        <v>17.825056</v>
      </c>
      <c r="D23" s="25">
        <v>17.904530000000001</v>
      </c>
      <c r="E23" s="25">
        <v>17.917162000000001</v>
      </c>
      <c r="F23" s="25">
        <v>18.273129000000001</v>
      </c>
      <c r="G23" s="25">
        <v>17.977633000000001</v>
      </c>
      <c r="H23" s="25">
        <v>17.420300999999998</v>
      </c>
      <c r="I23" s="25">
        <v>17.035746</v>
      </c>
      <c r="J23" s="25">
        <v>17.451329999999999</v>
      </c>
      <c r="K23" s="25">
        <v>17.649296</v>
      </c>
      <c r="L23" s="25">
        <v>17.881008000000001</v>
      </c>
      <c r="M23" s="25">
        <v>18.477827000000001</v>
      </c>
      <c r="N23" s="25">
        <v>18.582241</v>
      </c>
      <c r="O23" s="25">
        <v>18.841583</v>
      </c>
      <c r="P23" s="25">
        <v>18.984005</v>
      </c>
      <c r="Q23" s="25">
        <v>19.086586</v>
      </c>
      <c r="R23" s="25">
        <v>18.923241000000001</v>
      </c>
      <c r="S23" s="25">
        <v>18.824065999999998</v>
      </c>
      <c r="T23" s="25">
        <v>18.987247</v>
      </c>
      <c r="U23" s="25">
        <v>19.171538999999999</v>
      </c>
      <c r="V23" s="25">
        <v>19.037495</v>
      </c>
      <c r="W23" s="25">
        <v>19.410124</v>
      </c>
      <c r="X23" s="25">
        <v>19.543423000000001</v>
      </c>
      <c r="Y23" s="25">
        <v>19.633227999999999</v>
      </c>
      <c r="Z23" s="25">
        <v>19.766468</v>
      </c>
      <c r="AA23" s="25">
        <v>19.946016</v>
      </c>
      <c r="AB23" s="25">
        <v>20.193110000000001</v>
      </c>
      <c r="AC23" s="25">
        <v>20.325541000000001</v>
      </c>
      <c r="AD23" s="25">
        <v>20.426331000000001</v>
      </c>
      <c r="AE23" s="25">
        <v>20.483273000000001</v>
      </c>
      <c r="AF23" s="25">
        <v>20.656472999999998</v>
      </c>
      <c r="AG23" s="25">
        <v>20.796879000000001</v>
      </c>
      <c r="AH23" s="19">
        <v>5.1529999999999996E-3</v>
      </c>
    </row>
    <row r="24" spans="1:34" ht="15" customHeight="1" x14ac:dyDescent="0.25">
      <c r="A24" s="6" t="s">
        <v>153</v>
      </c>
      <c r="B24" s="17" t="s">
        <v>154</v>
      </c>
      <c r="C24" s="25">
        <v>5.2465200000000003</v>
      </c>
      <c r="D24" s="25">
        <v>4.0942629999999998</v>
      </c>
      <c r="E24" s="25">
        <v>5.1555109999999997</v>
      </c>
      <c r="F24" s="25">
        <v>6.3887859999999996</v>
      </c>
      <c r="G24" s="25">
        <v>7.4177150000000003</v>
      </c>
      <c r="H24" s="25">
        <v>8.0842039999999997</v>
      </c>
      <c r="I24" s="25">
        <v>8.7977109999999996</v>
      </c>
      <c r="J24" s="25">
        <v>9.2713420000000006</v>
      </c>
      <c r="K24" s="25">
        <v>9.3801520000000007</v>
      </c>
      <c r="L24" s="25">
        <v>9.6307539999999996</v>
      </c>
      <c r="M24" s="25">
        <v>9.9774270000000005</v>
      </c>
      <c r="N24" s="25">
        <v>10.056495999999999</v>
      </c>
      <c r="O24" s="25">
        <v>10.322896</v>
      </c>
      <c r="P24" s="25">
        <v>10.494814999999999</v>
      </c>
      <c r="Q24" s="25">
        <v>10.659212</v>
      </c>
      <c r="R24" s="25">
        <v>10.565108</v>
      </c>
      <c r="S24" s="25">
        <v>10.57521</v>
      </c>
      <c r="T24" s="25">
        <v>10.757941000000001</v>
      </c>
      <c r="U24" s="25">
        <v>10.935437</v>
      </c>
      <c r="V24" s="25">
        <v>10.928781000000001</v>
      </c>
      <c r="W24" s="25">
        <v>11.256634999999999</v>
      </c>
      <c r="X24" s="25">
        <v>11.398070000000001</v>
      </c>
      <c r="Y24" s="25">
        <v>11.526395000000001</v>
      </c>
      <c r="Z24" s="25">
        <v>11.652903999999999</v>
      </c>
      <c r="AA24" s="25">
        <v>11.895937</v>
      </c>
      <c r="AB24" s="25">
        <v>12.079579000000001</v>
      </c>
      <c r="AC24" s="25">
        <v>12.282360000000001</v>
      </c>
      <c r="AD24" s="25">
        <v>12.398063</v>
      </c>
      <c r="AE24" s="25">
        <v>12.434025999999999</v>
      </c>
      <c r="AF24" s="25">
        <v>12.576523999999999</v>
      </c>
      <c r="AG24" s="25">
        <v>12.679845</v>
      </c>
      <c r="AH24" s="19">
        <v>2.9852E-2</v>
      </c>
    </row>
    <row r="25" spans="1:34" ht="15" customHeight="1" x14ac:dyDescent="0.25">
      <c r="A25" s="6" t="s">
        <v>155</v>
      </c>
      <c r="B25" s="17" t="s">
        <v>147</v>
      </c>
      <c r="C25" s="25">
        <v>7.2274659999999997</v>
      </c>
      <c r="D25" s="25">
        <v>7.7571760000000003</v>
      </c>
      <c r="E25" s="25">
        <v>7.7584379999999999</v>
      </c>
      <c r="F25" s="25">
        <v>7.4329689999999999</v>
      </c>
      <c r="G25" s="25">
        <v>7.1538599999999999</v>
      </c>
      <c r="H25" s="25">
        <v>7.1408820000000004</v>
      </c>
      <c r="I25" s="25">
        <v>7.1871619999999998</v>
      </c>
      <c r="J25" s="25">
        <v>7.2622150000000003</v>
      </c>
      <c r="K25" s="25">
        <v>7.3037089999999996</v>
      </c>
      <c r="L25" s="25">
        <v>7.4168450000000004</v>
      </c>
      <c r="M25" s="25">
        <v>7.668393</v>
      </c>
      <c r="N25" s="25">
        <v>7.7091729999999998</v>
      </c>
      <c r="O25" s="25">
        <v>7.7567729999999999</v>
      </c>
      <c r="P25" s="25">
        <v>7.8144150000000003</v>
      </c>
      <c r="Q25" s="25">
        <v>7.8314700000000004</v>
      </c>
      <c r="R25" s="25">
        <v>7.8232949999999999</v>
      </c>
      <c r="S25" s="25">
        <v>7.8236619999999997</v>
      </c>
      <c r="T25" s="25">
        <v>7.825634</v>
      </c>
      <c r="U25" s="25">
        <v>7.8057910000000001</v>
      </c>
      <c r="V25" s="25">
        <v>7.7819539999999998</v>
      </c>
      <c r="W25" s="25">
        <v>7.7688930000000003</v>
      </c>
      <c r="X25" s="25">
        <v>7.7830769999999996</v>
      </c>
      <c r="Y25" s="25">
        <v>7.7994719999999997</v>
      </c>
      <c r="Z25" s="25">
        <v>7.8087359999999997</v>
      </c>
      <c r="AA25" s="25">
        <v>7.828284</v>
      </c>
      <c r="AB25" s="25">
        <v>7.8415439999999998</v>
      </c>
      <c r="AC25" s="25">
        <v>7.8443149999999999</v>
      </c>
      <c r="AD25" s="25">
        <v>7.8465090000000002</v>
      </c>
      <c r="AE25" s="25">
        <v>7.8194090000000003</v>
      </c>
      <c r="AF25" s="25">
        <v>7.816325</v>
      </c>
      <c r="AG25" s="25">
        <v>7.8338789999999996</v>
      </c>
      <c r="AH25" s="19">
        <v>2.689E-3</v>
      </c>
    </row>
    <row r="26" spans="1:34" ht="15" customHeight="1" x14ac:dyDescent="0.25">
      <c r="A26" s="6" t="s">
        <v>156</v>
      </c>
      <c r="B26" s="17" t="s">
        <v>149</v>
      </c>
      <c r="C26" s="25">
        <v>31.322282999999999</v>
      </c>
      <c r="D26" s="25">
        <v>31.751370999999999</v>
      </c>
      <c r="E26" s="25">
        <v>31.36965</v>
      </c>
      <c r="F26" s="25">
        <v>30.770927</v>
      </c>
      <c r="G26" s="25">
        <v>30.355267000000001</v>
      </c>
      <c r="H26" s="25">
        <v>30.114547999999999</v>
      </c>
      <c r="I26" s="25">
        <v>29.891642000000001</v>
      </c>
      <c r="J26" s="25">
        <v>29.798216</v>
      </c>
      <c r="K26" s="25">
        <v>29.668579000000001</v>
      </c>
      <c r="L26" s="25">
        <v>29.541620000000002</v>
      </c>
      <c r="M26" s="25">
        <v>29.447769000000001</v>
      </c>
      <c r="N26" s="25">
        <v>29.516173999999999</v>
      </c>
      <c r="O26" s="25">
        <v>29.407202000000002</v>
      </c>
      <c r="P26" s="25">
        <v>29.362704999999998</v>
      </c>
      <c r="Q26" s="25">
        <v>29.207032999999999</v>
      </c>
      <c r="R26" s="25">
        <v>29.013252000000001</v>
      </c>
      <c r="S26" s="25">
        <v>28.803070000000002</v>
      </c>
      <c r="T26" s="25">
        <v>28.61985</v>
      </c>
      <c r="U26" s="25">
        <v>28.475729000000001</v>
      </c>
      <c r="V26" s="25">
        <v>28.334457</v>
      </c>
      <c r="W26" s="25">
        <v>28.186321</v>
      </c>
      <c r="X26" s="25">
        <v>28.052315</v>
      </c>
      <c r="Y26" s="25">
        <v>27.894957000000002</v>
      </c>
      <c r="Z26" s="25">
        <v>27.748570999999998</v>
      </c>
      <c r="AA26" s="25">
        <v>27.573784</v>
      </c>
      <c r="AB26" s="25">
        <v>27.437695999999999</v>
      </c>
      <c r="AC26" s="25">
        <v>27.26679</v>
      </c>
      <c r="AD26" s="25">
        <v>27.070989999999998</v>
      </c>
      <c r="AE26" s="25">
        <v>26.838395999999999</v>
      </c>
      <c r="AF26" s="25">
        <v>26.563027999999999</v>
      </c>
      <c r="AG26" s="25">
        <v>26.336114999999999</v>
      </c>
      <c r="AH26" s="19">
        <v>-5.7629999999999999E-3</v>
      </c>
    </row>
    <row r="28" spans="1:34" ht="15" customHeight="1" x14ac:dyDescent="0.25">
      <c r="B28" s="16" t="s">
        <v>157</v>
      </c>
    </row>
    <row r="29" spans="1:34" ht="15" customHeight="1" x14ac:dyDescent="0.25">
      <c r="A29" s="6" t="s">
        <v>158</v>
      </c>
      <c r="B29" s="17" t="s">
        <v>143</v>
      </c>
      <c r="C29" s="25">
        <v>7.6224270000000001</v>
      </c>
      <c r="D29" s="25">
        <v>8.4961190000000002</v>
      </c>
      <c r="E29" s="25">
        <v>8.9951640000000008</v>
      </c>
      <c r="F29" s="25">
        <v>8.7914549999999991</v>
      </c>
      <c r="G29" s="25">
        <v>8.8415490000000005</v>
      </c>
      <c r="H29" s="25">
        <v>8.9540679999999995</v>
      </c>
      <c r="I29" s="25">
        <v>8.8042309999999997</v>
      </c>
      <c r="J29" s="25">
        <v>8.7771810000000006</v>
      </c>
      <c r="K29" s="25">
        <v>8.9623369999999998</v>
      </c>
      <c r="L29" s="25">
        <v>9.1296269999999993</v>
      </c>
      <c r="M29" s="25">
        <v>9.5621650000000002</v>
      </c>
      <c r="N29" s="25">
        <v>9.7187319999999993</v>
      </c>
      <c r="O29" s="25">
        <v>9.8474039999999992</v>
      </c>
      <c r="P29" s="25">
        <v>9.9792590000000008</v>
      </c>
      <c r="Q29" s="25">
        <v>10.120851999999999</v>
      </c>
      <c r="R29" s="25">
        <v>10.16201</v>
      </c>
      <c r="S29" s="25">
        <v>10.299414000000001</v>
      </c>
      <c r="T29" s="25">
        <v>10.596047</v>
      </c>
      <c r="U29" s="25">
        <v>10.776484</v>
      </c>
      <c r="V29" s="25">
        <v>10.863864</v>
      </c>
      <c r="W29" s="25">
        <v>11.003838</v>
      </c>
      <c r="X29" s="25">
        <v>11.150719</v>
      </c>
      <c r="Y29" s="25">
        <v>11.280412999999999</v>
      </c>
      <c r="Z29" s="25">
        <v>11.286859</v>
      </c>
      <c r="AA29" s="25">
        <v>11.442306</v>
      </c>
      <c r="AB29" s="25">
        <v>11.53952</v>
      </c>
      <c r="AC29" s="25">
        <v>11.710324</v>
      </c>
      <c r="AD29" s="25">
        <v>11.870820999999999</v>
      </c>
      <c r="AE29" s="25">
        <v>12.016953000000001</v>
      </c>
      <c r="AF29" s="25">
        <v>12.215362000000001</v>
      </c>
      <c r="AG29" s="25">
        <v>12.386858999999999</v>
      </c>
      <c r="AH29" s="19">
        <v>1.6316000000000001E-2</v>
      </c>
    </row>
    <row r="30" spans="1:34" ht="15" customHeight="1" x14ac:dyDescent="0.25">
      <c r="A30" s="6" t="s">
        <v>159</v>
      </c>
      <c r="B30" s="17" t="s">
        <v>145</v>
      </c>
      <c r="C30" s="25">
        <v>17.750837000000001</v>
      </c>
      <c r="D30" s="25">
        <v>17.784217999999999</v>
      </c>
      <c r="E30" s="25">
        <v>17.832457999999999</v>
      </c>
      <c r="F30" s="25">
        <v>18.255758</v>
      </c>
      <c r="G30" s="25">
        <v>17.965651999999999</v>
      </c>
      <c r="H30" s="25">
        <v>17.418257000000001</v>
      </c>
      <c r="I30" s="25">
        <v>17.043358000000001</v>
      </c>
      <c r="J30" s="25">
        <v>17.464335999999999</v>
      </c>
      <c r="K30" s="25">
        <v>17.665486999999999</v>
      </c>
      <c r="L30" s="25">
        <v>17.903829999999999</v>
      </c>
      <c r="M30" s="25">
        <v>18.228373999999999</v>
      </c>
      <c r="N30" s="25">
        <v>18.345334999999999</v>
      </c>
      <c r="O30" s="25">
        <v>18.564774</v>
      </c>
      <c r="P30" s="25">
        <v>18.711565</v>
      </c>
      <c r="Q30" s="25">
        <v>18.823149000000001</v>
      </c>
      <c r="R30" s="25">
        <v>18.657301</v>
      </c>
      <c r="S30" s="25">
        <v>18.557192000000001</v>
      </c>
      <c r="T30" s="25">
        <v>18.721062</v>
      </c>
      <c r="U30" s="25">
        <v>18.906943999999999</v>
      </c>
      <c r="V30" s="25">
        <v>18.769888000000002</v>
      </c>
      <c r="W30" s="25">
        <v>19.141383999999999</v>
      </c>
      <c r="X30" s="25">
        <v>19.276993000000001</v>
      </c>
      <c r="Y30" s="25">
        <v>19.368721000000001</v>
      </c>
      <c r="Z30" s="25">
        <v>19.507062999999999</v>
      </c>
      <c r="AA30" s="25">
        <v>19.688092999999999</v>
      </c>
      <c r="AB30" s="25">
        <v>19.940121000000001</v>
      </c>
      <c r="AC30" s="25">
        <v>20.075132</v>
      </c>
      <c r="AD30" s="25">
        <v>20.182839999999999</v>
      </c>
      <c r="AE30" s="25">
        <v>20.246756000000001</v>
      </c>
      <c r="AF30" s="25">
        <v>20.426596</v>
      </c>
      <c r="AG30" s="25">
        <v>20.570136999999999</v>
      </c>
      <c r="AH30" s="19">
        <v>4.9259999999999998E-3</v>
      </c>
    </row>
    <row r="31" spans="1:34" x14ac:dyDescent="0.25">
      <c r="A31" s="6" t="s">
        <v>160</v>
      </c>
      <c r="B31" s="17" t="s">
        <v>154</v>
      </c>
      <c r="C31" s="25">
        <v>5.4227400000000001</v>
      </c>
      <c r="D31" s="25">
        <v>4.4313440000000002</v>
      </c>
      <c r="E31" s="25">
        <v>5.8066459999999998</v>
      </c>
      <c r="F31" s="25">
        <v>7.3529660000000003</v>
      </c>
      <c r="G31" s="25">
        <v>8.6041519999999991</v>
      </c>
      <c r="H31" s="25">
        <v>9.5880430000000008</v>
      </c>
      <c r="I31" s="25">
        <v>10.678126000000001</v>
      </c>
      <c r="J31" s="25">
        <v>11.122404</v>
      </c>
      <c r="K31" s="25">
        <v>11.319103999999999</v>
      </c>
      <c r="L31" s="25">
        <v>11.560950999999999</v>
      </c>
      <c r="M31" s="25">
        <v>11.886528999999999</v>
      </c>
      <c r="N31" s="25">
        <v>11.988492000000001</v>
      </c>
      <c r="O31" s="25">
        <v>12.214651</v>
      </c>
      <c r="P31" s="25">
        <v>12.396055</v>
      </c>
      <c r="Q31" s="25">
        <v>12.541180000000001</v>
      </c>
      <c r="R31" s="25">
        <v>12.441390999999999</v>
      </c>
      <c r="S31" s="25">
        <v>12.436083</v>
      </c>
      <c r="T31" s="25">
        <v>12.619387</v>
      </c>
      <c r="U31" s="25">
        <v>12.817525</v>
      </c>
      <c r="V31" s="25">
        <v>12.799621999999999</v>
      </c>
      <c r="W31" s="25">
        <v>13.127105999999999</v>
      </c>
      <c r="X31" s="25">
        <v>13.276533000000001</v>
      </c>
      <c r="Y31" s="25">
        <v>13.389760000000001</v>
      </c>
      <c r="Z31" s="25">
        <v>13.499091999999999</v>
      </c>
      <c r="AA31" s="25">
        <v>13.732372</v>
      </c>
      <c r="AB31" s="25">
        <v>13.936438000000001</v>
      </c>
      <c r="AC31" s="25">
        <v>14.088271000000001</v>
      </c>
      <c r="AD31" s="25">
        <v>14.181101999999999</v>
      </c>
      <c r="AE31" s="25">
        <v>14.234844000000001</v>
      </c>
      <c r="AF31" s="25">
        <v>14.370006</v>
      </c>
      <c r="AG31" s="25">
        <v>14.531082</v>
      </c>
      <c r="AH31" s="19">
        <v>3.3402000000000001E-2</v>
      </c>
    </row>
    <row r="32" spans="1:34" x14ac:dyDescent="0.25">
      <c r="A32" s="6" t="s">
        <v>161</v>
      </c>
      <c r="B32" s="17" t="s">
        <v>162</v>
      </c>
      <c r="C32" s="25">
        <v>3.0584310000000001</v>
      </c>
      <c r="D32" s="25">
        <v>4.0450590000000002</v>
      </c>
      <c r="E32" s="25">
        <v>3.9792369999999999</v>
      </c>
      <c r="F32" s="25">
        <v>3.5640879999999999</v>
      </c>
      <c r="G32" s="25">
        <v>3.222769</v>
      </c>
      <c r="H32" s="25">
        <v>3.1671170000000002</v>
      </c>
      <c r="I32" s="25">
        <v>3.1963200000000001</v>
      </c>
      <c r="J32" s="25">
        <v>3.2941820000000002</v>
      </c>
      <c r="K32" s="25">
        <v>3.3580540000000001</v>
      </c>
      <c r="L32" s="25">
        <v>3.462901</v>
      </c>
      <c r="M32" s="25">
        <v>3.5161280000000001</v>
      </c>
      <c r="N32" s="25">
        <v>3.5448559999999998</v>
      </c>
      <c r="O32" s="25">
        <v>3.5678160000000001</v>
      </c>
      <c r="P32" s="25">
        <v>3.613658</v>
      </c>
      <c r="Q32" s="25">
        <v>3.6143239999999999</v>
      </c>
      <c r="R32" s="25">
        <v>3.5944099999999999</v>
      </c>
      <c r="S32" s="25">
        <v>3.5878670000000001</v>
      </c>
      <c r="T32" s="25">
        <v>3.5750280000000001</v>
      </c>
      <c r="U32" s="25">
        <v>3.5572240000000002</v>
      </c>
      <c r="V32" s="25">
        <v>3.5318700000000001</v>
      </c>
      <c r="W32" s="25">
        <v>3.5117440000000002</v>
      </c>
      <c r="X32" s="25">
        <v>3.5121660000000001</v>
      </c>
      <c r="Y32" s="25">
        <v>3.514958</v>
      </c>
      <c r="Z32" s="25">
        <v>3.5046200000000001</v>
      </c>
      <c r="AA32" s="25">
        <v>3.5171489999999999</v>
      </c>
      <c r="AB32" s="25">
        <v>3.4990869999999998</v>
      </c>
      <c r="AC32" s="25">
        <v>3.4861049999999998</v>
      </c>
      <c r="AD32" s="25">
        <v>3.499511</v>
      </c>
      <c r="AE32" s="25">
        <v>3.4690270000000001</v>
      </c>
      <c r="AF32" s="25">
        <v>3.4452410000000002</v>
      </c>
      <c r="AG32" s="25">
        <v>3.4617290000000001</v>
      </c>
      <c r="AH32" s="19">
        <v>4.1370000000000001E-3</v>
      </c>
    </row>
    <row r="33" spans="1:34" x14ac:dyDescent="0.25">
      <c r="A33" s="6" t="s">
        <v>163</v>
      </c>
      <c r="B33" s="17" t="s">
        <v>164</v>
      </c>
      <c r="C33" s="25">
        <v>4.0174000000000003</v>
      </c>
      <c r="D33" s="25">
        <v>3.598935</v>
      </c>
      <c r="E33" s="25">
        <v>3.356058</v>
      </c>
      <c r="F33" s="25">
        <v>3.2078790000000001</v>
      </c>
      <c r="G33" s="25">
        <v>3.117534</v>
      </c>
      <c r="H33" s="25">
        <v>3.070951</v>
      </c>
      <c r="I33" s="25">
        <v>3.0295830000000001</v>
      </c>
      <c r="J33" s="25">
        <v>3.0136099999999999</v>
      </c>
      <c r="K33" s="25">
        <v>3.014059</v>
      </c>
      <c r="L33" s="25">
        <v>3.0367769999999998</v>
      </c>
      <c r="M33" s="25">
        <v>3.0668120000000001</v>
      </c>
      <c r="N33" s="25">
        <v>3.1021339999999999</v>
      </c>
      <c r="O33" s="25">
        <v>3.1370369999999999</v>
      </c>
      <c r="P33" s="25">
        <v>3.1691760000000002</v>
      </c>
      <c r="Q33" s="25">
        <v>3.1995740000000001</v>
      </c>
      <c r="R33" s="25">
        <v>3.23061</v>
      </c>
      <c r="S33" s="25">
        <v>3.2614040000000002</v>
      </c>
      <c r="T33" s="25">
        <v>3.2944689999999999</v>
      </c>
      <c r="U33" s="25">
        <v>3.3282949999999998</v>
      </c>
      <c r="V33" s="25">
        <v>3.36151</v>
      </c>
      <c r="W33" s="25">
        <v>3.3950330000000002</v>
      </c>
      <c r="X33" s="25">
        <v>3.4296359999999999</v>
      </c>
      <c r="Y33" s="25">
        <v>3.4663460000000001</v>
      </c>
      <c r="Z33" s="25">
        <v>3.5055459999999998</v>
      </c>
      <c r="AA33" s="25">
        <v>3.5455589999999999</v>
      </c>
      <c r="AB33" s="25">
        <v>3.5867200000000001</v>
      </c>
      <c r="AC33" s="25">
        <v>3.6247240000000001</v>
      </c>
      <c r="AD33" s="25">
        <v>3.6615160000000002</v>
      </c>
      <c r="AE33" s="25">
        <v>3.6991040000000002</v>
      </c>
      <c r="AF33" s="25">
        <v>3.7375989999999999</v>
      </c>
      <c r="AG33" s="25">
        <v>3.7801840000000002</v>
      </c>
      <c r="AH33" s="19">
        <v>-2.0270000000000002E-3</v>
      </c>
    </row>
    <row r="34" spans="1:34" x14ac:dyDescent="0.25">
      <c r="A34" s="6" t="s">
        <v>165</v>
      </c>
      <c r="B34" s="17" t="s">
        <v>166</v>
      </c>
      <c r="C34" s="25">
        <v>2.815477</v>
      </c>
      <c r="D34" s="25">
        <v>2.8278660000000002</v>
      </c>
      <c r="E34" s="25">
        <v>2.8846579999999999</v>
      </c>
      <c r="F34" s="25">
        <v>2.8736839999999999</v>
      </c>
      <c r="G34" s="25">
        <v>2.8735629999999999</v>
      </c>
      <c r="H34" s="25">
        <v>2.861837</v>
      </c>
      <c r="I34" s="25">
        <v>2.849145</v>
      </c>
      <c r="J34" s="25">
        <v>2.8373849999999998</v>
      </c>
      <c r="K34" s="25">
        <v>2.8257639999999999</v>
      </c>
      <c r="L34" s="25">
        <v>2.8206519999999999</v>
      </c>
      <c r="M34" s="25">
        <v>2.830257</v>
      </c>
      <c r="N34" s="25">
        <v>2.8289970000000002</v>
      </c>
      <c r="O34" s="25">
        <v>2.815725</v>
      </c>
      <c r="P34" s="25">
        <v>2.8164419999999999</v>
      </c>
      <c r="Q34" s="25">
        <v>2.8170860000000002</v>
      </c>
      <c r="R34" s="25">
        <v>2.8212009999999998</v>
      </c>
      <c r="S34" s="25">
        <v>2.8233160000000002</v>
      </c>
      <c r="T34" s="25">
        <v>2.8278110000000001</v>
      </c>
      <c r="U34" s="25">
        <v>2.8272119999999998</v>
      </c>
      <c r="V34" s="25">
        <v>2.82924</v>
      </c>
      <c r="W34" s="25">
        <v>2.8376489999999999</v>
      </c>
      <c r="X34" s="25">
        <v>2.8406349999999998</v>
      </c>
      <c r="Y34" s="25">
        <v>2.8446440000000002</v>
      </c>
      <c r="Z34" s="25">
        <v>2.8497300000000001</v>
      </c>
      <c r="AA34" s="25">
        <v>2.8464550000000002</v>
      </c>
      <c r="AB34" s="25">
        <v>2.857904</v>
      </c>
      <c r="AC34" s="25">
        <v>2.8609059999999999</v>
      </c>
      <c r="AD34" s="25">
        <v>2.8697949999999999</v>
      </c>
      <c r="AE34" s="25">
        <v>2.8793570000000002</v>
      </c>
      <c r="AF34" s="25">
        <v>2.8885149999999999</v>
      </c>
      <c r="AG34" s="25">
        <v>2.900779</v>
      </c>
      <c r="AH34" s="19">
        <v>9.9500000000000001E-4</v>
      </c>
    </row>
    <row r="35" spans="1:34" x14ac:dyDescent="0.25">
      <c r="A35" s="6" t="s">
        <v>167</v>
      </c>
      <c r="B35" s="17" t="s">
        <v>168</v>
      </c>
      <c r="C35" s="19" t="s">
        <v>305</v>
      </c>
      <c r="D35" s="19" t="s">
        <v>305</v>
      </c>
      <c r="E35" s="19" t="s">
        <v>305</v>
      </c>
      <c r="F35" s="19" t="s">
        <v>305</v>
      </c>
      <c r="G35" s="19" t="s">
        <v>305</v>
      </c>
      <c r="H35" s="19" t="s">
        <v>305</v>
      </c>
      <c r="I35" s="19" t="s">
        <v>305</v>
      </c>
      <c r="J35" s="19" t="s">
        <v>305</v>
      </c>
      <c r="K35" s="19" t="s">
        <v>305</v>
      </c>
      <c r="L35" s="19" t="s">
        <v>305</v>
      </c>
      <c r="M35" s="19" t="s">
        <v>305</v>
      </c>
      <c r="N35" s="19" t="s">
        <v>305</v>
      </c>
      <c r="O35" s="19" t="s">
        <v>305</v>
      </c>
      <c r="P35" s="19" t="s">
        <v>305</v>
      </c>
      <c r="Q35" s="19" t="s">
        <v>305</v>
      </c>
      <c r="R35" s="19" t="s">
        <v>305</v>
      </c>
      <c r="S35" s="19" t="s">
        <v>305</v>
      </c>
      <c r="T35" s="19" t="s">
        <v>305</v>
      </c>
      <c r="U35" s="19" t="s">
        <v>305</v>
      </c>
      <c r="V35" s="19" t="s">
        <v>305</v>
      </c>
      <c r="W35" s="19" t="s">
        <v>305</v>
      </c>
      <c r="X35" s="19" t="s">
        <v>305</v>
      </c>
      <c r="Y35" s="19" t="s">
        <v>305</v>
      </c>
      <c r="Z35" s="19" t="s">
        <v>305</v>
      </c>
      <c r="AA35" s="19" t="s">
        <v>305</v>
      </c>
      <c r="AB35" s="19" t="s">
        <v>305</v>
      </c>
      <c r="AC35" s="19" t="s">
        <v>305</v>
      </c>
      <c r="AD35" s="19" t="s">
        <v>305</v>
      </c>
      <c r="AE35" s="19" t="s">
        <v>305</v>
      </c>
      <c r="AF35" s="19" t="s">
        <v>305</v>
      </c>
      <c r="AG35" s="19" t="s">
        <v>305</v>
      </c>
      <c r="AH35" s="19" t="s">
        <v>305</v>
      </c>
    </row>
    <row r="36" spans="1:34" x14ac:dyDescent="0.25">
      <c r="A36" s="6" t="s">
        <v>169</v>
      </c>
      <c r="B36" s="17" t="s">
        <v>149</v>
      </c>
      <c r="C36" s="25">
        <v>20.703951</v>
      </c>
      <c r="D36" s="25">
        <v>20.963263999999999</v>
      </c>
      <c r="E36" s="25">
        <v>20.467887999999999</v>
      </c>
      <c r="F36" s="25">
        <v>19.783636000000001</v>
      </c>
      <c r="G36" s="25">
        <v>19.357731000000001</v>
      </c>
      <c r="H36" s="25">
        <v>19.106280999999999</v>
      </c>
      <c r="I36" s="25">
        <v>18.963926000000001</v>
      </c>
      <c r="J36" s="25">
        <v>18.841094999999999</v>
      </c>
      <c r="K36" s="25">
        <v>18.735588</v>
      </c>
      <c r="L36" s="25">
        <v>18.663567</v>
      </c>
      <c r="M36" s="25">
        <v>18.617512000000001</v>
      </c>
      <c r="N36" s="25">
        <v>18.676767000000002</v>
      </c>
      <c r="O36" s="25">
        <v>18.634557999999998</v>
      </c>
      <c r="P36" s="25">
        <v>18.545500000000001</v>
      </c>
      <c r="Q36" s="25">
        <v>18.446601999999999</v>
      </c>
      <c r="R36" s="25">
        <v>18.351669000000001</v>
      </c>
      <c r="S36" s="25">
        <v>18.239789999999999</v>
      </c>
      <c r="T36" s="25">
        <v>18.124399</v>
      </c>
      <c r="U36" s="25">
        <v>18.044464000000001</v>
      </c>
      <c r="V36" s="25">
        <v>17.939983000000002</v>
      </c>
      <c r="W36" s="25">
        <v>17.836859</v>
      </c>
      <c r="X36" s="25">
        <v>17.750677</v>
      </c>
      <c r="Y36" s="25">
        <v>17.663349</v>
      </c>
      <c r="Z36" s="25">
        <v>17.552032000000001</v>
      </c>
      <c r="AA36" s="25">
        <v>17.488479999999999</v>
      </c>
      <c r="AB36" s="25">
        <v>17.401014</v>
      </c>
      <c r="AC36" s="25">
        <v>17.289835</v>
      </c>
      <c r="AD36" s="25">
        <v>17.180754</v>
      </c>
      <c r="AE36" s="25">
        <v>17.048691000000002</v>
      </c>
      <c r="AF36" s="25">
        <v>16.892347000000001</v>
      </c>
      <c r="AG36" s="25">
        <v>16.778521999999999</v>
      </c>
      <c r="AH36" s="19">
        <v>-6.9829999999999996E-3</v>
      </c>
    </row>
    <row r="38" spans="1:34" x14ac:dyDescent="0.25">
      <c r="B38" s="16" t="s">
        <v>170</v>
      </c>
    </row>
    <row r="39" spans="1:34" x14ac:dyDescent="0.25">
      <c r="A39" s="6" t="s">
        <v>171</v>
      </c>
      <c r="B39" s="17" t="s">
        <v>143</v>
      </c>
      <c r="C39" s="25">
        <v>11.989126000000001</v>
      </c>
      <c r="D39" s="25">
        <v>12.919199000000001</v>
      </c>
      <c r="E39" s="25">
        <v>13.387473999999999</v>
      </c>
      <c r="F39" s="25">
        <v>13.175584000000001</v>
      </c>
      <c r="G39" s="25">
        <v>13.226618</v>
      </c>
      <c r="H39" s="25">
        <v>13.334444</v>
      </c>
      <c r="I39" s="25">
        <v>13.185479000000001</v>
      </c>
      <c r="J39" s="25">
        <v>13.161032000000001</v>
      </c>
      <c r="K39" s="25">
        <v>13.340968</v>
      </c>
      <c r="L39" s="25">
        <v>13.497202</v>
      </c>
      <c r="M39" s="25">
        <v>14.332110999999999</v>
      </c>
      <c r="N39" s="25">
        <v>14.464104000000001</v>
      </c>
      <c r="O39" s="25">
        <v>14.634573</v>
      </c>
      <c r="P39" s="25">
        <v>14.748526</v>
      </c>
      <c r="Q39" s="25">
        <v>14.872234000000001</v>
      </c>
      <c r="R39" s="25">
        <v>14.902267</v>
      </c>
      <c r="S39" s="25">
        <v>15.02397</v>
      </c>
      <c r="T39" s="25">
        <v>15.289154</v>
      </c>
      <c r="U39" s="25">
        <v>15.443079000000001</v>
      </c>
      <c r="V39" s="25">
        <v>15.51417</v>
      </c>
      <c r="W39" s="25">
        <v>15.635192</v>
      </c>
      <c r="X39" s="25">
        <v>15.760916</v>
      </c>
      <c r="Y39" s="25">
        <v>15.870314</v>
      </c>
      <c r="Z39" s="25">
        <v>15.870430000000001</v>
      </c>
      <c r="AA39" s="25">
        <v>16.006077000000001</v>
      </c>
      <c r="AB39" s="25">
        <v>16.086893</v>
      </c>
      <c r="AC39" s="25">
        <v>16.233222999999999</v>
      </c>
      <c r="AD39" s="25">
        <v>16.368509</v>
      </c>
      <c r="AE39" s="25">
        <v>16.490397999999999</v>
      </c>
      <c r="AF39" s="25">
        <v>16.657537000000001</v>
      </c>
      <c r="AG39" s="25">
        <v>16.799364000000001</v>
      </c>
      <c r="AH39" s="19">
        <v>1.1308E-2</v>
      </c>
    </row>
    <row r="40" spans="1:34" x14ac:dyDescent="0.25">
      <c r="A40" s="6" t="s">
        <v>172</v>
      </c>
      <c r="B40" s="17" t="s">
        <v>173</v>
      </c>
      <c r="C40" s="25">
        <v>21.197994000000001</v>
      </c>
      <c r="D40" s="25">
        <v>22.2544</v>
      </c>
      <c r="E40" s="25">
        <v>23.610071000000001</v>
      </c>
      <c r="F40" s="25">
        <v>23.112133</v>
      </c>
      <c r="G40" s="25">
        <v>22.835497</v>
      </c>
      <c r="H40" s="25">
        <v>22.609148000000001</v>
      </c>
      <c r="I40" s="25">
        <v>22.527273000000001</v>
      </c>
      <c r="J40" s="25">
        <v>23.046517999999999</v>
      </c>
      <c r="K40" s="25">
        <v>23.283846</v>
      </c>
      <c r="L40" s="25">
        <v>23.639156</v>
      </c>
      <c r="M40" s="25">
        <v>24.640180999999998</v>
      </c>
      <c r="N40" s="25">
        <v>24.558274999999998</v>
      </c>
      <c r="O40" s="25">
        <v>24.877409</v>
      </c>
      <c r="P40" s="25">
        <v>25.090036000000001</v>
      </c>
      <c r="Q40" s="25">
        <v>25.613430000000001</v>
      </c>
      <c r="R40" s="25">
        <v>25.302700000000002</v>
      </c>
      <c r="S40" s="25">
        <v>25.378855000000001</v>
      </c>
      <c r="T40" s="25">
        <v>25.663869999999999</v>
      </c>
      <c r="U40" s="25">
        <v>25.927429</v>
      </c>
      <c r="V40" s="25">
        <v>25.975618000000001</v>
      </c>
      <c r="W40" s="25">
        <v>26.159890999999998</v>
      </c>
      <c r="X40" s="25">
        <v>26.357863999999999</v>
      </c>
      <c r="Y40" s="25">
        <v>26.34479</v>
      </c>
      <c r="Z40" s="25">
        <v>26.476631000000001</v>
      </c>
      <c r="AA40" s="25">
        <v>26.680527000000001</v>
      </c>
      <c r="AB40" s="25">
        <v>26.959340999999998</v>
      </c>
      <c r="AC40" s="25">
        <v>27.088846</v>
      </c>
      <c r="AD40" s="25">
        <v>27.212554999999998</v>
      </c>
      <c r="AE40" s="25">
        <v>27.351645000000001</v>
      </c>
      <c r="AF40" s="25">
        <v>27.548573000000001</v>
      </c>
      <c r="AG40" s="25">
        <v>27.762180000000001</v>
      </c>
      <c r="AH40" s="19">
        <v>9.0329999999999994E-3</v>
      </c>
    </row>
    <row r="41" spans="1:34" x14ac:dyDescent="0.25">
      <c r="A41" s="6" t="s">
        <v>174</v>
      </c>
      <c r="B41" s="17" t="s">
        <v>175</v>
      </c>
      <c r="C41" s="25">
        <v>18.753328</v>
      </c>
      <c r="D41" s="25">
        <v>19.581623</v>
      </c>
      <c r="E41" s="25">
        <v>19.852088999999999</v>
      </c>
      <c r="F41" s="25">
        <v>19.731396</v>
      </c>
      <c r="G41" s="25">
        <v>19.549955000000001</v>
      </c>
      <c r="H41" s="25">
        <v>19.404346</v>
      </c>
      <c r="I41" s="25">
        <v>19.369586999999999</v>
      </c>
      <c r="J41" s="25">
        <v>19.802026999999999</v>
      </c>
      <c r="K41" s="25">
        <v>19.986060999999999</v>
      </c>
      <c r="L41" s="25">
        <v>20.267641000000001</v>
      </c>
      <c r="M41" s="25">
        <v>21.249949000000001</v>
      </c>
      <c r="N41" s="25">
        <v>21.156803</v>
      </c>
      <c r="O41" s="25">
        <v>21.426884000000001</v>
      </c>
      <c r="P41" s="25">
        <v>21.582792000000001</v>
      </c>
      <c r="Q41" s="25">
        <v>22.004716999999999</v>
      </c>
      <c r="R41" s="25">
        <v>21.723973999999998</v>
      </c>
      <c r="S41" s="25">
        <v>21.772912999999999</v>
      </c>
      <c r="T41" s="25">
        <v>22.005011</v>
      </c>
      <c r="U41" s="25">
        <v>22.215183</v>
      </c>
      <c r="V41" s="25">
        <v>22.246717</v>
      </c>
      <c r="W41" s="25">
        <v>22.394072999999999</v>
      </c>
      <c r="X41" s="25">
        <v>22.547350000000002</v>
      </c>
      <c r="Y41" s="25">
        <v>22.523793999999999</v>
      </c>
      <c r="Z41" s="25">
        <v>22.623035000000002</v>
      </c>
      <c r="AA41" s="25">
        <v>22.783685999999999</v>
      </c>
      <c r="AB41" s="25">
        <v>22.996141000000001</v>
      </c>
      <c r="AC41" s="25">
        <v>23.074652</v>
      </c>
      <c r="AD41" s="25">
        <v>23.173857000000002</v>
      </c>
      <c r="AE41" s="25">
        <v>23.260543999999999</v>
      </c>
      <c r="AF41" s="25">
        <v>23.427748000000001</v>
      </c>
      <c r="AG41" s="25">
        <v>23.597351</v>
      </c>
      <c r="AH41" s="19">
        <v>7.6880000000000004E-3</v>
      </c>
    </row>
    <row r="42" spans="1:34" x14ac:dyDescent="0.25">
      <c r="A42" s="6" t="s">
        <v>176</v>
      </c>
      <c r="B42" s="17" t="s">
        <v>177</v>
      </c>
      <c r="C42" s="25">
        <v>9.5686540000000004</v>
      </c>
      <c r="D42" s="25">
        <v>10.382089000000001</v>
      </c>
      <c r="E42" s="25">
        <v>11.359349</v>
      </c>
      <c r="F42" s="25">
        <v>12.190462</v>
      </c>
      <c r="G42" s="25">
        <v>12.696320999999999</v>
      </c>
      <c r="H42" s="25">
        <v>12.903029999999999</v>
      </c>
      <c r="I42" s="25">
        <v>13.260797</v>
      </c>
      <c r="J42" s="25">
        <v>13.761744</v>
      </c>
      <c r="K42" s="25">
        <v>14.027101</v>
      </c>
      <c r="L42" s="25">
        <v>14.319986</v>
      </c>
      <c r="M42" s="25">
        <v>14.720231999999999</v>
      </c>
      <c r="N42" s="25">
        <v>14.946351</v>
      </c>
      <c r="O42" s="25">
        <v>15.259788</v>
      </c>
      <c r="P42" s="25">
        <v>15.467662000000001</v>
      </c>
      <c r="Q42" s="25">
        <v>15.60177</v>
      </c>
      <c r="R42" s="25">
        <v>15.515354</v>
      </c>
      <c r="S42" s="25">
        <v>15.477219</v>
      </c>
      <c r="T42" s="25">
        <v>15.705437999999999</v>
      </c>
      <c r="U42" s="25">
        <v>15.944727</v>
      </c>
      <c r="V42" s="25">
        <v>15.870374999999999</v>
      </c>
      <c r="W42" s="25">
        <v>16.294031</v>
      </c>
      <c r="X42" s="25">
        <v>16.474257999999999</v>
      </c>
      <c r="Y42" s="25">
        <v>16.612787000000001</v>
      </c>
      <c r="Z42" s="25">
        <v>16.803795000000001</v>
      </c>
      <c r="AA42" s="25">
        <v>17.055935000000002</v>
      </c>
      <c r="AB42" s="25">
        <v>17.333383999999999</v>
      </c>
      <c r="AC42" s="25">
        <v>17.508016999999999</v>
      </c>
      <c r="AD42" s="25">
        <v>17.640877</v>
      </c>
      <c r="AE42" s="25">
        <v>17.718878</v>
      </c>
      <c r="AF42" s="25">
        <v>17.919551999999999</v>
      </c>
      <c r="AG42" s="25">
        <v>18.078150000000001</v>
      </c>
      <c r="AH42" s="19">
        <v>2.1433000000000001E-2</v>
      </c>
    </row>
    <row r="43" spans="1:34" x14ac:dyDescent="0.25">
      <c r="A43" s="6" t="s">
        <v>178</v>
      </c>
      <c r="B43" s="17" t="s">
        <v>179</v>
      </c>
      <c r="C43" s="25">
        <v>18.329231</v>
      </c>
      <c r="D43" s="25">
        <v>18.273304</v>
      </c>
      <c r="E43" s="25">
        <v>19.018625</v>
      </c>
      <c r="F43" s="25">
        <v>20.184968999999999</v>
      </c>
      <c r="G43" s="25">
        <v>20.458480999999999</v>
      </c>
      <c r="H43" s="25">
        <v>20.666316999999999</v>
      </c>
      <c r="I43" s="25">
        <v>20.773323000000001</v>
      </c>
      <c r="J43" s="25">
        <v>21.303528</v>
      </c>
      <c r="K43" s="25">
        <v>21.534609</v>
      </c>
      <c r="L43" s="25">
        <v>21.744458999999999</v>
      </c>
      <c r="M43" s="25">
        <v>22.445812</v>
      </c>
      <c r="N43" s="25">
        <v>22.594145000000001</v>
      </c>
      <c r="O43" s="25">
        <v>22.867038999999998</v>
      </c>
      <c r="P43" s="25">
        <v>23.024622000000001</v>
      </c>
      <c r="Q43" s="25">
        <v>23.134772999999999</v>
      </c>
      <c r="R43" s="25">
        <v>22.871684999999999</v>
      </c>
      <c r="S43" s="25">
        <v>22.789750999999999</v>
      </c>
      <c r="T43" s="25">
        <v>22.977484</v>
      </c>
      <c r="U43" s="25">
        <v>23.1539</v>
      </c>
      <c r="V43" s="25">
        <v>23.013912000000001</v>
      </c>
      <c r="W43" s="25">
        <v>23.353069000000001</v>
      </c>
      <c r="X43" s="25">
        <v>23.471916</v>
      </c>
      <c r="Y43" s="25">
        <v>23.546527999999999</v>
      </c>
      <c r="Z43" s="25">
        <v>23.659164000000001</v>
      </c>
      <c r="AA43" s="25">
        <v>23.822613</v>
      </c>
      <c r="AB43" s="25">
        <v>24.034845000000001</v>
      </c>
      <c r="AC43" s="25">
        <v>24.176539999999999</v>
      </c>
      <c r="AD43" s="25">
        <v>24.286657000000002</v>
      </c>
      <c r="AE43" s="25">
        <v>24.364197000000001</v>
      </c>
      <c r="AF43" s="25">
        <v>24.512602000000001</v>
      </c>
      <c r="AG43" s="25">
        <v>24.657568000000001</v>
      </c>
      <c r="AH43" s="19">
        <v>9.9349999999999994E-3</v>
      </c>
    </row>
    <row r="44" spans="1:34" x14ac:dyDescent="0.25">
      <c r="A44" s="6" t="s">
        <v>180</v>
      </c>
      <c r="B44" s="17" t="s">
        <v>154</v>
      </c>
      <c r="C44" s="25">
        <v>9.2080660000000005</v>
      </c>
      <c r="D44" s="25">
        <v>6.989611</v>
      </c>
      <c r="E44" s="25">
        <v>7.144215</v>
      </c>
      <c r="F44" s="25">
        <v>8.1884130000000006</v>
      </c>
      <c r="G44" s="25">
        <v>9.3499669999999995</v>
      </c>
      <c r="H44" s="25">
        <v>9.3756959999999996</v>
      </c>
      <c r="I44" s="25">
        <v>9.6402699999999992</v>
      </c>
      <c r="J44" s="25">
        <v>10.126381</v>
      </c>
      <c r="K44" s="25">
        <v>10.226327</v>
      </c>
      <c r="L44" s="25">
        <v>10.968683</v>
      </c>
      <c r="M44" s="25">
        <v>11.327226</v>
      </c>
      <c r="N44" s="25">
        <v>11.050945</v>
      </c>
      <c r="O44" s="25">
        <v>11.334099</v>
      </c>
      <c r="P44" s="25">
        <v>11.461785000000001</v>
      </c>
      <c r="Q44" s="25">
        <v>11.880727</v>
      </c>
      <c r="R44" s="25">
        <v>11.526116999999999</v>
      </c>
      <c r="S44" s="25">
        <v>11.641574</v>
      </c>
      <c r="T44" s="25">
        <v>11.783689000000001</v>
      </c>
      <c r="U44" s="25">
        <v>11.978284</v>
      </c>
      <c r="V44" s="25">
        <v>12.118925000000001</v>
      </c>
      <c r="W44" s="25">
        <v>12.296306</v>
      </c>
      <c r="X44" s="25">
        <v>12.352102</v>
      </c>
      <c r="Y44" s="25">
        <v>12.596482999999999</v>
      </c>
      <c r="Z44" s="25">
        <v>12.935369</v>
      </c>
      <c r="AA44" s="25">
        <v>13.238238000000001</v>
      </c>
      <c r="AB44" s="25">
        <v>13.200082</v>
      </c>
      <c r="AC44" s="25">
        <v>13.803732</v>
      </c>
      <c r="AD44" s="25">
        <v>13.884045</v>
      </c>
      <c r="AE44" s="25">
        <v>13.935924999999999</v>
      </c>
      <c r="AF44" s="25">
        <v>14.105252</v>
      </c>
      <c r="AG44" s="25">
        <v>14.331807</v>
      </c>
      <c r="AH44" s="19">
        <v>1.4855999999999999E-2</v>
      </c>
    </row>
    <row r="45" spans="1:34" x14ac:dyDescent="0.25">
      <c r="A45" s="6" t="s">
        <v>181</v>
      </c>
      <c r="B45" s="17" t="s">
        <v>182</v>
      </c>
      <c r="C45" s="25">
        <v>12.999203</v>
      </c>
      <c r="D45" s="25">
        <v>13.612721000000001</v>
      </c>
      <c r="E45" s="25">
        <v>13.962173</v>
      </c>
      <c r="F45" s="25">
        <v>13.394043999999999</v>
      </c>
      <c r="G45" s="25">
        <v>12.701124999999999</v>
      </c>
      <c r="H45" s="25">
        <v>12.455730000000001</v>
      </c>
      <c r="I45" s="25">
        <v>12.231553999999999</v>
      </c>
      <c r="J45" s="25">
        <v>12.004652</v>
      </c>
      <c r="K45" s="25">
        <v>11.749408000000001</v>
      </c>
      <c r="L45" s="25">
        <v>11.559972</v>
      </c>
      <c r="M45" s="25">
        <v>12.036060000000001</v>
      </c>
      <c r="N45" s="25">
        <v>11.756859</v>
      </c>
      <c r="O45" s="25">
        <v>11.637912999999999</v>
      </c>
      <c r="P45" s="25">
        <v>11.466904</v>
      </c>
      <c r="Q45" s="25">
        <v>11.297943</v>
      </c>
      <c r="R45" s="25">
        <v>11.078620000000001</v>
      </c>
      <c r="S45" s="25">
        <v>10.936546</v>
      </c>
      <c r="T45" s="25">
        <v>10.797910999999999</v>
      </c>
      <c r="U45" s="25">
        <v>10.667474</v>
      </c>
      <c r="V45" s="25">
        <v>10.546728999999999</v>
      </c>
      <c r="W45" s="25">
        <v>10.458061000000001</v>
      </c>
      <c r="X45" s="25">
        <v>10.372773</v>
      </c>
      <c r="Y45" s="25">
        <v>10.336288</v>
      </c>
      <c r="Z45" s="25">
        <v>10.268269</v>
      </c>
      <c r="AA45" s="25">
        <v>10.251918</v>
      </c>
      <c r="AB45" s="25">
        <v>10.198373</v>
      </c>
      <c r="AC45" s="25">
        <v>10.155938000000001</v>
      </c>
      <c r="AD45" s="25">
        <v>10.137851</v>
      </c>
      <c r="AE45" s="25">
        <v>10.073518</v>
      </c>
      <c r="AF45" s="25">
        <v>10.031018</v>
      </c>
      <c r="AG45" s="25">
        <v>10.035291000000001</v>
      </c>
      <c r="AH45" s="19">
        <v>-8.5889999999999994E-3</v>
      </c>
    </row>
    <row r="46" spans="1:34" x14ac:dyDescent="0.25">
      <c r="A46" s="6" t="s">
        <v>183</v>
      </c>
      <c r="B46" s="17" t="s">
        <v>149</v>
      </c>
      <c r="C46" s="25">
        <v>34.881683000000002</v>
      </c>
      <c r="D46" s="25">
        <v>36.432147999999998</v>
      </c>
      <c r="E46" s="25">
        <v>35.382660000000001</v>
      </c>
      <c r="F46" s="25">
        <v>34.505398</v>
      </c>
      <c r="G46" s="25">
        <v>33.776938999999999</v>
      </c>
      <c r="H46" s="25">
        <v>33.571579</v>
      </c>
      <c r="I46" s="25">
        <v>33.493298000000003</v>
      </c>
      <c r="J46" s="25">
        <v>33.463439999999999</v>
      </c>
      <c r="K46" s="25">
        <v>33.426532999999999</v>
      </c>
      <c r="L46" s="25">
        <v>33.438160000000003</v>
      </c>
      <c r="M46" s="25">
        <v>33.332622999999998</v>
      </c>
      <c r="N46" s="25">
        <v>33.562083999999999</v>
      </c>
      <c r="O46" s="25">
        <v>33.609898000000001</v>
      </c>
      <c r="P46" s="25">
        <v>33.642971000000003</v>
      </c>
      <c r="Q46" s="25">
        <v>33.577801000000001</v>
      </c>
      <c r="R46" s="25">
        <v>33.383285999999998</v>
      </c>
      <c r="S46" s="25">
        <v>33.236187000000001</v>
      </c>
      <c r="T46" s="25">
        <v>33.116970000000002</v>
      </c>
      <c r="U46" s="25">
        <v>32.992995999999998</v>
      </c>
      <c r="V46" s="25">
        <v>32.848633</v>
      </c>
      <c r="W46" s="25">
        <v>32.697341999999999</v>
      </c>
      <c r="X46" s="25">
        <v>32.558188999999999</v>
      </c>
      <c r="Y46" s="25">
        <v>32.407673000000003</v>
      </c>
      <c r="Z46" s="25">
        <v>32.201774999999998</v>
      </c>
      <c r="AA46" s="25">
        <v>32.014209999999999</v>
      </c>
      <c r="AB46" s="25">
        <v>31.856124999999999</v>
      </c>
      <c r="AC46" s="25">
        <v>31.642790000000002</v>
      </c>
      <c r="AD46" s="25">
        <v>31.444817</v>
      </c>
      <c r="AE46" s="25">
        <v>31.182276000000002</v>
      </c>
      <c r="AF46" s="25">
        <v>30.867584000000001</v>
      </c>
      <c r="AG46" s="25">
        <v>30.581862999999998</v>
      </c>
      <c r="AH46" s="19">
        <v>-4.3759999999999997E-3</v>
      </c>
    </row>
    <row r="48" spans="1:34" x14ac:dyDescent="0.25">
      <c r="B48" s="16" t="s">
        <v>184</v>
      </c>
    </row>
    <row r="49" spans="1:34" x14ac:dyDescent="0.25">
      <c r="A49" s="6" t="s">
        <v>185</v>
      </c>
      <c r="B49" s="17" t="s">
        <v>145</v>
      </c>
      <c r="C49" s="25">
        <v>17.708587999999999</v>
      </c>
      <c r="D49" s="25">
        <v>17.735790000000001</v>
      </c>
      <c r="E49" s="25">
        <v>17.772366999999999</v>
      </c>
      <c r="F49" s="25">
        <v>17.757168</v>
      </c>
      <c r="G49" s="25">
        <v>17.440514</v>
      </c>
      <c r="H49" s="25">
        <v>16.906562999999998</v>
      </c>
      <c r="I49" s="25">
        <v>16.321712000000002</v>
      </c>
      <c r="J49" s="25">
        <v>16.740919000000002</v>
      </c>
      <c r="K49" s="25">
        <v>16.886804999999999</v>
      </c>
      <c r="L49" s="25">
        <v>17.092268000000001</v>
      </c>
      <c r="M49" s="25">
        <v>17.428493</v>
      </c>
      <c r="N49" s="25">
        <v>17.382967000000001</v>
      </c>
      <c r="O49" s="25">
        <v>17.607697000000002</v>
      </c>
      <c r="P49" s="25">
        <v>17.753260000000001</v>
      </c>
      <c r="Q49" s="25">
        <v>17.881567</v>
      </c>
      <c r="R49" s="25">
        <v>17.759588000000001</v>
      </c>
      <c r="S49" s="25">
        <v>17.726186999999999</v>
      </c>
      <c r="T49" s="25">
        <v>17.897390000000001</v>
      </c>
      <c r="U49" s="25">
        <v>17.993275000000001</v>
      </c>
      <c r="V49" s="25">
        <v>17.910706999999999</v>
      </c>
      <c r="W49" s="25">
        <v>18.340789999999998</v>
      </c>
      <c r="X49" s="25">
        <v>18.489763</v>
      </c>
      <c r="Y49" s="25">
        <v>18.573277000000001</v>
      </c>
      <c r="Z49" s="25">
        <v>18.707031000000001</v>
      </c>
      <c r="AA49" s="25">
        <v>18.910122000000001</v>
      </c>
      <c r="AB49" s="25">
        <v>19.160456</v>
      </c>
      <c r="AC49" s="25">
        <v>19.332260000000002</v>
      </c>
      <c r="AD49" s="25">
        <v>19.448906000000001</v>
      </c>
      <c r="AE49" s="25">
        <v>19.543752999999999</v>
      </c>
      <c r="AF49" s="25">
        <v>19.758375000000001</v>
      </c>
      <c r="AG49" s="25">
        <v>19.904820999999998</v>
      </c>
      <c r="AH49" s="19">
        <v>3.9050000000000001E-3</v>
      </c>
    </row>
    <row r="50" spans="1:34" ht="15" customHeight="1" x14ac:dyDescent="0.25">
      <c r="A50" s="6" t="s">
        <v>186</v>
      </c>
      <c r="B50" s="17" t="s">
        <v>154</v>
      </c>
      <c r="C50" s="25">
        <v>8.2907299999999999</v>
      </c>
      <c r="D50" s="25">
        <v>8.8536610000000007</v>
      </c>
      <c r="E50" s="25">
        <v>9.7206170000000007</v>
      </c>
      <c r="F50" s="25">
        <v>10.69387</v>
      </c>
      <c r="G50" s="25">
        <v>11.372703</v>
      </c>
      <c r="H50" s="25">
        <v>11.701245</v>
      </c>
      <c r="I50" s="25">
        <v>12.102871</v>
      </c>
      <c r="J50" s="25">
        <v>12.510104999999999</v>
      </c>
      <c r="K50" s="25">
        <v>12.626429</v>
      </c>
      <c r="L50" s="25">
        <v>12.84155</v>
      </c>
      <c r="M50" s="25">
        <v>13.156910999999999</v>
      </c>
      <c r="N50" s="25">
        <v>13.264642</v>
      </c>
      <c r="O50" s="25">
        <v>13.461684999999999</v>
      </c>
      <c r="P50" s="25">
        <v>13.653866000000001</v>
      </c>
      <c r="Q50" s="25">
        <v>13.733962</v>
      </c>
      <c r="R50" s="25">
        <v>13.649095000000001</v>
      </c>
      <c r="S50" s="25">
        <v>13.591269</v>
      </c>
      <c r="T50" s="25">
        <v>13.757904999999999</v>
      </c>
      <c r="U50" s="25">
        <v>13.930717</v>
      </c>
      <c r="V50" s="25">
        <v>13.97852</v>
      </c>
      <c r="W50" s="25">
        <v>14.261134</v>
      </c>
      <c r="X50" s="25">
        <v>14.30029</v>
      </c>
      <c r="Y50" s="25">
        <v>14.296969000000001</v>
      </c>
      <c r="Z50" s="25">
        <v>14.277528999999999</v>
      </c>
      <c r="AA50" s="25">
        <v>14.328882</v>
      </c>
      <c r="AB50" s="25">
        <v>14.239768</v>
      </c>
      <c r="AC50" s="25">
        <v>14.427329</v>
      </c>
      <c r="AD50" s="25">
        <v>14.57197</v>
      </c>
      <c r="AE50" s="25">
        <v>14.66136</v>
      </c>
      <c r="AF50" s="25">
        <v>14.848314999999999</v>
      </c>
      <c r="AG50" s="25">
        <v>15.050549</v>
      </c>
      <c r="AH50" s="19">
        <v>2.0074999999999999E-2</v>
      </c>
    </row>
    <row r="51" spans="1:34" ht="15" customHeight="1" x14ac:dyDescent="0.25">
      <c r="A51" s="6" t="s">
        <v>187</v>
      </c>
      <c r="B51" s="17" t="s">
        <v>147</v>
      </c>
      <c r="C51" s="25">
        <v>2.4475359999999999</v>
      </c>
      <c r="D51" s="25">
        <v>3.5377540000000001</v>
      </c>
      <c r="E51" s="25">
        <v>3.433262</v>
      </c>
      <c r="F51" s="25">
        <v>3.015679</v>
      </c>
      <c r="G51" s="25">
        <v>2.6849409999999998</v>
      </c>
      <c r="H51" s="25">
        <v>2.64967</v>
      </c>
      <c r="I51" s="25">
        <v>2.6746370000000002</v>
      </c>
      <c r="J51" s="25">
        <v>2.7499859999999998</v>
      </c>
      <c r="K51" s="25">
        <v>2.8047689999999998</v>
      </c>
      <c r="L51" s="25">
        <v>2.9016790000000001</v>
      </c>
      <c r="M51" s="25">
        <v>2.9613369999999999</v>
      </c>
      <c r="N51" s="25">
        <v>2.9948389999999998</v>
      </c>
      <c r="O51" s="25">
        <v>3.0135689999999999</v>
      </c>
      <c r="P51" s="25">
        <v>3.046341</v>
      </c>
      <c r="Q51" s="25">
        <v>3.0397609999999999</v>
      </c>
      <c r="R51" s="25">
        <v>3.0194350000000001</v>
      </c>
      <c r="S51" s="25">
        <v>3.0151469999999998</v>
      </c>
      <c r="T51" s="25">
        <v>2.99057</v>
      </c>
      <c r="U51" s="25">
        <v>2.965697</v>
      </c>
      <c r="V51" s="25">
        <v>2.9375529999999999</v>
      </c>
      <c r="W51" s="25">
        <v>2.921646</v>
      </c>
      <c r="X51" s="25">
        <v>2.9222980000000001</v>
      </c>
      <c r="Y51" s="25">
        <v>2.9232429999999998</v>
      </c>
      <c r="Z51" s="25">
        <v>2.9078240000000002</v>
      </c>
      <c r="AA51" s="25">
        <v>2.9255339999999999</v>
      </c>
      <c r="AB51" s="25">
        <v>2.9019879999999998</v>
      </c>
      <c r="AC51" s="25">
        <v>2.885729</v>
      </c>
      <c r="AD51" s="25">
        <v>2.8889610000000001</v>
      </c>
      <c r="AE51" s="25">
        <v>2.8487960000000001</v>
      </c>
      <c r="AF51" s="25">
        <v>2.8097089999999998</v>
      </c>
      <c r="AG51" s="25">
        <v>2.824214</v>
      </c>
      <c r="AH51" s="19">
        <v>4.7829999999999999E-3</v>
      </c>
    </row>
    <row r="52" spans="1:34" ht="15" customHeight="1" x14ac:dyDescent="0.25">
      <c r="A52" s="6" t="s">
        <v>188</v>
      </c>
      <c r="B52" s="17" t="s">
        <v>189</v>
      </c>
      <c r="C52" s="25">
        <v>1.9139900000000001</v>
      </c>
      <c r="D52" s="25">
        <v>1.992829</v>
      </c>
      <c r="E52" s="25">
        <v>1.9976529999999999</v>
      </c>
      <c r="F52" s="25">
        <v>1.922558</v>
      </c>
      <c r="G52" s="25">
        <v>1.8888240000000001</v>
      </c>
      <c r="H52" s="25">
        <v>1.808135</v>
      </c>
      <c r="I52" s="25">
        <v>1.7887230000000001</v>
      </c>
      <c r="J52" s="25">
        <v>1.771312</v>
      </c>
      <c r="K52" s="25">
        <v>1.730594</v>
      </c>
      <c r="L52" s="25">
        <v>1.7246509999999999</v>
      </c>
      <c r="M52" s="25">
        <v>1.720315</v>
      </c>
      <c r="N52" s="25">
        <v>1.7246379999999999</v>
      </c>
      <c r="O52" s="25">
        <v>1.700455</v>
      </c>
      <c r="P52" s="25">
        <v>1.6854579999999999</v>
      </c>
      <c r="Q52" s="25">
        <v>1.6802440000000001</v>
      </c>
      <c r="R52" s="25">
        <v>1.665702</v>
      </c>
      <c r="S52" s="25">
        <v>1.655894</v>
      </c>
      <c r="T52" s="25">
        <v>1.6545019999999999</v>
      </c>
      <c r="U52" s="25">
        <v>1.6677360000000001</v>
      </c>
      <c r="V52" s="25">
        <v>1.664871</v>
      </c>
      <c r="W52" s="25">
        <v>1.6638310000000001</v>
      </c>
      <c r="X52" s="25">
        <v>1.66272</v>
      </c>
      <c r="Y52" s="25">
        <v>1.6576850000000001</v>
      </c>
      <c r="Z52" s="25">
        <v>1.6561950000000001</v>
      </c>
      <c r="AA52" s="25">
        <v>1.6538379999999999</v>
      </c>
      <c r="AB52" s="25">
        <v>1.64913</v>
      </c>
      <c r="AC52" s="25">
        <v>1.647008</v>
      </c>
      <c r="AD52" s="25">
        <v>1.6447270000000001</v>
      </c>
      <c r="AE52" s="25">
        <v>1.6342840000000001</v>
      </c>
      <c r="AF52" s="25">
        <v>1.631901</v>
      </c>
      <c r="AG52" s="25">
        <v>1.6306769999999999</v>
      </c>
      <c r="AH52" s="19">
        <v>-5.326E-3</v>
      </c>
    </row>
    <row r="53" spans="1:34" ht="15" customHeight="1" x14ac:dyDescent="0.25">
      <c r="A53" s="6" t="s">
        <v>190</v>
      </c>
      <c r="B53" s="17" t="s">
        <v>191</v>
      </c>
      <c r="C53" s="25">
        <v>0.68612300000000004</v>
      </c>
      <c r="D53" s="25">
        <v>0.68712899999999999</v>
      </c>
      <c r="E53" s="25">
        <v>0.68813500000000005</v>
      </c>
      <c r="F53" s="25">
        <v>0.69014699999999995</v>
      </c>
      <c r="G53" s="25">
        <v>0.69115300000000002</v>
      </c>
      <c r="H53" s="25">
        <v>0.69316500000000003</v>
      </c>
      <c r="I53" s="25">
        <v>0.69417099999999998</v>
      </c>
      <c r="J53" s="25">
        <v>0.696183</v>
      </c>
      <c r="K53" s="25">
        <v>0.69718899999999995</v>
      </c>
      <c r="L53" s="25">
        <v>0.69920099999999996</v>
      </c>
      <c r="M53" s="25">
        <v>0.70121299999999998</v>
      </c>
      <c r="N53" s="25">
        <v>0.70221900000000004</v>
      </c>
      <c r="O53" s="25">
        <v>0.70423100000000005</v>
      </c>
      <c r="P53" s="25">
        <v>0.70624299999999995</v>
      </c>
      <c r="Q53" s="25">
        <v>0.70725000000000005</v>
      </c>
      <c r="R53" s="25">
        <v>0.70926199999999995</v>
      </c>
      <c r="S53" s="25">
        <v>0.71127399999999996</v>
      </c>
      <c r="T53" s="25">
        <v>0.71228000000000002</v>
      </c>
      <c r="U53" s="25">
        <v>0.71429200000000004</v>
      </c>
      <c r="V53" s="25">
        <v>0.71630400000000005</v>
      </c>
      <c r="W53" s="25">
        <v>0.71831599999999995</v>
      </c>
      <c r="X53" s="25">
        <v>0.72032799999999997</v>
      </c>
      <c r="Y53" s="25">
        <v>0.72233999999999998</v>
      </c>
      <c r="Z53" s="25">
        <v>0.724352</v>
      </c>
      <c r="AA53" s="25">
        <v>0.72636400000000001</v>
      </c>
      <c r="AB53" s="25">
        <v>0.72837600000000002</v>
      </c>
      <c r="AC53" s="25">
        <v>0.73038899999999995</v>
      </c>
      <c r="AD53" s="25">
        <v>0.73240099999999997</v>
      </c>
      <c r="AE53" s="25">
        <v>0.73441299999999998</v>
      </c>
      <c r="AF53" s="25">
        <v>0.736425</v>
      </c>
      <c r="AG53" s="25">
        <v>0.73843700000000001</v>
      </c>
      <c r="AH53" s="19">
        <v>2.4520000000000002E-3</v>
      </c>
    </row>
    <row r="56" spans="1:34" ht="15" customHeight="1" x14ac:dyDescent="0.25">
      <c r="B56" s="16" t="s">
        <v>192</v>
      </c>
    </row>
    <row r="57" spans="1:34" ht="15" customHeight="1" x14ac:dyDescent="0.25">
      <c r="A57" s="6" t="s">
        <v>193</v>
      </c>
      <c r="B57" s="17" t="s">
        <v>143</v>
      </c>
      <c r="C57" s="25">
        <v>14.345898999999999</v>
      </c>
      <c r="D57" s="25">
        <v>14.713685</v>
      </c>
      <c r="E57" s="25">
        <v>15.243047000000001</v>
      </c>
      <c r="F57" s="25">
        <v>14.460915</v>
      </c>
      <c r="G57" s="25">
        <v>14.477819999999999</v>
      </c>
      <c r="H57" s="25">
        <v>14.54909</v>
      </c>
      <c r="I57" s="25">
        <v>14.412589000000001</v>
      </c>
      <c r="J57" s="25">
        <v>14.35487</v>
      </c>
      <c r="K57" s="25">
        <v>14.495398</v>
      </c>
      <c r="L57" s="25">
        <v>14.655359000000001</v>
      </c>
      <c r="M57" s="25">
        <v>15.206007</v>
      </c>
      <c r="N57" s="25">
        <v>15.418426999999999</v>
      </c>
      <c r="O57" s="25">
        <v>15.603514000000001</v>
      </c>
      <c r="P57" s="25">
        <v>15.762777</v>
      </c>
      <c r="Q57" s="25">
        <v>15.921435000000001</v>
      </c>
      <c r="R57" s="25">
        <v>15.985692</v>
      </c>
      <c r="S57" s="25">
        <v>16.117588000000001</v>
      </c>
      <c r="T57" s="25">
        <v>16.395572999999999</v>
      </c>
      <c r="U57" s="25">
        <v>16.597930999999999</v>
      </c>
      <c r="V57" s="25">
        <v>16.714835999999998</v>
      </c>
      <c r="W57" s="25">
        <v>16.862282</v>
      </c>
      <c r="X57" s="25">
        <v>17.012253000000001</v>
      </c>
      <c r="Y57" s="25">
        <v>17.148232</v>
      </c>
      <c r="Z57" s="25">
        <v>17.174129000000001</v>
      </c>
      <c r="AA57" s="25">
        <v>17.310279999999999</v>
      </c>
      <c r="AB57" s="25">
        <v>17.405563000000001</v>
      </c>
      <c r="AC57" s="25">
        <v>17.561202999999999</v>
      </c>
      <c r="AD57" s="25">
        <v>17.719315000000002</v>
      </c>
      <c r="AE57" s="25">
        <v>17.866385999999999</v>
      </c>
      <c r="AF57" s="25">
        <v>18.056528</v>
      </c>
      <c r="AG57" s="25">
        <v>18.228179999999998</v>
      </c>
      <c r="AH57" s="19">
        <v>8.0149999999999996E-3</v>
      </c>
    </row>
    <row r="58" spans="1:34" ht="15" customHeight="1" x14ac:dyDescent="0.25">
      <c r="A58" s="6" t="s">
        <v>194</v>
      </c>
      <c r="B58" s="17" t="s">
        <v>173</v>
      </c>
      <c r="C58" s="25">
        <v>21.197994000000001</v>
      </c>
      <c r="D58" s="25">
        <v>22.2544</v>
      </c>
      <c r="E58" s="25">
        <v>23.610071000000001</v>
      </c>
      <c r="F58" s="25">
        <v>23.112133</v>
      </c>
      <c r="G58" s="25">
        <v>22.835497</v>
      </c>
      <c r="H58" s="25">
        <v>22.609148000000001</v>
      </c>
      <c r="I58" s="25">
        <v>22.527273000000001</v>
      </c>
      <c r="J58" s="25">
        <v>23.046517999999999</v>
      </c>
      <c r="K58" s="25">
        <v>23.283846</v>
      </c>
      <c r="L58" s="25">
        <v>23.639156</v>
      </c>
      <c r="M58" s="25">
        <v>24.640180999999998</v>
      </c>
      <c r="N58" s="25">
        <v>24.558274999999998</v>
      </c>
      <c r="O58" s="25">
        <v>24.877409</v>
      </c>
      <c r="P58" s="25">
        <v>25.090036000000001</v>
      </c>
      <c r="Q58" s="25">
        <v>25.613430000000001</v>
      </c>
      <c r="R58" s="25">
        <v>25.302700000000002</v>
      </c>
      <c r="S58" s="25">
        <v>25.378855000000001</v>
      </c>
      <c r="T58" s="25">
        <v>25.663869999999999</v>
      </c>
      <c r="U58" s="25">
        <v>25.927429</v>
      </c>
      <c r="V58" s="25">
        <v>25.975618000000001</v>
      </c>
      <c r="W58" s="25">
        <v>26.159890999999998</v>
      </c>
      <c r="X58" s="25">
        <v>26.357863999999999</v>
      </c>
      <c r="Y58" s="25">
        <v>26.34479</v>
      </c>
      <c r="Z58" s="25">
        <v>26.476631000000001</v>
      </c>
      <c r="AA58" s="25">
        <v>26.680527000000001</v>
      </c>
      <c r="AB58" s="25">
        <v>26.959340999999998</v>
      </c>
      <c r="AC58" s="25">
        <v>27.088846</v>
      </c>
      <c r="AD58" s="25">
        <v>27.212554999999998</v>
      </c>
      <c r="AE58" s="25">
        <v>27.351645000000001</v>
      </c>
      <c r="AF58" s="25">
        <v>27.548573000000001</v>
      </c>
      <c r="AG58" s="25">
        <v>27.762180000000001</v>
      </c>
      <c r="AH58" s="19">
        <v>9.0329999999999994E-3</v>
      </c>
    </row>
    <row r="59" spans="1:34" ht="15" customHeight="1" x14ac:dyDescent="0.25">
      <c r="A59" s="6" t="s">
        <v>195</v>
      </c>
      <c r="B59" s="17" t="s">
        <v>175</v>
      </c>
      <c r="C59" s="25">
        <v>18.741726</v>
      </c>
      <c r="D59" s="25">
        <v>19.573618</v>
      </c>
      <c r="E59" s="25">
        <v>19.847180999999999</v>
      </c>
      <c r="F59" s="25">
        <v>19.730119999999999</v>
      </c>
      <c r="G59" s="25">
        <v>19.552361000000001</v>
      </c>
      <c r="H59" s="25">
        <v>19.410413999999999</v>
      </c>
      <c r="I59" s="25">
        <v>19.379324</v>
      </c>
      <c r="J59" s="25">
        <v>19.811895</v>
      </c>
      <c r="K59" s="25">
        <v>19.996117000000002</v>
      </c>
      <c r="L59" s="25">
        <v>20.277868000000002</v>
      </c>
      <c r="M59" s="25">
        <v>21.256985</v>
      </c>
      <c r="N59" s="25">
        <v>21.163912</v>
      </c>
      <c r="O59" s="25">
        <v>21.433541999999999</v>
      </c>
      <c r="P59" s="25">
        <v>21.589587999999999</v>
      </c>
      <c r="Q59" s="25">
        <v>22.011628999999999</v>
      </c>
      <c r="R59" s="25">
        <v>21.731033</v>
      </c>
      <c r="S59" s="25">
        <v>21.780111000000002</v>
      </c>
      <c r="T59" s="25">
        <v>22.012319999999999</v>
      </c>
      <c r="U59" s="25">
        <v>22.22261</v>
      </c>
      <c r="V59" s="25">
        <v>22.25421</v>
      </c>
      <c r="W59" s="25">
        <v>22.401754</v>
      </c>
      <c r="X59" s="25">
        <v>22.555140000000002</v>
      </c>
      <c r="Y59" s="25">
        <v>22.531652000000001</v>
      </c>
      <c r="Z59" s="25">
        <v>22.631084000000001</v>
      </c>
      <c r="AA59" s="25">
        <v>22.791840000000001</v>
      </c>
      <c r="AB59" s="25">
        <v>23.004425000000001</v>
      </c>
      <c r="AC59" s="25">
        <v>23.083075000000001</v>
      </c>
      <c r="AD59" s="25">
        <v>23.182410999999998</v>
      </c>
      <c r="AE59" s="25">
        <v>23.269247</v>
      </c>
      <c r="AF59" s="25">
        <v>23.436558000000002</v>
      </c>
      <c r="AG59" s="25">
        <v>23.606294999999999</v>
      </c>
      <c r="AH59" s="19">
        <v>7.7219999999999997E-3</v>
      </c>
    </row>
    <row r="60" spans="1:34" ht="15" customHeight="1" x14ac:dyDescent="0.25">
      <c r="A60" s="6" t="s">
        <v>196</v>
      </c>
      <c r="B60" s="17" t="s">
        <v>177</v>
      </c>
      <c r="C60" s="25">
        <v>9.5686540000000004</v>
      </c>
      <c r="D60" s="25">
        <v>10.382089000000001</v>
      </c>
      <c r="E60" s="25">
        <v>11.359349</v>
      </c>
      <c r="F60" s="25">
        <v>12.190462</v>
      </c>
      <c r="G60" s="25">
        <v>12.696320999999999</v>
      </c>
      <c r="H60" s="25">
        <v>12.903029999999999</v>
      </c>
      <c r="I60" s="25">
        <v>13.260797</v>
      </c>
      <c r="J60" s="25">
        <v>13.761744</v>
      </c>
      <c r="K60" s="25">
        <v>14.027101</v>
      </c>
      <c r="L60" s="25">
        <v>14.319986</v>
      </c>
      <c r="M60" s="25">
        <v>14.720231999999999</v>
      </c>
      <c r="N60" s="25">
        <v>14.946351</v>
      </c>
      <c r="O60" s="25">
        <v>15.259788</v>
      </c>
      <c r="P60" s="25">
        <v>15.467662000000001</v>
      </c>
      <c r="Q60" s="25">
        <v>15.60177</v>
      </c>
      <c r="R60" s="25">
        <v>15.515354</v>
      </c>
      <c r="S60" s="25">
        <v>15.477219</v>
      </c>
      <c r="T60" s="25">
        <v>15.705437999999999</v>
      </c>
      <c r="U60" s="25">
        <v>15.944727</v>
      </c>
      <c r="V60" s="25">
        <v>15.870374999999999</v>
      </c>
      <c r="W60" s="25">
        <v>16.294031</v>
      </c>
      <c r="X60" s="25">
        <v>16.474257999999999</v>
      </c>
      <c r="Y60" s="25">
        <v>16.612787000000001</v>
      </c>
      <c r="Z60" s="25">
        <v>16.803795000000001</v>
      </c>
      <c r="AA60" s="25">
        <v>17.055935000000002</v>
      </c>
      <c r="AB60" s="25">
        <v>17.333383999999999</v>
      </c>
      <c r="AC60" s="25">
        <v>17.508016999999999</v>
      </c>
      <c r="AD60" s="25">
        <v>17.640877</v>
      </c>
      <c r="AE60" s="25">
        <v>17.718878</v>
      </c>
      <c r="AF60" s="25">
        <v>17.919551999999999</v>
      </c>
      <c r="AG60" s="25">
        <v>18.078150000000001</v>
      </c>
      <c r="AH60" s="19">
        <v>2.1433000000000001E-2</v>
      </c>
    </row>
    <row r="61" spans="1:34" ht="15" customHeight="1" x14ac:dyDescent="0.25">
      <c r="A61" s="6" t="s">
        <v>197</v>
      </c>
      <c r="B61" s="17" t="s">
        <v>145</v>
      </c>
      <c r="C61" s="25">
        <v>18.18478</v>
      </c>
      <c r="D61" s="25">
        <v>18.15044</v>
      </c>
      <c r="E61" s="25">
        <v>18.691106999999999</v>
      </c>
      <c r="F61" s="25">
        <v>19.695511</v>
      </c>
      <c r="G61" s="25">
        <v>19.908745</v>
      </c>
      <c r="H61" s="25">
        <v>19.860835999999999</v>
      </c>
      <c r="I61" s="25">
        <v>19.983017</v>
      </c>
      <c r="J61" s="25">
        <v>20.39817</v>
      </c>
      <c r="K61" s="25">
        <v>20.586687000000001</v>
      </c>
      <c r="L61" s="25">
        <v>20.817989000000001</v>
      </c>
      <c r="M61" s="25">
        <v>21.381784</v>
      </c>
      <c r="N61" s="25">
        <v>21.479427000000001</v>
      </c>
      <c r="O61" s="25">
        <v>21.722721</v>
      </c>
      <c r="P61" s="25">
        <v>21.850819000000001</v>
      </c>
      <c r="Q61" s="25">
        <v>21.951104999999998</v>
      </c>
      <c r="R61" s="25">
        <v>21.765625</v>
      </c>
      <c r="S61" s="25">
        <v>21.643816000000001</v>
      </c>
      <c r="T61" s="25">
        <v>21.794834000000002</v>
      </c>
      <c r="U61" s="25">
        <v>21.965029000000001</v>
      </c>
      <c r="V61" s="25">
        <v>21.811845999999999</v>
      </c>
      <c r="W61" s="25">
        <v>22.161391999999999</v>
      </c>
      <c r="X61" s="25">
        <v>22.279399999999999</v>
      </c>
      <c r="Y61" s="25">
        <v>22.364939</v>
      </c>
      <c r="Z61" s="25">
        <v>22.489794</v>
      </c>
      <c r="AA61" s="25">
        <v>22.653406</v>
      </c>
      <c r="AB61" s="25">
        <v>22.892004</v>
      </c>
      <c r="AC61" s="25">
        <v>23.013697000000001</v>
      </c>
      <c r="AD61" s="25">
        <v>23.111158</v>
      </c>
      <c r="AE61" s="25">
        <v>23.160799000000001</v>
      </c>
      <c r="AF61" s="25">
        <v>23.327538000000001</v>
      </c>
      <c r="AG61" s="25">
        <v>23.461897</v>
      </c>
      <c r="AH61" s="19">
        <v>8.5290000000000001E-3</v>
      </c>
    </row>
    <row r="62" spans="1:34" ht="15" customHeight="1" x14ac:dyDescent="0.25">
      <c r="A62" s="6" t="s">
        <v>198</v>
      </c>
      <c r="B62" s="17" t="s">
        <v>154</v>
      </c>
      <c r="C62" s="25">
        <v>8.8440189999999994</v>
      </c>
      <c r="D62" s="25">
        <v>6.948499</v>
      </c>
      <c r="E62" s="25">
        <v>7.2065910000000004</v>
      </c>
      <c r="F62" s="25">
        <v>8.2569800000000004</v>
      </c>
      <c r="G62" s="25">
        <v>9.4059039999999996</v>
      </c>
      <c r="H62" s="25">
        <v>9.4920840000000002</v>
      </c>
      <c r="I62" s="25">
        <v>9.7995339999999995</v>
      </c>
      <c r="J62" s="25">
        <v>10.292654000000001</v>
      </c>
      <c r="K62" s="25">
        <v>10.398303</v>
      </c>
      <c r="L62" s="25">
        <v>11.087937</v>
      </c>
      <c r="M62" s="25">
        <v>11.440716999999999</v>
      </c>
      <c r="N62" s="25">
        <v>11.198093</v>
      </c>
      <c r="O62" s="25">
        <v>11.482384</v>
      </c>
      <c r="P62" s="25">
        <v>11.61646</v>
      </c>
      <c r="Q62" s="25">
        <v>12.002509</v>
      </c>
      <c r="R62" s="25">
        <v>11.670424000000001</v>
      </c>
      <c r="S62" s="25">
        <v>11.776406</v>
      </c>
      <c r="T62" s="25">
        <v>11.921858</v>
      </c>
      <c r="U62" s="25">
        <v>12.109484</v>
      </c>
      <c r="V62" s="25">
        <v>12.24009</v>
      </c>
      <c r="W62" s="25">
        <v>12.432967</v>
      </c>
      <c r="X62" s="25">
        <v>12.48371</v>
      </c>
      <c r="Y62" s="25">
        <v>12.711926</v>
      </c>
      <c r="Z62" s="25">
        <v>13.016185999999999</v>
      </c>
      <c r="AA62" s="25">
        <v>13.303496000000001</v>
      </c>
      <c r="AB62" s="25">
        <v>13.280557999999999</v>
      </c>
      <c r="AC62" s="25">
        <v>13.835614</v>
      </c>
      <c r="AD62" s="25">
        <v>13.919657000000001</v>
      </c>
      <c r="AE62" s="25">
        <v>13.972842999999999</v>
      </c>
      <c r="AF62" s="25">
        <v>14.140262999999999</v>
      </c>
      <c r="AG62" s="25">
        <v>14.360459000000001</v>
      </c>
      <c r="AH62" s="19">
        <v>1.6289000000000001E-2</v>
      </c>
    </row>
    <row r="63" spans="1:34" ht="15" customHeight="1" x14ac:dyDescent="0.25">
      <c r="A63" s="6" t="s">
        <v>199</v>
      </c>
      <c r="B63" s="17" t="s">
        <v>147</v>
      </c>
      <c r="C63" s="25">
        <v>4.5302720000000001</v>
      </c>
      <c r="D63" s="25">
        <v>5.5292370000000002</v>
      </c>
      <c r="E63" s="25">
        <v>5.4028390000000002</v>
      </c>
      <c r="F63" s="25">
        <v>4.9624069999999998</v>
      </c>
      <c r="G63" s="25">
        <v>4.6136220000000003</v>
      </c>
      <c r="H63" s="25">
        <v>4.5179109999999998</v>
      </c>
      <c r="I63" s="25">
        <v>4.5198349999999996</v>
      </c>
      <c r="J63" s="25">
        <v>4.5829969999999998</v>
      </c>
      <c r="K63" s="25">
        <v>4.6368559999999999</v>
      </c>
      <c r="L63" s="25">
        <v>4.7259060000000002</v>
      </c>
      <c r="M63" s="25">
        <v>4.8611329999999997</v>
      </c>
      <c r="N63" s="25">
        <v>4.8851959999999996</v>
      </c>
      <c r="O63" s="25">
        <v>4.9055540000000004</v>
      </c>
      <c r="P63" s="25">
        <v>4.9442839999999997</v>
      </c>
      <c r="Q63" s="25">
        <v>4.9354050000000003</v>
      </c>
      <c r="R63" s="25">
        <v>4.9149750000000001</v>
      </c>
      <c r="S63" s="25">
        <v>4.9045930000000002</v>
      </c>
      <c r="T63" s="25">
        <v>4.8734120000000001</v>
      </c>
      <c r="U63" s="25">
        <v>4.838724</v>
      </c>
      <c r="V63" s="25">
        <v>4.80314</v>
      </c>
      <c r="W63" s="25">
        <v>4.7789950000000001</v>
      </c>
      <c r="X63" s="25">
        <v>4.7718860000000003</v>
      </c>
      <c r="Y63" s="25">
        <v>4.7653359999999996</v>
      </c>
      <c r="Z63" s="25">
        <v>4.7378220000000004</v>
      </c>
      <c r="AA63" s="25">
        <v>4.7295059999999998</v>
      </c>
      <c r="AB63" s="25">
        <v>4.7014699999999996</v>
      </c>
      <c r="AC63" s="25">
        <v>4.6844190000000001</v>
      </c>
      <c r="AD63" s="25">
        <v>4.6855640000000003</v>
      </c>
      <c r="AE63" s="25">
        <v>4.6444729999999996</v>
      </c>
      <c r="AF63" s="25">
        <v>4.6179170000000003</v>
      </c>
      <c r="AG63" s="25">
        <v>4.6252959999999996</v>
      </c>
      <c r="AH63" s="19">
        <v>6.9200000000000002E-4</v>
      </c>
    </row>
    <row r="64" spans="1:34" ht="15" customHeight="1" x14ac:dyDescent="0.25">
      <c r="A64" s="6" t="s">
        <v>200</v>
      </c>
      <c r="B64" s="17" t="s">
        <v>164</v>
      </c>
      <c r="C64" s="25">
        <v>4.0174000000000003</v>
      </c>
      <c r="D64" s="25">
        <v>3.598935</v>
      </c>
      <c r="E64" s="25">
        <v>3.356058</v>
      </c>
      <c r="F64" s="25">
        <v>3.2078790000000001</v>
      </c>
      <c r="G64" s="25">
        <v>3.117534</v>
      </c>
      <c r="H64" s="25">
        <v>3.070951</v>
      </c>
      <c r="I64" s="25">
        <v>3.0295830000000001</v>
      </c>
      <c r="J64" s="25">
        <v>3.0136099999999999</v>
      </c>
      <c r="K64" s="25">
        <v>3.014059</v>
      </c>
      <c r="L64" s="25">
        <v>3.0367769999999998</v>
      </c>
      <c r="M64" s="25">
        <v>3.0668120000000001</v>
      </c>
      <c r="N64" s="25">
        <v>3.1021339999999999</v>
      </c>
      <c r="O64" s="25">
        <v>3.1370369999999999</v>
      </c>
      <c r="P64" s="25">
        <v>3.1691760000000002</v>
      </c>
      <c r="Q64" s="25">
        <v>3.1995740000000001</v>
      </c>
      <c r="R64" s="25">
        <v>3.23061</v>
      </c>
      <c r="S64" s="25">
        <v>3.2614040000000002</v>
      </c>
      <c r="T64" s="25">
        <v>3.2944689999999999</v>
      </c>
      <c r="U64" s="25">
        <v>3.3282949999999998</v>
      </c>
      <c r="V64" s="25">
        <v>3.36151</v>
      </c>
      <c r="W64" s="25">
        <v>3.3950330000000002</v>
      </c>
      <c r="X64" s="25">
        <v>3.4296359999999999</v>
      </c>
      <c r="Y64" s="25">
        <v>3.4663460000000001</v>
      </c>
      <c r="Z64" s="25">
        <v>3.5055459999999998</v>
      </c>
      <c r="AA64" s="25">
        <v>3.5455589999999999</v>
      </c>
      <c r="AB64" s="25">
        <v>3.5867200000000001</v>
      </c>
      <c r="AC64" s="25">
        <v>3.6247240000000001</v>
      </c>
      <c r="AD64" s="25">
        <v>3.6615160000000002</v>
      </c>
      <c r="AE64" s="25">
        <v>3.6991040000000002</v>
      </c>
      <c r="AF64" s="25">
        <v>3.7375989999999999</v>
      </c>
      <c r="AG64" s="25">
        <v>3.7801840000000002</v>
      </c>
      <c r="AH64" s="19">
        <v>-2.0270000000000002E-3</v>
      </c>
    </row>
    <row r="65" spans="1:34" ht="15" customHeight="1" x14ac:dyDescent="0.25">
      <c r="A65" s="6" t="s">
        <v>201</v>
      </c>
      <c r="B65" s="17" t="s">
        <v>202</v>
      </c>
      <c r="C65" s="25">
        <v>1.9738340000000001</v>
      </c>
      <c r="D65" s="25">
        <v>2.0376210000000001</v>
      </c>
      <c r="E65" s="25">
        <v>2.0439189999999998</v>
      </c>
      <c r="F65" s="25">
        <v>1.983716</v>
      </c>
      <c r="G65" s="25">
        <v>1.96444</v>
      </c>
      <c r="H65" s="25">
        <v>1.912539</v>
      </c>
      <c r="I65" s="25">
        <v>1.892117</v>
      </c>
      <c r="J65" s="25">
        <v>1.877834</v>
      </c>
      <c r="K65" s="25">
        <v>1.838427</v>
      </c>
      <c r="L65" s="25">
        <v>1.831164</v>
      </c>
      <c r="M65" s="25">
        <v>1.826424</v>
      </c>
      <c r="N65" s="25">
        <v>1.8310340000000001</v>
      </c>
      <c r="O65" s="25">
        <v>1.8095950000000001</v>
      </c>
      <c r="P65" s="25">
        <v>1.7954570000000001</v>
      </c>
      <c r="Q65" s="25">
        <v>1.792116</v>
      </c>
      <c r="R65" s="25">
        <v>1.7822800000000001</v>
      </c>
      <c r="S65" s="25">
        <v>1.7752669999999999</v>
      </c>
      <c r="T65" s="25">
        <v>1.77634</v>
      </c>
      <c r="U65" s="25">
        <v>1.7911250000000001</v>
      </c>
      <c r="V65" s="25">
        <v>1.789499</v>
      </c>
      <c r="W65" s="25">
        <v>1.7905279999999999</v>
      </c>
      <c r="X65" s="25">
        <v>1.791391</v>
      </c>
      <c r="Y65" s="25">
        <v>1.7899910000000001</v>
      </c>
      <c r="Z65" s="25">
        <v>1.7912699999999999</v>
      </c>
      <c r="AA65" s="25">
        <v>1.7920750000000001</v>
      </c>
      <c r="AB65" s="25">
        <v>1.7937190000000001</v>
      </c>
      <c r="AC65" s="25">
        <v>1.794313</v>
      </c>
      <c r="AD65" s="25">
        <v>1.7947979999999999</v>
      </c>
      <c r="AE65" s="25">
        <v>1.7898829999999999</v>
      </c>
      <c r="AF65" s="25">
        <v>1.791704</v>
      </c>
      <c r="AG65" s="25">
        <v>1.792621</v>
      </c>
      <c r="AH65" s="19">
        <v>-3.2049999999999999E-3</v>
      </c>
    </row>
    <row r="66" spans="1:34" x14ac:dyDescent="0.25">
      <c r="A66" s="6" t="s">
        <v>203</v>
      </c>
      <c r="B66" s="17" t="s">
        <v>168</v>
      </c>
      <c r="C66" s="19" t="s">
        <v>305</v>
      </c>
      <c r="D66" s="19" t="s">
        <v>305</v>
      </c>
      <c r="E66" s="19" t="s">
        <v>305</v>
      </c>
      <c r="F66" s="19" t="s">
        <v>305</v>
      </c>
      <c r="G66" s="19" t="s">
        <v>305</v>
      </c>
      <c r="H66" s="19" t="s">
        <v>305</v>
      </c>
      <c r="I66" s="19" t="s">
        <v>305</v>
      </c>
      <c r="J66" s="19" t="s">
        <v>305</v>
      </c>
      <c r="K66" s="19" t="s">
        <v>305</v>
      </c>
      <c r="L66" s="19" t="s">
        <v>305</v>
      </c>
      <c r="M66" s="19" t="s">
        <v>305</v>
      </c>
      <c r="N66" s="19" t="s">
        <v>305</v>
      </c>
      <c r="O66" s="19" t="s">
        <v>305</v>
      </c>
      <c r="P66" s="19" t="s">
        <v>305</v>
      </c>
      <c r="Q66" s="19" t="s">
        <v>305</v>
      </c>
      <c r="R66" s="19" t="s">
        <v>305</v>
      </c>
      <c r="S66" s="19" t="s">
        <v>305</v>
      </c>
      <c r="T66" s="19" t="s">
        <v>305</v>
      </c>
      <c r="U66" s="19" t="s">
        <v>305</v>
      </c>
      <c r="V66" s="19" t="s">
        <v>305</v>
      </c>
      <c r="W66" s="19" t="s">
        <v>305</v>
      </c>
      <c r="X66" s="19" t="s">
        <v>305</v>
      </c>
      <c r="Y66" s="19" t="s">
        <v>305</v>
      </c>
      <c r="Z66" s="19" t="s">
        <v>305</v>
      </c>
      <c r="AA66" s="19" t="s">
        <v>305</v>
      </c>
      <c r="AB66" s="19" t="s">
        <v>305</v>
      </c>
      <c r="AC66" s="19" t="s">
        <v>305</v>
      </c>
      <c r="AD66" s="19" t="s">
        <v>305</v>
      </c>
      <c r="AE66" s="19" t="s">
        <v>305</v>
      </c>
      <c r="AF66" s="19" t="s">
        <v>305</v>
      </c>
      <c r="AG66" s="19" t="s">
        <v>305</v>
      </c>
      <c r="AH66" s="19" t="s">
        <v>305</v>
      </c>
    </row>
    <row r="67" spans="1:34" ht="15" customHeight="1" x14ac:dyDescent="0.25">
      <c r="A67" s="6" t="s">
        <v>204</v>
      </c>
      <c r="B67" s="17" t="s">
        <v>149</v>
      </c>
      <c r="C67" s="25">
        <v>30.523893000000001</v>
      </c>
      <c r="D67" s="25">
        <v>31.073757000000001</v>
      </c>
      <c r="E67" s="25">
        <v>30.644400000000001</v>
      </c>
      <c r="F67" s="25">
        <v>30.064250999999999</v>
      </c>
      <c r="G67" s="25">
        <v>29.625053000000001</v>
      </c>
      <c r="H67" s="25">
        <v>29.354122</v>
      </c>
      <c r="I67" s="25">
        <v>29.175063999999999</v>
      </c>
      <c r="J67" s="25">
        <v>29.083216</v>
      </c>
      <c r="K67" s="25">
        <v>28.980820000000001</v>
      </c>
      <c r="L67" s="25">
        <v>28.902287999999999</v>
      </c>
      <c r="M67" s="25">
        <v>28.841974</v>
      </c>
      <c r="N67" s="25">
        <v>28.919063999999999</v>
      </c>
      <c r="O67" s="25">
        <v>28.865849999999998</v>
      </c>
      <c r="P67" s="25">
        <v>28.825009999999999</v>
      </c>
      <c r="Q67" s="25">
        <v>28.718841999999999</v>
      </c>
      <c r="R67" s="25">
        <v>28.568573000000001</v>
      </c>
      <c r="S67" s="25">
        <v>28.420290000000001</v>
      </c>
      <c r="T67" s="25">
        <v>28.288022999999999</v>
      </c>
      <c r="U67" s="25">
        <v>28.189094999999998</v>
      </c>
      <c r="V67" s="25">
        <v>28.082899000000001</v>
      </c>
      <c r="W67" s="25">
        <v>27.978746000000001</v>
      </c>
      <c r="X67" s="25">
        <v>27.888967999999998</v>
      </c>
      <c r="Y67" s="25">
        <v>27.78153</v>
      </c>
      <c r="Z67" s="25">
        <v>27.658246999999999</v>
      </c>
      <c r="AA67" s="25">
        <v>27.550391999999999</v>
      </c>
      <c r="AB67" s="25">
        <v>27.461987000000001</v>
      </c>
      <c r="AC67" s="25">
        <v>27.334007</v>
      </c>
      <c r="AD67" s="25">
        <v>27.199771999999999</v>
      </c>
      <c r="AE67" s="25">
        <v>27.024487000000001</v>
      </c>
      <c r="AF67" s="25">
        <v>26.797374999999999</v>
      </c>
      <c r="AG67" s="25">
        <v>26.609511999999999</v>
      </c>
      <c r="AH67" s="19">
        <v>-4.5640000000000003E-3</v>
      </c>
    </row>
    <row r="69" spans="1:34" ht="15" customHeight="1" x14ac:dyDescent="0.25">
      <c r="B69" s="16" t="s">
        <v>205</v>
      </c>
    </row>
    <row r="70" spans="1:34" ht="15" customHeight="1" x14ac:dyDescent="0.25">
      <c r="B70" s="16" t="s">
        <v>284</v>
      </c>
    </row>
    <row r="71" spans="1:34" ht="15" customHeight="1" x14ac:dyDescent="0.25">
      <c r="A71" s="6" t="s">
        <v>206</v>
      </c>
      <c r="B71" s="17" t="s">
        <v>141</v>
      </c>
      <c r="C71" s="18">
        <v>246.62069700000001</v>
      </c>
      <c r="D71" s="18">
        <v>253.130234</v>
      </c>
      <c r="E71" s="18">
        <v>252.01663199999999</v>
      </c>
      <c r="F71" s="18">
        <v>249.833527</v>
      </c>
      <c r="G71" s="18">
        <v>248.12788399999999</v>
      </c>
      <c r="H71" s="18">
        <v>248.284515</v>
      </c>
      <c r="I71" s="18">
        <v>249.34051500000001</v>
      </c>
      <c r="J71" s="18">
        <v>250.656158</v>
      </c>
      <c r="K71" s="18">
        <v>251.75119000000001</v>
      </c>
      <c r="L71" s="18">
        <v>253.27865600000001</v>
      </c>
      <c r="M71" s="18">
        <v>256.011414</v>
      </c>
      <c r="N71" s="18">
        <v>257.78015099999999</v>
      </c>
      <c r="O71" s="18">
        <v>259.22811899999999</v>
      </c>
      <c r="P71" s="18">
        <v>260.54663099999999</v>
      </c>
      <c r="Q71" s="18">
        <v>261.635651</v>
      </c>
      <c r="R71" s="18">
        <v>262.25628699999999</v>
      </c>
      <c r="S71" s="18">
        <v>263.13259900000003</v>
      </c>
      <c r="T71" s="18">
        <v>264.25726300000002</v>
      </c>
      <c r="U71" s="18">
        <v>265.39077800000001</v>
      </c>
      <c r="V71" s="18">
        <v>266.38806199999999</v>
      </c>
      <c r="W71" s="18">
        <v>267.52377300000001</v>
      </c>
      <c r="X71" s="18">
        <v>268.83184799999998</v>
      </c>
      <c r="Y71" s="18">
        <v>270.06149299999998</v>
      </c>
      <c r="Z71" s="18">
        <v>271.15643299999999</v>
      </c>
      <c r="AA71" s="18">
        <v>272.41125499999998</v>
      </c>
      <c r="AB71" s="18">
        <v>273.90283199999999</v>
      </c>
      <c r="AC71" s="18">
        <v>274.91461199999998</v>
      </c>
      <c r="AD71" s="18">
        <v>275.87060500000001</v>
      </c>
      <c r="AE71" s="18">
        <v>276.51177999999999</v>
      </c>
      <c r="AF71" s="18">
        <v>276.92877199999998</v>
      </c>
      <c r="AG71" s="18">
        <v>277.669556</v>
      </c>
      <c r="AH71" s="19">
        <v>3.96E-3</v>
      </c>
    </row>
    <row r="72" spans="1:34" ht="15" customHeight="1" x14ac:dyDescent="0.25">
      <c r="A72" s="6" t="s">
        <v>207</v>
      </c>
      <c r="B72" s="17" t="s">
        <v>150</v>
      </c>
      <c r="C72" s="18">
        <v>173.48147599999999</v>
      </c>
      <c r="D72" s="18">
        <v>181.113373</v>
      </c>
      <c r="E72" s="18">
        <v>182.814392</v>
      </c>
      <c r="F72" s="18">
        <v>182.45297199999999</v>
      </c>
      <c r="G72" s="18">
        <v>182.736572</v>
      </c>
      <c r="H72" s="18">
        <v>184.55038500000001</v>
      </c>
      <c r="I72" s="18">
        <v>184.27929700000001</v>
      </c>
      <c r="J72" s="18">
        <v>184.96017499999999</v>
      </c>
      <c r="K72" s="18">
        <v>185.21028100000001</v>
      </c>
      <c r="L72" s="18">
        <v>185.74584999999999</v>
      </c>
      <c r="M72" s="18">
        <v>187.11746199999999</v>
      </c>
      <c r="N72" s="18">
        <v>187.964935</v>
      </c>
      <c r="O72" s="18">
        <v>188.467331</v>
      </c>
      <c r="P72" s="18">
        <v>189.28500399999999</v>
      </c>
      <c r="Q72" s="18">
        <v>189.63021900000001</v>
      </c>
      <c r="R72" s="18">
        <v>189.46244799999999</v>
      </c>
      <c r="S72" s="18">
        <v>189.41784699999999</v>
      </c>
      <c r="T72" s="18">
        <v>189.78436300000001</v>
      </c>
      <c r="U72" s="18">
        <v>190.24285900000001</v>
      </c>
      <c r="V72" s="18">
        <v>190.58105499999999</v>
      </c>
      <c r="W72" s="18">
        <v>191.092209</v>
      </c>
      <c r="X72" s="18">
        <v>191.863373</v>
      </c>
      <c r="Y72" s="18">
        <v>192.50102200000001</v>
      </c>
      <c r="Z72" s="18">
        <v>193.29667699999999</v>
      </c>
      <c r="AA72" s="18">
        <v>194.11904899999999</v>
      </c>
      <c r="AB72" s="18">
        <v>195.205658</v>
      </c>
      <c r="AC72" s="18">
        <v>196.03663599999999</v>
      </c>
      <c r="AD72" s="18">
        <v>196.93029799999999</v>
      </c>
      <c r="AE72" s="18">
        <v>197.60815400000001</v>
      </c>
      <c r="AF72" s="18">
        <v>198.31926000000001</v>
      </c>
      <c r="AG72" s="18">
        <v>199.38540599999999</v>
      </c>
      <c r="AH72" s="19">
        <v>4.6499999999999996E-3</v>
      </c>
    </row>
    <row r="73" spans="1:34" x14ac:dyDescent="0.25">
      <c r="A73" s="6" t="s">
        <v>208</v>
      </c>
      <c r="B73" s="17" t="s">
        <v>157</v>
      </c>
      <c r="C73" s="18">
        <v>151.848038</v>
      </c>
      <c r="D73" s="18">
        <v>165.11462399999999</v>
      </c>
      <c r="E73" s="18">
        <v>170.16429099999999</v>
      </c>
      <c r="F73" s="18">
        <v>170.95889299999999</v>
      </c>
      <c r="G73" s="18">
        <v>172.68073999999999</v>
      </c>
      <c r="H73" s="18">
        <v>175.70645099999999</v>
      </c>
      <c r="I73" s="18">
        <v>177.856247</v>
      </c>
      <c r="J73" s="18">
        <v>181.78732299999999</v>
      </c>
      <c r="K73" s="18">
        <v>185.88343800000001</v>
      </c>
      <c r="L73" s="18">
        <v>190.063965</v>
      </c>
      <c r="M73" s="18">
        <v>195.25730899999999</v>
      </c>
      <c r="N73" s="18">
        <v>199.51869199999999</v>
      </c>
      <c r="O73" s="18">
        <v>203.37735000000001</v>
      </c>
      <c r="P73" s="18">
        <v>206.16082800000001</v>
      </c>
      <c r="Q73" s="18">
        <v>209.285583</v>
      </c>
      <c r="R73" s="18">
        <v>212.13353000000001</v>
      </c>
      <c r="S73" s="18">
        <v>214.53504899999999</v>
      </c>
      <c r="T73" s="18">
        <v>218.42817700000001</v>
      </c>
      <c r="U73" s="18">
        <v>221.85586499999999</v>
      </c>
      <c r="V73" s="18">
        <v>223.43197599999999</v>
      </c>
      <c r="W73" s="18">
        <v>226.55085800000001</v>
      </c>
      <c r="X73" s="18">
        <v>230.105133</v>
      </c>
      <c r="Y73" s="18">
        <v>233.68272400000001</v>
      </c>
      <c r="Z73" s="18">
        <v>237.015839</v>
      </c>
      <c r="AA73" s="18">
        <v>241.07835399999999</v>
      </c>
      <c r="AB73" s="18">
        <v>245.14498900000001</v>
      </c>
      <c r="AC73" s="18">
        <v>248.453461</v>
      </c>
      <c r="AD73" s="18">
        <v>251.573746</v>
      </c>
      <c r="AE73" s="18">
        <v>254.08210800000001</v>
      </c>
      <c r="AF73" s="18">
        <v>258.03216600000002</v>
      </c>
      <c r="AG73" s="18">
        <v>262.57321200000001</v>
      </c>
      <c r="AH73" s="19">
        <v>1.8422999999999998E-2</v>
      </c>
    </row>
    <row r="74" spans="1:34" ht="15" customHeight="1" x14ac:dyDescent="0.25">
      <c r="A74" s="6" t="s">
        <v>209</v>
      </c>
      <c r="B74" s="17" t="s">
        <v>170</v>
      </c>
      <c r="C74" s="18">
        <v>411.84991500000001</v>
      </c>
      <c r="D74" s="18">
        <v>447.95297199999999</v>
      </c>
      <c r="E74" s="18">
        <v>465.37207000000001</v>
      </c>
      <c r="F74" s="18">
        <v>477.469604</v>
      </c>
      <c r="G74" s="18">
        <v>482.10873400000003</v>
      </c>
      <c r="H74" s="18">
        <v>482.54916400000002</v>
      </c>
      <c r="I74" s="18">
        <v>484.44396999999998</v>
      </c>
      <c r="J74" s="18">
        <v>494.09118699999999</v>
      </c>
      <c r="K74" s="18">
        <v>497.25134300000002</v>
      </c>
      <c r="L74" s="18">
        <v>502.08032200000002</v>
      </c>
      <c r="M74" s="18">
        <v>520.23266599999999</v>
      </c>
      <c r="N74" s="18">
        <v>517.75805700000001</v>
      </c>
      <c r="O74" s="18">
        <v>523.00543200000004</v>
      </c>
      <c r="P74" s="18">
        <v>525.63324</v>
      </c>
      <c r="Q74" s="18">
        <v>532.64874299999997</v>
      </c>
      <c r="R74" s="18">
        <v>527.36926300000005</v>
      </c>
      <c r="S74" s="18">
        <v>527.97564699999998</v>
      </c>
      <c r="T74" s="18">
        <v>533.87902799999995</v>
      </c>
      <c r="U74" s="18">
        <v>539.88324</v>
      </c>
      <c r="V74" s="18">
        <v>540.74920699999996</v>
      </c>
      <c r="W74" s="18">
        <v>548.76000999999997</v>
      </c>
      <c r="X74" s="18">
        <v>554.73199499999998</v>
      </c>
      <c r="Y74" s="18">
        <v>558.28698699999995</v>
      </c>
      <c r="Z74" s="18">
        <v>564.58496100000002</v>
      </c>
      <c r="AA74" s="18">
        <v>571.83953899999995</v>
      </c>
      <c r="AB74" s="18">
        <v>580.52154499999995</v>
      </c>
      <c r="AC74" s="18">
        <v>586.19775400000003</v>
      </c>
      <c r="AD74" s="18">
        <v>591.22277799999995</v>
      </c>
      <c r="AE74" s="18">
        <v>595.93066399999998</v>
      </c>
      <c r="AF74" s="18">
        <v>603.30053699999996</v>
      </c>
      <c r="AG74" s="18">
        <v>610.66247599999997</v>
      </c>
      <c r="AH74" s="19">
        <v>1.3216E-2</v>
      </c>
    </row>
    <row r="75" spans="1:34" ht="15" customHeight="1" x14ac:dyDescent="0.25">
      <c r="A75" s="6" t="s">
        <v>210</v>
      </c>
      <c r="B75" s="17" t="s">
        <v>211</v>
      </c>
      <c r="C75" s="18">
        <v>983.80011000000002</v>
      </c>
      <c r="D75" s="18">
        <v>1047.3111570000001</v>
      </c>
      <c r="E75" s="18">
        <v>1070.367432</v>
      </c>
      <c r="F75" s="18">
        <v>1080.714966</v>
      </c>
      <c r="G75" s="18">
        <v>1085.6539310000001</v>
      </c>
      <c r="H75" s="18">
        <v>1091.0905760000001</v>
      </c>
      <c r="I75" s="18">
        <v>1095.920044</v>
      </c>
      <c r="J75" s="18">
        <v>1111.4948730000001</v>
      </c>
      <c r="K75" s="18">
        <v>1120.0961910000001</v>
      </c>
      <c r="L75" s="18">
        <v>1131.168823</v>
      </c>
      <c r="M75" s="18">
        <v>1158.6188959999999</v>
      </c>
      <c r="N75" s="18">
        <v>1163.021851</v>
      </c>
      <c r="O75" s="18">
        <v>1174.078125</v>
      </c>
      <c r="P75" s="18">
        <v>1181.625732</v>
      </c>
      <c r="Q75" s="18">
        <v>1193.2001949999999</v>
      </c>
      <c r="R75" s="18">
        <v>1191.221558</v>
      </c>
      <c r="S75" s="18">
        <v>1195.0611570000001</v>
      </c>
      <c r="T75" s="18">
        <v>1206.3488769999999</v>
      </c>
      <c r="U75" s="18">
        <v>1217.372803</v>
      </c>
      <c r="V75" s="18">
        <v>1221.1503909999999</v>
      </c>
      <c r="W75" s="18">
        <v>1233.9267580000001</v>
      </c>
      <c r="X75" s="18">
        <v>1245.5323490000001</v>
      </c>
      <c r="Y75" s="18">
        <v>1254.5322269999999</v>
      </c>
      <c r="Z75" s="18">
        <v>1266.0539550000001</v>
      </c>
      <c r="AA75" s="18">
        <v>1279.4482419999999</v>
      </c>
      <c r="AB75" s="18">
        <v>1294.775024</v>
      </c>
      <c r="AC75" s="18">
        <v>1305.6024170000001</v>
      </c>
      <c r="AD75" s="18">
        <v>1315.5974120000001</v>
      </c>
      <c r="AE75" s="18">
        <v>1324.1326899999999</v>
      </c>
      <c r="AF75" s="18">
        <v>1336.580811</v>
      </c>
      <c r="AG75" s="18">
        <v>1350.290649</v>
      </c>
      <c r="AH75" s="19">
        <v>1.0611000000000001E-2</v>
      </c>
    </row>
    <row r="76" spans="1:34" ht="15" customHeight="1" x14ac:dyDescent="0.25">
      <c r="A76" s="6" t="s">
        <v>212</v>
      </c>
      <c r="B76" s="17" t="s">
        <v>213</v>
      </c>
      <c r="C76" s="18">
        <v>0.64150499999999999</v>
      </c>
      <c r="D76" s="18">
        <v>0.72432700000000005</v>
      </c>
      <c r="E76" s="18">
        <v>0.7319</v>
      </c>
      <c r="F76" s="18">
        <v>0.74716300000000002</v>
      </c>
      <c r="G76" s="18">
        <v>0.73789499999999997</v>
      </c>
      <c r="H76" s="18">
        <v>0.72590600000000005</v>
      </c>
      <c r="I76" s="18">
        <v>0.71561699999999995</v>
      </c>
      <c r="J76" s="18">
        <v>0.71817699999999995</v>
      </c>
      <c r="K76" s="18">
        <v>0.71192500000000003</v>
      </c>
      <c r="L76" s="18">
        <v>0.70856200000000003</v>
      </c>
      <c r="M76" s="18">
        <v>0.72455599999999998</v>
      </c>
      <c r="N76" s="18">
        <v>0.71118700000000001</v>
      </c>
      <c r="O76" s="18">
        <v>0.70987500000000003</v>
      </c>
      <c r="P76" s="18">
        <v>0.70798099999999997</v>
      </c>
      <c r="Q76" s="18">
        <v>0.71608000000000005</v>
      </c>
      <c r="R76" s="18">
        <v>0.70723599999999998</v>
      </c>
      <c r="S76" s="18">
        <v>0.70961600000000002</v>
      </c>
      <c r="T76" s="18">
        <v>0.71983299999999995</v>
      </c>
      <c r="U76" s="18">
        <v>0.73004999999999998</v>
      </c>
      <c r="V76" s="18">
        <v>0.738035</v>
      </c>
      <c r="W76" s="18">
        <v>0.75117500000000004</v>
      </c>
      <c r="X76" s="18">
        <v>0.76513399999999998</v>
      </c>
      <c r="Y76" s="18">
        <v>0.77443899999999999</v>
      </c>
      <c r="Z76" s="18">
        <v>0.78794600000000004</v>
      </c>
      <c r="AA76" s="18">
        <v>0.80436600000000003</v>
      </c>
      <c r="AB76" s="18">
        <v>0.82130800000000004</v>
      </c>
      <c r="AC76" s="18">
        <v>0.83407200000000004</v>
      </c>
      <c r="AD76" s="18">
        <v>0.85039399999999998</v>
      </c>
      <c r="AE76" s="18">
        <v>0.86407100000000003</v>
      </c>
      <c r="AF76" s="18">
        <v>0.88452600000000003</v>
      </c>
      <c r="AG76" s="18">
        <v>0.904505</v>
      </c>
      <c r="AH76" s="19">
        <v>1.1518E-2</v>
      </c>
    </row>
    <row r="77" spans="1:34" ht="15" customHeight="1" x14ac:dyDescent="0.25">
      <c r="A77" s="6" t="s">
        <v>214</v>
      </c>
      <c r="B77" s="16" t="s">
        <v>215</v>
      </c>
      <c r="C77" s="20">
        <v>984.44158900000002</v>
      </c>
      <c r="D77" s="20">
        <v>1048.0355219999999</v>
      </c>
      <c r="E77" s="20">
        <v>1071.099365</v>
      </c>
      <c r="F77" s="20">
        <v>1081.462158</v>
      </c>
      <c r="G77" s="20">
        <v>1086.391846</v>
      </c>
      <c r="H77" s="20">
        <v>1091.8165280000001</v>
      </c>
      <c r="I77" s="20">
        <v>1096.63562</v>
      </c>
      <c r="J77" s="20">
        <v>1112.213013</v>
      </c>
      <c r="K77" s="20">
        <v>1120.8081050000001</v>
      </c>
      <c r="L77" s="20">
        <v>1131.8774410000001</v>
      </c>
      <c r="M77" s="20">
        <v>1159.3435059999999</v>
      </c>
      <c r="N77" s="20">
        <v>1163.7330320000001</v>
      </c>
      <c r="O77" s="20">
        <v>1174.7879640000001</v>
      </c>
      <c r="P77" s="20">
        <v>1182.33374</v>
      </c>
      <c r="Q77" s="20">
        <v>1193.91626</v>
      </c>
      <c r="R77" s="20">
        <v>1191.9288329999999</v>
      </c>
      <c r="S77" s="20">
        <v>1195.7707519999999</v>
      </c>
      <c r="T77" s="20">
        <v>1207.068726</v>
      </c>
      <c r="U77" s="20">
        <v>1218.102905</v>
      </c>
      <c r="V77" s="20">
        <v>1221.888428</v>
      </c>
      <c r="W77" s="20">
        <v>1234.6779790000001</v>
      </c>
      <c r="X77" s="20">
        <v>1246.2974850000001</v>
      </c>
      <c r="Y77" s="20">
        <v>1255.3066409999999</v>
      </c>
      <c r="Z77" s="20">
        <v>1266.841919</v>
      </c>
      <c r="AA77" s="20">
        <v>1280.252563</v>
      </c>
      <c r="AB77" s="20">
        <v>1295.596313</v>
      </c>
      <c r="AC77" s="20">
        <v>1306.4365230000001</v>
      </c>
      <c r="AD77" s="20">
        <v>1316.447754</v>
      </c>
      <c r="AE77" s="20">
        <v>1324.9967039999999</v>
      </c>
      <c r="AF77" s="20">
        <v>1337.465332</v>
      </c>
      <c r="AG77" s="20">
        <v>1351.1951899999999</v>
      </c>
      <c r="AH77" s="21">
        <v>1.0612E-2</v>
      </c>
    </row>
    <row r="80" spans="1:34" ht="15" customHeight="1" x14ac:dyDescent="0.25">
      <c r="B80" s="16" t="s">
        <v>216</v>
      </c>
    </row>
    <row r="81" spans="1:34" x14ac:dyDescent="0.25">
      <c r="B81" s="16" t="s">
        <v>141</v>
      </c>
    </row>
    <row r="82" spans="1:34" ht="15" customHeight="1" x14ac:dyDescent="0.25">
      <c r="A82" s="6" t="s">
        <v>217</v>
      </c>
      <c r="B82" s="17" t="s">
        <v>143</v>
      </c>
      <c r="C82" s="25">
        <v>17.296467</v>
      </c>
      <c r="D82" s="25">
        <v>17.364542</v>
      </c>
      <c r="E82" s="25">
        <v>17.773216000000001</v>
      </c>
      <c r="F82" s="25">
        <v>17.895593999999999</v>
      </c>
      <c r="G82" s="25">
        <v>18.205120000000001</v>
      </c>
      <c r="H82" s="25">
        <v>18.688912999999999</v>
      </c>
      <c r="I82" s="25">
        <v>19.072323000000001</v>
      </c>
      <c r="J82" s="25">
        <v>19.563379000000001</v>
      </c>
      <c r="K82" s="25">
        <v>20.288091999999999</v>
      </c>
      <c r="L82" s="25">
        <v>21.121528999999999</v>
      </c>
      <c r="M82" s="25">
        <v>22.49015</v>
      </c>
      <c r="N82" s="25">
        <v>23.541407</v>
      </c>
      <c r="O82" s="25">
        <v>24.573855999999999</v>
      </c>
      <c r="P82" s="25">
        <v>25.557503000000001</v>
      </c>
      <c r="Q82" s="25">
        <v>26.529509999999998</v>
      </c>
      <c r="R82" s="25">
        <v>27.389928999999999</v>
      </c>
      <c r="S82" s="25">
        <v>28.309729000000001</v>
      </c>
      <c r="T82" s="25">
        <v>29.424144999999999</v>
      </c>
      <c r="U82" s="25">
        <v>30.513109</v>
      </c>
      <c r="V82" s="25">
        <v>31.496549999999999</v>
      </c>
      <c r="W82" s="25">
        <v>32.537384000000003</v>
      </c>
      <c r="X82" s="25">
        <v>33.617427999999997</v>
      </c>
      <c r="Y82" s="25">
        <v>34.722183000000001</v>
      </c>
      <c r="Z82" s="25">
        <v>35.721493000000002</v>
      </c>
      <c r="AA82" s="25">
        <v>36.903725000000001</v>
      </c>
      <c r="AB82" s="25">
        <v>38.092830999999997</v>
      </c>
      <c r="AC82" s="25">
        <v>39.457756000000003</v>
      </c>
      <c r="AD82" s="25">
        <v>40.901833000000003</v>
      </c>
      <c r="AE82" s="25">
        <v>42.397967999999999</v>
      </c>
      <c r="AF82" s="25">
        <v>44.048859</v>
      </c>
      <c r="AG82" s="25">
        <v>45.773941000000001</v>
      </c>
      <c r="AH82" s="19">
        <v>3.2972000000000001E-2</v>
      </c>
    </row>
    <row r="83" spans="1:34" ht="15" customHeight="1" x14ac:dyDescent="0.25">
      <c r="A83" s="6" t="s">
        <v>218</v>
      </c>
      <c r="B83" s="17" t="s">
        <v>145</v>
      </c>
      <c r="C83" s="25">
        <v>17.748362</v>
      </c>
      <c r="D83" s="25">
        <v>17.966434</v>
      </c>
      <c r="E83" s="25">
        <v>19.259716000000001</v>
      </c>
      <c r="F83" s="25">
        <v>20.916284999999998</v>
      </c>
      <c r="G83" s="25">
        <v>22.016247</v>
      </c>
      <c r="H83" s="25">
        <v>22.974073000000001</v>
      </c>
      <c r="I83" s="25">
        <v>24.235168000000002</v>
      </c>
      <c r="J83" s="25">
        <v>25.399334</v>
      </c>
      <c r="K83" s="25">
        <v>26.390613999999999</v>
      </c>
      <c r="L83" s="25">
        <v>27.482574</v>
      </c>
      <c r="M83" s="25">
        <v>28.736801</v>
      </c>
      <c r="N83" s="25">
        <v>29.729196999999999</v>
      </c>
      <c r="O83" s="25">
        <v>30.882408000000002</v>
      </c>
      <c r="P83" s="25">
        <v>31.928685999999999</v>
      </c>
      <c r="Q83" s="25">
        <v>32.905087000000002</v>
      </c>
      <c r="R83" s="25">
        <v>33.503971</v>
      </c>
      <c r="S83" s="25">
        <v>34.167160000000003</v>
      </c>
      <c r="T83" s="25">
        <v>35.212048000000003</v>
      </c>
      <c r="U83" s="25">
        <v>36.301605000000002</v>
      </c>
      <c r="V83" s="25">
        <v>36.896996000000001</v>
      </c>
      <c r="W83" s="25">
        <v>38.326675000000002</v>
      </c>
      <c r="X83" s="25">
        <v>39.418179000000002</v>
      </c>
      <c r="Y83" s="25">
        <v>40.484431999999998</v>
      </c>
      <c r="Z83" s="25">
        <v>41.665267999999998</v>
      </c>
      <c r="AA83" s="25">
        <v>42.998382999999997</v>
      </c>
      <c r="AB83" s="25">
        <v>44.508552999999999</v>
      </c>
      <c r="AC83" s="25">
        <v>45.914009</v>
      </c>
      <c r="AD83" s="25">
        <v>47.318893000000003</v>
      </c>
      <c r="AE83" s="25">
        <v>48.675185999999997</v>
      </c>
      <c r="AF83" s="25">
        <v>50.354438999999999</v>
      </c>
      <c r="AG83" s="25">
        <v>52.064827000000001</v>
      </c>
      <c r="AH83" s="19">
        <v>3.6524000000000001E-2</v>
      </c>
    </row>
    <row r="84" spans="1:34" ht="15" customHeight="1" x14ac:dyDescent="0.25">
      <c r="A84" s="6" t="s">
        <v>219</v>
      </c>
      <c r="B84" s="17" t="s">
        <v>147</v>
      </c>
      <c r="C84" s="25">
        <v>10.141716000000001</v>
      </c>
      <c r="D84" s="25">
        <v>10.625045999999999</v>
      </c>
      <c r="E84" s="25">
        <v>10.428921000000001</v>
      </c>
      <c r="F84" s="25">
        <v>10.267519</v>
      </c>
      <c r="G84" s="25">
        <v>10.164536</v>
      </c>
      <c r="H84" s="25">
        <v>10.396891</v>
      </c>
      <c r="I84" s="25">
        <v>10.746409999999999</v>
      </c>
      <c r="J84" s="25">
        <v>11.182247</v>
      </c>
      <c r="K84" s="25">
        <v>11.60196</v>
      </c>
      <c r="L84" s="25">
        <v>12.131678000000001</v>
      </c>
      <c r="M84" s="25">
        <v>12.946251</v>
      </c>
      <c r="N84" s="25">
        <v>13.433337999999999</v>
      </c>
      <c r="O84" s="25">
        <v>13.929442</v>
      </c>
      <c r="P84" s="25">
        <v>14.423272000000001</v>
      </c>
      <c r="Q84" s="25">
        <v>14.851998999999999</v>
      </c>
      <c r="R84" s="25">
        <v>15.235919000000001</v>
      </c>
      <c r="S84" s="25">
        <v>15.627309</v>
      </c>
      <c r="T84" s="25">
        <v>16.018497</v>
      </c>
      <c r="U84" s="25">
        <v>16.378679000000002</v>
      </c>
      <c r="V84" s="25">
        <v>16.725304000000001</v>
      </c>
      <c r="W84" s="25">
        <v>17.100847000000002</v>
      </c>
      <c r="X84" s="25">
        <v>17.530432000000001</v>
      </c>
      <c r="Y84" s="25">
        <v>17.981055999999999</v>
      </c>
      <c r="Z84" s="25">
        <v>18.441963000000001</v>
      </c>
      <c r="AA84" s="25">
        <v>18.947731000000001</v>
      </c>
      <c r="AB84" s="25">
        <v>19.460142000000001</v>
      </c>
      <c r="AC84" s="25">
        <v>19.991085000000002</v>
      </c>
      <c r="AD84" s="25">
        <v>20.545117999999999</v>
      </c>
      <c r="AE84" s="25">
        <v>21.063739999999999</v>
      </c>
      <c r="AF84" s="25">
        <v>21.659649000000002</v>
      </c>
      <c r="AG84" s="25">
        <v>22.326521</v>
      </c>
      <c r="AH84" s="19">
        <v>2.6653E-2</v>
      </c>
    </row>
    <row r="85" spans="1:34" ht="15" customHeight="1" x14ac:dyDescent="0.25">
      <c r="A85" s="6" t="s">
        <v>220</v>
      </c>
      <c r="B85" s="17" t="s">
        <v>149</v>
      </c>
      <c r="C85" s="25">
        <v>35.768967000000004</v>
      </c>
      <c r="D85" s="25">
        <v>36.958694000000001</v>
      </c>
      <c r="E85" s="25">
        <v>37.005428000000002</v>
      </c>
      <c r="F85" s="25">
        <v>37.129111999999999</v>
      </c>
      <c r="G85" s="25">
        <v>37.453620999999998</v>
      </c>
      <c r="H85" s="25">
        <v>38.064835000000002</v>
      </c>
      <c r="I85" s="25">
        <v>38.925761999999999</v>
      </c>
      <c r="J85" s="25">
        <v>39.997340999999999</v>
      </c>
      <c r="K85" s="25">
        <v>41.131058000000003</v>
      </c>
      <c r="L85" s="25">
        <v>42.347912000000001</v>
      </c>
      <c r="M85" s="25">
        <v>43.617919999999998</v>
      </c>
      <c r="N85" s="25">
        <v>45.059520999999997</v>
      </c>
      <c r="O85" s="25">
        <v>46.362288999999997</v>
      </c>
      <c r="P85" s="25">
        <v>47.614604999999997</v>
      </c>
      <c r="Q85" s="25">
        <v>48.764800999999999</v>
      </c>
      <c r="R85" s="25">
        <v>49.783447000000002</v>
      </c>
      <c r="S85" s="25">
        <v>50.813431000000001</v>
      </c>
      <c r="T85" s="25">
        <v>51.841217</v>
      </c>
      <c r="U85" s="25">
        <v>52.915725999999999</v>
      </c>
      <c r="V85" s="25">
        <v>53.969807000000003</v>
      </c>
      <c r="W85" s="25">
        <v>55.068424</v>
      </c>
      <c r="X85" s="25">
        <v>56.238846000000002</v>
      </c>
      <c r="Y85" s="25">
        <v>57.424132999999998</v>
      </c>
      <c r="Z85" s="25">
        <v>58.644145999999999</v>
      </c>
      <c r="AA85" s="25">
        <v>59.952781999999999</v>
      </c>
      <c r="AB85" s="25">
        <v>61.380294999999997</v>
      </c>
      <c r="AC85" s="25">
        <v>62.780963999999997</v>
      </c>
      <c r="AD85" s="25">
        <v>64.219397999999998</v>
      </c>
      <c r="AE85" s="25">
        <v>65.604782</v>
      </c>
      <c r="AF85" s="25">
        <v>66.922248999999994</v>
      </c>
      <c r="AG85" s="25">
        <v>68.370925999999997</v>
      </c>
      <c r="AH85" s="19">
        <v>2.1829999999999999E-2</v>
      </c>
    </row>
    <row r="87" spans="1:34" ht="15" customHeight="1" x14ac:dyDescent="0.25">
      <c r="B87" s="16" t="s">
        <v>150</v>
      </c>
    </row>
    <row r="88" spans="1:34" ht="15" customHeight="1" x14ac:dyDescent="0.25">
      <c r="A88" s="6" t="s">
        <v>221</v>
      </c>
      <c r="B88" s="17" t="s">
        <v>143</v>
      </c>
      <c r="C88" s="25">
        <v>12.770180999999999</v>
      </c>
      <c r="D88" s="25">
        <v>13.739795000000001</v>
      </c>
      <c r="E88" s="25">
        <v>14.44624</v>
      </c>
      <c r="F88" s="25">
        <v>14.444917999999999</v>
      </c>
      <c r="G88" s="25">
        <v>14.740237</v>
      </c>
      <c r="H88" s="25">
        <v>15.184672000000001</v>
      </c>
      <c r="I88" s="25">
        <v>15.405874000000001</v>
      </c>
      <c r="J88" s="25">
        <v>15.808756000000001</v>
      </c>
      <c r="K88" s="25">
        <v>16.502459999999999</v>
      </c>
      <c r="L88" s="25">
        <v>17.228307999999998</v>
      </c>
      <c r="M88" s="25">
        <v>18.591069999999998</v>
      </c>
      <c r="N88" s="25">
        <v>19.380161000000001</v>
      </c>
      <c r="O88" s="25">
        <v>20.164705000000001</v>
      </c>
      <c r="P88" s="25">
        <v>20.914408000000002</v>
      </c>
      <c r="Q88" s="25">
        <v>21.670684999999999</v>
      </c>
      <c r="R88" s="25">
        <v>22.283957999999998</v>
      </c>
      <c r="S88" s="25">
        <v>23.028175000000001</v>
      </c>
      <c r="T88" s="25">
        <v>24.014372000000002</v>
      </c>
      <c r="U88" s="25">
        <v>24.860586000000001</v>
      </c>
      <c r="V88" s="25">
        <v>25.563794999999999</v>
      </c>
      <c r="W88" s="25">
        <v>26.372150000000001</v>
      </c>
      <c r="X88" s="25">
        <v>27.219159999999999</v>
      </c>
      <c r="Y88" s="25">
        <v>28.073461999999999</v>
      </c>
      <c r="Z88" s="25">
        <v>28.766537</v>
      </c>
      <c r="AA88" s="25">
        <v>29.744672999999999</v>
      </c>
      <c r="AB88" s="25">
        <v>30.668355999999999</v>
      </c>
      <c r="AC88" s="25">
        <v>31.786650000000002</v>
      </c>
      <c r="AD88" s="25">
        <v>32.939011000000001</v>
      </c>
      <c r="AE88" s="25">
        <v>34.110698999999997</v>
      </c>
      <c r="AF88" s="25">
        <v>35.441875000000003</v>
      </c>
      <c r="AG88" s="25">
        <v>36.791409000000002</v>
      </c>
      <c r="AH88" s="19">
        <v>3.5901000000000002E-2</v>
      </c>
    </row>
    <row r="89" spans="1:34" ht="15" customHeight="1" x14ac:dyDescent="0.25">
      <c r="A89" s="6" t="s">
        <v>222</v>
      </c>
      <c r="B89" s="17" t="s">
        <v>145</v>
      </c>
      <c r="C89" s="25">
        <v>17.825056</v>
      </c>
      <c r="D89" s="25">
        <v>18.093426000000001</v>
      </c>
      <c r="E89" s="25">
        <v>18.315351</v>
      </c>
      <c r="F89" s="25">
        <v>18.926200999999999</v>
      </c>
      <c r="G89" s="25">
        <v>18.937215999999999</v>
      </c>
      <c r="H89" s="25">
        <v>18.747388999999998</v>
      </c>
      <c r="I89" s="25">
        <v>18.800863</v>
      </c>
      <c r="J89" s="25">
        <v>19.811499000000001</v>
      </c>
      <c r="K89" s="25">
        <v>20.634888</v>
      </c>
      <c r="L89" s="25">
        <v>21.550405999999999</v>
      </c>
      <c r="M89" s="25">
        <v>22.952717</v>
      </c>
      <c r="N89" s="25">
        <v>23.777868000000002</v>
      </c>
      <c r="O89" s="25">
        <v>24.805574</v>
      </c>
      <c r="P89" s="25">
        <v>25.688956999999998</v>
      </c>
      <c r="Q89" s="25">
        <v>26.508257</v>
      </c>
      <c r="R89" s="25">
        <v>26.943041000000001</v>
      </c>
      <c r="S89" s="25">
        <v>27.453496999999999</v>
      </c>
      <c r="T89" s="25">
        <v>28.341854000000001</v>
      </c>
      <c r="U89" s="25">
        <v>29.279222000000001</v>
      </c>
      <c r="V89" s="25">
        <v>29.723133000000001</v>
      </c>
      <c r="W89" s="25">
        <v>30.995951000000002</v>
      </c>
      <c r="X89" s="25">
        <v>31.923767000000002</v>
      </c>
      <c r="Y89" s="25">
        <v>32.816875000000003</v>
      </c>
      <c r="Z89" s="25">
        <v>33.830505000000002</v>
      </c>
      <c r="AA89" s="25">
        <v>34.985626000000003</v>
      </c>
      <c r="AB89" s="25">
        <v>36.306683</v>
      </c>
      <c r="AC89" s="25">
        <v>37.508560000000003</v>
      </c>
      <c r="AD89" s="25">
        <v>38.701534000000002</v>
      </c>
      <c r="AE89" s="25">
        <v>39.855164000000002</v>
      </c>
      <c r="AF89" s="25">
        <v>41.303359999999998</v>
      </c>
      <c r="AG89" s="25">
        <v>42.757435000000001</v>
      </c>
      <c r="AH89" s="19">
        <v>2.9593999999999999E-2</v>
      </c>
    </row>
    <row r="90" spans="1:34" ht="15" customHeight="1" x14ac:dyDescent="0.25">
      <c r="A90" s="6" t="s">
        <v>223</v>
      </c>
      <c r="B90" s="17" t="s">
        <v>154</v>
      </c>
      <c r="C90" s="25">
        <v>5.2465200000000003</v>
      </c>
      <c r="D90" s="25">
        <v>4.1374570000000004</v>
      </c>
      <c r="E90" s="25">
        <v>5.2700870000000002</v>
      </c>
      <c r="F90" s="25">
        <v>6.6171170000000004</v>
      </c>
      <c r="G90" s="25">
        <v>7.8136460000000003</v>
      </c>
      <c r="H90" s="25">
        <v>8.7000630000000001</v>
      </c>
      <c r="I90" s="25">
        <v>9.7092659999999995</v>
      </c>
      <c r="J90" s="25">
        <v>10.525226</v>
      </c>
      <c r="K90" s="25">
        <v>10.966917</v>
      </c>
      <c r="L90" s="25">
        <v>11.607101</v>
      </c>
      <c r="M90" s="25">
        <v>12.393723</v>
      </c>
      <c r="N90" s="25">
        <v>12.868309999999999</v>
      </c>
      <c r="O90" s="25">
        <v>13.590438000000001</v>
      </c>
      <c r="P90" s="25">
        <v>14.201473</v>
      </c>
      <c r="Q90" s="25">
        <v>14.803964000000001</v>
      </c>
      <c r="R90" s="25">
        <v>15.042674</v>
      </c>
      <c r="S90" s="25">
        <v>15.423155</v>
      </c>
      <c r="T90" s="25">
        <v>16.058147000000002</v>
      </c>
      <c r="U90" s="25">
        <v>16.700855000000001</v>
      </c>
      <c r="V90" s="25">
        <v>17.063044000000001</v>
      </c>
      <c r="W90" s="25">
        <v>17.975677000000001</v>
      </c>
      <c r="X90" s="25">
        <v>18.618504999999999</v>
      </c>
      <c r="Y90" s="25">
        <v>19.266331000000001</v>
      </c>
      <c r="Z90" s="25">
        <v>19.944061000000001</v>
      </c>
      <c r="AA90" s="25">
        <v>20.865662</v>
      </c>
      <c r="AB90" s="25">
        <v>21.718767</v>
      </c>
      <c r="AC90" s="25">
        <v>22.665752000000001</v>
      </c>
      <c r="AD90" s="25">
        <v>23.490469000000001</v>
      </c>
      <c r="AE90" s="25">
        <v>24.193407000000001</v>
      </c>
      <c r="AF90" s="25">
        <v>25.147209</v>
      </c>
      <c r="AG90" s="25">
        <v>26.069181</v>
      </c>
      <c r="AH90" s="19">
        <v>5.4892999999999997E-2</v>
      </c>
    </row>
    <row r="91" spans="1:34" ht="15" customHeight="1" x14ac:dyDescent="0.25">
      <c r="A91" s="6" t="s">
        <v>224</v>
      </c>
      <c r="B91" s="17" t="s">
        <v>147</v>
      </c>
      <c r="C91" s="25">
        <v>7.2274659999999997</v>
      </c>
      <c r="D91" s="25">
        <v>7.8390149999999998</v>
      </c>
      <c r="E91" s="25">
        <v>7.9308610000000002</v>
      </c>
      <c r="F91" s="25">
        <v>7.6986189999999999</v>
      </c>
      <c r="G91" s="25">
        <v>7.5357079999999996</v>
      </c>
      <c r="H91" s="25">
        <v>7.6848780000000003</v>
      </c>
      <c r="I91" s="25">
        <v>7.9318429999999998</v>
      </c>
      <c r="J91" s="25">
        <v>8.2443770000000001</v>
      </c>
      <c r="K91" s="25">
        <v>8.5392189999999992</v>
      </c>
      <c r="L91" s="25">
        <v>8.9388699999999996</v>
      </c>
      <c r="M91" s="25">
        <v>9.5254960000000004</v>
      </c>
      <c r="N91" s="25">
        <v>9.8646720000000006</v>
      </c>
      <c r="O91" s="25">
        <v>10.212051000000001</v>
      </c>
      <c r="P91" s="25">
        <v>10.574384</v>
      </c>
      <c r="Q91" s="25">
        <v>10.876677000000001</v>
      </c>
      <c r="R91" s="25">
        <v>11.138861</v>
      </c>
      <c r="S91" s="25">
        <v>11.410228</v>
      </c>
      <c r="T91" s="25">
        <v>11.681153999999999</v>
      </c>
      <c r="U91" s="25">
        <v>11.921187</v>
      </c>
      <c r="V91" s="25">
        <v>12.14992</v>
      </c>
      <c r="W91" s="25">
        <v>12.406116000000001</v>
      </c>
      <c r="X91" s="25">
        <v>12.713490999999999</v>
      </c>
      <c r="Y91" s="25">
        <v>13.036792</v>
      </c>
      <c r="Z91" s="25">
        <v>13.364729000000001</v>
      </c>
      <c r="AA91" s="25">
        <v>13.730934</v>
      </c>
      <c r="AB91" s="25">
        <v>14.098891</v>
      </c>
      <c r="AC91" s="25">
        <v>14.475825</v>
      </c>
      <c r="AD91" s="25">
        <v>14.866690999999999</v>
      </c>
      <c r="AE91" s="25">
        <v>15.214554</v>
      </c>
      <c r="AF91" s="25">
        <v>15.629021</v>
      </c>
      <c r="AG91" s="25">
        <v>16.106097999999999</v>
      </c>
      <c r="AH91" s="19">
        <v>2.707E-2</v>
      </c>
    </row>
    <row r="92" spans="1:34" x14ac:dyDescent="0.25">
      <c r="A92" s="6" t="s">
        <v>225</v>
      </c>
      <c r="B92" s="17" t="s">
        <v>149</v>
      </c>
      <c r="C92" s="25">
        <v>31.322282999999999</v>
      </c>
      <c r="D92" s="25">
        <v>32.086353000000003</v>
      </c>
      <c r="E92" s="25">
        <v>32.066811000000001</v>
      </c>
      <c r="F92" s="25">
        <v>31.870663</v>
      </c>
      <c r="G92" s="25">
        <v>31.975525000000001</v>
      </c>
      <c r="H92" s="25">
        <v>32.408690999999997</v>
      </c>
      <c r="I92" s="25">
        <v>32.988791999999997</v>
      </c>
      <c r="J92" s="25">
        <v>33.828212999999998</v>
      </c>
      <c r="K92" s="25">
        <v>34.687373999999998</v>
      </c>
      <c r="L92" s="25">
        <v>35.603915999999998</v>
      </c>
      <c r="M92" s="25">
        <v>36.579318999999998</v>
      </c>
      <c r="N92" s="25">
        <v>37.768948000000002</v>
      </c>
      <c r="O92" s="25">
        <v>38.715564999999998</v>
      </c>
      <c r="P92" s="25">
        <v>39.733307000000003</v>
      </c>
      <c r="Q92" s="25">
        <v>40.563960999999999</v>
      </c>
      <c r="R92" s="25">
        <v>41.309269</v>
      </c>
      <c r="S92" s="25">
        <v>42.007129999999997</v>
      </c>
      <c r="T92" s="25">
        <v>42.720233999999998</v>
      </c>
      <c r="U92" s="25">
        <v>43.488796000000001</v>
      </c>
      <c r="V92" s="25">
        <v>44.238425999999997</v>
      </c>
      <c r="W92" s="25">
        <v>45.010627999999997</v>
      </c>
      <c r="X92" s="25">
        <v>45.822861000000003</v>
      </c>
      <c r="Y92" s="25">
        <v>46.626328000000001</v>
      </c>
      <c r="Z92" s="25">
        <v>47.491954999999997</v>
      </c>
      <c r="AA92" s="25">
        <v>48.364852999999997</v>
      </c>
      <c r="AB92" s="25">
        <v>49.332256000000001</v>
      </c>
      <c r="AC92" s="25">
        <v>50.317883000000002</v>
      </c>
      <c r="AD92" s="25">
        <v>51.291096000000003</v>
      </c>
      <c r="AE92" s="25">
        <v>52.220596</v>
      </c>
      <c r="AF92" s="25">
        <v>53.113723999999998</v>
      </c>
      <c r="AG92" s="25">
        <v>54.145847000000003</v>
      </c>
      <c r="AH92" s="19">
        <v>1.8412000000000001E-2</v>
      </c>
    </row>
    <row r="94" spans="1:34" ht="15" customHeight="1" x14ac:dyDescent="0.25">
      <c r="B94" s="16" t="s">
        <v>157</v>
      </c>
    </row>
    <row r="95" spans="1:34" ht="15" customHeight="1" x14ac:dyDescent="0.25">
      <c r="A95" s="6" t="s">
        <v>226</v>
      </c>
      <c r="B95" s="17" t="s">
        <v>143</v>
      </c>
      <c r="C95" s="25">
        <v>7.6224270000000001</v>
      </c>
      <c r="D95" s="25">
        <v>8.5857550000000007</v>
      </c>
      <c r="E95" s="25">
        <v>9.1950730000000007</v>
      </c>
      <c r="F95" s="25">
        <v>9.105658</v>
      </c>
      <c r="G95" s="25">
        <v>9.3134800000000002</v>
      </c>
      <c r="H95" s="25">
        <v>9.6361939999999997</v>
      </c>
      <c r="I95" s="25">
        <v>9.7164590000000004</v>
      </c>
      <c r="J95" s="25">
        <v>9.9642320000000009</v>
      </c>
      <c r="K95" s="25">
        <v>10.478424</v>
      </c>
      <c r="L95" s="25">
        <v>11.003137000000001</v>
      </c>
      <c r="M95" s="25">
        <v>11.877894</v>
      </c>
      <c r="N95" s="25">
        <v>12.436106000000001</v>
      </c>
      <c r="O95" s="25">
        <v>12.964437</v>
      </c>
      <c r="P95" s="25">
        <v>13.503829</v>
      </c>
      <c r="Q95" s="25">
        <v>14.056269</v>
      </c>
      <c r="R95" s="25">
        <v>14.46874</v>
      </c>
      <c r="S95" s="25">
        <v>15.020927</v>
      </c>
      <c r="T95" s="25">
        <v>15.816492</v>
      </c>
      <c r="U95" s="25">
        <v>16.458099000000001</v>
      </c>
      <c r="V95" s="25">
        <v>16.961690999999998</v>
      </c>
      <c r="W95" s="25">
        <v>17.571985000000002</v>
      </c>
      <c r="X95" s="25">
        <v>18.214462000000001</v>
      </c>
      <c r="Y95" s="25">
        <v>18.855173000000001</v>
      </c>
      <c r="Z95" s="25">
        <v>19.31757</v>
      </c>
      <c r="AA95" s="25">
        <v>20.069984000000002</v>
      </c>
      <c r="AB95" s="25">
        <v>20.747752999999999</v>
      </c>
      <c r="AC95" s="25">
        <v>21.610123000000002</v>
      </c>
      <c r="AD95" s="25">
        <v>22.491508</v>
      </c>
      <c r="AE95" s="25">
        <v>23.381889000000001</v>
      </c>
      <c r="AF95" s="25">
        <v>24.425052999999998</v>
      </c>
      <c r="AG95" s="25">
        <v>25.466816000000001</v>
      </c>
      <c r="AH95" s="19">
        <v>4.1029000000000003E-2</v>
      </c>
    </row>
    <row r="96" spans="1:34" ht="15" customHeight="1" x14ac:dyDescent="0.25">
      <c r="A96" s="6" t="s">
        <v>227</v>
      </c>
      <c r="B96" s="17" t="s">
        <v>145</v>
      </c>
      <c r="C96" s="25">
        <v>17.750837000000001</v>
      </c>
      <c r="D96" s="25">
        <v>17.971844000000001</v>
      </c>
      <c r="E96" s="25">
        <v>18.228767000000001</v>
      </c>
      <c r="F96" s="25">
        <v>18.908208999999999</v>
      </c>
      <c r="G96" s="25">
        <v>18.924596999999999</v>
      </c>
      <c r="H96" s="25">
        <v>18.745190000000001</v>
      </c>
      <c r="I96" s="25">
        <v>18.809263000000001</v>
      </c>
      <c r="J96" s="25">
        <v>19.826264999999999</v>
      </c>
      <c r="K96" s="25">
        <v>20.653815999999999</v>
      </c>
      <c r="L96" s="25">
        <v>21.577911</v>
      </c>
      <c r="M96" s="25">
        <v>22.642855000000001</v>
      </c>
      <c r="N96" s="25">
        <v>23.474722</v>
      </c>
      <c r="O96" s="25">
        <v>24.441144999999999</v>
      </c>
      <c r="P96" s="25">
        <v>25.320295000000002</v>
      </c>
      <c r="Q96" s="25">
        <v>26.142385000000001</v>
      </c>
      <c r="R96" s="25">
        <v>26.564394</v>
      </c>
      <c r="S96" s="25">
        <v>27.064281000000001</v>
      </c>
      <c r="T96" s="25">
        <v>27.944524999999999</v>
      </c>
      <c r="U96" s="25">
        <v>28.875128</v>
      </c>
      <c r="V96" s="25">
        <v>29.305320999999999</v>
      </c>
      <c r="W96" s="25">
        <v>30.566803</v>
      </c>
      <c r="X96" s="25">
        <v>31.488558000000001</v>
      </c>
      <c r="Y96" s="25">
        <v>32.374752000000001</v>
      </c>
      <c r="Z96" s="25">
        <v>33.386532000000003</v>
      </c>
      <c r="AA96" s="25">
        <v>34.533225999999999</v>
      </c>
      <c r="AB96" s="25">
        <v>35.851813999999997</v>
      </c>
      <c r="AC96" s="25">
        <v>37.046463000000003</v>
      </c>
      <c r="AD96" s="25">
        <v>38.240195999999997</v>
      </c>
      <c r="AE96" s="25">
        <v>39.394962</v>
      </c>
      <c r="AF96" s="25">
        <v>40.843707999999999</v>
      </c>
      <c r="AG96" s="25">
        <v>42.291260000000001</v>
      </c>
      <c r="AH96" s="19">
        <v>2.9361000000000002E-2</v>
      </c>
    </row>
    <row r="97" spans="1:34" ht="15" customHeight="1" x14ac:dyDescent="0.25">
      <c r="A97" s="6" t="s">
        <v>228</v>
      </c>
      <c r="B97" s="17" t="s">
        <v>154</v>
      </c>
      <c r="C97" s="25">
        <v>5.4227400000000001</v>
      </c>
      <c r="D97" s="25">
        <v>4.4780959999999999</v>
      </c>
      <c r="E97" s="25">
        <v>5.9356929999999997</v>
      </c>
      <c r="F97" s="25">
        <v>7.6157570000000003</v>
      </c>
      <c r="G97" s="25">
        <v>9.0634119999999996</v>
      </c>
      <c r="H97" s="25">
        <v>10.318466000000001</v>
      </c>
      <c r="I97" s="25">
        <v>11.784514</v>
      </c>
      <c r="J97" s="25">
        <v>12.62663</v>
      </c>
      <c r="K97" s="25">
        <v>13.233867</v>
      </c>
      <c r="L97" s="25">
        <v>13.933396999999999</v>
      </c>
      <c r="M97" s="25">
        <v>14.765164</v>
      </c>
      <c r="N97" s="25">
        <v>15.340495000000001</v>
      </c>
      <c r="O97" s="25">
        <v>16.080995999999999</v>
      </c>
      <c r="P97" s="25">
        <v>16.774211999999999</v>
      </c>
      <c r="Q97" s="25">
        <v>17.417721</v>
      </c>
      <c r="R97" s="25">
        <v>17.714137999999998</v>
      </c>
      <c r="S97" s="25">
        <v>18.1371</v>
      </c>
      <c r="T97" s="25">
        <v>18.836687000000001</v>
      </c>
      <c r="U97" s="25">
        <v>19.575223999999999</v>
      </c>
      <c r="V97" s="25">
        <v>19.983975999999998</v>
      </c>
      <c r="W97" s="25">
        <v>20.962624000000002</v>
      </c>
      <c r="X97" s="25">
        <v>21.686934999999998</v>
      </c>
      <c r="Y97" s="25">
        <v>22.380941</v>
      </c>
      <c r="Z97" s="25">
        <v>23.103829999999999</v>
      </c>
      <c r="AA97" s="25">
        <v>24.086798000000002</v>
      </c>
      <c r="AB97" s="25">
        <v>25.05735</v>
      </c>
      <c r="AC97" s="25">
        <v>25.998363000000001</v>
      </c>
      <c r="AD97" s="25">
        <v>26.868773000000001</v>
      </c>
      <c r="AE97" s="25">
        <v>27.697334000000001</v>
      </c>
      <c r="AF97" s="25">
        <v>28.733340999999999</v>
      </c>
      <c r="AG97" s="25">
        <v>29.875240000000002</v>
      </c>
      <c r="AH97" s="19">
        <v>5.8529999999999999E-2</v>
      </c>
    </row>
    <row r="98" spans="1:34" ht="15" customHeight="1" x14ac:dyDescent="0.25">
      <c r="A98" s="6" t="s">
        <v>229</v>
      </c>
      <c r="B98" s="17" t="s">
        <v>162</v>
      </c>
      <c r="C98" s="25">
        <v>3.0584310000000001</v>
      </c>
      <c r="D98" s="25">
        <v>4.0877359999999996</v>
      </c>
      <c r="E98" s="25">
        <v>4.067672</v>
      </c>
      <c r="F98" s="25">
        <v>3.6914660000000001</v>
      </c>
      <c r="G98" s="25">
        <v>3.3947889999999998</v>
      </c>
      <c r="H98" s="25">
        <v>3.4083899999999998</v>
      </c>
      <c r="I98" s="25">
        <v>3.527498</v>
      </c>
      <c r="J98" s="25">
        <v>3.739697</v>
      </c>
      <c r="K98" s="25">
        <v>3.9261089999999998</v>
      </c>
      <c r="L98" s="25">
        <v>4.1735300000000004</v>
      </c>
      <c r="M98" s="25">
        <v>4.3676500000000003</v>
      </c>
      <c r="N98" s="25">
        <v>4.5360040000000001</v>
      </c>
      <c r="O98" s="25">
        <v>4.6971499999999997</v>
      </c>
      <c r="P98" s="25">
        <v>4.8899650000000001</v>
      </c>
      <c r="Q98" s="25">
        <v>5.0197260000000004</v>
      </c>
      <c r="R98" s="25">
        <v>5.1177450000000002</v>
      </c>
      <c r="S98" s="25">
        <v>5.2326360000000003</v>
      </c>
      <c r="T98" s="25">
        <v>5.3363680000000002</v>
      </c>
      <c r="U98" s="25">
        <v>5.4326759999999998</v>
      </c>
      <c r="V98" s="25">
        <v>5.5142879999999996</v>
      </c>
      <c r="W98" s="25">
        <v>5.6078900000000003</v>
      </c>
      <c r="X98" s="25">
        <v>5.7370489999999998</v>
      </c>
      <c r="Y98" s="25">
        <v>5.8752420000000001</v>
      </c>
      <c r="Z98" s="25">
        <v>5.9981920000000004</v>
      </c>
      <c r="AA98" s="25">
        <v>6.1691339999999997</v>
      </c>
      <c r="AB98" s="25">
        <v>6.2912670000000004</v>
      </c>
      <c r="AC98" s="25">
        <v>6.4332250000000002</v>
      </c>
      <c r="AD98" s="25">
        <v>6.630484</v>
      </c>
      <c r="AE98" s="25">
        <v>6.7498300000000002</v>
      </c>
      <c r="AF98" s="25">
        <v>6.888884</v>
      </c>
      <c r="AG98" s="25">
        <v>7.1171569999999997</v>
      </c>
      <c r="AH98" s="19">
        <v>2.8554E-2</v>
      </c>
    </row>
    <row r="99" spans="1:34" ht="15" customHeight="1" x14ac:dyDescent="0.25">
      <c r="A99" s="6" t="s">
        <v>230</v>
      </c>
      <c r="B99" s="17" t="s">
        <v>164</v>
      </c>
      <c r="C99" s="25">
        <v>4.0174000000000003</v>
      </c>
      <c r="D99" s="25">
        <v>3.6369050000000001</v>
      </c>
      <c r="E99" s="25">
        <v>3.4306429999999999</v>
      </c>
      <c r="F99" s="25">
        <v>3.3225259999999999</v>
      </c>
      <c r="G99" s="25">
        <v>3.2839369999999999</v>
      </c>
      <c r="H99" s="25">
        <v>3.3048980000000001</v>
      </c>
      <c r="I99" s="25">
        <v>3.3434870000000001</v>
      </c>
      <c r="J99" s="25">
        <v>3.4211800000000001</v>
      </c>
      <c r="K99" s="25">
        <v>3.5239240000000001</v>
      </c>
      <c r="L99" s="25">
        <v>3.6599599999999999</v>
      </c>
      <c r="M99" s="25">
        <v>3.8095210000000002</v>
      </c>
      <c r="N99" s="25">
        <v>3.9694959999999999</v>
      </c>
      <c r="O99" s="25">
        <v>4.1300129999999999</v>
      </c>
      <c r="P99" s="25">
        <v>4.2884950000000002</v>
      </c>
      <c r="Q99" s="25">
        <v>4.4437040000000003</v>
      </c>
      <c r="R99" s="25">
        <v>4.5997649999999997</v>
      </c>
      <c r="S99" s="25">
        <v>4.7565150000000003</v>
      </c>
      <c r="T99" s="25">
        <v>4.9175829999999996</v>
      </c>
      <c r="U99" s="25">
        <v>5.0830500000000001</v>
      </c>
      <c r="V99" s="25">
        <v>5.2483069999999996</v>
      </c>
      <c r="W99" s="25">
        <v>5.4215150000000003</v>
      </c>
      <c r="X99" s="25">
        <v>5.6022369999999997</v>
      </c>
      <c r="Y99" s="25">
        <v>5.7939860000000003</v>
      </c>
      <c r="Z99" s="25">
        <v>5.9997759999999998</v>
      </c>
      <c r="AA99" s="25">
        <v>6.218966</v>
      </c>
      <c r="AB99" s="25">
        <v>6.4488289999999999</v>
      </c>
      <c r="AC99" s="25">
        <v>6.6890320000000001</v>
      </c>
      <c r="AD99" s="25">
        <v>6.9374320000000003</v>
      </c>
      <c r="AE99" s="25">
        <v>7.1975020000000001</v>
      </c>
      <c r="AF99" s="25">
        <v>7.4734619999999996</v>
      </c>
      <c r="AG99" s="25">
        <v>7.7718850000000002</v>
      </c>
      <c r="AH99" s="19">
        <v>2.2239999999999999E-2</v>
      </c>
    </row>
    <row r="100" spans="1:34" ht="15" customHeight="1" x14ac:dyDescent="0.25">
      <c r="A100" s="6" t="s">
        <v>231</v>
      </c>
      <c r="B100" s="17" t="s">
        <v>166</v>
      </c>
      <c r="C100" s="25">
        <v>2.815477</v>
      </c>
      <c r="D100" s="25">
        <v>2.8576999999999999</v>
      </c>
      <c r="E100" s="25">
        <v>2.948766</v>
      </c>
      <c r="F100" s="25">
        <v>2.976388</v>
      </c>
      <c r="G100" s="25">
        <v>3.0269430000000002</v>
      </c>
      <c r="H100" s="25">
        <v>3.079853</v>
      </c>
      <c r="I100" s="25">
        <v>3.144352</v>
      </c>
      <c r="J100" s="25">
        <v>3.2211210000000001</v>
      </c>
      <c r="K100" s="25">
        <v>3.303776</v>
      </c>
      <c r="L100" s="25">
        <v>3.3994840000000002</v>
      </c>
      <c r="M100" s="25">
        <v>3.5156779999999999</v>
      </c>
      <c r="N100" s="25">
        <v>3.61999</v>
      </c>
      <c r="O100" s="25">
        <v>3.7069960000000002</v>
      </c>
      <c r="P100" s="25">
        <v>3.8111790000000001</v>
      </c>
      <c r="Q100" s="25">
        <v>3.9124880000000002</v>
      </c>
      <c r="R100" s="25">
        <v>4.016845</v>
      </c>
      <c r="S100" s="25">
        <v>4.1175959999999998</v>
      </c>
      <c r="T100" s="25">
        <v>4.2210140000000003</v>
      </c>
      <c r="U100" s="25">
        <v>4.3177849999999998</v>
      </c>
      <c r="V100" s="25">
        <v>4.4172770000000003</v>
      </c>
      <c r="W100" s="25">
        <v>4.5314300000000003</v>
      </c>
      <c r="X100" s="25">
        <v>4.640117</v>
      </c>
      <c r="Y100" s="25">
        <v>4.7548139999999997</v>
      </c>
      <c r="Z100" s="25">
        <v>4.8773419999999996</v>
      </c>
      <c r="AA100" s="25">
        <v>4.9927279999999996</v>
      </c>
      <c r="AB100" s="25">
        <v>5.1384359999999996</v>
      </c>
      <c r="AC100" s="25">
        <v>5.2794889999999999</v>
      </c>
      <c r="AD100" s="25">
        <v>5.4373670000000001</v>
      </c>
      <c r="AE100" s="25">
        <v>5.602487</v>
      </c>
      <c r="AF100" s="25">
        <v>5.77569</v>
      </c>
      <c r="AG100" s="25">
        <v>5.9638689999999999</v>
      </c>
      <c r="AH100" s="19">
        <v>2.5335E-2</v>
      </c>
    </row>
    <row r="101" spans="1:34" x14ac:dyDescent="0.25">
      <c r="A101" s="6" t="s">
        <v>232</v>
      </c>
      <c r="B101" s="17" t="s">
        <v>168</v>
      </c>
      <c r="C101" s="19" t="s">
        <v>305</v>
      </c>
      <c r="D101" s="19" t="s">
        <v>305</v>
      </c>
      <c r="E101" s="19" t="s">
        <v>305</v>
      </c>
      <c r="F101" s="19" t="s">
        <v>305</v>
      </c>
      <c r="G101" s="19" t="s">
        <v>305</v>
      </c>
      <c r="H101" s="19" t="s">
        <v>305</v>
      </c>
      <c r="I101" s="19" t="s">
        <v>305</v>
      </c>
      <c r="J101" s="19" t="s">
        <v>305</v>
      </c>
      <c r="K101" s="19" t="s">
        <v>305</v>
      </c>
      <c r="L101" s="19" t="s">
        <v>305</v>
      </c>
      <c r="M101" s="19" t="s">
        <v>305</v>
      </c>
      <c r="N101" s="19" t="s">
        <v>305</v>
      </c>
      <c r="O101" s="19" t="s">
        <v>305</v>
      </c>
      <c r="P101" s="19" t="s">
        <v>305</v>
      </c>
      <c r="Q101" s="19" t="s">
        <v>305</v>
      </c>
      <c r="R101" s="19" t="s">
        <v>305</v>
      </c>
      <c r="S101" s="19" t="s">
        <v>305</v>
      </c>
      <c r="T101" s="19" t="s">
        <v>305</v>
      </c>
      <c r="U101" s="19" t="s">
        <v>305</v>
      </c>
      <c r="V101" s="19" t="s">
        <v>305</v>
      </c>
      <c r="W101" s="19" t="s">
        <v>305</v>
      </c>
      <c r="X101" s="19" t="s">
        <v>305</v>
      </c>
      <c r="Y101" s="19" t="s">
        <v>305</v>
      </c>
      <c r="Z101" s="19" t="s">
        <v>305</v>
      </c>
      <c r="AA101" s="19" t="s">
        <v>305</v>
      </c>
      <c r="AB101" s="19" t="s">
        <v>305</v>
      </c>
      <c r="AC101" s="19" t="s">
        <v>305</v>
      </c>
      <c r="AD101" s="19" t="s">
        <v>305</v>
      </c>
      <c r="AE101" s="19" t="s">
        <v>305</v>
      </c>
      <c r="AF101" s="19" t="s">
        <v>305</v>
      </c>
      <c r="AG101" s="19" t="s">
        <v>305</v>
      </c>
      <c r="AH101" s="19" t="s">
        <v>305</v>
      </c>
    </row>
    <row r="102" spans="1:34" x14ac:dyDescent="0.25">
      <c r="A102" s="6" t="s">
        <v>233</v>
      </c>
      <c r="B102" s="17" t="s">
        <v>149</v>
      </c>
      <c r="C102" s="25">
        <v>20.703951</v>
      </c>
      <c r="D102" s="25">
        <v>21.184431</v>
      </c>
      <c r="E102" s="25">
        <v>20.922765999999999</v>
      </c>
      <c r="F102" s="25">
        <v>20.490691999999999</v>
      </c>
      <c r="G102" s="25">
        <v>20.390978</v>
      </c>
      <c r="H102" s="25">
        <v>20.561810000000001</v>
      </c>
      <c r="I102" s="25">
        <v>20.928826999999998</v>
      </c>
      <c r="J102" s="25">
        <v>21.389219000000001</v>
      </c>
      <c r="K102" s="25">
        <v>21.904938000000001</v>
      </c>
      <c r="L102" s="25">
        <v>22.493555000000001</v>
      </c>
      <c r="M102" s="25">
        <v>23.126232000000002</v>
      </c>
      <c r="N102" s="25">
        <v>23.898823</v>
      </c>
      <c r="O102" s="25">
        <v>24.533017999999998</v>
      </c>
      <c r="P102" s="25">
        <v>25.095576999999999</v>
      </c>
      <c r="Q102" s="25">
        <v>25.619420999999999</v>
      </c>
      <c r="R102" s="25">
        <v>26.129231999999998</v>
      </c>
      <c r="S102" s="25">
        <v>26.601374</v>
      </c>
      <c r="T102" s="25">
        <v>27.053902000000001</v>
      </c>
      <c r="U102" s="25">
        <v>27.557925999999998</v>
      </c>
      <c r="V102" s="25">
        <v>28.009595999999998</v>
      </c>
      <c r="W102" s="25">
        <v>28.483612000000001</v>
      </c>
      <c r="X102" s="25">
        <v>28.995356000000001</v>
      </c>
      <c r="Y102" s="25">
        <v>29.524231</v>
      </c>
      <c r="Z102" s="25">
        <v>30.040479999999999</v>
      </c>
      <c r="AA102" s="25">
        <v>30.675072</v>
      </c>
      <c r="AB102" s="25">
        <v>31.286566000000001</v>
      </c>
      <c r="AC102" s="25">
        <v>31.906497999999999</v>
      </c>
      <c r="AD102" s="25">
        <v>32.552177</v>
      </c>
      <c r="AE102" s="25">
        <v>33.172356000000001</v>
      </c>
      <c r="AF102" s="25">
        <v>33.776854999999998</v>
      </c>
      <c r="AG102" s="25">
        <v>34.495876000000003</v>
      </c>
      <c r="AH102" s="19">
        <v>1.7163000000000001E-2</v>
      </c>
    </row>
    <row r="105" spans="1:34" ht="15" customHeight="1" x14ac:dyDescent="0.25">
      <c r="B105" s="16" t="s">
        <v>170</v>
      </c>
    </row>
    <row r="106" spans="1:34" ht="15" customHeight="1" x14ac:dyDescent="0.25">
      <c r="A106" s="6" t="s">
        <v>234</v>
      </c>
      <c r="B106" s="17" t="s">
        <v>143</v>
      </c>
      <c r="C106" s="25">
        <v>11.989126000000001</v>
      </c>
      <c r="D106" s="25">
        <v>13.055498</v>
      </c>
      <c r="E106" s="25">
        <v>13.684998</v>
      </c>
      <c r="F106" s="25">
        <v>13.646471999999999</v>
      </c>
      <c r="G106" s="25">
        <v>13.932608999999999</v>
      </c>
      <c r="H106" s="25">
        <v>14.35027</v>
      </c>
      <c r="I106" s="25">
        <v>14.551660999999999</v>
      </c>
      <c r="J106" s="25">
        <v>14.940968</v>
      </c>
      <c r="K106" s="25">
        <v>15.597754</v>
      </c>
      <c r="L106" s="25">
        <v>16.266991000000001</v>
      </c>
      <c r="M106" s="25">
        <v>17.803008999999999</v>
      </c>
      <c r="N106" s="25">
        <v>18.508292999999998</v>
      </c>
      <c r="O106" s="25">
        <v>19.266905000000001</v>
      </c>
      <c r="P106" s="25">
        <v>19.957550000000001</v>
      </c>
      <c r="Q106" s="25">
        <v>20.655187999999999</v>
      </c>
      <c r="R106" s="25">
        <v>21.217950999999999</v>
      </c>
      <c r="S106" s="25">
        <v>21.911341</v>
      </c>
      <c r="T106" s="25">
        <v>22.821793</v>
      </c>
      <c r="U106" s="25">
        <v>23.585032000000002</v>
      </c>
      <c r="V106" s="25">
        <v>24.222187000000002</v>
      </c>
      <c r="W106" s="25">
        <v>24.967777000000002</v>
      </c>
      <c r="X106" s="25">
        <v>25.745121000000001</v>
      </c>
      <c r="Y106" s="25">
        <v>26.527177999999999</v>
      </c>
      <c r="Z106" s="25">
        <v>27.162399000000001</v>
      </c>
      <c r="AA106" s="25">
        <v>28.074911</v>
      </c>
      <c r="AB106" s="25">
        <v>28.923811000000001</v>
      </c>
      <c r="AC106" s="25">
        <v>29.956638000000002</v>
      </c>
      <c r="AD106" s="25">
        <v>31.013227000000001</v>
      </c>
      <c r="AE106" s="25">
        <v>32.086063000000003</v>
      </c>
      <c r="AF106" s="25">
        <v>33.307343000000003</v>
      </c>
      <c r="AG106" s="25">
        <v>34.538722999999997</v>
      </c>
      <c r="AH106" s="19">
        <v>3.5899E-2</v>
      </c>
    </row>
    <row r="107" spans="1:34" ht="15" customHeight="1" x14ac:dyDescent="0.25">
      <c r="A107" s="6" t="s">
        <v>235</v>
      </c>
      <c r="B107" s="17" t="s">
        <v>173</v>
      </c>
      <c r="C107" s="25">
        <v>21.197994000000001</v>
      </c>
      <c r="D107" s="25">
        <v>22.489187000000001</v>
      </c>
      <c r="E107" s="25">
        <v>24.134782999999999</v>
      </c>
      <c r="F107" s="25">
        <v>23.938148000000002</v>
      </c>
      <c r="G107" s="25">
        <v>24.054376999999999</v>
      </c>
      <c r="H107" s="25">
        <v>24.331526</v>
      </c>
      <c r="I107" s="25">
        <v>24.861383</v>
      </c>
      <c r="J107" s="25">
        <v>26.163397</v>
      </c>
      <c r="K107" s="25">
        <v>27.222588999999999</v>
      </c>
      <c r="L107" s="25">
        <v>28.490193999999999</v>
      </c>
      <c r="M107" s="25">
        <v>30.607447000000001</v>
      </c>
      <c r="N107" s="25">
        <v>31.424811999999999</v>
      </c>
      <c r="O107" s="25">
        <v>32.751942</v>
      </c>
      <c r="P107" s="25">
        <v>33.951576000000003</v>
      </c>
      <c r="Q107" s="25">
        <v>35.573013000000003</v>
      </c>
      <c r="R107" s="25">
        <v>36.026156999999998</v>
      </c>
      <c r="S107" s="25">
        <v>37.013168</v>
      </c>
      <c r="T107" s="25">
        <v>38.307907</v>
      </c>
      <c r="U107" s="25">
        <v>39.596972999999998</v>
      </c>
      <c r="V107" s="25">
        <v>40.555588</v>
      </c>
      <c r="W107" s="25">
        <v>41.774628</v>
      </c>
      <c r="X107" s="25">
        <v>43.055011999999998</v>
      </c>
      <c r="Y107" s="25">
        <v>44.035229000000001</v>
      </c>
      <c r="Z107" s="25">
        <v>45.315018000000002</v>
      </c>
      <c r="AA107" s="25">
        <v>46.798065000000001</v>
      </c>
      <c r="AB107" s="25">
        <v>48.472186999999998</v>
      </c>
      <c r="AC107" s="25">
        <v>49.989505999999999</v>
      </c>
      <c r="AD107" s="25">
        <v>51.559319000000002</v>
      </c>
      <c r="AE107" s="25">
        <v>53.219242000000001</v>
      </c>
      <c r="AF107" s="25">
        <v>55.084353999999998</v>
      </c>
      <c r="AG107" s="25">
        <v>57.077778000000002</v>
      </c>
      <c r="AH107" s="19">
        <v>3.3568000000000001E-2</v>
      </c>
    </row>
    <row r="108" spans="1:34" ht="15" customHeight="1" x14ac:dyDescent="0.25">
      <c r="A108" s="6" t="s">
        <v>236</v>
      </c>
      <c r="B108" s="17" t="s">
        <v>175</v>
      </c>
      <c r="C108" s="25">
        <v>18.753328</v>
      </c>
      <c r="D108" s="25">
        <v>19.788212000000001</v>
      </c>
      <c r="E108" s="25">
        <v>20.293282000000001</v>
      </c>
      <c r="F108" s="25">
        <v>20.436584</v>
      </c>
      <c r="G108" s="25">
        <v>20.593464000000001</v>
      </c>
      <c r="H108" s="25">
        <v>20.882581999999999</v>
      </c>
      <c r="I108" s="25">
        <v>21.376519999999999</v>
      </c>
      <c r="J108" s="25">
        <v>22.48011</v>
      </c>
      <c r="K108" s="25">
        <v>23.366942999999999</v>
      </c>
      <c r="L108" s="25">
        <v>24.426805000000002</v>
      </c>
      <c r="M108" s="25">
        <v>26.396180999999999</v>
      </c>
      <c r="N108" s="25">
        <v>27.072281</v>
      </c>
      <c r="O108" s="25">
        <v>28.209209000000001</v>
      </c>
      <c r="P108" s="25">
        <v>29.205608000000002</v>
      </c>
      <c r="Q108" s="25">
        <v>30.561083</v>
      </c>
      <c r="R108" s="25">
        <v>30.930744000000001</v>
      </c>
      <c r="S108" s="25">
        <v>31.754170999999999</v>
      </c>
      <c r="T108" s="25">
        <v>32.846404999999997</v>
      </c>
      <c r="U108" s="25">
        <v>33.927546999999997</v>
      </c>
      <c r="V108" s="25">
        <v>34.733677</v>
      </c>
      <c r="W108" s="25">
        <v>35.761009000000001</v>
      </c>
      <c r="X108" s="25">
        <v>36.830620000000003</v>
      </c>
      <c r="Y108" s="25">
        <v>37.648448999999999</v>
      </c>
      <c r="Z108" s="25">
        <v>38.719551000000003</v>
      </c>
      <c r="AA108" s="25">
        <v>39.962944</v>
      </c>
      <c r="AB108" s="25">
        <v>41.346457999999998</v>
      </c>
      <c r="AC108" s="25">
        <v>42.581744999999998</v>
      </c>
      <c r="AD108" s="25">
        <v>43.907246000000001</v>
      </c>
      <c r="AE108" s="25">
        <v>45.259014000000001</v>
      </c>
      <c r="AF108" s="25">
        <v>46.844619999999999</v>
      </c>
      <c r="AG108" s="25">
        <v>48.515076000000001</v>
      </c>
      <c r="AH108" s="19">
        <v>3.2190999999999997E-2</v>
      </c>
    </row>
    <row r="109" spans="1:34" ht="15" customHeight="1" x14ac:dyDescent="0.25">
      <c r="A109" s="6" t="s">
        <v>237</v>
      </c>
      <c r="B109" s="17" t="s">
        <v>177</v>
      </c>
      <c r="C109" s="25">
        <v>9.5686540000000004</v>
      </c>
      <c r="D109" s="25">
        <v>10.491621</v>
      </c>
      <c r="E109" s="25">
        <v>11.611799</v>
      </c>
      <c r="F109" s="25">
        <v>12.626143000000001</v>
      </c>
      <c r="G109" s="25">
        <v>13.374006</v>
      </c>
      <c r="H109" s="25">
        <v>13.885991000000001</v>
      </c>
      <c r="I109" s="25">
        <v>14.634782</v>
      </c>
      <c r="J109" s="25">
        <v>15.622922000000001</v>
      </c>
      <c r="K109" s="25">
        <v>16.399954000000001</v>
      </c>
      <c r="L109" s="25">
        <v>17.258618999999999</v>
      </c>
      <c r="M109" s="25">
        <v>18.285124</v>
      </c>
      <c r="N109" s="25">
        <v>19.125378000000001</v>
      </c>
      <c r="O109" s="25">
        <v>20.090021</v>
      </c>
      <c r="P109" s="25">
        <v>20.930676999999999</v>
      </c>
      <c r="Q109" s="25">
        <v>21.668398</v>
      </c>
      <c r="R109" s="25">
        <v>22.090868</v>
      </c>
      <c r="S109" s="25">
        <v>22.572368999999998</v>
      </c>
      <c r="T109" s="25">
        <v>23.443169000000001</v>
      </c>
      <c r="U109" s="25">
        <v>24.351158000000002</v>
      </c>
      <c r="V109" s="25">
        <v>24.778327999999998</v>
      </c>
      <c r="W109" s="25">
        <v>26.019874999999999</v>
      </c>
      <c r="X109" s="25">
        <v>26.910350999999999</v>
      </c>
      <c r="Y109" s="25">
        <v>27.768221</v>
      </c>
      <c r="Z109" s="25">
        <v>28.759862999999999</v>
      </c>
      <c r="AA109" s="25">
        <v>29.916378000000002</v>
      </c>
      <c r="AB109" s="25">
        <v>31.164967999999998</v>
      </c>
      <c r="AC109" s="25">
        <v>32.309131999999998</v>
      </c>
      <c r="AD109" s="25">
        <v>33.423969</v>
      </c>
      <c r="AE109" s="25">
        <v>34.476363999999997</v>
      </c>
      <c r="AF109" s="25">
        <v>35.830787999999998</v>
      </c>
      <c r="AG109" s="25">
        <v>37.167850000000001</v>
      </c>
      <c r="AH109" s="19">
        <v>4.6269999999999999E-2</v>
      </c>
    </row>
    <row r="110" spans="1:34" ht="15" customHeight="1" x14ac:dyDescent="0.25">
      <c r="A110" s="6" t="s">
        <v>238</v>
      </c>
      <c r="B110" s="17" t="s">
        <v>179</v>
      </c>
      <c r="C110" s="25">
        <v>18.329231</v>
      </c>
      <c r="D110" s="25">
        <v>18.466090999999999</v>
      </c>
      <c r="E110" s="25">
        <v>19.441296000000001</v>
      </c>
      <c r="F110" s="25">
        <v>20.906368000000001</v>
      </c>
      <c r="G110" s="25">
        <v>21.550484000000001</v>
      </c>
      <c r="H110" s="25">
        <v>22.240687999999999</v>
      </c>
      <c r="I110" s="25">
        <v>22.925701</v>
      </c>
      <c r="J110" s="25">
        <v>24.184678999999999</v>
      </c>
      <c r="K110" s="25">
        <v>25.177447999999998</v>
      </c>
      <c r="L110" s="25">
        <v>26.206683999999999</v>
      </c>
      <c r="M110" s="25">
        <v>27.881654999999999</v>
      </c>
      <c r="N110" s="25">
        <v>28.911507</v>
      </c>
      <c r="O110" s="25">
        <v>30.105221</v>
      </c>
      <c r="P110" s="25">
        <v>31.156676999999998</v>
      </c>
      <c r="Q110" s="25">
        <v>32.130553999999997</v>
      </c>
      <c r="R110" s="25">
        <v>32.564861000000001</v>
      </c>
      <c r="S110" s="25">
        <v>33.237152000000002</v>
      </c>
      <c r="T110" s="25">
        <v>34.297997000000002</v>
      </c>
      <c r="U110" s="25">
        <v>35.361176</v>
      </c>
      <c r="V110" s="25">
        <v>35.931491999999999</v>
      </c>
      <c r="W110" s="25">
        <v>37.292427000000004</v>
      </c>
      <c r="X110" s="25">
        <v>38.340877999999996</v>
      </c>
      <c r="Y110" s="25">
        <v>39.357944000000003</v>
      </c>
      <c r="Z110" s="25">
        <v>40.492893000000002</v>
      </c>
      <c r="AA110" s="25">
        <v>41.785235999999998</v>
      </c>
      <c r="AB110" s="25">
        <v>43.214019999999998</v>
      </c>
      <c r="AC110" s="25">
        <v>44.615161999999998</v>
      </c>
      <c r="AD110" s="25">
        <v>46.015656</v>
      </c>
      <c r="AE110" s="25">
        <v>47.406441000000001</v>
      </c>
      <c r="AF110" s="25">
        <v>49.013824</v>
      </c>
      <c r="AG110" s="25">
        <v>50.694831999999998</v>
      </c>
      <c r="AH110" s="19">
        <v>3.4492000000000002E-2</v>
      </c>
    </row>
    <row r="111" spans="1:34" ht="15" customHeight="1" x14ac:dyDescent="0.25">
      <c r="A111" s="6" t="s">
        <v>239</v>
      </c>
      <c r="B111" s="17" t="s">
        <v>154</v>
      </c>
      <c r="C111" s="25">
        <v>9.2080660000000005</v>
      </c>
      <c r="D111" s="25">
        <v>7.0633520000000001</v>
      </c>
      <c r="E111" s="25">
        <v>7.302988</v>
      </c>
      <c r="F111" s="25">
        <v>8.4810619999999997</v>
      </c>
      <c r="G111" s="25">
        <v>9.8490350000000007</v>
      </c>
      <c r="H111" s="25">
        <v>10.089943</v>
      </c>
      <c r="I111" s="25">
        <v>10.639123</v>
      </c>
      <c r="J111" s="25">
        <v>11.495901</v>
      </c>
      <c r="K111" s="25">
        <v>11.956232999999999</v>
      </c>
      <c r="L111" s="25">
        <v>13.219588</v>
      </c>
      <c r="M111" s="25">
        <v>14.070411999999999</v>
      </c>
      <c r="N111" s="25">
        <v>14.140808</v>
      </c>
      <c r="O111" s="25">
        <v>14.921721</v>
      </c>
      <c r="P111" s="25">
        <v>15.509969</v>
      </c>
      <c r="Q111" s="25">
        <v>16.500456</v>
      </c>
      <c r="R111" s="25">
        <v>16.410965000000001</v>
      </c>
      <c r="S111" s="25">
        <v>16.978366999999999</v>
      </c>
      <c r="T111" s="25">
        <v>17.589258000000001</v>
      </c>
      <c r="U111" s="25">
        <v>18.293513999999998</v>
      </c>
      <c r="V111" s="25">
        <v>18.921209000000001</v>
      </c>
      <c r="W111" s="25">
        <v>19.635922999999998</v>
      </c>
      <c r="X111" s="25">
        <v>20.176897</v>
      </c>
      <c r="Y111" s="25">
        <v>21.054981000000002</v>
      </c>
      <c r="Z111" s="25">
        <v>22.139012999999998</v>
      </c>
      <c r="AA111" s="25">
        <v>23.220078999999998</v>
      </c>
      <c r="AB111" s="25">
        <v>23.7334</v>
      </c>
      <c r="AC111" s="25">
        <v>25.473278000000001</v>
      </c>
      <c r="AD111" s="25">
        <v>26.305942999999999</v>
      </c>
      <c r="AE111" s="25">
        <v>27.115713</v>
      </c>
      <c r="AF111" s="25">
        <v>28.203956999999999</v>
      </c>
      <c r="AG111" s="25">
        <v>29.465541999999999</v>
      </c>
      <c r="AH111" s="19">
        <v>3.9532999999999999E-2</v>
      </c>
    </row>
    <row r="112" spans="1:34" ht="15" customHeight="1" x14ac:dyDescent="0.25">
      <c r="A112" s="6" t="s">
        <v>240</v>
      </c>
      <c r="B112" s="90" t="s">
        <v>182</v>
      </c>
      <c r="C112" s="91">
        <v>12.999203</v>
      </c>
      <c r="D112" s="91">
        <v>13.756338</v>
      </c>
      <c r="E112" s="91">
        <v>14.272468</v>
      </c>
      <c r="F112" s="91">
        <v>13.87274</v>
      </c>
      <c r="G112" s="91">
        <v>13.379066999999999</v>
      </c>
      <c r="H112" s="91">
        <v>13.404615</v>
      </c>
      <c r="I112" s="91">
        <v>13.498896999999999</v>
      </c>
      <c r="J112" s="91">
        <v>13.628196000000001</v>
      </c>
      <c r="K112" s="91">
        <v>13.736962</v>
      </c>
      <c r="L112" s="91">
        <v>13.932218000000001</v>
      </c>
      <c r="M112" s="91">
        <v>14.950908999999999</v>
      </c>
      <c r="N112" s="91">
        <v>15.044097000000001</v>
      </c>
      <c r="O112" s="91">
        <v>15.321702</v>
      </c>
      <c r="P112" s="91">
        <v>15.516894000000001</v>
      </c>
      <c r="Q112" s="91">
        <v>15.691060999999999</v>
      </c>
      <c r="R112" s="91">
        <v>15.773815000000001</v>
      </c>
      <c r="S112" s="91">
        <v>15.950137</v>
      </c>
      <c r="T112" s="91">
        <v>16.117809000000001</v>
      </c>
      <c r="U112" s="91">
        <v>16.291615</v>
      </c>
      <c r="V112" s="91">
        <v>16.466549000000001</v>
      </c>
      <c r="W112" s="91">
        <v>16.700437999999998</v>
      </c>
      <c r="X112" s="91">
        <v>16.943705000000001</v>
      </c>
      <c r="Y112" s="91">
        <v>17.277073000000001</v>
      </c>
      <c r="Z112" s="91">
        <v>17.574244</v>
      </c>
      <c r="AA112" s="91">
        <v>17.982026999999999</v>
      </c>
      <c r="AB112" s="91">
        <v>18.336407000000001</v>
      </c>
      <c r="AC112" s="91">
        <v>18.741672999999999</v>
      </c>
      <c r="AD112" s="91">
        <v>19.208071</v>
      </c>
      <c r="AE112" s="91">
        <v>19.600466000000001</v>
      </c>
      <c r="AF112" s="91">
        <v>20.057380999999999</v>
      </c>
      <c r="AG112" s="91">
        <v>20.632099</v>
      </c>
      <c r="AH112" s="92">
        <v>1.5518000000000001E-2</v>
      </c>
    </row>
    <row r="113" spans="1:34" ht="15" customHeight="1" x14ac:dyDescent="0.25">
      <c r="A113" s="6" t="s">
        <v>241</v>
      </c>
      <c r="B113" s="17" t="s">
        <v>149</v>
      </c>
      <c r="C113" s="25">
        <v>34.881683000000002</v>
      </c>
      <c r="D113" s="25">
        <v>36.816513</v>
      </c>
      <c r="E113" s="25">
        <v>36.169002999999996</v>
      </c>
      <c r="F113" s="25">
        <v>35.738602</v>
      </c>
      <c r="G113" s="25">
        <v>35.579833999999998</v>
      </c>
      <c r="H113" s="25">
        <v>36.129081999999997</v>
      </c>
      <c r="I113" s="25">
        <v>36.963622999999998</v>
      </c>
      <c r="J113" s="25">
        <v>37.989131999999998</v>
      </c>
      <c r="K113" s="25">
        <v>39.081032</v>
      </c>
      <c r="L113" s="25">
        <v>40.300075999999997</v>
      </c>
      <c r="M113" s="25">
        <v>41.404995</v>
      </c>
      <c r="N113" s="25">
        <v>42.946102000000003</v>
      </c>
      <c r="O113" s="25">
        <v>44.248558000000003</v>
      </c>
      <c r="P113" s="25">
        <v>45.525314000000002</v>
      </c>
      <c r="Q113" s="25">
        <v>46.634273999999998</v>
      </c>
      <c r="R113" s="25">
        <v>47.531353000000003</v>
      </c>
      <c r="S113" s="25">
        <v>48.472499999999997</v>
      </c>
      <c r="T113" s="25">
        <v>49.432986999999997</v>
      </c>
      <c r="U113" s="25">
        <v>50.387675999999999</v>
      </c>
      <c r="V113" s="25">
        <v>51.286388000000002</v>
      </c>
      <c r="W113" s="25">
        <v>52.214260000000003</v>
      </c>
      <c r="X113" s="25">
        <v>53.183109000000002</v>
      </c>
      <c r="Y113" s="25">
        <v>54.169322999999999</v>
      </c>
      <c r="Z113" s="25">
        <v>55.113655000000001</v>
      </c>
      <c r="AA113" s="25">
        <v>56.153427000000001</v>
      </c>
      <c r="AB113" s="25">
        <v>57.276477999999997</v>
      </c>
      <c r="AC113" s="25">
        <v>58.393307</v>
      </c>
      <c r="AD113" s="25">
        <v>59.578139999999998</v>
      </c>
      <c r="AE113" s="25">
        <v>60.672660999999998</v>
      </c>
      <c r="AF113" s="25">
        <v>61.720840000000003</v>
      </c>
      <c r="AG113" s="25">
        <v>62.874915999999999</v>
      </c>
      <c r="AH113" s="19">
        <v>1.9834000000000001E-2</v>
      </c>
    </row>
    <row r="115" spans="1:34" ht="15" customHeight="1" x14ac:dyDescent="0.25">
      <c r="B115" s="16" t="s">
        <v>184</v>
      </c>
    </row>
    <row r="116" spans="1:34" ht="15" customHeight="1" x14ac:dyDescent="0.25">
      <c r="A116" s="6" t="s">
        <v>242</v>
      </c>
      <c r="B116" s="17" t="s">
        <v>145</v>
      </c>
      <c r="C116" s="25">
        <v>17.708587999999999</v>
      </c>
      <c r="D116" s="25">
        <v>17.922906999999999</v>
      </c>
      <c r="E116" s="25">
        <v>18.167338999999998</v>
      </c>
      <c r="F116" s="25">
        <v>18.391798000000001</v>
      </c>
      <c r="G116" s="25">
        <v>18.371428000000002</v>
      </c>
      <c r="H116" s="25">
        <v>18.194514999999999</v>
      </c>
      <c r="I116" s="25">
        <v>18.012846</v>
      </c>
      <c r="J116" s="25">
        <v>19.005011</v>
      </c>
      <c r="K116" s="25">
        <v>19.743411999999999</v>
      </c>
      <c r="L116" s="25">
        <v>20.599807999999999</v>
      </c>
      <c r="M116" s="25">
        <v>21.649260999999999</v>
      </c>
      <c r="N116" s="25">
        <v>22.243275000000001</v>
      </c>
      <c r="O116" s="25">
        <v>23.181121999999998</v>
      </c>
      <c r="P116" s="25">
        <v>24.023527000000001</v>
      </c>
      <c r="Q116" s="25">
        <v>24.834676999999999</v>
      </c>
      <c r="R116" s="25">
        <v>25.286221999999999</v>
      </c>
      <c r="S116" s="25">
        <v>25.852322000000001</v>
      </c>
      <c r="T116" s="25">
        <v>26.715047999999999</v>
      </c>
      <c r="U116" s="25">
        <v>27.479749999999999</v>
      </c>
      <c r="V116" s="25">
        <v>27.963885999999999</v>
      </c>
      <c r="W116" s="25">
        <v>29.288336000000001</v>
      </c>
      <c r="X116" s="25">
        <v>30.202635000000001</v>
      </c>
      <c r="Y116" s="25">
        <v>31.045172000000001</v>
      </c>
      <c r="Z116" s="25">
        <v>32.017268999999999</v>
      </c>
      <c r="AA116" s="25">
        <v>33.168652000000002</v>
      </c>
      <c r="AB116" s="25">
        <v>34.449997000000003</v>
      </c>
      <c r="AC116" s="25">
        <v>35.675570999999998</v>
      </c>
      <c r="AD116" s="25">
        <v>36.849620999999999</v>
      </c>
      <c r="AE116" s="25">
        <v>38.027099999999997</v>
      </c>
      <c r="AF116" s="25">
        <v>39.507576</v>
      </c>
      <c r="AG116" s="25">
        <v>40.923405000000002</v>
      </c>
      <c r="AH116" s="19">
        <v>2.8315E-2</v>
      </c>
    </row>
    <row r="117" spans="1:34" ht="15" customHeight="1" x14ac:dyDescent="0.25">
      <c r="A117" s="6" t="s">
        <v>243</v>
      </c>
      <c r="B117" s="17" t="s">
        <v>154</v>
      </c>
      <c r="C117" s="25">
        <v>8.2907299999999999</v>
      </c>
      <c r="D117" s="25">
        <v>8.9470679999999998</v>
      </c>
      <c r="E117" s="25">
        <v>9.9366479999999999</v>
      </c>
      <c r="F117" s="25">
        <v>11.076062</v>
      </c>
      <c r="G117" s="25">
        <v>11.979737999999999</v>
      </c>
      <c r="H117" s="25">
        <v>12.592653</v>
      </c>
      <c r="I117" s="25">
        <v>13.356881</v>
      </c>
      <c r="J117" s="25">
        <v>14.202007999999999</v>
      </c>
      <c r="K117" s="25">
        <v>14.762340999999999</v>
      </c>
      <c r="L117" s="25">
        <v>15.476789999999999</v>
      </c>
      <c r="M117" s="25">
        <v>16.343202999999999</v>
      </c>
      <c r="N117" s="25">
        <v>16.973457</v>
      </c>
      <c r="O117" s="25">
        <v>17.722759</v>
      </c>
      <c r="P117" s="25">
        <v>18.476268999999998</v>
      </c>
      <c r="Q117" s="25">
        <v>19.074306</v>
      </c>
      <c r="R117" s="25">
        <v>19.433674</v>
      </c>
      <c r="S117" s="25">
        <v>19.821852</v>
      </c>
      <c r="T117" s="25">
        <v>20.536128999999999</v>
      </c>
      <c r="U117" s="25">
        <v>21.275314000000002</v>
      </c>
      <c r="V117" s="25">
        <v>21.824587000000001</v>
      </c>
      <c r="W117" s="25">
        <v>22.77355</v>
      </c>
      <c r="X117" s="25">
        <v>23.359221000000002</v>
      </c>
      <c r="Y117" s="25">
        <v>23.897337</v>
      </c>
      <c r="Z117" s="25">
        <v>24.436132000000001</v>
      </c>
      <c r="AA117" s="25">
        <v>25.133085000000001</v>
      </c>
      <c r="AB117" s="25">
        <v>25.602730000000001</v>
      </c>
      <c r="AC117" s="25">
        <v>26.62406</v>
      </c>
      <c r="AD117" s="25">
        <v>27.609345999999999</v>
      </c>
      <c r="AE117" s="25">
        <v>28.527224</v>
      </c>
      <c r="AF117" s="25">
        <v>29.689737000000001</v>
      </c>
      <c r="AG117" s="25">
        <v>30.943238999999998</v>
      </c>
      <c r="AH117" s="19">
        <v>4.4878000000000001E-2</v>
      </c>
    </row>
    <row r="118" spans="1:34" ht="15" customHeight="1" x14ac:dyDescent="0.25">
      <c r="A118" s="6" t="s">
        <v>244</v>
      </c>
      <c r="B118" s="17" t="s">
        <v>147</v>
      </c>
      <c r="C118" s="25">
        <v>2.4475359999999999</v>
      </c>
      <c r="D118" s="25">
        <v>3.575078</v>
      </c>
      <c r="E118" s="25">
        <v>3.509563</v>
      </c>
      <c r="F118" s="25">
        <v>3.1234579999999998</v>
      </c>
      <c r="G118" s="25">
        <v>2.8282539999999998</v>
      </c>
      <c r="H118" s="25">
        <v>2.8515229999999998</v>
      </c>
      <c r="I118" s="25">
        <v>2.9517630000000001</v>
      </c>
      <c r="J118" s="25">
        <v>3.121902</v>
      </c>
      <c r="K118" s="25">
        <v>3.2792289999999999</v>
      </c>
      <c r="L118" s="25">
        <v>3.4971390000000002</v>
      </c>
      <c r="M118" s="25">
        <v>3.6785019999999999</v>
      </c>
      <c r="N118" s="25">
        <v>3.832201</v>
      </c>
      <c r="O118" s="25">
        <v>3.9674640000000001</v>
      </c>
      <c r="P118" s="25">
        <v>4.1222770000000004</v>
      </c>
      <c r="Q118" s="25">
        <v>4.2217479999999998</v>
      </c>
      <c r="R118" s="25">
        <v>4.2990930000000001</v>
      </c>
      <c r="S118" s="25">
        <v>4.397367</v>
      </c>
      <c r="T118" s="25">
        <v>4.4639600000000002</v>
      </c>
      <c r="U118" s="25">
        <v>4.5292820000000003</v>
      </c>
      <c r="V118" s="25">
        <v>4.5863860000000001</v>
      </c>
      <c r="W118" s="25">
        <v>4.665565</v>
      </c>
      <c r="X118" s="25">
        <v>4.7735110000000001</v>
      </c>
      <c r="Y118" s="25">
        <v>4.8861920000000003</v>
      </c>
      <c r="Z118" s="25">
        <v>4.9767700000000001</v>
      </c>
      <c r="AA118" s="25">
        <v>5.1314330000000004</v>
      </c>
      <c r="AB118" s="25">
        <v>5.2176989999999996</v>
      </c>
      <c r="AC118" s="25">
        <v>5.3252980000000001</v>
      </c>
      <c r="AD118" s="25">
        <v>5.473681</v>
      </c>
      <c r="AE118" s="25">
        <v>5.5430219999999997</v>
      </c>
      <c r="AF118" s="25">
        <v>5.6181130000000001</v>
      </c>
      <c r="AG118" s="25">
        <v>5.8064549999999997</v>
      </c>
      <c r="AH118" s="19">
        <v>2.9215000000000001E-2</v>
      </c>
    </row>
    <row r="119" spans="1:34" ht="15" customHeight="1" x14ac:dyDescent="0.25">
      <c r="A119" s="6" t="s">
        <v>245</v>
      </c>
      <c r="B119" s="17" t="s">
        <v>189</v>
      </c>
      <c r="C119" s="25">
        <v>1.9139900000000001</v>
      </c>
      <c r="D119" s="25">
        <v>2.0138539999999998</v>
      </c>
      <c r="E119" s="25">
        <v>2.0420479999999999</v>
      </c>
      <c r="F119" s="25">
        <v>1.991269</v>
      </c>
      <c r="G119" s="25">
        <v>1.9896430000000001</v>
      </c>
      <c r="H119" s="25">
        <v>1.9458800000000001</v>
      </c>
      <c r="I119" s="25">
        <v>1.974057</v>
      </c>
      <c r="J119" s="25">
        <v>2.0108700000000002</v>
      </c>
      <c r="K119" s="25">
        <v>2.0233449999999999</v>
      </c>
      <c r="L119" s="25">
        <v>2.0785710000000002</v>
      </c>
      <c r="M119" s="25">
        <v>2.1369340000000001</v>
      </c>
      <c r="N119" s="25">
        <v>2.2068490000000001</v>
      </c>
      <c r="O119" s="25">
        <v>2.2387060000000001</v>
      </c>
      <c r="P119" s="25">
        <v>2.280745</v>
      </c>
      <c r="Q119" s="25">
        <v>2.3335940000000002</v>
      </c>
      <c r="R119" s="25">
        <v>2.3716379999999999</v>
      </c>
      <c r="S119" s="25">
        <v>2.4149980000000002</v>
      </c>
      <c r="T119" s="25">
        <v>2.4696400000000001</v>
      </c>
      <c r="U119" s="25">
        <v>2.547005</v>
      </c>
      <c r="V119" s="25">
        <v>2.5993539999999999</v>
      </c>
      <c r="W119" s="25">
        <v>2.656965</v>
      </c>
      <c r="X119" s="25">
        <v>2.716018</v>
      </c>
      <c r="Y119" s="25">
        <v>2.7708159999999999</v>
      </c>
      <c r="Z119" s="25">
        <v>2.8345940000000001</v>
      </c>
      <c r="AA119" s="25">
        <v>2.9008579999999999</v>
      </c>
      <c r="AB119" s="25">
        <v>2.9650919999999998</v>
      </c>
      <c r="AC119" s="25">
        <v>3.0393720000000002</v>
      </c>
      <c r="AD119" s="25">
        <v>3.1162450000000002</v>
      </c>
      <c r="AE119" s="25">
        <v>3.1798959999999998</v>
      </c>
      <c r="AF119" s="25">
        <v>3.263045</v>
      </c>
      <c r="AG119" s="25">
        <v>3.3525969999999998</v>
      </c>
      <c r="AH119" s="19">
        <v>1.8859999999999998E-2</v>
      </c>
    </row>
    <row r="120" spans="1:34" ht="15" customHeight="1" x14ac:dyDescent="0.25">
      <c r="A120" s="6" t="s">
        <v>246</v>
      </c>
      <c r="B120" s="17" t="s">
        <v>191</v>
      </c>
      <c r="C120" s="25">
        <v>0.68612300000000004</v>
      </c>
      <c r="D120" s="25">
        <v>0.69437800000000005</v>
      </c>
      <c r="E120" s="25">
        <v>0.70342800000000005</v>
      </c>
      <c r="F120" s="25">
        <v>0.714812</v>
      </c>
      <c r="G120" s="25">
        <v>0.72804400000000002</v>
      </c>
      <c r="H120" s="25">
        <v>0.74597000000000002</v>
      </c>
      <c r="I120" s="25">
        <v>0.766096</v>
      </c>
      <c r="J120" s="25">
        <v>0.79033699999999996</v>
      </c>
      <c r="K120" s="25">
        <v>0.81512700000000005</v>
      </c>
      <c r="L120" s="25">
        <v>0.84268600000000005</v>
      </c>
      <c r="M120" s="25">
        <v>0.87102999999999997</v>
      </c>
      <c r="N120" s="25">
        <v>0.89856100000000005</v>
      </c>
      <c r="O120" s="25">
        <v>0.92714399999999997</v>
      </c>
      <c r="P120" s="25">
        <v>0.955681</v>
      </c>
      <c r="Q120" s="25">
        <v>0.98225799999999996</v>
      </c>
      <c r="R120" s="25">
        <v>1.0098510000000001</v>
      </c>
      <c r="S120" s="25">
        <v>1.0373399999999999</v>
      </c>
      <c r="T120" s="25">
        <v>1.063205</v>
      </c>
      <c r="U120" s="25">
        <v>1.090883</v>
      </c>
      <c r="V120" s="25">
        <v>1.1183609999999999</v>
      </c>
      <c r="W120" s="25">
        <v>1.147076</v>
      </c>
      <c r="X120" s="25">
        <v>1.176641</v>
      </c>
      <c r="Y120" s="25">
        <v>1.207389</v>
      </c>
      <c r="Z120" s="25">
        <v>1.2397359999999999</v>
      </c>
      <c r="AA120" s="25">
        <v>1.2740549999999999</v>
      </c>
      <c r="AB120" s="25">
        <v>1.3096019999999999</v>
      </c>
      <c r="AC120" s="25">
        <v>1.3478520000000001</v>
      </c>
      <c r="AD120" s="25">
        <v>1.3876710000000001</v>
      </c>
      <c r="AE120" s="25">
        <v>1.4289780000000001</v>
      </c>
      <c r="AF120" s="25">
        <v>1.4725079999999999</v>
      </c>
      <c r="AG120" s="25">
        <v>1.518192</v>
      </c>
      <c r="AH120" s="19">
        <v>2.6828000000000001E-2</v>
      </c>
    </row>
    <row r="122" spans="1:34" ht="15" customHeight="1" x14ac:dyDescent="0.25">
      <c r="B122" s="16" t="s">
        <v>192</v>
      </c>
    </row>
    <row r="123" spans="1:34" ht="15" customHeight="1" x14ac:dyDescent="0.25">
      <c r="A123" s="6" t="s">
        <v>247</v>
      </c>
      <c r="B123" s="17" t="s">
        <v>143</v>
      </c>
      <c r="C123" s="25">
        <v>14.345898999999999</v>
      </c>
      <c r="D123" s="25">
        <v>14.868917</v>
      </c>
      <c r="E123" s="25">
        <v>15.581808000000001</v>
      </c>
      <c r="F123" s="25">
        <v>14.977739</v>
      </c>
      <c r="G123" s="25">
        <v>15.250596</v>
      </c>
      <c r="H123" s="25">
        <v>15.657450000000001</v>
      </c>
      <c r="I123" s="25">
        <v>15.905913999999999</v>
      </c>
      <c r="J123" s="25">
        <v>16.296264999999998</v>
      </c>
      <c r="K123" s="25">
        <v>16.947468000000001</v>
      </c>
      <c r="L123" s="25">
        <v>17.662814999999998</v>
      </c>
      <c r="M123" s="25">
        <v>18.888542000000001</v>
      </c>
      <c r="N123" s="25">
        <v>19.729445999999999</v>
      </c>
      <c r="O123" s="25">
        <v>20.542546999999999</v>
      </c>
      <c r="P123" s="25">
        <v>21.330027000000001</v>
      </c>
      <c r="Q123" s="25">
        <v>22.112363999999999</v>
      </c>
      <c r="R123" s="25">
        <v>22.760538</v>
      </c>
      <c r="S123" s="25">
        <v>23.506302000000002</v>
      </c>
      <c r="T123" s="25">
        <v>24.473317999999999</v>
      </c>
      <c r="U123" s="25">
        <v>25.348746999999999</v>
      </c>
      <c r="V123" s="25">
        <v>26.096779000000002</v>
      </c>
      <c r="W123" s="25">
        <v>26.927315</v>
      </c>
      <c r="X123" s="25">
        <v>27.789152000000001</v>
      </c>
      <c r="Y123" s="25">
        <v>28.663212000000001</v>
      </c>
      <c r="Z123" s="25">
        <v>29.393692000000001</v>
      </c>
      <c r="AA123" s="25">
        <v>30.362504999999999</v>
      </c>
      <c r="AB123" s="25">
        <v>31.294746</v>
      </c>
      <c r="AC123" s="25">
        <v>32.40728</v>
      </c>
      <c r="AD123" s="25">
        <v>33.572581999999997</v>
      </c>
      <c r="AE123" s="25">
        <v>34.763378000000003</v>
      </c>
      <c r="AF123" s="25">
        <v>36.104675</v>
      </c>
      <c r="AG123" s="25">
        <v>37.476303000000001</v>
      </c>
      <c r="AH123" s="19">
        <v>3.2525999999999999E-2</v>
      </c>
    </row>
    <row r="124" spans="1:34" ht="15" customHeight="1" x14ac:dyDescent="0.25">
      <c r="A124" s="6" t="s">
        <v>248</v>
      </c>
      <c r="B124" s="17" t="s">
        <v>173</v>
      </c>
      <c r="C124" s="25">
        <v>21.197994000000001</v>
      </c>
      <c r="D124" s="25">
        <v>22.489187000000001</v>
      </c>
      <c r="E124" s="25">
        <v>24.134782999999999</v>
      </c>
      <c r="F124" s="25">
        <v>23.938148000000002</v>
      </c>
      <c r="G124" s="25">
        <v>24.054376999999999</v>
      </c>
      <c r="H124" s="25">
        <v>24.331526</v>
      </c>
      <c r="I124" s="25">
        <v>24.861383</v>
      </c>
      <c r="J124" s="25">
        <v>26.163397</v>
      </c>
      <c r="K124" s="25">
        <v>27.222588999999999</v>
      </c>
      <c r="L124" s="25">
        <v>28.490193999999999</v>
      </c>
      <c r="M124" s="25">
        <v>30.607447000000001</v>
      </c>
      <c r="N124" s="25">
        <v>31.424811999999999</v>
      </c>
      <c r="O124" s="25">
        <v>32.751942</v>
      </c>
      <c r="P124" s="25">
        <v>33.951576000000003</v>
      </c>
      <c r="Q124" s="25">
        <v>35.573013000000003</v>
      </c>
      <c r="R124" s="25">
        <v>36.026156999999998</v>
      </c>
      <c r="S124" s="25">
        <v>37.013168</v>
      </c>
      <c r="T124" s="25">
        <v>38.307907</v>
      </c>
      <c r="U124" s="25">
        <v>39.596972999999998</v>
      </c>
      <c r="V124" s="25">
        <v>40.555588</v>
      </c>
      <c r="W124" s="25">
        <v>41.774628</v>
      </c>
      <c r="X124" s="25">
        <v>43.055011999999998</v>
      </c>
      <c r="Y124" s="25">
        <v>44.035229000000001</v>
      </c>
      <c r="Z124" s="25">
        <v>45.315018000000002</v>
      </c>
      <c r="AA124" s="25">
        <v>46.798065000000001</v>
      </c>
      <c r="AB124" s="25">
        <v>48.472186999999998</v>
      </c>
      <c r="AC124" s="25">
        <v>49.989505999999999</v>
      </c>
      <c r="AD124" s="25">
        <v>51.559319000000002</v>
      </c>
      <c r="AE124" s="25">
        <v>53.219242000000001</v>
      </c>
      <c r="AF124" s="25">
        <v>55.084353999999998</v>
      </c>
      <c r="AG124" s="25">
        <v>57.077778000000002</v>
      </c>
      <c r="AH124" s="19">
        <v>3.3568000000000001E-2</v>
      </c>
    </row>
    <row r="125" spans="1:34" ht="15" customHeight="1" x14ac:dyDescent="0.25">
      <c r="A125" s="6" t="s">
        <v>249</v>
      </c>
      <c r="B125" s="17" t="s">
        <v>175</v>
      </c>
      <c r="C125" s="25">
        <v>18.741726</v>
      </c>
      <c r="D125" s="25">
        <v>19.780123</v>
      </c>
      <c r="E125" s="25">
        <v>20.288264999999999</v>
      </c>
      <c r="F125" s="25">
        <v>20.435262999999999</v>
      </c>
      <c r="G125" s="25">
        <v>20.595998999999999</v>
      </c>
      <c r="H125" s="25">
        <v>20.889111</v>
      </c>
      <c r="I125" s="25">
        <v>21.387266</v>
      </c>
      <c r="J125" s="25">
        <v>22.491313999999999</v>
      </c>
      <c r="K125" s="25">
        <v>23.378699999999998</v>
      </c>
      <c r="L125" s="25">
        <v>24.439133000000002</v>
      </c>
      <c r="M125" s="25">
        <v>26.404921000000002</v>
      </c>
      <c r="N125" s="25">
        <v>27.081378999999998</v>
      </c>
      <c r="O125" s="25">
        <v>28.217976</v>
      </c>
      <c r="P125" s="25">
        <v>29.214804000000001</v>
      </c>
      <c r="Q125" s="25">
        <v>30.570681</v>
      </c>
      <c r="R125" s="25">
        <v>30.940794</v>
      </c>
      <c r="S125" s="25">
        <v>31.764669000000001</v>
      </c>
      <c r="T125" s="25">
        <v>32.857315</v>
      </c>
      <c r="U125" s="25">
        <v>33.938889000000003</v>
      </c>
      <c r="V125" s="25">
        <v>34.745373000000001</v>
      </c>
      <c r="W125" s="25">
        <v>35.773273000000003</v>
      </c>
      <c r="X125" s="25">
        <v>36.843342</v>
      </c>
      <c r="Y125" s="25">
        <v>37.661583</v>
      </c>
      <c r="Z125" s="25">
        <v>38.733325999999998</v>
      </c>
      <c r="AA125" s="25">
        <v>39.977245000000003</v>
      </c>
      <c r="AB125" s="25">
        <v>41.361350999999999</v>
      </c>
      <c r="AC125" s="25">
        <v>42.597290000000001</v>
      </c>
      <c r="AD125" s="25">
        <v>43.923450000000003</v>
      </c>
      <c r="AE125" s="25">
        <v>45.275948</v>
      </c>
      <c r="AF125" s="25">
        <v>46.862236000000003</v>
      </c>
      <c r="AG125" s="25">
        <v>48.533465999999997</v>
      </c>
      <c r="AH125" s="19">
        <v>3.2224999999999997E-2</v>
      </c>
    </row>
    <row r="126" spans="1:34" ht="15" customHeight="1" x14ac:dyDescent="0.25">
      <c r="A126" s="6" t="s">
        <v>250</v>
      </c>
      <c r="B126" s="17" t="s">
        <v>177</v>
      </c>
      <c r="C126" s="25">
        <v>9.5686540000000004</v>
      </c>
      <c r="D126" s="25">
        <v>10.491621</v>
      </c>
      <c r="E126" s="25">
        <v>11.611799</v>
      </c>
      <c r="F126" s="25">
        <v>12.626143000000001</v>
      </c>
      <c r="G126" s="25">
        <v>13.374006</v>
      </c>
      <c r="H126" s="25">
        <v>13.885991000000001</v>
      </c>
      <c r="I126" s="25">
        <v>14.634782</v>
      </c>
      <c r="J126" s="25">
        <v>15.622922000000001</v>
      </c>
      <c r="K126" s="25">
        <v>16.399954000000001</v>
      </c>
      <c r="L126" s="25">
        <v>17.258618999999999</v>
      </c>
      <c r="M126" s="25">
        <v>18.285124</v>
      </c>
      <c r="N126" s="25">
        <v>19.125378000000001</v>
      </c>
      <c r="O126" s="25">
        <v>20.090021</v>
      </c>
      <c r="P126" s="25">
        <v>20.930676999999999</v>
      </c>
      <c r="Q126" s="25">
        <v>21.668398</v>
      </c>
      <c r="R126" s="25">
        <v>22.090868</v>
      </c>
      <c r="S126" s="25">
        <v>22.572368999999998</v>
      </c>
      <c r="T126" s="25">
        <v>23.443169000000001</v>
      </c>
      <c r="U126" s="25">
        <v>24.351158000000002</v>
      </c>
      <c r="V126" s="25">
        <v>24.778327999999998</v>
      </c>
      <c r="W126" s="25">
        <v>26.019874999999999</v>
      </c>
      <c r="X126" s="25">
        <v>26.910350999999999</v>
      </c>
      <c r="Y126" s="25">
        <v>27.768221</v>
      </c>
      <c r="Z126" s="25">
        <v>28.759862999999999</v>
      </c>
      <c r="AA126" s="25">
        <v>29.916378000000002</v>
      </c>
      <c r="AB126" s="25">
        <v>31.164967999999998</v>
      </c>
      <c r="AC126" s="25">
        <v>32.309131999999998</v>
      </c>
      <c r="AD126" s="25">
        <v>33.423969</v>
      </c>
      <c r="AE126" s="25">
        <v>34.476363999999997</v>
      </c>
      <c r="AF126" s="25">
        <v>35.830787999999998</v>
      </c>
      <c r="AG126" s="25">
        <v>37.167850000000001</v>
      </c>
      <c r="AH126" s="19">
        <v>4.6269999999999999E-2</v>
      </c>
    </row>
    <row r="127" spans="1:34" ht="15" customHeight="1" x14ac:dyDescent="0.25">
      <c r="A127" s="6" t="s">
        <v>251</v>
      </c>
      <c r="B127" s="17" t="s">
        <v>145</v>
      </c>
      <c r="C127" s="25">
        <v>18.18478</v>
      </c>
      <c r="D127" s="25">
        <v>18.341930000000001</v>
      </c>
      <c r="E127" s="25">
        <v>19.106498999999999</v>
      </c>
      <c r="F127" s="25">
        <v>20.399415999999999</v>
      </c>
      <c r="G127" s="25">
        <v>20.971402999999999</v>
      </c>
      <c r="H127" s="25">
        <v>21.373846</v>
      </c>
      <c r="I127" s="25">
        <v>22.053508999999998</v>
      </c>
      <c r="J127" s="25">
        <v>23.156879</v>
      </c>
      <c r="K127" s="25">
        <v>24.069171999999998</v>
      </c>
      <c r="L127" s="25">
        <v>25.090091999999999</v>
      </c>
      <c r="M127" s="25">
        <v>26.559946</v>
      </c>
      <c r="N127" s="25">
        <v>27.485112999999998</v>
      </c>
      <c r="O127" s="25">
        <v>28.598687999999999</v>
      </c>
      <c r="P127" s="25">
        <v>29.568297999999999</v>
      </c>
      <c r="Q127" s="25">
        <v>30.486623999999999</v>
      </c>
      <c r="R127" s="25">
        <v>30.990047000000001</v>
      </c>
      <c r="S127" s="25">
        <v>31.565892999999999</v>
      </c>
      <c r="T127" s="25">
        <v>32.532680999999997</v>
      </c>
      <c r="U127" s="25">
        <v>33.545501999999999</v>
      </c>
      <c r="V127" s="25">
        <v>34.05471</v>
      </c>
      <c r="W127" s="25">
        <v>35.389442000000003</v>
      </c>
      <c r="X127" s="25">
        <v>36.392929000000002</v>
      </c>
      <c r="Y127" s="25">
        <v>37.382919000000001</v>
      </c>
      <c r="Z127" s="25">
        <v>38.491504999999997</v>
      </c>
      <c r="AA127" s="25">
        <v>39.734431999999998</v>
      </c>
      <c r="AB127" s="25">
        <v>41.159222</v>
      </c>
      <c r="AC127" s="25">
        <v>42.469261000000003</v>
      </c>
      <c r="AD127" s="25">
        <v>43.788451999999999</v>
      </c>
      <c r="AE127" s="25">
        <v>45.064937999999998</v>
      </c>
      <c r="AF127" s="25">
        <v>46.644249000000002</v>
      </c>
      <c r="AG127" s="25">
        <v>48.236587999999998</v>
      </c>
      <c r="AH127" s="19">
        <v>3.3051999999999998E-2</v>
      </c>
    </row>
    <row r="128" spans="1:34" ht="15" customHeight="1" x14ac:dyDescent="0.25">
      <c r="A128" s="6" t="s">
        <v>252</v>
      </c>
      <c r="B128" s="17" t="s">
        <v>154</v>
      </c>
      <c r="C128" s="25">
        <v>8.8440189999999994</v>
      </c>
      <c r="D128" s="25">
        <v>7.0218069999999999</v>
      </c>
      <c r="E128" s="25">
        <v>7.3667499999999997</v>
      </c>
      <c r="F128" s="25">
        <v>8.5520800000000001</v>
      </c>
      <c r="G128" s="25">
        <v>9.9079580000000007</v>
      </c>
      <c r="H128" s="25">
        <v>10.215197</v>
      </c>
      <c r="I128" s="25">
        <v>10.814889000000001</v>
      </c>
      <c r="J128" s="25">
        <v>11.684661999999999</v>
      </c>
      <c r="K128" s="25">
        <v>12.157301</v>
      </c>
      <c r="L128" s="25">
        <v>13.363315999999999</v>
      </c>
      <c r="M128" s="25">
        <v>14.211387</v>
      </c>
      <c r="N128" s="25">
        <v>14.329101</v>
      </c>
      <c r="O128" s="25">
        <v>15.116942</v>
      </c>
      <c r="P128" s="25">
        <v>15.719272999999999</v>
      </c>
      <c r="Q128" s="25">
        <v>16.669592000000002</v>
      </c>
      <c r="R128" s="25">
        <v>16.616427999999999</v>
      </c>
      <c r="S128" s="25">
        <v>17.175011000000001</v>
      </c>
      <c r="T128" s="25">
        <v>17.795501999999999</v>
      </c>
      <c r="U128" s="25">
        <v>18.493887000000001</v>
      </c>
      <c r="V128" s="25">
        <v>19.110384</v>
      </c>
      <c r="W128" s="25">
        <v>19.854156</v>
      </c>
      <c r="X128" s="25">
        <v>20.391876</v>
      </c>
      <c r="Y128" s="25">
        <v>21.247944</v>
      </c>
      <c r="Z128" s="25">
        <v>22.277329999999999</v>
      </c>
      <c r="AA128" s="25">
        <v>23.334541000000002</v>
      </c>
      <c r="AB128" s="25">
        <v>23.878094000000001</v>
      </c>
      <c r="AC128" s="25">
        <v>25.532112000000001</v>
      </c>
      <c r="AD128" s="25">
        <v>26.373415000000001</v>
      </c>
      <c r="AE128" s="25">
        <v>27.187548</v>
      </c>
      <c r="AF128" s="25">
        <v>28.273959999999999</v>
      </c>
      <c r="AG128" s="25">
        <v>29.524448</v>
      </c>
      <c r="AH128" s="19">
        <v>4.1001000000000003E-2</v>
      </c>
    </row>
    <row r="129" spans="1:34" ht="15" customHeight="1" x14ac:dyDescent="0.25">
      <c r="A129" s="6" t="s">
        <v>253</v>
      </c>
      <c r="B129" s="17" t="s">
        <v>147</v>
      </c>
      <c r="C129" s="25">
        <v>4.5302720000000001</v>
      </c>
      <c r="D129" s="25">
        <v>5.5875709999999996</v>
      </c>
      <c r="E129" s="25">
        <v>5.5229119999999998</v>
      </c>
      <c r="F129" s="25">
        <v>5.1397599999999999</v>
      </c>
      <c r="G129" s="25">
        <v>4.8598800000000004</v>
      </c>
      <c r="H129" s="25">
        <v>4.862088</v>
      </c>
      <c r="I129" s="25">
        <v>4.9881469999999997</v>
      </c>
      <c r="J129" s="25">
        <v>5.2028150000000002</v>
      </c>
      <c r="K129" s="25">
        <v>5.4212360000000004</v>
      </c>
      <c r="L129" s="25">
        <v>5.6957190000000004</v>
      </c>
      <c r="M129" s="25">
        <v>6.0383839999999998</v>
      </c>
      <c r="N129" s="25">
        <v>6.2511049999999999</v>
      </c>
      <c r="O129" s="25">
        <v>6.4583269999999997</v>
      </c>
      <c r="P129" s="25">
        <v>6.6905539999999997</v>
      </c>
      <c r="Q129" s="25">
        <v>6.8544989999999997</v>
      </c>
      <c r="R129" s="25">
        <v>6.9979750000000003</v>
      </c>
      <c r="S129" s="25">
        <v>7.1529829999999999</v>
      </c>
      <c r="T129" s="25">
        <v>7.2744369999999998</v>
      </c>
      <c r="U129" s="25">
        <v>7.389812</v>
      </c>
      <c r="V129" s="25">
        <v>7.4991159999999999</v>
      </c>
      <c r="W129" s="25">
        <v>7.6315569999999999</v>
      </c>
      <c r="X129" s="25">
        <v>7.7947749999999996</v>
      </c>
      <c r="Y129" s="25">
        <v>7.9652430000000001</v>
      </c>
      <c r="Z129" s="25">
        <v>8.1088290000000001</v>
      </c>
      <c r="AA129" s="25">
        <v>8.2956299999999992</v>
      </c>
      <c r="AB129" s="25">
        <v>8.4531189999999992</v>
      </c>
      <c r="AC129" s="25">
        <v>8.644584</v>
      </c>
      <c r="AD129" s="25">
        <v>8.8776840000000004</v>
      </c>
      <c r="AE129" s="25">
        <v>9.0369460000000004</v>
      </c>
      <c r="AF129" s="25">
        <v>9.233689</v>
      </c>
      <c r="AG129" s="25">
        <v>9.5093969999999999</v>
      </c>
      <c r="AH129" s="19">
        <v>2.5024999999999999E-2</v>
      </c>
    </row>
    <row r="130" spans="1:34" ht="15" customHeight="1" x14ac:dyDescent="0.25">
      <c r="A130" s="6" t="s">
        <v>254</v>
      </c>
      <c r="B130" s="17" t="s">
        <v>164</v>
      </c>
      <c r="C130" s="25">
        <v>4.0174000000000003</v>
      </c>
      <c r="D130" s="25">
        <v>3.6369050000000001</v>
      </c>
      <c r="E130" s="25">
        <v>3.4306429999999999</v>
      </c>
      <c r="F130" s="25">
        <v>3.3225259999999999</v>
      </c>
      <c r="G130" s="25">
        <v>3.2839369999999999</v>
      </c>
      <c r="H130" s="25">
        <v>3.3048980000000001</v>
      </c>
      <c r="I130" s="25">
        <v>3.3434870000000001</v>
      </c>
      <c r="J130" s="25">
        <v>3.4211800000000001</v>
      </c>
      <c r="K130" s="25">
        <v>3.5239240000000001</v>
      </c>
      <c r="L130" s="25">
        <v>3.6599599999999999</v>
      </c>
      <c r="M130" s="25">
        <v>3.8095210000000002</v>
      </c>
      <c r="N130" s="25">
        <v>3.9694959999999999</v>
      </c>
      <c r="O130" s="25">
        <v>4.1300129999999999</v>
      </c>
      <c r="P130" s="25">
        <v>4.2884950000000002</v>
      </c>
      <c r="Q130" s="25">
        <v>4.4437040000000003</v>
      </c>
      <c r="R130" s="25">
        <v>4.5997649999999997</v>
      </c>
      <c r="S130" s="25">
        <v>4.7565150000000003</v>
      </c>
      <c r="T130" s="25">
        <v>4.9175829999999996</v>
      </c>
      <c r="U130" s="25">
        <v>5.0830500000000001</v>
      </c>
      <c r="V130" s="25">
        <v>5.2483069999999996</v>
      </c>
      <c r="W130" s="25">
        <v>5.4215150000000003</v>
      </c>
      <c r="X130" s="25">
        <v>5.6022369999999997</v>
      </c>
      <c r="Y130" s="25">
        <v>5.7939860000000003</v>
      </c>
      <c r="Z130" s="25">
        <v>5.9997759999999998</v>
      </c>
      <c r="AA130" s="25">
        <v>6.218966</v>
      </c>
      <c r="AB130" s="25">
        <v>6.4488289999999999</v>
      </c>
      <c r="AC130" s="25">
        <v>6.6890320000000001</v>
      </c>
      <c r="AD130" s="25">
        <v>6.9374320000000003</v>
      </c>
      <c r="AE130" s="25">
        <v>7.1975020000000001</v>
      </c>
      <c r="AF130" s="25">
        <v>7.4734619999999996</v>
      </c>
      <c r="AG130" s="25">
        <v>7.7718850000000002</v>
      </c>
      <c r="AH130" s="19">
        <v>2.2239999999999999E-2</v>
      </c>
    </row>
    <row r="131" spans="1:34" ht="15" customHeight="1" x14ac:dyDescent="0.25">
      <c r="A131" s="6" t="s">
        <v>255</v>
      </c>
      <c r="B131" s="17" t="s">
        <v>202</v>
      </c>
      <c r="C131" s="25">
        <v>1.9738340000000001</v>
      </c>
      <c r="D131" s="25">
        <v>2.0591179999999998</v>
      </c>
      <c r="E131" s="25">
        <v>2.089343</v>
      </c>
      <c r="F131" s="25">
        <v>2.0546129999999998</v>
      </c>
      <c r="G131" s="25">
        <v>2.0692949999999999</v>
      </c>
      <c r="H131" s="25">
        <v>2.0582370000000001</v>
      </c>
      <c r="I131" s="25">
        <v>2.0881639999999999</v>
      </c>
      <c r="J131" s="25">
        <v>2.1317979999999999</v>
      </c>
      <c r="K131" s="25">
        <v>2.149419</v>
      </c>
      <c r="L131" s="25">
        <v>2.2069420000000002</v>
      </c>
      <c r="M131" s="25">
        <v>2.2687400000000002</v>
      </c>
      <c r="N131" s="25">
        <v>2.342994</v>
      </c>
      <c r="O131" s="25">
        <v>2.3823919999999998</v>
      </c>
      <c r="P131" s="25">
        <v>2.4295939999999998</v>
      </c>
      <c r="Q131" s="25">
        <v>2.488966</v>
      </c>
      <c r="R131" s="25">
        <v>2.5376219999999998</v>
      </c>
      <c r="S131" s="25">
        <v>2.5890939999999998</v>
      </c>
      <c r="T131" s="25">
        <v>2.6515049999999998</v>
      </c>
      <c r="U131" s="25">
        <v>2.735449</v>
      </c>
      <c r="V131" s="25">
        <v>2.7939340000000001</v>
      </c>
      <c r="W131" s="25">
        <v>2.8592879999999998</v>
      </c>
      <c r="X131" s="25">
        <v>2.9262000000000001</v>
      </c>
      <c r="Y131" s="25">
        <v>2.991965</v>
      </c>
      <c r="Z131" s="25">
        <v>3.0657760000000001</v>
      </c>
      <c r="AA131" s="25">
        <v>3.1433279999999999</v>
      </c>
      <c r="AB131" s="25">
        <v>3.22506</v>
      </c>
      <c r="AC131" s="25">
        <v>3.3112080000000002</v>
      </c>
      <c r="AD131" s="25">
        <v>3.4005830000000001</v>
      </c>
      <c r="AE131" s="25">
        <v>3.4826510000000002</v>
      </c>
      <c r="AF131" s="25">
        <v>3.582576</v>
      </c>
      <c r="AG131" s="25">
        <v>3.685546</v>
      </c>
      <c r="AH131" s="19">
        <v>2.1033E-2</v>
      </c>
    </row>
    <row r="132" spans="1:34" ht="15" customHeight="1" x14ac:dyDescent="0.25">
      <c r="A132" s="6" t="s">
        <v>256</v>
      </c>
      <c r="B132" s="17" t="s">
        <v>168</v>
      </c>
      <c r="C132" s="19" t="s">
        <v>305</v>
      </c>
      <c r="D132" s="19" t="s">
        <v>305</v>
      </c>
      <c r="E132" s="19" t="s">
        <v>305</v>
      </c>
      <c r="F132" s="19" t="s">
        <v>305</v>
      </c>
      <c r="G132" s="19" t="s">
        <v>305</v>
      </c>
      <c r="H132" s="19" t="s">
        <v>305</v>
      </c>
      <c r="I132" s="19" t="s">
        <v>305</v>
      </c>
      <c r="J132" s="19" t="s">
        <v>305</v>
      </c>
      <c r="K132" s="19" t="s">
        <v>305</v>
      </c>
      <c r="L132" s="19" t="s">
        <v>305</v>
      </c>
      <c r="M132" s="19" t="s">
        <v>305</v>
      </c>
      <c r="N132" s="19" t="s">
        <v>305</v>
      </c>
      <c r="O132" s="19" t="s">
        <v>305</v>
      </c>
      <c r="P132" s="19" t="s">
        <v>305</v>
      </c>
      <c r="Q132" s="19" t="s">
        <v>305</v>
      </c>
      <c r="R132" s="19" t="s">
        <v>305</v>
      </c>
      <c r="S132" s="19" t="s">
        <v>305</v>
      </c>
      <c r="T132" s="19" t="s">
        <v>305</v>
      </c>
      <c r="U132" s="19" t="s">
        <v>305</v>
      </c>
      <c r="V132" s="19" t="s">
        <v>305</v>
      </c>
      <c r="W132" s="19" t="s">
        <v>305</v>
      </c>
      <c r="X132" s="19" t="s">
        <v>305</v>
      </c>
      <c r="Y132" s="19" t="s">
        <v>305</v>
      </c>
      <c r="Z132" s="19" t="s">
        <v>305</v>
      </c>
      <c r="AA132" s="19" t="s">
        <v>305</v>
      </c>
      <c r="AB132" s="19" t="s">
        <v>305</v>
      </c>
      <c r="AC132" s="19" t="s">
        <v>305</v>
      </c>
      <c r="AD132" s="19" t="s">
        <v>305</v>
      </c>
      <c r="AE132" s="19" t="s">
        <v>305</v>
      </c>
      <c r="AF132" s="19" t="s">
        <v>305</v>
      </c>
      <c r="AG132" s="19" t="s">
        <v>305</v>
      </c>
      <c r="AH132" s="19" t="s">
        <v>305</v>
      </c>
    </row>
    <row r="133" spans="1:34" ht="15" customHeight="1" x14ac:dyDescent="0.25">
      <c r="A133" s="6" t="s">
        <v>257</v>
      </c>
      <c r="B133" s="17" t="s">
        <v>149</v>
      </c>
      <c r="C133" s="25">
        <v>30.523893000000001</v>
      </c>
      <c r="D133" s="25">
        <v>31.401592000000001</v>
      </c>
      <c r="E133" s="25">
        <v>31.325438999999999</v>
      </c>
      <c r="F133" s="25">
        <v>31.138731</v>
      </c>
      <c r="G133" s="25">
        <v>31.206337000000001</v>
      </c>
      <c r="H133" s="25">
        <v>31.590336000000001</v>
      </c>
      <c r="I133" s="25">
        <v>32.197968000000003</v>
      </c>
      <c r="J133" s="25">
        <v>33.016514000000001</v>
      </c>
      <c r="K133" s="25">
        <v>33.883274</v>
      </c>
      <c r="L133" s="25">
        <v>34.833385</v>
      </c>
      <c r="M133" s="25">
        <v>35.826816999999998</v>
      </c>
      <c r="N133" s="25">
        <v>37.004886999999997</v>
      </c>
      <c r="O133" s="25">
        <v>38.002856999999999</v>
      </c>
      <c r="P133" s="25">
        <v>39.005702999999997</v>
      </c>
      <c r="Q133" s="25">
        <v>39.885941000000003</v>
      </c>
      <c r="R133" s="25">
        <v>40.676127999999999</v>
      </c>
      <c r="S133" s="25">
        <v>41.448872000000001</v>
      </c>
      <c r="T133" s="25">
        <v>42.224921999999999</v>
      </c>
      <c r="U133" s="25">
        <v>43.051040999999998</v>
      </c>
      <c r="V133" s="25">
        <v>43.845672999999998</v>
      </c>
      <c r="W133" s="25">
        <v>44.67915</v>
      </c>
      <c r="X133" s="25">
        <v>45.556038000000001</v>
      </c>
      <c r="Y133" s="25">
        <v>46.436737000000001</v>
      </c>
      <c r="Z133" s="25">
        <v>47.337364000000001</v>
      </c>
      <c r="AA133" s="25">
        <v>48.323822</v>
      </c>
      <c r="AB133" s="25">
        <v>49.375931000000001</v>
      </c>
      <c r="AC133" s="25">
        <v>50.441921000000001</v>
      </c>
      <c r="AD133" s="25">
        <v>51.535099000000002</v>
      </c>
      <c r="AE133" s="25">
        <v>52.582680000000003</v>
      </c>
      <c r="AF133" s="25">
        <v>53.58231</v>
      </c>
      <c r="AG133" s="25">
        <v>54.707943</v>
      </c>
      <c r="AH133" s="19">
        <v>1.9640000000000001E-2</v>
      </c>
    </row>
    <row r="135" spans="1:34" ht="15" customHeight="1" x14ac:dyDescent="0.25">
      <c r="B135" s="16" t="s">
        <v>205</v>
      </c>
    </row>
    <row r="136" spans="1:34" ht="15" customHeight="1" x14ac:dyDescent="0.25">
      <c r="B136" s="16" t="s">
        <v>258</v>
      </c>
    </row>
    <row r="137" spans="1:34" ht="15" customHeight="1" x14ac:dyDescent="0.25">
      <c r="A137" s="6" t="s">
        <v>259</v>
      </c>
      <c r="B137" s="17" t="s">
        <v>141</v>
      </c>
      <c r="C137" s="18">
        <v>246.62069700000001</v>
      </c>
      <c r="D137" s="18">
        <v>255.80079699999999</v>
      </c>
      <c r="E137" s="18">
        <v>257.61743200000001</v>
      </c>
      <c r="F137" s="18">
        <v>258.76242100000002</v>
      </c>
      <c r="G137" s="18">
        <v>261.37207000000001</v>
      </c>
      <c r="H137" s="18">
        <v>267.19897500000002</v>
      </c>
      <c r="I137" s="18">
        <v>275.17532299999999</v>
      </c>
      <c r="J137" s="18">
        <v>284.555634</v>
      </c>
      <c r="K137" s="18">
        <v>294.33792099999999</v>
      </c>
      <c r="L137" s="18">
        <v>305.25448599999999</v>
      </c>
      <c r="M137" s="18">
        <v>318.01129200000003</v>
      </c>
      <c r="N137" s="18">
        <v>329.85592700000001</v>
      </c>
      <c r="O137" s="18">
        <v>341.28250100000002</v>
      </c>
      <c r="P137" s="18">
        <v>352.56900000000002</v>
      </c>
      <c r="Q137" s="18">
        <v>363.37063599999999</v>
      </c>
      <c r="R137" s="18">
        <v>373.40228300000001</v>
      </c>
      <c r="S137" s="18">
        <v>383.75924700000002</v>
      </c>
      <c r="T137" s="18">
        <v>394.45114100000001</v>
      </c>
      <c r="U137" s="18">
        <v>405.31100500000002</v>
      </c>
      <c r="V137" s="18">
        <v>415.91018700000001</v>
      </c>
      <c r="W137" s="18">
        <v>427.207672</v>
      </c>
      <c r="X137" s="18">
        <v>439.13110399999999</v>
      </c>
      <c r="Y137" s="18">
        <v>451.40689099999997</v>
      </c>
      <c r="Z137" s="18">
        <v>464.08691399999998</v>
      </c>
      <c r="AA137" s="18">
        <v>477.81366000000003</v>
      </c>
      <c r="AB137" s="18">
        <v>492.470123</v>
      </c>
      <c r="AC137" s="18">
        <v>507.32486</v>
      </c>
      <c r="AD137" s="18">
        <v>522.68890399999998</v>
      </c>
      <c r="AE137" s="18">
        <v>538.02062999999998</v>
      </c>
      <c r="AF137" s="18">
        <v>553.72900400000003</v>
      </c>
      <c r="AG137" s="18">
        <v>570.87591599999996</v>
      </c>
      <c r="AH137" s="19">
        <v>2.8372000000000001E-2</v>
      </c>
    </row>
    <row r="138" spans="1:34" ht="15" customHeight="1" x14ac:dyDescent="0.25">
      <c r="A138" s="6" t="s">
        <v>260</v>
      </c>
      <c r="B138" s="17" t="s">
        <v>150</v>
      </c>
      <c r="C138" s="18">
        <v>173.48147599999999</v>
      </c>
      <c r="D138" s="18">
        <v>183.02415500000001</v>
      </c>
      <c r="E138" s="18">
        <v>186.87725800000001</v>
      </c>
      <c r="F138" s="18">
        <v>188.97373999999999</v>
      </c>
      <c r="G138" s="18">
        <v>192.49041700000001</v>
      </c>
      <c r="H138" s="18">
        <v>198.609543</v>
      </c>
      <c r="I138" s="18">
        <v>203.37295499999999</v>
      </c>
      <c r="J138" s="18">
        <v>209.97473099999999</v>
      </c>
      <c r="K138" s="18">
        <v>216.540817</v>
      </c>
      <c r="L138" s="18">
        <v>223.86312899999999</v>
      </c>
      <c r="M138" s="18">
        <v>232.43287699999999</v>
      </c>
      <c r="N138" s="18">
        <v>240.520264</v>
      </c>
      <c r="O138" s="18">
        <v>248.123535</v>
      </c>
      <c r="P138" s="18">
        <v>256.13848899999999</v>
      </c>
      <c r="Q138" s="18">
        <v>263.36645499999997</v>
      </c>
      <c r="R138" s="18">
        <v>269.75793499999997</v>
      </c>
      <c r="S138" s="18">
        <v>276.251801</v>
      </c>
      <c r="T138" s="18">
        <v>283.28701799999999</v>
      </c>
      <c r="U138" s="18">
        <v>290.54333500000001</v>
      </c>
      <c r="V138" s="18">
        <v>297.55313100000001</v>
      </c>
      <c r="W138" s="18">
        <v>305.15441900000002</v>
      </c>
      <c r="X138" s="18">
        <v>313.40475500000002</v>
      </c>
      <c r="Y138" s="18">
        <v>321.76483200000001</v>
      </c>
      <c r="Z138" s="18">
        <v>330.82919299999998</v>
      </c>
      <c r="AA138" s="18">
        <v>340.48788500000001</v>
      </c>
      <c r="AB138" s="18">
        <v>350.97464000000002</v>
      </c>
      <c r="AC138" s="18">
        <v>361.76419099999998</v>
      </c>
      <c r="AD138" s="18">
        <v>373.12158199999999</v>
      </c>
      <c r="AE138" s="18">
        <v>384.49447600000002</v>
      </c>
      <c r="AF138" s="18">
        <v>396.546448</v>
      </c>
      <c r="AG138" s="18">
        <v>409.927277</v>
      </c>
      <c r="AH138" s="19">
        <v>2.9078E-2</v>
      </c>
    </row>
    <row r="139" spans="1:34" ht="15" customHeight="1" x14ac:dyDescent="0.25">
      <c r="A139" s="6" t="s">
        <v>261</v>
      </c>
      <c r="B139" s="17" t="s">
        <v>157</v>
      </c>
      <c r="C139" s="18">
        <v>151.848038</v>
      </c>
      <c r="D139" s="18">
        <v>166.85661300000001</v>
      </c>
      <c r="E139" s="18">
        <v>173.94603000000001</v>
      </c>
      <c r="F139" s="18">
        <v>177.06886299999999</v>
      </c>
      <c r="G139" s="18">
        <v>181.897842</v>
      </c>
      <c r="H139" s="18">
        <v>189.09188800000001</v>
      </c>
      <c r="I139" s="18">
        <v>196.28439299999999</v>
      </c>
      <c r="J139" s="18">
        <v>206.37275700000001</v>
      </c>
      <c r="K139" s="18">
        <v>217.32785000000001</v>
      </c>
      <c r="L139" s="18">
        <v>229.06736799999999</v>
      </c>
      <c r="M139" s="18">
        <v>242.54399100000001</v>
      </c>
      <c r="N139" s="18">
        <v>255.30445900000001</v>
      </c>
      <c r="O139" s="18">
        <v>267.75308200000001</v>
      </c>
      <c r="P139" s="18">
        <v>278.97467</v>
      </c>
      <c r="Q139" s="18">
        <v>290.66467299999999</v>
      </c>
      <c r="R139" s="18">
        <v>302.03717</v>
      </c>
      <c r="S139" s="18">
        <v>312.88336199999998</v>
      </c>
      <c r="T139" s="18">
        <v>326.04302999999999</v>
      </c>
      <c r="U139" s="18">
        <v>338.82345600000002</v>
      </c>
      <c r="V139" s="18">
        <v>348.84307899999999</v>
      </c>
      <c r="W139" s="18">
        <v>361.77819799999997</v>
      </c>
      <c r="X139" s="18">
        <v>375.87185699999998</v>
      </c>
      <c r="Y139" s="18">
        <v>390.59991500000001</v>
      </c>
      <c r="Z139" s="18">
        <v>405.654968</v>
      </c>
      <c r="AA139" s="18">
        <v>422.855255</v>
      </c>
      <c r="AB139" s="18">
        <v>440.764252</v>
      </c>
      <c r="AC139" s="18">
        <v>458.49368299999998</v>
      </c>
      <c r="AD139" s="18">
        <v>476.653931</v>
      </c>
      <c r="AE139" s="18">
        <v>494.37823500000002</v>
      </c>
      <c r="AF139" s="18">
        <v>515.94451900000001</v>
      </c>
      <c r="AG139" s="18">
        <v>539.83850099999995</v>
      </c>
      <c r="AH139" s="19">
        <v>4.3186000000000002E-2</v>
      </c>
    </row>
    <row r="140" spans="1:34" ht="15" customHeight="1" x14ac:dyDescent="0.25">
      <c r="A140" s="6" t="s">
        <v>262</v>
      </c>
      <c r="B140" s="17" t="s">
        <v>170</v>
      </c>
      <c r="C140" s="18">
        <v>411.84991500000001</v>
      </c>
      <c r="D140" s="18">
        <v>452.67895499999997</v>
      </c>
      <c r="E140" s="18">
        <v>475.71450800000002</v>
      </c>
      <c r="F140" s="18">
        <v>494.534088</v>
      </c>
      <c r="G140" s="18">
        <v>507.84201000000002</v>
      </c>
      <c r="H140" s="18">
        <v>519.31005900000002</v>
      </c>
      <c r="I140" s="18">
        <v>534.63848900000005</v>
      </c>
      <c r="J140" s="18">
        <v>560.91351299999997</v>
      </c>
      <c r="K140" s="18">
        <v>581.36737100000005</v>
      </c>
      <c r="L140" s="18">
        <v>605.11321999999996</v>
      </c>
      <c r="M140" s="18">
        <v>646.220642</v>
      </c>
      <c r="N140" s="18">
        <v>662.52410899999995</v>
      </c>
      <c r="O140" s="18">
        <v>688.55419900000004</v>
      </c>
      <c r="P140" s="18">
        <v>711.28143299999999</v>
      </c>
      <c r="Q140" s="18">
        <v>739.76507600000002</v>
      </c>
      <c r="R140" s="18">
        <v>750.87200900000005</v>
      </c>
      <c r="S140" s="18">
        <v>770.01312299999995</v>
      </c>
      <c r="T140" s="18">
        <v>796.90972899999997</v>
      </c>
      <c r="U140" s="18">
        <v>824.52233899999999</v>
      </c>
      <c r="V140" s="18">
        <v>844.26873799999998</v>
      </c>
      <c r="W140" s="18">
        <v>876.31274399999995</v>
      </c>
      <c r="X140" s="18">
        <v>906.14294400000006</v>
      </c>
      <c r="Y140" s="18">
        <v>933.17486599999995</v>
      </c>
      <c r="Z140" s="18">
        <v>966.29278599999998</v>
      </c>
      <c r="AA140" s="18">
        <v>1003.015503</v>
      </c>
      <c r="AB140" s="18">
        <v>1043.7624510000001</v>
      </c>
      <c r="AC140" s="18">
        <v>1081.7639160000001</v>
      </c>
      <c r="AD140" s="18">
        <v>1120.1831050000001</v>
      </c>
      <c r="AE140" s="18">
        <v>1159.5272219999999</v>
      </c>
      <c r="AF140" s="18">
        <v>1206.3210449999999</v>
      </c>
      <c r="AG140" s="18">
        <v>1255.4941409999999</v>
      </c>
      <c r="AH140" s="19">
        <v>3.7852999999999998E-2</v>
      </c>
    </row>
    <row r="141" spans="1:34" x14ac:dyDescent="0.25">
      <c r="A141" s="6" t="s">
        <v>263</v>
      </c>
      <c r="B141" s="17" t="s">
        <v>211</v>
      </c>
      <c r="C141" s="18">
        <v>983.80011000000002</v>
      </c>
      <c r="D141" s="18">
        <v>1058.3604740000001</v>
      </c>
      <c r="E141" s="18">
        <v>1094.1552730000001</v>
      </c>
      <c r="F141" s="18">
        <v>1119.339111</v>
      </c>
      <c r="G141" s="18">
        <v>1143.6022949999999</v>
      </c>
      <c r="H141" s="18">
        <v>1174.2104489999999</v>
      </c>
      <c r="I141" s="18">
        <v>1209.4710689999999</v>
      </c>
      <c r="J141" s="18">
        <v>1261.81665</v>
      </c>
      <c r="K141" s="18">
        <v>1309.5738530000001</v>
      </c>
      <c r="L141" s="18">
        <v>1363.2982179999999</v>
      </c>
      <c r="M141" s="18">
        <v>1439.2089840000001</v>
      </c>
      <c r="N141" s="18">
        <v>1488.2048339999999</v>
      </c>
      <c r="O141" s="18">
        <v>1545.713135</v>
      </c>
      <c r="P141" s="18">
        <v>1598.9636230000001</v>
      </c>
      <c r="Q141" s="18">
        <v>1657.16687</v>
      </c>
      <c r="R141" s="18">
        <v>1696.0694579999999</v>
      </c>
      <c r="S141" s="18">
        <v>1742.9075929999999</v>
      </c>
      <c r="T141" s="18">
        <v>1800.690918</v>
      </c>
      <c r="U141" s="18">
        <v>1859.2001949999999</v>
      </c>
      <c r="V141" s="18">
        <v>1906.575317</v>
      </c>
      <c r="W141" s="18">
        <v>1970.4528809999999</v>
      </c>
      <c r="X141" s="18">
        <v>2034.5507809999999</v>
      </c>
      <c r="Y141" s="18">
        <v>2096.9465329999998</v>
      </c>
      <c r="Z141" s="18">
        <v>2166.8637699999999</v>
      </c>
      <c r="AA141" s="18">
        <v>2244.1723630000001</v>
      </c>
      <c r="AB141" s="18">
        <v>2327.9714359999998</v>
      </c>
      <c r="AC141" s="18">
        <v>2409.3464359999998</v>
      </c>
      <c r="AD141" s="18">
        <v>2492.647461</v>
      </c>
      <c r="AE141" s="18">
        <v>2576.4204100000002</v>
      </c>
      <c r="AF141" s="18">
        <v>2672.5410160000001</v>
      </c>
      <c r="AG141" s="18">
        <v>2776.1359859999998</v>
      </c>
      <c r="AH141" s="19">
        <v>3.5185000000000001E-2</v>
      </c>
    </row>
    <row r="142" spans="1:34" x14ac:dyDescent="0.25">
      <c r="A142" s="6" t="s">
        <v>264</v>
      </c>
      <c r="B142" s="17" t="s">
        <v>213</v>
      </c>
      <c r="C142" s="18">
        <v>0.64150499999999999</v>
      </c>
      <c r="D142" s="18">
        <v>0.73196899999999998</v>
      </c>
      <c r="E142" s="18">
        <v>0.748166</v>
      </c>
      <c r="F142" s="18">
        <v>0.77386600000000005</v>
      </c>
      <c r="G142" s="18">
        <v>0.777281</v>
      </c>
      <c r="H142" s="18">
        <v>0.78120599999999996</v>
      </c>
      <c r="I142" s="18">
        <v>0.78976400000000002</v>
      </c>
      <c r="J142" s="18">
        <v>0.81530599999999998</v>
      </c>
      <c r="K142" s="18">
        <v>0.83235499999999996</v>
      </c>
      <c r="L142" s="18">
        <v>0.85396799999999995</v>
      </c>
      <c r="M142" s="18">
        <v>0.90002700000000002</v>
      </c>
      <c r="N142" s="18">
        <v>0.91003599999999996</v>
      </c>
      <c r="O142" s="18">
        <v>0.93457400000000002</v>
      </c>
      <c r="P142" s="18">
        <v>0.95803199999999999</v>
      </c>
      <c r="Q142" s="18">
        <v>0.99452200000000002</v>
      </c>
      <c r="R142" s="18">
        <v>1.0069669999999999</v>
      </c>
      <c r="S142" s="18">
        <v>1.034923</v>
      </c>
      <c r="T142" s="18">
        <v>1.074479</v>
      </c>
      <c r="U142" s="18">
        <v>1.1149500000000001</v>
      </c>
      <c r="V142" s="18">
        <v>1.15229</v>
      </c>
      <c r="W142" s="18">
        <v>1.1995480000000001</v>
      </c>
      <c r="X142" s="18">
        <v>1.24983</v>
      </c>
      <c r="Y142" s="18">
        <v>1.294473</v>
      </c>
      <c r="Z142" s="18">
        <v>1.3485780000000001</v>
      </c>
      <c r="AA142" s="18">
        <v>1.4108700000000001</v>
      </c>
      <c r="AB142" s="18">
        <v>1.4766900000000001</v>
      </c>
      <c r="AC142" s="18">
        <v>1.539188</v>
      </c>
      <c r="AD142" s="18">
        <v>1.6112310000000001</v>
      </c>
      <c r="AE142" s="18">
        <v>1.68126</v>
      </c>
      <c r="AF142" s="18">
        <v>1.7686409999999999</v>
      </c>
      <c r="AG142" s="18">
        <v>1.8596200000000001</v>
      </c>
      <c r="AH142" s="19">
        <v>3.6114E-2</v>
      </c>
    </row>
    <row r="143" spans="1:34" x14ac:dyDescent="0.25">
      <c r="A143" s="6" t="s">
        <v>265</v>
      </c>
      <c r="B143" s="16" t="s">
        <v>215</v>
      </c>
      <c r="C143" s="20">
        <v>984.44158900000002</v>
      </c>
      <c r="D143" s="20">
        <v>1059.0924070000001</v>
      </c>
      <c r="E143" s="20">
        <v>1094.903564</v>
      </c>
      <c r="F143" s="20">
        <v>1120.1130370000001</v>
      </c>
      <c r="G143" s="20">
        <v>1144.379639</v>
      </c>
      <c r="H143" s="20">
        <v>1174.9918210000001</v>
      </c>
      <c r="I143" s="20">
        <v>1210.260986</v>
      </c>
      <c r="J143" s="20">
        <v>1262.631836</v>
      </c>
      <c r="K143" s="20">
        <v>1310.40625</v>
      </c>
      <c r="L143" s="20">
        <v>1364.1523440000001</v>
      </c>
      <c r="M143" s="20">
        <v>1440.109009</v>
      </c>
      <c r="N143" s="20">
        <v>1489.114746</v>
      </c>
      <c r="O143" s="20">
        <v>1546.6475829999999</v>
      </c>
      <c r="P143" s="20">
        <v>1599.9216309999999</v>
      </c>
      <c r="Q143" s="20">
        <v>1658.161255</v>
      </c>
      <c r="R143" s="20">
        <v>1697.076538</v>
      </c>
      <c r="S143" s="20">
        <v>1743.942505</v>
      </c>
      <c r="T143" s="20">
        <v>1801.7655030000001</v>
      </c>
      <c r="U143" s="20">
        <v>1860.315186</v>
      </c>
      <c r="V143" s="20">
        <v>1907.727539</v>
      </c>
      <c r="W143" s="20">
        <v>1971.652466</v>
      </c>
      <c r="X143" s="20">
        <v>2035.8005370000001</v>
      </c>
      <c r="Y143" s="20">
        <v>2098.2409670000002</v>
      </c>
      <c r="Z143" s="20">
        <v>2168.2126459999999</v>
      </c>
      <c r="AA143" s="20">
        <v>2245.5832519999999</v>
      </c>
      <c r="AB143" s="20">
        <v>2329.4479980000001</v>
      </c>
      <c r="AC143" s="20">
        <v>2410.8857419999999</v>
      </c>
      <c r="AD143" s="20">
        <v>2494.2585450000001</v>
      </c>
      <c r="AE143" s="20">
        <v>2578.101807</v>
      </c>
      <c r="AF143" s="20">
        <v>2674.3098140000002</v>
      </c>
      <c r="AG143" s="20">
        <v>2777.9956050000001</v>
      </c>
      <c r="AH143" s="21">
        <v>3.5185000000000001E-2</v>
      </c>
    </row>
    <row r="145" spans="2:34" ht="15.75" thickBot="1" x14ac:dyDescent="0.3"/>
    <row r="146" spans="2:34" x14ac:dyDescent="0.25">
      <c r="B146" s="93" t="s">
        <v>306</v>
      </c>
      <c r="C146" s="94"/>
      <c r="D146" s="94"/>
      <c r="E146" s="94"/>
      <c r="F146" s="94"/>
      <c r="G146" s="94"/>
      <c r="H146" s="94"/>
      <c r="I146" s="94"/>
      <c r="J146" s="94"/>
      <c r="K146" s="94"/>
      <c r="L146" s="94"/>
      <c r="M146" s="94"/>
      <c r="N146" s="94"/>
      <c r="O146" s="94"/>
      <c r="P146" s="94"/>
      <c r="Q146" s="94"/>
      <c r="R146" s="94"/>
      <c r="S146" s="94"/>
      <c r="T146" s="94"/>
      <c r="U146" s="94"/>
      <c r="V146" s="94"/>
      <c r="W146" s="94"/>
      <c r="X146" s="94"/>
      <c r="Y146" s="94"/>
      <c r="Z146" s="94"/>
      <c r="AA146" s="94"/>
      <c r="AB146" s="94"/>
      <c r="AC146" s="94"/>
      <c r="AD146" s="94"/>
      <c r="AE146" s="94"/>
      <c r="AF146" s="94"/>
      <c r="AG146" s="94"/>
      <c r="AH146" s="30"/>
    </row>
    <row r="147" spans="2:34" x14ac:dyDescent="0.25">
      <c r="B147" s="7" t="s">
        <v>285</v>
      </c>
    </row>
    <row r="148" spans="2:34" x14ac:dyDescent="0.25">
      <c r="B148" s="7" t="s">
        <v>286</v>
      </c>
    </row>
    <row r="149" spans="2:34" x14ac:dyDescent="0.25">
      <c r="B149" s="7" t="s">
        <v>266</v>
      </c>
    </row>
    <row r="150" spans="2:34" ht="15" customHeight="1" x14ac:dyDescent="0.25">
      <c r="B150" s="7" t="s">
        <v>287</v>
      </c>
    </row>
    <row r="151" spans="2:34" ht="15" customHeight="1" x14ac:dyDescent="0.25">
      <c r="B151" s="7" t="s">
        <v>288</v>
      </c>
    </row>
    <row r="152" spans="2:34" ht="15" customHeight="1" x14ac:dyDescent="0.25">
      <c r="B152" s="7" t="s">
        <v>289</v>
      </c>
    </row>
    <row r="153" spans="2:34" ht="15" customHeight="1" x14ac:dyDescent="0.25">
      <c r="B153" s="7" t="s">
        <v>290</v>
      </c>
    </row>
    <row r="154" spans="2:34" ht="15" customHeight="1" x14ac:dyDescent="0.25">
      <c r="B154" s="7" t="s">
        <v>267</v>
      </c>
    </row>
    <row r="155" spans="2:34" ht="15" customHeight="1" x14ac:dyDescent="0.25">
      <c r="B155" s="7" t="s">
        <v>291</v>
      </c>
    </row>
    <row r="156" spans="2:34" ht="15" customHeight="1" x14ac:dyDescent="0.25">
      <c r="B156" s="7" t="s">
        <v>292</v>
      </c>
    </row>
    <row r="157" spans="2:34" ht="15" customHeight="1" x14ac:dyDescent="0.25">
      <c r="B157" s="7" t="s">
        <v>293</v>
      </c>
    </row>
    <row r="158" spans="2:34" ht="15" customHeight="1" x14ac:dyDescent="0.25">
      <c r="B158" s="7" t="s">
        <v>294</v>
      </c>
    </row>
    <row r="159" spans="2:34" ht="15" customHeight="1" x14ac:dyDescent="0.25">
      <c r="B159" s="7" t="s">
        <v>295</v>
      </c>
    </row>
    <row r="160" spans="2:34" ht="15" customHeight="1" x14ac:dyDescent="0.25">
      <c r="B160" s="7" t="s">
        <v>296</v>
      </c>
    </row>
    <row r="308" spans="2:34" ht="15" customHeight="1" x14ac:dyDescent="0.25">
      <c r="B308" s="86"/>
      <c r="C308" s="86"/>
      <c r="D308" s="86"/>
      <c r="E308" s="86"/>
      <c r="F308" s="86"/>
      <c r="G308" s="86"/>
      <c r="H308" s="86"/>
      <c r="I308" s="86"/>
      <c r="J308" s="86"/>
      <c r="K308" s="86"/>
      <c r="L308" s="86"/>
      <c r="M308" s="86"/>
      <c r="N308" s="86"/>
      <c r="O308" s="86"/>
      <c r="P308" s="86"/>
      <c r="Q308" s="86"/>
      <c r="R308" s="86"/>
      <c r="S308" s="86"/>
      <c r="T308" s="86"/>
      <c r="U308" s="86"/>
      <c r="V308" s="86"/>
      <c r="W308" s="86"/>
      <c r="X308" s="86"/>
      <c r="Y308" s="86"/>
      <c r="Z308" s="86"/>
      <c r="AA308" s="86"/>
      <c r="AB308" s="86"/>
      <c r="AC308" s="86"/>
      <c r="AD308" s="86"/>
      <c r="AE308" s="86"/>
      <c r="AF308" s="86"/>
      <c r="AG308" s="86"/>
      <c r="AH308" s="86"/>
    </row>
    <row r="511" spans="2:34" ht="15" customHeight="1" x14ac:dyDescent="0.25">
      <c r="B511" s="86"/>
      <c r="C511" s="86"/>
      <c r="D511" s="86"/>
      <c r="E511" s="86"/>
      <c r="F511" s="86"/>
      <c r="G511" s="86"/>
      <c r="H511" s="86"/>
      <c r="I511" s="86"/>
      <c r="J511" s="86"/>
      <c r="K511" s="86"/>
      <c r="L511" s="86"/>
      <c r="M511" s="86"/>
      <c r="N511" s="86"/>
      <c r="O511" s="86"/>
      <c r="P511" s="86"/>
      <c r="Q511" s="86"/>
      <c r="R511" s="86"/>
      <c r="S511" s="86"/>
      <c r="T511" s="86"/>
      <c r="U511" s="86"/>
      <c r="V511" s="86"/>
      <c r="W511" s="86"/>
      <c r="X511" s="86"/>
      <c r="Y511" s="86"/>
      <c r="Z511" s="86"/>
      <c r="AA511" s="86"/>
      <c r="AB511" s="86"/>
      <c r="AC511" s="86"/>
      <c r="AD511" s="86"/>
      <c r="AE511" s="86"/>
      <c r="AF511" s="86"/>
      <c r="AG511" s="86"/>
      <c r="AH511" s="86"/>
    </row>
    <row r="712" spans="2:34" ht="15" customHeight="1" x14ac:dyDescent="0.25">
      <c r="B712" s="86"/>
      <c r="C712" s="86"/>
      <c r="D712" s="86"/>
      <c r="E712" s="86"/>
      <c r="F712" s="86"/>
      <c r="G712" s="86"/>
      <c r="H712" s="86"/>
      <c r="I712" s="86"/>
      <c r="J712" s="86"/>
      <c r="K712" s="86"/>
      <c r="L712" s="86"/>
      <c r="M712" s="86"/>
      <c r="N712" s="86"/>
      <c r="O712" s="86"/>
      <c r="P712" s="86"/>
      <c r="Q712" s="86"/>
      <c r="R712" s="86"/>
      <c r="S712" s="86"/>
      <c r="T712" s="86"/>
      <c r="U712" s="86"/>
      <c r="V712" s="86"/>
      <c r="W712" s="86"/>
      <c r="X712" s="86"/>
      <c r="Y712" s="86"/>
      <c r="Z712" s="86"/>
      <c r="AA712" s="86"/>
      <c r="AB712" s="86"/>
      <c r="AC712" s="86"/>
      <c r="AD712" s="86"/>
      <c r="AE712" s="86"/>
      <c r="AF712" s="86"/>
      <c r="AG712" s="86"/>
      <c r="AH712" s="86"/>
    </row>
    <row r="887" spans="2:34" ht="15" customHeight="1" x14ac:dyDescent="0.25">
      <c r="B887" s="86"/>
      <c r="C887" s="86"/>
      <c r="D887" s="86"/>
      <c r="E887" s="86"/>
      <c r="F887" s="86"/>
      <c r="G887" s="86"/>
      <c r="H887" s="86"/>
      <c r="I887" s="86"/>
      <c r="J887" s="86"/>
      <c r="K887" s="86"/>
      <c r="L887" s="86"/>
      <c r="M887" s="86"/>
      <c r="N887" s="86"/>
      <c r="O887" s="86"/>
      <c r="P887" s="86"/>
      <c r="Q887" s="86"/>
      <c r="R887" s="86"/>
      <c r="S887" s="86"/>
      <c r="T887" s="86"/>
      <c r="U887" s="86"/>
      <c r="V887" s="86"/>
      <c r="W887" s="86"/>
      <c r="X887" s="86"/>
      <c r="Y887" s="86"/>
      <c r="Z887" s="86"/>
      <c r="AA887" s="86"/>
      <c r="AB887" s="86"/>
      <c r="AC887" s="86"/>
      <c r="AD887" s="86"/>
      <c r="AE887" s="86"/>
      <c r="AF887" s="86"/>
      <c r="AG887" s="86"/>
      <c r="AH887" s="86"/>
    </row>
    <row r="1100" spans="2:34" ht="15" customHeight="1" x14ac:dyDescent="0.25">
      <c r="B1100" s="86"/>
      <c r="C1100" s="86"/>
      <c r="D1100" s="86"/>
      <c r="E1100" s="86"/>
      <c r="F1100" s="86"/>
      <c r="G1100" s="86"/>
      <c r="H1100" s="86"/>
      <c r="I1100" s="86"/>
      <c r="J1100" s="86"/>
      <c r="K1100" s="86"/>
      <c r="L1100" s="86"/>
      <c r="M1100" s="86"/>
      <c r="N1100" s="86"/>
      <c r="O1100" s="86"/>
      <c r="P1100" s="86"/>
      <c r="Q1100" s="86"/>
      <c r="R1100" s="86"/>
      <c r="S1100" s="86"/>
      <c r="T1100" s="86"/>
      <c r="U1100" s="86"/>
      <c r="V1100" s="86"/>
      <c r="W1100" s="86"/>
      <c r="X1100" s="86"/>
      <c r="Y1100" s="86"/>
      <c r="Z1100" s="86"/>
      <c r="AA1100" s="86"/>
      <c r="AB1100" s="86"/>
      <c r="AC1100" s="86"/>
      <c r="AD1100" s="86"/>
      <c r="AE1100" s="86"/>
      <c r="AF1100" s="86"/>
      <c r="AG1100" s="86"/>
      <c r="AH1100" s="86"/>
    </row>
    <row r="1227" spans="2:34" ht="15" customHeight="1" x14ac:dyDescent="0.25">
      <c r="B1227" s="86"/>
      <c r="C1227" s="86"/>
      <c r="D1227" s="86"/>
      <c r="E1227" s="86"/>
      <c r="F1227" s="86"/>
      <c r="G1227" s="86"/>
      <c r="H1227" s="86"/>
      <c r="I1227" s="86"/>
      <c r="J1227" s="86"/>
      <c r="K1227" s="86"/>
      <c r="L1227" s="86"/>
      <c r="M1227" s="86"/>
      <c r="N1227" s="86"/>
      <c r="O1227" s="86"/>
      <c r="P1227" s="86"/>
      <c r="Q1227" s="86"/>
      <c r="R1227" s="86"/>
      <c r="S1227" s="86"/>
      <c r="T1227" s="86"/>
      <c r="U1227" s="86"/>
      <c r="V1227" s="86"/>
      <c r="W1227" s="86"/>
      <c r="X1227" s="86"/>
      <c r="Y1227" s="86"/>
      <c r="Z1227" s="86"/>
      <c r="AA1227" s="86"/>
      <c r="AB1227" s="86"/>
      <c r="AC1227" s="86"/>
      <c r="AD1227" s="86"/>
      <c r="AE1227" s="86"/>
      <c r="AF1227" s="86"/>
      <c r="AG1227" s="86"/>
      <c r="AH1227" s="86"/>
    </row>
    <row r="1390" spans="2:34" ht="15" customHeight="1" x14ac:dyDescent="0.25">
      <c r="B1390" s="86"/>
      <c r="C1390" s="86"/>
      <c r="D1390" s="86"/>
      <c r="E1390" s="86"/>
      <c r="F1390" s="86"/>
      <c r="G1390" s="86"/>
      <c r="H1390" s="86"/>
      <c r="I1390" s="86"/>
      <c r="J1390" s="86"/>
      <c r="K1390" s="86"/>
      <c r="L1390" s="86"/>
      <c r="M1390" s="86"/>
      <c r="N1390" s="86"/>
      <c r="O1390" s="86"/>
      <c r="P1390" s="86"/>
      <c r="Q1390" s="86"/>
      <c r="R1390" s="86"/>
      <c r="S1390" s="86"/>
      <c r="T1390" s="86"/>
      <c r="U1390" s="86"/>
      <c r="V1390" s="86"/>
      <c r="W1390" s="86"/>
      <c r="X1390" s="86"/>
      <c r="Y1390" s="86"/>
      <c r="Z1390" s="86"/>
      <c r="AA1390" s="86"/>
      <c r="AB1390" s="86"/>
      <c r="AC1390" s="86"/>
      <c r="AD1390" s="86"/>
      <c r="AE1390" s="86"/>
      <c r="AF1390" s="86"/>
      <c r="AG1390" s="86"/>
      <c r="AH1390" s="86"/>
    </row>
    <row r="1502" spans="2:34" ht="15" customHeight="1" x14ac:dyDescent="0.25">
      <c r="B1502" s="86"/>
      <c r="C1502" s="86"/>
      <c r="D1502" s="86"/>
      <c r="E1502" s="86"/>
      <c r="F1502" s="86"/>
      <c r="G1502" s="86"/>
      <c r="H1502" s="86"/>
      <c r="I1502" s="86"/>
      <c r="J1502" s="86"/>
      <c r="K1502" s="86"/>
      <c r="L1502" s="86"/>
      <c r="M1502" s="86"/>
      <c r="N1502" s="86"/>
      <c r="O1502" s="86"/>
      <c r="P1502" s="86"/>
      <c r="Q1502" s="86"/>
      <c r="R1502" s="86"/>
      <c r="S1502" s="86"/>
      <c r="T1502" s="86"/>
      <c r="U1502" s="86"/>
      <c r="V1502" s="86"/>
      <c r="W1502" s="86"/>
      <c r="X1502" s="86"/>
      <c r="Y1502" s="86"/>
      <c r="Z1502" s="86"/>
      <c r="AA1502" s="86"/>
      <c r="AB1502" s="86"/>
      <c r="AC1502" s="86"/>
      <c r="AD1502" s="86"/>
      <c r="AE1502" s="86"/>
      <c r="AF1502" s="86"/>
      <c r="AG1502" s="86"/>
      <c r="AH1502" s="86"/>
    </row>
    <row r="1604" spans="2:34" ht="15" customHeight="1" x14ac:dyDescent="0.25">
      <c r="B1604" s="86"/>
      <c r="C1604" s="86"/>
      <c r="D1604" s="86"/>
      <c r="E1604" s="86"/>
      <c r="F1604" s="86"/>
      <c r="G1604" s="86"/>
      <c r="H1604" s="86"/>
      <c r="I1604" s="86"/>
      <c r="J1604" s="86"/>
      <c r="K1604" s="86"/>
      <c r="L1604" s="86"/>
      <c r="M1604" s="86"/>
      <c r="N1604" s="86"/>
      <c r="O1604" s="86"/>
      <c r="P1604" s="86"/>
      <c r="Q1604" s="86"/>
      <c r="R1604" s="86"/>
      <c r="S1604" s="86"/>
      <c r="T1604" s="86"/>
      <c r="U1604" s="86"/>
      <c r="V1604" s="86"/>
      <c r="W1604" s="86"/>
      <c r="X1604" s="86"/>
      <c r="Y1604" s="86"/>
      <c r="Z1604" s="86"/>
      <c r="AA1604" s="86"/>
      <c r="AB1604" s="86"/>
      <c r="AC1604" s="86"/>
      <c r="AD1604" s="86"/>
      <c r="AE1604" s="86"/>
      <c r="AF1604" s="86"/>
      <c r="AG1604" s="86"/>
      <c r="AH1604" s="86"/>
    </row>
    <row r="1698" spans="2:34" ht="15" customHeight="1" x14ac:dyDescent="0.25">
      <c r="B1698" s="86"/>
      <c r="C1698" s="86"/>
      <c r="D1698" s="86"/>
      <c r="E1698" s="86"/>
      <c r="F1698" s="86"/>
      <c r="G1698" s="86"/>
      <c r="H1698" s="86"/>
      <c r="I1698" s="86"/>
      <c r="J1698" s="86"/>
      <c r="K1698" s="86"/>
      <c r="L1698" s="86"/>
      <c r="M1698" s="86"/>
      <c r="N1698" s="86"/>
      <c r="O1698" s="86"/>
      <c r="P1698" s="86"/>
      <c r="Q1698" s="86"/>
      <c r="R1698" s="86"/>
      <c r="S1698" s="86"/>
      <c r="T1698" s="86"/>
      <c r="U1698" s="86"/>
      <c r="V1698" s="86"/>
      <c r="W1698" s="86"/>
      <c r="X1698" s="86"/>
      <c r="Y1698" s="86"/>
      <c r="Z1698" s="86"/>
      <c r="AA1698" s="86"/>
      <c r="AB1698" s="86"/>
      <c r="AC1698" s="86"/>
      <c r="AD1698" s="86"/>
      <c r="AE1698" s="86"/>
      <c r="AF1698" s="86"/>
      <c r="AG1698" s="86"/>
      <c r="AH1698" s="86"/>
    </row>
    <row r="1945" spans="2:34" ht="15" customHeight="1" x14ac:dyDescent="0.25">
      <c r="B1945" s="86"/>
      <c r="C1945" s="86"/>
      <c r="D1945" s="86"/>
      <c r="E1945" s="86"/>
      <c r="F1945" s="86"/>
      <c r="G1945" s="86"/>
      <c r="H1945" s="86"/>
      <c r="I1945" s="86"/>
      <c r="J1945" s="86"/>
      <c r="K1945" s="86"/>
      <c r="L1945" s="86"/>
      <c r="M1945" s="86"/>
      <c r="N1945" s="86"/>
      <c r="O1945" s="86"/>
      <c r="P1945" s="86"/>
      <c r="Q1945" s="86"/>
      <c r="R1945" s="86"/>
      <c r="S1945" s="86"/>
      <c r="T1945" s="86"/>
      <c r="U1945" s="86"/>
      <c r="V1945" s="86"/>
      <c r="W1945" s="86"/>
      <c r="X1945" s="86"/>
      <c r="Y1945" s="86"/>
      <c r="Z1945" s="86"/>
      <c r="AA1945" s="86"/>
      <c r="AB1945" s="86"/>
      <c r="AC1945" s="86"/>
      <c r="AD1945" s="86"/>
      <c r="AE1945" s="86"/>
      <c r="AF1945" s="86"/>
      <c r="AG1945" s="86"/>
      <c r="AH1945" s="86"/>
    </row>
    <row r="2031" spans="2:34" ht="15" customHeight="1" x14ac:dyDescent="0.25">
      <c r="B2031" s="86"/>
      <c r="C2031" s="86"/>
      <c r="D2031" s="86"/>
      <c r="E2031" s="86"/>
      <c r="F2031" s="86"/>
      <c r="G2031" s="86"/>
      <c r="H2031" s="86"/>
      <c r="I2031" s="86"/>
      <c r="J2031" s="86"/>
      <c r="K2031" s="86"/>
      <c r="L2031" s="86"/>
      <c r="M2031" s="86"/>
      <c r="N2031" s="86"/>
      <c r="O2031" s="86"/>
      <c r="P2031" s="86"/>
      <c r="Q2031" s="86"/>
      <c r="R2031" s="86"/>
      <c r="S2031" s="86"/>
      <c r="T2031" s="86"/>
      <c r="U2031" s="86"/>
      <c r="V2031" s="86"/>
      <c r="W2031" s="86"/>
      <c r="X2031" s="86"/>
      <c r="Y2031" s="86"/>
      <c r="Z2031" s="86"/>
      <c r="AA2031" s="86"/>
      <c r="AB2031" s="86"/>
      <c r="AC2031" s="86"/>
      <c r="AD2031" s="86"/>
      <c r="AE2031" s="86"/>
      <c r="AF2031" s="86"/>
      <c r="AG2031" s="86"/>
      <c r="AH2031" s="86"/>
    </row>
    <row r="2153" spans="2:34" ht="15" customHeight="1" x14ac:dyDescent="0.25">
      <c r="B2153" s="86"/>
      <c r="C2153" s="86"/>
      <c r="D2153" s="86"/>
      <c r="E2153" s="86"/>
      <c r="F2153" s="86"/>
      <c r="G2153" s="86"/>
      <c r="H2153" s="86"/>
      <c r="I2153" s="86"/>
      <c r="J2153" s="86"/>
      <c r="K2153" s="86"/>
      <c r="L2153" s="86"/>
      <c r="M2153" s="86"/>
      <c r="N2153" s="86"/>
      <c r="O2153" s="86"/>
      <c r="P2153" s="86"/>
      <c r="Q2153" s="86"/>
      <c r="R2153" s="86"/>
      <c r="S2153" s="86"/>
      <c r="T2153" s="86"/>
      <c r="U2153" s="86"/>
      <c r="V2153" s="86"/>
      <c r="W2153" s="86"/>
      <c r="X2153" s="86"/>
      <c r="Y2153" s="86"/>
      <c r="Z2153" s="86"/>
      <c r="AA2153" s="86"/>
      <c r="AB2153" s="86"/>
      <c r="AC2153" s="86"/>
      <c r="AD2153" s="86"/>
      <c r="AE2153" s="86"/>
      <c r="AF2153" s="86"/>
      <c r="AG2153" s="86"/>
      <c r="AH2153" s="86"/>
    </row>
    <row r="2317" spans="2:34" ht="15" customHeight="1" x14ac:dyDescent="0.25">
      <c r="B2317" s="86"/>
      <c r="C2317" s="86"/>
      <c r="D2317" s="86"/>
      <c r="E2317" s="86"/>
      <c r="F2317" s="86"/>
      <c r="G2317" s="86"/>
      <c r="H2317" s="86"/>
      <c r="I2317" s="86"/>
      <c r="J2317" s="86"/>
      <c r="K2317" s="86"/>
      <c r="L2317" s="86"/>
      <c r="M2317" s="86"/>
      <c r="N2317" s="86"/>
      <c r="O2317" s="86"/>
      <c r="P2317" s="86"/>
      <c r="Q2317" s="86"/>
      <c r="R2317" s="86"/>
      <c r="S2317" s="86"/>
      <c r="T2317" s="86"/>
      <c r="U2317" s="86"/>
      <c r="V2317" s="86"/>
      <c r="W2317" s="86"/>
      <c r="X2317" s="86"/>
      <c r="Y2317" s="86"/>
      <c r="Z2317" s="86"/>
      <c r="AA2317" s="86"/>
      <c r="AB2317" s="86"/>
      <c r="AC2317" s="86"/>
      <c r="AD2317" s="86"/>
      <c r="AE2317" s="86"/>
      <c r="AF2317" s="86"/>
      <c r="AG2317" s="86"/>
      <c r="AH2317" s="86"/>
    </row>
    <row r="2419" spans="2:34" ht="15" customHeight="1" x14ac:dyDescent="0.25">
      <c r="B2419" s="86"/>
      <c r="C2419" s="86"/>
      <c r="D2419" s="86"/>
      <c r="E2419" s="86"/>
      <c r="F2419" s="86"/>
      <c r="G2419" s="86"/>
      <c r="H2419" s="86"/>
      <c r="I2419" s="86"/>
      <c r="J2419" s="86"/>
      <c r="K2419" s="86"/>
      <c r="L2419" s="86"/>
      <c r="M2419" s="86"/>
      <c r="N2419" s="86"/>
      <c r="O2419" s="86"/>
      <c r="P2419" s="86"/>
      <c r="Q2419" s="86"/>
      <c r="R2419" s="86"/>
      <c r="S2419" s="86"/>
      <c r="T2419" s="86"/>
      <c r="U2419" s="86"/>
      <c r="V2419" s="86"/>
      <c r="W2419" s="86"/>
      <c r="X2419" s="86"/>
      <c r="Y2419" s="86"/>
      <c r="Z2419" s="86"/>
      <c r="AA2419" s="86"/>
      <c r="AB2419" s="86"/>
      <c r="AC2419" s="86"/>
      <c r="AD2419" s="86"/>
      <c r="AE2419" s="86"/>
      <c r="AF2419" s="86"/>
      <c r="AG2419" s="86"/>
      <c r="AH2419" s="86"/>
    </row>
    <row r="2509" spans="2:34" ht="15" customHeight="1" x14ac:dyDescent="0.25">
      <c r="B2509" s="86"/>
      <c r="C2509" s="86"/>
      <c r="D2509" s="86"/>
      <c r="E2509" s="86"/>
      <c r="F2509" s="86"/>
      <c r="G2509" s="86"/>
      <c r="H2509" s="86"/>
      <c r="I2509" s="86"/>
      <c r="J2509" s="86"/>
      <c r="K2509" s="86"/>
      <c r="L2509" s="86"/>
      <c r="M2509" s="86"/>
      <c r="N2509" s="86"/>
      <c r="O2509" s="86"/>
      <c r="P2509" s="86"/>
      <c r="Q2509" s="86"/>
      <c r="R2509" s="86"/>
      <c r="S2509" s="86"/>
      <c r="T2509" s="86"/>
      <c r="U2509" s="86"/>
      <c r="V2509" s="86"/>
      <c r="W2509" s="86"/>
      <c r="X2509" s="86"/>
      <c r="Y2509" s="86"/>
      <c r="Z2509" s="86"/>
      <c r="AA2509" s="86"/>
      <c r="AB2509" s="86"/>
      <c r="AC2509" s="86"/>
      <c r="AD2509" s="86"/>
      <c r="AE2509" s="86"/>
      <c r="AF2509" s="86"/>
      <c r="AG2509" s="86"/>
      <c r="AH2509" s="86"/>
    </row>
    <row r="2598" spans="2:34" ht="15" customHeight="1" x14ac:dyDescent="0.25">
      <c r="B2598" s="86"/>
      <c r="C2598" s="86"/>
      <c r="D2598" s="86"/>
      <c r="E2598" s="86"/>
      <c r="F2598" s="86"/>
      <c r="G2598" s="86"/>
      <c r="H2598" s="86"/>
      <c r="I2598" s="86"/>
      <c r="J2598" s="86"/>
      <c r="K2598" s="86"/>
      <c r="L2598" s="86"/>
      <c r="M2598" s="86"/>
      <c r="N2598" s="86"/>
      <c r="O2598" s="86"/>
      <c r="P2598" s="86"/>
      <c r="Q2598" s="86"/>
      <c r="R2598" s="86"/>
      <c r="S2598" s="86"/>
      <c r="T2598" s="86"/>
      <c r="U2598" s="86"/>
      <c r="V2598" s="86"/>
      <c r="W2598" s="86"/>
      <c r="X2598" s="86"/>
      <c r="Y2598" s="86"/>
      <c r="Z2598" s="86"/>
      <c r="AA2598" s="86"/>
      <c r="AB2598" s="86"/>
      <c r="AC2598" s="86"/>
      <c r="AD2598" s="86"/>
      <c r="AE2598" s="86"/>
      <c r="AF2598" s="86"/>
      <c r="AG2598" s="86"/>
      <c r="AH2598" s="86"/>
    </row>
    <row r="2719" spans="2:34" ht="15" customHeight="1" x14ac:dyDescent="0.25">
      <c r="B2719" s="86"/>
      <c r="C2719" s="86"/>
      <c r="D2719" s="86"/>
      <c r="E2719" s="86"/>
      <c r="F2719" s="86"/>
      <c r="G2719" s="86"/>
      <c r="H2719" s="86"/>
      <c r="I2719" s="86"/>
      <c r="J2719" s="86"/>
      <c r="K2719" s="86"/>
      <c r="L2719" s="86"/>
      <c r="M2719" s="86"/>
      <c r="N2719" s="86"/>
      <c r="O2719" s="86"/>
      <c r="P2719" s="86"/>
      <c r="Q2719" s="86"/>
      <c r="R2719" s="86"/>
      <c r="S2719" s="86"/>
      <c r="T2719" s="86"/>
      <c r="U2719" s="86"/>
      <c r="V2719" s="86"/>
      <c r="W2719" s="86"/>
      <c r="X2719" s="86"/>
      <c r="Y2719" s="86"/>
      <c r="Z2719" s="86"/>
      <c r="AA2719" s="86"/>
      <c r="AB2719" s="86"/>
      <c r="AC2719" s="86"/>
      <c r="AD2719" s="86"/>
      <c r="AE2719" s="86"/>
      <c r="AF2719" s="86"/>
      <c r="AG2719" s="86"/>
      <c r="AH2719" s="86"/>
    </row>
    <row r="2837" spans="2:34" ht="15" customHeight="1" x14ac:dyDescent="0.25">
      <c r="B2837" s="86"/>
      <c r="C2837" s="86"/>
      <c r="D2837" s="86"/>
      <c r="E2837" s="86"/>
      <c r="F2837" s="86"/>
      <c r="G2837" s="86"/>
      <c r="H2837" s="86"/>
      <c r="I2837" s="86"/>
      <c r="J2837" s="86"/>
      <c r="K2837" s="86"/>
      <c r="L2837" s="86"/>
      <c r="M2837" s="86"/>
      <c r="N2837" s="86"/>
      <c r="O2837" s="86"/>
      <c r="P2837" s="86"/>
      <c r="Q2837" s="86"/>
      <c r="R2837" s="86"/>
      <c r="S2837" s="86"/>
      <c r="T2837" s="86"/>
      <c r="U2837" s="86"/>
      <c r="V2837" s="86"/>
      <c r="W2837" s="86"/>
      <c r="X2837" s="86"/>
      <c r="Y2837" s="86"/>
      <c r="Z2837" s="86"/>
      <c r="AA2837" s="86"/>
      <c r="AB2837" s="86"/>
      <c r="AC2837" s="86"/>
      <c r="AD2837" s="86"/>
      <c r="AE2837" s="86"/>
      <c r="AF2837" s="86"/>
      <c r="AG2837" s="86"/>
      <c r="AH2837" s="86"/>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112:AH112"/>
    <mergeCell ref="B146:AG146"/>
    <mergeCell ref="B308:AH308"/>
    <mergeCell ref="B511:AH511"/>
    <mergeCell ref="B712:AH712"/>
  </mergeCells>
  <pageMargins left="0.75" right="0.75" top="1" bottom="1" header="0.5" footer="0.5"/>
  <pageSetup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3"/>
  </sheetPr>
  <dimension ref="A1:AF25"/>
  <sheetViews>
    <sheetView tabSelected="1" topLeftCell="K1" zoomScaleNormal="100" workbookViewId="0">
      <selection activeCell="S22" sqref="S22"/>
    </sheetView>
  </sheetViews>
  <sheetFormatPr defaultRowHeight="15" x14ac:dyDescent="0.25"/>
  <cols>
    <col min="1" max="1" width="26.140625" style="2" customWidth="1"/>
    <col min="2" max="32" width="11.5703125" bestFit="1" customWidth="1"/>
  </cols>
  <sheetData>
    <row r="1" spans="1:32" ht="30" x14ac:dyDescent="0.25">
      <c r="A1" s="8" t="s">
        <v>132</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x14ac:dyDescent="0.25">
      <c r="A2" s="2" t="s">
        <v>98</v>
      </c>
      <c r="B2" s="5">
        <f>INDEX('AEO Table 10 2021'!$C$31:$AJ$31,MATCH('EIaE-BIE'!B$1,'AEO Table 10 2021'!$C$13:$AJ$13,0))*10^6*'Canada Elec Mix'!B2</f>
        <v>2034397.1042679492</v>
      </c>
      <c r="C2" s="5">
        <f>INDEX('AEO Table 10 2022'!$C$31:$AJ$31,MATCH('EIaE-BIE'!C$1,'AEO Table 10 2022'!$C$13:$AJ$13,0))*10^6*'Canada Elec Mix'!C2</f>
        <v>3468253.7206820892</v>
      </c>
      <c r="D2" s="5">
        <f>INDEX('AEO Table 10 2023'!$C$31:$AJ$31,MATCH('EIaE-BIE'!D$1,'AEO Table 10 2023'!$C$13:$AJ$13,0))*10^6*'Canada Elec Mix'!D2</f>
        <v>1253200.8887415023</v>
      </c>
      <c r="E2" s="5">
        <f>INDEX('AEO Table 10 2023'!$C$31:$AJ$31,MATCH('EIaE-BIE'!E$1,'AEO Table 10 2023'!$C$13:$AJ$13,0))*10^6*'Canada Elec Mix'!E2</f>
        <v>417991.28153818188</v>
      </c>
      <c r="F2" s="5">
        <f>INDEX('AEO Table 10 2023'!$C$31:$AJ$31,MATCH('EIaE-BIE'!F$1,'AEO Table 10 2023'!$C$13:$AJ$13,0))*10^6*'Canada Elec Mix'!F2</f>
        <v>356592.0884161244</v>
      </c>
      <c r="G2" s="5">
        <f>INDEX('AEO Table 10 2023'!$C$31:$AJ$31,MATCH('EIaE-BIE'!G$1,'AEO Table 10 2023'!$C$13:$AJ$13,0))*10^6*'Canada Elec Mix'!G2</f>
        <v>278115.41226478253</v>
      </c>
      <c r="H2" s="5">
        <f>INDEX('AEO Table 10 2023'!$C$31:$AJ$31,MATCH('EIaE-BIE'!H$1,'AEO Table 10 2023'!$C$13:$AJ$13,0))*10^6*'Canada Elec Mix'!H2</f>
        <v>274344.96232096758</v>
      </c>
      <c r="I2" s="5">
        <f>INDEX('AEO Table 10 2023'!$C$31:$AJ$31,MATCH('EIaE-BIE'!I$1,'AEO Table 10 2023'!$C$13:$AJ$13,0))*10^6*'Canada Elec Mix'!I2</f>
        <v>263902.39366768207</v>
      </c>
      <c r="J2" s="5">
        <f>INDEX('AEO Table 10 2023'!$C$31:$AJ$31,MATCH('EIaE-BIE'!J$1,'AEO Table 10 2023'!$C$13:$AJ$13,0))*10^6*'Canada Elec Mix'!J2</f>
        <v>248910.71549434823</v>
      </c>
      <c r="K2" s="5">
        <f>INDEX('AEO Table 10 2023'!$C$31:$AJ$31,MATCH('EIaE-BIE'!K$1,'AEO Table 10 2023'!$C$13:$AJ$13,0))*10^6*'Canada Elec Mix'!K2</f>
        <v>235433.50729269462</v>
      </c>
      <c r="L2" s="5">
        <f>INDEX('AEO Table 10 2023'!$C$31:$AJ$31,MATCH('EIaE-BIE'!L$1,'AEO Table 10 2023'!$C$13:$AJ$13,0))*10^6*'Canada Elec Mix'!L2</f>
        <v>232311.11053500784</v>
      </c>
      <c r="M2" s="5">
        <f>INDEX('AEO Table 10 2023'!$C$31:$AJ$31,MATCH('EIaE-BIE'!M$1,'AEO Table 10 2023'!$C$13:$AJ$13,0))*10^6*'Canada Elec Mix'!M2</f>
        <v>216012.52901984661</v>
      </c>
      <c r="N2" s="5">
        <f>INDEX('AEO Table 10 2023'!$C$31:$AJ$31,MATCH('EIaE-BIE'!N$1,'AEO Table 10 2023'!$C$13:$AJ$13,0))*10^6*'Canada Elec Mix'!N2</f>
        <v>152538.47449643991</v>
      </c>
      <c r="O2" s="5">
        <f>INDEX('AEO Table 10 2023'!$C$31:$AJ$31,MATCH('EIaE-BIE'!O$1,'AEO Table 10 2023'!$C$13:$AJ$13,0))*10^6*'Canada Elec Mix'!O2</f>
        <v>156206.38093789617</v>
      </c>
      <c r="P2" s="5">
        <f>INDEX('AEO Table 10 2023'!$C$31:$AJ$31,MATCH('EIaE-BIE'!P$1,'AEO Table 10 2023'!$C$13:$AJ$13,0))*10^6*'Canada Elec Mix'!P2</f>
        <v>157492.78932544513</v>
      </c>
      <c r="Q2" s="5">
        <f>INDEX('AEO Table 10 2023'!$C$31:$AJ$31,MATCH('EIaE-BIE'!Q$1,'AEO Table 10 2023'!$C$13:$AJ$13,0))*10^6*'Canada Elec Mix'!Q2</f>
        <v>141220.53247780699</v>
      </c>
      <c r="R2" s="5">
        <f>INDEX('AEO Table 10 2023'!$C$31:$AJ$31,MATCH('EIaE-BIE'!R$1,'AEO Table 10 2023'!$C$13:$AJ$13,0))*10^6*'Canada Elec Mix'!R2</f>
        <v>144180.76198021293</v>
      </c>
      <c r="S2" s="5">
        <f>INDEX('AEO Table 10 2023'!$C$31:$AJ$31,MATCH('EIaE-BIE'!S$1,'AEO Table 10 2023'!$C$13:$AJ$13,0))*10^6*'Canada Elec Mix'!S2</f>
        <v>145092.14956628525</v>
      </c>
      <c r="T2" s="5">
        <f>INDEX('AEO Table 10 2023'!$C$31:$AJ$31,MATCH('EIaE-BIE'!T$1,'AEO Table 10 2023'!$C$13:$AJ$13,0))*10^6*'Canada Elec Mix'!T2</f>
        <v>144455.73056249155</v>
      </c>
      <c r="U2" s="5">
        <f>INDEX('AEO Table 10 2023'!$C$31:$AJ$31,MATCH('EIaE-BIE'!U$1,'AEO Table 10 2023'!$C$13:$AJ$13,0))*10^6*'Canada Elec Mix'!U2</f>
        <v>123083.16597099246</v>
      </c>
      <c r="V2" s="5">
        <f>INDEX('AEO Table 10 2023'!$C$31:$AJ$31,MATCH('EIaE-BIE'!V$1,'AEO Table 10 2023'!$C$13:$AJ$13,0))*10^6*'Canada Elec Mix'!V2</f>
        <v>120269.67662322633</v>
      </c>
      <c r="W2" s="5">
        <f>INDEX('AEO Table 10 2023'!$C$31:$AJ$31,MATCH('EIaE-BIE'!W$1,'AEO Table 10 2023'!$C$13:$AJ$13,0))*10^6*'Canada Elec Mix'!W2</f>
        <v>5820.6694823562675</v>
      </c>
      <c r="X2" s="5">
        <f>INDEX('AEO Table 10 2023'!$C$31:$AJ$31,MATCH('EIaE-BIE'!X$1,'AEO Table 10 2023'!$C$13:$AJ$13,0))*10^6*'Canada Elec Mix'!X2</f>
        <v>5440.3376139824804</v>
      </c>
      <c r="Y2" s="5">
        <f>INDEX('AEO Table 10 2023'!$C$31:$AJ$31,MATCH('EIaE-BIE'!Y$1,'AEO Table 10 2023'!$C$13:$AJ$13,0))*10^6*'Canada Elec Mix'!Y2</f>
        <v>5282.5473955807629</v>
      </c>
      <c r="Z2" s="5">
        <f>INDEX('AEO Table 10 2023'!$C$31:$AJ$31,MATCH('EIaE-BIE'!Z$1,'AEO Table 10 2023'!$C$13:$AJ$13,0))*10^6*'Canada Elec Mix'!Z2</f>
        <v>4809.931973152834</v>
      </c>
      <c r="AA2" s="5">
        <f>INDEX('AEO Table 10 2023'!$C$31:$AJ$31,MATCH('EIaE-BIE'!AA$1,'AEO Table 10 2023'!$C$13:$AJ$13,0))*10^6*'Canada Elec Mix'!AA2</f>
        <v>4649.4632202807161</v>
      </c>
      <c r="AB2" s="5">
        <f>INDEX('AEO Table 10 2023'!$C$31:$AJ$31,MATCH('EIaE-BIE'!AB$1,'AEO Table 10 2023'!$C$13:$AJ$13,0))*10^6*'Canada Elec Mix'!AB2</f>
        <v>4267.8979560596827</v>
      </c>
      <c r="AC2" s="5">
        <f>INDEX('AEO Table 10 2023'!$C$31:$AJ$31,MATCH('EIaE-BIE'!AC$1,'AEO Table 10 2023'!$C$13:$AJ$13,0))*10^6*'Canada Elec Mix'!AC2</f>
        <v>4236.4040263480165</v>
      </c>
      <c r="AD2" s="5">
        <f>INDEX('AEO Table 10 2023'!$C$31:$AJ$31,MATCH('EIaE-BIE'!AD$1,'AEO Table 10 2023'!$C$13:$AJ$13,0))*10^6*'Canada Elec Mix'!AD2</f>
        <v>4054.5535095388882</v>
      </c>
      <c r="AE2" s="5">
        <f>INDEX('AEO Table 10 2023'!$C$31:$AJ$31,MATCH('EIaE-BIE'!AE$1,'AEO Table 10 2023'!$C$13:$AJ$13,0))*10^6*'Canada Elec Mix'!AE2</f>
        <v>4012.9011725801215</v>
      </c>
      <c r="AF2" s="5">
        <f>INDEX('AEO Table 10 2023'!$C$31:$AJ$31,MATCH('EIaE-BIE'!AF$1,'AEO Table 10 2023'!$C$13:$AJ$13,0))*10^6*'Canada Elec Mix'!AF2</f>
        <v>3956.8670048957538</v>
      </c>
    </row>
    <row r="3" spans="1:32" x14ac:dyDescent="0.25">
      <c r="A3" s="2" t="s">
        <v>347</v>
      </c>
      <c r="B3" s="5">
        <f>INDEX('AEO Table 10 2021'!$C$31:$AJ$31,MATCH('EIaE-BIE'!B$1,'AEO Table 10 2021'!$C$13:$AJ$13,0))*10^6*'Canada Elec Mix'!B3</f>
        <v>3810515.254084209</v>
      </c>
      <c r="C3" s="5">
        <f>INDEX('AEO Table 10 2022'!$C$31:$AJ$31,MATCH('EIaE-BIE'!C$1,'AEO Table 10 2022'!$C$13:$AJ$13,0))*10^6*'Canada Elec Mix'!C3</f>
        <v>5909449.6507920139</v>
      </c>
      <c r="D3" s="5">
        <f>INDEX('AEO Table 10 2023'!$C$31:$AJ$31,MATCH('EIaE-BIE'!D$1,'AEO Table 10 2023'!$C$13:$AJ$13,0))*10^6*'Canada Elec Mix'!D3</f>
        <v>4228568.5635647234</v>
      </c>
      <c r="E3" s="5">
        <f>INDEX('AEO Table 10 2023'!$C$31:$AJ$31,MATCH('EIaE-BIE'!E$1,'AEO Table 10 2023'!$C$13:$AJ$13,0))*10^6*'Canada Elec Mix'!E3</f>
        <v>6080634.7368663549</v>
      </c>
      <c r="F3" s="5">
        <f>INDEX('AEO Table 10 2023'!$C$31:$AJ$31,MATCH('EIaE-BIE'!F$1,'AEO Table 10 2023'!$C$13:$AJ$13,0))*10^6*'Canada Elec Mix'!F3</f>
        <v>4824409.4880976863</v>
      </c>
      <c r="G3" s="5">
        <f>INDEX('AEO Table 10 2023'!$C$31:$AJ$31,MATCH('EIaE-BIE'!G$1,'AEO Table 10 2023'!$C$13:$AJ$13,0))*10^6*'Canada Elec Mix'!G3</f>
        <v>4387268.5178805441</v>
      </c>
      <c r="H3" s="5">
        <f>INDEX('AEO Table 10 2023'!$C$31:$AJ$31,MATCH('EIaE-BIE'!H$1,'AEO Table 10 2023'!$C$13:$AJ$13,0))*10^6*'Canada Elec Mix'!H3</f>
        <v>4734622.0536142429</v>
      </c>
      <c r="I3" s="5">
        <f>INDEX('AEO Table 10 2023'!$C$31:$AJ$31,MATCH('EIaE-BIE'!I$1,'AEO Table 10 2023'!$C$13:$AJ$13,0))*10^6*'Canada Elec Mix'!I3</f>
        <v>4597028.186605406</v>
      </c>
      <c r="J3" s="5">
        <f>INDEX('AEO Table 10 2023'!$C$31:$AJ$31,MATCH('EIaE-BIE'!J$1,'AEO Table 10 2023'!$C$13:$AJ$13,0))*10^6*'Canada Elec Mix'!J3</f>
        <v>4655853.7289194446</v>
      </c>
      <c r="K3" s="5">
        <f>INDEX('AEO Table 10 2023'!$C$31:$AJ$31,MATCH('EIaE-BIE'!K$1,'AEO Table 10 2023'!$C$13:$AJ$13,0))*10^6*'Canada Elec Mix'!K3</f>
        <v>4502136.3016050085</v>
      </c>
      <c r="L3" s="5">
        <f>INDEX('AEO Table 10 2023'!$C$31:$AJ$31,MATCH('EIaE-BIE'!L$1,'AEO Table 10 2023'!$C$13:$AJ$13,0))*10^6*'Canada Elec Mix'!L3</f>
        <v>4316079.9658777816</v>
      </c>
      <c r="M3" s="5">
        <f>INDEX('AEO Table 10 2023'!$C$31:$AJ$31,MATCH('EIaE-BIE'!M$1,'AEO Table 10 2023'!$C$13:$AJ$13,0))*10^6*'Canada Elec Mix'!M3</f>
        <v>4173419.2478431552</v>
      </c>
      <c r="N3" s="5">
        <f>INDEX('AEO Table 10 2023'!$C$31:$AJ$31,MATCH('EIaE-BIE'!N$1,'AEO Table 10 2023'!$C$13:$AJ$13,0))*10^6*'Canada Elec Mix'!N3</f>
        <v>3949665.1874540932</v>
      </c>
      <c r="O3" s="5">
        <f>INDEX('AEO Table 10 2023'!$C$31:$AJ$31,MATCH('EIaE-BIE'!O$1,'AEO Table 10 2023'!$C$13:$AJ$13,0))*10^6*'Canada Elec Mix'!O3</f>
        <v>3994568.7414447092</v>
      </c>
      <c r="P3" s="5">
        <f>INDEX('AEO Table 10 2023'!$C$31:$AJ$31,MATCH('EIaE-BIE'!P$1,'AEO Table 10 2023'!$C$13:$AJ$13,0))*10^6*'Canada Elec Mix'!P3</f>
        <v>3832696.2908970728</v>
      </c>
      <c r="Q3" s="5">
        <f>INDEX('AEO Table 10 2023'!$C$31:$AJ$31,MATCH('EIaE-BIE'!Q$1,'AEO Table 10 2023'!$C$13:$AJ$13,0))*10^6*'Canada Elec Mix'!Q3</f>
        <v>3671626.1746270317</v>
      </c>
      <c r="R3" s="5">
        <f>INDEX('AEO Table 10 2023'!$C$31:$AJ$31,MATCH('EIaE-BIE'!R$1,'AEO Table 10 2023'!$C$13:$AJ$13,0))*10^6*'Canada Elec Mix'!R3</f>
        <v>3176464.3456069883</v>
      </c>
      <c r="S3" s="5">
        <f>INDEX('AEO Table 10 2023'!$C$31:$AJ$31,MATCH('EIaE-BIE'!S$1,'AEO Table 10 2023'!$C$13:$AJ$13,0))*10^6*'Canada Elec Mix'!S3</f>
        <v>3142017.389544833</v>
      </c>
      <c r="T3" s="5">
        <f>INDEX('AEO Table 10 2023'!$C$31:$AJ$31,MATCH('EIaE-BIE'!T$1,'AEO Table 10 2023'!$C$13:$AJ$13,0))*10^6*'Canada Elec Mix'!T3</f>
        <v>3087679.3308384344</v>
      </c>
      <c r="U3" s="5">
        <f>INDEX('AEO Table 10 2023'!$C$31:$AJ$31,MATCH('EIaE-BIE'!U$1,'AEO Table 10 2023'!$C$13:$AJ$13,0))*10^6*'Canada Elec Mix'!U3</f>
        <v>3118787.8077058657</v>
      </c>
      <c r="V3" s="5">
        <f>INDEX('AEO Table 10 2023'!$C$31:$AJ$31,MATCH('EIaE-BIE'!V$1,'AEO Table 10 2023'!$C$13:$AJ$13,0))*10^6*'Canada Elec Mix'!V3</f>
        <v>3049563.968366744</v>
      </c>
      <c r="W3" s="5">
        <f>INDEX('AEO Table 10 2023'!$C$31:$AJ$31,MATCH('EIaE-BIE'!W$1,'AEO Table 10 2023'!$C$13:$AJ$13,0))*10^6*'Canada Elec Mix'!W3</f>
        <v>2933757.0397650739</v>
      </c>
      <c r="X3" s="5">
        <f>INDEX('AEO Table 10 2023'!$C$31:$AJ$31,MATCH('EIaE-BIE'!X$1,'AEO Table 10 2023'!$C$13:$AJ$13,0))*10^6*'Canada Elec Mix'!X3</f>
        <v>2896240.7172170375</v>
      </c>
      <c r="Y3" s="5">
        <f>INDEX('AEO Table 10 2023'!$C$31:$AJ$31,MATCH('EIaE-BIE'!Y$1,'AEO Table 10 2023'!$C$13:$AJ$13,0))*10^6*'Canada Elec Mix'!Y3</f>
        <v>2850749.7420169981</v>
      </c>
      <c r="Z3" s="5">
        <f>INDEX('AEO Table 10 2023'!$C$31:$AJ$31,MATCH('EIaE-BIE'!Z$1,'AEO Table 10 2023'!$C$13:$AJ$13,0))*10^6*'Canada Elec Mix'!Z3</f>
        <v>2705699.3712850921</v>
      </c>
      <c r="AA3" s="5">
        <f>INDEX('AEO Table 10 2023'!$C$31:$AJ$31,MATCH('EIaE-BIE'!AA$1,'AEO Table 10 2023'!$C$13:$AJ$13,0))*10^6*'Canada Elec Mix'!AA3</f>
        <v>2628085.2856666758</v>
      </c>
      <c r="AB3" s="5">
        <f>INDEX('AEO Table 10 2023'!$C$31:$AJ$31,MATCH('EIaE-BIE'!AB$1,'AEO Table 10 2023'!$C$13:$AJ$13,0))*10^6*'Canada Elec Mix'!AB3</f>
        <v>2518655.6020325646</v>
      </c>
      <c r="AC3" s="5">
        <f>INDEX('AEO Table 10 2023'!$C$31:$AJ$31,MATCH('EIaE-BIE'!AC$1,'AEO Table 10 2023'!$C$13:$AJ$13,0))*10^6*'Canada Elec Mix'!AC3</f>
        <v>2503203.0523090321</v>
      </c>
      <c r="AD3" s="5">
        <f>INDEX('AEO Table 10 2023'!$C$31:$AJ$31,MATCH('EIaE-BIE'!AD$1,'AEO Table 10 2023'!$C$13:$AJ$13,0))*10^6*'Canada Elec Mix'!AD3</f>
        <v>2484756.151019257</v>
      </c>
      <c r="AE3" s="5">
        <f>INDEX('AEO Table 10 2023'!$C$31:$AJ$31,MATCH('EIaE-BIE'!AE$1,'AEO Table 10 2023'!$C$13:$AJ$13,0))*10^6*'Canada Elec Mix'!AE3</f>
        <v>2457037.9740617792</v>
      </c>
      <c r="AF3" s="5">
        <f>INDEX('AEO Table 10 2023'!$C$31:$AJ$31,MATCH('EIaE-BIE'!AF$1,'AEO Table 10 2023'!$C$13:$AJ$13,0))*10^6*'Canada Elec Mix'!AF3</f>
        <v>2417288.2027816041</v>
      </c>
    </row>
    <row r="4" spans="1:32" x14ac:dyDescent="0.25">
      <c r="A4" s="2" t="s">
        <v>348</v>
      </c>
      <c r="B4" s="5">
        <f>INDEX('AEO Table 10 2021'!$C$31:$AJ$31,MATCH('EIaE-BIE'!B$1,'AEO Table 10 2021'!$C$13:$AJ$13,0))*10^6*'Canada Elec Mix'!B4</f>
        <v>0</v>
      </c>
      <c r="C4" s="5">
        <f>INDEX('AEO Table 10 2022'!$C$31:$AJ$31,MATCH('EIaE-BIE'!C$1,'AEO Table 10 2022'!$C$13:$AJ$13,0))*10^6*'Canada Elec Mix'!C4</f>
        <v>0</v>
      </c>
      <c r="D4" s="5">
        <f>INDEX('AEO Table 10 2023'!$C$31:$AJ$31,MATCH('EIaE-BIE'!D$1,'AEO Table 10 2023'!$C$13:$AJ$13,0))*10^6*'Canada Elec Mix'!D4</f>
        <v>0</v>
      </c>
      <c r="E4" s="5">
        <f>INDEX('AEO Table 10 2023'!$C$31:$AJ$31,MATCH('EIaE-BIE'!E$1,'AEO Table 10 2023'!$C$13:$AJ$13,0))*10^6*'Canada Elec Mix'!E4</f>
        <v>0</v>
      </c>
      <c r="F4" s="5">
        <f>INDEX('AEO Table 10 2023'!$C$31:$AJ$31,MATCH('EIaE-BIE'!F$1,'AEO Table 10 2023'!$C$13:$AJ$13,0))*10^6*'Canada Elec Mix'!F4</f>
        <v>0</v>
      </c>
      <c r="G4" s="5">
        <f>INDEX('AEO Table 10 2023'!$C$31:$AJ$31,MATCH('EIaE-BIE'!G$1,'AEO Table 10 2023'!$C$13:$AJ$13,0))*10^6*'Canada Elec Mix'!G4</f>
        <v>0</v>
      </c>
      <c r="H4" s="5">
        <f>INDEX('AEO Table 10 2023'!$C$31:$AJ$31,MATCH('EIaE-BIE'!H$1,'AEO Table 10 2023'!$C$13:$AJ$13,0))*10^6*'Canada Elec Mix'!H4</f>
        <v>0</v>
      </c>
      <c r="I4" s="5">
        <f>INDEX('AEO Table 10 2023'!$C$31:$AJ$31,MATCH('EIaE-BIE'!I$1,'AEO Table 10 2023'!$C$13:$AJ$13,0))*10^6*'Canada Elec Mix'!I4</f>
        <v>0</v>
      </c>
      <c r="J4" s="5">
        <f>INDEX('AEO Table 10 2023'!$C$31:$AJ$31,MATCH('EIaE-BIE'!J$1,'AEO Table 10 2023'!$C$13:$AJ$13,0))*10^6*'Canada Elec Mix'!J4</f>
        <v>0</v>
      </c>
      <c r="K4" s="5">
        <f>INDEX('AEO Table 10 2023'!$C$31:$AJ$31,MATCH('EIaE-BIE'!K$1,'AEO Table 10 2023'!$C$13:$AJ$13,0))*10^6*'Canada Elec Mix'!K4</f>
        <v>0</v>
      </c>
      <c r="L4" s="5">
        <f>INDEX('AEO Table 10 2023'!$C$31:$AJ$31,MATCH('EIaE-BIE'!L$1,'AEO Table 10 2023'!$C$13:$AJ$13,0))*10^6*'Canada Elec Mix'!L4</f>
        <v>0</v>
      </c>
      <c r="M4" s="5">
        <f>INDEX('AEO Table 10 2023'!$C$31:$AJ$31,MATCH('EIaE-BIE'!M$1,'AEO Table 10 2023'!$C$13:$AJ$13,0))*10^6*'Canada Elec Mix'!M4</f>
        <v>0</v>
      </c>
      <c r="N4" s="5">
        <f>INDEX('AEO Table 10 2023'!$C$31:$AJ$31,MATCH('EIaE-BIE'!N$1,'AEO Table 10 2023'!$C$13:$AJ$13,0))*10^6*'Canada Elec Mix'!N4</f>
        <v>0</v>
      </c>
      <c r="O4" s="5">
        <f>INDEX('AEO Table 10 2023'!$C$31:$AJ$31,MATCH('EIaE-BIE'!O$1,'AEO Table 10 2023'!$C$13:$AJ$13,0))*10^6*'Canada Elec Mix'!O4</f>
        <v>0</v>
      </c>
      <c r="P4" s="5">
        <f>INDEX('AEO Table 10 2023'!$C$31:$AJ$31,MATCH('EIaE-BIE'!P$1,'AEO Table 10 2023'!$C$13:$AJ$13,0))*10^6*'Canada Elec Mix'!P4</f>
        <v>0</v>
      </c>
      <c r="Q4" s="5">
        <f>INDEX('AEO Table 10 2023'!$C$31:$AJ$31,MATCH('EIaE-BIE'!Q$1,'AEO Table 10 2023'!$C$13:$AJ$13,0))*10^6*'Canada Elec Mix'!Q4</f>
        <v>0</v>
      </c>
      <c r="R4" s="5">
        <f>INDEX('AEO Table 10 2023'!$C$31:$AJ$31,MATCH('EIaE-BIE'!R$1,'AEO Table 10 2023'!$C$13:$AJ$13,0))*10^6*'Canada Elec Mix'!R4</f>
        <v>0</v>
      </c>
      <c r="S4" s="5">
        <f>INDEX('AEO Table 10 2023'!$C$31:$AJ$31,MATCH('EIaE-BIE'!S$1,'AEO Table 10 2023'!$C$13:$AJ$13,0))*10^6*'Canada Elec Mix'!S4</f>
        <v>0</v>
      </c>
      <c r="T4" s="5">
        <f>INDEX('AEO Table 10 2023'!$C$31:$AJ$31,MATCH('EIaE-BIE'!T$1,'AEO Table 10 2023'!$C$13:$AJ$13,0))*10^6*'Canada Elec Mix'!T4</f>
        <v>0</v>
      </c>
      <c r="U4" s="5">
        <f>INDEX('AEO Table 10 2023'!$C$31:$AJ$31,MATCH('EIaE-BIE'!U$1,'AEO Table 10 2023'!$C$13:$AJ$13,0))*10^6*'Canada Elec Mix'!U4</f>
        <v>0</v>
      </c>
      <c r="V4" s="5">
        <f>INDEX('AEO Table 10 2023'!$C$31:$AJ$31,MATCH('EIaE-BIE'!V$1,'AEO Table 10 2023'!$C$13:$AJ$13,0))*10^6*'Canada Elec Mix'!V4</f>
        <v>0</v>
      </c>
      <c r="W4" s="5">
        <f>INDEX('AEO Table 10 2023'!$C$31:$AJ$31,MATCH('EIaE-BIE'!W$1,'AEO Table 10 2023'!$C$13:$AJ$13,0))*10^6*'Canada Elec Mix'!W4</f>
        <v>0</v>
      </c>
      <c r="X4" s="5">
        <f>INDEX('AEO Table 10 2023'!$C$31:$AJ$31,MATCH('EIaE-BIE'!X$1,'AEO Table 10 2023'!$C$13:$AJ$13,0))*10^6*'Canada Elec Mix'!X4</f>
        <v>0</v>
      </c>
      <c r="Y4" s="5">
        <f>INDEX('AEO Table 10 2023'!$C$31:$AJ$31,MATCH('EIaE-BIE'!Y$1,'AEO Table 10 2023'!$C$13:$AJ$13,0))*10^6*'Canada Elec Mix'!Y4</f>
        <v>0</v>
      </c>
      <c r="Z4" s="5">
        <f>INDEX('AEO Table 10 2023'!$C$31:$AJ$31,MATCH('EIaE-BIE'!Z$1,'AEO Table 10 2023'!$C$13:$AJ$13,0))*10^6*'Canada Elec Mix'!Z4</f>
        <v>0</v>
      </c>
      <c r="AA4" s="5">
        <f>INDEX('AEO Table 10 2023'!$C$31:$AJ$31,MATCH('EIaE-BIE'!AA$1,'AEO Table 10 2023'!$C$13:$AJ$13,0))*10^6*'Canada Elec Mix'!AA4</f>
        <v>0</v>
      </c>
      <c r="AB4" s="5">
        <f>INDEX('AEO Table 10 2023'!$C$31:$AJ$31,MATCH('EIaE-BIE'!AB$1,'AEO Table 10 2023'!$C$13:$AJ$13,0))*10^6*'Canada Elec Mix'!AB4</f>
        <v>0</v>
      </c>
      <c r="AC4" s="5">
        <f>INDEX('AEO Table 10 2023'!$C$31:$AJ$31,MATCH('EIaE-BIE'!AC$1,'AEO Table 10 2023'!$C$13:$AJ$13,0))*10^6*'Canada Elec Mix'!AC4</f>
        <v>0</v>
      </c>
      <c r="AD4" s="5">
        <f>INDEX('AEO Table 10 2023'!$C$31:$AJ$31,MATCH('EIaE-BIE'!AD$1,'AEO Table 10 2023'!$C$13:$AJ$13,0))*10^6*'Canada Elec Mix'!AD4</f>
        <v>0</v>
      </c>
      <c r="AE4" s="5">
        <f>INDEX('AEO Table 10 2023'!$C$31:$AJ$31,MATCH('EIaE-BIE'!AE$1,'AEO Table 10 2023'!$C$13:$AJ$13,0))*10^6*'Canada Elec Mix'!AE4</f>
        <v>0</v>
      </c>
      <c r="AF4" s="5">
        <f>INDEX('AEO Table 10 2023'!$C$31:$AJ$31,MATCH('EIaE-BIE'!AF$1,'AEO Table 10 2023'!$C$13:$AJ$13,0))*10^6*'Canada Elec Mix'!AF4</f>
        <v>0</v>
      </c>
    </row>
    <row r="5" spans="1:32" x14ac:dyDescent="0.25">
      <c r="A5" s="2" t="s">
        <v>99</v>
      </c>
      <c r="B5" s="5">
        <f>INDEX('AEO Table 10 2021'!$C$31:$AJ$31,MATCH('EIaE-BIE'!B$1,'AEO Table 10 2021'!$C$13:$AJ$13,0))*10^6*'Canada Elec Mix'!B5</f>
        <v>5454614.8570110416</v>
      </c>
      <c r="C5" s="5">
        <f>INDEX('AEO Table 10 2022'!$C$31:$AJ$31,MATCH('EIaE-BIE'!C$1,'AEO Table 10 2022'!$C$13:$AJ$13,0))*10^6*'Canada Elec Mix'!C5</f>
        <v>7709973.1584240971</v>
      </c>
      <c r="D5" s="5">
        <f>INDEX('AEO Table 10 2023'!$C$31:$AJ$31,MATCH('EIaE-BIE'!D$1,'AEO Table 10 2023'!$C$13:$AJ$13,0))*10^6*'Canada Elec Mix'!D5</f>
        <v>5216598.7669746792</v>
      </c>
      <c r="E5" s="5">
        <f>INDEX('AEO Table 10 2023'!$C$31:$AJ$31,MATCH('EIaE-BIE'!E$1,'AEO Table 10 2023'!$C$13:$AJ$13,0))*10^6*'Canada Elec Mix'!E5</f>
        <v>5328406.4765726719</v>
      </c>
      <c r="F5" s="5">
        <f>INDEX('AEO Table 10 2023'!$C$31:$AJ$31,MATCH('EIaE-BIE'!F$1,'AEO Table 10 2023'!$C$13:$AJ$13,0))*10^6*'Canada Elec Mix'!F5</f>
        <v>5143838.1845477158</v>
      </c>
      <c r="G5" s="5">
        <f>INDEX('AEO Table 10 2023'!$C$31:$AJ$31,MATCH('EIaE-BIE'!G$1,'AEO Table 10 2023'!$C$13:$AJ$13,0))*10^6*'Canada Elec Mix'!G5</f>
        <v>4123845.0868260143</v>
      </c>
      <c r="H5" s="5">
        <f>INDEX('AEO Table 10 2023'!$C$31:$AJ$31,MATCH('EIaE-BIE'!H$1,'AEO Table 10 2023'!$C$13:$AJ$13,0))*10^6*'Canada Elec Mix'!H5</f>
        <v>3912512.5700853337</v>
      </c>
      <c r="I5" s="5">
        <f>INDEX('AEO Table 10 2023'!$C$31:$AJ$31,MATCH('EIaE-BIE'!I$1,'AEO Table 10 2023'!$C$13:$AJ$13,0))*10^6*'Canada Elec Mix'!I5</f>
        <v>4508671.4827159634</v>
      </c>
      <c r="J5" s="5">
        <f>INDEX('AEO Table 10 2023'!$C$31:$AJ$31,MATCH('EIaE-BIE'!J$1,'AEO Table 10 2023'!$C$13:$AJ$13,0))*10^6*'Canada Elec Mix'!J5</f>
        <v>5147981.7215810362</v>
      </c>
      <c r="K5" s="5">
        <f>INDEX('AEO Table 10 2023'!$C$31:$AJ$31,MATCH('EIaE-BIE'!K$1,'AEO Table 10 2023'!$C$13:$AJ$13,0))*10^6*'Canada Elec Mix'!K5</f>
        <v>4558632.9072002703</v>
      </c>
      <c r="L5" s="5">
        <f>INDEX('AEO Table 10 2023'!$C$31:$AJ$31,MATCH('EIaE-BIE'!L$1,'AEO Table 10 2023'!$C$13:$AJ$13,0))*10^6*'Canada Elec Mix'!L5</f>
        <v>5137837.566944018</v>
      </c>
      <c r="M5" s="5">
        <f>INDEX('AEO Table 10 2023'!$C$31:$AJ$31,MATCH('EIaE-BIE'!M$1,'AEO Table 10 2023'!$C$13:$AJ$13,0))*10^6*'Canada Elec Mix'!M5</f>
        <v>4391593.3460538918</v>
      </c>
      <c r="N5" s="5">
        <f>INDEX('AEO Table 10 2023'!$C$31:$AJ$31,MATCH('EIaE-BIE'!N$1,'AEO Table 10 2023'!$C$13:$AJ$13,0))*10^6*'Canada Elec Mix'!N5</f>
        <v>4887503.4289581794</v>
      </c>
      <c r="O5" s="5">
        <f>INDEX('AEO Table 10 2023'!$C$31:$AJ$31,MATCH('EIaE-BIE'!O$1,'AEO Table 10 2023'!$C$13:$AJ$13,0))*10^6*'Canada Elec Mix'!O5</f>
        <v>4927183.7685530446</v>
      </c>
      <c r="P5" s="5">
        <f>INDEX('AEO Table 10 2023'!$C$31:$AJ$31,MATCH('EIaE-BIE'!P$1,'AEO Table 10 2023'!$C$13:$AJ$13,0))*10^6*'Canada Elec Mix'!P5</f>
        <v>5341541.5195304612</v>
      </c>
      <c r="Q5" s="5">
        <f>INDEX('AEO Table 10 2023'!$C$31:$AJ$31,MATCH('EIaE-BIE'!Q$1,'AEO Table 10 2023'!$C$13:$AJ$13,0))*10^6*'Canada Elec Mix'!Q5</f>
        <v>5262905.2181952372</v>
      </c>
      <c r="R5" s="5">
        <f>INDEX('AEO Table 10 2023'!$C$31:$AJ$31,MATCH('EIaE-BIE'!R$1,'AEO Table 10 2023'!$C$13:$AJ$13,0))*10^6*'Canada Elec Mix'!R5</f>
        <v>5280137.208116034</v>
      </c>
      <c r="S5" s="5">
        <f>INDEX('AEO Table 10 2023'!$C$31:$AJ$31,MATCH('EIaE-BIE'!S$1,'AEO Table 10 2023'!$C$13:$AJ$13,0))*10^6*'Canada Elec Mix'!S5</f>
        <v>5247070.3313373849</v>
      </c>
      <c r="T5" s="5">
        <f>INDEX('AEO Table 10 2023'!$C$31:$AJ$31,MATCH('EIaE-BIE'!T$1,'AEO Table 10 2023'!$C$13:$AJ$13,0))*10^6*'Canada Elec Mix'!T5</f>
        <v>5289627.8360554092</v>
      </c>
      <c r="U5" s="5">
        <f>INDEX('AEO Table 10 2023'!$C$31:$AJ$31,MATCH('EIaE-BIE'!U$1,'AEO Table 10 2023'!$C$13:$AJ$13,0))*10^6*'Canada Elec Mix'!U5</f>
        <v>5320587.9754646104</v>
      </c>
      <c r="V5" s="5">
        <f>INDEX('AEO Table 10 2023'!$C$31:$AJ$31,MATCH('EIaE-BIE'!V$1,'AEO Table 10 2023'!$C$13:$AJ$13,0))*10^6*'Canada Elec Mix'!V5</f>
        <v>5322781.41134807</v>
      </c>
      <c r="W5" s="5">
        <f>INDEX('AEO Table 10 2023'!$C$31:$AJ$31,MATCH('EIaE-BIE'!W$1,'AEO Table 10 2023'!$C$13:$AJ$13,0))*10^6*'Canada Elec Mix'!W5</f>
        <v>4849524.651421193</v>
      </c>
      <c r="X5" s="5">
        <f>INDEX('AEO Table 10 2023'!$C$31:$AJ$31,MATCH('EIaE-BIE'!X$1,'AEO Table 10 2023'!$C$13:$AJ$13,0))*10^6*'Canada Elec Mix'!X5</f>
        <v>4779657.4680321924</v>
      </c>
      <c r="Y5" s="5">
        <f>INDEX('AEO Table 10 2023'!$C$31:$AJ$31,MATCH('EIaE-BIE'!Y$1,'AEO Table 10 2023'!$C$13:$AJ$13,0))*10^6*'Canada Elec Mix'!Y5</f>
        <v>4634946.018407899</v>
      </c>
      <c r="Z5" s="5">
        <f>INDEX('AEO Table 10 2023'!$C$31:$AJ$31,MATCH('EIaE-BIE'!Z$1,'AEO Table 10 2023'!$C$13:$AJ$13,0))*10^6*'Canada Elec Mix'!Z5</f>
        <v>4732648.6992420442</v>
      </c>
      <c r="AA5" s="5">
        <f>INDEX('AEO Table 10 2023'!$C$31:$AJ$31,MATCH('EIaE-BIE'!AA$1,'AEO Table 10 2023'!$C$13:$AJ$13,0))*10^6*'Canada Elec Mix'!AA5</f>
        <v>4584999.2937964378</v>
      </c>
      <c r="AB5" s="5">
        <f>INDEX('AEO Table 10 2023'!$C$31:$AJ$31,MATCH('EIaE-BIE'!AB$1,'AEO Table 10 2023'!$C$13:$AJ$13,0))*10^6*'Canada Elec Mix'!AB5</f>
        <v>4433574.0871742088</v>
      </c>
      <c r="AC5" s="5">
        <f>INDEX('AEO Table 10 2023'!$C$31:$AJ$31,MATCH('EIaE-BIE'!AC$1,'AEO Table 10 2023'!$C$13:$AJ$13,0))*10^6*'Canada Elec Mix'!AC5</f>
        <v>4408188.0615279665</v>
      </c>
      <c r="AD5" s="5">
        <f>INDEX('AEO Table 10 2023'!$C$31:$AJ$31,MATCH('EIaE-BIE'!AD$1,'AEO Table 10 2023'!$C$13:$AJ$13,0))*10^6*'Canada Elec Mix'!AD5</f>
        <v>4442227.973392386</v>
      </c>
      <c r="AE5" s="5">
        <f>INDEX('AEO Table 10 2023'!$C$31:$AJ$31,MATCH('EIaE-BIE'!AE$1,'AEO Table 10 2023'!$C$13:$AJ$13,0))*10^6*'Canada Elec Mix'!AE5</f>
        <v>4394066.4052045979</v>
      </c>
      <c r="AF5" s="5">
        <f>INDEX('AEO Table 10 2023'!$C$31:$AJ$31,MATCH('EIaE-BIE'!AF$1,'AEO Table 10 2023'!$C$13:$AJ$13,0))*10^6*'Canada Elec Mix'!AF5</f>
        <v>4289196.9509965116</v>
      </c>
    </row>
    <row r="6" spans="1:32" x14ac:dyDescent="0.25">
      <c r="A6" s="2" t="s">
        <v>101</v>
      </c>
      <c r="B6" s="5">
        <f>INDEX('AEO Table 10 2021'!$C$31:$AJ$31,MATCH('EIaE-BIE'!B$1,'AEO Table 10 2021'!$C$13:$AJ$13,0))*10^6*'Canada Elec Mix'!B6</f>
        <v>25239291.567287896</v>
      </c>
      <c r="C6" s="5">
        <f>INDEX('AEO Table 10 2022'!$C$31:$AJ$31,MATCH('EIaE-BIE'!C$1,'AEO Table 10 2022'!$C$13:$AJ$13,0))*10^6*'Canada Elec Mix'!C6</f>
        <v>38527315.256688848</v>
      </c>
      <c r="D6" s="5">
        <f>INDEX('AEO Table 10 2023'!$C$31:$AJ$31,MATCH('EIaE-BIE'!D$1,'AEO Table 10 2023'!$C$13:$AJ$13,0))*10^6*'Canada Elec Mix'!D6</f>
        <v>26646410.619361363</v>
      </c>
      <c r="E6" s="5">
        <f>INDEX('AEO Table 10 2023'!$C$31:$AJ$31,MATCH('EIaE-BIE'!E$1,'AEO Table 10 2023'!$C$13:$AJ$13,0))*10^6*'Canada Elec Mix'!E6</f>
        <v>31999946.332011431</v>
      </c>
      <c r="F6" s="5">
        <f>INDEX('AEO Table 10 2023'!$C$31:$AJ$31,MATCH('EIaE-BIE'!F$1,'AEO Table 10 2023'!$C$13:$AJ$13,0))*10^6*'Canada Elec Mix'!F6</f>
        <v>26944683.115691237</v>
      </c>
      <c r="G6" s="5">
        <f>INDEX('AEO Table 10 2023'!$C$31:$AJ$31,MATCH('EIaE-BIE'!G$1,'AEO Table 10 2023'!$C$13:$AJ$13,0))*10^6*'Canada Elec Mix'!G6</f>
        <v>23952798.19482797</v>
      </c>
      <c r="H6" s="5">
        <f>INDEX('AEO Table 10 2023'!$C$31:$AJ$31,MATCH('EIaE-BIE'!H$1,'AEO Table 10 2023'!$C$13:$AJ$13,0))*10^6*'Canada Elec Mix'!H6</f>
        <v>24519448.761407394</v>
      </c>
      <c r="I6" s="5">
        <f>INDEX('AEO Table 10 2023'!$C$31:$AJ$31,MATCH('EIaE-BIE'!I$1,'AEO Table 10 2023'!$C$13:$AJ$13,0))*10^6*'Canada Elec Mix'!I6</f>
        <v>25872755.747016706</v>
      </c>
      <c r="J6" s="5">
        <f>INDEX('AEO Table 10 2023'!$C$31:$AJ$31,MATCH('EIaE-BIE'!J$1,'AEO Table 10 2023'!$C$13:$AJ$13,0))*10^6*'Canada Elec Mix'!J6</f>
        <v>27188857.461141244</v>
      </c>
      <c r="K6" s="5">
        <f>INDEX('AEO Table 10 2023'!$C$31:$AJ$31,MATCH('EIaE-BIE'!K$1,'AEO Table 10 2023'!$C$13:$AJ$13,0))*10^6*'Canada Elec Mix'!K6</f>
        <v>25621261.07605451</v>
      </c>
      <c r="L6" s="5">
        <f>INDEX('AEO Table 10 2023'!$C$31:$AJ$31,MATCH('EIaE-BIE'!L$1,'AEO Table 10 2023'!$C$13:$AJ$13,0))*10^6*'Canada Elec Mix'!L6</f>
        <v>27015935.508342423</v>
      </c>
      <c r="M6" s="5">
        <f>INDEX('AEO Table 10 2023'!$C$31:$AJ$31,MATCH('EIaE-BIE'!M$1,'AEO Table 10 2023'!$C$13:$AJ$13,0))*10^6*'Canada Elec Mix'!M6</f>
        <v>25177234.39786765</v>
      </c>
      <c r="N6" s="5">
        <f>INDEX('AEO Table 10 2023'!$C$31:$AJ$31,MATCH('EIaE-BIE'!N$1,'AEO Table 10 2023'!$C$13:$AJ$13,0))*10^6*'Canada Elec Mix'!N6</f>
        <v>25703269.654775735</v>
      </c>
      <c r="O6" s="5">
        <f>INDEX('AEO Table 10 2023'!$C$31:$AJ$31,MATCH('EIaE-BIE'!O$1,'AEO Table 10 2023'!$C$13:$AJ$13,0))*10^6*'Canada Elec Mix'!O6</f>
        <v>25920290.083167396</v>
      </c>
      <c r="P6" s="5">
        <f>INDEX('AEO Table 10 2023'!$C$31:$AJ$31,MATCH('EIaE-BIE'!P$1,'AEO Table 10 2023'!$C$13:$AJ$13,0))*10^6*'Canada Elec Mix'!P6</f>
        <v>26021315.913875923</v>
      </c>
      <c r="Q6" s="5">
        <f>INDEX('AEO Table 10 2023'!$C$31:$AJ$31,MATCH('EIaE-BIE'!Q$1,'AEO Table 10 2023'!$C$13:$AJ$13,0))*10^6*'Canada Elec Mix'!Q6</f>
        <v>25170646.505239576</v>
      </c>
      <c r="R6" s="5">
        <f>INDEX('AEO Table 10 2023'!$C$31:$AJ$31,MATCH('EIaE-BIE'!R$1,'AEO Table 10 2023'!$C$13:$AJ$13,0))*10^6*'Canada Elec Mix'!R6</f>
        <v>25345683.117268682</v>
      </c>
      <c r="S6" s="5">
        <f>INDEX('AEO Table 10 2023'!$C$31:$AJ$31,MATCH('EIaE-BIE'!S$1,'AEO Table 10 2023'!$C$13:$AJ$13,0))*10^6*'Canada Elec Mix'!S6</f>
        <v>25227407.093489897</v>
      </c>
      <c r="T6" s="5">
        <f>INDEX('AEO Table 10 2023'!$C$31:$AJ$31,MATCH('EIaE-BIE'!T$1,'AEO Table 10 2023'!$C$13:$AJ$13,0))*10^6*'Canada Elec Mix'!T6</f>
        <v>25460843.834173832</v>
      </c>
      <c r="U6" s="5">
        <f>INDEX('AEO Table 10 2023'!$C$31:$AJ$31,MATCH('EIaE-BIE'!U$1,'AEO Table 10 2023'!$C$13:$AJ$13,0))*10^6*'Canada Elec Mix'!U6</f>
        <v>25610692.109657582</v>
      </c>
      <c r="V6" s="5">
        <f>INDEX('AEO Table 10 2023'!$C$31:$AJ$31,MATCH('EIaE-BIE'!V$1,'AEO Table 10 2023'!$C$13:$AJ$13,0))*10^6*'Canada Elec Mix'!V6</f>
        <v>25590940.92425688</v>
      </c>
      <c r="W6" s="5">
        <f>INDEX('AEO Table 10 2023'!$C$31:$AJ$31,MATCH('EIaE-BIE'!W$1,'AEO Table 10 2023'!$C$13:$AJ$13,0))*10^6*'Canada Elec Mix'!W6</f>
        <v>24642563.035315879</v>
      </c>
      <c r="X6" s="5">
        <f>INDEX('AEO Table 10 2023'!$C$31:$AJ$31,MATCH('EIaE-BIE'!X$1,'AEO Table 10 2023'!$C$13:$AJ$13,0))*10^6*'Canada Elec Mix'!X6</f>
        <v>24277228.474932417</v>
      </c>
      <c r="Y6" s="5">
        <f>INDEX('AEO Table 10 2023'!$C$31:$AJ$31,MATCH('EIaE-BIE'!Y$1,'AEO Table 10 2023'!$C$13:$AJ$13,0))*10^6*'Canada Elec Mix'!Y6</f>
        <v>23520310.215916872</v>
      </c>
      <c r="Z6" s="5">
        <f>INDEX('AEO Table 10 2023'!$C$31:$AJ$31,MATCH('EIaE-BIE'!Z$1,'AEO Table 10 2023'!$C$13:$AJ$13,0))*10^6*'Canada Elec Mix'!Z6</f>
        <v>22593160.932945229</v>
      </c>
      <c r="AA6" s="5">
        <f>INDEX('AEO Table 10 2023'!$C$31:$AJ$31,MATCH('EIaE-BIE'!AA$1,'AEO Table 10 2023'!$C$13:$AJ$13,0))*10^6*'Canada Elec Mix'!AA6</f>
        <v>21859835.7500921</v>
      </c>
      <c r="AB6" s="5">
        <f>INDEX('AEO Table 10 2023'!$C$31:$AJ$31,MATCH('EIaE-BIE'!AB$1,'AEO Table 10 2023'!$C$13:$AJ$13,0))*10^6*'Canada Elec Mix'!AB6</f>
        <v>21062491.025202006</v>
      </c>
      <c r="AC6" s="5">
        <f>INDEX('AEO Table 10 2023'!$C$31:$AJ$31,MATCH('EIaE-BIE'!AC$1,'AEO Table 10 2023'!$C$13:$AJ$13,0))*10^6*'Canada Elec Mix'!AC6</f>
        <v>20782340.254964177</v>
      </c>
      <c r="AD6" s="5">
        <f>INDEX('AEO Table 10 2023'!$C$31:$AJ$31,MATCH('EIaE-BIE'!AD$1,'AEO Table 10 2023'!$C$13:$AJ$13,0))*10^6*'Canada Elec Mix'!AD6</f>
        <v>20779040.966988944</v>
      </c>
      <c r="AE6" s="5">
        <f>INDEX('AEO Table 10 2023'!$C$31:$AJ$31,MATCH('EIaE-BIE'!AE$1,'AEO Table 10 2023'!$C$13:$AJ$13,0))*10^6*'Canada Elec Mix'!AE6</f>
        <v>20365608.38824819</v>
      </c>
      <c r="AF6" s="5">
        <f>INDEX('AEO Table 10 2023'!$C$31:$AJ$31,MATCH('EIaE-BIE'!AF$1,'AEO Table 10 2023'!$C$13:$AJ$13,0))*10^6*'Canada Elec Mix'!AF6</f>
        <v>19934170.888787378</v>
      </c>
    </row>
    <row r="7" spans="1:32" x14ac:dyDescent="0.25">
      <c r="A7" s="2" t="s">
        <v>100</v>
      </c>
      <c r="B7" s="5">
        <f>INDEX('AEO Table 10 2021'!$C$31:$AJ$31,MATCH('EIaE-BIE'!B$1,'AEO Table 10 2021'!$C$13:$AJ$13,0))*10^6*'Canada Elec Mix'!B7</f>
        <v>2313329.8827616144</v>
      </c>
      <c r="C7" s="5">
        <f>INDEX('AEO Table 10 2022'!$C$31:$AJ$31,MATCH('EIaE-BIE'!C$1,'AEO Table 10 2022'!$C$13:$AJ$13,0))*10^6*'Canada Elec Mix'!C7</f>
        <v>3647846.1848596209</v>
      </c>
      <c r="D7" s="5">
        <f>INDEX('AEO Table 10 2023'!$C$31:$AJ$31,MATCH('EIaE-BIE'!D$1,'AEO Table 10 2023'!$C$13:$AJ$13,0))*10^6*'Canada Elec Mix'!D7</f>
        <v>3148547.8498642771</v>
      </c>
      <c r="E7" s="5">
        <f>INDEX('AEO Table 10 2023'!$C$31:$AJ$31,MATCH('EIaE-BIE'!E$1,'AEO Table 10 2023'!$C$13:$AJ$13,0))*10^6*'Canada Elec Mix'!E7</f>
        <v>3736760.38897363</v>
      </c>
      <c r="F7" s="5">
        <f>INDEX('AEO Table 10 2023'!$C$31:$AJ$31,MATCH('EIaE-BIE'!F$1,'AEO Table 10 2023'!$C$13:$AJ$13,0))*10^6*'Canada Elec Mix'!F7</f>
        <v>3335244.7870363947</v>
      </c>
      <c r="G7" s="5">
        <f>INDEX('AEO Table 10 2023'!$C$31:$AJ$31,MATCH('EIaE-BIE'!G$1,'AEO Table 10 2023'!$C$13:$AJ$13,0))*10^6*'Canada Elec Mix'!G7</f>
        <v>3054744.249281805</v>
      </c>
      <c r="H7" s="5">
        <f>INDEX('AEO Table 10 2023'!$C$31:$AJ$31,MATCH('EIaE-BIE'!H$1,'AEO Table 10 2023'!$C$13:$AJ$13,0))*10^6*'Canada Elec Mix'!H7</f>
        <v>3160275.882284814</v>
      </c>
      <c r="I7" s="5">
        <f>INDEX('AEO Table 10 2023'!$C$31:$AJ$31,MATCH('EIaE-BIE'!I$1,'AEO Table 10 2023'!$C$13:$AJ$13,0))*10^6*'Canada Elec Mix'!I7</f>
        <v>3765609.2781829187</v>
      </c>
      <c r="J7" s="5">
        <f>INDEX('AEO Table 10 2023'!$C$31:$AJ$31,MATCH('EIaE-BIE'!J$1,'AEO Table 10 2023'!$C$13:$AJ$13,0))*10^6*'Canada Elec Mix'!J7</f>
        <v>4200497.0568245724</v>
      </c>
      <c r="K7" s="5">
        <f>INDEX('AEO Table 10 2023'!$C$31:$AJ$31,MATCH('EIaE-BIE'!K$1,'AEO Table 10 2023'!$C$13:$AJ$13,0))*10^6*'Canada Elec Mix'!K7</f>
        <v>4246599.5017835395</v>
      </c>
      <c r="L7" s="5">
        <f>INDEX('AEO Table 10 2023'!$C$31:$AJ$31,MATCH('EIaE-BIE'!L$1,'AEO Table 10 2023'!$C$13:$AJ$13,0))*10^6*'Canada Elec Mix'!L7</f>
        <v>4963529.6622210229</v>
      </c>
      <c r="M7" s="5">
        <f>INDEX('AEO Table 10 2023'!$C$31:$AJ$31,MATCH('EIaE-BIE'!M$1,'AEO Table 10 2023'!$C$13:$AJ$13,0))*10^6*'Canada Elec Mix'!M7</f>
        <v>5025670.2162737027</v>
      </c>
      <c r="N7" s="5">
        <f>INDEX('AEO Table 10 2023'!$C$31:$AJ$31,MATCH('EIaE-BIE'!N$1,'AEO Table 10 2023'!$C$13:$AJ$13,0))*10^6*'Canada Elec Mix'!N7</f>
        <v>5538947.6891548699</v>
      </c>
      <c r="O7" s="5">
        <f>INDEX('AEO Table 10 2023'!$C$31:$AJ$31,MATCH('EIaE-BIE'!O$1,'AEO Table 10 2023'!$C$13:$AJ$13,0))*10^6*'Canada Elec Mix'!O7</f>
        <v>5634340.1264835363</v>
      </c>
      <c r="P7" s="5">
        <f>INDEX('AEO Table 10 2023'!$C$31:$AJ$31,MATCH('EIaE-BIE'!P$1,'AEO Table 10 2023'!$C$13:$AJ$13,0))*10^6*'Canada Elec Mix'!P7</f>
        <v>5759950.7373083597</v>
      </c>
      <c r="Q7" s="5">
        <f>INDEX('AEO Table 10 2023'!$C$31:$AJ$31,MATCH('EIaE-BIE'!Q$1,'AEO Table 10 2023'!$C$13:$AJ$13,0))*10^6*'Canada Elec Mix'!Q7</f>
        <v>5660391.1629782058</v>
      </c>
      <c r="R7" s="5">
        <f>INDEX('AEO Table 10 2023'!$C$31:$AJ$31,MATCH('EIaE-BIE'!R$1,'AEO Table 10 2023'!$C$13:$AJ$13,0))*10^6*'Canada Elec Mix'!R7</f>
        <v>5866906.9964180505</v>
      </c>
      <c r="S7" s="5">
        <f>INDEX('AEO Table 10 2023'!$C$31:$AJ$31,MATCH('EIaE-BIE'!S$1,'AEO Table 10 2023'!$C$13:$AJ$13,0))*10^6*'Canada Elec Mix'!S7</f>
        <v>6021083.2624793695</v>
      </c>
      <c r="T7" s="5">
        <f>INDEX('AEO Table 10 2023'!$C$31:$AJ$31,MATCH('EIaE-BIE'!T$1,'AEO Table 10 2023'!$C$13:$AJ$13,0))*10^6*'Canada Elec Mix'!T7</f>
        <v>6515449.7589742551</v>
      </c>
      <c r="U7" s="5">
        <f>INDEX('AEO Table 10 2023'!$C$31:$AJ$31,MATCH('EIaE-BIE'!U$1,'AEO Table 10 2023'!$C$13:$AJ$13,0))*10^6*'Canada Elec Mix'!U7</f>
        <v>6785548.8002419854</v>
      </c>
      <c r="V7" s="5">
        <f>INDEX('AEO Table 10 2023'!$C$31:$AJ$31,MATCH('EIaE-BIE'!V$1,'AEO Table 10 2023'!$C$13:$AJ$13,0))*10^6*'Canada Elec Mix'!V7</f>
        <v>7193190.9595808284</v>
      </c>
      <c r="W7" s="5">
        <f>INDEX('AEO Table 10 2023'!$C$31:$AJ$31,MATCH('EIaE-BIE'!W$1,'AEO Table 10 2023'!$C$13:$AJ$13,0))*10^6*'Canada Elec Mix'!W7</f>
        <v>7209141.4960905053</v>
      </c>
      <c r="X7" s="5">
        <f>INDEX('AEO Table 10 2023'!$C$31:$AJ$31,MATCH('EIaE-BIE'!X$1,'AEO Table 10 2023'!$C$13:$AJ$13,0))*10^6*'Canada Elec Mix'!X7</f>
        <v>7602175.5378192943</v>
      </c>
      <c r="Y7" s="5">
        <f>INDEX('AEO Table 10 2023'!$C$31:$AJ$31,MATCH('EIaE-BIE'!Y$1,'AEO Table 10 2023'!$C$13:$AJ$13,0))*10^6*'Canada Elec Mix'!Y7</f>
        <v>7685791.915876206</v>
      </c>
      <c r="Z7" s="5">
        <f>INDEX('AEO Table 10 2023'!$C$31:$AJ$31,MATCH('EIaE-BIE'!Z$1,'AEO Table 10 2023'!$C$13:$AJ$13,0))*10^6*'Canada Elec Mix'!Z7</f>
        <v>7899567.2834410416</v>
      </c>
      <c r="AA7" s="5">
        <f>INDEX('AEO Table 10 2023'!$C$31:$AJ$31,MATCH('EIaE-BIE'!AA$1,'AEO Table 10 2023'!$C$13:$AJ$13,0))*10^6*'Canada Elec Mix'!AA7</f>
        <v>7871149.9209824549</v>
      </c>
      <c r="AB7" s="5">
        <f>INDEX('AEO Table 10 2023'!$C$31:$AJ$31,MATCH('EIaE-BIE'!AB$1,'AEO Table 10 2023'!$C$13:$AJ$13,0))*10^6*'Canada Elec Mix'!AB7</f>
        <v>8009465.1084723892</v>
      </c>
      <c r="AC7" s="5">
        <f>INDEX('AEO Table 10 2023'!$C$31:$AJ$31,MATCH('EIaE-BIE'!AC$1,'AEO Table 10 2023'!$C$13:$AJ$13,0))*10^6*'Canada Elec Mix'!AC7</f>
        <v>8098018.9174779328</v>
      </c>
      <c r="AD7" s="5">
        <f>INDEX('AEO Table 10 2023'!$C$31:$AJ$31,MATCH('EIaE-BIE'!AD$1,'AEO Table 10 2023'!$C$13:$AJ$13,0))*10^6*'Canada Elec Mix'!AD7</f>
        <v>8439477.0955651533</v>
      </c>
      <c r="AE7" s="5">
        <f>INDEX('AEO Table 10 2023'!$C$31:$AJ$31,MATCH('EIaE-BIE'!AE$1,'AEO Table 10 2023'!$C$13:$AJ$13,0))*10^6*'Canada Elec Mix'!AE7</f>
        <v>8452327.1292242389</v>
      </c>
      <c r="AF7" s="5">
        <f>INDEX('AEO Table 10 2023'!$C$31:$AJ$31,MATCH('EIaE-BIE'!AF$1,'AEO Table 10 2023'!$C$13:$AJ$13,0))*10^6*'Canada Elec Mix'!AF7</f>
        <v>8421732.8662742525</v>
      </c>
    </row>
    <row r="8" spans="1:32" x14ac:dyDescent="0.25">
      <c r="A8" s="2" t="s">
        <v>102</v>
      </c>
      <c r="B8" s="5">
        <f>INDEX('AEO Table 10 2021'!$C$31:$AJ$31,MATCH('EIaE-BIE'!B$1,'AEO Table 10 2021'!$C$13:$AJ$13,0))*10^6*'Canada Elec Mix'!B8</f>
        <v>147329.22924964182</v>
      </c>
      <c r="C8" s="5">
        <f>INDEX('AEO Table 10 2022'!$C$31:$AJ$31,MATCH('EIaE-BIE'!C$1,'AEO Table 10 2022'!$C$13:$AJ$13,0))*10^6*'Canada Elec Mix'!C8</f>
        <v>253990.60239873998</v>
      </c>
      <c r="D8" s="5">
        <f>INDEX('AEO Table 10 2023'!$C$31:$AJ$31,MATCH('EIaE-BIE'!D$1,'AEO Table 10 2023'!$C$13:$AJ$13,0))*10^6*'Canada Elec Mix'!D8</f>
        <v>223945.605191993</v>
      </c>
      <c r="E8" s="5">
        <f>INDEX('AEO Table 10 2023'!$C$31:$AJ$31,MATCH('EIaE-BIE'!E$1,'AEO Table 10 2023'!$C$13:$AJ$13,0))*10^6*'Canada Elec Mix'!E8</f>
        <v>284242.820497701</v>
      </c>
      <c r="F8" s="5">
        <f>INDEX('AEO Table 10 2023'!$C$31:$AJ$31,MATCH('EIaE-BIE'!F$1,'AEO Table 10 2023'!$C$13:$AJ$13,0))*10^6*'Canada Elec Mix'!F8</f>
        <v>262765.82290298596</v>
      </c>
      <c r="G8" s="5">
        <f>INDEX('AEO Table 10 2023'!$C$31:$AJ$31,MATCH('EIaE-BIE'!G$1,'AEO Table 10 2023'!$C$13:$AJ$13,0))*10^6*'Canada Elec Mix'!G8</f>
        <v>243864.73742521033</v>
      </c>
      <c r="H8" s="5">
        <f>INDEX('AEO Table 10 2023'!$C$31:$AJ$31,MATCH('EIaE-BIE'!H$1,'AEO Table 10 2023'!$C$13:$AJ$13,0))*10^6*'Canada Elec Mix'!H8</f>
        <v>284537.68126706214</v>
      </c>
      <c r="I8" s="5">
        <f>INDEX('AEO Table 10 2023'!$C$31:$AJ$31,MATCH('EIaE-BIE'!I$1,'AEO Table 10 2023'!$C$13:$AJ$13,0))*10^6*'Canada Elec Mix'!I8</f>
        <v>321092.74863437068</v>
      </c>
      <c r="J8" s="5">
        <f>INDEX('AEO Table 10 2023'!$C$31:$AJ$31,MATCH('EIaE-BIE'!J$1,'AEO Table 10 2023'!$C$13:$AJ$13,0))*10^6*'Canada Elec Mix'!J8</f>
        <v>344304.94931875757</v>
      </c>
      <c r="K8" s="5">
        <f>INDEX('AEO Table 10 2023'!$C$31:$AJ$31,MATCH('EIaE-BIE'!K$1,'AEO Table 10 2023'!$C$13:$AJ$13,0))*10^6*'Canada Elec Mix'!K8</f>
        <v>407297.26252052916</v>
      </c>
      <c r="L8" s="5">
        <f>INDEX('AEO Table 10 2023'!$C$31:$AJ$31,MATCH('EIaE-BIE'!L$1,'AEO Table 10 2023'!$C$13:$AJ$13,0))*10^6*'Canada Elec Mix'!L8</f>
        <v>484440.92556075606</v>
      </c>
      <c r="M8" s="5">
        <f>INDEX('AEO Table 10 2023'!$C$31:$AJ$31,MATCH('EIaE-BIE'!M$1,'AEO Table 10 2023'!$C$13:$AJ$13,0))*10^6*'Canada Elec Mix'!M8</f>
        <v>504722.62705312861</v>
      </c>
      <c r="N8" s="5">
        <f>INDEX('AEO Table 10 2023'!$C$31:$AJ$31,MATCH('EIaE-BIE'!N$1,'AEO Table 10 2023'!$C$13:$AJ$13,0))*10^6*'Canada Elec Mix'!N8</f>
        <v>579689.63494622393</v>
      </c>
      <c r="O8" s="5">
        <f>INDEX('AEO Table 10 2023'!$C$31:$AJ$31,MATCH('EIaE-BIE'!O$1,'AEO Table 10 2023'!$C$13:$AJ$13,0))*10^6*'Canada Elec Mix'!O8</f>
        <v>667597.8616745352</v>
      </c>
      <c r="P8" s="5">
        <f>INDEX('AEO Table 10 2023'!$C$31:$AJ$31,MATCH('EIaE-BIE'!P$1,'AEO Table 10 2023'!$C$13:$AJ$13,0))*10^6*'Canada Elec Mix'!P8</f>
        <v>761223.08755133767</v>
      </c>
      <c r="Q8" s="5">
        <f>INDEX('AEO Table 10 2023'!$C$31:$AJ$31,MATCH('EIaE-BIE'!Q$1,'AEO Table 10 2023'!$C$13:$AJ$13,0))*10^6*'Canada Elec Mix'!Q8</f>
        <v>951419.1954707118</v>
      </c>
      <c r="R8" s="5">
        <f>INDEX('AEO Table 10 2023'!$C$31:$AJ$31,MATCH('EIaE-BIE'!R$1,'AEO Table 10 2023'!$C$13:$AJ$13,0))*10^6*'Canada Elec Mix'!R8</f>
        <v>1052383.9406903035</v>
      </c>
      <c r="S8" s="5">
        <f>INDEX('AEO Table 10 2023'!$C$31:$AJ$31,MATCH('EIaE-BIE'!S$1,'AEO Table 10 2023'!$C$13:$AJ$13,0))*10^6*'Canada Elec Mix'!S8</f>
        <v>1153690.5003946901</v>
      </c>
      <c r="T8" s="5">
        <f>INDEX('AEO Table 10 2023'!$C$31:$AJ$31,MATCH('EIaE-BIE'!T$1,'AEO Table 10 2023'!$C$13:$AJ$13,0))*10^6*'Canada Elec Mix'!T8</f>
        <v>1277548.6712150187</v>
      </c>
      <c r="U8" s="5">
        <f>INDEX('AEO Table 10 2023'!$C$31:$AJ$31,MATCH('EIaE-BIE'!U$1,'AEO Table 10 2023'!$C$13:$AJ$13,0))*10^6*'Canada Elec Mix'!U8</f>
        <v>1417671.8719851179</v>
      </c>
      <c r="V8" s="5">
        <f>INDEX('AEO Table 10 2023'!$C$31:$AJ$31,MATCH('EIaE-BIE'!V$1,'AEO Table 10 2023'!$C$13:$AJ$13,0))*10^6*'Canada Elec Mix'!V8</f>
        <v>1671523.2983180906</v>
      </c>
      <c r="W8" s="5">
        <f>INDEX('AEO Table 10 2023'!$C$31:$AJ$31,MATCH('EIaE-BIE'!W$1,'AEO Table 10 2023'!$C$13:$AJ$13,0))*10^6*'Canada Elec Mix'!W8</f>
        <v>1810181.9690082972</v>
      </c>
      <c r="X8" s="5">
        <f>INDEX('AEO Table 10 2023'!$C$31:$AJ$31,MATCH('EIaE-BIE'!X$1,'AEO Table 10 2023'!$C$13:$AJ$13,0))*10^6*'Canada Elec Mix'!X8</f>
        <v>2001131.7646485565</v>
      </c>
      <c r="Y8" s="5">
        <f>INDEX('AEO Table 10 2023'!$C$31:$AJ$31,MATCH('EIaE-BIE'!Y$1,'AEO Table 10 2023'!$C$13:$AJ$13,0))*10^6*'Canada Elec Mix'!Y8</f>
        <v>2183486.5173750808</v>
      </c>
      <c r="Z8" s="5">
        <f>INDEX('AEO Table 10 2023'!$C$31:$AJ$31,MATCH('EIaE-BIE'!Z$1,'AEO Table 10 2023'!$C$13:$AJ$13,0))*10^6*'Canada Elec Mix'!Z8</f>
        <v>2321497.423265046</v>
      </c>
      <c r="AA8" s="5">
        <f>INDEX('AEO Table 10 2023'!$C$31:$AJ$31,MATCH('EIaE-BIE'!AA$1,'AEO Table 10 2023'!$C$13:$AJ$13,0))*10^6*'Canada Elec Mix'!AA8</f>
        <v>2517444.62505998</v>
      </c>
      <c r="AB8" s="5">
        <f>INDEX('AEO Table 10 2023'!$C$31:$AJ$31,MATCH('EIaE-BIE'!AB$1,'AEO Table 10 2023'!$C$13:$AJ$13,0))*10^6*'Canada Elec Mix'!AB8</f>
        <v>2581895.8341152221</v>
      </c>
      <c r="AC8" s="5">
        <f>INDEX('AEO Table 10 2023'!$C$31:$AJ$31,MATCH('EIaE-BIE'!AC$1,'AEO Table 10 2023'!$C$13:$AJ$13,0))*10^6*'Canada Elec Mix'!AC8</f>
        <v>2660620.9672781443</v>
      </c>
      <c r="AD8" s="5">
        <f>INDEX('AEO Table 10 2023'!$C$31:$AJ$31,MATCH('EIaE-BIE'!AD$1,'AEO Table 10 2023'!$C$13:$AJ$13,0))*10^6*'Canada Elec Mix'!AD8</f>
        <v>2749273.6917838478</v>
      </c>
      <c r="AE8" s="5">
        <f>INDEX('AEO Table 10 2023'!$C$31:$AJ$31,MATCH('EIaE-BIE'!AE$1,'AEO Table 10 2023'!$C$13:$AJ$13,0))*10^6*'Canada Elec Mix'!AE8</f>
        <v>2779375.2387108053</v>
      </c>
      <c r="AF8" s="5">
        <f>INDEX('AEO Table 10 2023'!$C$31:$AJ$31,MATCH('EIaE-BIE'!AF$1,'AEO Table 10 2023'!$C$13:$AJ$13,0))*10^6*'Canada Elec Mix'!AF8</f>
        <v>2776324.4375807694</v>
      </c>
    </row>
    <row r="9" spans="1:32" x14ac:dyDescent="0.25">
      <c r="A9" s="2" t="s">
        <v>103</v>
      </c>
      <c r="B9" s="5">
        <f>INDEX('AEO Table 10 2021'!$C$31:$AJ$31,MATCH('EIaE-BIE'!B$1,'AEO Table 10 2021'!$C$13:$AJ$13,0))*10^6*'Canada Elec Mix'!B9</f>
        <v>0</v>
      </c>
      <c r="C9" s="5">
        <f>INDEX('AEO Table 10 2022'!$C$31:$AJ$31,MATCH('EIaE-BIE'!C$1,'AEO Table 10 2022'!$C$13:$AJ$13,0))*10^6*'Canada Elec Mix'!C9</f>
        <v>0</v>
      </c>
      <c r="D9" s="5">
        <f>INDEX('AEO Table 10 2023'!$C$31:$AJ$31,MATCH('EIaE-BIE'!D$1,'AEO Table 10 2023'!$C$13:$AJ$13,0))*10^6*'Canada Elec Mix'!D9</f>
        <v>0</v>
      </c>
      <c r="E9" s="5">
        <f>INDEX('AEO Table 10 2023'!$C$31:$AJ$31,MATCH('EIaE-BIE'!E$1,'AEO Table 10 2023'!$C$13:$AJ$13,0))*10^6*'Canada Elec Mix'!E9</f>
        <v>0</v>
      </c>
      <c r="F9" s="5">
        <f>INDEX('AEO Table 10 2023'!$C$31:$AJ$31,MATCH('EIaE-BIE'!F$1,'AEO Table 10 2023'!$C$13:$AJ$13,0))*10^6*'Canada Elec Mix'!F9</f>
        <v>0</v>
      </c>
      <c r="G9" s="5">
        <f>INDEX('AEO Table 10 2023'!$C$31:$AJ$31,MATCH('EIaE-BIE'!G$1,'AEO Table 10 2023'!$C$13:$AJ$13,0))*10^6*'Canada Elec Mix'!G9</f>
        <v>0</v>
      </c>
      <c r="H9" s="5">
        <f>INDEX('AEO Table 10 2023'!$C$31:$AJ$31,MATCH('EIaE-BIE'!H$1,'AEO Table 10 2023'!$C$13:$AJ$13,0))*10^6*'Canada Elec Mix'!H9</f>
        <v>0</v>
      </c>
      <c r="I9" s="5">
        <f>INDEX('AEO Table 10 2023'!$C$31:$AJ$31,MATCH('EIaE-BIE'!I$1,'AEO Table 10 2023'!$C$13:$AJ$13,0))*10^6*'Canada Elec Mix'!I9</f>
        <v>0</v>
      </c>
      <c r="J9" s="5">
        <f>INDEX('AEO Table 10 2023'!$C$31:$AJ$31,MATCH('EIaE-BIE'!J$1,'AEO Table 10 2023'!$C$13:$AJ$13,0))*10^6*'Canada Elec Mix'!J9</f>
        <v>0</v>
      </c>
      <c r="K9" s="5">
        <f>INDEX('AEO Table 10 2023'!$C$31:$AJ$31,MATCH('EIaE-BIE'!K$1,'AEO Table 10 2023'!$C$13:$AJ$13,0))*10^6*'Canada Elec Mix'!K9</f>
        <v>0</v>
      </c>
      <c r="L9" s="5">
        <f>INDEX('AEO Table 10 2023'!$C$31:$AJ$31,MATCH('EIaE-BIE'!L$1,'AEO Table 10 2023'!$C$13:$AJ$13,0))*10^6*'Canada Elec Mix'!L9</f>
        <v>0</v>
      </c>
      <c r="M9" s="5">
        <f>INDEX('AEO Table 10 2023'!$C$31:$AJ$31,MATCH('EIaE-BIE'!M$1,'AEO Table 10 2023'!$C$13:$AJ$13,0))*10^6*'Canada Elec Mix'!M9</f>
        <v>0</v>
      </c>
      <c r="N9" s="5">
        <f>INDEX('AEO Table 10 2023'!$C$31:$AJ$31,MATCH('EIaE-BIE'!N$1,'AEO Table 10 2023'!$C$13:$AJ$13,0))*10^6*'Canada Elec Mix'!N9</f>
        <v>0</v>
      </c>
      <c r="O9" s="5">
        <f>INDEX('AEO Table 10 2023'!$C$31:$AJ$31,MATCH('EIaE-BIE'!O$1,'AEO Table 10 2023'!$C$13:$AJ$13,0))*10^6*'Canada Elec Mix'!O9</f>
        <v>0</v>
      </c>
      <c r="P9" s="5">
        <f>INDEX('AEO Table 10 2023'!$C$31:$AJ$31,MATCH('EIaE-BIE'!P$1,'AEO Table 10 2023'!$C$13:$AJ$13,0))*10^6*'Canada Elec Mix'!P9</f>
        <v>0</v>
      </c>
      <c r="Q9" s="5">
        <f>INDEX('AEO Table 10 2023'!$C$31:$AJ$31,MATCH('EIaE-BIE'!Q$1,'AEO Table 10 2023'!$C$13:$AJ$13,0))*10^6*'Canada Elec Mix'!Q9</f>
        <v>0</v>
      </c>
      <c r="R9" s="5">
        <f>INDEX('AEO Table 10 2023'!$C$31:$AJ$31,MATCH('EIaE-BIE'!R$1,'AEO Table 10 2023'!$C$13:$AJ$13,0))*10^6*'Canada Elec Mix'!R9</f>
        <v>0</v>
      </c>
      <c r="S9" s="5">
        <f>INDEX('AEO Table 10 2023'!$C$31:$AJ$31,MATCH('EIaE-BIE'!S$1,'AEO Table 10 2023'!$C$13:$AJ$13,0))*10^6*'Canada Elec Mix'!S9</f>
        <v>0</v>
      </c>
      <c r="T9" s="5">
        <f>INDEX('AEO Table 10 2023'!$C$31:$AJ$31,MATCH('EIaE-BIE'!T$1,'AEO Table 10 2023'!$C$13:$AJ$13,0))*10^6*'Canada Elec Mix'!T9</f>
        <v>0</v>
      </c>
      <c r="U9" s="5">
        <f>INDEX('AEO Table 10 2023'!$C$31:$AJ$31,MATCH('EIaE-BIE'!U$1,'AEO Table 10 2023'!$C$13:$AJ$13,0))*10^6*'Canada Elec Mix'!U9</f>
        <v>0</v>
      </c>
      <c r="V9" s="5">
        <f>INDEX('AEO Table 10 2023'!$C$31:$AJ$31,MATCH('EIaE-BIE'!V$1,'AEO Table 10 2023'!$C$13:$AJ$13,0))*10^6*'Canada Elec Mix'!V9</f>
        <v>0</v>
      </c>
      <c r="W9" s="5">
        <f>INDEX('AEO Table 10 2023'!$C$31:$AJ$31,MATCH('EIaE-BIE'!W$1,'AEO Table 10 2023'!$C$13:$AJ$13,0))*10^6*'Canada Elec Mix'!W9</f>
        <v>0</v>
      </c>
      <c r="X9" s="5">
        <f>INDEX('AEO Table 10 2023'!$C$31:$AJ$31,MATCH('EIaE-BIE'!X$1,'AEO Table 10 2023'!$C$13:$AJ$13,0))*10^6*'Canada Elec Mix'!X9</f>
        <v>0</v>
      </c>
      <c r="Y9" s="5">
        <f>INDEX('AEO Table 10 2023'!$C$31:$AJ$31,MATCH('EIaE-BIE'!Y$1,'AEO Table 10 2023'!$C$13:$AJ$13,0))*10^6*'Canada Elec Mix'!Y9</f>
        <v>0</v>
      </c>
      <c r="Z9" s="5">
        <f>INDEX('AEO Table 10 2023'!$C$31:$AJ$31,MATCH('EIaE-BIE'!Z$1,'AEO Table 10 2023'!$C$13:$AJ$13,0))*10^6*'Canada Elec Mix'!Z9</f>
        <v>0</v>
      </c>
      <c r="AA9" s="5">
        <f>INDEX('AEO Table 10 2023'!$C$31:$AJ$31,MATCH('EIaE-BIE'!AA$1,'AEO Table 10 2023'!$C$13:$AJ$13,0))*10^6*'Canada Elec Mix'!AA9</f>
        <v>0</v>
      </c>
      <c r="AB9" s="5">
        <f>INDEX('AEO Table 10 2023'!$C$31:$AJ$31,MATCH('EIaE-BIE'!AB$1,'AEO Table 10 2023'!$C$13:$AJ$13,0))*10^6*'Canada Elec Mix'!AB9</f>
        <v>0</v>
      </c>
      <c r="AC9" s="5">
        <f>INDEX('AEO Table 10 2023'!$C$31:$AJ$31,MATCH('EIaE-BIE'!AC$1,'AEO Table 10 2023'!$C$13:$AJ$13,0))*10^6*'Canada Elec Mix'!AC9</f>
        <v>0</v>
      </c>
      <c r="AD9" s="5">
        <f>INDEX('AEO Table 10 2023'!$C$31:$AJ$31,MATCH('EIaE-BIE'!AD$1,'AEO Table 10 2023'!$C$13:$AJ$13,0))*10^6*'Canada Elec Mix'!AD9</f>
        <v>0</v>
      </c>
      <c r="AE9" s="5">
        <f>INDEX('AEO Table 10 2023'!$C$31:$AJ$31,MATCH('EIaE-BIE'!AE$1,'AEO Table 10 2023'!$C$13:$AJ$13,0))*10^6*'Canada Elec Mix'!AE9</f>
        <v>0</v>
      </c>
      <c r="AF9" s="5">
        <f>INDEX('AEO Table 10 2023'!$C$31:$AJ$31,MATCH('EIaE-BIE'!AF$1,'AEO Table 10 2023'!$C$13:$AJ$13,0))*10^6*'Canada Elec Mix'!AF9</f>
        <v>0</v>
      </c>
    </row>
    <row r="10" spans="1:32" x14ac:dyDescent="0.25">
      <c r="A10" s="2" t="s">
        <v>104</v>
      </c>
      <c r="B10" s="5">
        <f>INDEX('AEO Table 10 2021'!$C$31:$AJ$31,MATCH('EIaE-BIE'!B$1,'AEO Table 10 2021'!$C$13:$AJ$13,0))*10^6*'Canada Elec Mix'!B10</f>
        <v>507085.85910717805</v>
      </c>
      <c r="C10" s="5">
        <f>INDEX('AEO Table 10 2022'!$C$31:$AJ$31,MATCH('EIaE-BIE'!C$1,'AEO Table 10 2022'!$C$13:$AJ$13,0))*10^6*'Canada Elec Mix'!C10</f>
        <v>776363.95109191362</v>
      </c>
      <c r="D10" s="5">
        <f>INDEX('AEO Table 10 2023'!$C$31:$AJ$31,MATCH('EIaE-BIE'!D$1,'AEO Table 10 2023'!$C$13:$AJ$13,0))*10^6*'Canada Elec Mix'!D10</f>
        <v>520390.27577778534</v>
      </c>
      <c r="E10" s="5">
        <f>INDEX('AEO Table 10 2023'!$C$31:$AJ$31,MATCH('EIaE-BIE'!E$1,'AEO Table 10 2023'!$C$13:$AJ$13,0))*10^6*'Canada Elec Mix'!E10</f>
        <v>620778.75371387368</v>
      </c>
      <c r="F10" s="5">
        <f>INDEX('AEO Table 10 2023'!$C$31:$AJ$31,MATCH('EIaE-BIE'!F$1,'AEO Table 10 2023'!$C$13:$AJ$13,0))*10^6*'Canada Elec Mix'!F10</f>
        <v>523571.80650325242</v>
      </c>
      <c r="G10" s="5">
        <f>INDEX('AEO Table 10 2023'!$C$31:$AJ$31,MATCH('EIaE-BIE'!G$1,'AEO Table 10 2023'!$C$13:$AJ$13,0))*10^6*'Canada Elec Mix'!G10</f>
        <v>460998.65252685564</v>
      </c>
      <c r="H10" s="5">
        <f>INDEX('AEO Table 10 2023'!$C$31:$AJ$31,MATCH('EIaE-BIE'!H$1,'AEO Table 10 2023'!$C$13:$AJ$13,0))*10^6*'Canada Elec Mix'!H10</f>
        <v>473153.29275913833</v>
      </c>
      <c r="I10" s="5">
        <f>INDEX('AEO Table 10 2023'!$C$31:$AJ$31,MATCH('EIaE-BIE'!I$1,'AEO Table 10 2023'!$C$13:$AJ$13,0))*10^6*'Canada Elec Mix'!I10</f>
        <v>496118.96053909435</v>
      </c>
      <c r="J10" s="5">
        <f>INDEX('AEO Table 10 2023'!$C$31:$AJ$31,MATCH('EIaE-BIE'!J$1,'AEO Table 10 2023'!$C$13:$AJ$13,0))*10^6*'Canada Elec Mix'!J10</f>
        <v>516407.39660531696</v>
      </c>
      <c r="K10" s="5">
        <f>INDEX('AEO Table 10 2023'!$C$31:$AJ$31,MATCH('EIaE-BIE'!K$1,'AEO Table 10 2023'!$C$13:$AJ$13,0))*10^6*'Canada Elec Mix'!K10</f>
        <v>483639.87597427005</v>
      </c>
      <c r="L10" s="5">
        <f>INDEX('AEO Table 10 2023'!$C$31:$AJ$31,MATCH('EIaE-BIE'!L$1,'AEO Table 10 2023'!$C$13:$AJ$13,0))*10^6*'Canada Elec Mix'!L10</f>
        <v>491299.04743332008</v>
      </c>
      <c r="M10" s="5">
        <f>INDEX('AEO Table 10 2023'!$C$31:$AJ$31,MATCH('EIaE-BIE'!M$1,'AEO Table 10 2023'!$C$13:$AJ$13,0))*10^6*'Canada Elec Mix'!M10</f>
        <v>452826.2602565097</v>
      </c>
      <c r="N10" s="5">
        <f>INDEX('AEO Table 10 2023'!$C$31:$AJ$31,MATCH('EIaE-BIE'!N$1,'AEO Table 10 2023'!$C$13:$AJ$13,0))*10^6*'Canada Elec Mix'!N10</f>
        <v>453799.20287766505</v>
      </c>
      <c r="O10" s="5">
        <f>INDEX('AEO Table 10 2023'!$C$31:$AJ$31,MATCH('EIaE-BIE'!O$1,'AEO Table 10 2023'!$C$13:$AJ$13,0))*10^6*'Canada Elec Mix'!O10</f>
        <v>457236.61348320456</v>
      </c>
      <c r="P10" s="5">
        <f>INDEX('AEO Table 10 2023'!$C$31:$AJ$31,MATCH('EIaE-BIE'!P$1,'AEO Table 10 2023'!$C$13:$AJ$13,0))*10^6*'Canada Elec Mix'!P10</f>
        <v>455526.30857332813</v>
      </c>
      <c r="Q10" s="5">
        <f>INDEX('AEO Table 10 2023'!$C$31:$AJ$31,MATCH('EIaE-BIE'!Q$1,'AEO Table 10 2023'!$C$13:$AJ$13,0))*10^6*'Canada Elec Mix'!Q10</f>
        <v>438947.59439573268</v>
      </c>
      <c r="R10" s="5">
        <f>INDEX('AEO Table 10 2023'!$C$31:$AJ$31,MATCH('EIaE-BIE'!R$1,'AEO Table 10 2023'!$C$13:$AJ$13,0))*10^6*'Canada Elec Mix'!R10</f>
        <v>443833.90836949367</v>
      </c>
      <c r="S10" s="5">
        <f>INDEX('AEO Table 10 2023'!$C$31:$AJ$31,MATCH('EIaE-BIE'!S$1,'AEO Table 10 2023'!$C$13:$AJ$13,0))*10^6*'Canada Elec Mix'!S10</f>
        <v>442120.87749537919</v>
      </c>
      <c r="T10" s="5">
        <f>INDEX('AEO Table 10 2023'!$C$31:$AJ$31,MATCH('EIaE-BIE'!T$1,'AEO Table 10 2023'!$C$13:$AJ$13,0))*10^6*'Canada Elec Mix'!T10</f>
        <v>446244.58034793101</v>
      </c>
      <c r="U10" s="5">
        <f>INDEX('AEO Table 10 2023'!$C$31:$AJ$31,MATCH('EIaE-BIE'!U$1,'AEO Table 10 2023'!$C$13:$AJ$13,0))*10^6*'Canada Elec Mix'!U10</f>
        <v>450557.26293268218</v>
      </c>
      <c r="V10" s="5">
        <f>INDEX('AEO Table 10 2023'!$C$31:$AJ$31,MATCH('EIaE-BIE'!V$1,'AEO Table 10 2023'!$C$13:$AJ$13,0))*10^6*'Canada Elec Mix'!V10</f>
        <v>449572.36985403812</v>
      </c>
      <c r="W10" s="5">
        <f>INDEX('AEO Table 10 2023'!$C$31:$AJ$31,MATCH('EIaE-BIE'!W$1,'AEO Table 10 2023'!$C$13:$AJ$13,0))*10^6*'Canada Elec Mix'!W10</f>
        <v>433570.2378745451</v>
      </c>
      <c r="X10" s="5">
        <f>INDEX('AEO Table 10 2023'!$C$31:$AJ$31,MATCH('EIaE-BIE'!X$1,'AEO Table 10 2023'!$C$13:$AJ$13,0))*10^6*'Canada Elec Mix'!X10</f>
        <v>426078.67066889466</v>
      </c>
      <c r="Y10" s="5">
        <f>INDEX('AEO Table 10 2023'!$C$31:$AJ$31,MATCH('EIaE-BIE'!Y$1,'AEO Table 10 2023'!$C$13:$AJ$13,0))*10^6*'Canada Elec Mix'!Y10</f>
        <v>410786.35280459496</v>
      </c>
      <c r="Z10" s="5">
        <f>INDEX('AEO Table 10 2023'!$C$31:$AJ$31,MATCH('EIaE-BIE'!Z$1,'AEO Table 10 2023'!$C$13:$AJ$13,0))*10^6*'Canada Elec Mix'!Z10</f>
        <v>393159.74549302226</v>
      </c>
      <c r="AA10" s="5">
        <f>INDEX('AEO Table 10 2023'!$C$31:$AJ$31,MATCH('EIaE-BIE'!AA$1,'AEO Table 10 2023'!$C$13:$AJ$13,0))*10^6*'Canada Elec Mix'!AA10</f>
        <v>378802.78432875255</v>
      </c>
      <c r="AB10" s="5">
        <f>INDEX('AEO Table 10 2023'!$C$31:$AJ$31,MATCH('EIaE-BIE'!AB$1,'AEO Table 10 2023'!$C$13:$AJ$13,0))*10^6*'Canada Elec Mix'!AB10</f>
        <v>365454.22159395175</v>
      </c>
      <c r="AC10" s="5">
        <f>INDEX('AEO Table 10 2023'!$C$31:$AJ$31,MATCH('EIaE-BIE'!AC$1,'AEO Table 10 2023'!$C$13:$AJ$13,0))*10^6*'Canada Elec Mix'!AC10</f>
        <v>359657.25293527567</v>
      </c>
      <c r="AD10" s="5">
        <f>INDEX('AEO Table 10 2023'!$C$31:$AJ$31,MATCH('EIaE-BIE'!AD$1,'AEO Table 10 2023'!$C$13:$AJ$13,0))*10^6*'Canada Elec Mix'!AD10</f>
        <v>358264.02388307417</v>
      </c>
      <c r="AE10" s="5">
        <f>INDEX('AEO Table 10 2023'!$C$31:$AJ$31,MATCH('EIaE-BIE'!AE$1,'AEO Table 10 2023'!$C$13:$AJ$13,0))*10^6*'Canada Elec Mix'!AE10</f>
        <v>350841.36731785099</v>
      </c>
      <c r="AF10" s="5">
        <f>INDEX('AEO Table 10 2023'!$C$31:$AJ$31,MATCH('EIaE-BIE'!AF$1,'AEO Table 10 2023'!$C$13:$AJ$13,0))*10^6*'Canada Elec Mix'!AF10</f>
        <v>341956.8936851141</v>
      </c>
    </row>
    <row r="11" spans="1:32" x14ac:dyDescent="0.25">
      <c r="A11" s="2" t="s">
        <v>105</v>
      </c>
      <c r="B11" s="5">
        <f>INDEX('AEO Table 10 2021'!$C$31:$AJ$31,MATCH('EIaE-BIE'!B$1,'AEO Table 10 2021'!$C$13:$AJ$13,0))*10^6*'Canada Elec Mix'!B11</f>
        <v>0</v>
      </c>
      <c r="C11" s="5">
        <f>INDEX('AEO Table 10 2022'!$C$31:$AJ$31,MATCH('EIaE-BIE'!C$1,'AEO Table 10 2022'!$C$13:$AJ$13,0))*10^6*'Canada Elec Mix'!C11</f>
        <v>0</v>
      </c>
      <c r="D11" s="5">
        <f>INDEX('AEO Table 10 2023'!$C$31:$AJ$31,MATCH('EIaE-BIE'!D$1,'AEO Table 10 2023'!$C$13:$AJ$13,0))*10^6*'Canada Elec Mix'!D11</f>
        <v>0</v>
      </c>
      <c r="E11" s="5">
        <f>INDEX('AEO Table 10 2023'!$C$31:$AJ$31,MATCH('EIaE-BIE'!E$1,'AEO Table 10 2023'!$C$13:$AJ$13,0))*10^6*'Canada Elec Mix'!E11</f>
        <v>0</v>
      </c>
      <c r="F11" s="5">
        <f>INDEX('AEO Table 10 2023'!$C$31:$AJ$31,MATCH('EIaE-BIE'!F$1,'AEO Table 10 2023'!$C$13:$AJ$13,0))*10^6*'Canada Elec Mix'!F11</f>
        <v>0</v>
      </c>
      <c r="G11" s="5">
        <f>INDEX('AEO Table 10 2023'!$C$31:$AJ$31,MATCH('EIaE-BIE'!G$1,'AEO Table 10 2023'!$C$13:$AJ$13,0))*10^6*'Canada Elec Mix'!G11</f>
        <v>0</v>
      </c>
      <c r="H11" s="5">
        <f>INDEX('AEO Table 10 2023'!$C$31:$AJ$31,MATCH('EIaE-BIE'!H$1,'AEO Table 10 2023'!$C$13:$AJ$13,0))*10^6*'Canada Elec Mix'!H11</f>
        <v>0</v>
      </c>
      <c r="I11" s="5">
        <f>INDEX('AEO Table 10 2023'!$C$31:$AJ$31,MATCH('EIaE-BIE'!I$1,'AEO Table 10 2023'!$C$13:$AJ$13,0))*10^6*'Canada Elec Mix'!I11</f>
        <v>0</v>
      </c>
      <c r="J11" s="5">
        <f>INDEX('AEO Table 10 2023'!$C$31:$AJ$31,MATCH('EIaE-BIE'!J$1,'AEO Table 10 2023'!$C$13:$AJ$13,0))*10^6*'Canada Elec Mix'!J11</f>
        <v>0</v>
      </c>
      <c r="K11" s="5">
        <f>INDEX('AEO Table 10 2023'!$C$31:$AJ$31,MATCH('EIaE-BIE'!K$1,'AEO Table 10 2023'!$C$13:$AJ$13,0))*10^6*'Canada Elec Mix'!K11</f>
        <v>0</v>
      </c>
      <c r="L11" s="5">
        <f>INDEX('AEO Table 10 2023'!$C$31:$AJ$31,MATCH('EIaE-BIE'!L$1,'AEO Table 10 2023'!$C$13:$AJ$13,0))*10^6*'Canada Elec Mix'!L11</f>
        <v>0</v>
      </c>
      <c r="M11" s="5">
        <f>INDEX('AEO Table 10 2023'!$C$31:$AJ$31,MATCH('EIaE-BIE'!M$1,'AEO Table 10 2023'!$C$13:$AJ$13,0))*10^6*'Canada Elec Mix'!M11</f>
        <v>0</v>
      </c>
      <c r="N11" s="5">
        <f>INDEX('AEO Table 10 2023'!$C$31:$AJ$31,MATCH('EIaE-BIE'!N$1,'AEO Table 10 2023'!$C$13:$AJ$13,0))*10^6*'Canada Elec Mix'!N11</f>
        <v>0</v>
      </c>
      <c r="O11" s="5">
        <f>INDEX('AEO Table 10 2023'!$C$31:$AJ$31,MATCH('EIaE-BIE'!O$1,'AEO Table 10 2023'!$C$13:$AJ$13,0))*10^6*'Canada Elec Mix'!O11</f>
        <v>0</v>
      </c>
      <c r="P11" s="5">
        <f>INDEX('AEO Table 10 2023'!$C$31:$AJ$31,MATCH('EIaE-BIE'!P$1,'AEO Table 10 2023'!$C$13:$AJ$13,0))*10^6*'Canada Elec Mix'!P11</f>
        <v>0</v>
      </c>
      <c r="Q11" s="5">
        <f>INDEX('AEO Table 10 2023'!$C$31:$AJ$31,MATCH('EIaE-BIE'!Q$1,'AEO Table 10 2023'!$C$13:$AJ$13,0))*10^6*'Canada Elec Mix'!Q11</f>
        <v>0</v>
      </c>
      <c r="R11" s="5">
        <f>INDEX('AEO Table 10 2023'!$C$31:$AJ$31,MATCH('EIaE-BIE'!R$1,'AEO Table 10 2023'!$C$13:$AJ$13,0))*10^6*'Canada Elec Mix'!R11</f>
        <v>0</v>
      </c>
      <c r="S11" s="5">
        <f>INDEX('AEO Table 10 2023'!$C$31:$AJ$31,MATCH('EIaE-BIE'!S$1,'AEO Table 10 2023'!$C$13:$AJ$13,0))*10^6*'Canada Elec Mix'!S11</f>
        <v>0</v>
      </c>
      <c r="T11" s="5">
        <f>INDEX('AEO Table 10 2023'!$C$31:$AJ$31,MATCH('EIaE-BIE'!T$1,'AEO Table 10 2023'!$C$13:$AJ$13,0))*10^6*'Canada Elec Mix'!T11</f>
        <v>0</v>
      </c>
      <c r="U11" s="5">
        <f>INDEX('AEO Table 10 2023'!$C$31:$AJ$31,MATCH('EIaE-BIE'!U$1,'AEO Table 10 2023'!$C$13:$AJ$13,0))*10^6*'Canada Elec Mix'!U11</f>
        <v>0</v>
      </c>
      <c r="V11" s="5">
        <f>INDEX('AEO Table 10 2023'!$C$31:$AJ$31,MATCH('EIaE-BIE'!V$1,'AEO Table 10 2023'!$C$13:$AJ$13,0))*10^6*'Canada Elec Mix'!V11</f>
        <v>0</v>
      </c>
      <c r="W11" s="5">
        <f>INDEX('AEO Table 10 2023'!$C$31:$AJ$31,MATCH('EIaE-BIE'!W$1,'AEO Table 10 2023'!$C$13:$AJ$13,0))*10^6*'Canada Elec Mix'!W11</f>
        <v>0</v>
      </c>
      <c r="X11" s="5">
        <f>INDEX('AEO Table 10 2023'!$C$31:$AJ$31,MATCH('EIaE-BIE'!X$1,'AEO Table 10 2023'!$C$13:$AJ$13,0))*10^6*'Canada Elec Mix'!X11</f>
        <v>0</v>
      </c>
      <c r="Y11" s="5">
        <f>INDEX('AEO Table 10 2023'!$C$31:$AJ$31,MATCH('EIaE-BIE'!Y$1,'AEO Table 10 2023'!$C$13:$AJ$13,0))*10^6*'Canada Elec Mix'!Y11</f>
        <v>0</v>
      </c>
      <c r="Z11" s="5">
        <f>INDEX('AEO Table 10 2023'!$C$31:$AJ$31,MATCH('EIaE-BIE'!Z$1,'AEO Table 10 2023'!$C$13:$AJ$13,0))*10^6*'Canada Elec Mix'!Z11</f>
        <v>0</v>
      </c>
      <c r="AA11" s="5">
        <f>INDEX('AEO Table 10 2023'!$C$31:$AJ$31,MATCH('EIaE-BIE'!AA$1,'AEO Table 10 2023'!$C$13:$AJ$13,0))*10^6*'Canada Elec Mix'!AA11</f>
        <v>0</v>
      </c>
      <c r="AB11" s="5">
        <f>INDEX('AEO Table 10 2023'!$C$31:$AJ$31,MATCH('EIaE-BIE'!AB$1,'AEO Table 10 2023'!$C$13:$AJ$13,0))*10^6*'Canada Elec Mix'!AB11</f>
        <v>0</v>
      </c>
      <c r="AC11" s="5">
        <f>INDEX('AEO Table 10 2023'!$C$31:$AJ$31,MATCH('EIaE-BIE'!AC$1,'AEO Table 10 2023'!$C$13:$AJ$13,0))*10^6*'Canada Elec Mix'!AC11</f>
        <v>0</v>
      </c>
      <c r="AD11" s="5">
        <f>INDEX('AEO Table 10 2023'!$C$31:$AJ$31,MATCH('EIaE-BIE'!AD$1,'AEO Table 10 2023'!$C$13:$AJ$13,0))*10^6*'Canada Elec Mix'!AD11</f>
        <v>0</v>
      </c>
      <c r="AE11" s="5">
        <f>INDEX('AEO Table 10 2023'!$C$31:$AJ$31,MATCH('EIaE-BIE'!AE$1,'AEO Table 10 2023'!$C$13:$AJ$13,0))*10^6*'Canada Elec Mix'!AE11</f>
        <v>0</v>
      </c>
      <c r="AF11" s="5">
        <f>INDEX('AEO Table 10 2023'!$C$31:$AJ$31,MATCH('EIaE-BIE'!AF$1,'AEO Table 10 2023'!$C$13:$AJ$13,0))*10^6*'Canada Elec Mix'!AF11</f>
        <v>0</v>
      </c>
    </row>
    <row r="12" spans="1:32" x14ac:dyDescent="0.25">
      <c r="A12" s="2" t="s">
        <v>106</v>
      </c>
      <c r="B12" s="5">
        <f>INDEX('AEO Table 10 2021'!$C$31:$AJ$31,MATCH('EIaE-BIE'!B$1,'AEO Table 10 2021'!$C$13:$AJ$13,0))*10^6*'Canada Elec Mix'!B12</f>
        <v>229516.49576279431</v>
      </c>
      <c r="C12" s="5">
        <f>INDEX('AEO Table 10 2022'!$C$31:$AJ$31,MATCH('EIaE-BIE'!C$1,'AEO Table 10 2022'!$C$13:$AJ$13,0))*10^6*'Canada Elec Mix'!C12</f>
        <v>329311.3516565212</v>
      </c>
      <c r="D12" s="5">
        <f>INDEX('AEO Table 10 2023'!$C$31:$AJ$31,MATCH('EIaE-BIE'!D$1,'AEO Table 10 2023'!$C$13:$AJ$13,0))*10^6*'Canada Elec Mix'!D12</f>
        <v>205704.82669421096</v>
      </c>
      <c r="E12" s="5">
        <f>INDEX('AEO Table 10 2023'!$C$31:$AJ$31,MATCH('EIaE-BIE'!E$1,'AEO Table 10 2023'!$C$13:$AJ$13,0))*10^6*'Canada Elec Mix'!E12</f>
        <v>256875.35988034759</v>
      </c>
      <c r="F12" s="5">
        <f>INDEX('AEO Table 10 2023'!$C$31:$AJ$31,MATCH('EIaE-BIE'!F$1,'AEO Table 10 2023'!$C$13:$AJ$13,0))*10^6*'Canada Elec Mix'!F12</f>
        <v>178718.25215199558</v>
      </c>
      <c r="G12" s="5">
        <f>INDEX('AEO Table 10 2023'!$C$31:$AJ$31,MATCH('EIaE-BIE'!G$1,'AEO Table 10 2023'!$C$13:$AJ$13,0))*10^6*'Canada Elec Mix'!G12</f>
        <v>198310.68242127667</v>
      </c>
      <c r="H12" s="5">
        <f>INDEX('AEO Table 10 2023'!$C$31:$AJ$31,MATCH('EIaE-BIE'!H$1,'AEO Table 10 2023'!$C$13:$AJ$13,0))*10^6*'Canada Elec Mix'!H12</f>
        <v>383963.69583008345</v>
      </c>
      <c r="I12" s="5">
        <f>INDEX('AEO Table 10 2023'!$C$31:$AJ$31,MATCH('EIaE-BIE'!I$1,'AEO Table 10 2023'!$C$13:$AJ$13,0))*10^6*'Canada Elec Mix'!I12</f>
        <v>276453.00137601793</v>
      </c>
      <c r="J12" s="5">
        <f>INDEX('AEO Table 10 2023'!$C$31:$AJ$31,MATCH('EIaE-BIE'!J$1,'AEO Table 10 2023'!$C$13:$AJ$13,0))*10^6*'Canada Elec Mix'!J12</f>
        <v>218488.97448917074</v>
      </c>
      <c r="K12" s="5">
        <f>INDEX('AEO Table 10 2023'!$C$31:$AJ$31,MATCH('EIaE-BIE'!K$1,'AEO Table 10 2023'!$C$13:$AJ$13,0))*10^6*'Canada Elec Mix'!K12</f>
        <v>360064.4858870327</v>
      </c>
      <c r="L12" s="5">
        <f>INDEX('AEO Table 10 2023'!$C$31:$AJ$31,MATCH('EIaE-BIE'!L$1,'AEO Table 10 2023'!$C$13:$AJ$13,0))*10^6*'Canada Elec Mix'!L12</f>
        <v>162072.53307122641</v>
      </c>
      <c r="M12" s="5">
        <f>INDEX('AEO Table 10 2023'!$C$31:$AJ$31,MATCH('EIaE-BIE'!M$1,'AEO Table 10 2023'!$C$13:$AJ$13,0))*10^6*'Canada Elec Mix'!M12</f>
        <v>421829.93158709863</v>
      </c>
      <c r="N12" s="5">
        <f>INDEX('AEO Table 10 2023'!$C$31:$AJ$31,MATCH('EIaE-BIE'!N$1,'AEO Table 10 2023'!$C$13:$AJ$13,0))*10^6*'Canada Elec Mix'!N12</f>
        <v>291039.48866969388</v>
      </c>
      <c r="O12" s="5">
        <f>INDEX('AEO Table 10 2023'!$C$31:$AJ$31,MATCH('EIaE-BIE'!O$1,'AEO Table 10 2023'!$C$13:$AJ$13,0))*10^6*'Canada Elec Mix'!O12</f>
        <v>350943.78016679687</v>
      </c>
      <c r="P12" s="5">
        <f>INDEX('AEO Table 10 2023'!$C$31:$AJ$31,MATCH('EIaE-BIE'!P$1,'AEO Table 10 2023'!$C$13:$AJ$13,0))*10^6*'Canada Elec Mix'!P12</f>
        <v>284260.49198933149</v>
      </c>
      <c r="Q12" s="5">
        <f>INDEX('AEO Table 10 2023'!$C$31:$AJ$31,MATCH('EIaE-BIE'!Q$1,'AEO Table 10 2023'!$C$13:$AJ$13,0))*10^6*'Canada Elec Mix'!Q12</f>
        <v>261649.00416365778</v>
      </c>
      <c r="R12" s="5">
        <f>INDEX('AEO Table 10 2023'!$C$31:$AJ$31,MATCH('EIaE-BIE'!R$1,'AEO Table 10 2023'!$C$13:$AJ$13,0))*10^6*'Canada Elec Mix'!R12</f>
        <v>350583.70534497366</v>
      </c>
      <c r="S12" s="5">
        <f>INDEX('AEO Table 10 2023'!$C$31:$AJ$31,MATCH('EIaE-BIE'!S$1,'AEO Table 10 2023'!$C$13:$AJ$13,0))*10^6*'Canada Elec Mix'!S12</f>
        <v>322931.55322634289</v>
      </c>
      <c r="T12" s="5">
        <f>INDEX('AEO Table 10 2023'!$C$31:$AJ$31,MATCH('EIaE-BIE'!T$1,'AEO Table 10 2023'!$C$13:$AJ$13,0))*10^6*'Canada Elec Mix'!T12</f>
        <v>319158.56570612866</v>
      </c>
      <c r="U12" s="5">
        <f>INDEX('AEO Table 10 2023'!$C$31:$AJ$31,MATCH('EIaE-BIE'!U$1,'AEO Table 10 2023'!$C$13:$AJ$13,0))*10^6*'Canada Elec Mix'!U12</f>
        <v>340159.09747009713</v>
      </c>
      <c r="V12" s="5">
        <f>INDEX('AEO Table 10 2023'!$C$31:$AJ$31,MATCH('EIaE-BIE'!V$1,'AEO Table 10 2023'!$C$13:$AJ$13,0))*10^6*'Canada Elec Mix'!V12</f>
        <v>303383.33884664829</v>
      </c>
      <c r="W12" s="5">
        <f>INDEX('AEO Table 10 2023'!$C$31:$AJ$31,MATCH('EIaE-BIE'!W$1,'AEO Table 10 2023'!$C$13:$AJ$13,0))*10^6*'Canada Elec Mix'!W12</f>
        <v>441117.94366962189</v>
      </c>
      <c r="X12" s="5">
        <f>INDEX('AEO Table 10 2023'!$C$31:$AJ$31,MATCH('EIaE-BIE'!X$1,'AEO Table 10 2023'!$C$13:$AJ$13,0))*10^6*'Canada Elec Mix'!X12</f>
        <v>322487.56189405726</v>
      </c>
      <c r="Y12" s="5">
        <f>INDEX('AEO Table 10 2023'!$C$31:$AJ$31,MATCH('EIaE-BIE'!Y$1,'AEO Table 10 2023'!$C$13:$AJ$13,0))*10^6*'Canada Elec Mix'!Y12</f>
        <v>350311.55502193025</v>
      </c>
      <c r="Z12" s="5">
        <f>INDEX('AEO Table 10 2023'!$C$31:$AJ$31,MATCH('EIaE-BIE'!Z$1,'AEO Table 10 2023'!$C$13:$AJ$13,0))*10^6*'Canada Elec Mix'!Z12</f>
        <v>217861.50485385279</v>
      </c>
      <c r="AA12" s="5">
        <f>INDEX('AEO Table 10 2023'!$C$31:$AJ$31,MATCH('EIaE-BIE'!AA$1,'AEO Table 10 2023'!$C$13:$AJ$13,0))*10^6*'Canada Elec Mix'!AA12</f>
        <v>239391.73554550589</v>
      </c>
      <c r="AB12" s="5">
        <f>INDEX('AEO Table 10 2023'!$C$31:$AJ$31,MATCH('EIaE-BIE'!AB$1,'AEO Table 10 2023'!$C$13:$AJ$13,0))*10^6*'Canada Elec Mix'!AB12</f>
        <v>217081.39120790747</v>
      </c>
      <c r="AC12" s="5">
        <f>INDEX('AEO Table 10 2023'!$C$31:$AJ$31,MATCH('EIaE-BIE'!AC$1,'AEO Table 10 2023'!$C$13:$AJ$13,0))*10^6*'Canada Elec Mix'!AC12</f>
        <v>232911.16117741051</v>
      </c>
      <c r="AD12" s="5">
        <f>INDEX('AEO Table 10 2023'!$C$31:$AJ$31,MATCH('EIaE-BIE'!AD$1,'AEO Table 10 2023'!$C$13:$AJ$13,0))*10^6*'Canada Elec Mix'!AD12</f>
        <v>203940.02989149705</v>
      </c>
      <c r="AE12" s="5">
        <f>INDEX('AEO Table 10 2023'!$C$31:$AJ$31,MATCH('EIaE-BIE'!AE$1,'AEO Table 10 2023'!$C$13:$AJ$13,0))*10^6*'Canada Elec Mix'!AE12</f>
        <v>220715.9683009134</v>
      </c>
      <c r="AF12" s="5">
        <f>INDEX('AEO Table 10 2023'!$C$31:$AJ$31,MATCH('EIaE-BIE'!AF$1,'AEO Table 10 2023'!$C$13:$AJ$13,0))*10^6*'Canada Elec Mix'!AF12</f>
        <v>255428.22246566389</v>
      </c>
    </row>
    <row r="13" spans="1:32" x14ac:dyDescent="0.25">
      <c r="A13" s="2" t="s">
        <v>107</v>
      </c>
      <c r="B13" s="5">
        <f>INDEX('AEO Table 10 2021'!$C$31:$AJ$31,MATCH('EIaE-BIE'!B$1,'AEO Table 10 2021'!$C$13:$AJ$13,0))*10^6*'Canada Elec Mix'!B13</f>
        <v>1056880.7504676674</v>
      </c>
      <c r="C13" s="5">
        <f>INDEX('AEO Table 10 2022'!$C$31:$AJ$31,MATCH('EIaE-BIE'!C$1,'AEO Table 10 2022'!$C$13:$AJ$13,0))*10^6*'Canada Elec Mix'!C13</f>
        <v>1639039.1234061534</v>
      </c>
      <c r="D13" s="5">
        <f>INDEX('AEO Table 10 2023'!$C$31:$AJ$31,MATCH('EIaE-BIE'!D$1,'AEO Table 10 2023'!$C$13:$AJ$13,0))*10^6*'Canada Elec Mix'!D13</f>
        <v>1172831.6038294772</v>
      </c>
      <c r="E13" s="5">
        <f>INDEX('AEO Table 10 2023'!$C$31:$AJ$31,MATCH('EIaE-BIE'!E$1,'AEO Table 10 2023'!$C$13:$AJ$13,0))*10^6*'Canada Elec Mix'!E13</f>
        <v>1686518.8499458139</v>
      </c>
      <c r="F13" s="5">
        <f>INDEX('AEO Table 10 2023'!$C$31:$AJ$31,MATCH('EIaE-BIE'!F$1,'AEO Table 10 2023'!$C$13:$AJ$13,0))*10^6*'Canada Elec Mix'!F13</f>
        <v>1338093.454652613</v>
      </c>
      <c r="G13" s="5">
        <f>INDEX('AEO Table 10 2023'!$C$31:$AJ$31,MATCH('EIaE-BIE'!G$1,'AEO Table 10 2023'!$C$13:$AJ$13,0))*10^6*'Canada Elec Mix'!G13</f>
        <v>1216848.4665455404</v>
      </c>
      <c r="H13" s="5">
        <f>INDEX('AEO Table 10 2023'!$C$31:$AJ$31,MATCH('EIaE-BIE'!H$1,'AEO Table 10 2023'!$C$13:$AJ$13,0))*10^6*'Canada Elec Mix'!H13</f>
        <v>1313190.100430971</v>
      </c>
      <c r="I13" s="5">
        <f>INDEX('AEO Table 10 2023'!$C$31:$AJ$31,MATCH('EIaE-BIE'!I$1,'AEO Table 10 2023'!$C$13:$AJ$13,0))*10^6*'Canada Elec Mix'!I13</f>
        <v>1275027.201261841</v>
      </c>
      <c r="J13" s="5">
        <f>INDEX('AEO Table 10 2023'!$C$31:$AJ$31,MATCH('EIaE-BIE'!J$1,'AEO Table 10 2023'!$C$13:$AJ$13,0))*10^6*'Canada Elec Mix'!J13</f>
        <v>1291342.9956261048</v>
      </c>
      <c r="K13" s="5">
        <f>INDEX('AEO Table 10 2023'!$C$31:$AJ$31,MATCH('EIaE-BIE'!K$1,'AEO Table 10 2023'!$C$13:$AJ$13,0))*10^6*'Canada Elec Mix'!K13</f>
        <v>1248708.0816821414</v>
      </c>
      <c r="L13" s="5">
        <f>INDEX('AEO Table 10 2023'!$C$31:$AJ$31,MATCH('EIaE-BIE'!L$1,'AEO Table 10 2023'!$C$13:$AJ$13,0))*10^6*'Canada Elec Mix'!L13</f>
        <v>1197103.6800144422</v>
      </c>
      <c r="M13" s="5">
        <f>INDEX('AEO Table 10 2023'!$C$31:$AJ$31,MATCH('EIaE-BIE'!M$1,'AEO Table 10 2023'!$C$13:$AJ$13,0))*10^6*'Canada Elec Mix'!M13</f>
        <v>1157535.4440450186</v>
      </c>
      <c r="N13" s="5">
        <f>INDEX('AEO Table 10 2023'!$C$31:$AJ$31,MATCH('EIaE-BIE'!N$1,'AEO Table 10 2023'!$C$13:$AJ$13,0))*10^6*'Canada Elec Mix'!N13</f>
        <v>1095475.2386670941</v>
      </c>
      <c r="O13" s="5">
        <f>INDEX('AEO Table 10 2023'!$C$31:$AJ$31,MATCH('EIaE-BIE'!O$1,'AEO Table 10 2023'!$C$13:$AJ$13,0))*10^6*'Canada Elec Mix'!O13</f>
        <v>1107929.6440888811</v>
      </c>
      <c r="P13" s="5">
        <f>INDEX('AEO Table 10 2023'!$C$31:$AJ$31,MATCH('EIaE-BIE'!P$1,'AEO Table 10 2023'!$C$13:$AJ$13,0))*10^6*'Canada Elec Mix'!P13</f>
        <v>1063032.8609487379</v>
      </c>
      <c r="Q13" s="5">
        <f>INDEX('AEO Table 10 2023'!$C$31:$AJ$31,MATCH('EIaE-BIE'!Q$1,'AEO Table 10 2023'!$C$13:$AJ$13,0))*10^6*'Canada Elec Mix'!Q13</f>
        <v>1018358.6124520452</v>
      </c>
      <c r="R13" s="5">
        <f>INDEX('AEO Table 10 2023'!$C$31:$AJ$31,MATCH('EIaE-BIE'!R$1,'AEO Table 10 2023'!$C$13:$AJ$13,0))*10^6*'Canada Elec Mix'!R13</f>
        <v>881021.01620525669</v>
      </c>
      <c r="S13" s="5">
        <f>INDEX('AEO Table 10 2023'!$C$31:$AJ$31,MATCH('EIaE-BIE'!S$1,'AEO Table 10 2023'!$C$13:$AJ$13,0))*10^6*'Canada Elec Mix'!S13</f>
        <v>871466.84246581909</v>
      </c>
      <c r="T13" s="5">
        <f>INDEX('AEO Table 10 2023'!$C$31:$AJ$31,MATCH('EIaE-BIE'!T$1,'AEO Table 10 2023'!$C$13:$AJ$13,0))*10^6*'Canada Elec Mix'!T13</f>
        <v>856395.69212649926</v>
      </c>
      <c r="U13" s="5">
        <f>INDEX('AEO Table 10 2023'!$C$31:$AJ$31,MATCH('EIaE-BIE'!U$1,'AEO Table 10 2023'!$C$13:$AJ$13,0))*10^6*'Canada Elec Mix'!U13</f>
        <v>865023.90857106482</v>
      </c>
      <c r="V13" s="5">
        <f>INDEX('AEO Table 10 2023'!$C$31:$AJ$31,MATCH('EIaE-BIE'!V$1,'AEO Table 10 2023'!$C$13:$AJ$13,0))*10^6*'Canada Elec Mix'!V13</f>
        <v>845824.05280547834</v>
      </c>
      <c r="W13" s="5">
        <f>INDEX('AEO Table 10 2023'!$C$31:$AJ$31,MATCH('EIaE-BIE'!W$1,'AEO Table 10 2023'!$C$13:$AJ$13,0))*10^6*'Canada Elec Mix'!W13</f>
        <v>813703.95737253036</v>
      </c>
      <c r="X13" s="5">
        <f>INDEX('AEO Table 10 2023'!$C$31:$AJ$31,MATCH('EIaE-BIE'!X$1,'AEO Table 10 2023'!$C$13:$AJ$13,0))*10^6*'Canada Elec Mix'!X13</f>
        <v>803298.46717357147</v>
      </c>
      <c r="Y13" s="5">
        <f>INDEX('AEO Table 10 2023'!$C$31:$AJ$31,MATCH('EIaE-BIE'!Y$1,'AEO Table 10 2023'!$C$13:$AJ$13,0))*10^6*'Canada Elec Mix'!Y13</f>
        <v>790681.13518483553</v>
      </c>
      <c r="Z13" s="5">
        <f>INDEX('AEO Table 10 2023'!$C$31:$AJ$31,MATCH('EIaE-BIE'!Z$1,'AEO Table 10 2023'!$C$13:$AJ$13,0))*10^6*'Canada Elec Mix'!Z13</f>
        <v>750450.10750152194</v>
      </c>
      <c r="AA13" s="5">
        <f>INDEX('AEO Table 10 2023'!$C$31:$AJ$31,MATCH('EIaE-BIE'!AA$1,'AEO Table 10 2023'!$C$13:$AJ$13,0))*10^6*'Canada Elec Mix'!AA13</f>
        <v>728923.14130782068</v>
      </c>
      <c r="AB13" s="5">
        <f>INDEX('AEO Table 10 2023'!$C$31:$AJ$31,MATCH('EIaE-BIE'!AB$1,'AEO Table 10 2023'!$C$13:$AJ$13,0))*10^6*'Canada Elec Mix'!AB13</f>
        <v>698571.83224569389</v>
      </c>
      <c r="AC13" s="5">
        <f>INDEX('AEO Table 10 2023'!$C$31:$AJ$31,MATCH('EIaE-BIE'!AC$1,'AEO Table 10 2023'!$C$13:$AJ$13,0))*10^6*'Canada Elec Mix'!AC13</f>
        <v>694285.92830371601</v>
      </c>
      <c r="AD13" s="5">
        <f>INDEX('AEO Table 10 2023'!$C$31:$AJ$31,MATCH('EIaE-BIE'!AD$1,'AEO Table 10 2023'!$C$13:$AJ$13,0))*10^6*'Canada Elec Mix'!AD13</f>
        <v>689169.51396629948</v>
      </c>
      <c r="AE13" s="5">
        <f>INDEX('AEO Table 10 2023'!$C$31:$AJ$31,MATCH('EIaE-BIE'!AE$1,'AEO Table 10 2023'!$C$13:$AJ$13,0))*10^6*'Canada Elec Mix'!AE13</f>
        <v>681481.62775904301</v>
      </c>
      <c r="AF13" s="5">
        <f>INDEX('AEO Table 10 2023'!$C$31:$AJ$31,MATCH('EIaE-BIE'!AF$1,'AEO Table 10 2023'!$C$13:$AJ$13,0))*10^6*'Canada Elec Mix'!AF13</f>
        <v>670456.67042381619</v>
      </c>
    </row>
    <row r="14" spans="1:32" x14ac:dyDescent="0.25">
      <c r="A14" s="2" t="s">
        <v>108</v>
      </c>
      <c r="B14" s="5">
        <f>INDEX('AEO Table 10 2021'!$C$31:$AJ$31,MATCH('EIaE-BIE'!B$1,'AEO Table 10 2021'!$C$13:$AJ$13,0))*10^6*'Canada Elec Mix'!B14</f>
        <v>0</v>
      </c>
      <c r="C14" s="5">
        <f>INDEX('AEO Table 10 2022'!$C$31:$AJ$31,MATCH('EIaE-BIE'!C$1,'AEO Table 10 2022'!$C$13:$AJ$13,0))*10^6*'Canada Elec Mix'!C14</f>
        <v>0</v>
      </c>
      <c r="D14" s="5">
        <f>INDEX('AEO Table 10 2023'!$C$31:$AJ$31,MATCH('EIaE-BIE'!D$1,'AEO Table 10 2023'!$C$13:$AJ$13,0))*10^6*'Canada Elec Mix'!D14</f>
        <v>0</v>
      </c>
      <c r="E14" s="5">
        <f>INDEX('AEO Table 10 2023'!$C$31:$AJ$31,MATCH('EIaE-BIE'!E$1,'AEO Table 10 2023'!$C$13:$AJ$13,0))*10^6*'Canada Elec Mix'!E14</f>
        <v>0</v>
      </c>
      <c r="F14" s="5">
        <f>INDEX('AEO Table 10 2023'!$C$31:$AJ$31,MATCH('EIaE-BIE'!F$1,'AEO Table 10 2023'!$C$13:$AJ$13,0))*10^6*'Canada Elec Mix'!F14</f>
        <v>0</v>
      </c>
      <c r="G14" s="5">
        <f>INDEX('AEO Table 10 2023'!$C$31:$AJ$31,MATCH('EIaE-BIE'!G$1,'AEO Table 10 2023'!$C$13:$AJ$13,0))*10^6*'Canada Elec Mix'!G14</f>
        <v>0</v>
      </c>
      <c r="H14" s="5">
        <f>INDEX('AEO Table 10 2023'!$C$31:$AJ$31,MATCH('EIaE-BIE'!H$1,'AEO Table 10 2023'!$C$13:$AJ$13,0))*10^6*'Canada Elec Mix'!H14</f>
        <v>0</v>
      </c>
      <c r="I14" s="5">
        <f>INDEX('AEO Table 10 2023'!$C$31:$AJ$31,MATCH('EIaE-BIE'!I$1,'AEO Table 10 2023'!$C$13:$AJ$13,0))*10^6*'Canada Elec Mix'!I14</f>
        <v>0</v>
      </c>
      <c r="J14" s="5">
        <f>INDEX('AEO Table 10 2023'!$C$31:$AJ$31,MATCH('EIaE-BIE'!J$1,'AEO Table 10 2023'!$C$13:$AJ$13,0))*10^6*'Canada Elec Mix'!J14</f>
        <v>0</v>
      </c>
      <c r="K14" s="5">
        <f>INDEX('AEO Table 10 2023'!$C$31:$AJ$31,MATCH('EIaE-BIE'!K$1,'AEO Table 10 2023'!$C$13:$AJ$13,0))*10^6*'Canada Elec Mix'!K14</f>
        <v>0</v>
      </c>
      <c r="L14" s="5">
        <f>INDEX('AEO Table 10 2023'!$C$31:$AJ$31,MATCH('EIaE-BIE'!L$1,'AEO Table 10 2023'!$C$13:$AJ$13,0))*10^6*'Canada Elec Mix'!L14</f>
        <v>0</v>
      </c>
      <c r="M14" s="5">
        <f>INDEX('AEO Table 10 2023'!$C$31:$AJ$31,MATCH('EIaE-BIE'!M$1,'AEO Table 10 2023'!$C$13:$AJ$13,0))*10^6*'Canada Elec Mix'!M14</f>
        <v>0</v>
      </c>
      <c r="N14" s="5">
        <f>INDEX('AEO Table 10 2023'!$C$31:$AJ$31,MATCH('EIaE-BIE'!N$1,'AEO Table 10 2023'!$C$13:$AJ$13,0))*10^6*'Canada Elec Mix'!N14</f>
        <v>0</v>
      </c>
      <c r="O14" s="5">
        <f>INDEX('AEO Table 10 2023'!$C$31:$AJ$31,MATCH('EIaE-BIE'!O$1,'AEO Table 10 2023'!$C$13:$AJ$13,0))*10^6*'Canada Elec Mix'!O14</f>
        <v>0</v>
      </c>
      <c r="P14" s="5">
        <f>INDEX('AEO Table 10 2023'!$C$31:$AJ$31,MATCH('EIaE-BIE'!P$1,'AEO Table 10 2023'!$C$13:$AJ$13,0))*10^6*'Canada Elec Mix'!P14</f>
        <v>0</v>
      </c>
      <c r="Q14" s="5">
        <f>INDEX('AEO Table 10 2023'!$C$31:$AJ$31,MATCH('EIaE-BIE'!Q$1,'AEO Table 10 2023'!$C$13:$AJ$13,0))*10^6*'Canada Elec Mix'!Q14</f>
        <v>0</v>
      </c>
      <c r="R14" s="5">
        <f>INDEX('AEO Table 10 2023'!$C$31:$AJ$31,MATCH('EIaE-BIE'!R$1,'AEO Table 10 2023'!$C$13:$AJ$13,0))*10^6*'Canada Elec Mix'!R14</f>
        <v>0</v>
      </c>
      <c r="S14" s="5">
        <f>INDEX('AEO Table 10 2023'!$C$31:$AJ$31,MATCH('EIaE-BIE'!S$1,'AEO Table 10 2023'!$C$13:$AJ$13,0))*10^6*'Canada Elec Mix'!S14</f>
        <v>0</v>
      </c>
      <c r="T14" s="5">
        <f>INDEX('AEO Table 10 2023'!$C$31:$AJ$31,MATCH('EIaE-BIE'!T$1,'AEO Table 10 2023'!$C$13:$AJ$13,0))*10^6*'Canada Elec Mix'!T14</f>
        <v>0</v>
      </c>
      <c r="U14" s="5">
        <f>INDEX('AEO Table 10 2023'!$C$31:$AJ$31,MATCH('EIaE-BIE'!U$1,'AEO Table 10 2023'!$C$13:$AJ$13,0))*10^6*'Canada Elec Mix'!U14</f>
        <v>0</v>
      </c>
      <c r="V14" s="5">
        <f>INDEX('AEO Table 10 2023'!$C$31:$AJ$31,MATCH('EIaE-BIE'!V$1,'AEO Table 10 2023'!$C$13:$AJ$13,0))*10^6*'Canada Elec Mix'!V14</f>
        <v>0</v>
      </c>
      <c r="W14" s="5">
        <f>INDEX('AEO Table 10 2023'!$C$31:$AJ$31,MATCH('EIaE-BIE'!W$1,'AEO Table 10 2023'!$C$13:$AJ$13,0))*10^6*'Canada Elec Mix'!W14</f>
        <v>0</v>
      </c>
      <c r="X14" s="5">
        <f>INDEX('AEO Table 10 2023'!$C$31:$AJ$31,MATCH('EIaE-BIE'!X$1,'AEO Table 10 2023'!$C$13:$AJ$13,0))*10^6*'Canada Elec Mix'!X14</f>
        <v>0</v>
      </c>
      <c r="Y14" s="5">
        <f>INDEX('AEO Table 10 2023'!$C$31:$AJ$31,MATCH('EIaE-BIE'!Y$1,'AEO Table 10 2023'!$C$13:$AJ$13,0))*10^6*'Canada Elec Mix'!Y14</f>
        <v>0</v>
      </c>
      <c r="Z14" s="5">
        <f>INDEX('AEO Table 10 2023'!$C$31:$AJ$31,MATCH('EIaE-BIE'!Z$1,'AEO Table 10 2023'!$C$13:$AJ$13,0))*10^6*'Canada Elec Mix'!Z14</f>
        <v>0</v>
      </c>
      <c r="AA14" s="5">
        <f>INDEX('AEO Table 10 2023'!$C$31:$AJ$31,MATCH('EIaE-BIE'!AA$1,'AEO Table 10 2023'!$C$13:$AJ$13,0))*10^6*'Canada Elec Mix'!AA14</f>
        <v>0</v>
      </c>
      <c r="AB14" s="5">
        <f>INDEX('AEO Table 10 2023'!$C$31:$AJ$31,MATCH('EIaE-BIE'!AB$1,'AEO Table 10 2023'!$C$13:$AJ$13,0))*10^6*'Canada Elec Mix'!AB14</f>
        <v>0</v>
      </c>
      <c r="AC14" s="5">
        <f>INDEX('AEO Table 10 2023'!$C$31:$AJ$31,MATCH('EIaE-BIE'!AC$1,'AEO Table 10 2023'!$C$13:$AJ$13,0))*10^6*'Canada Elec Mix'!AC14</f>
        <v>0</v>
      </c>
      <c r="AD14" s="5">
        <f>INDEX('AEO Table 10 2023'!$C$31:$AJ$31,MATCH('EIaE-BIE'!AD$1,'AEO Table 10 2023'!$C$13:$AJ$13,0))*10^6*'Canada Elec Mix'!AD14</f>
        <v>0</v>
      </c>
      <c r="AE14" s="5">
        <f>INDEX('AEO Table 10 2023'!$C$31:$AJ$31,MATCH('EIaE-BIE'!AE$1,'AEO Table 10 2023'!$C$13:$AJ$13,0))*10^6*'Canada Elec Mix'!AE14</f>
        <v>0</v>
      </c>
      <c r="AF14" s="5">
        <f>INDEX('AEO Table 10 2023'!$C$31:$AJ$31,MATCH('EIaE-BIE'!AF$1,'AEO Table 10 2023'!$C$13:$AJ$13,0))*10^6*'Canada Elec Mix'!AF14</f>
        <v>0</v>
      </c>
    </row>
    <row r="15" spans="1:32" x14ac:dyDescent="0.25">
      <c r="A15" s="2" t="s">
        <v>109</v>
      </c>
      <c r="B15" s="5">
        <f>INDEX('AEO Table 10 2021'!$C$31:$AJ$31,MATCH('EIaE-BIE'!B$1,'AEO Table 10 2021'!$C$13:$AJ$13,0))*10^6*'Canada Elec Mix'!B15</f>
        <v>0</v>
      </c>
      <c r="C15" s="5">
        <f>INDEX('AEO Table 10 2022'!$C$31:$AJ$31,MATCH('EIaE-BIE'!C$1,'AEO Table 10 2022'!$C$13:$AJ$13,0))*10^6*'Canada Elec Mix'!C15</f>
        <v>0</v>
      </c>
      <c r="D15" s="5">
        <f>INDEX('AEO Table 10 2021'!$C$31:$AJ$31,MATCH('EIaE-BIE'!D$1,'AEO Table 10 2021'!$C$13:$AJ$13,0))*10^6*'Canada Elec Mix'!D15</f>
        <v>0</v>
      </c>
      <c r="E15" s="5">
        <f>INDEX('AEO Table 10 2021'!$C$31:$AJ$31,MATCH('EIaE-BIE'!E$1,'AEO Table 10 2021'!$C$13:$AJ$13,0))*10^6*'Canada Elec Mix'!E15</f>
        <v>0</v>
      </c>
      <c r="F15" s="5">
        <f>INDEX('AEO Table 10 2021'!$C$31:$AJ$31,MATCH('EIaE-BIE'!F$1,'AEO Table 10 2021'!$C$13:$AJ$13,0))*10^6*'Canada Elec Mix'!F15</f>
        <v>0</v>
      </c>
      <c r="G15" s="5">
        <f>INDEX('AEO Table 10 2021'!$C$31:$AJ$31,MATCH('EIaE-BIE'!G$1,'AEO Table 10 2021'!$C$13:$AJ$13,0))*10^6*'Canada Elec Mix'!G15</f>
        <v>0</v>
      </c>
      <c r="H15" s="5">
        <f>INDEX('AEO Table 10 2021'!$C$31:$AJ$31,MATCH('EIaE-BIE'!H$1,'AEO Table 10 2021'!$C$13:$AJ$13,0))*10^6*'Canada Elec Mix'!H15</f>
        <v>0</v>
      </c>
      <c r="I15" s="5">
        <f>INDEX('AEO Table 10 2021'!$C$31:$AJ$31,MATCH('EIaE-BIE'!I$1,'AEO Table 10 2021'!$C$13:$AJ$13,0))*10^6*'Canada Elec Mix'!I15</f>
        <v>0</v>
      </c>
      <c r="J15" s="5">
        <f>INDEX('AEO Table 10 2021'!$C$31:$AJ$31,MATCH('EIaE-BIE'!J$1,'AEO Table 10 2021'!$C$13:$AJ$13,0))*10^6*'Canada Elec Mix'!J15</f>
        <v>0</v>
      </c>
      <c r="K15" s="5">
        <f>INDEX('AEO Table 10 2021'!$C$31:$AJ$31,MATCH('EIaE-BIE'!K$1,'AEO Table 10 2021'!$C$13:$AJ$13,0))*10^6*'Canada Elec Mix'!K15</f>
        <v>0</v>
      </c>
      <c r="L15" s="5">
        <f>INDEX('AEO Table 10 2021'!$C$31:$AJ$31,MATCH('EIaE-BIE'!L$1,'AEO Table 10 2021'!$C$13:$AJ$13,0))*10^6*'Canada Elec Mix'!L15</f>
        <v>0</v>
      </c>
      <c r="M15" s="5">
        <f>INDEX('AEO Table 10 2021'!$C$31:$AJ$31,MATCH('EIaE-BIE'!M$1,'AEO Table 10 2021'!$C$13:$AJ$13,0))*10^6*'Canada Elec Mix'!M15</f>
        <v>0</v>
      </c>
      <c r="N15" s="5">
        <f>INDEX('AEO Table 10 2021'!$C$31:$AJ$31,MATCH('EIaE-BIE'!N$1,'AEO Table 10 2021'!$C$13:$AJ$13,0))*10^6*'Canada Elec Mix'!N15</f>
        <v>0</v>
      </c>
      <c r="O15" s="5">
        <f>INDEX('AEO Table 10 2021'!$C$31:$AJ$31,MATCH('EIaE-BIE'!O$1,'AEO Table 10 2021'!$C$13:$AJ$13,0))*10^6*'Canada Elec Mix'!O15</f>
        <v>0</v>
      </c>
      <c r="P15" s="5">
        <f>INDEX('AEO Table 10 2021'!$C$31:$AJ$31,MATCH('EIaE-BIE'!P$1,'AEO Table 10 2021'!$C$13:$AJ$13,0))*10^6*'Canada Elec Mix'!P15</f>
        <v>0</v>
      </c>
      <c r="Q15" s="5">
        <f>INDEX('AEO Table 10 2021'!$C$31:$AJ$31,MATCH('EIaE-BIE'!Q$1,'AEO Table 10 2021'!$C$13:$AJ$13,0))*10^6*'Canada Elec Mix'!Q15</f>
        <v>0</v>
      </c>
      <c r="R15" s="5">
        <f>INDEX('AEO Table 10 2021'!$C$31:$AJ$31,MATCH('EIaE-BIE'!R$1,'AEO Table 10 2021'!$C$13:$AJ$13,0))*10^6*'Canada Elec Mix'!R15</f>
        <v>0</v>
      </c>
      <c r="S15" s="5">
        <f>INDEX('AEO Table 10 2021'!$C$31:$AJ$31,MATCH('EIaE-BIE'!S$1,'AEO Table 10 2021'!$C$13:$AJ$13,0))*10^6*'Canada Elec Mix'!S15</f>
        <v>0</v>
      </c>
      <c r="T15" s="5">
        <f>INDEX('AEO Table 10 2021'!$C$31:$AJ$31,MATCH('EIaE-BIE'!T$1,'AEO Table 10 2021'!$C$13:$AJ$13,0))*10^6*'Canada Elec Mix'!T15</f>
        <v>0</v>
      </c>
      <c r="U15" s="5">
        <f>INDEX('AEO Table 10 2021'!$C$31:$AJ$31,MATCH('EIaE-BIE'!U$1,'AEO Table 10 2021'!$C$13:$AJ$13,0))*10^6*'Canada Elec Mix'!U15</f>
        <v>0</v>
      </c>
      <c r="V15" s="5">
        <f>INDEX('AEO Table 10 2021'!$C$31:$AJ$31,MATCH('EIaE-BIE'!V$1,'AEO Table 10 2021'!$C$13:$AJ$13,0))*10^6*'Canada Elec Mix'!V15</f>
        <v>0</v>
      </c>
      <c r="W15" s="5">
        <f>INDEX('AEO Table 10 2021'!$C$31:$AJ$31,MATCH('EIaE-BIE'!W$1,'AEO Table 10 2021'!$C$13:$AJ$13,0))*10^6*'Canada Elec Mix'!W15</f>
        <v>0</v>
      </c>
      <c r="X15" s="5">
        <f>INDEX('AEO Table 10 2021'!$C$31:$AJ$31,MATCH('EIaE-BIE'!X$1,'AEO Table 10 2021'!$C$13:$AJ$13,0))*10^6*'Canada Elec Mix'!X15</f>
        <v>0</v>
      </c>
      <c r="Y15" s="5">
        <f>INDEX('AEO Table 10 2021'!$C$31:$AJ$31,MATCH('EIaE-BIE'!Y$1,'AEO Table 10 2021'!$C$13:$AJ$13,0))*10^6*'Canada Elec Mix'!Y15</f>
        <v>0</v>
      </c>
      <c r="Z15" s="5">
        <f>INDEX('AEO Table 10 2021'!$C$31:$AJ$31,MATCH('EIaE-BIE'!Z$1,'AEO Table 10 2021'!$C$13:$AJ$13,0))*10^6*'Canada Elec Mix'!Z15</f>
        <v>0</v>
      </c>
      <c r="AA15" s="5">
        <f>INDEX('AEO Table 10 2021'!$C$31:$AJ$31,MATCH('EIaE-BIE'!AA$1,'AEO Table 10 2021'!$C$13:$AJ$13,0))*10^6*'Canada Elec Mix'!AA15</f>
        <v>0</v>
      </c>
      <c r="AB15" s="5">
        <f>INDEX('AEO Table 10 2021'!$C$31:$AJ$31,MATCH('EIaE-BIE'!AB$1,'AEO Table 10 2021'!$C$13:$AJ$13,0))*10^6*'Canada Elec Mix'!AB15</f>
        <v>0</v>
      </c>
      <c r="AC15" s="5">
        <f>INDEX('AEO Table 10 2021'!$C$31:$AJ$31,MATCH('EIaE-BIE'!AC$1,'AEO Table 10 2021'!$C$13:$AJ$13,0))*10^6*'Canada Elec Mix'!AC15</f>
        <v>0</v>
      </c>
      <c r="AD15" s="5">
        <f>INDEX('AEO Table 10 2021'!$C$31:$AJ$31,MATCH('EIaE-BIE'!AD$1,'AEO Table 10 2021'!$C$13:$AJ$13,0))*10^6*'Canada Elec Mix'!AD15</f>
        <v>0</v>
      </c>
      <c r="AE15" s="5">
        <f>INDEX('AEO Table 10 2021'!$C$31:$AJ$31,MATCH('EIaE-BIE'!AE$1,'AEO Table 10 2021'!$C$13:$AJ$13,0))*10^6*'Canada Elec Mix'!AE15</f>
        <v>0</v>
      </c>
      <c r="AF15" s="5">
        <f>INDEX('AEO Table 10 2021'!$C$31:$AJ$31,MATCH('EIaE-BIE'!AF$1,'AEO Table 10 2021'!$C$13:$AJ$13,0))*10^6*'Canada Elec Mix'!AF15</f>
        <v>0</v>
      </c>
    </row>
    <row r="16" spans="1:32" x14ac:dyDescent="0.25">
      <c r="A16" s="2" t="s">
        <v>129</v>
      </c>
      <c r="B16" s="5">
        <f>INDEX('AEO Table 10 2021'!$C$31:$AJ$31,MATCH('EIaE-BIE'!B$1,'AEO Table 10 2021'!$C$13:$AJ$13,0))*10^6*'Canada Elec Mix'!B16</f>
        <v>0</v>
      </c>
      <c r="C16" s="5">
        <f>INDEX('AEO Table 10 2022'!$C$31:$AJ$31,MATCH('EIaE-BIE'!C$1,'AEO Table 10 2022'!$C$13:$AJ$13,0))*10^6*'Canada Elec Mix'!C16</f>
        <v>0</v>
      </c>
      <c r="D16" s="5">
        <f>INDEX('AEO Table 10 2021'!$C$31:$AJ$31,MATCH('EIaE-BIE'!D$1,'AEO Table 10 2021'!$C$13:$AJ$13,0))*10^6*'Canada Elec Mix'!D16</f>
        <v>0</v>
      </c>
      <c r="E16" s="5">
        <f>INDEX('AEO Table 10 2021'!$C$31:$AJ$31,MATCH('EIaE-BIE'!E$1,'AEO Table 10 2021'!$C$13:$AJ$13,0))*10^6*'Canada Elec Mix'!E16</f>
        <v>0</v>
      </c>
      <c r="F16" s="5">
        <f>INDEX('AEO Table 10 2021'!$C$31:$AJ$31,MATCH('EIaE-BIE'!F$1,'AEO Table 10 2021'!$C$13:$AJ$13,0))*10^6*'Canada Elec Mix'!F16</f>
        <v>0</v>
      </c>
      <c r="G16" s="5">
        <f>INDEX('AEO Table 10 2021'!$C$31:$AJ$31,MATCH('EIaE-BIE'!G$1,'AEO Table 10 2021'!$C$13:$AJ$13,0))*10^6*'Canada Elec Mix'!G16</f>
        <v>0</v>
      </c>
      <c r="H16" s="5">
        <f>INDEX('AEO Table 10 2021'!$C$31:$AJ$31,MATCH('EIaE-BIE'!H$1,'AEO Table 10 2021'!$C$13:$AJ$13,0))*10^6*'Canada Elec Mix'!H16</f>
        <v>0</v>
      </c>
      <c r="I16" s="5">
        <f>INDEX('AEO Table 10 2021'!$C$31:$AJ$31,MATCH('EIaE-BIE'!I$1,'AEO Table 10 2021'!$C$13:$AJ$13,0))*10^6*'Canada Elec Mix'!I16</f>
        <v>0</v>
      </c>
      <c r="J16" s="5">
        <f>INDEX('AEO Table 10 2021'!$C$31:$AJ$31,MATCH('EIaE-BIE'!J$1,'AEO Table 10 2021'!$C$13:$AJ$13,0))*10^6*'Canada Elec Mix'!J16</f>
        <v>0</v>
      </c>
      <c r="K16" s="5">
        <f>INDEX('AEO Table 10 2021'!$C$31:$AJ$31,MATCH('EIaE-BIE'!K$1,'AEO Table 10 2021'!$C$13:$AJ$13,0))*10^6*'Canada Elec Mix'!K16</f>
        <v>0</v>
      </c>
      <c r="L16" s="5">
        <f>INDEX('AEO Table 10 2021'!$C$31:$AJ$31,MATCH('EIaE-BIE'!L$1,'AEO Table 10 2021'!$C$13:$AJ$13,0))*10^6*'Canada Elec Mix'!L16</f>
        <v>0</v>
      </c>
      <c r="M16" s="5">
        <f>INDEX('AEO Table 10 2021'!$C$31:$AJ$31,MATCH('EIaE-BIE'!M$1,'AEO Table 10 2021'!$C$13:$AJ$13,0))*10^6*'Canada Elec Mix'!M16</f>
        <v>0</v>
      </c>
      <c r="N16" s="5">
        <f>INDEX('AEO Table 10 2021'!$C$31:$AJ$31,MATCH('EIaE-BIE'!N$1,'AEO Table 10 2021'!$C$13:$AJ$13,0))*10^6*'Canada Elec Mix'!N16</f>
        <v>0</v>
      </c>
      <c r="O16" s="5">
        <f>INDEX('AEO Table 10 2021'!$C$31:$AJ$31,MATCH('EIaE-BIE'!O$1,'AEO Table 10 2021'!$C$13:$AJ$13,0))*10^6*'Canada Elec Mix'!O16</f>
        <v>0</v>
      </c>
      <c r="P16" s="5">
        <f>INDEX('AEO Table 10 2021'!$C$31:$AJ$31,MATCH('EIaE-BIE'!P$1,'AEO Table 10 2021'!$C$13:$AJ$13,0))*10^6*'Canada Elec Mix'!P16</f>
        <v>0</v>
      </c>
      <c r="Q16" s="5">
        <f>INDEX('AEO Table 10 2021'!$C$31:$AJ$31,MATCH('EIaE-BIE'!Q$1,'AEO Table 10 2021'!$C$13:$AJ$13,0))*10^6*'Canada Elec Mix'!Q16</f>
        <v>0</v>
      </c>
      <c r="R16" s="5">
        <f>INDEX('AEO Table 10 2021'!$C$31:$AJ$31,MATCH('EIaE-BIE'!R$1,'AEO Table 10 2021'!$C$13:$AJ$13,0))*10^6*'Canada Elec Mix'!R16</f>
        <v>0</v>
      </c>
      <c r="S16" s="5">
        <f>INDEX('AEO Table 10 2021'!$C$31:$AJ$31,MATCH('EIaE-BIE'!S$1,'AEO Table 10 2021'!$C$13:$AJ$13,0))*10^6*'Canada Elec Mix'!S16</f>
        <v>0</v>
      </c>
      <c r="T16" s="5">
        <f>INDEX('AEO Table 10 2021'!$C$31:$AJ$31,MATCH('EIaE-BIE'!T$1,'AEO Table 10 2021'!$C$13:$AJ$13,0))*10^6*'Canada Elec Mix'!T16</f>
        <v>0</v>
      </c>
      <c r="U16" s="5">
        <f>INDEX('AEO Table 10 2021'!$C$31:$AJ$31,MATCH('EIaE-BIE'!U$1,'AEO Table 10 2021'!$C$13:$AJ$13,0))*10^6*'Canada Elec Mix'!U16</f>
        <v>0</v>
      </c>
      <c r="V16" s="5">
        <f>INDEX('AEO Table 10 2021'!$C$31:$AJ$31,MATCH('EIaE-BIE'!V$1,'AEO Table 10 2021'!$C$13:$AJ$13,0))*10^6*'Canada Elec Mix'!V16</f>
        <v>0</v>
      </c>
      <c r="W16" s="5">
        <f>INDEX('AEO Table 10 2021'!$C$31:$AJ$31,MATCH('EIaE-BIE'!W$1,'AEO Table 10 2021'!$C$13:$AJ$13,0))*10^6*'Canada Elec Mix'!W16</f>
        <v>0</v>
      </c>
      <c r="X16" s="5">
        <f>INDEX('AEO Table 10 2021'!$C$31:$AJ$31,MATCH('EIaE-BIE'!X$1,'AEO Table 10 2021'!$C$13:$AJ$13,0))*10^6*'Canada Elec Mix'!X16</f>
        <v>0</v>
      </c>
      <c r="Y16" s="5">
        <f>INDEX('AEO Table 10 2021'!$C$31:$AJ$31,MATCH('EIaE-BIE'!Y$1,'AEO Table 10 2021'!$C$13:$AJ$13,0))*10^6*'Canada Elec Mix'!Y16</f>
        <v>0</v>
      </c>
      <c r="Z16" s="5">
        <f>INDEX('AEO Table 10 2021'!$C$31:$AJ$31,MATCH('EIaE-BIE'!Z$1,'AEO Table 10 2021'!$C$13:$AJ$13,0))*10^6*'Canada Elec Mix'!Z16</f>
        <v>0</v>
      </c>
      <c r="AA16" s="5">
        <f>INDEX('AEO Table 10 2021'!$C$31:$AJ$31,MATCH('EIaE-BIE'!AA$1,'AEO Table 10 2021'!$C$13:$AJ$13,0))*10^6*'Canada Elec Mix'!AA16</f>
        <v>0</v>
      </c>
      <c r="AB16" s="5">
        <f>INDEX('AEO Table 10 2021'!$C$31:$AJ$31,MATCH('EIaE-BIE'!AB$1,'AEO Table 10 2021'!$C$13:$AJ$13,0))*10^6*'Canada Elec Mix'!AB16</f>
        <v>0</v>
      </c>
      <c r="AC16" s="5">
        <f>INDEX('AEO Table 10 2021'!$C$31:$AJ$31,MATCH('EIaE-BIE'!AC$1,'AEO Table 10 2021'!$C$13:$AJ$13,0))*10^6*'Canada Elec Mix'!AC16</f>
        <v>0</v>
      </c>
      <c r="AD16" s="5">
        <f>INDEX('AEO Table 10 2021'!$C$31:$AJ$31,MATCH('EIaE-BIE'!AD$1,'AEO Table 10 2021'!$C$13:$AJ$13,0))*10^6*'Canada Elec Mix'!AD16</f>
        <v>0</v>
      </c>
      <c r="AE16" s="5">
        <f>INDEX('AEO Table 10 2021'!$C$31:$AJ$31,MATCH('EIaE-BIE'!AE$1,'AEO Table 10 2021'!$C$13:$AJ$13,0))*10^6*'Canada Elec Mix'!AE16</f>
        <v>0</v>
      </c>
      <c r="AF16" s="5">
        <f>INDEX('AEO Table 10 2021'!$C$31:$AJ$31,MATCH('EIaE-BIE'!AF$1,'AEO Table 10 2021'!$C$13:$AJ$13,0))*10^6*'Canada Elec Mix'!AF16</f>
        <v>0</v>
      </c>
    </row>
    <row r="17" spans="1:32" x14ac:dyDescent="0.25">
      <c r="A17" s="2" t="s">
        <v>130</v>
      </c>
      <c r="B17" s="5">
        <f>INDEX('AEO Table 10 2021'!$C$31:$AJ$31,MATCH('EIaE-BIE'!B$1,'AEO Table 10 2021'!$C$13:$AJ$13,0))*10^6*'Canada Elec Mix'!B17</f>
        <v>0</v>
      </c>
      <c r="C17" s="5">
        <f>INDEX('AEO Table 10 2022'!$C$31:$AJ$31,MATCH('EIaE-BIE'!C$1,'AEO Table 10 2022'!$C$13:$AJ$13,0))*10^6*'Canada Elec Mix'!C17</f>
        <v>0</v>
      </c>
      <c r="D17" s="5">
        <f>INDEX('AEO Table 10 2021'!$C$31:$AJ$31,MATCH('EIaE-BIE'!D$1,'AEO Table 10 2021'!$C$13:$AJ$13,0))*10^6*'Canada Elec Mix'!D17</f>
        <v>0</v>
      </c>
      <c r="E17" s="5">
        <f>INDEX('AEO Table 10 2021'!$C$31:$AJ$31,MATCH('EIaE-BIE'!E$1,'AEO Table 10 2021'!$C$13:$AJ$13,0))*10^6*'Canada Elec Mix'!E17</f>
        <v>0</v>
      </c>
      <c r="F17" s="5">
        <f>INDEX('AEO Table 10 2021'!$C$31:$AJ$31,MATCH('EIaE-BIE'!F$1,'AEO Table 10 2021'!$C$13:$AJ$13,0))*10^6*'Canada Elec Mix'!F17</f>
        <v>0</v>
      </c>
      <c r="G17" s="5">
        <f>INDEX('AEO Table 10 2021'!$C$31:$AJ$31,MATCH('EIaE-BIE'!G$1,'AEO Table 10 2021'!$C$13:$AJ$13,0))*10^6*'Canada Elec Mix'!G17</f>
        <v>0</v>
      </c>
      <c r="H17" s="5">
        <f>INDEX('AEO Table 10 2021'!$C$31:$AJ$31,MATCH('EIaE-BIE'!H$1,'AEO Table 10 2021'!$C$13:$AJ$13,0))*10^6*'Canada Elec Mix'!H17</f>
        <v>0</v>
      </c>
      <c r="I17" s="5">
        <f>INDEX('AEO Table 10 2021'!$C$31:$AJ$31,MATCH('EIaE-BIE'!I$1,'AEO Table 10 2021'!$C$13:$AJ$13,0))*10^6*'Canada Elec Mix'!I17</f>
        <v>0</v>
      </c>
      <c r="J17" s="5">
        <f>INDEX('AEO Table 10 2021'!$C$31:$AJ$31,MATCH('EIaE-BIE'!J$1,'AEO Table 10 2021'!$C$13:$AJ$13,0))*10^6*'Canada Elec Mix'!J17</f>
        <v>0</v>
      </c>
      <c r="K17" s="5">
        <f>INDEX('AEO Table 10 2021'!$C$31:$AJ$31,MATCH('EIaE-BIE'!K$1,'AEO Table 10 2021'!$C$13:$AJ$13,0))*10^6*'Canada Elec Mix'!K17</f>
        <v>0</v>
      </c>
      <c r="L17" s="5">
        <f>INDEX('AEO Table 10 2021'!$C$31:$AJ$31,MATCH('EIaE-BIE'!L$1,'AEO Table 10 2021'!$C$13:$AJ$13,0))*10^6*'Canada Elec Mix'!L17</f>
        <v>0</v>
      </c>
      <c r="M17" s="5">
        <f>INDEX('AEO Table 10 2021'!$C$31:$AJ$31,MATCH('EIaE-BIE'!M$1,'AEO Table 10 2021'!$C$13:$AJ$13,0))*10^6*'Canada Elec Mix'!M17</f>
        <v>0</v>
      </c>
      <c r="N17" s="5">
        <f>INDEX('AEO Table 10 2021'!$C$31:$AJ$31,MATCH('EIaE-BIE'!N$1,'AEO Table 10 2021'!$C$13:$AJ$13,0))*10^6*'Canada Elec Mix'!N17</f>
        <v>0</v>
      </c>
      <c r="O17" s="5">
        <f>INDEX('AEO Table 10 2021'!$C$31:$AJ$31,MATCH('EIaE-BIE'!O$1,'AEO Table 10 2021'!$C$13:$AJ$13,0))*10^6*'Canada Elec Mix'!O17</f>
        <v>0</v>
      </c>
      <c r="P17" s="5">
        <f>INDEX('AEO Table 10 2021'!$C$31:$AJ$31,MATCH('EIaE-BIE'!P$1,'AEO Table 10 2021'!$C$13:$AJ$13,0))*10^6*'Canada Elec Mix'!P17</f>
        <v>0</v>
      </c>
      <c r="Q17" s="5">
        <f>INDEX('AEO Table 10 2021'!$C$31:$AJ$31,MATCH('EIaE-BIE'!Q$1,'AEO Table 10 2021'!$C$13:$AJ$13,0))*10^6*'Canada Elec Mix'!Q17</f>
        <v>0</v>
      </c>
      <c r="R17" s="5">
        <f>INDEX('AEO Table 10 2021'!$C$31:$AJ$31,MATCH('EIaE-BIE'!R$1,'AEO Table 10 2021'!$C$13:$AJ$13,0))*10^6*'Canada Elec Mix'!R17</f>
        <v>0</v>
      </c>
      <c r="S17" s="5">
        <f>INDEX('AEO Table 10 2021'!$C$31:$AJ$31,MATCH('EIaE-BIE'!S$1,'AEO Table 10 2021'!$C$13:$AJ$13,0))*10^6*'Canada Elec Mix'!S17</f>
        <v>0</v>
      </c>
      <c r="T17" s="5">
        <f>INDEX('AEO Table 10 2021'!$C$31:$AJ$31,MATCH('EIaE-BIE'!T$1,'AEO Table 10 2021'!$C$13:$AJ$13,0))*10^6*'Canada Elec Mix'!T17</f>
        <v>0</v>
      </c>
      <c r="U17" s="5">
        <f>INDEX('AEO Table 10 2021'!$C$31:$AJ$31,MATCH('EIaE-BIE'!U$1,'AEO Table 10 2021'!$C$13:$AJ$13,0))*10^6*'Canada Elec Mix'!U17</f>
        <v>0</v>
      </c>
      <c r="V17" s="5">
        <f>INDEX('AEO Table 10 2021'!$C$31:$AJ$31,MATCH('EIaE-BIE'!V$1,'AEO Table 10 2021'!$C$13:$AJ$13,0))*10^6*'Canada Elec Mix'!V17</f>
        <v>0</v>
      </c>
      <c r="W17" s="5">
        <f>INDEX('AEO Table 10 2021'!$C$31:$AJ$31,MATCH('EIaE-BIE'!W$1,'AEO Table 10 2021'!$C$13:$AJ$13,0))*10^6*'Canada Elec Mix'!W17</f>
        <v>0</v>
      </c>
      <c r="X17" s="5">
        <f>INDEX('AEO Table 10 2021'!$C$31:$AJ$31,MATCH('EIaE-BIE'!X$1,'AEO Table 10 2021'!$C$13:$AJ$13,0))*10^6*'Canada Elec Mix'!X17</f>
        <v>0</v>
      </c>
      <c r="Y17" s="5">
        <f>INDEX('AEO Table 10 2021'!$C$31:$AJ$31,MATCH('EIaE-BIE'!Y$1,'AEO Table 10 2021'!$C$13:$AJ$13,0))*10^6*'Canada Elec Mix'!Y17</f>
        <v>0</v>
      </c>
      <c r="Z17" s="5">
        <f>INDEX('AEO Table 10 2021'!$C$31:$AJ$31,MATCH('EIaE-BIE'!Z$1,'AEO Table 10 2021'!$C$13:$AJ$13,0))*10^6*'Canada Elec Mix'!Z17</f>
        <v>0</v>
      </c>
      <c r="AA17" s="5">
        <f>INDEX('AEO Table 10 2021'!$C$31:$AJ$31,MATCH('EIaE-BIE'!AA$1,'AEO Table 10 2021'!$C$13:$AJ$13,0))*10^6*'Canada Elec Mix'!AA17</f>
        <v>0</v>
      </c>
      <c r="AB17" s="5">
        <f>INDEX('AEO Table 10 2021'!$C$31:$AJ$31,MATCH('EIaE-BIE'!AB$1,'AEO Table 10 2021'!$C$13:$AJ$13,0))*10^6*'Canada Elec Mix'!AB17</f>
        <v>0</v>
      </c>
      <c r="AC17" s="5">
        <f>INDEX('AEO Table 10 2021'!$C$31:$AJ$31,MATCH('EIaE-BIE'!AC$1,'AEO Table 10 2021'!$C$13:$AJ$13,0))*10^6*'Canada Elec Mix'!AC17</f>
        <v>0</v>
      </c>
      <c r="AD17" s="5">
        <f>INDEX('AEO Table 10 2021'!$C$31:$AJ$31,MATCH('EIaE-BIE'!AD$1,'AEO Table 10 2021'!$C$13:$AJ$13,0))*10^6*'Canada Elec Mix'!AD17</f>
        <v>0</v>
      </c>
      <c r="AE17" s="5">
        <f>INDEX('AEO Table 10 2021'!$C$31:$AJ$31,MATCH('EIaE-BIE'!AE$1,'AEO Table 10 2021'!$C$13:$AJ$13,0))*10^6*'Canada Elec Mix'!AE17</f>
        <v>0</v>
      </c>
      <c r="AF17" s="5">
        <f>INDEX('AEO Table 10 2021'!$C$31:$AJ$31,MATCH('EIaE-BIE'!AF$1,'AEO Table 10 2021'!$C$13:$AJ$13,0))*10^6*'Canada Elec Mix'!AF17</f>
        <v>0</v>
      </c>
    </row>
    <row r="18" spans="1:32" x14ac:dyDescent="0.25">
      <c r="A18" s="2" t="s">
        <v>131</v>
      </c>
      <c r="B18" s="5">
        <f>INDEX('AEO Table 10 2021'!$C$31:$AJ$31,MATCH('EIaE-BIE'!B$1,'AEO Table 10 2021'!$C$13:$AJ$13,0))*10^6*'Canada Elec Mix'!B18</f>
        <v>0</v>
      </c>
      <c r="C18" s="5">
        <f>INDEX('AEO Table 10 2022'!$C$31:$AJ$31,MATCH('EIaE-BIE'!C$1,'AEO Table 10 2022'!$C$13:$AJ$13,0))*10^6*'Canada Elec Mix'!C18</f>
        <v>0</v>
      </c>
      <c r="D18" s="5">
        <f>INDEX('AEO Table 10 2021'!$C$31:$AJ$31,MATCH('EIaE-BIE'!D$1,'AEO Table 10 2021'!$C$13:$AJ$13,0))*10^6*'Canada Elec Mix'!D18</f>
        <v>0</v>
      </c>
      <c r="E18" s="5">
        <f>INDEX('AEO Table 10 2021'!$C$31:$AJ$31,MATCH('EIaE-BIE'!E$1,'AEO Table 10 2021'!$C$13:$AJ$13,0))*10^6*'Canada Elec Mix'!E18</f>
        <v>0</v>
      </c>
      <c r="F18" s="5">
        <f>INDEX('AEO Table 10 2021'!$C$31:$AJ$31,MATCH('EIaE-BIE'!F$1,'AEO Table 10 2021'!$C$13:$AJ$13,0))*10^6*'Canada Elec Mix'!F18</f>
        <v>0</v>
      </c>
      <c r="G18" s="5">
        <f>INDEX('AEO Table 10 2021'!$C$31:$AJ$31,MATCH('EIaE-BIE'!G$1,'AEO Table 10 2021'!$C$13:$AJ$13,0))*10^6*'Canada Elec Mix'!G18</f>
        <v>0</v>
      </c>
      <c r="H18" s="5">
        <f>INDEX('AEO Table 10 2021'!$C$31:$AJ$31,MATCH('EIaE-BIE'!H$1,'AEO Table 10 2021'!$C$13:$AJ$13,0))*10^6*'Canada Elec Mix'!H18</f>
        <v>0</v>
      </c>
      <c r="I18" s="5">
        <f>INDEX('AEO Table 10 2021'!$C$31:$AJ$31,MATCH('EIaE-BIE'!I$1,'AEO Table 10 2021'!$C$13:$AJ$13,0))*10^6*'Canada Elec Mix'!I18</f>
        <v>0</v>
      </c>
      <c r="J18" s="5">
        <f>INDEX('AEO Table 10 2021'!$C$31:$AJ$31,MATCH('EIaE-BIE'!J$1,'AEO Table 10 2021'!$C$13:$AJ$13,0))*10^6*'Canada Elec Mix'!J18</f>
        <v>0</v>
      </c>
      <c r="K18" s="5">
        <f>INDEX('AEO Table 10 2021'!$C$31:$AJ$31,MATCH('EIaE-BIE'!K$1,'AEO Table 10 2021'!$C$13:$AJ$13,0))*10^6*'Canada Elec Mix'!K18</f>
        <v>0</v>
      </c>
      <c r="L18" s="5">
        <f>INDEX('AEO Table 10 2021'!$C$31:$AJ$31,MATCH('EIaE-BIE'!L$1,'AEO Table 10 2021'!$C$13:$AJ$13,0))*10^6*'Canada Elec Mix'!L18</f>
        <v>0</v>
      </c>
      <c r="M18" s="5">
        <f>INDEX('AEO Table 10 2021'!$C$31:$AJ$31,MATCH('EIaE-BIE'!M$1,'AEO Table 10 2021'!$C$13:$AJ$13,0))*10^6*'Canada Elec Mix'!M18</f>
        <v>0</v>
      </c>
      <c r="N18" s="5">
        <f>INDEX('AEO Table 10 2021'!$C$31:$AJ$31,MATCH('EIaE-BIE'!N$1,'AEO Table 10 2021'!$C$13:$AJ$13,0))*10^6*'Canada Elec Mix'!N18</f>
        <v>0</v>
      </c>
      <c r="O18" s="5">
        <f>INDEX('AEO Table 10 2021'!$C$31:$AJ$31,MATCH('EIaE-BIE'!O$1,'AEO Table 10 2021'!$C$13:$AJ$13,0))*10^6*'Canada Elec Mix'!O18</f>
        <v>0</v>
      </c>
      <c r="P18" s="5">
        <f>INDEX('AEO Table 10 2021'!$C$31:$AJ$31,MATCH('EIaE-BIE'!P$1,'AEO Table 10 2021'!$C$13:$AJ$13,0))*10^6*'Canada Elec Mix'!P18</f>
        <v>0</v>
      </c>
      <c r="Q18" s="5">
        <f>INDEX('AEO Table 10 2021'!$C$31:$AJ$31,MATCH('EIaE-BIE'!Q$1,'AEO Table 10 2021'!$C$13:$AJ$13,0))*10^6*'Canada Elec Mix'!Q18</f>
        <v>0</v>
      </c>
      <c r="R18" s="5">
        <f>INDEX('AEO Table 10 2021'!$C$31:$AJ$31,MATCH('EIaE-BIE'!R$1,'AEO Table 10 2021'!$C$13:$AJ$13,0))*10^6*'Canada Elec Mix'!R18</f>
        <v>0</v>
      </c>
      <c r="S18" s="5">
        <f>INDEX('AEO Table 10 2021'!$C$31:$AJ$31,MATCH('EIaE-BIE'!S$1,'AEO Table 10 2021'!$C$13:$AJ$13,0))*10^6*'Canada Elec Mix'!S18</f>
        <v>0</v>
      </c>
      <c r="T18" s="5">
        <f>INDEX('AEO Table 10 2021'!$C$31:$AJ$31,MATCH('EIaE-BIE'!T$1,'AEO Table 10 2021'!$C$13:$AJ$13,0))*10^6*'Canada Elec Mix'!T18</f>
        <v>0</v>
      </c>
      <c r="U18" s="5">
        <f>INDEX('AEO Table 10 2021'!$C$31:$AJ$31,MATCH('EIaE-BIE'!U$1,'AEO Table 10 2021'!$C$13:$AJ$13,0))*10^6*'Canada Elec Mix'!U18</f>
        <v>0</v>
      </c>
      <c r="V18" s="5">
        <f>INDEX('AEO Table 10 2021'!$C$31:$AJ$31,MATCH('EIaE-BIE'!V$1,'AEO Table 10 2021'!$C$13:$AJ$13,0))*10^6*'Canada Elec Mix'!V18</f>
        <v>0</v>
      </c>
      <c r="W18" s="5">
        <f>INDEX('AEO Table 10 2021'!$C$31:$AJ$31,MATCH('EIaE-BIE'!W$1,'AEO Table 10 2021'!$C$13:$AJ$13,0))*10^6*'Canada Elec Mix'!W18</f>
        <v>0</v>
      </c>
      <c r="X18" s="5">
        <f>INDEX('AEO Table 10 2021'!$C$31:$AJ$31,MATCH('EIaE-BIE'!X$1,'AEO Table 10 2021'!$C$13:$AJ$13,0))*10^6*'Canada Elec Mix'!X18</f>
        <v>0</v>
      </c>
      <c r="Y18" s="5">
        <f>INDEX('AEO Table 10 2021'!$C$31:$AJ$31,MATCH('EIaE-BIE'!Y$1,'AEO Table 10 2021'!$C$13:$AJ$13,0))*10^6*'Canada Elec Mix'!Y18</f>
        <v>0</v>
      </c>
      <c r="Z18" s="5">
        <f>INDEX('AEO Table 10 2021'!$C$31:$AJ$31,MATCH('EIaE-BIE'!Z$1,'AEO Table 10 2021'!$C$13:$AJ$13,0))*10^6*'Canada Elec Mix'!Z18</f>
        <v>0</v>
      </c>
      <c r="AA18" s="5">
        <f>INDEX('AEO Table 10 2021'!$C$31:$AJ$31,MATCH('EIaE-BIE'!AA$1,'AEO Table 10 2021'!$C$13:$AJ$13,0))*10^6*'Canada Elec Mix'!AA18</f>
        <v>0</v>
      </c>
      <c r="AB18" s="5">
        <f>INDEX('AEO Table 10 2021'!$C$31:$AJ$31,MATCH('EIaE-BIE'!AB$1,'AEO Table 10 2021'!$C$13:$AJ$13,0))*10^6*'Canada Elec Mix'!AB18</f>
        <v>0</v>
      </c>
      <c r="AC18" s="5">
        <f>INDEX('AEO Table 10 2021'!$C$31:$AJ$31,MATCH('EIaE-BIE'!AC$1,'AEO Table 10 2021'!$C$13:$AJ$13,0))*10^6*'Canada Elec Mix'!AC18</f>
        <v>0</v>
      </c>
      <c r="AD18" s="5">
        <f>INDEX('AEO Table 10 2021'!$C$31:$AJ$31,MATCH('EIaE-BIE'!AD$1,'AEO Table 10 2021'!$C$13:$AJ$13,0))*10^6*'Canada Elec Mix'!AD18</f>
        <v>0</v>
      </c>
      <c r="AE18" s="5">
        <f>INDEX('AEO Table 10 2021'!$C$31:$AJ$31,MATCH('EIaE-BIE'!AE$1,'AEO Table 10 2021'!$C$13:$AJ$13,0))*10^6*'Canada Elec Mix'!AE18</f>
        <v>0</v>
      </c>
      <c r="AF18" s="5">
        <f>INDEX('AEO Table 10 2021'!$C$31:$AJ$31,MATCH('EIaE-BIE'!AF$1,'AEO Table 10 2021'!$C$13:$AJ$13,0))*10^6*'Canada Elec Mix'!AF18</f>
        <v>0</v>
      </c>
    </row>
    <row r="19" spans="1:32" x14ac:dyDescent="0.25">
      <c r="A19" t="s">
        <v>416</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row>
    <row r="20" spans="1:32" x14ac:dyDescent="0.25">
      <c r="A20" t="s">
        <v>417</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row>
    <row r="21" spans="1:32" x14ac:dyDescent="0.25">
      <c r="A21" t="s">
        <v>418</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row>
    <row r="22" spans="1:32" x14ac:dyDescent="0.25">
      <c r="A22" t="s">
        <v>419</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row>
    <row r="23" spans="1:32" x14ac:dyDescent="0.25">
      <c r="A23" t="s">
        <v>420</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row>
    <row r="24" spans="1:32" x14ac:dyDescent="0.25">
      <c r="A24" s="83" t="s">
        <v>421</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row>
    <row r="25" spans="1:32" x14ac:dyDescent="0.25">
      <c r="A25" s="83" t="s">
        <v>422</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3"/>
  </sheetPr>
  <dimension ref="A1:AF2"/>
  <sheetViews>
    <sheetView workbookViewId="0">
      <selection activeCell="B2" sqref="A1:B2"/>
    </sheetView>
  </sheetViews>
  <sheetFormatPr defaultRowHeight="15" x14ac:dyDescent="0.25"/>
  <cols>
    <col min="1" max="1" width="26.140625" customWidth="1"/>
  </cols>
  <sheetData>
    <row r="1" spans="1:32" ht="30" x14ac:dyDescent="0.25">
      <c r="A1" s="9" t="s">
        <v>133</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x14ac:dyDescent="0.25">
      <c r="A2" t="s">
        <v>29</v>
      </c>
      <c r="B2">
        <f>INDEX('AEO Table 10 2021'!$C$36:$AJ$36,MATCH('EIaE-BIE'!B$1,'AEO Table 10 2021'!$C$13:$AJ$13,0))*10^6</f>
        <v>13198703</v>
      </c>
      <c r="C2">
        <f>INDEX('AEO Table 10 2022'!$C$36:$AJ$36,MATCH('EIaE-BIE'!C$1,'AEO Table 10 2022'!$C$13:$AJ$13,0))*10^6</f>
        <v>14518716</v>
      </c>
      <c r="D2">
        <f>INDEX('AEO Table 10 2023'!$C$36:$AJ$36,MATCH('EIaE-BIE'!D$1,'AEO Table 10 2023'!$C$13:$AJ$13,0))*10^6</f>
        <v>14533877</v>
      </c>
      <c r="E2">
        <f>INDEX('AEO Table 10 2023'!$C$36:$AJ$36,MATCH('EIaE-BIE'!E$1,'AEO Table 10 2023'!$C$13:$AJ$13,0))*10^6</f>
        <v>14533877</v>
      </c>
      <c r="F2">
        <f>INDEX('AEO Table 10 2023'!$C$36:$AJ$36,MATCH('EIaE-BIE'!F$1,'AEO Table 10 2023'!$C$13:$AJ$13,0))*10^6</f>
        <v>14533877</v>
      </c>
      <c r="G2">
        <f>INDEX('AEO Table 10 2023'!$C$36:$AJ$36,MATCH('EIaE-BIE'!G$1,'AEO Table 10 2023'!$C$13:$AJ$13,0))*10^6</f>
        <v>14533877</v>
      </c>
      <c r="H2">
        <f>INDEX('AEO Table 10 2023'!$C$36:$AJ$36,MATCH('EIaE-BIE'!H$1,'AEO Table 10 2023'!$C$13:$AJ$13,0))*10^6</f>
        <v>14533877</v>
      </c>
      <c r="I2">
        <f>INDEX('AEO Table 10 2023'!$C$36:$AJ$36,MATCH('EIaE-BIE'!I$1,'AEO Table 10 2023'!$C$13:$AJ$13,0))*10^6</f>
        <v>14533877</v>
      </c>
      <c r="J2">
        <f>INDEX('AEO Table 10 2023'!$C$36:$AJ$36,MATCH('EIaE-BIE'!J$1,'AEO Table 10 2023'!$C$13:$AJ$13,0))*10^6</f>
        <v>14533877</v>
      </c>
      <c r="K2">
        <f>INDEX('AEO Table 10 2023'!$C$36:$AJ$36,MATCH('EIaE-BIE'!K$1,'AEO Table 10 2023'!$C$13:$AJ$13,0))*10^6</f>
        <v>14533877</v>
      </c>
      <c r="L2">
        <f>INDEX('AEO Table 10 2023'!$C$36:$AJ$36,MATCH('EIaE-BIE'!L$1,'AEO Table 10 2023'!$C$13:$AJ$13,0))*10^6</f>
        <v>14533877</v>
      </c>
      <c r="M2">
        <f>INDEX('AEO Table 10 2023'!$C$36:$AJ$36,MATCH('EIaE-BIE'!M$1,'AEO Table 10 2023'!$C$13:$AJ$13,0))*10^6</f>
        <v>14653452</v>
      </c>
      <c r="N2">
        <f>INDEX('AEO Table 10 2023'!$C$36:$AJ$36,MATCH('EIaE-BIE'!N$1,'AEO Table 10 2023'!$C$13:$AJ$13,0))*10^6</f>
        <v>14773026</v>
      </c>
      <c r="O2">
        <f>INDEX('AEO Table 10 2023'!$C$36:$AJ$36,MATCH('EIaE-BIE'!O$1,'AEO Table 10 2023'!$C$13:$AJ$13,0))*10^6</f>
        <v>14892600</v>
      </c>
      <c r="P2">
        <f>INDEX('AEO Table 10 2023'!$C$36:$AJ$36,MATCH('EIaE-BIE'!P$1,'AEO Table 10 2023'!$C$13:$AJ$13,0))*10^6</f>
        <v>15012175</v>
      </c>
      <c r="Q2">
        <f>INDEX('AEO Table 10 2023'!$C$36:$AJ$36,MATCH('EIaE-BIE'!Q$1,'AEO Table 10 2023'!$C$13:$AJ$13,0))*10^6</f>
        <v>15131748</v>
      </c>
      <c r="R2">
        <f>INDEX('AEO Table 10 2023'!$C$36:$AJ$36,MATCH('EIaE-BIE'!R$1,'AEO Table 10 2023'!$C$13:$AJ$13,0))*10^6</f>
        <v>15251322</v>
      </c>
      <c r="S2">
        <f>INDEX('AEO Table 10 2023'!$C$36:$AJ$36,MATCH('EIaE-BIE'!S$1,'AEO Table 10 2023'!$C$13:$AJ$13,0))*10^6</f>
        <v>15370896</v>
      </c>
      <c r="T2">
        <f>INDEX('AEO Table 10 2023'!$C$36:$AJ$36,MATCH('EIaE-BIE'!T$1,'AEO Table 10 2023'!$C$13:$AJ$13,0))*10^6</f>
        <v>15490470</v>
      </c>
      <c r="U2">
        <f>INDEX('AEO Table 10 2023'!$C$36:$AJ$36,MATCH('EIaE-BIE'!U$1,'AEO Table 10 2023'!$C$13:$AJ$13,0))*10^6</f>
        <v>15610044</v>
      </c>
      <c r="V2">
        <f>INDEX('AEO Table 10 2023'!$C$36:$AJ$36,MATCH('EIaE-BIE'!V$1,'AEO Table 10 2023'!$C$13:$AJ$13,0))*10^6</f>
        <v>15729618</v>
      </c>
      <c r="W2">
        <f>INDEX('AEO Table 10 2023'!$C$36:$AJ$36,MATCH('EIaE-BIE'!W$1,'AEO Table 10 2023'!$C$13:$AJ$13,0))*10^6</f>
        <v>15729618</v>
      </c>
      <c r="X2">
        <f>INDEX('AEO Table 10 2023'!$C$36:$AJ$36,MATCH('EIaE-BIE'!X$1,'AEO Table 10 2023'!$C$13:$AJ$13,0))*10^6</f>
        <v>15729618</v>
      </c>
      <c r="Y2">
        <f>INDEX('AEO Table 10 2023'!$C$36:$AJ$36,MATCH('EIaE-BIE'!Y$1,'AEO Table 10 2023'!$C$13:$AJ$13,0))*10^6</f>
        <v>15729618</v>
      </c>
      <c r="Z2">
        <f>INDEX('AEO Table 10 2023'!$C$36:$AJ$36,MATCH('EIaE-BIE'!Z$1,'AEO Table 10 2023'!$C$13:$AJ$13,0))*10^6</f>
        <v>15729618</v>
      </c>
      <c r="AA2">
        <f>INDEX('AEO Table 10 2023'!$C$36:$AJ$36,MATCH('EIaE-BIE'!AA$1,'AEO Table 10 2023'!$C$13:$AJ$13,0))*10^6</f>
        <v>15729618</v>
      </c>
      <c r="AB2">
        <f>INDEX('AEO Table 10 2023'!$C$36:$AJ$36,MATCH('EIaE-BIE'!AB$1,'AEO Table 10 2023'!$C$13:$AJ$13,0))*10^6</f>
        <v>15729618</v>
      </c>
      <c r="AC2">
        <f>INDEX('AEO Table 10 2023'!$C$36:$AJ$36,MATCH('EIaE-BIE'!AC$1,'AEO Table 10 2023'!$C$13:$AJ$13,0))*10^6</f>
        <v>15729618</v>
      </c>
      <c r="AD2">
        <f>INDEX('AEO Table 10 2023'!$C$36:$AJ$36,MATCH('EIaE-BIE'!AD$1,'AEO Table 10 2023'!$C$13:$AJ$13,0))*10^6</f>
        <v>15729618</v>
      </c>
      <c r="AE2">
        <f>INDEX('AEO Table 10 2023'!$C$36:$AJ$36,MATCH('EIaE-BIE'!AE$1,'AEO Table 10 2023'!$C$13:$AJ$13,0))*10^6</f>
        <v>15729618</v>
      </c>
      <c r="AF2">
        <f>INDEX('AEO Table 10 2023'!$C$36:$AJ$36,MATCH('EIaE-BIE'!AF$1,'AEO Table 10 2023'!$C$13:$AJ$13,0))*10^6</f>
        <v>15729618</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8F043-BA16-449B-AB6C-878CEBA2C689}">
  <sheetPr>
    <tabColor theme="3"/>
  </sheetPr>
  <dimension ref="A1:AH2"/>
  <sheetViews>
    <sheetView workbookViewId="0">
      <selection activeCell="C3" sqref="C3"/>
    </sheetView>
  </sheetViews>
  <sheetFormatPr defaultRowHeight="15" x14ac:dyDescent="0.25"/>
  <cols>
    <col min="1" max="1" width="26.28515625" customWidth="1"/>
  </cols>
  <sheetData>
    <row r="1" spans="1:34" x14ac:dyDescent="0.25">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x14ac:dyDescent="0.25">
      <c r="A2" t="s">
        <v>135</v>
      </c>
      <c r="B2" s="12">
        <f>INDEX('AEO Table 3 2021'!67:67,MATCH(B1,'AEO Table 3 2021'!1:1,0))/10^6*About!$A$59/About!$A$58</f>
        <v>92.385094561027103</v>
      </c>
      <c r="C2" s="12">
        <f>INDEX('AEO Table 3 2022'!67:67,MATCH(C1,'AEO Table 3 2022'!1:1,0))/10^6*About!$A$60/About!$A$58</f>
        <v>93.978105887781467</v>
      </c>
      <c r="D2" s="12">
        <f>INDEX('AEO Table 3 2023'!67:67,MATCH(D1,'AEO Table 3 2023'!1:1,0))/10^6*About!$A$60/About!$A$58</f>
        <v>103.57699495763774</v>
      </c>
      <c r="E2" s="12">
        <f>INDEX('AEO Table 3 2023'!67:67,MATCH(E1,'AEO Table 3 2023'!1:1,0))/10^6*About!$A$60/About!$A$58</f>
        <v>100.93588062916164</v>
      </c>
      <c r="F2" s="12">
        <f>INDEX('AEO Table 3 2023'!67:67,MATCH(F1,'AEO Table 3 2023'!1:1,0))/10^6*About!$A$60/About!$A$58</f>
        <v>97.195681889697426</v>
      </c>
      <c r="G2" s="12">
        <f>INDEX('AEO Table 3 2023'!67:67,MATCH(G1,'AEO Table 3 2023'!1:1,0))/10^6*About!$A$60/About!$A$58</f>
        <v>93.454633244350902</v>
      </c>
      <c r="H2" s="12">
        <f>INDEX('AEO Table 3 2023'!67:67,MATCH(H1,'AEO Table 3 2023'!1:1,0))/10^6*About!$A$60/About!$A$58</f>
        <v>91.239535684800543</v>
      </c>
      <c r="I2" s="12">
        <f>INDEX('AEO Table 3 2023'!67:67,MATCH(I1,'AEO Table 3 2023'!1:1,0))/10^6*About!$A$60/About!$A$58</f>
        <v>89.660948251027904</v>
      </c>
      <c r="J2" s="12">
        <f>INDEX('AEO Table 3 2023'!67:67,MATCH(J1,'AEO Table 3 2023'!1:1,0))/10^6*About!$A$60/About!$A$58</f>
        <v>88.539575491901672</v>
      </c>
      <c r="K2" s="12">
        <f>INDEX('AEO Table 3 2023'!67:67,MATCH(K1,'AEO Table 3 2023'!1:1,0))/10^6*About!$A$60/About!$A$58</f>
        <v>88.110797974276579</v>
      </c>
      <c r="L2" s="12">
        <f>INDEX('AEO Table 3 2023'!67:67,MATCH(L1,'AEO Table 3 2023'!1:1,0))/10^6*About!$A$60/About!$A$58</f>
        <v>88.231022075751014</v>
      </c>
      <c r="M2" s="12">
        <f>INDEX('AEO Table 3 2023'!67:67,MATCH(M1,'AEO Table 3 2023'!1:1,0))/10^6*About!$A$60/About!$A$58</f>
        <v>88.512956670934656</v>
      </c>
      <c r="N2" s="12">
        <f>INDEX('AEO Table 3 2023'!67:67,MATCH(N1,'AEO Table 3 2023'!1:1,0))/10^6*About!$A$60/About!$A$58</f>
        <v>88.751158694051711</v>
      </c>
      <c r="O2" s="12">
        <f>INDEX('AEO Table 3 2023'!67:67,MATCH(O1,'AEO Table 3 2023'!1:1,0))/10^6*About!$A$60/About!$A$58</f>
        <v>90.059794049246733</v>
      </c>
      <c r="P2" s="12">
        <f>INDEX('AEO Table 3 2023'!67:67,MATCH(P1,'AEO Table 3 2023'!1:1,0))/10^6*About!$A$60/About!$A$58</f>
        <v>90.906762841840404</v>
      </c>
      <c r="Q2" s="12">
        <f>INDEX('AEO Table 3 2023'!67:67,MATCH(Q1,'AEO Table 3 2023'!1:1,0))/10^6*About!$A$60/About!$A$58</f>
        <v>90.916799825593372</v>
      </c>
      <c r="R2" s="12">
        <f>INDEX('AEO Table 3 2023'!67:67,MATCH(R1,'AEO Table 3 2023'!1:1,0))/10^6*About!$A$60/About!$A$58</f>
        <v>91.448921851336408</v>
      </c>
      <c r="S2" s="12">
        <f>INDEX('AEO Table 3 2023'!67:67,MATCH(S1,'AEO Table 3 2023'!1:1,0))/10^6*About!$A$60/About!$A$58</f>
        <v>92.108836188077319</v>
      </c>
      <c r="T2" s="12">
        <f>INDEX('AEO Table 3 2023'!67:67,MATCH(T1,'AEO Table 3 2023'!1:1,0))/10^6*About!$A$60/About!$A$58</f>
        <v>93.096134848851065</v>
      </c>
      <c r="U2" s="12">
        <f>INDEX('AEO Table 3 2023'!67:67,MATCH(U1,'AEO Table 3 2023'!1:1,0))/10^6*About!$A$60/About!$A$58</f>
        <v>93.863484227123067</v>
      </c>
      <c r="V2" s="12">
        <f>INDEX('AEO Table 3 2023'!67:67,MATCH(V1,'AEO Table 3 2023'!1:1,0))/10^6*About!$A$60/About!$A$58</f>
        <v>94.514613312243782</v>
      </c>
      <c r="W2" s="12">
        <f>INDEX('AEO Table 3 2023'!67:67,MATCH(W1,'AEO Table 3 2023'!1:1,0))/10^6*About!$A$60/About!$A$58</f>
        <v>95.041439325822225</v>
      </c>
      <c r="X2" s="12">
        <f>INDEX('AEO Table 3 2023'!67:67,MATCH(X1,'AEO Table 3 2023'!1:1,0))/10^6*About!$A$60/About!$A$58</f>
        <v>95.257879133013986</v>
      </c>
      <c r="Y2" s="12">
        <f>INDEX('AEO Table 3 2023'!67:67,MATCH(Y1,'AEO Table 3 2023'!1:1,0))/10^6*About!$A$60/About!$A$58</f>
        <v>95.38822694333146</v>
      </c>
      <c r="Z2" s="12">
        <f>INDEX('AEO Table 3 2023'!67:67,MATCH(Z1,'AEO Table 3 2023'!1:1,0))/10^6*About!$A$60/About!$A$58</f>
        <v>95.496329768055801</v>
      </c>
      <c r="AA2" s="12">
        <f>INDEX('AEO Table 3 2023'!67:67,MATCH(AA1,'AEO Table 3 2023'!1:1,0))/10^6*About!$A$60/About!$A$58</f>
        <v>95.584783578215337</v>
      </c>
      <c r="AB2" s="12">
        <f>INDEX('AEO Table 3 2023'!67:67,MATCH(AB1,'AEO Table 3 2023'!1:1,0))/10^6*About!$A$60/About!$A$58</f>
        <v>95.294534937734014</v>
      </c>
      <c r="AC2" s="12">
        <f>INDEX('AEO Table 3 2023'!67:67,MATCH(AC1,'AEO Table 3 2023'!1:1,0))/10^6*About!$A$60/About!$A$58</f>
        <v>94.861984878692553</v>
      </c>
      <c r="AD2" s="12">
        <f>INDEX('AEO Table 3 2023'!67:67,MATCH(AD1,'AEO Table 3 2023'!1:1,0))/10^6*About!$A$60/About!$A$58</f>
        <v>94.713022973217988</v>
      </c>
      <c r="AE2" s="12">
        <f>INDEX('AEO Table 3 2023'!67:67,MATCH(AE1,'AEO Table 3 2023'!1:1,0))/10^6*About!$A$60/About!$A$58</f>
        <v>94.189483840551745</v>
      </c>
      <c r="AF2" s="12">
        <f>INDEX('AEO Table 3 2023'!67:67,MATCH(AF1,'AEO Table 3 2023'!1:1,0))/10^6*About!$A$60/About!$A$58</f>
        <v>93.402132765682126</v>
      </c>
      <c r="AG2" s="12"/>
      <c r="AH2" s="12"/>
    </row>
  </sheetData>
  <pageMargins left="0.7" right="0.7" top="0.75" bottom="0.75" header="0.3" footer="0.3"/>
  <pageSetup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777A9-21C3-491A-80BE-AFAA838DFA2A}">
  <sheetPr>
    <tabColor theme="3"/>
  </sheetPr>
  <dimension ref="A1:AH2"/>
  <sheetViews>
    <sheetView workbookViewId="0">
      <selection activeCell="G43" sqref="G43"/>
    </sheetView>
  </sheetViews>
  <sheetFormatPr defaultRowHeight="15" x14ac:dyDescent="0.25"/>
  <cols>
    <col min="1" max="1" width="26.28515625" customWidth="1"/>
  </cols>
  <sheetData>
    <row r="1" spans="1:34" x14ac:dyDescent="0.25">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x14ac:dyDescent="0.25">
      <c r="A2" t="s">
        <v>137</v>
      </c>
      <c r="B2" s="12">
        <f>INDEX('AEO Table 3 2021'!67:67,MATCH(B1,'AEO Table 3 2021'!1:1,0))/10^6*About!$A$59/About!$A$58</f>
        <v>92.385094561027103</v>
      </c>
      <c r="C2" s="12">
        <f>INDEX('AEO Table 3 2022'!67:67,MATCH(C1,'AEO Table 3 2022'!1:1,0))/10^6*About!$A$60/About!$A$58</f>
        <v>93.978105887781467</v>
      </c>
      <c r="D2" s="12">
        <f>INDEX('AEO Table 3 2023'!67:67,MATCH(D1,'AEO Table 3 2023'!1:1,0))/10^6*About!$A$60/About!$A$58</f>
        <v>103.57699495763774</v>
      </c>
      <c r="E2" s="12">
        <f>INDEX('AEO Table 3 2023'!67:67,MATCH(E1,'AEO Table 3 2023'!1:1,0))/10^6*About!$A$60/About!$A$58</f>
        <v>100.93588062916164</v>
      </c>
      <c r="F2" s="12">
        <f>INDEX('AEO Table 3 2023'!67:67,MATCH(F1,'AEO Table 3 2023'!1:1,0))/10^6*About!$A$60/About!$A$58</f>
        <v>97.195681889697426</v>
      </c>
      <c r="G2" s="12">
        <f>INDEX('AEO Table 3 2023'!67:67,MATCH(G1,'AEO Table 3 2023'!1:1,0))/10^6*About!$A$60/About!$A$58</f>
        <v>93.454633244350902</v>
      </c>
      <c r="H2" s="12">
        <f>INDEX('AEO Table 3 2023'!67:67,MATCH(H1,'AEO Table 3 2023'!1:1,0))/10^6*About!$A$60/About!$A$58</f>
        <v>91.239535684800543</v>
      </c>
      <c r="I2" s="12">
        <f>INDEX('AEO Table 3 2023'!67:67,MATCH(I1,'AEO Table 3 2023'!1:1,0))/10^6*About!$A$60/About!$A$58</f>
        <v>89.660948251027904</v>
      </c>
      <c r="J2" s="12">
        <f>INDEX('AEO Table 3 2023'!67:67,MATCH(J1,'AEO Table 3 2023'!1:1,0))/10^6*About!$A$60/About!$A$58</f>
        <v>88.539575491901672</v>
      </c>
      <c r="K2" s="12">
        <f>INDEX('AEO Table 3 2023'!67:67,MATCH(K1,'AEO Table 3 2023'!1:1,0))/10^6*About!$A$60/About!$A$58</f>
        <v>88.110797974276579</v>
      </c>
      <c r="L2" s="12">
        <f>INDEX('AEO Table 3 2023'!67:67,MATCH(L1,'AEO Table 3 2023'!1:1,0))/10^6*About!$A$60/About!$A$58</f>
        <v>88.231022075751014</v>
      </c>
      <c r="M2" s="12">
        <f>INDEX('AEO Table 3 2023'!67:67,MATCH(M1,'AEO Table 3 2023'!1:1,0))/10^6*About!$A$60/About!$A$58</f>
        <v>88.512956670934656</v>
      </c>
      <c r="N2" s="12">
        <f>INDEX('AEO Table 3 2023'!67:67,MATCH(N1,'AEO Table 3 2023'!1:1,0))/10^6*About!$A$60/About!$A$58</f>
        <v>88.751158694051711</v>
      </c>
      <c r="O2" s="12">
        <f>INDEX('AEO Table 3 2023'!67:67,MATCH(O1,'AEO Table 3 2023'!1:1,0))/10^6*About!$A$60/About!$A$58</f>
        <v>90.059794049246733</v>
      </c>
      <c r="P2" s="12">
        <f>INDEX('AEO Table 3 2023'!67:67,MATCH(P1,'AEO Table 3 2023'!1:1,0))/10^6*About!$A$60/About!$A$58</f>
        <v>90.906762841840404</v>
      </c>
      <c r="Q2" s="12">
        <f>INDEX('AEO Table 3 2023'!67:67,MATCH(Q1,'AEO Table 3 2023'!1:1,0))/10^6*About!$A$60/About!$A$58</f>
        <v>90.916799825593372</v>
      </c>
      <c r="R2" s="12">
        <f>INDEX('AEO Table 3 2023'!67:67,MATCH(R1,'AEO Table 3 2023'!1:1,0))/10^6*About!$A$60/About!$A$58</f>
        <v>91.448921851336408</v>
      </c>
      <c r="S2" s="12">
        <f>INDEX('AEO Table 3 2023'!67:67,MATCH(S1,'AEO Table 3 2023'!1:1,0))/10^6*About!$A$60/About!$A$58</f>
        <v>92.108836188077319</v>
      </c>
      <c r="T2" s="12">
        <f>INDEX('AEO Table 3 2023'!67:67,MATCH(T1,'AEO Table 3 2023'!1:1,0))/10^6*About!$A$60/About!$A$58</f>
        <v>93.096134848851065</v>
      </c>
      <c r="U2" s="12">
        <f>INDEX('AEO Table 3 2023'!67:67,MATCH(U1,'AEO Table 3 2023'!1:1,0))/10^6*About!$A$60/About!$A$58</f>
        <v>93.863484227123067</v>
      </c>
      <c r="V2" s="12">
        <f>INDEX('AEO Table 3 2023'!67:67,MATCH(V1,'AEO Table 3 2023'!1:1,0))/10^6*About!$A$60/About!$A$58</f>
        <v>94.514613312243782</v>
      </c>
      <c r="W2" s="12">
        <f>INDEX('AEO Table 3 2023'!67:67,MATCH(W1,'AEO Table 3 2023'!1:1,0))/10^6*About!$A$60/About!$A$58</f>
        <v>95.041439325822225</v>
      </c>
      <c r="X2" s="12">
        <f>INDEX('AEO Table 3 2023'!67:67,MATCH(X1,'AEO Table 3 2023'!1:1,0))/10^6*About!$A$60/About!$A$58</f>
        <v>95.257879133013986</v>
      </c>
      <c r="Y2" s="12">
        <f>INDEX('AEO Table 3 2023'!67:67,MATCH(Y1,'AEO Table 3 2023'!1:1,0))/10^6*About!$A$60/About!$A$58</f>
        <v>95.38822694333146</v>
      </c>
      <c r="Z2" s="12">
        <f>INDEX('AEO Table 3 2023'!67:67,MATCH(Z1,'AEO Table 3 2023'!1:1,0))/10^6*About!$A$60/About!$A$58</f>
        <v>95.496329768055801</v>
      </c>
      <c r="AA2" s="12">
        <f>INDEX('AEO Table 3 2023'!67:67,MATCH(AA1,'AEO Table 3 2023'!1:1,0))/10^6*About!$A$60/About!$A$58</f>
        <v>95.584783578215337</v>
      </c>
      <c r="AB2" s="12">
        <f>INDEX('AEO Table 3 2023'!67:67,MATCH(AB1,'AEO Table 3 2023'!1:1,0))/10^6*About!$A$60/About!$A$58</f>
        <v>95.294534937734014</v>
      </c>
      <c r="AC2" s="12">
        <f>INDEX('AEO Table 3 2023'!67:67,MATCH(AC1,'AEO Table 3 2023'!1:1,0))/10^6*About!$A$60/About!$A$58</f>
        <v>94.861984878692553</v>
      </c>
      <c r="AD2" s="12">
        <f>INDEX('AEO Table 3 2023'!67:67,MATCH(AD1,'AEO Table 3 2023'!1:1,0))/10^6*About!$A$60/About!$A$58</f>
        <v>94.713022973217988</v>
      </c>
      <c r="AE2" s="12">
        <f>INDEX('AEO Table 3 2023'!67:67,MATCH(AE1,'AEO Table 3 2023'!1:1,0))/10^6*About!$A$60/About!$A$58</f>
        <v>94.189483840551745</v>
      </c>
      <c r="AF2" s="12">
        <f>INDEX('AEO Table 3 2023'!67:67,MATCH(AF1,'AEO Table 3 2023'!1:1,0))/10^6*About!$A$60/About!$A$58</f>
        <v>93.402132765682126</v>
      </c>
      <c r="AG2" s="12"/>
      <c r="AH2" s="12"/>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About</vt:lpstr>
      <vt:lpstr>AEO Table 10 2023</vt:lpstr>
      <vt:lpstr>AEO Table 10 2022</vt:lpstr>
      <vt:lpstr>AEO Table 10 2021</vt:lpstr>
      <vt:lpstr>Canada Generation Projection</vt:lpstr>
      <vt:lpstr>Canada NG Gen by Turbine Type</vt:lpstr>
      <vt:lpstr>Canada Elec Mix</vt:lpstr>
      <vt:lpstr>AEO Table 3 2023</vt:lpstr>
      <vt:lpstr>AEO Table 3 2022</vt:lpstr>
      <vt:lpstr>AEO Table 3 2021</vt:lpstr>
      <vt:lpstr>EIaE-BIE</vt:lpstr>
      <vt:lpstr>EIaE-BEE</vt:lpstr>
      <vt:lpstr>EIaE-IEP</vt:lpstr>
      <vt:lpstr>EIaE-BEEP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Dan O'Brien</cp:lastModifiedBy>
  <dcterms:created xsi:type="dcterms:W3CDTF">2016-02-04T22:14:05Z</dcterms:created>
  <dcterms:modified xsi:type="dcterms:W3CDTF">2025-12-17T14:59:47Z</dcterms:modified>
</cp:coreProperties>
</file>