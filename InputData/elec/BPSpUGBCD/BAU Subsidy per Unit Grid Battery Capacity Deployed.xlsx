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124226"/>
  <mc:AlternateContent xmlns:mc="http://schemas.openxmlformats.org/markup-compatibility/2006">
    <mc:Choice Requires="x15">
      <x15ac:absPath xmlns:x15ac="http://schemas.microsoft.com/office/spreadsheetml/2010/11/ac" url="C:\Users\DanO'Brien\Models\EPS\US\eps-us\InputData\elec\BPSpUGBCD\"/>
    </mc:Choice>
  </mc:AlternateContent>
  <xr:revisionPtr revIDLastSave="0" documentId="13_ncr:1_{06D91A34-2174-4507-BA1E-9A033349103E}" xr6:coauthVersionLast="47" xr6:coauthVersionMax="47" xr10:uidLastSave="{00000000-0000-0000-0000-000000000000}"/>
  <bookViews>
    <workbookView xWindow="1890" yWindow="1200" windowWidth="25275" windowHeight="12525" activeTab="1" xr2:uid="{00000000-000D-0000-FFFF-FFFF00000000}"/>
  </bookViews>
  <sheets>
    <sheet name="About" sheetId="1" r:id="rId1"/>
    <sheet name="Inflation Reduction Act - Elec" sheetId="8" r:id="rId2"/>
    <sheet name="BPSpUGBCD" sheetId="2" r:id="rId3"/>
  </sheets>
  <externalReferences>
    <externalReference r:id="rId4"/>
  </externalReferences>
  <definedNames>
    <definedName name="dollars_2022_201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134" i="8" l="1"/>
  <c r="C158" i="8" s="1"/>
  <c r="E2" i="2" s="1"/>
  <c r="D134" i="8"/>
  <c r="D158" i="8" s="1"/>
  <c r="F2" i="2" s="1"/>
  <c r="E134" i="8"/>
  <c r="E158" i="8" s="1"/>
  <c r="G2" i="2" s="1"/>
  <c r="F134" i="8"/>
  <c r="F158" i="8" s="1"/>
  <c r="H2" i="2" s="1"/>
  <c r="G134" i="8"/>
  <c r="G158" i="8" s="1"/>
  <c r="I2" i="2" s="1"/>
  <c r="H134" i="8"/>
  <c r="H158" i="8" s="1"/>
  <c r="J2" i="2" s="1"/>
  <c r="I134" i="8"/>
  <c r="I158" i="8" s="1"/>
  <c r="K2" i="2" s="1"/>
  <c r="J134" i="8"/>
  <c r="J158" i="8" s="1"/>
  <c r="L2" i="2" s="1"/>
  <c r="K134" i="8"/>
  <c r="K158" i="8" s="1"/>
  <c r="M2" i="2" s="1"/>
  <c r="L134" i="8"/>
  <c r="L158" i="8" s="1"/>
  <c r="N2" i="2" s="1"/>
  <c r="M134" i="8"/>
  <c r="M158" i="8" s="1"/>
  <c r="O2" i="2" s="1"/>
  <c r="N134" i="8"/>
  <c r="N158" i="8" s="1"/>
  <c r="P2" i="2" s="1"/>
  <c r="O134" i="8"/>
  <c r="O158" i="8" s="1"/>
  <c r="Q2" i="2" s="1"/>
  <c r="P134" i="8"/>
  <c r="P158" i="8" s="1"/>
  <c r="R2" i="2" s="1"/>
  <c r="Q134" i="8"/>
  <c r="Q158" i="8" s="1"/>
  <c r="S2" i="2" s="1"/>
  <c r="R134" i="8"/>
  <c r="R158" i="8" s="1"/>
  <c r="T2" i="2" s="1"/>
  <c r="S134" i="8"/>
  <c r="S158" i="8" s="1"/>
  <c r="U2" i="2" s="1"/>
  <c r="T134" i="8"/>
  <c r="T158" i="8" s="1"/>
  <c r="V2" i="2" s="1"/>
  <c r="U134" i="8"/>
  <c r="U158" i="8" s="1"/>
  <c r="W2" i="2" s="1"/>
  <c r="V134" i="8"/>
  <c r="V158" i="8" s="1"/>
  <c r="X2" i="2" s="1"/>
  <c r="W134" i="8"/>
  <c r="W158" i="8" s="1"/>
  <c r="Y2" i="2" s="1"/>
  <c r="X134" i="8"/>
  <c r="X158" i="8" s="1"/>
  <c r="Z2" i="2" s="1"/>
  <c r="Y134" i="8"/>
  <c r="Y158" i="8" s="1"/>
  <c r="AA2" i="2" s="1"/>
  <c r="Z134" i="8"/>
  <c r="Z158" i="8" s="1"/>
  <c r="AB2" i="2" s="1"/>
  <c r="AA134" i="8"/>
  <c r="AA158" i="8" s="1"/>
  <c r="AC2" i="2" s="1"/>
  <c r="AB134" i="8"/>
  <c r="AB158" i="8" s="1"/>
  <c r="AD2" i="2" s="1"/>
  <c r="AC134" i="8"/>
  <c r="AC158" i="8" s="1"/>
  <c r="AE2" i="2" s="1"/>
  <c r="B134" i="8"/>
  <c r="B158" i="8" s="1"/>
  <c r="D2" i="2" s="1"/>
  <c r="B133" i="8"/>
  <c r="B155" i="8" s="1"/>
  <c r="B173" i="8"/>
  <c r="B174" i="8" s="1"/>
  <c r="F172"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C168" i="8"/>
  <c r="B168" i="8"/>
  <c r="D165" i="8"/>
  <c r="C165" i="8"/>
  <c r="C173" i="8" s="1"/>
  <c r="C174" i="8" s="1"/>
  <c r="B165"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AC161" i="8"/>
  <c r="AC172" i="8" s="1"/>
  <c r="AB161" i="8"/>
  <c r="AB172" i="8" s="1"/>
  <c r="AA161" i="8"/>
  <c r="Z161" i="8"/>
  <c r="Y161" i="8"/>
  <c r="X161" i="8"/>
  <c r="W161" i="8"/>
  <c r="V161" i="8"/>
  <c r="U161" i="8"/>
  <c r="U172" i="8" s="1"/>
  <c r="T161" i="8"/>
  <c r="T172" i="8" s="1"/>
  <c r="S161" i="8"/>
  <c r="S172" i="8" s="1"/>
  <c r="R161" i="8"/>
  <c r="R172" i="8" s="1"/>
  <c r="Q161" i="8"/>
  <c r="Q172" i="8" s="1"/>
  <c r="P161" i="8"/>
  <c r="P172" i="8" s="1"/>
  <c r="O161" i="8"/>
  <c r="N161" i="8"/>
  <c r="N172" i="8" s="1"/>
  <c r="M161" i="8"/>
  <c r="L161" i="8"/>
  <c r="L172" i="8" s="1"/>
  <c r="K161" i="8"/>
  <c r="J161" i="8"/>
  <c r="I161" i="8"/>
  <c r="H161" i="8"/>
  <c r="G161" i="8"/>
  <c r="F161" i="8"/>
  <c r="E161" i="8"/>
  <c r="E172" i="8" s="1"/>
  <c r="D161" i="8"/>
  <c r="C161" i="8"/>
  <c r="B161" i="8"/>
  <c r="AC133" i="8"/>
  <c r="AC155" i="8" s="1"/>
  <c r="AB133" i="8"/>
  <c r="AB155" i="8" s="1"/>
  <c r="AA133" i="8"/>
  <c r="AA155" i="8" s="1"/>
  <c r="Z133" i="8"/>
  <c r="Z155" i="8" s="1"/>
  <c r="Y133" i="8"/>
  <c r="Y155" i="8" s="1"/>
  <c r="X133" i="8"/>
  <c r="X155" i="8" s="1"/>
  <c r="W133" i="8"/>
  <c r="W155" i="8" s="1"/>
  <c r="V133" i="8"/>
  <c r="V155" i="8" s="1"/>
  <c r="U133" i="8"/>
  <c r="U155" i="8" s="1"/>
  <c r="T133" i="8"/>
  <c r="T155" i="8" s="1"/>
  <c r="S133" i="8"/>
  <c r="S155" i="8" s="1"/>
  <c r="R133" i="8"/>
  <c r="R155" i="8" s="1"/>
  <c r="Q133" i="8"/>
  <c r="Q155" i="8" s="1"/>
  <c r="P133" i="8"/>
  <c r="P155" i="8" s="1"/>
  <c r="O133" i="8"/>
  <c r="O155" i="8" s="1"/>
  <c r="N133" i="8"/>
  <c r="N155" i="8" s="1"/>
  <c r="M133" i="8"/>
  <c r="M155" i="8" s="1"/>
  <c r="L133" i="8"/>
  <c r="L155" i="8" s="1"/>
  <c r="K133" i="8"/>
  <c r="K155" i="8" s="1"/>
  <c r="J133" i="8"/>
  <c r="J155" i="8" s="1"/>
  <c r="I133" i="8"/>
  <c r="I155" i="8" s="1"/>
  <c r="H133" i="8"/>
  <c r="H155" i="8" s="1"/>
  <c r="G133" i="8"/>
  <c r="G155" i="8" s="1"/>
  <c r="F133" i="8"/>
  <c r="F155" i="8" s="1"/>
  <c r="E133" i="8"/>
  <c r="E155" i="8" s="1"/>
  <c r="D133" i="8"/>
  <c r="D155" i="8" s="1"/>
  <c r="C133" i="8"/>
  <c r="C155" i="8" s="1"/>
  <c r="AC132" i="8"/>
  <c r="AC152" i="8" s="1"/>
  <c r="AB132" i="8"/>
  <c r="AB152" i="8" s="1"/>
  <c r="AA132" i="8"/>
  <c r="AA152" i="8" s="1"/>
  <c r="Z132" i="8"/>
  <c r="Z152" i="8" s="1"/>
  <c r="Y132" i="8"/>
  <c r="Y152" i="8" s="1"/>
  <c r="X132" i="8"/>
  <c r="X152" i="8" s="1"/>
  <c r="W132" i="8"/>
  <c r="W152" i="8" s="1"/>
  <c r="V132" i="8"/>
  <c r="V152" i="8" s="1"/>
  <c r="U132" i="8"/>
  <c r="U152" i="8" s="1"/>
  <c r="T132" i="8"/>
  <c r="T152" i="8" s="1"/>
  <c r="S132" i="8"/>
  <c r="S152" i="8" s="1"/>
  <c r="R132" i="8"/>
  <c r="R152" i="8" s="1"/>
  <c r="Q132" i="8"/>
  <c r="Q152" i="8" s="1"/>
  <c r="P132" i="8"/>
  <c r="P152" i="8" s="1"/>
  <c r="O132" i="8"/>
  <c r="O152" i="8" s="1"/>
  <c r="N132" i="8"/>
  <c r="N152" i="8" s="1"/>
  <c r="M132" i="8"/>
  <c r="M152" i="8" s="1"/>
  <c r="L132" i="8"/>
  <c r="L152" i="8" s="1"/>
  <c r="K132" i="8"/>
  <c r="K152" i="8" s="1"/>
  <c r="J132" i="8"/>
  <c r="J152" i="8" s="1"/>
  <c r="I132" i="8"/>
  <c r="I152" i="8" s="1"/>
  <c r="H132" i="8"/>
  <c r="H152" i="8" s="1"/>
  <c r="G132" i="8"/>
  <c r="G152" i="8" s="1"/>
  <c r="F132" i="8"/>
  <c r="F152" i="8" s="1"/>
  <c r="E132" i="8"/>
  <c r="E152" i="8" s="1"/>
  <c r="D132" i="8"/>
  <c r="D152" i="8" s="1"/>
  <c r="C132" i="8"/>
  <c r="C152" i="8" s="1"/>
  <c r="B132" i="8"/>
  <c r="B152" i="8" s="1"/>
  <c r="AC131" i="8"/>
  <c r="AC149" i="8" s="1"/>
  <c r="AB131" i="8"/>
  <c r="AB149" i="8" s="1"/>
  <c r="AA131" i="8"/>
  <c r="AA149" i="8" s="1"/>
  <c r="Z131" i="8"/>
  <c r="Z149" i="8" s="1"/>
  <c r="Y131" i="8"/>
  <c r="Y149" i="8" s="1"/>
  <c r="X131" i="8"/>
  <c r="X149" i="8" s="1"/>
  <c r="W131" i="8"/>
  <c r="W149" i="8" s="1"/>
  <c r="V131" i="8"/>
  <c r="V149" i="8" s="1"/>
  <c r="U131" i="8"/>
  <c r="U149" i="8" s="1"/>
  <c r="T131" i="8"/>
  <c r="T149" i="8" s="1"/>
  <c r="S131" i="8"/>
  <c r="S149" i="8" s="1"/>
  <c r="R131" i="8"/>
  <c r="R149" i="8" s="1"/>
  <c r="Q131" i="8"/>
  <c r="Q149" i="8" s="1"/>
  <c r="P131" i="8"/>
  <c r="P149" i="8" s="1"/>
  <c r="O131" i="8"/>
  <c r="O149" i="8" s="1"/>
  <c r="N131" i="8"/>
  <c r="N149" i="8" s="1"/>
  <c r="M131" i="8"/>
  <c r="M149" i="8" s="1"/>
  <c r="L131" i="8"/>
  <c r="L149" i="8" s="1"/>
  <c r="K131" i="8"/>
  <c r="K149" i="8" s="1"/>
  <c r="J131" i="8"/>
  <c r="J149" i="8" s="1"/>
  <c r="I131" i="8"/>
  <c r="I149" i="8" s="1"/>
  <c r="H131" i="8"/>
  <c r="H149" i="8" s="1"/>
  <c r="G131" i="8"/>
  <c r="G149" i="8" s="1"/>
  <c r="F131" i="8"/>
  <c r="F149" i="8" s="1"/>
  <c r="E131" i="8"/>
  <c r="E149" i="8" s="1"/>
  <c r="D131" i="8"/>
  <c r="D149" i="8" s="1"/>
  <c r="C131" i="8"/>
  <c r="C149" i="8" s="1"/>
  <c r="B131" i="8"/>
  <c r="B149" i="8" s="1"/>
  <c r="K123" i="8"/>
  <c r="J123" i="8"/>
  <c r="I123" i="8"/>
  <c r="H123" i="8"/>
  <c r="G123" i="8"/>
  <c r="F123" i="8"/>
  <c r="E123" i="8"/>
  <c r="D123" i="8"/>
  <c r="C123" i="8"/>
  <c r="B123"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C114" i="8"/>
  <c r="B114" i="8"/>
  <c r="AC113" i="8"/>
  <c r="AC130" i="8" s="1"/>
  <c r="AB113" i="8"/>
  <c r="AB130" i="8" s="1"/>
  <c r="AA113" i="8"/>
  <c r="AA130" i="8" s="1"/>
  <c r="Z113" i="8"/>
  <c r="Z130" i="8" s="1"/>
  <c r="Y113" i="8"/>
  <c r="Y130" i="8" s="1"/>
  <c r="X113" i="8"/>
  <c r="X130" i="8" s="1"/>
  <c r="W113" i="8"/>
  <c r="W130" i="8" s="1"/>
  <c r="V113" i="8"/>
  <c r="V130" i="8" s="1"/>
  <c r="U113" i="8"/>
  <c r="U130" i="8" s="1"/>
  <c r="T113" i="8"/>
  <c r="T130" i="8" s="1"/>
  <c r="S113" i="8"/>
  <c r="S130" i="8" s="1"/>
  <c r="R113" i="8"/>
  <c r="R130" i="8" s="1"/>
  <c r="Q113" i="8"/>
  <c r="Q130" i="8" s="1"/>
  <c r="P113" i="8"/>
  <c r="P130" i="8" s="1"/>
  <c r="O113" i="8"/>
  <c r="O130" i="8" s="1"/>
  <c r="N113" i="8"/>
  <c r="N130" i="8" s="1"/>
  <c r="M113" i="8"/>
  <c r="M130" i="8" s="1"/>
  <c r="L113" i="8"/>
  <c r="L130" i="8" s="1"/>
  <c r="K113" i="8"/>
  <c r="K130" i="8" s="1"/>
  <c r="J113" i="8"/>
  <c r="J130" i="8" s="1"/>
  <c r="I113" i="8"/>
  <c r="I130" i="8" s="1"/>
  <c r="H113" i="8"/>
  <c r="H130" i="8" s="1"/>
  <c r="G113" i="8"/>
  <c r="G130" i="8" s="1"/>
  <c r="F113" i="8"/>
  <c r="F130" i="8" s="1"/>
  <c r="E113" i="8"/>
  <c r="E130" i="8" s="1"/>
  <c r="D113" i="8"/>
  <c r="D130" i="8" s="1"/>
  <c r="C113" i="8"/>
  <c r="C130" i="8" s="1"/>
  <c r="B113" i="8"/>
  <c r="B130" i="8" s="1"/>
  <c r="B100" i="8"/>
  <c r="B99" i="8"/>
  <c r="B69" i="8"/>
  <c r="B79" i="8" s="1"/>
  <c r="B80" i="8" s="1"/>
  <c r="B50" i="8"/>
  <c r="B46" i="8"/>
  <c r="A8" i="8"/>
  <c r="W172" i="8" l="1"/>
  <c r="X172" i="8"/>
  <c r="Y172" i="8"/>
  <c r="Z172" i="8"/>
  <c r="G172" i="8"/>
  <c r="H172" i="8"/>
  <c r="I172" i="8"/>
  <c r="J172" i="8"/>
  <c r="K172" i="8"/>
  <c r="M172" i="8"/>
  <c r="V172" i="8"/>
  <c r="AA172" i="8"/>
  <c r="V118" i="8"/>
  <c r="W118" i="8"/>
  <c r="X118" i="8"/>
  <c r="Y118" i="8"/>
  <c r="B118" i="8"/>
  <c r="C118" i="8"/>
  <c r="D173" i="8"/>
  <c r="D118" i="8"/>
  <c r="O118" i="8"/>
  <c r="N118" i="8"/>
  <c r="M118" i="8"/>
  <c r="L118" i="8"/>
  <c r="K118" i="8"/>
  <c r="J118" i="8"/>
  <c r="AC118" i="8"/>
  <c r="I118" i="8"/>
  <c r="AB118" i="8"/>
  <c r="H118" i="8"/>
  <c r="Z118" i="8"/>
  <c r="F118" i="8"/>
  <c r="AA118" i="8"/>
  <c r="G118" i="8"/>
  <c r="Q118" i="8"/>
  <c r="O172" i="8"/>
  <c r="B70" i="8"/>
  <c r="H79" i="8" s="1"/>
  <c r="R118" i="8"/>
  <c r="B175" i="8"/>
  <c r="E118" i="8"/>
  <c r="P118" i="8"/>
  <c r="C175" i="8"/>
  <c r="B73" i="8"/>
  <c r="S118" i="8"/>
  <c r="T118" i="8"/>
  <c r="U118" i="8"/>
  <c r="C73" i="8" l="1"/>
  <c r="H73" i="8"/>
  <c r="K79" i="8"/>
  <c r="K80" i="8" s="1"/>
  <c r="J120" i="8" s="1"/>
  <c r="J165" i="8" s="1"/>
  <c r="J173" i="8" s="1"/>
  <c r="AD79" i="8"/>
  <c r="AD80" i="8" s="1"/>
  <c r="AC120" i="8" s="1"/>
  <c r="AC165" i="8" s="1"/>
  <c r="AC173" i="8" s="1"/>
  <c r="J79" i="8"/>
  <c r="J80" i="8" s="1"/>
  <c r="I120" i="8" s="1"/>
  <c r="I165" i="8" s="1"/>
  <c r="I173" i="8" s="1"/>
  <c r="AC79" i="8"/>
  <c r="AC80" i="8" s="1"/>
  <c r="AB120" i="8" s="1"/>
  <c r="AB165" i="8" s="1"/>
  <c r="AB173" i="8" s="1"/>
  <c r="I79" i="8"/>
  <c r="I80" i="8" s="1"/>
  <c r="H120" i="8" s="1"/>
  <c r="H165" i="8" s="1"/>
  <c r="H173" i="8" s="1"/>
  <c r="AB79" i="8"/>
  <c r="AB80" i="8" s="1"/>
  <c r="AA120" i="8" s="1"/>
  <c r="AA165" i="8" s="1"/>
  <c r="AA173" i="8" s="1"/>
  <c r="AA79" i="8"/>
  <c r="AA80" i="8" s="1"/>
  <c r="Z120" i="8" s="1"/>
  <c r="Z165" i="8" s="1"/>
  <c r="Z173" i="8" s="1"/>
  <c r="Z79" i="8"/>
  <c r="Z80" i="8" s="1"/>
  <c r="Y120" i="8" s="1"/>
  <c r="Y165" i="8" s="1"/>
  <c r="Y173" i="8" s="1"/>
  <c r="Y79" i="8"/>
  <c r="Y80" i="8" s="1"/>
  <c r="X120" i="8" s="1"/>
  <c r="X165" i="8" s="1"/>
  <c r="X173" i="8" s="1"/>
  <c r="X79" i="8"/>
  <c r="X80" i="8" s="1"/>
  <c r="W120" i="8" s="1"/>
  <c r="W165" i="8" s="1"/>
  <c r="W173" i="8" s="1"/>
  <c r="W79" i="8"/>
  <c r="W80" i="8" s="1"/>
  <c r="V120" i="8" s="1"/>
  <c r="V165" i="8" s="1"/>
  <c r="V173" i="8" s="1"/>
  <c r="C79" i="8"/>
  <c r="C80" i="8" s="1"/>
  <c r="B146" i="8" s="1"/>
  <c r="B164" i="8" s="1"/>
  <c r="B172" i="8" s="1"/>
  <c r="B177" i="8" s="1"/>
  <c r="V79" i="8"/>
  <c r="V80" i="8" s="1"/>
  <c r="U120" i="8" s="1"/>
  <c r="U165" i="8" s="1"/>
  <c r="U173" i="8" s="1"/>
  <c r="H80" i="8"/>
  <c r="G120" i="8" s="1"/>
  <c r="G165" i="8" s="1"/>
  <c r="G173" i="8" s="1"/>
  <c r="U79" i="8"/>
  <c r="U80" i="8" s="1"/>
  <c r="T120" i="8" s="1"/>
  <c r="T165" i="8" s="1"/>
  <c r="T173" i="8" s="1"/>
  <c r="S79" i="8"/>
  <c r="S80" i="8" s="1"/>
  <c r="R120" i="8" s="1"/>
  <c r="R165" i="8" s="1"/>
  <c r="R173" i="8" s="1"/>
  <c r="R79" i="8"/>
  <c r="R80" i="8" s="1"/>
  <c r="Q120" i="8" s="1"/>
  <c r="Q165" i="8" s="1"/>
  <c r="Q173" i="8" s="1"/>
  <c r="Q79" i="8"/>
  <c r="Q80" i="8" s="1"/>
  <c r="P120" i="8" s="1"/>
  <c r="P165" i="8" s="1"/>
  <c r="P173" i="8" s="1"/>
  <c r="P79" i="8"/>
  <c r="P80" i="8" s="1"/>
  <c r="O120" i="8" s="1"/>
  <c r="O165" i="8" s="1"/>
  <c r="O173" i="8" s="1"/>
  <c r="O79" i="8"/>
  <c r="O80" i="8" s="1"/>
  <c r="N120" i="8" s="1"/>
  <c r="N165" i="8" s="1"/>
  <c r="N173" i="8" s="1"/>
  <c r="N79" i="8"/>
  <c r="N80" i="8" s="1"/>
  <c r="M120" i="8" s="1"/>
  <c r="M165" i="8" s="1"/>
  <c r="M173" i="8" s="1"/>
  <c r="M79" i="8"/>
  <c r="M80" i="8" s="1"/>
  <c r="L120" i="8" s="1"/>
  <c r="L165" i="8" s="1"/>
  <c r="L173" i="8" s="1"/>
  <c r="L79" i="8"/>
  <c r="L80" i="8" s="1"/>
  <c r="K120" i="8" s="1"/>
  <c r="K165" i="8" s="1"/>
  <c r="K173" i="8" s="1"/>
  <c r="T79" i="8"/>
  <c r="T80" i="8" s="1"/>
  <c r="S120" i="8" s="1"/>
  <c r="S165" i="8" s="1"/>
  <c r="S173" i="8" s="1"/>
  <c r="D174" i="8"/>
  <c r="D175" i="8"/>
  <c r="U174" i="8" l="1"/>
  <c r="U177" i="8" s="1"/>
  <c r="U175" i="8"/>
  <c r="V174" i="8"/>
  <c r="V177" i="8" s="1"/>
  <c r="V175" i="8"/>
  <c r="D79" i="8"/>
  <c r="S174" i="8"/>
  <c r="S177" i="8" s="1"/>
  <c r="S175" i="8"/>
  <c r="W174" i="8"/>
  <c r="W177" i="8" s="1"/>
  <c r="W175" i="8"/>
  <c r="X174" i="8"/>
  <c r="X177" i="8" s="1"/>
  <c r="X175" i="8"/>
  <c r="Y174" i="8"/>
  <c r="Y177" i="8" s="1"/>
  <c r="Y175" i="8"/>
  <c r="K175" i="8"/>
  <c r="K174" i="8"/>
  <c r="K177" i="8" s="1"/>
  <c r="Z174" i="8"/>
  <c r="Z177" i="8" s="1"/>
  <c r="Z175" i="8"/>
  <c r="G175" i="8"/>
  <c r="G174" i="8"/>
  <c r="G177" i="8" s="1"/>
  <c r="AA175" i="8"/>
  <c r="AA174" i="8"/>
  <c r="AA177" i="8" s="1"/>
  <c r="N175" i="8"/>
  <c r="N174" i="8"/>
  <c r="N177" i="8" s="1"/>
  <c r="O175" i="8"/>
  <c r="O174" i="8"/>
  <c r="O177" i="8" s="1"/>
  <c r="Q175" i="8"/>
  <c r="Q174" i="8"/>
  <c r="Q177" i="8" s="1"/>
  <c r="R174" i="8"/>
  <c r="R177" i="8" s="1"/>
  <c r="R175" i="8"/>
  <c r="D73" i="8"/>
  <c r="E73" i="8"/>
  <c r="F73" i="8" s="1"/>
  <c r="G73" i="8" s="1"/>
  <c r="L175" i="8"/>
  <c r="L174" i="8"/>
  <c r="L177" i="8" s="1"/>
  <c r="M175" i="8"/>
  <c r="M174" i="8"/>
  <c r="M177" i="8" s="1"/>
  <c r="H175" i="8"/>
  <c r="H174" i="8"/>
  <c r="H177" i="8" s="1"/>
  <c r="AB175" i="8"/>
  <c r="AB174" i="8"/>
  <c r="AB177" i="8" s="1"/>
  <c r="I175" i="8"/>
  <c r="I174" i="8"/>
  <c r="I177" i="8" s="1"/>
  <c r="P175" i="8"/>
  <c r="P174" i="8"/>
  <c r="P177" i="8" s="1"/>
  <c r="AC175" i="8"/>
  <c r="AC174" i="8"/>
  <c r="AC177" i="8" s="1"/>
  <c r="J175" i="8"/>
  <c r="J174" i="8"/>
  <c r="J177" i="8" s="1"/>
  <c r="T174" i="8"/>
  <c r="T177" i="8" s="1"/>
  <c r="T175" i="8"/>
  <c r="D80" i="8" l="1"/>
  <c r="C146" i="8" s="1"/>
  <c r="C164" i="8" s="1"/>
  <c r="C172" i="8" s="1"/>
  <c r="C177" i="8" s="1"/>
  <c r="E79" i="8"/>
  <c r="E80" i="8" l="1"/>
  <c r="D146" i="8" s="1"/>
  <c r="D164" i="8" s="1"/>
  <c r="D172" i="8" s="1"/>
  <c r="D177" i="8" s="1"/>
  <c r="F79" i="8"/>
  <c r="F80" i="8" l="1"/>
  <c r="E120" i="8" s="1"/>
  <c r="E165" i="8" s="1"/>
  <c r="E173" i="8" s="1"/>
  <c r="G79" i="8"/>
  <c r="G80" i="8" s="1"/>
  <c r="F120" i="8" s="1"/>
  <c r="F165" i="8" s="1"/>
  <c r="F173" i="8" s="1"/>
  <c r="F174" i="8" l="1"/>
  <c r="F177" i="8" s="1"/>
  <c r="F175" i="8"/>
  <c r="E174" i="8"/>
  <c r="E177" i="8" s="1"/>
  <c r="E175" i="8"/>
</calcChain>
</file>

<file path=xl/sharedStrings.xml><?xml version="1.0" encoding="utf-8"?>
<sst xmlns="http://schemas.openxmlformats.org/spreadsheetml/2006/main" count="141" uniqueCount="131">
  <si>
    <t>Source:</t>
  </si>
  <si>
    <t>Notes:</t>
  </si>
  <si>
    <t>Dmnl</t>
  </si>
  <si>
    <t>Percent of Capital Cost</t>
  </si>
  <si>
    <t>incentives in the Inflation Reduction Act. Given the volume of</t>
  </si>
  <si>
    <t xml:space="preserve">This file assumes developers will opt for the battery ITC, given the </t>
  </si>
  <si>
    <t>announced battery manufacturing capacity, we assume projects</t>
  </si>
  <si>
    <t>will qualify for the domestic content bonus.</t>
  </si>
  <si>
    <t>Methodology:</t>
  </si>
  <si>
    <t>Calculations:</t>
  </si>
  <si>
    <t>Union Representation Calculations:</t>
  </si>
  <si>
    <t>Union membership</t>
  </si>
  <si>
    <t>https://cleanpower.org/wp-content/uploads/2021/06/ACP-Labor-Supply-Report.pdf</t>
  </si>
  <si>
    <t xml:space="preserve">Used union membership value for the construction industry to approximate. The apprenticeship provision applies to </t>
  </si>
  <si>
    <t>"each contractor and subcontractor who employs 4 or more individuals to perform construction, alteration,</t>
  </si>
  <si>
    <t>or repair work."</t>
  </si>
  <si>
    <t>Current Value</t>
  </si>
  <si>
    <t>Value if Increased by 20%</t>
  </si>
  <si>
    <t>Percentage of total labor hours that must be from qualified apprentices</t>
  </si>
  <si>
    <t>Percent multiplier for bonus credit</t>
  </si>
  <si>
    <t>Domestic Content Calculations</t>
  </si>
  <si>
    <t>Assumed that wind fully qualifies for domestic content credit, because weighted domestic content share is ~70%</t>
  </si>
  <si>
    <r>
      <rPr>
        <sz val="10"/>
        <color theme="1"/>
        <rFont val="Arial"/>
        <family val="2"/>
      </rPr>
      <t xml:space="preserve">Source: </t>
    </r>
    <r>
      <rPr>
        <u/>
        <sz val="10"/>
        <color rgb="FF1155CC"/>
        <rFont val="Arial"/>
        <family val="2"/>
      </rPr>
      <t>https://netzeroamerica.princeton.edu/img/Working_Paper-High_Road_Labor_and_Renewable_Energy-PUBLIC_RELEASE-4-13-21.pdf</t>
    </r>
  </si>
  <si>
    <t>Solar PV Capital Costs</t>
  </si>
  <si>
    <t>Percent</t>
  </si>
  <si>
    <t>Net Zero America: Domestic Content Share</t>
  </si>
  <si>
    <t>Construction Costs</t>
  </si>
  <si>
    <t>of Cost</t>
  </si>
  <si>
    <t>Module</t>
  </si>
  <si>
    <t>Inverter</t>
  </si>
  <si>
    <t>Electrical BOS</t>
  </si>
  <si>
    <t>Structural BOS</t>
  </si>
  <si>
    <t>Install Labor and Equipment</t>
  </si>
  <si>
    <t>EPC Overhead</t>
  </si>
  <si>
    <t>Sales Tax</t>
  </si>
  <si>
    <t>Developer Overhead</t>
  </si>
  <si>
    <t>Contingency</t>
  </si>
  <si>
    <t>EPC/Developer Net Profit</t>
  </si>
  <si>
    <t>Current Weighted Domestic Content Share</t>
  </si>
  <si>
    <t>Assumed Domestic Content Share in 2028 (year in which maximum domestic content requirement of 55% begins)</t>
  </si>
  <si>
    <t>Weighted Domestic Content Share</t>
  </si>
  <si>
    <t>Sources: JEDI, https://netzeroamerica.princeton.edu/img/Working_Paper-High_Road_Labor_and_Renewable_Energy-PUBLIC_RELEASE-4-13-21.pdf</t>
  </si>
  <si>
    <t>Required Domestic Content Share</t>
  </si>
  <si>
    <t>Assumed Domestic Content Share This Year</t>
  </si>
  <si>
    <t>Multiplier for Solar Bonus Credit</t>
  </si>
  <si>
    <t>Multiplier for Non-Solar Bonus Credit (assumed that domestic content requirements are only a limiting factor for solar PV)</t>
  </si>
  <si>
    <t>The ITC/PTC values are extended by 3 years for wind and 2 years for solar PV to account for the commenced-construction provision (NREL's</t>
  </si>
  <si>
    <t>ReEDS modeling assumes a 3-year construction period for wind plants and 2-year period for solar PV plants, but the EPS deploys plants in a single annual timestep; the credits</t>
  </si>
  <si>
    <t>apply for any plant that begins construction in the applicable year rather than when plants come online).</t>
  </si>
  <si>
    <t>Domestic content bonus, base</t>
  </si>
  <si>
    <t>Domestic content bonus, bonus</t>
  </si>
  <si>
    <t>Transferability penalty</t>
  </si>
  <si>
    <t>Energy community bonus</t>
  </si>
  <si>
    <t>Fraction of capacity qualifying for energy community bonus</t>
  </si>
  <si>
    <t>ITC</t>
  </si>
  <si>
    <t>ITC Phase-out Schedule</t>
  </si>
  <si>
    <t>Base Credit</t>
  </si>
  <si>
    <t>Bonus Credit</t>
  </si>
  <si>
    <t>ITC Settings</t>
  </si>
  <si>
    <t>Offshore Credit Value % project costs</t>
  </si>
  <si>
    <t>See Inflation Reduction Act tab</t>
  </si>
  <si>
    <t>BPSpUGBCD BAU Percent Subsidy per Unit Grid Battery Capacity Deployed</t>
  </si>
  <si>
    <t>First, we calculate the percentage of new plants that will qualify for a) the prevailing wage and apprenticeship requirements and b) the domestic content requirements. For part a, we only calculate the share of plants that would meet the apprenticeship requirement and assume all these plants would also meet the prevailing wage requirement (varying assumptions on the share of qualifying plants across scenarios based on data for the construction industry from the ACP Labor Supply Report). For part a, we assume this requirement can be met in every year (which would represent union representation grows by roughly 20% by 2025. For part b, we calculate the domestic content share for each power plant type. For onshore and offshore wind, we assume 100% of plants qualify for the bonus credit, based on a Net Zero America analysis, which lists domestic content shares for various wind components at well over the 55% domestic content requirement. For solar, we use the cited domestic content values for cells, modules, and inverters to calculate a weighted domestic content share, given the percentage of solar capital costs by component from the JEDI model. We assume the domestic content share can increase to meet half the difference between current levels and the 55% requirement by 2026.
Next, we add in the energy community bonus, assuming that 50% of capacity additions qualify. We then calculate what the total credit value would be for each technology in each year for both the ITC and the PTC. Here, we assume credits start in 2023 and run at their full value through 2032. For the PTC values, we also adjust the calculated credit by the present value over 10 years divided by the present value over the plant lifetime, because the PTC is only available for the first 10 years of a plant's lifetime. Finally, we apply a transferability multiplier of 7.5%. This value reduces the credit value available to developers to account for the fact tax credits are transferable. 
We limit our analysis to onshore and offshore wind, solar PV, solar thermal, geothermal, municipal solid waste, and battery storage. We do not model credits for qualifying hydro or biogas plants. For solar PV, we calculate a LCOE for both the ITC and PTC settings to determine whether that resource elects the ITC or the PTC in each year (the result is that solar PV opts for the PTC in every year of IRA tax credits).</t>
  </si>
  <si>
    <t>Phase-Out:</t>
  </si>
  <si>
    <t>The IRA tax credits will begin to phase out the later of either when electricity sector emissions fall 75% below 2022 values or after 2032.</t>
  </si>
  <si>
    <t>According to the EPA Greenhouse Gas Inventory, electricity sector CO2 emissions were 1554.4 MMT in 2022.</t>
  </si>
  <si>
    <t>Therefore, we evaluate when EPS electricity sector emissions fall below:</t>
  </si>
  <si>
    <t>MMT</t>
  </si>
  <si>
    <t>https://www.nrel.gov/docs/fy25osti/92256.pdf</t>
  </si>
  <si>
    <t>First year after applicable year</t>
  </si>
  <si>
    <t>Second year following applicable year</t>
  </si>
  <si>
    <t>Third year following applicable year</t>
  </si>
  <si>
    <t>All years thereafter</t>
  </si>
  <si>
    <t>threshold reached</t>
  </si>
  <si>
    <t>first year</t>
  </si>
  <si>
    <t>second year</t>
  </si>
  <si>
    <t>third year</t>
  </si>
  <si>
    <t>Phaseout Timeline (without commenced construction provisions, covered below)</t>
  </si>
  <si>
    <t>We assume that the rate of union membership can increase by 20% by 2025 in response to the tax credit incentives.</t>
  </si>
  <si>
    <t>The PTC applies to the first 10 years of a project's lifetime. Therefore, the BAU PTC values are multiplied by 10 and divided by the average</t>
  </si>
  <si>
    <t>plant lifetime, which is 30 years.</t>
  </si>
  <si>
    <t>Computed Tax Credits</t>
  </si>
  <si>
    <t>Base credit</t>
  </si>
  <si>
    <t>Bonus credit</t>
  </si>
  <si>
    <t>1992 to 2020 calendar year adjustment</t>
  </si>
  <si>
    <r>
      <t xml:space="preserve">Source: </t>
    </r>
    <r>
      <rPr>
        <u/>
        <sz val="10"/>
        <color rgb="FF1155CC"/>
        <rFont val="Arial"/>
        <family val="2"/>
      </rPr>
      <t>https://www.govinfo.gov/content/pkg/FR-2020-05-13/pdf/2020-10273.pdf</t>
    </r>
  </si>
  <si>
    <t>2020 to 2012 USD</t>
  </si>
  <si>
    <t>Duration of PTC (years)</t>
  </si>
  <si>
    <t>Base Credit (2012 USD)</t>
  </si>
  <si>
    <t>Bonus Credit (2012 USD)</t>
  </si>
  <si>
    <t>Discount rate</t>
  </si>
  <si>
    <t>We don't use a discount rate, in line with other factors that are part of the cost per unit new elec output</t>
  </si>
  <si>
    <t>https://www.utilitydive.com/news/duke-avangrid-bank-of-america-ira-tax-credit-finance-clean-energy-wind-solar/696069/?s=09</t>
  </si>
  <si>
    <t>PTC</t>
  </si>
  <si>
    <t>wind</t>
  </si>
  <si>
    <t>solar</t>
  </si>
  <si>
    <t>construction period (source: NREL ATB)</t>
  </si>
  <si>
    <t>PTC Phase-out Schedule, onshore wind</t>
  </si>
  <si>
    <t>PTC Phase-out Schedule, solar PV</t>
  </si>
  <si>
    <t>*schedules extended by 2 years for commenced construction provision</t>
  </si>
  <si>
    <t>Onshore Wind Credit Value 2012 $ / MWh</t>
  </si>
  <si>
    <t>Solar PV Credit Value (2020 $ / MWh)</t>
  </si>
  <si>
    <t>*see solar ITC vs. PTC determination below</t>
  </si>
  <si>
    <t>Nuclear Credit Value (2020 $ / MWh)</t>
  </si>
  <si>
    <t>solar PV</t>
  </si>
  <si>
    <t>solar thermal</t>
  </si>
  <si>
    <t>geothermal</t>
  </si>
  <si>
    <t>offshore wind</t>
  </si>
  <si>
    <t>ITC Phase-out Scheulde, solar PV</t>
  </si>
  <si>
    <t>ITC Phase-out Scheulde, solar thermal</t>
  </si>
  <si>
    <t>ITC Phase-out Scheulde, geothermal</t>
  </si>
  <si>
    <t>ITC Phase-out Scheulde, offshore wind</t>
  </si>
  <si>
    <t>Solar PV Credit Value % project costs</t>
  </si>
  <si>
    <t>Solar Thermal Credit Value % project costs</t>
  </si>
  <si>
    <t>Geothermal Credit Value % project costs</t>
  </si>
  <si>
    <t>Solar ITC vs. PTC</t>
  </si>
  <si>
    <t>ATB Cost per Watt</t>
  </si>
  <si>
    <t>Capacity Factor Assumption</t>
  </si>
  <si>
    <t>Project Size</t>
  </si>
  <si>
    <t>Annual MWh</t>
  </si>
  <si>
    <t>Discount Rate</t>
  </si>
  <si>
    <t>PTC duration</t>
  </si>
  <si>
    <t>ITC Value</t>
  </si>
  <si>
    <t>PTC Value (annual)</t>
  </si>
  <si>
    <t>PTC Value (upfront, discounted)</t>
  </si>
  <si>
    <t>PTC Value (upfront, undiscounted)</t>
  </si>
  <si>
    <t>ITC or PTC?</t>
  </si>
  <si>
    <t>Battery Storgae % project costs</t>
  </si>
  <si>
    <t>batteries</t>
  </si>
  <si>
    <t>ITC Phase-out Scheulde, batteries</t>
  </si>
  <si>
    <t>Latest calibration year target passed: 2036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</si>
</sst>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6" formatCode="&quot;$&quot;#,##0_);[Red]\(&quot;$&quot;#,##0\)"/>
    <numFmt numFmtId="44" formatCode="_(&quot;$&quot;* #,##0.00_);_(&quot;$&quot;* \(#,##0.00\);_(&quot;$&quot;* &quot;-&quot;??_);_(@_)"/>
    <numFmt numFmtId="164" formatCode="0.000"/>
    <numFmt numFmtId="165" formatCode="0.0%"/>
    <numFmt numFmtId="166" formatCode="&quot;$&quot;#,##0.0"/>
    <numFmt numFmtId="167" formatCode="&quot;$&quot;#,##0.00"/>
  </numFmts>
  <fonts count="18" x14ac:knownFonts="1">
    <font>
      <sz val="11"/>
      <color theme="1"/>
      <name val="Calibri"/>
      <family val="2"/>
      <scheme val="minor"/>
    </font>
    <font>
      <b/>
      <sz val="11"/>
      <color theme="1"/>
      <name val="Calibri"/>
      <family val="2"/>
      <scheme val="minor"/>
    </font>
    <font>
      <sz val="11"/>
      <color rgb="FF000000"/>
      <name val="Calibri"/>
      <family val="2"/>
    </font>
    <font>
      <sz val="11"/>
      <color rgb="FF000000"/>
      <name val="Calibri"/>
      <family val="2"/>
    </font>
    <font>
      <sz val="11"/>
      <color theme="1"/>
      <name val="Calibri"/>
      <family val="2"/>
      <scheme val="minor"/>
    </font>
    <font>
      <sz val="10"/>
      <color rgb="FF000000"/>
      <name val="Calibri"/>
      <family val="2"/>
      <scheme val="minor"/>
    </font>
    <font>
      <b/>
      <sz val="10"/>
      <color theme="1"/>
      <name val="Calibri"/>
      <family val="2"/>
      <scheme val="minor"/>
    </font>
    <font>
      <sz val="10"/>
      <color theme="1"/>
      <name val="Calibri"/>
      <family val="2"/>
      <scheme val="minor"/>
    </font>
    <font>
      <i/>
      <sz val="10"/>
      <color theme="1"/>
      <name val="Calibri"/>
      <family val="2"/>
      <scheme val="minor"/>
    </font>
    <font>
      <u/>
      <sz val="10"/>
      <color rgb="FF000000"/>
      <name val="Arial"/>
      <family val="2"/>
    </font>
    <font>
      <u/>
      <sz val="10"/>
      <color theme="1"/>
      <name val="Arial"/>
      <family val="2"/>
    </font>
    <font>
      <sz val="10"/>
      <color theme="1"/>
      <name val="Arial"/>
      <family val="2"/>
    </font>
    <font>
      <u/>
      <sz val="10"/>
      <color rgb="FF1155CC"/>
      <name val="Arial"/>
      <family val="2"/>
    </font>
    <font>
      <b/>
      <i/>
      <sz val="10"/>
      <color theme="1"/>
      <name val="Arial"/>
      <family val="2"/>
    </font>
    <font>
      <b/>
      <sz val="10"/>
      <color theme="1"/>
      <name val="Arial"/>
      <family val="2"/>
    </font>
    <font>
      <b/>
      <sz val="10"/>
      <color rgb="FF000000"/>
      <name val="Calibri"/>
      <family val="2"/>
      <scheme val="minor"/>
    </font>
    <font>
      <u/>
      <sz val="10"/>
      <color rgb="FF0000FF"/>
      <name val="Arial"/>
      <family val="2"/>
    </font>
    <font>
      <sz val="11"/>
      <color rgb="FF000000"/>
      <name val="Inconsolata"/>
    </font>
  </fonts>
  <fills count="7">
    <fill>
      <patternFill patternType="none"/>
    </fill>
    <fill>
      <patternFill patternType="gray125"/>
    </fill>
    <fill>
      <patternFill patternType="solid">
        <fgColor rgb="FFCFE2F3"/>
        <bgColor rgb="FFCFE2F3"/>
      </patternFill>
    </fill>
    <fill>
      <patternFill patternType="solid">
        <fgColor rgb="FFB7B7B7"/>
        <bgColor rgb="FFB7B7B7"/>
      </patternFill>
    </fill>
    <fill>
      <patternFill patternType="solid">
        <fgColor theme="0" tint="-0.14999847407452621"/>
        <bgColor indexed="64"/>
      </patternFill>
    </fill>
    <fill>
      <patternFill patternType="solid">
        <fgColor rgb="FFFFFFFF"/>
        <bgColor rgb="FFFFFFFF"/>
      </patternFill>
    </fill>
    <fill>
      <patternFill patternType="solid">
        <fgColor rgb="FFFFFF0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s>
  <cellStyleXfs count="8">
    <xf numFmtId="0" fontId="0" fillId="0" borderId="0"/>
    <xf numFmtId="0" fontId="2" fillId="0" borderId="0"/>
    <xf numFmtId="0" fontId="3" fillId="0" borderId="0"/>
    <xf numFmtId="0" fontId="5" fillId="0" borderId="0"/>
    <xf numFmtId="9" fontId="4" fillId="0" borderId="0" applyFont="0" applyFill="0" applyBorder="0" applyAlignment="0" applyProtection="0"/>
    <xf numFmtId="44" fontId="4" fillId="0" borderId="0" applyFont="0" applyFill="0" applyBorder="0" applyAlignment="0" applyProtection="0"/>
    <xf numFmtId="44" fontId="4" fillId="0" borderId="0" applyFont="0" applyFill="0" applyBorder="0" applyAlignment="0" applyProtection="0"/>
    <xf numFmtId="9" fontId="4" fillId="0" borderId="0" applyFont="0" applyFill="0" applyBorder="0" applyAlignment="0" applyProtection="0"/>
  </cellStyleXfs>
  <cellXfs count="55">
    <xf numFmtId="0" fontId="0" fillId="0" borderId="0" xfId="0"/>
    <xf numFmtId="0" fontId="1" fillId="0" borderId="0" xfId="0" applyFont="1"/>
    <xf numFmtId="164" fontId="0" fillId="0" borderId="0" xfId="0" applyNumberFormat="1"/>
    <xf numFmtId="0" fontId="0" fillId="0" borderId="0" xfId="0" applyAlignment="1">
      <alignment horizontal="right" wrapText="1"/>
    </xf>
    <xf numFmtId="0" fontId="6" fillId="2" borderId="0" xfId="3" applyFont="1" applyFill="1"/>
    <xf numFmtId="0" fontId="7" fillId="0" borderId="0" xfId="3" applyFont="1"/>
    <xf numFmtId="0" fontId="5" fillId="0" borderId="0" xfId="3"/>
    <xf numFmtId="0" fontId="7" fillId="0" borderId="0" xfId="3" applyFont="1" applyAlignment="1">
      <alignment wrapText="1"/>
    </xf>
    <xf numFmtId="0" fontId="7" fillId="2" borderId="0" xfId="3" applyFont="1" applyFill="1"/>
    <xf numFmtId="0" fontId="6" fillId="3" borderId="0" xfId="3" applyFont="1" applyFill="1"/>
    <xf numFmtId="0" fontId="7" fillId="3" borderId="0" xfId="3" applyFont="1" applyFill="1"/>
    <xf numFmtId="0" fontId="8" fillId="0" borderId="0" xfId="3" applyFont="1"/>
    <xf numFmtId="0" fontId="9" fillId="0" borderId="0" xfId="3" applyFont="1"/>
    <xf numFmtId="0" fontId="6" fillId="0" borderId="0" xfId="3" applyFont="1"/>
    <xf numFmtId="165" fontId="7" fillId="0" borderId="0" xfId="3" applyNumberFormat="1" applyFont="1"/>
    <xf numFmtId="0" fontId="6" fillId="0" borderId="0" xfId="3" applyFont="1" applyAlignment="1">
      <alignment wrapText="1"/>
    </xf>
    <xf numFmtId="0" fontId="10" fillId="0" borderId="0" xfId="3" applyFont="1"/>
    <xf numFmtId="0" fontId="13" fillId="0" borderId="1" xfId="3" applyFont="1" applyBorder="1"/>
    <xf numFmtId="0" fontId="14" fillId="0" borderId="2" xfId="3" applyFont="1" applyBorder="1" applyAlignment="1">
      <alignment horizontal="center"/>
    </xf>
    <xf numFmtId="0" fontId="14" fillId="0" borderId="3" xfId="3" applyFont="1" applyBorder="1"/>
    <xf numFmtId="0" fontId="14" fillId="0" borderId="4" xfId="3" applyFont="1" applyBorder="1" applyAlignment="1">
      <alignment horizontal="center"/>
    </xf>
    <xf numFmtId="0" fontId="11" fillId="0" borderId="3" xfId="3" applyFont="1" applyBorder="1"/>
    <xf numFmtId="10" fontId="11" fillId="0" borderId="4" xfId="3" applyNumberFormat="1" applyFont="1" applyBorder="1" applyAlignment="1">
      <alignment horizontal="right"/>
    </xf>
    <xf numFmtId="10" fontId="7" fillId="0" borderId="0" xfId="3" applyNumberFormat="1" applyFont="1"/>
    <xf numFmtId="0" fontId="11" fillId="0" borderId="5" xfId="3" applyFont="1" applyBorder="1"/>
    <xf numFmtId="10" fontId="11" fillId="0" borderId="6" xfId="3" applyNumberFormat="1" applyFont="1" applyBorder="1" applyAlignment="1">
      <alignment horizontal="right"/>
    </xf>
    <xf numFmtId="0" fontId="15" fillId="0" borderId="0" xfId="3" applyFont="1"/>
    <xf numFmtId="9" fontId="7" fillId="0" borderId="0" xfId="3" applyNumberFormat="1" applyFont="1"/>
    <xf numFmtId="9" fontId="7" fillId="0" borderId="0" xfId="3" applyNumberFormat="1" applyFont="1" applyAlignment="1">
      <alignment wrapText="1"/>
    </xf>
    <xf numFmtId="0" fontId="5" fillId="0" borderId="0" xfId="3" applyAlignment="1">
      <alignment wrapText="1"/>
    </xf>
    <xf numFmtId="0" fontId="7" fillId="0" borderId="0" xfId="3" applyFont="1" applyAlignment="1">
      <alignment horizontal="left" wrapText="1"/>
    </xf>
    <xf numFmtId="9" fontId="7" fillId="0" borderId="0" xfId="3" applyNumberFormat="1" applyFont="1" applyAlignment="1">
      <alignment horizontal="right" wrapText="1"/>
    </xf>
    <xf numFmtId="0" fontId="8" fillId="4" borderId="0" xfId="3" applyFont="1" applyFill="1" applyAlignment="1">
      <alignment horizontal="left" wrapText="1"/>
    </xf>
    <xf numFmtId="0" fontId="7" fillId="4" borderId="0" xfId="3" applyFont="1" applyFill="1" applyAlignment="1">
      <alignment horizontal="left" wrapText="1"/>
    </xf>
    <xf numFmtId="0" fontId="7" fillId="4" borderId="0" xfId="3" applyFont="1" applyFill="1"/>
    <xf numFmtId="0" fontId="5" fillId="4" borderId="0" xfId="3" applyFill="1"/>
    <xf numFmtId="10" fontId="7" fillId="0" borderId="0" xfId="3" applyNumberFormat="1" applyFont="1" applyAlignment="1">
      <alignment horizontal="left" wrapText="1"/>
    </xf>
    <xf numFmtId="2" fontId="7" fillId="0" borderId="0" xfId="3" applyNumberFormat="1" applyFont="1" applyAlignment="1">
      <alignment horizontal="left" wrapText="1"/>
    </xf>
    <xf numFmtId="2" fontId="7" fillId="4" borderId="0" xfId="3" applyNumberFormat="1" applyFont="1" applyFill="1" applyAlignment="1">
      <alignment horizontal="left" wrapText="1"/>
    </xf>
    <xf numFmtId="10" fontId="7" fillId="0" borderId="0" xfId="3" applyNumberFormat="1" applyFont="1" applyAlignment="1">
      <alignment horizontal="right" wrapText="1"/>
    </xf>
    <xf numFmtId="0" fontId="6" fillId="0" borderId="0" xfId="3" applyFont="1" applyAlignment="1">
      <alignment horizontal="left" wrapText="1"/>
    </xf>
    <xf numFmtId="9" fontId="7" fillId="0" borderId="0" xfId="7" applyFont="1"/>
    <xf numFmtId="0" fontId="7" fillId="0" borderId="0" xfId="7" applyNumberFormat="1" applyFont="1"/>
    <xf numFmtId="44" fontId="7" fillId="0" borderId="0" xfId="6" applyFont="1"/>
    <xf numFmtId="0" fontId="16" fillId="0" borderId="0" xfId="3" applyFont="1"/>
    <xf numFmtId="164" fontId="7" fillId="0" borderId="0" xfId="3" applyNumberFormat="1" applyFont="1"/>
    <xf numFmtId="1" fontId="7" fillId="0" borderId="0" xfId="3" applyNumberFormat="1" applyFont="1"/>
    <xf numFmtId="166" fontId="17" fillId="5" borderId="0" xfId="3" applyNumberFormat="1" applyFont="1" applyFill="1"/>
    <xf numFmtId="167" fontId="7" fillId="0" borderId="0" xfId="3" applyNumberFormat="1" applyFont="1" applyAlignment="1">
      <alignment horizontal="right" wrapText="1"/>
    </xf>
    <xf numFmtId="0" fontId="17" fillId="5" borderId="0" xfId="3" applyFont="1" applyFill="1"/>
    <xf numFmtId="165" fontId="7" fillId="0" borderId="0" xfId="3" applyNumberFormat="1" applyFont="1" applyAlignment="1">
      <alignment horizontal="right" wrapText="1"/>
    </xf>
    <xf numFmtId="0" fontId="8" fillId="0" borderId="0" xfId="3" applyFont="1" applyAlignment="1">
      <alignment horizontal="left" wrapText="1"/>
    </xf>
    <xf numFmtId="2" fontId="7" fillId="6" borderId="0" xfId="3" applyNumberFormat="1" applyFont="1" applyFill="1" applyAlignment="1">
      <alignment horizontal="left" wrapText="1"/>
    </xf>
    <xf numFmtId="2" fontId="7" fillId="0" borderId="0" xfId="3" applyNumberFormat="1" applyFont="1"/>
    <xf numFmtId="6" fontId="7" fillId="0" borderId="0" xfId="3" applyNumberFormat="1" applyFont="1"/>
  </cellXfs>
  <cellStyles count="8">
    <cellStyle name="Currency" xfId="6" builtinId="4"/>
    <cellStyle name="Currency 2" xfId="5" xr:uid="{81BD210F-5FF0-4880-8028-0DC76957F95F}"/>
    <cellStyle name="Normal" xfId="0" builtinId="0"/>
    <cellStyle name="Normal 2" xfId="1" xr:uid="{00000000-0005-0000-0000-000002000000}"/>
    <cellStyle name="Normal 3" xfId="2" xr:uid="{A0D66D47-893E-4339-ABA2-2AA2E8FD27AB}"/>
    <cellStyle name="Normal 3 2" xfId="3" xr:uid="{6280AA9E-3B50-418D-82DE-98EB684B0878}"/>
    <cellStyle name="Percent" xfId="7" builtinId="5"/>
    <cellStyle name="Percent 2" xfId="4" xr:uid="{2FFD538B-3558-46F7-AC70-5718F1F5302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28575</xdr:colOff>
      <xdr:row>22</xdr:row>
      <xdr:rowOff>123825</xdr:rowOff>
    </xdr:from>
    <xdr:ext cx="3924300" cy="2562225"/>
    <xdr:pic>
      <xdr:nvPicPr>
        <xdr:cNvPr id="2" name="image2.png" title="Image">
          <a:extLst>
            <a:ext uri="{FF2B5EF4-FFF2-40B4-BE49-F238E27FC236}">
              <a16:creationId xmlns:a16="http://schemas.microsoft.com/office/drawing/2014/main" id="{F01A8524-AD72-401C-8AFC-275E118E0C20}"/>
            </a:ext>
          </a:extLst>
        </xdr:cNvPr>
        <xdr:cNvPicPr preferRelativeResize="0"/>
      </xdr:nvPicPr>
      <xdr:blipFill>
        <a:blip xmlns:r="http://schemas.openxmlformats.org/officeDocument/2006/relationships" r:embed="rId1" cstate="print"/>
        <a:stretch>
          <a:fillRect/>
        </a:stretch>
      </xdr:blipFill>
      <xdr:spPr>
        <a:xfrm>
          <a:off x="28575" y="7400925"/>
          <a:ext cx="3924300" cy="2562225"/>
        </a:xfrm>
        <a:prstGeom prst="rect">
          <a:avLst/>
        </a:prstGeom>
        <a:noFill/>
      </xdr:spPr>
    </xdr:pic>
    <xdr:clientData fLocksWithSheet="0"/>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MeganMahajan\Documents\eps-us\InputData\fuels\BS\BAU%20Subsidies.xlsx" TargetMode="External"/><Relationship Id="rId1" Type="http://schemas.openxmlformats.org/officeDocument/2006/relationships/externalLinkPath" Target="/Users/MeganMahajan/Documents/eps-us/InputData/fuels/BS/BAU%20Subsidi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Inflation Reduction Act - Elec"/>
      <sheetName val="Inflation Reduction Act - Hydn"/>
      <sheetName val="Tax Credits"/>
      <sheetName val="Solar - Utility PV"/>
      <sheetName val="Land-Based Wind"/>
      <sheetName val="Subsidies Paid"/>
      <sheetName val="AEO 2022 Table 1"/>
      <sheetName val="AEO 2023 Table 1"/>
      <sheetName val="AEO 2022 Table 8"/>
      <sheetName val="AEO 2023 Table 8"/>
      <sheetName val="AEO 2022 Table 11"/>
      <sheetName val="AEO 2023 Table 11"/>
      <sheetName val="Calculations"/>
      <sheetName val="Wind PV Calcs"/>
      <sheetName val="Monetizing Tax Credit Penalty"/>
      <sheetName val="BS-BSfTFpEUP-transportation"/>
      <sheetName val="BS-BSfTFpEUP-electricity"/>
      <sheetName val="BS-BSfTFpEUP-res-bldgs"/>
      <sheetName val="BS-BSfTFpEUP-com-bldgs"/>
      <sheetName val="BS-BSfTFpEUP-industry"/>
      <sheetName val="BS-BSfTFpEUP-dist-heat-hydgn"/>
      <sheetName val="BS-BSfTFpEUP-geoeng"/>
      <sheetName val="BS-BSpUEO"/>
      <sheetName val="BS-BSpUECB"/>
      <sheetName val="BS-DoSpUEO"/>
      <sheetName val="JCT Table 1_Notes"/>
    </sheetNames>
    <sheetDataSet>
      <sheetData sheetId="0"/>
      <sheetData sheetId="1"/>
      <sheetData sheetId="2"/>
      <sheetData sheetId="3"/>
      <sheetData sheetId="4">
        <row r="152">
          <cell r="O152">
            <v>1331.3527873137889</v>
          </cell>
          <cell r="P152">
            <v>1289.5074168949341</v>
          </cell>
          <cell r="Q152">
            <v>1247.6620464760786</v>
          </cell>
          <cell r="R152">
            <v>1205.8166760572233</v>
          </cell>
          <cell r="S152">
            <v>1163.9713056383682</v>
          </cell>
          <cell r="T152">
            <v>1122.1259352195129</v>
          </cell>
          <cell r="U152">
            <v>1080.2805648006577</v>
          </cell>
          <cell r="V152">
            <v>1038.4351943818024</v>
          </cell>
          <cell r="W152">
            <v>996.58982396294721</v>
          </cell>
          <cell r="X152">
            <v>954.74445354409204</v>
          </cell>
          <cell r="Y152">
            <v>912.89908312523676</v>
          </cell>
          <cell r="Z152">
            <v>871.05371270638148</v>
          </cell>
          <cell r="AA152">
            <v>829.20834228752562</v>
          </cell>
          <cell r="AB152">
            <v>816.09242237332262</v>
          </cell>
          <cell r="AC152">
            <v>802.97650245911973</v>
          </cell>
          <cell r="AD152">
            <v>789.86058254491684</v>
          </cell>
          <cell r="AE152">
            <v>776.74466263071395</v>
          </cell>
          <cell r="AF152">
            <v>763.62874271651094</v>
          </cell>
          <cell r="AG152">
            <v>750.51282280230805</v>
          </cell>
          <cell r="AH152">
            <v>737.39690288810516</v>
          </cell>
          <cell r="AI152">
            <v>724.28098297390216</v>
          </cell>
          <cell r="AJ152">
            <v>711.16506305969938</v>
          </cell>
          <cell r="AK152">
            <v>698.04914314549637</v>
          </cell>
          <cell r="AL152">
            <v>684.93322323129348</v>
          </cell>
          <cell r="AM152">
            <v>671.81730331709059</v>
          </cell>
          <cell r="AN152">
            <v>658.70138340288759</v>
          </cell>
          <cell r="AO152">
            <v>645.58546348868481</v>
          </cell>
          <cell r="AP152">
            <v>632.46954357448169</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www.govinfo.gov/content/pkg/FR-2020-05-13/pdf/2020-10273.pdf" TargetMode="External"/><Relationship Id="rId2" Type="http://schemas.openxmlformats.org/officeDocument/2006/relationships/hyperlink" Target="https://netzeroamerica.princeton.edu/img/Working_Paper-High_Road_Labor_and_Renewable_Energy-PUBLIC_RELEASE-4-13-21.pdf" TargetMode="External"/><Relationship Id="rId1" Type="http://schemas.openxmlformats.org/officeDocument/2006/relationships/hyperlink" Target="https://cleanpower.org/wp-content/uploads/2021/06/ACP-Labor-Supply-Report.pdf"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9"/>
  <sheetViews>
    <sheetView workbookViewId="0">
      <selection activeCell="I14" sqref="I14"/>
    </sheetView>
  </sheetViews>
  <sheetFormatPr defaultRowHeight="15" x14ac:dyDescent="0.25"/>
  <sheetData>
    <row r="1" spans="1:2" x14ac:dyDescent="0.25">
      <c r="A1" s="1" t="s">
        <v>61</v>
      </c>
    </row>
    <row r="3" spans="1:2" x14ac:dyDescent="0.25">
      <c r="A3" s="1" t="s">
        <v>0</v>
      </c>
      <c r="B3" t="s">
        <v>60</v>
      </c>
    </row>
    <row r="5" spans="1:2" x14ac:dyDescent="0.25">
      <c r="A5" t="s">
        <v>1</v>
      </c>
    </row>
    <row r="6" spans="1:2" x14ac:dyDescent="0.25">
      <c r="A6" t="s">
        <v>5</v>
      </c>
    </row>
    <row r="7" spans="1:2" x14ac:dyDescent="0.25">
      <c r="A7" t="s">
        <v>4</v>
      </c>
    </row>
    <row r="8" spans="1:2" x14ac:dyDescent="0.25">
      <c r="A8" t="s">
        <v>6</v>
      </c>
    </row>
    <row r="9" spans="1:2" x14ac:dyDescent="0.25">
      <c r="A9" t="s">
        <v>7</v>
      </c>
    </row>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25F637-D742-4D43-823F-3091F001A88F}">
  <sheetPr>
    <tabColor rgb="FF6AA84F"/>
  </sheetPr>
  <dimension ref="A1:BV252"/>
  <sheetViews>
    <sheetView tabSelected="1" topLeftCell="A2" zoomScaleNormal="100" workbookViewId="0">
      <selection activeCell="B13" sqref="B13"/>
    </sheetView>
  </sheetViews>
  <sheetFormatPr defaultColWidth="12.5703125" defaultRowHeight="15.75" customHeight="1" x14ac:dyDescent="0.2"/>
  <cols>
    <col min="1" max="1" width="94.42578125" style="6" customWidth="1"/>
    <col min="2" max="2" width="15.42578125" style="6" customWidth="1"/>
    <col min="3" max="3" width="11.5703125" style="6" customWidth="1"/>
    <col min="4" max="4" width="40.5703125" style="6" bestFit="1" customWidth="1"/>
    <col min="5" max="5" width="10.42578125" style="6" bestFit="1" customWidth="1"/>
    <col min="6" max="13" width="8.28515625" style="6" bestFit="1" customWidth="1"/>
    <col min="14" max="36" width="7.5703125" style="6" customWidth="1"/>
    <col min="37" max="16384" width="12.5703125" style="6"/>
  </cols>
  <sheetData>
    <row r="1" spans="1:37" ht="12.75" x14ac:dyDescent="0.2">
      <c r="A1" s="4" t="s">
        <v>8</v>
      </c>
      <c r="B1" s="4"/>
      <c r="C1" s="4"/>
      <c r="D1" s="4"/>
      <c r="E1" s="4"/>
      <c r="F1" s="4"/>
      <c r="G1" s="4"/>
      <c r="H1" s="4"/>
      <c r="I1" s="4"/>
      <c r="J1" s="4"/>
      <c r="K1" s="4"/>
      <c r="L1" s="4"/>
      <c r="M1" s="4"/>
      <c r="N1" s="4"/>
      <c r="O1" s="4"/>
      <c r="P1" s="4"/>
      <c r="Q1" s="4"/>
      <c r="R1" s="4"/>
      <c r="S1" s="4"/>
      <c r="T1" s="4"/>
      <c r="U1" s="4"/>
      <c r="V1" s="4"/>
      <c r="W1" s="4"/>
      <c r="X1" s="4"/>
      <c r="Y1" s="4"/>
      <c r="Z1" s="4"/>
      <c r="AA1" s="4"/>
      <c r="AB1" s="4"/>
      <c r="AC1" s="4"/>
      <c r="AD1" s="4"/>
      <c r="AE1" s="4"/>
      <c r="AF1" s="4"/>
      <c r="AG1" s="5"/>
      <c r="AH1" s="5"/>
      <c r="AI1" s="5"/>
      <c r="AJ1" s="5"/>
    </row>
    <row r="2" spans="1:37" ht="305.25" customHeight="1" x14ac:dyDescent="0.2">
      <c r="A2" s="7" t="s">
        <v>62</v>
      </c>
      <c r="B2" s="5"/>
      <c r="C2" s="5"/>
      <c r="D2" s="5"/>
      <c r="E2" s="5"/>
      <c r="F2" s="5"/>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row>
    <row r="3" spans="1:37" ht="12.75" x14ac:dyDescent="0.2">
      <c r="A3" s="5"/>
      <c r="B3" s="5"/>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row>
    <row r="4" spans="1:37" ht="12.75" x14ac:dyDescent="0.2">
      <c r="A4" s="4" t="s">
        <v>63</v>
      </c>
      <c r="B4" s="5"/>
      <c r="C4" s="5"/>
      <c r="D4" s="5"/>
      <c r="E4" s="5"/>
      <c r="F4" s="5"/>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row>
    <row r="5" spans="1:37" ht="12.75" x14ac:dyDescent="0.2">
      <c r="A5" s="5" t="s">
        <v>64</v>
      </c>
      <c r="B5" s="5"/>
      <c r="C5" s="5"/>
      <c r="D5" s="5"/>
      <c r="E5" s="5"/>
      <c r="F5" s="5"/>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row>
    <row r="6" spans="1:37" ht="12.75" x14ac:dyDescent="0.2">
      <c r="A6" s="5" t="s">
        <v>65</v>
      </c>
      <c r="B6" s="5"/>
      <c r="C6" s="5"/>
      <c r="D6" s="5"/>
      <c r="E6" s="5"/>
      <c r="F6" s="5"/>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row>
    <row r="7" spans="1:37" ht="12.75" x14ac:dyDescent="0.2">
      <c r="A7" s="5" t="s">
        <v>66</v>
      </c>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row>
    <row r="8" spans="1:37" ht="12.75" x14ac:dyDescent="0.2">
      <c r="A8" s="5">
        <f>1554.4*0.25</f>
        <v>388.6</v>
      </c>
      <c r="B8" s="5" t="s">
        <v>67</v>
      </c>
      <c r="C8" s="5"/>
      <c r="D8" s="5"/>
      <c r="E8" s="5"/>
      <c r="F8" s="5"/>
      <c r="G8" s="5"/>
      <c r="H8" s="5"/>
      <c r="I8" s="5"/>
      <c r="J8" s="5"/>
      <c r="K8" s="5"/>
      <c r="L8" s="5"/>
      <c r="M8" s="5"/>
      <c r="N8" s="5"/>
      <c r="O8" s="5"/>
      <c r="P8" s="5"/>
      <c r="Q8" s="5"/>
      <c r="R8" s="5"/>
      <c r="S8" s="5"/>
      <c r="T8" s="5"/>
      <c r="U8" s="5"/>
      <c r="V8" s="5"/>
      <c r="W8" s="5"/>
      <c r="X8" s="5"/>
      <c r="Y8" s="5"/>
      <c r="Z8" s="5"/>
      <c r="AA8" s="5"/>
      <c r="AB8" s="5"/>
      <c r="AC8" s="5"/>
      <c r="AD8" s="5"/>
      <c r="AE8" s="5"/>
      <c r="AF8" s="5"/>
      <c r="AG8" s="5"/>
      <c r="AH8" s="5"/>
      <c r="AI8" s="5"/>
      <c r="AJ8" s="5"/>
    </row>
    <row r="9" spans="1:37" ht="12.75" x14ac:dyDescent="0.2">
      <c r="A9" s="5" t="s">
        <v>130</v>
      </c>
      <c r="B9" s="5"/>
      <c r="C9" s="5"/>
      <c r="D9" s="5"/>
      <c r="E9" s="5"/>
      <c r="F9" s="5"/>
      <c r="G9" s="5"/>
      <c r="H9" s="5"/>
      <c r="I9" s="5"/>
      <c r="J9" s="5"/>
      <c r="K9" s="5"/>
      <c r="L9" s="5"/>
      <c r="M9" s="5"/>
      <c r="N9" s="5"/>
      <c r="O9" s="5"/>
      <c r="P9" s="5"/>
      <c r="Q9" s="5"/>
      <c r="R9" s="5"/>
      <c r="S9" s="5"/>
      <c r="T9" s="5"/>
      <c r="U9" s="5"/>
      <c r="V9" s="5"/>
      <c r="W9" s="5"/>
      <c r="X9" s="5"/>
      <c r="Y9" s="5"/>
      <c r="Z9" s="5"/>
      <c r="AA9" s="5"/>
      <c r="AB9" s="5"/>
      <c r="AC9" s="5"/>
      <c r="AD9" s="5"/>
      <c r="AE9" s="5"/>
      <c r="AF9" s="5"/>
      <c r="AG9" s="5"/>
      <c r="AH9" s="5"/>
      <c r="AI9" s="5"/>
      <c r="AJ9" s="5"/>
    </row>
    <row r="10" spans="1:37" ht="12.75" x14ac:dyDescent="0.2">
      <c r="A10" s="5" t="s">
        <v>68</v>
      </c>
      <c r="B10" s="5"/>
      <c r="C10" s="5"/>
      <c r="D10" s="5"/>
      <c r="E10" s="5"/>
      <c r="F10" s="5"/>
      <c r="G10" s="5"/>
      <c r="H10" s="5"/>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row>
    <row r="11" spans="1:37" ht="12.75" x14ac:dyDescent="0.2">
      <c r="A11" s="5"/>
      <c r="B11" s="5"/>
      <c r="C11" s="5"/>
      <c r="D11" s="5"/>
      <c r="E11" s="5"/>
      <c r="F11" s="5"/>
      <c r="G11" s="5"/>
      <c r="H11" s="5"/>
      <c r="I11" s="5"/>
      <c r="J11" s="5"/>
      <c r="K11" s="5"/>
      <c r="L11" s="5"/>
      <c r="M11" s="5"/>
      <c r="N11" s="5"/>
      <c r="O11" s="5"/>
      <c r="P11" s="5"/>
      <c r="Q11" s="5"/>
      <c r="R11" s="5"/>
      <c r="S11" s="5"/>
      <c r="T11" s="5"/>
      <c r="U11" s="5"/>
      <c r="V11" s="5"/>
      <c r="W11" s="5"/>
      <c r="X11" s="5"/>
      <c r="Y11" s="5"/>
      <c r="Z11" s="5"/>
      <c r="AA11" s="5"/>
      <c r="AB11" s="5"/>
      <c r="AC11" s="5"/>
      <c r="AD11" s="5"/>
      <c r="AE11" s="5"/>
      <c r="AF11" s="5"/>
      <c r="AG11" s="5"/>
      <c r="AH11" s="5"/>
      <c r="AI11" s="5"/>
      <c r="AJ11" s="5"/>
    </row>
    <row r="12" spans="1:37" ht="12.75" x14ac:dyDescent="0.2">
      <c r="A12" s="5" t="s">
        <v>69</v>
      </c>
      <c r="B12" s="5" t="s">
        <v>70</v>
      </c>
      <c r="C12" s="5" t="s">
        <v>71</v>
      </c>
      <c r="D12" s="5" t="s">
        <v>72</v>
      </c>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row>
    <row r="13" spans="1:37" ht="12.75" x14ac:dyDescent="0.2">
      <c r="A13" s="41">
        <v>1</v>
      </c>
      <c r="B13" s="41">
        <v>0.75</v>
      </c>
      <c r="C13" s="41">
        <v>0.5</v>
      </c>
      <c r="D13" s="41">
        <v>0</v>
      </c>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row>
    <row r="14" spans="1:37" ht="12.75" x14ac:dyDescent="0.2">
      <c r="A14" s="41"/>
      <c r="B14" s="41"/>
      <c r="C14" s="41"/>
      <c r="D14" s="41"/>
      <c r="E14" s="5"/>
      <c r="F14" s="5"/>
      <c r="G14" s="5"/>
      <c r="H14" s="5"/>
      <c r="I14" s="5"/>
      <c r="J14" s="5"/>
      <c r="K14" s="5"/>
      <c r="L14" s="5"/>
      <c r="M14" s="5"/>
      <c r="N14" s="5"/>
      <c r="O14" s="5"/>
      <c r="P14" s="5"/>
      <c r="Q14" s="5" t="s">
        <v>73</v>
      </c>
      <c r="R14" s="5" t="s">
        <v>74</v>
      </c>
      <c r="S14" s="5" t="s">
        <v>75</v>
      </c>
      <c r="T14" s="5" t="s">
        <v>76</v>
      </c>
      <c r="U14" s="5"/>
      <c r="V14" s="5"/>
      <c r="W14" s="5"/>
      <c r="X14" s="5"/>
      <c r="Y14" s="5"/>
      <c r="Z14" s="5"/>
      <c r="AA14" s="5"/>
      <c r="AB14" s="5"/>
      <c r="AC14" s="5"/>
      <c r="AD14" s="5"/>
      <c r="AE14" s="5"/>
      <c r="AF14" s="5"/>
      <c r="AG14" s="5"/>
      <c r="AH14" s="5"/>
      <c r="AI14" s="5"/>
      <c r="AJ14" s="5"/>
    </row>
    <row r="15" spans="1:37" ht="12.75" x14ac:dyDescent="0.2">
      <c r="A15" s="41" t="s">
        <v>77</v>
      </c>
      <c r="B15" s="41"/>
      <c r="C15" s="41"/>
      <c r="D15" s="41"/>
      <c r="E15" s="5"/>
      <c r="F15" s="5"/>
      <c r="G15" s="5"/>
      <c r="H15" s="5"/>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row>
    <row r="16" spans="1:37" ht="12.75" x14ac:dyDescent="0.2">
      <c r="A16" s="6">
        <v>2020</v>
      </c>
      <c r="B16" s="42">
        <v>2021</v>
      </c>
      <c r="C16" s="42">
        <v>2022</v>
      </c>
      <c r="D16" s="42">
        <v>2023</v>
      </c>
      <c r="E16" s="42">
        <v>2024</v>
      </c>
      <c r="F16" s="42">
        <v>2025</v>
      </c>
      <c r="G16" s="42">
        <v>2026</v>
      </c>
      <c r="H16" s="42">
        <v>2027</v>
      </c>
      <c r="I16" s="42">
        <v>2028</v>
      </c>
      <c r="J16" s="42">
        <v>2029</v>
      </c>
      <c r="K16" s="42">
        <v>2030</v>
      </c>
      <c r="L16" s="42">
        <v>2031</v>
      </c>
      <c r="M16" s="42">
        <v>2032</v>
      </c>
      <c r="N16" s="42">
        <v>2033</v>
      </c>
      <c r="O16" s="42">
        <v>2034</v>
      </c>
      <c r="P16" s="42">
        <v>2035</v>
      </c>
      <c r="Q16" s="42">
        <v>2036</v>
      </c>
      <c r="R16" s="42">
        <v>2037</v>
      </c>
      <c r="S16" s="42">
        <v>2038</v>
      </c>
      <c r="T16" s="42">
        <v>2039</v>
      </c>
      <c r="U16" s="42">
        <v>2040</v>
      </c>
      <c r="V16" s="42">
        <v>2041</v>
      </c>
      <c r="W16" s="42">
        <v>2042</v>
      </c>
      <c r="X16" s="42">
        <v>2043</v>
      </c>
      <c r="Y16" s="42">
        <v>2044</v>
      </c>
      <c r="Z16" s="42">
        <v>2045</v>
      </c>
      <c r="AA16" s="42">
        <v>2046</v>
      </c>
      <c r="AB16" s="42">
        <v>2047</v>
      </c>
      <c r="AC16" s="42">
        <v>2048</v>
      </c>
      <c r="AD16" s="42">
        <v>2049</v>
      </c>
      <c r="AE16" s="42">
        <v>2050</v>
      </c>
      <c r="AF16" s="42"/>
      <c r="AG16" s="42"/>
      <c r="AH16" s="42"/>
      <c r="AI16" s="42"/>
      <c r="AJ16" s="42"/>
      <c r="AK16" s="42"/>
    </row>
    <row r="17" spans="1:51" ht="12.75" x14ac:dyDescent="0.2">
      <c r="A17" s="41">
        <v>1</v>
      </c>
      <c r="B17" s="41">
        <v>1</v>
      </c>
      <c r="C17" s="41">
        <v>1</v>
      </c>
      <c r="D17" s="41">
        <v>1</v>
      </c>
      <c r="E17" s="41">
        <v>1</v>
      </c>
      <c r="F17" s="41">
        <v>1</v>
      </c>
      <c r="G17" s="41">
        <v>1</v>
      </c>
      <c r="H17" s="41">
        <v>1</v>
      </c>
      <c r="I17" s="41">
        <v>1</v>
      </c>
      <c r="J17" s="41">
        <v>1</v>
      </c>
      <c r="K17" s="41">
        <v>1</v>
      </c>
      <c r="L17" s="41">
        <v>1</v>
      </c>
      <c r="M17" s="41">
        <v>1</v>
      </c>
      <c r="N17" s="41">
        <v>1</v>
      </c>
      <c r="O17" s="41">
        <v>1</v>
      </c>
      <c r="P17" s="41">
        <v>1</v>
      </c>
      <c r="Q17" s="41">
        <v>1</v>
      </c>
      <c r="R17" s="41">
        <v>0.75</v>
      </c>
      <c r="S17" s="41">
        <v>0.5</v>
      </c>
      <c r="T17" s="41">
        <v>0</v>
      </c>
      <c r="U17" s="41">
        <v>0</v>
      </c>
      <c r="V17" s="41">
        <v>0</v>
      </c>
      <c r="W17" s="41">
        <v>0</v>
      </c>
      <c r="X17" s="41">
        <v>0</v>
      </c>
      <c r="Y17" s="41">
        <v>0</v>
      </c>
      <c r="Z17" s="41">
        <v>0</v>
      </c>
      <c r="AA17" s="41">
        <v>0</v>
      </c>
      <c r="AB17" s="41">
        <v>0</v>
      </c>
      <c r="AC17" s="41">
        <v>0</v>
      </c>
      <c r="AD17" s="41">
        <v>0</v>
      </c>
      <c r="AE17" s="41">
        <v>0</v>
      </c>
      <c r="AF17" s="41"/>
      <c r="AG17" s="41"/>
      <c r="AH17" s="41"/>
      <c r="AI17" s="41"/>
      <c r="AJ17" s="41"/>
      <c r="AK17" s="41"/>
      <c r="AL17" s="41"/>
      <c r="AM17" s="41"/>
      <c r="AN17" s="41"/>
      <c r="AO17" s="41"/>
      <c r="AP17" s="41"/>
      <c r="AQ17" s="41"/>
      <c r="AR17" s="41"/>
      <c r="AS17" s="41"/>
      <c r="AT17" s="41"/>
      <c r="AU17" s="41"/>
      <c r="AV17" s="41"/>
      <c r="AW17" s="41"/>
      <c r="AX17" s="41"/>
      <c r="AY17" s="41"/>
    </row>
    <row r="18" spans="1:51" ht="12.75" x14ac:dyDescent="0.2">
      <c r="A18" s="5"/>
      <c r="B18" s="5"/>
      <c r="C18" s="5"/>
      <c r="D18" s="5"/>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row>
    <row r="19" spans="1:51" ht="12.75" x14ac:dyDescent="0.2">
      <c r="A19" s="4" t="s">
        <v>9</v>
      </c>
      <c r="B19" s="8"/>
      <c r="C19" s="8"/>
      <c r="D19" s="8"/>
      <c r="E19" s="8"/>
      <c r="F19" s="8"/>
      <c r="G19" s="8"/>
      <c r="H19" s="8"/>
      <c r="I19" s="8"/>
      <c r="J19" s="8"/>
      <c r="K19" s="8"/>
      <c r="L19" s="8"/>
      <c r="M19" s="8"/>
      <c r="N19" s="8"/>
      <c r="O19" s="8"/>
      <c r="P19" s="8"/>
      <c r="Q19" s="8"/>
      <c r="R19" s="8"/>
      <c r="S19" s="8"/>
      <c r="T19" s="8"/>
      <c r="U19" s="8"/>
      <c r="V19" s="8"/>
      <c r="W19" s="8"/>
      <c r="X19" s="8"/>
      <c r="Y19" s="8"/>
      <c r="Z19" s="8"/>
      <c r="AA19" s="8"/>
      <c r="AB19" s="8"/>
      <c r="AC19" s="8"/>
      <c r="AD19" s="8"/>
      <c r="AE19" s="8"/>
      <c r="AF19" s="8"/>
      <c r="AG19" s="8"/>
      <c r="AH19" s="8"/>
      <c r="AI19" s="8"/>
      <c r="AJ19" s="8"/>
    </row>
    <row r="20" spans="1:51" ht="12.75" x14ac:dyDescent="0.2">
      <c r="A20" s="9" t="s">
        <v>10</v>
      </c>
      <c r="B20" s="9"/>
      <c r="C20" s="9"/>
      <c r="D20" s="9"/>
      <c r="E20" s="9"/>
      <c r="F20" s="9"/>
      <c r="G20" s="9"/>
      <c r="H20" s="9"/>
      <c r="I20" s="9"/>
      <c r="J20" s="9"/>
      <c r="K20" s="9"/>
      <c r="L20" s="9"/>
      <c r="M20" s="9"/>
      <c r="N20" s="10"/>
      <c r="O20" s="10"/>
      <c r="P20" s="10"/>
      <c r="Q20" s="10"/>
      <c r="R20" s="10"/>
      <c r="S20" s="10"/>
      <c r="T20" s="10"/>
      <c r="U20" s="10"/>
      <c r="V20" s="10"/>
      <c r="W20" s="10"/>
      <c r="X20" s="10"/>
      <c r="Y20" s="10"/>
      <c r="Z20" s="10"/>
      <c r="AA20" s="10"/>
      <c r="AB20" s="10"/>
      <c r="AC20" s="10"/>
      <c r="AD20" s="10"/>
      <c r="AE20" s="10"/>
      <c r="AF20" s="10"/>
      <c r="AG20" s="10"/>
      <c r="AH20" s="10"/>
      <c r="AI20" s="10"/>
      <c r="AJ20" s="10"/>
    </row>
    <row r="21" spans="1:51" ht="12.75" x14ac:dyDescent="0.2">
      <c r="A21" s="11" t="s">
        <v>11</v>
      </c>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row>
    <row r="22" spans="1:51" ht="12.75" x14ac:dyDescent="0.2">
      <c r="A22" s="12" t="s">
        <v>12</v>
      </c>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row>
    <row r="23" spans="1:51" ht="12.75" x14ac:dyDescent="0.2">
      <c r="A23" s="13"/>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row>
    <row r="24" spans="1:51" ht="12.75" x14ac:dyDescent="0.2">
      <c r="A24" s="13"/>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row>
    <row r="25" spans="1:51" ht="12.75" x14ac:dyDescent="0.2">
      <c r="A25" s="13"/>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row>
    <row r="26" spans="1:51" ht="12.75" x14ac:dyDescent="0.2">
      <c r="A26" s="13"/>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row>
    <row r="27" spans="1:51" ht="12.75" x14ac:dyDescent="0.2">
      <c r="A27" s="13"/>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row>
    <row r="28" spans="1:51" ht="12.75" x14ac:dyDescent="0.2">
      <c r="A28" s="13"/>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row>
    <row r="29" spans="1:51" ht="12.75" x14ac:dyDescent="0.2">
      <c r="A29" s="13"/>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row>
    <row r="30" spans="1:51" ht="12.75" x14ac:dyDescent="0.2">
      <c r="A30" s="13"/>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row>
    <row r="31" spans="1:51" ht="12.75" x14ac:dyDescent="0.2">
      <c r="A31" s="13"/>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row>
    <row r="32" spans="1:51" ht="12.75" x14ac:dyDescent="0.2">
      <c r="A32" s="13"/>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row>
    <row r="33" spans="1:36" ht="12.75" x14ac:dyDescent="0.2">
      <c r="A33" s="13"/>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row>
    <row r="34" spans="1:36" ht="12.75" x14ac:dyDescent="0.2">
      <c r="A34" s="13"/>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row>
    <row r="35" spans="1:36" ht="12.75" x14ac:dyDescent="0.2">
      <c r="A35" s="13"/>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row>
    <row r="36" spans="1:36" ht="12.75" x14ac:dyDescent="0.2">
      <c r="A36" s="13"/>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row>
    <row r="37" spans="1:36" ht="12.75" x14ac:dyDescent="0.2">
      <c r="A37" s="13"/>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row>
    <row r="38" spans="1:36" ht="12.75" x14ac:dyDescent="0.2">
      <c r="A38" s="13"/>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row>
    <row r="39" spans="1:36" ht="12.75" x14ac:dyDescent="0.2">
      <c r="A39" s="13"/>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row>
    <row r="40" spans="1:36" ht="12.75" x14ac:dyDescent="0.2">
      <c r="A40" s="13"/>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row>
    <row r="41" spans="1:36" ht="12.75" x14ac:dyDescent="0.2">
      <c r="A41" s="5" t="s">
        <v>13</v>
      </c>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row>
    <row r="42" spans="1:36" ht="12.75" x14ac:dyDescent="0.2">
      <c r="A42" s="5" t="s">
        <v>14</v>
      </c>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row>
    <row r="43" spans="1:36" ht="12.75" x14ac:dyDescent="0.2">
      <c r="A43" s="5" t="s">
        <v>15</v>
      </c>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row>
    <row r="44" spans="1:36" ht="12.75" x14ac:dyDescent="0.2">
      <c r="A44" s="5" t="s">
        <v>78</v>
      </c>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row>
    <row r="45" spans="1:36" ht="12.75" x14ac:dyDescent="0.2">
      <c r="A45" s="6" t="s">
        <v>16</v>
      </c>
      <c r="B45" s="14">
        <v>0.127</v>
      </c>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row>
    <row r="46" spans="1:36" ht="12.75" x14ac:dyDescent="0.2">
      <c r="A46" s="6" t="s">
        <v>17</v>
      </c>
      <c r="B46" s="41">
        <f>B45*1.2</f>
        <v>0.15240000000000001</v>
      </c>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row>
    <row r="47" spans="1:36" ht="12.75" x14ac:dyDescent="0.2">
      <c r="A47" s="13"/>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row>
    <row r="48" spans="1:36" ht="12.75" x14ac:dyDescent="0.2">
      <c r="A48" s="13"/>
      <c r="B48" s="13">
        <v>2022</v>
      </c>
      <c r="C48" s="13">
        <v>2023</v>
      </c>
      <c r="D48" s="13">
        <v>2024</v>
      </c>
      <c r="E48" s="13">
        <v>2025</v>
      </c>
      <c r="F48" s="13">
        <v>2026</v>
      </c>
      <c r="G48" s="13">
        <v>2027</v>
      </c>
      <c r="H48" s="13">
        <v>2028</v>
      </c>
      <c r="I48" s="13">
        <v>2029</v>
      </c>
      <c r="J48" s="13">
        <v>2030</v>
      </c>
      <c r="K48" s="13">
        <v>2031</v>
      </c>
      <c r="L48" s="13">
        <v>2032</v>
      </c>
      <c r="M48" s="13">
        <v>2033</v>
      </c>
      <c r="N48" s="13">
        <v>2034</v>
      </c>
      <c r="O48" s="13">
        <v>2035</v>
      </c>
      <c r="P48" s="13">
        <v>2036</v>
      </c>
      <c r="Q48" s="13">
        <v>2037</v>
      </c>
      <c r="R48" s="13">
        <v>2038</v>
      </c>
      <c r="S48" s="13">
        <v>2039</v>
      </c>
      <c r="T48" s="13">
        <v>2040</v>
      </c>
      <c r="U48" s="13">
        <v>2041</v>
      </c>
      <c r="V48" s="13">
        <v>2042</v>
      </c>
      <c r="W48" s="13">
        <v>2043</v>
      </c>
      <c r="X48" s="13">
        <v>2044</v>
      </c>
      <c r="Y48" s="13">
        <v>2045</v>
      </c>
      <c r="Z48" s="13">
        <v>2046</v>
      </c>
      <c r="AA48" s="13">
        <v>2047</v>
      </c>
      <c r="AB48" s="13">
        <v>2048</v>
      </c>
      <c r="AC48" s="13">
        <v>2049</v>
      </c>
      <c r="AD48" s="13">
        <v>2050</v>
      </c>
      <c r="AE48" s="5"/>
      <c r="AF48" s="5"/>
      <c r="AG48" s="5"/>
      <c r="AH48" s="5"/>
      <c r="AI48" s="5"/>
      <c r="AJ48" s="5"/>
    </row>
    <row r="49" spans="1:36" ht="12.75" x14ac:dyDescent="0.2">
      <c r="A49" s="15" t="s">
        <v>18</v>
      </c>
      <c r="B49" s="14">
        <v>0</v>
      </c>
      <c r="C49" s="14">
        <v>0.05</v>
      </c>
      <c r="D49" s="14">
        <v>0.1</v>
      </c>
      <c r="E49" s="14">
        <v>0.15</v>
      </c>
      <c r="F49" s="14">
        <v>0.15</v>
      </c>
      <c r="G49" s="14">
        <v>0.15</v>
      </c>
      <c r="H49" s="14">
        <v>0.15</v>
      </c>
      <c r="I49" s="14">
        <v>0.15</v>
      </c>
      <c r="J49" s="14">
        <v>0.15</v>
      </c>
      <c r="K49" s="14">
        <v>0.15</v>
      </c>
      <c r="L49" s="14">
        <v>0.15</v>
      </c>
      <c r="M49" s="14">
        <v>0.15</v>
      </c>
      <c r="N49" s="14">
        <v>0.15</v>
      </c>
      <c r="O49" s="14">
        <v>0.15</v>
      </c>
      <c r="P49" s="14">
        <v>0.15</v>
      </c>
      <c r="Q49" s="14">
        <v>0.15</v>
      </c>
      <c r="R49" s="14">
        <v>0.15</v>
      </c>
      <c r="S49" s="14">
        <v>0.15</v>
      </c>
      <c r="T49" s="14">
        <v>0.15</v>
      </c>
      <c r="U49" s="14">
        <v>0.15</v>
      </c>
      <c r="V49" s="14">
        <v>0.15</v>
      </c>
      <c r="W49" s="14">
        <v>0.15</v>
      </c>
      <c r="X49" s="14">
        <v>0.15</v>
      </c>
      <c r="Y49" s="14">
        <v>0.15</v>
      </c>
      <c r="Z49" s="14">
        <v>0.15</v>
      </c>
      <c r="AA49" s="14">
        <v>0.15</v>
      </c>
      <c r="AB49" s="14">
        <v>0.15</v>
      </c>
      <c r="AC49" s="14">
        <v>0.15</v>
      </c>
      <c r="AD49" s="14">
        <v>0.15</v>
      </c>
      <c r="AE49" s="14"/>
      <c r="AF49" s="14"/>
      <c r="AG49" s="5"/>
      <c r="AH49" s="5"/>
      <c r="AI49" s="5"/>
      <c r="AJ49" s="5"/>
    </row>
    <row r="50" spans="1:36" ht="12.75" x14ac:dyDescent="0.2">
      <c r="A50" s="15" t="s">
        <v>19</v>
      </c>
      <c r="B50" s="14">
        <f>B49</f>
        <v>0</v>
      </c>
      <c r="C50" s="14">
        <v>1</v>
      </c>
      <c r="D50" s="14">
        <v>1</v>
      </c>
      <c r="E50" s="14">
        <v>1</v>
      </c>
      <c r="F50" s="14">
        <v>1</v>
      </c>
      <c r="G50" s="14">
        <v>1</v>
      </c>
      <c r="H50" s="14">
        <v>1</v>
      </c>
      <c r="I50" s="14">
        <v>1</v>
      </c>
      <c r="J50" s="14">
        <v>1</v>
      </c>
      <c r="K50" s="14">
        <v>1</v>
      </c>
      <c r="L50" s="14">
        <v>1</v>
      </c>
      <c r="M50" s="14">
        <v>1</v>
      </c>
      <c r="N50" s="14">
        <v>1</v>
      </c>
      <c r="O50" s="14">
        <v>1</v>
      </c>
      <c r="P50" s="14">
        <v>1</v>
      </c>
      <c r="Q50" s="14">
        <v>1</v>
      </c>
      <c r="R50" s="14">
        <v>1</v>
      </c>
      <c r="S50" s="14">
        <v>1</v>
      </c>
      <c r="T50" s="14">
        <v>1</v>
      </c>
      <c r="U50" s="14">
        <v>1</v>
      </c>
      <c r="V50" s="14">
        <v>1</v>
      </c>
      <c r="W50" s="14">
        <v>1</v>
      </c>
      <c r="X50" s="14">
        <v>1</v>
      </c>
      <c r="Y50" s="14">
        <v>1</v>
      </c>
      <c r="Z50" s="14">
        <v>1</v>
      </c>
      <c r="AA50" s="14">
        <v>1</v>
      </c>
      <c r="AB50" s="14">
        <v>1</v>
      </c>
      <c r="AC50" s="14">
        <v>1</v>
      </c>
      <c r="AD50" s="14">
        <v>1</v>
      </c>
      <c r="AE50" s="14"/>
      <c r="AF50" s="14"/>
      <c r="AG50" s="5"/>
      <c r="AH50" s="5"/>
      <c r="AI50" s="5"/>
      <c r="AJ50" s="5"/>
    </row>
    <row r="51" spans="1:36" ht="12.75" x14ac:dyDescent="0.2">
      <c r="A51" s="13"/>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row>
    <row r="52" spans="1:36" ht="12.75" x14ac:dyDescent="0.2">
      <c r="A52" s="9" t="s">
        <v>20</v>
      </c>
      <c r="B52" s="9"/>
      <c r="C52" s="9"/>
      <c r="D52" s="9"/>
      <c r="E52" s="9"/>
      <c r="F52" s="9"/>
      <c r="G52" s="9"/>
      <c r="H52" s="9"/>
      <c r="I52" s="9"/>
      <c r="J52" s="9"/>
      <c r="K52" s="9"/>
      <c r="L52" s="9"/>
      <c r="M52" s="9"/>
      <c r="N52" s="10"/>
      <c r="O52" s="10"/>
      <c r="P52" s="10"/>
      <c r="Q52" s="10"/>
      <c r="R52" s="10"/>
      <c r="S52" s="10"/>
      <c r="T52" s="10"/>
      <c r="U52" s="10"/>
      <c r="V52" s="10"/>
      <c r="W52" s="10"/>
      <c r="X52" s="10"/>
      <c r="Y52" s="10"/>
      <c r="Z52" s="10"/>
      <c r="AA52" s="10"/>
      <c r="AB52" s="10"/>
      <c r="AC52" s="10"/>
      <c r="AD52" s="10"/>
      <c r="AE52" s="10"/>
      <c r="AF52" s="10"/>
      <c r="AG52" s="10"/>
      <c r="AH52" s="10"/>
      <c r="AI52" s="10"/>
      <c r="AJ52" s="10"/>
    </row>
    <row r="53" spans="1:36" ht="12.75" x14ac:dyDescent="0.2">
      <c r="A53" s="5" t="s">
        <v>21</v>
      </c>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row>
    <row r="54" spans="1:36" ht="12.75" x14ac:dyDescent="0.2">
      <c r="A54" s="16" t="s">
        <v>22</v>
      </c>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row>
    <row r="55" spans="1:36" ht="12.75" x14ac:dyDescent="0.2">
      <c r="A55" s="13"/>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row>
    <row r="56" spans="1:36" ht="12.75" x14ac:dyDescent="0.2">
      <c r="A56" s="17" t="s">
        <v>23</v>
      </c>
      <c r="B56" s="18" t="s">
        <v>24</v>
      </c>
      <c r="C56" s="5"/>
      <c r="D56" s="17" t="s">
        <v>25</v>
      </c>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row>
    <row r="57" spans="1:36" ht="12.75" x14ac:dyDescent="0.2">
      <c r="A57" s="19" t="s">
        <v>26</v>
      </c>
      <c r="B57" s="20" t="s">
        <v>27</v>
      </c>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row>
    <row r="58" spans="1:36" ht="12.75" x14ac:dyDescent="0.2">
      <c r="A58" s="21" t="s">
        <v>28</v>
      </c>
      <c r="B58" s="22">
        <v>0.41199999999999998</v>
      </c>
      <c r="C58" s="23"/>
      <c r="D58" s="23">
        <v>0.11</v>
      </c>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row>
    <row r="59" spans="1:36" ht="12.75" x14ac:dyDescent="0.2">
      <c r="A59" s="21" t="s">
        <v>29</v>
      </c>
      <c r="B59" s="22">
        <v>0.13200000000000001</v>
      </c>
      <c r="C59" s="23"/>
      <c r="D59" s="23">
        <v>0.37</v>
      </c>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row>
    <row r="60" spans="1:36" ht="12.75" x14ac:dyDescent="0.2">
      <c r="A60" s="21" t="s">
        <v>30</v>
      </c>
      <c r="B60" s="22">
        <v>0.114</v>
      </c>
      <c r="C60" s="23"/>
      <c r="D60" s="23">
        <v>0.15</v>
      </c>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row>
    <row r="61" spans="1:36" ht="12.75" x14ac:dyDescent="0.2">
      <c r="A61" s="21" t="s">
        <v>31</v>
      </c>
      <c r="B61" s="22">
        <v>7.0000000000000007E-2</v>
      </c>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row>
    <row r="62" spans="1:36" ht="12.75" x14ac:dyDescent="0.2">
      <c r="A62" s="21" t="s">
        <v>32</v>
      </c>
      <c r="B62" s="22">
        <v>8.7999999999999995E-2</v>
      </c>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row>
    <row r="63" spans="1:36" ht="12.75" x14ac:dyDescent="0.2">
      <c r="A63" s="21" t="s">
        <v>33</v>
      </c>
      <c r="B63" s="22">
        <v>5.2999999999999999E-2</v>
      </c>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row>
    <row r="64" spans="1:36" ht="12.75" x14ac:dyDescent="0.2">
      <c r="A64" s="21" t="s">
        <v>34</v>
      </c>
      <c r="B64" s="22">
        <v>4.3999999999999997E-2</v>
      </c>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row>
    <row r="65" spans="1:36" ht="12.75" x14ac:dyDescent="0.2">
      <c r="A65" s="21" t="s">
        <v>35</v>
      </c>
      <c r="B65" s="22">
        <v>1.7999999999999999E-2</v>
      </c>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row>
    <row r="66" spans="1:36" ht="12.75" x14ac:dyDescent="0.2">
      <c r="A66" s="21" t="s">
        <v>36</v>
      </c>
      <c r="B66" s="22">
        <v>2.5999999999999999E-2</v>
      </c>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row>
    <row r="67" spans="1:36" ht="12.75" x14ac:dyDescent="0.2">
      <c r="A67" s="24" t="s">
        <v>37</v>
      </c>
      <c r="B67" s="25">
        <v>4.3999999999999997E-2</v>
      </c>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row>
    <row r="68" spans="1:36" ht="12.75" x14ac:dyDescent="0.2">
      <c r="A68" s="13"/>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row>
    <row r="69" spans="1:36" ht="12.75" x14ac:dyDescent="0.2">
      <c r="A69" s="5" t="s">
        <v>38</v>
      </c>
      <c r="B69" s="23">
        <f>SUMPRODUCT(B58:B60,D58:D60)/SUM(B58:B60)</f>
        <v>0.16908814589665652</v>
      </c>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row>
    <row r="70" spans="1:36" ht="12.75" x14ac:dyDescent="0.2">
      <c r="A70" s="5" t="s">
        <v>39</v>
      </c>
      <c r="B70" s="23">
        <f>AVERAGE(H78,B69)</f>
        <v>0.3595440729483283</v>
      </c>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row>
    <row r="71" spans="1:36" ht="12.75" x14ac:dyDescent="0.2">
      <c r="A71" s="5"/>
      <c r="B71" s="23"/>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row>
    <row r="72" spans="1:36" ht="12.75" x14ac:dyDescent="0.2">
      <c r="A72" s="5"/>
      <c r="B72" s="13">
        <v>2022</v>
      </c>
      <c r="C72" s="13">
        <v>2023</v>
      </c>
      <c r="D72" s="13">
        <v>2024</v>
      </c>
      <c r="E72" s="13">
        <v>2025</v>
      </c>
      <c r="F72" s="13">
        <v>2026</v>
      </c>
      <c r="G72" s="13">
        <v>2027</v>
      </c>
      <c r="H72" s="13">
        <v>2028</v>
      </c>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row>
    <row r="73" spans="1:36" ht="12.75" x14ac:dyDescent="0.2">
      <c r="A73" s="7" t="s">
        <v>40</v>
      </c>
      <c r="B73" s="23">
        <f>B69</f>
        <v>0.16908814589665652</v>
      </c>
      <c r="C73" s="23">
        <f>B73</f>
        <v>0.16908814589665652</v>
      </c>
      <c r="D73" s="23">
        <f t="shared" ref="D73:G73" si="0">($H$73-$B$73)/5+C73</f>
        <v>0.20717933130699087</v>
      </c>
      <c r="E73" s="23">
        <f t="shared" si="0"/>
        <v>0.24527051671732522</v>
      </c>
      <c r="F73" s="23">
        <f t="shared" si="0"/>
        <v>0.2833617021276596</v>
      </c>
      <c r="G73" s="23">
        <f t="shared" si="0"/>
        <v>0.32145288753799395</v>
      </c>
      <c r="H73" s="23">
        <f>AVERAGE(B73,H78)</f>
        <v>0.3595440729483283</v>
      </c>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row>
    <row r="74" spans="1:36" ht="12.75" x14ac:dyDescent="0.2">
      <c r="A74" s="7"/>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5"/>
      <c r="AG74" s="5"/>
      <c r="AH74" s="5"/>
      <c r="AI74" s="5"/>
      <c r="AJ74" s="5"/>
    </row>
    <row r="75" spans="1:36" ht="25.5" x14ac:dyDescent="0.2">
      <c r="A75" s="7" t="s">
        <v>41</v>
      </c>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5"/>
      <c r="AG75" s="5"/>
      <c r="AH75" s="5"/>
      <c r="AI75" s="5"/>
      <c r="AJ75" s="5"/>
    </row>
    <row r="76" spans="1:36" ht="12.75" x14ac:dyDescent="0.2">
      <c r="A76" s="7"/>
      <c r="B76" s="7"/>
      <c r="C76" s="7"/>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13"/>
      <c r="AG76" s="13"/>
      <c r="AH76" s="13"/>
      <c r="AI76" s="13"/>
      <c r="AJ76" s="13"/>
    </row>
    <row r="77" spans="1:36" s="26" customFormat="1" ht="12.75" x14ac:dyDescent="0.2">
      <c r="A77" s="15"/>
      <c r="B77" s="15">
        <v>2022</v>
      </c>
      <c r="C77" s="15">
        <v>2023</v>
      </c>
      <c r="D77" s="15">
        <v>2024</v>
      </c>
      <c r="E77" s="15">
        <v>2025</v>
      </c>
      <c r="F77" s="15">
        <v>2026</v>
      </c>
      <c r="G77" s="15">
        <v>2027</v>
      </c>
      <c r="H77" s="15">
        <v>2028</v>
      </c>
      <c r="I77" s="15">
        <v>2029</v>
      </c>
      <c r="J77" s="15">
        <v>2030</v>
      </c>
      <c r="K77" s="15">
        <v>2031</v>
      </c>
      <c r="L77" s="15">
        <v>2032</v>
      </c>
      <c r="M77" s="15">
        <v>2033</v>
      </c>
      <c r="N77" s="15">
        <v>2034</v>
      </c>
      <c r="O77" s="15">
        <v>2035</v>
      </c>
      <c r="P77" s="15">
        <v>2036</v>
      </c>
      <c r="Q77" s="15">
        <v>2037</v>
      </c>
      <c r="R77" s="15">
        <v>2038</v>
      </c>
      <c r="S77" s="15">
        <v>2039</v>
      </c>
      <c r="T77" s="15">
        <v>2040</v>
      </c>
      <c r="U77" s="15">
        <v>2041</v>
      </c>
      <c r="V77" s="15">
        <v>2042</v>
      </c>
      <c r="W77" s="15">
        <v>2043</v>
      </c>
      <c r="X77" s="15">
        <v>2044</v>
      </c>
      <c r="Y77" s="15">
        <v>2045</v>
      </c>
      <c r="Z77" s="15">
        <v>2046</v>
      </c>
      <c r="AA77" s="15">
        <v>2047</v>
      </c>
      <c r="AB77" s="15">
        <v>2048</v>
      </c>
      <c r="AC77" s="15">
        <v>2049</v>
      </c>
      <c r="AD77" s="15">
        <v>2050</v>
      </c>
      <c r="AE77" s="15"/>
      <c r="AF77" s="13"/>
      <c r="AG77" s="13"/>
      <c r="AH77" s="13"/>
      <c r="AI77" s="13"/>
      <c r="AJ77" s="13"/>
    </row>
    <row r="78" spans="1:36" ht="12.75" x14ac:dyDescent="0.2">
      <c r="A78" s="23" t="s">
        <v>42</v>
      </c>
      <c r="B78" s="27">
        <v>0.4</v>
      </c>
      <c r="C78" s="27">
        <v>0.4</v>
      </c>
      <c r="D78" s="27">
        <v>0.4</v>
      </c>
      <c r="E78" s="27">
        <v>0.4</v>
      </c>
      <c r="F78" s="27">
        <v>0.45</v>
      </c>
      <c r="G78" s="27">
        <v>0.5</v>
      </c>
      <c r="H78" s="27">
        <v>0.55000000000000004</v>
      </c>
      <c r="I78" s="27">
        <v>0.55000000000000004</v>
      </c>
      <c r="J78" s="27">
        <v>0.55000000000000004</v>
      </c>
      <c r="K78" s="27">
        <v>0.55000000000000004</v>
      </c>
      <c r="L78" s="27">
        <v>0.55000000000000004</v>
      </c>
      <c r="M78" s="27">
        <v>0.55000000000000004</v>
      </c>
      <c r="N78" s="27">
        <v>0.55000000000000004</v>
      </c>
      <c r="O78" s="27">
        <v>0.55000000000000004</v>
      </c>
      <c r="P78" s="27">
        <v>0.55000000000000004</v>
      </c>
      <c r="Q78" s="27">
        <v>0.55000000000000004</v>
      </c>
      <c r="R78" s="27">
        <v>0.55000000000000004</v>
      </c>
      <c r="S78" s="27">
        <v>0.55000000000000004</v>
      </c>
      <c r="T78" s="27">
        <v>0.55000000000000004</v>
      </c>
      <c r="U78" s="27">
        <v>0.55000000000000004</v>
      </c>
      <c r="V78" s="27">
        <v>0.55000000000000004</v>
      </c>
      <c r="W78" s="27">
        <v>0.55000000000000004</v>
      </c>
      <c r="X78" s="27">
        <v>0.55000000000000004</v>
      </c>
      <c r="Y78" s="27">
        <v>0.55000000000000004</v>
      </c>
      <c r="Z78" s="27">
        <v>0.55000000000000004</v>
      </c>
      <c r="AA78" s="27">
        <v>0.55000000000000004</v>
      </c>
      <c r="AB78" s="27">
        <v>0.55000000000000004</v>
      </c>
      <c r="AC78" s="27">
        <v>0.55000000000000004</v>
      </c>
      <c r="AD78" s="27">
        <v>0.55000000000000004</v>
      </c>
      <c r="AE78" s="23"/>
      <c r="AF78" s="23"/>
      <c r="AG78" s="23"/>
      <c r="AH78" s="23"/>
      <c r="AI78" s="23"/>
      <c r="AJ78" s="23"/>
    </row>
    <row r="79" spans="1:36" ht="12.75" x14ac:dyDescent="0.2">
      <c r="A79" s="23" t="s">
        <v>43</v>
      </c>
      <c r="B79" s="27">
        <f>B69</f>
        <v>0.16908814589665652</v>
      </c>
      <c r="C79" s="27">
        <f>($H$79-$B$79)/COUNT($C$77:$H$77)+B79</f>
        <v>0.20083080040526849</v>
      </c>
      <c r="D79" s="27">
        <f t="shared" ref="D79:G79" si="1">($H$79-$B$79)/COUNT($C$77:$H$77)+C79</f>
        <v>0.23257345491388046</v>
      </c>
      <c r="E79" s="27">
        <f t="shared" si="1"/>
        <v>0.2643161094224924</v>
      </c>
      <c r="F79" s="27">
        <f t="shared" si="1"/>
        <v>0.29605876393110436</v>
      </c>
      <c r="G79" s="27">
        <f t="shared" si="1"/>
        <v>0.32780141843971633</v>
      </c>
      <c r="H79" s="27">
        <f>B70</f>
        <v>0.3595440729483283</v>
      </c>
      <c r="I79" s="27">
        <f>$H$79</f>
        <v>0.3595440729483283</v>
      </c>
      <c r="J79" s="27">
        <f t="shared" ref="J79:AD79" si="2">$H$79</f>
        <v>0.3595440729483283</v>
      </c>
      <c r="K79" s="27">
        <f t="shared" si="2"/>
        <v>0.3595440729483283</v>
      </c>
      <c r="L79" s="27">
        <f t="shared" si="2"/>
        <v>0.3595440729483283</v>
      </c>
      <c r="M79" s="27">
        <f t="shared" si="2"/>
        <v>0.3595440729483283</v>
      </c>
      <c r="N79" s="27">
        <f t="shared" si="2"/>
        <v>0.3595440729483283</v>
      </c>
      <c r="O79" s="27">
        <f t="shared" si="2"/>
        <v>0.3595440729483283</v>
      </c>
      <c r="P79" s="27">
        <f t="shared" si="2"/>
        <v>0.3595440729483283</v>
      </c>
      <c r="Q79" s="27">
        <f t="shared" si="2"/>
        <v>0.3595440729483283</v>
      </c>
      <c r="R79" s="27">
        <f t="shared" si="2"/>
        <v>0.3595440729483283</v>
      </c>
      <c r="S79" s="27">
        <f t="shared" si="2"/>
        <v>0.3595440729483283</v>
      </c>
      <c r="T79" s="27">
        <f t="shared" si="2"/>
        <v>0.3595440729483283</v>
      </c>
      <c r="U79" s="27">
        <f t="shared" si="2"/>
        <v>0.3595440729483283</v>
      </c>
      <c r="V79" s="27">
        <f t="shared" si="2"/>
        <v>0.3595440729483283</v>
      </c>
      <c r="W79" s="27">
        <f t="shared" si="2"/>
        <v>0.3595440729483283</v>
      </c>
      <c r="X79" s="27">
        <f t="shared" si="2"/>
        <v>0.3595440729483283</v>
      </c>
      <c r="Y79" s="27">
        <f t="shared" si="2"/>
        <v>0.3595440729483283</v>
      </c>
      <c r="Z79" s="27">
        <f t="shared" si="2"/>
        <v>0.3595440729483283</v>
      </c>
      <c r="AA79" s="27">
        <f t="shared" si="2"/>
        <v>0.3595440729483283</v>
      </c>
      <c r="AB79" s="27">
        <f t="shared" si="2"/>
        <v>0.3595440729483283</v>
      </c>
      <c r="AC79" s="27">
        <f t="shared" si="2"/>
        <v>0.3595440729483283</v>
      </c>
      <c r="AD79" s="27">
        <f t="shared" si="2"/>
        <v>0.3595440729483283</v>
      </c>
      <c r="AE79" s="23"/>
      <c r="AF79" s="23"/>
      <c r="AG79" s="23"/>
      <c r="AH79" s="23"/>
      <c r="AI79" s="23"/>
      <c r="AJ79" s="23"/>
    </row>
    <row r="80" spans="1:36" ht="12.75" x14ac:dyDescent="0.2">
      <c r="A80" s="5" t="s">
        <v>44</v>
      </c>
      <c r="B80" s="27">
        <f>B79/B78</f>
        <v>0.42272036474164126</v>
      </c>
      <c r="C80" s="27">
        <f t="shared" ref="C80:AD80" si="3">C79/C78</f>
        <v>0.50207700101317121</v>
      </c>
      <c r="D80" s="27">
        <f t="shared" si="3"/>
        <v>0.5814336372847011</v>
      </c>
      <c r="E80" s="27">
        <f t="shared" si="3"/>
        <v>0.66079027355623099</v>
      </c>
      <c r="F80" s="27">
        <f t="shared" si="3"/>
        <v>0.65790836429134303</v>
      </c>
      <c r="G80" s="27">
        <f t="shared" si="3"/>
        <v>0.65560283687943266</v>
      </c>
      <c r="H80" s="27">
        <f t="shared" si="3"/>
        <v>0.65371649626968775</v>
      </c>
      <c r="I80" s="27">
        <f t="shared" si="3"/>
        <v>0.65371649626968775</v>
      </c>
      <c r="J80" s="27">
        <f t="shared" si="3"/>
        <v>0.65371649626968775</v>
      </c>
      <c r="K80" s="27">
        <f t="shared" si="3"/>
        <v>0.65371649626968775</v>
      </c>
      <c r="L80" s="27">
        <f t="shared" si="3"/>
        <v>0.65371649626968775</v>
      </c>
      <c r="M80" s="27">
        <f t="shared" si="3"/>
        <v>0.65371649626968775</v>
      </c>
      <c r="N80" s="27">
        <f t="shared" si="3"/>
        <v>0.65371649626968775</v>
      </c>
      <c r="O80" s="27">
        <f t="shared" si="3"/>
        <v>0.65371649626968775</v>
      </c>
      <c r="P80" s="27">
        <f t="shared" si="3"/>
        <v>0.65371649626968775</v>
      </c>
      <c r="Q80" s="27">
        <f t="shared" si="3"/>
        <v>0.65371649626968775</v>
      </c>
      <c r="R80" s="27">
        <f t="shared" si="3"/>
        <v>0.65371649626968775</v>
      </c>
      <c r="S80" s="27">
        <f t="shared" si="3"/>
        <v>0.65371649626968775</v>
      </c>
      <c r="T80" s="27">
        <f t="shared" si="3"/>
        <v>0.65371649626968775</v>
      </c>
      <c r="U80" s="27">
        <f t="shared" si="3"/>
        <v>0.65371649626968775</v>
      </c>
      <c r="V80" s="27">
        <f t="shared" si="3"/>
        <v>0.65371649626968775</v>
      </c>
      <c r="W80" s="27">
        <f t="shared" si="3"/>
        <v>0.65371649626968775</v>
      </c>
      <c r="X80" s="27">
        <f t="shared" si="3"/>
        <v>0.65371649626968775</v>
      </c>
      <c r="Y80" s="27">
        <f t="shared" si="3"/>
        <v>0.65371649626968775</v>
      </c>
      <c r="Z80" s="27">
        <f t="shared" si="3"/>
        <v>0.65371649626968775</v>
      </c>
      <c r="AA80" s="27">
        <f t="shared" si="3"/>
        <v>0.65371649626968775</v>
      </c>
      <c r="AB80" s="27">
        <f t="shared" si="3"/>
        <v>0.65371649626968775</v>
      </c>
      <c r="AC80" s="27">
        <f t="shared" si="3"/>
        <v>0.65371649626968775</v>
      </c>
      <c r="AD80" s="27">
        <f t="shared" si="3"/>
        <v>0.65371649626968775</v>
      </c>
      <c r="AE80" s="5"/>
      <c r="AF80" s="5"/>
      <c r="AG80" s="5"/>
      <c r="AH80" s="5"/>
      <c r="AI80" s="5"/>
      <c r="AJ80" s="5"/>
    </row>
    <row r="81" spans="1:36" ht="12.75" x14ac:dyDescent="0.2">
      <c r="A81" s="11"/>
      <c r="B81" s="27"/>
      <c r="C81" s="27"/>
      <c r="D81" s="27"/>
      <c r="E81" s="27"/>
      <c r="F81" s="27"/>
      <c r="G81" s="27"/>
      <c r="H81" s="27"/>
      <c r="I81" s="27"/>
      <c r="J81" s="27"/>
      <c r="K81" s="27"/>
      <c r="L81" s="27"/>
      <c r="M81" s="27"/>
      <c r="N81" s="27"/>
      <c r="O81" s="27"/>
      <c r="P81" s="27"/>
      <c r="Q81" s="27"/>
      <c r="R81" s="27"/>
      <c r="S81" s="27"/>
      <c r="T81" s="27"/>
      <c r="U81" s="27"/>
      <c r="V81" s="27"/>
      <c r="W81" s="27"/>
      <c r="X81" s="27"/>
      <c r="Y81" s="27"/>
      <c r="Z81" s="27"/>
      <c r="AA81" s="27"/>
      <c r="AB81" s="27"/>
      <c r="AC81" s="27"/>
      <c r="AD81" s="27"/>
      <c r="AE81" s="13"/>
      <c r="AF81" s="13"/>
      <c r="AG81" s="13"/>
      <c r="AH81" s="13"/>
      <c r="AI81" s="13"/>
      <c r="AJ81" s="13"/>
    </row>
    <row r="82" spans="1:36" s="29" customFormat="1" ht="25.5" x14ac:dyDescent="0.2">
      <c r="A82" s="7" t="s">
        <v>45</v>
      </c>
      <c r="B82" s="28">
        <v>1</v>
      </c>
      <c r="C82" s="28">
        <v>1</v>
      </c>
      <c r="D82" s="28">
        <v>1</v>
      </c>
      <c r="E82" s="28">
        <v>1</v>
      </c>
      <c r="F82" s="28">
        <v>1</v>
      </c>
      <c r="G82" s="28">
        <v>1</v>
      </c>
      <c r="H82" s="28">
        <v>1</v>
      </c>
      <c r="I82" s="28">
        <v>1</v>
      </c>
      <c r="J82" s="28">
        <v>1</v>
      </c>
      <c r="K82" s="28">
        <v>1</v>
      </c>
      <c r="L82" s="28">
        <v>1</v>
      </c>
      <c r="M82" s="28">
        <v>1</v>
      </c>
      <c r="N82" s="28">
        <v>1</v>
      </c>
      <c r="O82" s="28">
        <v>1</v>
      </c>
      <c r="P82" s="28">
        <v>1</v>
      </c>
      <c r="Q82" s="28">
        <v>1</v>
      </c>
      <c r="R82" s="28">
        <v>1</v>
      </c>
      <c r="S82" s="28">
        <v>1</v>
      </c>
      <c r="T82" s="28">
        <v>1</v>
      </c>
      <c r="U82" s="28">
        <v>1</v>
      </c>
      <c r="V82" s="28">
        <v>1</v>
      </c>
      <c r="W82" s="28">
        <v>1</v>
      </c>
      <c r="X82" s="28">
        <v>1</v>
      </c>
      <c r="Y82" s="28">
        <v>1</v>
      </c>
      <c r="Z82" s="28">
        <v>1</v>
      </c>
      <c r="AA82" s="28">
        <v>1</v>
      </c>
      <c r="AB82" s="28">
        <v>1</v>
      </c>
      <c r="AC82" s="28">
        <v>1</v>
      </c>
      <c r="AD82" s="28">
        <v>1</v>
      </c>
      <c r="AE82" s="15"/>
      <c r="AF82" s="15"/>
      <c r="AG82" s="15"/>
      <c r="AH82" s="15"/>
      <c r="AI82" s="15"/>
      <c r="AJ82" s="15"/>
    </row>
    <row r="83" spans="1:36" ht="12.75" x14ac:dyDescent="0.2">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c r="AA83" s="13"/>
      <c r="AB83" s="13"/>
      <c r="AC83" s="13"/>
      <c r="AD83" s="13"/>
      <c r="AE83" s="13"/>
      <c r="AF83" s="13"/>
      <c r="AG83" s="13"/>
      <c r="AH83" s="13"/>
      <c r="AI83" s="13"/>
      <c r="AJ83" s="13"/>
    </row>
    <row r="84" spans="1:36" ht="12.75" x14ac:dyDescent="0.2">
      <c r="A84" s="9" t="s">
        <v>1</v>
      </c>
      <c r="B84" s="10"/>
      <c r="C84" s="10"/>
      <c r="D84" s="10"/>
      <c r="E84" s="10"/>
      <c r="F84" s="10"/>
      <c r="G84" s="10"/>
      <c r="H84" s="10"/>
      <c r="I84" s="10"/>
      <c r="J84" s="10"/>
      <c r="K84" s="10"/>
      <c r="L84" s="10"/>
      <c r="M84" s="10"/>
      <c r="N84" s="10"/>
      <c r="O84" s="10"/>
      <c r="P84" s="10"/>
      <c r="Q84" s="10"/>
      <c r="R84" s="10"/>
      <c r="S84" s="10"/>
      <c r="T84" s="10"/>
      <c r="U84" s="10"/>
      <c r="V84" s="10"/>
      <c r="W84" s="10"/>
      <c r="X84" s="10"/>
      <c r="Y84" s="10"/>
      <c r="Z84" s="10"/>
      <c r="AA84" s="10"/>
      <c r="AB84" s="10"/>
      <c r="AC84" s="10"/>
      <c r="AD84" s="10"/>
      <c r="AE84" s="10"/>
      <c r="AF84" s="10"/>
      <c r="AG84" s="10"/>
      <c r="AH84" s="10"/>
      <c r="AI84" s="10"/>
      <c r="AJ84" s="10"/>
    </row>
    <row r="85" spans="1:36" ht="12.75" x14ac:dyDescent="0.2">
      <c r="A85" s="11" t="s">
        <v>46</v>
      </c>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c r="AG85" s="5"/>
      <c r="AH85" s="5"/>
      <c r="AI85" s="5"/>
      <c r="AJ85" s="5"/>
    </row>
    <row r="86" spans="1:36" ht="12.75" x14ac:dyDescent="0.2">
      <c r="A86" s="11" t="s">
        <v>47</v>
      </c>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row>
    <row r="87" spans="1:36" ht="12.75" x14ac:dyDescent="0.2">
      <c r="A87" s="11" t="s">
        <v>48</v>
      </c>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row>
    <row r="88" spans="1:36" ht="12.75" x14ac:dyDescent="0.2">
      <c r="A88" s="11" t="s">
        <v>79</v>
      </c>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row>
    <row r="89" spans="1:36" ht="12.75" x14ac:dyDescent="0.2">
      <c r="A89" s="11" t="s">
        <v>80</v>
      </c>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row>
    <row r="90" spans="1:36" ht="12.75" x14ac:dyDescent="0.2">
      <c r="A90" s="5"/>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row>
    <row r="91" spans="1:36" ht="12.75" x14ac:dyDescent="0.2">
      <c r="A91" s="9" t="s">
        <v>81</v>
      </c>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row>
    <row r="92" spans="1:36" ht="12.75" x14ac:dyDescent="0.2">
      <c r="A92" s="30"/>
      <c r="B92" s="30"/>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row>
    <row r="93" spans="1:36" ht="12.75" x14ac:dyDescent="0.2">
      <c r="A93" s="30" t="s">
        <v>82</v>
      </c>
      <c r="B93" s="43">
        <v>3</v>
      </c>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row>
    <row r="94" spans="1:36" ht="12.75" x14ac:dyDescent="0.2">
      <c r="A94" s="30" t="s">
        <v>83</v>
      </c>
      <c r="B94" s="43">
        <v>15</v>
      </c>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row>
    <row r="95" spans="1:36" ht="12.75" x14ac:dyDescent="0.2">
      <c r="A95" s="30" t="s">
        <v>84</v>
      </c>
      <c r="B95" s="5">
        <v>1.6687000000000001</v>
      </c>
      <c r="C95" s="44" t="s">
        <v>85</v>
      </c>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row>
    <row r="96" spans="1:36" ht="12.75" x14ac:dyDescent="0.2">
      <c r="A96" s="30" t="s">
        <v>86</v>
      </c>
      <c r="B96" s="45">
        <v>0.88711067149387013</v>
      </c>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row>
    <row r="97" spans="1:36" ht="17.25" x14ac:dyDescent="0.4">
      <c r="A97" s="30" t="s">
        <v>87</v>
      </c>
      <c r="B97" s="46">
        <v>10</v>
      </c>
      <c r="C97" s="5"/>
      <c r="D97" s="5"/>
      <c r="E97" s="47"/>
      <c r="F97" s="5"/>
      <c r="G97" s="5"/>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row>
    <row r="98" spans="1:36" ht="17.25" x14ac:dyDescent="0.4">
      <c r="A98" s="30"/>
      <c r="B98" s="46"/>
      <c r="C98" s="5"/>
      <c r="D98" s="5"/>
      <c r="E98" s="47"/>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row>
    <row r="99" spans="1:36" ht="12.75" x14ac:dyDescent="0.2">
      <c r="A99" s="30" t="s">
        <v>88</v>
      </c>
      <c r="B99" s="48">
        <f>B93*B95*B96</f>
        <v>4.4409647325654635</v>
      </c>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row>
    <row r="100" spans="1:36" ht="12.75" x14ac:dyDescent="0.2">
      <c r="A100" s="30" t="s">
        <v>89</v>
      </c>
      <c r="B100" s="48">
        <f>B94*B95*B96</f>
        <v>22.204823662827316</v>
      </c>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row>
    <row r="101" spans="1:36" ht="12.75" x14ac:dyDescent="0.2">
      <c r="A101" s="30" t="s">
        <v>49</v>
      </c>
      <c r="B101" s="31">
        <v>0.02</v>
      </c>
      <c r="C101" s="5"/>
      <c r="D101" s="5"/>
      <c r="E101" s="5"/>
      <c r="F101" s="5"/>
      <c r="G101" s="5"/>
      <c r="H101" s="5"/>
      <c r="I101" s="5"/>
      <c r="J101" s="5"/>
      <c r="K101" s="5"/>
      <c r="L101" s="5"/>
      <c r="M101" s="5"/>
      <c r="N101" s="5"/>
      <c r="O101" s="5"/>
      <c r="P101" s="5"/>
      <c r="Q101" s="5"/>
      <c r="R101" s="5"/>
      <c r="S101" s="5"/>
      <c r="T101" s="5"/>
      <c r="U101" s="5"/>
      <c r="V101" s="5"/>
      <c r="W101" s="5"/>
      <c r="X101" s="5"/>
      <c r="Y101" s="5"/>
      <c r="Z101" s="5"/>
      <c r="AA101" s="5"/>
      <c r="AB101" s="5"/>
      <c r="AC101" s="5"/>
      <c r="AD101" s="5"/>
      <c r="AE101" s="5"/>
      <c r="AF101" s="5"/>
      <c r="AG101" s="5"/>
      <c r="AH101" s="5"/>
      <c r="AI101" s="5"/>
      <c r="AJ101" s="5"/>
    </row>
    <row r="102" spans="1:36" ht="17.25" x14ac:dyDescent="0.4">
      <c r="A102" s="30" t="s">
        <v>50</v>
      </c>
      <c r="B102" s="31">
        <v>0.1</v>
      </c>
      <c r="C102" s="5"/>
      <c r="D102" s="5"/>
      <c r="E102" s="49"/>
      <c r="F102" s="5"/>
      <c r="G102" s="5"/>
      <c r="H102" s="5"/>
      <c r="I102" s="5"/>
      <c r="J102" s="5"/>
      <c r="K102" s="5"/>
      <c r="L102" s="5"/>
      <c r="M102" s="5"/>
      <c r="N102" s="5"/>
      <c r="O102" s="5"/>
      <c r="P102" s="5"/>
      <c r="Q102" s="5"/>
      <c r="R102" s="5"/>
      <c r="S102" s="5"/>
      <c r="T102" s="5"/>
      <c r="U102" s="5"/>
      <c r="V102" s="5"/>
      <c r="W102" s="5"/>
      <c r="X102" s="5"/>
      <c r="Y102" s="5"/>
      <c r="Z102" s="5"/>
      <c r="AA102" s="5"/>
      <c r="AB102" s="5"/>
      <c r="AC102" s="5"/>
      <c r="AD102" s="5"/>
      <c r="AE102" s="5"/>
      <c r="AF102" s="5"/>
      <c r="AG102" s="5"/>
      <c r="AH102" s="5"/>
      <c r="AI102" s="5"/>
      <c r="AJ102" s="5"/>
    </row>
    <row r="103" spans="1:36" ht="12.75" x14ac:dyDescent="0.2">
      <c r="A103" s="30" t="s">
        <v>90</v>
      </c>
      <c r="B103" s="31">
        <v>0</v>
      </c>
      <c r="C103" s="5" t="s">
        <v>91</v>
      </c>
      <c r="D103" s="5"/>
      <c r="E103" s="5"/>
      <c r="F103" s="5"/>
      <c r="G103" s="5"/>
      <c r="H103" s="5"/>
      <c r="I103" s="5"/>
      <c r="J103" s="5"/>
      <c r="K103" s="5"/>
      <c r="L103" s="5"/>
      <c r="M103" s="5"/>
      <c r="N103" s="5"/>
      <c r="O103" s="5"/>
      <c r="P103" s="5"/>
      <c r="Q103" s="5"/>
      <c r="R103" s="5"/>
      <c r="S103" s="5"/>
      <c r="T103" s="5"/>
      <c r="U103" s="5"/>
      <c r="V103" s="5"/>
      <c r="W103" s="5"/>
      <c r="X103" s="5"/>
      <c r="Y103" s="5"/>
      <c r="Z103" s="5"/>
      <c r="AA103" s="5"/>
      <c r="AB103" s="5"/>
      <c r="AC103" s="5"/>
      <c r="AD103" s="5"/>
      <c r="AE103" s="5"/>
      <c r="AF103" s="5"/>
      <c r="AG103" s="5"/>
      <c r="AH103" s="5"/>
      <c r="AI103" s="5"/>
      <c r="AJ103" s="5"/>
    </row>
    <row r="104" spans="1:36" ht="12.75" x14ac:dyDescent="0.2">
      <c r="A104" s="30" t="s">
        <v>51</v>
      </c>
      <c r="B104" s="50">
        <v>7.4999999999999997E-2</v>
      </c>
      <c r="C104" s="5" t="s">
        <v>92</v>
      </c>
      <c r="D104" s="5"/>
      <c r="E104" s="5"/>
      <c r="F104" s="5"/>
      <c r="G104" s="5"/>
      <c r="H104" s="5"/>
      <c r="I104" s="5"/>
      <c r="J104" s="5"/>
      <c r="K104" s="5"/>
      <c r="L104" s="5"/>
      <c r="M104" s="5"/>
      <c r="N104" s="5"/>
      <c r="O104" s="5"/>
      <c r="P104" s="5"/>
      <c r="Q104" s="5"/>
      <c r="R104" s="5"/>
      <c r="S104" s="5"/>
      <c r="T104" s="5"/>
      <c r="U104" s="5"/>
      <c r="V104" s="5"/>
      <c r="W104" s="5"/>
      <c r="X104" s="5"/>
      <c r="Y104" s="5"/>
      <c r="Z104" s="5"/>
      <c r="AA104" s="5"/>
      <c r="AB104" s="5"/>
      <c r="AC104" s="5"/>
      <c r="AD104" s="5"/>
      <c r="AE104" s="5"/>
      <c r="AF104" s="5"/>
      <c r="AG104" s="5"/>
      <c r="AH104" s="5"/>
      <c r="AI104" s="5"/>
      <c r="AJ104" s="5"/>
    </row>
    <row r="105" spans="1:36" ht="12.75" x14ac:dyDescent="0.2">
      <c r="A105" s="30" t="s">
        <v>52</v>
      </c>
      <c r="B105" s="31">
        <v>0.1</v>
      </c>
      <c r="C105" s="5"/>
      <c r="D105" s="5"/>
      <c r="E105" s="5"/>
      <c r="F105" s="5"/>
      <c r="G105" s="5"/>
      <c r="H105" s="5"/>
      <c r="I105" s="5"/>
      <c r="J105" s="5"/>
      <c r="K105" s="5"/>
      <c r="L105" s="5"/>
      <c r="M105" s="5"/>
      <c r="N105" s="5"/>
      <c r="O105" s="5"/>
      <c r="P105" s="5"/>
      <c r="Q105" s="5"/>
      <c r="R105" s="5"/>
      <c r="S105" s="5"/>
      <c r="T105" s="5"/>
      <c r="U105" s="5"/>
      <c r="V105" s="5"/>
      <c r="W105" s="5"/>
      <c r="X105" s="5"/>
      <c r="Y105" s="5"/>
      <c r="Z105" s="5"/>
      <c r="AA105" s="5"/>
      <c r="AB105" s="5"/>
      <c r="AC105" s="5"/>
      <c r="AD105" s="5"/>
      <c r="AE105" s="5"/>
      <c r="AF105" s="5"/>
      <c r="AG105" s="5"/>
      <c r="AH105" s="5"/>
      <c r="AI105" s="5"/>
      <c r="AJ105" s="5"/>
    </row>
    <row r="106" spans="1:36" ht="12.75" x14ac:dyDescent="0.2">
      <c r="A106" s="30" t="s">
        <v>53</v>
      </c>
      <c r="B106" s="31">
        <v>0.5</v>
      </c>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c r="AH106" s="5"/>
      <c r="AI106" s="5"/>
      <c r="AJ106" s="5"/>
    </row>
    <row r="107" spans="1:36" ht="12.75" x14ac:dyDescent="0.2">
      <c r="A107" s="30"/>
      <c r="B107" s="30"/>
      <c r="C107" s="5"/>
      <c r="D107" s="5"/>
      <c r="E107" s="5"/>
      <c r="F107" s="5"/>
      <c r="G107" s="5"/>
      <c r="H107" s="5"/>
      <c r="I107" s="5"/>
      <c r="J107" s="5"/>
      <c r="K107" s="5"/>
      <c r="L107" s="5"/>
      <c r="M107" s="5"/>
      <c r="N107" s="5"/>
      <c r="O107" s="5"/>
      <c r="P107" s="5"/>
      <c r="Q107" s="5"/>
      <c r="R107" s="5"/>
      <c r="S107" s="5"/>
      <c r="T107" s="5"/>
      <c r="U107" s="5"/>
      <c r="V107" s="5"/>
      <c r="W107" s="5"/>
      <c r="X107" s="5"/>
      <c r="Y107" s="5"/>
      <c r="Z107" s="5"/>
      <c r="AA107" s="5"/>
      <c r="AB107" s="5"/>
      <c r="AC107" s="5"/>
      <c r="AD107" s="5"/>
      <c r="AE107" s="5"/>
      <c r="AF107" s="5"/>
      <c r="AG107" s="5"/>
      <c r="AH107" s="5"/>
      <c r="AI107" s="5"/>
      <c r="AJ107" s="5"/>
    </row>
    <row r="108" spans="1:36" s="35" customFormat="1" ht="12.75" x14ac:dyDescent="0.2">
      <c r="A108" s="32" t="s">
        <v>93</v>
      </c>
      <c r="B108" s="33"/>
      <c r="C108" s="34"/>
      <c r="D108" s="34"/>
      <c r="E108" s="34"/>
      <c r="F108" s="34"/>
      <c r="G108" s="34"/>
      <c r="H108" s="34"/>
      <c r="I108" s="34"/>
      <c r="J108" s="34"/>
      <c r="K108" s="34"/>
      <c r="L108" s="34"/>
      <c r="M108" s="34"/>
      <c r="N108" s="34"/>
      <c r="O108" s="34"/>
      <c r="P108" s="34"/>
      <c r="Q108" s="34"/>
      <c r="R108" s="34"/>
      <c r="S108" s="34"/>
      <c r="T108" s="34"/>
      <c r="U108" s="34"/>
      <c r="V108" s="34"/>
      <c r="W108" s="34"/>
      <c r="X108" s="34"/>
      <c r="Y108" s="34"/>
      <c r="Z108" s="34"/>
      <c r="AA108" s="34"/>
      <c r="AB108" s="34"/>
      <c r="AC108" s="34"/>
      <c r="AD108" s="34"/>
      <c r="AE108" s="34"/>
      <c r="AF108" s="34"/>
      <c r="AG108" s="34"/>
      <c r="AH108" s="34"/>
      <c r="AI108" s="34"/>
      <c r="AJ108" s="34"/>
    </row>
    <row r="109" spans="1:36" ht="12.75" x14ac:dyDescent="0.2">
      <c r="A109" s="51"/>
      <c r="B109" s="30" t="s">
        <v>94</v>
      </c>
      <c r="C109" s="5" t="s">
        <v>95</v>
      </c>
      <c r="D109" s="5"/>
      <c r="E109" s="5"/>
      <c r="F109" s="5"/>
      <c r="G109" s="5"/>
      <c r="H109" s="5"/>
      <c r="I109" s="5"/>
      <c r="J109" s="5"/>
      <c r="K109" s="5"/>
      <c r="L109" s="5"/>
      <c r="M109" s="5"/>
      <c r="N109" s="5"/>
      <c r="O109" s="5"/>
      <c r="P109" s="5"/>
      <c r="Q109" s="5"/>
      <c r="R109" s="5"/>
      <c r="S109" s="5"/>
      <c r="T109" s="5"/>
      <c r="U109" s="5"/>
      <c r="V109" s="5"/>
      <c r="W109" s="5"/>
      <c r="X109" s="5"/>
      <c r="Y109" s="5"/>
      <c r="Z109" s="5"/>
      <c r="AA109" s="5"/>
      <c r="AB109" s="5"/>
      <c r="AC109" s="5"/>
      <c r="AD109" s="5"/>
      <c r="AE109" s="5"/>
      <c r="AF109" s="5"/>
      <c r="AG109" s="5"/>
      <c r="AH109" s="5"/>
      <c r="AI109" s="5"/>
      <c r="AJ109" s="5"/>
    </row>
    <row r="110" spans="1:36" ht="12.75" x14ac:dyDescent="0.2">
      <c r="A110" s="51" t="s">
        <v>96</v>
      </c>
      <c r="B110" s="30">
        <v>3</v>
      </c>
      <c r="C110" s="5">
        <v>1</v>
      </c>
      <c r="D110" s="5"/>
      <c r="E110" s="5"/>
      <c r="F110" s="5"/>
      <c r="G110" s="5"/>
      <c r="H110" s="5"/>
      <c r="I110" s="5"/>
      <c r="J110" s="5"/>
      <c r="K110" s="5"/>
      <c r="L110" s="5"/>
      <c r="M110" s="5"/>
      <c r="N110" s="5"/>
      <c r="O110" s="5"/>
      <c r="P110" s="5"/>
      <c r="Q110" s="5"/>
      <c r="R110" s="5"/>
      <c r="S110" s="5"/>
      <c r="T110" s="5"/>
      <c r="U110" s="5"/>
      <c r="V110" s="5"/>
      <c r="W110" s="5"/>
      <c r="X110" s="5"/>
      <c r="Y110" s="5"/>
      <c r="Z110" s="5"/>
      <c r="AA110" s="5"/>
      <c r="AB110" s="5"/>
      <c r="AC110" s="5"/>
      <c r="AD110" s="5"/>
      <c r="AE110" s="5"/>
      <c r="AF110" s="5"/>
      <c r="AG110" s="5"/>
      <c r="AH110" s="5"/>
      <c r="AI110" s="5"/>
      <c r="AJ110" s="5"/>
    </row>
    <row r="111" spans="1:36" ht="12.75" x14ac:dyDescent="0.2">
      <c r="A111" s="51"/>
      <c r="B111" s="30"/>
      <c r="C111" s="5"/>
      <c r="D111" s="5"/>
      <c r="E111" s="5"/>
      <c r="F111" s="5"/>
      <c r="G111" s="5"/>
      <c r="H111" s="5"/>
      <c r="I111" s="5"/>
      <c r="J111" s="5"/>
      <c r="K111" s="5"/>
      <c r="L111" s="5"/>
      <c r="M111" s="5"/>
      <c r="N111" s="5"/>
      <c r="O111" s="5"/>
      <c r="P111" s="5"/>
      <c r="Q111" s="5"/>
      <c r="R111" s="5"/>
      <c r="S111" s="5"/>
      <c r="T111" s="5"/>
      <c r="U111" s="5"/>
      <c r="V111" s="5"/>
      <c r="W111" s="5"/>
      <c r="X111" s="5"/>
      <c r="Y111" s="5"/>
      <c r="Z111" s="5"/>
      <c r="AA111" s="5"/>
      <c r="AB111" s="5"/>
      <c r="AC111" s="5"/>
      <c r="AD111" s="5"/>
      <c r="AE111" s="5"/>
      <c r="AF111" s="5"/>
      <c r="AG111" s="5"/>
      <c r="AH111" s="5"/>
      <c r="AI111" s="5"/>
      <c r="AJ111" s="5"/>
    </row>
    <row r="112" spans="1:36" ht="12.75" x14ac:dyDescent="0.2">
      <c r="A112" s="30"/>
      <c r="B112" s="30">
        <v>2023</v>
      </c>
      <c r="C112" s="30">
        <v>2024</v>
      </c>
      <c r="D112" s="30">
        <v>2025</v>
      </c>
      <c r="E112" s="30">
        <v>2026</v>
      </c>
      <c r="F112" s="30">
        <v>2027</v>
      </c>
      <c r="G112" s="30">
        <v>2028</v>
      </c>
      <c r="H112" s="30">
        <v>2029</v>
      </c>
      <c r="I112" s="30">
        <v>2030</v>
      </c>
      <c r="J112" s="30">
        <v>2031</v>
      </c>
      <c r="K112" s="30">
        <v>2032</v>
      </c>
      <c r="L112" s="30">
        <v>2033</v>
      </c>
      <c r="M112" s="30">
        <v>2034</v>
      </c>
      <c r="N112" s="30">
        <v>2035</v>
      </c>
      <c r="O112" s="30">
        <v>2036</v>
      </c>
      <c r="P112" s="30">
        <v>2037</v>
      </c>
      <c r="Q112" s="30">
        <v>2038</v>
      </c>
      <c r="R112" s="30">
        <v>2039</v>
      </c>
      <c r="S112" s="30">
        <v>2040</v>
      </c>
      <c r="T112" s="30">
        <v>2041</v>
      </c>
      <c r="U112" s="30">
        <v>2042</v>
      </c>
      <c r="V112" s="30">
        <v>2043</v>
      </c>
      <c r="W112" s="30">
        <v>2044</v>
      </c>
      <c r="X112" s="30">
        <v>2045</v>
      </c>
      <c r="Y112" s="30">
        <v>2046</v>
      </c>
      <c r="Z112" s="30">
        <v>2047</v>
      </c>
      <c r="AA112" s="30">
        <v>2048</v>
      </c>
      <c r="AB112" s="30">
        <v>2049</v>
      </c>
      <c r="AC112" s="30">
        <v>2050</v>
      </c>
      <c r="AD112" s="30"/>
      <c r="AE112" s="5"/>
      <c r="AF112" s="5"/>
      <c r="AG112" s="5"/>
      <c r="AH112" s="5"/>
      <c r="AI112" s="5"/>
    </row>
    <row r="113" spans="1:36" ht="12.75" x14ac:dyDescent="0.2">
      <c r="A113" s="30" t="s">
        <v>97</v>
      </c>
      <c r="B113" s="36">
        <f t="shared" ref="B113:AC113" si="4">INDEX(17:17,MATCH(B112-$B$110,16:16,0))</f>
        <v>1</v>
      </c>
      <c r="C113" s="36">
        <f t="shared" si="4"/>
        <v>1</v>
      </c>
      <c r="D113" s="36">
        <f t="shared" si="4"/>
        <v>1</v>
      </c>
      <c r="E113" s="36">
        <f t="shared" si="4"/>
        <v>1</v>
      </c>
      <c r="F113" s="36">
        <f t="shared" si="4"/>
        <v>1</v>
      </c>
      <c r="G113" s="36">
        <f t="shared" si="4"/>
        <v>1</v>
      </c>
      <c r="H113" s="36">
        <f t="shared" si="4"/>
        <v>1</v>
      </c>
      <c r="I113" s="36">
        <f t="shared" si="4"/>
        <v>1</v>
      </c>
      <c r="J113" s="36">
        <f t="shared" si="4"/>
        <v>1</v>
      </c>
      <c r="K113" s="36">
        <f t="shared" si="4"/>
        <v>1</v>
      </c>
      <c r="L113" s="36">
        <f t="shared" si="4"/>
        <v>1</v>
      </c>
      <c r="M113" s="36">
        <f t="shared" si="4"/>
        <v>1</v>
      </c>
      <c r="N113" s="36">
        <f t="shared" si="4"/>
        <v>1</v>
      </c>
      <c r="O113" s="36">
        <f t="shared" si="4"/>
        <v>1</v>
      </c>
      <c r="P113" s="36">
        <f t="shared" si="4"/>
        <v>1</v>
      </c>
      <c r="Q113" s="36">
        <f t="shared" si="4"/>
        <v>1</v>
      </c>
      <c r="R113" s="36">
        <f t="shared" si="4"/>
        <v>1</v>
      </c>
      <c r="S113" s="36">
        <f t="shared" si="4"/>
        <v>0.75</v>
      </c>
      <c r="T113" s="36">
        <f t="shared" si="4"/>
        <v>0.5</v>
      </c>
      <c r="U113" s="36">
        <f t="shared" si="4"/>
        <v>0</v>
      </c>
      <c r="V113" s="36">
        <f t="shared" si="4"/>
        <v>0</v>
      </c>
      <c r="W113" s="36">
        <f t="shared" si="4"/>
        <v>0</v>
      </c>
      <c r="X113" s="36">
        <f t="shared" si="4"/>
        <v>0</v>
      </c>
      <c r="Y113" s="36">
        <f t="shared" si="4"/>
        <v>0</v>
      </c>
      <c r="Z113" s="36">
        <f t="shared" si="4"/>
        <v>0</v>
      </c>
      <c r="AA113" s="36">
        <f t="shared" si="4"/>
        <v>0</v>
      </c>
      <c r="AB113" s="36">
        <f t="shared" si="4"/>
        <v>0</v>
      </c>
      <c r="AC113" s="36">
        <f t="shared" si="4"/>
        <v>0</v>
      </c>
      <c r="AD113" s="36"/>
      <c r="AE113" s="36"/>
      <c r="AF113" s="36"/>
      <c r="AG113" s="5"/>
      <c r="AH113" s="5"/>
      <c r="AI113" s="5"/>
    </row>
    <row r="114" spans="1:36" ht="12.75" x14ac:dyDescent="0.2">
      <c r="A114" s="30" t="s">
        <v>98</v>
      </c>
      <c r="B114" s="36">
        <f>INDEX(17:17,MATCH(B112-$C$110,16:16,0))</f>
        <v>1</v>
      </c>
      <c r="C114" s="36">
        <f t="shared" ref="C114:AC114" si="5">INDEX(17:17,MATCH(C112-$C$110,16:16,0))</f>
        <v>1</v>
      </c>
      <c r="D114" s="36">
        <f t="shared" si="5"/>
        <v>1</v>
      </c>
      <c r="E114" s="36">
        <f t="shared" si="5"/>
        <v>1</v>
      </c>
      <c r="F114" s="36">
        <f t="shared" si="5"/>
        <v>1</v>
      </c>
      <c r="G114" s="36">
        <f t="shared" si="5"/>
        <v>1</v>
      </c>
      <c r="H114" s="36">
        <f t="shared" si="5"/>
        <v>1</v>
      </c>
      <c r="I114" s="36">
        <f t="shared" si="5"/>
        <v>1</v>
      </c>
      <c r="J114" s="36">
        <f t="shared" si="5"/>
        <v>1</v>
      </c>
      <c r="K114" s="36">
        <f t="shared" si="5"/>
        <v>1</v>
      </c>
      <c r="L114" s="36">
        <f t="shared" si="5"/>
        <v>1</v>
      </c>
      <c r="M114" s="36">
        <f t="shared" si="5"/>
        <v>1</v>
      </c>
      <c r="N114" s="36">
        <f t="shared" si="5"/>
        <v>1</v>
      </c>
      <c r="O114" s="36">
        <f t="shared" si="5"/>
        <v>1</v>
      </c>
      <c r="P114" s="36">
        <f t="shared" si="5"/>
        <v>1</v>
      </c>
      <c r="Q114" s="36">
        <f t="shared" si="5"/>
        <v>0.75</v>
      </c>
      <c r="R114" s="36">
        <f t="shared" si="5"/>
        <v>0.5</v>
      </c>
      <c r="S114" s="36">
        <f t="shared" si="5"/>
        <v>0</v>
      </c>
      <c r="T114" s="36">
        <f t="shared" si="5"/>
        <v>0</v>
      </c>
      <c r="U114" s="36">
        <f t="shared" si="5"/>
        <v>0</v>
      </c>
      <c r="V114" s="36">
        <f t="shared" si="5"/>
        <v>0</v>
      </c>
      <c r="W114" s="36">
        <f t="shared" si="5"/>
        <v>0</v>
      </c>
      <c r="X114" s="36">
        <f t="shared" si="5"/>
        <v>0</v>
      </c>
      <c r="Y114" s="36">
        <f t="shared" si="5"/>
        <v>0</v>
      </c>
      <c r="Z114" s="36">
        <f t="shared" si="5"/>
        <v>0</v>
      </c>
      <c r="AA114" s="36">
        <f t="shared" si="5"/>
        <v>0</v>
      </c>
      <c r="AB114" s="36">
        <f t="shared" si="5"/>
        <v>0</v>
      </c>
      <c r="AC114" s="36">
        <f t="shared" si="5"/>
        <v>0</v>
      </c>
      <c r="AD114" s="36"/>
      <c r="AE114" s="36"/>
      <c r="AF114" s="36"/>
      <c r="AG114" s="5"/>
      <c r="AH114" s="5"/>
      <c r="AI114" s="5"/>
    </row>
    <row r="115" spans="1:36" ht="12.75" x14ac:dyDescent="0.2">
      <c r="A115" s="30"/>
      <c r="B115" s="30"/>
      <c r="C115" s="5"/>
      <c r="D115" s="5"/>
      <c r="E115" s="5"/>
      <c r="F115" s="5"/>
      <c r="G115" s="5"/>
      <c r="H115" s="5"/>
      <c r="I115" s="5"/>
      <c r="J115" s="5"/>
      <c r="K115" s="5"/>
      <c r="L115" s="5"/>
      <c r="M115" s="5"/>
      <c r="N115" s="5"/>
      <c r="O115" s="5"/>
      <c r="P115" s="5"/>
      <c r="Q115" s="5"/>
      <c r="R115" s="5"/>
      <c r="S115" s="5"/>
      <c r="T115" s="5"/>
      <c r="U115" s="5"/>
      <c r="V115" s="5"/>
      <c r="W115" s="5"/>
      <c r="X115" s="5"/>
      <c r="Y115" s="5"/>
      <c r="Z115" s="5"/>
      <c r="AA115" s="5"/>
      <c r="AB115" s="5"/>
      <c r="AC115" s="5"/>
      <c r="AD115" s="5"/>
      <c r="AE115" s="5"/>
      <c r="AF115" s="5"/>
      <c r="AG115" s="5"/>
      <c r="AH115" s="5"/>
      <c r="AI115" s="5"/>
      <c r="AJ115" s="5"/>
    </row>
    <row r="116" spans="1:36" ht="12.75" x14ac:dyDescent="0.2">
      <c r="A116" s="30" t="s">
        <v>99</v>
      </c>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c r="AA116" s="30"/>
      <c r="AB116" s="30"/>
      <c r="AC116" s="30"/>
      <c r="AD116" s="30"/>
      <c r="AE116" s="30"/>
      <c r="AF116" s="5"/>
      <c r="AG116" s="5"/>
      <c r="AH116" s="5"/>
      <c r="AI116" s="5"/>
      <c r="AJ116" s="5"/>
    </row>
    <row r="117" spans="1:36" ht="12.75" x14ac:dyDescent="0.2">
      <c r="A117" s="30"/>
      <c r="B117" s="30">
        <v>2023</v>
      </c>
      <c r="C117" s="30">
        <v>2024</v>
      </c>
      <c r="D117" s="30">
        <v>2025</v>
      </c>
      <c r="E117" s="30">
        <v>2026</v>
      </c>
      <c r="F117" s="30">
        <v>2027</v>
      </c>
      <c r="G117" s="30">
        <v>2028</v>
      </c>
      <c r="H117" s="30">
        <v>2029</v>
      </c>
      <c r="I117" s="30">
        <v>2030</v>
      </c>
      <c r="J117" s="30">
        <v>2031</v>
      </c>
      <c r="K117" s="30">
        <v>2032</v>
      </c>
      <c r="L117" s="30">
        <v>2033</v>
      </c>
      <c r="M117" s="30">
        <v>2034</v>
      </c>
      <c r="N117" s="30">
        <v>2035</v>
      </c>
      <c r="O117" s="30">
        <v>2036</v>
      </c>
      <c r="P117" s="30">
        <v>2037</v>
      </c>
      <c r="Q117" s="30">
        <v>2038</v>
      </c>
      <c r="R117" s="30">
        <v>2039</v>
      </c>
      <c r="S117" s="30">
        <v>2040</v>
      </c>
      <c r="T117" s="30">
        <v>2041</v>
      </c>
      <c r="U117" s="30">
        <v>2042</v>
      </c>
      <c r="V117" s="30">
        <v>2043</v>
      </c>
      <c r="W117" s="30">
        <v>2044</v>
      </c>
      <c r="X117" s="30">
        <v>2045</v>
      </c>
      <c r="Y117" s="30">
        <v>2046</v>
      </c>
      <c r="Z117" s="30">
        <v>2047</v>
      </c>
      <c r="AA117" s="30">
        <v>2048</v>
      </c>
      <c r="AB117" s="30">
        <v>2049</v>
      </c>
      <c r="AC117" s="30">
        <v>2050</v>
      </c>
      <c r="AD117" s="30"/>
      <c r="AE117" s="30"/>
      <c r="AF117" s="5"/>
      <c r="AG117" s="5"/>
      <c r="AH117" s="5"/>
      <c r="AI117" s="5"/>
      <c r="AJ117" s="5"/>
    </row>
    <row r="118" spans="1:36" ht="12.75" x14ac:dyDescent="0.2">
      <c r="A118" s="30" t="s">
        <v>100</v>
      </c>
      <c r="B118" s="37">
        <f>((($B$100*C50+$B$99*(1-C50))*(1+($B$102*C82+$B$101*(1-C82))))+(($B$100*C50+$B$99*(1-C50))*$B$105*$B$106))*B113*(1-$B$104)</f>
        <v>23.620381171332561</v>
      </c>
      <c r="C118" s="37">
        <f t="shared" ref="C118:AC118" si="6">((($B$100*D50+$B$99*(1-D50))*(1+($B$102*D82+$B$101*(1-D82))))+(($B$100*D50+$B$99*(1-D50))*$B$105*$B$106))*C113*(1-$B$104)</f>
        <v>23.620381171332561</v>
      </c>
      <c r="D118" s="37">
        <f t="shared" si="6"/>
        <v>23.620381171332561</v>
      </c>
      <c r="E118" s="37">
        <f t="shared" si="6"/>
        <v>23.620381171332561</v>
      </c>
      <c r="F118" s="37">
        <f t="shared" si="6"/>
        <v>23.620381171332561</v>
      </c>
      <c r="G118" s="37">
        <f t="shared" si="6"/>
        <v>23.620381171332561</v>
      </c>
      <c r="H118" s="37">
        <f t="shared" si="6"/>
        <v>23.620381171332561</v>
      </c>
      <c r="I118" s="37">
        <f t="shared" si="6"/>
        <v>23.620381171332561</v>
      </c>
      <c r="J118" s="37">
        <f t="shared" si="6"/>
        <v>23.620381171332561</v>
      </c>
      <c r="K118" s="37">
        <f t="shared" si="6"/>
        <v>23.620381171332561</v>
      </c>
      <c r="L118" s="37">
        <f t="shared" si="6"/>
        <v>23.620381171332561</v>
      </c>
      <c r="M118" s="37">
        <f t="shared" si="6"/>
        <v>23.620381171332561</v>
      </c>
      <c r="N118" s="37">
        <f t="shared" si="6"/>
        <v>23.620381171332561</v>
      </c>
      <c r="O118" s="37">
        <f t="shared" si="6"/>
        <v>23.620381171332561</v>
      </c>
      <c r="P118" s="37">
        <f t="shared" si="6"/>
        <v>23.620381171332561</v>
      </c>
      <c r="Q118" s="37">
        <f t="shared" si="6"/>
        <v>23.620381171332561</v>
      </c>
      <c r="R118" s="37">
        <f t="shared" si="6"/>
        <v>23.620381171332561</v>
      </c>
      <c r="S118" s="37">
        <f t="shared" si="6"/>
        <v>17.715285878499422</v>
      </c>
      <c r="T118" s="37">
        <f t="shared" si="6"/>
        <v>11.81019058566628</v>
      </c>
      <c r="U118" s="37">
        <f t="shared" si="6"/>
        <v>0</v>
      </c>
      <c r="V118" s="37">
        <f t="shared" si="6"/>
        <v>0</v>
      </c>
      <c r="W118" s="37">
        <f t="shared" si="6"/>
        <v>0</v>
      </c>
      <c r="X118" s="37">
        <f t="shared" si="6"/>
        <v>0</v>
      </c>
      <c r="Y118" s="37">
        <f t="shared" si="6"/>
        <v>0</v>
      </c>
      <c r="Z118" s="37">
        <f t="shared" si="6"/>
        <v>0</v>
      </c>
      <c r="AA118" s="37">
        <f t="shared" si="6"/>
        <v>0</v>
      </c>
      <c r="AB118" s="37">
        <f t="shared" si="6"/>
        <v>0</v>
      </c>
      <c r="AC118" s="37">
        <f t="shared" si="6"/>
        <v>0</v>
      </c>
      <c r="AD118" s="30"/>
      <c r="AE118" s="30"/>
      <c r="AF118" s="5"/>
      <c r="AG118" s="5"/>
      <c r="AH118" s="5"/>
      <c r="AI118" s="5"/>
      <c r="AJ118" s="5"/>
    </row>
    <row r="119" spans="1:36" ht="12.75" x14ac:dyDescent="0.2">
      <c r="A119" s="30"/>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0"/>
      <c r="AE119" s="30"/>
      <c r="AF119" s="5"/>
      <c r="AG119" s="5"/>
      <c r="AH119" s="5"/>
      <c r="AI119" s="5"/>
      <c r="AJ119" s="5"/>
    </row>
    <row r="120" spans="1:36" ht="12.75" x14ac:dyDescent="0.2">
      <c r="A120" s="30" t="s">
        <v>101</v>
      </c>
      <c r="B120" s="52">
        <v>0</v>
      </c>
      <c r="C120" s="52">
        <v>0</v>
      </c>
      <c r="D120" s="52">
        <v>0</v>
      </c>
      <c r="E120" s="37">
        <f t="shared" ref="E120:AC120" si="7">((($B$100*F50+$B$99*(1-F50))*(1+($B$102*F80+$B$101*(1-F80))))+(($B$100*F50+$B$99*(1-F50))*$B$105*$B$106))*E114*(1-$B$104)</f>
        <v>23.058270922222079</v>
      </c>
      <c r="F120" s="37">
        <f t="shared" si="7"/>
        <v>23.054482578829365</v>
      </c>
      <c r="G120" s="37">
        <f t="shared" si="7"/>
        <v>23.051383025144418</v>
      </c>
      <c r="H120" s="37">
        <f t="shared" si="7"/>
        <v>23.051383025144418</v>
      </c>
      <c r="I120" s="37">
        <f t="shared" si="7"/>
        <v>23.051383025144418</v>
      </c>
      <c r="J120" s="37">
        <f t="shared" si="7"/>
        <v>23.051383025144418</v>
      </c>
      <c r="K120" s="37">
        <f t="shared" si="7"/>
        <v>23.051383025144418</v>
      </c>
      <c r="L120" s="37">
        <f t="shared" si="7"/>
        <v>23.051383025144418</v>
      </c>
      <c r="M120" s="37">
        <f t="shared" si="7"/>
        <v>23.051383025144418</v>
      </c>
      <c r="N120" s="37">
        <f t="shared" si="7"/>
        <v>23.051383025144418</v>
      </c>
      <c r="O120" s="37">
        <f t="shared" si="7"/>
        <v>23.051383025144418</v>
      </c>
      <c r="P120" s="37">
        <f t="shared" si="7"/>
        <v>23.051383025144418</v>
      </c>
      <c r="Q120" s="37">
        <f t="shared" si="7"/>
        <v>17.288537268858313</v>
      </c>
      <c r="R120" s="37">
        <f t="shared" si="7"/>
        <v>11.525691512572209</v>
      </c>
      <c r="S120" s="37">
        <f t="shared" si="7"/>
        <v>0</v>
      </c>
      <c r="T120" s="37">
        <f t="shared" si="7"/>
        <v>0</v>
      </c>
      <c r="U120" s="37">
        <f t="shared" si="7"/>
        <v>0</v>
      </c>
      <c r="V120" s="37">
        <f t="shared" si="7"/>
        <v>0</v>
      </c>
      <c r="W120" s="37">
        <f t="shared" si="7"/>
        <v>0</v>
      </c>
      <c r="X120" s="37">
        <f t="shared" si="7"/>
        <v>0</v>
      </c>
      <c r="Y120" s="37">
        <f t="shared" si="7"/>
        <v>0</v>
      </c>
      <c r="Z120" s="37">
        <f t="shared" si="7"/>
        <v>0</v>
      </c>
      <c r="AA120" s="37">
        <f t="shared" si="7"/>
        <v>0</v>
      </c>
      <c r="AB120" s="37">
        <f t="shared" si="7"/>
        <v>0</v>
      </c>
      <c r="AC120" s="37">
        <f t="shared" si="7"/>
        <v>0</v>
      </c>
      <c r="AD120" s="30"/>
      <c r="AE120" s="30"/>
      <c r="AF120" s="5"/>
      <c r="AG120" s="5"/>
      <c r="AH120" s="5"/>
      <c r="AI120" s="5"/>
      <c r="AJ120" s="5"/>
    </row>
    <row r="121" spans="1:36" ht="12.75" x14ac:dyDescent="0.2">
      <c r="A121" s="30" t="s">
        <v>102</v>
      </c>
      <c r="B121" s="52"/>
      <c r="C121" s="52"/>
      <c r="D121" s="52"/>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0"/>
      <c r="AE121" s="30"/>
      <c r="AF121" s="5"/>
      <c r="AG121" s="5"/>
      <c r="AH121" s="5"/>
      <c r="AI121" s="5"/>
      <c r="AJ121" s="5"/>
    </row>
    <row r="122" spans="1:36" ht="12.75" x14ac:dyDescent="0.2">
      <c r="A122" s="30"/>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0"/>
      <c r="AE122" s="30"/>
      <c r="AF122" s="5"/>
      <c r="AG122" s="5"/>
      <c r="AH122" s="5"/>
      <c r="AI122" s="5"/>
      <c r="AJ122" s="5"/>
    </row>
    <row r="123" spans="1:36" ht="12.75" x14ac:dyDescent="0.2">
      <c r="A123" s="30" t="s">
        <v>103</v>
      </c>
      <c r="B123" s="37">
        <f>15*$B$96</f>
        <v>13.306660072408052</v>
      </c>
      <c r="C123" s="37">
        <f t="shared" ref="C123:K123" si="8">15*$B$96</f>
        <v>13.306660072408052</v>
      </c>
      <c r="D123" s="37">
        <f t="shared" si="8"/>
        <v>13.306660072408052</v>
      </c>
      <c r="E123" s="37">
        <f t="shared" si="8"/>
        <v>13.306660072408052</v>
      </c>
      <c r="F123" s="37">
        <f t="shared" si="8"/>
        <v>13.306660072408052</v>
      </c>
      <c r="G123" s="37">
        <f t="shared" si="8"/>
        <v>13.306660072408052</v>
      </c>
      <c r="H123" s="37">
        <f t="shared" si="8"/>
        <v>13.306660072408052</v>
      </c>
      <c r="I123" s="37">
        <f t="shared" si="8"/>
        <v>13.306660072408052</v>
      </c>
      <c r="J123" s="37">
        <f t="shared" si="8"/>
        <v>13.306660072408052</v>
      </c>
      <c r="K123" s="37">
        <f t="shared" si="8"/>
        <v>13.306660072408052</v>
      </c>
      <c r="L123" s="37">
        <v>0</v>
      </c>
      <c r="M123" s="37">
        <v>0</v>
      </c>
      <c r="N123" s="37">
        <v>0</v>
      </c>
      <c r="O123" s="37">
        <v>0</v>
      </c>
      <c r="P123" s="37">
        <v>0</v>
      </c>
      <c r="Q123" s="37">
        <v>0</v>
      </c>
      <c r="R123" s="37">
        <v>0</v>
      </c>
      <c r="S123" s="37">
        <v>0</v>
      </c>
      <c r="T123" s="37">
        <v>0</v>
      </c>
      <c r="U123" s="37">
        <v>0</v>
      </c>
      <c r="V123" s="37">
        <v>0</v>
      </c>
      <c r="W123" s="37">
        <v>0</v>
      </c>
      <c r="X123" s="37">
        <v>0</v>
      </c>
      <c r="Y123" s="37">
        <v>0</v>
      </c>
      <c r="Z123" s="37">
        <v>0</v>
      </c>
      <c r="AA123" s="37">
        <v>0</v>
      </c>
      <c r="AB123" s="37">
        <v>0</v>
      </c>
      <c r="AC123" s="37">
        <v>0</v>
      </c>
      <c r="AD123" s="30"/>
      <c r="AE123" s="30"/>
      <c r="AF123" s="5"/>
      <c r="AG123" s="5"/>
      <c r="AH123" s="5"/>
      <c r="AI123" s="5"/>
      <c r="AJ123" s="5"/>
    </row>
    <row r="124" spans="1:36" ht="12.75" x14ac:dyDescent="0.2">
      <c r="A124" s="30"/>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0"/>
      <c r="AE124" s="30"/>
      <c r="AF124" s="5"/>
      <c r="AG124" s="5"/>
      <c r="AH124" s="5"/>
      <c r="AI124" s="5"/>
      <c r="AJ124" s="5"/>
    </row>
    <row r="125" spans="1:36" s="35" customFormat="1" ht="12.75" x14ac:dyDescent="0.2">
      <c r="A125" s="32" t="s">
        <v>54</v>
      </c>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3"/>
      <c r="AE125" s="33"/>
      <c r="AF125" s="34"/>
      <c r="AG125" s="34"/>
      <c r="AH125" s="34"/>
      <c r="AI125" s="34"/>
      <c r="AJ125" s="34"/>
    </row>
    <row r="126" spans="1:36" ht="25.5" x14ac:dyDescent="0.2">
      <c r="A126" s="51"/>
      <c r="B126" s="5" t="s">
        <v>104</v>
      </c>
      <c r="C126" s="37" t="s">
        <v>105</v>
      </c>
      <c r="D126" s="37" t="s">
        <v>106</v>
      </c>
      <c r="E126" s="30" t="s">
        <v>107</v>
      </c>
      <c r="F126" s="37" t="s">
        <v>128</v>
      </c>
      <c r="G126" s="37"/>
      <c r="H126" s="37"/>
      <c r="I126" s="37"/>
      <c r="J126" s="37"/>
      <c r="K126" s="37"/>
      <c r="L126" s="37"/>
      <c r="M126" s="37"/>
      <c r="N126" s="37"/>
      <c r="O126" s="37"/>
      <c r="P126" s="37"/>
      <c r="Q126" s="37"/>
      <c r="R126" s="37"/>
      <c r="S126" s="37"/>
      <c r="T126" s="37"/>
      <c r="U126" s="37"/>
      <c r="V126" s="37"/>
      <c r="W126" s="37"/>
      <c r="X126" s="37"/>
      <c r="Y126" s="37"/>
      <c r="Z126" s="37"/>
      <c r="AA126" s="37"/>
      <c r="AB126" s="37"/>
      <c r="AC126" s="30"/>
      <c r="AD126" s="30"/>
      <c r="AE126" s="5"/>
      <c r="AF126" s="5"/>
      <c r="AG126" s="5"/>
      <c r="AH126" s="5"/>
      <c r="AI126" s="5"/>
    </row>
    <row r="127" spans="1:36" ht="12.75" x14ac:dyDescent="0.2">
      <c r="A127" s="51" t="s">
        <v>96</v>
      </c>
      <c r="B127" s="5">
        <v>1</v>
      </c>
      <c r="C127" s="5">
        <v>3</v>
      </c>
      <c r="D127" s="5">
        <v>2</v>
      </c>
      <c r="E127" s="30">
        <v>3</v>
      </c>
      <c r="F127" s="37">
        <v>1</v>
      </c>
      <c r="G127" s="37"/>
      <c r="H127" s="37"/>
      <c r="I127" s="37"/>
      <c r="J127" s="37"/>
      <c r="K127" s="37"/>
      <c r="L127" s="37"/>
      <c r="M127" s="37"/>
      <c r="N127" s="37"/>
      <c r="O127" s="37"/>
      <c r="P127" s="37"/>
      <c r="Q127" s="37"/>
      <c r="R127" s="37"/>
      <c r="S127" s="37"/>
      <c r="T127" s="37"/>
      <c r="U127" s="37"/>
      <c r="V127" s="37"/>
      <c r="W127" s="37"/>
      <c r="X127" s="37"/>
      <c r="Y127" s="37"/>
      <c r="Z127" s="37"/>
      <c r="AA127" s="37"/>
      <c r="AB127" s="37"/>
      <c r="AC127" s="30"/>
      <c r="AD127" s="30"/>
      <c r="AE127" s="5"/>
      <c r="AF127" s="5"/>
      <c r="AG127" s="5"/>
      <c r="AH127" s="5"/>
      <c r="AI127" s="5"/>
    </row>
    <row r="128" spans="1:36" ht="12.75" x14ac:dyDescent="0.2">
      <c r="A128" s="51"/>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0"/>
      <c r="AE128" s="30"/>
      <c r="AF128" s="5"/>
      <c r="AG128" s="5"/>
      <c r="AH128" s="5"/>
      <c r="AI128" s="5"/>
      <c r="AJ128" s="5"/>
    </row>
    <row r="129" spans="1:36" ht="12.75" x14ac:dyDescent="0.2">
      <c r="A129" s="30" t="s">
        <v>55</v>
      </c>
      <c r="B129" s="30">
        <v>2023</v>
      </c>
      <c r="C129" s="30">
        <v>2024</v>
      </c>
      <c r="D129" s="30">
        <v>2025</v>
      </c>
      <c r="E129" s="30">
        <v>2026</v>
      </c>
      <c r="F129" s="30">
        <v>2027</v>
      </c>
      <c r="G129" s="30">
        <v>2028</v>
      </c>
      <c r="H129" s="30">
        <v>2029</v>
      </c>
      <c r="I129" s="30">
        <v>2030</v>
      </c>
      <c r="J129" s="30">
        <v>2031</v>
      </c>
      <c r="K129" s="30">
        <v>2032</v>
      </c>
      <c r="L129" s="5">
        <v>2033</v>
      </c>
      <c r="M129" s="5">
        <v>2034</v>
      </c>
      <c r="N129" s="5">
        <v>2035</v>
      </c>
      <c r="O129" s="5">
        <v>2036</v>
      </c>
      <c r="P129" s="5">
        <v>2037</v>
      </c>
      <c r="Q129" s="5">
        <v>2038</v>
      </c>
      <c r="R129" s="5">
        <v>2039</v>
      </c>
      <c r="S129" s="5">
        <v>2040</v>
      </c>
      <c r="T129" s="5">
        <v>2041</v>
      </c>
      <c r="U129" s="5">
        <v>2042</v>
      </c>
      <c r="V129" s="5">
        <v>2043</v>
      </c>
      <c r="W129" s="5">
        <v>2044</v>
      </c>
      <c r="X129" s="5">
        <v>2045</v>
      </c>
      <c r="Y129" s="5">
        <v>2046</v>
      </c>
      <c r="Z129" s="5">
        <v>2047</v>
      </c>
      <c r="AA129" s="5">
        <v>2048</v>
      </c>
      <c r="AB129" s="5">
        <v>2049</v>
      </c>
      <c r="AC129" s="5">
        <v>2050</v>
      </c>
      <c r="AD129" s="5"/>
      <c r="AE129" s="5"/>
      <c r="AF129" s="5"/>
      <c r="AG129" s="5"/>
      <c r="AH129" s="5"/>
      <c r="AI129" s="5"/>
    </row>
    <row r="130" spans="1:36" ht="12.75" x14ac:dyDescent="0.2">
      <c r="A130" s="30" t="s">
        <v>108</v>
      </c>
      <c r="B130" s="36">
        <f>B113</f>
        <v>1</v>
      </c>
      <c r="C130" s="36">
        <f t="shared" ref="C130:AC130" si="9">C113</f>
        <v>1</v>
      </c>
      <c r="D130" s="36">
        <f t="shared" si="9"/>
        <v>1</v>
      </c>
      <c r="E130" s="36">
        <f t="shared" si="9"/>
        <v>1</v>
      </c>
      <c r="F130" s="36">
        <f t="shared" si="9"/>
        <v>1</v>
      </c>
      <c r="G130" s="36">
        <f t="shared" si="9"/>
        <v>1</v>
      </c>
      <c r="H130" s="36">
        <f t="shared" si="9"/>
        <v>1</v>
      </c>
      <c r="I130" s="36">
        <f t="shared" si="9"/>
        <v>1</v>
      </c>
      <c r="J130" s="36">
        <f t="shared" si="9"/>
        <v>1</v>
      </c>
      <c r="K130" s="36">
        <f t="shared" si="9"/>
        <v>1</v>
      </c>
      <c r="L130" s="36">
        <f t="shared" si="9"/>
        <v>1</v>
      </c>
      <c r="M130" s="36">
        <f t="shared" si="9"/>
        <v>1</v>
      </c>
      <c r="N130" s="36">
        <f t="shared" si="9"/>
        <v>1</v>
      </c>
      <c r="O130" s="36">
        <f t="shared" si="9"/>
        <v>1</v>
      </c>
      <c r="P130" s="36">
        <f t="shared" si="9"/>
        <v>1</v>
      </c>
      <c r="Q130" s="36">
        <f t="shared" si="9"/>
        <v>1</v>
      </c>
      <c r="R130" s="36">
        <f t="shared" si="9"/>
        <v>1</v>
      </c>
      <c r="S130" s="36">
        <f t="shared" si="9"/>
        <v>0.75</v>
      </c>
      <c r="T130" s="36">
        <f t="shared" si="9"/>
        <v>0.5</v>
      </c>
      <c r="U130" s="36">
        <f t="shared" si="9"/>
        <v>0</v>
      </c>
      <c r="V130" s="36">
        <f t="shared" si="9"/>
        <v>0</v>
      </c>
      <c r="W130" s="36">
        <f t="shared" si="9"/>
        <v>0</v>
      </c>
      <c r="X130" s="36">
        <f t="shared" si="9"/>
        <v>0</v>
      </c>
      <c r="Y130" s="36">
        <f t="shared" si="9"/>
        <v>0</v>
      </c>
      <c r="Z130" s="36">
        <f t="shared" si="9"/>
        <v>0</v>
      </c>
      <c r="AA130" s="36">
        <f t="shared" si="9"/>
        <v>0</v>
      </c>
      <c r="AB130" s="36">
        <f t="shared" si="9"/>
        <v>0</v>
      </c>
      <c r="AC130" s="36">
        <f t="shared" si="9"/>
        <v>0</v>
      </c>
      <c r="AD130" s="5"/>
      <c r="AE130" s="5"/>
      <c r="AF130" s="5"/>
      <c r="AG130" s="5"/>
      <c r="AH130" s="5"/>
      <c r="AI130" s="5"/>
    </row>
    <row r="131" spans="1:36" ht="12.75" x14ac:dyDescent="0.2">
      <c r="A131" s="30" t="s">
        <v>109</v>
      </c>
      <c r="B131" s="36">
        <f>INDEX(17:17,MATCH(B129-$C$127,16:16,0))</f>
        <v>1</v>
      </c>
      <c r="C131" s="36">
        <f t="shared" ref="C131:AC131" si="10">INDEX(17:17,MATCH(C129-$C$127,16:16,0))</f>
        <v>1</v>
      </c>
      <c r="D131" s="36">
        <f t="shared" si="10"/>
        <v>1</v>
      </c>
      <c r="E131" s="36">
        <f t="shared" si="10"/>
        <v>1</v>
      </c>
      <c r="F131" s="36">
        <f t="shared" si="10"/>
        <v>1</v>
      </c>
      <c r="G131" s="36">
        <f t="shared" si="10"/>
        <v>1</v>
      </c>
      <c r="H131" s="36">
        <f t="shared" si="10"/>
        <v>1</v>
      </c>
      <c r="I131" s="36">
        <f t="shared" si="10"/>
        <v>1</v>
      </c>
      <c r="J131" s="36">
        <f t="shared" si="10"/>
        <v>1</v>
      </c>
      <c r="K131" s="36">
        <f t="shared" si="10"/>
        <v>1</v>
      </c>
      <c r="L131" s="36">
        <f t="shared" si="10"/>
        <v>1</v>
      </c>
      <c r="M131" s="36">
        <f t="shared" si="10"/>
        <v>1</v>
      </c>
      <c r="N131" s="36">
        <f t="shared" si="10"/>
        <v>1</v>
      </c>
      <c r="O131" s="36">
        <f t="shared" si="10"/>
        <v>1</v>
      </c>
      <c r="P131" s="36">
        <f t="shared" si="10"/>
        <v>1</v>
      </c>
      <c r="Q131" s="36">
        <f t="shared" si="10"/>
        <v>1</v>
      </c>
      <c r="R131" s="36">
        <f t="shared" si="10"/>
        <v>1</v>
      </c>
      <c r="S131" s="36">
        <f t="shared" si="10"/>
        <v>0.75</v>
      </c>
      <c r="T131" s="36">
        <f t="shared" si="10"/>
        <v>0.5</v>
      </c>
      <c r="U131" s="36">
        <f t="shared" si="10"/>
        <v>0</v>
      </c>
      <c r="V131" s="36">
        <f t="shared" si="10"/>
        <v>0</v>
      </c>
      <c r="W131" s="36">
        <f t="shared" si="10"/>
        <v>0</v>
      </c>
      <c r="X131" s="36">
        <f t="shared" si="10"/>
        <v>0</v>
      </c>
      <c r="Y131" s="36">
        <f t="shared" si="10"/>
        <v>0</v>
      </c>
      <c r="Z131" s="36">
        <f t="shared" si="10"/>
        <v>0</v>
      </c>
      <c r="AA131" s="36">
        <f t="shared" si="10"/>
        <v>0</v>
      </c>
      <c r="AB131" s="36">
        <f t="shared" si="10"/>
        <v>0</v>
      </c>
      <c r="AC131" s="36">
        <f t="shared" si="10"/>
        <v>0</v>
      </c>
      <c r="AD131" s="5"/>
      <c r="AE131" s="5"/>
      <c r="AF131" s="5"/>
      <c r="AG131" s="5"/>
      <c r="AH131" s="5"/>
      <c r="AI131" s="5"/>
    </row>
    <row r="132" spans="1:36" ht="12.75" x14ac:dyDescent="0.2">
      <c r="A132" s="30" t="s">
        <v>110</v>
      </c>
      <c r="B132" s="36">
        <f>INDEX(17:17,MATCH(B129-$D$127,16:16,0))</f>
        <v>1</v>
      </c>
      <c r="C132" s="36">
        <f t="shared" ref="C132:AC132" si="11">INDEX(17:17,MATCH(C129-$D$127,16:16,0))</f>
        <v>1</v>
      </c>
      <c r="D132" s="36">
        <f t="shared" si="11"/>
        <v>1</v>
      </c>
      <c r="E132" s="36">
        <f t="shared" si="11"/>
        <v>1</v>
      </c>
      <c r="F132" s="36">
        <f t="shared" si="11"/>
        <v>1</v>
      </c>
      <c r="G132" s="36">
        <f t="shared" si="11"/>
        <v>1</v>
      </c>
      <c r="H132" s="36">
        <f t="shared" si="11"/>
        <v>1</v>
      </c>
      <c r="I132" s="36">
        <f t="shared" si="11"/>
        <v>1</v>
      </c>
      <c r="J132" s="36">
        <f t="shared" si="11"/>
        <v>1</v>
      </c>
      <c r="K132" s="36">
        <f t="shared" si="11"/>
        <v>1</v>
      </c>
      <c r="L132" s="36">
        <f t="shared" si="11"/>
        <v>1</v>
      </c>
      <c r="M132" s="36">
        <f t="shared" si="11"/>
        <v>1</v>
      </c>
      <c r="N132" s="36">
        <f t="shared" si="11"/>
        <v>1</v>
      </c>
      <c r="O132" s="36">
        <f t="shared" si="11"/>
        <v>1</v>
      </c>
      <c r="P132" s="36">
        <f t="shared" si="11"/>
        <v>1</v>
      </c>
      <c r="Q132" s="36">
        <f t="shared" si="11"/>
        <v>1</v>
      </c>
      <c r="R132" s="36">
        <f t="shared" si="11"/>
        <v>0.75</v>
      </c>
      <c r="S132" s="36">
        <f t="shared" si="11"/>
        <v>0.5</v>
      </c>
      <c r="T132" s="36">
        <f t="shared" si="11"/>
        <v>0</v>
      </c>
      <c r="U132" s="36">
        <f t="shared" si="11"/>
        <v>0</v>
      </c>
      <c r="V132" s="36">
        <f t="shared" si="11"/>
        <v>0</v>
      </c>
      <c r="W132" s="36">
        <f t="shared" si="11"/>
        <v>0</v>
      </c>
      <c r="X132" s="36">
        <f t="shared" si="11"/>
        <v>0</v>
      </c>
      <c r="Y132" s="36">
        <f t="shared" si="11"/>
        <v>0</v>
      </c>
      <c r="Z132" s="36">
        <f t="shared" si="11"/>
        <v>0</v>
      </c>
      <c r="AA132" s="36">
        <f t="shared" si="11"/>
        <v>0</v>
      </c>
      <c r="AB132" s="36">
        <f t="shared" si="11"/>
        <v>0</v>
      </c>
      <c r="AC132" s="36">
        <f t="shared" si="11"/>
        <v>0</v>
      </c>
      <c r="AD132" s="5"/>
      <c r="AE132" s="5"/>
      <c r="AF132" s="5"/>
      <c r="AG132" s="5"/>
      <c r="AH132" s="5"/>
      <c r="AI132" s="5"/>
    </row>
    <row r="133" spans="1:36" ht="12.75" x14ac:dyDescent="0.2">
      <c r="A133" s="30" t="s">
        <v>111</v>
      </c>
      <c r="B133" s="36">
        <f>INDEX(17:17,MATCH(B129-$E$127,16:16,0))</f>
        <v>1</v>
      </c>
      <c r="C133" s="36">
        <f t="shared" ref="C133:AC133" si="12">INDEX(17:17,MATCH(C129-$E$127,16:16,0))</f>
        <v>1</v>
      </c>
      <c r="D133" s="36">
        <f t="shared" si="12"/>
        <v>1</v>
      </c>
      <c r="E133" s="36">
        <f t="shared" si="12"/>
        <v>1</v>
      </c>
      <c r="F133" s="36">
        <f t="shared" si="12"/>
        <v>1</v>
      </c>
      <c r="G133" s="36">
        <f t="shared" si="12"/>
        <v>1</v>
      </c>
      <c r="H133" s="36">
        <f t="shared" si="12"/>
        <v>1</v>
      </c>
      <c r="I133" s="36">
        <f t="shared" si="12"/>
        <v>1</v>
      </c>
      <c r="J133" s="36">
        <f t="shared" si="12"/>
        <v>1</v>
      </c>
      <c r="K133" s="36">
        <f t="shared" si="12"/>
        <v>1</v>
      </c>
      <c r="L133" s="36">
        <f t="shared" si="12"/>
        <v>1</v>
      </c>
      <c r="M133" s="36">
        <f t="shared" si="12"/>
        <v>1</v>
      </c>
      <c r="N133" s="36">
        <f t="shared" si="12"/>
        <v>1</v>
      </c>
      <c r="O133" s="36">
        <f t="shared" si="12"/>
        <v>1</v>
      </c>
      <c r="P133" s="36">
        <f t="shared" si="12"/>
        <v>1</v>
      </c>
      <c r="Q133" s="36">
        <f t="shared" si="12"/>
        <v>1</v>
      </c>
      <c r="R133" s="36">
        <f t="shared" si="12"/>
        <v>1</v>
      </c>
      <c r="S133" s="36">
        <f t="shared" si="12"/>
        <v>0.75</v>
      </c>
      <c r="T133" s="36">
        <f t="shared" si="12"/>
        <v>0.5</v>
      </c>
      <c r="U133" s="36">
        <f t="shared" si="12"/>
        <v>0</v>
      </c>
      <c r="V133" s="36">
        <f t="shared" si="12"/>
        <v>0</v>
      </c>
      <c r="W133" s="36">
        <f t="shared" si="12"/>
        <v>0</v>
      </c>
      <c r="X133" s="36">
        <f t="shared" si="12"/>
        <v>0</v>
      </c>
      <c r="Y133" s="36">
        <f t="shared" si="12"/>
        <v>0</v>
      </c>
      <c r="Z133" s="36">
        <f t="shared" si="12"/>
        <v>0</v>
      </c>
      <c r="AA133" s="36">
        <f t="shared" si="12"/>
        <v>0</v>
      </c>
      <c r="AB133" s="36">
        <f t="shared" si="12"/>
        <v>0</v>
      </c>
      <c r="AC133" s="36">
        <f t="shared" si="12"/>
        <v>0</v>
      </c>
      <c r="AD133" s="5"/>
      <c r="AE133" s="5"/>
      <c r="AF133" s="5"/>
      <c r="AG133" s="5"/>
      <c r="AH133" s="5"/>
      <c r="AI133" s="5"/>
    </row>
    <row r="134" spans="1:36" ht="12.75" x14ac:dyDescent="0.2">
      <c r="A134" s="30" t="s">
        <v>129</v>
      </c>
      <c r="B134" s="36">
        <f>INDEX(17:17,MATCH(B129-$F$127,16:16,0))</f>
        <v>1</v>
      </c>
      <c r="C134" s="36">
        <f t="shared" ref="C134:AC134" si="13">INDEX(17:17,MATCH(C129-$F$127,16:16,0))</f>
        <v>1</v>
      </c>
      <c r="D134" s="36">
        <f t="shared" si="13"/>
        <v>1</v>
      </c>
      <c r="E134" s="36">
        <f t="shared" si="13"/>
        <v>1</v>
      </c>
      <c r="F134" s="36">
        <f t="shared" si="13"/>
        <v>1</v>
      </c>
      <c r="G134" s="36">
        <f t="shared" si="13"/>
        <v>1</v>
      </c>
      <c r="H134" s="36">
        <f t="shared" si="13"/>
        <v>1</v>
      </c>
      <c r="I134" s="36">
        <f t="shared" si="13"/>
        <v>1</v>
      </c>
      <c r="J134" s="36">
        <f t="shared" si="13"/>
        <v>1</v>
      </c>
      <c r="K134" s="36">
        <f t="shared" si="13"/>
        <v>1</v>
      </c>
      <c r="L134" s="36">
        <f t="shared" si="13"/>
        <v>1</v>
      </c>
      <c r="M134" s="36">
        <f t="shared" si="13"/>
        <v>1</v>
      </c>
      <c r="N134" s="36">
        <f t="shared" si="13"/>
        <v>1</v>
      </c>
      <c r="O134" s="36">
        <f t="shared" si="13"/>
        <v>1</v>
      </c>
      <c r="P134" s="36">
        <f t="shared" si="13"/>
        <v>1</v>
      </c>
      <c r="Q134" s="36">
        <f t="shared" si="13"/>
        <v>0.75</v>
      </c>
      <c r="R134" s="36">
        <f t="shared" si="13"/>
        <v>0.5</v>
      </c>
      <c r="S134" s="36">
        <f t="shared" si="13"/>
        <v>0</v>
      </c>
      <c r="T134" s="36">
        <f t="shared" si="13"/>
        <v>0</v>
      </c>
      <c r="U134" s="36">
        <f t="shared" si="13"/>
        <v>0</v>
      </c>
      <c r="V134" s="36">
        <f t="shared" si="13"/>
        <v>0</v>
      </c>
      <c r="W134" s="36">
        <f t="shared" si="13"/>
        <v>0</v>
      </c>
      <c r="X134" s="36">
        <f t="shared" si="13"/>
        <v>0</v>
      </c>
      <c r="Y134" s="36">
        <f t="shared" si="13"/>
        <v>0</v>
      </c>
      <c r="Z134" s="36">
        <f t="shared" si="13"/>
        <v>0</v>
      </c>
      <c r="AA134" s="36">
        <f t="shared" si="13"/>
        <v>0</v>
      </c>
      <c r="AB134" s="36">
        <f t="shared" si="13"/>
        <v>0</v>
      </c>
      <c r="AC134" s="36">
        <f t="shared" si="13"/>
        <v>0</v>
      </c>
      <c r="AD134" s="36"/>
      <c r="AE134" s="5"/>
      <c r="AF134" s="5"/>
      <c r="AG134" s="5"/>
      <c r="AH134" s="5"/>
      <c r="AI134" s="5"/>
      <c r="AJ134" s="5"/>
    </row>
    <row r="135" spans="1:36" ht="12.75" x14ac:dyDescent="0.2">
      <c r="A135" s="13"/>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5"/>
      <c r="AB135" s="5"/>
      <c r="AC135" s="5"/>
      <c r="AD135" s="5"/>
      <c r="AE135" s="5"/>
      <c r="AF135" s="5"/>
      <c r="AG135" s="5"/>
      <c r="AH135" s="5"/>
      <c r="AI135" s="5"/>
      <c r="AJ135" s="5"/>
    </row>
    <row r="136" spans="1:36" ht="12.75" x14ac:dyDescent="0.2">
      <c r="A136" s="30" t="s">
        <v>56</v>
      </c>
      <c r="B136" s="39">
        <v>0.06</v>
      </c>
      <c r="C136" s="5"/>
      <c r="D136" s="5"/>
      <c r="E136" s="5"/>
      <c r="F136" s="5"/>
      <c r="G136" s="5"/>
      <c r="H136" s="5"/>
      <c r="I136" s="5"/>
      <c r="J136" s="5"/>
      <c r="K136" s="5"/>
      <c r="L136" s="5"/>
      <c r="M136" s="5"/>
      <c r="N136" s="5"/>
      <c r="O136" s="5"/>
      <c r="P136" s="5"/>
      <c r="Q136" s="5"/>
      <c r="R136" s="5"/>
      <c r="S136" s="5"/>
      <c r="T136" s="5"/>
      <c r="U136" s="5"/>
      <c r="V136" s="5"/>
      <c r="W136" s="5"/>
      <c r="X136" s="5"/>
      <c r="Y136" s="5"/>
      <c r="Z136" s="5"/>
      <c r="AA136" s="5"/>
      <c r="AB136" s="5"/>
      <c r="AC136" s="5"/>
      <c r="AD136" s="5"/>
      <c r="AE136" s="5"/>
      <c r="AF136" s="5"/>
      <c r="AG136" s="5"/>
      <c r="AH136" s="5"/>
      <c r="AI136" s="5"/>
      <c r="AJ136" s="5"/>
    </row>
    <row r="137" spans="1:36" ht="12.75" x14ac:dyDescent="0.2">
      <c r="A137" s="30" t="s">
        <v>57</v>
      </c>
      <c r="B137" s="39">
        <v>0.3</v>
      </c>
      <c r="C137" s="5"/>
      <c r="D137" s="5"/>
      <c r="E137" s="5"/>
      <c r="F137" s="5"/>
      <c r="G137" s="5"/>
      <c r="H137" s="5"/>
      <c r="I137" s="5"/>
      <c r="J137" s="5"/>
      <c r="K137" s="5"/>
      <c r="L137" s="5"/>
      <c r="M137" s="5"/>
      <c r="N137" s="5"/>
      <c r="O137" s="5"/>
      <c r="P137" s="5"/>
      <c r="Q137" s="5"/>
      <c r="R137" s="5"/>
      <c r="S137" s="5"/>
      <c r="T137" s="5"/>
      <c r="U137" s="5"/>
      <c r="V137" s="5"/>
      <c r="W137" s="5"/>
      <c r="X137" s="5"/>
      <c r="Y137" s="5"/>
      <c r="Z137" s="5"/>
      <c r="AA137" s="5"/>
      <c r="AB137" s="5"/>
      <c r="AC137" s="5"/>
      <c r="AD137" s="5"/>
      <c r="AE137" s="5"/>
      <c r="AF137" s="5"/>
      <c r="AG137" s="5"/>
      <c r="AH137" s="5"/>
      <c r="AI137" s="5"/>
      <c r="AJ137" s="5"/>
    </row>
    <row r="138" spans="1:36" ht="12.75" x14ac:dyDescent="0.2">
      <c r="A138" s="30" t="s">
        <v>49</v>
      </c>
      <c r="B138" s="39">
        <v>0.02</v>
      </c>
      <c r="C138" s="5"/>
      <c r="D138" s="5"/>
      <c r="E138" s="5"/>
      <c r="F138" s="5"/>
      <c r="G138" s="5"/>
      <c r="H138" s="5"/>
      <c r="I138" s="5"/>
      <c r="J138" s="5"/>
      <c r="K138" s="5"/>
      <c r="L138" s="5"/>
      <c r="M138" s="5"/>
      <c r="N138" s="5"/>
      <c r="O138" s="5"/>
      <c r="P138" s="5"/>
      <c r="Q138" s="5"/>
      <c r="R138" s="5"/>
      <c r="S138" s="5"/>
      <c r="T138" s="5"/>
      <c r="U138" s="5"/>
      <c r="V138" s="5"/>
      <c r="W138" s="5"/>
      <c r="X138" s="5"/>
      <c r="Y138" s="5"/>
      <c r="Z138" s="5"/>
      <c r="AA138" s="5"/>
      <c r="AB138" s="5"/>
      <c r="AC138" s="5"/>
      <c r="AD138" s="5"/>
      <c r="AE138" s="5"/>
      <c r="AF138" s="5"/>
      <c r="AG138" s="5"/>
      <c r="AH138" s="5"/>
      <c r="AI138" s="5"/>
      <c r="AJ138" s="5"/>
    </row>
    <row r="139" spans="1:36" ht="12.75" x14ac:dyDescent="0.2">
      <c r="A139" s="30" t="s">
        <v>50</v>
      </c>
      <c r="B139" s="39">
        <v>0.1</v>
      </c>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c r="AD139" s="5"/>
      <c r="AE139" s="5"/>
      <c r="AF139" s="5"/>
      <c r="AG139" s="5"/>
      <c r="AH139" s="5"/>
      <c r="AI139" s="5"/>
      <c r="AJ139" s="5"/>
    </row>
    <row r="140" spans="1:36" ht="12.75" x14ac:dyDescent="0.2">
      <c r="A140" s="5" t="s">
        <v>51</v>
      </c>
      <c r="B140" s="23">
        <v>7.4999999999999997E-2</v>
      </c>
      <c r="C140" s="5"/>
      <c r="D140" s="5"/>
      <c r="E140" s="5"/>
      <c r="F140" s="5"/>
      <c r="G140" s="5"/>
      <c r="H140" s="5"/>
      <c r="I140" s="5"/>
      <c r="J140" s="5"/>
      <c r="K140" s="5"/>
      <c r="L140" s="5"/>
      <c r="M140" s="5"/>
      <c r="N140" s="5"/>
      <c r="O140" s="5"/>
      <c r="P140" s="5"/>
      <c r="Q140" s="5"/>
      <c r="R140" s="5"/>
      <c r="S140" s="5"/>
      <c r="T140" s="5"/>
      <c r="U140" s="5"/>
      <c r="V140" s="5"/>
      <c r="W140" s="5"/>
      <c r="X140" s="5"/>
      <c r="Y140" s="5"/>
      <c r="Z140" s="5"/>
      <c r="AA140" s="5"/>
      <c r="AB140" s="5"/>
      <c r="AC140" s="5"/>
      <c r="AD140" s="5"/>
      <c r="AE140" s="5"/>
      <c r="AF140" s="5"/>
      <c r="AG140" s="5"/>
      <c r="AH140" s="5"/>
      <c r="AI140" s="5"/>
      <c r="AJ140" s="5"/>
    </row>
    <row r="141" spans="1:36" ht="12.75" x14ac:dyDescent="0.2">
      <c r="A141" s="30" t="s">
        <v>52</v>
      </c>
      <c r="B141" s="31">
        <v>0.1</v>
      </c>
      <c r="C141" s="5"/>
      <c r="D141" s="5"/>
      <c r="E141" s="5"/>
      <c r="F141" s="5"/>
      <c r="G141" s="5"/>
      <c r="H141" s="5"/>
      <c r="I141" s="5"/>
      <c r="J141" s="5"/>
      <c r="K141" s="5"/>
      <c r="L141" s="5"/>
      <c r="M141" s="5"/>
      <c r="N141" s="5"/>
      <c r="O141" s="5"/>
      <c r="P141" s="5"/>
      <c r="Q141" s="5"/>
      <c r="R141" s="5"/>
      <c r="S141" s="5"/>
      <c r="T141" s="5"/>
      <c r="U141" s="5"/>
      <c r="V141" s="5"/>
      <c r="W141" s="5"/>
      <c r="X141" s="5"/>
      <c r="Y141" s="5"/>
      <c r="Z141" s="5"/>
      <c r="AA141" s="5"/>
      <c r="AB141" s="5"/>
      <c r="AC141" s="5"/>
      <c r="AD141" s="5"/>
      <c r="AE141" s="5"/>
      <c r="AF141" s="5"/>
      <c r="AG141" s="5"/>
      <c r="AH141" s="5"/>
      <c r="AI141" s="5"/>
      <c r="AJ141" s="5"/>
    </row>
    <row r="142" spans="1:36" ht="12.75" x14ac:dyDescent="0.2">
      <c r="A142" s="30" t="s">
        <v>53</v>
      </c>
      <c r="B142" s="31">
        <v>0.5</v>
      </c>
      <c r="C142" s="5"/>
      <c r="D142" s="5"/>
      <c r="E142" s="5"/>
      <c r="F142" s="5"/>
      <c r="G142" s="5"/>
      <c r="H142" s="5"/>
      <c r="I142" s="5"/>
      <c r="J142" s="5"/>
      <c r="K142" s="5"/>
      <c r="L142" s="5"/>
      <c r="M142" s="5"/>
      <c r="N142" s="5"/>
      <c r="O142" s="5"/>
      <c r="P142" s="5"/>
      <c r="Q142" s="5"/>
      <c r="R142" s="5"/>
      <c r="S142" s="5"/>
      <c r="T142" s="5"/>
      <c r="U142" s="5"/>
      <c r="V142" s="5"/>
      <c r="W142" s="5"/>
      <c r="X142" s="5"/>
      <c r="Y142" s="5"/>
      <c r="Z142" s="5"/>
      <c r="AA142" s="5"/>
      <c r="AB142" s="5"/>
      <c r="AC142" s="5"/>
      <c r="AD142" s="5"/>
      <c r="AE142" s="5"/>
      <c r="AF142" s="5"/>
      <c r="AG142" s="5"/>
      <c r="AH142" s="5"/>
      <c r="AI142" s="5"/>
      <c r="AJ142" s="5"/>
    </row>
    <row r="143" spans="1:36" ht="12.75" x14ac:dyDescent="0.2">
      <c r="A143" s="13"/>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c r="AB143" s="5"/>
      <c r="AC143" s="5"/>
      <c r="AD143" s="5"/>
      <c r="AE143" s="5"/>
      <c r="AF143" s="5"/>
      <c r="AG143" s="5"/>
      <c r="AH143" s="5"/>
      <c r="AI143" s="5"/>
      <c r="AJ143" s="5"/>
    </row>
    <row r="144" spans="1:36" ht="12.75" x14ac:dyDescent="0.2">
      <c r="A144" s="40" t="s">
        <v>58</v>
      </c>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5"/>
      <c r="AC144" s="5"/>
      <c r="AD144" s="5"/>
      <c r="AE144" s="5"/>
      <c r="AF144" s="5"/>
      <c r="AG144" s="5"/>
      <c r="AH144" s="5"/>
      <c r="AI144" s="5"/>
      <c r="AJ144" s="5"/>
    </row>
    <row r="145" spans="1:74" ht="12.75" x14ac:dyDescent="0.2">
      <c r="A145" s="30"/>
      <c r="B145" s="30">
        <v>2023</v>
      </c>
      <c r="C145" s="30">
        <v>2024</v>
      </c>
      <c r="D145" s="30">
        <v>2025</v>
      </c>
      <c r="E145" s="30">
        <v>2026</v>
      </c>
      <c r="F145" s="30">
        <v>2027</v>
      </c>
      <c r="G145" s="30">
        <v>2028</v>
      </c>
      <c r="H145" s="30">
        <v>2029</v>
      </c>
      <c r="I145" s="30">
        <v>2030</v>
      </c>
      <c r="J145" s="30">
        <v>2031</v>
      </c>
      <c r="K145" s="30">
        <v>2032</v>
      </c>
      <c r="L145" s="30">
        <v>2033</v>
      </c>
      <c r="M145" s="30">
        <v>2034</v>
      </c>
      <c r="N145" s="30">
        <v>2035</v>
      </c>
      <c r="O145" s="30">
        <v>2036</v>
      </c>
      <c r="P145" s="30">
        <v>2037</v>
      </c>
      <c r="Q145" s="30">
        <v>2038</v>
      </c>
      <c r="R145" s="30">
        <v>2039</v>
      </c>
      <c r="S145" s="30">
        <v>2040</v>
      </c>
      <c r="T145" s="30">
        <v>2041</v>
      </c>
      <c r="U145" s="30">
        <v>2042</v>
      </c>
      <c r="V145" s="30">
        <v>2043</v>
      </c>
      <c r="W145" s="30">
        <v>2044</v>
      </c>
      <c r="X145" s="30">
        <v>2045</v>
      </c>
      <c r="Y145" s="30">
        <v>2046</v>
      </c>
      <c r="Z145" s="30">
        <v>2047</v>
      </c>
      <c r="AA145" s="30">
        <v>2048</v>
      </c>
      <c r="AB145" s="30">
        <v>2049</v>
      </c>
      <c r="AC145" s="30">
        <v>2050</v>
      </c>
      <c r="AD145" s="30"/>
      <c r="AE145" s="30"/>
      <c r="AF145" s="5"/>
      <c r="AG145" s="5"/>
      <c r="AH145" s="5"/>
      <c r="AI145" s="5"/>
      <c r="AJ145" s="5"/>
    </row>
    <row r="146" spans="1:74" ht="12.75" x14ac:dyDescent="0.2">
      <c r="A146" s="5" t="s">
        <v>112</v>
      </c>
      <c r="B146" s="52">
        <f>(($B$137*C50+$B$136*(1-C50))+($B$139*C80+$B$138*(1-C80))+($B$141*$B$142))*(1-$B$140)*B130</f>
        <v>0.37940369807497465</v>
      </c>
      <c r="C146" s="52">
        <f>(($B$137*D50+$B$136*(1-D50))+($B$139*D80+$B$138*(1-D80))+($B$141*$B$142))*(1-$B$140)*C130</f>
        <v>0.38527608915906791</v>
      </c>
      <c r="D146" s="52">
        <f>(($B$137*E50+$B$136*(1-E50))+($B$139*E80+$B$138*(1-E80))+($B$141*$B$142))*(1-$B$140)*D130</f>
        <v>0.39114848024316112</v>
      </c>
      <c r="E146" s="37">
        <v>0</v>
      </c>
      <c r="F146" s="37">
        <v>0</v>
      </c>
      <c r="G146" s="37">
        <v>0</v>
      </c>
      <c r="H146" s="37">
        <v>0</v>
      </c>
      <c r="I146" s="37">
        <v>0</v>
      </c>
      <c r="J146" s="37">
        <v>0</v>
      </c>
      <c r="K146" s="37">
        <v>0</v>
      </c>
      <c r="L146" s="37">
        <v>0</v>
      </c>
      <c r="M146" s="37">
        <v>0</v>
      </c>
      <c r="N146" s="37">
        <v>0</v>
      </c>
      <c r="O146" s="37">
        <v>0</v>
      </c>
      <c r="P146" s="37">
        <v>0</v>
      </c>
      <c r="Q146" s="37">
        <v>0</v>
      </c>
      <c r="R146" s="37">
        <v>0</v>
      </c>
      <c r="S146" s="37">
        <v>0</v>
      </c>
      <c r="T146" s="37">
        <v>0</v>
      </c>
      <c r="U146" s="37">
        <v>0</v>
      </c>
      <c r="V146" s="37">
        <v>0</v>
      </c>
      <c r="W146" s="37">
        <v>0</v>
      </c>
      <c r="X146" s="37">
        <v>0</v>
      </c>
      <c r="Y146" s="37">
        <v>0</v>
      </c>
      <c r="Z146" s="37">
        <v>0</v>
      </c>
      <c r="AA146" s="37">
        <v>0</v>
      </c>
      <c r="AB146" s="37">
        <v>0</v>
      </c>
      <c r="AC146" s="37">
        <v>0</v>
      </c>
      <c r="AD146" s="30"/>
      <c r="AE146" s="30"/>
      <c r="AF146" s="5"/>
      <c r="AG146" s="5"/>
      <c r="AH146" s="5"/>
      <c r="AI146" s="5"/>
      <c r="AJ146" s="5"/>
    </row>
    <row r="147" spans="1:74" ht="12.75" x14ac:dyDescent="0.2">
      <c r="A147" s="30" t="s">
        <v>102</v>
      </c>
      <c r="B147" s="37"/>
      <c r="C147" s="37"/>
      <c r="D147" s="37"/>
      <c r="E147" s="37"/>
      <c r="F147" s="37"/>
      <c r="G147" s="37"/>
      <c r="H147" s="37"/>
      <c r="I147" s="37"/>
      <c r="J147" s="37"/>
      <c r="K147" s="37"/>
      <c r="L147" s="37"/>
      <c r="M147" s="37"/>
      <c r="N147" s="37"/>
      <c r="O147" s="37"/>
      <c r="P147" s="37"/>
      <c r="Q147" s="37"/>
      <c r="R147" s="37"/>
      <c r="S147" s="37"/>
      <c r="T147" s="37"/>
      <c r="U147" s="37"/>
      <c r="V147" s="37"/>
      <c r="W147" s="30"/>
      <c r="X147" s="30"/>
      <c r="Y147" s="30"/>
      <c r="Z147" s="30"/>
      <c r="AA147" s="30"/>
      <c r="AB147" s="30"/>
      <c r="AC147" s="30"/>
      <c r="AD147" s="30"/>
      <c r="AE147" s="30"/>
      <c r="AF147" s="5"/>
      <c r="AG147" s="5"/>
      <c r="AH147" s="5"/>
      <c r="AI147" s="5"/>
      <c r="AJ147" s="5"/>
    </row>
    <row r="148" spans="1:74" ht="12.75" x14ac:dyDescent="0.2">
      <c r="A148" s="30"/>
      <c r="B148" s="37">
        <v>2023</v>
      </c>
      <c r="C148" s="37">
        <v>2024</v>
      </c>
      <c r="D148" s="37">
        <v>2025</v>
      </c>
      <c r="E148" s="37">
        <v>2026</v>
      </c>
      <c r="F148" s="37">
        <v>2027</v>
      </c>
      <c r="G148" s="37">
        <v>2028</v>
      </c>
      <c r="H148" s="37">
        <v>2029</v>
      </c>
      <c r="I148" s="37">
        <v>2030</v>
      </c>
      <c r="J148" s="37">
        <v>2031</v>
      </c>
      <c r="K148" s="37">
        <v>2032</v>
      </c>
      <c r="L148" s="37">
        <v>2033</v>
      </c>
      <c r="M148" s="37">
        <v>2034</v>
      </c>
      <c r="N148" s="37">
        <v>2035</v>
      </c>
      <c r="O148" s="37">
        <v>2036</v>
      </c>
      <c r="P148" s="37">
        <v>2037</v>
      </c>
      <c r="Q148" s="37">
        <v>2038</v>
      </c>
      <c r="R148" s="37">
        <v>2039</v>
      </c>
      <c r="S148" s="37">
        <v>2040</v>
      </c>
      <c r="T148" s="37">
        <v>2041</v>
      </c>
      <c r="U148" s="37">
        <v>2042</v>
      </c>
      <c r="V148" s="37">
        <v>2043</v>
      </c>
      <c r="W148" s="30">
        <v>2044</v>
      </c>
      <c r="X148" s="30">
        <v>2045</v>
      </c>
      <c r="Y148" s="30">
        <v>2046</v>
      </c>
      <c r="Z148" s="30">
        <v>2047</v>
      </c>
      <c r="AA148" s="30">
        <v>2048</v>
      </c>
      <c r="AB148" s="30">
        <v>2049</v>
      </c>
      <c r="AC148" s="30">
        <v>2050</v>
      </c>
      <c r="AD148" s="30"/>
      <c r="AE148" s="30"/>
      <c r="AF148" s="5"/>
      <c r="AG148" s="5"/>
      <c r="AH148" s="5"/>
      <c r="AI148" s="5"/>
      <c r="AJ148" s="5"/>
    </row>
    <row r="149" spans="1:74" ht="12.75" x14ac:dyDescent="0.2">
      <c r="A149" s="5" t="s">
        <v>113</v>
      </c>
      <c r="B149" s="37">
        <f>(($B$137*C50+$B$136*(1-C50))+($B$139*C82+$B$138*(1-C82))+($B$141*$B$142))*(1-$B$140)*B131</f>
        <v>0.41625000000000001</v>
      </c>
      <c r="C149" s="37">
        <f t="shared" ref="C149:AC149" si="14">(($B$137*D50+$B$136*(1-D50))+($B$139*D82+$B$138*(1-D82))+($B$141*$B$142))*(1-$B$140)*C131</f>
        <v>0.41625000000000001</v>
      </c>
      <c r="D149" s="37">
        <f t="shared" si="14"/>
        <v>0.41625000000000001</v>
      </c>
      <c r="E149" s="37">
        <f t="shared" si="14"/>
        <v>0.41625000000000001</v>
      </c>
      <c r="F149" s="37">
        <f t="shared" si="14"/>
        <v>0.41625000000000001</v>
      </c>
      <c r="G149" s="37">
        <f t="shared" si="14"/>
        <v>0.41625000000000001</v>
      </c>
      <c r="H149" s="37">
        <f t="shared" si="14"/>
        <v>0.41625000000000001</v>
      </c>
      <c r="I149" s="37">
        <f t="shared" si="14"/>
        <v>0.41625000000000001</v>
      </c>
      <c r="J149" s="37">
        <f t="shared" si="14"/>
        <v>0.41625000000000001</v>
      </c>
      <c r="K149" s="37">
        <f t="shared" si="14"/>
        <v>0.41625000000000001</v>
      </c>
      <c r="L149" s="37">
        <f t="shared" si="14"/>
        <v>0.41625000000000001</v>
      </c>
      <c r="M149" s="37">
        <f t="shared" si="14"/>
        <v>0.41625000000000001</v>
      </c>
      <c r="N149" s="37">
        <f t="shared" si="14"/>
        <v>0.41625000000000001</v>
      </c>
      <c r="O149" s="37">
        <f t="shared" si="14"/>
        <v>0.41625000000000001</v>
      </c>
      <c r="P149" s="37">
        <f t="shared" si="14"/>
        <v>0.41625000000000001</v>
      </c>
      <c r="Q149" s="37">
        <f t="shared" si="14"/>
        <v>0.41625000000000001</v>
      </c>
      <c r="R149" s="37">
        <f t="shared" si="14"/>
        <v>0.41625000000000001</v>
      </c>
      <c r="S149" s="37">
        <f t="shared" si="14"/>
        <v>0.31218750000000001</v>
      </c>
      <c r="T149" s="37">
        <f t="shared" si="14"/>
        <v>0.208125</v>
      </c>
      <c r="U149" s="37">
        <f t="shared" si="14"/>
        <v>0</v>
      </c>
      <c r="V149" s="37">
        <f t="shared" si="14"/>
        <v>0</v>
      </c>
      <c r="W149" s="37">
        <f t="shared" si="14"/>
        <v>0</v>
      </c>
      <c r="X149" s="37">
        <f t="shared" si="14"/>
        <v>0</v>
      </c>
      <c r="Y149" s="37">
        <f t="shared" si="14"/>
        <v>0</v>
      </c>
      <c r="Z149" s="37">
        <f t="shared" si="14"/>
        <v>0</v>
      </c>
      <c r="AA149" s="37">
        <f t="shared" si="14"/>
        <v>0</v>
      </c>
      <c r="AB149" s="37">
        <f t="shared" si="14"/>
        <v>0</v>
      </c>
      <c r="AC149" s="37">
        <f t="shared" si="14"/>
        <v>0</v>
      </c>
      <c r="AD149" s="30"/>
      <c r="AE149" s="30"/>
      <c r="AF149" s="5"/>
      <c r="AG149" s="5"/>
      <c r="AH149" s="5"/>
      <c r="AI149" s="5"/>
      <c r="AJ149" s="5"/>
    </row>
    <row r="150" spans="1:74" ht="12.75" x14ac:dyDescent="0.2">
      <c r="A150" s="5"/>
      <c r="B150" s="37"/>
      <c r="C150" s="37"/>
      <c r="D150" s="37"/>
      <c r="E150" s="37"/>
      <c r="F150" s="37"/>
      <c r="G150" s="37"/>
      <c r="H150" s="37"/>
      <c r="I150" s="37"/>
      <c r="J150" s="37"/>
      <c r="K150" s="37"/>
      <c r="L150" s="37"/>
      <c r="M150" s="37"/>
      <c r="N150" s="37"/>
      <c r="O150" s="37"/>
      <c r="P150" s="37"/>
      <c r="Q150" s="37"/>
      <c r="R150" s="37"/>
      <c r="S150" s="37"/>
      <c r="T150" s="37"/>
      <c r="U150" s="37"/>
      <c r="V150" s="37"/>
      <c r="W150" s="30"/>
      <c r="X150" s="30"/>
      <c r="Y150" s="30"/>
      <c r="Z150" s="30"/>
      <c r="AA150" s="30"/>
      <c r="AB150" s="30"/>
      <c r="AC150" s="30"/>
      <c r="AD150" s="30"/>
      <c r="AE150" s="30"/>
      <c r="AF150" s="5"/>
      <c r="AG150" s="5"/>
      <c r="AH150" s="5"/>
      <c r="AI150" s="5"/>
      <c r="AJ150" s="5"/>
    </row>
    <row r="151" spans="1:74" ht="12.75" x14ac:dyDescent="0.2">
      <c r="A151" s="30"/>
      <c r="B151" s="37">
        <v>2023</v>
      </c>
      <c r="C151" s="37">
        <v>2024</v>
      </c>
      <c r="D151" s="37">
        <v>2025</v>
      </c>
      <c r="E151" s="37">
        <v>2026</v>
      </c>
      <c r="F151" s="37">
        <v>2027</v>
      </c>
      <c r="G151" s="37">
        <v>2028</v>
      </c>
      <c r="H151" s="37">
        <v>2029</v>
      </c>
      <c r="I151" s="37">
        <v>2030</v>
      </c>
      <c r="J151" s="37">
        <v>2031</v>
      </c>
      <c r="K151" s="37">
        <v>2032</v>
      </c>
      <c r="L151" s="37">
        <v>2033</v>
      </c>
      <c r="M151" s="37">
        <v>2034</v>
      </c>
      <c r="N151" s="37">
        <v>2035</v>
      </c>
      <c r="O151" s="37">
        <v>2036</v>
      </c>
      <c r="P151" s="37">
        <v>2037</v>
      </c>
      <c r="Q151" s="37">
        <v>2038</v>
      </c>
      <c r="R151" s="37">
        <v>2039</v>
      </c>
      <c r="S151" s="37">
        <v>2040</v>
      </c>
      <c r="T151" s="37">
        <v>2041</v>
      </c>
      <c r="U151" s="37">
        <v>2042</v>
      </c>
      <c r="V151" s="37">
        <v>2043</v>
      </c>
      <c r="W151" s="30">
        <v>2044</v>
      </c>
      <c r="X151" s="30">
        <v>2045</v>
      </c>
      <c r="Y151" s="30">
        <v>2046</v>
      </c>
      <c r="Z151" s="30">
        <v>2047</v>
      </c>
      <c r="AA151" s="30">
        <v>2048</v>
      </c>
      <c r="AB151" s="30">
        <v>2049</v>
      </c>
      <c r="AC151" s="30">
        <v>2050</v>
      </c>
      <c r="AD151" s="30"/>
      <c r="AE151" s="30"/>
      <c r="AF151" s="5"/>
      <c r="AG151" s="5"/>
      <c r="AH151" s="5"/>
      <c r="AI151" s="5"/>
      <c r="AJ151" s="5"/>
    </row>
    <row r="152" spans="1:74" ht="12.75" x14ac:dyDescent="0.2">
      <c r="A152" s="5" t="s">
        <v>114</v>
      </c>
      <c r="B152" s="37">
        <f>(($B$137*C50+$B$136*(1-C50))+($B$139*C82+$B$138*(1-C82))+($B$141*$B$142))*(1-$B$140)*B132</f>
        <v>0.41625000000000001</v>
      </c>
      <c r="C152" s="37">
        <f t="shared" ref="C152:AC152" si="15">(($B$137*D50+$B$136*(1-D50))+($B$139*D82+$B$138*(1-D82))+($B$141*$B$142))*(1-$B$140)*C132</f>
        <v>0.41625000000000001</v>
      </c>
      <c r="D152" s="37">
        <f t="shared" si="15"/>
        <v>0.41625000000000001</v>
      </c>
      <c r="E152" s="37">
        <f t="shared" si="15"/>
        <v>0.41625000000000001</v>
      </c>
      <c r="F152" s="37">
        <f t="shared" si="15"/>
        <v>0.41625000000000001</v>
      </c>
      <c r="G152" s="37">
        <f t="shared" si="15"/>
        <v>0.41625000000000001</v>
      </c>
      <c r="H152" s="37">
        <f t="shared" si="15"/>
        <v>0.41625000000000001</v>
      </c>
      <c r="I152" s="37">
        <f t="shared" si="15"/>
        <v>0.41625000000000001</v>
      </c>
      <c r="J152" s="37">
        <f t="shared" si="15"/>
        <v>0.41625000000000001</v>
      </c>
      <c r="K152" s="37">
        <f t="shared" si="15"/>
        <v>0.41625000000000001</v>
      </c>
      <c r="L152" s="37">
        <f t="shared" si="15"/>
        <v>0.41625000000000001</v>
      </c>
      <c r="M152" s="37">
        <f t="shared" si="15"/>
        <v>0.41625000000000001</v>
      </c>
      <c r="N152" s="37">
        <f t="shared" si="15"/>
        <v>0.41625000000000001</v>
      </c>
      <c r="O152" s="37">
        <f t="shared" si="15"/>
        <v>0.41625000000000001</v>
      </c>
      <c r="P152" s="37">
        <f t="shared" si="15"/>
        <v>0.41625000000000001</v>
      </c>
      <c r="Q152" s="37">
        <f t="shared" si="15"/>
        <v>0.41625000000000001</v>
      </c>
      <c r="R152" s="37">
        <f t="shared" si="15"/>
        <v>0.31218750000000001</v>
      </c>
      <c r="S152" s="37">
        <f t="shared" si="15"/>
        <v>0.208125</v>
      </c>
      <c r="T152" s="37">
        <f t="shared" si="15"/>
        <v>0</v>
      </c>
      <c r="U152" s="37">
        <f t="shared" si="15"/>
        <v>0</v>
      </c>
      <c r="V152" s="37">
        <f t="shared" si="15"/>
        <v>0</v>
      </c>
      <c r="W152" s="37">
        <f t="shared" si="15"/>
        <v>0</v>
      </c>
      <c r="X152" s="37">
        <f t="shared" si="15"/>
        <v>0</v>
      </c>
      <c r="Y152" s="37">
        <f t="shared" si="15"/>
        <v>0</v>
      </c>
      <c r="Z152" s="37">
        <f t="shared" si="15"/>
        <v>0</v>
      </c>
      <c r="AA152" s="37">
        <f t="shared" si="15"/>
        <v>0</v>
      </c>
      <c r="AB152" s="37">
        <f t="shared" si="15"/>
        <v>0</v>
      </c>
      <c r="AC152" s="37">
        <f t="shared" si="15"/>
        <v>0</v>
      </c>
      <c r="AD152" s="30"/>
      <c r="AE152" s="30"/>
      <c r="AF152" s="5"/>
      <c r="AG152" s="5"/>
      <c r="AH152" s="5"/>
      <c r="AI152" s="5"/>
      <c r="AJ152" s="5"/>
    </row>
    <row r="153" spans="1:74" ht="12.75" x14ac:dyDescent="0.2">
      <c r="A153" s="30"/>
      <c r="B153" s="37"/>
      <c r="C153" s="37"/>
      <c r="D153" s="37"/>
      <c r="E153" s="37"/>
      <c r="F153" s="37"/>
      <c r="G153" s="37"/>
      <c r="H153" s="37"/>
      <c r="I153" s="37"/>
      <c r="J153" s="37"/>
      <c r="K153" s="37"/>
      <c r="L153" s="37"/>
      <c r="M153" s="37"/>
      <c r="N153" s="37"/>
      <c r="O153" s="37"/>
      <c r="P153" s="37"/>
      <c r="Q153" s="37"/>
      <c r="R153" s="37"/>
      <c r="S153" s="37"/>
      <c r="T153" s="37"/>
      <c r="U153" s="37"/>
      <c r="V153" s="37"/>
      <c r="W153" s="30"/>
      <c r="X153" s="30"/>
      <c r="Y153" s="30"/>
      <c r="Z153" s="30"/>
      <c r="AA153" s="30"/>
      <c r="AB153" s="30"/>
      <c r="AC153" s="30"/>
      <c r="AD153" s="30"/>
      <c r="AE153" s="30"/>
      <c r="AF153" s="5"/>
      <c r="AG153" s="5"/>
      <c r="AH153" s="5"/>
      <c r="AI153" s="5"/>
      <c r="AJ153" s="5"/>
    </row>
    <row r="154" spans="1:74" ht="12.75" x14ac:dyDescent="0.2">
      <c r="A154" s="30"/>
      <c r="B154" s="37">
        <v>2023</v>
      </c>
      <c r="C154" s="37">
        <v>2024</v>
      </c>
      <c r="D154" s="37">
        <v>2025</v>
      </c>
      <c r="E154" s="37">
        <v>2026</v>
      </c>
      <c r="F154" s="37">
        <v>2027</v>
      </c>
      <c r="G154" s="37">
        <v>2028</v>
      </c>
      <c r="H154" s="37">
        <v>2029</v>
      </c>
      <c r="I154" s="37">
        <v>2030</v>
      </c>
      <c r="J154" s="37">
        <v>2031</v>
      </c>
      <c r="K154" s="37">
        <v>2032</v>
      </c>
      <c r="L154" s="37">
        <v>2033</v>
      </c>
      <c r="M154" s="37">
        <v>2034</v>
      </c>
      <c r="N154" s="37">
        <v>2035</v>
      </c>
      <c r="O154" s="37">
        <v>2036</v>
      </c>
      <c r="P154" s="37">
        <v>2037</v>
      </c>
      <c r="Q154" s="37">
        <v>2038</v>
      </c>
      <c r="R154" s="37">
        <v>2039</v>
      </c>
      <c r="S154" s="37">
        <v>2040</v>
      </c>
      <c r="T154" s="37">
        <v>2041</v>
      </c>
      <c r="U154" s="37">
        <v>2042</v>
      </c>
      <c r="V154" s="37">
        <v>2043</v>
      </c>
      <c r="W154" s="30">
        <v>2044</v>
      </c>
      <c r="X154" s="30">
        <v>2045</v>
      </c>
      <c r="Y154" s="30">
        <v>2046</v>
      </c>
      <c r="Z154" s="30">
        <v>2047</v>
      </c>
      <c r="AA154" s="30">
        <v>2048</v>
      </c>
      <c r="AB154" s="30">
        <v>2049</v>
      </c>
      <c r="AC154" s="30">
        <v>2050</v>
      </c>
      <c r="AD154" s="30"/>
      <c r="AE154" s="30"/>
      <c r="AF154" s="5"/>
      <c r="AG154" s="5"/>
      <c r="AH154" s="5"/>
      <c r="AI154" s="5"/>
      <c r="AJ154" s="5"/>
    </row>
    <row r="155" spans="1:74" ht="12.75" x14ac:dyDescent="0.2">
      <c r="A155" s="5" t="s">
        <v>59</v>
      </c>
      <c r="B155" s="37">
        <f>(($B$137*C50+$B$136*(1-C50))+($B$139*C82+$B$138*(1-C82))+($B$141*$B$142))*(1-$B$140)*B133</f>
        <v>0.41625000000000001</v>
      </c>
      <c r="C155" s="37">
        <f t="shared" ref="C155:AC155" si="16">(($B$137*D50+$B$136*(1-D50))+($B$139*D82+$B$138*(1-D82))+($B$141*$B$142))*(1-$B$140)*C133</f>
        <v>0.41625000000000001</v>
      </c>
      <c r="D155" s="37">
        <f t="shared" si="16"/>
        <v>0.41625000000000001</v>
      </c>
      <c r="E155" s="37">
        <f t="shared" si="16"/>
        <v>0.41625000000000001</v>
      </c>
      <c r="F155" s="37">
        <f t="shared" si="16"/>
        <v>0.41625000000000001</v>
      </c>
      <c r="G155" s="37">
        <f t="shared" si="16"/>
        <v>0.41625000000000001</v>
      </c>
      <c r="H155" s="37">
        <f t="shared" si="16"/>
        <v>0.41625000000000001</v>
      </c>
      <c r="I155" s="37">
        <f t="shared" si="16"/>
        <v>0.41625000000000001</v>
      </c>
      <c r="J155" s="37">
        <f t="shared" si="16"/>
        <v>0.41625000000000001</v>
      </c>
      <c r="K155" s="37">
        <f t="shared" si="16"/>
        <v>0.41625000000000001</v>
      </c>
      <c r="L155" s="37">
        <f t="shared" si="16"/>
        <v>0.41625000000000001</v>
      </c>
      <c r="M155" s="37">
        <f t="shared" si="16"/>
        <v>0.41625000000000001</v>
      </c>
      <c r="N155" s="37">
        <f t="shared" si="16"/>
        <v>0.41625000000000001</v>
      </c>
      <c r="O155" s="37">
        <f t="shared" si="16"/>
        <v>0.41625000000000001</v>
      </c>
      <c r="P155" s="37">
        <f t="shared" si="16"/>
        <v>0.41625000000000001</v>
      </c>
      <c r="Q155" s="37">
        <f t="shared" si="16"/>
        <v>0.41625000000000001</v>
      </c>
      <c r="R155" s="37">
        <f t="shared" si="16"/>
        <v>0.41625000000000001</v>
      </c>
      <c r="S155" s="37">
        <f t="shared" si="16"/>
        <v>0.31218750000000001</v>
      </c>
      <c r="T155" s="37">
        <f t="shared" si="16"/>
        <v>0.208125</v>
      </c>
      <c r="U155" s="37">
        <f t="shared" si="16"/>
        <v>0</v>
      </c>
      <c r="V155" s="37">
        <f t="shared" si="16"/>
        <v>0</v>
      </c>
      <c r="W155" s="37">
        <f t="shared" si="16"/>
        <v>0</v>
      </c>
      <c r="X155" s="37">
        <f t="shared" si="16"/>
        <v>0</v>
      </c>
      <c r="Y155" s="37">
        <f t="shared" si="16"/>
        <v>0</v>
      </c>
      <c r="Z155" s="37">
        <f t="shared" si="16"/>
        <v>0</v>
      </c>
      <c r="AA155" s="37">
        <f t="shared" si="16"/>
        <v>0</v>
      </c>
      <c r="AB155" s="37">
        <f t="shared" si="16"/>
        <v>0</v>
      </c>
      <c r="AC155" s="37">
        <f t="shared" si="16"/>
        <v>0</v>
      </c>
      <c r="AD155" s="30"/>
      <c r="AE155" s="30"/>
      <c r="AF155" s="5"/>
      <c r="AG155" s="5"/>
      <c r="AH155" s="5"/>
      <c r="AI155" s="5"/>
      <c r="AJ155" s="5"/>
    </row>
    <row r="156" spans="1:74" ht="12.75" x14ac:dyDescent="0.2">
      <c r="A156" s="5"/>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c r="AA156" s="37"/>
      <c r="AB156" s="37"/>
      <c r="AC156" s="37"/>
      <c r="AD156" s="30"/>
      <c r="AE156" s="30"/>
      <c r="AF156" s="5"/>
      <c r="AG156" s="5"/>
      <c r="AH156" s="5"/>
      <c r="AI156" s="5"/>
      <c r="AJ156" s="5"/>
    </row>
    <row r="157" spans="1:74" ht="12.75" x14ac:dyDescent="0.2">
      <c r="A157" s="30"/>
      <c r="B157" s="37">
        <v>2023</v>
      </c>
      <c r="C157" s="37">
        <v>2024</v>
      </c>
      <c r="D157" s="37">
        <v>2025</v>
      </c>
      <c r="E157" s="37">
        <v>2026</v>
      </c>
      <c r="F157" s="37">
        <v>2027</v>
      </c>
      <c r="G157" s="37">
        <v>2028</v>
      </c>
      <c r="H157" s="37">
        <v>2029</v>
      </c>
      <c r="I157" s="37">
        <v>2030</v>
      </c>
      <c r="J157" s="37">
        <v>2031</v>
      </c>
      <c r="K157" s="37">
        <v>2032</v>
      </c>
      <c r="L157" s="37">
        <v>2033</v>
      </c>
      <c r="M157" s="37">
        <v>2034</v>
      </c>
      <c r="N157" s="37">
        <v>2035</v>
      </c>
      <c r="O157" s="37">
        <v>2036</v>
      </c>
      <c r="P157" s="37">
        <v>2037</v>
      </c>
      <c r="Q157" s="37">
        <v>2038</v>
      </c>
      <c r="R157" s="37">
        <v>2039</v>
      </c>
      <c r="S157" s="37">
        <v>2040</v>
      </c>
      <c r="T157" s="37">
        <v>2041</v>
      </c>
      <c r="U157" s="37">
        <v>2042</v>
      </c>
      <c r="V157" s="37">
        <v>2043</v>
      </c>
      <c r="W157" s="30">
        <v>2044</v>
      </c>
      <c r="X157" s="30">
        <v>2045</v>
      </c>
      <c r="Y157" s="30">
        <v>2046</v>
      </c>
      <c r="Z157" s="30">
        <v>2047</v>
      </c>
      <c r="AA157" s="30">
        <v>2048</v>
      </c>
      <c r="AB157" s="30">
        <v>2049</v>
      </c>
      <c r="AC157" s="30">
        <v>2050</v>
      </c>
      <c r="AD157" s="30"/>
      <c r="AE157" s="30"/>
      <c r="AF157" s="5"/>
      <c r="AG157" s="5"/>
      <c r="AH157" s="5"/>
      <c r="AI157" s="5"/>
      <c r="AJ157" s="5"/>
    </row>
    <row r="158" spans="1:74" ht="12.75" x14ac:dyDescent="0.2">
      <c r="A158" s="5" t="s">
        <v>127</v>
      </c>
      <c r="B158" s="37">
        <f>(($B$137*C50+$B$136*(1-C50))+($B$139*C82)+($B$141*$B$142))*(1-$B$140)*B134</f>
        <v>0.41625000000000001</v>
      </c>
      <c r="C158" s="37">
        <f t="shared" ref="C158:AC158" si="17">(($B$137*D50+$B$136*(1-D50))+($B$139*D82)+($B$141*$B$142))*(1-$B$140)*C134</f>
        <v>0.41625000000000001</v>
      </c>
      <c r="D158" s="37">
        <f t="shared" si="17"/>
        <v>0.41625000000000001</v>
      </c>
      <c r="E158" s="37">
        <f t="shared" si="17"/>
        <v>0.41625000000000001</v>
      </c>
      <c r="F158" s="37">
        <f t="shared" si="17"/>
        <v>0.41625000000000001</v>
      </c>
      <c r="G158" s="37">
        <f t="shared" si="17"/>
        <v>0.41625000000000001</v>
      </c>
      <c r="H158" s="37">
        <f t="shared" si="17"/>
        <v>0.41625000000000001</v>
      </c>
      <c r="I158" s="37">
        <f t="shared" si="17"/>
        <v>0.41625000000000001</v>
      </c>
      <c r="J158" s="37">
        <f t="shared" si="17"/>
        <v>0.41625000000000001</v>
      </c>
      <c r="K158" s="37">
        <f t="shared" si="17"/>
        <v>0.41625000000000001</v>
      </c>
      <c r="L158" s="37">
        <f t="shared" si="17"/>
        <v>0.41625000000000001</v>
      </c>
      <c r="M158" s="37">
        <f t="shared" si="17"/>
        <v>0.41625000000000001</v>
      </c>
      <c r="N158" s="37">
        <f t="shared" si="17"/>
        <v>0.41625000000000001</v>
      </c>
      <c r="O158" s="37">
        <f t="shared" si="17"/>
        <v>0.41625000000000001</v>
      </c>
      <c r="P158" s="37">
        <f t="shared" si="17"/>
        <v>0.41625000000000001</v>
      </c>
      <c r="Q158" s="37">
        <f t="shared" si="17"/>
        <v>0.31218750000000001</v>
      </c>
      <c r="R158" s="37">
        <f t="shared" si="17"/>
        <v>0.208125</v>
      </c>
      <c r="S158" s="37">
        <f t="shared" si="17"/>
        <v>0</v>
      </c>
      <c r="T158" s="37">
        <f t="shared" si="17"/>
        <v>0</v>
      </c>
      <c r="U158" s="37">
        <f t="shared" si="17"/>
        <v>0</v>
      </c>
      <c r="V158" s="37">
        <f t="shared" si="17"/>
        <v>0</v>
      </c>
      <c r="W158" s="37">
        <f t="shared" si="17"/>
        <v>0</v>
      </c>
      <c r="X158" s="37">
        <f t="shared" si="17"/>
        <v>0</v>
      </c>
      <c r="Y158" s="37">
        <f t="shared" si="17"/>
        <v>0</v>
      </c>
      <c r="Z158" s="37">
        <f t="shared" si="17"/>
        <v>0</v>
      </c>
      <c r="AA158" s="37">
        <f t="shared" si="17"/>
        <v>0</v>
      </c>
      <c r="AB158" s="37">
        <f t="shared" si="17"/>
        <v>0</v>
      </c>
      <c r="AC158" s="37">
        <f t="shared" si="17"/>
        <v>0</v>
      </c>
      <c r="AD158" s="30"/>
      <c r="AE158" s="30"/>
      <c r="AF158" s="5"/>
      <c r="AG158" s="5"/>
      <c r="AH158" s="5"/>
      <c r="AI158" s="5"/>
      <c r="AJ158" s="5"/>
    </row>
    <row r="159" spans="1:74" s="35" customFormat="1" ht="12.75" x14ac:dyDescent="0.2">
      <c r="A159" s="32" t="s">
        <v>115</v>
      </c>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c r="AC159" s="38"/>
      <c r="AD159" s="33"/>
      <c r="AE159" s="33"/>
      <c r="AF159" s="34"/>
      <c r="AG159" s="34"/>
      <c r="AH159" s="34"/>
      <c r="AI159" s="34"/>
      <c r="AJ159" s="34"/>
    </row>
    <row r="160" spans="1:74" ht="12.75" x14ac:dyDescent="0.2">
      <c r="A160" s="5"/>
      <c r="B160" s="5">
        <v>2023</v>
      </c>
      <c r="C160" s="5">
        <v>2024</v>
      </c>
      <c r="D160" s="5">
        <v>2025</v>
      </c>
      <c r="E160" s="5">
        <v>2026</v>
      </c>
      <c r="F160" s="5">
        <v>2027</v>
      </c>
      <c r="G160" s="5">
        <v>2028</v>
      </c>
      <c r="H160" s="5">
        <v>2029</v>
      </c>
      <c r="I160" s="5">
        <v>2030</v>
      </c>
      <c r="J160" s="5">
        <v>2031</v>
      </c>
      <c r="K160" s="5">
        <v>2032</v>
      </c>
      <c r="L160" s="5">
        <v>2033</v>
      </c>
      <c r="M160" s="5">
        <v>2034</v>
      </c>
      <c r="N160" s="5">
        <v>2035</v>
      </c>
      <c r="O160" s="5">
        <v>2036</v>
      </c>
      <c r="P160" s="5">
        <v>2037</v>
      </c>
      <c r="Q160" s="5">
        <v>2038</v>
      </c>
      <c r="R160" s="5">
        <v>2039</v>
      </c>
      <c r="S160" s="5">
        <v>2040</v>
      </c>
      <c r="T160" s="5">
        <v>2041</v>
      </c>
      <c r="U160" s="5">
        <v>2042</v>
      </c>
      <c r="V160" s="5">
        <v>2043</v>
      </c>
      <c r="W160" s="5">
        <v>2044</v>
      </c>
      <c r="X160" s="5">
        <v>2045</v>
      </c>
      <c r="Y160" s="5">
        <v>2046</v>
      </c>
      <c r="Z160" s="5">
        <v>2047</v>
      </c>
      <c r="AA160" s="5">
        <v>2048</v>
      </c>
      <c r="AB160" s="5">
        <v>2049</v>
      </c>
      <c r="AC160" s="5">
        <v>2050</v>
      </c>
      <c r="AD160" s="5"/>
      <c r="AE160" s="5"/>
      <c r="AF160" s="5"/>
      <c r="AG160" s="5"/>
      <c r="AH160" s="5"/>
      <c r="AI160" s="5"/>
      <c r="AJ160" s="5"/>
      <c r="AK160" s="5"/>
      <c r="AL160" s="5"/>
      <c r="AM160" s="5"/>
      <c r="AN160" s="5"/>
      <c r="AO160" s="5"/>
      <c r="AP160" s="5"/>
      <c r="AQ160" s="5"/>
      <c r="AR160" s="5"/>
      <c r="AS160" s="5"/>
      <c r="AT160" s="5"/>
      <c r="AU160" s="5"/>
      <c r="AV160" s="5"/>
      <c r="AW160" s="5"/>
      <c r="AX160" s="5"/>
      <c r="AY160" s="5"/>
      <c r="AZ160" s="5"/>
      <c r="BA160" s="5"/>
      <c r="BB160" s="5"/>
      <c r="BC160" s="5"/>
      <c r="BD160" s="5"/>
      <c r="BE160" s="5"/>
      <c r="BF160" s="5"/>
      <c r="BG160" s="5"/>
      <c r="BH160" s="5"/>
      <c r="BI160" s="5"/>
      <c r="BJ160" s="5"/>
      <c r="BK160" s="5"/>
      <c r="BL160" s="5"/>
      <c r="BM160" s="5"/>
      <c r="BN160" s="5"/>
      <c r="BO160" s="5"/>
      <c r="BP160" s="5"/>
      <c r="BQ160" s="5"/>
      <c r="BR160" s="5"/>
      <c r="BS160" s="5"/>
      <c r="BT160" s="5"/>
      <c r="BU160" s="5"/>
      <c r="BV160" s="5"/>
    </row>
    <row r="161" spans="1:74" ht="12.75" x14ac:dyDescent="0.2">
      <c r="A161" s="5" t="s">
        <v>116</v>
      </c>
      <c r="B161" s="53">
        <f>'[1]Solar - Utility PV'!O152/1000</f>
        <v>1.3313527873137889</v>
      </c>
      <c r="C161" s="53">
        <f>'[1]Solar - Utility PV'!P152/1000</f>
        <v>1.2895074168949341</v>
      </c>
      <c r="D161" s="53">
        <f>'[1]Solar - Utility PV'!Q152/1000</f>
        <v>1.2476620464760786</v>
      </c>
      <c r="E161" s="53">
        <f>'[1]Solar - Utility PV'!R152/1000</f>
        <v>1.2058166760572233</v>
      </c>
      <c r="F161" s="53">
        <f>'[1]Solar - Utility PV'!S152/1000</f>
        <v>1.1639713056383683</v>
      </c>
      <c r="G161" s="53">
        <f>'[1]Solar - Utility PV'!T152/1000</f>
        <v>1.122125935219513</v>
      </c>
      <c r="H161" s="53">
        <f>'[1]Solar - Utility PV'!U152/1000</f>
        <v>1.0802805648006577</v>
      </c>
      <c r="I161" s="53">
        <f>'[1]Solar - Utility PV'!V152/1000</f>
        <v>1.0384351943818024</v>
      </c>
      <c r="J161" s="53">
        <f>'[1]Solar - Utility PV'!W152/1000</f>
        <v>0.99658982396294715</v>
      </c>
      <c r="K161" s="53">
        <f>'[1]Solar - Utility PV'!X152/1000</f>
        <v>0.95474445354409199</v>
      </c>
      <c r="L161" s="53">
        <f>'[1]Solar - Utility PV'!Y152/1000</f>
        <v>0.91289908312523671</v>
      </c>
      <c r="M161" s="53">
        <f>'[1]Solar - Utility PV'!Z152/1000</f>
        <v>0.87105371270638143</v>
      </c>
      <c r="N161" s="53">
        <f>'[1]Solar - Utility PV'!AA152/1000</f>
        <v>0.8292083422875256</v>
      </c>
      <c r="O161" s="53">
        <f>'[1]Solar - Utility PV'!AB152/1000</f>
        <v>0.81609242237332258</v>
      </c>
      <c r="P161" s="53">
        <f>'[1]Solar - Utility PV'!AC152/1000</f>
        <v>0.80297650245911978</v>
      </c>
      <c r="Q161" s="53">
        <f>'[1]Solar - Utility PV'!AD152/1000</f>
        <v>0.78986058254491687</v>
      </c>
      <c r="R161" s="53">
        <f>'[1]Solar - Utility PV'!AE152/1000</f>
        <v>0.77674466263071396</v>
      </c>
      <c r="S161" s="53">
        <f>'[1]Solar - Utility PV'!AF152/1000</f>
        <v>0.76362874271651093</v>
      </c>
      <c r="T161" s="53">
        <f>'[1]Solar - Utility PV'!AG152/1000</f>
        <v>0.75051282280230802</v>
      </c>
      <c r="U161" s="53">
        <f>'[1]Solar - Utility PV'!AH152/1000</f>
        <v>0.73739690288810511</v>
      </c>
      <c r="V161" s="53">
        <f>'[1]Solar - Utility PV'!AI152/1000</f>
        <v>0.7242809829739022</v>
      </c>
      <c r="W161" s="53">
        <f>'[1]Solar - Utility PV'!AJ152/1000</f>
        <v>0.7111650630596994</v>
      </c>
      <c r="X161" s="53">
        <f>'[1]Solar - Utility PV'!AK152/1000</f>
        <v>0.69804914314549638</v>
      </c>
      <c r="Y161" s="53">
        <f>'[1]Solar - Utility PV'!AL152/1000</f>
        <v>0.68493322323129346</v>
      </c>
      <c r="Z161" s="53">
        <f>'[1]Solar - Utility PV'!AM152/1000</f>
        <v>0.67181730331709055</v>
      </c>
      <c r="AA161" s="53">
        <f>'[1]Solar - Utility PV'!AN152/1000</f>
        <v>0.65870138340288764</v>
      </c>
      <c r="AB161" s="53">
        <f>'[1]Solar - Utility PV'!AO152/1000</f>
        <v>0.64558546348868484</v>
      </c>
      <c r="AC161" s="53">
        <f>'[1]Solar - Utility PV'!AP152/1000</f>
        <v>0.63246954357448171</v>
      </c>
      <c r="AD161" s="5"/>
      <c r="AE161" s="5"/>
      <c r="AF161" s="5"/>
      <c r="AG161" s="5"/>
      <c r="AH161" s="5"/>
      <c r="AI161" s="5"/>
      <c r="AJ161" s="5"/>
      <c r="AK161" s="5"/>
      <c r="AL161" s="5"/>
      <c r="AM161" s="5"/>
      <c r="AN161" s="5"/>
      <c r="AO161" s="5"/>
      <c r="AP161" s="5"/>
      <c r="AQ161" s="5"/>
      <c r="AR161" s="5"/>
      <c r="AS161" s="5"/>
      <c r="AT161" s="5"/>
      <c r="AU161" s="5"/>
      <c r="AV161" s="5"/>
      <c r="AW161" s="5"/>
      <c r="AX161" s="5"/>
      <c r="AY161" s="5"/>
      <c r="AZ161" s="5"/>
      <c r="BA161" s="5"/>
      <c r="BB161" s="5"/>
      <c r="BC161" s="5"/>
      <c r="BD161" s="5"/>
      <c r="BE161" s="5"/>
      <c r="BF161" s="5"/>
      <c r="BG161" s="5"/>
      <c r="BH161" s="5"/>
      <c r="BI161" s="5"/>
      <c r="BJ161" s="5"/>
      <c r="BK161" s="5"/>
      <c r="BL161" s="5"/>
      <c r="BM161" s="5"/>
      <c r="BN161" s="5"/>
      <c r="BO161" s="5"/>
      <c r="BP161" s="5"/>
      <c r="BQ161" s="5"/>
      <c r="BR161" s="5"/>
      <c r="BS161" s="5"/>
      <c r="BT161" s="5"/>
      <c r="BU161" s="5"/>
      <c r="BV161" s="5"/>
    </row>
    <row r="162" spans="1:74" ht="12.75" x14ac:dyDescent="0.2">
      <c r="A162" s="5" t="s">
        <v>117</v>
      </c>
      <c r="B162" s="27">
        <v>0.25</v>
      </c>
      <c r="C162" s="27">
        <v>0.25</v>
      </c>
      <c r="D162" s="27">
        <v>0.25</v>
      </c>
      <c r="E162" s="27">
        <v>0.25</v>
      </c>
      <c r="F162" s="27">
        <v>0.25</v>
      </c>
      <c r="G162" s="27">
        <v>0.25</v>
      </c>
      <c r="H162" s="27">
        <v>0.25</v>
      </c>
      <c r="I162" s="27">
        <v>0.25</v>
      </c>
      <c r="J162" s="27">
        <v>0.25</v>
      </c>
      <c r="K162" s="27">
        <v>0.25</v>
      </c>
      <c r="L162" s="27">
        <v>0.25</v>
      </c>
      <c r="M162" s="27">
        <v>0.25</v>
      </c>
      <c r="N162" s="27">
        <v>0.25</v>
      </c>
      <c r="O162" s="27">
        <v>0.25</v>
      </c>
      <c r="P162" s="27">
        <v>0.25</v>
      </c>
      <c r="Q162" s="27">
        <v>0.25</v>
      </c>
      <c r="R162" s="27">
        <v>0.25</v>
      </c>
      <c r="S162" s="27">
        <v>0.25</v>
      </c>
      <c r="T162" s="27">
        <v>0.25</v>
      </c>
      <c r="U162" s="27">
        <v>0.25</v>
      </c>
      <c r="V162" s="27">
        <v>0.25</v>
      </c>
      <c r="W162" s="27">
        <v>0.25</v>
      </c>
      <c r="X162" s="27">
        <v>0.25</v>
      </c>
      <c r="Y162" s="27">
        <v>0.25</v>
      </c>
      <c r="Z162" s="27">
        <v>0.25</v>
      </c>
      <c r="AA162" s="27">
        <v>0.25</v>
      </c>
      <c r="AB162" s="27">
        <v>0.25</v>
      </c>
      <c r="AC162" s="27">
        <v>0.25</v>
      </c>
      <c r="AD162" s="5"/>
      <c r="AE162" s="5"/>
      <c r="AF162" s="5"/>
      <c r="AG162" s="5"/>
      <c r="AH162" s="5"/>
      <c r="AI162" s="5"/>
      <c r="AJ162" s="5"/>
      <c r="AK162" s="5"/>
      <c r="AL162" s="5"/>
      <c r="AM162" s="5"/>
      <c r="AN162" s="5"/>
      <c r="AO162" s="5"/>
      <c r="AP162" s="5"/>
      <c r="AQ162" s="5"/>
      <c r="AR162" s="5"/>
      <c r="AS162" s="5"/>
      <c r="AT162" s="5"/>
      <c r="AU162" s="5"/>
      <c r="AV162" s="5"/>
      <c r="AW162" s="5"/>
      <c r="AX162" s="5"/>
      <c r="AY162" s="5"/>
      <c r="AZ162" s="5"/>
      <c r="BA162" s="5"/>
      <c r="BB162" s="5"/>
      <c r="BC162" s="5"/>
      <c r="BD162" s="5"/>
      <c r="BE162" s="5"/>
      <c r="BF162" s="5"/>
      <c r="BG162" s="5"/>
      <c r="BH162" s="5"/>
      <c r="BI162" s="5"/>
      <c r="BJ162" s="5"/>
      <c r="BK162" s="5"/>
      <c r="BL162" s="5"/>
      <c r="BM162" s="5"/>
      <c r="BN162" s="5"/>
      <c r="BO162" s="5"/>
      <c r="BP162" s="5"/>
      <c r="BQ162" s="5"/>
      <c r="BR162" s="5"/>
      <c r="BS162" s="5"/>
      <c r="BT162" s="5"/>
      <c r="BU162" s="5"/>
      <c r="BV162" s="5"/>
    </row>
    <row r="163" spans="1:74" ht="12.75" x14ac:dyDescent="0.2">
      <c r="A163" s="5"/>
      <c r="B163" s="27"/>
      <c r="C163" s="27"/>
      <c r="D163" s="27"/>
      <c r="E163" s="27"/>
      <c r="F163" s="27"/>
      <c r="G163" s="27"/>
      <c r="H163" s="27"/>
      <c r="I163" s="27"/>
      <c r="J163" s="27"/>
      <c r="K163" s="27"/>
      <c r="L163" s="27"/>
      <c r="M163" s="27"/>
      <c r="N163" s="27"/>
      <c r="O163" s="27"/>
      <c r="P163" s="27"/>
      <c r="Q163" s="27"/>
      <c r="R163" s="27"/>
      <c r="S163" s="27"/>
      <c r="T163" s="27"/>
      <c r="U163" s="27"/>
      <c r="V163" s="27"/>
      <c r="W163" s="27"/>
      <c r="X163" s="27"/>
      <c r="Y163" s="27"/>
      <c r="Z163" s="27"/>
      <c r="AA163" s="27"/>
      <c r="AB163" s="27"/>
      <c r="AC163" s="27"/>
      <c r="AD163" s="5"/>
      <c r="AE163" s="5"/>
      <c r="AF163" s="5"/>
      <c r="AG163" s="5"/>
      <c r="AH163" s="5"/>
      <c r="AI163" s="5"/>
      <c r="AJ163" s="5"/>
      <c r="AK163" s="5"/>
      <c r="AL163" s="5"/>
      <c r="AM163" s="5"/>
      <c r="AN163" s="5"/>
      <c r="AO163" s="5"/>
      <c r="AP163" s="5"/>
      <c r="AQ163" s="5"/>
      <c r="AR163" s="5"/>
      <c r="AS163" s="5"/>
      <c r="AT163" s="5"/>
      <c r="AU163" s="5"/>
      <c r="AV163" s="5"/>
      <c r="AW163" s="5"/>
      <c r="AX163" s="5"/>
      <c r="AY163" s="5"/>
      <c r="AZ163" s="5"/>
      <c r="BA163" s="5"/>
      <c r="BB163" s="5"/>
      <c r="BC163" s="5"/>
      <c r="BD163" s="5"/>
      <c r="BE163" s="5"/>
      <c r="BF163" s="5"/>
      <c r="BG163" s="5"/>
      <c r="BH163" s="5"/>
      <c r="BI163" s="5"/>
      <c r="BJ163" s="5"/>
      <c r="BK163" s="5"/>
      <c r="BL163" s="5"/>
      <c r="BM163" s="5"/>
      <c r="BN163" s="5"/>
      <c r="BO163" s="5"/>
      <c r="BP163" s="5"/>
      <c r="BQ163" s="5"/>
      <c r="BR163" s="5"/>
      <c r="BS163" s="5"/>
      <c r="BT163" s="5"/>
      <c r="BU163" s="5"/>
      <c r="BV163" s="5"/>
    </row>
    <row r="164" spans="1:74" ht="12.75" x14ac:dyDescent="0.2">
      <c r="A164" s="5" t="s">
        <v>54</v>
      </c>
      <c r="B164" s="53">
        <f>B146</f>
        <v>0.37940369807497465</v>
      </c>
      <c r="C164" s="53">
        <f t="shared" ref="C164:AC164" si="18">C146</f>
        <v>0.38527608915906791</v>
      </c>
      <c r="D164" s="53">
        <f t="shared" si="18"/>
        <v>0.39114848024316112</v>
      </c>
      <c r="E164" s="53">
        <f t="shared" si="18"/>
        <v>0</v>
      </c>
      <c r="F164" s="53">
        <f t="shared" si="18"/>
        <v>0</v>
      </c>
      <c r="G164" s="53">
        <f t="shared" si="18"/>
        <v>0</v>
      </c>
      <c r="H164" s="53">
        <f t="shared" si="18"/>
        <v>0</v>
      </c>
      <c r="I164" s="53">
        <f t="shared" si="18"/>
        <v>0</v>
      </c>
      <c r="J164" s="53">
        <f t="shared" si="18"/>
        <v>0</v>
      </c>
      <c r="K164" s="53">
        <f t="shared" si="18"/>
        <v>0</v>
      </c>
      <c r="L164" s="53">
        <f t="shared" si="18"/>
        <v>0</v>
      </c>
      <c r="M164" s="53">
        <f t="shared" si="18"/>
        <v>0</v>
      </c>
      <c r="N164" s="53">
        <f t="shared" si="18"/>
        <v>0</v>
      </c>
      <c r="O164" s="53">
        <f t="shared" si="18"/>
        <v>0</v>
      </c>
      <c r="P164" s="53">
        <f t="shared" si="18"/>
        <v>0</v>
      </c>
      <c r="Q164" s="53">
        <f t="shared" si="18"/>
        <v>0</v>
      </c>
      <c r="R164" s="53">
        <f t="shared" si="18"/>
        <v>0</v>
      </c>
      <c r="S164" s="53">
        <f t="shared" si="18"/>
        <v>0</v>
      </c>
      <c r="T164" s="53">
        <f t="shared" si="18"/>
        <v>0</v>
      </c>
      <c r="U164" s="53">
        <f t="shared" si="18"/>
        <v>0</v>
      </c>
      <c r="V164" s="53">
        <f t="shared" si="18"/>
        <v>0</v>
      </c>
      <c r="W164" s="53">
        <f t="shared" si="18"/>
        <v>0</v>
      </c>
      <c r="X164" s="53">
        <f t="shared" si="18"/>
        <v>0</v>
      </c>
      <c r="Y164" s="53">
        <f t="shared" si="18"/>
        <v>0</v>
      </c>
      <c r="Z164" s="53">
        <f t="shared" si="18"/>
        <v>0</v>
      </c>
      <c r="AA164" s="53">
        <f t="shared" si="18"/>
        <v>0</v>
      </c>
      <c r="AB164" s="53">
        <f t="shared" si="18"/>
        <v>0</v>
      </c>
      <c r="AC164" s="53">
        <f t="shared" si="18"/>
        <v>0</v>
      </c>
      <c r="AD164" s="5"/>
      <c r="AE164" s="5"/>
      <c r="AF164" s="5"/>
      <c r="AG164" s="5"/>
      <c r="AH164" s="5"/>
      <c r="AI164" s="5"/>
      <c r="AJ164" s="5"/>
      <c r="AK164" s="5"/>
      <c r="AL164" s="5"/>
      <c r="AM164" s="5"/>
      <c r="AN164" s="5"/>
      <c r="AO164" s="5"/>
      <c r="AP164" s="5"/>
      <c r="AQ164" s="5"/>
      <c r="AR164" s="5"/>
      <c r="AS164" s="5"/>
      <c r="AT164" s="5"/>
      <c r="AU164" s="5"/>
      <c r="AV164" s="5"/>
      <c r="AW164" s="5"/>
      <c r="AX164" s="5"/>
      <c r="AY164" s="5"/>
      <c r="AZ164" s="5"/>
      <c r="BA164" s="5"/>
      <c r="BB164" s="5"/>
      <c r="BC164" s="5"/>
      <c r="BD164" s="5"/>
      <c r="BE164" s="5"/>
      <c r="BF164" s="5"/>
      <c r="BG164" s="5"/>
      <c r="BH164" s="5"/>
      <c r="BI164" s="5"/>
      <c r="BJ164" s="5"/>
      <c r="BK164" s="5"/>
      <c r="BL164" s="5"/>
      <c r="BM164" s="5"/>
      <c r="BN164" s="5"/>
      <c r="BO164" s="5"/>
      <c r="BP164" s="5"/>
      <c r="BQ164" s="5"/>
      <c r="BR164" s="5"/>
      <c r="BS164" s="5"/>
      <c r="BT164" s="5"/>
      <c r="BU164" s="5"/>
      <c r="BV164" s="5"/>
    </row>
    <row r="165" spans="1:74" ht="12.75" x14ac:dyDescent="0.2">
      <c r="A165" s="5" t="s">
        <v>93</v>
      </c>
      <c r="B165" s="53">
        <f>B120</f>
        <v>0</v>
      </c>
      <c r="C165" s="53">
        <f t="shared" ref="C165:AC165" si="19">C120</f>
        <v>0</v>
      </c>
      <c r="D165" s="53">
        <f t="shared" si="19"/>
        <v>0</v>
      </c>
      <c r="E165" s="53">
        <f t="shared" si="19"/>
        <v>23.058270922222079</v>
      </c>
      <c r="F165" s="53">
        <f t="shared" si="19"/>
        <v>23.054482578829365</v>
      </c>
      <c r="G165" s="53">
        <f t="shared" si="19"/>
        <v>23.051383025144418</v>
      </c>
      <c r="H165" s="53">
        <f t="shared" si="19"/>
        <v>23.051383025144418</v>
      </c>
      <c r="I165" s="53">
        <f t="shared" si="19"/>
        <v>23.051383025144418</v>
      </c>
      <c r="J165" s="53">
        <f t="shared" si="19"/>
        <v>23.051383025144418</v>
      </c>
      <c r="K165" s="53">
        <f t="shared" si="19"/>
        <v>23.051383025144418</v>
      </c>
      <c r="L165" s="53">
        <f t="shared" si="19"/>
        <v>23.051383025144418</v>
      </c>
      <c r="M165" s="53">
        <f t="shared" si="19"/>
        <v>23.051383025144418</v>
      </c>
      <c r="N165" s="53">
        <f t="shared" si="19"/>
        <v>23.051383025144418</v>
      </c>
      <c r="O165" s="53">
        <f t="shared" si="19"/>
        <v>23.051383025144418</v>
      </c>
      <c r="P165" s="53">
        <f t="shared" si="19"/>
        <v>23.051383025144418</v>
      </c>
      <c r="Q165" s="53">
        <f t="shared" si="19"/>
        <v>17.288537268858313</v>
      </c>
      <c r="R165" s="53">
        <f t="shared" si="19"/>
        <v>11.525691512572209</v>
      </c>
      <c r="S165" s="53">
        <f t="shared" si="19"/>
        <v>0</v>
      </c>
      <c r="T165" s="53">
        <f t="shared" si="19"/>
        <v>0</v>
      </c>
      <c r="U165" s="53">
        <f t="shared" si="19"/>
        <v>0</v>
      </c>
      <c r="V165" s="53">
        <f t="shared" si="19"/>
        <v>0</v>
      </c>
      <c r="W165" s="53">
        <f t="shared" si="19"/>
        <v>0</v>
      </c>
      <c r="X165" s="53">
        <f t="shared" si="19"/>
        <v>0</v>
      </c>
      <c r="Y165" s="53">
        <f t="shared" si="19"/>
        <v>0</v>
      </c>
      <c r="Z165" s="53">
        <f t="shared" si="19"/>
        <v>0</v>
      </c>
      <c r="AA165" s="53">
        <f t="shared" si="19"/>
        <v>0</v>
      </c>
      <c r="AB165" s="53">
        <f t="shared" si="19"/>
        <v>0</v>
      </c>
      <c r="AC165" s="53">
        <f t="shared" si="19"/>
        <v>0</v>
      </c>
      <c r="AD165" s="5"/>
      <c r="AE165" s="5"/>
      <c r="AF165" s="5"/>
      <c r="AG165" s="5"/>
      <c r="AH165" s="5"/>
      <c r="AI165" s="5"/>
      <c r="AJ165" s="5"/>
      <c r="AK165" s="5"/>
      <c r="AL165" s="5"/>
      <c r="AM165" s="5"/>
      <c r="AN165" s="5"/>
      <c r="AO165" s="5"/>
      <c r="AP165" s="5"/>
      <c r="AQ165" s="5"/>
      <c r="AR165" s="5"/>
      <c r="AS165" s="5"/>
      <c r="AT165" s="5"/>
      <c r="AU165" s="5"/>
      <c r="AV165" s="5"/>
      <c r="AW165" s="5"/>
      <c r="AX165" s="5"/>
      <c r="AY165" s="5"/>
      <c r="AZ165" s="5"/>
      <c r="BA165" s="5"/>
      <c r="BB165" s="5"/>
      <c r="BC165" s="5"/>
      <c r="BD165" s="5"/>
      <c r="BE165" s="5"/>
      <c r="BF165" s="5"/>
      <c r="BG165" s="5"/>
      <c r="BH165" s="5"/>
      <c r="BI165" s="5"/>
      <c r="BJ165" s="5"/>
      <c r="BK165" s="5"/>
      <c r="BL165" s="5"/>
      <c r="BM165" s="5"/>
      <c r="BN165" s="5"/>
      <c r="BO165" s="5"/>
      <c r="BP165" s="5"/>
      <c r="BQ165" s="5"/>
      <c r="BR165" s="5"/>
      <c r="BS165" s="5"/>
      <c r="BT165" s="5"/>
      <c r="BU165" s="5"/>
      <c r="BV165" s="5"/>
    </row>
    <row r="166" spans="1:74" ht="12.75" x14ac:dyDescent="0.2">
      <c r="A166" s="5"/>
      <c r="B166" s="53"/>
      <c r="C166" s="53"/>
      <c r="D166" s="53"/>
      <c r="E166" s="53"/>
      <c r="F166" s="53"/>
      <c r="G166" s="53"/>
      <c r="H166" s="53"/>
      <c r="I166" s="53"/>
      <c r="J166" s="53"/>
      <c r="K166" s="53"/>
      <c r="L166" s="53"/>
      <c r="M166" s="53"/>
      <c r="N166" s="53"/>
      <c r="O166" s="53"/>
      <c r="P166" s="53"/>
      <c r="Q166" s="53"/>
      <c r="R166" s="53"/>
      <c r="S166" s="53"/>
      <c r="T166" s="53"/>
      <c r="U166" s="53"/>
      <c r="V166" s="53"/>
      <c r="W166" s="53"/>
      <c r="X166" s="53"/>
      <c r="Y166" s="53"/>
      <c r="Z166" s="53"/>
      <c r="AA166" s="53"/>
      <c r="AB166" s="53"/>
      <c r="AC166" s="53"/>
      <c r="AD166" s="5"/>
      <c r="AE166" s="5"/>
      <c r="AF166" s="5"/>
      <c r="AG166" s="5"/>
      <c r="AH166" s="5"/>
      <c r="AI166" s="5"/>
      <c r="AJ166" s="5"/>
      <c r="AK166" s="5"/>
      <c r="AL166" s="5"/>
      <c r="AM166" s="5"/>
      <c r="AN166" s="5"/>
      <c r="AO166" s="5"/>
      <c r="AP166" s="5"/>
      <c r="AQ166" s="5"/>
      <c r="AR166" s="5"/>
      <c r="AS166" s="5"/>
      <c r="AT166" s="5"/>
      <c r="AU166" s="5"/>
      <c r="AV166" s="5"/>
      <c r="AW166" s="5"/>
      <c r="AX166" s="5"/>
      <c r="AY166" s="5"/>
      <c r="AZ166" s="5"/>
      <c r="BA166" s="5"/>
      <c r="BB166" s="5"/>
      <c r="BC166" s="5"/>
      <c r="BD166" s="5"/>
      <c r="BE166" s="5"/>
      <c r="BF166" s="5"/>
      <c r="BG166" s="5"/>
      <c r="BH166" s="5"/>
      <c r="BI166" s="5"/>
      <c r="BJ166" s="5"/>
      <c r="BK166" s="5"/>
      <c r="BL166" s="5"/>
      <c r="BM166" s="5"/>
      <c r="BN166" s="5"/>
      <c r="BO166" s="5"/>
      <c r="BP166" s="5"/>
      <c r="BQ166" s="5"/>
      <c r="BR166" s="5"/>
      <c r="BS166" s="5"/>
      <c r="BT166" s="5"/>
      <c r="BU166" s="5"/>
      <c r="BV166" s="5"/>
    </row>
    <row r="167" spans="1:74" ht="12.75" x14ac:dyDescent="0.2">
      <c r="A167" s="5" t="s">
        <v>118</v>
      </c>
      <c r="B167" s="5">
        <v>100</v>
      </c>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c r="AV167" s="5"/>
      <c r="AW167" s="5"/>
      <c r="AX167" s="5"/>
      <c r="AY167" s="5"/>
      <c r="AZ167" s="5"/>
      <c r="BA167" s="5"/>
      <c r="BB167" s="5"/>
      <c r="BC167" s="5"/>
      <c r="BD167" s="5"/>
      <c r="BE167" s="5"/>
      <c r="BF167" s="5"/>
      <c r="BG167" s="5"/>
      <c r="BH167" s="5"/>
      <c r="BI167" s="5"/>
      <c r="BJ167" s="5"/>
      <c r="BK167" s="5"/>
      <c r="BL167" s="5"/>
      <c r="BM167" s="5"/>
      <c r="BN167" s="5"/>
      <c r="BO167" s="5"/>
      <c r="BP167" s="5"/>
      <c r="BQ167" s="5"/>
      <c r="BR167" s="5"/>
      <c r="BS167" s="5"/>
      <c r="BT167" s="5"/>
      <c r="BU167" s="5"/>
      <c r="BV167" s="5"/>
    </row>
    <row r="168" spans="1:74" ht="12.75" x14ac:dyDescent="0.2">
      <c r="A168" s="5" t="s">
        <v>119</v>
      </c>
      <c r="B168" s="5">
        <f>$B$167*8760*B162</f>
        <v>219000</v>
      </c>
      <c r="C168" s="5">
        <f t="shared" ref="C168:AC168" si="20">$B$167*8760*C162</f>
        <v>219000</v>
      </c>
      <c r="D168" s="5">
        <f t="shared" si="20"/>
        <v>219000</v>
      </c>
      <c r="E168" s="5">
        <f t="shared" si="20"/>
        <v>219000</v>
      </c>
      <c r="F168" s="5">
        <f t="shared" si="20"/>
        <v>219000</v>
      </c>
      <c r="G168" s="5">
        <f t="shared" si="20"/>
        <v>219000</v>
      </c>
      <c r="H168" s="5">
        <f t="shared" si="20"/>
        <v>219000</v>
      </c>
      <c r="I168" s="5">
        <f t="shared" si="20"/>
        <v>219000</v>
      </c>
      <c r="J168" s="5">
        <f t="shared" si="20"/>
        <v>219000</v>
      </c>
      <c r="K168" s="5">
        <f t="shared" si="20"/>
        <v>219000</v>
      </c>
      <c r="L168" s="5">
        <f t="shared" si="20"/>
        <v>219000</v>
      </c>
      <c r="M168" s="5">
        <f t="shared" si="20"/>
        <v>219000</v>
      </c>
      <c r="N168" s="5">
        <f t="shared" si="20"/>
        <v>219000</v>
      </c>
      <c r="O168" s="5">
        <f t="shared" si="20"/>
        <v>219000</v>
      </c>
      <c r="P168" s="5">
        <f t="shared" si="20"/>
        <v>219000</v>
      </c>
      <c r="Q168" s="5">
        <f t="shared" si="20"/>
        <v>219000</v>
      </c>
      <c r="R168" s="5">
        <f t="shared" si="20"/>
        <v>219000</v>
      </c>
      <c r="S168" s="5">
        <f t="shared" si="20"/>
        <v>219000</v>
      </c>
      <c r="T168" s="5">
        <f t="shared" si="20"/>
        <v>219000</v>
      </c>
      <c r="U168" s="5">
        <f t="shared" si="20"/>
        <v>219000</v>
      </c>
      <c r="V168" s="5">
        <f t="shared" si="20"/>
        <v>219000</v>
      </c>
      <c r="W168" s="5">
        <f t="shared" si="20"/>
        <v>219000</v>
      </c>
      <c r="X168" s="5">
        <f t="shared" si="20"/>
        <v>219000</v>
      </c>
      <c r="Y168" s="5">
        <f t="shared" si="20"/>
        <v>219000</v>
      </c>
      <c r="Z168" s="5">
        <f t="shared" si="20"/>
        <v>219000</v>
      </c>
      <c r="AA168" s="5">
        <f t="shared" si="20"/>
        <v>219000</v>
      </c>
      <c r="AB168" s="5">
        <f t="shared" si="20"/>
        <v>219000</v>
      </c>
      <c r="AC168" s="5">
        <f t="shared" si="20"/>
        <v>219000</v>
      </c>
      <c r="AD168" s="5"/>
      <c r="AE168" s="5"/>
      <c r="AF168" s="5"/>
      <c r="AG168" s="5"/>
      <c r="AH168" s="5"/>
      <c r="AI168" s="5"/>
      <c r="AJ168" s="5"/>
      <c r="AK168" s="5"/>
      <c r="AL168" s="5"/>
      <c r="AM168" s="5"/>
      <c r="AN168" s="5"/>
      <c r="AO168" s="5"/>
      <c r="AP168" s="5"/>
      <c r="AQ168" s="5"/>
      <c r="AR168" s="5"/>
      <c r="AS168" s="5"/>
      <c r="AT168" s="5"/>
      <c r="AU168" s="5"/>
      <c r="AV168" s="5"/>
      <c r="AW168" s="5"/>
      <c r="AX168" s="5"/>
      <c r="AY168" s="5"/>
      <c r="AZ168" s="5"/>
      <c r="BA168" s="5"/>
      <c r="BB168" s="5"/>
      <c r="BC168" s="5"/>
      <c r="BD168" s="5"/>
      <c r="BE168" s="5"/>
      <c r="BF168" s="5"/>
      <c r="BG168" s="5"/>
      <c r="BH168" s="5"/>
      <c r="BI168" s="5"/>
      <c r="BJ168" s="5"/>
      <c r="BK168" s="5"/>
      <c r="BL168" s="5"/>
      <c r="BM168" s="5"/>
      <c r="BN168" s="5"/>
      <c r="BO168" s="5"/>
      <c r="BP168" s="5"/>
      <c r="BQ168" s="5"/>
      <c r="BR168" s="5"/>
      <c r="BS168" s="5"/>
      <c r="BT168" s="5"/>
      <c r="BU168" s="5"/>
      <c r="BV168" s="5"/>
    </row>
    <row r="169" spans="1:74" ht="12.75" x14ac:dyDescent="0.2">
      <c r="A169" s="5" t="s">
        <v>120</v>
      </c>
      <c r="B169" s="41">
        <v>7.0000000000000007E-2</v>
      </c>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c r="AV169" s="5"/>
      <c r="AW169" s="5"/>
      <c r="AX169" s="5"/>
      <c r="AY169" s="5"/>
      <c r="AZ169" s="5"/>
      <c r="BA169" s="5"/>
      <c r="BB169" s="5"/>
      <c r="BC169" s="5"/>
      <c r="BD169" s="5"/>
      <c r="BE169" s="5"/>
      <c r="BF169" s="5"/>
      <c r="BG169" s="5"/>
      <c r="BH169" s="5"/>
      <c r="BI169" s="5"/>
      <c r="BJ169" s="5"/>
      <c r="BK169" s="5"/>
      <c r="BL169" s="5"/>
      <c r="BM169" s="5"/>
      <c r="BN169" s="5"/>
      <c r="BO169" s="5"/>
      <c r="BP169" s="5"/>
      <c r="BQ169" s="5"/>
      <c r="BR169" s="5"/>
      <c r="BS169" s="5"/>
      <c r="BT169" s="5"/>
      <c r="BU169" s="5"/>
      <c r="BV169" s="5"/>
    </row>
    <row r="170" spans="1:74" ht="12.75" x14ac:dyDescent="0.2">
      <c r="A170" s="5" t="s">
        <v>121</v>
      </c>
      <c r="B170" s="42">
        <v>10</v>
      </c>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c r="AD170" s="5"/>
      <c r="AE170" s="5"/>
      <c r="AF170" s="5"/>
      <c r="AG170" s="5"/>
      <c r="AH170" s="5"/>
      <c r="AI170" s="5"/>
      <c r="AJ170" s="5"/>
      <c r="AK170" s="5"/>
      <c r="AL170" s="5"/>
      <c r="AM170" s="5"/>
      <c r="AN170" s="5"/>
      <c r="AO170" s="5"/>
      <c r="AP170" s="5"/>
      <c r="AQ170" s="5"/>
      <c r="AR170" s="5"/>
      <c r="AS170" s="5"/>
      <c r="AT170" s="5"/>
      <c r="AU170" s="5"/>
      <c r="AV170" s="5"/>
      <c r="AW170" s="5"/>
      <c r="AX170" s="5"/>
      <c r="AY170" s="5"/>
      <c r="AZ170" s="5"/>
      <c r="BA170" s="5"/>
      <c r="BB170" s="5"/>
      <c r="BC170" s="5"/>
      <c r="BD170" s="5"/>
      <c r="BE170" s="5"/>
      <c r="BF170" s="5"/>
      <c r="BG170" s="5"/>
      <c r="BH170" s="5"/>
      <c r="BI170" s="5"/>
      <c r="BJ170" s="5"/>
      <c r="BK170" s="5"/>
      <c r="BL170" s="5"/>
      <c r="BM170" s="5"/>
      <c r="BN170" s="5"/>
      <c r="BO170" s="5"/>
      <c r="BP170" s="5"/>
      <c r="BQ170" s="5"/>
      <c r="BR170" s="5"/>
      <c r="BS170" s="5"/>
      <c r="BT170" s="5"/>
      <c r="BU170" s="5"/>
      <c r="BV170" s="5"/>
    </row>
    <row r="171" spans="1:74" ht="12.75" x14ac:dyDescent="0.2">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c r="AV171" s="5"/>
      <c r="AW171" s="5"/>
      <c r="AX171" s="5"/>
      <c r="AY171" s="5"/>
      <c r="AZ171" s="5"/>
      <c r="BA171" s="5"/>
      <c r="BB171" s="5"/>
      <c r="BC171" s="5"/>
      <c r="BD171" s="5"/>
      <c r="BE171" s="5"/>
      <c r="BF171" s="5"/>
      <c r="BG171" s="5"/>
      <c r="BH171" s="5"/>
      <c r="BI171" s="5"/>
      <c r="BJ171" s="5"/>
      <c r="BK171" s="5"/>
      <c r="BL171" s="5"/>
      <c r="BM171" s="5"/>
      <c r="BN171" s="5"/>
      <c r="BO171" s="5"/>
      <c r="BP171" s="5"/>
      <c r="BQ171" s="5"/>
      <c r="BR171" s="5"/>
      <c r="BS171" s="5"/>
      <c r="BT171" s="5"/>
      <c r="BU171" s="5"/>
      <c r="BV171" s="5"/>
    </row>
    <row r="172" spans="1:74" ht="12.75" x14ac:dyDescent="0.2">
      <c r="A172" s="5" t="s">
        <v>122</v>
      </c>
      <c r="B172" s="54">
        <f>$B$167*10^6*B161*B164</f>
        <v>50512017.094927676</v>
      </c>
      <c r="C172" s="54">
        <f t="shared" ref="C172:AC172" si="21">$B$167*10^6*C161*C164</f>
        <v>49681637.452289194</v>
      </c>
      <c r="D172" s="54">
        <f t="shared" si="21"/>
        <v>48802111.333619043</v>
      </c>
      <c r="E172" s="54">
        <f t="shared" si="21"/>
        <v>0</v>
      </c>
      <c r="F172" s="54">
        <f t="shared" si="21"/>
        <v>0</v>
      </c>
      <c r="G172" s="54">
        <f t="shared" si="21"/>
        <v>0</v>
      </c>
      <c r="H172" s="54">
        <f t="shared" si="21"/>
        <v>0</v>
      </c>
      <c r="I172" s="54">
        <f t="shared" si="21"/>
        <v>0</v>
      </c>
      <c r="J172" s="54">
        <f t="shared" si="21"/>
        <v>0</v>
      </c>
      <c r="K172" s="54">
        <f t="shared" si="21"/>
        <v>0</v>
      </c>
      <c r="L172" s="54">
        <f t="shared" si="21"/>
        <v>0</v>
      </c>
      <c r="M172" s="54">
        <f t="shared" si="21"/>
        <v>0</v>
      </c>
      <c r="N172" s="54">
        <f t="shared" si="21"/>
        <v>0</v>
      </c>
      <c r="O172" s="54">
        <f t="shared" si="21"/>
        <v>0</v>
      </c>
      <c r="P172" s="54">
        <f t="shared" si="21"/>
        <v>0</v>
      </c>
      <c r="Q172" s="54">
        <f t="shared" si="21"/>
        <v>0</v>
      </c>
      <c r="R172" s="54">
        <f t="shared" si="21"/>
        <v>0</v>
      </c>
      <c r="S172" s="54">
        <f t="shared" si="21"/>
        <v>0</v>
      </c>
      <c r="T172" s="54">
        <f t="shared" si="21"/>
        <v>0</v>
      </c>
      <c r="U172" s="54">
        <f t="shared" si="21"/>
        <v>0</v>
      </c>
      <c r="V172" s="54">
        <f t="shared" si="21"/>
        <v>0</v>
      </c>
      <c r="W172" s="54">
        <f t="shared" si="21"/>
        <v>0</v>
      </c>
      <c r="X172" s="54">
        <f t="shared" si="21"/>
        <v>0</v>
      </c>
      <c r="Y172" s="54">
        <f t="shared" si="21"/>
        <v>0</v>
      </c>
      <c r="Z172" s="54">
        <f t="shared" si="21"/>
        <v>0</v>
      </c>
      <c r="AA172" s="54">
        <f t="shared" si="21"/>
        <v>0</v>
      </c>
      <c r="AB172" s="54">
        <f t="shared" si="21"/>
        <v>0</v>
      </c>
      <c r="AC172" s="54">
        <f t="shared" si="21"/>
        <v>0</v>
      </c>
      <c r="AD172" s="5"/>
      <c r="AE172" s="5"/>
      <c r="AF172" s="5"/>
      <c r="AG172" s="5"/>
      <c r="AH172" s="5"/>
      <c r="AI172" s="5"/>
      <c r="AJ172" s="5"/>
      <c r="AK172" s="5"/>
      <c r="AL172" s="5"/>
      <c r="AM172" s="5"/>
      <c r="AN172" s="5"/>
      <c r="AO172" s="5"/>
      <c r="AP172" s="5"/>
      <c r="AQ172" s="5"/>
      <c r="AR172" s="5"/>
      <c r="AS172" s="5"/>
      <c r="AT172" s="5"/>
      <c r="AU172" s="5"/>
      <c r="AV172" s="5"/>
      <c r="AW172" s="5"/>
      <c r="AX172" s="5"/>
      <c r="AY172" s="5"/>
      <c r="AZ172" s="5"/>
      <c r="BA172" s="5"/>
      <c r="BB172" s="5"/>
      <c r="BC172" s="5"/>
      <c r="BD172" s="5"/>
      <c r="BE172" s="5"/>
      <c r="BF172" s="5"/>
      <c r="BG172" s="5"/>
      <c r="BH172" s="5"/>
      <c r="BI172" s="5"/>
      <c r="BJ172" s="5"/>
      <c r="BK172" s="5"/>
      <c r="BL172" s="5"/>
      <c r="BM172" s="5"/>
      <c r="BN172" s="5"/>
      <c r="BO172" s="5"/>
      <c r="BP172" s="5"/>
      <c r="BQ172" s="5"/>
      <c r="BR172" s="5"/>
      <c r="BS172" s="5"/>
      <c r="BT172" s="5"/>
      <c r="BU172" s="5"/>
      <c r="BV172" s="5"/>
    </row>
    <row r="173" spans="1:74" ht="12.75" x14ac:dyDescent="0.2">
      <c r="A173" s="5" t="s">
        <v>123</v>
      </c>
      <c r="B173" s="54">
        <f>B168*B165</f>
        <v>0</v>
      </c>
      <c r="C173" s="54">
        <f t="shared" ref="C173:AC173" si="22">C168*C165</f>
        <v>0</v>
      </c>
      <c r="D173" s="54">
        <f t="shared" si="22"/>
        <v>0</v>
      </c>
      <c r="E173" s="54">
        <f t="shared" si="22"/>
        <v>5049761.3319666348</v>
      </c>
      <c r="F173" s="54">
        <f t="shared" si="22"/>
        <v>5048931.6847636309</v>
      </c>
      <c r="G173" s="54">
        <f t="shared" si="22"/>
        <v>5048252.8825066276</v>
      </c>
      <c r="H173" s="54">
        <f t="shared" si="22"/>
        <v>5048252.8825066276</v>
      </c>
      <c r="I173" s="54">
        <f t="shared" si="22"/>
        <v>5048252.8825066276</v>
      </c>
      <c r="J173" s="54">
        <f t="shared" si="22"/>
        <v>5048252.8825066276</v>
      </c>
      <c r="K173" s="54">
        <f t="shared" si="22"/>
        <v>5048252.8825066276</v>
      </c>
      <c r="L173" s="54">
        <f t="shared" si="22"/>
        <v>5048252.8825066276</v>
      </c>
      <c r="M173" s="54">
        <f t="shared" si="22"/>
        <v>5048252.8825066276</v>
      </c>
      <c r="N173" s="54">
        <f t="shared" si="22"/>
        <v>5048252.8825066276</v>
      </c>
      <c r="O173" s="54">
        <f t="shared" si="22"/>
        <v>5048252.8825066276</v>
      </c>
      <c r="P173" s="54">
        <f t="shared" si="22"/>
        <v>5048252.8825066276</v>
      </c>
      <c r="Q173" s="54">
        <f t="shared" si="22"/>
        <v>3786189.6618799707</v>
      </c>
      <c r="R173" s="54">
        <f t="shared" si="22"/>
        <v>2524126.4412533138</v>
      </c>
      <c r="S173" s="54">
        <f t="shared" si="22"/>
        <v>0</v>
      </c>
      <c r="T173" s="54">
        <f t="shared" si="22"/>
        <v>0</v>
      </c>
      <c r="U173" s="54">
        <f t="shared" si="22"/>
        <v>0</v>
      </c>
      <c r="V173" s="54">
        <f t="shared" si="22"/>
        <v>0</v>
      </c>
      <c r="W173" s="54">
        <f t="shared" si="22"/>
        <v>0</v>
      </c>
      <c r="X173" s="54">
        <f t="shared" si="22"/>
        <v>0</v>
      </c>
      <c r="Y173" s="54">
        <f t="shared" si="22"/>
        <v>0</v>
      </c>
      <c r="Z173" s="54">
        <f t="shared" si="22"/>
        <v>0</v>
      </c>
      <c r="AA173" s="54">
        <f t="shared" si="22"/>
        <v>0</v>
      </c>
      <c r="AB173" s="54">
        <f t="shared" si="22"/>
        <v>0</v>
      </c>
      <c r="AC173" s="54">
        <f t="shared" si="22"/>
        <v>0</v>
      </c>
      <c r="AD173" s="5"/>
      <c r="AE173" s="5"/>
      <c r="AF173" s="5"/>
      <c r="AG173" s="5"/>
      <c r="AH173" s="5"/>
      <c r="AI173" s="5"/>
      <c r="AJ173" s="5"/>
      <c r="AK173" s="5"/>
      <c r="AL173" s="5"/>
      <c r="AM173" s="5"/>
      <c r="AN173" s="5"/>
      <c r="AO173" s="5"/>
      <c r="AP173" s="5"/>
      <c r="AQ173" s="5"/>
      <c r="AR173" s="5"/>
      <c r="AS173" s="5"/>
      <c r="AT173" s="5"/>
      <c r="AU173" s="5"/>
      <c r="AV173" s="5"/>
      <c r="AW173" s="5"/>
      <c r="AX173" s="5"/>
      <c r="AY173" s="5"/>
      <c r="AZ173" s="5"/>
      <c r="BA173" s="5"/>
      <c r="BB173" s="5"/>
      <c r="BC173" s="5"/>
      <c r="BD173" s="5"/>
      <c r="BE173" s="5"/>
      <c r="BF173" s="5"/>
      <c r="BG173" s="5"/>
      <c r="BH173" s="5"/>
      <c r="BI173" s="5"/>
      <c r="BJ173" s="5"/>
      <c r="BK173" s="5"/>
      <c r="BL173" s="5"/>
      <c r="BM173" s="5"/>
      <c r="BN173" s="5"/>
      <c r="BO173" s="5"/>
      <c r="BP173" s="5"/>
      <c r="BQ173" s="5"/>
      <c r="BR173" s="5"/>
      <c r="BS173" s="5"/>
      <c r="BT173" s="5"/>
      <c r="BU173" s="5"/>
      <c r="BV173" s="5"/>
    </row>
    <row r="174" spans="1:74" ht="12.75" x14ac:dyDescent="0.2">
      <c r="A174" s="5" t="s">
        <v>124</v>
      </c>
      <c r="B174" s="54">
        <f>NPV($B$169,B173*$B$170)</f>
        <v>0</v>
      </c>
      <c r="C174" s="54">
        <f t="shared" ref="C174:AC174" si="23">NPV($B$169,C173*$B$170)</f>
        <v>0</v>
      </c>
      <c r="D174" s="54">
        <f t="shared" si="23"/>
        <v>0</v>
      </c>
      <c r="E174" s="54">
        <f t="shared" si="23"/>
        <v>47194031.139875092</v>
      </c>
      <c r="F174" s="54">
        <f t="shared" si="23"/>
        <v>47186277.427697487</v>
      </c>
      <c r="G174" s="54">
        <f t="shared" si="23"/>
        <v>47179933.481370352</v>
      </c>
      <c r="H174" s="54">
        <f t="shared" si="23"/>
        <v>47179933.481370352</v>
      </c>
      <c r="I174" s="54">
        <f t="shared" si="23"/>
        <v>47179933.481370352</v>
      </c>
      <c r="J174" s="54">
        <f t="shared" si="23"/>
        <v>47179933.481370352</v>
      </c>
      <c r="K174" s="54">
        <f t="shared" si="23"/>
        <v>47179933.481370352</v>
      </c>
      <c r="L174" s="54">
        <f t="shared" si="23"/>
        <v>47179933.481370352</v>
      </c>
      <c r="M174" s="54">
        <f t="shared" si="23"/>
        <v>47179933.481370352</v>
      </c>
      <c r="N174" s="54">
        <f t="shared" si="23"/>
        <v>47179933.481370352</v>
      </c>
      <c r="O174" s="54">
        <f t="shared" si="23"/>
        <v>47179933.481370352</v>
      </c>
      <c r="P174" s="54">
        <f t="shared" si="23"/>
        <v>47179933.481370352</v>
      </c>
      <c r="Q174" s="54">
        <f t="shared" si="23"/>
        <v>35384950.111027762</v>
      </c>
      <c r="R174" s="54">
        <f t="shared" si="23"/>
        <v>23589966.740685176</v>
      </c>
      <c r="S174" s="54">
        <f t="shared" si="23"/>
        <v>0</v>
      </c>
      <c r="T174" s="54">
        <f t="shared" si="23"/>
        <v>0</v>
      </c>
      <c r="U174" s="54">
        <f t="shared" si="23"/>
        <v>0</v>
      </c>
      <c r="V174" s="54">
        <f t="shared" si="23"/>
        <v>0</v>
      </c>
      <c r="W174" s="54">
        <f t="shared" si="23"/>
        <v>0</v>
      </c>
      <c r="X174" s="54">
        <f t="shared" si="23"/>
        <v>0</v>
      </c>
      <c r="Y174" s="54">
        <f t="shared" si="23"/>
        <v>0</v>
      </c>
      <c r="Z174" s="54">
        <f t="shared" si="23"/>
        <v>0</v>
      </c>
      <c r="AA174" s="54">
        <f t="shared" si="23"/>
        <v>0</v>
      </c>
      <c r="AB174" s="54">
        <f t="shared" si="23"/>
        <v>0</v>
      </c>
      <c r="AC174" s="54">
        <f t="shared" si="23"/>
        <v>0</v>
      </c>
      <c r="AD174" s="5"/>
      <c r="AE174" s="5"/>
      <c r="AF174" s="5"/>
      <c r="AG174" s="5"/>
      <c r="AH174" s="5"/>
      <c r="AI174" s="5"/>
      <c r="AJ174" s="5"/>
      <c r="AK174" s="5"/>
      <c r="AL174" s="5"/>
      <c r="AM174" s="5"/>
      <c r="AN174" s="5"/>
      <c r="AO174" s="5"/>
      <c r="AP174" s="5"/>
      <c r="AQ174" s="5"/>
      <c r="AR174" s="5"/>
      <c r="AS174" s="5"/>
      <c r="AT174" s="5"/>
      <c r="AU174" s="5"/>
      <c r="AV174" s="5"/>
      <c r="AW174" s="5"/>
      <c r="AX174" s="5"/>
      <c r="AY174" s="5"/>
      <c r="AZ174" s="5"/>
      <c r="BA174" s="5"/>
      <c r="BB174" s="5"/>
      <c r="BC174" s="5"/>
      <c r="BD174" s="5"/>
      <c r="BE174" s="5"/>
      <c r="BF174" s="5"/>
      <c r="BG174" s="5"/>
      <c r="BH174" s="5"/>
      <c r="BI174" s="5"/>
      <c r="BJ174" s="5"/>
      <c r="BK174" s="5"/>
      <c r="BL174" s="5"/>
      <c r="BM174" s="5"/>
      <c r="BN174" s="5"/>
      <c r="BO174" s="5"/>
      <c r="BP174" s="5"/>
      <c r="BQ174" s="5"/>
      <c r="BR174" s="5"/>
      <c r="BS174" s="5"/>
      <c r="BT174" s="5"/>
      <c r="BU174" s="5"/>
      <c r="BV174" s="5"/>
    </row>
    <row r="175" spans="1:74" ht="12.75" x14ac:dyDescent="0.2">
      <c r="A175" s="5" t="s">
        <v>125</v>
      </c>
      <c r="B175" s="54">
        <f>B173*$B$170</f>
        <v>0</v>
      </c>
      <c r="C175" s="54">
        <f t="shared" ref="C175:AC175" si="24">C173*$B$170</f>
        <v>0</v>
      </c>
      <c r="D175" s="54">
        <f t="shared" si="24"/>
        <v>0</v>
      </c>
      <c r="E175" s="54">
        <f t="shared" si="24"/>
        <v>50497613.319666348</v>
      </c>
      <c r="F175" s="54">
        <f t="shared" si="24"/>
        <v>50489316.847636312</v>
      </c>
      <c r="G175" s="54">
        <f t="shared" si="24"/>
        <v>50482528.825066276</v>
      </c>
      <c r="H175" s="54">
        <f t="shared" si="24"/>
        <v>50482528.825066276</v>
      </c>
      <c r="I175" s="54">
        <f t="shared" si="24"/>
        <v>50482528.825066276</v>
      </c>
      <c r="J175" s="54">
        <f t="shared" si="24"/>
        <v>50482528.825066276</v>
      </c>
      <c r="K175" s="54">
        <f t="shared" si="24"/>
        <v>50482528.825066276</v>
      </c>
      <c r="L175" s="54">
        <f t="shared" si="24"/>
        <v>50482528.825066276</v>
      </c>
      <c r="M175" s="54">
        <f t="shared" si="24"/>
        <v>50482528.825066276</v>
      </c>
      <c r="N175" s="54">
        <f t="shared" si="24"/>
        <v>50482528.825066276</v>
      </c>
      <c r="O175" s="54">
        <f t="shared" si="24"/>
        <v>50482528.825066276</v>
      </c>
      <c r="P175" s="54">
        <f t="shared" si="24"/>
        <v>50482528.825066276</v>
      </c>
      <c r="Q175" s="54">
        <f t="shared" si="24"/>
        <v>37861896.618799709</v>
      </c>
      <c r="R175" s="54">
        <f t="shared" si="24"/>
        <v>25241264.412533138</v>
      </c>
      <c r="S175" s="54">
        <f t="shared" si="24"/>
        <v>0</v>
      </c>
      <c r="T175" s="54">
        <f t="shared" si="24"/>
        <v>0</v>
      </c>
      <c r="U175" s="54">
        <f t="shared" si="24"/>
        <v>0</v>
      </c>
      <c r="V175" s="54">
        <f t="shared" si="24"/>
        <v>0</v>
      </c>
      <c r="W175" s="54">
        <f t="shared" si="24"/>
        <v>0</v>
      </c>
      <c r="X175" s="54">
        <f t="shared" si="24"/>
        <v>0</v>
      </c>
      <c r="Y175" s="54">
        <f t="shared" si="24"/>
        <v>0</v>
      </c>
      <c r="Z175" s="54">
        <f t="shared" si="24"/>
        <v>0</v>
      </c>
      <c r="AA175" s="54">
        <f t="shared" si="24"/>
        <v>0</v>
      </c>
      <c r="AB175" s="54">
        <f t="shared" si="24"/>
        <v>0</v>
      </c>
      <c r="AC175" s="54">
        <f t="shared" si="24"/>
        <v>0</v>
      </c>
      <c r="AD175" s="5"/>
      <c r="AE175" s="5"/>
      <c r="AF175" s="5"/>
      <c r="AG175" s="5"/>
      <c r="AH175" s="5"/>
      <c r="AI175" s="5"/>
      <c r="AJ175" s="5"/>
      <c r="AK175" s="5"/>
      <c r="AL175" s="5"/>
      <c r="AM175" s="5"/>
      <c r="AN175" s="5"/>
      <c r="AO175" s="5"/>
      <c r="AP175" s="5"/>
      <c r="AQ175" s="5"/>
      <c r="AR175" s="5"/>
      <c r="AS175" s="5"/>
      <c r="AT175" s="5"/>
      <c r="AU175" s="5"/>
      <c r="AV175" s="5"/>
      <c r="AW175" s="5"/>
      <c r="AX175" s="5"/>
      <c r="AY175" s="5"/>
      <c r="AZ175" s="5"/>
      <c r="BA175" s="5"/>
      <c r="BB175" s="5"/>
      <c r="BC175" s="5"/>
      <c r="BD175" s="5"/>
      <c r="BE175" s="5"/>
      <c r="BF175" s="5"/>
      <c r="BG175" s="5"/>
      <c r="BH175" s="5"/>
      <c r="BI175" s="5"/>
      <c r="BJ175" s="5"/>
      <c r="BK175" s="5"/>
      <c r="BL175" s="5"/>
      <c r="BM175" s="5"/>
      <c r="BN175" s="5"/>
      <c r="BO175" s="5"/>
      <c r="BP175" s="5"/>
      <c r="BQ175" s="5"/>
      <c r="BR175" s="5"/>
      <c r="BS175" s="5"/>
      <c r="BT175" s="5"/>
      <c r="BU175" s="5"/>
      <c r="BV175" s="5"/>
    </row>
    <row r="176" spans="1:74" ht="12.75" x14ac:dyDescent="0.2">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c r="AB176" s="5"/>
      <c r="AC176" s="5"/>
      <c r="AD176" s="5"/>
      <c r="AE176" s="5"/>
      <c r="AF176" s="5"/>
      <c r="AG176" s="5"/>
      <c r="AH176" s="5"/>
      <c r="AI176" s="5"/>
      <c r="AJ176" s="5"/>
      <c r="AK176" s="5"/>
      <c r="AL176" s="5"/>
      <c r="AM176" s="5"/>
      <c r="AN176" s="5"/>
      <c r="AO176" s="5"/>
      <c r="AP176" s="5"/>
      <c r="AQ176" s="5"/>
      <c r="AR176" s="5"/>
      <c r="AS176" s="5"/>
      <c r="AT176" s="5"/>
      <c r="AU176" s="5"/>
      <c r="AV176" s="5"/>
      <c r="AW176" s="5"/>
      <c r="AX176" s="5"/>
      <c r="AY176" s="5"/>
      <c r="AZ176" s="5"/>
      <c r="BA176" s="5"/>
      <c r="BB176" s="5"/>
      <c r="BC176" s="5"/>
      <c r="BD176" s="5"/>
      <c r="BE176" s="5"/>
      <c r="BF176" s="5"/>
      <c r="BG176" s="5"/>
      <c r="BH176" s="5"/>
      <c r="BI176" s="5"/>
      <c r="BJ176" s="5"/>
      <c r="BK176" s="5"/>
      <c r="BL176" s="5"/>
      <c r="BM176" s="5"/>
      <c r="BN176" s="5"/>
      <c r="BO176" s="5"/>
      <c r="BP176" s="5"/>
      <c r="BQ176" s="5"/>
      <c r="BR176" s="5"/>
      <c r="BS176" s="5"/>
      <c r="BT176" s="5"/>
      <c r="BU176" s="5"/>
      <c r="BV176" s="5"/>
    </row>
    <row r="177" spans="1:74" ht="12.75" x14ac:dyDescent="0.2">
      <c r="A177" s="5" t="s">
        <v>126</v>
      </c>
      <c r="B177" s="5" t="str">
        <f>IF(B172&gt;B174,"ITC","PTC")</f>
        <v>ITC</v>
      </c>
      <c r="C177" s="5" t="str">
        <f t="shared" ref="C177:AC177" si="25">IF(C172&gt;C174,"ITC","PTC")</f>
        <v>ITC</v>
      </c>
      <c r="D177" s="5" t="str">
        <f t="shared" si="25"/>
        <v>ITC</v>
      </c>
      <c r="E177" s="5" t="str">
        <f t="shared" si="25"/>
        <v>PTC</v>
      </c>
      <c r="F177" s="5" t="str">
        <f t="shared" si="25"/>
        <v>PTC</v>
      </c>
      <c r="G177" s="5" t="str">
        <f t="shared" si="25"/>
        <v>PTC</v>
      </c>
      <c r="H177" s="5" t="str">
        <f t="shared" si="25"/>
        <v>PTC</v>
      </c>
      <c r="I177" s="5" t="str">
        <f t="shared" si="25"/>
        <v>PTC</v>
      </c>
      <c r="J177" s="5" t="str">
        <f t="shared" si="25"/>
        <v>PTC</v>
      </c>
      <c r="K177" s="5" t="str">
        <f t="shared" si="25"/>
        <v>PTC</v>
      </c>
      <c r="L177" s="5" t="str">
        <f t="shared" si="25"/>
        <v>PTC</v>
      </c>
      <c r="M177" s="5" t="str">
        <f t="shared" si="25"/>
        <v>PTC</v>
      </c>
      <c r="N177" s="5" t="str">
        <f t="shared" si="25"/>
        <v>PTC</v>
      </c>
      <c r="O177" s="5" t="str">
        <f t="shared" si="25"/>
        <v>PTC</v>
      </c>
      <c r="P177" s="5" t="str">
        <f t="shared" si="25"/>
        <v>PTC</v>
      </c>
      <c r="Q177" s="5" t="str">
        <f t="shared" si="25"/>
        <v>PTC</v>
      </c>
      <c r="R177" s="5" t="str">
        <f t="shared" si="25"/>
        <v>PTC</v>
      </c>
      <c r="S177" s="5" t="str">
        <f t="shared" si="25"/>
        <v>PTC</v>
      </c>
      <c r="T177" s="5" t="str">
        <f t="shared" si="25"/>
        <v>PTC</v>
      </c>
      <c r="U177" s="5" t="str">
        <f t="shared" si="25"/>
        <v>PTC</v>
      </c>
      <c r="V177" s="5" t="str">
        <f t="shared" si="25"/>
        <v>PTC</v>
      </c>
      <c r="W177" s="5" t="str">
        <f t="shared" si="25"/>
        <v>PTC</v>
      </c>
      <c r="X177" s="5" t="str">
        <f t="shared" si="25"/>
        <v>PTC</v>
      </c>
      <c r="Y177" s="5" t="str">
        <f t="shared" si="25"/>
        <v>PTC</v>
      </c>
      <c r="Z177" s="5" t="str">
        <f t="shared" si="25"/>
        <v>PTC</v>
      </c>
      <c r="AA177" s="5" t="str">
        <f t="shared" si="25"/>
        <v>PTC</v>
      </c>
      <c r="AB177" s="5" t="str">
        <f t="shared" si="25"/>
        <v>PTC</v>
      </c>
      <c r="AC177" s="5" t="str">
        <f t="shared" si="25"/>
        <v>PTC</v>
      </c>
      <c r="AD177" s="5"/>
      <c r="AE177" s="5"/>
      <c r="AF177" s="5"/>
      <c r="AG177" s="5"/>
      <c r="AH177" s="5"/>
      <c r="AI177" s="5"/>
      <c r="AJ177" s="5"/>
      <c r="AK177" s="5"/>
      <c r="AL177" s="5"/>
      <c r="AM177" s="5"/>
      <c r="AN177" s="5"/>
      <c r="AO177" s="5"/>
      <c r="AP177" s="5"/>
      <c r="AQ177" s="5"/>
      <c r="AR177" s="5"/>
      <c r="AS177" s="5"/>
      <c r="AT177" s="5"/>
      <c r="AU177" s="5"/>
      <c r="AV177" s="5"/>
      <c r="AW177" s="5"/>
      <c r="AX177" s="5"/>
      <c r="AY177" s="5"/>
      <c r="AZ177" s="5"/>
      <c r="BA177" s="5"/>
      <c r="BB177" s="5"/>
      <c r="BC177" s="5"/>
      <c r="BD177" s="5"/>
      <c r="BE177" s="5"/>
      <c r="BF177" s="5"/>
      <c r="BG177" s="5"/>
      <c r="BH177" s="5"/>
      <c r="BI177" s="5"/>
      <c r="BJ177" s="5"/>
      <c r="BK177" s="5"/>
      <c r="BL177" s="5"/>
      <c r="BM177" s="5"/>
      <c r="BN177" s="5"/>
      <c r="BO177" s="5"/>
      <c r="BP177" s="5"/>
      <c r="BQ177" s="5"/>
      <c r="BR177" s="5"/>
      <c r="BS177" s="5"/>
      <c r="BT177" s="5"/>
      <c r="BU177" s="5"/>
      <c r="BV177" s="5"/>
    </row>
    <row r="178" spans="1:74" ht="12.75" x14ac:dyDescent="0.2">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5"/>
      <c r="AC178" s="5"/>
      <c r="AD178" s="5"/>
      <c r="AE178" s="5"/>
      <c r="AF178" s="5"/>
      <c r="AG178" s="5"/>
      <c r="AH178" s="5"/>
      <c r="AI178" s="5"/>
      <c r="AJ178" s="5"/>
      <c r="AK178" s="5"/>
      <c r="AL178" s="5"/>
      <c r="AM178" s="5"/>
      <c r="AN178" s="5"/>
      <c r="AO178" s="5"/>
      <c r="AP178" s="5"/>
      <c r="AQ178" s="5"/>
      <c r="AR178" s="5"/>
      <c r="AS178" s="5"/>
      <c r="AT178" s="5"/>
      <c r="AU178" s="5"/>
      <c r="AV178" s="5"/>
      <c r="AW178" s="5"/>
      <c r="AX178" s="5"/>
      <c r="AY178" s="5"/>
      <c r="AZ178" s="5"/>
      <c r="BA178" s="5"/>
      <c r="BB178" s="5"/>
      <c r="BC178" s="5"/>
      <c r="BD178" s="5"/>
      <c r="BE178" s="5"/>
      <c r="BF178" s="5"/>
      <c r="BG178" s="5"/>
      <c r="BH178" s="5"/>
      <c r="BI178" s="5"/>
      <c r="BJ178" s="5"/>
      <c r="BK178" s="5"/>
      <c r="BL178" s="5"/>
      <c r="BM178" s="5"/>
      <c r="BN178" s="5"/>
      <c r="BO178" s="5"/>
      <c r="BP178" s="5"/>
      <c r="BQ178" s="5"/>
      <c r="BR178" s="5"/>
      <c r="BS178" s="5"/>
      <c r="BT178" s="5"/>
      <c r="BU178" s="5"/>
      <c r="BV178" s="5"/>
    </row>
    <row r="179" spans="1:74" ht="12.75" x14ac:dyDescent="0.2">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c r="AB179" s="5"/>
      <c r="AC179" s="5"/>
      <c r="AD179" s="5"/>
      <c r="AE179" s="5"/>
      <c r="AF179" s="5"/>
      <c r="AG179" s="5"/>
      <c r="AH179" s="5"/>
      <c r="AI179" s="5"/>
      <c r="AJ179" s="5"/>
      <c r="AK179" s="5"/>
      <c r="AL179" s="5"/>
      <c r="AM179" s="5"/>
      <c r="AN179" s="5"/>
      <c r="AO179" s="5"/>
      <c r="AP179" s="5"/>
      <c r="AQ179" s="5"/>
      <c r="AR179" s="5"/>
      <c r="AS179" s="5"/>
      <c r="AT179" s="5"/>
      <c r="AU179" s="5"/>
      <c r="AV179" s="5"/>
      <c r="AW179" s="5"/>
      <c r="AX179" s="5"/>
      <c r="AY179" s="5"/>
      <c r="AZ179" s="5"/>
      <c r="BA179" s="5"/>
      <c r="BB179" s="5"/>
      <c r="BC179" s="5"/>
      <c r="BD179" s="5"/>
      <c r="BE179" s="5"/>
      <c r="BF179" s="5"/>
      <c r="BG179" s="5"/>
      <c r="BH179" s="5"/>
      <c r="BI179" s="5"/>
      <c r="BJ179" s="5"/>
      <c r="BK179" s="5"/>
      <c r="BL179" s="5"/>
      <c r="BM179" s="5"/>
      <c r="BN179" s="5"/>
      <c r="BO179" s="5"/>
      <c r="BP179" s="5"/>
      <c r="BQ179" s="5"/>
      <c r="BR179" s="5"/>
      <c r="BS179" s="5"/>
      <c r="BT179" s="5"/>
      <c r="BU179" s="5"/>
      <c r="BV179" s="5"/>
    </row>
    <row r="180" spans="1:74" ht="12.75" x14ac:dyDescent="0.2">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c r="AB180" s="5"/>
      <c r="AC180" s="5"/>
      <c r="AD180" s="5"/>
      <c r="AE180" s="5"/>
      <c r="AF180" s="5"/>
      <c r="AG180" s="5"/>
      <c r="AH180" s="5"/>
      <c r="AI180" s="5"/>
      <c r="AJ180" s="5"/>
      <c r="AK180" s="5"/>
      <c r="AL180" s="5"/>
      <c r="AM180" s="5"/>
      <c r="AN180" s="5"/>
      <c r="AO180" s="5"/>
      <c r="AP180" s="5"/>
      <c r="AQ180" s="5"/>
      <c r="AR180" s="5"/>
      <c r="AS180" s="5"/>
      <c r="AT180" s="5"/>
      <c r="AU180" s="5"/>
      <c r="AV180" s="5"/>
      <c r="AW180" s="5"/>
      <c r="AX180" s="5"/>
      <c r="AY180" s="5"/>
      <c r="AZ180" s="5"/>
      <c r="BA180" s="5"/>
      <c r="BB180" s="5"/>
      <c r="BC180" s="5"/>
      <c r="BD180" s="5"/>
      <c r="BE180" s="5"/>
      <c r="BF180" s="5"/>
      <c r="BG180" s="5"/>
      <c r="BH180" s="5"/>
      <c r="BI180" s="5"/>
      <c r="BJ180" s="5"/>
      <c r="BK180" s="5"/>
      <c r="BL180" s="5"/>
      <c r="BM180" s="5"/>
      <c r="BN180" s="5"/>
      <c r="BO180" s="5"/>
      <c r="BP180" s="5"/>
      <c r="BQ180" s="5"/>
      <c r="BR180" s="5"/>
      <c r="BS180" s="5"/>
      <c r="BT180" s="5"/>
      <c r="BU180" s="5"/>
      <c r="BV180" s="5"/>
    </row>
    <row r="181" spans="1:74" ht="12.75" x14ac:dyDescent="0.2">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c r="AB181" s="5"/>
      <c r="AC181" s="5"/>
      <c r="AD181" s="5"/>
      <c r="AE181" s="5"/>
      <c r="AF181" s="5"/>
      <c r="AG181" s="5"/>
      <c r="AH181" s="5"/>
      <c r="AI181" s="5"/>
      <c r="AJ181" s="5"/>
      <c r="AK181" s="5"/>
      <c r="AL181" s="5"/>
      <c r="AM181" s="5"/>
      <c r="AN181" s="5"/>
      <c r="AO181" s="5"/>
      <c r="AP181" s="5"/>
      <c r="AQ181" s="5"/>
      <c r="AR181" s="5"/>
      <c r="AS181" s="5"/>
      <c r="AT181" s="5"/>
      <c r="AU181" s="5"/>
      <c r="AV181" s="5"/>
      <c r="AW181" s="5"/>
      <c r="AX181" s="5"/>
      <c r="AY181" s="5"/>
      <c r="AZ181" s="5"/>
      <c r="BA181" s="5"/>
      <c r="BB181" s="5"/>
      <c r="BC181" s="5"/>
      <c r="BD181" s="5"/>
      <c r="BE181" s="5"/>
      <c r="BF181" s="5"/>
      <c r="BG181" s="5"/>
      <c r="BH181" s="5"/>
      <c r="BI181" s="5"/>
      <c r="BJ181" s="5"/>
      <c r="BK181" s="5"/>
      <c r="BL181" s="5"/>
      <c r="BM181" s="5"/>
      <c r="BN181" s="5"/>
      <c r="BO181" s="5"/>
      <c r="BP181" s="5"/>
      <c r="BQ181" s="5"/>
      <c r="BR181" s="5"/>
      <c r="BS181" s="5"/>
      <c r="BT181" s="5"/>
      <c r="BU181" s="5"/>
      <c r="BV181" s="5"/>
    </row>
    <row r="182" spans="1:74" ht="12.75" x14ac:dyDescent="0.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c r="AB182" s="5"/>
      <c r="AC182" s="5"/>
      <c r="AD182" s="5"/>
      <c r="AE182" s="5"/>
      <c r="AF182" s="5"/>
      <c r="AG182" s="5"/>
      <c r="AH182" s="5"/>
      <c r="AI182" s="5"/>
      <c r="AJ182" s="5"/>
      <c r="AK182" s="5"/>
      <c r="AL182" s="5"/>
      <c r="AM182" s="5"/>
      <c r="AN182" s="5"/>
      <c r="AO182" s="5"/>
      <c r="AP182" s="5"/>
      <c r="AQ182" s="5"/>
      <c r="AR182" s="5"/>
      <c r="AS182" s="5"/>
      <c r="AT182" s="5"/>
      <c r="AU182" s="5"/>
      <c r="AV182" s="5"/>
      <c r="AW182" s="5"/>
      <c r="AX182" s="5"/>
      <c r="AY182" s="5"/>
      <c r="AZ182" s="5"/>
      <c r="BA182" s="5"/>
      <c r="BB182" s="5"/>
      <c r="BC182" s="5"/>
      <c r="BD182" s="5"/>
      <c r="BE182" s="5"/>
      <c r="BF182" s="5"/>
      <c r="BG182" s="5"/>
      <c r="BH182" s="5"/>
      <c r="BI182" s="5"/>
      <c r="BJ182" s="5"/>
      <c r="BK182" s="5"/>
      <c r="BL182" s="5"/>
      <c r="BM182" s="5"/>
      <c r="BN182" s="5"/>
      <c r="BO182" s="5"/>
      <c r="BP182" s="5"/>
      <c r="BQ182" s="5"/>
      <c r="BR182" s="5"/>
      <c r="BS182" s="5"/>
      <c r="BT182" s="5"/>
      <c r="BU182" s="5"/>
      <c r="BV182" s="5"/>
    </row>
    <row r="183" spans="1:74" ht="12.75" x14ac:dyDescent="0.2">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5"/>
      <c r="AC183" s="5"/>
      <c r="AD183" s="5"/>
      <c r="AE183" s="5"/>
      <c r="AF183" s="5"/>
      <c r="AG183" s="5"/>
      <c r="AH183" s="5"/>
      <c r="AI183" s="5"/>
      <c r="AJ183" s="5"/>
      <c r="AK183" s="5"/>
      <c r="AL183" s="5"/>
      <c r="AM183" s="5"/>
      <c r="AN183" s="5"/>
      <c r="AO183" s="5"/>
      <c r="AP183" s="5"/>
      <c r="AQ183" s="5"/>
      <c r="AR183" s="5"/>
      <c r="AS183" s="5"/>
      <c r="AT183" s="5"/>
      <c r="AU183" s="5"/>
      <c r="AV183" s="5"/>
      <c r="AW183" s="5"/>
      <c r="AX183" s="5"/>
      <c r="AY183" s="5"/>
      <c r="AZ183" s="5"/>
      <c r="BA183" s="5"/>
      <c r="BB183" s="5"/>
      <c r="BC183" s="5"/>
      <c r="BD183" s="5"/>
      <c r="BE183" s="5"/>
      <c r="BF183" s="5"/>
      <c r="BG183" s="5"/>
      <c r="BH183" s="5"/>
      <c r="BI183" s="5"/>
      <c r="BJ183" s="5"/>
      <c r="BK183" s="5"/>
      <c r="BL183" s="5"/>
      <c r="BM183" s="5"/>
      <c r="BN183" s="5"/>
      <c r="BO183" s="5"/>
      <c r="BP183" s="5"/>
      <c r="BQ183" s="5"/>
      <c r="BR183" s="5"/>
      <c r="BS183" s="5"/>
      <c r="BT183" s="5"/>
      <c r="BU183" s="5"/>
      <c r="BV183" s="5"/>
    </row>
    <row r="184" spans="1:74" ht="12.75" x14ac:dyDescent="0.2">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c r="AB184" s="5"/>
      <c r="AC184" s="5"/>
      <c r="AD184" s="5"/>
      <c r="AE184" s="5"/>
      <c r="AF184" s="5"/>
      <c r="AG184" s="5"/>
      <c r="AH184" s="5"/>
      <c r="AI184" s="5"/>
      <c r="AJ184" s="5"/>
      <c r="AK184" s="5"/>
      <c r="AL184" s="5"/>
      <c r="AM184" s="5"/>
      <c r="AN184" s="5"/>
      <c r="AO184" s="5"/>
      <c r="AP184" s="5"/>
      <c r="AQ184" s="5"/>
      <c r="AR184" s="5"/>
      <c r="AS184" s="5"/>
      <c r="AT184" s="5"/>
      <c r="AU184" s="5"/>
      <c r="AV184" s="5"/>
      <c r="AW184" s="5"/>
      <c r="AX184" s="5"/>
      <c r="AY184" s="5"/>
      <c r="AZ184" s="5"/>
      <c r="BA184" s="5"/>
      <c r="BB184" s="5"/>
      <c r="BC184" s="5"/>
      <c r="BD184" s="5"/>
      <c r="BE184" s="5"/>
      <c r="BF184" s="5"/>
      <c r="BG184" s="5"/>
      <c r="BH184" s="5"/>
      <c r="BI184" s="5"/>
      <c r="BJ184" s="5"/>
      <c r="BK184" s="5"/>
      <c r="BL184" s="5"/>
      <c r="BM184" s="5"/>
      <c r="BN184" s="5"/>
      <c r="BO184" s="5"/>
      <c r="BP184" s="5"/>
      <c r="BQ184" s="5"/>
      <c r="BR184" s="5"/>
      <c r="BS184" s="5"/>
      <c r="BT184" s="5"/>
      <c r="BU184" s="5"/>
      <c r="BV184" s="5"/>
    </row>
    <row r="185" spans="1:74" ht="12.75" x14ac:dyDescent="0.2">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c r="AB185" s="5"/>
      <c r="AC185" s="5"/>
      <c r="AD185" s="5"/>
      <c r="AE185" s="5"/>
      <c r="AF185" s="5"/>
      <c r="AG185" s="5"/>
      <c r="AH185" s="5"/>
      <c r="AI185" s="5"/>
      <c r="AJ185" s="5"/>
      <c r="AK185" s="5"/>
      <c r="AL185" s="5"/>
      <c r="AM185" s="5"/>
      <c r="AN185" s="5"/>
      <c r="AO185" s="5"/>
      <c r="AP185" s="5"/>
      <c r="AQ185" s="5"/>
      <c r="AR185" s="5"/>
      <c r="AS185" s="5"/>
      <c r="AT185" s="5"/>
      <c r="AU185" s="5"/>
      <c r="AV185" s="5"/>
      <c r="AW185" s="5"/>
      <c r="AX185" s="5"/>
      <c r="AY185" s="5"/>
      <c r="AZ185" s="5"/>
      <c r="BA185" s="5"/>
      <c r="BB185" s="5"/>
      <c r="BC185" s="5"/>
      <c r="BD185" s="5"/>
      <c r="BE185" s="5"/>
      <c r="BF185" s="5"/>
      <c r="BG185" s="5"/>
      <c r="BH185" s="5"/>
      <c r="BI185" s="5"/>
      <c r="BJ185" s="5"/>
      <c r="BK185" s="5"/>
      <c r="BL185" s="5"/>
      <c r="BM185" s="5"/>
      <c r="BN185" s="5"/>
      <c r="BO185" s="5"/>
      <c r="BP185" s="5"/>
      <c r="BQ185" s="5"/>
      <c r="BR185" s="5"/>
      <c r="BS185" s="5"/>
      <c r="BT185" s="5"/>
      <c r="BU185" s="5"/>
      <c r="BV185" s="5"/>
    </row>
    <row r="186" spans="1:74" ht="12.75" x14ac:dyDescent="0.2">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c r="AB186" s="5"/>
      <c r="AC186" s="5"/>
      <c r="AD186" s="5"/>
      <c r="AE186" s="5"/>
      <c r="AF186" s="5"/>
      <c r="AG186" s="5"/>
      <c r="AH186" s="5"/>
      <c r="AI186" s="5"/>
      <c r="AJ186" s="5"/>
      <c r="AK186" s="5"/>
      <c r="AL186" s="5"/>
      <c r="AM186" s="5"/>
      <c r="AN186" s="5"/>
      <c r="AO186" s="5"/>
      <c r="AP186" s="5"/>
      <c r="AQ186" s="5"/>
      <c r="AR186" s="5"/>
      <c r="AS186" s="5"/>
      <c r="AT186" s="5"/>
      <c r="AU186" s="5"/>
      <c r="AV186" s="5"/>
      <c r="AW186" s="5"/>
      <c r="AX186" s="5"/>
      <c r="AY186" s="5"/>
      <c r="AZ186" s="5"/>
      <c r="BA186" s="5"/>
      <c r="BB186" s="5"/>
      <c r="BC186" s="5"/>
      <c r="BD186" s="5"/>
      <c r="BE186" s="5"/>
      <c r="BF186" s="5"/>
      <c r="BG186" s="5"/>
      <c r="BH186" s="5"/>
      <c r="BI186" s="5"/>
      <c r="BJ186" s="5"/>
      <c r="BK186" s="5"/>
      <c r="BL186" s="5"/>
      <c r="BM186" s="5"/>
      <c r="BN186" s="5"/>
      <c r="BO186" s="5"/>
      <c r="BP186" s="5"/>
      <c r="BQ186" s="5"/>
      <c r="BR186" s="5"/>
      <c r="BS186" s="5"/>
      <c r="BT186" s="5"/>
      <c r="BU186" s="5"/>
      <c r="BV186" s="5"/>
    </row>
    <row r="187" spans="1:74" ht="12.75" x14ac:dyDescent="0.2">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c r="AB187" s="5"/>
      <c r="AC187" s="5"/>
      <c r="AD187" s="5"/>
      <c r="AE187" s="5"/>
      <c r="AF187" s="5"/>
      <c r="AG187" s="5"/>
      <c r="AH187" s="5"/>
      <c r="AI187" s="5"/>
      <c r="AJ187" s="5"/>
      <c r="AK187" s="5"/>
      <c r="AL187" s="5"/>
      <c r="AM187" s="5"/>
      <c r="AN187" s="5"/>
      <c r="AO187" s="5"/>
      <c r="AP187" s="5"/>
      <c r="AQ187" s="5"/>
      <c r="AR187" s="5"/>
      <c r="AS187" s="5"/>
      <c r="AT187" s="5"/>
      <c r="AU187" s="5"/>
      <c r="AV187" s="5"/>
      <c r="AW187" s="5"/>
      <c r="AX187" s="5"/>
      <c r="AY187" s="5"/>
      <c r="AZ187" s="5"/>
      <c r="BA187" s="5"/>
      <c r="BB187" s="5"/>
      <c r="BC187" s="5"/>
      <c r="BD187" s="5"/>
      <c r="BE187" s="5"/>
      <c r="BF187" s="5"/>
      <c r="BG187" s="5"/>
      <c r="BH187" s="5"/>
      <c r="BI187" s="5"/>
      <c r="BJ187" s="5"/>
      <c r="BK187" s="5"/>
      <c r="BL187" s="5"/>
      <c r="BM187" s="5"/>
      <c r="BN187" s="5"/>
      <c r="BO187" s="5"/>
      <c r="BP187" s="5"/>
      <c r="BQ187" s="5"/>
      <c r="BR187" s="5"/>
      <c r="BS187" s="5"/>
      <c r="BT187" s="5"/>
      <c r="BU187" s="5"/>
      <c r="BV187" s="5"/>
    </row>
    <row r="188" spans="1:74" ht="12.75" x14ac:dyDescent="0.2">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c r="AD188" s="5"/>
      <c r="AE188" s="5"/>
      <c r="AF188" s="5"/>
      <c r="AG188" s="5"/>
      <c r="AH188" s="5"/>
      <c r="AI188" s="5"/>
      <c r="AJ188" s="5"/>
      <c r="AK188" s="5"/>
      <c r="AL188" s="5"/>
      <c r="AM188" s="5"/>
      <c r="AN188" s="5"/>
      <c r="AO188" s="5"/>
      <c r="AP188" s="5"/>
      <c r="AQ188" s="5"/>
      <c r="AR188" s="5"/>
      <c r="AS188" s="5"/>
      <c r="AT188" s="5"/>
      <c r="AU188" s="5"/>
      <c r="AV188" s="5"/>
      <c r="AW188" s="5"/>
      <c r="AX188" s="5"/>
      <c r="AY188" s="5"/>
      <c r="AZ188" s="5"/>
      <c r="BA188" s="5"/>
      <c r="BB188" s="5"/>
      <c r="BC188" s="5"/>
      <c r="BD188" s="5"/>
      <c r="BE188" s="5"/>
      <c r="BF188" s="5"/>
      <c r="BG188" s="5"/>
      <c r="BH188" s="5"/>
      <c r="BI188" s="5"/>
      <c r="BJ188" s="5"/>
      <c r="BK188" s="5"/>
      <c r="BL188" s="5"/>
      <c r="BM188" s="5"/>
      <c r="BN188" s="5"/>
      <c r="BO188" s="5"/>
      <c r="BP188" s="5"/>
      <c r="BQ188" s="5"/>
      <c r="BR188" s="5"/>
      <c r="BS188" s="5"/>
      <c r="BT188" s="5"/>
      <c r="BU188" s="5"/>
      <c r="BV188" s="5"/>
    </row>
    <row r="189" spans="1:74" ht="12.75" x14ac:dyDescent="0.2">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5"/>
      <c r="AC189" s="5"/>
      <c r="AD189" s="5"/>
      <c r="AE189" s="5"/>
      <c r="AF189" s="5"/>
      <c r="AG189" s="5"/>
      <c r="AH189" s="5"/>
      <c r="AI189" s="5"/>
      <c r="AJ189" s="5"/>
      <c r="AK189" s="5"/>
      <c r="AL189" s="5"/>
      <c r="AM189" s="5"/>
      <c r="AN189" s="5"/>
      <c r="AO189" s="5"/>
      <c r="AP189" s="5"/>
      <c r="AQ189" s="5"/>
      <c r="AR189" s="5"/>
      <c r="AS189" s="5"/>
      <c r="AT189" s="5"/>
      <c r="AU189" s="5"/>
      <c r="AV189" s="5"/>
      <c r="AW189" s="5"/>
      <c r="AX189" s="5"/>
      <c r="AY189" s="5"/>
      <c r="AZ189" s="5"/>
      <c r="BA189" s="5"/>
      <c r="BB189" s="5"/>
      <c r="BC189" s="5"/>
      <c r="BD189" s="5"/>
      <c r="BE189" s="5"/>
      <c r="BF189" s="5"/>
      <c r="BG189" s="5"/>
      <c r="BH189" s="5"/>
      <c r="BI189" s="5"/>
      <c r="BJ189" s="5"/>
      <c r="BK189" s="5"/>
      <c r="BL189" s="5"/>
      <c r="BM189" s="5"/>
      <c r="BN189" s="5"/>
      <c r="BO189" s="5"/>
      <c r="BP189" s="5"/>
      <c r="BQ189" s="5"/>
      <c r="BR189" s="5"/>
      <c r="BS189" s="5"/>
      <c r="BT189" s="5"/>
      <c r="BU189" s="5"/>
      <c r="BV189" s="5"/>
    </row>
    <row r="190" spans="1:74" ht="12.75" x14ac:dyDescent="0.2">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c r="AB190" s="5"/>
      <c r="AC190" s="5"/>
      <c r="AD190" s="5"/>
      <c r="AE190" s="5"/>
      <c r="AF190" s="5"/>
      <c r="AG190" s="5"/>
      <c r="AH190" s="5"/>
      <c r="AI190" s="5"/>
      <c r="AJ190" s="5"/>
      <c r="AK190" s="5"/>
      <c r="AL190" s="5"/>
      <c r="AM190" s="5"/>
      <c r="AN190" s="5"/>
      <c r="AO190" s="5"/>
      <c r="AP190" s="5"/>
      <c r="AQ190" s="5"/>
      <c r="AR190" s="5"/>
      <c r="AS190" s="5"/>
      <c r="AT190" s="5"/>
      <c r="AU190" s="5"/>
      <c r="AV190" s="5"/>
      <c r="AW190" s="5"/>
      <c r="AX190" s="5"/>
      <c r="AY190" s="5"/>
      <c r="AZ190" s="5"/>
      <c r="BA190" s="5"/>
      <c r="BB190" s="5"/>
      <c r="BC190" s="5"/>
      <c r="BD190" s="5"/>
      <c r="BE190" s="5"/>
      <c r="BF190" s="5"/>
      <c r="BG190" s="5"/>
      <c r="BH190" s="5"/>
      <c r="BI190" s="5"/>
      <c r="BJ190" s="5"/>
      <c r="BK190" s="5"/>
      <c r="BL190" s="5"/>
      <c r="BM190" s="5"/>
      <c r="BN190" s="5"/>
      <c r="BO190" s="5"/>
      <c r="BP190" s="5"/>
      <c r="BQ190" s="5"/>
      <c r="BR190" s="5"/>
      <c r="BS190" s="5"/>
      <c r="BT190" s="5"/>
      <c r="BU190" s="5"/>
      <c r="BV190" s="5"/>
    </row>
    <row r="191" spans="1:74" ht="12.75" x14ac:dyDescent="0.2">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c r="AB191" s="5"/>
      <c r="AC191" s="5"/>
      <c r="AD191" s="5"/>
      <c r="AE191" s="5"/>
      <c r="AF191" s="5"/>
      <c r="AG191" s="5"/>
      <c r="AH191" s="5"/>
      <c r="AI191" s="5"/>
      <c r="AJ191" s="5"/>
      <c r="AK191" s="5"/>
      <c r="AL191" s="5"/>
      <c r="AM191" s="5"/>
      <c r="AN191" s="5"/>
      <c r="AO191" s="5"/>
      <c r="AP191" s="5"/>
      <c r="AQ191" s="5"/>
      <c r="AR191" s="5"/>
      <c r="AS191" s="5"/>
      <c r="AT191" s="5"/>
      <c r="AU191" s="5"/>
      <c r="AV191" s="5"/>
      <c r="AW191" s="5"/>
      <c r="AX191" s="5"/>
      <c r="AY191" s="5"/>
      <c r="AZ191" s="5"/>
      <c r="BA191" s="5"/>
      <c r="BB191" s="5"/>
      <c r="BC191" s="5"/>
      <c r="BD191" s="5"/>
      <c r="BE191" s="5"/>
      <c r="BF191" s="5"/>
      <c r="BG191" s="5"/>
      <c r="BH191" s="5"/>
      <c r="BI191" s="5"/>
      <c r="BJ191" s="5"/>
      <c r="BK191" s="5"/>
      <c r="BL191" s="5"/>
      <c r="BM191" s="5"/>
      <c r="BN191" s="5"/>
      <c r="BO191" s="5"/>
      <c r="BP191" s="5"/>
      <c r="BQ191" s="5"/>
      <c r="BR191" s="5"/>
      <c r="BS191" s="5"/>
      <c r="BT191" s="5"/>
      <c r="BU191" s="5"/>
      <c r="BV191" s="5"/>
    </row>
    <row r="192" spans="1:74" ht="12.75" x14ac:dyDescent="0.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c r="AD192" s="5"/>
      <c r="AE192" s="5"/>
      <c r="AF192" s="5"/>
      <c r="AG192" s="5"/>
      <c r="AH192" s="5"/>
      <c r="AI192" s="5"/>
      <c r="AJ192" s="5"/>
      <c r="AK192" s="5"/>
      <c r="AL192" s="5"/>
      <c r="AM192" s="5"/>
      <c r="AN192" s="5"/>
      <c r="AO192" s="5"/>
      <c r="AP192" s="5"/>
      <c r="AQ192" s="5"/>
      <c r="AR192" s="5"/>
      <c r="AS192" s="5"/>
      <c r="AT192" s="5"/>
      <c r="AU192" s="5"/>
      <c r="AV192" s="5"/>
      <c r="AW192" s="5"/>
      <c r="AX192" s="5"/>
      <c r="AY192" s="5"/>
      <c r="AZ192" s="5"/>
      <c r="BA192" s="5"/>
      <c r="BB192" s="5"/>
      <c r="BC192" s="5"/>
      <c r="BD192" s="5"/>
      <c r="BE192" s="5"/>
      <c r="BF192" s="5"/>
      <c r="BG192" s="5"/>
      <c r="BH192" s="5"/>
      <c r="BI192" s="5"/>
      <c r="BJ192" s="5"/>
      <c r="BK192" s="5"/>
      <c r="BL192" s="5"/>
      <c r="BM192" s="5"/>
      <c r="BN192" s="5"/>
      <c r="BO192" s="5"/>
      <c r="BP192" s="5"/>
      <c r="BQ192" s="5"/>
      <c r="BR192" s="5"/>
      <c r="BS192" s="5"/>
      <c r="BT192" s="5"/>
      <c r="BU192" s="5"/>
      <c r="BV192" s="5"/>
    </row>
    <row r="193" spans="1:74" ht="12.75" x14ac:dyDescent="0.2">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c r="AB193" s="5"/>
      <c r="AC193" s="5"/>
      <c r="AD193" s="5"/>
      <c r="AE193" s="5"/>
      <c r="AF193" s="5"/>
      <c r="AG193" s="5"/>
      <c r="AH193" s="5"/>
      <c r="AI193" s="5"/>
      <c r="AJ193" s="5"/>
      <c r="AK193" s="5"/>
      <c r="AL193" s="5"/>
      <c r="AM193" s="5"/>
      <c r="AN193" s="5"/>
      <c r="AO193" s="5"/>
      <c r="AP193" s="5"/>
      <c r="AQ193" s="5"/>
      <c r="AR193" s="5"/>
      <c r="AS193" s="5"/>
      <c r="AT193" s="5"/>
      <c r="AU193" s="5"/>
      <c r="AV193" s="5"/>
      <c r="AW193" s="5"/>
      <c r="AX193" s="5"/>
      <c r="AY193" s="5"/>
      <c r="AZ193" s="5"/>
      <c r="BA193" s="5"/>
      <c r="BB193" s="5"/>
      <c r="BC193" s="5"/>
      <c r="BD193" s="5"/>
      <c r="BE193" s="5"/>
      <c r="BF193" s="5"/>
      <c r="BG193" s="5"/>
      <c r="BH193" s="5"/>
      <c r="BI193" s="5"/>
      <c r="BJ193" s="5"/>
      <c r="BK193" s="5"/>
      <c r="BL193" s="5"/>
      <c r="BM193" s="5"/>
      <c r="BN193" s="5"/>
      <c r="BO193" s="5"/>
      <c r="BP193" s="5"/>
      <c r="BQ193" s="5"/>
      <c r="BR193" s="5"/>
      <c r="BS193" s="5"/>
      <c r="BT193" s="5"/>
      <c r="BU193" s="5"/>
      <c r="BV193" s="5"/>
    </row>
    <row r="194" spans="1:74" ht="12.75" x14ac:dyDescent="0.2">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c r="AB194" s="5"/>
      <c r="AC194" s="5"/>
      <c r="AD194" s="5"/>
      <c r="AE194" s="5"/>
      <c r="AF194" s="5"/>
      <c r="AG194" s="5"/>
      <c r="AH194" s="5"/>
      <c r="AI194" s="5"/>
      <c r="AJ194" s="5"/>
      <c r="AK194" s="5"/>
      <c r="AL194" s="5"/>
      <c r="AM194" s="5"/>
      <c r="AN194" s="5"/>
      <c r="AO194" s="5"/>
      <c r="AP194" s="5"/>
      <c r="AQ194" s="5"/>
      <c r="AR194" s="5"/>
      <c r="AS194" s="5"/>
      <c r="AT194" s="5"/>
      <c r="AU194" s="5"/>
      <c r="AV194" s="5"/>
      <c r="AW194" s="5"/>
      <c r="AX194" s="5"/>
      <c r="AY194" s="5"/>
      <c r="AZ194" s="5"/>
      <c r="BA194" s="5"/>
      <c r="BB194" s="5"/>
      <c r="BC194" s="5"/>
      <c r="BD194" s="5"/>
      <c r="BE194" s="5"/>
      <c r="BF194" s="5"/>
      <c r="BG194" s="5"/>
      <c r="BH194" s="5"/>
      <c r="BI194" s="5"/>
      <c r="BJ194" s="5"/>
      <c r="BK194" s="5"/>
      <c r="BL194" s="5"/>
      <c r="BM194" s="5"/>
      <c r="BN194" s="5"/>
      <c r="BO194" s="5"/>
      <c r="BP194" s="5"/>
      <c r="BQ194" s="5"/>
      <c r="BR194" s="5"/>
      <c r="BS194" s="5"/>
      <c r="BT194" s="5"/>
      <c r="BU194" s="5"/>
      <c r="BV194" s="5"/>
    </row>
    <row r="195" spans="1:74" ht="12.75" x14ac:dyDescent="0.2">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c r="AB195" s="5"/>
      <c r="AC195" s="5"/>
      <c r="AD195" s="5"/>
      <c r="AE195" s="5"/>
      <c r="AF195" s="5"/>
      <c r="AG195" s="5"/>
      <c r="AH195" s="5"/>
      <c r="AI195" s="5"/>
      <c r="AJ195" s="5"/>
      <c r="AK195" s="5"/>
      <c r="AL195" s="5"/>
      <c r="AM195" s="5"/>
      <c r="AN195" s="5"/>
      <c r="AO195" s="5"/>
      <c r="AP195" s="5"/>
      <c r="AQ195" s="5"/>
      <c r="AR195" s="5"/>
      <c r="AS195" s="5"/>
      <c r="AT195" s="5"/>
      <c r="AU195" s="5"/>
      <c r="AV195" s="5"/>
      <c r="AW195" s="5"/>
      <c r="AX195" s="5"/>
      <c r="AY195" s="5"/>
      <c r="AZ195" s="5"/>
      <c r="BA195" s="5"/>
      <c r="BB195" s="5"/>
      <c r="BC195" s="5"/>
      <c r="BD195" s="5"/>
      <c r="BE195" s="5"/>
      <c r="BF195" s="5"/>
      <c r="BG195" s="5"/>
      <c r="BH195" s="5"/>
      <c r="BI195" s="5"/>
      <c r="BJ195" s="5"/>
      <c r="BK195" s="5"/>
      <c r="BL195" s="5"/>
      <c r="BM195" s="5"/>
      <c r="BN195" s="5"/>
      <c r="BO195" s="5"/>
      <c r="BP195" s="5"/>
      <c r="BQ195" s="5"/>
      <c r="BR195" s="5"/>
      <c r="BS195" s="5"/>
      <c r="BT195" s="5"/>
      <c r="BU195" s="5"/>
      <c r="BV195" s="5"/>
    </row>
    <row r="196" spans="1:74" ht="12.75" x14ac:dyDescent="0.2">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c r="AB196" s="5"/>
      <c r="AC196" s="5"/>
      <c r="AD196" s="5"/>
      <c r="AE196" s="5"/>
      <c r="AF196" s="5"/>
      <c r="AG196" s="5"/>
      <c r="AH196" s="5"/>
      <c r="AI196" s="5"/>
      <c r="AJ196" s="5"/>
      <c r="AK196" s="5"/>
      <c r="AL196" s="5"/>
      <c r="AM196" s="5"/>
      <c r="AN196" s="5"/>
      <c r="AO196" s="5"/>
      <c r="AP196" s="5"/>
      <c r="AQ196" s="5"/>
      <c r="AR196" s="5"/>
      <c r="AS196" s="5"/>
      <c r="AT196" s="5"/>
      <c r="AU196" s="5"/>
      <c r="AV196" s="5"/>
      <c r="AW196" s="5"/>
      <c r="AX196" s="5"/>
      <c r="AY196" s="5"/>
      <c r="AZ196" s="5"/>
      <c r="BA196" s="5"/>
      <c r="BB196" s="5"/>
      <c r="BC196" s="5"/>
      <c r="BD196" s="5"/>
      <c r="BE196" s="5"/>
      <c r="BF196" s="5"/>
      <c r="BG196" s="5"/>
      <c r="BH196" s="5"/>
      <c r="BI196" s="5"/>
      <c r="BJ196" s="5"/>
      <c r="BK196" s="5"/>
      <c r="BL196" s="5"/>
      <c r="BM196" s="5"/>
      <c r="BN196" s="5"/>
      <c r="BO196" s="5"/>
      <c r="BP196" s="5"/>
      <c r="BQ196" s="5"/>
      <c r="BR196" s="5"/>
      <c r="BS196" s="5"/>
      <c r="BT196" s="5"/>
      <c r="BU196" s="5"/>
      <c r="BV196" s="5"/>
    </row>
    <row r="197" spans="1:74" ht="12.75" x14ac:dyDescent="0.2">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c r="AB197" s="5"/>
      <c r="AC197" s="5"/>
      <c r="AD197" s="5"/>
      <c r="AE197" s="5"/>
      <c r="AF197" s="5"/>
      <c r="AG197" s="5"/>
      <c r="AH197" s="5"/>
      <c r="AI197" s="5"/>
      <c r="AJ197" s="5"/>
      <c r="AK197" s="5"/>
      <c r="AL197" s="5"/>
      <c r="AM197" s="5"/>
      <c r="AN197" s="5"/>
      <c r="AO197" s="5"/>
      <c r="AP197" s="5"/>
      <c r="AQ197" s="5"/>
      <c r="AR197" s="5"/>
      <c r="AS197" s="5"/>
      <c r="AT197" s="5"/>
      <c r="AU197" s="5"/>
      <c r="AV197" s="5"/>
      <c r="AW197" s="5"/>
      <c r="AX197" s="5"/>
      <c r="AY197" s="5"/>
      <c r="AZ197" s="5"/>
      <c r="BA197" s="5"/>
      <c r="BB197" s="5"/>
      <c r="BC197" s="5"/>
      <c r="BD197" s="5"/>
      <c r="BE197" s="5"/>
      <c r="BF197" s="5"/>
      <c r="BG197" s="5"/>
      <c r="BH197" s="5"/>
      <c r="BI197" s="5"/>
      <c r="BJ197" s="5"/>
      <c r="BK197" s="5"/>
      <c r="BL197" s="5"/>
      <c r="BM197" s="5"/>
      <c r="BN197" s="5"/>
      <c r="BO197" s="5"/>
      <c r="BP197" s="5"/>
      <c r="BQ197" s="5"/>
      <c r="BR197" s="5"/>
      <c r="BS197" s="5"/>
      <c r="BT197" s="5"/>
      <c r="BU197" s="5"/>
      <c r="BV197" s="5"/>
    </row>
    <row r="198" spans="1:74" ht="12.75" x14ac:dyDescent="0.2">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c r="AB198" s="5"/>
      <c r="AC198" s="5"/>
      <c r="AD198" s="5"/>
      <c r="AE198" s="5"/>
      <c r="AF198" s="5"/>
      <c r="AG198" s="5"/>
      <c r="AH198" s="5"/>
      <c r="AI198" s="5"/>
      <c r="AJ198" s="5"/>
      <c r="AK198" s="5"/>
      <c r="AL198" s="5"/>
      <c r="AM198" s="5"/>
      <c r="AN198" s="5"/>
      <c r="AO198" s="5"/>
      <c r="AP198" s="5"/>
      <c r="AQ198" s="5"/>
      <c r="AR198" s="5"/>
      <c r="AS198" s="5"/>
      <c r="AT198" s="5"/>
      <c r="AU198" s="5"/>
      <c r="AV198" s="5"/>
      <c r="AW198" s="5"/>
      <c r="AX198" s="5"/>
      <c r="AY198" s="5"/>
      <c r="AZ198" s="5"/>
      <c r="BA198" s="5"/>
      <c r="BB198" s="5"/>
      <c r="BC198" s="5"/>
      <c r="BD198" s="5"/>
      <c r="BE198" s="5"/>
      <c r="BF198" s="5"/>
      <c r="BG198" s="5"/>
      <c r="BH198" s="5"/>
      <c r="BI198" s="5"/>
      <c r="BJ198" s="5"/>
      <c r="BK198" s="5"/>
      <c r="BL198" s="5"/>
      <c r="BM198" s="5"/>
      <c r="BN198" s="5"/>
      <c r="BO198" s="5"/>
      <c r="BP198" s="5"/>
      <c r="BQ198" s="5"/>
      <c r="BR198" s="5"/>
      <c r="BS198" s="5"/>
      <c r="BT198" s="5"/>
      <c r="BU198" s="5"/>
      <c r="BV198" s="5"/>
    </row>
    <row r="199" spans="1:74" ht="12.75" x14ac:dyDescent="0.2">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c r="AV199" s="5"/>
      <c r="AW199" s="5"/>
      <c r="AX199" s="5"/>
      <c r="AY199" s="5"/>
      <c r="AZ199" s="5"/>
      <c r="BA199" s="5"/>
      <c r="BB199" s="5"/>
      <c r="BC199" s="5"/>
      <c r="BD199" s="5"/>
      <c r="BE199" s="5"/>
      <c r="BF199" s="5"/>
      <c r="BG199" s="5"/>
      <c r="BH199" s="5"/>
      <c r="BI199" s="5"/>
      <c r="BJ199" s="5"/>
      <c r="BK199" s="5"/>
      <c r="BL199" s="5"/>
      <c r="BM199" s="5"/>
      <c r="BN199" s="5"/>
      <c r="BO199" s="5"/>
      <c r="BP199" s="5"/>
      <c r="BQ199" s="5"/>
      <c r="BR199" s="5"/>
      <c r="BS199" s="5"/>
      <c r="BT199" s="5"/>
      <c r="BU199" s="5"/>
      <c r="BV199" s="5"/>
    </row>
    <row r="200" spans="1:74" ht="12.75" x14ac:dyDescent="0.2">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5"/>
      <c r="AC200" s="5"/>
      <c r="AD200" s="5"/>
      <c r="AE200" s="5"/>
      <c r="AF200" s="5"/>
      <c r="AG200" s="5"/>
      <c r="AH200" s="5"/>
      <c r="AI200" s="5"/>
      <c r="AJ200" s="5"/>
      <c r="AK200" s="5"/>
      <c r="AL200" s="5"/>
      <c r="AM200" s="5"/>
      <c r="AN200" s="5"/>
      <c r="AO200" s="5"/>
      <c r="AP200" s="5"/>
      <c r="AQ200" s="5"/>
      <c r="AR200" s="5"/>
      <c r="AS200" s="5"/>
      <c r="AT200" s="5"/>
      <c r="AU200" s="5"/>
      <c r="AV200" s="5"/>
      <c r="AW200" s="5"/>
      <c r="AX200" s="5"/>
      <c r="AY200" s="5"/>
      <c r="AZ200" s="5"/>
      <c r="BA200" s="5"/>
      <c r="BB200" s="5"/>
      <c r="BC200" s="5"/>
      <c r="BD200" s="5"/>
      <c r="BE200" s="5"/>
      <c r="BF200" s="5"/>
      <c r="BG200" s="5"/>
      <c r="BH200" s="5"/>
      <c r="BI200" s="5"/>
      <c r="BJ200" s="5"/>
      <c r="BK200" s="5"/>
      <c r="BL200" s="5"/>
      <c r="BM200" s="5"/>
      <c r="BN200" s="5"/>
      <c r="BO200" s="5"/>
      <c r="BP200" s="5"/>
      <c r="BQ200" s="5"/>
      <c r="BR200" s="5"/>
      <c r="BS200" s="5"/>
      <c r="BT200" s="5"/>
      <c r="BU200" s="5"/>
      <c r="BV200" s="5"/>
    </row>
    <row r="201" spans="1:74" ht="12.75" x14ac:dyDescent="0.2">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c r="AB201" s="5"/>
      <c r="AC201" s="5"/>
      <c r="AD201" s="5"/>
      <c r="AE201" s="5"/>
      <c r="AF201" s="5"/>
      <c r="AG201" s="5"/>
      <c r="AH201" s="5"/>
      <c r="AI201" s="5"/>
      <c r="AJ201" s="5"/>
      <c r="AK201" s="5"/>
      <c r="AL201" s="5"/>
      <c r="AM201" s="5"/>
      <c r="AN201" s="5"/>
      <c r="AO201" s="5"/>
      <c r="AP201" s="5"/>
      <c r="AQ201" s="5"/>
      <c r="AR201" s="5"/>
      <c r="AS201" s="5"/>
      <c r="AT201" s="5"/>
      <c r="AU201" s="5"/>
      <c r="AV201" s="5"/>
      <c r="AW201" s="5"/>
      <c r="AX201" s="5"/>
      <c r="AY201" s="5"/>
      <c r="AZ201" s="5"/>
      <c r="BA201" s="5"/>
      <c r="BB201" s="5"/>
      <c r="BC201" s="5"/>
      <c r="BD201" s="5"/>
      <c r="BE201" s="5"/>
      <c r="BF201" s="5"/>
      <c r="BG201" s="5"/>
      <c r="BH201" s="5"/>
      <c r="BI201" s="5"/>
      <c r="BJ201" s="5"/>
      <c r="BK201" s="5"/>
      <c r="BL201" s="5"/>
      <c r="BM201" s="5"/>
      <c r="BN201" s="5"/>
      <c r="BO201" s="5"/>
      <c r="BP201" s="5"/>
      <c r="BQ201" s="5"/>
      <c r="BR201" s="5"/>
      <c r="BS201" s="5"/>
      <c r="BT201" s="5"/>
      <c r="BU201" s="5"/>
      <c r="BV201" s="5"/>
    </row>
    <row r="202" spans="1:74" ht="12.75" x14ac:dyDescent="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5"/>
      <c r="AC202" s="5"/>
      <c r="AD202" s="5"/>
      <c r="AE202" s="5"/>
      <c r="AF202" s="5"/>
      <c r="AG202" s="5"/>
      <c r="AH202" s="5"/>
      <c r="AI202" s="5"/>
      <c r="AJ202" s="5"/>
      <c r="AK202" s="5"/>
      <c r="AL202" s="5"/>
      <c r="AM202" s="5"/>
      <c r="AN202" s="5"/>
      <c r="AO202" s="5"/>
      <c r="AP202" s="5"/>
      <c r="AQ202" s="5"/>
      <c r="AR202" s="5"/>
      <c r="AS202" s="5"/>
      <c r="AT202" s="5"/>
      <c r="AU202" s="5"/>
      <c r="AV202" s="5"/>
      <c r="AW202" s="5"/>
      <c r="AX202" s="5"/>
      <c r="AY202" s="5"/>
      <c r="AZ202" s="5"/>
      <c r="BA202" s="5"/>
      <c r="BB202" s="5"/>
      <c r="BC202" s="5"/>
      <c r="BD202" s="5"/>
      <c r="BE202" s="5"/>
      <c r="BF202" s="5"/>
      <c r="BG202" s="5"/>
      <c r="BH202" s="5"/>
      <c r="BI202" s="5"/>
      <c r="BJ202" s="5"/>
      <c r="BK202" s="5"/>
      <c r="BL202" s="5"/>
      <c r="BM202" s="5"/>
      <c r="BN202" s="5"/>
      <c r="BO202" s="5"/>
      <c r="BP202" s="5"/>
      <c r="BQ202" s="5"/>
      <c r="BR202" s="5"/>
      <c r="BS202" s="5"/>
      <c r="BT202" s="5"/>
      <c r="BU202" s="5"/>
      <c r="BV202" s="5"/>
    </row>
    <row r="203" spans="1:74" ht="12.75" x14ac:dyDescent="0.2">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5"/>
      <c r="AC203" s="5"/>
      <c r="AD203" s="5"/>
      <c r="AE203" s="5"/>
      <c r="AF203" s="5"/>
      <c r="AG203" s="5"/>
      <c r="AH203" s="5"/>
      <c r="AI203" s="5"/>
      <c r="AJ203" s="5"/>
      <c r="AK203" s="5"/>
      <c r="AL203" s="5"/>
      <c r="AM203" s="5"/>
      <c r="AN203" s="5"/>
      <c r="AO203" s="5"/>
      <c r="AP203" s="5"/>
      <c r="AQ203" s="5"/>
      <c r="AR203" s="5"/>
      <c r="AS203" s="5"/>
      <c r="AT203" s="5"/>
      <c r="AU203" s="5"/>
      <c r="AV203" s="5"/>
      <c r="AW203" s="5"/>
      <c r="AX203" s="5"/>
      <c r="AY203" s="5"/>
      <c r="AZ203" s="5"/>
      <c r="BA203" s="5"/>
      <c r="BB203" s="5"/>
      <c r="BC203" s="5"/>
      <c r="BD203" s="5"/>
      <c r="BE203" s="5"/>
      <c r="BF203" s="5"/>
      <c r="BG203" s="5"/>
      <c r="BH203" s="5"/>
      <c r="BI203" s="5"/>
      <c r="BJ203" s="5"/>
      <c r="BK203" s="5"/>
      <c r="BL203" s="5"/>
      <c r="BM203" s="5"/>
      <c r="BN203" s="5"/>
      <c r="BO203" s="5"/>
      <c r="BP203" s="5"/>
      <c r="BQ203" s="5"/>
      <c r="BR203" s="5"/>
      <c r="BS203" s="5"/>
      <c r="BT203" s="5"/>
      <c r="BU203" s="5"/>
      <c r="BV203" s="5"/>
    </row>
    <row r="204" spans="1:74" ht="12.75" x14ac:dyDescent="0.2">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5"/>
      <c r="AC204" s="5"/>
      <c r="AD204" s="5"/>
      <c r="AE204" s="5"/>
      <c r="AF204" s="5"/>
      <c r="AG204" s="5"/>
      <c r="AH204" s="5"/>
      <c r="AI204" s="5"/>
      <c r="AJ204" s="5"/>
      <c r="AK204" s="5"/>
      <c r="AL204" s="5"/>
      <c r="AM204" s="5"/>
      <c r="AN204" s="5"/>
      <c r="AO204" s="5"/>
      <c r="AP204" s="5"/>
      <c r="AQ204" s="5"/>
      <c r="AR204" s="5"/>
      <c r="AS204" s="5"/>
      <c r="AT204" s="5"/>
      <c r="AU204" s="5"/>
      <c r="AV204" s="5"/>
      <c r="AW204" s="5"/>
      <c r="AX204" s="5"/>
      <c r="AY204" s="5"/>
      <c r="AZ204" s="5"/>
      <c r="BA204" s="5"/>
      <c r="BB204" s="5"/>
      <c r="BC204" s="5"/>
      <c r="BD204" s="5"/>
      <c r="BE204" s="5"/>
      <c r="BF204" s="5"/>
      <c r="BG204" s="5"/>
      <c r="BH204" s="5"/>
      <c r="BI204" s="5"/>
      <c r="BJ204" s="5"/>
      <c r="BK204" s="5"/>
      <c r="BL204" s="5"/>
      <c r="BM204" s="5"/>
      <c r="BN204" s="5"/>
      <c r="BO204" s="5"/>
      <c r="BP204" s="5"/>
      <c r="BQ204" s="5"/>
      <c r="BR204" s="5"/>
      <c r="BS204" s="5"/>
      <c r="BT204" s="5"/>
      <c r="BU204" s="5"/>
      <c r="BV204" s="5"/>
    </row>
    <row r="205" spans="1:74" ht="12.75" x14ac:dyDescent="0.2">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5"/>
      <c r="AC205" s="5"/>
      <c r="AD205" s="5"/>
      <c r="AE205" s="5"/>
      <c r="AF205" s="5"/>
      <c r="AG205" s="5"/>
      <c r="AH205" s="5"/>
      <c r="AI205" s="5"/>
      <c r="AJ205" s="5"/>
      <c r="AK205" s="5"/>
      <c r="AL205" s="5"/>
      <c r="AM205" s="5"/>
      <c r="AN205" s="5"/>
      <c r="AO205" s="5"/>
      <c r="AP205" s="5"/>
      <c r="AQ205" s="5"/>
      <c r="AR205" s="5"/>
      <c r="AS205" s="5"/>
      <c r="AT205" s="5"/>
      <c r="AU205" s="5"/>
      <c r="AV205" s="5"/>
      <c r="AW205" s="5"/>
      <c r="AX205" s="5"/>
      <c r="AY205" s="5"/>
      <c r="AZ205" s="5"/>
      <c r="BA205" s="5"/>
      <c r="BB205" s="5"/>
      <c r="BC205" s="5"/>
      <c r="BD205" s="5"/>
      <c r="BE205" s="5"/>
      <c r="BF205" s="5"/>
      <c r="BG205" s="5"/>
      <c r="BH205" s="5"/>
      <c r="BI205" s="5"/>
      <c r="BJ205" s="5"/>
      <c r="BK205" s="5"/>
      <c r="BL205" s="5"/>
      <c r="BM205" s="5"/>
      <c r="BN205" s="5"/>
      <c r="BO205" s="5"/>
      <c r="BP205" s="5"/>
      <c r="BQ205" s="5"/>
      <c r="BR205" s="5"/>
      <c r="BS205" s="5"/>
      <c r="BT205" s="5"/>
      <c r="BU205" s="5"/>
      <c r="BV205" s="5"/>
    </row>
    <row r="206" spans="1:74" ht="12.75" x14ac:dyDescent="0.2">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5"/>
      <c r="AC206" s="5"/>
      <c r="AD206" s="5"/>
      <c r="AE206" s="5"/>
      <c r="AF206" s="5"/>
      <c r="AG206" s="5"/>
      <c r="AH206" s="5"/>
      <c r="AI206" s="5"/>
      <c r="AJ206" s="5"/>
      <c r="AK206" s="5"/>
      <c r="AL206" s="5"/>
      <c r="AM206" s="5"/>
      <c r="AN206" s="5"/>
      <c r="AO206" s="5"/>
      <c r="AP206" s="5"/>
      <c r="AQ206" s="5"/>
      <c r="AR206" s="5"/>
      <c r="AS206" s="5"/>
      <c r="AT206" s="5"/>
      <c r="AU206" s="5"/>
      <c r="AV206" s="5"/>
      <c r="AW206" s="5"/>
      <c r="AX206" s="5"/>
      <c r="AY206" s="5"/>
      <c r="AZ206" s="5"/>
      <c r="BA206" s="5"/>
      <c r="BB206" s="5"/>
      <c r="BC206" s="5"/>
      <c r="BD206" s="5"/>
      <c r="BE206" s="5"/>
      <c r="BF206" s="5"/>
      <c r="BG206" s="5"/>
      <c r="BH206" s="5"/>
      <c r="BI206" s="5"/>
      <c r="BJ206" s="5"/>
      <c r="BK206" s="5"/>
      <c r="BL206" s="5"/>
      <c r="BM206" s="5"/>
      <c r="BN206" s="5"/>
      <c r="BO206" s="5"/>
      <c r="BP206" s="5"/>
      <c r="BQ206" s="5"/>
      <c r="BR206" s="5"/>
      <c r="BS206" s="5"/>
      <c r="BT206" s="5"/>
      <c r="BU206" s="5"/>
      <c r="BV206" s="5"/>
    </row>
    <row r="207" spans="1:74" ht="12.75" x14ac:dyDescent="0.2">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c r="AP207" s="5"/>
      <c r="AQ207" s="5"/>
      <c r="AR207" s="5"/>
      <c r="AS207" s="5"/>
      <c r="AT207" s="5"/>
      <c r="AU207" s="5"/>
      <c r="AV207" s="5"/>
      <c r="AW207" s="5"/>
      <c r="AX207" s="5"/>
      <c r="AY207" s="5"/>
      <c r="AZ207" s="5"/>
      <c r="BA207" s="5"/>
      <c r="BB207" s="5"/>
      <c r="BC207" s="5"/>
      <c r="BD207" s="5"/>
      <c r="BE207" s="5"/>
      <c r="BF207" s="5"/>
      <c r="BG207" s="5"/>
      <c r="BH207" s="5"/>
      <c r="BI207" s="5"/>
      <c r="BJ207" s="5"/>
      <c r="BK207" s="5"/>
      <c r="BL207" s="5"/>
      <c r="BM207" s="5"/>
      <c r="BN207" s="5"/>
      <c r="BO207" s="5"/>
      <c r="BP207" s="5"/>
      <c r="BQ207" s="5"/>
      <c r="BR207" s="5"/>
      <c r="BS207" s="5"/>
      <c r="BT207" s="5"/>
      <c r="BU207" s="5"/>
      <c r="BV207" s="5"/>
    </row>
    <row r="208" spans="1:74" ht="12.75" x14ac:dyDescent="0.2">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c r="AD208" s="5"/>
      <c r="AE208" s="5"/>
      <c r="AF208" s="5"/>
      <c r="AG208" s="5"/>
      <c r="AH208" s="5"/>
      <c r="AI208" s="5"/>
      <c r="AJ208" s="5"/>
      <c r="AK208" s="5"/>
      <c r="AL208" s="5"/>
      <c r="AM208" s="5"/>
      <c r="AN208" s="5"/>
      <c r="AO208" s="5"/>
      <c r="AP208" s="5"/>
      <c r="AQ208" s="5"/>
      <c r="AR208" s="5"/>
      <c r="AS208" s="5"/>
      <c r="AT208" s="5"/>
      <c r="AU208" s="5"/>
      <c r="AV208" s="5"/>
      <c r="AW208" s="5"/>
      <c r="AX208" s="5"/>
      <c r="AY208" s="5"/>
      <c r="AZ208" s="5"/>
      <c r="BA208" s="5"/>
      <c r="BB208" s="5"/>
      <c r="BC208" s="5"/>
      <c r="BD208" s="5"/>
      <c r="BE208" s="5"/>
      <c r="BF208" s="5"/>
      <c r="BG208" s="5"/>
      <c r="BH208" s="5"/>
      <c r="BI208" s="5"/>
      <c r="BJ208" s="5"/>
      <c r="BK208" s="5"/>
      <c r="BL208" s="5"/>
      <c r="BM208" s="5"/>
      <c r="BN208" s="5"/>
      <c r="BO208" s="5"/>
      <c r="BP208" s="5"/>
      <c r="BQ208" s="5"/>
      <c r="BR208" s="5"/>
      <c r="BS208" s="5"/>
      <c r="BT208" s="5"/>
      <c r="BU208" s="5"/>
      <c r="BV208" s="5"/>
    </row>
    <row r="209" spans="1:74" ht="12.75" x14ac:dyDescent="0.2">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c r="AD209" s="5"/>
      <c r="AE209" s="5"/>
      <c r="AF209" s="5"/>
      <c r="AG209" s="5"/>
      <c r="AH209" s="5"/>
      <c r="AI209" s="5"/>
      <c r="AJ209" s="5"/>
      <c r="AK209" s="5"/>
      <c r="AL209" s="5"/>
      <c r="AM209" s="5"/>
      <c r="AN209" s="5"/>
      <c r="AO209" s="5"/>
      <c r="AP209" s="5"/>
      <c r="AQ209" s="5"/>
      <c r="AR209" s="5"/>
      <c r="AS209" s="5"/>
      <c r="AT209" s="5"/>
      <c r="AU209" s="5"/>
      <c r="AV209" s="5"/>
      <c r="AW209" s="5"/>
      <c r="AX209" s="5"/>
      <c r="AY209" s="5"/>
      <c r="AZ209" s="5"/>
      <c r="BA209" s="5"/>
      <c r="BB209" s="5"/>
      <c r="BC209" s="5"/>
      <c r="BD209" s="5"/>
      <c r="BE209" s="5"/>
      <c r="BF209" s="5"/>
      <c r="BG209" s="5"/>
      <c r="BH209" s="5"/>
      <c r="BI209" s="5"/>
      <c r="BJ209" s="5"/>
      <c r="BK209" s="5"/>
      <c r="BL209" s="5"/>
      <c r="BM209" s="5"/>
      <c r="BN209" s="5"/>
      <c r="BO209" s="5"/>
      <c r="BP209" s="5"/>
      <c r="BQ209" s="5"/>
      <c r="BR209" s="5"/>
      <c r="BS209" s="5"/>
      <c r="BT209" s="5"/>
      <c r="BU209" s="5"/>
      <c r="BV209" s="5"/>
    </row>
    <row r="210" spans="1:74" ht="12.75" x14ac:dyDescent="0.2">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c r="AD210" s="5"/>
      <c r="AE210" s="5"/>
      <c r="AF210" s="5"/>
      <c r="AG210" s="5"/>
      <c r="AH210" s="5"/>
      <c r="AI210" s="5"/>
      <c r="AJ210" s="5"/>
      <c r="AK210" s="5"/>
      <c r="AL210" s="5"/>
      <c r="AM210" s="5"/>
      <c r="AN210" s="5"/>
      <c r="AO210" s="5"/>
      <c r="AP210" s="5"/>
      <c r="AQ210" s="5"/>
      <c r="AR210" s="5"/>
      <c r="AS210" s="5"/>
      <c r="AT210" s="5"/>
      <c r="AU210" s="5"/>
      <c r="AV210" s="5"/>
      <c r="AW210" s="5"/>
      <c r="AX210" s="5"/>
      <c r="AY210" s="5"/>
      <c r="AZ210" s="5"/>
      <c r="BA210" s="5"/>
      <c r="BB210" s="5"/>
      <c r="BC210" s="5"/>
      <c r="BD210" s="5"/>
      <c r="BE210" s="5"/>
      <c r="BF210" s="5"/>
      <c r="BG210" s="5"/>
      <c r="BH210" s="5"/>
      <c r="BI210" s="5"/>
      <c r="BJ210" s="5"/>
      <c r="BK210" s="5"/>
      <c r="BL210" s="5"/>
      <c r="BM210" s="5"/>
      <c r="BN210" s="5"/>
      <c r="BO210" s="5"/>
      <c r="BP210" s="5"/>
      <c r="BQ210" s="5"/>
      <c r="BR210" s="5"/>
      <c r="BS210" s="5"/>
      <c r="BT210" s="5"/>
      <c r="BU210" s="5"/>
      <c r="BV210" s="5"/>
    </row>
    <row r="211" spans="1:74" ht="12.75" x14ac:dyDescent="0.2">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c r="AD211" s="5"/>
      <c r="AE211" s="5"/>
      <c r="AF211" s="5"/>
      <c r="AG211" s="5"/>
      <c r="AH211" s="5"/>
      <c r="AI211" s="5"/>
      <c r="AJ211" s="5"/>
      <c r="AK211" s="5"/>
      <c r="AL211" s="5"/>
      <c r="AM211" s="5"/>
      <c r="AN211" s="5"/>
      <c r="AO211" s="5"/>
      <c r="AP211" s="5"/>
      <c r="AQ211" s="5"/>
      <c r="AR211" s="5"/>
      <c r="AS211" s="5"/>
      <c r="AT211" s="5"/>
      <c r="AU211" s="5"/>
      <c r="AV211" s="5"/>
      <c r="AW211" s="5"/>
      <c r="AX211" s="5"/>
      <c r="AY211" s="5"/>
      <c r="AZ211" s="5"/>
      <c r="BA211" s="5"/>
      <c r="BB211" s="5"/>
      <c r="BC211" s="5"/>
      <c r="BD211" s="5"/>
      <c r="BE211" s="5"/>
      <c r="BF211" s="5"/>
      <c r="BG211" s="5"/>
      <c r="BH211" s="5"/>
      <c r="BI211" s="5"/>
      <c r="BJ211" s="5"/>
      <c r="BK211" s="5"/>
      <c r="BL211" s="5"/>
      <c r="BM211" s="5"/>
      <c r="BN211" s="5"/>
      <c r="BO211" s="5"/>
      <c r="BP211" s="5"/>
      <c r="BQ211" s="5"/>
      <c r="BR211" s="5"/>
      <c r="BS211" s="5"/>
      <c r="BT211" s="5"/>
      <c r="BU211" s="5"/>
      <c r="BV211" s="5"/>
    </row>
    <row r="212" spans="1:74" ht="12.75" x14ac:dyDescent="0.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c r="AD212" s="5"/>
      <c r="AE212" s="5"/>
      <c r="AF212" s="5"/>
      <c r="AG212" s="5"/>
      <c r="AH212" s="5"/>
      <c r="AI212" s="5"/>
      <c r="AJ212" s="5"/>
      <c r="AK212" s="5"/>
      <c r="AL212" s="5"/>
      <c r="AM212" s="5"/>
      <c r="AN212" s="5"/>
      <c r="AO212" s="5"/>
      <c r="AP212" s="5"/>
      <c r="AQ212" s="5"/>
      <c r="AR212" s="5"/>
      <c r="AS212" s="5"/>
      <c r="AT212" s="5"/>
      <c r="AU212" s="5"/>
      <c r="AV212" s="5"/>
      <c r="AW212" s="5"/>
      <c r="AX212" s="5"/>
      <c r="AY212" s="5"/>
      <c r="AZ212" s="5"/>
      <c r="BA212" s="5"/>
      <c r="BB212" s="5"/>
      <c r="BC212" s="5"/>
      <c r="BD212" s="5"/>
      <c r="BE212" s="5"/>
      <c r="BF212" s="5"/>
      <c r="BG212" s="5"/>
      <c r="BH212" s="5"/>
      <c r="BI212" s="5"/>
      <c r="BJ212" s="5"/>
      <c r="BK212" s="5"/>
      <c r="BL212" s="5"/>
      <c r="BM212" s="5"/>
      <c r="BN212" s="5"/>
      <c r="BO212" s="5"/>
      <c r="BP212" s="5"/>
      <c r="BQ212" s="5"/>
      <c r="BR212" s="5"/>
      <c r="BS212" s="5"/>
      <c r="BT212" s="5"/>
      <c r="BU212" s="5"/>
      <c r="BV212" s="5"/>
    </row>
    <row r="213" spans="1:74" ht="12.75" x14ac:dyDescent="0.2">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c r="AD213" s="5"/>
      <c r="AE213" s="5"/>
      <c r="AF213" s="5"/>
      <c r="AG213" s="5"/>
      <c r="AH213" s="5"/>
      <c r="AI213" s="5"/>
      <c r="AJ213" s="5"/>
      <c r="AK213" s="5"/>
      <c r="AL213" s="5"/>
      <c r="AM213" s="5"/>
      <c r="AN213" s="5"/>
      <c r="AO213" s="5"/>
      <c r="AP213" s="5"/>
      <c r="AQ213" s="5"/>
      <c r="AR213" s="5"/>
      <c r="AS213" s="5"/>
      <c r="AT213" s="5"/>
      <c r="AU213" s="5"/>
      <c r="AV213" s="5"/>
      <c r="AW213" s="5"/>
      <c r="AX213" s="5"/>
      <c r="AY213" s="5"/>
      <c r="AZ213" s="5"/>
      <c r="BA213" s="5"/>
      <c r="BB213" s="5"/>
      <c r="BC213" s="5"/>
      <c r="BD213" s="5"/>
      <c r="BE213" s="5"/>
      <c r="BF213" s="5"/>
      <c r="BG213" s="5"/>
      <c r="BH213" s="5"/>
      <c r="BI213" s="5"/>
      <c r="BJ213" s="5"/>
      <c r="BK213" s="5"/>
      <c r="BL213" s="5"/>
      <c r="BM213" s="5"/>
      <c r="BN213" s="5"/>
      <c r="BO213" s="5"/>
      <c r="BP213" s="5"/>
      <c r="BQ213" s="5"/>
      <c r="BR213" s="5"/>
      <c r="BS213" s="5"/>
      <c r="BT213" s="5"/>
      <c r="BU213" s="5"/>
      <c r="BV213" s="5"/>
    </row>
    <row r="214" spans="1:74" ht="12.75" x14ac:dyDescent="0.2">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c r="AD214" s="5"/>
      <c r="AE214" s="5"/>
      <c r="AF214" s="5"/>
      <c r="AG214" s="5"/>
      <c r="AH214" s="5"/>
      <c r="AI214" s="5"/>
      <c r="AJ214" s="5"/>
      <c r="AK214" s="5"/>
      <c r="AL214" s="5"/>
      <c r="AM214" s="5"/>
      <c r="AN214" s="5"/>
      <c r="AO214" s="5"/>
      <c r="AP214" s="5"/>
      <c r="AQ214" s="5"/>
      <c r="AR214" s="5"/>
      <c r="AS214" s="5"/>
      <c r="AT214" s="5"/>
      <c r="AU214" s="5"/>
      <c r="AV214" s="5"/>
      <c r="AW214" s="5"/>
      <c r="AX214" s="5"/>
      <c r="AY214" s="5"/>
      <c r="AZ214" s="5"/>
      <c r="BA214" s="5"/>
      <c r="BB214" s="5"/>
      <c r="BC214" s="5"/>
      <c r="BD214" s="5"/>
      <c r="BE214" s="5"/>
      <c r="BF214" s="5"/>
      <c r="BG214" s="5"/>
      <c r="BH214" s="5"/>
      <c r="BI214" s="5"/>
      <c r="BJ214" s="5"/>
      <c r="BK214" s="5"/>
      <c r="BL214" s="5"/>
      <c r="BM214" s="5"/>
      <c r="BN214" s="5"/>
      <c r="BO214" s="5"/>
      <c r="BP214" s="5"/>
      <c r="BQ214" s="5"/>
      <c r="BR214" s="5"/>
      <c r="BS214" s="5"/>
      <c r="BT214" s="5"/>
      <c r="BU214" s="5"/>
      <c r="BV214" s="5"/>
    </row>
    <row r="215" spans="1:74" ht="12.75" x14ac:dyDescent="0.2">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c r="AG215" s="5"/>
      <c r="AH215" s="5"/>
      <c r="AI215" s="5"/>
      <c r="AJ215" s="5"/>
      <c r="AK215" s="5"/>
      <c r="AL215" s="5"/>
      <c r="AM215" s="5"/>
      <c r="AN215" s="5"/>
      <c r="AO215" s="5"/>
      <c r="AP215" s="5"/>
      <c r="AQ215" s="5"/>
      <c r="AR215" s="5"/>
      <c r="AS215" s="5"/>
      <c r="AT215" s="5"/>
      <c r="AU215" s="5"/>
      <c r="AV215" s="5"/>
      <c r="AW215" s="5"/>
      <c r="AX215" s="5"/>
      <c r="AY215" s="5"/>
      <c r="AZ215" s="5"/>
      <c r="BA215" s="5"/>
      <c r="BB215" s="5"/>
      <c r="BC215" s="5"/>
      <c r="BD215" s="5"/>
      <c r="BE215" s="5"/>
      <c r="BF215" s="5"/>
      <c r="BG215" s="5"/>
      <c r="BH215" s="5"/>
      <c r="BI215" s="5"/>
      <c r="BJ215" s="5"/>
      <c r="BK215" s="5"/>
      <c r="BL215" s="5"/>
      <c r="BM215" s="5"/>
      <c r="BN215" s="5"/>
      <c r="BO215" s="5"/>
      <c r="BP215" s="5"/>
      <c r="BQ215" s="5"/>
      <c r="BR215" s="5"/>
      <c r="BS215" s="5"/>
      <c r="BT215" s="5"/>
      <c r="BU215" s="5"/>
      <c r="BV215" s="5"/>
    </row>
    <row r="216" spans="1:74" ht="12.75" x14ac:dyDescent="0.2">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c r="AD216" s="5"/>
      <c r="AE216" s="5"/>
      <c r="AF216" s="5"/>
      <c r="AG216" s="5"/>
      <c r="AH216" s="5"/>
      <c r="AI216" s="5"/>
      <c r="AJ216" s="5"/>
      <c r="AK216" s="5"/>
      <c r="AL216" s="5"/>
      <c r="AM216" s="5"/>
      <c r="AN216" s="5"/>
      <c r="AO216" s="5"/>
      <c r="AP216" s="5"/>
      <c r="AQ216" s="5"/>
      <c r="AR216" s="5"/>
      <c r="AS216" s="5"/>
      <c r="AT216" s="5"/>
      <c r="AU216" s="5"/>
      <c r="AV216" s="5"/>
      <c r="AW216" s="5"/>
      <c r="AX216" s="5"/>
      <c r="AY216" s="5"/>
      <c r="AZ216" s="5"/>
      <c r="BA216" s="5"/>
      <c r="BB216" s="5"/>
      <c r="BC216" s="5"/>
      <c r="BD216" s="5"/>
      <c r="BE216" s="5"/>
      <c r="BF216" s="5"/>
      <c r="BG216" s="5"/>
      <c r="BH216" s="5"/>
      <c r="BI216" s="5"/>
      <c r="BJ216" s="5"/>
      <c r="BK216" s="5"/>
      <c r="BL216" s="5"/>
      <c r="BM216" s="5"/>
      <c r="BN216" s="5"/>
      <c r="BO216" s="5"/>
      <c r="BP216" s="5"/>
      <c r="BQ216" s="5"/>
      <c r="BR216" s="5"/>
      <c r="BS216" s="5"/>
      <c r="BT216" s="5"/>
      <c r="BU216" s="5"/>
      <c r="BV216" s="5"/>
    </row>
    <row r="217" spans="1:74" ht="12.75" x14ac:dyDescent="0.2">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c r="AD217" s="5"/>
      <c r="AE217" s="5"/>
      <c r="AF217" s="5"/>
      <c r="AG217" s="5"/>
      <c r="AH217" s="5"/>
      <c r="AI217" s="5"/>
      <c r="AJ217" s="5"/>
      <c r="AK217" s="5"/>
      <c r="AL217" s="5"/>
      <c r="AM217" s="5"/>
      <c r="AN217" s="5"/>
      <c r="AO217" s="5"/>
      <c r="AP217" s="5"/>
      <c r="AQ217" s="5"/>
      <c r="AR217" s="5"/>
      <c r="AS217" s="5"/>
      <c r="AT217" s="5"/>
      <c r="AU217" s="5"/>
      <c r="AV217" s="5"/>
      <c r="AW217" s="5"/>
      <c r="AX217" s="5"/>
      <c r="AY217" s="5"/>
      <c r="AZ217" s="5"/>
      <c r="BA217" s="5"/>
      <c r="BB217" s="5"/>
      <c r="BC217" s="5"/>
      <c r="BD217" s="5"/>
      <c r="BE217" s="5"/>
      <c r="BF217" s="5"/>
      <c r="BG217" s="5"/>
      <c r="BH217" s="5"/>
      <c r="BI217" s="5"/>
      <c r="BJ217" s="5"/>
      <c r="BK217" s="5"/>
      <c r="BL217" s="5"/>
      <c r="BM217" s="5"/>
      <c r="BN217" s="5"/>
      <c r="BO217" s="5"/>
      <c r="BP217" s="5"/>
      <c r="BQ217" s="5"/>
      <c r="BR217" s="5"/>
      <c r="BS217" s="5"/>
      <c r="BT217" s="5"/>
      <c r="BU217" s="5"/>
      <c r="BV217" s="5"/>
    </row>
    <row r="218" spans="1:74" ht="12.75" x14ac:dyDescent="0.2">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c r="AD218" s="5"/>
      <c r="AE218" s="5"/>
      <c r="AF218" s="5"/>
      <c r="AG218" s="5"/>
      <c r="AH218" s="5"/>
      <c r="AI218" s="5"/>
      <c r="AJ218" s="5"/>
      <c r="AK218" s="5"/>
      <c r="AL218" s="5"/>
      <c r="AM218" s="5"/>
      <c r="AN218" s="5"/>
      <c r="AO218" s="5"/>
      <c r="AP218" s="5"/>
      <c r="AQ218" s="5"/>
      <c r="AR218" s="5"/>
      <c r="AS218" s="5"/>
      <c r="AT218" s="5"/>
      <c r="AU218" s="5"/>
      <c r="AV218" s="5"/>
      <c r="AW218" s="5"/>
      <c r="AX218" s="5"/>
      <c r="AY218" s="5"/>
      <c r="AZ218" s="5"/>
      <c r="BA218" s="5"/>
      <c r="BB218" s="5"/>
      <c r="BC218" s="5"/>
      <c r="BD218" s="5"/>
      <c r="BE218" s="5"/>
      <c r="BF218" s="5"/>
      <c r="BG218" s="5"/>
      <c r="BH218" s="5"/>
      <c r="BI218" s="5"/>
      <c r="BJ218" s="5"/>
      <c r="BK218" s="5"/>
      <c r="BL218" s="5"/>
      <c r="BM218" s="5"/>
      <c r="BN218" s="5"/>
      <c r="BO218" s="5"/>
      <c r="BP218" s="5"/>
      <c r="BQ218" s="5"/>
      <c r="BR218" s="5"/>
      <c r="BS218" s="5"/>
      <c r="BT218" s="5"/>
      <c r="BU218" s="5"/>
      <c r="BV218" s="5"/>
    </row>
    <row r="219" spans="1:74" ht="12.75" x14ac:dyDescent="0.2">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c r="AD219" s="5"/>
      <c r="AE219" s="5"/>
      <c r="AF219" s="5"/>
      <c r="AG219" s="5"/>
      <c r="AH219" s="5"/>
      <c r="AI219" s="5"/>
      <c r="AJ219" s="5"/>
      <c r="AK219" s="5"/>
      <c r="AL219" s="5"/>
      <c r="AM219" s="5"/>
      <c r="AN219" s="5"/>
      <c r="AO219" s="5"/>
      <c r="AP219" s="5"/>
      <c r="AQ219" s="5"/>
      <c r="AR219" s="5"/>
      <c r="AS219" s="5"/>
      <c r="AT219" s="5"/>
      <c r="AU219" s="5"/>
      <c r="AV219" s="5"/>
      <c r="AW219" s="5"/>
      <c r="AX219" s="5"/>
      <c r="AY219" s="5"/>
      <c r="AZ219" s="5"/>
      <c r="BA219" s="5"/>
      <c r="BB219" s="5"/>
      <c r="BC219" s="5"/>
      <c r="BD219" s="5"/>
      <c r="BE219" s="5"/>
      <c r="BF219" s="5"/>
      <c r="BG219" s="5"/>
      <c r="BH219" s="5"/>
      <c r="BI219" s="5"/>
      <c r="BJ219" s="5"/>
      <c r="BK219" s="5"/>
      <c r="BL219" s="5"/>
      <c r="BM219" s="5"/>
      <c r="BN219" s="5"/>
      <c r="BO219" s="5"/>
      <c r="BP219" s="5"/>
      <c r="BQ219" s="5"/>
      <c r="BR219" s="5"/>
      <c r="BS219" s="5"/>
      <c r="BT219" s="5"/>
      <c r="BU219" s="5"/>
      <c r="BV219" s="5"/>
    </row>
    <row r="220" spans="1:74" ht="12.75" x14ac:dyDescent="0.2">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c r="AD220" s="5"/>
      <c r="AE220" s="5"/>
      <c r="AF220" s="5"/>
      <c r="AG220" s="5"/>
      <c r="AH220" s="5"/>
      <c r="AI220" s="5"/>
      <c r="AJ220" s="5"/>
      <c r="AK220" s="5"/>
      <c r="AL220" s="5"/>
      <c r="AM220" s="5"/>
      <c r="AN220" s="5"/>
      <c r="AO220" s="5"/>
      <c r="AP220" s="5"/>
      <c r="AQ220" s="5"/>
      <c r="AR220" s="5"/>
      <c r="AS220" s="5"/>
      <c r="AT220" s="5"/>
      <c r="AU220" s="5"/>
      <c r="AV220" s="5"/>
      <c r="AW220" s="5"/>
      <c r="AX220" s="5"/>
      <c r="AY220" s="5"/>
      <c r="AZ220" s="5"/>
      <c r="BA220" s="5"/>
      <c r="BB220" s="5"/>
      <c r="BC220" s="5"/>
      <c r="BD220" s="5"/>
      <c r="BE220" s="5"/>
      <c r="BF220" s="5"/>
      <c r="BG220" s="5"/>
      <c r="BH220" s="5"/>
      <c r="BI220" s="5"/>
      <c r="BJ220" s="5"/>
      <c r="BK220" s="5"/>
      <c r="BL220" s="5"/>
      <c r="BM220" s="5"/>
      <c r="BN220" s="5"/>
      <c r="BO220" s="5"/>
      <c r="BP220" s="5"/>
      <c r="BQ220" s="5"/>
      <c r="BR220" s="5"/>
      <c r="BS220" s="5"/>
      <c r="BT220" s="5"/>
      <c r="BU220" s="5"/>
      <c r="BV220" s="5"/>
    </row>
    <row r="221" spans="1:74" ht="12.75" x14ac:dyDescent="0.2">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5"/>
      <c r="AC221" s="5"/>
      <c r="AD221" s="5"/>
      <c r="AE221" s="5"/>
      <c r="AF221" s="5"/>
      <c r="AG221" s="5"/>
      <c r="AH221" s="5"/>
      <c r="AI221" s="5"/>
      <c r="AJ221" s="5"/>
      <c r="AK221" s="5"/>
      <c r="AL221" s="5"/>
      <c r="AM221" s="5"/>
      <c r="AN221" s="5"/>
      <c r="AO221" s="5"/>
      <c r="AP221" s="5"/>
      <c r="AQ221" s="5"/>
      <c r="AR221" s="5"/>
      <c r="AS221" s="5"/>
      <c r="AT221" s="5"/>
      <c r="AU221" s="5"/>
      <c r="AV221" s="5"/>
      <c r="AW221" s="5"/>
      <c r="AX221" s="5"/>
      <c r="AY221" s="5"/>
      <c r="AZ221" s="5"/>
      <c r="BA221" s="5"/>
      <c r="BB221" s="5"/>
      <c r="BC221" s="5"/>
      <c r="BD221" s="5"/>
      <c r="BE221" s="5"/>
      <c r="BF221" s="5"/>
      <c r="BG221" s="5"/>
      <c r="BH221" s="5"/>
      <c r="BI221" s="5"/>
      <c r="BJ221" s="5"/>
      <c r="BK221" s="5"/>
      <c r="BL221" s="5"/>
      <c r="BM221" s="5"/>
      <c r="BN221" s="5"/>
      <c r="BO221" s="5"/>
      <c r="BP221" s="5"/>
      <c r="BQ221" s="5"/>
      <c r="BR221" s="5"/>
      <c r="BS221" s="5"/>
      <c r="BT221" s="5"/>
      <c r="BU221" s="5"/>
      <c r="BV221" s="5"/>
    </row>
    <row r="222" spans="1:74" ht="12.75" x14ac:dyDescent="0.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c r="AB222" s="5"/>
      <c r="AC222" s="5"/>
      <c r="AD222" s="5"/>
      <c r="AE222" s="5"/>
      <c r="AF222" s="5"/>
      <c r="AG222" s="5"/>
      <c r="AH222" s="5"/>
      <c r="AI222" s="5"/>
      <c r="AJ222" s="5"/>
      <c r="AK222" s="5"/>
      <c r="AL222" s="5"/>
      <c r="AM222" s="5"/>
      <c r="AN222" s="5"/>
      <c r="AO222" s="5"/>
      <c r="AP222" s="5"/>
      <c r="AQ222" s="5"/>
      <c r="AR222" s="5"/>
      <c r="AS222" s="5"/>
      <c r="AT222" s="5"/>
      <c r="AU222" s="5"/>
      <c r="AV222" s="5"/>
      <c r="AW222" s="5"/>
      <c r="AX222" s="5"/>
      <c r="AY222" s="5"/>
      <c r="AZ222" s="5"/>
      <c r="BA222" s="5"/>
      <c r="BB222" s="5"/>
      <c r="BC222" s="5"/>
      <c r="BD222" s="5"/>
      <c r="BE222" s="5"/>
      <c r="BF222" s="5"/>
      <c r="BG222" s="5"/>
      <c r="BH222" s="5"/>
      <c r="BI222" s="5"/>
      <c r="BJ222" s="5"/>
      <c r="BK222" s="5"/>
      <c r="BL222" s="5"/>
      <c r="BM222" s="5"/>
      <c r="BN222" s="5"/>
      <c r="BO222" s="5"/>
      <c r="BP222" s="5"/>
      <c r="BQ222" s="5"/>
      <c r="BR222" s="5"/>
      <c r="BS222" s="5"/>
      <c r="BT222" s="5"/>
      <c r="BU222" s="5"/>
      <c r="BV222" s="5"/>
    </row>
    <row r="223" spans="1:74" ht="12.75" x14ac:dyDescent="0.2">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c r="AB223" s="5"/>
      <c r="AC223" s="5"/>
      <c r="AD223" s="5"/>
      <c r="AE223" s="5"/>
      <c r="AF223" s="5"/>
      <c r="AG223" s="5"/>
      <c r="AH223" s="5"/>
      <c r="AI223" s="5"/>
      <c r="AJ223" s="5"/>
      <c r="AK223" s="5"/>
      <c r="AL223" s="5"/>
      <c r="AM223" s="5"/>
      <c r="AN223" s="5"/>
      <c r="AO223" s="5"/>
      <c r="AP223" s="5"/>
      <c r="AQ223" s="5"/>
      <c r="AR223" s="5"/>
      <c r="AS223" s="5"/>
      <c r="AT223" s="5"/>
      <c r="AU223" s="5"/>
      <c r="AV223" s="5"/>
      <c r="AW223" s="5"/>
      <c r="AX223" s="5"/>
      <c r="AY223" s="5"/>
      <c r="AZ223" s="5"/>
      <c r="BA223" s="5"/>
      <c r="BB223" s="5"/>
      <c r="BC223" s="5"/>
      <c r="BD223" s="5"/>
      <c r="BE223" s="5"/>
      <c r="BF223" s="5"/>
      <c r="BG223" s="5"/>
      <c r="BH223" s="5"/>
      <c r="BI223" s="5"/>
      <c r="BJ223" s="5"/>
      <c r="BK223" s="5"/>
      <c r="BL223" s="5"/>
      <c r="BM223" s="5"/>
      <c r="BN223" s="5"/>
      <c r="BO223" s="5"/>
      <c r="BP223" s="5"/>
      <c r="BQ223" s="5"/>
      <c r="BR223" s="5"/>
      <c r="BS223" s="5"/>
      <c r="BT223" s="5"/>
      <c r="BU223" s="5"/>
      <c r="BV223" s="5"/>
    </row>
    <row r="224" spans="1:74" ht="12.75" x14ac:dyDescent="0.2">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c r="AB224" s="5"/>
      <c r="AC224" s="5"/>
      <c r="AD224" s="5"/>
      <c r="AE224" s="5"/>
      <c r="AF224" s="5"/>
      <c r="AG224" s="5"/>
      <c r="AH224" s="5"/>
      <c r="AI224" s="5"/>
      <c r="AJ224" s="5"/>
      <c r="AK224" s="5"/>
      <c r="AL224" s="5"/>
      <c r="AM224" s="5"/>
      <c r="AN224" s="5"/>
      <c r="AO224" s="5"/>
      <c r="AP224" s="5"/>
      <c r="AQ224" s="5"/>
      <c r="AR224" s="5"/>
      <c r="AS224" s="5"/>
      <c r="AT224" s="5"/>
      <c r="AU224" s="5"/>
      <c r="AV224" s="5"/>
      <c r="AW224" s="5"/>
      <c r="AX224" s="5"/>
      <c r="AY224" s="5"/>
      <c r="AZ224" s="5"/>
      <c r="BA224" s="5"/>
      <c r="BB224" s="5"/>
      <c r="BC224" s="5"/>
      <c r="BD224" s="5"/>
      <c r="BE224" s="5"/>
      <c r="BF224" s="5"/>
      <c r="BG224" s="5"/>
      <c r="BH224" s="5"/>
      <c r="BI224" s="5"/>
      <c r="BJ224" s="5"/>
      <c r="BK224" s="5"/>
      <c r="BL224" s="5"/>
      <c r="BM224" s="5"/>
      <c r="BN224" s="5"/>
      <c r="BO224" s="5"/>
      <c r="BP224" s="5"/>
      <c r="BQ224" s="5"/>
      <c r="BR224" s="5"/>
      <c r="BS224" s="5"/>
      <c r="BT224" s="5"/>
      <c r="BU224" s="5"/>
      <c r="BV224" s="5"/>
    </row>
    <row r="225" spans="1:74" ht="12.75" x14ac:dyDescent="0.2">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5"/>
      <c r="AC225" s="5"/>
      <c r="AD225" s="5"/>
      <c r="AE225" s="5"/>
      <c r="AF225" s="5"/>
      <c r="AG225" s="5"/>
      <c r="AH225" s="5"/>
      <c r="AI225" s="5"/>
      <c r="AJ225" s="5"/>
      <c r="AK225" s="5"/>
      <c r="AL225" s="5"/>
      <c r="AM225" s="5"/>
      <c r="AN225" s="5"/>
      <c r="AO225" s="5"/>
      <c r="AP225" s="5"/>
      <c r="AQ225" s="5"/>
      <c r="AR225" s="5"/>
      <c r="AS225" s="5"/>
      <c r="AT225" s="5"/>
      <c r="AU225" s="5"/>
      <c r="AV225" s="5"/>
      <c r="AW225" s="5"/>
      <c r="AX225" s="5"/>
      <c r="AY225" s="5"/>
      <c r="AZ225" s="5"/>
      <c r="BA225" s="5"/>
      <c r="BB225" s="5"/>
      <c r="BC225" s="5"/>
      <c r="BD225" s="5"/>
      <c r="BE225" s="5"/>
      <c r="BF225" s="5"/>
      <c r="BG225" s="5"/>
      <c r="BH225" s="5"/>
      <c r="BI225" s="5"/>
      <c r="BJ225" s="5"/>
      <c r="BK225" s="5"/>
      <c r="BL225" s="5"/>
      <c r="BM225" s="5"/>
      <c r="BN225" s="5"/>
      <c r="BO225" s="5"/>
      <c r="BP225" s="5"/>
      <c r="BQ225" s="5"/>
      <c r="BR225" s="5"/>
      <c r="BS225" s="5"/>
      <c r="BT225" s="5"/>
      <c r="BU225" s="5"/>
      <c r="BV225" s="5"/>
    </row>
    <row r="226" spans="1:74" ht="12.75" x14ac:dyDescent="0.2">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5"/>
      <c r="AC226" s="5"/>
      <c r="AD226" s="5"/>
      <c r="AE226" s="5"/>
      <c r="AF226" s="5"/>
      <c r="AG226" s="5"/>
      <c r="AH226" s="5"/>
      <c r="AI226" s="5"/>
      <c r="AJ226" s="5"/>
      <c r="AK226" s="5"/>
      <c r="AL226" s="5"/>
      <c r="AM226" s="5"/>
      <c r="AN226" s="5"/>
      <c r="AO226" s="5"/>
      <c r="AP226" s="5"/>
      <c r="AQ226" s="5"/>
      <c r="AR226" s="5"/>
      <c r="AS226" s="5"/>
      <c r="AT226" s="5"/>
      <c r="AU226" s="5"/>
      <c r="AV226" s="5"/>
      <c r="AW226" s="5"/>
      <c r="AX226" s="5"/>
      <c r="AY226" s="5"/>
      <c r="AZ226" s="5"/>
      <c r="BA226" s="5"/>
      <c r="BB226" s="5"/>
      <c r="BC226" s="5"/>
      <c r="BD226" s="5"/>
      <c r="BE226" s="5"/>
      <c r="BF226" s="5"/>
      <c r="BG226" s="5"/>
      <c r="BH226" s="5"/>
      <c r="BI226" s="5"/>
      <c r="BJ226" s="5"/>
      <c r="BK226" s="5"/>
      <c r="BL226" s="5"/>
      <c r="BM226" s="5"/>
      <c r="BN226" s="5"/>
      <c r="BO226" s="5"/>
      <c r="BP226" s="5"/>
      <c r="BQ226" s="5"/>
      <c r="BR226" s="5"/>
      <c r="BS226" s="5"/>
      <c r="BT226" s="5"/>
      <c r="BU226" s="5"/>
      <c r="BV226" s="5"/>
    </row>
    <row r="227" spans="1:74" ht="12.75" x14ac:dyDescent="0.2">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5"/>
      <c r="AC227" s="5"/>
      <c r="AD227" s="5"/>
      <c r="AE227" s="5"/>
      <c r="AF227" s="5"/>
      <c r="AG227" s="5"/>
      <c r="AH227" s="5"/>
      <c r="AI227" s="5"/>
      <c r="AJ227" s="5"/>
      <c r="AK227" s="5"/>
      <c r="AL227" s="5"/>
      <c r="AM227" s="5"/>
      <c r="AN227" s="5"/>
      <c r="AO227" s="5"/>
      <c r="AP227" s="5"/>
      <c r="AQ227" s="5"/>
      <c r="AR227" s="5"/>
      <c r="AS227" s="5"/>
      <c r="AT227" s="5"/>
      <c r="AU227" s="5"/>
      <c r="AV227" s="5"/>
      <c r="AW227" s="5"/>
      <c r="AX227" s="5"/>
      <c r="AY227" s="5"/>
      <c r="AZ227" s="5"/>
      <c r="BA227" s="5"/>
      <c r="BB227" s="5"/>
      <c r="BC227" s="5"/>
      <c r="BD227" s="5"/>
      <c r="BE227" s="5"/>
      <c r="BF227" s="5"/>
      <c r="BG227" s="5"/>
      <c r="BH227" s="5"/>
      <c r="BI227" s="5"/>
      <c r="BJ227" s="5"/>
      <c r="BK227" s="5"/>
      <c r="BL227" s="5"/>
      <c r="BM227" s="5"/>
      <c r="BN227" s="5"/>
      <c r="BO227" s="5"/>
      <c r="BP227" s="5"/>
      <c r="BQ227" s="5"/>
      <c r="BR227" s="5"/>
      <c r="BS227" s="5"/>
      <c r="BT227" s="5"/>
      <c r="BU227" s="5"/>
      <c r="BV227" s="5"/>
    </row>
    <row r="228" spans="1:74" ht="12.75" x14ac:dyDescent="0.2">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5"/>
      <c r="AC228" s="5"/>
      <c r="AD228" s="5"/>
      <c r="AE228" s="5"/>
      <c r="AF228" s="5"/>
      <c r="AG228" s="5"/>
      <c r="AH228" s="5"/>
      <c r="AI228" s="5"/>
      <c r="AJ228" s="5"/>
      <c r="AK228" s="5"/>
      <c r="AL228" s="5"/>
      <c r="AM228" s="5"/>
      <c r="AN228" s="5"/>
      <c r="AO228" s="5"/>
      <c r="AP228" s="5"/>
      <c r="AQ228" s="5"/>
      <c r="AR228" s="5"/>
      <c r="AS228" s="5"/>
      <c r="AT228" s="5"/>
      <c r="AU228" s="5"/>
      <c r="AV228" s="5"/>
      <c r="AW228" s="5"/>
      <c r="AX228" s="5"/>
      <c r="AY228" s="5"/>
      <c r="AZ228" s="5"/>
      <c r="BA228" s="5"/>
      <c r="BB228" s="5"/>
      <c r="BC228" s="5"/>
      <c r="BD228" s="5"/>
      <c r="BE228" s="5"/>
      <c r="BF228" s="5"/>
      <c r="BG228" s="5"/>
      <c r="BH228" s="5"/>
      <c r="BI228" s="5"/>
      <c r="BJ228" s="5"/>
      <c r="BK228" s="5"/>
      <c r="BL228" s="5"/>
      <c r="BM228" s="5"/>
      <c r="BN228" s="5"/>
      <c r="BO228" s="5"/>
      <c r="BP228" s="5"/>
      <c r="BQ228" s="5"/>
      <c r="BR228" s="5"/>
      <c r="BS228" s="5"/>
      <c r="BT228" s="5"/>
      <c r="BU228" s="5"/>
      <c r="BV228" s="5"/>
    </row>
    <row r="229" spans="1:74" ht="12.75" x14ac:dyDescent="0.2">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5"/>
      <c r="AC229" s="5"/>
      <c r="AD229" s="5"/>
      <c r="AE229" s="5"/>
      <c r="AF229" s="5"/>
      <c r="AG229" s="5"/>
      <c r="AH229" s="5"/>
      <c r="AI229" s="5"/>
      <c r="AJ229" s="5"/>
      <c r="AK229" s="5"/>
      <c r="AL229" s="5"/>
      <c r="AM229" s="5"/>
      <c r="AN229" s="5"/>
      <c r="AO229" s="5"/>
      <c r="AP229" s="5"/>
      <c r="AQ229" s="5"/>
      <c r="AR229" s="5"/>
      <c r="AS229" s="5"/>
      <c r="AT229" s="5"/>
      <c r="AU229" s="5"/>
      <c r="AV229" s="5"/>
      <c r="AW229" s="5"/>
      <c r="AX229" s="5"/>
      <c r="AY229" s="5"/>
      <c r="AZ229" s="5"/>
      <c r="BA229" s="5"/>
      <c r="BB229" s="5"/>
      <c r="BC229" s="5"/>
      <c r="BD229" s="5"/>
      <c r="BE229" s="5"/>
      <c r="BF229" s="5"/>
      <c r="BG229" s="5"/>
      <c r="BH229" s="5"/>
      <c r="BI229" s="5"/>
      <c r="BJ229" s="5"/>
      <c r="BK229" s="5"/>
      <c r="BL229" s="5"/>
      <c r="BM229" s="5"/>
      <c r="BN229" s="5"/>
      <c r="BO229" s="5"/>
      <c r="BP229" s="5"/>
      <c r="BQ229" s="5"/>
      <c r="BR229" s="5"/>
      <c r="BS229" s="5"/>
      <c r="BT229" s="5"/>
      <c r="BU229" s="5"/>
      <c r="BV229" s="5"/>
    </row>
    <row r="230" spans="1:74" ht="12.75" x14ac:dyDescent="0.2">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5"/>
      <c r="AC230" s="5"/>
      <c r="AD230" s="5"/>
      <c r="AE230" s="5"/>
      <c r="AF230" s="5"/>
      <c r="AG230" s="5"/>
      <c r="AH230" s="5"/>
      <c r="AI230" s="5"/>
      <c r="AJ230" s="5"/>
      <c r="AK230" s="5"/>
      <c r="AL230" s="5"/>
      <c r="AM230" s="5"/>
      <c r="AN230" s="5"/>
      <c r="AO230" s="5"/>
      <c r="AP230" s="5"/>
      <c r="AQ230" s="5"/>
      <c r="AR230" s="5"/>
      <c r="AS230" s="5"/>
      <c r="AT230" s="5"/>
      <c r="AU230" s="5"/>
      <c r="AV230" s="5"/>
      <c r="AW230" s="5"/>
      <c r="AX230" s="5"/>
      <c r="AY230" s="5"/>
      <c r="AZ230" s="5"/>
      <c r="BA230" s="5"/>
      <c r="BB230" s="5"/>
      <c r="BC230" s="5"/>
      <c r="BD230" s="5"/>
      <c r="BE230" s="5"/>
      <c r="BF230" s="5"/>
      <c r="BG230" s="5"/>
      <c r="BH230" s="5"/>
      <c r="BI230" s="5"/>
      <c r="BJ230" s="5"/>
      <c r="BK230" s="5"/>
      <c r="BL230" s="5"/>
      <c r="BM230" s="5"/>
      <c r="BN230" s="5"/>
      <c r="BO230" s="5"/>
      <c r="BP230" s="5"/>
      <c r="BQ230" s="5"/>
      <c r="BR230" s="5"/>
      <c r="BS230" s="5"/>
      <c r="BT230" s="5"/>
      <c r="BU230" s="5"/>
      <c r="BV230" s="5"/>
    </row>
    <row r="231" spans="1:74" ht="12.75" x14ac:dyDescent="0.2">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c r="AH231" s="5"/>
      <c r="AI231" s="5"/>
      <c r="AJ231" s="5"/>
      <c r="AK231" s="5"/>
      <c r="AL231" s="5"/>
      <c r="AM231" s="5"/>
      <c r="AN231" s="5"/>
      <c r="AO231" s="5"/>
      <c r="AP231" s="5"/>
      <c r="AQ231" s="5"/>
      <c r="AR231" s="5"/>
      <c r="AS231" s="5"/>
      <c r="AT231" s="5"/>
      <c r="AU231" s="5"/>
      <c r="AV231" s="5"/>
      <c r="AW231" s="5"/>
      <c r="AX231" s="5"/>
      <c r="AY231" s="5"/>
      <c r="AZ231" s="5"/>
      <c r="BA231" s="5"/>
      <c r="BB231" s="5"/>
      <c r="BC231" s="5"/>
      <c r="BD231" s="5"/>
      <c r="BE231" s="5"/>
      <c r="BF231" s="5"/>
      <c r="BG231" s="5"/>
      <c r="BH231" s="5"/>
      <c r="BI231" s="5"/>
      <c r="BJ231" s="5"/>
      <c r="BK231" s="5"/>
      <c r="BL231" s="5"/>
      <c r="BM231" s="5"/>
      <c r="BN231" s="5"/>
      <c r="BO231" s="5"/>
      <c r="BP231" s="5"/>
      <c r="BQ231" s="5"/>
      <c r="BR231" s="5"/>
      <c r="BS231" s="5"/>
      <c r="BT231" s="5"/>
      <c r="BU231" s="5"/>
      <c r="BV231" s="5"/>
    </row>
    <row r="232" spans="1:74" ht="12.75" x14ac:dyDescent="0.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5"/>
      <c r="AC232" s="5"/>
      <c r="AD232" s="5"/>
      <c r="AE232" s="5"/>
      <c r="AF232" s="5"/>
      <c r="AG232" s="5"/>
      <c r="AH232" s="5"/>
      <c r="AI232" s="5"/>
      <c r="AJ232" s="5"/>
      <c r="AK232" s="5"/>
      <c r="AL232" s="5"/>
      <c r="AM232" s="5"/>
      <c r="AN232" s="5"/>
      <c r="AO232" s="5"/>
      <c r="AP232" s="5"/>
      <c r="AQ232" s="5"/>
      <c r="AR232" s="5"/>
      <c r="AS232" s="5"/>
      <c r="AT232" s="5"/>
      <c r="AU232" s="5"/>
      <c r="AV232" s="5"/>
      <c r="AW232" s="5"/>
      <c r="AX232" s="5"/>
      <c r="AY232" s="5"/>
      <c r="AZ232" s="5"/>
      <c r="BA232" s="5"/>
      <c r="BB232" s="5"/>
      <c r="BC232" s="5"/>
      <c r="BD232" s="5"/>
      <c r="BE232" s="5"/>
      <c r="BF232" s="5"/>
      <c r="BG232" s="5"/>
      <c r="BH232" s="5"/>
      <c r="BI232" s="5"/>
      <c r="BJ232" s="5"/>
      <c r="BK232" s="5"/>
      <c r="BL232" s="5"/>
      <c r="BM232" s="5"/>
      <c r="BN232" s="5"/>
      <c r="BO232" s="5"/>
      <c r="BP232" s="5"/>
      <c r="BQ232" s="5"/>
      <c r="BR232" s="5"/>
      <c r="BS232" s="5"/>
      <c r="BT232" s="5"/>
      <c r="BU232" s="5"/>
      <c r="BV232" s="5"/>
    </row>
    <row r="233" spans="1:74" ht="12.75" x14ac:dyDescent="0.2">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5"/>
      <c r="AC233" s="5"/>
      <c r="AD233" s="5"/>
      <c r="AE233" s="5"/>
      <c r="AF233" s="5"/>
      <c r="AG233" s="5"/>
      <c r="AH233" s="5"/>
      <c r="AI233" s="5"/>
      <c r="AJ233" s="5"/>
      <c r="AK233" s="5"/>
      <c r="AL233" s="5"/>
      <c r="AM233" s="5"/>
      <c r="AN233" s="5"/>
      <c r="AO233" s="5"/>
      <c r="AP233" s="5"/>
      <c r="AQ233" s="5"/>
      <c r="AR233" s="5"/>
      <c r="AS233" s="5"/>
      <c r="AT233" s="5"/>
      <c r="AU233" s="5"/>
      <c r="AV233" s="5"/>
      <c r="AW233" s="5"/>
      <c r="AX233" s="5"/>
      <c r="AY233" s="5"/>
      <c r="AZ233" s="5"/>
      <c r="BA233" s="5"/>
      <c r="BB233" s="5"/>
      <c r="BC233" s="5"/>
      <c r="BD233" s="5"/>
      <c r="BE233" s="5"/>
      <c r="BF233" s="5"/>
      <c r="BG233" s="5"/>
      <c r="BH233" s="5"/>
      <c r="BI233" s="5"/>
      <c r="BJ233" s="5"/>
      <c r="BK233" s="5"/>
      <c r="BL233" s="5"/>
      <c r="BM233" s="5"/>
      <c r="BN233" s="5"/>
      <c r="BO233" s="5"/>
      <c r="BP233" s="5"/>
      <c r="BQ233" s="5"/>
      <c r="BR233" s="5"/>
      <c r="BS233" s="5"/>
      <c r="BT233" s="5"/>
      <c r="BU233" s="5"/>
      <c r="BV233" s="5"/>
    </row>
    <row r="234" spans="1:74" ht="12.75" x14ac:dyDescent="0.2">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5"/>
      <c r="AC234" s="5"/>
      <c r="AD234" s="5"/>
      <c r="AE234" s="5"/>
      <c r="AF234" s="5"/>
      <c r="AG234" s="5"/>
      <c r="AH234" s="5"/>
      <c r="AI234" s="5"/>
      <c r="AJ234" s="5"/>
      <c r="AK234" s="5"/>
      <c r="AL234" s="5"/>
      <c r="AM234" s="5"/>
      <c r="AN234" s="5"/>
      <c r="AO234" s="5"/>
      <c r="AP234" s="5"/>
      <c r="AQ234" s="5"/>
      <c r="AR234" s="5"/>
      <c r="AS234" s="5"/>
      <c r="AT234" s="5"/>
      <c r="AU234" s="5"/>
      <c r="AV234" s="5"/>
      <c r="AW234" s="5"/>
      <c r="AX234" s="5"/>
      <c r="AY234" s="5"/>
      <c r="AZ234" s="5"/>
      <c r="BA234" s="5"/>
      <c r="BB234" s="5"/>
      <c r="BC234" s="5"/>
      <c r="BD234" s="5"/>
      <c r="BE234" s="5"/>
      <c r="BF234" s="5"/>
      <c r="BG234" s="5"/>
      <c r="BH234" s="5"/>
      <c r="BI234" s="5"/>
      <c r="BJ234" s="5"/>
      <c r="BK234" s="5"/>
      <c r="BL234" s="5"/>
      <c r="BM234" s="5"/>
      <c r="BN234" s="5"/>
      <c r="BO234" s="5"/>
      <c r="BP234" s="5"/>
      <c r="BQ234" s="5"/>
      <c r="BR234" s="5"/>
      <c r="BS234" s="5"/>
      <c r="BT234" s="5"/>
      <c r="BU234" s="5"/>
      <c r="BV234" s="5"/>
    </row>
    <row r="235" spans="1:74" ht="12.75" x14ac:dyDescent="0.2">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5"/>
      <c r="AC235" s="5"/>
      <c r="AD235" s="5"/>
      <c r="AE235" s="5"/>
      <c r="AF235" s="5"/>
      <c r="AG235" s="5"/>
      <c r="AH235" s="5"/>
      <c r="AI235" s="5"/>
      <c r="AJ235" s="5"/>
      <c r="AK235" s="5"/>
      <c r="AL235" s="5"/>
      <c r="AM235" s="5"/>
      <c r="AN235" s="5"/>
      <c r="AO235" s="5"/>
      <c r="AP235" s="5"/>
      <c r="AQ235" s="5"/>
      <c r="AR235" s="5"/>
      <c r="AS235" s="5"/>
      <c r="AT235" s="5"/>
      <c r="AU235" s="5"/>
      <c r="AV235" s="5"/>
      <c r="AW235" s="5"/>
      <c r="AX235" s="5"/>
      <c r="AY235" s="5"/>
      <c r="AZ235" s="5"/>
      <c r="BA235" s="5"/>
      <c r="BB235" s="5"/>
      <c r="BC235" s="5"/>
      <c r="BD235" s="5"/>
      <c r="BE235" s="5"/>
      <c r="BF235" s="5"/>
      <c r="BG235" s="5"/>
      <c r="BH235" s="5"/>
      <c r="BI235" s="5"/>
      <c r="BJ235" s="5"/>
      <c r="BK235" s="5"/>
      <c r="BL235" s="5"/>
      <c r="BM235" s="5"/>
      <c r="BN235" s="5"/>
      <c r="BO235" s="5"/>
      <c r="BP235" s="5"/>
      <c r="BQ235" s="5"/>
      <c r="BR235" s="5"/>
      <c r="BS235" s="5"/>
      <c r="BT235" s="5"/>
      <c r="BU235" s="5"/>
      <c r="BV235" s="5"/>
    </row>
    <row r="236" spans="1:74" ht="12.75" x14ac:dyDescent="0.2">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c r="AD236" s="5"/>
      <c r="AE236" s="5"/>
      <c r="AF236" s="5"/>
      <c r="AG236" s="5"/>
      <c r="AH236" s="5"/>
      <c r="AI236" s="5"/>
      <c r="AJ236" s="5"/>
      <c r="AK236" s="5"/>
      <c r="AL236" s="5"/>
      <c r="AM236" s="5"/>
      <c r="AN236" s="5"/>
      <c r="AO236" s="5"/>
      <c r="AP236" s="5"/>
      <c r="AQ236" s="5"/>
      <c r="AR236" s="5"/>
      <c r="AS236" s="5"/>
      <c r="AT236" s="5"/>
      <c r="AU236" s="5"/>
      <c r="AV236" s="5"/>
      <c r="AW236" s="5"/>
      <c r="AX236" s="5"/>
      <c r="AY236" s="5"/>
      <c r="AZ236" s="5"/>
      <c r="BA236" s="5"/>
      <c r="BB236" s="5"/>
      <c r="BC236" s="5"/>
      <c r="BD236" s="5"/>
      <c r="BE236" s="5"/>
      <c r="BF236" s="5"/>
      <c r="BG236" s="5"/>
      <c r="BH236" s="5"/>
      <c r="BI236" s="5"/>
      <c r="BJ236" s="5"/>
      <c r="BK236" s="5"/>
      <c r="BL236" s="5"/>
      <c r="BM236" s="5"/>
      <c r="BN236" s="5"/>
      <c r="BO236" s="5"/>
      <c r="BP236" s="5"/>
      <c r="BQ236" s="5"/>
      <c r="BR236" s="5"/>
      <c r="BS236" s="5"/>
      <c r="BT236" s="5"/>
      <c r="BU236" s="5"/>
      <c r="BV236" s="5"/>
    </row>
    <row r="237" spans="1:74" ht="12.75" x14ac:dyDescent="0.2">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5"/>
      <c r="AC237" s="5"/>
      <c r="AD237" s="5"/>
      <c r="AE237" s="5"/>
      <c r="AF237" s="5"/>
      <c r="AG237" s="5"/>
      <c r="AH237" s="5"/>
      <c r="AI237" s="5"/>
      <c r="AJ237" s="5"/>
      <c r="AK237" s="5"/>
      <c r="AL237" s="5"/>
      <c r="AM237" s="5"/>
      <c r="AN237" s="5"/>
      <c r="AO237" s="5"/>
      <c r="AP237" s="5"/>
      <c r="AQ237" s="5"/>
      <c r="AR237" s="5"/>
      <c r="AS237" s="5"/>
      <c r="AT237" s="5"/>
      <c r="AU237" s="5"/>
      <c r="AV237" s="5"/>
      <c r="AW237" s="5"/>
      <c r="AX237" s="5"/>
      <c r="AY237" s="5"/>
      <c r="AZ237" s="5"/>
      <c r="BA237" s="5"/>
      <c r="BB237" s="5"/>
      <c r="BC237" s="5"/>
      <c r="BD237" s="5"/>
      <c r="BE237" s="5"/>
      <c r="BF237" s="5"/>
      <c r="BG237" s="5"/>
      <c r="BH237" s="5"/>
      <c r="BI237" s="5"/>
      <c r="BJ237" s="5"/>
      <c r="BK237" s="5"/>
      <c r="BL237" s="5"/>
      <c r="BM237" s="5"/>
      <c r="BN237" s="5"/>
      <c r="BO237" s="5"/>
      <c r="BP237" s="5"/>
      <c r="BQ237" s="5"/>
      <c r="BR237" s="5"/>
      <c r="BS237" s="5"/>
      <c r="BT237" s="5"/>
      <c r="BU237" s="5"/>
      <c r="BV237" s="5"/>
    </row>
    <row r="238" spans="1:74" ht="12.75" x14ac:dyDescent="0.2">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5"/>
      <c r="AC238" s="5"/>
      <c r="AD238" s="5"/>
      <c r="AE238" s="5"/>
      <c r="AF238" s="5"/>
      <c r="AG238" s="5"/>
      <c r="AH238" s="5"/>
      <c r="AI238" s="5"/>
      <c r="AJ238" s="5"/>
      <c r="AK238" s="5"/>
      <c r="AL238" s="5"/>
      <c r="AM238" s="5"/>
      <c r="AN238" s="5"/>
      <c r="AO238" s="5"/>
      <c r="AP238" s="5"/>
      <c r="AQ238" s="5"/>
      <c r="AR238" s="5"/>
      <c r="AS238" s="5"/>
      <c r="AT238" s="5"/>
      <c r="AU238" s="5"/>
      <c r="AV238" s="5"/>
      <c r="AW238" s="5"/>
      <c r="AX238" s="5"/>
      <c r="AY238" s="5"/>
      <c r="AZ238" s="5"/>
      <c r="BA238" s="5"/>
      <c r="BB238" s="5"/>
      <c r="BC238" s="5"/>
      <c r="BD238" s="5"/>
      <c r="BE238" s="5"/>
      <c r="BF238" s="5"/>
      <c r="BG238" s="5"/>
      <c r="BH238" s="5"/>
      <c r="BI238" s="5"/>
      <c r="BJ238" s="5"/>
      <c r="BK238" s="5"/>
      <c r="BL238" s="5"/>
      <c r="BM238" s="5"/>
      <c r="BN238" s="5"/>
      <c r="BO238" s="5"/>
      <c r="BP238" s="5"/>
      <c r="BQ238" s="5"/>
      <c r="BR238" s="5"/>
      <c r="BS238" s="5"/>
      <c r="BT238" s="5"/>
      <c r="BU238" s="5"/>
      <c r="BV238" s="5"/>
    </row>
    <row r="239" spans="1:74" ht="12.75" x14ac:dyDescent="0.2">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5"/>
      <c r="AC239" s="5"/>
      <c r="AD239" s="5"/>
      <c r="AE239" s="5"/>
      <c r="AF239" s="5"/>
      <c r="AG239" s="5"/>
      <c r="AH239" s="5"/>
      <c r="AI239" s="5"/>
      <c r="AJ239" s="5"/>
      <c r="AK239" s="5"/>
      <c r="AL239" s="5"/>
      <c r="AM239" s="5"/>
      <c r="AN239" s="5"/>
      <c r="AO239" s="5"/>
      <c r="AP239" s="5"/>
      <c r="AQ239" s="5"/>
      <c r="AR239" s="5"/>
      <c r="AS239" s="5"/>
      <c r="AT239" s="5"/>
      <c r="AU239" s="5"/>
      <c r="AV239" s="5"/>
      <c r="AW239" s="5"/>
      <c r="AX239" s="5"/>
      <c r="AY239" s="5"/>
      <c r="AZ239" s="5"/>
      <c r="BA239" s="5"/>
      <c r="BB239" s="5"/>
      <c r="BC239" s="5"/>
      <c r="BD239" s="5"/>
      <c r="BE239" s="5"/>
      <c r="BF239" s="5"/>
      <c r="BG239" s="5"/>
      <c r="BH239" s="5"/>
      <c r="BI239" s="5"/>
      <c r="BJ239" s="5"/>
      <c r="BK239" s="5"/>
      <c r="BL239" s="5"/>
      <c r="BM239" s="5"/>
      <c r="BN239" s="5"/>
      <c r="BO239" s="5"/>
      <c r="BP239" s="5"/>
      <c r="BQ239" s="5"/>
      <c r="BR239" s="5"/>
      <c r="BS239" s="5"/>
      <c r="BT239" s="5"/>
      <c r="BU239" s="5"/>
      <c r="BV239" s="5"/>
    </row>
    <row r="240" spans="1:74" ht="12.75" x14ac:dyDescent="0.2">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5"/>
      <c r="AC240" s="5"/>
      <c r="AD240" s="5"/>
      <c r="AE240" s="5"/>
      <c r="AF240" s="5"/>
      <c r="AG240" s="5"/>
      <c r="AH240" s="5"/>
      <c r="AI240" s="5"/>
      <c r="AJ240" s="5"/>
      <c r="AK240" s="5"/>
      <c r="AL240" s="5"/>
      <c r="AM240" s="5"/>
      <c r="AN240" s="5"/>
      <c r="AO240" s="5"/>
      <c r="AP240" s="5"/>
      <c r="AQ240" s="5"/>
      <c r="AR240" s="5"/>
      <c r="AS240" s="5"/>
      <c r="AT240" s="5"/>
      <c r="AU240" s="5"/>
      <c r="AV240" s="5"/>
      <c r="AW240" s="5"/>
      <c r="AX240" s="5"/>
      <c r="AY240" s="5"/>
      <c r="AZ240" s="5"/>
      <c r="BA240" s="5"/>
      <c r="BB240" s="5"/>
      <c r="BC240" s="5"/>
      <c r="BD240" s="5"/>
      <c r="BE240" s="5"/>
      <c r="BF240" s="5"/>
      <c r="BG240" s="5"/>
      <c r="BH240" s="5"/>
      <c r="BI240" s="5"/>
      <c r="BJ240" s="5"/>
      <c r="BK240" s="5"/>
      <c r="BL240" s="5"/>
      <c r="BM240" s="5"/>
      <c r="BN240" s="5"/>
      <c r="BO240" s="5"/>
      <c r="BP240" s="5"/>
      <c r="BQ240" s="5"/>
      <c r="BR240" s="5"/>
      <c r="BS240" s="5"/>
      <c r="BT240" s="5"/>
      <c r="BU240" s="5"/>
      <c r="BV240" s="5"/>
    </row>
    <row r="241" spans="1:74" ht="12.75" x14ac:dyDescent="0.2">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5"/>
      <c r="AC241" s="5"/>
      <c r="AD241" s="5"/>
      <c r="AE241" s="5"/>
      <c r="AF241" s="5"/>
      <c r="AG241" s="5"/>
      <c r="AH241" s="5"/>
      <c r="AI241" s="5"/>
      <c r="AJ241" s="5"/>
      <c r="AK241" s="5"/>
      <c r="AL241" s="5"/>
      <c r="AM241" s="5"/>
      <c r="AN241" s="5"/>
      <c r="AO241" s="5"/>
      <c r="AP241" s="5"/>
      <c r="AQ241" s="5"/>
      <c r="AR241" s="5"/>
      <c r="AS241" s="5"/>
      <c r="AT241" s="5"/>
      <c r="AU241" s="5"/>
      <c r="AV241" s="5"/>
      <c r="AW241" s="5"/>
      <c r="AX241" s="5"/>
      <c r="AY241" s="5"/>
      <c r="AZ241" s="5"/>
      <c r="BA241" s="5"/>
      <c r="BB241" s="5"/>
      <c r="BC241" s="5"/>
      <c r="BD241" s="5"/>
      <c r="BE241" s="5"/>
      <c r="BF241" s="5"/>
      <c r="BG241" s="5"/>
      <c r="BH241" s="5"/>
      <c r="BI241" s="5"/>
      <c r="BJ241" s="5"/>
      <c r="BK241" s="5"/>
      <c r="BL241" s="5"/>
      <c r="BM241" s="5"/>
      <c r="BN241" s="5"/>
      <c r="BO241" s="5"/>
      <c r="BP241" s="5"/>
      <c r="BQ241" s="5"/>
      <c r="BR241" s="5"/>
      <c r="BS241" s="5"/>
      <c r="BT241" s="5"/>
      <c r="BU241" s="5"/>
      <c r="BV241" s="5"/>
    </row>
    <row r="242" spans="1:74" ht="12.75" x14ac:dyDescent="0.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5"/>
      <c r="AC242" s="5"/>
      <c r="AD242" s="5"/>
      <c r="AE242" s="5"/>
      <c r="AF242" s="5"/>
      <c r="AG242" s="5"/>
      <c r="AH242" s="5"/>
      <c r="AI242" s="5"/>
      <c r="AJ242" s="5"/>
    </row>
    <row r="243" spans="1:74" ht="12.75" x14ac:dyDescent="0.2">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5"/>
      <c r="AC243" s="5"/>
      <c r="AD243" s="5"/>
      <c r="AE243" s="5"/>
      <c r="AF243" s="5"/>
      <c r="AG243" s="5"/>
      <c r="AH243" s="5"/>
      <c r="AI243" s="5"/>
      <c r="AJ243" s="5"/>
    </row>
    <row r="244" spans="1:74" ht="12.75" x14ac:dyDescent="0.2">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5"/>
      <c r="AC244" s="5"/>
      <c r="AD244" s="5"/>
      <c r="AE244" s="5"/>
      <c r="AF244" s="5"/>
      <c r="AG244" s="5"/>
      <c r="AH244" s="5"/>
      <c r="AI244" s="5"/>
      <c r="AJ244" s="5"/>
    </row>
    <row r="245" spans="1:74" ht="12.75" x14ac:dyDescent="0.2">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c r="AB245" s="5"/>
      <c r="AC245" s="5"/>
      <c r="AD245" s="5"/>
      <c r="AE245" s="5"/>
      <c r="AF245" s="5"/>
      <c r="AG245" s="5"/>
      <c r="AH245" s="5"/>
      <c r="AI245" s="5"/>
      <c r="AJ245" s="5"/>
    </row>
    <row r="246" spans="1:74" ht="12.75" x14ac:dyDescent="0.2">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c r="AB246" s="5"/>
      <c r="AC246" s="5"/>
      <c r="AD246" s="5"/>
      <c r="AE246" s="5"/>
      <c r="AF246" s="5"/>
      <c r="AG246" s="5"/>
      <c r="AH246" s="5"/>
      <c r="AI246" s="5"/>
      <c r="AJ246" s="5"/>
    </row>
    <row r="247" spans="1:74" ht="12.75" x14ac:dyDescent="0.2">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c r="AH247" s="5"/>
      <c r="AI247" s="5"/>
      <c r="AJ247" s="5"/>
    </row>
    <row r="248" spans="1:74" ht="12.75" x14ac:dyDescent="0.2">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c r="AB248" s="5"/>
      <c r="AC248" s="5"/>
      <c r="AD248" s="5"/>
      <c r="AE248" s="5"/>
      <c r="AF248" s="5"/>
      <c r="AG248" s="5"/>
      <c r="AH248" s="5"/>
      <c r="AI248" s="5"/>
      <c r="AJ248" s="5"/>
    </row>
    <row r="249" spans="1:74" ht="12.75" x14ac:dyDescent="0.2">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c r="AB249" s="5"/>
      <c r="AC249" s="5"/>
      <c r="AD249" s="5"/>
      <c r="AE249" s="5"/>
      <c r="AF249" s="5"/>
      <c r="AG249" s="5"/>
      <c r="AH249" s="5"/>
      <c r="AI249" s="5"/>
      <c r="AJ249" s="5"/>
    </row>
    <row r="250" spans="1:74" ht="12.75" x14ac:dyDescent="0.2">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c r="AB250" s="5"/>
      <c r="AC250" s="5"/>
      <c r="AD250" s="5"/>
      <c r="AE250" s="5"/>
      <c r="AF250" s="5"/>
      <c r="AG250" s="5"/>
      <c r="AH250" s="5"/>
      <c r="AI250" s="5"/>
      <c r="AJ250" s="5"/>
    </row>
    <row r="251" spans="1:74" ht="12.75" x14ac:dyDescent="0.2">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c r="AB251" s="5"/>
      <c r="AC251" s="5"/>
      <c r="AD251" s="5"/>
      <c r="AE251" s="5"/>
      <c r="AF251" s="5"/>
      <c r="AG251" s="5"/>
      <c r="AH251" s="5"/>
      <c r="AI251" s="5"/>
      <c r="AJ251" s="5"/>
    </row>
    <row r="252" spans="1:74" ht="12.75" x14ac:dyDescent="0.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c r="AB252" s="5"/>
      <c r="AC252" s="5"/>
      <c r="AD252" s="5"/>
      <c r="AE252" s="5"/>
      <c r="AF252" s="5"/>
      <c r="AG252" s="5"/>
      <c r="AH252" s="5"/>
      <c r="AI252" s="5"/>
      <c r="AJ252" s="5"/>
    </row>
  </sheetData>
  <hyperlinks>
    <hyperlink ref="A22" r:id="rId1" xr:uid="{2B7DC993-1DCD-405E-A8CD-E3E3C069E3F4}"/>
    <hyperlink ref="A54" r:id="rId2" xr:uid="{DB19007A-62E0-4FF3-8324-4EA3B292ECD1}"/>
    <hyperlink ref="C95" r:id="rId3" xr:uid="{3224F0BC-918E-42AB-809F-EC7A696DFCE4}"/>
  </hyperlinks>
  <pageMargins left="0.7" right="0.7" top="0.75" bottom="0.75" header="0" footer="0"/>
  <pageSetup orientation="landscape" r:id="rId4"/>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3"/>
  </sheetPr>
  <dimension ref="A1:AE2"/>
  <sheetViews>
    <sheetView topLeftCell="A2" workbookViewId="0">
      <selection activeCell="A29" sqref="A28:A29"/>
    </sheetView>
  </sheetViews>
  <sheetFormatPr defaultRowHeight="15" x14ac:dyDescent="0.25"/>
  <cols>
    <col min="1" max="1" width="20.42578125" customWidth="1"/>
  </cols>
  <sheetData>
    <row r="1" spans="1:31" x14ac:dyDescent="0.25">
      <c r="A1" t="s">
        <v>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ht="30" x14ac:dyDescent="0.25">
      <c r="A2" s="3" t="s">
        <v>3</v>
      </c>
      <c r="B2">
        <v>0</v>
      </c>
      <c r="C2">
        <v>0</v>
      </c>
      <c r="D2" s="2">
        <f>'Inflation Reduction Act - Elec'!B158</f>
        <v>0.41625000000000001</v>
      </c>
      <c r="E2" s="2">
        <f>'Inflation Reduction Act - Elec'!C158</f>
        <v>0.41625000000000001</v>
      </c>
      <c r="F2" s="2">
        <f>'Inflation Reduction Act - Elec'!D158</f>
        <v>0.41625000000000001</v>
      </c>
      <c r="G2" s="2">
        <f>'Inflation Reduction Act - Elec'!E158</f>
        <v>0.41625000000000001</v>
      </c>
      <c r="H2" s="2">
        <f>'Inflation Reduction Act - Elec'!F158</f>
        <v>0.41625000000000001</v>
      </c>
      <c r="I2" s="2">
        <f>'Inflation Reduction Act - Elec'!G158</f>
        <v>0.41625000000000001</v>
      </c>
      <c r="J2" s="2">
        <f>'Inflation Reduction Act - Elec'!H158</f>
        <v>0.41625000000000001</v>
      </c>
      <c r="K2" s="2">
        <f>'Inflation Reduction Act - Elec'!I158</f>
        <v>0.41625000000000001</v>
      </c>
      <c r="L2" s="2">
        <f>'Inflation Reduction Act - Elec'!J158</f>
        <v>0.41625000000000001</v>
      </c>
      <c r="M2" s="2">
        <f>'Inflation Reduction Act - Elec'!K158</f>
        <v>0.41625000000000001</v>
      </c>
      <c r="N2" s="2">
        <f>'Inflation Reduction Act - Elec'!L158</f>
        <v>0.41625000000000001</v>
      </c>
      <c r="O2" s="2">
        <f>'Inflation Reduction Act - Elec'!M158</f>
        <v>0.41625000000000001</v>
      </c>
      <c r="P2" s="2">
        <f>'Inflation Reduction Act - Elec'!N158</f>
        <v>0.41625000000000001</v>
      </c>
      <c r="Q2" s="2">
        <f>'Inflation Reduction Act - Elec'!O158</f>
        <v>0.41625000000000001</v>
      </c>
      <c r="R2" s="2">
        <f>'Inflation Reduction Act - Elec'!P158</f>
        <v>0.41625000000000001</v>
      </c>
      <c r="S2" s="2">
        <f>'Inflation Reduction Act - Elec'!Q158</f>
        <v>0.31218750000000001</v>
      </c>
      <c r="T2" s="2">
        <f>'Inflation Reduction Act - Elec'!R158</f>
        <v>0.208125</v>
      </c>
      <c r="U2" s="2">
        <f>'Inflation Reduction Act - Elec'!S158</f>
        <v>0</v>
      </c>
      <c r="V2" s="2">
        <f>'Inflation Reduction Act - Elec'!T158</f>
        <v>0</v>
      </c>
      <c r="W2" s="2">
        <f>'Inflation Reduction Act - Elec'!U158</f>
        <v>0</v>
      </c>
      <c r="X2" s="2">
        <f>'Inflation Reduction Act - Elec'!V158</f>
        <v>0</v>
      </c>
      <c r="Y2" s="2">
        <f>'Inflation Reduction Act - Elec'!W158</f>
        <v>0</v>
      </c>
      <c r="Z2" s="2">
        <f>'Inflation Reduction Act - Elec'!X158</f>
        <v>0</v>
      </c>
      <c r="AA2" s="2">
        <f>'Inflation Reduction Act - Elec'!Y158</f>
        <v>0</v>
      </c>
      <c r="AB2" s="2">
        <f>'Inflation Reduction Act - Elec'!Z158</f>
        <v>0</v>
      </c>
      <c r="AC2" s="2">
        <f>'Inflation Reduction Act - Elec'!AA158</f>
        <v>0</v>
      </c>
      <c r="AD2" s="2">
        <f>'Inflation Reduction Act - Elec'!AB158</f>
        <v>0</v>
      </c>
      <c r="AE2" s="2">
        <f>'Inflation Reduction Act - Elec'!AC158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About</vt:lpstr>
      <vt:lpstr>Inflation Reduction Act - Elec</vt:lpstr>
      <vt:lpstr>BPSpUGBCD</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2015-06-09T20:22:53Z</dcterms:created>
  <dcterms:modified xsi:type="dcterms:W3CDTF">2025-07-28T16:55:38Z</dcterms:modified>
</cp:coreProperties>
</file>