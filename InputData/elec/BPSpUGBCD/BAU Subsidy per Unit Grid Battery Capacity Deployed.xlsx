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elec\BPSpUGBCD\"/>
    </mc:Choice>
  </mc:AlternateContent>
  <xr:revisionPtr revIDLastSave="0" documentId="13_ncr:1_{7D82A31A-F160-4FDF-BBDF-E059E343C9F1}" xr6:coauthVersionLast="47" xr6:coauthVersionMax="47" xr10:uidLastSave="{00000000-0000-0000-0000-000000000000}"/>
  <bookViews>
    <workbookView xWindow="38280" yWindow="-120" windowWidth="29040" windowHeight="17520" xr2:uid="{00000000-000D-0000-FFFF-FFFF00000000}"/>
  </bookViews>
  <sheets>
    <sheet name="About" sheetId="1" r:id="rId1"/>
    <sheet name="Inflation Reduction Act - Elec" sheetId="8" r:id="rId2"/>
    <sheet name="BPSpUGBCD" sheetId="2" r:id="rId3"/>
  </sheets>
  <definedNames>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2" l="1"/>
  <c r="F2" i="2"/>
  <c r="G2" i="2"/>
  <c r="H2" i="2"/>
  <c r="I2" i="2"/>
  <c r="J2" i="2"/>
  <c r="K2" i="2"/>
  <c r="L2" i="2"/>
  <c r="M2" i="2"/>
  <c r="N2" i="2"/>
  <c r="O2" i="2"/>
  <c r="P2" i="2"/>
  <c r="Q2" i="2"/>
  <c r="R2" i="2"/>
  <c r="S2" i="2"/>
  <c r="T2" i="2"/>
  <c r="U2" i="2"/>
  <c r="V2" i="2"/>
  <c r="W2" i="2"/>
  <c r="X2" i="2"/>
  <c r="Y2" i="2"/>
  <c r="Z2" i="2"/>
  <c r="AA2" i="2"/>
  <c r="AB2" i="2"/>
  <c r="AC2" i="2"/>
  <c r="AD2" i="2"/>
  <c r="AE2" i="2"/>
  <c r="D2" i="2"/>
  <c r="C161" i="8"/>
  <c r="D161" i="8"/>
  <c r="E161" i="8"/>
  <c r="F161" i="8"/>
  <c r="G161" i="8"/>
  <c r="H161" i="8"/>
  <c r="I161" i="8"/>
  <c r="J161" i="8"/>
  <c r="K161" i="8"/>
  <c r="L161" i="8"/>
  <c r="M161" i="8"/>
  <c r="N161" i="8"/>
  <c r="O161" i="8"/>
  <c r="P161" i="8"/>
  <c r="Q161" i="8"/>
  <c r="R161" i="8"/>
  <c r="S161" i="8"/>
  <c r="T161" i="8"/>
  <c r="U161" i="8"/>
  <c r="V161" i="8"/>
  <c r="W161" i="8"/>
  <c r="X161" i="8"/>
  <c r="Y161" i="8"/>
  <c r="Z161" i="8"/>
  <c r="AA161" i="8"/>
  <c r="AB161" i="8"/>
  <c r="AC161" i="8"/>
  <c r="B161" i="8"/>
  <c r="B158" i="8"/>
  <c r="C136" i="8"/>
  <c r="D136" i="8"/>
  <c r="E136" i="8"/>
  <c r="F136" i="8"/>
  <c r="G136" i="8"/>
  <c r="H136" i="8"/>
  <c r="I136" i="8"/>
  <c r="J136" i="8"/>
  <c r="K136" i="8"/>
  <c r="L136" i="8"/>
  <c r="M136" i="8"/>
  <c r="N136" i="8"/>
  <c r="O136" i="8"/>
  <c r="P136" i="8"/>
  <c r="Q136" i="8"/>
  <c r="R136" i="8"/>
  <c r="S136" i="8"/>
  <c r="T136" i="8"/>
  <c r="U136" i="8"/>
  <c r="V136" i="8"/>
  <c r="W136" i="8"/>
  <c r="X136" i="8"/>
  <c r="Y136" i="8"/>
  <c r="Z136" i="8"/>
  <c r="AA136" i="8"/>
  <c r="AB136" i="8"/>
  <c r="AC136" i="8"/>
  <c r="B136" i="8"/>
  <c r="B133" i="8"/>
  <c r="Q134" i="8"/>
  <c r="Q155" i="8" s="1"/>
  <c r="P134" i="8"/>
  <c r="P155" i="8" s="1"/>
  <c r="O134" i="8"/>
  <c r="O155" i="8" s="1"/>
  <c r="N134" i="8"/>
  <c r="N155" i="8" s="1"/>
  <c r="M134" i="8"/>
  <c r="M155" i="8" s="1"/>
  <c r="L134" i="8"/>
  <c r="L155" i="8" s="1"/>
  <c r="K134" i="8"/>
  <c r="K155" i="8" s="1"/>
  <c r="J134" i="8"/>
  <c r="J155" i="8" s="1"/>
  <c r="I134" i="8"/>
  <c r="I155" i="8" s="1"/>
  <c r="H134" i="8"/>
  <c r="H155" i="8" s="1"/>
  <c r="G134" i="8"/>
  <c r="G155" i="8" s="1"/>
  <c r="F134" i="8"/>
  <c r="F155" i="8" s="1"/>
  <c r="E134" i="8"/>
  <c r="E155" i="8" s="1"/>
  <c r="M133" i="8"/>
  <c r="M154" i="8" s="1"/>
  <c r="L133" i="8"/>
  <c r="L154" i="8" s="1"/>
  <c r="K133" i="8"/>
  <c r="K154" i="8" s="1"/>
  <c r="J133" i="8"/>
  <c r="J154" i="8" s="1"/>
  <c r="I133" i="8"/>
  <c r="I154" i="8" s="1"/>
  <c r="H133" i="8"/>
  <c r="H154" i="8" s="1"/>
  <c r="G133" i="8"/>
  <c r="G154" i="8" s="1"/>
  <c r="F133" i="8"/>
  <c r="F154" i="8" s="1"/>
  <c r="E133" i="8"/>
  <c r="E154" i="8" s="1"/>
  <c r="D133" i="8"/>
  <c r="C133" i="8"/>
  <c r="K124" i="8"/>
  <c r="J124" i="8"/>
  <c r="I124" i="8"/>
  <c r="H124" i="8"/>
  <c r="G124" i="8"/>
  <c r="F124" i="8"/>
  <c r="E124" i="8"/>
  <c r="D124" i="8"/>
  <c r="C124" i="8"/>
  <c r="B124"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C115" i="8"/>
  <c r="B115" i="8"/>
  <c r="AC114" i="8"/>
  <c r="AC135" i="8" s="1"/>
  <c r="AC158" i="8" s="1"/>
  <c r="AB114" i="8"/>
  <c r="AB135" i="8" s="1"/>
  <c r="AB158" i="8" s="1"/>
  <c r="AA114" i="8"/>
  <c r="AA135" i="8" s="1"/>
  <c r="AA158" i="8" s="1"/>
  <c r="Z114" i="8"/>
  <c r="Z135" i="8" s="1"/>
  <c r="Z158" i="8" s="1"/>
  <c r="Y114" i="8"/>
  <c r="Y135" i="8" s="1"/>
  <c r="Y158" i="8" s="1"/>
  <c r="X114" i="8"/>
  <c r="X135" i="8" s="1"/>
  <c r="X158" i="8" s="1"/>
  <c r="W114" i="8"/>
  <c r="W135" i="8" s="1"/>
  <c r="W158" i="8" s="1"/>
  <c r="V114" i="8"/>
  <c r="V135" i="8" s="1"/>
  <c r="V158" i="8" s="1"/>
  <c r="U114" i="8"/>
  <c r="U135" i="8" s="1"/>
  <c r="U158" i="8" s="1"/>
  <c r="T114" i="8"/>
  <c r="T135" i="8" s="1"/>
  <c r="T158" i="8" s="1"/>
  <c r="S114" i="8"/>
  <c r="S135" i="8" s="1"/>
  <c r="S158" i="8" s="1"/>
  <c r="R114" i="8"/>
  <c r="R135" i="8" s="1"/>
  <c r="R158" i="8" s="1"/>
  <c r="Q114" i="8"/>
  <c r="Q135" i="8" s="1"/>
  <c r="Q158" i="8" s="1"/>
  <c r="P114" i="8"/>
  <c r="P135" i="8" s="1"/>
  <c r="P158" i="8" s="1"/>
  <c r="O114" i="8"/>
  <c r="O135" i="8" s="1"/>
  <c r="O158" i="8" s="1"/>
  <c r="N114" i="8"/>
  <c r="N135" i="8" s="1"/>
  <c r="N158" i="8" s="1"/>
  <c r="M114" i="8"/>
  <c r="M135" i="8" s="1"/>
  <c r="M158" i="8" s="1"/>
  <c r="L114" i="8"/>
  <c r="L135" i="8" s="1"/>
  <c r="L158" i="8" s="1"/>
  <c r="K114" i="8"/>
  <c r="K135" i="8" s="1"/>
  <c r="K158" i="8" s="1"/>
  <c r="J114" i="8"/>
  <c r="J135" i="8" s="1"/>
  <c r="J158" i="8" s="1"/>
  <c r="I114" i="8"/>
  <c r="I135" i="8" s="1"/>
  <c r="I158" i="8" s="1"/>
  <c r="H114" i="8"/>
  <c r="H135" i="8" s="1"/>
  <c r="H158" i="8" s="1"/>
  <c r="G114" i="8"/>
  <c r="G135" i="8" s="1"/>
  <c r="G158" i="8" s="1"/>
  <c r="F114" i="8"/>
  <c r="F135" i="8" s="1"/>
  <c r="F158" i="8" s="1"/>
  <c r="E114" i="8"/>
  <c r="E135" i="8" s="1"/>
  <c r="E158" i="8" s="1"/>
  <c r="D114" i="8"/>
  <c r="D135" i="8" s="1"/>
  <c r="D158" i="8" s="1"/>
  <c r="C114" i="8"/>
  <c r="C135" i="8" s="1"/>
  <c r="C158" i="8" s="1"/>
  <c r="B114" i="8"/>
  <c r="B135" i="8" s="1"/>
  <c r="B102" i="8"/>
  <c r="B101" i="8"/>
  <c r="B71" i="8"/>
  <c r="B52" i="8"/>
  <c r="B48" i="8"/>
  <c r="AG17" i="8"/>
  <c r="AF17" i="8"/>
  <c r="AE17" i="8"/>
  <c r="AC133" i="8" s="1"/>
  <c r="AC154" i="8" s="1"/>
  <c r="AD17" i="8"/>
  <c r="AB133" i="8" s="1"/>
  <c r="AB154" i="8" s="1"/>
  <c r="AC17" i="8"/>
  <c r="AA133" i="8" s="1"/>
  <c r="AA154" i="8" s="1"/>
  <c r="AB17" i="8"/>
  <c r="Z133" i="8" s="1"/>
  <c r="Z154" i="8" s="1"/>
  <c r="AA17" i="8"/>
  <c r="Z17" i="8"/>
  <c r="Y17" i="8"/>
  <c r="X17" i="8"/>
  <c r="W17" i="8"/>
  <c r="V17" i="8"/>
  <c r="U17" i="8"/>
  <c r="T17" i="8"/>
  <c r="S17" i="8"/>
  <c r="R17" i="8"/>
  <c r="Q17" i="8"/>
  <c r="P17" i="8"/>
  <c r="A8" i="8"/>
  <c r="D134" i="8" l="1"/>
  <c r="D155" i="8" s="1"/>
  <c r="D154" i="8"/>
  <c r="C134" i="8"/>
  <c r="C155" i="8" s="1"/>
  <c r="C154" i="8"/>
  <c r="B154" i="8"/>
  <c r="B134" i="8"/>
  <c r="B155" i="8" s="1"/>
  <c r="AC131" i="8"/>
  <c r="AC132" i="8"/>
  <c r="AC151" i="8" s="1"/>
  <c r="AB131" i="8"/>
  <c r="AB132" i="8"/>
  <c r="AB151" i="8" s="1"/>
  <c r="AA132" i="8"/>
  <c r="AA151" i="8" s="1"/>
  <c r="AA131" i="8"/>
  <c r="Z132" i="8"/>
  <c r="Z151" i="8" s="1"/>
  <c r="Z131" i="8"/>
  <c r="Y132" i="8"/>
  <c r="Y151" i="8" s="1"/>
  <c r="Y131" i="8"/>
  <c r="X131" i="8"/>
  <c r="X132" i="8"/>
  <c r="X151" i="8" s="1"/>
  <c r="W132" i="8"/>
  <c r="W151" i="8" s="1"/>
  <c r="W131" i="8"/>
  <c r="V131" i="8"/>
  <c r="V132" i="8"/>
  <c r="V151" i="8" s="1"/>
  <c r="U132" i="8"/>
  <c r="U151" i="8" s="1"/>
  <c r="U131" i="8"/>
  <c r="T131" i="8"/>
  <c r="T132" i="8"/>
  <c r="T151" i="8" s="1"/>
  <c r="S131" i="8"/>
  <c r="S132" i="8"/>
  <c r="S151" i="8" s="1"/>
  <c r="R131" i="8"/>
  <c r="R132" i="8"/>
  <c r="R151" i="8" s="1"/>
  <c r="Q132" i="8"/>
  <c r="Q151" i="8" s="1"/>
  <c r="Q131" i="8"/>
  <c r="P131" i="8"/>
  <c r="P132" i="8"/>
  <c r="P151" i="8" s="1"/>
  <c r="O132" i="8"/>
  <c r="O151" i="8" s="1"/>
  <c r="O131" i="8"/>
  <c r="N132" i="8"/>
  <c r="N151" i="8" s="1"/>
  <c r="N131" i="8"/>
  <c r="M131" i="8"/>
  <c r="M132" i="8"/>
  <c r="M151" i="8" s="1"/>
  <c r="L132" i="8"/>
  <c r="L151" i="8" s="1"/>
  <c r="L131" i="8"/>
  <c r="K132" i="8"/>
  <c r="K151" i="8" s="1"/>
  <c r="K131" i="8"/>
  <c r="J131" i="8"/>
  <c r="J132" i="8"/>
  <c r="J151" i="8" s="1"/>
  <c r="I131" i="8"/>
  <c r="I132" i="8"/>
  <c r="I151" i="8" s="1"/>
  <c r="H131" i="8"/>
  <c r="H132" i="8"/>
  <c r="H151" i="8" s="1"/>
  <c r="G132" i="8"/>
  <c r="G151" i="8" s="1"/>
  <c r="G131" i="8"/>
  <c r="F132" i="8"/>
  <c r="F151" i="8" s="1"/>
  <c r="F131" i="8"/>
  <c r="E131" i="8"/>
  <c r="E132" i="8"/>
  <c r="E151" i="8" s="1"/>
  <c r="D132" i="8"/>
  <c r="D151" i="8" s="1"/>
  <c r="D131" i="8"/>
  <c r="C132" i="8"/>
  <c r="C151" i="8" s="1"/>
  <c r="C131" i="8"/>
  <c r="B131" i="8"/>
  <c r="B132" i="8"/>
  <c r="B151" i="8" s="1"/>
  <c r="AB119" i="8"/>
  <c r="T119" i="8"/>
  <c r="Q119" i="8"/>
  <c r="M119" i="8"/>
  <c r="X119" i="8"/>
  <c r="U119" i="8"/>
  <c r="S119" i="8"/>
  <c r="F119" i="8"/>
  <c r="AA119" i="8"/>
  <c r="Y119" i="8"/>
  <c r="R119" i="8"/>
  <c r="O119" i="8"/>
  <c r="C119" i="8"/>
  <c r="AC119" i="8"/>
  <c r="J119" i="8"/>
  <c r="G119" i="8"/>
  <c r="D119" i="8"/>
  <c r="V119" i="8"/>
  <c r="P119" i="8"/>
  <c r="N119" i="8"/>
  <c r="L119" i="8"/>
  <c r="I119" i="8"/>
  <c r="B119" i="8"/>
  <c r="W119" i="8"/>
  <c r="E119" i="8"/>
  <c r="Z119" i="8"/>
  <c r="H119" i="8"/>
  <c r="K119" i="8"/>
  <c r="B72" i="8"/>
  <c r="H81" i="8" s="1"/>
  <c r="B75" i="8"/>
  <c r="B81" i="8"/>
  <c r="B82" i="8" s="1"/>
  <c r="AC134" i="8"/>
  <c r="AC155" i="8" s="1"/>
  <c r="Y133" i="8"/>
  <c r="Y154" i="8" s="1"/>
  <c r="X133" i="8"/>
  <c r="X154" i="8" s="1"/>
  <c r="AB134" i="8"/>
  <c r="AB155" i="8" s="1"/>
  <c r="AA134" i="8"/>
  <c r="AA155" i="8" s="1"/>
  <c r="W133" i="8"/>
  <c r="W154" i="8" s="1"/>
  <c r="Z134" i="8"/>
  <c r="Z155" i="8" s="1"/>
  <c r="V133" i="8"/>
  <c r="V154" i="8" s="1"/>
  <c r="Y134" i="8"/>
  <c r="Y155" i="8" s="1"/>
  <c r="U133" i="8"/>
  <c r="U154" i="8" s="1"/>
  <c r="T133" i="8"/>
  <c r="T154" i="8" s="1"/>
  <c r="X134" i="8"/>
  <c r="X155" i="8" s="1"/>
  <c r="S133" i="8"/>
  <c r="S154" i="8" s="1"/>
  <c r="W134" i="8"/>
  <c r="W155" i="8" s="1"/>
  <c r="R133" i="8"/>
  <c r="R154" i="8" s="1"/>
  <c r="V134" i="8"/>
  <c r="V155" i="8" s="1"/>
  <c r="U134" i="8"/>
  <c r="U155" i="8" s="1"/>
  <c r="Q133" i="8"/>
  <c r="Q154" i="8" s="1"/>
  <c r="P133" i="8"/>
  <c r="P154" i="8" s="1"/>
  <c r="T134" i="8"/>
  <c r="T155" i="8" s="1"/>
  <c r="O133" i="8"/>
  <c r="O154" i="8" s="1"/>
  <c r="S134" i="8"/>
  <c r="S155" i="8" s="1"/>
  <c r="R134" i="8"/>
  <c r="R155" i="8" s="1"/>
  <c r="N133" i="8"/>
  <c r="N154" i="8" s="1"/>
  <c r="J81" i="8" l="1"/>
  <c r="J82" i="8" s="1"/>
  <c r="I121" i="8" s="1"/>
  <c r="T81" i="8"/>
  <c r="T82" i="8" s="1"/>
  <c r="S121" i="8" s="1"/>
  <c r="W81" i="8"/>
  <c r="W82" i="8" s="1"/>
  <c r="V121" i="8" s="1"/>
  <c r="Z81" i="8"/>
  <c r="Z82" i="8" s="1"/>
  <c r="Y121" i="8" s="1"/>
  <c r="L81" i="8"/>
  <c r="L82" i="8" s="1"/>
  <c r="K121" i="8" s="1"/>
  <c r="K81" i="8"/>
  <c r="K82" i="8" s="1"/>
  <c r="J121" i="8" s="1"/>
  <c r="M81" i="8"/>
  <c r="M82" i="8" s="1"/>
  <c r="L121" i="8" s="1"/>
  <c r="P81" i="8"/>
  <c r="P82" i="8" s="1"/>
  <c r="O121" i="8" s="1"/>
  <c r="R81" i="8"/>
  <c r="R82" i="8" s="1"/>
  <c r="Q121" i="8" s="1"/>
  <c r="V81" i="8"/>
  <c r="V82" i="8" s="1"/>
  <c r="U121" i="8" s="1"/>
  <c r="Y81" i="8"/>
  <c r="Y82" i="8" s="1"/>
  <c r="X121" i="8" s="1"/>
  <c r="AB81" i="8"/>
  <c r="AB82" i="8" s="1"/>
  <c r="AA121" i="8" s="1"/>
  <c r="AC81" i="8"/>
  <c r="AC82" i="8" s="1"/>
  <c r="AB121" i="8" s="1"/>
  <c r="O81" i="8"/>
  <c r="O82" i="8" s="1"/>
  <c r="N121" i="8" s="1"/>
  <c r="U81" i="8"/>
  <c r="U82" i="8" s="1"/>
  <c r="T121" i="8" s="1"/>
  <c r="X81" i="8"/>
  <c r="X82" i="8" s="1"/>
  <c r="W121" i="8" s="1"/>
  <c r="AD81" i="8"/>
  <c r="AD82" i="8" s="1"/>
  <c r="AC121" i="8" s="1"/>
  <c r="I81" i="8"/>
  <c r="I82" i="8" s="1"/>
  <c r="H121" i="8" s="1"/>
  <c r="N81" i="8"/>
  <c r="N82" i="8" s="1"/>
  <c r="M121" i="8" s="1"/>
  <c r="Q81" i="8"/>
  <c r="Q82" i="8" s="1"/>
  <c r="P121" i="8" s="1"/>
  <c r="S81" i="8"/>
  <c r="S82" i="8" s="1"/>
  <c r="R121" i="8" s="1"/>
  <c r="AA81" i="8"/>
  <c r="AA82" i="8" s="1"/>
  <c r="Z121" i="8" s="1"/>
  <c r="H82" i="8"/>
  <c r="G121" i="8" s="1"/>
  <c r="C81" i="8"/>
  <c r="C82" i="8" s="1"/>
  <c r="B148" i="8" s="1"/>
  <c r="D81" i="8"/>
  <c r="H75" i="8"/>
  <c r="C75" i="8"/>
  <c r="D75" i="8" l="1"/>
  <c r="E75" i="8" s="1"/>
  <c r="F75" i="8" s="1"/>
  <c r="G75" i="8" s="1"/>
  <c r="D82" i="8"/>
  <c r="C148" i="8" s="1"/>
  <c r="E81" i="8"/>
  <c r="F81" i="8" l="1"/>
  <c r="E82" i="8"/>
  <c r="D148" i="8" s="1"/>
  <c r="G81" i="8" l="1"/>
  <c r="G82" i="8" s="1"/>
  <c r="F121" i="8" s="1"/>
  <c r="F82" i="8"/>
  <c r="E121" i="8" s="1"/>
</calcChain>
</file>

<file path=xl/sharedStrings.xml><?xml version="1.0" encoding="utf-8"?>
<sst xmlns="http://schemas.openxmlformats.org/spreadsheetml/2006/main" count="133" uniqueCount="125">
  <si>
    <t>Source:</t>
  </si>
  <si>
    <t>Notes:</t>
  </si>
  <si>
    <t>Dmnl</t>
  </si>
  <si>
    <t>Percent of Capital Cost</t>
  </si>
  <si>
    <t>incentives in the Inflation Reduction Act. Given the volume of</t>
  </si>
  <si>
    <t xml:space="preserve">This file assumes developers will opt for the battery ITC, given the </t>
  </si>
  <si>
    <t>announced battery manufacturing capacity, we assume projects</t>
  </si>
  <si>
    <t>will qualify for the domestic content bonus.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</si>
  <si>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</si>
  <si>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</si>
  <si>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</si>
  <si>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</si>
  <si>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</si>
  <si>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</si>
  <si>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</si>
  <si>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</si>
  <si>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</si>
  <si>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</si>
  <si>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</si>
  <si>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</si>
  <si>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</si>
  <si>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</si>
  <si>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</si>
  <si>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</si>
  <si>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</si>
  <si>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</si>
  <si>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</si>
  <si>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</si>
  <si>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</si>
  <si>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</si>
  <si>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</si>
  <si>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</si>
  <si>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</si>
  <si>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</si>
  <si>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</si>
  <si>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</si>
  <si>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</si>
  <si>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</si>
  <si>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</si>
  <si>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</si>
  <si>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</si>
  <si>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</si>
  <si>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</si>
  <si>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</si>
  <si>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</si>
  <si>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</si>
  <si>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</si>
  <si>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</si>
  <si>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</si>
  <si>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Domestic content bonus, bonus</t>
  </si>
  <si>
    <t>Transferability penalty</t>
  </si>
  <si>
    <t>Energy community bonus</t>
  </si>
  <si>
    <t>Fraction of capacity qualifying for energy community bonus</t>
  </si>
  <si>
    <t>ITC</t>
  </si>
  <si>
    <t>ITC Phase-out Schedule</t>
  </si>
  <si>
    <t>Base Credit</t>
  </si>
  <si>
    <t>Bonus Credit</t>
  </si>
  <si>
    <t>ITC Settings</t>
  </si>
  <si>
    <t>Offshore Credit Value % project costs</t>
  </si>
  <si>
    <t>See Inflation Reduction Act tab</t>
  </si>
  <si>
    <t>BPSpUGBCD BAU Percent Subsidy per Unit Grid Battery Capacity Deployed</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</si>
  <si>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</si>
  <si>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</si>
  <si>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</si>
  <si>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</si>
  <si>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</si>
  <si>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</si>
  <si>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</si>
  <si>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</si>
  <si>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</si>
  <si>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</si>
  <si>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</si>
  <si>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</si>
  <si>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</si>
  <si>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</si>
  <si>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</si>
  <si>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</si>
  <si>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We assume that the rate of union membership can increase by 20% by 2025 in response to the tax credit incentives.</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</si>
  <si>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</si>
  <si>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</si>
  <si>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</si>
  <si>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</si>
  <si>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</si>
  <si>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</si>
  <si>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</si>
  <si>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</si>
  <si>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</si>
  <si>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</si>
  <si>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</si>
  <si>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Discount rate</t>
  </si>
  <si>
    <t>We don't use a discount rate, in line with other factors that are part of the cost per unit new elec output</t>
  </si>
  <si>
    <t>https://www.utilitydive.com/news/duke-avangrid-bank-of-america-ira-tax-credit-finance-clean-energy-wind-solar/696069/?s=09</t>
  </si>
  <si>
    <t>PTC</t>
  </si>
  <si>
    <t>wind</t>
  </si>
  <si>
    <t>solar</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</si>
  <si>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</si>
  <si>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</si>
  <si>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</si>
  <si>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</si>
  <si>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</si>
  <si>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</si>
  <si>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</si>
  <si>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solar PV</t>
  </si>
  <si>
    <t>solar thermal</t>
  </si>
  <si>
    <t>geothermal</t>
  </si>
  <si>
    <t>offshore wind</t>
  </si>
  <si>
    <t>ITC Phase-out Scheulde, solar PV</t>
  </si>
  <si>
    <t>ITC Phase-out Scheulde, solar thermal</t>
  </si>
  <si>
    <t>ITC Phase-out Scheulde, geothermal</t>
  </si>
  <si>
    <t>ITC Phase-out Scheulde, offshore wind</t>
  </si>
  <si>
    <t>Solar PV Credit Value % project costs</t>
  </si>
  <si>
    <t>Solar Thermal Credit Value % project costs</t>
  </si>
  <si>
    <t>Geothermal Credit Value % project costs</t>
  </si>
  <si>
    <t>batteries</t>
  </si>
  <si>
    <t>Latest calibration year target passed: 2036</t>
  </si>
  <si>
    <t>geothermal/nuclear/other</t>
  </si>
  <si>
    <t>wind/solar*</t>
  </si>
  <si>
    <t>*the safe harbor deadline to qualify for the more relaxed safe harbor restrictions is July 4, 2026. We can't assign half year values, therefore we assume 100% through 2025 with a 4 year window, meaning projects finishing construction by the end of calendar year 2029 can claim the credit.</t>
  </si>
  <si>
    <t>safe harbor timeline</t>
  </si>
  <si>
    <t>nuclear: https://www.eia.gov/outlooks/aeo/assumptions/pdf/EMM_Assumptions.pdf</t>
  </si>
  <si>
    <t>ITC Phase-out Scheulde, nuclear</t>
  </si>
  <si>
    <t>* geothermal and nuclear - OBBBA phaseout timeline now implemented starting in 2034</t>
  </si>
  <si>
    <t>Nuclear Credit Value % project costs</t>
  </si>
  <si>
    <t>ITC Phase-out Schedule, batteries</t>
  </si>
  <si>
    <t>Battery Value % project costs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</si>
</sst>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0.000"/>
    <numFmt numFmtId="165" formatCode="0.0%"/>
    <numFmt numFmtId="166" formatCode="&quot;$&quot;#,##0.0"/>
    <numFmt numFmtId="167" formatCode="&quot;$&quot;#,##0.00"/>
    <numFmt numFmtId="168" formatCode="0.0000"/>
  </numFmts>
  <fonts count="18"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s>
  <fills count="8">
    <fill>
      <patternFill patternType="none"/>
    </fill>
    <fill>
      <patternFill patternType="gray125"/>
    </fill>
    <fill>
      <patternFill patternType="solid">
        <fgColor rgb="FFCFE2F3"/>
        <bgColor rgb="FFCFE2F3"/>
      </patternFill>
    </fill>
    <fill>
      <patternFill patternType="solid">
        <fgColor rgb="FFB7B7B7"/>
        <bgColor rgb="FFB7B7B7"/>
      </patternFill>
    </fill>
    <fill>
      <patternFill patternType="solid">
        <fgColor theme="0" tint="-0.14999847407452621"/>
        <bgColor indexed="64"/>
      </patternFill>
    </fill>
    <fill>
      <patternFill patternType="solid">
        <fgColor rgb="FFFFFFFF"/>
        <bgColor rgb="FFFFFFFF"/>
      </patternFill>
    </fill>
    <fill>
      <patternFill patternType="solid">
        <fgColor rgb="FFFFFF00"/>
        <bgColor indexed="64"/>
      </patternFill>
    </fill>
    <fill>
      <patternFill patternType="solid">
        <fgColor theme="6"/>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8">
    <xf numFmtId="0" fontId="0" fillId="0" borderId="0"/>
    <xf numFmtId="0" fontId="2" fillId="0" borderId="0"/>
    <xf numFmtId="0" fontId="3" fillId="0" borderId="0"/>
    <xf numFmtId="0" fontId="5" fillId="0" borderId="0"/>
    <xf numFmtId="9"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cellStyleXfs>
  <cellXfs count="58">
    <xf numFmtId="0" fontId="0" fillId="0" borderId="0" xfId="0"/>
    <xf numFmtId="0" fontId="1" fillId="0" borderId="0" xfId="0" applyFont="1"/>
    <xf numFmtId="0" fontId="6" fillId="2" borderId="0" xfId="3" applyFont="1" applyFill="1"/>
    <xf numFmtId="0" fontId="7" fillId="0" borderId="0" xfId="3" applyFont="1"/>
    <xf numFmtId="0" fontId="5" fillId="0" borderId="0" xfId="3"/>
    <xf numFmtId="0" fontId="7" fillId="0" borderId="0" xfId="3" applyFont="1" applyAlignment="1">
      <alignment wrapText="1"/>
    </xf>
    <xf numFmtId="0" fontId="7" fillId="2" borderId="0" xfId="3" applyFont="1" applyFill="1"/>
    <xf numFmtId="0" fontId="6" fillId="3" borderId="0" xfId="3" applyFont="1" applyFill="1"/>
    <xf numFmtId="0" fontId="7" fillId="3" borderId="0" xfId="3" applyFont="1" applyFill="1"/>
    <xf numFmtId="0" fontId="8" fillId="0" borderId="0" xfId="3" applyFont="1"/>
    <xf numFmtId="0" fontId="9" fillId="0" borderId="0" xfId="3" applyFont="1"/>
    <xf numFmtId="0" fontId="6" fillId="0" borderId="0" xfId="3" applyFont="1"/>
    <xf numFmtId="165" fontId="7" fillId="0" borderId="0" xfId="3" applyNumberFormat="1" applyFont="1"/>
    <xf numFmtId="0" fontId="6" fillId="0" borderId="0" xfId="3" applyFont="1" applyAlignment="1">
      <alignment wrapText="1"/>
    </xf>
    <xf numFmtId="0" fontId="10" fillId="0" borderId="0" xfId="3" applyFont="1"/>
    <xf numFmtId="0" fontId="13" fillId="0" borderId="1" xfId="3" applyFont="1" applyBorder="1"/>
    <xf numFmtId="0" fontId="14" fillId="0" borderId="2" xfId="3" applyFont="1" applyBorder="1" applyAlignment="1">
      <alignment horizontal="center"/>
    </xf>
    <xf numFmtId="0" fontId="14" fillId="0" borderId="3" xfId="3" applyFont="1" applyBorder="1"/>
    <xf numFmtId="0" fontId="14" fillId="0" borderId="4" xfId="3" applyFont="1" applyBorder="1" applyAlignment="1">
      <alignment horizontal="center"/>
    </xf>
    <xf numFmtId="0" fontId="11" fillId="0" borderId="3" xfId="3" applyFont="1" applyBorder="1"/>
    <xf numFmtId="10" fontId="11" fillId="0" borderId="4" xfId="3" applyNumberFormat="1" applyFont="1" applyBorder="1" applyAlignment="1">
      <alignment horizontal="right"/>
    </xf>
    <xf numFmtId="10" fontId="7" fillId="0" borderId="0" xfId="3" applyNumberFormat="1" applyFont="1"/>
    <xf numFmtId="0" fontId="11" fillId="0" borderId="5" xfId="3" applyFont="1" applyBorder="1"/>
    <xf numFmtId="10" fontId="11" fillId="0" borderId="6" xfId="3" applyNumberFormat="1" applyFont="1" applyBorder="1" applyAlignment="1">
      <alignment horizontal="right"/>
    </xf>
    <xf numFmtId="0" fontId="15" fillId="0" borderId="0" xfId="3" applyFont="1"/>
    <xf numFmtId="9" fontId="7" fillId="0" borderId="0" xfId="3" applyNumberFormat="1" applyFont="1"/>
    <xf numFmtId="9" fontId="7" fillId="0" borderId="0" xfId="3" applyNumberFormat="1" applyFont="1" applyAlignment="1">
      <alignment wrapText="1"/>
    </xf>
    <xf numFmtId="0" fontId="5" fillId="0" borderId="0" xfId="3" applyAlignment="1">
      <alignment wrapText="1"/>
    </xf>
    <xf numFmtId="0" fontId="7" fillId="0" borderId="0" xfId="3" applyFont="1" applyAlignment="1">
      <alignment horizontal="left" wrapText="1"/>
    </xf>
    <xf numFmtId="9" fontId="7" fillId="0" borderId="0" xfId="3" applyNumberFormat="1" applyFont="1" applyAlignment="1">
      <alignment horizontal="right" wrapText="1"/>
    </xf>
    <xf numFmtId="0" fontId="8" fillId="4" borderId="0" xfId="3" applyFont="1" applyFill="1" applyAlignment="1">
      <alignment horizontal="left" wrapText="1"/>
    </xf>
    <xf numFmtId="0" fontId="7" fillId="4" borderId="0" xfId="3" applyFont="1" applyFill="1" applyAlignment="1">
      <alignment horizontal="left" wrapText="1"/>
    </xf>
    <xf numFmtId="0" fontId="7" fillId="4" borderId="0" xfId="3" applyFont="1" applyFill="1"/>
    <xf numFmtId="0" fontId="5" fillId="4" borderId="0" xfId="3" applyFill="1"/>
    <xf numFmtId="10" fontId="7" fillId="0" borderId="0" xfId="3" applyNumberFormat="1" applyFont="1" applyAlignment="1">
      <alignment horizontal="left" wrapText="1"/>
    </xf>
    <xf numFmtId="2" fontId="7" fillId="0" borderId="0" xfId="3" applyNumberFormat="1" applyFont="1" applyAlignment="1">
      <alignment horizontal="left" wrapText="1"/>
    </xf>
    <xf numFmtId="2" fontId="7" fillId="4" borderId="0" xfId="3" applyNumberFormat="1" applyFont="1" applyFill="1" applyAlignment="1">
      <alignment horizontal="left" wrapText="1"/>
    </xf>
    <xf numFmtId="10" fontId="7" fillId="0" borderId="0" xfId="3" applyNumberFormat="1" applyFont="1" applyAlignment="1">
      <alignment horizontal="right" wrapText="1"/>
    </xf>
    <xf numFmtId="0" fontId="6" fillId="0" borderId="0" xfId="3" applyFont="1" applyAlignment="1">
      <alignment horizontal="left" wrapText="1"/>
    </xf>
    <xf numFmtId="9" fontId="7" fillId="0" borderId="0" xfId="7" applyFont="1"/>
    <xf numFmtId="0" fontId="7" fillId="0" borderId="0" xfId="7" applyNumberFormat="1" applyFont="1"/>
    <xf numFmtId="44" fontId="7" fillId="0" borderId="0" xfId="6" applyFont="1"/>
    <xf numFmtId="0" fontId="16" fillId="0" borderId="0" xfId="3" applyFont="1"/>
    <xf numFmtId="164" fontId="7" fillId="0" borderId="0" xfId="3" applyNumberFormat="1" applyFont="1"/>
    <xf numFmtId="1" fontId="7" fillId="0" borderId="0" xfId="3" applyNumberFormat="1" applyFont="1"/>
    <xf numFmtId="166" fontId="17" fillId="5" borderId="0" xfId="3" applyNumberFormat="1" applyFont="1" applyFill="1"/>
    <xf numFmtId="167" fontId="7" fillId="0" borderId="0" xfId="3" applyNumberFormat="1" applyFont="1" applyAlignment="1">
      <alignment horizontal="right" wrapText="1"/>
    </xf>
    <xf numFmtId="0" fontId="17" fillId="5" borderId="0" xfId="3" applyFont="1" applyFill="1"/>
    <xf numFmtId="165" fontId="7" fillId="0" borderId="0" xfId="3" applyNumberFormat="1" applyFont="1" applyAlignment="1">
      <alignment horizontal="right" wrapText="1"/>
    </xf>
    <xf numFmtId="0" fontId="8" fillId="0" borderId="0" xfId="3" applyFont="1" applyAlignment="1">
      <alignment horizontal="left" wrapText="1"/>
    </xf>
    <xf numFmtId="2" fontId="7" fillId="6" borderId="0" xfId="3" applyNumberFormat="1" applyFont="1" applyFill="1" applyAlignment="1">
      <alignment horizontal="left" wrapText="1"/>
    </xf>
    <xf numFmtId="0" fontId="0" fillId="0" borderId="0" xfId="0" applyAlignment="1">
      <alignment horizontal="right" wrapText="1"/>
    </xf>
    <xf numFmtId="9" fontId="7" fillId="7" borderId="0" xfId="7" applyFont="1" applyFill="1"/>
    <xf numFmtId="0" fontId="7" fillId="7" borderId="0" xfId="3" applyFont="1" applyFill="1" applyAlignment="1">
      <alignment horizontal="left" wrapText="1"/>
    </xf>
    <xf numFmtId="10" fontId="7" fillId="7" borderId="0" xfId="3" applyNumberFormat="1" applyFont="1" applyFill="1" applyAlignment="1">
      <alignment horizontal="left" wrapText="1"/>
    </xf>
    <xf numFmtId="0" fontId="7" fillId="7" borderId="0" xfId="3" applyFont="1" applyFill="1"/>
    <xf numFmtId="0" fontId="5" fillId="7" borderId="0" xfId="3" applyFill="1"/>
    <xf numFmtId="168" fontId="0" fillId="0" borderId="0" xfId="0" applyNumberFormat="1"/>
  </cellXfs>
  <cellStyles count="8">
    <cellStyle name="Currency" xfId="6" builtinId="4"/>
    <cellStyle name="Currency 2" xfId="5" xr:uid="{81BD210F-5FF0-4880-8028-0DC76957F95F}"/>
    <cellStyle name="Normal" xfId="0" builtinId="0"/>
    <cellStyle name="Normal 2" xfId="1" xr:uid="{00000000-0005-0000-0000-000002000000}"/>
    <cellStyle name="Normal 3" xfId="2" xr:uid="{A0D66D47-893E-4339-ABA2-2AA2E8FD27AB}"/>
    <cellStyle name="Normal 3 2" xfId="3" xr:uid="{6280AA9E-3B50-418D-82DE-98EB684B0878}"/>
    <cellStyle name="Percent" xfId="7" builtinId="5"/>
    <cellStyle name="Percent 2" xfId="4" xr:uid="{2FFD538B-3558-46F7-AC70-5718F1F530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F01A8524-AD72-401C-8AFC-275E118E0C20}"/>
            </a:ext>
          </a:extLst>
        </xdr:cNvPr>
        <xdr:cNvPicPr preferRelativeResize="0"/>
      </xdr:nvPicPr>
      <xdr:blipFill>
        <a:blip xmlns:r="http://schemas.openxmlformats.org/officeDocument/2006/relationships" r:embed="rId1" cstate="print"/>
        <a:stretch>
          <a:fillRect/>
        </a:stretch>
      </xdr:blipFill>
      <xdr:spPr>
        <a:xfrm>
          <a:off x="28575" y="7400925"/>
          <a:ext cx="3924300" cy="2562225"/>
        </a:xfrm>
        <a:prstGeom prst="rect">
          <a:avLst/>
        </a:prstGeom>
        <a:noFill/>
      </xdr:spPr>
    </xdr:pic>
    <xdr:clientData fLocksWithSheet="0"/>
  </xdr:oneCellAnchor>
  <xdr:oneCellAnchor>
    <xdr:from>
      <xdr:col>0</xdr:col>
      <xdr:colOff>28575</xdr:colOff>
      <xdr:row>24</xdr:row>
      <xdr:rowOff>123825</xdr:rowOff>
    </xdr:from>
    <xdr:ext cx="3924300" cy="2562225"/>
    <xdr:pic>
      <xdr:nvPicPr>
        <xdr:cNvPr id="3" name="image2.png" title="Image">
          <a:extLst>
            <a:ext uri="{FF2B5EF4-FFF2-40B4-BE49-F238E27FC236}">
              <a16:creationId xmlns:a16="http://schemas.microsoft.com/office/drawing/2014/main" id="{1D752091-052C-4CE6-8CDA-D4A75A2D3F93}"/>
            </a:ext>
          </a:extLst>
        </xdr:cNvPr>
        <xdr:cNvPicPr preferRelativeResize="0"/>
      </xdr:nvPicPr>
      <xdr:blipFill>
        <a:blip xmlns:r="http://schemas.openxmlformats.org/officeDocument/2006/relationships" r:embed="rId1" cstate="print"/>
        <a:stretch>
          <a:fillRect/>
        </a:stretch>
      </xdr:blipFill>
      <xdr:spPr>
        <a:xfrm>
          <a:off x="28575" y="7794625"/>
          <a:ext cx="3924300" cy="2562225"/>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tabSelected="1" workbookViewId="0">
      <selection activeCell="M25" sqref="M25"/>
    </sheetView>
  </sheetViews>
  <sheetFormatPr defaultRowHeight="14.5" x14ac:dyDescent="0.35"/>
  <sheetData>
    <row r="1" spans="1:2" x14ac:dyDescent="0.35">
      <c r="A1" s="1" t="s">
        <v>60</v>
      </c>
    </row>
    <row r="3" spans="1:2" x14ac:dyDescent="0.35">
      <c r="A3" s="1" t="s">
        <v>0</v>
      </c>
      <c r="B3" t="s">
        <v>59</v>
      </c>
    </row>
    <row r="5" spans="1:2" x14ac:dyDescent="0.35">
      <c r="A5" t="s">
        <v>1</v>
      </c>
    </row>
    <row r="6" spans="1:2" x14ac:dyDescent="0.35">
      <c r="A6" t="s">
        <v>5</v>
      </c>
    </row>
    <row r="7" spans="1:2" x14ac:dyDescent="0.35">
      <c r="A7" t="s">
        <v>4</v>
      </c>
    </row>
    <row r="8" spans="1:2" x14ac:dyDescent="0.35">
      <c r="A8" t="s">
        <v>6</v>
      </c>
    </row>
    <row r="9" spans="1:2" x14ac:dyDescent="0.35">
      <c r="A9" t="s">
        <v>7</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5F637-D742-4D43-823F-3091F001A88F}">
  <sheetPr>
    <tabColor rgb="FF6AA84F"/>
  </sheetPr>
  <dimension ref="A1:BV234"/>
  <sheetViews>
    <sheetView topLeftCell="A128" workbookViewId="0">
      <selection activeCell="B161" sqref="B161:AC161"/>
    </sheetView>
  </sheetViews>
  <sheetFormatPr defaultColWidth="12.54296875" defaultRowHeight="15.75" customHeight="1" x14ac:dyDescent="0.3"/>
  <cols>
    <col min="1" max="1" width="94.453125" style="4" customWidth="1"/>
    <col min="2" max="2" width="15.453125" style="4" customWidth="1"/>
    <col min="3" max="3" width="11.54296875" style="4" customWidth="1"/>
    <col min="4" max="4" width="40.54296875" style="4" bestFit="1" customWidth="1"/>
    <col min="5" max="5" width="10.453125" style="4" bestFit="1" customWidth="1"/>
    <col min="6" max="13" width="8.26953125" style="4" bestFit="1" customWidth="1"/>
    <col min="14" max="36" width="7.54296875" style="4" customWidth="1"/>
    <col min="37" max="16384" width="12.54296875" style="4"/>
  </cols>
  <sheetData>
    <row r="1" spans="1:39" ht="13" x14ac:dyDescent="0.3">
      <c r="A1" s="2" t="s">
        <v>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3"/>
      <c r="AH1" s="3"/>
      <c r="AI1" s="3"/>
      <c r="AJ1" s="3"/>
    </row>
    <row r="2" spans="1:39" ht="305.25" customHeight="1" x14ac:dyDescent="0.3">
      <c r="A2" s="5" t="s">
        <v>61</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row>
    <row r="3" spans="1:39" ht="13" x14ac:dyDescent="0.3">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row>
    <row r="4" spans="1:39" ht="13" x14ac:dyDescent="0.3">
      <c r="A4" s="2" t="s">
        <v>62</v>
      </c>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row>
    <row r="5" spans="1:39" ht="13" x14ac:dyDescent="0.3">
      <c r="A5" s="3" t="s">
        <v>63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row>
    <row r="6" spans="1:39" ht="13" x14ac:dyDescent="0.3">
      <c r="A6" s="3" t="s">
        <v>64</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9" ht="13" x14ac:dyDescent="0.3">
      <c r="A7" s="3" t="s">
        <v>65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row>
    <row r="8" spans="1:39" ht="13" x14ac:dyDescent="0.3">
      <c r="A8" s="3">
        <f>1554.4*0.25</f>
        <v>388.6</v>
      </c>
      <c r="B8" s="3" t="s">
        <v>66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row>
    <row r="9" spans="1:39" ht="13" x14ac:dyDescent="0.3">
      <c r="A9" s="3" t="s">
        <v>114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row>
    <row r="10" spans="1:39" ht="13" x14ac:dyDescent="0.3">
      <c r="A10" s="3" t="s">
        <v>67</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row>
    <row r="11" spans="1:39" ht="13" x14ac:dyDescent="0.3">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row>
    <row r="12" spans="1:39" ht="13" x14ac:dyDescent="0.3">
      <c r="A12" s="3" t="s">
        <v>68</v>
      </c>
      <c r="B12" s="3" t="s">
        <v>69</v>
      </c>
      <c r="C12" s="3" t="s">
        <v>70</v>
      </c>
      <c r="D12" s="3" t="s">
        <v>71</v>
      </c>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row>
    <row r="13" spans="1:39" ht="13" x14ac:dyDescent="0.3">
      <c r="A13" s="39">
        <v>1</v>
      </c>
      <c r="B13" s="39">
        <v>0.75</v>
      </c>
      <c r="C13" s="39">
        <v>0.5</v>
      </c>
      <c r="D13" s="39">
        <v>0</v>
      </c>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row>
    <row r="14" spans="1:39" ht="13" x14ac:dyDescent="0.3">
      <c r="A14" s="39"/>
      <c r="B14" s="39"/>
      <c r="C14" s="39"/>
      <c r="D14" s="39"/>
      <c r="E14" s="3"/>
      <c r="F14" s="3"/>
      <c r="G14" s="3"/>
      <c r="H14" s="3"/>
      <c r="I14" s="3"/>
      <c r="J14" s="3"/>
      <c r="K14" s="3"/>
      <c r="L14" s="3"/>
      <c r="M14" s="3"/>
      <c r="N14" s="3"/>
      <c r="O14" s="3"/>
      <c r="P14" s="3" t="s">
        <v>72</v>
      </c>
      <c r="Q14" s="3" t="s">
        <v>73</v>
      </c>
      <c r="R14" s="3" t="s">
        <v>74</v>
      </c>
      <c r="S14" s="3" t="s">
        <v>75</v>
      </c>
      <c r="U14" s="3"/>
      <c r="V14" s="3"/>
      <c r="W14" s="3"/>
      <c r="X14" s="3"/>
      <c r="Y14" s="3"/>
      <c r="Z14" s="3"/>
      <c r="AA14" s="3"/>
      <c r="AB14" s="3"/>
      <c r="AC14" s="3"/>
      <c r="AD14" s="3"/>
      <c r="AE14" s="3"/>
      <c r="AF14" s="3"/>
      <c r="AG14" s="3"/>
      <c r="AH14" s="3"/>
      <c r="AI14" s="3"/>
      <c r="AJ14" s="3"/>
    </row>
    <row r="15" spans="1:39" ht="13" x14ac:dyDescent="0.3">
      <c r="A15" s="52" t="s">
        <v>76</v>
      </c>
      <c r="B15" s="39"/>
      <c r="C15" s="39"/>
      <c r="D15" s="39"/>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row>
    <row r="16" spans="1:39" ht="13" x14ac:dyDescent="0.3">
      <c r="B16" s="4">
        <v>2019</v>
      </c>
      <c r="C16" s="4">
        <v>2020</v>
      </c>
      <c r="D16" s="40">
        <v>2021</v>
      </c>
      <c r="E16" s="40">
        <v>2022</v>
      </c>
      <c r="F16" s="40">
        <v>2023</v>
      </c>
      <c r="G16" s="40">
        <v>2024</v>
      </c>
      <c r="H16" s="40">
        <v>2025</v>
      </c>
      <c r="I16" s="40">
        <v>2026</v>
      </c>
      <c r="J16" s="40">
        <v>2027</v>
      </c>
      <c r="K16" s="40">
        <v>2028</v>
      </c>
      <c r="L16" s="40">
        <v>2029</v>
      </c>
      <c r="M16" s="40">
        <v>2030</v>
      </c>
      <c r="N16" s="40">
        <v>2031</v>
      </c>
      <c r="O16" s="40">
        <v>2032</v>
      </c>
      <c r="P16" s="40">
        <v>2033</v>
      </c>
      <c r="Q16" s="40">
        <v>2034</v>
      </c>
      <c r="R16" s="40">
        <v>2035</v>
      </c>
      <c r="S16" s="40">
        <v>2036</v>
      </c>
      <c r="T16" s="40">
        <v>2037</v>
      </c>
      <c r="U16" s="40">
        <v>2038</v>
      </c>
      <c r="V16" s="40">
        <v>2039</v>
      </c>
      <c r="W16" s="40">
        <v>2040</v>
      </c>
      <c r="X16" s="40">
        <v>2041</v>
      </c>
      <c r="Y16" s="40">
        <v>2042</v>
      </c>
      <c r="Z16" s="40">
        <v>2043</v>
      </c>
      <c r="AA16" s="40">
        <v>2044</v>
      </c>
      <c r="AB16" s="40">
        <v>2045</v>
      </c>
      <c r="AC16" s="40">
        <v>2046</v>
      </c>
      <c r="AD16" s="40">
        <v>2047</v>
      </c>
      <c r="AE16" s="40">
        <v>2048</v>
      </c>
      <c r="AF16" s="40">
        <v>2049</v>
      </c>
      <c r="AG16" s="40">
        <v>2050</v>
      </c>
      <c r="AH16" s="40"/>
      <c r="AI16" s="40"/>
      <c r="AJ16" s="40"/>
      <c r="AK16" s="40"/>
      <c r="AL16" s="40"/>
      <c r="AM16" s="40"/>
    </row>
    <row r="17" spans="1:53" ht="13" x14ac:dyDescent="0.3">
      <c r="A17" s="4" t="s">
        <v>115</v>
      </c>
      <c r="B17" s="39">
        <v>1</v>
      </c>
      <c r="C17" s="39">
        <v>1</v>
      </c>
      <c r="D17" s="39">
        <v>1</v>
      </c>
      <c r="E17" s="39">
        <v>1</v>
      </c>
      <c r="F17" s="39">
        <v>1</v>
      </c>
      <c r="G17" s="39">
        <v>1</v>
      </c>
      <c r="H17" s="39">
        <v>1</v>
      </c>
      <c r="I17" s="39">
        <v>1</v>
      </c>
      <c r="J17" s="39">
        <v>1</v>
      </c>
      <c r="K17" s="39">
        <v>1</v>
      </c>
      <c r="L17" s="39">
        <v>1</v>
      </c>
      <c r="M17" s="39">
        <v>1</v>
      </c>
      <c r="N17" s="39">
        <v>1</v>
      </c>
      <c r="O17" s="39">
        <v>1</v>
      </c>
      <c r="P17" s="39">
        <f>A13</f>
        <v>1</v>
      </c>
      <c r="Q17" s="39">
        <f t="shared" ref="Q17:AG17" si="0">B13</f>
        <v>0.75</v>
      </c>
      <c r="R17" s="39">
        <f t="shared" si="0"/>
        <v>0.5</v>
      </c>
      <c r="S17" s="39">
        <f t="shared" si="0"/>
        <v>0</v>
      </c>
      <c r="T17" s="39">
        <f t="shared" si="0"/>
        <v>0</v>
      </c>
      <c r="U17" s="39">
        <f t="shared" si="0"/>
        <v>0</v>
      </c>
      <c r="V17" s="39">
        <f t="shared" si="0"/>
        <v>0</v>
      </c>
      <c r="W17" s="39">
        <f t="shared" si="0"/>
        <v>0</v>
      </c>
      <c r="X17" s="39">
        <f t="shared" si="0"/>
        <v>0</v>
      </c>
      <c r="Y17" s="39">
        <f t="shared" si="0"/>
        <v>0</v>
      </c>
      <c r="Z17" s="39">
        <f t="shared" si="0"/>
        <v>0</v>
      </c>
      <c r="AA17" s="39">
        <f t="shared" si="0"/>
        <v>0</v>
      </c>
      <c r="AB17" s="39">
        <f t="shared" si="0"/>
        <v>0</v>
      </c>
      <c r="AC17" s="39">
        <f t="shared" si="0"/>
        <v>0</v>
      </c>
      <c r="AD17" s="39">
        <f t="shared" si="0"/>
        <v>0</v>
      </c>
      <c r="AE17" s="39">
        <f t="shared" si="0"/>
        <v>0</v>
      </c>
      <c r="AF17" s="39">
        <f t="shared" si="0"/>
        <v>0</v>
      </c>
      <c r="AG17" s="39">
        <f t="shared" si="0"/>
        <v>0</v>
      </c>
      <c r="AH17" s="39"/>
      <c r="AI17" s="39"/>
      <c r="AJ17" s="39"/>
      <c r="AK17" s="39"/>
      <c r="AL17" s="39"/>
      <c r="AM17" s="39"/>
      <c r="AN17" s="39"/>
      <c r="AO17" s="39"/>
      <c r="AP17" s="39"/>
      <c r="AQ17" s="39"/>
      <c r="AR17" s="39"/>
      <c r="AS17" s="39"/>
      <c r="AT17" s="39"/>
      <c r="AU17" s="39"/>
      <c r="AV17" s="39"/>
      <c r="AW17" s="39"/>
      <c r="AX17" s="39"/>
      <c r="AY17" s="39"/>
      <c r="AZ17" s="39"/>
      <c r="BA17" s="39"/>
    </row>
    <row r="18" spans="1:53" ht="13" x14ac:dyDescent="0.3">
      <c r="A18" s="39" t="s">
        <v>116</v>
      </c>
      <c r="B18" s="39">
        <v>1</v>
      </c>
      <c r="C18" s="39">
        <v>1</v>
      </c>
      <c r="D18" s="39">
        <v>1</v>
      </c>
      <c r="E18" s="39">
        <v>1</v>
      </c>
      <c r="F18" s="39">
        <v>1</v>
      </c>
      <c r="G18" s="39">
        <v>1</v>
      </c>
      <c r="H18" s="39">
        <v>1</v>
      </c>
      <c r="I18" s="39">
        <v>0</v>
      </c>
      <c r="J18" s="39">
        <v>0</v>
      </c>
      <c r="K18" s="39">
        <v>0</v>
      </c>
      <c r="L18" s="39">
        <v>0</v>
      </c>
      <c r="M18" s="39">
        <v>0</v>
      </c>
      <c r="N18" s="39">
        <v>0</v>
      </c>
      <c r="O18" s="39">
        <v>0</v>
      </c>
      <c r="P18" s="39">
        <v>0</v>
      </c>
      <c r="Q18" s="39">
        <v>0</v>
      </c>
      <c r="R18" s="39">
        <v>0</v>
      </c>
      <c r="S18" s="39">
        <v>0</v>
      </c>
      <c r="T18" s="39">
        <v>0</v>
      </c>
      <c r="U18" s="39">
        <v>0</v>
      </c>
      <c r="V18" s="39">
        <v>0</v>
      </c>
      <c r="W18" s="39">
        <v>0</v>
      </c>
      <c r="X18" s="39">
        <v>0</v>
      </c>
      <c r="Y18" s="39">
        <v>0</v>
      </c>
      <c r="Z18" s="39">
        <v>0</v>
      </c>
      <c r="AA18" s="39">
        <v>0</v>
      </c>
      <c r="AB18" s="39">
        <v>0</v>
      </c>
      <c r="AC18" s="39">
        <v>0</v>
      </c>
      <c r="AD18" s="39">
        <v>0</v>
      </c>
      <c r="AE18" s="39">
        <v>0</v>
      </c>
      <c r="AF18" s="39">
        <v>0</v>
      </c>
      <c r="AG18" s="39">
        <v>0</v>
      </c>
      <c r="AH18" s="39"/>
      <c r="AI18" s="39"/>
      <c r="AJ18" s="39"/>
      <c r="AK18" s="39"/>
      <c r="AL18" s="39"/>
      <c r="AM18" s="39"/>
      <c r="AN18" s="39"/>
      <c r="AO18" s="39"/>
      <c r="AP18" s="39"/>
      <c r="AQ18" s="39"/>
      <c r="AR18" s="39"/>
      <c r="AS18" s="39"/>
      <c r="AT18" s="39"/>
      <c r="AU18" s="39"/>
      <c r="AV18" s="39"/>
      <c r="AW18" s="39"/>
      <c r="AX18" s="39"/>
      <c r="AY18" s="39"/>
      <c r="AZ18" s="39"/>
    </row>
    <row r="19" spans="1:53" ht="13" x14ac:dyDescent="0.3">
      <c r="A19" s="39" t="s">
        <v>117</v>
      </c>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row>
    <row r="20" spans="1:53" ht="13"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row>
    <row r="21" spans="1:53" ht="13" x14ac:dyDescent="0.3">
      <c r="A21" s="2" t="s">
        <v>9</v>
      </c>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row>
    <row r="22" spans="1:53" ht="13" x14ac:dyDescent="0.3">
      <c r="A22" s="7" t="s">
        <v>10</v>
      </c>
      <c r="B22" s="7"/>
      <c r="C22" s="7"/>
      <c r="D22" s="7"/>
      <c r="E22" s="7"/>
      <c r="F22" s="7"/>
      <c r="G22" s="7"/>
      <c r="H22" s="7"/>
      <c r="I22" s="7"/>
      <c r="J22" s="7"/>
      <c r="K22" s="7"/>
      <c r="L22" s="7"/>
      <c r="M22" s="7"/>
      <c r="N22" s="8"/>
      <c r="O22" s="8"/>
      <c r="P22" s="8"/>
      <c r="Q22" s="8"/>
      <c r="R22" s="8"/>
      <c r="S22" s="8"/>
      <c r="T22" s="8"/>
      <c r="U22" s="8"/>
      <c r="V22" s="8"/>
      <c r="W22" s="8"/>
      <c r="X22" s="8"/>
      <c r="Y22" s="8"/>
      <c r="Z22" s="8"/>
      <c r="AA22" s="8"/>
      <c r="AB22" s="8"/>
      <c r="AC22" s="8"/>
      <c r="AD22" s="8"/>
      <c r="AE22" s="8"/>
      <c r="AF22" s="8"/>
      <c r="AG22" s="8"/>
      <c r="AH22" s="8"/>
      <c r="AI22" s="8"/>
      <c r="AJ22" s="8"/>
    </row>
    <row r="23" spans="1:53" ht="13" x14ac:dyDescent="0.3">
      <c r="A23" s="9" t="s">
        <v>11</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row>
    <row r="24" spans="1:53" ht="13" x14ac:dyDescent="0.3">
      <c r="A24" s="10" t="s">
        <v>12</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row>
    <row r="25" spans="1:53" ht="13" x14ac:dyDescent="0.3">
      <c r="A25" s="11"/>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row>
    <row r="26" spans="1:53" ht="13" x14ac:dyDescent="0.3">
      <c r="A26" s="11"/>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row>
    <row r="27" spans="1:53" ht="13" x14ac:dyDescent="0.3">
      <c r="A27" s="11"/>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row>
    <row r="28" spans="1:53" ht="13" x14ac:dyDescent="0.3">
      <c r="A28" s="11"/>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row>
    <row r="29" spans="1:53" ht="13" x14ac:dyDescent="0.3">
      <c r="A29" s="11"/>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row>
    <row r="30" spans="1:53" ht="13" x14ac:dyDescent="0.3">
      <c r="A30" s="11"/>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row>
    <row r="31" spans="1:53" ht="13" x14ac:dyDescent="0.3">
      <c r="A31" s="11"/>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row>
    <row r="32" spans="1:53" ht="13" x14ac:dyDescent="0.3">
      <c r="A32" s="11"/>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row>
    <row r="33" spans="1:36" ht="13" x14ac:dyDescent="0.3">
      <c r="A33" s="11"/>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row>
    <row r="34" spans="1:36" ht="13" x14ac:dyDescent="0.3">
      <c r="A34" s="11"/>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row>
    <row r="35" spans="1:36" ht="13" x14ac:dyDescent="0.3">
      <c r="A35" s="11"/>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row>
    <row r="36" spans="1:36" ht="13" x14ac:dyDescent="0.3">
      <c r="A36" s="11"/>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row>
    <row r="37" spans="1:36" ht="13" x14ac:dyDescent="0.3">
      <c r="A37" s="11"/>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row>
    <row r="38" spans="1:36" ht="13" x14ac:dyDescent="0.3">
      <c r="A38" s="11"/>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row>
    <row r="39" spans="1:36" ht="13" x14ac:dyDescent="0.3">
      <c r="A39" s="11"/>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row>
    <row r="40" spans="1:36" ht="13" x14ac:dyDescent="0.3">
      <c r="A40" s="11"/>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row>
    <row r="41" spans="1:36" ht="13" x14ac:dyDescent="0.3">
      <c r="A41" s="1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row>
    <row r="42" spans="1:36" ht="13" x14ac:dyDescent="0.3">
      <c r="A42" s="11"/>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row>
    <row r="43" spans="1:36" ht="13" x14ac:dyDescent="0.3">
      <c r="A43" s="3" t="s">
        <v>13</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row>
    <row r="44" spans="1:36" ht="13" x14ac:dyDescent="0.3">
      <c r="A44" s="3" t="s">
        <v>14</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row>
    <row r="45" spans="1:36" ht="13" x14ac:dyDescent="0.3">
      <c r="A45" s="3" t="s">
        <v>15</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row>
    <row r="46" spans="1:36" ht="13" x14ac:dyDescent="0.3">
      <c r="A46" s="3" t="s">
        <v>77</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row>
    <row r="47" spans="1:36" ht="13" x14ac:dyDescent="0.3">
      <c r="A47" s="4" t="s">
        <v>16</v>
      </c>
      <c r="B47" s="12">
        <v>0.127</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row>
    <row r="48" spans="1:36" ht="13" x14ac:dyDescent="0.3">
      <c r="A48" s="4" t="s">
        <v>17</v>
      </c>
      <c r="B48" s="39">
        <f>B47*1.2</f>
        <v>0.15240000000000001</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row>
    <row r="49" spans="1:36" ht="13" x14ac:dyDescent="0.3">
      <c r="A49" s="11"/>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row>
    <row r="50" spans="1:36" ht="13" x14ac:dyDescent="0.3">
      <c r="A50" s="11"/>
      <c r="B50" s="11">
        <v>2022</v>
      </c>
      <c r="C50" s="11">
        <v>2023</v>
      </c>
      <c r="D50" s="11">
        <v>2024</v>
      </c>
      <c r="E50" s="11">
        <v>2025</v>
      </c>
      <c r="F50" s="11">
        <v>2026</v>
      </c>
      <c r="G50" s="11">
        <v>2027</v>
      </c>
      <c r="H50" s="11">
        <v>2028</v>
      </c>
      <c r="I50" s="11">
        <v>2029</v>
      </c>
      <c r="J50" s="11">
        <v>2030</v>
      </c>
      <c r="K50" s="11">
        <v>2031</v>
      </c>
      <c r="L50" s="11">
        <v>2032</v>
      </c>
      <c r="M50" s="11">
        <v>2033</v>
      </c>
      <c r="N50" s="11">
        <v>2034</v>
      </c>
      <c r="O50" s="11">
        <v>2035</v>
      </c>
      <c r="P50" s="11">
        <v>2036</v>
      </c>
      <c r="Q50" s="11">
        <v>2037</v>
      </c>
      <c r="R50" s="11">
        <v>2038</v>
      </c>
      <c r="S50" s="11">
        <v>2039</v>
      </c>
      <c r="T50" s="11">
        <v>2040</v>
      </c>
      <c r="U50" s="11">
        <v>2041</v>
      </c>
      <c r="V50" s="11">
        <v>2042</v>
      </c>
      <c r="W50" s="11">
        <v>2043</v>
      </c>
      <c r="X50" s="11">
        <v>2044</v>
      </c>
      <c r="Y50" s="11">
        <v>2045</v>
      </c>
      <c r="Z50" s="11">
        <v>2046</v>
      </c>
      <c r="AA50" s="11">
        <v>2047</v>
      </c>
      <c r="AB50" s="11">
        <v>2048</v>
      </c>
      <c r="AC50" s="11">
        <v>2049</v>
      </c>
      <c r="AD50" s="11">
        <v>2050</v>
      </c>
      <c r="AE50" s="3"/>
      <c r="AF50" s="3"/>
      <c r="AG50" s="3"/>
      <c r="AH50" s="3"/>
      <c r="AI50" s="3"/>
      <c r="AJ50" s="3"/>
    </row>
    <row r="51" spans="1:36" ht="13" x14ac:dyDescent="0.3">
      <c r="A51" s="13" t="s">
        <v>18</v>
      </c>
      <c r="B51" s="12">
        <v>0</v>
      </c>
      <c r="C51" s="12">
        <v>0.05</v>
      </c>
      <c r="D51" s="12">
        <v>0.1</v>
      </c>
      <c r="E51" s="12">
        <v>0.15</v>
      </c>
      <c r="F51" s="12">
        <v>0.15</v>
      </c>
      <c r="G51" s="12">
        <v>0.15</v>
      </c>
      <c r="H51" s="12">
        <v>0.15</v>
      </c>
      <c r="I51" s="12">
        <v>0.15</v>
      </c>
      <c r="J51" s="12">
        <v>0.15</v>
      </c>
      <c r="K51" s="12">
        <v>0.15</v>
      </c>
      <c r="L51" s="12">
        <v>0.15</v>
      </c>
      <c r="M51" s="12">
        <v>0.15</v>
      </c>
      <c r="N51" s="12">
        <v>0.15</v>
      </c>
      <c r="O51" s="12">
        <v>0.15</v>
      </c>
      <c r="P51" s="12">
        <v>0.15</v>
      </c>
      <c r="Q51" s="12">
        <v>0.15</v>
      </c>
      <c r="R51" s="12">
        <v>0.15</v>
      </c>
      <c r="S51" s="12">
        <v>0.15</v>
      </c>
      <c r="T51" s="12">
        <v>0.15</v>
      </c>
      <c r="U51" s="12">
        <v>0.15</v>
      </c>
      <c r="V51" s="12">
        <v>0.15</v>
      </c>
      <c r="W51" s="12">
        <v>0.15</v>
      </c>
      <c r="X51" s="12">
        <v>0.15</v>
      </c>
      <c r="Y51" s="12">
        <v>0.15</v>
      </c>
      <c r="Z51" s="12">
        <v>0.15</v>
      </c>
      <c r="AA51" s="12">
        <v>0.15</v>
      </c>
      <c r="AB51" s="12">
        <v>0.15</v>
      </c>
      <c r="AC51" s="12">
        <v>0.15</v>
      </c>
      <c r="AD51" s="12">
        <v>0.15</v>
      </c>
      <c r="AE51" s="12"/>
      <c r="AF51" s="12"/>
      <c r="AG51" s="3"/>
      <c r="AH51" s="3"/>
      <c r="AI51" s="3"/>
      <c r="AJ51" s="3"/>
    </row>
    <row r="52" spans="1:36" ht="13" x14ac:dyDescent="0.3">
      <c r="A52" s="13" t="s">
        <v>19</v>
      </c>
      <c r="B52" s="12">
        <f>B51</f>
        <v>0</v>
      </c>
      <c r="C52" s="12">
        <v>1</v>
      </c>
      <c r="D52" s="12">
        <v>1</v>
      </c>
      <c r="E52" s="12">
        <v>1</v>
      </c>
      <c r="F52" s="12">
        <v>1</v>
      </c>
      <c r="G52" s="12">
        <v>1</v>
      </c>
      <c r="H52" s="12">
        <v>1</v>
      </c>
      <c r="I52" s="12">
        <v>1</v>
      </c>
      <c r="J52" s="12">
        <v>1</v>
      </c>
      <c r="K52" s="12">
        <v>1</v>
      </c>
      <c r="L52" s="12">
        <v>1</v>
      </c>
      <c r="M52" s="12">
        <v>1</v>
      </c>
      <c r="N52" s="12">
        <v>1</v>
      </c>
      <c r="O52" s="12">
        <v>1</v>
      </c>
      <c r="P52" s="12">
        <v>1</v>
      </c>
      <c r="Q52" s="12">
        <v>1</v>
      </c>
      <c r="R52" s="12">
        <v>1</v>
      </c>
      <c r="S52" s="12">
        <v>1</v>
      </c>
      <c r="T52" s="12">
        <v>1</v>
      </c>
      <c r="U52" s="12">
        <v>1</v>
      </c>
      <c r="V52" s="12">
        <v>1</v>
      </c>
      <c r="W52" s="12">
        <v>1</v>
      </c>
      <c r="X52" s="12">
        <v>1</v>
      </c>
      <c r="Y52" s="12">
        <v>1</v>
      </c>
      <c r="Z52" s="12">
        <v>1</v>
      </c>
      <c r="AA52" s="12">
        <v>1</v>
      </c>
      <c r="AB52" s="12">
        <v>1</v>
      </c>
      <c r="AC52" s="12">
        <v>1</v>
      </c>
      <c r="AD52" s="12">
        <v>1</v>
      </c>
      <c r="AE52" s="12"/>
      <c r="AF52" s="12"/>
      <c r="AG52" s="3"/>
      <c r="AH52" s="3"/>
      <c r="AI52" s="3"/>
      <c r="AJ52" s="3"/>
    </row>
    <row r="53" spans="1:36" ht="13" x14ac:dyDescent="0.3">
      <c r="A53" s="11"/>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row>
    <row r="54" spans="1:36" ht="13" x14ac:dyDescent="0.3">
      <c r="A54" s="7" t="s">
        <v>20</v>
      </c>
      <c r="B54" s="7"/>
      <c r="C54" s="7"/>
      <c r="D54" s="7"/>
      <c r="E54" s="7"/>
      <c r="F54" s="7"/>
      <c r="G54" s="7"/>
      <c r="H54" s="7"/>
      <c r="I54" s="7"/>
      <c r="J54" s="7"/>
      <c r="K54" s="7"/>
      <c r="L54" s="7"/>
      <c r="M54" s="7"/>
      <c r="N54" s="8"/>
      <c r="O54" s="8"/>
      <c r="P54" s="8"/>
      <c r="Q54" s="8"/>
      <c r="R54" s="8"/>
      <c r="S54" s="8"/>
      <c r="T54" s="8"/>
      <c r="U54" s="8"/>
      <c r="V54" s="8"/>
      <c r="W54" s="8"/>
      <c r="X54" s="8"/>
      <c r="Y54" s="8"/>
      <c r="Z54" s="8"/>
      <c r="AA54" s="8"/>
      <c r="AB54" s="8"/>
      <c r="AC54" s="8"/>
      <c r="AD54" s="8"/>
      <c r="AE54" s="8"/>
      <c r="AF54" s="8"/>
      <c r="AG54" s="8"/>
      <c r="AH54" s="8"/>
      <c r="AI54" s="8"/>
      <c r="AJ54" s="8"/>
    </row>
    <row r="55" spans="1:36" ht="13" x14ac:dyDescent="0.3">
      <c r="A55" s="3" t="s">
        <v>21</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row>
    <row r="56" spans="1:36" ht="13" x14ac:dyDescent="0.3">
      <c r="A56" s="14" t="s">
        <v>22</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row>
    <row r="57" spans="1:36" ht="13" x14ac:dyDescent="0.3">
      <c r="A57" s="11"/>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row>
    <row r="58" spans="1:36" ht="13" x14ac:dyDescent="0.3">
      <c r="A58" s="15" t="s">
        <v>23</v>
      </c>
      <c r="B58" s="16" t="s">
        <v>24</v>
      </c>
      <c r="C58" s="3"/>
      <c r="D58" s="15" t="s">
        <v>25</v>
      </c>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row>
    <row r="59" spans="1:36" ht="13" x14ac:dyDescent="0.3">
      <c r="A59" s="17" t="s">
        <v>26</v>
      </c>
      <c r="B59" s="18" t="s">
        <v>27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row>
    <row r="60" spans="1:36" ht="13" x14ac:dyDescent="0.3">
      <c r="A60" s="19" t="s">
        <v>28</v>
      </c>
      <c r="B60" s="20">
        <v>0.41199999999999998</v>
      </c>
      <c r="C60" s="21"/>
      <c r="D60" s="21">
        <v>0.11</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row>
    <row r="61" spans="1:36" ht="13" x14ac:dyDescent="0.3">
      <c r="A61" s="19" t="s">
        <v>29</v>
      </c>
      <c r="B61" s="20">
        <v>0.13200000000000001</v>
      </c>
      <c r="C61" s="21"/>
      <c r="D61" s="21">
        <v>0.37</v>
      </c>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row>
    <row r="62" spans="1:36" ht="13" x14ac:dyDescent="0.3">
      <c r="A62" s="19" t="s">
        <v>30</v>
      </c>
      <c r="B62" s="20">
        <v>0.114</v>
      </c>
      <c r="C62" s="21"/>
      <c r="D62" s="21">
        <v>0.15</v>
      </c>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row>
    <row r="63" spans="1:36" ht="13" x14ac:dyDescent="0.3">
      <c r="A63" s="19" t="s">
        <v>31</v>
      </c>
      <c r="B63" s="20">
        <v>7.0000000000000007E-2</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row>
    <row r="64" spans="1:36" ht="13" x14ac:dyDescent="0.3">
      <c r="A64" s="19" t="s">
        <v>32</v>
      </c>
      <c r="B64" s="20">
        <v>8.7999999999999995E-2</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row>
    <row r="65" spans="1:36" ht="13" x14ac:dyDescent="0.3">
      <c r="A65" s="19" t="s">
        <v>33</v>
      </c>
      <c r="B65" s="20">
        <v>5.2999999999999999E-2</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row>
    <row r="66" spans="1:36" ht="13" x14ac:dyDescent="0.3">
      <c r="A66" s="19" t="s">
        <v>34</v>
      </c>
      <c r="B66" s="20">
        <v>4.3999999999999997E-2</v>
      </c>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row>
    <row r="67" spans="1:36" ht="13" x14ac:dyDescent="0.3">
      <c r="A67" s="19" t="s">
        <v>35</v>
      </c>
      <c r="B67" s="20">
        <v>1.7999999999999999E-2</v>
      </c>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row>
    <row r="68" spans="1:36" ht="13" x14ac:dyDescent="0.3">
      <c r="A68" s="19" t="s">
        <v>36</v>
      </c>
      <c r="B68" s="20">
        <v>2.5999999999999999E-2</v>
      </c>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row>
    <row r="69" spans="1:36" ht="13" x14ac:dyDescent="0.3">
      <c r="A69" s="22" t="s">
        <v>37</v>
      </c>
      <c r="B69" s="23">
        <v>4.3999999999999997E-2</v>
      </c>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row>
    <row r="70" spans="1:36" ht="13" x14ac:dyDescent="0.3">
      <c r="A70" s="11"/>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row>
    <row r="71" spans="1:36" ht="13" x14ac:dyDescent="0.3">
      <c r="A71" s="3" t="s">
        <v>38</v>
      </c>
      <c r="B71" s="21">
        <f>SUMPRODUCT(B60:B62,D60:D62)/SUM(B60:B62)</f>
        <v>0.16908814589665652</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row>
    <row r="72" spans="1:36" ht="13" x14ac:dyDescent="0.3">
      <c r="A72" s="3" t="s">
        <v>39</v>
      </c>
      <c r="B72" s="21">
        <f>AVERAGE(H80,B71)</f>
        <v>0.3595440729483283</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row>
    <row r="73" spans="1:36" ht="13" x14ac:dyDescent="0.3">
      <c r="A73" s="3"/>
      <c r="B73" s="21"/>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row>
    <row r="74" spans="1:36" ht="13" x14ac:dyDescent="0.3">
      <c r="A74" s="3"/>
      <c r="B74" s="11">
        <v>2022</v>
      </c>
      <c r="C74" s="11">
        <v>2023</v>
      </c>
      <c r="D74" s="11">
        <v>2024</v>
      </c>
      <c r="E74" s="11">
        <v>2025</v>
      </c>
      <c r="F74" s="11">
        <v>2026</v>
      </c>
      <c r="G74" s="11">
        <v>2027</v>
      </c>
      <c r="H74" s="11">
        <v>2028</v>
      </c>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row>
    <row r="75" spans="1:36" ht="13" x14ac:dyDescent="0.3">
      <c r="A75" s="5" t="s">
        <v>40</v>
      </c>
      <c r="B75" s="21">
        <f>B71</f>
        <v>0.16908814589665652</v>
      </c>
      <c r="C75" s="21">
        <f>B75</f>
        <v>0.16908814589665652</v>
      </c>
      <c r="D75" s="21">
        <f t="shared" ref="D75:G75" si="1">($H$75-$B$75)/5+C75</f>
        <v>0.20717933130699087</v>
      </c>
      <c r="E75" s="21">
        <f t="shared" si="1"/>
        <v>0.24527051671732522</v>
      </c>
      <c r="F75" s="21">
        <f t="shared" si="1"/>
        <v>0.2833617021276596</v>
      </c>
      <c r="G75" s="21">
        <f t="shared" si="1"/>
        <v>0.32145288753799395</v>
      </c>
      <c r="H75" s="21">
        <f>AVERAGE(B75,H80)</f>
        <v>0.3595440729483283</v>
      </c>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row>
    <row r="76" spans="1:36" ht="13" x14ac:dyDescent="0.3">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3"/>
      <c r="AG76" s="3"/>
      <c r="AH76" s="3"/>
      <c r="AI76" s="3"/>
      <c r="AJ76" s="3"/>
    </row>
    <row r="77" spans="1:36" ht="26" x14ac:dyDescent="0.3">
      <c r="A77" s="5" t="s">
        <v>41</v>
      </c>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3"/>
      <c r="AG77" s="3"/>
      <c r="AH77" s="3"/>
      <c r="AI77" s="3"/>
      <c r="AJ77" s="3"/>
    </row>
    <row r="78" spans="1:36" ht="13" x14ac:dyDescent="0.3">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11"/>
      <c r="AG78" s="11"/>
      <c r="AH78" s="11"/>
      <c r="AI78" s="11"/>
      <c r="AJ78" s="11"/>
    </row>
    <row r="79" spans="1:36" s="24" customFormat="1" ht="13" x14ac:dyDescent="0.3">
      <c r="A79" s="13"/>
      <c r="B79" s="13">
        <v>2022</v>
      </c>
      <c r="C79" s="13">
        <v>2023</v>
      </c>
      <c r="D79" s="13">
        <v>2024</v>
      </c>
      <c r="E79" s="13">
        <v>2025</v>
      </c>
      <c r="F79" s="13">
        <v>2026</v>
      </c>
      <c r="G79" s="13">
        <v>2027</v>
      </c>
      <c r="H79" s="13">
        <v>2028</v>
      </c>
      <c r="I79" s="13">
        <v>2029</v>
      </c>
      <c r="J79" s="13">
        <v>2030</v>
      </c>
      <c r="K79" s="13">
        <v>2031</v>
      </c>
      <c r="L79" s="13">
        <v>2032</v>
      </c>
      <c r="M79" s="13">
        <v>2033</v>
      </c>
      <c r="N79" s="13">
        <v>2034</v>
      </c>
      <c r="O79" s="13">
        <v>2035</v>
      </c>
      <c r="P79" s="13">
        <v>2036</v>
      </c>
      <c r="Q79" s="13">
        <v>2037</v>
      </c>
      <c r="R79" s="13">
        <v>2038</v>
      </c>
      <c r="S79" s="13">
        <v>2039</v>
      </c>
      <c r="T79" s="13">
        <v>2040</v>
      </c>
      <c r="U79" s="13">
        <v>2041</v>
      </c>
      <c r="V79" s="13">
        <v>2042</v>
      </c>
      <c r="W79" s="13">
        <v>2043</v>
      </c>
      <c r="X79" s="13">
        <v>2044</v>
      </c>
      <c r="Y79" s="13">
        <v>2045</v>
      </c>
      <c r="Z79" s="13">
        <v>2046</v>
      </c>
      <c r="AA79" s="13">
        <v>2047</v>
      </c>
      <c r="AB79" s="13">
        <v>2048</v>
      </c>
      <c r="AC79" s="13">
        <v>2049</v>
      </c>
      <c r="AD79" s="13">
        <v>2050</v>
      </c>
      <c r="AE79" s="13"/>
      <c r="AF79" s="11"/>
      <c r="AG79" s="11"/>
      <c r="AH79" s="11"/>
      <c r="AI79" s="11"/>
      <c r="AJ79" s="11"/>
    </row>
    <row r="80" spans="1:36" ht="13" x14ac:dyDescent="0.3">
      <c r="A80" s="21" t="s">
        <v>42</v>
      </c>
      <c r="B80" s="25">
        <v>0.4</v>
      </c>
      <c r="C80" s="25">
        <v>0.4</v>
      </c>
      <c r="D80" s="25">
        <v>0.4</v>
      </c>
      <c r="E80" s="25">
        <v>0.4</v>
      </c>
      <c r="F80" s="25">
        <v>0.45</v>
      </c>
      <c r="G80" s="25">
        <v>0.5</v>
      </c>
      <c r="H80" s="25">
        <v>0.55000000000000004</v>
      </c>
      <c r="I80" s="25">
        <v>0.55000000000000004</v>
      </c>
      <c r="J80" s="25">
        <v>0.55000000000000004</v>
      </c>
      <c r="K80" s="25">
        <v>0.55000000000000004</v>
      </c>
      <c r="L80" s="25">
        <v>0.55000000000000004</v>
      </c>
      <c r="M80" s="25">
        <v>0.55000000000000004</v>
      </c>
      <c r="N80" s="25">
        <v>0.55000000000000004</v>
      </c>
      <c r="O80" s="25">
        <v>0.55000000000000004</v>
      </c>
      <c r="P80" s="25">
        <v>0.55000000000000004</v>
      </c>
      <c r="Q80" s="25">
        <v>0.55000000000000004</v>
      </c>
      <c r="R80" s="25">
        <v>0.55000000000000004</v>
      </c>
      <c r="S80" s="25">
        <v>0.55000000000000004</v>
      </c>
      <c r="T80" s="25">
        <v>0.55000000000000004</v>
      </c>
      <c r="U80" s="25">
        <v>0.55000000000000004</v>
      </c>
      <c r="V80" s="25">
        <v>0.55000000000000004</v>
      </c>
      <c r="W80" s="25">
        <v>0.55000000000000004</v>
      </c>
      <c r="X80" s="25">
        <v>0.55000000000000004</v>
      </c>
      <c r="Y80" s="25">
        <v>0.55000000000000004</v>
      </c>
      <c r="Z80" s="25">
        <v>0.55000000000000004</v>
      </c>
      <c r="AA80" s="25">
        <v>0.55000000000000004</v>
      </c>
      <c r="AB80" s="25">
        <v>0.55000000000000004</v>
      </c>
      <c r="AC80" s="25">
        <v>0.55000000000000004</v>
      </c>
      <c r="AD80" s="25">
        <v>0.55000000000000004</v>
      </c>
      <c r="AE80" s="21"/>
      <c r="AF80" s="21"/>
      <c r="AG80" s="21"/>
      <c r="AH80" s="21"/>
      <c r="AI80" s="21"/>
      <c r="AJ80" s="21"/>
    </row>
    <row r="81" spans="1:36" ht="13" x14ac:dyDescent="0.3">
      <c r="A81" s="21" t="s">
        <v>43</v>
      </c>
      <c r="B81" s="25">
        <f>B71</f>
        <v>0.16908814589665652</v>
      </c>
      <c r="C81" s="25">
        <f>($H$81-$B$81)/COUNT($C$79:$H$79)+B81</f>
        <v>0.20083080040526849</v>
      </c>
      <c r="D81" s="25">
        <f t="shared" ref="D81:G81" si="2">($H$81-$B$81)/COUNT($C$79:$H$79)+C81</f>
        <v>0.23257345491388046</v>
      </c>
      <c r="E81" s="25">
        <f t="shared" si="2"/>
        <v>0.2643161094224924</v>
      </c>
      <c r="F81" s="25">
        <f t="shared" si="2"/>
        <v>0.29605876393110436</v>
      </c>
      <c r="G81" s="25">
        <f t="shared" si="2"/>
        <v>0.32780141843971633</v>
      </c>
      <c r="H81" s="25">
        <f>B72</f>
        <v>0.3595440729483283</v>
      </c>
      <c r="I81" s="25">
        <f>$H$81</f>
        <v>0.3595440729483283</v>
      </c>
      <c r="J81" s="25">
        <f t="shared" ref="J81:AD81" si="3">$H$81</f>
        <v>0.3595440729483283</v>
      </c>
      <c r="K81" s="25">
        <f t="shared" si="3"/>
        <v>0.3595440729483283</v>
      </c>
      <c r="L81" s="25">
        <f t="shared" si="3"/>
        <v>0.3595440729483283</v>
      </c>
      <c r="M81" s="25">
        <f t="shared" si="3"/>
        <v>0.3595440729483283</v>
      </c>
      <c r="N81" s="25">
        <f t="shared" si="3"/>
        <v>0.3595440729483283</v>
      </c>
      <c r="O81" s="25">
        <f t="shared" si="3"/>
        <v>0.3595440729483283</v>
      </c>
      <c r="P81" s="25">
        <f t="shared" si="3"/>
        <v>0.3595440729483283</v>
      </c>
      <c r="Q81" s="25">
        <f t="shared" si="3"/>
        <v>0.3595440729483283</v>
      </c>
      <c r="R81" s="25">
        <f t="shared" si="3"/>
        <v>0.3595440729483283</v>
      </c>
      <c r="S81" s="25">
        <f t="shared" si="3"/>
        <v>0.3595440729483283</v>
      </c>
      <c r="T81" s="25">
        <f t="shared" si="3"/>
        <v>0.3595440729483283</v>
      </c>
      <c r="U81" s="25">
        <f t="shared" si="3"/>
        <v>0.3595440729483283</v>
      </c>
      <c r="V81" s="25">
        <f t="shared" si="3"/>
        <v>0.3595440729483283</v>
      </c>
      <c r="W81" s="25">
        <f t="shared" si="3"/>
        <v>0.3595440729483283</v>
      </c>
      <c r="X81" s="25">
        <f t="shared" si="3"/>
        <v>0.3595440729483283</v>
      </c>
      <c r="Y81" s="25">
        <f t="shared" si="3"/>
        <v>0.3595440729483283</v>
      </c>
      <c r="Z81" s="25">
        <f t="shared" si="3"/>
        <v>0.3595440729483283</v>
      </c>
      <c r="AA81" s="25">
        <f t="shared" si="3"/>
        <v>0.3595440729483283</v>
      </c>
      <c r="AB81" s="25">
        <f t="shared" si="3"/>
        <v>0.3595440729483283</v>
      </c>
      <c r="AC81" s="25">
        <f t="shared" si="3"/>
        <v>0.3595440729483283</v>
      </c>
      <c r="AD81" s="25">
        <f t="shared" si="3"/>
        <v>0.3595440729483283</v>
      </c>
      <c r="AE81" s="21"/>
      <c r="AF81" s="21"/>
      <c r="AG81" s="21"/>
      <c r="AH81" s="21"/>
      <c r="AI81" s="21"/>
      <c r="AJ81" s="21"/>
    </row>
    <row r="82" spans="1:36" ht="13" x14ac:dyDescent="0.3">
      <c r="A82" s="3" t="s">
        <v>44</v>
      </c>
      <c r="B82" s="25">
        <f>B81/B80</f>
        <v>0.42272036474164126</v>
      </c>
      <c r="C82" s="25">
        <f t="shared" ref="C82:AD82" si="4">C81/C80</f>
        <v>0.50207700101317121</v>
      </c>
      <c r="D82" s="25">
        <f t="shared" si="4"/>
        <v>0.5814336372847011</v>
      </c>
      <c r="E82" s="25">
        <f t="shared" si="4"/>
        <v>0.66079027355623099</v>
      </c>
      <c r="F82" s="25">
        <f t="shared" si="4"/>
        <v>0.65790836429134303</v>
      </c>
      <c r="G82" s="25">
        <f t="shared" si="4"/>
        <v>0.65560283687943266</v>
      </c>
      <c r="H82" s="25">
        <f t="shared" si="4"/>
        <v>0.65371649626968775</v>
      </c>
      <c r="I82" s="25">
        <f t="shared" si="4"/>
        <v>0.65371649626968775</v>
      </c>
      <c r="J82" s="25">
        <f t="shared" si="4"/>
        <v>0.65371649626968775</v>
      </c>
      <c r="K82" s="25">
        <f t="shared" si="4"/>
        <v>0.65371649626968775</v>
      </c>
      <c r="L82" s="25">
        <f t="shared" si="4"/>
        <v>0.65371649626968775</v>
      </c>
      <c r="M82" s="25">
        <f t="shared" si="4"/>
        <v>0.65371649626968775</v>
      </c>
      <c r="N82" s="25">
        <f t="shared" si="4"/>
        <v>0.65371649626968775</v>
      </c>
      <c r="O82" s="25">
        <f t="shared" si="4"/>
        <v>0.65371649626968775</v>
      </c>
      <c r="P82" s="25">
        <f t="shared" si="4"/>
        <v>0.65371649626968775</v>
      </c>
      <c r="Q82" s="25">
        <f t="shared" si="4"/>
        <v>0.65371649626968775</v>
      </c>
      <c r="R82" s="25">
        <f t="shared" si="4"/>
        <v>0.65371649626968775</v>
      </c>
      <c r="S82" s="25">
        <f t="shared" si="4"/>
        <v>0.65371649626968775</v>
      </c>
      <c r="T82" s="25">
        <f t="shared" si="4"/>
        <v>0.65371649626968775</v>
      </c>
      <c r="U82" s="25">
        <f t="shared" si="4"/>
        <v>0.65371649626968775</v>
      </c>
      <c r="V82" s="25">
        <f t="shared" si="4"/>
        <v>0.65371649626968775</v>
      </c>
      <c r="W82" s="25">
        <f t="shared" si="4"/>
        <v>0.65371649626968775</v>
      </c>
      <c r="X82" s="25">
        <f t="shared" si="4"/>
        <v>0.65371649626968775</v>
      </c>
      <c r="Y82" s="25">
        <f t="shared" si="4"/>
        <v>0.65371649626968775</v>
      </c>
      <c r="Z82" s="25">
        <f t="shared" si="4"/>
        <v>0.65371649626968775</v>
      </c>
      <c r="AA82" s="25">
        <f t="shared" si="4"/>
        <v>0.65371649626968775</v>
      </c>
      <c r="AB82" s="25">
        <f t="shared" si="4"/>
        <v>0.65371649626968775</v>
      </c>
      <c r="AC82" s="25">
        <f t="shared" si="4"/>
        <v>0.65371649626968775</v>
      </c>
      <c r="AD82" s="25">
        <f t="shared" si="4"/>
        <v>0.65371649626968775</v>
      </c>
      <c r="AE82" s="3"/>
      <c r="AF82" s="3"/>
      <c r="AG82" s="3"/>
      <c r="AH82" s="3"/>
      <c r="AI82" s="3"/>
      <c r="AJ82" s="3"/>
    </row>
    <row r="83" spans="1:36" ht="13" x14ac:dyDescent="0.3">
      <c r="A83" s="9"/>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c r="AB83" s="25"/>
      <c r="AC83" s="25"/>
      <c r="AD83" s="25"/>
      <c r="AE83" s="11"/>
      <c r="AF83" s="11"/>
      <c r="AG83" s="11"/>
      <c r="AH83" s="11"/>
      <c r="AI83" s="11"/>
      <c r="AJ83" s="11"/>
    </row>
    <row r="84" spans="1:36" s="27" customFormat="1" ht="26" x14ac:dyDescent="0.3">
      <c r="A84" s="5" t="s">
        <v>45</v>
      </c>
      <c r="B84" s="26">
        <v>1</v>
      </c>
      <c r="C84" s="26">
        <v>1</v>
      </c>
      <c r="D84" s="26">
        <v>1</v>
      </c>
      <c r="E84" s="26">
        <v>1</v>
      </c>
      <c r="F84" s="26">
        <v>1</v>
      </c>
      <c r="G84" s="26">
        <v>1</v>
      </c>
      <c r="H84" s="26">
        <v>1</v>
      </c>
      <c r="I84" s="26">
        <v>1</v>
      </c>
      <c r="J84" s="26">
        <v>1</v>
      </c>
      <c r="K84" s="26">
        <v>1</v>
      </c>
      <c r="L84" s="26">
        <v>1</v>
      </c>
      <c r="M84" s="26">
        <v>1</v>
      </c>
      <c r="N84" s="26">
        <v>1</v>
      </c>
      <c r="O84" s="26">
        <v>1</v>
      </c>
      <c r="P84" s="26">
        <v>1</v>
      </c>
      <c r="Q84" s="26">
        <v>1</v>
      </c>
      <c r="R84" s="26">
        <v>1</v>
      </c>
      <c r="S84" s="26">
        <v>1</v>
      </c>
      <c r="T84" s="26">
        <v>1</v>
      </c>
      <c r="U84" s="26">
        <v>1</v>
      </c>
      <c r="V84" s="26">
        <v>1</v>
      </c>
      <c r="W84" s="26">
        <v>1</v>
      </c>
      <c r="X84" s="26">
        <v>1</v>
      </c>
      <c r="Y84" s="26">
        <v>1</v>
      </c>
      <c r="Z84" s="26">
        <v>1</v>
      </c>
      <c r="AA84" s="26">
        <v>1</v>
      </c>
      <c r="AB84" s="26">
        <v>1</v>
      </c>
      <c r="AC84" s="26">
        <v>1</v>
      </c>
      <c r="AD84" s="26">
        <v>1</v>
      </c>
      <c r="AE84" s="13"/>
      <c r="AF84" s="13"/>
      <c r="AG84" s="13"/>
      <c r="AH84" s="13"/>
      <c r="AI84" s="13"/>
      <c r="AJ84" s="13"/>
    </row>
    <row r="85" spans="1:36" ht="13"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row>
    <row r="86" spans="1:36" ht="13" x14ac:dyDescent="0.3">
      <c r="A86" s="7" t="s">
        <v>1</v>
      </c>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row>
    <row r="87" spans="1:36" ht="13" x14ac:dyDescent="0.3">
      <c r="A87" s="9" t="s">
        <v>46</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row>
    <row r="88" spans="1:36" ht="13" x14ac:dyDescent="0.3">
      <c r="A88" s="9" t="s">
        <v>47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row>
    <row r="89" spans="1:36" ht="13" x14ac:dyDescent="0.3">
      <c r="A89" s="9" t="s">
        <v>48</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row>
    <row r="90" spans="1:36" ht="13" x14ac:dyDescent="0.3">
      <c r="A90" s="9" t="s">
        <v>78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row>
    <row r="91" spans="1:36" ht="13" x14ac:dyDescent="0.3">
      <c r="A91" s="9" t="s">
        <v>79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row>
    <row r="92" spans="1:36" ht="13" x14ac:dyDescent="0.3">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row>
    <row r="93" spans="1:36" ht="13" x14ac:dyDescent="0.3">
      <c r="A93" s="7" t="s">
        <v>80</v>
      </c>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ht="13" x14ac:dyDescent="0.3">
      <c r="A94" s="28"/>
      <c r="B94" s="28"/>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row>
    <row r="95" spans="1:36" ht="13" x14ac:dyDescent="0.3">
      <c r="A95" s="28" t="s">
        <v>81</v>
      </c>
      <c r="B95" s="41">
        <v>3</v>
      </c>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row>
    <row r="96" spans="1:36" ht="13" x14ac:dyDescent="0.3">
      <c r="A96" s="28" t="s">
        <v>82</v>
      </c>
      <c r="B96" s="41">
        <v>15</v>
      </c>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row>
    <row r="97" spans="1:36" ht="13" x14ac:dyDescent="0.3">
      <c r="A97" s="28" t="s">
        <v>83</v>
      </c>
      <c r="B97" s="3">
        <v>1.6687000000000001</v>
      </c>
      <c r="C97" s="42" t="s">
        <v>84</v>
      </c>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row>
    <row r="98" spans="1:36" ht="13" x14ac:dyDescent="0.3">
      <c r="A98" s="28" t="s">
        <v>85</v>
      </c>
      <c r="B98" s="43">
        <v>0.88711067149387013</v>
      </c>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row>
    <row r="99" spans="1:36" ht="16.5" x14ac:dyDescent="0.55000000000000004">
      <c r="A99" s="28" t="s">
        <v>86</v>
      </c>
      <c r="B99" s="44">
        <v>10</v>
      </c>
      <c r="C99" s="3"/>
      <c r="D99" s="3"/>
      <c r="E99" s="45"/>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row>
    <row r="100" spans="1:36" ht="16.5" x14ac:dyDescent="0.55000000000000004">
      <c r="A100" s="28"/>
      <c r="B100" s="44"/>
      <c r="C100" s="3"/>
      <c r="D100" s="3"/>
      <c r="E100" s="45"/>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row>
    <row r="101" spans="1:36" ht="13" x14ac:dyDescent="0.3">
      <c r="A101" s="28" t="s">
        <v>87</v>
      </c>
      <c r="B101" s="46">
        <f>B95*B97*B98</f>
        <v>4.4409647325654635</v>
      </c>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row>
    <row r="102" spans="1:36" ht="13" x14ac:dyDescent="0.3">
      <c r="A102" s="28" t="s">
        <v>88</v>
      </c>
      <c r="B102" s="46">
        <f>B96*B97*B98</f>
        <v>22.204823662827316</v>
      </c>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row>
    <row r="103" spans="1:36" ht="16.5" x14ac:dyDescent="0.55000000000000004">
      <c r="A103" s="28" t="s">
        <v>49</v>
      </c>
      <c r="B103" s="29">
        <v>0.1</v>
      </c>
      <c r="C103" s="3"/>
      <c r="D103" s="3"/>
      <c r="E103" s="47"/>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row>
    <row r="104" spans="1:36" ht="13" x14ac:dyDescent="0.3">
      <c r="A104" s="28" t="s">
        <v>89</v>
      </c>
      <c r="B104" s="29">
        <v>0</v>
      </c>
      <c r="C104" s="3" t="s">
        <v>90</v>
      </c>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row>
    <row r="105" spans="1:36" ht="13" x14ac:dyDescent="0.3">
      <c r="A105" s="28" t="s">
        <v>50</v>
      </c>
      <c r="B105" s="48">
        <v>7.4999999999999997E-2</v>
      </c>
      <c r="C105" s="3" t="s">
        <v>91</v>
      </c>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row>
    <row r="106" spans="1:36" ht="13" x14ac:dyDescent="0.3">
      <c r="A106" s="28" t="s">
        <v>51</v>
      </c>
      <c r="B106" s="29">
        <v>0.1</v>
      </c>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row>
    <row r="107" spans="1:36" ht="13" x14ac:dyDescent="0.3">
      <c r="A107" s="28" t="s">
        <v>52</v>
      </c>
      <c r="B107" s="29">
        <v>0.5</v>
      </c>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row>
    <row r="108" spans="1:36" ht="13" x14ac:dyDescent="0.3">
      <c r="A108" s="28"/>
      <c r="B108" s="28"/>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row>
    <row r="109" spans="1:36" s="33" customFormat="1" ht="13" x14ac:dyDescent="0.3">
      <c r="A109" s="30" t="s">
        <v>92</v>
      </c>
      <c r="B109" s="31"/>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c r="AF109" s="32"/>
      <c r="AG109" s="32"/>
      <c r="AH109" s="32"/>
      <c r="AI109" s="32"/>
      <c r="AJ109" s="32"/>
    </row>
    <row r="110" spans="1:36" ht="13" x14ac:dyDescent="0.3">
      <c r="A110" s="49"/>
      <c r="B110" s="28" t="s">
        <v>93</v>
      </c>
      <c r="C110" s="3" t="s">
        <v>94</v>
      </c>
      <c r="D110" s="3" t="s">
        <v>118</v>
      </c>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row>
    <row r="111" spans="1:36" ht="13" x14ac:dyDescent="0.3">
      <c r="A111" s="49" t="s">
        <v>95</v>
      </c>
      <c r="B111" s="28">
        <v>3</v>
      </c>
      <c r="C111" s="3">
        <v>1</v>
      </c>
      <c r="D111" s="3">
        <v>4</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row>
    <row r="112" spans="1:36" ht="13" x14ac:dyDescent="0.3">
      <c r="A112" s="49"/>
      <c r="B112" s="28"/>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row>
    <row r="113" spans="1:36" ht="13" x14ac:dyDescent="0.3">
      <c r="A113" s="28"/>
      <c r="B113" s="28">
        <v>2023</v>
      </c>
      <c r="C113" s="28">
        <v>2024</v>
      </c>
      <c r="D113" s="28">
        <v>2025</v>
      </c>
      <c r="E113" s="28">
        <v>2026</v>
      </c>
      <c r="F113" s="28">
        <v>2027</v>
      </c>
      <c r="G113" s="28">
        <v>2028</v>
      </c>
      <c r="H113" s="28">
        <v>2029</v>
      </c>
      <c r="I113" s="28">
        <v>2030</v>
      </c>
      <c r="J113" s="28">
        <v>2031</v>
      </c>
      <c r="K113" s="28">
        <v>2032</v>
      </c>
      <c r="L113" s="28">
        <v>2033</v>
      </c>
      <c r="M113" s="28">
        <v>2034</v>
      </c>
      <c r="N113" s="28">
        <v>2035</v>
      </c>
      <c r="O113" s="28">
        <v>2036</v>
      </c>
      <c r="P113" s="28">
        <v>2037</v>
      </c>
      <c r="Q113" s="28">
        <v>2038</v>
      </c>
      <c r="R113" s="28">
        <v>2039</v>
      </c>
      <c r="S113" s="28">
        <v>2040</v>
      </c>
      <c r="T113" s="28">
        <v>2041</v>
      </c>
      <c r="U113" s="28">
        <v>2042</v>
      </c>
      <c r="V113" s="28">
        <v>2043</v>
      </c>
      <c r="W113" s="28">
        <v>2044</v>
      </c>
      <c r="X113" s="28">
        <v>2045</v>
      </c>
      <c r="Y113" s="28">
        <v>2046</v>
      </c>
      <c r="Z113" s="28">
        <v>2047</v>
      </c>
      <c r="AA113" s="28">
        <v>2048</v>
      </c>
      <c r="AB113" s="28">
        <v>2049</v>
      </c>
      <c r="AC113" s="28">
        <v>2050</v>
      </c>
      <c r="AD113" s="28"/>
      <c r="AE113" s="3"/>
      <c r="AF113" s="3"/>
      <c r="AG113" s="3"/>
      <c r="AH113" s="3"/>
      <c r="AI113" s="3"/>
    </row>
    <row r="114" spans="1:36" ht="13" x14ac:dyDescent="0.3">
      <c r="A114" s="28" t="s">
        <v>96</v>
      </c>
      <c r="B114" s="34">
        <f t="shared" ref="B114:AC114" si="5">INDEX(18:18,MATCH(B113-$D$111,16:16,0))</f>
        <v>1</v>
      </c>
      <c r="C114" s="34">
        <f t="shared" si="5"/>
        <v>1</v>
      </c>
      <c r="D114" s="34">
        <f t="shared" si="5"/>
        <v>1</v>
      </c>
      <c r="E114" s="34">
        <f t="shared" si="5"/>
        <v>1</v>
      </c>
      <c r="F114" s="34">
        <f t="shared" si="5"/>
        <v>1</v>
      </c>
      <c r="G114" s="34">
        <f t="shared" si="5"/>
        <v>1</v>
      </c>
      <c r="H114" s="34">
        <f t="shared" si="5"/>
        <v>1</v>
      </c>
      <c r="I114" s="34">
        <f t="shared" si="5"/>
        <v>0</v>
      </c>
      <c r="J114" s="34">
        <f t="shared" si="5"/>
        <v>0</v>
      </c>
      <c r="K114" s="34">
        <f t="shared" si="5"/>
        <v>0</v>
      </c>
      <c r="L114" s="34">
        <f t="shared" si="5"/>
        <v>0</v>
      </c>
      <c r="M114" s="34">
        <f t="shared" si="5"/>
        <v>0</v>
      </c>
      <c r="N114" s="34">
        <f t="shared" si="5"/>
        <v>0</v>
      </c>
      <c r="O114" s="34">
        <f t="shared" si="5"/>
        <v>0</v>
      </c>
      <c r="P114" s="34">
        <f t="shared" si="5"/>
        <v>0</v>
      </c>
      <c r="Q114" s="34">
        <f t="shared" si="5"/>
        <v>0</v>
      </c>
      <c r="R114" s="34">
        <f t="shared" si="5"/>
        <v>0</v>
      </c>
      <c r="S114" s="34">
        <f t="shared" si="5"/>
        <v>0</v>
      </c>
      <c r="T114" s="34">
        <f t="shared" si="5"/>
        <v>0</v>
      </c>
      <c r="U114" s="34">
        <f t="shared" si="5"/>
        <v>0</v>
      </c>
      <c r="V114" s="34">
        <f t="shared" si="5"/>
        <v>0</v>
      </c>
      <c r="W114" s="34">
        <f t="shared" si="5"/>
        <v>0</v>
      </c>
      <c r="X114" s="34">
        <f t="shared" si="5"/>
        <v>0</v>
      </c>
      <c r="Y114" s="34">
        <f t="shared" si="5"/>
        <v>0</v>
      </c>
      <c r="Z114" s="34">
        <f t="shared" si="5"/>
        <v>0</v>
      </c>
      <c r="AA114" s="34">
        <f t="shared" si="5"/>
        <v>0</v>
      </c>
      <c r="AB114" s="34">
        <f t="shared" si="5"/>
        <v>0</v>
      </c>
      <c r="AC114" s="34">
        <f t="shared" si="5"/>
        <v>0</v>
      </c>
      <c r="AD114" s="34"/>
      <c r="AE114" s="34"/>
      <c r="AF114" s="34"/>
      <c r="AG114" s="3"/>
      <c r="AH114" s="3"/>
      <c r="AI114" s="3"/>
    </row>
    <row r="115" spans="1:36" ht="13" x14ac:dyDescent="0.3">
      <c r="A115" s="28" t="s">
        <v>97</v>
      </c>
      <c r="B115" s="34">
        <f>INDEX(18:18,MATCH(B113-$D$111,16:16,0))</f>
        <v>1</v>
      </c>
      <c r="C115" s="34">
        <f t="shared" ref="C115:AC115" si="6">INDEX(18:18,MATCH(C113-$D$111,16:16,0))</f>
        <v>1</v>
      </c>
      <c r="D115" s="34">
        <f t="shared" si="6"/>
        <v>1</v>
      </c>
      <c r="E115" s="34">
        <f t="shared" si="6"/>
        <v>1</v>
      </c>
      <c r="F115" s="34">
        <f t="shared" si="6"/>
        <v>1</v>
      </c>
      <c r="G115" s="34">
        <f t="shared" si="6"/>
        <v>1</v>
      </c>
      <c r="H115" s="34">
        <f t="shared" si="6"/>
        <v>1</v>
      </c>
      <c r="I115" s="34">
        <f t="shared" si="6"/>
        <v>0</v>
      </c>
      <c r="J115" s="34">
        <f t="shared" si="6"/>
        <v>0</v>
      </c>
      <c r="K115" s="34">
        <f t="shared" si="6"/>
        <v>0</v>
      </c>
      <c r="L115" s="34">
        <f t="shared" si="6"/>
        <v>0</v>
      </c>
      <c r="M115" s="34">
        <f t="shared" si="6"/>
        <v>0</v>
      </c>
      <c r="N115" s="34">
        <f t="shared" si="6"/>
        <v>0</v>
      </c>
      <c r="O115" s="34">
        <f t="shared" si="6"/>
        <v>0</v>
      </c>
      <c r="P115" s="34">
        <f t="shared" si="6"/>
        <v>0</v>
      </c>
      <c r="Q115" s="34">
        <f t="shared" si="6"/>
        <v>0</v>
      </c>
      <c r="R115" s="34">
        <f t="shared" si="6"/>
        <v>0</v>
      </c>
      <c r="S115" s="34">
        <f t="shared" si="6"/>
        <v>0</v>
      </c>
      <c r="T115" s="34">
        <f t="shared" si="6"/>
        <v>0</v>
      </c>
      <c r="U115" s="34">
        <f t="shared" si="6"/>
        <v>0</v>
      </c>
      <c r="V115" s="34">
        <f t="shared" si="6"/>
        <v>0</v>
      </c>
      <c r="W115" s="34">
        <f t="shared" si="6"/>
        <v>0</v>
      </c>
      <c r="X115" s="34">
        <f t="shared" si="6"/>
        <v>0</v>
      </c>
      <c r="Y115" s="34">
        <f t="shared" si="6"/>
        <v>0</v>
      </c>
      <c r="Z115" s="34">
        <f t="shared" si="6"/>
        <v>0</v>
      </c>
      <c r="AA115" s="34">
        <f t="shared" si="6"/>
        <v>0</v>
      </c>
      <c r="AB115" s="34">
        <f t="shared" si="6"/>
        <v>0</v>
      </c>
      <c r="AC115" s="34">
        <f t="shared" si="6"/>
        <v>0</v>
      </c>
      <c r="AD115" s="34"/>
      <c r="AE115" s="34"/>
      <c r="AF115" s="34"/>
      <c r="AG115" s="3"/>
      <c r="AH115" s="3"/>
      <c r="AI115" s="3"/>
    </row>
    <row r="116" spans="1:36" ht="13" x14ac:dyDescent="0.3">
      <c r="A116" s="28"/>
      <c r="B116" s="28"/>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row>
    <row r="117" spans="1:36" ht="13" x14ac:dyDescent="0.3">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3"/>
      <c r="AG117" s="3"/>
      <c r="AH117" s="3"/>
      <c r="AI117" s="3"/>
      <c r="AJ117" s="3"/>
    </row>
    <row r="118" spans="1:36" ht="13" x14ac:dyDescent="0.3">
      <c r="A118" s="28"/>
      <c r="B118" s="28">
        <v>2023</v>
      </c>
      <c r="C118" s="28">
        <v>2024</v>
      </c>
      <c r="D118" s="28">
        <v>2025</v>
      </c>
      <c r="E118" s="28">
        <v>2026</v>
      </c>
      <c r="F118" s="28">
        <v>2027</v>
      </c>
      <c r="G118" s="28">
        <v>2028</v>
      </c>
      <c r="H118" s="28">
        <v>2029</v>
      </c>
      <c r="I118" s="28">
        <v>2030</v>
      </c>
      <c r="J118" s="28">
        <v>2031</v>
      </c>
      <c r="K118" s="28">
        <v>2032</v>
      </c>
      <c r="L118" s="28">
        <v>2033</v>
      </c>
      <c r="M118" s="28">
        <v>2034</v>
      </c>
      <c r="N118" s="28">
        <v>2035</v>
      </c>
      <c r="O118" s="28">
        <v>2036</v>
      </c>
      <c r="P118" s="28">
        <v>2037</v>
      </c>
      <c r="Q118" s="28">
        <v>2038</v>
      </c>
      <c r="R118" s="28">
        <v>2039</v>
      </c>
      <c r="S118" s="28">
        <v>2040</v>
      </c>
      <c r="T118" s="28">
        <v>2041</v>
      </c>
      <c r="U118" s="28">
        <v>2042</v>
      </c>
      <c r="V118" s="28">
        <v>2043</v>
      </c>
      <c r="W118" s="28">
        <v>2044</v>
      </c>
      <c r="X118" s="28">
        <v>2045</v>
      </c>
      <c r="Y118" s="28">
        <v>2046</v>
      </c>
      <c r="Z118" s="28">
        <v>2047</v>
      </c>
      <c r="AA118" s="28">
        <v>2048</v>
      </c>
      <c r="AB118" s="28">
        <v>2049</v>
      </c>
      <c r="AC118" s="28">
        <v>2050</v>
      </c>
      <c r="AD118" s="28"/>
      <c r="AE118" s="28"/>
      <c r="AF118" s="3"/>
      <c r="AG118" s="3"/>
      <c r="AH118" s="3"/>
      <c r="AI118" s="3"/>
      <c r="AJ118" s="3"/>
    </row>
    <row r="119" spans="1:36" ht="13" x14ac:dyDescent="0.3">
      <c r="A119" s="28" t="s">
        <v>98</v>
      </c>
      <c r="B119" s="35">
        <f>((($B$102*C52+$B$101*(1-C52))*(1+($B$103*C84)))+(($B$102*C52+$B$101*(1-C52))*$B$106*$B$107))*B114*(1-$B$105)</f>
        <v>23.620381171332561</v>
      </c>
      <c r="C119" s="35">
        <f t="shared" ref="C119:AC119" si="7">((($B$102*D52+$B$101*(1-D52))*(1+($B$103*D84)))+(($B$102*D52+$B$101*(1-D52))*$B$106*$B$107))*C114*(1-$B$105)</f>
        <v>23.620381171332561</v>
      </c>
      <c r="D119" s="35">
        <f t="shared" si="7"/>
        <v>23.620381171332561</v>
      </c>
      <c r="E119" s="35">
        <f t="shared" si="7"/>
        <v>23.620381171332561</v>
      </c>
      <c r="F119" s="35">
        <f t="shared" si="7"/>
        <v>23.620381171332561</v>
      </c>
      <c r="G119" s="35">
        <f t="shared" si="7"/>
        <v>23.620381171332561</v>
      </c>
      <c r="H119" s="35">
        <f t="shared" si="7"/>
        <v>23.620381171332561</v>
      </c>
      <c r="I119" s="35">
        <f t="shared" si="7"/>
        <v>0</v>
      </c>
      <c r="J119" s="35">
        <f t="shared" si="7"/>
        <v>0</v>
      </c>
      <c r="K119" s="35">
        <f t="shared" si="7"/>
        <v>0</v>
      </c>
      <c r="L119" s="35">
        <f t="shared" si="7"/>
        <v>0</v>
      </c>
      <c r="M119" s="35">
        <f t="shared" si="7"/>
        <v>0</v>
      </c>
      <c r="N119" s="35">
        <f t="shared" si="7"/>
        <v>0</v>
      </c>
      <c r="O119" s="35">
        <f t="shared" si="7"/>
        <v>0</v>
      </c>
      <c r="P119" s="35">
        <f t="shared" si="7"/>
        <v>0</v>
      </c>
      <c r="Q119" s="35">
        <f t="shared" si="7"/>
        <v>0</v>
      </c>
      <c r="R119" s="35">
        <f t="shared" si="7"/>
        <v>0</v>
      </c>
      <c r="S119" s="35">
        <f t="shared" si="7"/>
        <v>0</v>
      </c>
      <c r="T119" s="35">
        <f t="shared" si="7"/>
        <v>0</v>
      </c>
      <c r="U119" s="35">
        <f t="shared" si="7"/>
        <v>0</v>
      </c>
      <c r="V119" s="35">
        <f t="shared" si="7"/>
        <v>0</v>
      </c>
      <c r="W119" s="35">
        <f t="shared" si="7"/>
        <v>0</v>
      </c>
      <c r="X119" s="35">
        <f t="shared" si="7"/>
        <v>0</v>
      </c>
      <c r="Y119" s="35">
        <f t="shared" si="7"/>
        <v>0</v>
      </c>
      <c r="Z119" s="35">
        <f t="shared" si="7"/>
        <v>0</v>
      </c>
      <c r="AA119" s="35">
        <f t="shared" si="7"/>
        <v>0</v>
      </c>
      <c r="AB119" s="35">
        <f t="shared" si="7"/>
        <v>0</v>
      </c>
      <c r="AC119" s="35">
        <f t="shared" si="7"/>
        <v>0</v>
      </c>
      <c r="AD119" s="28"/>
      <c r="AE119" s="28"/>
      <c r="AF119" s="3"/>
      <c r="AG119" s="3"/>
      <c r="AH119" s="3"/>
      <c r="AI119" s="3"/>
      <c r="AJ119" s="3"/>
    </row>
    <row r="120" spans="1:36" ht="13" x14ac:dyDescent="0.3">
      <c r="A120" s="28"/>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28"/>
      <c r="AE120" s="28"/>
      <c r="AF120" s="3"/>
      <c r="AG120" s="3"/>
      <c r="AH120" s="3"/>
      <c r="AI120" s="3"/>
      <c r="AJ120" s="3"/>
    </row>
    <row r="121" spans="1:36" ht="13" x14ac:dyDescent="0.3">
      <c r="A121" s="28" t="s">
        <v>99</v>
      </c>
      <c r="B121" s="50">
        <v>0</v>
      </c>
      <c r="C121" s="50">
        <v>0</v>
      </c>
      <c r="D121" s="50">
        <v>0</v>
      </c>
      <c r="E121" s="35">
        <f t="shared" ref="E121:AC121" si="8">((($B$102*F52+$B$101*(1-F52))*(1+($B$103*F82)))+(($B$102*F52+$B$101*(1-F52))*$B$106*$B$107))*E115*(1-$B$105)</f>
        <v>22.91774335994446</v>
      </c>
      <c r="F121" s="35">
        <f t="shared" si="8"/>
        <v>22.913007930703568</v>
      </c>
      <c r="G121" s="35">
        <f t="shared" si="8"/>
        <v>22.90913348859738</v>
      </c>
      <c r="H121" s="35">
        <f t="shared" si="8"/>
        <v>22.90913348859738</v>
      </c>
      <c r="I121" s="35">
        <f t="shared" si="8"/>
        <v>0</v>
      </c>
      <c r="J121" s="35">
        <f t="shared" si="8"/>
        <v>0</v>
      </c>
      <c r="K121" s="35">
        <f t="shared" si="8"/>
        <v>0</v>
      </c>
      <c r="L121" s="35">
        <f t="shared" si="8"/>
        <v>0</v>
      </c>
      <c r="M121" s="35">
        <f t="shared" si="8"/>
        <v>0</v>
      </c>
      <c r="N121" s="35">
        <f t="shared" si="8"/>
        <v>0</v>
      </c>
      <c r="O121" s="35">
        <f t="shared" si="8"/>
        <v>0</v>
      </c>
      <c r="P121" s="35">
        <f t="shared" si="8"/>
        <v>0</v>
      </c>
      <c r="Q121" s="35">
        <f t="shared" si="8"/>
        <v>0</v>
      </c>
      <c r="R121" s="35">
        <f t="shared" si="8"/>
        <v>0</v>
      </c>
      <c r="S121" s="35">
        <f t="shared" si="8"/>
        <v>0</v>
      </c>
      <c r="T121" s="35">
        <f t="shared" si="8"/>
        <v>0</v>
      </c>
      <c r="U121" s="35">
        <f t="shared" si="8"/>
        <v>0</v>
      </c>
      <c r="V121" s="35">
        <f t="shared" si="8"/>
        <v>0</v>
      </c>
      <c r="W121" s="35">
        <f t="shared" si="8"/>
        <v>0</v>
      </c>
      <c r="X121" s="35">
        <f t="shared" si="8"/>
        <v>0</v>
      </c>
      <c r="Y121" s="35">
        <f t="shared" si="8"/>
        <v>0</v>
      </c>
      <c r="Z121" s="35">
        <f t="shared" si="8"/>
        <v>0</v>
      </c>
      <c r="AA121" s="35">
        <f t="shared" si="8"/>
        <v>0</v>
      </c>
      <c r="AB121" s="35">
        <f t="shared" si="8"/>
        <v>0</v>
      </c>
      <c r="AC121" s="35">
        <f t="shared" si="8"/>
        <v>0</v>
      </c>
      <c r="AD121" s="28"/>
      <c r="AE121" s="28"/>
      <c r="AF121" s="3"/>
      <c r="AG121" s="3"/>
      <c r="AH121" s="3"/>
      <c r="AI121" s="3"/>
      <c r="AJ121" s="3"/>
    </row>
    <row r="122" spans="1:36" ht="13" x14ac:dyDescent="0.3">
      <c r="A122" s="28" t="s">
        <v>100</v>
      </c>
      <c r="B122" s="50"/>
      <c r="C122" s="50"/>
      <c r="D122" s="50"/>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28"/>
      <c r="AE122" s="28"/>
      <c r="AF122" s="3"/>
      <c r="AG122" s="3"/>
      <c r="AH122" s="3"/>
      <c r="AI122" s="3"/>
      <c r="AJ122" s="3"/>
    </row>
    <row r="123" spans="1:36" ht="13" x14ac:dyDescent="0.3">
      <c r="A123" s="28"/>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28"/>
      <c r="AE123" s="28"/>
      <c r="AF123" s="3"/>
      <c r="AG123" s="3"/>
      <c r="AH123" s="3"/>
      <c r="AI123" s="3"/>
      <c r="AJ123" s="3"/>
    </row>
    <row r="124" spans="1:36" ht="13" x14ac:dyDescent="0.3">
      <c r="A124" s="28" t="s">
        <v>101</v>
      </c>
      <c r="B124" s="35">
        <f>15*$B$98</f>
        <v>13.306660072408052</v>
      </c>
      <c r="C124" s="35">
        <f t="shared" ref="C124:K124" si="9">15*$B$98</f>
        <v>13.306660072408052</v>
      </c>
      <c r="D124" s="35">
        <f t="shared" si="9"/>
        <v>13.306660072408052</v>
      </c>
      <c r="E124" s="35">
        <f t="shared" si="9"/>
        <v>13.306660072408052</v>
      </c>
      <c r="F124" s="35">
        <f t="shared" si="9"/>
        <v>13.306660072408052</v>
      </c>
      <c r="G124" s="35">
        <f t="shared" si="9"/>
        <v>13.306660072408052</v>
      </c>
      <c r="H124" s="35">
        <f t="shared" si="9"/>
        <v>13.306660072408052</v>
      </c>
      <c r="I124" s="35">
        <f t="shared" si="9"/>
        <v>13.306660072408052</v>
      </c>
      <c r="J124" s="35">
        <f t="shared" si="9"/>
        <v>13.306660072408052</v>
      </c>
      <c r="K124" s="35">
        <f t="shared" si="9"/>
        <v>13.306660072408052</v>
      </c>
      <c r="L124" s="35">
        <v>0</v>
      </c>
      <c r="M124" s="35">
        <v>0</v>
      </c>
      <c r="N124" s="35">
        <v>0</v>
      </c>
      <c r="O124" s="35">
        <v>0</v>
      </c>
      <c r="P124" s="35">
        <v>0</v>
      </c>
      <c r="Q124" s="35">
        <v>0</v>
      </c>
      <c r="R124" s="35">
        <v>0</v>
      </c>
      <c r="S124" s="35">
        <v>0</v>
      </c>
      <c r="T124" s="35">
        <v>0</v>
      </c>
      <c r="U124" s="35">
        <v>0</v>
      </c>
      <c r="V124" s="35">
        <v>0</v>
      </c>
      <c r="W124" s="35">
        <v>0</v>
      </c>
      <c r="X124" s="35">
        <v>0</v>
      </c>
      <c r="Y124" s="35">
        <v>0</v>
      </c>
      <c r="Z124" s="35">
        <v>0</v>
      </c>
      <c r="AA124" s="35">
        <v>0</v>
      </c>
      <c r="AB124" s="35">
        <v>0</v>
      </c>
      <c r="AC124" s="35">
        <v>0</v>
      </c>
      <c r="AD124" s="28"/>
      <c r="AE124" s="28"/>
      <c r="AF124" s="3"/>
      <c r="AG124" s="3"/>
      <c r="AH124" s="3"/>
      <c r="AI124" s="3"/>
      <c r="AJ124" s="3"/>
    </row>
    <row r="125" spans="1:36" ht="13" x14ac:dyDescent="0.3">
      <c r="A125" s="28"/>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28"/>
      <c r="AE125" s="28"/>
      <c r="AF125" s="3"/>
      <c r="AG125" s="3"/>
      <c r="AH125" s="3"/>
      <c r="AI125" s="3"/>
      <c r="AJ125" s="3"/>
    </row>
    <row r="126" spans="1:36" s="33" customFormat="1" ht="13" x14ac:dyDescent="0.3">
      <c r="A126" s="30" t="s">
        <v>53</v>
      </c>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c r="AC126" s="36"/>
      <c r="AD126" s="31"/>
      <c r="AE126" s="31"/>
      <c r="AF126" s="32"/>
      <c r="AG126" s="32"/>
      <c r="AH126" s="32"/>
      <c r="AI126" s="32"/>
      <c r="AJ126" s="32"/>
    </row>
    <row r="127" spans="1:36" ht="130" x14ac:dyDescent="0.3">
      <c r="A127" s="49"/>
      <c r="B127" s="3" t="s">
        <v>102</v>
      </c>
      <c r="C127" s="35" t="s">
        <v>103</v>
      </c>
      <c r="D127" s="35" t="s">
        <v>104</v>
      </c>
      <c r="E127" s="28" t="s">
        <v>105</v>
      </c>
      <c r="F127" s="35" t="s">
        <v>119</v>
      </c>
      <c r="G127" s="3" t="s">
        <v>118</v>
      </c>
      <c r="H127" s="35" t="s">
        <v>113</v>
      </c>
      <c r="I127" s="35"/>
      <c r="J127" s="35"/>
      <c r="K127" s="35"/>
      <c r="L127" s="35"/>
      <c r="M127" s="35"/>
      <c r="N127" s="35"/>
      <c r="O127" s="35"/>
      <c r="P127" s="35"/>
      <c r="Q127" s="35"/>
      <c r="R127" s="35"/>
      <c r="S127" s="35"/>
      <c r="T127" s="35"/>
      <c r="U127" s="35"/>
      <c r="V127" s="35"/>
      <c r="W127" s="35"/>
      <c r="X127" s="35"/>
      <c r="Y127" s="35"/>
      <c r="Z127" s="35"/>
      <c r="AA127" s="35"/>
      <c r="AB127" s="35"/>
      <c r="AC127" s="28"/>
      <c r="AD127" s="28"/>
      <c r="AE127" s="3"/>
      <c r="AF127" s="3"/>
      <c r="AG127" s="3"/>
      <c r="AH127" s="3"/>
      <c r="AI127" s="3"/>
    </row>
    <row r="128" spans="1:36" ht="13" x14ac:dyDescent="0.3">
      <c r="A128" s="49" t="s">
        <v>95</v>
      </c>
      <c r="B128" s="3">
        <v>1</v>
      </c>
      <c r="C128" s="3">
        <v>3</v>
      </c>
      <c r="D128" s="3">
        <v>2</v>
      </c>
      <c r="E128" s="28">
        <v>3</v>
      </c>
      <c r="F128" s="28">
        <v>6</v>
      </c>
      <c r="G128" s="3">
        <v>4</v>
      </c>
      <c r="H128" s="35">
        <v>1</v>
      </c>
      <c r="I128" s="35"/>
      <c r="J128" s="35"/>
      <c r="K128" s="35"/>
      <c r="L128" s="35"/>
      <c r="M128" s="35"/>
      <c r="N128" s="35"/>
      <c r="O128" s="35"/>
      <c r="P128" s="35"/>
      <c r="Q128" s="35"/>
      <c r="R128" s="35"/>
      <c r="S128" s="35"/>
      <c r="T128" s="35"/>
      <c r="U128" s="35"/>
      <c r="V128" s="35"/>
      <c r="W128" s="35"/>
      <c r="X128" s="35"/>
      <c r="Y128" s="35"/>
      <c r="Z128" s="35"/>
      <c r="AA128" s="35"/>
      <c r="AB128" s="35"/>
      <c r="AC128" s="28"/>
      <c r="AD128" s="28"/>
      <c r="AE128" s="3"/>
      <c r="AF128" s="3"/>
      <c r="AG128" s="3"/>
      <c r="AH128" s="3"/>
      <c r="AI128" s="3"/>
    </row>
    <row r="129" spans="1:36" ht="13" x14ac:dyDescent="0.3">
      <c r="A129" s="49"/>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28"/>
      <c r="AE129" s="28"/>
      <c r="AF129" s="3"/>
      <c r="AG129" s="3"/>
      <c r="AH129" s="3"/>
      <c r="AI129" s="3"/>
      <c r="AJ129" s="3"/>
    </row>
    <row r="130" spans="1:36" ht="13" x14ac:dyDescent="0.3">
      <c r="A130" s="28" t="s">
        <v>54</v>
      </c>
      <c r="B130" s="28">
        <v>2023</v>
      </c>
      <c r="C130" s="28">
        <v>2024</v>
      </c>
      <c r="D130" s="28">
        <v>2025</v>
      </c>
      <c r="E130" s="28">
        <v>2026</v>
      </c>
      <c r="F130" s="28">
        <v>2027</v>
      </c>
      <c r="G130" s="28">
        <v>2028</v>
      </c>
      <c r="H130" s="28">
        <v>2029</v>
      </c>
      <c r="I130" s="28">
        <v>2030</v>
      </c>
      <c r="J130" s="28">
        <v>2031</v>
      </c>
      <c r="K130" s="28">
        <v>2032</v>
      </c>
      <c r="L130" s="3">
        <v>2033</v>
      </c>
      <c r="M130" s="3">
        <v>2034</v>
      </c>
      <c r="N130" s="3">
        <v>2035</v>
      </c>
      <c r="O130" s="3">
        <v>2036</v>
      </c>
      <c r="P130" s="3">
        <v>2037</v>
      </c>
      <c r="Q130" s="3">
        <v>2038</v>
      </c>
      <c r="R130" s="3">
        <v>2039</v>
      </c>
      <c r="S130" s="3">
        <v>2040</v>
      </c>
      <c r="T130" s="3">
        <v>2041</v>
      </c>
      <c r="U130" s="3">
        <v>2042</v>
      </c>
      <c r="V130" s="3">
        <v>2043</v>
      </c>
      <c r="W130" s="3">
        <v>2044</v>
      </c>
      <c r="X130" s="3">
        <v>2045</v>
      </c>
      <c r="Y130" s="3">
        <v>2046</v>
      </c>
      <c r="Z130" s="3">
        <v>2047</v>
      </c>
      <c r="AA130" s="3">
        <v>2048</v>
      </c>
      <c r="AB130" s="3">
        <v>2049</v>
      </c>
      <c r="AC130" s="3">
        <v>2050</v>
      </c>
      <c r="AD130" s="3"/>
      <c r="AE130" s="3"/>
      <c r="AF130" s="3"/>
      <c r="AG130" s="3"/>
      <c r="AH130" s="3"/>
      <c r="AI130" s="3"/>
    </row>
    <row r="131" spans="1:36" ht="13" x14ac:dyDescent="0.3">
      <c r="A131" s="28" t="s">
        <v>106</v>
      </c>
      <c r="B131" s="34">
        <f>B115</f>
        <v>1</v>
      </c>
      <c r="C131" s="34">
        <f t="shared" ref="C131:AC131" si="10">C115</f>
        <v>1</v>
      </c>
      <c r="D131" s="34">
        <f t="shared" si="10"/>
        <v>1</v>
      </c>
      <c r="E131" s="34">
        <f t="shared" si="10"/>
        <v>1</v>
      </c>
      <c r="F131" s="34">
        <f t="shared" si="10"/>
        <v>1</v>
      </c>
      <c r="G131" s="34">
        <f t="shared" si="10"/>
        <v>1</v>
      </c>
      <c r="H131" s="34">
        <f t="shared" si="10"/>
        <v>1</v>
      </c>
      <c r="I131" s="34">
        <f t="shared" si="10"/>
        <v>0</v>
      </c>
      <c r="J131" s="34">
        <f t="shared" si="10"/>
        <v>0</v>
      </c>
      <c r="K131" s="34">
        <f t="shared" si="10"/>
        <v>0</v>
      </c>
      <c r="L131" s="34">
        <f t="shared" si="10"/>
        <v>0</v>
      </c>
      <c r="M131" s="34">
        <f t="shared" si="10"/>
        <v>0</v>
      </c>
      <c r="N131" s="34">
        <f t="shared" si="10"/>
        <v>0</v>
      </c>
      <c r="O131" s="34">
        <f t="shared" si="10"/>
        <v>0</v>
      </c>
      <c r="P131" s="34">
        <f t="shared" si="10"/>
        <v>0</v>
      </c>
      <c r="Q131" s="34">
        <f t="shared" si="10"/>
        <v>0</v>
      </c>
      <c r="R131" s="34">
        <f t="shared" si="10"/>
        <v>0</v>
      </c>
      <c r="S131" s="34">
        <f t="shared" si="10"/>
        <v>0</v>
      </c>
      <c r="T131" s="34">
        <f t="shared" si="10"/>
        <v>0</v>
      </c>
      <c r="U131" s="34">
        <f t="shared" si="10"/>
        <v>0</v>
      </c>
      <c r="V131" s="34">
        <f t="shared" si="10"/>
        <v>0</v>
      </c>
      <c r="W131" s="34">
        <f t="shared" si="10"/>
        <v>0</v>
      </c>
      <c r="X131" s="34">
        <f t="shared" si="10"/>
        <v>0</v>
      </c>
      <c r="Y131" s="34">
        <f t="shared" si="10"/>
        <v>0</v>
      </c>
      <c r="Z131" s="34">
        <f t="shared" si="10"/>
        <v>0</v>
      </c>
      <c r="AA131" s="34">
        <f t="shared" si="10"/>
        <v>0</v>
      </c>
      <c r="AB131" s="34">
        <f t="shared" si="10"/>
        <v>0</v>
      </c>
      <c r="AC131" s="34">
        <f t="shared" si="10"/>
        <v>0</v>
      </c>
      <c r="AD131" s="3"/>
      <c r="AE131" s="3"/>
      <c r="AF131" s="3"/>
      <c r="AG131" s="3"/>
      <c r="AH131" s="3"/>
      <c r="AI131" s="3"/>
    </row>
    <row r="132" spans="1:36" ht="13" x14ac:dyDescent="0.3">
      <c r="A132" s="28" t="s">
        <v>107</v>
      </c>
      <c r="B132" s="34">
        <f>B115</f>
        <v>1</v>
      </c>
      <c r="C132" s="34">
        <f t="shared" ref="C132:AC132" si="11">C115</f>
        <v>1</v>
      </c>
      <c r="D132" s="34">
        <f t="shared" si="11"/>
        <v>1</v>
      </c>
      <c r="E132" s="34">
        <f t="shared" si="11"/>
        <v>1</v>
      </c>
      <c r="F132" s="34">
        <f t="shared" si="11"/>
        <v>1</v>
      </c>
      <c r="G132" s="34">
        <f t="shared" si="11"/>
        <v>1</v>
      </c>
      <c r="H132" s="34">
        <f t="shared" si="11"/>
        <v>1</v>
      </c>
      <c r="I132" s="34">
        <f t="shared" si="11"/>
        <v>0</v>
      </c>
      <c r="J132" s="34">
        <f t="shared" si="11"/>
        <v>0</v>
      </c>
      <c r="K132" s="34">
        <f t="shared" si="11"/>
        <v>0</v>
      </c>
      <c r="L132" s="34">
        <f t="shared" si="11"/>
        <v>0</v>
      </c>
      <c r="M132" s="34">
        <f t="shared" si="11"/>
        <v>0</v>
      </c>
      <c r="N132" s="34">
        <f t="shared" si="11"/>
        <v>0</v>
      </c>
      <c r="O132" s="34">
        <f t="shared" si="11"/>
        <v>0</v>
      </c>
      <c r="P132" s="34">
        <f t="shared" si="11"/>
        <v>0</v>
      </c>
      <c r="Q132" s="34">
        <f t="shared" si="11"/>
        <v>0</v>
      </c>
      <c r="R132" s="34">
        <f t="shared" si="11"/>
        <v>0</v>
      </c>
      <c r="S132" s="34">
        <f t="shared" si="11"/>
        <v>0</v>
      </c>
      <c r="T132" s="34">
        <f t="shared" si="11"/>
        <v>0</v>
      </c>
      <c r="U132" s="34">
        <f t="shared" si="11"/>
        <v>0</v>
      </c>
      <c r="V132" s="34">
        <f t="shared" si="11"/>
        <v>0</v>
      </c>
      <c r="W132" s="34">
        <f t="shared" si="11"/>
        <v>0</v>
      </c>
      <c r="X132" s="34">
        <f t="shared" si="11"/>
        <v>0</v>
      </c>
      <c r="Y132" s="34">
        <f t="shared" si="11"/>
        <v>0</v>
      </c>
      <c r="Z132" s="34">
        <f t="shared" si="11"/>
        <v>0</v>
      </c>
      <c r="AA132" s="34">
        <f t="shared" si="11"/>
        <v>0</v>
      </c>
      <c r="AB132" s="34">
        <f t="shared" si="11"/>
        <v>0</v>
      </c>
      <c r="AC132" s="34">
        <f t="shared" si="11"/>
        <v>0</v>
      </c>
      <c r="AD132" s="3"/>
      <c r="AE132" s="3"/>
      <c r="AF132" s="3"/>
      <c r="AG132" s="3"/>
      <c r="AH132" s="3"/>
      <c r="AI132" s="3"/>
    </row>
    <row r="133" spans="1:36" s="56" customFormat="1" ht="13" x14ac:dyDescent="0.3">
      <c r="A133" s="53" t="s">
        <v>108</v>
      </c>
      <c r="B133" s="54">
        <f>INDEX(17:17,MATCH(B130-$D$128,16:16,0))</f>
        <v>1</v>
      </c>
      <c r="C133" s="54">
        <f t="shared" ref="B133:AC133" si="12">INDEX(17:17,MATCH(C130-$D$128,16:16,0))</f>
        <v>1</v>
      </c>
      <c r="D133" s="54">
        <f t="shared" si="12"/>
        <v>1</v>
      </c>
      <c r="E133" s="54">
        <f t="shared" si="12"/>
        <v>1</v>
      </c>
      <c r="F133" s="54">
        <f t="shared" si="12"/>
        <v>1</v>
      </c>
      <c r="G133" s="54">
        <f t="shared" si="12"/>
        <v>1</v>
      </c>
      <c r="H133" s="54">
        <f t="shared" si="12"/>
        <v>1</v>
      </c>
      <c r="I133" s="54">
        <f t="shared" si="12"/>
        <v>1</v>
      </c>
      <c r="J133" s="54">
        <f t="shared" si="12"/>
        <v>1</v>
      </c>
      <c r="K133" s="54">
        <f t="shared" si="12"/>
        <v>1</v>
      </c>
      <c r="L133" s="54">
        <f t="shared" si="12"/>
        <v>1</v>
      </c>
      <c r="M133" s="54">
        <f t="shared" si="12"/>
        <v>1</v>
      </c>
      <c r="N133" s="54">
        <f t="shared" si="12"/>
        <v>1</v>
      </c>
      <c r="O133" s="54">
        <f t="shared" si="12"/>
        <v>0.75</v>
      </c>
      <c r="P133" s="54">
        <f t="shared" si="12"/>
        <v>0.5</v>
      </c>
      <c r="Q133" s="54">
        <f t="shared" si="12"/>
        <v>0</v>
      </c>
      <c r="R133" s="54">
        <f t="shared" si="12"/>
        <v>0</v>
      </c>
      <c r="S133" s="54">
        <f t="shared" si="12"/>
        <v>0</v>
      </c>
      <c r="T133" s="54">
        <f t="shared" si="12"/>
        <v>0</v>
      </c>
      <c r="U133" s="54">
        <f t="shared" si="12"/>
        <v>0</v>
      </c>
      <c r="V133" s="54">
        <f t="shared" si="12"/>
        <v>0</v>
      </c>
      <c r="W133" s="54">
        <f t="shared" si="12"/>
        <v>0</v>
      </c>
      <c r="X133" s="54">
        <f t="shared" si="12"/>
        <v>0</v>
      </c>
      <c r="Y133" s="54">
        <f t="shared" si="12"/>
        <v>0</v>
      </c>
      <c r="Z133" s="54">
        <f t="shared" si="12"/>
        <v>0</v>
      </c>
      <c r="AA133" s="54">
        <f t="shared" si="12"/>
        <v>0</v>
      </c>
      <c r="AB133" s="54">
        <f t="shared" si="12"/>
        <v>0</v>
      </c>
      <c r="AC133" s="54">
        <f t="shared" si="12"/>
        <v>0</v>
      </c>
      <c r="AD133" s="55"/>
      <c r="AE133" s="55"/>
      <c r="AF133" s="55"/>
      <c r="AG133" s="55"/>
      <c r="AH133" s="55"/>
      <c r="AI133" s="55"/>
    </row>
    <row r="134" spans="1:36" s="56" customFormat="1" ht="13" x14ac:dyDescent="0.3">
      <c r="A134" s="53" t="s">
        <v>120</v>
      </c>
      <c r="B134" s="54">
        <f>B133</f>
        <v>1</v>
      </c>
      <c r="C134" s="54">
        <f t="shared" ref="C134:D134" si="13">C133</f>
        <v>1</v>
      </c>
      <c r="D134" s="54">
        <f t="shared" si="13"/>
        <v>1</v>
      </c>
      <c r="E134" s="54">
        <f t="shared" ref="E134:AC134" si="14">INDEX(17:17,MATCH(E130-$F$128,16:16,0))</f>
        <v>1</v>
      </c>
      <c r="F134" s="54">
        <f t="shared" si="14"/>
        <v>1</v>
      </c>
      <c r="G134" s="54">
        <f t="shared" si="14"/>
        <v>1</v>
      </c>
      <c r="H134" s="54">
        <f t="shared" si="14"/>
        <v>1</v>
      </c>
      <c r="I134" s="54">
        <f t="shared" si="14"/>
        <v>1</v>
      </c>
      <c r="J134" s="54">
        <f t="shared" si="14"/>
        <v>1</v>
      </c>
      <c r="K134" s="54">
        <f t="shared" si="14"/>
        <v>1</v>
      </c>
      <c r="L134" s="54">
        <f t="shared" si="14"/>
        <v>1</v>
      </c>
      <c r="M134" s="54">
        <f t="shared" si="14"/>
        <v>1</v>
      </c>
      <c r="N134" s="54">
        <f t="shared" si="14"/>
        <v>1</v>
      </c>
      <c r="O134" s="54">
        <f t="shared" si="14"/>
        <v>1</v>
      </c>
      <c r="P134" s="54">
        <f t="shared" si="14"/>
        <v>1</v>
      </c>
      <c r="Q134" s="54">
        <f t="shared" si="14"/>
        <v>1</v>
      </c>
      <c r="R134" s="54">
        <f t="shared" si="14"/>
        <v>1</v>
      </c>
      <c r="S134" s="54">
        <f t="shared" si="14"/>
        <v>0.75</v>
      </c>
      <c r="T134" s="54">
        <f t="shared" si="14"/>
        <v>0.5</v>
      </c>
      <c r="U134" s="54">
        <f t="shared" si="14"/>
        <v>0</v>
      </c>
      <c r="V134" s="54">
        <f t="shared" si="14"/>
        <v>0</v>
      </c>
      <c r="W134" s="54">
        <f t="shared" si="14"/>
        <v>0</v>
      </c>
      <c r="X134" s="54">
        <f t="shared" si="14"/>
        <v>0</v>
      </c>
      <c r="Y134" s="54">
        <f t="shared" si="14"/>
        <v>0</v>
      </c>
      <c r="Z134" s="54">
        <f t="shared" si="14"/>
        <v>0</v>
      </c>
      <c r="AA134" s="54">
        <f t="shared" si="14"/>
        <v>0</v>
      </c>
      <c r="AB134" s="54">
        <f t="shared" si="14"/>
        <v>0</v>
      </c>
      <c r="AC134" s="54">
        <f t="shared" si="14"/>
        <v>0</v>
      </c>
      <c r="AD134" s="55"/>
      <c r="AE134" s="55"/>
      <c r="AF134" s="55"/>
      <c r="AG134" s="55"/>
      <c r="AH134" s="55"/>
      <c r="AI134" s="55"/>
    </row>
    <row r="135" spans="1:36" ht="13" x14ac:dyDescent="0.3">
      <c r="A135" s="28" t="s">
        <v>109</v>
      </c>
      <c r="B135" s="34">
        <f>B114</f>
        <v>1</v>
      </c>
      <c r="C135" s="34">
        <f t="shared" ref="C135:AC135" si="15">C114</f>
        <v>1</v>
      </c>
      <c r="D135" s="34">
        <f t="shared" si="15"/>
        <v>1</v>
      </c>
      <c r="E135" s="34">
        <f t="shared" si="15"/>
        <v>1</v>
      </c>
      <c r="F135" s="34">
        <f t="shared" si="15"/>
        <v>1</v>
      </c>
      <c r="G135" s="34">
        <f t="shared" si="15"/>
        <v>1</v>
      </c>
      <c r="H135" s="34">
        <f t="shared" si="15"/>
        <v>1</v>
      </c>
      <c r="I135" s="34">
        <f t="shared" si="15"/>
        <v>0</v>
      </c>
      <c r="J135" s="34">
        <f t="shared" si="15"/>
        <v>0</v>
      </c>
      <c r="K135" s="34">
        <f t="shared" si="15"/>
        <v>0</v>
      </c>
      <c r="L135" s="34">
        <f t="shared" si="15"/>
        <v>0</v>
      </c>
      <c r="M135" s="34">
        <f t="shared" si="15"/>
        <v>0</v>
      </c>
      <c r="N135" s="34">
        <f t="shared" si="15"/>
        <v>0</v>
      </c>
      <c r="O135" s="34">
        <f t="shared" si="15"/>
        <v>0</v>
      </c>
      <c r="P135" s="34">
        <f t="shared" si="15"/>
        <v>0</v>
      </c>
      <c r="Q135" s="34">
        <f t="shared" si="15"/>
        <v>0</v>
      </c>
      <c r="R135" s="34">
        <f t="shared" si="15"/>
        <v>0</v>
      </c>
      <c r="S135" s="34">
        <f t="shared" si="15"/>
        <v>0</v>
      </c>
      <c r="T135" s="34">
        <f t="shared" si="15"/>
        <v>0</v>
      </c>
      <c r="U135" s="34">
        <f t="shared" si="15"/>
        <v>0</v>
      </c>
      <c r="V135" s="34">
        <f t="shared" si="15"/>
        <v>0</v>
      </c>
      <c r="W135" s="34">
        <f t="shared" si="15"/>
        <v>0</v>
      </c>
      <c r="X135" s="34">
        <f t="shared" si="15"/>
        <v>0</v>
      </c>
      <c r="Y135" s="34">
        <f t="shared" si="15"/>
        <v>0</v>
      </c>
      <c r="Z135" s="34">
        <f t="shared" si="15"/>
        <v>0</v>
      </c>
      <c r="AA135" s="34">
        <f t="shared" si="15"/>
        <v>0</v>
      </c>
      <c r="AB135" s="34">
        <f t="shared" si="15"/>
        <v>0</v>
      </c>
      <c r="AC135" s="34">
        <f t="shared" si="15"/>
        <v>0</v>
      </c>
      <c r="AD135" s="3"/>
      <c r="AE135" s="3"/>
      <c r="AF135" s="3"/>
      <c r="AG135" s="3"/>
      <c r="AH135" s="3"/>
      <c r="AI135" s="3"/>
    </row>
    <row r="136" spans="1:36" ht="13" x14ac:dyDescent="0.3">
      <c r="A136" s="28" t="s">
        <v>123</v>
      </c>
      <c r="B136" s="34">
        <f>INDEX(17:17,MATCH(B130-$H$128,16:16,0))</f>
        <v>1</v>
      </c>
      <c r="C136" s="34">
        <f t="shared" ref="C136:AC136" si="16">INDEX(17:17,MATCH(C130-$H$128,16:16,0))</f>
        <v>1</v>
      </c>
      <c r="D136" s="34">
        <f t="shared" si="16"/>
        <v>1</v>
      </c>
      <c r="E136" s="34">
        <f t="shared" si="16"/>
        <v>1</v>
      </c>
      <c r="F136" s="34">
        <f t="shared" si="16"/>
        <v>1</v>
      </c>
      <c r="G136" s="34">
        <f t="shared" si="16"/>
        <v>1</v>
      </c>
      <c r="H136" s="34">
        <f t="shared" si="16"/>
        <v>1</v>
      </c>
      <c r="I136" s="34">
        <f t="shared" si="16"/>
        <v>1</v>
      </c>
      <c r="J136" s="34">
        <f t="shared" si="16"/>
        <v>1</v>
      </c>
      <c r="K136" s="34">
        <f t="shared" si="16"/>
        <v>1</v>
      </c>
      <c r="L136" s="34">
        <f t="shared" si="16"/>
        <v>1</v>
      </c>
      <c r="M136" s="34">
        <f t="shared" si="16"/>
        <v>1</v>
      </c>
      <c r="N136" s="34">
        <f t="shared" si="16"/>
        <v>0.75</v>
      </c>
      <c r="O136" s="34">
        <f t="shared" si="16"/>
        <v>0.5</v>
      </c>
      <c r="P136" s="34">
        <f t="shared" si="16"/>
        <v>0</v>
      </c>
      <c r="Q136" s="34">
        <f t="shared" si="16"/>
        <v>0</v>
      </c>
      <c r="R136" s="34">
        <f t="shared" si="16"/>
        <v>0</v>
      </c>
      <c r="S136" s="34">
        <f t="shared" si="16"/>
        <v>0</v>
      </c>
      <c r="T136" s="34">
        <f t="shared" si="16"/>
        <v>0</v>
      </c>
      <c r="U136" s="34">
        <f t="shared" si="16"/>
        <v>0</v>
      </c>
      <c r="V136" s="34">
        <f t="shared" si="16"/>
        <v>0</v>
      </c>
      <c r="W136" s="34">
        <f t="shared" si="16"/>
        <v>0</v>
      </c>
      <c r="X136" s="34">
        <f t="shared" si="16"/>
        <v>0</v>
      </c>
      <c r="Y136" s="34">
        <f t="shared" si="16"/>
        <v>0</v>
      </c>
      <c r="Z136" s="34">
        <f t="shared" si="16"/>
        <v>0</v>
      </c>
      <c r="AA136" s="34">
        <f t="shared" si="16"/>
        <v>0</v>
      </c>
      <c r="AB136" s="34">
        <f t="shared" si="16"/>
        <v>0</v>
      </c>
      <c r="AC136" s="34">
        <f t="shared" si="16"/>
        <v>0</v>
      </c>
      <c r="AD136" s="3"/>
      <c r="AE136" s="3"/>
      <c r="AF136" s="3"/>
      <c r="AG136" s="3"/>
      <c r="AH136" s="3"/>
      <c r="AI136" s="3"/>
    </row>
    <row r="137" spans="1:36" ht="13" x14ac:dyDescent="0.3">
      <c r="A137" s="28" t="s">
        <v>121</v>
      </c>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
      <c r="AF137" s="3"/>
      <c r="AG137" s="3"/>
      <c r="AH137" s="3"/>
      <c r="AI137" s="3"/>
      <c r="AJ137" s="3"/>
    </row>
    <row r="138" spans="1:36" ht="13" x14ac:dyDescent="0.3">
      <c r="A138" s="11"/>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row>
    <row r="139" spans="1:36" ht="13" x14ac:dyDescent="0.3">
      <c r="A139" s="28" t="s">
        <v>55</v>
      </c>
      <c r="B139" s="37">
        <v>0.06</v>
      </c>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row>
    <row r="140" spans="1:36" ht="13" x14ac:dyDescent="0.3">
      <c r="A140" s="28" t="s">
        <v>56</v>
      </c>
      <c r="B140" s="37">
        <v>0.3</v>
      </c>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row>
    <row r="141" spans="1:36" ht="13" x14ac:dyDescent="0.3">
      <c r="A141" s="28" t="s">
        <v>49</v>
      </c>
      <c r="B141" s="37">
        <v>0.1</v>
      </c>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row>
    <row r="142" spans="1:36" ht="13" x14ac:dyDescent="0.3">
      <c r="A142" s="3" t="s">
        <v>50</v>
      </c>
      <c r="B142" s="21">
        <v>7.4999999999999997E-2</v>
      </c>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row>
    <row r="143" spans="1:36" ht="13" x14ac:dyDescent="0.3">
      <c r="A143" s="28" t="s">
        <v>51</v>
      </c>
      <c r="B143" s="29">
        <v>0.1</v>
      </c>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row>
    <row r="144" spans="1:36" ht="13" x14ac:dyDescent="0.3">
      <c r="A144" s="28" t="s">
        <v>52</v>
      </c>
      <c r="B144" s="29">
        <v>0.5</v>
      </c>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row>
    <row r="145" spans="1:36" ht="13" x14ac:dyDescent="0.3">
      <c r="A145" s="11"/>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row>
    <row r="146" spans="1:36" ht="13" x14ac:dyDescent="0.3">
      <c r="A146" s="38" t="s">
        <v>57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row>
    <row r="147" spans="1:36" ht="13" x14ac:dyDescent="0.3">
      <c r="A147" s="28"/>
      <c r="B147" s="28">
        <v>2023</v>
      </c>
      <c r="C147" s="28">
        <v>2024</v>
      </c>
      <c r="D147" s="28">
        <v>2025</v>
      </c>
      <c r="E147" s="28">
        <v>2026</v>
      </c>
      <c r="F147" s="28">
        <v>2027</v>
      </c>
      <c r="G147" s="28">
        <v>2028</v>
      </c>
      <c r="H147" s="28">
        <v>2029</v>
      </c>
      <c r="I147" s="28">
        <v>2030</v>
      </c>
      <c r="J147" s="28">
        <v>2031</v>
      </c>
      <c r="K147" s="28">
        <v>2032</v>
      </c>
      <c r="L147" s="28">
        <v>2033</v>
      </c>
      <c r="M147" s="28">
        <v>2034</v>
      </c>
      <c r="N147" s="28">
        <v>2035</v>
      </c>
      <c r="O147" s="28">
        <v>2036</v>
      </c>
      <c r="P147" s="28">
        <v>2037</v>
      </c>
      <c r="Q147" s="28">
        <v>2038</v>
      </c>
      <c r="R147" s="28">
        <v>2039</v>
      </c>
      <c r="S147" s="28">
        <v>2040</v>
      </c>
      <c r="T147" s="28">
        <v>2041</v>
      </c>
      <c r="U147" s="28">
        <v>2042</v>
      </c>
      <c r="V147" s="28">
        <v>2043</v>
      </c>
      <c r="W147" s="28">
        <v>2044</v>
      </c>
      <c r="X147" s="28">
        <v>2045</v>
      </c>
      <c r="Y147" s="28">
        <v>2046</v>
      </c>
      <c r="Z147" s="28">
        <v>2047</v>
      </c>
      <c r="AA147" s="28">
        <v>2048</v>
      </c>
      <c r="AB147" s="28">
        <v>2049</v>
      </c>
      <c r="AC147" s="28">
        <v>2050</v>
      </c>
      <c r="AD147" s="28"/>
      <c r="AE147" s="28"/>
      <c r="AF147" s="3"/>
      <c r="AG147" s="3"/>
      <c r="AH147" s="3"/>
      <c r="AI147" s="3"/>
      <c r="AJ147" s="3"/>
    </row>
    <row r="148" spans="1:36" ht="13" x14ac:dyDescent="0.3">
      <c r="A148" s="3" t="s">
        <v>110</v>
      </c>
      <c r="B148" s="50">
        <f>(($B$140*C52+$B$139*(1-C52))+($B$141*C82)+($B$143*$B$144))*(1-$B$142)*B131</f>
        <v>0.37019212259371836</v>
      </c>
      <c r="C148" s="50">
        <f>(($B$140*D52+$B$139*(1-D52))+($B$141*D82)+($B$143*$B$144))*(1-$B$142)*C131</f>
        <v>0.37753261144883488</v>
      </c>
      <c r="D148" s="50">
        <f>(($B$140*E52+$B$139*(1-E52))+($B$141*E82)+($B$143*$B$144))*(1-$B$142)*D131</f>
        <v>0.38487310030395139</v>
      </c>
      <c r="E148" s="35">
        <v>0</v>
      </c>
      <c r="F148" s="35">
        <v>0</v>
      </c>
      <c r="G148" s="35">
        <v>0</v>
      </c>
      <c r="H148" s="35">
        <v>0</v>
      </c>
      <c r="I148" s="35">
        <v>0</v>
      </c>
      <c r="J148" s="35">
        <v>0</v>
      </c>
      <c r="K148" s="35">
        <v>0</v>
      </c>
      <c r="L148" s="35">
        <v>0</v>
      </c>
      <c r="M148" s="35">
        <v>0</v>
      </c>
      <c r="N148" s="35">
        <v>0</v>
      </c>
      <c r="O148" s="35">
        <v>0</v>
      </c>
      <c r="P148" s="35">
        <v>0</v>
      </c>
      <c r="Q148" s="35">
        <v>0</v>
      </c>
      <c r="R148" s="35">
        <v>0</v>
      </c>
      <c r="S148" s="35">
        <v>0</v>
      </c>
      <c r="T148" s="35">
        <v>0</v>
      </c>
      <c r="U148" s="35">
        <v>0</v>
      </c>
      <c r="V148" s="35">
        <v>0</v>
      </c>
      <c r="W148" s="35">
        <v>0</v>
      </c>
      <c r="X148" s="35">
        <v>0</v>
      </c>
      <c r="Y148" s="35">
        <v>0</v>
      </c>
      <c r="Z148" s="35">
        <v>0</v>
      </c>
      <c r="AA148" s="35">
        <v>0</v>
      </c>
      <c r="AB148" s="35">
        <v>0</v>
      </c>
      <c r="AC148" s="35">
        <v>0</v>
      </c>
      <c r="AD148" s="28"/>
      <c r="AE148" s="28"/>
      <c r="AF148" s="3"/>
      <c r="AG148" s="3"/>
      <c r="AH148" s="3"/>
      <c r="AI148" s="3"/>
      <c r="AJ148" s="3"/>
    </row>
    <row r="149" spans="1:36" ht="13" x14ac:dyDescent="0.3">
      <c r="A149" s="28" t="s">
        <v>100</v>
      </c>
      <c r="B149" s="35"/>
      <c r="C149" s="35"/>
      <c r="D149" s="35"/>
      <c r="E149" s="35"/>
      <c r="F149" s="35"/>
      <c r="G149" s="35"/>
      <c r="H149" s="35"/>
      <c r="I149" s="35"/>
      <c r="J149" s="35"/>
      <c r="K149" s="35"/>
      <c r="L149" s="35"/>
      <c r="M149" s="35"/>
      <c r="N149" s="35"/>
      <c r="O149" s="35"/>
      <c r="P149" s="35"/>
      <c r="Q149" s="35"/>
      <c r="R149" s="35"/>
      <c r="S149" s="35"/>
      <c r="T149" s="35"/>
      <c r="U149" s="35"/>
      <c r="V149" s="35"/>
      <c r="W149" s="28"/>
      <c r="X149" s="28"/>
      <c r="Y149" s="28"/>
      <c r="Z149" s="28"/>
      <c r="AA149" s="28"/>
      <c r="AB149" s="28"/>
      <c r="AC149" s="28"/>
      <c r="AD149" s="28"/>
      <c r="AE149" s="28"/>
      <c r="AF149" s="3"/>
      <c r="AG149" s="3"/>
      <c r="AH149" s="3"/>
      <c r="AI149" s="3"/>
      <c r="AJ149" s="3"/>
    </row>
    <row r="150" spans="1:36" ht="13" x14ac:dyDescent="0.3">
      <c r="A150" s="28"/>
      <c r="B150" s="35">
        <v>2023</v>
      </c>
      <c r="C150" s="35">
        <v>2024</v>
      </c>
      <c r="D150" s="35">
        <v>2025</v>
      </c>
      <c r="E150" s="35">
        <v>2026</v>
      </c>
      <c r="F150" s="35">
        <v>2027</v>
      </c>
      <c r="G150" s="35">
        <v>2028</v>
      </c>
      <c r="H150" s="35">
        <v>2029</v>
      </c>
      <c r="I150" s="35">
        <v>2030</v>
      </c>
      <c r="J150" s="35">
        <v>2031</v>
      </c>
      <c r="K150" s="35">
        <v>2032</v>
      </c>
      <c r="L150" s="35">
        <v>2033</v>
      </c>
      <c r="M150" s="35">
        <v>2034</v>
      </c>
      <c r="N150" s="35">
        <v>2035</v>
      </c>
      <c r="O150" s="35">
        <v>2036</v>
      </c>
      <c r="P150" s="35">
        <v>2037</v>
      </c>
      <c r="Q150" s="35">
        <v>2038</v>
      </c>
      <c r="R150" s="35">
        <v>2039</v>
      </c>
      <c r="S150" s="35">
        <v>2040</v>
      </c>
      <c r="T150" s="35">
        <v>2041</v>
      </c>
      <c r="U150" s="35">
        <v>2042</v>
      </c>
      <c r="V150" s="35">
        <v>2043</v>
      </c>
      <c r="W150" s="28">
        <v>2044</v>
      </c>
      <c r="X150" s="28">
        <v>2045</v>
      </c>
      <c r="Y150" s="28">
        <v>2046</v>
      </c>
      <c r="Z150" s="28">
        <v>2047</v>
      </c>
      <c r="AA150" s="28">
        <v>2048</v>
      </c>
      <c r="AB150" s="28">
        <v>2049</v>
      </c>
      <c r="AC150" s="28">
        <v>2050</v>
      </c>
      <c r="AD150" s="28"/>
      <c r="AE150" s="28"/>
      <c r="AF150" s="3"/>
      <c r="AG150" s="3"/>
      <c r="AH150" s="3"/>
      <c r="AI150" s="3"/>
      <c r="AJ150" s="3"/>
    </row>
    <row r="151" spans="1:36" ht="13" x14ac:dyDescent="0.3">
      <c r="A151" s="3" t="s">
        <v>111</v>
      </c>
      <c r="B151" s="35">
        <f t="shared" ref="B151:AC151" si="17">(($B$140*C52+$B$139*(1-C52))+($B$141*C84)+($B$143*$B$144))*(1-$B$142)*B132</f>
        <v>0.41625000000000001</v>
      </c>
      <c r="C151" s="35">
        <f t="shared" si="17"/>
        <v>0.41625000000000001</v>
      </c>
      <c r="D151" s="35">
        <f t="shared" si="17"/>
        <v>0.41625000000000001</v>
      </c>
      <c r="E151" s="35">
        <f t="shared" si="17"/>
        <v>0.41625000000000001</v>
      </c>
      <c r="F151" s="35">
        <f t="shared" si="17"/>
        <v>0.41625000000000001</v>
      </c>
      <c r="G151" s="35">
        <f t="shared" si="17"/>
        <v>0.41625000000000001</v>
      </c>
      <c r="H151" s="35">
        <f t="shared" si="17"/>
        <v>0.41625000000000001</v>
      </c>
      <c r="I151" s="35">
        <f t="shared" si="17"/>
        <v>0</v>
      </c>
      <c r="J151" s="35">
        <f t="shared" si="17"/>
        <v>0</v>
      </c>
      <c r="K151" s="35">
        <f t="shared" si="17"/>
        <v>0</v>
      </c>
      <c r="L151" s="35">
        <f t="shared" si="17"/>
        <v>0</v>
      </c>
      <c r="M151" s="35">
        <f t="shared" si="17"/>
        <v>0</v>
      </c>
      <c r="N151" s="35">
        <f t="shared" si="17"/>
        <v>0</v>
      </c>
      <c r="O151" s="35">
        <f t="shared" si="17"/>
        <v>0</v>
      </c>
      <c r="P151" s="35">
        <f t="shared" si="17"/>
        <v>0</v>
      </c>
      <c r="Q151" s="35">
        <f t="shared" si="17"/>
        <v>0</v>
      </c>
      <c r="R151" s="35">
        <f t="shared" si="17"/>
        <v>0</v>
      </c>
      <c r="S151" s="35">
        <f t="shared" si="17"/>
        <v>0</v>
      </c>
      <c r="T151" s="35">
        <f t="shared" si="17"/>
        <v>0</v>
      </c>
      <c r="U151" s="35">
        <f t="shared" si="17"/>
        <v>0</v>
      </c>
      <c r="V151" s="35">
        <f t="shared" si="17"/>
        <v>0</v>
      </c>
      <c r="W151" s="35">
        <f t="shared" si="17"/>
        <v>0</v>
      </c>
      <c r="X151" s="35">
        <f t="shared" si="17"/>
        <v>0</v>
      </c>
      <c r="Y151" s="35">
        <f t="shared" si="17"/>
        <v>0</v>
      </c>
      <c r="Z151" s="35">
        <f t="shared" si="17"/>
        <v>0</v>
      </c>
      <c r="AA151" s="35">
        <f t="shared" si="17"/>
        <v>0</v>
      </c>
      <c r="AB151" s="35">
        <f t="shared" si="17"/>
        <v>0</v>
      </c>
      <c r="AC151" s="35">
        <f t="shared" si="17"/>
        <v>0</v>
      </c>
      <c r="AD151" s="28"/>
      <c r="AE151" s="28"/>
      <c r="AF151" s="3"/>
      <c r="AG151" s="3"/>
      <c r="AH151" s="3"/>
      <c r="AI151" s="3"/>
      <c r="AJ151" s="3"/>
    </row>
    <row r="152" spans="1:36" ht="13" x14ac:dyDescent="0.3">
      <c r="A152" s="3"/>
      <c r="B152" s="35"/>
      <c r="C152" s="35"/>
      <c r="D152" s="35"/>
      <c r="E152" s="35"/>
      <c r="F152" s="35"/>
      <c r="G152" s="35"/>
      <c r="H152" s="35"/>
      <c r="I152" s="35"/>
      <c r="J152" s="35"/>
      <c r="K152" s="35"/>
      <c r="L152" s="35"/>
      <c r="M152" s="35"/>
      <c r="N152" s="35"/>
      <c r="O152" s="35"/>
      <c r="P152" s="35"/>
      <c r="Q152" s="35"/>
      <c r="R152" s="35"/>
      <c r="S152" s="35"/>
      <c r="T152" s="35"/>
      <c r="U152" s="35"/>
      <c r="V152" s="35"/>
      <c r="W152" s="28"/>
      <c r="X152" s="28"/>
      <c r="Y152" s="28"/>
      <c r="Z152" s="28"/>
      <c r="AA152" s="28"/>
      <c r="AB152" s="28"/>
      <c r="AC152" s="28"/>
      <c r="AD152" s="28"/>
      <c r="AE152" s="28"/>
      <c r="AF152" s="3"/>
      <c r="AG152" s="3"/>
      <c r="AH152" s="3"/>
      <c r="AI152" s="3"/>
      <c r="AJ152" s="3"/>
    </row>
    <row r="153" spans="1:36" ht="13" x14ac:dyDescent="0.3">
      <c r="A153" s="28"/>
      <c r="B153" s="35">
        <v>2023</v>
      </c>
      <c r="C153" s="35">
        <v>2024</v>
      </c>
      <c r="D153" s="35">
        <v>2025</v>
      </c>
      <c r="E153" s="35">
        <v>2026</v>
      </c>
      <c r="F153" s="35">
        <v>2027</v>
      </c>
      <c r="G153" s="35">
        <v>2028</v>
      </c>
      <c r="H153" s="35">
        <v>2029</v>
      </c>
      <c r="I153" s="35">
        <v>2030</v>
      </c>
      <c r="J153" s="35">
        <v>2031</v>
      </c>
      <c r="K153" s="35">
        <v>2032</v>
      </c>
      <c r="L153" s="35">
        <v>2033</v>
      </c>
      <c r="M153" s="35">
        <v>2034</v>
      </c>
      <c r="N153" s="35">
        <v>2035</v>
      </c>
      <c r="O153" s="35">
        <v>2036</v>
      </c>
      <c r="P153" s="35">
        <v>2037</v>
      </c>
      <c r="Q153" s="35">
        <v>2038</v>
      </c>
      <c r="R153" s="35">
        <v>2039</v>
      </c>
      <c r="S153" s="35">
        <v>2040</v>
      </c>
      <c r="T153" s="35">
        <v>2041</v>
      </c>
      <c r="U153" s="35">
        <v>2042</v>
      </c>
      <c r="V153" s="35">
        <v>2043</v>
      </c>
      <c r="W153" s="28">
        <v>2044</v>
      </c>
      <c r="X153" s="28">
        <v>2045</v>
      </c>
      <c r="Y153" s="28">
        <v>2046</v>
      </c>
      <c r="Z153" s="28">
        <v>2047</v>
      </c>
      <c r="AA153" s="28">
        <v>2048</v>
      </c>
      <c r="AB153" s="28">
        <v>2049</v>
      </c>
      <c r="AC153" s="28">
        <v>2050</v>
      </c>
      <c r="AD153" s="28"/>
      <c r="AE153" s="28"/>
      <c r="AF153" s="3"/>
      <c r="AG153" s="3"/>
      <c r="AH153" s="3"/>
      <c r="AI153" s="3"/>
      <c r="AJ153" s="3"/>
    </row>
    <row r="154" spans="1:36" ht="13" x14ac:dyDescent="0.3">
      <c r="A154" s="3" t="s">
        <v>112</v>
      </c>
      <c r="B154" s="35">
        <f>(($B$140*C52+$B$139*(1-C52))+($B$141*C84)+($B$143*$B$144))*(1-$B$142)*B133</f>
        <v>0.41625000000000001</v>
      </c>
      <c r="C154" s="35">
        <f t="shared" ref="C154:AC154" si="18">(($B$140*D52+$B$139*(1-D52))+($B$141*D84)+($B$143*$B$144))*(1-$B$142)*C133</f>
        <v>0.41625000000000001</v>
      </c>
      <c r="D154" s="35">
        <f t="shared" si="18"/>
        <v>0.41625000000000001</v>
      </c>
      <c r="E154" s="35">
        <f t="shared" si="18"/>
        <v>0.41625000000000001</v>
      </c>
      <c r="F154" s="35">
        <f t="shared" si="18"/>
        <v>0.41625000000000001</v>
      </c>
      <c r="G154" s="35">
        <f t="shared" si="18"/>
        <v>0.41625000000000001</v>
      </c>
      <c r="H154" s="35">
        <f t="shared" si="18"/>
        <v>0.41625000000000001</v>
      </c>
      <c r="I154" s="35">
        <f t="shared" si="18"/>
        <v>0.41625000000000001</v>
      </c>
      <c r="J154" s="35">
        <f t="shared" si="18"/>
        <v>0.41625000000000001</v>
      </c>
      <c r="K154" s="35">
        <f t="shared" si="18"/>
        <v>0.41625000000000001</v>
      </c>
      <c r="L154" s="35">
        <f t="shared" si="18"/>
        <v>0.41625000000000001</v>
      </c>
      <c r="M154" s="35">
        <f t="shared" si="18"/>
        <v>0.41625000000000001</v>
      </c>
      <c r="N154" s="35">
        <f t="shared" si="18"/>
        <v>0.41625000000000001</v>
      </c>
      <c r="O154" s="35">
        <f t="shared" si="18"/>
        <v>0.31218750000000001</v>
      </c>
      <c r="P154" s="35">
        <f t="shared" si="18"/>
        <v>0.208125</v>
      </c>
      <c r="Q154" s="35">
        <f t="shared" si="18"/>
        <v>0</v>
      </c>
      <c r="R154" s="35">
        <f t="shared" si="18"/>
        <v>0</v>
      </c>
      <c r="S154" s="35">
        <f t="shared" si="18"/>
        <v>0</v>
      </c>
      <c r="T154" s="35">
        <f t="shared" si="18"/>
        <v>0</v>
      </c>
      <c r="U154" s="35">
        <f t="shared" si="18"/>
        <v>0</v>
      </c>
      <c r="V154" s="35">
        <f t="shared" si="18"/>
        <v>0</v>
      </c>
      <c r="W154" s="35">
        <f t="shared" si="18"/>
        <v>0</v>
      </c>
      <c r="X154" s="35">
        <f t="shared" si="18"/>
        <v>0</v>
      </c>
      <c r="Y154" s="35">
        <f t="shared" si="18"/>
        <v>0</v>
      </c>
      <c r="Z154" s="35">
        <f t="shared" si="18"/>
        <v>0</v>
      </c>
      <c r="AA154" s="35">
        <f t="shared" si="18"/>
        <v>0</v>
      </c>
      <c r="AB154" s="35">
        <f t="shared" si="18"/>
        <v>0</v>
      </c>
      <c r="AC154" s="35">
        <f t="shared" si="18"/>
        <v>0</v>
      </c>
      <c r="AD154" s="28"/>
      <c r="AE154" s="28"/>
      <c r="AF154" s="3"/>
      <c r="AG154" s="3"/>
      <c r="AH154" s="3"/>
      <c r="AI154" s="3"/>
      <c r="AJ154" s="3"/>
    </row>
    <row r="155" spans="1:36" ht="13" x14ac:dyDescent="0.3">
      <c r="A155" s="3" t="s">
        <v>122</v>
      </c>
      <c r="B155" s="35">
        <f>(($B$140*C52+$B$139*(1-C52))+($B$141*C84)+($B$143*$B$144))*(1-$B$142)*B134</f>
        <v>0.41625000000000001</v>
      </c>
      <c r="C155" s="35">
        <f t="shared" ref="C155:AC155" si="19">(($B$140*D52+$B$139*(1-D52))+($B$141*D84)+($B$143*$B$144))*(1-$B$142)*C134</f>
        <v>0.41625000000000001</v>
      </c>
      <c r="D155" s="35">
        <f t="shared" si="19"/>
        <v>0.41625000000000001</v>
      </c>
      <c r="E155" s="35">
        <f t="shared" si="19"/>
        <v>0.41625000000000001</v>
      </c>
      <c r="F155" s="35">
        <f t="shared" si="19"/>
        <v>0.41625000000000001</v>
      </c>
      <c r="G155" s="35">
        <f t="shared" si="19"/>
        <v>0.41625000000000001</v>
      </c>
      <c r="H155" s="35">
        <f t="shared" si="19"/>
        <v>0.41625000000000001</v>
      </c>
      <c r="I155" s="35">
        <f t="shared" si="19"/>
        <v>0.41625000000000001</v>
      </c>
      <c r="J155" s="35">
        <f t="shared" si="19"/>
        <v>0.41625000000000001</v>
      </c>
      <c r="K155" s="35">
        <f t="shared" si="19"/>
        <v>0.41625000000000001</v>
      </c>
      <c r="L155" s="35">
        <f t="shared" si="19"/>
        <v>0.41625000000000001</v>
      </c>
      <c r="M155" s="35">
        <f t="shared" si="19"/>
        <v>0.41625000000000001</v>
      </c>
      <c r="N155" s="35">
        <f t="shared" si="19"/>
        <v>0.41625000000000001</v>
      </c>
      <c r="O155" s="35">
        <f t="shared" si="19"/>
        <v>0.41625000000000001</v>
      </c>
      <c r="P155" s="35">
        <f t="shared" si="19"/>
        <v>0.41625000000000001</v>
      </c>
      <c r="Q155" s="35">
        <f t="shared" si="19"/>
        <v>0.41625000000000001</v>
      </c>
      <c r="R155" s="35">
        <f t="shared" si="19"/>
        <v>0.41625000000000001</v>
      </c>
      <c r="S155" s="35">
        <f t="shared" si="19"/>
        <v>0.31218750000000001</v>
      </c>
      <c r="T155" s="35">
        <f t="shared" si="19"/>
        <v>0.208125</v>
      </c>
      <c r="U155" s="35">
        <f t="shared" si="19"/>
        <v>0</v>
      </c>
      <c r="V155" s="35">
        <f t="shared" si="19"/>
        <v>0</v>
      </c>
      <c r="W155" s="35">
        <f t="shared" si="19"/>
        <v>0</v>
      </c>
      <c r="X155" s="35">
        <f t="shared" si="19"/>
        <v>0</v>
      </c>
      <c r="Y155" s="35">
        <f t="shared" si="19"/>
        <v>0</v>
      </c>
      <c r="Z155" s="35">
        <f t="shared" si="19"/>
        <v>0</v>
      </c>
      <c r="AA155" s="35">
        <f t="shared" si="19"/>
        <v>0</v>
      </c>
      <c r="AB155" s="35">
        <f t="shared" si="19"/>
        <v>0</v>
      </c>
      <c r="AC155" s="35">
        <f t="shared" si="19"/>
        <v>0</v>
      </c>
      <c r="AD155" s="28"/>
      <c r="AE155" s="28"/>
      <c r="AF155" s="3"/>
      <c r="AG155" s="3"/>
      <c r="AH155" s="3"/>
      <c r="AI155" s="3"/>
      <c r="AJ155" s="3"/>
    </row>
    <row r="156" spans="1:36" ht="13" x14ac:dyDescent="0.3">
      <c r="A156" s="28"/>
      <c r="B156" s="35"/>
      <c r="C156" s="35"/>
      <c r="D156" s="35"/>
      <c r="E156" s="35"/>
      <c r="F156" s="35"/>
      <c r="G156" s="35"/>
      <c r="H156" s="35"/>
      <c r="I156" s="35"/>
      <c r="J156" s="35"/>
      <c r="K156" s="35"/>
      <c r="L156" s="35"/>
      <c r="M156" s="35"/>
      <c r="N156" s="35"/>
      <c r="O156" s="35"/>
      <c r="P156" s="35"/>
      <c r="Q156" s="35"/>
      <c r="R156" s="35"/>
      <c r="S156" s="35"/>
      <c r="T156" s="35"/>
      <c r="U156" s="35"/>
      <c r="V156" s="35"/>
      <c r="W156" s="28"/>
      <c r="X156" s="28"/>
      <c r="Y156" s="28"/>
      <c r="Z156" s="28"/>
      <c r="AA156" s="28"/>
      <c r="AB156" s="28"/>
      <c r="AC156" s="28"/>
      <c r="AD156" s="28"/>
      <c r="AE156" s="28"/>
      <c r="AF156" s="3"/>
      <c r="AG156" s="3"/>
      <c r="AH156" s="3"/>
      <c r="AI156" s="3"/>
      <c r="AJ156" s="3"/>
    </row>
    <row r="157" spans="1:36" ht="13" x14ac:dyDescent="0.3">
      <c r="A157" s="28"/>
      <c r="B157" s="35">
        <v>2023</v>
      </c>
      <c r="C157" s="35">
        <v>2024</v>
      </c>
      <c r="D157" s="35">
        <v>2025</v>
      </c>
      <c r="E157" s="35">
        <v>2026</v>
      </c>
      <c r="F157" s="35">
        <v>2027</v>
      </c>
      <c r="G157" s="35">
        <v>2028</v>
      </c>
      <c r="H157" s="35">
        <v>2029</v>
      </c>
      <c r="I157" s="35">
        <v>2030</v>
      </c>
      <c r="J157" s="35">
        <v>2031</v>
      </c>
      <c r="K157" s="35">
        <v>2032</v>
      </c>
      <c r="L157" s="35">
        <v>2033</v>
      </c>
      <c r="M157" s="35">
        <v>2034</v>
      </c>
      <c r="N157" s="35">
        <v>2035</v>
      </c>
      <c r="O157" s="35">
        <v>2036</v>
      </c>
      <c r="P157" s="35">
        <v>2037</v>
      </c>
      <c r="Q157" s="35">
        <v>2038</v>
      </c>
      <c r="R157" s="35">
        <v>2039</v>
      </c>
      <c r="S157" s="35">
        <v>2040</v>
      </c>
      <c r="T157" s="35">
        <v>2041</v>
      </c>
      <c r="U157" s="35">
        <v>2042</v>
      </c>
      <c r="V157" s="35">
        <v>2043</v>
      </c>
      <c r="W157" s="28">
        <v>2044</v>
      </c>
      <c r="X157" s="28">
        <v>2045</v>
      </c>
      <c r="Y157" s="28">
        <v>2046</v>
      </c>
      <c r="Z157" s="28">
        <v>2047</v>
      </c>
      <c r="AA157" s="28">
        <v>2048</v>
      </c>
      <c r="AB157" s="28">
        <v>2049</v>
      </c>
      <c r="AC157" s="28">
        <v>2050</v>
      </c>
      <c r="AD157" s="28"/>
      <c r="AE157" s="28"/>
      <c r="AF157" s="3"/>
      <c r="AG157" s="3"/>
      <c r="AH157" s="3"/>
      <c r="AI157" s="3"/>
      <c r="AJ157" s="3"/>
    </row>
    <row r="158" spans="1:36" ht="13" x14ac:dyDescent="0.3">
      <c r="A158" s="3" t="s">
        <v>58</v>
      </c>
      <c r="B158" s="35">
        <f>(($B$140*C52+$B$139*(1-C52))+($B$141*C84)+($B$143*$B$144))*(1-$B$142)*B135</f>
        <v>0.41625000000000001</v>
      </c>
      <c r="C158" s="35">
        <f t="shared" ref="B158:AC158" si="20">(($B$140*D52+$B$139*(1-D52))+($B$141*D84)+($B$143*$B$144))*(1-$B$142)*C135</f>
        <v>0.41625000000000001</v>
      </c>
      <c r="D158" s="35">
        <f t="shared" si="20"/>
        <v>0.41625000000000001</v>
      </c>
      <c r="E158" s="35">
        <f t="shared" si="20"/>
        <v>0.41625000000000001</v>
      </c>
      <c r="F158" s="35">
        <f t="shared" si="20"/>
        <v>0.41625000000000001</v>
      </c>
      <c r="G158" s="35">
        <f t="shared" si="20"/>
        <v>0.41625000000000001</v>
      </c>
      <c r="H158" s="35">
        <f t="shared" si="20"/>
        <v>0.41625000000000001</v>
      </c>
      <c r="I158" s="35">
        <f t="shared" si="20"/>
        <v>0</v>
      </c>
      <c r="J158" s="35">
        <f t="shared" si="20"/>
        <v>0</v>
      </c>
      <c r="K158" s="35">
        <f t="shared" si="20"/>
        <v>0</v>
      </c>
      <c r="L158" s="35">
        <f t="shared" si="20"/>
        <v>0</v>
      </c>
      <c r="M158" s="35">
        <f t="shared" si="20"/>
        <v>0</v>
      </c>
      <c r="N158" s="35">
        <f t="shared" si="20"/>
        <v>0</v>
      </c>
      <c r="O158" s="35">
        <f t="shared" si="20"/>
        <v>0</v>
      </c>
      <c r="P158" s="35">
        <f t="shared" si="20"/>
        <v>0</v>
      </c>
      <c r="Q158" s="35">
        <f t="shared" si="20"/>
        <v>0</v>
      </c>
      <c r="R158" s="35">
        <f t="shared" si="20"/>
        <v>0</v>
      </c>
      <c r="S158" s="35">
        <f t="shared" si="20"/>
        <v>0</v>
      </c>
      <c r="T158" s="35">
        <f t="shared" si="20"/>
        <v>0</v>
      </c>
      <c r="U158" s="35">
        <f t="shared" si="20"/>
        <v>0</v>
      </c>
      <c r="V158" s="35">
        <f t="shared" si="20"/>
        <v>0</v>
      </c>
      <c r="W158" s="35">
        <f t="shared" si="20"/>
        <v>0</v>
      </c>
      <c r="X158" s="35">
        <f t="shared" si="20"/>
        <v>0</v>
      </c>
      <c r="Y158" s="35">
        <f t="shared" si="20"/>
        <v>0</v>
      </c>
      <c r="Z158" s="35">
        <f t="shared" si="20"/>
        <v>0</v>
      </c>
      <c r="AA158" s="35">
        <f t="shared" si="20"/>
        <v>0</v>
      </c>
      <c r="AB158" s="35">
        <f t="shared" si="20"/>
        <v>0</v>
      </c>
      <c r="AC158" s="35">
        <f t="shared" si="20"/>
        <v>0</v>
      </c>
      <c r="AD158" s="28"/>
      <c r="AE158" s="28"/>
      <c r="AF158" s="3"/>
      <c r="AG158" s="3"/>
      <c r="AH158" s="3"/>
      <c r="AI158" s="3"/>
      <c r="AJ158" s="3"/>
    </row>
    <row r="159" spans="1:36" ht="13"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row>
    <row r="160" spans="1:36" ht="13" x14ac:dyDescent="0.3">
      <c r="A160" s="28"/>
      <c r="B160" s="35">
        <v>2023</v>
      </c>
      <c r="C160" s="35">
        <v>2024</v>
      </c>
      <c r="D160" s="35">
        <v>2025</v>
      </c>
      <c r="E160" s="35">
        <v>2026</v>
      </c>
      <c r="F160" s="35">
        <v>2027</v>
      </c>
      <c r="G160" s="35">
        <v>2028</v>
      </c>
      <c r="H160" s="35">
        <v>2029</v>
      </c>
      <c r="I160" s="35">
        <v>2030</v>
      </c>
      <c r="J160" s="35">
        <v>2031</v>
      </c>
      <c r="K160" s="35">
        <v>2032</v>
      </c>
      <c r="L160" s="35">
        <v>2033</v>
      </c>
      <c r="M160" s="35">
        <v>2034</v>
      </c>
      <c r="N160" s="35">
        <v>2035</v>
      </c>
      <c r="O160" s="35">
        <v>2036</v>
      </c>
      <c r="P160" s="35">
        <v>2037</v>
      </c>
      <c r="Q160" s="35">
        <v>2038</v>
      </c>
      <c r="R160" s="35">
        <v>2039</v>
      </c>
      <c r="S160" s="35">
        <v>2040</v>
      </c>
      <c r="T160" s="35">
        <v>2041</v>
      </c>
      <c r="U160" s="35">
        <v>2042</v>
      </c>
      <c r="V160" s="35">
        <v>2043</v>
      </c>
      <c r="W160" s="28">
        <v>2044</v>
      </c>
      <c r="X160" s="28">
        <v>2045</v>
      </c>
      <c r="Y160" s="28">
        <v>2046</v>
      </c>
      <c r="Z160" s="28">
        <v>2047</v>
      </c>
      <c r="AA160" s="28">
        <v>2048</v>
      </c>
      <c r="AB160" s="28">
        <v>2049</v>
      </c>
      <c r="AC160" s="28">
        <v>2050</v>
      </c>
      <c r="AD160" s="28"/>
      <c r="AE160" s="28"/>
      <c r="AF160" s="3"/>
      <c r="AG160" s="3"/>
      <c r="AH160" s="3"/>
      <c r="AI160" s="3"/>
      <c r="AJ160" s="3"/>
    </row>
    <row r="161" spans="1:74" ht="13" x14ac:dyDescent="0.3">
      <c r="A161" s="3" t="s">
        <v>124</v>
      </c>
      <c r="B161" s="35">
        <f>(($B$140*C52+$B$139*(1-C52))+($B$141*C84)+($B$143*$B$144))*(1-$B$142)*B136</f>
        <v>0.41625000000000001</v>
      </c>
      <c r="C161" s="35">
        <f t="shared" ref="C161:AC161" si="21">(($B$140*D52+$B$139*(1-D52))+($B$141*D84)+($B$143*$B$144))*(1-$B$142)*C136</f>
        <v>0.41625000000000001</v>
      </c>
      <c r="D161" s="35">
        <f t="shared" si="21"/>
        <v>0.41625000000000001</v>
      </c>
      <c r="E161" s="35">
        <f t="shared" si="21"/>
        <v>0.41625000000000001</v>
      </c>
      <c r="F161" s="35">
        <f t="shared" si="21"/>
        <v>0.41625000000000001</v>
      </c>
      <c r="G161" s="35">
        <f t="shared" si="21"/>
        <v>0.41625000000000001</v>
      </c>
      <c r="H161" s="35">
        <f t="shared" si="21"/>
        <v>0.41625000000000001</v>
      </c>
      <c r="I161" s="35">
        <f t="shared" si="21"/>
        <v>0.41625000000000001</v>
      </c>
      <c r="J161" s="35">
        <f t="shared" si="21"/>
        <v>0.41625000000000001</v>
      </c>
      <c r="K161" s="35">
        <f t="shared" si="21"/>
        <v>0.41625000000000001</v>
      </c>
      <c r="L161" s="35">
        <f t="shared" si="21"/>
        <v>0.41625000000000001</v>
      </c>
      <c r="M161" s="35">
        <f t="shared" si="21"/>
        <v>0.41625000000000001</v>
      </c>
      <c r="N161" s="35">
        <f t="shared" si="21"/>
        <v>0.31218750000000001</v>
      </c>
      <c r="O161" s="35">
        <f t="shared" si="21"/>
        <v>0.208125</v>
      </c>
      <c r="P161" s="35">
        <f t="shared" si="21"/>
        <v>0</v>
      </c>
      <c r="Q161" s="35">
        <f t="shared" si="21"/>
        <v>0</v>
      </c>
      <c r="R161" s="35">
        <f t="shared" si="21"/>
        <v>0</v>
      </c>
      <c r="S161" s="35">
        <f t="shared" si="21"/>
        <v>0</v>
      </c>
      <c r="T161" s="35">
        <f t="shared" si="21"/>
        <v>0</v>
      </c>
      <c r="U161" s="35">
        <f t="shared" si="21"/>
        <v>0</v>
      </c>
      <c r="V161" s="35">
        <f t="shared" si="21"/>
        <v>0</v>
      </c>
      <c r="W161" s="35">
        <f t="shared" si="21"/>
        <v>0</v>
      </c>
      <c r="X161" s="35">
        <f t="shared" si="21"/>
        <v>0</v>
      </c>
      <c r="Y161" s="35">
        <f t="shared" si="21"/>
        <v>0</v>
      </c>
      <c r="Z161" s="35">
        <f t="shared" si="21"/>
        <v>0</v>
      </c>
      <c r="AA161" s="35">
        <f t="shared" si="21"/>
        <v>0</v>
      </c>
      <c r="AB161" s="35">
        <f t="shared" si="21"/>
        <v>0</v>
      </c>
      <c r="AC161" s="35">
        <f t="shared" si="21"/>
        <v>0</v>
      </c>
      <c r="AD161" s="28"/>
      <c r="AE161" s="28"/>
      <c r="AF161" s="3"/>
      <c r="AG161" s="3"/>
      <c r="AH161" s="3"/>
      <c r="AI161" s="3"/>
      <c r="AJ161" s="3"/>
    </row>
    <row r="162" spans="1:74" ht="13"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row>
    <row r="163" spans="1:74" ht="13"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row>
    <row r="164" spans="1:74" ht="13"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row>
    <row r="165" spans="1:74" ht="13"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row>
    <row r="166" spans="1:74" ht="13"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row>
    <row r="167" spans="1:74" ht="13"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row>
    <row r="168" spans="1:74" ht="13"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row>
    <row r="169" spans="1:74" ht="13"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row>
    <row r="170" spans="1:74" ht="13"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row>
    <row r="171" spans="1:74" ht="13"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row>
    <row r="172" spans="1:74" ht="13"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row>
    <row r="173" spans="1:74" ht="13"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row>
    <row r="174" spans="1:74" ht="13"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row>
    <row r="175" spans="1:74" ht="13"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row>
    <row r="176" spans="1:74" ht="13"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row>
    <row r="177" spans="1:74" ht="13"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row>
    <row r="178" spans="1:74" ht="13"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row>
    <row r="179" spans="1:74" ht="13"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row>
    <row r="180" spans="1:74" ht="13"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row>
    <row r="181" spans="1:74" ht="13"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row>
    <row r="182" spans="1:74" ht="13"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row>
    <row r="183" spans="1:74" ht="13"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row>
    <row r="184" spans="1:74" ht="13"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row>
    <row r="185" spans="1:74" ht="13"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row>
    <row r="186" spans="1:74" ht="13"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row>
    <row r="187" spans="1:74" ht="13"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row>
    <row r="188" spans="1:74" ht="13"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row>
    <row r="189" spans="1:74" ht="13"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row>
    <row r="190" spans="1:74" ht="13"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row>
    <row r="191" spans="1:74" ht="13"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row>
    <row r="192" spans="1:74" ht="13"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row>
    <row r="193" spans="1:74" ht="13"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row>
    <row r="194" spans="1:74" ht="13"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row>
    <row r="195" spans="1:74" ht="13"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row>
    <row r="196" spans="1:74" ht="13"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row>
    <row r="197" spans="1:74" ht="13"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row>
    <row r="198" spans="1:74" ht="13"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row>
    <row r="199" spans="1:74" ht="13"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row>
    <row r="200" spans="1:74" ht="13"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row>
    <row r="201" spans="1:74" ht="13"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row>
    <row r="202" spans="1:74" ht="13"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row>
    <row r="203" spans="1:74" ht="13"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row>
    <row r="204" spans="1:74" ht="13"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row>
    <row r="205" spans="1:74" ht="13"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row>
    <row r="206" spans="1:74" ht="13"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row>
    <row r="207" spans="1:74" ht="13"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row>
    <row r="208" spans="1:74" ht="13"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row>
    <row r="209" spans="1:74" ht="13"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row>
    <row r="210" spans="1:74" ht="13"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row>
    <row r="211" spans="1:74" ht="13"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row>
    <row r="212" spans="1:74" ht="13"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row>
    <row r="213" spans="1:74" ht="13"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row>
    <row r="214" spans="1:74" ht="13"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row>
    <row r="215" spans="1:74" ht="13"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row>
    <row r="216" spans="1:74" ht="13"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row>
    <row r="217" spans="1:74" ht="13"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row>
    <row r="218" spans="1:74" ht="13"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row>
    <row r="219" spans="1:74" ht="13"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row>
    <row r="220" spans="1:74" ht="13"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row>
    <row r="221" spans="1:74" ht="13"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row>
    <row r="222" spans="1:74" ht="13"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row>
    <row r="223" spans="1:74" ht="13"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row>
    <row r="224" spans="1:74" ht="13"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row>
    <row r="225" spans="1:36" ht="13"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row>
    <row r="226" spans="1:36" ht="13"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row>
    <row r="227" spans="1:36" ht="13"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row>
    <row r="228" spans="1:36" ht="13"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row>
    <row r="229" spans="1:36" ht="13"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row>
    <row r="230" spans="1:36" ht="13"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row>
    <row r="231" spans="1:36" ht="13"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row>
    <row r="232" spans="1:36" ht="13"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row>
    <row r="233" spans="1:36" ht="13"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row>
    <row r="234" spans="1:36" ht="13"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row>
  </sheetData>
  <hyperlinks>
    <hyperlink ref="A24" r:id="rId1" xr:uid="{0E500BEF-AC1A-4D0B-A48E-CEFEFD621372}"/>
    <hyperlink ref="A56" r:id="rId2" xr:uid="{B1682CBF-613F-454F-87BD-7B66D49F59B7}"/>
    <hyperlink ref="C97" r:id="rId3" xr:uid="{C8985D8D-B02A-4D79-8080-117BB0297173}"/>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E2"/>
  <sheetViews>
    <sheetView topLeftCell="D1" workbookViewId="0">
      <selection activeCell="D2" sqref="D2:AE2"/>
    </sheetView>
  </sheetViews>
  <sheetFormatPr defaultRowHeight="14.5" x14ac:dyDescent="0.35"/>
  <cols>
    <col min="1" max="1" width="20.36328125" customWidth="1"/>
  </cols>
  <sheetData>
    <row r="1" spans="1:31" x14ac:dyDescent="0.35">
      <c r="A1" t="s">
        <v>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s="51" t="s">
        <v>3</v>
      </c>
      <c r="B2">
        <v>0</v>
      </c>
      <c r="C2">
        <v>0</v>
      </c>
      <c r="D2" s="57">
        <f>'Inflation Reduction Act - Elec'!B161</f>
        <v>0.41625000000000001</v>
      </c>
      <c r="E2" s="57">
        <f>'Inflation Reduction Act - Elec'!C161</f>
        <v>0.41625000000000001</v>
      </c>
      <c r="F2" s="57">
        <f>'Inflation Reduction Act - Elec'!D161</f>
        <v>0.41625000000000001</v>
      </c>
      <c r="G2" s="57">
        <f>'Inflation Reduction Act - Elec'!E161</f>
        <v>0.41625000000000001</v>
      </c>
      <c r="H2" s="57">
        <f>'Inflation Reduction Act - Elec'!F161</f>
        <v>0.41625000000000001</v>
      </c>
      <c r="I2" s="57">
        <f>'Inflation Reduction Act - Elec'!G161</f>
        <v>0.41625000000000001</v>
      </c>
      <c r="J2" s="57">
        <f>'Inflation Reduction Act - Elec'!H161</f>
        <v>0.41625000000000001</v>
      </c>
      <c r="K2" s="57">
        <f>'Inflation Reduction Act - Elec'!I161</f>
        <v>0.41625000000000001</v>
      </c>
      <c r="L2" s="57">
        <f>'Inflation Reduction Act - Elec'!J161</f>
        <v>0.41625000000000001</v>
      </c>
      <c r="M2" s="57">
        <f>'Inflation Reduction Act - Elec'!K161</f>
        <v>0.41625000000000001</v>
      </c>
      <c r="N2" s="57">
        <f>'Inflation Reduction Act - Elec'!L161</f>
        <v>0.41625000000000001</v>
      </c>
      <c r="O2" s="57">
        <f>'Inflation Reduction Act - Elec'!M161</f>
        <v>0.41625000000000001</v>
      </c>
      <c r="P2" s="57">
        <f>'Inflation Reduction Act - Elec'!N161</f>
        <v>0.31218750000000001</v>
      </c>
      <c r="Q2" s="57">
        <f>'Inflation Reduction Act - Elec'!O161</f>
        <v>0.208125</v>
      </c>
      <c r="R2" s="57">
        <f>'Inflation Reduction Act - Elec'!P161</f>
        <v>0</v>
      </c>
      <c r="S2" s="57">
        <f>'Inflation Reduction Act - Elec'!Q161</f>
        <v>0</v>
      </c>
      <c r="T2" s="57">
        <f>'Inflation Reduction Act - Elec'!R161</f>
        <v>0</v>
      </c>
      <c r="U2" s="57">
        <f>'Inflation Reduction Act - Elec'!S161</f>
        <v>0</v>
      </c>
      <c r="V2" s="57">
        <f>'Inflation Reduction Act - Elec'!T161</f>
        <v>0</v>
      </c>
      <c r="W2" s="57">
        <f>'Inflation Reduction Act - Elec'!U161</f>
        <v>0</v>
      </c>
      <c r="X2" s="57">
        <f>'Inflation Reduction Act - Elec'!V161</f>
        <v>0</v>
      </c>
      <c r="Y2" s="57">
        <f>'Inflation Reduction Act - Elec'!W161</f>
        <v>0</v>
      </c>
      <c r="Z2" s="57">
        <f>'Inflation Reduction Act - Elec'!X161</f>
        <v>0</v>
      </c>
      <c r="AA2" s="57">
        <f>'Inflation Reduction Act - Elec'!Y161</f>
        <v>0</v>
      </c>
      <c r="AB2" s="57">
        <f>'Inflation Reduction Act - Elec'!Z161</f>
        <v>0</v>
      </c>
      <c r="AC2" s="57">
        <f>'Inflation Reduction Act - Elec'!AA161</f>
        <v>0</v>
      </c>
      <c r="AD2" s="57">
        <f>'Inflation Reduction Act - Elec'!AB161</f>
        <v>0</v>
      </c>
      <c r="AE2" s="57">
        <f>'Inflation Reduction Act - Elec'!AC161</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Inflation Reduction Act - Elec</vt:lpstr>
      <vt:lpstr>BPSpUGBCD</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2015-06-09T20:22:53Z</dcterms:created>
  <dcterms:modified xsi:type="dcterms:W3CDTF">2026-02-13T23:25:08Z</dcterms:modified>
</cp:coreProperties>
</file>