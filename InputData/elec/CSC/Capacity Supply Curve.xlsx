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CSC\"/>
    </mc:Choice>
  </mc:AlternateContent>
  <xr:revisionPtr revIDLastSave="0" documentId="13_ncr:1_{A5BE2E95-F00F-425C-AE89-A258C20FEB47}" xr6:coauthVersionLast="47" xr6:coauthVersionMax="47" xr10:uidLastSave="{00000000-0000-0000-0000-000000000000}"/>
  <bookViews>
    <workbookView xWindow="4545" yWindow="3765" windowWidth="21600" windowHeight="12645" activeTab="3" xr2:uid="{F87DB1D1-DC21-4EA7-B1DF-998EE56837F8}"/>
  </bookViews>
  <sheets>
    <sheet name="About" sheetId="1" r:id="rId1"/>
    <sheet name="CSC-CSCPH" sheetId="6" r:id="rId2"/>
    <sheet name="CSC-CSCP" sheetId="5" r:id="rId3"/>
    <sheet name="CSC-CSCSoCECBiaSY" sheetId="4" r:id="rId4"/>
    <sheet name="CSC-CSCSCbPT" sheetId="7" r:id="rId5"/>
    <sheet name="CSC-ACSCSoCECBiaSY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4" l="1"/>
  <c r="H7" i="4"/>
  <c r="B3" i="5"/>
  <c r="B4" i="5"/>
  <c r="B5" i="5"/>
  <c r="B6" i="5"/>
  <c r="B2" i="5"/>
  <c r="C29" i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B26" i="1" l="1"/>
  <c r="B27" i="1"/>
  <c r="B28" i="1" l="1"/>
  <c r="B29" i="1" l="1"/>
  <c r="B30" i="1" l="1"/>
  <c r="B31" i="1" l="1"/>
  <c r="B32" i="1" l="1"/>
  <c r="B33" i="1" l="1"/>
  <c r="B34" i="1" l="1"/>
  <c r="B35" i="1" l="1"/>
  <c r="B36" i="1" l="1"/>
  <c r="B37" i="1" l="1"/>
  <c r="B38" i="1" l="1"/>
  <c r="B39" i="1" l="1"/>
  <c r="B40" i="1" l="1"/>
  <c r="B41" i="1" l="1"/>
  <c r="B42" i="1" l="1"/>
  <c r="B43" i="1" l="1"/>
  <c r="B44" i="1" l="1"/>
  <c r="B45" i="1" l="1"/>
  <c r="B46" i="1" l="1"/>
  <c r="B47" i="1" l="1"/>
  <c r="B48" i="1" l="1"/>
  <c r="B49" i="1" l="1"/>
  <c r="B50" i="1" l="1"/>
  <c r="B51" i="1" l="1"/>
  <c r="B52" i="1" l="1"/>
  <c r="B53" i="1" l="1"/>
  <c r="B54" i="1" l="1"/>
  <c r="B55" i="1" l="1"/>
  <c r="B56" i="1" l="1"/>
  <c r="B57" i="1" l="1"/>
  <c r="B58" i="1" l="1"/>
  <c r="B59" i="1" l="1"/>
  <c r="B60" i="1" l="1"/>
  <c r="B61" i="1" l="1"/>
  <c r="B62" i="1" l="1"/>
  <c r="B63" i="1" l="1"/>
  <c r="B64" i="1" l="1"/>
  <c r="B65" i="1" l="1"/>
  <c r="B66" i="1" l="1"/>
  <c r="B67" i="1" l="1"/>
  <c r="B68" i="1" l="1"/>
  <c r="B69" i="1" l="1"/>
  <c r="B70" i="1" l="1"/>
  <c r="B71" i="1" l="1"/>
  <c r="B72" i="1" l="1"/>
  <c r="B73" i="1" l="1"/>
  <c r="B74" i="1" l="1"/>
  <c r="B75" i="1" l="1"/>
  <c r="B76" i="1" l="1"/>
  <c r="B77" i="1" l="1"/>
  <c r="B78" i="1" l="1"/>
  <c r="B79" i="1" l="1"/>
  <c r="B80" i="1" l="1"/>
  <c r="B81" i="1" l="1"/>
  <c r="B82" i="1" l="1"/>
  <c r="B83" i="1" l="1"/>
  <c r="B84" i="1" l="1"/>
  <c r="B85" i="1" l="1"/>
  <c r="B86" i="1" l="1"/>
  <c r="B87" i="1" l="1"/>
  <c r="B88" i="1" l="1"/>
  <c r="B89" i="1" l="1"/>
  <c r="B90" i="1" l="1"/>
  <c r="B91" i="1" l="1"/>
  <c r="B92" i="1" l="1"/>
  <c r="B93" i="1" l="1"/>
  <c r="B94" i="1" l="1"/>
  <c r="B95" i="1" l="1"/>
  <c r="B96" i="1" l="1"/>
  <c r="B97" i="1" l="1"/>
  <c r="B98" i="1" l="1"/>
  <c r="B99" i="1" l="1"/>
  <c r="B100" i="1" l="1"/>
  <c r="B101" i="1" l="1"/>
  <c r="B102" i="1" l="1"/>
  <c r="B103" i="1" l="1"/>
  <c r="B104" i="1" l="1"/>
  <c r="B105" i="1" l="1"/>
  <c r="B106" i="1" l="1"/>
  <c r="B107" i="1" l="1"/>
  <c r="B108" i="1" l="1"/>
  <c r="B109" i="1" l="1"/>
  <c r="B110" i="1" l="1"/>
  <c r="B111" i="1" l="1"/>
  <c r="B112" i="1" l="1"/>
  <c r="B113" i="1" l="1"/>
  <c r="B114" i="1" l="1"/>
  <c r="B115" i="1" l="1"/>
  <c r="B116" i="1" l="1"/>
  <c r="B117" i="1" l="1"/>
  <c r="B118" i="1" l="1"/>
  <c r="B119" i="1" l="1"/>
  <c r="B120" i="1" l="1"/>
  <c r="B121" i="1" l="1"/>
  <c r="B122" i="1" l="1"/>
  <c r="B123" i="1" l="1"/>
  <c r="B124" i="1" l="1"/>
  <c r="B125" i="1" l="1"/>
  <c r="B127" i="1" l="1"/>
  <c r="B126" i="1"/>
</calcChain>
</file>

<file path=xl/sharedStrings.xml><?xml version="1.0" encoding="utf-8"?>
<sst xmlns="http://schemas.openxmlformats.org/spreadsheetml/2006/main" count="159" uniqueCount="101">
  <si>
    <t xml:space="preserve">Source: </t>
  </si>
  <si>
    <t>(none)</t>
  </si>
  <si>
    <t>These are calibrated variables used in establishing supply curves for resources.</t>
  </si>
  <si>
    <t>Time (Year)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</si>
  <si>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</si>
  <si>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</si>
  <si>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</si>
  <si>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</si>
  <si>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</si>
  <si>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</si>
  <si>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</si>
  <si>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</si>
  <si>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</si>
  <si>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</si>
  <si>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</si>
  <si>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</si>
  <si>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</si>
  <si>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</si>
  <si>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</si>
  <si>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</si>
  <si>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</si>
  <si>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</si>
  <si>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</si>
  <si>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</si>
  <si>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</si>
  <si>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</si>
  <si>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</si>
  <si>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</si>
  <si>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CSC Capacity Supply Curve Capacity Cost Multiplier vs Share of Existing Capacity Built this Year</t>
  </si>
  <si>
    <t>CSC Capacity Supply Curve Minimum Buildable Capacity for Plant Types with No Existing Capacity</t>
  </si>
  <si>
    <t>CSC Capacity Supply Curve Share of Cost Effective Capacity Built in a Single Year</t>
  </si>
  <si>
    <t>Supply Curve Parameters</t>
  </si>
  <si>
    <t>Notes:</t>
  </si>
  <si>
    <t>For the Share of Cost Effective Capacity Built in a Single Year, we use a value of 1 for all resources except wind,</t>
  </si>
  <si>
    <t>which in recent years has faced unique siting constraints that have limited new capacity.</t>
  </si>
  <si>
    <t>For onshore wind, we use a long-term value of 0.8, reflecting high permitting, siting, and interconnection challenges</t>
  </si>
  <si>
    <t>In the near-term we limit that to 0.2 based on permitting and other challenges in the current administration (through 2029).</t>
  </si>
  <si>
    <t>Minimum capacity buildable for plants types with no existing capacity (share if installed)</t>
  </si>
  <si>
    <t>cutoff parameter</t>
  </si>
  <si>
    <t>saturation</t>
  </si>
  <si>
    <t>scale parameter</t>
  </si>
  <si>
    <t>shape parameter</t>
  </si>
  <si>
    <t>location parameter</t>
  </si>
  <si>
    <t>parameters</t>
  </si>
  <si>
    <t>value</t>
  </si>
  <si>
    <t>Multiple of annual build limit available for procurement</t>
  </si>
  <si>
    <t>Headroom</t>
  </si>
  <si>
    <t>Seed Capacity (MW)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</si>
  <si>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</si>
  <si>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</si>
  <si>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</si>
  <si>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</si>
  <si>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</si>
  <si>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</si>
  <si>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</si>
  <si>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</si>
  <si>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</si>
  <si>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</si>
  <si>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</si>
  <si>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</si>
  <si>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</si>
  <si>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</si>
  <si>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</si>
  <si>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</si>
  <si>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</si>
  <si>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</si>
  <si>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</si>
  <si>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</si>
  <si>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</si>
  <si>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</si>
  <si>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</si>
  <si>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</si>
  <si>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Added 2026-08 (seed redesign prototype):</t>
  </si>
  <si>
    <t>CSCSCbPT CSC Seed Capacity by Plant Type - growth basis for the annual build soft cap and entry floor.</t>
  </si>
  <si>
    <t>Semantics: largest recent observed annual addition (incumbent types) or typical first-project size (types never yet built).</t>
  </si>
  <si>
    <t>CSCPH CSC Procurement Headroom Factor - multiple of the annual build limit available for procurement on the supply curve (keeps mandates priced on the curve interior).</t>
  </si>
  <si>
    <t>ALL VALUES BELOW ARE DRAFT ENGINEERING PLACEHOLDERS - to be replaced by EIA-860-derived values per the build-cap-calibration plan.</t>
  </si>
  <si>
    <t>Electricity Source</t>
  </si>
  <si>
    <t>Seed (MW)</t>
  </si>
  <si>
    <t>Basis</t>
  </si>
  <si>
    <t>~2 large units; no recent US additions, legacy EPC capability</t>
  </si>
  <si>
    <t>legacy type; ~2 units</t>
  </si>
  <si>
    <t>recent-era max annual US additions (placeholder pending EIA-860 derivation)</t>
  </si>
  <si>
    <t>one AP1000 pair (Vogtle-style)</t>
  </si>
  <si>
    <t>refurbishment/small-project scale</t>
  </si>
  <si>
    <t>~US record annual additions (2020)</t>
  </si>
  <si>
    <t>recent utility-scale annual additions</t>
  </si>
  <si>
    <t>2-3 Ivanpah-scale projects</t>
  </si>
  <si>
    <t>recent max annual additions</t>
  </si>
  <si>
    <t>legacy type</t>
  </si>
  <si>
    <t>recent annual additions envelope</t>
  </si>
  <si>
    <t>~3 concurrent lease build-outs x ~800 MW</t>
  </si>
  <si>
    <t>2-3 waste-to-energy plants</t>
  </si>
  <si>
    <t>2 x 500 MW first-mover capture projects</t>
  </si>
  <si>
    <t>2-3 first-mover capture projects</t>
  </si>
  <si>
    <t>2 x 500 MW first-mover projects</t>
  </si>
  <si>
    <t>1 x 500 MW first-mover project</t>
  </si>
  <si>
    <t>3-4 first-mover multi-module sites x ~300 MW</t>
  </si>
  <si>
    <t>1-2 projects; shares gas-turbine supply chain</t>
  </si>
  <si>
    <t>2 projects; shares gas-turbine supply chain</t>
  </si>
  <si>
    <t>Update 2026-09-24 (solar PV): Share of Cost Effective Capacity Built in a Single Year for solar PV set to 0.5 in all years (deployed CSV had carried 0.75 since the 2026-09-11 calibration while this workbook still showed 1.0; both now 0.5). Rationale: at 0.75 the economic channel added 38-45 GW/yr of solar in 2027-2029 on top of the mandated pipeline (52/47/42 GW/yr total; 2030 capacity 360 GW) against ICF's forecast of 34-39 GW/yr and 2025's record ~30 GW, with solar curtailment of 53-57 TWh/yr. At 0.5, additions are 41/32/28 GW/yr and 2030 capacity 313 GW, between ReEDS StdScen24 Mid (~330) and Rhodium TS2026 Mid (262). Same 'reflect real-world builds' logic as the onshore wind values. Decision: Megan, 2026-09-24. A post-2030 dip in economic solar (profitability saturation via the CSC saturation parameter) is unaffected by this share.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</si>
</sst>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About!$C$27:$C$127</c:f>
              <c:numCache>
                <c:formatCode>General</c:formatCode>
                <c:ptCount val="101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  <c:pt idx="25">
                  <c:v>13000</c:v>
                </c:pt>
                <c:pt idx="26">
                  <c:v>13500</c:v>
                </c:pt>
                <c:pt idx="27">
                  <c:v>14000</c:v>
                </c:pt>
                <c:pt idx="28">
                  <c:v>14500</c:v>
                </c:pt>
                <c:pt idx="29">
                  <c:v>15000</c:v>
                </c:pt>
                <c:pt idx="30">
                  <c:v>15500</c:v>
                </c:pt>
                <c:pt idx="31">
                  <c:v>16000</c:v>
                </c:pt>
                <c:pt idx="32">
                  <c:v>16500</c:v>
                </c:pt>
                <c:pt idx="33">
                  <c:v>17000</c:v>
                </c:pt>
                <c:pt idx="34">
                  <c:v>17500</c:v>
                </c:pt>
                <c:pt idx="35">
                  <c:v>18000</c:v>
                </c:pt>
                <c:pt idx="36">
                  <c:v>18500</c:v>
                </c:pt>
                <c:pt idx="37">
                  <c:v>19000</c:v>
                </c:pt>
                <c:pt idx="38">
                  <c:v>19500</c:v>
                </c:pt>
                <c:pt idx="39">
                  <c:v>20000</c:v>
                </c:pt>
                <c:pt idx="40">
                  <c:v>20500</c:v>
                </c:pt>
                <c:pt idx="41">
                  <c:v>21000</c:v>
                </c:pt>
                <c:pt idx="42">
                  <c:v>21500</c:v>
                </c:pt>
                <c:pt idx="43">
                  <c:v>22000</c:v>
                </c:pt>
                <c:pt idx="44">
                  <c:v>22500</c:v>
                </c:pt>
                <c:pt idx="45">
                  <c:v>23000</c:v>
                </c:pt>
                <c:pt idx="46">
                  <c:v>23500</c:v>
                </c:pt>
                <c:pt idx="47">
                  <c:v>24000</c:v>
                </c:pt>
                <c:pt idx="48">
                  <c:v>24500</c:v>
                </c:pt>
                <c:pt idx="49">
                  <c:v>25000</c:v>
                </c:pt>
                <c:pt idx="50">
                  <c:v>25500</c:v>
                </c:pt>
                <c:pt idx="51">
                  <c:v>26000</c:v>
                </c:pt>
                <c:pt idx="52">
                  <c:v>26500</c:v>
                </c:pt>
                <c:pt idx="53">
                  <c:v>27000</c:v>
                </c:pt>
                <c:pt idx="54">
                  <c:v>27500</c:v>
                </c:pt>
                <c:pt idx="55">
                  <c:v>28000</c:v>
                </c:pt>
                <c:pt idx="56">
                  <c:v>28500</c:v>
                </c:pt>
                <c:pt idx="57">
                  <c:v>29000</c:v>
                </c:pt>
                <c:pt idx="58">
                  <c:v>29500</c:v>
                </c:pt>
                <c:pt idx="59">
                  <c:v>30000</c:v>
                </c:pt>
                <c:pt idx="60">
                  <c:v>30500</c:v>
                </c:pt>
                <c:pt idx="61">
                  <c:v>31000</c:v>
                </c:pt>
                <c:pt idx="62">
                  <c:v>31500</c:v>
                </c:pt>
                <c:pt idx="63">
                  <c:v>32000</c:v>
                </c:pt>
                <c:pt idx="64">
                  <c:v>32500</c:v>
                </c:pt>
                <c:pt idx="65">
                  <c:v>33000</c:v>
                </c:pt>
                <c:pt idx="66">
                  <c:v>33500</c:v>
                </c:pt>
                <c:pt idx="67">
                  <c:v>34000</c:v>
                </c:pt>
                <c:pt idx="68">
                  <c:v>34500</c:v>
                </c:pt>
                <c:pt idx="69">
                  <c:v>35000</c:v>
                </c:pt>
                <c:pt idx="70">
                  <c:v>35500</c:v>
                </c:pt>
                <c:pt idx="71">
                  <c:v>36000</c:v>
                </c:pt>
                <c:pt idx="72">
                  <c:v>36500</c:v>
                </c:pt>
                <c:pt idx="73">
                  <c:v>37000</c:v>
                </c:pt>
                <c:pt idx="74">
                  <c:v>37500</c:v>
                </c:pt>
                <c:pt idx="75">
                  <c:v>38000</c:v>
                </c:pt>
                <c:pt idx="76">
                  <c:v>38500</c:v>
                </c:pt>
                <c:pt idx="77">
                  <c:v>39000</c:v>
                </c:pt>
                <c:pt idx="78">
                  <c:v>39500</c:v>
                </c:pt>
                <c:pt idx="79">
                  <c:v>40000</c:v>
                </c:pt>
                <c:pt idx="80">
                  <c:v>40500</c:v>
                </c:pt>
                <c:pt idx="81">
                  <c:v>41000</c:v>
                </c:pt>
                <c:pt idx="82">
                  <c:v>41500</c:v>
                </c:pt>
                <c:pt idx="83">
                  <c:v>42000</c:v>
                </c:pt>
                <c:pt idx="84">
                  <c:v>42500</c:v>
                </c:pt>
                <c:pt idx="85">
                  <c:v>43000</c:v>
                </c:pt>
                <c:pt idx="86">
                  <c:v>43500</c:v>
                </c:pt>
                <c:pt idx="87">
                  <c:v>44000</c:v>
                </c:pt>
                <c:pt idx="88">
                  <c:v>44500</c:v>
                </c:pt>
                <c:pt idx="89">
                  <c:v>45000</c:v>
                </c:pt>
                <c:pt idx="90">
                  <c:v>45500</c:v>
                </c:pt>
                <c:pt idx="91">
                  <c:v>46000</c:v>
                </c:pt>
                <c:pt idx="92">
                  <c:v>46500</c:v>
                </c:pt>
                <c:pt idx="93">
                  <c:v>47000</c:v>
                </c:pt>
                <c:pt idx="94">
                  <c:v>47500</c:v>
                </c:pt>
                <c:pt idx="95">
                  <c:v>48000</c:v>
                </c:pt>
                <c:pt idx="96">
                  <c:v>48500</c:v>
                </c:pt>
                <c:pt idx="97">
                  <c:v>49000</c:v>
                </c:pt>
                <c:pt idx="98">
                  <c:v>49500</c:v>
                </c:pt>
                <c:pt idx="99">
                  <c:v>50000</c:v>
                </c:pt>
                <c:pt idx="100">
                  <c:v>50500</c:v>
                </c:pt>
              </c:numCache>
            </c:numRef>
          </c:xVal>
          <c:yVal>
            <c:numRef>
              <c:f>About!$B$27:$B$127</c:f>
              <c:numCache>
                <c:formatCode>General</c:formatCode>
                <c:ptCount val="101"/>
                <c:pt idx="0">
                  <c:v>4.286648162477036E-6</c:v>
                </c:pt>
                <c:pt idx="1">
                  <c:v>3.4290612860687911E-5</c:v>
                </c:pt>
                <c:pt idx="2">
                  <c:v>1.1570725740235322E-4</c:v>
                </c:pt>
                <c:pt idx="3">
                  <c:v>2.7416034086391594E-4</c:v>
                </c:pt>
                <c:pt idx="4">
                  <c:v>5.3511960071055413E-4</c:v>
                </c:pt>
                <c:pt idx="5">
                  <c:v>9.2378588268478008E-4</c:v>
                </c:pt>
                <c:pt idx="6">
                  <c:v>1.4649445766562463E-3</c:v>
                </c:pt>
                <c:pt idx="7">
                  <c:v>2.1827885823227922E-3</c:v>
                </c:pt>
                <c:pt idx="8">
                  <c:v>3.1007125989183093E-3</c:v>
                </c:pt>
                <c:pt idx="9">
                  <c:v>4.2410811978808027E-3</c:v>
                </c:pt>
                <c:pt idx="10">
                  <c:v>5.6249738820245872E-3</c:v>
                </c:pt>
                <c:pt idx="11">
                  <c:v>7.2719111397427484E-3</c:v>
                </c:pt>
                <c:pt idx="12">
                  <c:v>9.1995663437769003E-3</c:v>
                </c:pt>
                <c:pt idx="13">
                  <c:v>1.1423469191788382E-2</c:v>
                </c:pt>
                <c:pt idx="14">
                  <c:v>1.3956707206263963E-2</c:v>
                </c:pt>
                <c:pt idx="15">
                  <c:v>1.6809632565965439E-2</c:v>
                </c:pt>
                <c:pt idx="16">
                  <c:v>1.9989582188770449E-2</c:v>
                </c:pt>
                <c:pt idx="17">
                  <c:v>2.3500619483080909E-2</c:v>
                </c:pt>
                <c:pt idx="18">
                  <c:v>2.7343306488591249E-2</c:v>
                </c:pt>
                <c:pt idx="19">
                  <c:v>3.1514515195616613E-2</c:v>
                </c:pt>
                <c:pt idx="20">
                  <c:v>3.6007286628151627E-2</c:v>
                </c:pt>
                <c:pt idx="21">
                  <c:v>4.0810745768913415E-2</c:v>
                </c:pt>
                <c:pt idx="22">
                  <c:v>4.5910079573753593E-2</c:v>
                </c:pt>
                <c:pt idx="23">
                  <c:v>5.1286584158818753E-2</c:v>
                </c:pt>
                <c:pt idx="24">
                  <c:v>5.6917785751641151E-2</c:v>
                </c:pt>
                <c:pt idx="25">
                  <c:v>6.2777638197790697E-2</c:v>
                </c:pt>
                <c:pt idx="26">
                  <c:v>6.8836797745699688E-2</c:v>
                </c:pt>
                <c:pt idx="27">
                  <c:v>7.506297354898428E-2</c:v>
                </c:pt>
                <c:pt idx="28">
                  <c:v>8.142134989988481E-2</c:v>
                </c:pt>
                <c:pt idx="29">
                  <c:v>8.787507372604586E-2</c:v>
                </c:pt>
                <c:pt idx="30">
                  <c:v>9.438579844442066E-2</c:v>
                </c:pt>
                <c:pt idx="31">
                  <c:v>0.10091427297723279</c:v>
                </c:pt>
                <c:pt idx="32">
                  <c:v>0.10742096270522571</c:v>
                </c:pt>
                <c:pt idx="33">
                  <c:v>0.11386668746965854</c:v>
                </c:pt>
                <c:pt idx="34">
                  <c:v>0.12021326053442474</c:v>
                </c:pt>
                <c:pt idx="35">
                  <c:v>0.12642411176571153</c:v>
                </c:pt>
                <c:pt idx="36">
                  <c:v>0.1324648782399141</c:v>
                </c:pt>
                <c:pt idx="37">
                  <c:v>0.1383039460856948</c:v>
                </c:pt>
                <c:pt idx="38">
                  <c:v>0.1439129286073208</c:v>
                </c:pt>
                <c:pt idx="39">
                  <c:v>0.14926706759510625</c:v>
                </c:pt>
                <c:pt idx="40">
                  <c:v>0.15434554714316789</c:v>
                </c:pt>
                <c:pt idx="41">
                  <c:v>0.1591317121715517</c:v>
                </c:pt>
                <c:pt idx="42">
                  <c:v>0.16361318706836692</c:v>
                </c:pt>
                <c:pt idx="43">
                  <c:v>0.16778189328550838</c:v>
                </c:pt>
                <c:pt idx="44">
                  <c:v>0.17163396818253152</c:v>
                </c:pt>
                <c:pt idx="45">
                  <c:v>0.17516959075587743</c:v>
                </c:pt>
                <c:pt idx="46">
                  <c:v>0.17839272295802988</c:v>
                </c:pt>
                <c:pt idx="47">
                  <c:v>0.18131077796047496</c:v>
                </c:pt>
                <c:pt idx="48">
                  <c:v>0.18393422882553601</c:v>
                </c:pt>
                <c:pt idx="49">
                  <c:v>0.18627617253555084</c:v>
                </c:pt>
                <c:pt idx="50">
                  <c:v>0.18835186512938695</c:v>
                </c:pt>
                <c:pt idx="51">
                  <c:v>0.19017824380056211</c:v>
                </c:pt>
                <c:pt idx="52">
                  <c:v>0.19177345124178691</c:v>
                </c:pt>
                <c:pt idx="53">
                  <c:v>0.1931563763376668</c:v>
                </c:pt>
                <c:pt idx="54">
                  <c:v>0.19434622360232301</c:v>
                </c:pt>
                <c:pt idx="55">
                  <c:v>0.19536212164822028</c:v>
                </c:pt>
                <c:pt idx="56">
                  <c:v>0.19622277858911699</c:v>
                </c:pt>
                <c:pt idx="57">
                  <c:v>0.19694618976330103</c:v>
                </c:pt>
                <c:pt idx="58">
                  <c:v>0.19754940065027685</c:v>
                </c:pt>
                <c:pt idx="59">
                  <c:v>0.19804832547095644</c:v>
                </c:pt>
                <c:pt idx="60">
                  <c:v>0.19845761981600954</c:v>
                </c:pt>
                <c:pt idx="61">
                  <c:v>0.19879060382342864</c:v>
                </c:pt>
                <c:pt idx="62">
                  <c:v>0.19905923098155251</c:v>
                </c:pt>
                <c:pt idx="63">
                  <c:v>0.19927409659660289</c:v>
                </c:pt>
                <c:pt idx="64">
                  <c:v>0.19944447933595111</c:v>
                </c:pt>
                <c:pt idx="65">
                  <c:v>0.19957840901739385</c:v>
                </c:pt>
                <c:pt idx="66">
                  <c:v>0.19968275391843365</c:v>
                </c:pt>
                <c:pt idx="67">
                  <c:v>0.19976332127118276</c:v>
                </c:pt>
                <c:pt idx="68">
                  <c:v>0.19982496522253218</c:v>
                </c:pt>
                <c:pt idx="69">
                  <c:v>0.19987169730697774</c:v>
                </c:pt>
                <c:pt idx="70">
                  <c:v>0.19990679533419684</c:v>
                </c:pt>
                <c:pt idx="71">
                  <c:v>0.1999329074744195</c:v>
                </c:pt>
                <c:pt idx="72">
                  <c:v>0.19995214918026516</c:v>
                </c:pt>
                <c:pt idx="73">
                  <c:v>0.19996619137347427</c:v>
                </c:pt>
                <c:pt idx="74">
                  <c:v>0.19997633902006273</c:v>
                </c:pt>
                <c:pt idx="75">
                  <c:v>0.19998359980055544</c:v>
                </c:pt>
                <c:pt idx="76">
                  <c:v>0.19998874304618811</c:v>
                </c:pt>
                <c:pt idx="77">
                  <c:v>0.19999234945911523</c:v>
                </c:pt>
                <c:pt idx="78">
                  <c:v>0.19999485237326678</c:v>
                </c:pt>
                <c:pt idx="79">
                  <c:v>0.1999965714557792</c:v>
                </c:pt>
                <c:pt idx="80">
                  <c:v>0.19999773981279137</c:v>
                </c:pt>
                <c:pt idx="81">
                  <c:v>0.19999852546471561</c:v>
                </c:pt>
                <c:pt idx="82">
                  <c:v>0.19999904811129313</c:v>
                </c:pt>
                <c:pt idx="83">
                  <c:v>0.19999939203080119</c:v>
                </c:pt>
                <c:pt idx="84">
                  <c:v>0.19999961586354192</c:v>
                </c:pt>
                <c:pt idx="85">
                  <c:v>0.19999975992763294</c:v>
                </c:pt>
                <c:pt idx="86">
                  <c:v>0.19999985161306397</c:v>
                </c:pt>
                <c:pt idx="87">
                  <c:v>0.19999990930357772</c:v>
                </c:pt>
                <c:pt idx="88">
                  <c:v>0.19999994518873965</c:v>
                </c:pt>
                <c:pt idx="89">
                  <c:v>0.19999996725245739</c:v>
                </c:pt>
                <c:pt idx="90">
                  <c:v>0.19999998065979441</c:v>
                </c:pt>
                <c:pt idx="91">
                  <c:v>0.19999998871085503</c:v>
                </c:pt>
                <c:pt idx="92">
                  <c:v>0.19999999348787459</c:v>
                </c:pt>
                <c:pt idx="93">
                  <c:v>0.19999999628815057</c:v>
                </c:pt>
                <c:pt idx="94">
                  <c:v>0.19999999790970302</c:v>
                </c:pt>
                <c:pt idx="95">
                  <c:v>0.19999999883716038</c:v>
                </c:pt>
                <c:pt idx="96">
                  <c:v>0.19999999936104543</c:v>
                </c:pt>
                <c:pt idx="97">
                  <c:v>0.19999999965326104</c:v>
                </c:pt>
                <c:pt idx="98">
                  <c:v>0.19999999981419306</c:v>
                </c:pt>
                <c:pt idx="99">
                  <c:v>0.19999999990169129</c:v>
                </c:pt>
                <c:pt idx="100">
                  <c:v>0.19999999994865042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B0-4FB8-B3A9-2CABD5DD9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723327"/>
        <c:axId val="535710847"/>
      </c:scatterChart>
      <c:valAx>
        <c:axId val="535723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710847"/>
        <c:crosses val="autoZero"/>
        <c:crossBetween val="midCat"/>
      </c:valAx>
      <c:valAx>
        <c:axId val="53571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72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484003</xdr:colOff>
      <xdr:row>24</xdr:row>
      <xdr:rowOff>184356</xdr:rowOff>
    </xdr:from>
    <xdr:to>
      <xdr:col>0</xdr:col>
      <xdr:colOff>5052459</xdr:colOff>
      <xdr:row>39</xdr:row>
      <xdr:rowOff>171656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103698-6335-5964-6586-96038B7027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D2DEE-686E-48A0-AC3D-0F54DEA5D0EC}">
  <dimension ref="A1:C159"/>
  <sheetViews>
    <sheetView zoomScale="86" workbookViewId="0">
      <selection activeCell="H27" sqref="H27"/>
    </sheetView>
  </sheetViews>
  <sheetFormatPr defaultRowHeight="15" x14ac:dyDescent="0.25"/>
  <cols>
    <col min="1" max="1" width="88.7109375" bestFit="1" customWidth="1"/>
    <col min="2" max="2" width="12.7109375" bestFit="1" customWidth="1"/>
  </cols>
  <sheetData>
    <row r="1" spans="1:2" x14ac:dyDescent="0.25">
      <c r="A1" s="1" t="s">
        <v>28</v>
      </c>
    </row>
    <row r="2" spans="1:2" x14ac:dyDescent="0.25">
      <c r="A2" s="1" t="s">
        <v>29</v>
      </c>
    </row>
    <row r="3" spans="1:2" x14ac:dyDescent="0.25">
      <c r="A3" s="1" t="s">
        <v>30</v>
      </c>
    </row>
    <row r="5" spans="1:2" x14ac:dyDescent="0.25">
      <c r="A5" s="1" t="s">
        <v>0</v>
      </c>
      <c r="B5" t="s">
        <v>1</v>
      </c>
    </row>
    <row r="7" spans="1:2" x14ac:dyDescent="0.25">
      <c r="A7" s="1" t="s">
        <v>32</v>
      </c>
    </row>
    <row r="8" spans="1:2" x14ac:dyDescent="0.25">
      <c r="A8" t="s">
        <v>33</v>
      </c>
    </row>
    <row r="9" spans="1:2" x14ac:dyDescent="0.25">
      <c r="A9" t="s">
        <v>34</v>
      </c>
    </row>
    <row r="10" spans="1:2" x14ac:dyDescent="0.25">
      <c r="A10" t="s">
        <v>35</v>
      </c>
    </row>
    <row r="11" spans="1:2" x14ac:dyDescent="0.25">
      <c r="A11" t="s">
        <v>36</v>
      </c>
    </row>
    <row r="12" spans="1:2" x14ac:dyDescent="0.25">
      <c r="A12" t="s">
        <v>100</v>
      </c>
    </row>
    <row r="14" spans="1:2" x14ac:dyDescent="0.25">
      <c r="A14" s="1"/>
    </row>
    <row r="15" spans="1:2" x14ac:dyDescent="0.25">
      <c r="A15" t="s">
        <v>2</v>
      </c>
    </row>
    <row r="17" spans="1:3" x14ac:dyDescent="0.25">
      <c r="A17" s="1" t="s">
        <v>31</v>
      </c>
    </row>
    <row r="18" spans="1:3" x14ac:dyDescent="0.25">
      <c r="A18" t="s">
        <v>39</v>
      </c>
      <c r="B18">
        <v>0.2</v>
      </c>
    </row>
    <row r="19" spans="1:3" x14ac:dyDescent="0.25">
      <c r="A19" t="s">
        <v>40</v>
      </c>
      <c r="B19">
        <v>0.6</v>
      </c>
    </row>
    <row r="20" spans="1:3" x14ac:dyDescent="0.25">
      <c r="A20" t="s">
        <v>41</v>
      </c>
      <c r="B20">
        <v>3</v>
      </c>
    </row>
    <row r="21" spans="1:3" x14ac:dyDescent="0.25">
      <c r="A21" t="s">
        <v>42</v>
      </c>
      <c r="B21">
        <v>0.5</v>
      </c>
    </row>
    <row r="22" spans="1:3" x14ac:dyDescent="0.25">
      <c r="A22" t="s">
        <v>38</v>
      </c>
      <c r="B22">
        <v>30000</v>
      </c>
    </row>
    <row r="23" spans="1:3" x14ac:dyDescent="0.25">
      <c r="A23" t="s">
        <v>37</v>
      </c>
      <c r="B23">
        <v>4.0000000000000001E-3</v>
      </c>
    </row>
    <row r="26" spans="1:3" x14ac:dyDescent="0.25">
      <c r="B26">
        <f>(1-EXP(-((C26/$B$22-($B$21-0.5))/$B$19)^$B$20))*$B$18</f>
        <v>0</v>
      </c>
      <c r="C26">
        <v>0</v>
      </c>
    </row>
    <row r="27" spans="1:3" x14ac:dyDescent="0.25">
      <c r="B27">
        <f t="shared" ref="B27:B90" si="0">(1-EXP(-((C27/$B$22-($B$21-0.5))/$B$19)^$B$20))*$B$18</f>
        <v>4.286648162477036E-6</v>
      </c>
      <c r="C27">
        <v>500</v>
      </c>
    </row>
    <row r="28" spans="1:3" x14ac:dyDescent="0.25">
      <c r="B28">
        <f t="shared" si="0"/>
        <v>3.4290612860687911E-5</v>
      </c>
      <c r="C28">
        <v>1000</v>
      </c>
    </row>
    <row r="29" spans="1:3" x14ac:dyDescent="0.25">
      <c r="B29">
        <f t="shared" si="0"/>
        <v>1.1570725740235322E-4</v>
      </c>
      <c r="C29">
        <f>C28+500</f>
        <v>1500</v>
      </c>
    </row>
    <row r="30" spans="1:3" x14ac:dyDescent="0.25">
      <c r="B30">
        <f t="shared" si="0"/>
        <v>2.7416034086391594E-4</v>
      </c>
      <c r="C30">
        <f t="shared" ref="C30:C93" si="1">C29+500</f>
        <v>2000</v>
      </c>
    </row>
    <row r="31" spans="1:3" x14ac:dyDescent="0.25">
      <c r="B31">
        <f t="shared" si="0"/>
        <v>5.3511960071055413E-4</v>
      </c>
      <c r="C31">
        <f t="shared" si="1"/>
        <v>2500</v>
      </c>
    </row>
    <row r="32" spans="1:3" x14ac:dyDescent="0.25">
      <c r="B32">
        <f t="shared" si="0"/>
        <v>9.2378588268478008E-4</v>
      </c>
      <c r="C32">
        <f t="shared" si="1"/>
        <v>3000</v>
      </c>
    </row>
    <row r="33" spans="2:3" x14ac:dyDescent="0.25">
      <c r="B33">
        <f t="shared" si="0"/>
        <v>1.4649445766562463E-3</v>
      </c>
      <c r="C33">
        <f t="shared" si="1"/>
        <v>3500</v>
      </c>
    </row>
    <row r="34" spans="2:3" x14ac:dyDescent="0.25">
      <c r="B34">
        <f t="shared" si="0"/>
        <v>2.1827885823227922E-3</v>
      </c>
      <c r="C34">
        <f t="shared" si="1"/>
        <v>4000</v>
      </c>
    </row>
    <row r="35" spans="2:3" x14ac:dyDescent="0.25">
      <c r="B35">
        <f t="shared" si="0"/>
        <v>3.1007125989183093E-3</v>
      </c>
      <c r="C35">
        <f t="shared" si="1"/>
        <v>4500</v>
      </c>
    </row>
    <row r="36" spans="2:3" x14ac:dyDescent="0.25">
      <c r="B36">
        <f t="shared" si="0"/>
        <v>4.2410811978808027E-3</v>
      </c>
      <c r="C36">
        <f t="shared" si="1"/>
        <v>5000</v>
      </c>
    </row>
    <row r="37" spans="2:3" x14ac:dyDescent="0.25">
      <c r="B37">
        <f t="shared" si="0"/>
        <v>5.6249738820245872E-3</v>
      </c>
      <c r="C37">
        <f t="shared" si="1"/>
        <v>5500</v>
      </c>
    </row>
    <row r="38" spans="2:3" x14ac:dyDescent="0.25">
      <c r="B38">
        <f t="shared" si="0"/>
        <v>7.2719111397427484E-3</v>
      </c>
      <c r="C38">
        <f t="shared" si="1"/>
        <v>6000</v>
      </c>
    </row>
    <row r="39" spans="2:3" x14ac:dyDescent="0.25">
      <c r="B39">
        <f t="shared" si="0"/>
        <v>9.1995663437769003E-3</v>
      </c>
      <c r="C39">
        <f t="shared" si="1"/>
        <v>6500</v>
      </c>
    </row>
    <row r="40" spans="2:3" x14ac:dyDescent="0.25">
      <c r="B40">
        <f t="shared" si="0"/>
        <v>1.1423469191788382E-2</v>
      </c>
      <c r="C40">
        <f t="shared" si="1"/>
        <v>7000</v>
      </c>
    </row>
    <row r="41" spans="2:3" x14ac:dyDescent="0.25">
      <c r="B41">
        <f t="shared" si="0"/>
        <v>1.3956707206263963E-2</v>
      </c>
      <c r="C41">
        <f t="shared" si="1"/>
        <v>7500</v>
      </c>
    </row>
    <row r="42" spans="2:3" x14ac:dyDescent="0.25">
      <c r="B42">
        <f t="shared" si="0"/>
        <v>1.6809632565965439E-2</v>
      </c>
      <c r="C42">
        <f t="shared" si="1"/>
        <v>8000</v>
      </c>
    </row>
    <row r="43" spans="2:3" x14ac:dyDescent="0.25">
      <c r="B43">
        <f t="shared" si="0"/>
        <v>1.9989582188770449E-2</v>
      </c>
      <c r="C43">
        <f t="shared" si="1"/>
        <v>8500</v>
      </c>
    </row>
    <row r="44" spans="2:3" x14ac:dyDescent="0.25">
      <c r="B44">
        <f t="shared" si="0"/>
        <v>2.3500619483080909E-2</v>
      </c>
      <c r="C44">
        <f t="shared" si="1"/>
        <v>9000</v>
      </c>
    </row>
    <row r="45" spans="2:3" x14ac:dyDescent="0.25">
      <c r="B45">
        <f t="shared" si="0"/>
        <v>2.7343306488591249E-2</v>
      </c>
      <c r="C45">
        <f t="shared" si="1"/>
        <v>9500</v>
      </c>
    </row>
    <row r="46" spans="2:3" x14ac:dyDescent="0.25">
      <c r="B46">
        <f t="shared" si="0"/>
        <v>3.1514515195616613E-2</v>
      </c>
      <c r="C46">
        <f t="shared" si="1"/>
        <v>10000</v>
      </c>
    </row>
    <row r="47" spans="2:3" x14ac:dyDescent="0.25">
      <c r="B47">
        <f t="shared" si="0"/>
        <v>3.6007286628151627E-2</v>
      </c>
      <c r="C47">
        <f t="shared" si="1"/>
        <v>10500</v>
      </c>
    </row>
    <row r="48" spans="2:3" x14ac:dyDescent="0.25">
      <c r="B48">
        <f t="shared" si="0"/>
        <v>4.0810745768913415E-2</v>
      </c>
      <c r="C48">
        <f t="shared" si="1"/>
        <v>11000</v>
      </c>
    </row>
    <row r="49" spans="2:3" x14ac:dyDescent="0.25">
      <c r="B49">
        <f t="shared" si="0"/>
        <v>4.5910079573753593E-2</v>
      </c>
      <c r="C49">
        <f t="shared" si="1"/>
        <v>11500</v>
      </c>
    </row>
    <row r="50" spans="2:3" x14ac:dyDescent="0.25">
      <c r="B50">
        <f t="shared" si="0"/>
        <v>5.1286584158818753E-2</v>
      </c>
      <c r="C50">
        <f t="shared" si="1"/>
        <v>12000</v>
      </c>
    </row>
    <row r="51" spans="2:3" x14ac:dyDescent="0.25">
      <c r="B51">
        <f t="shared" si="0"/>
        <v>5.6917785751641151E-2</v>
      </c>
      <c r="C51">
        <f t="shared" si="1"/>
        <v>12500</v>
      </c>
    </row>
    <row r="52" spans="2:3" x14ac:dyDescent="0.25">
      <c r="B52">
        <f t="shared" si="0"/>
        <v>6.2777638197790697E-2</v>
      </c>
      <c r="C52">
        <f t="shared" si="1"/>
        <v>13000</v>
      </c>
    </row>
    <row r="53" spans="2:3" x14ac:dyDescent="0.25">
      <c r="B53">
        <f t="shared" si="0"/>
        <v>6.8836797745699688E-2</v>
      </c>
      <c r="C53">
        <f t="shared" si="1"/>
        <v>13500</v>
      </c>
    </row>
    <row r="54" spans="2:3" x14ac:dyDescent="0.25">
      <c r="B54">
        <f t="shared" si="0"/>
        <v>7.506297354898428E-2</v>
      </c>
      <c r="C54">
        <f t="shared" si="1"/>
        <v>14000</v>
      </c>
    </row>
    <row r="55" spans="2:3" x14ac:dyDescent="0.25">
      <c r="B55">
        <f t="shared" si="0"/>
        <v>8.142134989988481E-2</v>
      </c>
      <c r="C55">
        <f t="shared" si="1"/>
        <v>14500</v>
      </c>
    </row>
    <row r="56" spans="2:3" x14ac:dyDescent="0.25">
      <c r="B56">
        <f t="shared" si="0"/>
        <v>8.787507372604586E-2</v>
      </c>
      <c r="C56">
        <f t="shared" si="1"/>
        <v>15000</v>
      </c>
    </row>
    <row r="57" spans="2:3" x14ac:dyDescent="0.25">
      <c r="B57">
        <f t="shared" si="0"/>
        <v>9.438579844442066E-2</v>
      </c>
      <c r="C57">
        <f t="shared" si="1"/>
        <v>15500</v>
      </c>
    </row>
    <row r="58" spans="2:3" x14ac:dyDescent="0.25">
      <c r="B58">
        <f t="shared" si="0"/>
        <v>0.10091427297723279</v>
      </c>
      <c r="C58">
        <f t="shared" si="1"/>
        <v>16000</v>
      </c>
    </row>
    <row r="59" spans="2:3" x14ac:dyDescent="0.25">
      <c r="B59">
        <f t="shared" si="0"/>
        <v>0.10742096270522571</v>
      </c>
      <c r="C59">
        <f t="shared" si="1"/>
        <v>16500</v>
      </c>
    </row>
    <row r="60" spans="2:3" x14ac:dyDescent="0.25">
      <c r="B60">
        <f t="shared" si="0"/>
        <v>0.11386668746965854</v>
      </c>
      <c r="C60">
        <f t="shared" si="1"/>
        <v>17000</v>
      </c>
    </row>
    <row r="61" spans="2:3" x14ac:dyDescent="0.25">
      <c r="B61">
        <f t="shared" si="0"/>
        <v>0.12021326053442474</v>
      </c>
      <c r="C61">
        <f t="shared" si="1"/>
        <v>17500</v>
      </c>
    </row>
    <row r="62" spans="2:3" x14ac:dyDescent="0.25">
      <c r="B62">
        <f t="shared" si="0"/>
        <v>0.12642411176571153</v>
      </c>
      <c r="C62">
        <f t="shared" si="1"/>
        <v>18000</v>
      </c>
    </row>
    <row r="63" spans="2:3" x14ac:dyDescent="0.25">
      <c r="B63">
        <f t="shared" si="0"/>
        <v>0.1324648782399141</v>
      </c>
      <c r="C63">
        <f t="shared" si="1"/>
        <v>18500</v>
      </c>
    </row>
    <row r="64" spans="2:3" x14ac:dyDescent="0.25">
      <c r="B64">
        <f t="shared" si="0"/>
        <v>0.1383039460856948</v>
      </c>
      <c r="C64">
        <f t="shared" si="1"/>
        <v>19000</v>
      </c>
    </row>
    <row r="65" spans="2:3" x14ac:dyDescent="0.25">
      <c r="B65">
        <f t="shared" si="0"/>
        <v>0.1439129286073208</v>
      </c>
      <c r="C65">
        <f t="shared" si="1"/>
        <v>19500</v>
      </c>
    </row>
    <row r="66" spans="2:3" x14ac:dyDescent="0.25">
      <c r="B66">
        <f t="shared" si="0"/>
        <v>0.14926706759510625</v>
      </c>
      <c r="C66">
        <f t="shared" si="1"/>
        <v>20000</v>
      </c>
    </row>
    <row r="67" spans="2:3" x14ac:dyDescent="0.25">
      <c r="B67">
        <f t="shared" si="0"/>
        <v>0.15434554714316789</v>
      </c>
      <c r="C67">
        <f t="shared" si="1"/>
        <v>20500</v>
      </c>
    </row>
    <row r="68" spans="2:3" x14ac:dyDescent="0.25">
      <c r="B68">
        <f t="shared" si="0"/>
        <v>0.1591317121715517</v>
      </c>
      <c r="C68">
        <f t="shared" si="1"/>
        <v>21000</v>
      </c>
    </row>
    <row r="69" spans="2:3" x14ac:dyDescent="0.25">
      <c r="B69">
        <f t="shared" si="0"/>
        <v>0.16361318706836692</v>
      </c>
      <c r="C69">
        <f t="shared" si="1"/>
        <v>21500</v>
      </c>
    </row>
    <row r="70" spans="2:3" x14ac:dyDescent="0.25">
      <c r="B70">
        <f t="shared" si="0"/>
        <v>0.16778189328550838</v>
      </c>
      <c r="C70">
        <f t="shared" si="1"/>
        <v>22000</v>
      </c>
    </row>
    <row r="71" spans="2:3" x14ac:dyDescent="0.25">
      <c r="B71">
        <f t="shared" si="0"/>
        <v>0.17163396818253152</v>
      </c>
      <c r="C71">
        <f t="shared" si="1"/>
        <v>22500</v>
      </c>
    </row>
    <row r="72" spans="2:3" x14ac:dyDescent="0.25">
      <c r="B72">
        <f t="shared" si="0"/>
        <v>0.17516959075587743</v>
      </c>
      <c r="C72">
        <f t="shared" si="1"/>
        <v>23000</v>
      </c>
    </row>
    <row r="73" spans="2:3" x14ac:dyDescent="0.25">
      <c r="B73">
        <f t="shared" si="0"/>
        <v>0.17839272295802988</v>
      </c>
      <c r="C73">
        <f t="shared" si="1"/>
        <v>23500</v>
      </c>
    </row>
    <row r="74" spans="2:3" x14ac:dyDescent="0.25">
      <c r="B74">
        <f t="shared" si="0"/>
        <v>0.18131077796047496</v>
      </c>
      <c r="C74">
        <f t="shared" si="1"/>
        <v>24000</v>
      </c>
    </row>
    <row r="75" spans="2:3" x14ac:dyDescent="0.25">
      <c r="B75">
        <f t="shared" si="0"/>
        <v>0.18393422882553601</v>
      </c>
      <c r="C75">
        <f t="shared" si="1"/>
        <v>24500</v>
      </c>
    </row>
    <row r="76" spans="2:3" x14ac:dyDescent="0.25">
      <c r="B76">
        <f t="shared" si="0"/>
        <v>0.18627617253555084</v>
      </c>
      <c r="C76">
        <f t="shared" si="1"/>
        <v>25000</v>
      </c>
    </row>
    <row r="77" spans="2:3" x14ac:dyDescent="0.25">
      <c r="B77">
        <f t="shared" si="0"/>
        <v>0.18835186512938695</v>
      </c>
      <c r="C77">
        <f t="shared" si="1"/>
        <v>25500</v>
      </c>
    </row>
    <row r="78" spans="2:3" x14ac:dyDescent="0.25">
      <c r="B78">
        <f t="shared" si="0"/>
        <v>0.19017824380056211</v>
      </c>
      <c r="C78">
        <f t="shared" si="1"/>
        <v>26000</v>
      </c>
    </row>
    <row r="79" spans="2:3" x14ac:dyDescent="0.25">
      <c r="B79">
        <f t="shared" si="0"/>
        <v>0.19177345124178691</v>
      </c>
      <c r="C79">
        <f t="shared" si="1"/>
        <v>26500</v>
      </c>
    </row>
    <row r="80" spans="2:3" x14ac:dyDescent="0.25">
      <c r="B80">
        <f t="shared" si="0"/>
        <v>0.1931563763376668</v>
      </c>
      <c r="C80">
        <f t="shared" si="1"/>
        <v>27000</v>
      </c>
    </row>
    <row r="81" spans="2:3" x14ac:dyDescent="0.25">
      <c r="B81">
        <f t="shared" si="0"/>
        <v>0.19434622360232301</v>
      </c>
      <c r="C81">
        <f t="shared" si="1"/>
        <v>27500</v>
      </c>
    </row>
    <row r="82" spans="2:3" x14ac:dyDescent="0.25">
      <c r="B82">
        <f t="shared" si="0"/>
        <v>0.19536212164822028</v>
      </c>
      <c r="C82">
        <f t="shared" si="1"/>
        <v>28000</v>
      </c>
    </row>
    <row r="83" spans="2:3" x14ac:dyDescent="0.25">
      <c r="B83">
        <f t="shared" si="0"/>
        <v>0.19622277858911699</v>
      </c>
      <c r="C83">
        <f t="shared" si="1"/>
        <v>28500</v>
      </c>
    </row>
    <row r="84" spans="2:3" x14ac:dyDescent="0.25">
      <c r="B84">
        <f t="shared" si="0"/>
        <v>0.19694618976330103</v>
      </c>
      <c r="C84">
        <f t="shared" si="1"/>
        <v>29000</v>
      </c>
    </row>
    <row r="85" spans="2:3" x14ac:dyDescent="0.25">
      <c r="B85">
        <f t="shared" si="0"/>
        <v>0.19754940065027685</v>
      </c>
      <c r="C85">
        <f t="shared" si="1"/>
        <v>29500</v>
      </c>
    </row>
    <row r="86" spans="2:3" x14ac:dyDescent="0.25">
      <c r="B86">
        <f t="shared" si="0"/>
        <v>0.19804832547095644</v>
      </c>
      <c r="C86">
        <f t="shared" si="1"/>
        <v>30000</v>
      </c>
    </row>
    <row r="87" spans="2:3" x14ac:dyDescent="0.25">
      <c r="B87">
        <f t="shared" si="0"/>
        <v>0.19845761981600954</v>
      </c>
      <c r="C87">
        <f t="shared" si="1"/>
        <v>30500</v>
      </c>
    </row>
    <row r="88" spans="2:3" x14ac:dyDescent="0.25">
      <c r="B88">
        <f t="shared" si="0"/>
        <v>0.19879060382342864</v>
      </c>
      <c r="C88">
        <f t="shared" si="1"/>
        <v>31000</v>
      </c>
    </row>
    <row r="89" spans="2:3" x14ac:dyDescent="0.25">
      <c r="B89">
        <f t="shared" si="0"/>
        <v>0.19905923098155251</v>
      </c>
      <c r="C89">
        <f t="shared" si="1"/>
        <v>31500</v>
      </c>
    </row>
    <row r="90" spans="2:3" x14ac:dyDescent="0.25">
      <c r="B90">
        <f t="shared" si="0"/>
        <v>0.19927409659660289</v>
      </c>
      <c r="C90">
        <f t="shared" si="1"/>
        <v>32000</v>
      </c>
    </row>
    <row r="91" spans="2:3" x14ac:dyDescent="0.25">
      <c r="B91">
        <f t="shared" ref="B91:B127" si="2">(1-EXP(-((C91/$B$22-($B$21-0.5))/$B$19)^$B$20))*$B$18</f>
        <v>0.19944447933595111</v>
      </c>
      <c r="C91">
        <f t="shared" si="1"/>
        <v>32500</v>
      </c>
    </row>
    <row r="92" spans="2:3" x14ac:dyDescent="0.25">
      <c r="B92">
        <f t="shared" si="2"/>
        <v>0.19957840901739385</v>
      </c>
      <c r="C92">
        <f t="shared" si="1"/>
        <v>33000</v>
      </c>
    </row>
    <row r="93" spans="2:3" x14ac:dyDescent="0.25">
      <c r="B93">
        <f t="shared" si="2"/>
        <v>0.19968275391843365</v>
      </c>
      <c r="C93">
        <f t="shared" si="1"/>
        <v>33500</v>
      </c>
    </row>
    <row r="94" spans="2:3" x14ac:dyDescent="0.25">
      <c r="B94">
        <f t="shared" si="2"/>
        <v>0.19976332127118276</v>
      </c>
      <c r="C94">
        <f t="shared" ref="C94:C127" si="3">C93+500</f>
        <v>34000</v>
      </c>
    </row>
    <row r="95" spans="2:3" x14ac:dyDescent="0.25">
      <c r="B95">
        <f t="shared" si="2"/>
        <v>0.19982496522253218</v>
      </c>
      <c r="C95">
        <f t="shared" si="3"/>
        <v>34500</v>
      </c>
    </row>
    <row r="96" spans="2:3" x14ac:dyDescent="0.25">
      <c r="B96">
        <f t="shared" si="2"/>
        <v>0.19987169730697774</v>
      </c>
      <c r="C96">
        <f t="shared" si="3"/>
        <v>35000</v>
      </c>
    </row>
    <row r="97" spans="2:3" x14ac:dyDescent="0.25">
      <c r="B97">
        <f t="shared" si="2"/>
        <v>0.19990679533419684</v>
      </c>
      <c r="C97">
        <f t="shared" si="3"/>
        <v>35500</v>
      </c>
    </row>
    <row r="98" spans="2:3" x14ac:dyDescent="0.25">
      <c r="B98">
        <f t="shared" si="2"/>
        <v>0.1999329074744195</v>
      </c>
      <c r="C98">
        <f t="shared" si="3"/>
        <v>36000</v>
      </c>
    </row>
    <row r="99" spans="2:3" x14ac:dyDescent="0.25">
      <c r="B99">
        <f t="shared" si="2"/>
        <v>0.19995214918026516</v>
      </c>
      <c r="C99">
        <f t="shared" si="3"/>
        <v>36500</v>
      </c>
    </row>
    <row r="100" spans="2:3" x14ac:dyDescent="0.25">
      <c r="B100">
        <f t="shared" si="2"/>
        <v>0.19996619137347427</v>
      </c>
      <c r="C100">
        <f t="shared" si="3"/>
        <v>37000</v>
      </c>
    </row>
    <row r="101" spans="2:3" x14ac:dyDescent="0.25">
      <c r="B101">
        <f t="shared" si="2"/>
        <v>0.19997633902006273</v>
      </c>
      <c r="C101">
        <f t="shared" si="3"/>
        <v>37500</v>
      </c>
    </row>
    <row r="102" spans="2:3" x14ac:dyDescent="0.25">
      <c r="B102">
        <f t="shared" si="2"/>
        <v>0.19998359980055544</v>
      </c>
      <c r="C102">
        <f t="shared" si="3"/>
        <v>38000</v>
      </c>
    </row>
    <row r="103" spans="2:3" x14ac:dyDescent="0.25">
      <c r="B103">
        <f t="shared" si="2"/>
        <v>0.19998874304618811</v>
      </c>
      <c r="C103">
        <f t="shared" si="3"/>
        <v>38500</v>
      </c>
    </row>
    <row r="104" spans="2:3" x14ac:dyDescent="0.25">
      <c r="B104">
        <f t="shared" si="2"/>
        <v>0.19999234945911523</v>
      </c>
      <c r="C104">
        <f t="shared" si="3"/>
        <v>39000</v>
      </c>
    </row>
    <row r="105" spans="2:3" x14ac:dyDescent="0.25">
      <c r="B105">
        <f t="shared" si="2"/>
        <v>0.19999485237326678</v>
      </c>
      <c r="C105">
        <f t="shared" si="3"/>
        <v>39500</v>
      </c>
    </row>
    <row r="106" spans="2:3" x14ac:dyDescent="0.25">
      <c r="B106">
        <f t="shared" si="2"/>
        <v>0.1999965714557792</v>
      </c>
      <c r="C106">
        <f t="shared" si="3"/>
        <v>40000</v>
      </c>
    </row>
    <row r="107" spans="2:3" x14ac:dyDescent="0.25">
      <c r="B107">
        <f t="shared" si="2"/>
        <v>0.19999773981279137</v>
      </c>
      <c r="C107">
        <f t="shared" si="3"/>
        <v>40500</v>
      </c>
    </row>
    <row r="108" spans="2:3" x14ac:dyDescent="0.25">
      <c r="B108">
        <f t="shared" si="2"/>
        <v>0.19999852546471561</v>
      </c>
      <c r="C108">
        <f t="shared" si="3"/>
        <v>41000</v>
      </c>
    </row>
    <row r="109" spans="2:3" x14ac:dyDescent="0.25">
      <c r="B109">
        <f t="shared" si="2"/>
        <v>0.19999904811129313</v>
      </c>
      <c r="C109">
        <f t="shared" si="3"/>
        <v>41500</v>
      </c>
    </row>
    <row r="110" spans="2:3" x14ac:dyDescent="0.25">
      <c r="B110">
        <f t="shared" si="2"/>
        <v>0.19999939203080119</v>
      </c>
      <c r="C110">
        <f t="shared" si="3"/>
        <v>42000</v>
      </c>
    </row>
    <row r="111" spans="2:3" x14ac:dyDescent="0.25">
      <c r="B111">
        <f t="shared" si="2"/>
        <v>0.19999961586354192</v>
      </c>
      <c r="C111">
        <f t="shared" si="3"/>
        <v>42500</v>
      </c>
    </row>
    <row r="112" spans="2:3" x14ac:dyDescent="0.25">
      <c r="B112">
        <f t="shared" si="2"/>
        <v>0.19999975992763294</v>
      </c>
      <c r="C112">
        <f t="shared" si="3"/>
        <v>43000</v>
      </c>
    </row>
    <row r="113" spans="2:3" x14ac:dyDescent="0.25">
      <c r="B113">
        <f t="shared" si="2"/>
        <v>0.19999985161306397</v>
      </c>
      <c r="C113">
        <f t="shared" si="3"/>
        <v>43500</v>
      </c>
    </row>
    <row r="114" spans="2:3" x14ac:dyDescent="0.25">
      <c r="B114">
        <f t="shared" si="2"/>
        <v>0.19999990930357772</v>
      </c>
      <c r="C114">
        <f t="shared" si="3"/>
        <v>44000</v>
      </c>
    </row>
    <row r="115" spans="2:3" x14ac:dyDescent="0.25">
      <c r="B115">
        <f t="shared" si="2"/>
        <v>0.19999994518873965</v>
      </c>
      <c r="C115">
        <f t="shared" si="3"/>
        <v>44500</v>
      </c>
    </row>
    <row r="116" spans="2:3" x14ac:dyDescent="0.25">
      <c r="B116">
        <f t="shared" si="2"/>
        <v>0.19999996725245739</v>
      </c>
      <c r="C116">
        <f t="shared" si="3"/>
        <v>45000</v>
      </c>
    </row>
    <row r="117" spans="2:3" x14ac:dyDescent="0.25">
      <c r="B117">
        <f t="shared" si="2"/>
        <v>0.19999998065979441</v>
      </c>
      <c r="C117">
        <f t="shared" si="3"/>
        <v>45500</v>
      </c>
    </row>
    <row r="118" spans="2:3" x14ac:dyDescent="0.25">
      <c r="B118">
        <f t="shared" si="2"/>
        <v>0.19999998871085503</v>
      </c>
      <c r="C118">
        <f t="shared" si="3"/>
        <v>46000</v>
      </c>
    </row>
    <row r="119" spans="2:3" x14ac:dyDescent="0.25">
      <c r="B119">
        <f t="shared" si="2"/>
        <v>0.19999999348787459</v>
      </c>
      <c r="C119">
        <f t="shared" si="3"/>
        <v>46500</v>
      </c>
    </row>
    <row r="120" spans="2:3" x14ac:dyDescent="0.25">
      <c r="B120">
        <f t="shared" si="2"/>
        <v>0.19999999628815057</v>
      </c>
      <c r="C120">
        <f t="shared" si="3"/>
        <v>47000</v>
      </c>
    </row>
    <row r="121" spans="2:3" x14ac:dyDescent="0.25">
      <c r="B121">
        <f t="shared" si="2"/>
        <v>0.19999999790970302</v>
      </c>
      <c r="C121">
        <f t="shared" si="3"/>
        <v>47500</v>
      </c>
    </row>
    <row r="122" spans="2:3" x14ac:dyDescent="0.25">
      <c r="B122">
        <f t="shared" si="2"/>
        <v>0.19999999883716038</v>
      </c>
      <c r="C122">
        <f t="shared" si="3"/>
        <v>48000</v>
      </c>
    </row>
    <row r="123" spans="2:3" x14ac:dyDescent="0.25">
      <c r="B123">
        <f t="shared" si="2"/>
        <v>0.19999999936104543</v>
      </c>
      <c r="C123">
        <f t="shared" si="3"/>
        <v>48500</v>
      </c>
    </row>
    <row r="124" spans="2:3" x14ac:dyDescent="0.25">
      <c r="B124">
        <f t="shared" si="2"/>
        <v>0.19999999965326104</v>
      </c>
      <c r="C124">
        <f t="shared" si="3"/>
        <v>49000</v>
      </c>
    </row>
    <row r="125" spans="2:3" x14ac:dyDescent="0.25">
      <c r="B125">
        <f t="shared" si="2"/>
        <v>0.19999999981419306</v>
      </c>
      <c r="C125">
        <f t="shared" si="3"/>
        <v>49500</v>
      </c>
    </row>
    <row r="126" spans="2:3" x14ac:dyDescent="0.25">
      <c r="B126">
        <f t="shared" si="2"/>
        <v>0.19999999990169129</v>
      </c>
      <c r="C126">
        <f t="shared" si="3"/>
        <v>50000</v>
      </c>
    </row>
    <row r="127" spans="2:3" x14ac:dyDescent="0.25">
      <c r="B127">
        <f t="shared" si="2"/>
        <v>0.19999999994865042</v>
      </c>
      <c r="C127">
        <f t="shared" si="3"/>
        <v>50500</v>
      </c>
    </row>
    <row r="129" spans="1:3" x14ac:dyDescent="0.25">
      <c r="A129" t="s">
        <v>72</v>
      </c>
    </row>
    <row r="130" spans="1:3" x14ac:dyDescent="0.25">
      <c r="A130" t="s">
        <v>73</v>
      </c>
    </row>
    <row r="131" spans="1:3" x14ac:dyDescent="0.25">
      <c r="A131" t="s">
        <v>74</v>
      </c>
    </row>
    <row r="132" spans="1:3" x14ac:dyDescent="0.25">
      <c r="A132" t="s">
        <v>75</v>
      </c>
    </row>
    <row r="133" spans="1:3" x14ac:dyDescent="0.25">
      <c r="A133" t="s">
        <v>76</v>
      </c>
    </row>
    <row r="135" spans="1:3" x14ac:dyDescent="0.25">
      <c r="A135" t="s">
        <v>77</v>
      </c>
      <c r="B135" t="s">
        <v>78</v>
      </c>
      <c r="C135" t="s">
        <v>79</v>
      </c>
    </row>
    <row r="136" spans="1:3" x14ac:dyDescent="0.25">
      <c r="A136" t="s">
        <v>48</v>
      </c>
      <c r="B136">
        <v>1300</v>
      </c>
      <c r="C136" t="s">
        <v>80</v>
      </c>
    </row>
    <row r="137" spans="1:3" x14ac:dyDescent="0.25">
      <c r="A137" t="s">
        <v>49</v>
      </c>
      <c r="B137">
        <v>600</v>
      </c>
      <c r="C137" t="s">
        <v>81</v>
      </c>
    </row>
    <row r="138" spans="1:3" x14ac:dyDescent="0.25">
      <c r="A138" t="s">
        <v>50</v>
      </c>
      <c r="B138">
        <v>10000</v>
      </c>
      <c r="C138" t="s">
        <v>82</v>
      </c>
    </row>
    <row r="139" spans="1:3" x14ac:dyDescent="0.25">
      <c r="A139" t="s">
        <v>51</v>
      </c>
      <c r="B139">
        <v>2200</v>
      </c>
      <c r="C139" t="s">
        <v>83</v>
      </c>
    </row>
    <row r="140" spans="1:3" x14ac:dyDescent="0.25">
      <c r="A140" t="s">
        <v>52</v>
      </c>
      <c r="B140">
        <v>500</v>
      </c>
      <c r="C140" t="s">
        <v>84</v>
      </c>
    </row>
    <row r="141" spans="1:3" x14ac:dyDescent="0.25">
      <c r="A141" t="s">
        <v>53</v>
      </c>
      <c r="B141">
        <v>15000</v>
      </c>
      <c r="C141" t="s">
        <v>85</v>
      </c>
    </row>
    <row r="142" spans="1:3" x14ac:dyDescent="0.25">
      <c r="A142" t="s">
        <v>54</v>
      </c>
      <c r="B142">
        <v>30000</v>
      </c>
      <c r="C142" t="s">
        <v>86</v>
      </c>
    </row>
    <row r="143" spans="1:3" x14ac:dyDescent="0.25">
      <c r="A143" t="s">
        <v>55</v>
      </c>
      <c r="B143">
        <v>400</v>
      </c>
      <c r="C143" t="s">
        <v>87</v>
      </c>
    </row>
    <row r="144" spans="1:3" x14ac:dyDescent="0.25">
      <c r="A144" t="s">
        <v>56</v>
      </c>
      <c r="B144">
        <v>500</v>
      </c>
      <c r="C144" t="s">
        <v>88</v>
      </c>
    </row>
    <row r="145" spans="1:3" x14ac:dyDescent="0.25">
      <c r="A145" t="s">
        <v>57</v>
      </c>
      <c r="B145">
        <v>150</v>
      </c>
      <c r="C145" t="s">
        <v>88</v>
      </c>
    </row>
    <row r="146" spans="1:3" x14ac:dyDescent="0.25">
      <c r="A146" t="s">
        <v>58</v>
      </c>
      <c r="B146">
        <v>200</v>
      </c>
      <c r="C146" t="s">
        <v>89</v>
      </c>
    </row>
    <row r="147" spans="1:3" x14ac:dyDescent="0.25">
      <c r="A147" t="s">
        <v>59</v>
      </c>
      <c r="B147">
        <v>5000</v>
      </c>
      <c r="C147" t="s">
        <v>90</v>
      </c>
    </row>
    <row r="148" spans="1:3" x14ac:dyDescent="0.25">
      <c r="A148" t="s">
        <v>60</v>
      </c>
      <c r="B148">
        <v>600</v>
      </c>
      <c r="C148" t="s">
        <v>89</v>
      </c>
    </row>
    <row r="149" spans="1:3" x14ac:dyDescent="0.25">
      <c r="A149" t="s">
        <v>61</v>
      </c>
      <c r="B149">
        <v>2400</v>
      </c>
      <c r="C149" t="s">
        <v>91</v>
      </c>
    </row>
    <row r="150" spans="1:3" x14ac:dyDescent="0.25">
      <c r="A150" t="s">
        <v>62</v>
      </c>
      <c r="B150">
        <v>200</v>
      </c>
      <c r="C150" t="s">
        <v>89</v>
      </c>
    </row>
    <row r="151" spans="1:3" x14ac:dyDescent="0.25">
      <c r="A151" t="s">
        <v>63</v>
      </c>
      <c r="B151">
        <v>200</v>
      </c>
      <c r="C151" t="s">
        <v>89</v>
      </c>
    </row>
    <row r="152" spans="1:3" x14ac:dyDescent="0.25">
      <c r="A152" t="s">
        <v>64</v>
      </c>
      <c r="B152">
        <v>100</v>
      </c>
      <c r="C152" t="s">
        <v>92</v>
      </c>
    </row>
    <row r="153" spans="1:3" x14ac:dyDescent="0.25">
      <c r="A153" t="s">
        <v>65</v>
      </c>
      <c r="B153">
        <v>1000</v>
      </c>
      <c r="C153" t="s">
        <v>93</v>
      </c>
    </row>
    <row r="154" spans="1:3" x14ac:dyDescent="0.25">
      <c r="A154" t="s">
        <v>66</v>
      </c>
      <c r="B154">
        <v>1500</v>
      </c>
      <c r="C154" t="s">
        <v>94</v>
      </c>
    </row>
    <row r="155" spans="1:3" x14ac:dyDescent="0.25">
      <c r="A155" t="s">
        <v>67</v>
      </c>
      <c r="B155">
        <v>1000</v>
      </c>
      <c r="C155" t="s">
        <v>95</v>
      </c>
    </row>
    <row r="156" spans="1:3" x14ac:dyDescent="0.25">
      <c r="A156" t="s">
        <v>68</v>
      </c>
      <c r="B156">
        <v>500</v>
      </c>
      <c r="C156" t="s">
        <v>96</v>
      </c>
    </row>
    <row r="157" spans="1:3" x14ac:dyDescent="0.25">
      <c r="A157" t="s">
        <v>69</v>
      </c>
      <c r="B157">
        <v>1200</v>
      </c>
      <c r="C157" t="s">
        <v>97</v>
      </c>
    </row>
    <row r="158" spans="1:3" x14ac:dyDescent="0.25">
      <c r="A158" t="s">
        <v>70</v>
      </c>
      <c r="B158">
        <v>400</v>
      </c>
      <c r="C158" t="s">
        <v>98</v>
      </c>
    </row>
    <row r="159" spans="1:3" x14ac:dyDescent="0.25">
      <c r="A159" t="s">
        <v>71</v>
      </c>
      <c r="B159">
        <v>800</v>
      </c>
      <c r="C159" t="s">
        <v>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C1E0A-8F45-40E3-8B5E-CEBD35E65C82}">
  <sheetPr>
    <tabColor theme="4" tint="-0.499984740745262"/>
  </sheetPr>
  <dimension ref="A1:B2"/>
  <sheetViews>
    <sheetView workbookViewId="0">
      <selection sqref="A1:XFD1048576"/>
    </sheetView>
  </sheetViews>
  <sheetFormatPr defaultRowHeight="15" x14ac:dyDescent="0.25"/>
  <sheetData>
    <row r="1" spans="1:2" x14ac:dyDescent="0.25">
      <c r="A1" t="s">
        <v>45</v>
      </c>
    </row>
    <row r="2" spans="1:2" x14ac:dyDescent="0.25">
      <c r="A2" t="s">
        <v>46</v>
      </c>
      <c r="B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1B329-5591-420B-9DBA-D539EDB26DE6}">
  <sheetPr>
    <tabColor rgb="FF002060"/>
  </sheetPr>
  <dimension ref="A1:B6"/>
  <sheetViews>
    <sheetView workbookViewId="0">
      <selection activeCell="C10" sqref="C10"/>
    </sheetView>
  </sheetViews>
  <sheetFormatPr defaultRowHeight="15" x14ac:dyDescent="0.25"/>
  <cols>
    <col min="1" max="1" width="18.140625" bestFit="1" customWidth="1"/>
  </cols>
  <sheetData>
    <row r="1" spans="1:2" x14ac:dyDescent="0.25">
      <c r="A1" s="3" t="s">
        <v>43</v>
      </c>
      <c r="B1" s="3" t="s">
        <v>44</v>
      </c>
    </row>
    <row r="2" spans="1:2" x14ac:dyDescent="0.25">
      <c r="A2" t="s">
        <v>39</v>
      </c>
      <c r="B2" s="2">
        <f>About!B18</f>
        <v>0.2</v>
      </c>
    </row>
    <row r="3" spans="1:2" x14ac:dyDescent="0.25">
      <c r="A3" t="s">
        <v>40</v>
      </c>
      <c r="B3" s="2">
        <f>About!B19</f>
        <v>0.6</v>
      </c>
    </row>
    <row r="4" spans="1:2" x14ac:dyDescent="0.25">
      <c r="A4" t="s">
        <v>41</v>
      </c>
      <c r="B4" s="2">
        <f>About!B20</f>
        <v>3</v>
      </c>
    </row>
    <row r="5" spans="1:2" x14ac:dyDescent="0.25">
      <c r="A5" t="s">
        <v>42</v>
      </c>
      <c r="B5" s="2">
        <f>About!B21</f>
        <v>0.5</v>
      </c>
    </row>
    <row r="6" spans="1:2" x14ac:dyDescent="0.25">
      <c r="A6" t="s">
        <v>38</v>
      </c>
      <c r="B6" s="2">
        <f>About!B22</f>
        <v>30000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3497-B8E3-4CCE-9609-B49065717FEC}">
  <sheetPr>
    <tabColor rgb="FF002060"/>
  </sheetPr>
  <dimension ref="A1:AB25"/>
  <sheetViews>
    <sheetView tabSelected="1" workbookViewId="0">
      <selection activeCell="F18" sqref="F18"/>
    </sheetView>
  </sheetViews>
  <sheetFormatPr defaultRowHeight="15" x14ac:dyDescent="0.25"/>
  <cols>
    <col min="1" max="1" width="33.5703125" bestFit="1" customWidth="1"/>
  </cols>
  <sheetData>
    <row r="1" spans="1:28" x14ac:dyDescent="0.25">
      <c r="A1" t="s">
        <v>3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5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</row>
    <row r="4" spans="1:28" x14ac:dyDescent="0.25">
      <c r="A4" t="s">
        <v>6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</row>
    <row r="5" spans="1:28" x14ac:dyDescent="0.25">
      <c r="A5" t="s">
        <v>7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</row>
    <row r="6" spans="1:28" x14ac:dyDescent="0.25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</row>
    <row r="7" spans="1:28" x14ac:dyDescent="0.25">
      <c r="A7" t="s">
        <v>9</v>
      </c>
      <c r="B7">
        <v>0.5</v>
      </c>
      <c r="C7">
        <v>0.1</v>
      </c>
      <c r="D7">
        <v>0.1</v>
      </c>
      <c r="E7">
        <v>0.1</v>
      </c>
      <c r="F7">
        <v>0.1</v>
      </c>
      <c r="G7">
        <v>0.1</v>
      </c>
      <c r="H7">
        <f>($J$7-$G$7)/3+G7</f>
        <v>0.23333333333333334</v>
      </c>
      <c r="I7">
        <f>($J$7-$G$7)/3+H7</f>
        <v>0.3666666666666667</v>
      </c>
      <c r="J7">
        <v>0.5</v>
      </c>
      <c r="K7">
        <v>0.5</v>
      </c>
      <c r="L7">
        <v>0.5</v>
      </c>
      <c r="M7">
        <v>0.5</v>
      </c>
      <c r="N7">
        <v>0.5</v>
      </c>
      <c r="O7">
        <v>0.5</v>
      </c>
      <c r="P7">
        <v>0.5</v>
      </c>
      <c r="Q7">
        <v>0.5</v>
      </c>
      <c r="R7">
        <v>0.5</v>
      </c>
      <c r="S7">
        <v>0.5</v>
      </c>
      <c r="T7">
        <v>0.5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</row>
    <row r="8" spans="1:28" x14ac:dyDescent="0.25">
      <c r="A8" t="s">
        <v>10</v>
      </c>
      <c r="B8">
        <v>0.5</v>
      </c>
      <c r="C8">
        <v>0.5</v>
      </c>
      <c r="D8">
        <v>0.5</v>
      </c>
      <c r="E8">
        <v>0.5</v>
      </c>
      <c r="F8">
        <v>0.5</v>
      </c>
      <c r="G8">
        <v>0.5</v>
      </c>
      <c r="H8">
        <v>0.5</v>
      </c>
      <c r="I8">
        <v>0.5</v>
      </c>
      <c r="J8">
        <v>0.5</v>
      </c>
      <c r="K8">
        <v>0.5</v>
      </c>
      <c r="L8">
        <v>0.5</v>
      </c>
      <c r="M8">
        <v>0.5</v>
      </c>
      <c r="N8">
        <v>0.5</v>
      </c>
      <c r="O8">
        <v>0.5</v>
      </c>
      <c r="P8">
        <v>0.5</v>
      </c>
      <c r="Q8">
        <v>0.5</v>
      </c>
      <c r="R8">
        <v>0.5</v>
      </c>
      <c r="S8">
        <v>0.5</v>
      </c>
      <c r="T8">
        <v>0.5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</row>
    <row r="9" spans="1:28" x14ac:dyDescent="0.25">
      <c r="A9" t="s">
        <v>11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</row>
    <row r="10" spans="1:28" x14ac:dyDescent="0.25">
      <c r="A10" t="s">
        <v>12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13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</row>
    <row r="12" spans="1:28" x14ac:dyDescent="0.25">
      <c r="A12" t="s">
        <v>14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15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</row>
    <row r="14" spans="1:28" x14ac:dyDescent="0.25">
      <c r="A14" t="s">
        <v>16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</row>
    <row r="15" spans="1:28" x14ac:dyDescent="0.25">
      <c r="A15" t="s">
        <v>17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</row>
    <row r="16" spans="1:28" x14ac:dyDescent="0.25">
      <c r="A16" t="s">
        <v>18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19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20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</row>
    <row r="19" spans="1:28" x14ac:dyDescent="0.25">
      <c r="A19" t="s">
        <v>21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</row>
    <row r="20" spans="1:28" x14ac:dyDescent="0.25">
      <c r="A20" t="s">
        <v>22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</row>
    <row r="21" spans="1:28" x14ac:dyDescent="0.25">
      <c r="A21" t="s">
        <v>23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</row>
    <row r="22" spans="1:28" x14ac:dyDescent="0.25">
      <c r="A22" t="s">
        <v>24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</row>
    <row r="23" spans="1:28" x14ac:dyDescent="0.25">
      <c r="A23" t="s">
        <v>25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</row>
    <row r="24" spans="1:28" x14ac:dyDescent="0.25">
      <c r="A24" t="s">
        <v>26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</row>
    <row r="25" spans="1:28" x14ac:dyDescent="0.25">
      <c r="A25" t="s">
        <v>27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ADDB1-7904-4401-8251-42AFA6AB8D4E}">
  <sheetPr>
    <tabColor theme="4" tint="-0.499984740745262"/>
  </sheetPr>
  <dimension ref="A1:B25"/>
  <sheetViews>
    <sheetView workbookViewId="0"/>
  </sheetViews>
  <sheetFormatPr defaultRowHeight="15" x14ac:dyDescent="0.25"/>
  <sheetData>
    <row r="1" spans="1:2" x14ac:dyDescent="0.25">
      <c r="B1" t="s">
        <v>47</v>
      </c>
    </row>
    <row r="2" spans="1:2" x14ac:dyDescent="0.25">
      <c r="A2" t="s">
        <v>48</v>
      </c>
      <c r="B2">
        <v>1300</v>
      </c>
    </row>
    <row r="3" spans="1:2" x14ac:dyDescent="0.25">
      <c r="A3" t="s">
        <v>49</v>
      </c>
      <c r="B3">
        <v>600</v>
      </c>
    </row>
    <row r="4" spans="1:2" x14ac:dyDescent="0.25">
      <c r="A4" t="s">
        <v>50</v>
      </c>
      <c r="B4">
        <v>10000</v>
      </c>
    </row>
    <row r="5" spans="1:2" x14ac:dyDescent="0.25">
      <c r="A5" t="s">
        <v>51</v>
      </c>
      <c r="B5">
        <v>2200</v>
      </c>
    </row>
    <row r="6" spans="1:2" x14ac:dyDescent="0.25">
      <c r="A6" t="s">
        <v>52</v>
      </c>
      <c r="B6">
        <v>500</v>
      </c>
    </row>
    <row r="7" spans="1:2" x14ac:dyDescent="0.25">
      <c r="A7" t="s">
        <v>53</v>
      </c>
      <c r="B7">
        <v>15000</v>
      </c>
    </row>
    <row r="8" spans="1:2" x14ac:dyDescent="0.25">
      <c r="A8" t="s">
        <v>54</v>
      </c>
      <c r="B8">
        <v>30000</v>
      </c>
    </row>
    <row r="9" spans="1:2" x14ac:dyDescent="0.25">
      <c r="A9" t="s">
        <v>55</v>
      </c>
      <c r="B9">
        <v>400</v>
      </c>
    </row>
    <row r="10" spans="1:2" x14ac:dyDescent="0.25">
      <c r="A10" t="s">
        <v>56</v>
      </c>
      <c r="B10">
        <v>500</v>
      </c>
    </row>
    <row r="11" spans="1:2" x14ac:dyDescent="0.25">
      <c r="A11" t="s">
        <v>57</v>
      </c>
      <c r="B11">
        <v>150</v>
      </c>
    </row>
    <row r="12" spans="1:2" x14ac:dyDescent="0.25">
      <c r="A12" t="s">
        <v>58</v>
      </c>
      <c r="B12">
        <v>200</v>
      </c>
    </row>
    <row r="13" spans="1:2" x14ac:dyDescent="0.25">
      <c r="A13" t="s">
        <v>59</v>
      </c>
      <c r="B13">
        <v>5000</v>
      </c>
    </row>
    <row r="14" spans="1:2" x14ac:dyDescent="0.25">
      <c r="A14" t="s">
        <v>60</v>
      </c>
      <c r="B14">
        <v>600</v>
      </c>
    </row>
    <row r="15" spans="1:2" x14ac:dyDescent="0.25">
      <c r="A15" t="s">
        <v>61</v>
      </c>
      <c r="B15">
        <v>2400</v>
      </c>
    </row>
    <row r="16" spans="1:2" x14ac:dyDescent="0.25">
      <c r="A16" t="s">
        <v>62</v>
      </c>
      <c r="B16">
        <v>200</v>
      </c>
    </row>
    <row r="17" spans="1:2" x14ac:dyDescent="0.25">
      <c r="A17" t="s">
        <v>63</v>
      </c>
      <c r="B17">
        <v>200</v>
      </c>
    </row>
    <row r="18" spans="1:2" x14ac:dyDescent="0.25">
      <c r="A18" t="s">
        <v>64</v>
      </c>
      <c r="B18">
        <v>100</v>
      </c>
    </row>
    <row r="19" spans="1:2" x14ac:dyDescent="0.25">
      <c r="A19" t="s">
        <v>65</v>
      </c>
      <c r="B19">
        <v>1000</v>
      </c>
    </row>
    <row r="20" spans="1:2" x14ac:dyDescent="0.25">
      <c r="A20" t="s">
        <v>66</v>
      </c>
      <c r="B20">
        <v>1500</v>
      </c>
    </row>
    <row r="21" spans="1:2" x14ac:dyDescent="0.25">
      <c r="A21" t="s">
        <v>67</v>
      </c>
      <c r="B21">
        <v>1000</v>
      </c>
    </row>
    <row r="22" spans="1:2" x14ac:dyDescent="0.25">
      <c r="A22" t="s">
        <v>68</v>
      </c>
      <c r="B22">
        <v>500</v>
      </c>
    </row>
    <row r="23" spans="1:2" x14ac:dyDescent="0.25">
      <c r="A23" t="s">
        <v>69</v>
      </c>
      <c r="B23">
        <v>1200</v>
      </c>
    </row>
    <row r="24" spans="1:2" x14ac:dyDescent="0.25">
      <c r="A24" t="s">
        <v>70</v>
      </c>
      <c r="B24">
        <v>400</v>
      </c>
    </row>
    <row r="25" spans="1:2" x14ac:dyDescent="0.25">
      <c r="A25" t="s">
        <v>71</v>
      </c>
      <c r="B25">
        <v>800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721B6-2584-41BB-8944-107FD3869B44}">
  <sheetPr>
    <tabColor theme="4" tint="-0.499984740745262"/>
  </sheetPr>
  <dimension ref="A1:AB25"/>
  <sheetViews>
    <sheetView workbookViewId="0">
      <selection activeCell="B7" sqref="B7:AB7"/>
    </sheetView>
  </sheetViews>
  <sheetFormatPr defaultRowHeight="15" x14ac:dyDescent="0.25"/>
  <sheetData>
    <row r="1" spans="1:28" x14ac:dyDescent="0.25">
      <c r="A1" t="s">
        <v>3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5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</row>
    <row r="4" spans="1:28" x14ac:dyDescent="0.25">
      <c r="A4" t="s">
        <v>6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</row>
    <row r="5" spans="1:28" x14ac:dyDescent="0.25">
      <c r="A5" t="s">
        <v>7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</row>
    <row r="6" spans="1:28" x14ac:dyDescent="0.25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</row>
    <row r="7" spans="1:28" x14ac:dyDescent="0.25">
      <c r="A7" t="s">
        <v>9</v>
      </c>
      <c r="B7">
        <v>0.5</v>
      </c>
      <c r="C7">
        <v>0.5</v>
      </c>
      <c r="D7">
        <v>0.5</v>
      </c>
      <c r="E7">
        <v>0.5</v>
      </c>
      <c r="F7">
        <v>0.5</v>
      </c>
      <c r="G7">
        <v>0.5</v>
      </c>
      <c r="H7">
        <v>0.5</v>
      </c>
      <c r="I7">
        <v>0.5</v>
      </c>
      <c r="J7">
        <v>0.5</v>
      </c>
      <c r="K7">
        <v>0.5</v>
      </c>
      <c r="L7">
        <v>0.5</v>
      </c>
      <c r="M7">
        <v>0.5</v>
      </c>
      <c r="N7">
        <v>0.5</v>
      </c>
      <c r="O7">
        <v>0.5</v>
      </c>
      <c r="P7">
        <v>0.5</v>
      </c>
      <c r="Q7">
        <v>0.5</v>
      </c>
      <c r="R7">
        <v>0.5</v>
      </c>
      <c r="S7">
        <v>0.5</v>
      </c>
      <c r="T7">
        <v>0.5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</row>
    <row r="8" spans="1:28" x14ac:dyDescent="0.25">
      <c r="A8" t="s">
        <v>10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</row>
    <row r="9" spans="1:28" x14ac:dyDescent="0.25">
      <c r="A9" t="s">
        <v>11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</row>
    <row r="10" spans="1:28" x14ac:dyDescent="0.25">
      <c r="A10" t="s">
        <v>12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13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</row>
    <row r="12" spans="1:28" x14ac:dyDescent="0.25">
      <c r="A12" t="s">
        <v>14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15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</row>
    <row r="14" spans="1:28" x14ac:dyDescent="0.25">
      <c r="A14" t="s">
        <v>16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</row>
    <row r="15" spans="1:28" x14ac:dyDescent="0.25">
      <c r="A15" t="s">
        <v>17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</row>
    <row r="16" spans="1:28" x14ac:dyDescent="0.25">
      <c r="A16" t="s">
        <v>18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19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20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</row>
    <row r="19" spans="1:28" x14ac:dyDescent="0.25">
      <c r="A19" t="s">
        <v>21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</row>
    <row r="20" spans="1:28" x14ac:dyDescent="0.25">
      <c r="A20" t="s">
        <v>22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</row>
    <row r="21" spans="1:28" x14ac:dyDescent="0.25">
      <c r="A21" t="s">
        <v>23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</row>
    <row r="22" spans="1:28" x14ac:dyDescent="0.25">
      <c r="A22" t="s">
        <v>24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</row>
    <row r="23" spans="1:28" x14ac:dyDescent="0.25">
      <c r="A23" t="s">
        <v>25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</row>
    <row r="24" spans="1:28" x14ac:dyDescent="0.25">
      <c r="A24" t="s">
        <v>26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</row>
    <row r="25" spans="1:28" x14ac:dyDescent="0.25">
      <c r="A25" t="s">
        <v>27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CSC-CSCPH</vt:lpstr>
      <vt:lpstr>CSC-CSCP</vt:lpstr>
      <vt:lpstr>CSC-CSCSoCECBiaSY</vt:lpstr>
      <vt:lpstr>CSC-CSCSCbPT</vt:lpstr>
      <vt:lpstr>CSC-ACSCSoCECBiaSY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Megan Mahajan</cp:lastModifiedBy>
  <dcterms:created xsi:type="dcterms:W3CDTF">2023-09-28T15:25:45Z</dcterms:created>
  <dcterms:modified xsi:type="dcterms:W3CDTF">2026-09-24T22:14:51Z</dcterms:modified>
</cp:coreProperties>
</file>