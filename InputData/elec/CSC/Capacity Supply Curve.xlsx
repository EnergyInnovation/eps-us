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047D0672-395F-44AE-B9C2-B32035931131}" xr6:coauthVersionLast="47" xr6:coauthVersionMax="47" xr10:uidLastSave="{00000000-0000-0000-0000-000000000000}"/>
  <bookViews>
    <workbookView xWindow="38280" yWindow="-120" windowWidth="29040" windowHeight="17520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<sst xmlns="http://schemas.openxmlformats.org/spreadsheetml/2006/main" count="46" uniqueCount="46">
  <si>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</si>
  <si>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</si>
  <si>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</si>
  <si>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</si>
  <si>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</si>
  <si>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</si>
  <si>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</si>
  <si>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</si>
  <si>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</si>
  <si>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</si>
  <si>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</si>
  <si>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</si>
  <si>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</si>
  <si>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</si>
  <si>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</si>
  <si>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</si>
  <si>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</si>
  <si>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</si>
  <si>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</si>
  <si>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</si>
  <si>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</si>
  <si>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</si>
  <si>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</si>
  <si>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</si>
  <si>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</si>
  <si>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</si>
  <si>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</si>
  <si>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</si>
  <si>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</si>
  <si>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</si>
  <si>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</si>
  <si>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</si>
  <si>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</si>
  <si>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</si>
  <si>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</si>
  <si>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</si>
  <si>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</si>
  <si>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</si>
  <si>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</si>
  <si>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</si>
  <si>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</si>
  <si>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</si>
  <si>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</si>
  <si>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</si>
  <si>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0.5. In the near-term we limit that to 0.25 based on permitting</t>
  </si>
  <si>
    <t>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</si>
</sst>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6.6979505611297618E-7</c:v>
                </c:pt>
                <c:pt idx="1">
                  <c:v>5.3583102030962948E-6</c:v>
                </c:pt>
                <c:pt idx="2">
                  <c:v>1.808383665891089E-5</c:v>
                </c:pt>
                <c:pt idx="3">
                  <c:v>4.2863266075859885E-5</c:v>
                </c:pt>
                <c:pt idx="4">
                  <c:v>8.3710476153159297E-5</c:v>
                </c:pt>
                <c:pt idx="5">
                  <c:v>1.4463407175294152E-4</c:v>
                </c:pt>
                <c:pt idx="6">
                  <c:v>2.2963448338450543E-4</c:v>
                </c:pt>
                <c:pt idx="7">
                  <c:v>3.4270042607989493E-4</c:v>
                </c:pt>
                <c:pt idx="8">
                  <c:v>4.8780472313111889E-4</c:v>
                </c:pt>
                <c:pt idx="9">
                  <c:v>6.6889950088819261E-4</c:v>
                </c:pt>
                <c:pt idx="10">
                  <c:v>8.8991076282438075E-4</c:v>
                </c:pt>
                <c:pt idx="11">
                  <c:v>1.154732353355975E-3</c:v>
                </c:pt>
                <c:pt idx="12">
                  <c:v>1.4672193244460452E-3</c:v>
                </c:pt>
                <c:pt idx="13">
                  <c:v>1.8311807208203079E-3</c:v>
                </c:pt>
                <c:pt idx="14">
                  <c:v>2.2503718026603559E-3</c:v>
                </c:pt>
                <c:pt idx="15">
                  <c:v>2.7284857279034902E-3</c:v>
                </c:pt>
                <c:pt idx="16">
                  <c:v>3.2691447197514545E-3</c:v>
                </c:pt>
                <c:pt idx="17">
                  <c:v>3.8758907486478866E-3</c:v>
                </c:pt>
                <c:pt idx="18">
                  <c:v>4.5521757618089131E-3</c:v>
                </c:pt>
                <c:pt idx="19">
                  <c:v>5.3013514973510034E-3</c:v>
                </c:pt>
                <c:pt idx="20">
                  <c:v>6.1266589241278646E-3</c:v>
                </c:pt>
                <c:pt idx="21">
                  <c:v>7.0312173525307331E-3</c:v>
                </c:pt>
                <c:pt idx="22">
                  <c:v>8.0180132656878234E-3</c:v>
                </c:pt>
                <c:pt idx="23">
                  <c:v>9.0898889246784353E-3</c:v>
                </c:pt>
                <c:pt idx="24">
                  <c:v>1.0249530805518103E-2</c:v>
                </c:pt>
                <c:pt idx="25">
                  <c:v>1.1499457929721124E-2</c:v>
                </c:pt>
                <c:pt idx="26">
                  <c:v>1.2842010154167444E-2</c:v>
                </c:pt>
                <c:pt idx="27">
                  <c:v>1.4279336489735478E-2</c:v>
                </c:pt>
                <c:pt idx="28">
                  <c:v>1.5813383521665059E-2</c:v>
                </c:pt>
                <c:pt idx="29">
                  <c:v>1.7445884007829954E-2</c:v>
                </c:pt>
                <c:pt idx="30">
                  <c:v>1.9178345733975227E-2</c:v>
                </c:pt>
                <c:pt idx="31">
                  <c:v>2.1012040707456797E-2</c:v>
                </c:pt>
                <c:pt idx="32">
                  <c:v>2.2947994773054342E-2</c:v>
                </c:pt>
                <c:pt idx="33">
                  <c:v>2.4986977735963062E-2</c:v>
                </c:pt>
                <c:pt idx="34">
                  <c:v>2.7129494078051375E-2</c:v>
                </c:pt>
                <c:pt idx="35">
                  <c:v>2.9375774353851136E-2</c:v>
                </c:pt>
                <c:pt idx="36">
                  <c:v>3.172576735248045E-2</c:v>
                </c:pt>
                <c:pt idx="37">
                  <c:v>3.4179133110739057E-2</c:v>
                </c:pt>
                <c:pt idx="38">
                  <c:v>3.6735236860931386E-2</c:v>
                </c:pt>
                <c:pt idx="39">
                  <c:v>3.9393143994520763E-2</c:v>
                </c:pt>
                <c:pt idx="40">
                  <c:v>4.2151616119484259E-2</c:v>
                </c:pt>
                <c:pt idx="41">
                  <c:v>4.5009108285189531E-2</c:v>
                </c:pt>
                <c:pt idx="42">
                  <c:v>4.7963767443752275E-2</c:v>
                </c:pt>
                <c:pt idx="43">
                  <c:v>5.1013432211141768E-2</c:v>
                </c:pt>
                <c:pt idx="44">
                  <c:v>5.4155633984795448E-2</c:v>
                </c:pt>
                <c:pt idx="45">
                  <c:v>5.7387599467191991E-2</c:v>
                </c:pt>
                <c:pt idx="46">
                  <c:v>6.070625463674198E-2</c:v>
                </c:pt>
                <c:pt idx="47">
                  <c:v>6.4108230198523436E-2</c:v>
                </c:pt>
                <c:pt idx="48">
                  <c:v>6.758986853785745E-2</c:v>
                </c:pt>
                <c:pt idx="49">
                  <c:v>7.1147232189551435E-2</c:v>
                </c:pt>
                <c:pt idx="50">
                  <c:v>7.4776113824892548E-2</c:v>
                </c:pt>
                <c:pt idx="51">
                  <c:v>7.8472047747238372E-2</c:v>
                </c:pt>
                <c:pt idx="52">
                  <c:v>8.223032287540763E-2</c:v>
                </c:pt>
                <c:pt idx="53">
                  <c:v>8.6045997182124606E-2</c:v>
                </c:pt>
                <c:pt idx="54">
                  <c:v>8.991391354261688E-2</c:v>
                </c:pt>
                <c:pt idx="55">
                  <c:v>9.382871693623035E-2</c:v>
                </c:pt>
                <c:pt idx="56">
                  <c:v>9.7784872931722167E-2</c:v>
                </c:pt>
                <c:pt idx="57">
                  <c:v>0.10177668737485601</c:v>
                </c:pt>
                <c:pt idx="58">
                  <c:v>0.10579832718517984</c:v>
                </c:pt>
                <c:pt idx="59">
                  <c:v>0.10984384215755733</c:v>
                </c:pt>
                <c:pt idx="60">
                  <c:v>0.11390718765327743</c:v>
                </c:pt>
                <c:pt idx="61">
                  <c:v>0.11798224805552582</c:v>
                </c:pt>
                <c:pt idx="62">
                  <c:v>0.1220628608547917</c:v>
                </c:pt>
                <c:pt idx="63">
                  <c:v>0.12614284122154099</c:v>
                </c:pt>
                <c:pt idx="64">
                  <c:v>0.13021600691632498</c:v>
                </c:pt>
                <c:pt idx="65">
                  <c:v>0.13427620338153212</c:v>
                </c:pt>
                <c:pt idx="66">
                  <c:v>0.13831732885432968</c:v>
                </c:pt>
                <c:pt idx="67">
                  <c:v>0.14233335933707317</c:v>
                </c:pt>
                <c:pt idx="68">
                  <c:v>0.14631837325965968</c:v>
                </c:pt>
                <c:pt idx="69">
                  <c:v>0.15026657566803092</c:v>
                </c:pt>
                <c:pt idx="70">
                  <c:v>0.15417232177433279</c:v>
                </c:pt>
                <c:pt idx="71">
                  <c:v>0.15803013970713942</c:v>
                </c:pt>
                <c:pt idx="72">
                  <c:v>0.16183475230465361</c:v>
                </c:pt>
                <c:pt idx="73">
                  <c:v>0.16558109779989261</c:v>
                </c:pt>
                <c:pt idx="74">
                  <c:v>0.16926434925451739</c:v>
                </c:pt>
                <c:pt idx="75">
                  <c:v>0.17287993260711848</c:v>
                </c:pt>
                <c:pt idx="76">
                  <c:v>0.17642354321234238</c:v>
                </c:pt>
                <c:pt idx="77">
                  <c:v>0.17989116075915099</c:v>
                </c:pt>
                <c:pt idx="78">
                  <c:v>0.18327906246962056</c:v>
                </c:pt>
                <c:pt idx="79">
                  <c:v>0.1865838344938828</c:v>
                </c:pt>
                <c:pt idx="80">
                  <c:v>0.18980238143193792</c:v>
                </c:pt>
                <c:pt idx="81">
                  <c:v>0.19293193392895985</c:v>
                </c:pt>
                <c:pt idx="82">
                  <c:v>0.19597005430719538</c:v>
                </c:pt>
                <c:pt idx="83">
                  <c:v>0.19891464021443961</c:v>
                </c:pt>
                <c:pt idx="84">
                  <c:v>0.20176392628616246</c:v>
                </c:pt>
                <c:pt idx="85">
                  <c:v>0.20451648383545865</c:v>
                </c:pt>
                <c:pt idx="86">
                  <c:v>0.2071712186018998</c:v>
                </c:pt>
                <c:pt idx="87">
                  <c:v>0.20972736660688546</c:v>
                </c:pt>
                <c:pt idx="88">
                  <c:v>0.21218448817901575</c:v>
                </c:pt>
                <c:pt idx="89">
                  <c:v>0.21454246022816437</c:v>
                </c:pt>
                <c:pt idx="90">
                  <c:v>0.21680146686113236</c:v>
                </c:pt>
                <c:pt idx="91">
                  <c:v>0.21896198844484677</c:v>
                </c:pt>
                <c:pt idx="92">
                  <c:v>0.22102478923488639</c:v>
                </c:pt>
                <c:pt idx="93">
                  <c:v>0.22299090369753735</c:v>
                </c:pt>
                <c:pt idx="94">
                  <c:v>0.22486162166248919</c:v>
                </c:pt>
                <c:pt idx="95">
                  <c:v>0.22663847245059368</c:v>
                </c:pt>
                <c:pt idx="96">
                  <c:v>0.22832320812675097</c:v>
                </c:pt>
                <c:pt idx="97">
                  <c:v>0.22991778603191998</c:v>
                </c:pt>
                <c:pt idx="98">
                  <c:v>0.23142435075045348</c:v>
                </c:pt>
                <c:pt idx="99">
                  <c:v>0.23284521566943855</c:v>
                </c:pt>
                <c:pt idx="100">
                  <c:v>0.23418284428550792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2.2605511223461328E-6</c:v>
                </c:pt>
                <c:pt idx="2">
                  <c:v>1.808383665891089E-5</c:v>
                </c:pt>
                <c:pt idx="3">
                  <c:v>6.102770627569587E-5</c:v>
                </c:pt>
                <c:pt idx="4">
                  <c:v>1.4463407175294152E-4</c:v>
                </c:pt>
                <c:pt idx="5">
                  <c:v>2.8241053617311662E-4</c:v>
                </c:pt>
                <c:pt idx="6">
                  <c:v>4.8780472313111889E-4</c:v>
                </c:pt>
                <c:pt idx="7">
                  <c:v>7.7417137747542997E-4</c:v>
                </c:pt>
                <c:pt idx="8">
                  <c:v>1.154732353355975E-3</c:v>
                </c:pt>
                <c:pt idx="9">
                  <c:v>1.6425296602429473E-3</c:v>
                </c:pt>
                <c:pt idx="10">
                  <c:v>2.2503718026603559E-3</c:v>
                </c:pt>
                <c:pt idx="11">
                  <c:v>2.9907737240505161E-3</c:v>
                </c:pt>
                <c:pt idx="12">
                  <c:v>3.8758907486478866E-3</c:v>
                </c:pt>
                <c:pt idx="13">
                  <c:v>4.9174470064569931E-3</c:v>
                </c:pt>
                <c:pt idx="14">
                  <c:v>6.1266589241278646E-3</c:v>
                </c:pt>
                <c:pt idx="15">
                  <c:v>7.514154467163997E-3</c:v>
                </c:pt>
                <c:pt idx="16">
                  <c:v>9.0898889246784353E-3</c:v>
                </c:pt>
                <c:pt idx="17">
                  <c:v>1.0863058134767067E-2</c:v>
                </c:pt>
                <c:pt idx="18">
                  <c:v>1.2842010154167444E-2</c:v>
                </c:pt>
                <c:pt idx="19">
                  <c:v>1.5034156477655047E-2</c:v>
                </c:pt>
                <c:pt idx="20">
                  <c:v>1.7445884007829954E-2</c:v>
                </c:pt>
                <c:pt idx="21">
                  <c:v>2.0082469061632802E-2</c:v>
                </c:pt>
                <c:pt idx="22">
                  <c:v>2.2947994773054342E-2</c:v>
                </c:pt>
                <c:pt idx="23">
                  <c:v>2.6045273308977684E-2</c:v>
                </c:pt>
                <c:pt idx="24">
                  <c:v>2.9375774353851136E-2</c:v>
                </c:pt>
                <c:pt idx="25">
                  <c:v>3.2939561335982914E-2</c:v>
                </c:pt>
                <c:pt idx="26">
                  <c:v>3.6735236860931386E-2</c:v>
                </c:pt>
                <c:pt idx="27">
                  <c:v>4.0759898783298443E-2</c:v>
                </c:pt>
                <c:pt idx="28">
                  <c:v>4.5009108285189531E-2</c:v>
                </c:pt>
                <c:pt idx="29">
                  <c:v>4.9476871236167563E-2</c:v>
                </c:pt>
                <c:pt idx="30">
                  <c:v>5.4155633984795448E-2</c:v>
                </c:pt>
                <c:pt idx="31">
                  <c:v>5.90362945756433E-2</c:v>
                </c:pt>
                <c:pt idx="32">
                  <c:v>6.4108230198523436E-2</c:v>
                </c:pt>
                <c:pt idx="33">
                  <c:v>6.935934146016362E-2</c:v>
                </c:pt>
                <c:pt idx="34">
                  <c:v>7.4776113824892548E-2</c:v>
                </c:pt>
                <c:pt idx="35">
                  <c:v>8.0343696303467355E-2</c:v>
                </c:pt>
                <c:pt idx="36">
                  <c:v>8.6045997182124606E-2</c:v>
                </c:pt>
                <c:pt idx="37">
                  <c:v>9.1865796282358858E-2</c:v>
                </c:pt>
                <c:pt idx="38">
                  <c:v>9.7784872931722167E-2</c:v>
                </c:pt>
                <c:pt idx="39">
                  <c:v>0.10378414851369361</c:v>
                </c:pt>
                <c:pt idx="40">
                  <c:v>0.10984384215755733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2.2605511223461328E-6</c:v>
                </c:pt>
                <c:pt idx="2">
                  <c:v>1.808383665891089E-5</c:v>
                </c:pt>
                <c:pt idx="3">
                  <c:v>6.102770627569587E-5</c:v>
                </c:pt>
                <c:pt idx="4">
                  <c:v>1.4463407175294152E-4</c:v>
                </c:pt>
                <c:pt idx="5">
                  <c:v>2.8241053617311662E-4</c:v>
                </c:pt>
                <c:pt idx="6">
                  <c:v>4.8780472313111889E-4</c:v>
                </c:pt>
                <c:pt idx="7">
                  <c:v>7.7417137747542997E-4</c:v>
                </c:pt>
                <c:pt idx="8">
                  <c:v>1.154732353355975E-3</c:v>
                </c:pt>
                <c:pt idx="9">
                  <c:v>1.6425296602429473E-3</c:v>
                </c:pt>
                <c:pt idx="10">
                  <c:v>2.2503718026603559E-3</c:v>
                </c:pt>
                <c:pt idx="11">
                  <c:v>2.9907737240505161E-3</c:v>
                </c:pt>
                <c:pt idx="12">
                  <c:v>3.8758907486478866E-3</c:v>
                </c:pt>
                <c:pt idx="13">
                  <c:v>4.9174470064569931E-3</c:v>
                </c:pt>
                <c:pt idx="14">
                  <c:v>6.1266589241278646E-3</c:v>
                </c:pt>
                <c:pt idx="15">
                  <c:v>7.514154467163997E-3</c:v>
                </c:pt>
                <c:pt idx="16">
                  <c:v>9.0898889246784353E-3</c:v>
                </c:pt>
                <c:pt idx="17">
                  <c:v>1.0863058134767067E-2</c:v>
                </c:pt>
                <c:pt idx="18">
                  <c:v>1.2842010154167444E-2</c:v>
                </c:pt>
                <c:pt idx="19">
                  <c:v>1.5034156477655047E-2</c:v>
                </c:pt>
                <c:pt idx="20">
                  <c:v>1.7445884007829954E-2</c:v>
                </c:pt>
                <c:pt idx="21">
                  <c:v>2.0082469061632802E-2</c:v>
                </c:pt>
                <c:pt idx="22">
                  <c:v>2.2947994773054342E-2</c:v>
                </c:pt>
                <c:pt idx="23">
                  <c:v>2.6045273308977684E-2</c:v>
                </c:pt>
                <c:pt idx="24">
                  <c:v>2.9375774353851136E-2</c:v>
                </c:pt>
                <c:pt idx="25">
                  <c:v>3.2939561335982914E-2</c:v>
                </c:pt>
                <c:pt idx="26">
                  <c:v>3.6735236860931386E-2</c:v>
                </c:pt>
                <c:pt idx="27">
                  <c:v>4.0759898783298443E-2</c:v>
                </c:pt>
                <c:pt idx="28">
                  <c:v>4.5009108285189531E-2</c:v>
                </c:pt>
                <c:pt idx="29">
                  <c:v>4.9476871236167563E-2</c:v>
                </c:pt>
                <c:pt idx="30">
                  <c:v>5.4155633984795448E-2</c:v>
                </c:pt>
                <c:pt idx="31">
                  <c:v>5.90362945756433E-2</c:v>
                </c:pt>
                <c:pt idx="32">
                  <c:v>6.4108230198523436E-2</c:v>
                </c:pt>
                <c:pt idx="33">
                  <c:v>6.935934146016362E-2</c:v>
                </c:pt>
                <c:pt idx="34">
                  <c:v>7.4776113824892548E-2</c:v>
                </c:pt>
                <c:pt idx="35">
                  <c:v>8.0343696303467355E-2</c:v>
                </c:pt>
                <c:pt idx="36">
                  <c:v>8.6045997182124606E-2</c:v>
                </c:pt>
                <c:pt idx="37">
                  <c:v>9.1865796282358858E-2</c:v>
                </c:pt>
                <c:pt idx="38">
                  <c:v>9.7784872931722167E-2</c:v>
                </c:pt>
                <c:pt idx="39">
                  <c:v>0.10378414851369361</c:v>
                </c:pt>
                <c:pt idx="40">
                  <c:v>0.10984384215755733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workbookViewId="0">
      <selection activeCell="B20" sqref="B20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41</v>
      </c>
    </row>
    <row r="8" spans="1:2" x14ac:dyDescent="0.35">
      <c r="A8" t="s">
        <v>42</v>
      </c>
    </row>
    <row r="9" spans="1:2" x14ac:dyDescent="0.35">
      <c r="A9" t="s">
        <v>43</v>
      </c>
    </row>
    <row r="10" spans="1:2" x14ac:dyDescent="0.35">
      <c r="A10" t="s">
        <v>44</v>
      </c>
    </row>
    <row r="11" spans="1:2" x14ac:dyDescent="0.35">
      <c r="A11" t="s">
        <v>45</v>
      </c>
    </row>
    <row r="12" spans="1:2" x14ac:dyDescent="0.35">
      <c r="A12" s="1"/>
    </row>
    <row r="13" spans="1:2" x14ac:dyDescent="0.35">
      <c r="A13" t="s">
        <v>2</v>
      </c>
    </row>
    <row r="15" spans="1:2" x14ac:dyDescent="0.35">
      <c r="A15" s="1" t="s">
        <v>32</v>
      </c>
    </row>
    <row r="16" spans="1:2" x14ac:dyDescent="0.35">
      <c r="A16" t="s">
        <v>37</v>
      </c>
      <c r="B16">
        <v>0.25</v>
      </c>
    </row>
    <row r="17" spans="1:3" x14ac:dyDescent="0.35">
      <c r="A17" t="s">
        <v>35</v>
      </c>
      <c r="B17">
        <v>0.6</v>
      </c>
    </row>
    <row r="18" spans="1:3" x14ac:dyDescent="0.35">
      <c r="A18" t="s">
        <v>36</v>
      </c>
      <c r="B18">
        <v>3</v>
      </c>
    </row>
    <row r="19" spans="1:3" x14ac:dyDescent="0.35">
      <c r="A19" t="s">
        <v>38</v>
      </c>
      <c r="B19">
        <v>0.5</v>
      </c>
    </row>
    <row r="20" spans="1:3" x14ac:dyDescent="0.35">
      <c r="A20" t="s">
        <v>39</v>
      </c>
      <c r="B20">
        <v>60000</v>
      </c>
    </row>
    <row r="24" spans="1:3" x14ac:dyDescent="0.35">
      <c r="B24">
        <f>(1-EXP(-((C24/$B$20-($B$19-0.5))/$B$17)^$B$18))*$B$16</f>
        <v>0</v>
      </c>
      <c r="C24">
        <v>0</v>
      </c>
    </row>
    <row r="25" spans="1:3" x14ac:dyDescent="0.35">
      <c r="B25">
        <f t="shared" ref="B25:B88" si="0">(1-EXP(-((C25/$B$20-($B$19-0.5))/$B$17)^$B$18))*$B$16</f>
        <v>6.6979505611297618E-7</v>
      </c>
      <c r="C25">
        <v>500</v>
      </c>
    </row>
    <row r="26" spans="1:3" x14ac:dyDescent="0.35">
      <c r="B26">
        <f t="shared" si="0"/>
        <v>5.3583102030962948E-6</v>
      </c>
      <c r="C26">
        <v>1000</v>
      </c>
    </row>
    <row r="27" spans="1:3" x14ac:dyDescent="0.35">
      <c r="B27">
        <f t="shared" si="0"/>
        <v>1.808383665891089E-5</v>
      </c>
      <c r="C27">
        <f>C26+500</f>
        <v>1500</v>
      </c>
    </row>
    <row r="28" spans="1:3" x14ac:dyDescent="0.35">
      <c r="B28">
        <f t="shared" si="0"/>
        <v>4.2863266075859885E-5</v>
      </c>
      <c r="C28">
        <f t="shared" ref="C28:C91" si="1">C27+500</f>
        <v>2000</v>
      </c>
    </row>
    <row r="29" spans="1:3" x14ac:dyDescent="0.35">
      <c r="B29">
        <f t="shared" si="0"/>
        <v>8.3710476153159297E-5</v>
      </c>
      <c r="C29">
        <f t="shared" si="1"/>
        <v>2500</v>
      </c>
    </row>
    <row r="30" spans="1:3" x14ac:dyDescent="0.35">
      <c r="B30">
        <f t="shared" si="0"/>
        <v>1.4463407175294152E-4</v>
      </c>
      <c r="C30">
        <f t="shared" si="1"/>
        <v>3000</v>
      </c>
    </row>
    <row r="31" spans="1:3" x14ac:dyDescent="0.35">
      <c r="B31">
        <f t="shared" si="0"/>
        <v>2.2963448338450543E-4</v>
      </c>
      <c r="C31">
        <f t="shared" si="1"/>
        <v>3500</v>
      </c>
    </row>
    <row r="32" spans="1:3" x14ac:dyDescent="0.35">
      <c r="B32">
        <f t="shared" si="0"/>
        <v>3.4270042607989493E-4</v>
      </c>
      <c r="C32">
        <f t="shared" si="1"/>
        <v>4000</v>
      </c>
    </row>
    <row r="33" spans="2:3" x14ac:dyDescent="0.35">
      <c r="B33">
        <f t="shared" si="0"/>
        <v>4.8780472313111889E-4</v>
      </c>
      <c r="C33">
        <f t="shared" si="1"/>
        <v>4500</v>
      </c>
    </row>
    <row r="34" spans="2:3" x14ac:dyDescent="0.35">
      <c r="B34">
        <f t="shared" si="0"/>
        <v>6.6889950088819261E-4</v>
      </c>
      <c r="C34">
        <f t="shared" si="1"/>
        <v>5000</v>
      </c>
    </row>
    <row r="35" spans="2:3" x14ac:dyDescent="0.35">
      <c r="B35">
        <f t="shared" si="0"/>
        <v>8.8991076282438075E-4</v>
      </c>
      <c r="C35">
        <f t="shared" si="1"/>
        <v>5500</v>
      </c>
    </row>
    <row r="36" spans="2:3" x14ac:dyDescent="0.35">
      <c r="B36">
        <f t="shared" si="0"/>
        <v>1.154732353355975E-3</v>
      </c>
      <c r="C36">
        <f t="shared" si="1"/>
        <v>6000</v>
      </c>
    </row>
    <row r="37" spans="2:3" x14ac:dyDescent="0.35">
      <c r="B37">
        <f t="shared" si="0"/>
        <v>1.4672193244460452E-3</v>
      </c>
      <c r="C37">
        <f t="shared" si="1"/>
        <v>6500</v>
      </c>
    </row>
    <row r="38" spans="2:3" x14ac:dyDescent="0.35">
      <c r="B38">
        <f t="shared" si="0"/>
        <v>1.8311807208203079E-3</v>
      </c>
      <c r="C38">
        <f t="shared" si="1"/>
        <v>7000</v>
      </c>
    </row>
    <row r="39" spans="2:3" x14ac:dyDescent="0.35">
      <c r="B39">
        <f t="shared" si="0"/>
        <v>2.2503718026603559E-3</v>
      </c>
      <c r="C39">
        <f t="shared" si="1"/>
        <v>7500</v>
      </c>
    </row>
    <row r="40" spans="2:3" x14ac:dyDescent="0.35">
      <c r="B40">
        <f t="shared" si="0"/>
        <v>2.7284857279034902E-3</v>
      </c>
      <c r="C40">
        <f t="shared" si="1"/>
        <v>8000</v>
      </c>
    </row>
    <row r="41" spans="2:3" x14ac:dyDescent="0.35">
      <c r="B41">
        <f t="shared" si="0"/>
        <v>3.2691447197514545E-3</v>
      </c>
      <c r="C41">
        <f t="shared" si="1"/>
        <v>8500</v>
      </c>
    </row>
    <row r="42" spans="2:3" x14ac:dyDescent="0.35">
      <c r="B42">
        <f t="shared" si="0"/>
        <v>3.8758907486478866E-3</v>
      </c>
      <c r="C42">
        <f t="shared" si="1"/>
        <v>9000</v>
      </c>
    </row>
    <row r="43" spans="2:3" x14ac:dyDescent="0.35">
      <c r="B43">
        <f t="shared" si="0"/>
        <v>4.5521757618089131E-3</v>
      </c>
      <c r="C43">
        <f t="shared" si="1"/>
        <v>9500</v>
      </c>
    </row>
    <row r="44" spans="2:3" x14ac:dyDescent="0.35">
      <c r="B44">
        <f t="shared" si="0"/>
        <v>5.3013514973510034E-3</v>
      </c>
      <c r="C44">
        <f t="shared" si="1"/>
        <v>10000</v>
      </c>
    </row>
    <row r="45" spans="2:3" x14ac:dyDescent="0.35">
      <c r="B45">
        <f t="shared" si="0"/>
        <v>6.1266589241278646E-3</v>
      </c>
      <c r="C45">
        <f t="shared" si="1"/>
        <v>10500</v>
      </c>
    </row>
    <row r="46" spans="2:3" x14ac:dyDescent="0.35">
      <c r="B46">
        <f t="shared" si="0"/>
        <v>7.0312173525307331E-3</v>
      </c>
      <c r="C46">
        <f t="shared" si="1"/>
        <v>11000</v>
      </c>
    </row>
    <row r="47" spans="2:3" x14ac:dyDescent="0.35">
      <c r="B47">
        <f t="shared" si="0"/>
        <v>8.0180132656878234E-3</v>
      </c>
      <c r="C47">
        <f t="shared" si="1"/>
        <v>11500</v>
      </c>
    </row>
    <row r="48" spans="2:3" x14ac:dyDescent="0.35">
      <c r="B48">
        <f t="shared" si="0"/>
        <v>9.0898889246784353E-3</v>
      </c>
      <c r="C48">
        <f t="shared" si="1"/>
        <v>12000</v>
      </c>
    </row>
    <row r="49" spans="2:3" x14ac:dyDescent="0.35">
      <c r="B49">
        <f t="shared" si="0"/>
        <v>1.0249530805518103E-2</v>
      </c>
      <c r="C49">
        <f t="shared" si="1"/>
        <v>12500</v>
      </c>
    </row>
    <row r="50" spans="2:3" x14ac:dyDescent="0.35">
      <c r="B50">
        <f t="shared" si="0"/>
        <v>1.1499457929721124E-2</v>
      </c>
      <c r="C50">
        <f t="shared" si="1"/>
        <v>13000</v>
      </c>
    </row>
    <row r="51" spans="2:3" x14ac:dyDescent="0.35">
      <c r="B51">
        <f t="shared" si="0"/>
        <v>1.2842010154167444E-2</v>
      </c>
      <c r="C51">
        <f t="shared" si="1"/>
        <v>13500</v>
      </c>
    </row>
    <row r="52" spans="2:3" x14ac:dyDescent="0.35">
      <c r="B52">
        <f t="shared" si="0"/>
        <v>1.4279336489735478E-2</v>
      </c>
      <c r="C52">
        <f t="shared" si="1"/>
        <v>14000</v>
      </c>
    </row>
    <row r="53" spans="2:3" x14ac:dyDescent="0.35">
      <c r="B53">
        <f t="shared" si="0"/>
        <v>1.5813383521665059E-2</v>
      </c>
      <c r="C53">
        <f t="shared" si="1"/>
        <v>14500</v>
      </c>
    </row>
    <row r="54" spans="2:3" x14ac:dyDescent="0.35">
      <c r="B54">
        <f t="shared" si="0"/>
        <v>1.7445884007829954E-2</v>
      </c>
      <c r="C54">
        <f t="shared" si="1"/>
        <v>15000</v>
      </c>
    </row>
    <row r="55" spans="2:3" x14ac:dyDescent="0.35">
      <c r="B55">
        <f t="shared" si="0"/>
        <v>1.9178345733975227E-2</v>
      </c>
      <c r="C55">
        <f t="shared" si="1"/>
        <v>15500</v>
      </c>
    </row>
    <row r="56" spans="2:3" x14ac:dyDescent="0.35">
      <c r="B56">
        <f t="shared" si="0"/>
        <v>2.1012040707456797E-2</v>
      </c>
      <c r="C56">
        <f t="shared" si="1"/>
        <v>16000</v>
      </c>
    </row>
    <row r="57" spans="2:3" x14ac:dyDescent="0.35">
      <c r="B57">
        <f t="shared" si="0"/>
        <v>2.2947994773054342E-2</v>
      </c>
      <c r="C57">
        <f t="shared" si="1"/>
        <v>16500</v>
      </c>
    </row>
    <row r="58" spans="2:3" x14ac:dyDescent="0.35">
      <c r="B58">
        <f t="shared" si="0"/>
        <v>2.4986977735963062E-2</v>
      </c>
      <c r="C58">
        <f t="shared" si="1"/>
        <v>17000</v>
      </c>
    </row>
    <row r="59" spans="2:3" x14ac:dyDescent="0.35">
      <c r="B59">
        <f t="shared" si="0"/>
        <v>2.7129494078051375E-2</v>
      </c>
      <c r="C59">
        <f t="shared" si="1"/>
        <v>17500</v>
      </c>
    </row>
    <row r="60" spans="2:3" x14ac:dyDescent="0.35">
      <c r="B60">
        <f t="shared" si="0"/>
        <v>2.9375774353851136E-2</v>
      </c>
      <c r="C60">
        <f t="shared" si="1"/>
        <v>18000</v>
      </c>
    </row>
    <row r="61" spans="2:3" x14ac:dyDescent="0.35">
      <c r="B61">
        <f t="shared" si="0"/>
        <v>3.172576735248045E-2</v>
      </c>
      <c r="C61">
        <f t="shared" si="1"/>
        <v>18500</v>
      </c>
    </row>
    <row r="62" spans="2:3" x14ac:dyDescent="0.35">
      <c r="B62">
        <f t="shared" si="0"/>
        <v>3.4179133110739057E-2</v>
      </c>
      <c r="C62">
        <f t="shared" si="1"/>
        <v>19000</v>
      </c>
    </row>
    <row r="63" spans="2:3" x14ac:dyDescent="0.35">
      <c r="B63">
        <f t="shared" si="0"/>
        <v>3.6735236860931386E-2</v>
      </c>
      <c r="C63">
        <f t="shared" si="1"/>
        <v>19500</v>
      </c>
    </row>
    <row r="64" spans="2:3" x14ac:dyDescent="0.35">
      <c r="B64">
        <f t="shared" si="0"/>
        <v>3.9393143994520763E-2</v>
      </c>
      <c r="C64">
        <f t="shared" si="1"/>
        <v>20000</v>
      </c>
    </row>
    <row r="65" spans="2:3" x14ac:dyDescent="0.35">
      <c r="B65">
        <f t="shared" si="0"/>
        <v>4.2151616119484259E-2</v>
      </c>
      <c r="C65">
        <f t="shared" si="1"/>
        <v>20500</v>
      </c>
    </row>
    <row r="66" spans="2:3" x14ac:dyDescent="0.35">
      <c r="B66">
        <f t="shared" si="0"/>
        <v>4.5009108285189531E-2</v>
      </c>
      <c r="C66">
        <f t="shared" si="1"/>
        <v>21000</v>
      </c>
    </row>
    <row r="67" spans="2:3" x14ac:dyDescent="0.35">
      <c r="B67">
        <f t="shared" si="0"/>
        <v>4.7963767443752275E-2</v>
      </c>
      <c r="C67">
        <f t="shared" si="1"/>
        <v>21500</v>
      </c>
    </row>
    <row r="68" spans="2:3" x14ac:dyDescent="0.35">
      <c r="B68">
        <f t="shared" si="0"/>
        <v>5.1013432211141768E-2</v>
      </c>
      <c r="C68">
        <f t="shared" si="1"/>
        <v>22000</v>
      </c>
    </row>
    <row r="69" spans="2:3" x14ac:dyDescent="0.35">
      <c r="B69">
        <f t="shared" si="0"/>
        <v>5.4155633984795448E-2</v>
      </c>
      <c r="C69">
        <f t="shared" si="1"/>
        <v>22500</v>
      </c>
    </row>
    <row r="70" spans="2:3" x14ac:dyDescent="0.35">
      <c r="B70">
        <f t="shared" si="0"/>
        <v>5.7387599467191991E-2</v>
      </c>
      <c r="C70">
        <f t="shared" si="1"/>
        <v>23000</v>
      </c>
    </row>
    <row r="71" spans="2:3" x14ac:dyDescent="0.35">
      <c r="B71">
        <f t="shared" si="0"/>
        <v>6.070625463674198E-2</v>
      </c>
      <c r="C71">
        <f t="shared" si="1"/>
        <v>23500</v>
      </c>
    </row>
    <row r="72" spans="2:3" x14ac:dyDescent="0.35">
      <c r="B72">
        <f t="shared" si="0"/>
        <v>6.4108230198523436E-2</v>
      </c>
      <c r="C72">
        <f t="shared" si="1"/>
        <v>24000</v>
      </c>
    </row>
    <row r="73" spans="2:3" x14ac:dyDescent="0.35">
      <c r="B73">
        <f t="shared" si="0"/>
        <v>6.758986853785745E-2</v>
      </c>
      <c r="C73">
        <f t="shared" si="1"/>
        <v>24500</v>
      </c>
    </row>
    <row r="74" spans="2:3" x14ac:dyDescent="0.35">
      <c r="B74">
        <f t="shared" si="0"/>
        <v>7.1147232189551435E-2</v>
      </c>
      <c r="C74">
        <f t="shared" si="1"/>
        <v>25000</v>
      </c>
    </row>
    <row r="75" spans="2:3" x14ac:dyDescent="0.35">
      <c r="B75">
        <f t="shared" si="0"/>
        <v>7.4776113824892548E-2</v>
      </c>
      <c r="C75">
        <f t="shared" si="1"/>
        <v>25500</v>
      </c>
    </row>
    <row r="76" spans="2:3" x14ac:dyDescent="0.35">
      <c r="B76">
        <f t="shared" si="0"/>
        <v>7.8472047747238372E-2</v>
      </c>
      <c r="C76">
        <f t="shared" si="1"/>
        <v>26000</v>
      </c>
    </row>
    <row r="77" spans="2:3" x14ac:dyDescent="0.35">
      <c r="B77">
        <f t="shared" si="0"/>
        <v>8.223032287540763E-2</v>
      </c>
      <c r="C77">
        <f t="shared" si="1"/>
        <v>26500</v>
      </c>
    </row>
    <row r="78" spans="2:3" x14ac:dyDescent="0.35">
      <c r="B78">
        <f t="shared" si="0"/>
        <v>8.6045997182124606E-2</v>
      </c>
      <c r="C78">
        <f t="shared" si="1"/>
        <v>27000</v>
      </c>
    </row>
    <row r="79" spans="2:3" x14ac:dyDescent="0.35">
      <c r="B79">
        <f t="shared" si="0"/>
        <v>8.991391354261688E-2</v>
      </c>
      <c r="C79">
        <f t="shared" si="1"/>
        <v>27500</v>
      </c>
    </row>
    <row r="80" spans="2:3" x14ac:dyDescent="0.35">
      <c r="B80">
        <f t="shared" si="0"/>
        <v>9.382871693623035E-2</v>
      </c>
      <c r="C80">
        <f t="shared" si="1"/>
        <v>28000</v>
      </c>
    </row>
    <row r="81" spans="2:3" x14ac:dyDescent="0.35">
      <c r="B81">
        <f t="shared" si="0"/>
        <v>9.7784872931722167E-2</v>
      </c>
      <c r="C81">
        <f t="shared" si="1"/>
        <v>28500</v>
      </c>
    </row>
    <row r="82" spans="2:3" x14ac:dyDescent="0.35">
      <c r="B82">
        <f t="shared" si="0"/>
        <v>0.10177668737485601</v>
      </c>
      <c r="C82">
        <f t="shared" si="1"/>
        <v>29000</v>
      </c>
    </row>
    <row r="83" spans="2:3" x14ac:dyDescent="0.35">
      <c r="B83">
        <f t="shared" si="0"/>
        <v>0.10579832718517984</v>
      </c>
      <c r="C83">
        <f t="shared" si="1"/>
        <v>29500</v>
      </c>
    </row>
    <row r="84" spans="2:3" x14ac:dyDescent="0.35">
      <c r="B84">
        <f t="shared" si="0"/>
        <v>0.10984384215755733</v>
      </c>
      <c r="C84">
        <f t="shared" si="1"/>
        <v>30000</v>
      </c>
    </row>
    <row r="85" spans="2:3" x14ac:dyDescent="0.35">
      <c r="B85">
        <f t="shared" si="0"/>
        <v>0.11390718765327743</v>
      </c>
      <c r="C85">
        <f t="shared" si="1"/>
        <v>30500</v>
      </c>
    </row>
    <row r="86" spans="2:3" x14ac:dyDescent="0.35">
      <c r="B86">
        <f t="shared" si="0"/>
        <v>0.11798224805552582</v>
      </c>
      <c r="C86">
        <f t="shared" si="1"/>
        <v>31000</v>
      </c>
    </row>
    <row r="87" spans="2:3" x14ac:dyDescent="0.35">
      <c r="B87">
        <f t="shared" si="0"/>
        <v>0.1220628608547917</v>
      </c>
      <c r="C87">
        <f t="shared" si="1"/>
        <v>31500</v>
      </c>
    </row>
    <row r="88" spans="2:3" x14ac:dyDescent="0.35">
      <c r="B88">
        <f t="shared" si="0"/>
        <v>0.12614284122154099</v>
      </c>
      <c r="C88">
        <f t="shared" si="1"/>
        <v>32000</v>
      </c>
    </row>
    <row r="89" spans="2:3" x14ac:dyDescent="0.35">
      <c r="B89">
        <f t="shared" ref="B89:B125" si="2">(1-EXP(-((C89/$B$20-($B$19-0.5))/$B$17)^$B$18))*$B$16</f>
        <v>0.13021600691632498</v>
      </c>
      <c r="C89">
        <f t="shared" si="1"/>
        <v>32500</v>
      </c>
    </row>
    <row r="90" spans="2:3" x14ac:dyDescent="0.35">
      <c r="B90">
        <f t="shared" si="2"/>
        <v>0.13427620338153212</v>
      </c>
      <c r="C90">
        <f t="shared" si="1"/>
        <v>33000</v>
      </c>
    </row>
    <row r="91" spans="2:3" x14ac:dyDescent="0.35">
      <c r="B91">
        <f t="shared" si="2"/>
        <v>0.13831732885432968</v>
      </c>
      <c r="C91">
        <f t="shared" si="1"/>
        <v>33500</v>
      </c>
    </row>
    <row r="92" spans="2:3" x14ac:dyDescent="0.35">
      <c r="B92">
        <f t="shared" si="2"/>
        <v>0.14233335933707317</v>
      </c>
      <c r="C92">
        <f t="shared" ref="C92:C125" si="3">C91+500</f>
        <v>34000</v>
      </c>
    </row>
    <row r="93" spans="2:3" x14ac:dyDescent="0.35">
      <c r="B93">
        <f t="shared" si="2"/>
        <v>0.14631837325965968</v>
      </c>
      <c r="C93">
        <f t="shared" si="3"/>
        <v>34500</v>
      </c>
    </row>
    <row r="94" spans="2:3" x14ac:dyDescent="0.35">
      <c r="B94">
        <f t="shared" si="2"/>
        <v>0.15026657566803092</v>
      </c>
      <c r="C94">
        <f t="shared" si="3"/>
        <v>35000</v>
      </c>
    </row>
    <row r="95" spans="2:3" x14ac:dyDescent="0.35">
      <c r="B95">
        <f t="shared" si="2"/>
        <v>0.15417232177433279</v>
      </c>
      <c r="C95">
        <f t="shared" si="3"/>
        <v>35500</v>
      </c>
    </row>
    <row r="96" spans="2:3" x14ac:dyDescent="0.35">
      <c r="B96">
        <f t="shared" si="2"/>
        <v>0.15803013970713942</v>
      </c>
      <c r="C96">
        <f t="shared" si="3"/>
        <v>36000</v>
      </c>
    </row>
    <row r="97" spans="2:3" x14ac:dyDescent="0.35">
      <c r="B97">
        <f t="shared" si="2"/>
        <v>0.16183475230465361</v>
      </c>
      <c r="C97">
        <f t="shared" si="3"/>
        <v>36500</v>
      </c>
    </row>
    <row r="98" spans="2:3" x14ac:dyDescent="0.35">
      <c r="B98">
        <f t="shared" si="2"/>
        <v>0.16558109779989261</v>
      </c>
      <c r="C98">
        <f t="shared" si="3"/>
        <v>37000</v>
      </c>
    </row>
    <row r="99" spans="2:3" x14ac:dyDescent="0.35">
      <c r="B99">
        <f t="shared" si="2"/>
        <v>0.16926434925451739</v>
      </c>
      <c r="C99">
        <f t="shared" si="3"/>
        <v>37500</v>
      </c>
    </row>
    <row r="100" spans="2:3" x14ac:dyDescent="0.35">
      <c r="B100">
        <f t="shared" si="2"/>
        <v>0.17287993260711848</v>
      </c>
      <c r="C100">
        <f t="shared" si="3"/>
        <v>38000</v>
      </c>
    </row>
    <row r="101" spans="2:3" x14ac:dyDescent="0.35">
      <c r="B101">
        <f t="shared" si="2"/>
        <v>0.17642354321234238</v>
      </c>
      <c r="C101">
        <f t="shared" si="3"/>
        <v>38500</v>
      </c>
    </row>
    <row r="102" spans="2:3" x14ac:dyDescent="0.35">
      <c r="B102">
        <f t="shared" si="2"/>
        <v>0.17989116075915099</v>
      </c>
      <c r="C102">
        <f t="shared" si="3"/>
        <v>39000</v>
      </c>
    </row>
    <row r="103" spans="2:3" x14ac:dyDescent="0.35">
      <c r="B103">
        <f t="shared" si="2"/>
        <v>0.18327906246962056</v>
      </c>
      <c r="C103">
        <f t="shared" si="3"/>
        <v>39500</v>
      </c>
    </row>
    <row r="104" spans="2:3" x14ac:dyDescent="0.35">
      <c r="B104">
        <f t="shared" si="2"/>
        <v>0.1865838344938828</v>
      </c>
      <c r="C104">
        <f t="shared" si="3"/>
        <v>40000</v>
      </c>
    </row>
    <row r="105" spans="2:3" x14ac:dyDescent="0.35">
      <c r="B105">
        <f t="shared" si="2"/>
        <v>0.18980238143193792</v>
      </c>
      <c r="C105">
        <f t="shared" si="3"/>
        <v>40500</v>
      </c>
    </row>
    <row r="106" spans="2:3" x14ac:dyDescent="0.35">
      <c r="B106">
        <f t="shared" si="2"/>
        <v>0.19293193392895985</v>
      </c>
      <c r="C106">
        <f t="shared" si="3"/>
        <v>41000</v>
      </c>
    </row>
    <row r="107" spans="2:3" x14ac:dyDescent="0.35">
      <c r="B107">
        <f t="shared" si="2"/>
        <v>0.19597005430719538</v>
      </c>
      <c r="C107">
        <f t="shared" si="3"/>
        <v>41500</v>
      </c>
    </row>
    <row r="108" spans="2:3" x14ac:dyDescent="0.35">
      <c r="B108">
        <f t="shared" si="2"/>
        <v>0.19891464021443961</v>
      </c>
      <c r="C108">
        <f t="shared" si="3"/>
        <v>42000</v>
      </c>
    </row>
    <row r="109" spans="2:3" x14ac:dyDescent="0.35">
      <c r="B109">
        <f t="shared" si="2"/>
        <v>0.20176392628616246</v>
      </c>
      <c r="C109">
        <f t="shared" si="3"/>
        <v>42500</v>
      </c>
    </row>
    <row r="110" spans="2:3" x14ac:dyDescent="0.35">
      <c r="B110">
        <f t="shared" si="2"/>
        <v>0.20451648383545865</v>
      </c>
      <c r="C110">
        <f t="shared" si="3"/>
        <v>43000</v>
      </c>
    </row>
    <row r="111" spans="2:3" x14ac:dyDescent="0.35">
      <c r="B111">
        <f t="shared" si="2"/>
        <v>0.2071712186018998</v>
      </c>
      <c r="C111">
        <f t="shared" si="3"/>
        <v>43500</v>
      </c>
    </row>
    <row r="112" spans="2:3" x14ac:dyDescent="0.35">
      <c r="B112">
        <f t="shared" si="2"/>
        <v>0.20972736660688546</v>
      </c>
      <c r="C112">
        <f t="shared" si="3"/>
        <v>44000</v>
      </c>
    </row>
    <row r="113" spans="2:3" x14ac:dyDescent="0.35">
      <c r="B113">
        <f t="shared" si="2"/>
        <v>0.21218448817901575</v>
      </c>
      <c r="C113">
        <f t="shared" si="3"/>
        <v>44500</v>
      </c>
    </row>
    <row r="114" spans="2:3" x14ac:dyDescent="0.35">
      <c r="B114">
        <f t="shared" si="2"/>
        <v>0.21454246022816437</v>
      </c>
      <c r="C114">
        <f t="shared" si="3"/>
        <v>45000</v>
      </c>
    </row>
    <row r="115" spans="2:3" x14ac:dyDescent="0.35">
      <c r="B115">
        <f t="shared" si="2"/>
        <v>0.21680146686113236</v>
      </c>
      <c r="C115">
        <f t="shared" si="3"/>
        <v>45500</v>
      </c>
    </row>
    <row r="116" spans="2:3" x14ac:dyDescent="0.35">
      <c r="B116">
        <f t="shared" si="2"/>
        <v>0.21896198844484677</v>
      </c>
      <c r="C116">
        <f t="shared" si="3"/>
        <v>46000</v>
      </c>
    </row>
    <row r="117" spans="2:3" x14ac:dyDescent="0.35">
      <c r="B117">
        <f t="shared" si="2"/>
        <v>0.22102478923488639</v>
      </c>
      <c r="C117">
        <f t="shared" si="3"/>
        <v>46500</v>
      </c>
    </row>
    <row r="118" spans="2:3" x14ac:dyDescent="0.35">
      <c r="B118">
        <f t="shared" si="2"/>
        <v>0.22299090369753735</v>
      </c>
      <c r="C118">
        <f t="shared" si="3"/>
        <v>47000</v>
      </c>
    </row>
    <row r="119" spans="2:3" x14ac:dyDescent="0.35">
      <c r="B119">
        <f t="shared" si="2"/>
        <v>0.22486162166248919</v>
      </c>
      <c r="C119">
        <f t="shared" si="3"/>
        <v>47500</v>
      </c>
    </row>
    <row r="120" spans="2:3" x14ac:dyDescent="0.35">
      <c r="B120">
        <f t="shared" si="2"/>
        <v>0.22663847245059368</v>
      </c>
      <c r="C120">
        <f t="shared" si="3"/>
        <v>48000</v>
      </c>
    </row>
    <row r="121" spans="2:3" x14ac:dyDescent="0.35">
      <c r="B121">
        <f t="shared" si="2"/>
        <v>0.22832320812675097</v>
      </c>
      <c r="C121">
        <f t="shared" si="3"/>
        <v>48500</v>
      </c>
    </row>
    <row r="122" spans="2:3" x14ac:dyDescent="0.35">
      <c r="B122">
        <f t="shared" si="2"/>
        <v>0.22991778603191998</v>
      </c>
      <c r="C122">
        <f t="shared" si="3"/>
        <v>49000</v>
      </c>
    </row>
    <row r="123" spans="2:3" x14ac:dyDescent="0.35">
      <c r="B123">
        <f t="shared" si="2"/>
        <v>0.23142435075045348</v>
      </c>
      <c r="C123">
        <f t="shared" si="3"/>
        <v>49500</v>
      </c>
    </row>
    <row r="124" spans="2:3" x14ac:dyDescent="0.35">
      <c r="B124">
        <f t="shared" si="2"/>
        <v>0.23284521566943855</v>
      </c>
      <c r="C124">
        <f t="shared" si="3"/>
        <v>50000</v>
      </c>
    </row>
    <row r="125" spans="2:3" x14ac:dyDescent="0.35">
      <c r="B125">
        <f t="shared" si="2"/>
        <v>0.23418284428550792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2.2605511223461328E-6</v>
      </c>
      <c r="D1">
        <f>(1-EXP(-((D2/About!$B$20-(About!$B$19-0.5))/About!$B$17)^About!$B$18))*About!$B$16</f>
        <v>1.808383665891089E-5</v>
      </c>
      <c r="E1">
        <f>(1-EXP(-((E2/About!$B$20-(About!$B$19-0.5))/About!$B$17)^About!$B$18))*About!$B$16</f>
        <v>6.102770627569587E-5</v>
      </c>
      <c r="F1">
        <f>(1-EXP(-((F2/About!$B$20-(About!$B$19-0.5))/About!$B$17)^About!$B$18))*About!$B$16</f>
        <v>1.4463407175294152E-4</v>
      </c>
      <c r="G1">
        <f>(1-EXP(-((G2/About!$B$20-(About!$B$19-0.5))/About!$B$17)^About!$B$18))*About!$B$16</f>
        <v>2.8241053617311662E-4</v>
      </c>
      <c r="H1">
        <f>(1-EXP(-((H2/About!$B$20-(About!$B$19-0.5))/About!$B$17)^About!$B$18))*About!$B$16</f>
        <v>4.8780472313111889E-4</v>
      </c>
      <c r="I1">
        <f>(1-EXP(-((I2/About!$B$20-(About!$B$19-0.5))/About!$B$17)^About!$B$18))*About!$B$16</f>
        <v>7.7417137747542997E-4</v>
      </c>
      <c r="J1">
        <f>(1-EXP(-((J2/About!$B$20-(About!$B$19-0.5))/About!$B$17)^About!$B$18))*About!$B$16</f>
        <v>1.154732353355975E-3</v>
      </c>
      <c r="K1">
        <f>(1-EXP(-((K2/About!$B$20-(About!$B$19-0.5))/About!$B$17)^About!$B$18))*About!$B$16</f>
        <v>1.6425296602429473E-3</v>
      </c>
      <c r="L1">
        <f>(1-EXP(-((L2/About!$B$20-(About!$B$19-0.5))/About!$B$17)^About!$B$18))*About!$B$16</f>
        <v>2.2503718026603559E-3</v>
      </c>
      <c r="M1">
        <f>(1-EXP(-((M2/About!$B$20-(About!$B$19-0.5))/About!$B$17)^About!$B$18))*About!$B$16</f>
        <v>2.9907737240505161E-3</v>
      </c>
      <c r="N1">
        <f>(1-EXP(-((N2/About!$B$20-(About!$B$19-0.5))/About!$B$17)^About!$B$18))*About!$B$16</f>
        <v>3.8758907486478866E-3</v>
      </c>
      <c r="O1">
        <f>(1-EXP(-((O2/About!$B$20-(About!$B$19-0.5))/About!$B$17)^About!$B$18))*About!$B$16</f>
        <v>4.9174470064569931E-3</v>
      </c>
      <c r="P1">
        <f>(1-EXP(-((P2/About!$B$20-(About!$B$19-0.5))/About!$B$17)^About!$B$18))*About!$B$16</f>
        <v>6.1266589241278646E-3</v>
      </c>
      <c r="Q1">
        <f>(1-EXP(-((Q2/About!$B$20-(About!$B$19-0.5))/About!$B$17)^About!$B$18))*About!$B$16</f>
        <v>7.514154467163997E-3</v>
      </c>
      <c r="R1">
        <f>(1-EXP(-((R2/About!$B$20-(About!$B$19-0.5))/About!$B$17)^About!$B$18))*About!$B$16</f>
        <v>9.0898889246784353E-3</v>
      </c>
      <c r="S1">
        <f>(1-EXP(-((S2/About!$B$20-(About!$B$19-0.5))/About!$B$17)^About!$B$18))*About!$B$16</f>
        <v>1.0863058134767067E-2</v>
      </c>
      <c r="T1">
        <f>(1-EXP(-((T2/About!$B$20-(About!$B$19-0.5))/About!$B$17)^About!$B$18))*About!$B$16</f>
        <v>1.2842010154167444E-2</v>
      </c>
      <c r="U1">
        <f>(1-EXP(-((U2/About!$B$20-(About!$B$19-0.5))/About!$B$17)^About!$B$18))*About!$B$16</f>
        <v>1.5034156477655047E-2</v>
      </c>
      <c r="V1">
        <f>(1-EXP(-((V2/About!$B$20-(About!$B$19-0.5))/About!$B$17)^About!$B$18))*About!$B$16</f>
        <v>1.7445884007829954E-2</v>
      </c>
      <c r="W1">
        <f>(1-EXP(-((W2/About!$B$20-(About!$B$19-0.5))/About!$B$17)^About!$B$18))*About!$B$16</f>
        <v>2.0082469061632802E-2</v>
      </c>
      <c r="X1">
        <f>(1-EXP(-((X2/About!$B$20-(About!$B$19-0.5))/About!$B$17)^About!$B$18))*About!$B$16</f>
        <v>2.2947994773054342E-2</v>
      </c>
      <c r="Y1">
        <f>(1-EXP(-((Y2/About!$B$20-(About!$B$19-0.5))/About!$B$17)^About!$B$18))*About!$B$16</f>
        <v>2.6045273308977684E-2</v>
      </c>
      <c r="Z1">
        <f>(1-EXP(-((Z2/About!$B$20-(About!$B$19-0.5))/About!$B$17)^About!$B$18))*About!$B$16</f>
        <v>2.9375774353851136E-2</v>
      </c>
      <c r="AA1">
        <f>(1-EXP(-((AA2/About!$B$20-(About!$B$19-0.5))/About!$B$17)^About!$B$18))*About!$B$16</f>
        <v>3.2939561335982914E-2</v>
      </c>
      <c r="AB1">
        <f>(1-EXP(-((AB2/About!$B$20-(About!$B$19-0.5))/About!$B$17)^About!$B$18))*About!$B$16</f>
        <v>3.6735236860931386E-2</v>
      </c>
      <c r="AC1">
        <f>(1-EXP(-((AC2/About!$B$20-(About!$B$19-0.5))/About!$B$17)^About!$B$18))*About!$B$16</f>
        <v>4.0759898783298443E-2</v>
      </c>
      <c r="AD1">
        <f>(1-EXP(-((AD2/About!$B$20-(About!$B$19-0.5))/About!$B$17)^About!$B$18))*About!$B$16</f>
        <v>4.5009108285189531E-2</v>
      </c>
      <c r="AE1">
        <f>(1-EXP(-((AE2/About!$B$20-(About!$B$19-0.5))/About!$B$17)^About!$B$18))*About!$B$16</f>
        <v>4.9476871236167563E-2</v>
      </c>
      <c r="AF1">
        <f>(1-EXP(-((AF2/About!$B$20-(About!$B$19-0.5))/About!$B$17)^About!$B$18))*About!$B$16</f>
        <v>5.4155633984795448E-2</v>
      </c>
      <c r="AG1">
        <f>(1-EXP(-((AG2/About!$B$20-(About!$B$19-0.5))/About!$B$17)^About!$B$18))*About!$B$16</f>
        <v>5.90362945756433E-2</v>
      </c>
      <c r="AH1">
        <f>(1-EXP(-((AH2/About!$B$20-(About!$B$19-0.5))/About!$B$17)^About!$B$18))*About!$B$16</f>
        <v>6.4108230198523436E-2</v>
      </c>
      <c r="AI1">
        <f>(1-EXP(-((AI2/About!$B$20-(About!$B$19-0.5))/About!$B$17)^About!$B$18))*About!$B$16</f>
        <v>6.935934146016362E-2</v>
      </c>
      <c r="AJ1">
        <f>(1-EXP(-((AJ2/About!$B$20-(About!$B$19-0.5))/About!$B$17)^About!$B$18))*About!$B$16</f>
        <v>7.4776113824892548E-2</v>
      </c>
      <c r="AK1">
        <f>(1-EXP(-((AK2/About!$B$20-(About!$B$19-0.5))/About!$B$17)^About!$B$18))*About!$B$16</f>
        <v>8.0343696303467355E-2</v>
      </c>
      <c r="AL1">
        <f>(1-EXP(-((AL2/About!$B$20-(About!$B$19-0.5))/About!$B$17)^About!$B$18))*About!$B$16</f>
        <v>8.6045997182124606E-2</v>
      </c>
      <c r="AM1">
        <f>(1-EXP(-((AM2/About!$B$20-(About!$B$19-0.5))/About!$B$17)^About!$B$18))*About!$B$16</f>
        <v>9.1865796282358858E-2</v>
      </c>
      <c r="AN1">
        <f>(1-EXP(-((AN2/About!$B$20-(About!$B$19-0.5))/About!$B$17)^About!$B$18))*About!$B$16</f>
        <v>9.7784872931722167E-2</v>
      </c>
      <c r="AO1">
        <f>(1-EXP(-((AO2/About!$B$20-(About!$B$19-0.5))/About!$B$17)^About!$B$18))*About!$B$16</f>
        <v>0.10378414851369361</v>
      </c>
      <c r="AP1">
        <f>(1-EXP(-((AP2/About!$B$20-(About!$B$19-0.5))/About!$B$17)^About!$B$18))*About!$B$16</f>
        <v>0.10984384215755733</v>
      </c>
      <c r="AQ1">
        <f>(1-EXP(-((AQ2/About!$B$20-(About!$B$19-0.5))/About!$B$17)^About!$B$18))*About!$B$16</f>
        <v>0.11594363783482298</v>
      </c>
      <c r="AR1">
        <f>(1-EXP(-((AR2/About!$B$20-(About!$B$19-0.5))/About!$B$17)^About!$B$18))*About!$B$16</f>
        <v>0.1220628608547917</v>
      </c>
      <c r="AS1">
        <f>(1-EXP(-((AS2/About!$B$20-(About!$B$19-0.5))/About!$B$17)^About!$B$18))*About!$B$16</f>
        <v>0.12818066150615826</v>
      </c>
      <c r="AT1">
        <f>(1-EXP(-((AT2/About!$B$20-(About!$B$19-0.5))/About!$B$17)^About!$B$18))*About!$B$16</f>
        <v>0.13427620338153212</v>
      </c>
      <c r="AU1">
        <f>(1-EXP(-((AU2/About!$B$20-(About!$B$19-0.5))/About!$B$17)^About!$B$18))*About!$B$16</f>
        <v>0.1403288537544117</v>
      </c>
      <c r="AV1">
        <f>(1-EXP(-((AV2/About!$B$20-(About!$B$19-0.5))/About!$B$17)^About!$B$18))*About!$B$16</f>
        <v>0.14631837325965968</v>
      </c>
      <c r="AW1">
        <f>(1-EXP(-((AW2/About!$B$20-(About!$B$19-0.5))/About!$B$17)^About!$B$18))*About!$B$16</f>
        <v>0.15222510206407147</v>
      </c>
      <c r="AX1">
        <f>(1-EXP(-((AX2/About!$B$20-(About!$B$19-0.5))/About!$B$17)^About!$B$18))*About!$B$16</f>
        <v>0.15803013970713942</v>
      </c>
      <c r="AY1">
        <f>(1-EXP(-((AY2/About!$B$20-(About!$B$19-0.5))/About!$B$17)^About!$B$18))*About!$B$16</f>
        <v>0.16371551584608257</v>
      </c>
      <c r="AZ1">
        <f>(1-EXP(-((AZ2/About!$B$20-(About!$B$19-0.5))/About!$B$17)^About!$B$18))*About!$B$16</f>
        <v>0.16926434925451739</v>
      </c>
      <c r="BA1">
        <f>(1-EXP(-((BA2/About!$B$20-(About!$B$19-0.5))/About!$B$17)^About!$B$18))*About!$B$16</f>
        <v>0.17466099259996892</v>
      </c>
      <c r="BB1">
        <f>(1-EXP(-((BB2/About!$B$20-(About!$B$19-0.5))/About!$B$17)^About!$B$18))*About!$B$16</f>
        <v>0.17989116075915099</v>
      </c>
      <c r="BC1">
        <f>(1-EXP(-((BC2/About!$B$20-(About!$B$19-0.5))/About!$B$17)^About!$B$18))*About!$B$16</f>
        <v>0.18494204071721859</v>
      </c>
      <c r="BD1">
        <f>(1-EXP(-((BD2/About!$B$20-(About!$B$19-0.5))/About!$B$17)^About!$B$18))*About!$B$16</f>
        <v>0.18980238143193792</v>
      </c>
      <c r="BE1">
        <f>(1-EXP(-((BE2/About!$B$20-(About!$B$19-0.5))/About!$B$17)^About!$B$18))*About!$B$16</f>
        <v>0.19446256241829191</v>
      </c>
      <c r="BF1">
        <f>(1-EXP(-((BF2/About!$B$20-(About!$B$19-0.5))/About!$B$17)^About!$B$18))*About!$B$16</f>
        <v>0.19891464021443961</v>
      </c>
      <c r="BG1">
        <f>(1-EXP(-((BG2/About!$B$20-(About!$B$19-0.5))/About!$B$17)^About!$B$18))*About!$B$16</f>
        <v>0.2031523723160483</v>
      </c>
      <c r="BH1">
        <f>(1-EXP(-((BH2/About!$B$20-(About!$B$19-0.5))/About!$B$17)^About!$B$18))*About!$B$16</f>
        <v>0.2071712186018998</v>
      </c>
      <c r="BI1">
        <f>(1-EXP(-((BI2/About!$B$20-(About!$B$19-0.5))/About!$B$17)^About!$B$18))*About!$B$16</f>
        <v>0.21096832070794364</v>
      </c>
      <c r="BJ1">
        <f>(1-EXP(-((BJ2/About!$B$20-(About!$B$19-0.5))/About!$B$17)^About!$B$18))*About!$B$16</f>
        <v>0.21454246022816437</v>
      </c>
      <c r="BK1">
        <f>(1-EXP(-((BK2/About!$B$20-(About!$B$19-0.5))/About!$B$17)^About!$B$18))*About!$B$16</f>
        <v>0.21789399701757761</v>
      </c>
      <c r="BL1">
        <f>(1-EXP(-((BL2/About!$B$20-(About!$B$19-0.5))/About!$B$17)^About!$B$18))*About!$B$16</f>
        <v>0.22102478923488639</v>
      </c>
      <c r="BM1">
        <f>(1-EXP(-((BM2/About!$B$20-(About!$B$19-0.5))/About!$B$17)^About!$B$18))*About!$B$16</f>
        <v>0.22393809708039045</v>
      </c>
      <c r="BN1">
        <f>(1-EXP(-((BN2/About!$B$20-(About!$B$19-0.5))/About!$B$17)^About!$B$18))*About!$B$16</f>
        <v>0.22663847245059368</v>
      </c>
      <c r="BO1">
        <f>(1-EXP(-((BO2/About!$B$20-(About!$B$19-0.5))/About!$B$17)^About!$B$18))*About!$B$16</f>
        <v>0.22913163693821295</v>
      </c>
      <c r="BP1">
        <f>(1-EXP(-((BP2/About!$B$20-(About!$B$19-0.5))/About!$B$17)^About!$B$18))*About!$B$16</f>
        <v>0.23142435075045348</v>
      </c>
      <c r="BQ1">
        <f>(1-EXP(-((BQ2/About!$B$20-(About!$B$19-0.5))/About!$B$17)^About!$B$18))*About!$B$16</f>
        <v>0.23352427519699354</v>
      </c>
      <c r="BR1">
        <f>(1-EXP(-((BR2/About!$B$20-(About!$B$19-0.5))/About!$B$17)^About!$B$18))*About!$B$16</f>
        <v>0.23543983141173369</v>
      </c>
      <c r="BS1">
        <f>(1-EXP(-((BS2/About!$B$20-(About!$B$19-0.5))/About!$B$17)^About!$B$18))*About!$B$16</f>
        <v>0.23718005792069682</v>
      </c>
      <c r="BT1">
        <f>(1-EXP(-((BT2/About!$B$20-(About!$B$19-0.5))/About!$B$17)^About!$B$18))*About!$B$16</f>
        <v>0.23875446955618485</v>
      </c>
      <c r="BU1">
        <f>(1-EXP(-((BU2/About!$B$20-(About!$B$19-0.5))/About!$B$17)^About!$B$18))*About!$B$16</f>
        <v>0.24017292004988233</v>
      </c>
      <c r="BV1">
        <f>(1-EXP(-((BV2/About!$B$20-(About!$B$19-0.5))/About!$B$17)^About!$B$18))*About!$B$16</f>
        <v>0.2414454704220835</v>
      </c>
      <c r="BW1">
        <f>(1-EXP(-((BW2/About!$B$20-(About!$B$19-0.5))/About!$B$17)^About!$B$18))*About!$B$16</f>
        <v>0.24258226502891142</v>
      </c>
      <c r="BX1">
        <f>(1-EXP(-((BX2/About!$B$20-(About!$B$19-0.5))/About!$B$17)^About!$B$18))*About!$B$16</f>
        <v>0.24359341684352731</v>
      </c>
      <c r="BY1">
        <f>(1-EXP(-((BY2/About!$B$20-(About!$B$19-0.5))/About!$B$17)^About!$B$18))*About!$B$16</f>
        <v>0.24448890324067107</v>
      </c>
      <c r="BZ1">
        <f>(1-EXP(-((BZ2/About!$B$20-(About!$B$19-0.5))/About!$B$17)^About!$B$18))*About!$B$16</f>
        <v>0.24527847323639623</v>
      </c>
      <c r="CA1">
        <f>(1-EXP(-((CA2/About!$B$20-(About!$B$19-0.5))/About!$B$17)^About!$B$18))*About!$B$16</f>
        <v>0.24597156681632482</v>
      </c>
      <c r="CB1">
        <f>(1-EXP(-((CB2/About!$B$20-(About!$B$19-0.5))/About!$B$17)^About!$B$18))*About!$B$16</f>
        <v>0.24657724667537687</v>
      </c>
      <c r="CC1">
        <f>(1-EXP(-((CC2/About!$B$20-(About!$B$19-0.5))/About!$B$17)^About!$B$18))*About!$B$16</f>
        <v>0.24710414239809914</v>
      </c>
      <c r="CD1">
        <f>(1-EXP(-((CD2/About!$B$20-(About!$B$19-0.5))/About!$B$17)^About!$B$18))*About!$B$16</f>
        <v>0.24756040683869554</v>
      </c>
      <c r="CE1">
        <f>(1-EXP(-((CE2/About!$B$20-(About!$B$19-0.5))/About!$B$17)^About!$B$18))*About!$B$16</f>
        <v>0.24795368421960901</v>
      </c>
      <c r="CF1">
        <f>(1-EXP(-((CF2/About!$B$20-(About!$B$19-0.5))/About!$B$17)^About!$B$18))*About!$B$16</f>
        <v>0.25</v>
      </c>
    </row>
    <row r="2" spans="1:84" x14ac:dyDescent="0.3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33</v>
      </c>
    </row>
    <row r="2" spans="1:2" x14ac:dyDescent="0.3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tabSelected="1" topLeftCell="B1" workbookViewId="0">
      <selection activeCell="H7" sqref="H7:AB7"/>
    </sheetView>
  </sheetViews>
  <sheetFormatPr defaultRowHeight="14.5" x14ac:dyDescent="0.35"/>
  <cols>
    <col min="1" max="1" width="33.54296875" bestFit="1" customWidth="1"/>
  </cols>
  <sheetData>
    <row r="1" spans="1:28" x14ac:dyDescent="0.3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10</v>
      </c>
      <c r="B7">
        <v>0.5</v>
      </c>
      <c r="C7">
        <v>0.25</v>
      </c>
      <c r="D7">
        <v>0.25</v>
      </c>
      <c r="E7">
        <v>0.25</v>
      </c>
      <c r="F7">
        <v>0.25</v>
      </c>
      <c r="G7">
        <v>0.25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</row>
    <row r="8" spans="1:28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2026-03-23T17:59:56Z</dcterms:modified>
</cp:coreProperties>
</file>