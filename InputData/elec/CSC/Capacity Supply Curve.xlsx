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1_{8F2CBEFD-F220-4770-9995-1471E0E2C02B}" xr6:coauthVersionLast="47" xr6:coauthVersionMax="47" xr10:uidLastSave="{00000000-0000-0000-0000-000000000000}"/>
  <bookViews>
    <workbookView xWindow="31305" yWindow="1245" windowWidth="23505" windowHeight="21225" xr2:uid="{F87DB1D1-DC21-4EA7-B1DF-998EE56837F8}"/>
  </bookViews>
  <sheets>
    <sheet name="About" sheetId="1" r:id="rId1"/>
    <sheet name="CSC-CSCP" sheetId="5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2" i="5"/>
  <c r="I7" i="4"/>
  <c r="H7" i="4"/>
  <c r="B2" i="3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B24" i="1" l="1"/>
  <c r="B25" i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49" i="1" l="1"/>
  <c r="B50" i="1" l="1"/>
  <c r="B51" i="1" l="1"/>
  <c r="B52" i="1" l="1"/>
  <c r="B53" i="1" l="1"/>
  <c r="B54" i="1" l="1"/>
  <c r="B55" i="1" l="1"/>
  <c r="B56" i="1" l="1"/>
  <c r="B57" i="1" l="1"/>
  <c r="B58" i="1" l="1"/>
  <c r="B59" i="1" l="1"/>
  <c r="B60" i="1" l="1"/>
  <c r="B61" i="1" l="1"/>
  <c r="B62" i="1" l="1"/>
  <c r="B63" i="1" l="1"/>
  <c r="B64" i="1" l="1"/>
  <c r="B65" i="1" l="1"/>
  <c r="B66" i="1" l="1"/>
  <c r="B67" i="1" l="1"/>
  <c r="B68" i="1" l="1"/>
  <c r="B69" i="1" l="1"/>
  <c r="B70" i="1" l="1"/>
  <c r="B71" i="1" l="1"/>
  <c r="B72" i="1" l="1"/>
  <c r="B73" i="1" l="1"/>
  <c r="B74" i="1" l="1"/>
  <c r="B75" i="1" l="1"/>
  <c r="B76" i="1" l="1"/>
  <c r="B77" i="1" l="1"/>
  <c r="B78" i="1" l="1"/>
  <c r="B79" i="1" l="1"/>
  <c r="B80" i="1" l="1"/>
  <c r="B81" i="1" l="1"/>
  <c r="B82" i="1" l="1"/>
  <c r="B83" i="1" l="1"/>
  <c r="B84" i="1" l="1"/>
  <c r="B85" i="1" l="1"/>
  <c r="B86" i="1" l="1"/>
  <c r="B87" i="1" l="1"/>
  <c r="B88" i="1" l="1"/>
  <c r="B89" i="1" l="1"/>
  <c r="B90" i="1" l="1"/>
  <c r="B91" i="1" l="1"/>
  <c r="B92" i="1" l="1"/>
  <c r="B93" i="1" l="1"/>
  <c r="B94" i="1" l="1"/>
  <c r="B95" i="1" l="1"/>
  <c r="B96" i="1" l="1"/>
  <c r="B97" i="1" l="1"/>
  <c r="B98" i="1" l="1"/>
  <c r="B99" i="1" l="1"/>
  <c r="B100" i="1" l="1"/>
  <c r="B101" i="1" l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<sst xmlns="http://schemas.openxmlformats.org/spreadsheetml/2006/main" count="52" uniqueCount="47">
  <si>
    <t xml:space="preserve">Source: </t>
  </si>
  <si>
    <t>(none)</t>
  </si>
  <si>
    <t>These are calibrated variables used in establishing supply curves for resources.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</si>
  <si>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</si>
  <si>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</si>
  <si>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</si>
  <si>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</si>
  <si>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</si>
  <si>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</si>
  <si>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</si>
  <si>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</si>
  <si>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</si>
  <si>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</si>
  <si>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</si>
  <si>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</si>
  <si>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</si>
  <si>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</si>
  <si>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</si>
  <si>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</si>
  <si>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</si>
  <si>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</si>
  <si>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</si>
  <si>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</si>
  <si>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</si>
  <si>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</si>
  <si>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</si>
  <si>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</si>
  <si>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</si>
  <si>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</si>
  <si>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</si>
  <si>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</si>
  <si>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</si>
  <si>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</si>
  <si>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</si>
  <si>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</si>
  <si>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</si>
  <si>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</si>
  <si>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</si>
  <si>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</si>
  <si>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</si>
  <si>
    <t>cutoff parameter</t>
  </si>
  <si>
    <t>saturation</t>
  </si>
  <si>
    <t>scale parameter</t>
  </si>
  <si>
    <t>shape parameter</t>
  </si>
  <si>
    <t>location parameter</t>
  </si>
  <si>
    <t>parameters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</si>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</sst>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484003</xdr:colOff>
      <xdr:row>22</xdr:row>
      <xdr:rowOff>184356</xdr:rowOff>
    </xdr:from>
    <xdr:to>
      <xdr:col>0</xdr:col>
      <xdr:colOff>5052459</xdr:colOff>
      <xdr:row>37</xdr:row>
      <xdr:rowOff>171656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zoomScale="86" workbookViewId="0">
      <selection activeCell="H27" sqref="H27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28</v>
      </c>
    </row>
    <row r="2" spans="1:2" x14ac:dyDescent="0.25">
      <c r="A2" s="1" t="s">
        <v>29</v>
      </c>
    </row>
    <row r="3" spans="1:2" x14ac:dyDescent="0.25">
      <c r="A3" s="1" t="s">
        <v>30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33</v>
      </c>
    </row>
    <row r="8" spans="1:2" x14ac:dyDescent="0.25">
      <c r="A8" t="s">
        <v>34</v>
      </c>
    </row>
    <row r="9" spans="1:2" x14ac:dyDescent="0.25">
      <c r="A9" t="s">
        <v>35</v>
      </c>
    </row>
    <row r="10" spans="1:2" x14ac:dyDescent="0.25">
      <c r="A10" t="s">
        <v>36</v>
      </c>
    </row>
    <row r="11" spans="1:2" x14ac:dyDescent="0.25">
      <c r="A11" t="s">
        <v>37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31</v>
      </c>
    </row>
    <row r="16" spans="1:2" x14ac:dyDescent="0.25">
      <c r="A16" t="s">
        <v>41</v>
      </c>
      <c r="B16">
        <v>0.2</v>
      </c>
    </row>
    <row r="17" spans="1:3" x14ac:dyDescent="0.25">
      <c r="A17" t="s">
        <v>42</v>
      </c>
      <c r="B17">
        <v>0.6</v>
      </c>
    </row>
    <row r="18" spans="1:3" x14ac:dyDescent="0.25">
      <c r="A18" t="s">
        <v>43</v>
      </c>
      <c r="B18">
        <v>3</v>
      </c>
    </row>
    <row r="19" spans="1:3" x14ac:dyDescent="0.25">
      <c r="A19" t="s">
        <v>44</v>
      </c>
      <c r="B19">
        <v>0.5</v>
      </c>
    </row>
    <row r="20" spans="1:3" x14ac:dyDescent="0.25">
      <c r="A20" t="s">
        <v>40</v>
      </c>
      <c r="B20">
        <v>30000</v>
      </c>
    </row>
    <row r="21" spans="1:3" x14ac:dyDescent="0.25">
      <c r="A21" t="s">
        <v>38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2:3" x14ac:dyDescent="0.25">
      <c r="B113">
        <f t="shared" si="2"/>
        <v>0.19999994518873965</v>
      </c>
      <c r="C113">
        <f t="shared" si="3"/>
        <v>44500</v>
      </c>
    </row>
    <row r="114" spans="2:3" x14ac:dyDescent="0.25">
      <c r="B114">
        <f t="shared" si="2"/>
        <v>0.19999996725245739</v>
      </c>
      <c r="C114">
        <f t="shared" si="3"/>
        <v>45000</v>
      </c>
    </row>
    <row r="115" spans="2:3" x14ac:dyDescent="0.25">
      <c r="B115">
        <f t="shared" si="2"/>
        <v>0.19999998065979441</v>
      </c>
      <c r="C115">
        <f t="shared" si="3"/>
        <v>45500</v>
      </c>
    </row>
    <row r="116" spans="2:3" x14ac:dyDescent="0.25">
      <c r="B116">
        <f t="shared" si="2"/>
        <v>0.19999998871085503</v>
      </c>
      <c r="C116">
        <f t="shared" si="3"/>
        <v>46000</v>
      </c>
    </row>
    <row r="117" spans="2:3" x14ac:dyDescent="0.25">
      <c r="B117">
        <f t="shared" si="2"/>
        <v>0.19999999348787459</v>
      </c>
      <c r="C117">
        <f t="shared" si="3"/>
        <v>46500</v>
      </c>
    </row>
    <row r="118" spans="2:3" x14ac:dyDescent="0.25">
      <c r="B118">
        <f t="shared" si="2"/>
        <v>0.19999999628815057</v>
      </c>
      <c r="C118">
        <f t="shared" si="3"/>
        <v>47000</v>
      </c>
    </row>
    <row r="119" spans="2:3" x14ac:dyDescent="0.25">
      <c r="B119">
        <f t="shared" si="2"/>
        <v>0.19999999790970302</v>
      </c>
      <c r="C119">
        <f t="shared" si="3"/>
        <v>47500</v>
      </c>
    </row>
    <row r="120" spans="2:3" x14ac:dyDescent="0.25">
      <c r="B120">
        <f t="shared" si="2"/>
        <v>0.19999999883716038</v>
      </c>
      <c r="C120">
        <f t="shared" si="3"/>
        <v>48000</v>
      </c>
    </row>
    <row r="121" spans="2:3" x14ac:dyDescent="0.25">
      <c r="B121">
        <f t="shared" si="2"/>
        <v>0.19999999936104543</v>
      </c>
      <c r="C121">
        <f t="shared" si="3"/>
        <v>48500</v>
      </c>
    </row>
    <row r="122" spans="2:3" x14ac:dyDescent="0.25">
      <c r="B122">
        <f t="shared" si="2"/>
        <v>0.19999999965326104</v>
      </c>
      <c r="C122">
        <f t="shared" si="3"/>
        <v>49000</v>
      </c>
    </row>
    <row r="123" spans="2:3" x14ac:dyDescent="0.25">
      <c r="B123">
        <f t="shared" si="2"/>
        <v>0.19999999981419306</v>
      </c>
      <c r="C123">
        <f t="shared" si="3"/>
        <v>49500</v>
      </c>
    </row>
    <row r="124" spans="2:3" x14ac:dyDescent="0.25">
      <c r="B124">
        <f t="shared" si="2"/>
        <v>0.19999999990169129</v>
      </c>
      <c r="C124">
        <f t="shared" si="3"/>
        <v>50000</v>
      </c>
    </row>
    <row r="125" spans="2:3" x14ac:dyDescent="0.25">
      <c r="B125">
        <f t="shared" si="2"/>
        <v>0.19999999994865042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B329-5591-420B-9DBA-D539EDB26DE6}">
  <sheetPr>
    <tabColor rgb="FF002060"/>
  </sheetPr>
  <dimension ref="A1:B6"/>
  <sheetViews>
    <sheetView workbookViewId="0">
      <selection activeCell="C10" sqref="C10"/>
    </sheetView>
  </sheetViews>
  <sheetFormatPr defaultRowHeight="15" x14ac:dyDescent="0.25"/>
  <cols>
    <col min="1" max="1" width="18.140625" bestFit="1" customWidth="1"/>
  </cols>
  <sheetData>
    <row r="1" spans="1:2" x14ac:dyDescent="0.25">
      <c r="A1" s="3" t="s">
        <v>45</v>
      </c>
      <c r="B1" s="3" t="s">
        <v>46</v>
      </c>
    </row>
    <row r="2" spans="1:2" x14ac:dyDescent="0.25">
      <c r="A2" t="s">
        <v>41</v>
      </c>
      <c r="B2" s="2">
        <f>About!B16</f>
        <v>0.2</v>
      </c>
    </row>
    <row r="3" spans="1:2" x14ac:dyDescent="0.25">
      <c r="A3" t="s">
        <v>42</v>
      </c>
      <c r="B3" s="2">
        <f>About!B17</f>
        <v>0.6</v>
      </c>
    </row>
    <row r="4" spans="1:2" x14ac:dyDescent="0.25">
      <c r="A4" t="s">
        <v>43</v>
      </c>
      <c r="B4" s="2">
        <f>About!B18</f>
        <v>3</v>
      </c>
    </row>
    <row r="5" spans="1:2" x14ac:dyDescent="0.25">
      <c r="A5" t="s">
        <v>44</v>
      </c>
      <c r="B5" s="2">
        <f>About!B19</f>
        <v>0.5</v>
      </c>
    </row>
    <row r="6" spans="1:2" x14ac:dyDescent="0.25">
      <c r="A6" t="s">
        <v>40</v>
      </c>
      <c r="B6" s="2">
        <f>About!B20</f>
        <v>30000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39</v>
      </c>
    </row>
    <row r="2" spans="1:2" x14ac:dyDescent="0.25">
      <c r="A2" s="1" t="s">
        <v>32</v>
      </c>
      <c r="B2" s="2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H12" sqref="H12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3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9</v>
      </c>
      <c r="B7">
        <v>0.8</v>
      </c>
      <c r="C7">
        <v>0.1</v>
      </c>
      <c r="D7">
        <v>0.1</v>
      </c>
      <c r="E7">
        <v>0.1</v>
      </c>
      <c r="F7">
        <v>0.1</v>
      </c>
      <c r="G7">
        <v>0.1</v>
      </c>
      <c r="H7">
        <f>0.7/3+G7</f>
        <v>0.33333333333333331</v>
      </c>
      <c r="I7">
        <f>0.7/3+H7</f>
        <v>0.56666666666666665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19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CSC-CSCP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2026-07-02T15:31:27Z</dcterms:modified>
</cp:coreProperties>
</file>